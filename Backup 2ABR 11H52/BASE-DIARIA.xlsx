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filterPrivacy="1" hidePivotFieldList="1"/>
  <xr:revisionPtr revIDLastSave="0" documentId="13_ncr:1_{8D417925-A9CB-994D-8EEF-FCD5F9B60F97}" xr6:coauthVersionLast="47" xr6:coauthVersionMax="47" xr10:uidLastSave="{00000000-0000-0000-0000-000000000000}"/>
  <bookViews>
    <workbookView xWindow="0" yWindow="600" windowWidth="38400" windowHeight="19800" xr2:uid="{00000000-000D-0000-FFFF-FFFF00000000}"/>
  </bookViews>
  <sheets>
    <sheet name="base" sheetId="1" r:id="rId1"/>
    <sheet name="lojas comp prom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H2" i="1"/>
  <c r="H3" i="1"/>
  <c r="H4" i="1"/>
  <c r="H5" i="1"/>
  <c r="H6" i="1"/>
  <c r="H7" i="1"/>
  <c r="H8" i="1"/>
  <c r="H9" i="1"/>
  <c r="H10" i="1"/>
  <c r="H11" i="1"/>
  <c r="H12" i="1"/>
  <c r="H13" i="1"/>
  <c r="H15" i="1"/>
  <c r="H16" i="1"/>
  <c r="H17" i="1"/>
  <c r="H18" i="1"/>
  <c r="H19" i="1"/>
  <c r="H20" i="1"/>
  <c r="H21" i="1"/>
  <c r="H22" i="1"/>
  <c r="H23" i="1"/>
  <c r="H24" i="1"/>
  <c r="H25" i="1"/>
  <c r="H27" i="1"/>
  <c r="H28" i="1"/>
  <c r="H29" i="1"/>
  <c r="H31" i="1"/>
  <c r="H32" i="1"/>
  <c r="H33" i="1"/>
  <c r="H34" i="1"/>
  <c r="H35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3" i="1"/>
  <c r="H54" i="1"/>
  <c r="H55" i="1"/>
  <c r="H56" i="1"/>
  <c r="H57" i="1"/>
  <c r="H58" i="1"/>
  <c r="H60" i="1"/>
  <c r="H61" i="1"/>
  <c r="H62" i="1"/>
  <c r="H64" i="1"/>
  <c r="H65" i="1"/>
  <c r="H66" i="1"/>
  <c r="H67" i="1"/>
  <c r="H68" i="1"/>
  <c r="H71" i="1"/>
  <c r="H72" i="1"/>
  <c r="H73" i="1"/>
  <c r="H74" i="1"/>
  <c r="H75" i="1"/>
  <c r="H76" i="1"/>
  <c r="H77" i="1"/>
  <c r="H78" i="1"/>
  <c r="H79" i="1"/>
  <c r="H80" i="1"/>
  <c r="H81" i="1"/>
  <c r="H82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20" i="1"/>
  <c r="H121" i="1"/>
  <c r="H122" i="1"/>
  <c r="H123" i="1"/>
  <c r="H124" i="1"/>
  <c r="H125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2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1" i="1"/>
  <c r="H162" i="1"/>
  <c r="H163" i="1"/>
  <c r="H164" i="1"/>
  <c r="H165" i="1"/>
  <c r="H167" i="1"/>
  <c r="H168" i="1"/>
  <c r="H169" i="1"/>
  <c r="H170" i="1"/>
  <c r="H171" i="1"/>
  <c r="H173" i="1"/>
  <c r="H174" i="1"/>
  <c r="H175" i="1"/>
  <c r="H176" i="1"/>
  <c r="H178" i="1"/>
  <c r="H179" i="1"/>
  <c r="H180" i="1"/>
  <c r="H181" i="1"/>
  <c r="H183" i="1"/>
  <c r="H184" i="1"/>
  <c r="H185" i="1"/>
  <c r="H186" i="1"/>
  <c r="H187" i="1"/>
  <c r="H188" i="1"/>
  <c r="H189" i="1"/>
  <c r="H190" i="1"/>
  <c r="H192" i="1"/>
  <c r="H193" i="1"/>
  <c r="H194" i="1"/>
  <c r="H195" i="1"/>
  <c r="H196" i="1"/>
  <c r="H197" i="1"/>
  <c r="H198" i="1"/>
  <c r="H199" i="1"/>
  <c r="H200" i="1"/>
  <c r="H201" i="1"/>
  <c r="H203" i="1"/>
  <c r="H205" i="1"/>
  <c r="H206" i="1"/>
  <c r="H207" i="1"/>
  <c r="H208" i="1"/>
  <c r="H209" i="1"/>
  <c r="H210" i="1"/>
  <c r="H211" i="1"/>
  <c r="H212" i="1"/>
  <c r="H213" i="1"/>
  <c r="H214" i="1"/>
  <c r="H216" i="1"/>
  <c r="H217" i="1"/>
  <c r="H218" i="1"/>
  <c r="H220" i="1"/>
  <c r="H221" i="1"/>
  <c r="H222" i="1"/>
  <c r="I2" i="1"/>
  <c r="I3" i="1"/>
  <c r="I4" i="1"/>
  <c r="I5" i="1"/>
  <c r="I6" i="1"/>
  <c r="I7" i="1"/>
  <c r="I8" i="1"/>
  <c r="I9" i="1"/>
  <c r="I10" i="1"/>
  <c r="I11" i="1"/>
  <c r="I12" i="1"/>
  <c r="I13" i="1"/>
  <c r="I15" i="1"/>
  <c r="I16" i="1"/>
  <c r="I17" i="1"/>
  <c r="I18" i="1"/>
  <c r="I19" i="1"/>
  <c r="I20" i="1"/>
  <c r="I21" i="1"/>
  <c r="I22" i="1"/>
  <c r="I23" i="1"/>
  <c r="I24" i="1"/>
  <c r="I25" i="1"/>
  <c r="I27" i="1"/>
  <c r="I28" i="1"/>
  <c r="I29" i="1"/>
  <c r="I31" i="1"/>
  <c r="I32" i="1"/>
  <c r="I33" i="1"/>
  <c r="I34" i="1"/>
  <c r="I35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3" i="1"/>
  <c r="I54" i="1"/>
  <c r="I55" i="1"/>
  <c r="I56" i="1"/>
  <c r="I57" i="1"/>
  <c r="I58" i="1"/>
  <c r="I60" i="1"/>
  <c r="I61" i="1"/>
  <c r="I62" i="1"/>
  <c r="I64" i="1"/>
  <c r="I65" i="1"/>
  <c r="I66" i="1"/>
  <c r="I67" i="1"/>
  <c r="I68" i="1"/>
  <c r="I71" i="1"/>
  <c r="I72" i="1"/>
  <c r="I73" i="1"/>
  <c r="I74" i="1"/>
  <c r="I75" i="1"/>
  <c r="I76" i="1"/>
  <c r="I77" i="1"/>
  <c r="I78" i="1"/>
  <c r="I79" i="1"/>
  <c r="I80" i="1"/>
  <c r="I81" i="1"/>
  <c r="I82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20" i="1"/>
  <c r="I121" i="1"/>
  <c r="I122" i="1"/>
  <c r="I123" i="1"/>
  <c r="I124" i="1"/>
  <c r="I125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2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1" i="1"/>
  <c r="I162" i="1"/>
  <c r="I163" i="1"/>
  <c r="I164" i="1"/>
  <c r="I165" i="1"/>
  <c r="I167" i="1"/>
  <c r="I168" i="1"/>
  <c r="I169" i="1"/>
  <c r="I170" i="1"/>
  <c r="I171" i="1"/>
  <c r="I173" i="1"/>
  <c r="I174" i="1"/>
  <c r="I175" i="1"/>
  <c r="I176" i="1"/>
  <c r="I178" i="1"/>
  <c r="I179" i="1"/>
  <c r="I180" i="1"/>
  <c r="I181" i="1"/>
  <c r="I183" i="1"/>
  <c r="I184" i="1"/>
  <c r="I185" i="1"/>
  <c r="I186" i="1"/>
  <c r="I187" i="1"/>
  <c r="I188" i="1"/>
  <c r="I189" i="1"/>
  <c r="I190" i="1"/>
  <c r="I192" i="1"/>
  <c r="I193" i="1"/>
  <c r="I194" i="1"/>
  <c r="I195" i="1"/>
  <c r="I196" i="1"/>
  <c r="I197" i="1"/>
  <c r="I198" i="1"/>
  <c r="I199" i="1"/>
  <c r="I200" i="1"/>
  <c r="I201" i="1"/>
  <c r="I203" i="1"/>
  <c r="I205" i="1"/>
  <c r="I206" i="1"/>
  <c r="I207" i="1"/>
  <c r="I208" i="1"/>
  <c r="I209" i="1"/>
  <c r="I210" i="1"/>
  <c r="I211" i="1"/>
  <c r="I212" i="1"/>
  <c r="I213" i="1"/>
  <c r="I214" i="1"/>
  <c r="I216" i="1"/>
  <c r="I217" i="1"/>
  <c r="I218" i="1"/>
  <c r="I220" i="1"/>
  <c r="I221" i="1"/>
  <c r="I222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</calcChain>
</file>

<file path=xl/sharedStrings.xml><?xml version="1.0" encoding="utf-8"?>
<sst xmlns="http://schemas.openxmlformats.org/spreadsheetml/2006/main" count="87552" uniqueCount="25255">
  <si>
    <t>Date/Time</t>
  </si>
  <si>
    <t>Store Code</t>
  </si>
  <si>
    <t>Store Name</t>
  </si>
  <si>
    <t>Device Code</t>
  </si>
  <si>
    <t>Device Name</t>
  </si>
  <si>
    <t>Sessions</t>
  </si>
  <si>
    <t>SPC7613</t>
  </si>
  <si>
    <t>CASAS BAHIA - AVENIDA INTERLAGOS, 2255 - SHOPPING INTERLAGOS - SPC7613</t>
  </si>
  <si>
    <t>SPC7612</t>
  </si>
  <si>
    <t>PONTO FRIO - AVENIDA INTERLAGOS, 2255 - SHOPPING INTERLAGOS - SPC7612</t>
  </si>
  <si>
    <t>Edge50Fusion256_SPC7612</t>
  </si>
  <si>
    <t>G06128_SPC7612</t>
  </si>
  <si>
    <t>G15256_SPC7612</t>
  </si>
  <si>
    <t>G17128_SPC7612</t>
  </si>
  <si>
    <t>G56256_SPC7612</t>
  </si>
  <si>
    <t>G75256_SPC7612</t>
  </si>
  <si>
    <t>Razr50Ultra512_SPC7612</t>
  </si>
  <si>
    <t>Edge60Fusion256_SPC7612</t>
  </si>
  <si>
    <t>G05256_SPC7612</t>
  </si>
  <si>
    <t>G35256_SPC7612</t>
  </si>
  <si>
    <t>G35256_SPC7612_2</t>
  </si>
  <si>
    <t>G55256_SPC7612</t>
  </si>
  <si>
    <t>G86256_SPC7612</t>
  </si>
  <si>
    <t>SPC7614</t>
  </si>
  <si>
    <t>LOJAS AMERICANAS - AVENIDA INTERLAGOS, 2255 - SHOPPING INTERLAGOS - SPC7614</t>
  </si>
  <si>
    <t>Edge60Pro256_SPC7614</t>
  </si>
  <si>
    <t>G35256_SPC7614</t>
  </si>
  <si>
    <t>G56256_SPC7614</t>
  </si>
  <si>
    <t>G67256_SPC7614</t>
  </si>
  <si>
    <t>G77256_SPC7614</t>
  </si>
  <si>
    <t>G86256_SPC7614</t>
  </si>
  <si>
    <t>Aparelho</t>
  </si>
  <si>
    <t>Tipo</t>
  </si>
  <si>
    <t>G35</t>
  </si>
  <si>
    <t>Edge 60 Pro</t>
  </si>
  <si>
    <t>256 GB</t>
  </si>
  <si>
    <t>Faixa</t>
  </si>
  <si>
    <t>G15</t>
  </si>
  <si>
    <t>Rede</t>
  </si>
  <si>
    <t>80/20</t>
  </si>
  <si>
    <t>Shopping</t>
  </si>
  <si>
    <t>SPC11232</t>
  </si>
  <si>
    <t>CASAS BAHIA - PRACA FLORIANO PEIXOTO, 38 - ZONA COMERCIAL - SPC11232</t>
  </si>
  <si>
    <t>Edge60Fusion256_SPC11232</t>
  </si>
  <si>
    <t>Edge60Pro256_SPC11232_2</t>
  </si>
  <si>
    <t>G05256_SPC11232</t>
  </si>
  <si>
    <t>G06128_SPC11232</t>
  </si>
  <si>
    <t>G06256_SPC11232</t>
  </si>
  <si>
    <t>G17128_SPC11232</t>
  </si>
  <si>
    <t>G17256_SPC11232</t>
  </si>
  <si>
    <t>G56256_SPC11232</t>
  </si>
  <si>
    <t>G86256_SPC11232</t>
  </si>
  <si>
    <t>G86512_SPC11232</t>
  </si>
  <si>
    <t>SPC287350</t>
  </si>
  <si>
    <t>CASAS BAHIA - AVENIDA NACOES UNIDAS, 12995 - SPC287350</t>
  </si>
  <si>
    <t>Edge50Fusion256_SPC287350</t>
  </si>
  <si>
    <t>Edge50Neo256_SPC287350</t>
  </si>
  <si>
    <t>Edge60Pro256_SPC287350</t>
  </si>
  <si>
    <t>G15256_SPC287350</t>
  </si>
  <si>
    <t>G15256_SPC287350_1</t>
  </si>
  <si>
    <t>G17256_SPC287350</t>
  </si>
  <si>
    <t>G35256_SPC287350</t>
  </si>
  <si>
    <t>G55256_SPC287350</t>
  </si>
  <si>
    <t>G56256_SPC287350</t>
  </si>
  <si>
    <t>G75256_SPC287350</t>
  </si>
  <si>
    <t>G86256_SPC287350</t>
  </si>
  <si>
    <t>G06128_SPC287350</t>
  </si>
  <si>
    <t>CASAS BAHIA</t>
  </si>
  <si>
    <t>Shopping Interlagos</t>
  </si>
  <si>
    <t>PONTO FRIO</t>
  </si>
  <si>
    <t>LOJAS AMERICANAS</t>
  </si>
  <si>
    <t>Loja De Rua</t>
  </si>
  <si>
    <t>G35256_SPC11232</t>
  </si>
  <si>
    <t>SPC252260</t>
  </si>
  <si>
    <t>CASAS BAHIA - AVENIDA EMBAIXADOR MACEDO SOARES, 9175 - SPC252260</t>
  </si>
  <si>
    <t>G06128_SPC252260</t>
  </si>
  <si>
    <t>G15256_SPC252260</t>
  </si>
  <si>
    <t>G56256_SPC252260</t>
  </si>
  <si>
    <t>G75256_SPC252260</t>
  </si>
  <si>
    <t>G86256_SPC252260</t>
  </si>
  <si>
    <t>Edge60256GB_SPC252260</t>
  </si>
  <si>
    <t>Edge60Pro256_SPC252260</t>
  </si>
  <si>
    <t>G05128_SPC252260</t>
  </si>
  <si>
    <t>G05256_SPC252260</t>
  </si>
  <si>
    <t>G06256_SPC252260</t>
  </si>
  <si>
    <t>G17256_SPC252260</t>
  </si>
  <si>
    <t>G86512_SPC252260</t>
  </si>
  <si>
    <t>Razr60Ultra1TB_SPC252260</t>
  </si>
  <si>
    <t>G35256_SPC252260</t>
  </si>
  <si>
    <t>id_pdv</t>
  </si>
  <si>
    <t>ponto_de_venda</t>
  </si>
  <si>
    <t>endereco</t>
  </si>
  <si>
    <t>numero</t>
  </si>
  <si>
    <t>complemento</t>
  </si>
  <si>
    <t>bairro</t>
  </si>
  <si>
    <t>cidade</t>
  </si>
  <si>
    <t>uf</t>
  </si>
  <si>
    <t>cep</t>
  </si>
  <si>
    <t>coordenadas</t>
  </si>
  <si>
    <t>microrregional</t>
  </si>
  <si>
    <t>macrorregional</t>
  </si>
  <si>
    <t>cod_spar</t>
  </si>
  <si>
    <t>ativo</t>
  </si>
  <si>
    <t>cnpj</t>
  </si>
  <si>
    <t>id_ext_pdv</t>
  </si>
  <si>
    <t>rede_</t>
  </si>
  <si>
    <t>Coluna1</t>
  </si>
  <si>
    <t>centro_comercial</t>
  </si>
  <si>
    <t>campo_extra</t>
  </si>
  <si>
    <t>tipo_de_loja</t>
  </si>
  <si>
    <t>rede</t>
  </si>
  <si>
    <t>bandeira</t>
  </si>
  <si>
    <t>Total Atendimentos 3 meses</t>
  </si>
  <si>
    <t>Cluster EVER</t>
  </si>
  <si>
    <t>visibilidade</t>
  </si>
  <si>
    <t>Intersec</t>
  </si>
  <si>
    <t>CLARO - AVENIDA JOAO WALLIG, 1800 - SHOPPING IGUATEMI PORTO ALEGRE - SUL7372</t>
  </si>
  <si>
    <t>AVENIDA JOAO WALLIG</t>
  </si>
  <si>
    <t>1800</t>
  </si>
  <si>
    <t>LOJA 1246,1ºPISO</t>
  </si>
  <si>
    <t>PASSO D'AREIA</t>
  </si>
  <si>
    <t>Porto Alegre</t>
  </si>
  <si>
    <t>RS</t>
  </si>
  <si>
    <t>91349900</t>
  </si>
  <si>
    <t>-30.024227 , -51.161819</t>
  </si>
  <si>
    <t>SUL 2</t>
  </si>
  <si>
    <t>SUL</t>
  </si>
  <si>
    <t>SUL7372</t>
  </si>
  <si>
    <t>Sim</t>
  </si>
  <si>
    <t>40432544009101</t>
  </si>
  <si>
    <t>5106</t>
  </si>
  <si>
    <t>CLARO</t>
  </si>
  <si>
    <t>Shopping Iguatemi Porto Alegre</t>
  </si>
  <si>
    <t>CLARO LP</t>
  </si>
  <si>
    <t>OPERADORA</t>
  </si>
  <si>
    <t>A</t>
  </si>
  <si>
    <t>CASAS BAHIA - AVENIDA JOSE PINHEIRO BORGES, S/N - SHOPPING METRO ITAQUERA - SPC7759</t>
  </si>
  <si>
    <t>AVENIDA JOSE PINHEIRO BORGES</t>
  </si>
  <si>
    <t>S/N</t>
  </si>
  <si>
    <t>LOJAS 129 E 130,T</t>
  </si>
  <si>
    <t>ITAQUERA</t>
  </si>
  <si>
    <t>São Paulo</t>
  </si>
  <si>
    <t>SP</t>
  </si>
  <si>
    <t>8220385</t>
  </si>
  <si>
    <t>-23.540546 , -46.470375</t>
  </si>
  <si>
    <t>SPC 7</t>
  </si>
  <si>
    <t>SPC</t>
  </si>
  <si>
    <t>SPC7759</t>
  </si>
  <si>
    <t>33041260115573</t>
  </si>
  <si>
    <t>1172</t>
  </si>
  <si>
    <t>VAREJO</t>
  </si>
  <si>
    <t>Shopping Itaquera</t>
  </si>
  <si>
    <t>VIA VAREJO</t>
  </si>
  <si>
    <t>MAGAZINE LUIZA - AVENIDA REPLUBICA DO LIBANO, 251 - SHOPPING RIO MAR - NE7945</t>
  </si>
  <si>
    <t>AVENIDA REPUBLICA DO LIBANO</t>
  </si>
  <si>
    <t>251</t>
  </si>
  <si>
    <t>LOJA 1099 E 1100</t>
  </si>
  <si>
    <t>PINA</t>
  </si>
  <si>
    <t>Recife</t>
  </si>
  <si>
    <t>PE</t>
  </si>
  <si>
    <t>51110160</t>
  </si>
  <si>
    <t>-8.086065 , -34.895043</t>
  </si>
  <si>
    <t>NE 1</t>
  </si>
  <si>
    <t>NE</t>
  </si>
  <si>
    <t>NE7945</t>
  </si>
  <si>
    <t>47960950088207</t>
  </si>
  <si>
    <t>713</t>
  </si>
  <si>
    <t>Shopping Rio Mar</t>
  </si>
  <si>
    <t>MAGAZINE LUIZA</t>
  </si>
  <si>
    <t>MAGAZINE LUIZA - RUA PADRE CARAPUCEIRO, 777 - SHOPPING RECIFE - NE5959</t>
  </si>
  <si>
    <t>RUA CARAPUCEIRO</t>
  </si>
  <si>
    <t>777</t>
  </si>
  <si>
    <t>LOJAS 29 E 30 A</t>
  </si>
  <si>
    <t>BOA VIAGEM</t>
  </si>
  <si>
    <t>51020900</t>
  </si>
  <si>
    <t>-8.119827 , -34.905079</t>
  </si>
  <si>
    <t>NE5959</t>
  </si>
  <si>
    <t>47960950080214</t>
  </si>
  <si>
    <t>851</t>
  </si>
  <si>
    <t>Shopping Recife</t>
  </si>
  <si>
    <t>CASAS BAHIA - AVENIDA REPLUBICA DO LIBANO, 251 - SHOPPING RIO MAR - NE6897</t>
  </si>
  <si>
    <t>-8.085789 , -34.89513</t>
  </si>
  <si>
    <t>NE6897</t>
  </si>
  <si>
    <t>33041260094207</t>
  </si>
  <si>
    <t>1685</t>
  </si>
  <si>
    <t>MAGAZINE LUIZA - AVENIDA TANCREDO NEVES, 148 - SHOPPING DA BAHIA - NE40438</t>
  </si>
  <si>
    <t>AVENIDA TANCREDO NEVES</t>
  </si>
  <si>
    <t>148</t>
  </si>
  <si>
    <t>LOJAS 53 A 56- 62/63</t>
  </si>
  <si>
    <t>CAMINHO DAS ARVORES</t>
  </si>
  <si>
    <t>Salvador</t>
  </si>
  <si>
    <t>BA</t>
  </si>
  <si>
    <t>41820908</t>
  </si>
  <si>
    <t>-12.981811 , -38.464088</t>
  </si>
  <si>
    <t>NE 4</t>
  </si>
  <si>
    <t>NE40438</t>
  </si>
  <si>
    <t>47960950076101</t>
  </si>
  <si>
    <t>747</t>
  </si>
  <si>
    <t>Shopping Da Bahia</t>
  </si>
  <si>
    <t>CASAS BAHIA - AVENIDA ARICANDUVA, 5555 (LOJA 2) - SHOPPING ARICANDUVA - SPC22892</t>
  </si>
  <si>
    <t>AVENIDA ARICANDUVA</t>
  </si>
  <si>
    <t>5555</t>
  </si>
  <si>
    <t>LOJA 30</t>
  </si>
  <si>
    <t>VILA MATILDE</t>
  </si>
  <si>
    <t>3527900</t>
  </si>
  <si>
    <t>-23.565256 , -46.503628</t>
  </si>
  <si>
    <t>SPC22892</t>
  </si>
  <si>
    <t>33041260210991</t>
  </si>
  <si>
    <t>3100</t>
  </si>
  <si>
    <t>Shopping Aricanduva</t>
  </si>
  <si>
    <t>CASAS BAHIA - RUA ERNEST RENAN, 1032 - ZONA COMERCIAL - SPC11263</t>
  </si>
  <si>
    <t>RUA ERNEST RENAN</t>
  </si>
  <si>
    <t>1032</t>
  </si>
  <si>
    <t>PARAISOPOLIS</t>
  </si>
  <si>
    <t>5659020</t>
  </si>
  <si>
    <t>-23.6140632 , -46.7244753</t>
  </si>
  <si>
    <t>SPC 8</t>
  </si>
  <si>
    <t>SPC11263</t>
  </si>
  <si>
    <t>33041260101785</t>
  </si>
  <si>
    <t>1294</t>
  </si>
  <si>
    <t>MAGAZINE LUIZA - QUADRA CL 214 LOTE B, S/N - MGCO258120</t>
  </si>
  <si>
    <t>QUADRA CL 214 LOTE B</t>
  </si>
  <si>
    <t>LOJA 1 E 2</t>
  </si>
  <si>
    <t>SANTA MARIA</t>
  </si>
  <si>
    <t>Brasília</t>
  </si>
  <si>
    <t>DF</t>
  </si>
  <si>
    <t>72544220</t>
  </si>
  <si>
    <t>-16.0071534,-48.0015546</t>
  </si>
  <si>
    <t>MG CO 1</t>
  </si>
  <si>
    <t>MG CO</t>
  </si>
  <si>
    <t>MGCO258120</t>
  </si>
  <si>
    <t>47960950143070</t>
  </si>
  <si>
    <t>1164</t>
  </si>
  <si>
    <t>PONTO FRIO - RUA CAPITAO TIAGO LUZ, 146 - ZONA COMERCIAL - SPC7621</t>
  </si>
  <si>
    <t>PRACA FLORIANO PEIXOTO</t>
  </si>
  <si>
    <t>146</t>
  </si>
  <si>
    <t>FILIAL 725</t>
  </si>
  <si>
    <t>SANTO AMARO</t>
  </si>
  <si>
    <t>4751030</t>
  </si>
  <si>
    <t>-23.651297 , -46.707901</t>
  </si>
  <si>
    <t>SPC7621</t>
  </si>
  <si>
    <t>33041260030829</t>
  </si>
  <si>
    <t>275</t>
  </si>
  <si>
    <t>VIVO - AVENIDA JOAO WALLIG, 1800 - SHOPPING IGUATEMI PORTO ALEGRE - SUL6219</t>
  </si>
  <si>
    <t>LOJA 147 PISO 1 PART</t>
  </si>
  <si>
    <t>91340001</t>
  </si>
  <si>
    <t>SUL6219</t>
  </si>
  <si>
    <t>2558157035039</t>
  </si>
  <si>
    <t>LOJA IGUATEMI RS</t>
  </si>
  <si>
    <t>VIVO</t>
  </si>
  <si>
    <t>VIVO LP</t>
  </si>
  <si>
    <t>CASAS BAHIA - AVENIDA TANCREDO NEVES, 148 (LOJA 1) - SHOPPING DA BAHIA - NE7413</t>
  </si>
  <si>
    <t>LOJA 2A,9 E 10,QD D</t>
  </si>
  <si>
    <t>NE7413</t>
  </si>
  <si>
    <t>33041260138433</t>
  </si>
  <si>
    <t>1499</t>
  </si>
  <si>
    <t>MAGAZINE LUIZA - RUA CAPITAO TIAGO LUZ, 139 - ZONA COMERCIAL - SPC7618</t>
  </si>
  <si>
    <t>RUA CAPITAO TIAGO LUZ</t>
  </si>
  <si>
    <t>121</t>
  </si>
  <si>
    <t>125</t>
  </si>
  <si>
    <t>4751010</t>
  </si>
  <si>
    <t>-23.653011 , -46.706856</t>
  </si>
  <si>
    <t>SPC7618</t>
  </si>
  <si>
    <t>47960950070928</t>
  </si>
  <si>
    <t>958</t>
  </si>
  <si>
    <t>MAGAZINE LUIZA - AVENIDA BERNADO VIEIRA, 3775 - MIDWAY - NE79537</t>
  </si>
  <si>
    <t>AVENIDA BERNARDO VIEIRA</t>
  </si>
  <si>
    <t>3775</t>
  </si>
  <si>
    <t>LOJA 120A PISO L1</t>
  </si>
  <si>
    <t>TIROL</t>
  </si>
  <si>
    <t>Natal</t>
  </si>
  <si>
    <t>RN</t>
  </si>
  <si>
    <t>59015900</t>
  </si>
  <si>
    <t>-5.811385 , -35.206245</t>
  </si>
  <si>
    <t>NE 2</t>
  </si>
  <si>
    <t>NE79537</t>
  </si>
  <si>
    <t>47960950101157</t>
  </si>
  <si>
    <t>1204</t>
  </si>
  <si>
    <t>Shopping Midway Mall</t>
  </si>
  <si>
    <t>CARREFOUR - SAI/SO AREA 6580, S/N - PARK SHOPPING - MGCO18545</t>
  </si>
  <si>
    <t>SAI/SO AREA 6580</t>
  </si>
  <si>
    <t>SEM COMPLEMENTO</t>
  </si>
  <si>
    <t>GUARA</t>
  </si>
  <si>
    <t>71219900</t>
  </si>
  <si>
    <t>-15.8335067 , -47.9552839</t>
  </si>
  <si>
    <t>MGCO18545</t>
  </si>
  <si>
    <t>45543915000343</t>
  </si>
  <si>
    <t>BSB</t>
  </si>
  <si>
    <t>Park Shopping</t>
  </si>
  <si>
    <t>CARREFOUR</t>
  </si>
  <si>
    <t>PRACA MARECHAL FLORIANO PEIXOTO</t>
  </si>
  <si>
    <t>38</t>
  </si>
  <si>
    <t>A,44 E 50</t>
  </si>
  <si>
    <t>-23.652002 , -46.707207</t>
  </si>
  <si>
    <t>33041260100541</t>
  </si>
  <si>
    <t>1060</t>
  </si>
  <si>
    <t>CASAS BAHIA - AVENIDA RIO VERDE, S/N - SHOPPING BURITI - MGCO20073</t>
  </si>
  <si>
    <t>AVENIDA RIO VERDE</t>
  </si>
  <si>
    <t>LOJAS141 E 143</t>
  </si>
  <si>
    <t>VILA SAO TOMAZ</t>
  </si>
  <si>
    <t>Aparecida de Goiânia</t>
  </si>
  <si>
    <t>GO</t>
  </si>
  <si>
    <t>74916260</t>
  </si>
  <si>
    <t>-16.741322 , -49.277218</t>
  </si>
  <si>
    <t>MG CO 2</t>
  </si>
  <si>
    <t>MGCO20073</t>
  </si>
  <si>
    <t>33041260108364</t>
  </si>
  <si>
    <t>1330</t>
  </si>
  <si>
    <t>Shopping Buriti</t>
  </si>
  <si>
    <t>CASAS BAHIA - AVENIDA TANCREDO NEVES, 3133 - SHOPPING SALVADOR - NE7415</t>
  </si>
  <si>
    <t>3133</t>
  </si>
  <si>
    <t>SALAO COMERCIAL</t>
  </si>
  <si>
    <t>41828920</t>
  </si>
  <si>
    <t>-12.978583 , -38.454796</t>
  </si>
  <si>
    <t>NE7415</t>
  </si>
  <si>
    <t>33041260139162</t>
  </si>
  <si>
    <t>1572</t>
  </si>
  <si>
    <t>Shopping Salvador</t>
  </si>
  <si>
    <t>CASAS BAHIA - RUA PADRE CARAPUCEIRO, 777 - SHOPPING RECIFE - NE39626</t>
  </si>
  <si>
    <t>LUCS139/140</t>
  </si>
  <si>
    <t>NE39626</t>
  </si>
  <si>
    <t>33041260186322</t>
  </si>
  <si>
    <t>2239</t>
  </si>
  <si>
    <t>LOJAS AMERICANAS - AVENIDA DAS AMERICAS, 4666 - BARRA SHOPPING - RJES7550</t>
  </si>
  <si>
    <t>AVENIDA DAS AMERICAS</t>
  </si>
  <si>
    <t>4666</t>
  </si>
  <si>
    <t>LOJA C,1,2 E 3</t>
  </si>
  <si>
    <t>BARRA DA TIJUCA</t>
  </si>
  <si>
    <t>Rio de Janeiro</t>
  </si>
  <si>
    <t>RJ</t>
  </si>
  <si>
    <t>22631004</t>
  </si>
  <si>
    <t>-22.99758 , -43.358112</t>
  </si>
  <si>
    <t>RJ ES 3</t>
  </si>
  <si>
    <t>RJ ES</t>
  </si>
  <si>
    <t>RJES7550</t>
  </si>
  <si>
    <t>776574088908</t>
  </si>
  <si>
    <t>L067</t>
  </si>
  <si>
    <t>Barra Shopping</t>
  </si>
  <si>
    <t>LOJAS AMERICANAS - RUA FONSECA, 240 - SHOPPING BANGU - RJES6101</t>
  </si>
  <si>
    <t>RUA FONSECA</t>
  </si>
  <si>
    <t>240</t>
  </si>
  <si>
    <t>127</t>
  </si>
  <si>
    <t>BANGU</t>
  </si>
  <si>
    <t>21820005</t>
  </si>
  <si>
    <t>-22.876596 , -43.467861</t>
  </si>
  <si>
    <t>RJES6101</t>
  </si>
  <si>
    <t>776574121450</t>
  </si>
  <si>
    <t>L227</t>
  </si>
  <si>
    <t>Shopping Bangu</t>
  </si>
  <si>
    <t>MAGAZINE LUIZA - RUA DOUTOR FLORES, 197 - ZONA COMERCIAL - SUL7556</t>
  </si>
  <si>
    <t>RUA DOUTOR FLORES</t>
  </si>
  <si>
    <t>197</t>
  </si>
  <si>
    <t>201,207,211 E 215</t>
  </si>
  <si>
    <t>CENTRO</t>
  </si>
  <si>
    <t>90020122</t>
  </si>
  <si>
    <t>-30.027948 , -51.224518</t>
  </si>
  <si>
    <t>SUL7556</t>
  </si>
  <si>
    <t>47960950029103</t>
  </si>
  <si>
    <t>409</t>
  </si>
  <si>
    <t>MAGAZINE LUIZA - AVENIDA COMENDADOR GUSTAVO PAIVA, 2990 - MACEIO SHOPPING - NE10384</t>
  </si>
  <si>
    <t>AVENIDA COMENDADOR GUSTAVO PAIVA</t>
  </si>
  <si>
    <t>2990</t>
  </si>
  <si>
    <t>LOJA G 1 PISO</t>
  </si>
  <si>
    <t>MANGABEIRAS</t>
  </si>
  <si>
    <t>Maceió</t>
  </si>
  <si>
    <t>AL</t>
  </si>
  <si>
    <t>57032901</t>
  </si>
  <si>
    <t>-9.648469 , -35.71526</t>
  </si>
  <si>
    <t>NE10384</t>
  </si>
  <si>
    <t>47960950082268</t>
  </si>
  <si>
    <t>845</t>
  </si>
  <si>
    <t>Maceio Shopping</t>
  </si>
  <si>
    <t>MAGAZINE LUIZA - RUA DUZENTOS E DEZ, QS 1, LOTE 40, S/N - SHOPPING TAGUATINGA - MGCO233530</t>
  </si>
  <si>
    <t>RUA DUZENTOS E DEZ, QS 1, LOTE 40</t>
  </si>
  <si>
    <t>LOTE 40 LOJA 3089B</t>
  </si>
  <si>
    <t>TAGUATINGA SUL</t>
  </si>
  <si>
    <t>71950904</t>
  </si>
  <si>
    <t>-15.8411431 , -48.0435793</t>
  </si>
  <si>
    <t>MGCO233530</t>
  </si>
  <si>
    <t>47960950137348</t>
  </si>
  <si>
    <t>1521</t>
  </si>
  <si>
    <t>Shopping Taguatinga</t>
  </si>
  <si>
    <t>MAGAZINE LUIZA - AVENIDA RIO VERDE, S/N - SHOPPING BURITI - MGCO239760</t>
  </si>
  <si>
    <t>Qd 102/104 LOJA 178</t>
  </si>
  <si>
    <t>VILA SÃO TOMAZ</t>
  </si>
  <si>
    <t>-16.7410576, -49.2769892</t>
  </si>
  <si>
    <t>MGCO239760</t>
  </si>
  <si>
    <t>47960950172763</t>
  </si>
  <si>
    <t>1563</t>
  </si>
  <si>
    <t>MAGAZINE LUIZA - AVENIDA DAS AMERICAS, 4666 - BARRA SHOPPING - RJES250470</t>
  </si>
  <si>
    <t>Rio De Janeiro</t>
  </si>
  <si>
    <t>22640102</t>
  </si>
  <si>
    <t>RJES250470</t>
  </si>
  <si>
    <t>47960950183706</t>
  </si>
  <si>
    <t>1644</t>
  </si>
  <si>
    <t>CARREFOUR - RODOVIA REGIS BITTENCOURT KM 271, 2643 - SHOPPING TABOAO DA SERRA - SPC10654</t>
  </si>
  <si>
    <t>RODOVIA REGIS BITTENCOURT</t>
  </si>
  <si>
    <t>2643</t>
  </si>
  <si>
    <t>KM 271,5</t>
  </si>
  <si>
    <t>CIDADE INTERCAP</t>
  </si>
  <si>
    <t>Taboão da Serra</t>
  </si>
  <si>
    <t>6768200</t>
  </si>
  <si>
    <t>-23.615 , -46.776707</t>
  </si>
  <si>
    <t>SPC 5</t>
  </si>
  <si>
    <t>SPC10654</t>
  </si>
  <si>
    <t>45543915022401</t>
  </si>
  <si>
    <t>STS</t>
  </si>
  <si>
    <t>Shopping Taboão Da Serra</t>
  </si>
  <si>
    <t>LOJAS AMERICANAS - RUA 15 DE NOVEMBRO, 8 - SHOPPING PLAZA NITEROI - RJES7540</t>
  </si>
  <si>
    <t>RUA XV DE NOVEMBRO</t>
  </si>
  <si>
    <t>8</t>
  </si>
  <si>
    <t>LOJA 317 E 382</t>
  </si>
  <si>
    <t>Niterói</t>
  </si>
  <si>
    <t>24020120</t>
  </si>
  <si>
    <t>-22.897249 , -43.123871</t>
  </si>
  <si>
    <t>RJ ES 5</t>
  </si>
  <si>
    <t>RJES7540</t>
  </si>
  <si>
    <t>776574080400</t>
  </si>
  <si>
    <t>L087</t>
  </si>
  <si>
    <t>Shopping Plaza Niteroi</t>
  </si>
  <si>
    <t>MAGAZINE LUIZA - AVENIDA TANCREDO NEVES, 3133 - SHOPPING SALVADOR - NE41587</t>
  </si>
  <si>
    <t>LUC 4019</t>
  </si>
  <si>
    <t>NE41587</t>
  </si>
  <si>
    <t>47960950090953</t>
  </si>
  <si>
    <t>725</t>
  </si>
  <si>
    <t>MAGAZINE LUIZA - RUA JOSE DE ALVARENGA, 230 - RJES254860</t>
  </si>
  <si>
    <t>RUA JOSE DE ALVARENGA</t>
  </si>
  <si>
    <t>230</t>
  </si>
  <si>
    <t>Duque de Caxias</t>
  </si>
  <si>
    <t>25020140</t>
  </si>
  <si>
    <t>-22.789356,-43.3135987</t>
  </si>
  <si>
    <t>RJ ES 1</t>
  </si>
  <si>
    <t>RJES254860</t>
  </si>
  <si>
    <t>47960950178290</t>
  </si>
  <si>
    <t>1619</t>
  </si>
  <si>
    <t>VIVO - AVENIDA ROQUE PETRONI JUNIOR, 1089 - SHOPPING MORUMBI - SPC7261</t>
  </si>
  <si>
    <t>AVENIDA ROQUE PETRONI JUNIOR</t>
  </si>
  <si>
    <t>1089</t>
  </si>
  <si>
    <t>LOJA 100</t>
  </si>
  <si>
    <t>VILA GERTRUDES</t>
  </si>
  <si>
    <t>4707000</t>
  </si>
  <si>
    <t>-23.623056 , -46.698708</t>
  </si>
  <si>
    <t>SPC7261</t>
  </si>
  <si>
    <t>2558157006950</t>
  </si>
  <si>
    <t>LOJA SHOPPING MORUMBI SP</t>
  </si>
  <si>
    <t>Shopping Morumbi</t>
  </si>
  <si>
    <t>CARREFOUR - AVENIDA DEPUTADO JAMEL CECILIO, 3900 - ZONA COMERCIAL - MGCO6828</t>
  </si>
  <si>
    <t>AVENIDA DEPUTADO JAMEL CECILIO</t>
  </si>
  <si>
    <t>3900</t>
  </si>
  <si>
    <t>JARDIM GOIÁS</t>
  </si>
  <si>
    <t>Goiânia</t>
  </si>
  <si>
    <t>74810100</t>
  </si>
  <si>
    <t>-16.711329 , -49.233458</t>
  </si>
  <si>
    <t>MGCO6828</t>
  </si>
  <si>
    <t>45543915002478</t>
  </si>
  <si>
    <t>GOS</t>
  </si>
  <si>
    <t>CARREFOUR - AVENIDA INTERLAGOS, 2501 - SHOPPING INTERLAGOS - SPC20237</t>
  </si>
  <si>
    <t>AVENIDA INTERLAGOS</t>
  </si>
  <si>
    <t>2501</t>
  </si>
  <si>
    <t>VILA CAMPO GRANDE</t>
  </si>
  <si>
    <t>4661200</t>
  </si>
  <si>
    <t>-23.6773453954232 , -46.67554445341185</t>
  </si>
  <si>
    <t>SPC20237</t>
  </si>
  <si>
    <t>45543915002125</t>
  </si>
  <si>
    <t>SPI</t>
  </si>
  <si>
    <t>CARREFOUR - AVENIDA PIRACEMA, 669 - SHOPPING TAMBORE - SPC6447</t>
  </si>
  <si>
    <t>AVENIDA PIRACEMA</t>
  </si>
  <si>
    <t>669</t>
  </si>
  <si>
    <t>TAMBORE</t>
  </si>
  <si>
    <t>Barueri</t>
  </si>
  <si>
    <t>6460030</t>
  </si>
  <si>
    <t>-23.504423 , -46.834595</t>
  </si>
  <si>
    <t>SPC 4</t>
  </si>
  <si>
    <t>SPC6447</t>
  </si>
  <si>
    <t>45543915003288</t>
  </si>
  <si>
    <t>TBE</t>
  </si>
  <si>
    <t>Shopping Tambore</t>
  </si>
  <si>
    <t>2255</t>
  </si>
  <si>
    <t>LOJA ANCORA B</t>
  </si>
  <si>
    <t>-23.676455 , -46.676823</t>
  </si>
  <si>
    <t>33041260100207</t>
  </si>
  <si>
    <t>1042</t>
  </si>
  <si>
    <t>CASAS BAHIA - AVENIDA ARNIQUEIRA QS 1 RUA 210 LOTE 40, S/N - SHOPPING TAGUATINGA - MGCO5703</t>
  </si>
  <si>
    <t>LOTE 40 SUC 3068</t>
  </si>
  <si>
    <t>TAGUATINGA</t>
  </si>
  <si>
    <t>71950770</t>
  </si>
  <si>
    <t>-15.84151 , -48.044277</t>
  </si>
  <si>
    <t>MGCO5703</t>
  </si>
  <si>
    <t>33041260111314</t>
  </si>
  <si>
    <t>1610</t>
  </si>
  <si>
    <t>LOJAS AMERICANAS - AVENIDA REPLUBICA DO LIBANO, 251 - SHOPPING RIO MAR - NE5967</t>
  </si>
  <si>
    <t>LOJA 1089</t>
  </si>
  <si>
    <t>51110900</t>
  </si>
  <si>
    <t>NE5967</t>
  </si>
  <si>
    <t>776574129515</t>
  </si>
  <si>
    <t>L141</t>
  </si>
  <si>
    <t>LOJAS AMERICANAS - RUA PADRE CARAPUCEIRO, 777 - SHOPPING RECIFE - NE5912</t>
  </si>
  <si>
    <t>PE 117 E 118</t>
  </si>
  <si>
    <t>NE5912</t>
  </si>
  <si>
    <t>776574164345</t>
  </si>
  <si>
    <t>L088</t>
  </si>
  <si>
    <t>MAGAZINE LUIZA - AVENIDA ARICANDUVA, 5555 - SHOPPING ARICANDUVA - SPC6374</t>
  </si>
  <si>
    <t>ANCORA 3</t>
  </si>
  <si>
    <t>SPC6374</t>
  </si>
  <si>
    <t>47960950052784</t>
  </si>
  <si>
    <t>537</t>
  </si>
  <si>
    <t>MAGAZINE LUIZA - AVENIDA JOSE PINHEIRO BORGES, S/N - SHOPPING METRO ITAQUERA - SPC6498</t>
  </si>
  <si>
    <t>LOJA 211 E 212</t>
  </si>
  <si>
    <t>SPC6498</t>
  </si>
  <si>
    <t>47960950054990</t>
  </si>
  <si>
    <t>564</t>
  </si>
  <si>
    <t>MAGAZINE LUIZA - AVENIDA JOAO WALLIG, 1800 - SHOPPING IGUATEMI PORTO ALEGRE - SUL7562</t>
  </si>
  <si>
    <t>LOJA 139</t>
  </si>
  <si>
    <t>SUL7562</t>
  </si>
  <si>
    <t>47960950032406</t>
  </si>
  <si>
    <t>413</t>
  </si>
  <si>
    <t>BEMOL - AVENIDA MARIO YPIRANGA, 1300 - SHOPPING MANAUARA - N10233</t>
  </si>
  <si>
    <t>AVENIDA MARIO YPIRANGA</t>
  </si>
  <si>
    <t>1300</t>
  </si>
  <si>
    <t>LOJA ANCORA 5 / 6</t>
  </si>
  <si>
    <t>ADRIANOPOLIS</t>
  </si>
  <si>
    <t>Manaus</t>
  </si>
  <si>
    <t>AM</t>
  </si>
  <si>
    <t>69057002</t>
  </si>
  <si>
    <t>-3.104119 , -60.011795</t>
  </si>
  <si>
    <t>N 1</t>
  </si>
  <si>
    <t>N</t>
  </si>
  <si>
    <t>N10233</t>
  </si>
  <si>
    <t>04565289002948</t>
  </si>
  <si>
    <t>Manauara</t>
  </si>
  <si>
    <t>Shopping Manauara</t>
  </si>
  <si>
    <t>BEMOL</t>
  </si>
  <si>
    <t>CASAS BAHIA - AVENIDA GOVERNADOR AMARAL PEIXOTO, 25 - ZONA COMERCIAL - RJES6993</t>
  </si>
  <si>
    <t>AVENIDA GOVERNADOR AMARAL PEIXOTO</t>
  </si>
  <si>
    <t>25</t>
  </si>
  <si>
    <t>1784,LOJAS 4,6 E 8</t>
  </si>
  <si>
    <t>Nova Iguaçu</t>
  </si>
  <si>
    <t>26210000</t>
  </si>
  <si>
    <t>-22.760298505102785 , -43.448208426322026</t>
  </si>
  <si>
    <t>RJES6993</t>
  </si>
  <si>
    <t>33041260082039</t>
  </si>
  <si>
    <t>1279</t>
  </si>
  <si>
    <t>CASAS BAHIA - AVENIDA NILO PECANHA, 190 - ZONA COMERCIAL - RJES9045</t>
  </si>
  <si>
    <t>AVENIDA NILO PECANHA</t>
  </si>
  <si>
    <t>190</t>
  </si>
  <si>
    <t>A,190 D</t>
  </si>
  <si>
    <t>25010144</t>
  </si>
  <si>
    <t>-22.786467 , -43.31472</t>
  </si>
  <si>
    <t>RJES9045</t>
  </si>
  <si>
    <t>33041260080095</t>
  </si>
  <si>
    <t>1189</t>
  </si>
  <si>
    <t>CASAS BAHIA - AVENIDA CRISTIANO MACHADO, 4000 - SHOPPING MINAS - MGCO7437</t>
  </si>
  <si>
    <t>AVENIDA CRISTIANO MACHADO</t>
  </si>
  <si>
    <t>4000</t>
  </si>
  <si>
    <t>LOJA LUC 1078 PISO L1</t>
  </si>
  <si>
    <t>VILA CLORIS</t>
  </si>
  <si>
    <t>Belo Horizonte</t>
  </si>
  <si>
    <t>MG</t>
  </si>
  <si>
    <t>31744007</t>
  </si>
  <si>
    <t>-19.8748141 , -43.9262789</t>
  </si>
  <si>
    <t>MG CO 3</t>
  </si>
  <si>
    <t>MGCO7437</t>
  </si>
  <si>
    <t>33041260134012</t>
  </si>
  <si>
    <t>1246</t>
  </si>
  <si>
    <t>Shopping Minas</t>
  </si>
  <si>
    <t>CASAS BAHIA - AVENIDA DOM HELDER CAMARA, 5474 - NORTE SHOPPING - RJES6050</t>
  </si>
  <si>
    <t>AVENIDA DOM HELDER CAMARA</t>
  </si>
  <si>
    <t>5474</t>
  </si>
  <si>
    <t>LOJA 4104 PISO S</t>
  </si>
  <si>
    <t>PILARES</t>
  </si>
  <si>
    <t>20771004</t>
  </si>
  <si>
    <t>-22.887066 , -43.284348</t>
  </si>
  <si>
    <t>RJ ES 2</t>
  </si>
  <si>
    <t>RJES6050</t>
  </si>
  <si>
    <t>33041260083191</t>
  </si>
  <si>
    <t>1148</t>
  </si>
  <si>
    <t>Norte Shopping</t>
  </si>
  <si>
    <t>CASAS BAHIA - TRAVESSA CASALBUONO, 120 - SHOPPING CENTER NORTE - SPC7644</t>
  </si>
  <si>
    <t>TRAVESSA CASALBUONO</t>
  </si>
  <si>
    <t>120</t>
  </si>
  <si>
    <t>LJ 58,59,60,105 E107</t>
  </si>
  <si>
    <t>VILA GUILHERME</t>
  </si>
  <si>
    <t>2089900</t>
  </si>
  <si>
    <t>-23.515636 , -46.61805</t>
  </si>
  <si>
    <t>SPC 6</t>
  </si>
  <si>
    <t>SPC7644</t>
  </si>
  <si>
    <t>33041260107716</t>
  </si>
  <si>
    <t>1080</t>
  </si>
  <si>
    <t>Shopping Center Norte</t>
  </si>
  <si>
    <t>LOJAS AMERICANAS - AVENIDA IBIRAPUERA, 3103 - SHOPPING IBIRAPUERA - SPC6400</t>
  </si>
  <si>
    <t>AVENIDA IBIRAPUERA</t>
  </si>
  <si>
    <t>3103</t>
  </si>
  <si>
    <t>PISO</t>
  </si>
  <si>
    <t>MOEMA</t>
  </si>
  <si>
    <t>4029200</t>
  </si>
  <si>
    <t>-23.610323 , -46.666706</t>
  </si>
  <si>
    <t>SPC6400</t>
  </si>
  <si>
    <t>776574092760</t>
  </si>
  <si>
    <t>L043</t>
  </si>
  <si>
    <t>Shopping Ibirapuera</t>
  </si>
  <si>
    <t>MAGAZINE LUIZA - PERIMETRAL NORTE, 8303 - PASSEIO DAS AGUAS - MGCO90596</t>
  </si>
  <si>
    <t>AVENIDA PERIMETRAL NORTE</t>
  </si>
  <si>
    <t>8303</t>
  </si>
  <si>
    <t>LOJA 11 PISO 01</t>
  </si>
  <si>
    <t>FAZ CAVEIRA</t>
  </si>
  <si>
    <t>74445360</t>
  </si>
  <si>
    <t>-16.630217 , -49.278076</t>
  </si>
  <si>
    <t>MGCO90596</t>
  </si>
  <si>
    <t>47960950111977</t>
  </si>
  <si>
    <t>1090</t>
  </si>
  <si>
    <t>MAGAZINE LUIZA - AVENIDA WASHINGTON SOARES, 85 - SHOPPING IGUATEMI FORTALEZA - NE5580</t>
  </si>
  <si>
    <t>AVENIDA WASHINGTON SOARES</t>
  </si>
  <si>
    <t>85</t>
  </si>
  <si>
    <t>LOJA 234, 1º PISO -</t>
  </si>
  <si>
    <t>AGUA FRIA</t>
  </si>
  <si>
    <t>Fortaleza</t>
  </si>
  <si>
    <t>CE</t>
  </si>
  <si>
    <t>60811340</t>
  </si>
  <si>
    <t>-3.757436 , -38.488136</t>
  </si>
  <si>
    <t>NE 3</t>
  </si>
  <si>
    <t>NE5580</t>
  </si>
  <si>
    <t>47960950084040</t>
  </si>
  <si>
    <t>757</t>
  </si>
  <si>
    <t>Shopping Iguatemi Fortaleza</t>
  </si>
  <si>
    <t>ARCOS 42 E 44</t>
  </si>
  <si>
    <t>33041260070537</t>
  </si>
  <si>
    <t>VIVO - AVENIDA REBOUCAS, 3970 - SHOPPING ELDORADO - SPC7298</t>
  </si>
  <si>
    <t>AVENIDA REBOUCAS</t>
  </si>
  <si>
    <t>3970</t>
  </si>
  <si>
    <t>LOJA 210</t>
  </si>
  <si>
    <t>PINHEIROS</t>
  </si>
  <si>
    <t>5402600</t>
  </si>
  <si>
    <t>-23.572758 , -46.696106</t>
  </si>
  <si>
    <t>SPC7298</t>
  </si>
  <si>
    <t>2558157003773</t>
  </si>
  <si>
    <t>LOJA SHOPPING ELDORADO SP</t>
  </si>
  <si>
    <t>Shopping Eldorado</t>
  </si>
  <si>
    <t>CASA &amp; VIDEO - AVENIDA DOM HELDER CAMARA, 5474 - NORTE SHOPPING - RJES6049</t>
  </si>
  <si>
    <t>SC 1501 - PISO S</t>
  </si>
  <si>
    <t>RJES6049</t>
  </si>
  <si>
    <t>11114284006013</t>
  </si>
  <si>
    <t>NORTE SHOPPING</t>
  </si>
  <si>
    <t>CASA &amp; VÍDEO</t>
  </si>
  <si>
    <t>CASAS BAHIA - AVENIDA INDUSTRIAL, 600 - SHOPPING GRAND PLAZA - SPC11005</t>
  </si>
  <si>
    <t>AVENIDA INDUSTRIAL</t>
  </si>
  <si>
    <t>600</t>
  </si>
  <si>
    <t>ESPACO COMERCIAL,206</t>
  </si>
  <si>
    <t>JARDIM</t>
  </si>
  <si>
    <t>Santo André</t>
  </si>
  <si>
    <t>9080500</t>
  </si>
  <si>
    <t>-23.650219 , -46.531864</t>
  </si>
  <si>
    <t>SPC 1</t>
  </si>
  <si>
    <t>SPC11005</t>
  </si>
  <si>
    <t>33041260120658</t>
  </si>
  <si>
    <t>1239</t>
  </si>
  <si>
    <t>Shopping Grand Plaza</t>
  </si>
  <si>
    <t>CASAS BAHIA - AVENIDA PRESIDENTE CARLOS LUZ, 3001 - SHOPPING DEL REY - MGCO7449</t>
  </si>
  <si>
    <t>AVENIDA PRESIDENTE CARLOS LUZ</t>
  </si>
  <si>
    <t>3001</t>
  </si>
  <si>
    <t>1102,1114,1116,1118</t>
  </si>
  <si>
    <t>PAMPULHA</t>
  </si>
  <si>
    <t>31250010</t>
  </si>
  <si>
    <t>-19.890087 , -43.968021</t>
  </si>
  <si>
    <t>MGCO7449</t>
  </si>
  <si>
    <t>33041260133806</t>
  </si>
  <si>
    <t>1260</t>
  </si>
  <si>
    <t>Shopping Del Rey</t>
  </si>
  <si>
    <t>CASAS BAHIA - AVENIDA CENTRAL, 978 - ZONA COMERCIAL - RJES11822</t>
  </si>
  <si>
    <t>AVENIDA CENTRAL</t>
  </si>
  <si>
    <t>978</t>
  </si>
  <si>
    <t>Serra</t>
  </si>
  <si>
    <t>ES</t>
  </si>
  <si>
    <t>29165130</t>
  </si>
  <si>
    <t>-20.1985896 , -40.2549351</t>
  </si>
  <si>
    <t>RJES11822</t>
  </si>
  <si>
    <t>33041260099357</t>
  </si>
  <si>
    <t>1648</t>
  </si>
  <si>
    <t>CASAS BAHIA - RODOVIA REGIS BITTENCOURT KM 271, 2643 - SHOPPING TABOAO DA SERRA - SPC9927</t>
  </si>
  <si>
    <t>SPC9927</t>
  </si>
  <si>
    <t>33041260097907</t>
  </si>
  <si>
    <t>1302</t>
  </si>
  <si>
    <t>CLARO - AVENIDA ROQUE PETRONI JUNIOR, 1089 - SHOPPING MORUMBI - SPC7255</t>
  </si>
  <si>
    <t>LOJA 152 E 153</t>
  </si>
  <si>
    <t>4707900</t>
  </si>
  <si>
    <t>SPC7255</t>
  </si>
  <si>
    <t>40432544018275</t>
  </si>
  <si>
    <t>1119</t>
  </si>
  <si>
    <t>CLARO - AVENIDA MARIO YPIRANGA, 1300 - SHOPPING MANAUARA - N10232</t>
  </si>
  <si>
    <t>LOJA 70</t>
  </si>
  <si>
    <t>N10232</t>
  </si>
  <si>
    <t>40432544027932</t>
  </si>
  <si>
    <t>9201</t>
  </si>
  <si>
    <t>LOJAS AMERICANAS - AVENIDA TANCREDO NEVES, 148 - SHOPPING DA BAHIA - NE5571</t>
  </si>
  <si>
    <t>1 PISO</t>
  </si>
  <si>
    <t>41828900</t>
  </si>
  <si>
    <t>-12.981211 , -38.465267</t>
  </si>
  <si>
    <t>NE5571</t>
  </si>
  <si>
    <t>776574135590</t>
  </si>
  <si>
    <t>L044</t>
  </si>
  <si>
    <t>MAGAZINE LUIZA - RUA CONSELHEIRO MAFRA, 122 - ZONA COMERCIAL - SUL7582</t>
  </si>
  <si>
    <t>RUA CONSELHEIRO MAFRA</t>
  </si>
  <si>
    <t>122</t>
  </si>
  <si>
    <t>LOJA</t>
  </si>
  <si>
    <t>Florianópolis</t>
  </si>
  <si>
    <t>SC</t>
  </si>
  <si>
    <t>88010100</t>
  </si>
  <si>
    <t>-27.597446 , -48.551731</t>
  </si>
  <si>
    <t>SUL 1</t>
  </si>
  <si>
    <t>SUL7582</t>
  </si>
  <si>
    <t>47960950041588</t>
  </si>
  <si>
    <t>373</t>
  </si>
  <si>
    <t>MAGAZINE LUIZA - RUA CORONEL JOSE LOPES, 63 - ZONA COMERCIAL - SPC7082</t>
  </si>
  <si>
    <t>PRACA CORONEL JOSE LOPES</t>
  </si>
  <si>
    <t>63</t>
  </si>
  <si>
    <t>São Vicente</t>
  </si>
  <si>
    <t>11310020</t>
  </si>
  <si>
    <t>-23.965502 , -46.384159</t>
  </si>
  <si>
    <t>SPI 6</t>
  </si>
  <si>
    <t>SPC7082</t>
  </si>
  <si>
    <t>47960950051974</t>
  </si>
  <si>
    <t>547</t>
  </si>
  <si>
    <t>MAGAZINE LUIZA - AVENIDA DOM HELDER CAMARA, 5474 - NORTE SHOPPING - RJES261120</t>
  </si>
  <si>
    <t>CACHAMBI</t>
  </si>
  <si>
    <t>-22.8865063 , -43.2841953</t>
  </si>
  <si>
    <t>RJES261120</t>
  </si>
  <si>
    <t>47960950183536</t>
  </si>
  <si>
    <t>1638</t>
  </si>
  <si>
    <t>PONTO FRIO - AVENIDA RIO VERDE, S/N - SHOPPING BURITI - MGCO20092</t>
  </si>
  <si>
    <t>LOJA 170</t>
  </si>
  <si>
    <t>MGCO20092</t>
  </si>
  <si>
    <t>33041260053870</t>
  </si>
  <si>
    <t>527</t>
  </si>
  <si>
    <t>TIM - SAI/SO AREA 6580, S/N - PARK SHOPPING - MGCO7172</t>
  </si>
  <si>
    <t>OUTROS SAI/SO AREA</t>
  </si>
  <si>
    <t>6580</t>
  </si>
  <si>
    <t>LOJA 294/ 296</t>
  </si>
  <si>
    <t>-15.833078 , -47.95557</t>
  </si>
  <si>
    <t>MGCO7172</t>
  </si>
  <si>
    <t>2421421014090</t>
  </si>
  <si>
    <t>C063</t>
  </si>
  <si>
    <t>TIM</t>
  </si>
  <si>
    <t>TIM LP</t>
  </si>
  <si>
    <t>VIVO - RUA LAURO MULLER, 116 - SHOPPING RIO SUL - RJES7211</t>
  </si>
  <si>
    <t>RUA LAURO MULLER</t>
  </si>
  <si>
    <t>116</t>
  </si>
  <si>
    <t>LOJA 301 C33 A/B</t>
  </si>
  <si>
    <t>BOTAFOGO</t>
  </si>
  <si>
    <t>22290160</t>
  </si>
  <si>
    <t>-22.957312 , -43.176483</t>
  </si>
  <si>
    <t>RJES7211</t>
  </si>
  <si>
    <t>2558157050267</t>
  </si>
  <si>
    <t>LOJA RIO SUL RJ</t>
  </si>
  <si>
    <t>Shopping Rio Sul</t>
  </si>
  <si>
    <t>BEMOL - AVENIDA MARGARITA, 1359 - SHOPPING NOVA CIDADE - N42360</t>
  </si>
  <si>
    <t>AVENIDA MARGARITA</t>
  </si>
  <si>
    <t>1359</t>
  </si>
  <si>
    <t>ANCORA 30</t>
  </si>
  <si>
    <t>CIDADE NOVA</t>
  </si>
  <si>
    <t>69097305</t>
  </si>
  <si>
    <t>-3.003094 , -59.980789</t>
  </si>
  <si>
    <t>N42360</t>
  </si>
  <si>
    <t>04565289003596</t>
  </si>
  <si>
    <t>Nova Cidade</t>
  </si>
  <si>
    <t>Shopping Nova Cidade</t>
  </si>
  <si>
    <t>BEMOL - AVENIDA CAMAPUA, 3105 - ZONA COMERCIAL - N20004</t>
  </si>
  <si>
    <t>AVENIDA CAMAPUA</t>
  </si>
  <si>
    <t>3105</t>
  </si>
  <si>
    <t>69097720</t>
  </si>
  <si>
    <t>-3.0361796, -59.9411948</t>
  </si>
  <si>
    <t>N20004</t>
  </si>
  <si>
    <t>04565289001119</t>
  </si>
  <si>
    <t>Camapuã</t>
  </si>
  <si>
    <t>CASAS BAHIA - RUA 15 DE NOVEMBRO, 149 - ZONA COMERCIAL - SPI6600</t>
  </si>
  <si>
    <t>RUA QUINZE DE NOVEMBRO</t>
  </si>
  <si>
    <t>149</t>
  </si>
  <si>
    <t>L155,157,169,175,181</t>
  </si>
  <si>
    <t>São José dos Campos</t>
  </si>
  <si>
    <t>12210070</t>
  </si>
  <si>
    <t>-23.181986 , -45.887309</t>
  </si>
  <si>
    <t>SPI 2</t>
  </si>
  <si>
    <t>SPI6600</t>
  </si>
  <si>
    <t>33041260125374</t>
  </si>
  <si>
    <t>1082</t>
  </si>
  <si>
    <t>CASAS BAHIA - AVENIDA ARICANDUVA, 5555 (LOJA 1) - SHOPPING ARICANDUVA - SPC7610</t>
  </si>
  <si>
    <t>ARCOS 1 A 9,ANCORA B</t>
  </si>
  <si>
    <t>SPC7610</t>
  </si>
  <si>
    <t>33041260115654</t>
  </si>
  <si>
    <t>1210</t>
  </si>
  <si>
    <t>CASAS BAHIA - AVENIDA CRISTIANO MACHADO, 11833 - SHOPPING ESTACAO BH - MGCO9907</t>
  </si>
  <si>
    <t>11833</t>
  </si>
  <si>
    <t>NRS 08</t>
  </si>
  <si>
    <t>UNIAO</t>
  </si>
  <si>
    <t>-19.8209292, -43.9480484</t>
  </si>
  <si>
    <t>MGCO9907</t>
  </si>
  <si>
    <t>33041260130106</t>
  </si>
  <si>
    <t>1681</t>
  </si>
  <si>
    <t>Shopping Estação Bh</t>
  </si>
  <si>
    <t>CASAS BAHIA - AVENIDA GOVERNADOR AGAMENON MAGALHAES, 153 - SHOPPING TACARUNA - NE21385</t>
  </si>
  <si>
    <t>AVENIDA GOVERNADOR AGAMENON MAGALHAES</t>
  </si>
  <si>
    <t>153</t>
  </si>
  <si>
    <t>LOJA 4 PAVIMENTO 1</t>
  </si>
  <si>
    <t>50110900</t>
  </si>
  <si>
    <t>-8.037503 , -34.871376</t>
  </si>
  <si>
    <t>NE21385</t>
  </si>
  <si>
    <t>33041260148587</t>
  </si>
  <si>
    <t>1773</t>
  </si>
  <si>
    <t>Shopping Tacaruna</t>
  </si>
  <si>
    <t>CASAS BAHIA - ESTRADA DO CAMPO LIMPO, 459 - SHOPPING CAMPO LIMPO - SPC10966</t>
  </si>
  <si>
    <t>ESTRADA DO CAMPO LIMPO</t>
  </si>
  <si>
    <t>459</t>
  </si>
  <si>
    <t>247,248,P CARLOS C.</t>
  </si>
  <si>
    <t>VILA PREL</t>
  </si>
  <si>
    <t>5777001</t>
  </si>
  <si>
    <t>-23.649452 , -46.757221</t>
  </si>
  <si>
    <t>SPC10966</t>
  </si>
  <si>
    <t>33041260102080</t>
  </si>
  <si>
    <t>1393</t>
  </si>
  <si>
    <t>Shopping Campo Limpo</t>
  </si>
  <si>
    <t>CASAS BAHIA - AVENIDA PERIMETRAL NORTE, 8303 - SHOPPING PASSEIO DAS AGUAS - MGCO9357</t>
  </si>
  <si>
    <t>EUC - LSU 07</t>
  </si>
  <si>
    <t>MGCO9357</t>
  </si>
  <si>
    <t>33041260144409</t>
  </si>
  <si>
    <t>1733</t>
  </si>
  <si>
    <t>Shopping Passeio Das Aguas</t>
  </si>
  <si>
    <t>CASAS BAHIA - RUA DESEMBARGADOR LAURO NOGUEIRA, 1500 - SHOPPING RIO MAR - NE39576</t>
  </si>
  <si>
    <t>RUA DESEMBARGADOR LAURO NOGUEIRA</t>
  </si>
  <si>
    <t>1500</t>
  </si>
  <si>
    <t>LOJA 1150 PISO L1</t>
  </si>
  <si>
    <t>PAPICU</t>
  </si>
  <si>
    <t>60176065</t>
  </si>
  <si>
    <t>-3.741124 , -38.471926</t>
  </si>
  <si>
    <t>NE39576</t>
  </si>
  <si>
    <t>33041260146967</t>
  </si>
  <si>
    <t>1756</t>
  </si>
  <si>
    <t>Shopping Rio Mar Fortaleza</t>
  </si>
  <si>
    <t>CLARO - RUA 15 DE NOVEMBRO, 8 - SHOPPING PLAZA NITEROI - RJES7228</t>
  </si>
  <si>
    <t>LOJAS 186 E 187</t>
  </si>
  <si>
    <t>24020125</t>
  </si>
  <si>
    <t>RJES7228</t>
  </si>
  <si>
    <t>40432544007150</t>
  </si>
  <si>
    <t>2117</t>
  </si>
  <si>
    <t>CLARO - AVENIDA PRESIDENTE KENNEDY, 4121 - SHOPPING PALLADIUM - SUL7363</t>
  </si>
  <si>
    <t>AVENIDA PRESIDENTE KENNEDY</t>
  </si>
  <si>
    <t>4121</t>
  </si>
  <si>
    <t>LJ1117/1118,PISO L 1</t>
  </si>
  <si>
    <t>PORTAO</t>
  </si>
  <si>
    <t>Curitiba</t>
  </si>
  <si>
    <t>PR</t>
  </si>
  <si>
    <t>80610905</t>
  </si>
  <si>
    <t>-25.477798 , -49.290783</t>
  </si>
  <si>
    <t>SUL 3</t>
  </si>
  <si>
    <t>SUL7363</t>
  </si>
  <si>
    <t>40432544025212</t>
  </si>
  <si>
    <t>4109</t>
  </si>
  <si>
    <t>Shopping Palladium</t>
  </si>
  <si>
    <t>CLARO - AVENIDA DAS AMERICAS, 4666 - BARRA SHOPPING - RJES7001</t>
  </si>
  <si>
    <t>LOJA 227 B E C</t>
  </si>
  <si>
    <t>RJES7001</t>
  </si>
  <si>
    <t>40432544006005</t>
  </si>
  <si>
    <t>2104</t>
  </si>
  <si>
    <t>FUJIOKA - AVENIDA DEPUTADO JAMEL CECILIO, 3300 - SHOPPING FLAMBOYANT - MGCO6841</t>
  </si>
  <si>
    <t>3300</t>
  </si>
  <si>
    <t>JARDIM GOIAS</t>
  </si>
  <si>
    <t>74810907</t>
  </si>
  <si>
    <t>-16.706965 , -49.237703</t>
  </si>
  <si>
    <t>MGCO6841</t>
  </si>
  <si>
    <t>1008713001055</t>
  </si>
  <si>
    <t>FLAMBOYANT</t>
  </si>
  <si>
    <t>Shopping Flamboyant</t>
  </si>
  <si>
    <t>FUJIOKA</t>
  </si>
  <si>
    <t>LOJAS AMERICANAS - AVENIDA ARNIQUEIRA QS 1 RUA 210 LOTE 40, S/N - SHOPPING TAGUATINGA - MGCO5704</t>
  </si>
  <si>
    <t>LJS.2006 A 2010</t>
  </si>
  <si>
    <t>MGCO5704</t>
  </si>
  <si>
    <t>776574072815</t>
  </si>
  <si>
    <t>L185</t>
  </si>
  <si>
    <t>LOJAS AMERICANAS - SDN CNB CONJUNTO A T119, 2149 - SHOPPING CONJUNTO NACIONAL - MGCO5668</t>
  </si>
  <si>
    <t>OUTROS SDN CNB CONJUNTO A</t>
  </si>
  <si>
    <t>132</t>
  </si>
  <si>
    <t>ASA NORTE</t>
  </si>
  <si>
    <t>72577900</t>
  </si>
  <si>
    <t>-15.79141 , -47.883083</t>
  </si>
  <si>
    <t>MGCO5668</t>
  </si>
  <si>
    <t>776574072904</t>
  </si>
  <si>
    <t>L206</t>
  </si>
  <si>
    <t>Shopping Conjunto Nacional</t>
  </si>
  <si>
    <t>LOJAS AMERICANAS - AVENIDA COMENDADOR GUSTAVO PAIVA, 2990 - MACEIO SHOPPING - NE10379</t>
  </si>
  <si>
    <t>LOJA D</t>
  </si>
  <si>
    <t>57036540</t>
  </si>
  <si>
    <t>NE10379</t>
  </si>
  <si>
    <t>776574100452</t>
  </si>
  <si>
    <t>L092</t>
  </si>
  <si>
    <t>LOJAS AMERICANAS - RUA LAURO MULLER, 116 - SHOPPING RIO SUL - RJES6153</t>
  </si>
  <si>
    <t>LJ 401</t>
  </si>
  <si>
    <t>RJES6153</t>
  </si>
  <si>
    <t>776574185504</t>
  </si>
  <si>
    <t>L010</t>
  </si>
  <si>
    <t>LOJAS AMERICANAS - JOAO WALLIG, 1800 - SHOPPING IGUATEMI PORTO ALEGRE - SUL242020</t>
  </si>
  <si>
    <t>JOAO WALLIG</t>
  </si>
  <si>
    <t>-30.0251223, -51.1624198</t>
  </si>
  <si>
    <t>SUL242020</t>
  </si>
  <si>
    <t>776574175541</t>
  </si>
  <si>
    <t>1523</t>
  </si>
  <si>
    <t>MAGAZINE LUIZA - RUA GERMANO FRANCK, 300 - SHOPPING PARANGABA - NE9898</t>
  </si>
  <si>
    <t>RUA GERMANO FRANCK</t>
  </si>
  <si>
    <t>300</t>
  </si>
  <si>
    <t>LOJAS 301, 302 E 372</t>
  </si>
  <si>
    <t>PARANGABA</t>
  </si>
  <si>
    <t>60740020</t>
  </si>
  <si>
    <t>-3.775922 , -38.562157</t>
  </si>
  <si>
    <t>NE9898</t>
  </si>
  <si>
    <t>47960950090600</t>
  </si>
  <si>
    <t>743</t>
  </si>
  <si>
    <t>Shopping Parangaba</t>
  </si>
  <si>
    <t>MAGAZINE LUIZA - AVENIDA ANDROMEDA, 227 - SHOPPING VALE SUL - SPI8582</t>
  </si>
  <si>
    <t>AVENIDA ANDROMEDA</t>
  </si>
  <si>
    <t>227</t>
  </si>
  <si>
    <t>SUC 27</t>
  </si>
  <si>
    <t>JARDIM SATELITE</t>
  </si>
  <si>
    <t>12230000</t>
  </si>
  <si>
    <t>-23.216492 , -45.892883</t>
  </si>
  <si>
    <t>SPI8582</t>
  </si>
  <si>
    <t>47960950011832</t>
  </si>
  <si>
    <t>104</t>
  </si>
  <si>
    <t>Shopping Vale Sul</t>
  </si>
  <si>
    <t>MAGAZINE LUIZA - AVENIDA GOVERNADOR AMARAL PEIXOTO, 490 - RJES250080</t>
  </si>
  <si>
    <t>490</t>
  </si>
  <si>
    <t>26210060</t>
  </si>
  <si>
    <t>-22.7582791,-43.4539802</t>
  </si>
  <si>
    <t>RJES250080</t>
  </si>
  <si>
    <t>47960950175860</t>
  </si>
  <si>
    <t>1624</t>
  </si>
  <si>
    <t>MAGAZINE LUIZA - RUA DESEMBARGADOR LAURO NOGUEIRA, 1500 - SHOPPING RIO MAR - NE39572</t>
  </si>
  <si>
    <t>60175055</t>
  </si>
  <si>
    <t>-3.7411363 , -38.4717768</t>
  </si>
  <si>
    <t>NE39572</t>
  </si>
  <si>
    <t>47960950092301</t>
  </si>
  <si>
    <t>727</t>
  </si>
  <si>
    <t>PONTO FRIO - AVENIDA CRISTIANO MACHADO, 4000 - SHOPPING MINAS - MGCO7445</t>
  </si>
  <si>
    <t>LOJAS 157,401 E 404</t>
  </si>
  <si>
    <t>31910900</t>
  </si>
  <si>
    <t>-19.873602 , -43.926262</t>
  </si>
  <si>
    <t>MGCO7445</t>
  </si>
  <si>
    <t>33041260014548</t>
  </si>
  <si>
    <t>114</t>
  </si>
  <si>
    <t>PONTO FRIO - RUA CURITIBA, 627 - ZONA COMERCIAL - MGCO7452</t>
  </si>
  <si>
    <t>RUA CURITIBA</t>
  </si>
  <si>
    <t>627</t>
  </si>
  <si>
    <t>30170120</t>
  </si>
  <si>
    <t>-19.918211 , -43.941048</t>
  </si>
  <si>
    <t>MGCO7452</t>
  </si>
  <si>
    <t>33041260036274</t>
  </si>
  <si>
    <t>361</t>
  </si>
  <si>
    <t>CASAS BAHIA - AVENIDA DEPUTADO BENEDITO MATARAZZO, 9403 - SHOPPING CENTER VALE - SPI6590</t>
  </si>
  <si>
    <t>AVENIDA DEPUTADO BENEDITO MATARAZZO</t>
  </si>
  <si>
    <t>9403</t>
  </si>
  <si>
    <t>LUC C1</t>
  </si>
  <si>
    <t>JARDIM OSWALDO CRUZ</t>
  </si>
  <si>
    <t>12215900</t>
  </si>
  <si>
    <t>-23.199856 , -45.881199</t>
  </si>
  <si>
    <t>SPI6590</t>
  </si>
  <si>
    <t>33041260124726</t>
  </si>
  <si>
    <t>1371</t>
  </si>
  <si>
    <t>Shopping Center Vale</t>
  </si>
  <si>
    <t>CASAS BAHIA - AVENIDA ANDROMEDA, 227 - SHOPPING VALE SUL - SPI65158</t>
  </si>
  <si>
    <t>SUC 099C</t>
  </si>
  <si>
    <t>SPI65158</t>
  </si>
  <si>
    <t>33041260151618</t>
  </si>
  <si>
    <t>1786</t>
  </si>
  <si>
    <t>CASAS BAHIA - RUA CAPITAO JOSE LEITE, 125 - ZONA COMERCIAL - SPC20137</t>
  </si>
  <si>
    <t>RUA CAPITAO JOSE LEITE</t>
  </si>
  <si>
    <t>110</t>
  </si>
  <si>
    <t>Itaquaquecetuba</t>
  </si>
  <si>
    <t>8570030</t>
  </si>
  <si>
    <t>-23.475452 , -46.352016</t>
  </si>
  <si>
    <t>SPC 2</t>
  </si>
  <si>
    <t>SPC20137</t>
  </si>
  <si>
    <t>33041260104539</t>
  </si>
  <si>
    <t>1286</t>
  </si>
  <si>
    <t>CLARICELL - AVENIDA ROQUE PETRONI JUNIOR, 1089 - SHOPPING MORUMBI - SPC235640</t>
  </si>
  <si>
    <t>JARDIM DAS ACACIAS</t>
  </si>
  <si>
    <t>-23.6233618, -46.6988352</t>
  </si>
  <si>
    <t>SPC235640</t>
  </si>
  <si>
    <t>21848907001157</t>
  </si>
  <si>
    <t>CLARO AA</t>
  </si>
  <si>
    <t>CLARO - AVENIDA HIGIENOPOLIS, 618 - SHOPPING PATIO HIGIENOPOLIS - SPC7265</t>
  </si>
  <si>
    <t>AVENIDA HIGIENOPOLIS</t>
  </si>
  <si>
    <t>618</t>
  </si>
  <si>
    <t>LOJA 339,339 A</t>
  </si>
  <si>
    <t>HIGIENOPOLIS</t>
  </si>
  <si>
    <t>1238000</t>
  </si>
  <si>
    <t>-23.54224 , -46.657406</t>
  </si>
  <si>
    <t>SPC 3</t>
  </si>
  <si>
    <t>SPC7265</t>
  </si>
  <si>
    <t>40432544012315</t>
  </si>
  <si>
    <t>1112</t>
  </si>
  <si>
    <t>Shopping Patio Higienopolis</t>
  </si>
  <si>
    <t>CLARO - AVENIDA DEPUTADO JAMEL CECILIO, 3300 - SHOPPING FLAMBOYANT - MGCO6842</t>
  </si>
  <si>
    <t>AVENIDA JAMEL CECILIO</t>
  </si>
  <si>
    <t>QD.B34-LT.2E,LJ130</t>
  </si>
  <si>
    <t>-16.710098 , -49.236404</t>
  </si>
  <si>
    <t>MGCO6842</t>
  </si>
  <si>
    <t>40432544049669</t>
  </si>
  <si>
    <t>6202</t>
  </si>
  <si>
    <t>CLARO - CNB 01 SDN CNB CONJUNTO A T119, S/N - SHOPPING CONJUNTO NACIONAL - MGCO42273</t>
  </si>
  <si>
    <t>LOJA T-40</t>
  </si>
  <si>
    <t>70077900</t>
  </si>
  <si>
    <t>MGCO42273</t>
  </si>
  <si>
    <t>40432544047704</t>
  </si>
  <si>
    <t>6113</t>
  </si>
  <si>
    <t>CLARO - RUA LAURO MULLER, 116 - SHOPPING RIO SUL - RJES7209</t>
  </si>
  <si>
    <t>LOJA 101</t>
  </si>
  <si>
    <t>RJES7209</t>
  </si>
  <si>
    <t>40432544006188</t>
  </si>
  <si>
    <t>2118</t>
  </si>
  <si>
    <t>FUJIOKA - SDN CNB CONJUNTO A T119, 2149 (S 61) - SHOPPING CONJUNTO NACIONAL - MGCO11383</t>
  </si>
  <si>
    <t>LOJA S16</t>
  </si>
  <si>
    <t>MGCO11383</t>
  </si>
  <si>
    <t>01008713010046</t>
  </si>
  <si>
    <t>S61</t>
  </si>
  <si>
    <t>LOJAS AMERICANAS - SAI/SO AREA 6580, S/N - PARK SHOPPING - MGCO19220</t>
  </si>
  <si>
    <t>MGCO19220</t>
  </si>
  <si>
    <t>776574072734</t>
  </si>
  <si>
    <t>L146</t>
  </si>
  <si>
    <t>MAGAZINE LUIZA - GENERAL OSORIO, 484 - ZONA COMERCIAL - SPI10722</t>
  </si>
  <si>
    <t>RUA GENERAL OSORIO</t>
  </si>
  <si>
    <t>484</t>
  </si>
  <si>
    <t>Ribeirão Preto</t>
  </si>
  <si>
    <t>14010000</t>
  </si>
  <si>
    <t>-21.175198 , -47.809368</t>
  </si>
  <si>
    <t>SPI 3</t>
  </si>
  <si>
    <t>SPI10722</t>
  </si>
  <si>
    <t>47960950006596</t>
  </si>
  <si>
    <t>54</t>
  </si>
  <si>
    <t>MAGAZINE LUIZA - RODOVIA SC 401, 3116 - FLORIPA SHOPPING - SUL6315</t>
  </si>
  <si>
    <t>RODOVIA SC-401</t>
  </si>
  <si>
    <t>3116</t>
  </si>
  <si>
    <t>AREA 2</t>
  </si>
  <si>
    <t>SACO GRANDE</t>
  </si>
  <si>
    <t>88030005</t>
  </si>
  <si>
    <t>-27.55411 , -48.498417</t>
  </si>
  <si>
    <t>SUL6315</t>
  </si>
  <si>
    <t>47960950041405</t>
  </si>
  <si>
    <t>374</t>
  </si>
  <si>
    <t>Floripa Shopping</t>
  </si>
  <si>
    <t>MAGAZINE LUIZA - AVENIDA PRAIA DE BELAS, 1181 - PRAIA DE BELAS SHOPPING CENTER - SUL7569</t>
  </si>
  <si>
    <t>AVENIDA PRAIA DE BELAS</t>
  </si>
  <si>
    <t>1181</t>
  </si>
  <si>
    <t>SALAS 94, 95 E 96</t>
  </si>
  <si>
    <t>PRAIA DE BELAS</t>
  </si>
  <si>
    <t>90110001</t>
  </si>
  <si>
    <t>-30.050005 , -51.22847</t>
  </si>
  <si>
    <t>SUL 5</t>
  </si>
  <si>
    <t>SUL7569</t>
  </si>
  <si>
    <t>47960950030209</t>
  </si>
  <si>
    <t>412</t>
  </si>
  <si>
    <t>Praia De Belas Shopping Center</t>
  </si>
  <si>
    <t>MAGAZINE LUIZA - SDN CNB CONJUNTO A, S/N - SHOPPING CONJUNTO NACIONAL - MGCO233810</t>
  </si>
  <si>
    <t>SDN CNB CONJUNTO A</t>
  </si>
  <si>
    <t>LOJA T01 PISO TÉRREO</t>
  </si>
  <si>
    <t>-15.792148084740338, -47.88308750462573</t>
  </si>
  <si>
    <t>MGCO233810</t>
  </si>
  <si>
    <t>47960950134080</t>
  </si>
  <si>
    <t>1531</t>
  </si>
  <si>
    <t>MAGAZINE LUIZA - TRAVESSA CASALBUONO, 120 - SHOPPING CENTER NORTE - SPC254320</t>
  </si>
  <si>
    <t>500</t>
  </si>
  <si>
    <t>LOJA 414-A</t>
  </si>
  <si>
    <t>2049900</t>
  </si>
  <si>
    <t>-23.5155661, -46.618134</t>
  </si>
  <si>
    <t>SPC254320</t>
  </si>
  <si>
    <t>47960950172330</t>
  </si>
  <si>
    <t>1553</t>
  </si>
  <si>
    <t>MAGAZINE LUIZA - RUA FELIPE SCHIMITD, 162 - ZONA COMERCIAL - SUL7580</t>
  </si>
  <si>
    <t>RUA FELIPE SCHMIDT</t>
  </si>
  <si>
    <t>162</t>
  </si>
  <si>
    <t>88010000</t>
  </si>
  <si>
    <t>-27.596724095403673 , -48.551497123144145</t>
  </si>
  <si>
    <t>SUL7580</t>
  </si>
  <si>
    <t>47960950041316</t>
  </si>
  <si>
    <t>375</t>
  </si>
  <si>
    <t>MAGAZINE LUIZA - AVENIDA PRESIDENTE KENNEDY, 4121 - SHOPPING PALLADIUM - SUL245710</t>
  </si>
  <si>
    <t>PORTÃO</t>
  </si>
  <si>
    <t>CURITIBA</t>
  </si>
  <si>
    <t>SUL245710</t>
  </si>
  <si>
    <t>47960950178885</t>
  </si>
  <si>
    <t>1544</t>
  </si>
  <si>
    <t>TIM - AVENIDA CANDIDO DE ABREU, 127 - SHOPPING MUELLER - SUL7206</t>
  </si>
  <si>
    <t>AVENIDA CANDIDO DE ABREU</t>
  </si>
  <si>
    <t>LOJA 48/49/50</t>
  </si>
  <si>
    <t>CENTRO CIVICO</t>
  </si>
  <si>
    <t>80530900</t>
  </si>
  <si>
    <t>-25.423426 , -49.270657</t>
  </si>
  <si>
    <t>SUL 4</t>
  </si>
  <si>
    <t>SUL7206</t>
  </si>
  <si>
    <t>2421421020902</t>
  </si>
  <si>
    <t>C205</t>
  </si>
  <si>
    <t>Shopping Mueller</t>
  </si>
  <si>
    <t>TIM - AVENIDA ROQUE PETRONI JUNIOR, 1089 - SHOPPING MORUMBI - SPC7256</t>
  </si>
  <si>
    <t>LOJA 90 PISO TERREO</t>
  </si>
  <si>
    <t>SPC7256</t>
  </si>
  <si>
    <t>2421421012802</t>
  </si>
  <si>
    <t>C083</t>
  </si>
  <si>
    <t>VIVO - AVENIDA WASHINGTON SOARES, 85 - SHOPPING IGUATEMI FORTALEZA - NE5579</t>
  </si>
  <si>
    <t>LOJA 31 E 32</t>
  </si>
  <si>
    <t>NE5579</t>
  </si>
  <si>
    <t>2558157026633</t>
  </si>
  <si>
    <t>LOJA IGUATEMI FORTALEZA CE</t>
  </si>
  <si>
    <t>VIVO - AVENIDA DOM HELDER CAMARA, 5474 - NORTE SHOPPING - RJES7216</t>
  </si>
  <si>
    <t>LOJA S 3503</t>
  </si>
  <si>
    <t>RJES7216</t>
  </si>
  <si>
    <t>2558157022484</t>
  </si>
  <si>
    <t>LOJA NORTE SHOPPING RJ</t>
  </si>
  <si>
    <t>CARREFOUR - AVENIDA DOM HELDER CAMARA, 5474 - NORTE SHOPPING - RJES7538</t>
  </si>
  <si>
    <t>LOJA A</t>
  </si>
  <si>
    <t>RJES7538</t>
  </si>
  <si>
    <t>45543915001404</t>
  </si>
  <si>
    <t>RJS</t>
  </si>
  <si>
    <t>CASAS BAHIA - PRESIDENTE KENEDY, 1409 - ZONA COMERCIAL - RJES7510</t>
  </si>
  <si>
    <t>AVENIDA GOVERNADOR LEONEL DE MOURA BRIZOLA</t>
  </si>
  <si>
    <t>AV. PRES. KENNEDY</t>
  </si>
  <si>
    <t>25010009</t>
  </si>
  <si>
    <t>-22.788627 , -43.310728</t>
  </si>
  <si>
    <t>RJES7510</t>
  </si>
  <si>
    <t>33041260079917</t>
  </si>
  <si>
    <t>1171</t>
  </si>
  <si>
    <t>CASAS BAHIA - AVENIDA ANHANGUERA, 14404 - SHOPPING PORTAL - MGCO40120</t>
  </si>
  <si>
    <t>AVENIDA ANHANGUERA</t>
  </si>
  <si>
    <t>14404</t>
  </si>
  <si>
    <t>LOJAS 269,270 E 271</t>
  </si>
  <si>
    <t>CAPUAVA</t>
  </si>
  <si>
    <t>74450010</t>
  </si>
  <si>
    <t>-16.653889 , -49.329418</t>
  </si>
  <si>
    <t>MGCO40120</t>
  </si>
  <si>
    <t>33041260109174</t>
  </si>
  <si>
    <t>1654</t>
  </si>
  <si>
    <t>Shopping Portal</t>
  </si>
  <si>
    <t>CASAS BAHIA - AVENIDA BRASILIA, 2242 - ZONA COMERCIAL - MGCO20891</t>
  </si>
  <si>
    <t>AVENIDA BRASILIA</t>
  </si>
  <si>
    <t>2242</t>
  </si>
  <si>
    <t>SAO BENEDITO</t>
  </si>
  <si>
    <t>Santa Luzia</t>
  </si>
  <si>
    <t>33170000</t>
  </si>
  <si>
    <t>-19.786547 , -43.927208</t>
  </si>
  <si>
    <t>MGCO20891</t>
  </si>
  <si>
    <t>33041260131692</t>
  </si>
  <si>
    <t>1332</t>
  </si>
  <si>
    <t>CASAS BAHIA - RUA GERMANO FRANCK, 300 - SHOPPING PARANGABA - NE230130</t>
  </si>
  <si>
    <t>-3.7755256 , -38.5619228</t>
  </si>
  <si>
    <t>NE230130</t>
  </si>
  <si>
    <t>33041260170329</t>
  </si>
  <si>
    <t>2052</t>
  </si>
  <si>
    <t>CLARO - AVENIDA IBIRAPUERA, 3103 - SHOPPING IBIRAPUERA - SPC7257</t>
  </si>
  <si>
    <t>93,94 E 95</t>
  </si>
  <si>
    <t>4029902</t>
  </si>
  <si>
    <t>SPC7257</t>
  </si>
  <si>
    <t>40432544001542</t>
  </si>
  <si>
    <t>1114</t>
  </si>
  <si>
    <t>CLARO - AVENIDA TANCREDO NEVES, 3133 - SHOPPING SALVADOR - NE7160</t>
  </si>
  <si>
    <t>LOJA 2037,ST.207,2ºP</t>
  </si>
  <si>
    <t>NE7160</t>
  </si>
  <si>
    <t>40432544022540</t>
  </si>
  <si>
    <t>7110</t>
  </si>
  <si>
    <t>CLARO - RUA DESEMBARGADOR LAURO NOGUEIRA, 1500 - SHOPPING RIO MAR - NE39571</t>
  </si>
  <si>
    <t>LOJA 1109</t>
  </si>
  <si>
    <t>NE39571</t>
  </si>
  <si>
    <t>40432544053267</t>
  </si>
  <si>
    <t>8511</t>
  </si>
  <si>
    <t>CLARO - 20, QS 01 LT 40 LOJA 02 LJ 1066 - SHOPPING TAGUATINGA - MGCO7170</t>
  </si>
  <si>
    <t>ANDAR L1 SALA COMER</t>
  </si>
  <si>
    <t>MGCO7170</t>
  </si>
  <si>
    <t>40432544046996</t>
  </si>
  <si>
    <t>6103</t>
  </si>
  <si>
    <t>LOJAS AMERICANAS - AVENIDA DOUTOR CHUCRI ZAIDAN, 902 - SHOPPING MARKET PLACE - SPC8446</t>
  </si>
  <si>
    <t>AVENIDA DOUTOR CHUCRI ZAIDAN</t>
  </si>
  <si>
    <t>902</t>
  </si>
  <si>
    <t>LOJAS 112 A 115,T</t>
  </si>
  <si>
    <t>VILA CORDEIRO</t>
  </si>
  <si>
    <t>4794000</t>
  </si>
  <si>
    <t>-23.621132 , -46.699085</t>
  </si>
  <si>
    <t>SPC8446</t>
  </si>
  <si>
    <t>776574093227</t>
  </si>
  <si>
    <t>L120</t>
  </si>
  <si>
    <t>Shopping Market Place</t>
  </si>
  <si>
    <t>MAGAZINE LUIZA - AVENIDA DIARIO DE NOTICIAS, 300 - BARRA SHOPPING SUL - SUL6248</t>
  </si>
  <si>
    <t>AVENIDA DIARIO DE NOTICIAS</t>
  </si>
  <si>
    <t>LOJ 2105, 2108, 2109</t>
  </si>
  <si>
    <t>CRISTAL</t>
  </si>
  <si>
    <t>90810080</t>
  </si>
  <si>
    <t>-30.085266 , -51.24577</t>
  </si>
  <si>
    <t>SUL6248</t>
  </si>
  <si>
    <t>47960950053837</t>
  </si>
  <si>
    <t>483</t>
  </si>
  <si>
    <t>Shopping Barra Sul</t>
  </si>
  <si>
    <t>MAGAZINE LUIZA - AVENIDA GUILHERME CAMPOS, 500 - SHOPPING PARQUE DOM PEDRO - SPI42445</t>
  </si>
  <si>
    <t>AVENIDA GUILHERME DE CAMPOS</t>
  </si>
  <si>
    <t>LOJA 156 A 158</t>
  </si>
  <si>
    <t>JARDIM SANTA GENEBRA</t>
  </si>
  <si>
    <t>Campinas</t>
  </si>
  <si>
    <t>13087901</t>
  </si>
  <si>
    <t>-22.847584 , -47.063702</t>
  </si>
  <si>
    <t>SPI 4</t>
  </si>
  <si>
    <t>SPI42445</t>
  </si>
  <si>
    <t>47960950093464</t>
  </si>
  <si>
    <t>451</t>
  </si>
  <si>
    <t>Shopping Parque Dom Pedro</t>
  </si>
  <si>
    <t>MAGAZINE LUIZA - RUA JOAQUIM BEZERRA, 185 - ZONA COMERCIAL - NE45411</t>
  </si>
  <si>
    <t>RUA JOAQUIM BEZERRA</t>
  </si>
  <si>
    <t>185</t>
  </si>
  <si>
    <t>MESSEJANA</t>
  </si>
  <si>
    <t>60842010</t>
  </si>
  <si>
    <t>-3.8311035 , -38.4935796</t>
  </si>
  <si>
    <t>NE45411</t>
  </si>
  <si>
    <t>47960950085879</t>
  </si>
  <si>
    <t>778</t>
  </si>
  <si>
    <t>MAGAZINE LUIZA - AVENIDA GOVERNADOR ROBERTO SILVEIRA, 540 - TOP SHOPPING - RJES251940</t>
  </si>
  <si>
    <t>AVENIDA GOVERNADOR ROBERTO SILVEIRA</t>
  </si>
  <si>
    <t>540</t>
  </si>
  <si>
    <t>26285060</t>
  </si>
  <si>
    <t>-22.753576 , -43.45414</t>
  </si>
  <si>
    <t>RJES251940</t>
  </si>
  <si>
    <t>47960950181916</t>
  </si>
  <si>
    <t>1639</t>
  </si>
  <si>
    <t>Top Shopping</t>
  </si>
  <si>
    <t>TIM - RUA BOCAIUVA, 2468 - BEIRAMAR SHOPPING - SUL7243</t>
  </si>
  <si>
    <t>RUA BOCAIUVA</t>
  </si>
  <si>
    <t>2468</t>
  </si>
  <si>
    <t>LOJA 110</t>
  </si>
  <si>
    <t>88015902</t>
  </si>
  <si>
    <t>-27.584843 , -48.544991</t>
  </si>
  <si>
    <t>SUL7243</t>
  </si>
  <si>
    <t>2421421005695</t>
  </si>
  <si>
    <t>C105</t>
  </si>
  <si>
    <t>Beiramar Shopping</t>
  </si>
  <si>
    <t>TIM - RUA DESEMBARGADOR LAURO NOGUEIRA, 1500 - SHOPPING RIO MAR - NE39582</t>
  </si>
  <si>
    <t>LOJA1102/1103 PISOL1</t>
  </si>
  <si>
    <t>NE39582</t>
  </si>
  <si>
    <t>2421421008104</t>
  </si>
  <si>
    <t>C303</t>
  </si>
  <si>
    <t>TIM - RUA LAURO MULLER, 116 - SHOPPING RIO SUL - RJES7208</t>
  </si>
  <si>
    <t>LOJA 301 PISO 03</t>
  </si>
  <si>
    <t>RJES7208</t>
  </si>
  <si>
    <t>2421421007809</t>
  </si>
  <si>
    <t>C077</t>
  </si>
  <si>
    <t>VIVO - AVENIDA GUILHERME CAMPOS, 500 - SHOPPING PARQUE DOM PEDRO - SPI7325</t>
  </si>
  <si>
    <t>LOJA 326</t>
  </si>
  <si>
    <t>13080290</t>
  </si>
  <si>
    <t>SPI7325</t>
  </si>
  <si>
    <t>2558157006284</t>
  </si>
  <si>
    <t>LOJA DOM PEDRO SP</t>
  </si>
  <si>
    <t>VIVO - AVENIDA IZORAIDA MARQUES PERES, 401 - SHOPPING IGUATEMI ESPLANADA - SPI6537</t>
  </si>
  <si>
    <t>AVENIDA PROFESSORA IZORAIDA MARQUES PERES</t>
  </si>
  <si>
    <t>401</t>
  </si>
  <si>
    <t>LOJAS 132 E 133</t>
  </si>
  <si>
    <t>CAMPOLIM</t>
  </si>
  <si>
    <t>Sorocaba</t>
  </si>
  <si>
    <t>18110650</t>
  </si>
  <si>
    <t>-23.533611 , -47.462429</t>
  </si>
  <si>
    <t>SPI6537</t>
  </si>
  <si>
    <t>2558157005202</t>
  </si>
  <si>
    <t>LOJA ESPLANADA SP</t>
  </si>
  <si>
    <t>Shopping Iguatemi Esplanada</t>
  </si>
  <si>
    <t>BEMOL - AVENIDA NOEL NUTELS, 1762 - SAMAUMA SHOPPING - N10256</t>
  </si>
  <si>
    <t>AVENIDA NOEL NUTELS</t>
  </si>
  <si>
    <t>1762</t>
  </si>
  <si>
    <t>LOJA 02 ANCORA</t>
  </si>
  <si>
    <t>69095000</t>
  </si>
  <si>
    <t>-3.030648 , -59.977771</t>
  </si>
  <si>
    <t>N10256</t>
  </si>
  <si>
    <t>04565289000309</t>
  </si>
  <si>
    <t>Cidade Nova (Sumaúma Shopping)</t>
  </si>
  <si>
    <t>Samauma Shopping</t>
  </si>
  <si>
    <t>CARREFOUR - AVENIDA DJALMA BATISTA, 482 - AMAZONAS SHOPPING - N10237</t>
  </si>
  <si>
    <t>AVENIDA DJALMA BATISTA</t>
  </si>
  <si>
    <t>482</t>
  </si>
  <si>
    <t>LOJA B</t>
  </si>
  <si>
    <t>PARQUE X DE NOVEMBRO</t>
  </si>
  <si>
    <t>69050010</t>
  </si>
  <si>
    <t>-3.094191 , -60.022503</t>
  </si>
  <si>
    <t>N10237</t>
  </si>
  <si>
    <t>45543915009723</t>
  </si>
  <si>
    <t>CMS</t>
  </si>
  <si>
    <t>Shopping Amazonas</t>
  </si>
  <si>
    <t>CARREFOUR - RUA ALEXANDRE MARTINS, 80 - SHOPPING PRAIAMAR - SPC9015</t>
  </si>
  <si>
    <t>RUA ALEXANDRE MARTINS</t>
  </si>
  <si>
    <t>80</t>
  </si>
  <si>
    <t>LOJA 43</t>
  </si>
  <si>
    <t>APARECIDA</t>
  </si>
  <si>
    <t>Santos</t>
  </si>
  <si>
    <t>11025200</t>
  </si>
  <si>
    <t>-23.9780188 , -46.311172</t>
  </si>
  <si>
    <t>SPC9015</t>
  </si>
  <si>
    <t>45543915037263</t>
  </si>
  <si>
    <t>BSP</t>
  </si>
  <si>
    <t>Shopping Praiamar</t>
  </si>
  <si>
    <t>CARREFOUR - AVENIDA IZORAIDA MARQUES PERES, 401 - SHOPPING IGUATEMI ESPLANADA - SPI10572</t>
  </si>
  <si>
    <t>18047900</t>
  </si>
  <si>
    <t>SPI10572</t>
  </si>
  <si>
    <t>45543915003016</t>
  </si>
  <si>
    <t>SOR</t>
  </si>
  <si>
    <t>CASAS BAHIA - AVENIDA GOVERNADOR AMARAL PEIXOTO, 416 - ZONA COMERCIAL - RJES9074</t>
  </si>
  <si>
    <t>416</t>
  </si>
  <si>
    <t>420</t>
  </si>
  <si>
    <t>26210070</t>
  </si>
  <si>
    <t>-22.758524 , -43.451527</t>
  </si>
  <si>
    <t>RJES9074</t>
  </si>
  <si>
    <t>33041260081733</t>
  </si>
  <si>
    <t>1175</t>
  </si>
  <si>
    <t>CASAS BAHIA - PRACA DA LIBERDADE, 38 - ZONA COMERCIAL - RJES6992</t>
  </si>
  <si>
    <t>PRACA DA LIBERDADE</t>
  </si>
  <si>
    <t>LJ 40,42,46,48,50/52</t>
  </si>
  <si>
    <t>26210050</t>
  </si>
  <si>
    <t>-22.76026135314552 , -43.44840195097197</t>
  </si>
  <si>
    <t>RJES6992</t>
  </si>
  <si>
    <t>33041260082110</t>
  </si>
  <si>
    <t>1342</t>
  </si>
  <si>
    <t>CASAS BAHIA - RUA CURITIBA, 605 - ZONA COMERCIAL - MGCO7454</t>
  </si>
  <si>
    <t>605</t>
  </si>
  <si>
    <t>613</t>
  </si>
  <si>
    <t>-19.918139 , -43.940908</t>
  </si>
  <si>
    <t>MGCO7454</t>
  </si>
  <si>
    <t>10757237038067</t>
  </si>
  <si>
    <t>1215</t>
  </si>
  <si>
    <t>CASAS BAHIA - RUA DEODATO WERTHEIMER, 332 - ZONA COMERCIAL - SPC20139</t>
  </si>
  <si>
    <t>RUA DOUTOR DEODATO WERTHEIMER</t>
  </si>
  <si>
    <t>332</t>
  </si>
  <si>
    <t>1345 E 1349</t>
  </si>
  <si>
    <t>Mogi das Cruzes</t>
  </si>
  <si>
    <t>8710430</t>
  </si>
  <si>
    <t>-23.52268 , -46.194921</t>
  </si>
  <si>
    <t>SPC20139</t>
  </si>
  <si>
    <t>33041260104296</t>
  </si>
  <si>
    <t>1057</t>
  </si>
  <si>
    <t>CASAS BAHIA - LARGO 13 DE MAIO, 308 - ZONA COMERCIAL - SPC11008</t>
  </si>
  <si>
    <t>LARGO TREZE DE MAIO</t>
  </si>
  <si>
    <t>304</t>
  </si>
  <si>
    <t>308</t>
  </si>
  <si>
    <t>4751000</t>
  </si>
  <si>
    <t>-23.653622 , -46.706631</t>
  </si>
  <si>
    <t>SPC11008</t>
  </si>
  <si>
    <t>33041260099942</t>
  </si>
  <si>
    <t>1015</t>
  </si>
  <si>
    <t>CASAS BAHIA - RUA SILVA BUENO, 2452 - ZONA COMERCIAL - SPC11370</t>
  </si>
  <si>
    <t>RUA SILVA BUENO</t>
  </si>
  <si>
    <t>2452</t>
  </si>
  <si>
    <t>2458, 2462 E 2464</t>
  </si>
  <si>
    <t>IPIRANGA</t>
  </si>
  <si>
    <t>4208002</t>
  </si>
  <si>
    <t>-23.600338 , -46.600525</t>
  </si>
  <si>
    <t>SPC11370</t>
  </si>
  <si>
    <t>33041260100460</t>
  </si>
  <si>
    <t>1058</t>
  </si>
  <si>
    <t>CASAS BAHIA - SDN CNB CONJUNTO A T119, 2149 - SHOPPING CONJUNTO NACIONAL - MGCO5664</t>
  </si>
  <si>
    <t>LOJA S 6,SUBSOLO 1</t>
  </si>
  <si>
    <t>MGCO5664</t>
  </si>
  <si>
    <t>33041260111233</t>
  </si>
  <si>
    <t>1325</t>
  </si>
  <si>
    <t>CASAS BAHIA - AVENIDA GOVERNADOR ROBERTO SILVEIRA, 540 - TOP SHOPPING - RJES6159</t>
  </si>
  <si>
    <t>LOJAS 105 A 110</t>
  </si>
  <si>
    <t>RJES6159</t>
  </si>
  <si>
    <t>33041260081814</t>
  </si>
  <si>
    <t>1212</t>
  </si>
  <si>
    <t>CASAS BAHIA - RUA MARIA SOARES SENDAS, 111 - SHOPPING GRANDE RIO - RJES6161</t>
  </si>
  <si>
    <t>RUA MARIA SOARES SENDAS</t>
  </si>
  <si>
    <t>111</t>
  </si>
  <si>
    <t>252,26</t>
  </si>
  <si>
    <t>São João de Meriti</t>
  </si>
  <si>
    <t>25586140</t>
  </si>
  <si>
    <t>-22.79808876054378 , -43.35169503670119</t>
  </si>
  <si>
    <t>RJES6161</t>
  </si>
  <si>
    <t>33041260087693</t>
  </si>
  <si>
    <t>1340</t>
  </si>
  <si>
    <t>Shopping Grande Rio</t>
  </si>
  <si>
    <t>CASAS BAHIA - RUA JOSE DE ALVARENGA, 213 - ZONA COMERCIAL - RJES7513</t>
  </si>
  <si>
    <t>213</t>
  </si>
  <si>
    <t>-22.789264777661902 , -43.31177933862307</t>
  </si>
  <si>
    <t>RJES7513</t>
  </si>
  <si>
    <t>33041260080257</t>
  </si>
  <si>
    <t>1291</t>
  </si>
  <si>
    <t>CLARO - RUA ALEXANDRE MARTINS, 80 - SHOPPING PRAIAMAR - SPC7297</t>
  </si>
  <si>
    <t>LOJA 172</t>
  </si>
  <si>
    <t>-23.976871 , -46.310585</t>
  </si>
  <si>
    <t>SPC7297</t>
  </si>
  <si>
    <t>40432544016817</t>
  </si>
  <si>
    <t>1917</t>
  </si>
  <si>
    <t>CLARO - AVENIDA REPLUBICA DO LIBANO, 251 - SHOPPING RIO MAR - NE7354</t>
  </si>
  <si>
    <t>LOJA 1133</t>
  </si>
  <si>
    <t>NE7354</t>
  </si>
  <si>
    <t>40432544043202</t>
  </si>
  <si>
    <t>8109</t>
  </si>
  <si>
    <t>CLARO - AVENIDA WASHINGTON SOARES, 85 - SHOPPING IGUATEMI FORTALEZA - NE7163</t>
  </si>
  <si>
    <t>SUC 73</t>
  </si>
  <si>
    <t>-3.754683811093199, -38.48939603094609</t>
  </si>
  <si>
    <t>NE7163</t>
  </si>
  <si>
    <t>40432544022116</t>
  </si>
  <si>
    <t>8504</t>
  </si>
  <si>
    <t>LOJAS AMERICANAS - AVENIDA NILO PECANHA, 145 - RJES7509</t>
  </si>
  <si>
    <t>145</t>
  </si>
  <si>
    <t>25010140</t>
  </si>
  <si>
    <t>-22.78689434121459 , -43.31235106347657</t>
  </si>
  <si>
    <t>RJES7509</t>
  </si>
  <si>
    <t>776574033402</t>
  </si>
  <si>
    <t>L069</t>
  </si>
  <si>
    <t>LOJAS AMERICANAS - GOVERNADOR AMARAL PEIXOTO, 277 - RJES6053</t>
  </si>
  <si>
    <t>277</t>
  </si>
  <si>
    <t>-22.759146 , -43.450363</t>
  </si>
  <si>
    <t>RJES6053</t>
  </si>
  <si>
    <t>776574035103</t>
  </si>
  <si>
    <t>L031</t>
  </si>
  <si>
    <t>LOJAS CEM - TRAVESSA ROSINDA MARTINS, 16 - ZONA COMERCIAL - RJES21056</t>
  </si>
  <si>
    <t>TRAVESSA ROSINDA MARTINS</t>
  </si>
  <si>
    <t>16</t>
  </si>
  <si>
    <t>26210030</t>
  </si>
  <si>
    <t>-22.759764 , -43.451553</t>
  </si>
  <si>
    <t>RJES21056</t>
  </si>
  <si>
    <t>56642960001181</t>
  </si>
  <si>
    <t>NIGUAÇ</t>
  </si>
  <si>
    <t>LOJAS CEM</t>
  </si>
  <si>
    <t>MAGAZINE LUIZA - RODOVIA BR 101 KM 211, S/N - CONTINENTE PARK SHOPPING - SUL7589</t>
  </si>
  <si>
    <t>RODOVIA BR 101</t>
  </si>
  <si>
    <t>ANCORA 01A</t>
  </si>
  <si>
    <t>São José</t>
  </si>
  <si>
    <t>88106101</t>
  </si>
  <si>
    <t>-27.61422 , -48.644558</t>
  </si>
  <si>
    <t>SUL7589</t>
  </si>
  <si>
    <t>47960950088460</t>
  </si>
  <si>
    <t>597</t>
  </si>
  <si>
    <t>Continente Park Shopping</t>
  </si>
  <si>
    <t>MAGAZINE LUIZA - PRACA DA REPUBLICA, 258 - ZONA COMERCIAL - SPI18810</t>
  </si>
  <si>
    <t>PRACA DA REPUBLICA</t>
  </si>
  <si>
    <t>258</t>
  </si>
  <si>
    <t>Sumaré</t>
  </si>
  <si>
    <t>13170003</t>
  </si>
  <si>
    <t>-22.822025 , -47.267113</t>
  </si>
  <si>
    <t>SPI18810</t>
  </si>
  <si>
    <t>47960950019574</t>
  </si>
  <si>
    <t>173</t>
  </si>
  <si>
    <t>MAGAZINE LUIZA - RUA ACAMPAMENTO, 166 - ZONA COMERCIAL - SUL10805</t>
  </si>
  <si>
    <t>RUA ACAMPAMENTO</t>
  </si>
  <si>
    <t>166</t>
  </si>
  <si>
    <t>Santa Maria</t>
  </si>
  <si>
    <t>-29.6874967 , -53.8060522</t>
  </si>
  <si>
    <t>SUL10805</t>
  </si>
  <si>
    <t>47960950033801</t>
  </si>
  <si>
    <t>423</t>
  </si>
  <si>
    <t>MAGAZINE LUIZA - AVENIDA MATEO BEI, 3320 - ZONA COMERCIAL - SPC10068</t>
  </si>
  <si>
    <t>AVENIDA MATEO BEI</t>
  </si>
  <si>
    <t>3320</t>
  </si>
  <si>
    <t>SAO MATEUS</t>
  </si>
  <si>
    <t>3949300</t>
  </si>
  <si>
    <t>-23.609613 , -46.477207</t>
  </si>
  <si>
    <t>SPC10068</t>
  </si>
  <si>
    <t>47960950051117</t>
  </si>
  <si>
    <t>542</t>
  </si>
  <si>
    <t>MAGAZINE LUIZA - RUA MARIA SOARES SENDAS, 111 - SHOPPING GRANDE RIO - RJES247970</t>
  </si>
  <si>
    <t>VENDA VELHA</t>
  </si>
  <si>
    <t>SÃO JOÃO DE MERITI</t>
  </si>
  <si>
    <t>25575825</t>
  </si>
  <si>
    <t>-22.798145631811412 , -43.35281620006941</t>
  </si>
  <si>
    <t>RJES247970</t>
  </si>
  <si>
    <t>47960950179423</t>
  </si>
  <si>
    <t>1632</t>
  </si>
  <si>
    <t>PONTO FRIO - AVENIDA GOVERNADOR ROBERTO SILVEIRA, 540 - TOP SHOPPING - RJES6111</t>
  </si>
  <si>
    <t>LOJAS 124/125,1ºPISO</t>
  </si>
  <si>
    <t>RJES6111</t>
  </si>
  <si>
    <t>33041260163462</t>
  </si>
  <si>
    <t>21</t>
  </si>
  <si>
    <t>PONTO FRIO - AVENIDA PRESIDENTE KENNEDY, 4121 - SHOPPING PALLADIUM - SUL7496</t>
  </si>
  <si>
    <t>LOJAS 1026,1027,1028</t>
  </si>
  <si>
    <t>-25.47725597195991 , -49.29065002817225</t>
  </si>
  <si>
    <t>SUL7496</t>
  </si>
  <si>
    <t>33041260063832</t>
  </si>
  <si>
    <t>546</t>
  </si>
  <si>
    <t>PONTO FRIO - RUA DOUTOR FLORES, 185 - ZONA COMERCIAL - SUL18407</t>
  </si>
  <si>
    <t>-30.029143220359803 , -51.2248165031811</t>
  </si>
  <si>
    <t>SUL18407</t>
  </si>
  <si>
    <t>33041260126427</t>
  </si>
  <si>
    <t>943</t>
  </si>
  <si>
    <t>PONTO FRIO - RUA PADRE PEDRO PINTO, 1084 - ZONA COMERCIAL - MGCO10449</t>
  </si>
  <si>
    <t>RUA PADRE PEDRO PINTO</t>
  </si>
  <si>
    <t>1084</t>
  </si>
  <si>
    <t>VENDA NOVA</t>
  </si>
  <si>
    <t>31610000</t>
  </si>
  <si>
    <t>-19.814501323180796 , -43.959782335754426</t>
  </si>
  <si>
    <t>MGCO10449</t>
  </si>
  <si>
    <t>33041260017644</t>
  </si>
  <si>
    <t>525</t>
  </si>
  <si>
    <t>PONTO FRIO - RUA YOLANDA SAAID ABUZAID , 150 - ZONA COMERCIAL - RJES6140</t>
  </si>
  <si>
    <t>RUA YOLANDA SAAID ABUSAID</t>
  </si>
  <si>
    <t>ALCANTARA</t>
  </si>
  <si>
    <t>São Gonçalo</t>
  </si>
  <si>
    <t>24610460</t>
  </si>
  <si>
    <t>-22.8200918 , -43.0022931</t>
  </si>
  <si>
    <t>RJES6140</t>
  </si>
  <si>
    <t>33041260006448</t>
  </si>
  <si>
    <t>51</t>
  </si>
  <si>
    <t>TIM - RUA 15 DE NOVEMBRO, 8 - SHOPPING PLAZA NITEROI - RJES7226</t>
  </si>
  <si>
    <t>LOJAS 142 E 143</t>
  </si>
  <si>
    <t>RJES7226</t>
  </si>
  <si>
    <t>2421421006900</t>
  </si>
  <si>
    <t>C187</t>
  </si>
  <si>
    <t>TIM - AVENIDA REPLUBICA DO LIBANO, 251 - SHOPPING RIO MAR - NE7470</t>
  </si>
  <si>
    <t>LOJA 1060</t>
  </si>
  <si>
    <t>NE7470</t>
  </si>
  <si>
    <t>2421421014686</t>
  </si>
  <si>
    <t>C241</t>
  </si>
  <si>
    <t>TIM - AVENIDA TANCREDO NEVES, 3133 - SHOPPING SALVADOR - NE7162</t>
  </si>
  <si>
    <t>LOJA 1182 E 1183</t>
  </si>
  <si>
    <t>NE7162</t>
  </si>
  <si>
    <t>2421421018088</t>
  </si>
  <si>
    <t>C198</t>
  </si>
  <si>
    <t>TIM - RUA PADRE CARAPUCEIRO, 777 - SHOPPING RECIFE - NE5910</t>
  </si>
  <si>
    <t>SALA 131</t>
  </si>
  <si>
    <t>NE5910</t>
  </si>
  <si>
    <t>2421421020490</t>
  </si>
  <si>
    <t>C157</t>
  </si>
  <si>
    <t>TIM - TRAVESSA CASALBUONO, 120 - SHOPPING CENTER NORTE - SPC7272</t>
  </si>
  <si>
    <t>LOJA 733 .</t>
  </si>
  <si>
    <t>SPC7272</t>
  </si>
  <si>
    <t>2421421018401</t>
  </si>
  <si>
    <t>C177</t>
  </si>
  <si>
    <t>COMMCENTER - AVENIDA GUILHERME CAMPOS, 500 - SHOPPING PARQUE DOM PEDRO - SPI7753</t>
  </si>
  <si>
    <t>LOJA L 63,S 2B</t>
  </si>
  <si>
    <t>SPI7753</t>
  </si>
  <si>
    <t>5828732015209</t>
  </si>
  <si>
    <t>VIVO AA</t>
  </si>
  <si>
    <t>VIVO - AVENIDA HIGIENOPOLIS, 674 - SHOPPING PATIO HIGIENOPOLIS - SPC7263</t>
  </si>
  <si>
    <t>LOJAS 340 E 341</t>
  </si>
  <si>
    <t>SPC7263</t>
  </si>
  <si>
    <t>2558157014546</t>
  </si>
  <si>
    <t>LOJA SHOPPING HIGIENOPOLIS SP</t>
  </si>
  <si>
    <t>VIVO - AVENIDA TANCREDO NEVES, 148 - SHOPPING DA BAHIA - NE7158</t>
  </si>
  <si>
    <t>LOJAS 03 E 04</t>
  </si>
  <si>
    <t>41820000</t>
  </si>
  <si>
    <t>NE7158</t>
  </si>
  <si>
    <t>2558157054769</t>
  </si>
  <si>
    <t>LOJA IGUATEMI I BA</t>
  </si>
  <si>
    <t>VIVO - AVENIDA REPLUBICA DO LIBANO, 251 - SHOPPING RIO MAR - NE7817</t>
  </si>
  <si>
    <t>LOJAS 1138/1139</t>
  </si>
  <si>
    <t>NE7817</t>
  </si>
  <si>
    <t>2558157051409</t>
  </si>
  <si>
    <t>LOJA RIOMAR PE</t>
  </si>
  <si>
    <t>VIVO - RUA PADRE CARAPUCEIRO, 777 - SHOPPING RECIFE - NE5911</t>
  </si>
  <si>
    <t>LOJA 28A</t>
  </si>
  <si>
    <t>51020280</t>
  </si>
  <si>
    <t>NE5911</t>
  </si>
  <si>
    <t>2558157028920</t>
  </si>
  <si>
    <t>LOJA SHOPPING RECIFE PE</t>
  </si>
  <si>
    <t>VIVO - AVENIDA MARIO YPIRANGA, 1300 - SHOPPING MANAUARA - N10230</t>
  </si>
  <si>
    <t>PARTE</t>
  </si>
  <si>
    <t>N10230</t>
  </si>
  <si>
    <t>2558157081065</t>
  </si>
  <si>
    <t>LOJA MANAUARA SHOPPING II AM</t>
  </si>
  <si>
    <t>BEMOL - AVENIDA DJALMA BATISTA, 482 - AMAZONAS SHOPPING - N10235</t>
  </si>
  <si>
    <t>N10235</t>
  </si>
  <si>
    <t>04565289002190</t>
  </si>
  <si>
    <t>Amazonas Shopping</t>
  </si>
  <si>
    <t>CASAS BAHIA - RUA AMAZONAS, 674 - ZONA COMERCIAL - MGCO20840</t>
  </si>
  <si>
    <t>AVENIDA AMAZONAS</t>
  </si>
  <si>
    <t>674</t>
  </si>
  <si>
    <t>680</t>
  </si>
  <si>
    <t>Betim</t>
  </si>
  <si>
    <t>32650720</t>
  </si>
  <si>
    <t>-19.966099 , -44.198936</t>
  </si>
  <si>
    <t>MG CO 4</t>
  </si>
  <si>
    <t>MGCO20840</t>
  </si>
  <si>
    <t>33041260134446</t>
  </si>
  <si>
    <t>1159</t>
  </si>
  <si>
    <t>CASAS BAHIA - PRACA BARAO DO RIO BRANCO, 207 - ZONA COMERCIAL - SPC11310</t>
  </si>
  <si>
    <t>PRACA BARAO DO RIO BRANCO</t>
  </si>
  <si>
    <t>207</t>
  </si>
  <si>
    <t>280</t>
  </si>
  <si>
    <t>11310011</t>
  </si>
  <si>
    <t>-23.9666 , -46.385567</t>
  </si>
  <si>
    <t>SPC11310</t>
  </si>
  <si>
    <t>33041260092263</t>
  </si>
  <si>
    <t>1018</t>
  </si>
  <si>
    <t>CASAS BAHIA - RUA DUQUE DE CAXIAS, 761 - ZONA COMERCIAL - SPI7133</t>
  </si>
  <si>
    <t>RUA DUQUE DE CAXIAS</t>
  </si>
  <si>
    <t>761</t>
  </si>
  <si>
    <t>785 E 795</t>
  </si>
  <si>
    <t>14015020</t>
  </si>
  <si>
    <t>-21.175592 , -47.807281</t>
  </si>
  <si>
    <t>SPI7133</t>
  </si>
  <si>
    <t>33041260121468</t>
  </si>
  <si>
    <t>1490</t>
  </si>
  <si>
    <t>CASAS BAHIA - RUA DOUTOR ALFREDO BACKER, 783 - ZONA COMERCIAL - RJES6139</t>
  </si>
  <si>
    <t>RUA DOUTOR ALFREDO BACKER</t>
  </si>
  <si>
    <t>783</t>
  </si>
  <si>
    <t>785</t>
  </si>
  <si>
    <t>24452001</t>
  </si>
  <si>
    <t>-22.819292 , -43.002071</t>
  </si>
  <si>
    <t>RJES6139</t>
  </si>
  <si>
    <t>33041260087855</t>
  </si>
  <si>
    <t>1155</t>
  </si>
  <si>
    <t>CASAS BAHIA - RUA PADRE PEDRO PINTO, 1666 - ZONA COMERCIAL - MGCO10443</t>
  </si>
  <si>
    <t>1166</t>
  </si>
  <si>
    <t>R.LUIZA VIEIRA,210</t>
  </si>
  <si>
    <t>31615310</t>
  </si>
  <si>
    <t>-19.814375 , -43.960026</t>
  </si>
  <si>
    <t>MGCO10443</t>
  </si>
  <si>
    <t>33041260133393</t>
  </si>
  <si>
    <t>1327</t>
  </si>
  <si>
    <t>CASAS BAHIA - RUA PADRE PEDRO PINTO, 6700 - ZONA COMERCIAL - MGCO10447</t>
  </si>
  <si>
    <t>6700</t>
  </si>
  <si>
    <t>6710</t>
  </si>
  <si>
    <t>31510000</t>
  </si>
  <si>
    <t>-19.802914 , -43.999577</t>
  </si>
  <si>
    <t>MGCO10447</t>
  </si>
  <si>
    <t>33041260130610</t>
  </si>
  <si>
    <t>1552</t>
  </si>
  <si>
    <t>CASAS BAHIA - AVENIDA AYRTON SENNA DA SILVA, 1511 - SHOPPING LITORAL PLAZA - SPC7077</t>
  </si>
  <si>
    <t>AVENIDA AYRTON SENNA DA SILVA</t>
  </si>
  <si>
    <t>1511</t>
  </si>
  <si>
    <t>ESPAÇO B 1</t>
  </si>
  <si>
    <t>SITIO DO CAMPO</t>
  </si>
  <si>
    <t>Praia Grande</t>
  </si>
  <si>
    <t>11726000</t>
  </si>
  <si>
    <t>-23.997812 , -46.407147</t>
  </si>
  <si>
    <t>SPC7077</t>
  </si>
  <si>
    <t>33041260092778</t>
  </si>
  <si>
    <t>1312</t>
  </si>
  <si>
    <t>Shopping Litoral Plaza</t>
  </si>
  <si>
    <t>CASAS BAHIA - AVENIDA DOS AUTONOMISTAS, 1400 - SHOPPING UNIAO - SPC6397</t>
  </si>
  <si>
    <t>AVENIDA DOS AUTONOMISTAS</t>
  </si>
  <si>
    <t>1400</t>
  </si>
  <si>
    <t>ANCORA B</t>
  </si>
  <si>
    <t>VILA YARA</t>
  </si>
  <si>
    <t>Osasco</t>
  </si>
  <si>
    <t>6090010</t>
  </si>
  <si>
    <t>-23.539181 , -46.76495</t>
  </si>
  <si>
    <t>SPC6397</t>
  </si>
  <si>
    <t>33041260097494</t>
  </si>
  <si>
    <t>1603</t>
  </si>
  <si>
    <t>Shopping União</t>
  </si>
  <si>
    <t>CASAS BAHIA - AVENIDA VICENTE DE CARVALHO, 909 - SHOPPING CARIOCA - RJES6989</t>
  </si>
  <si>
    <t>AVENIDA VICENTE DE CARVALHO</t>
  </si>
  <si>
    <t>909</t>
  </si>
  <si>
    <t>BOX 97 COMERCIAL 201</t>
  </si>
  <si>
    <t>VILA DA PENHA</t>
  </si>
  <si>
    <t>21210000</t>
  </si>
  <si>
    <t>-22.850006 , -43.311543</t>
  </si>
  <si>
    <t>RJES6989</t>
  </si>
  <si>
    <t>33041260086450</t>
  </si>
  <si>
    <t>1383</t>
  </si>
  <si>
    <t>Shopping Carioca</t>
  </si>
  <si>
    <t>CASAS BAHIA - ESTRADA DO PORTELA, 222 - SHOPPING MADUREIRA - RJES7525</t>
  </si>
  <si>
    <t>ESTRADA DO PORTELA</t>
  </si>
  <si>
    <t>222</t>
  </si>
  <si>
    <t>LOJAS 146 A 151</t>
  </si>
  <si>
    <t>MADUREIRA</t>
  </si>
  <si>
    <t>21351051</t>
  </si>
  <si>
    <t>-22.870516 , -43.341663</t>
  </si>
  <si>
    <t>RJES7525</t>
  </si>
  <si>
    <t>33041260084325</t>
  </si>
  <si>
    <t>1176</t>
  </si>
  <si>
    <t>Shopping Madureira</t>
  </si>
  <si>
    <t>CASAS BAHIA - RUA DOMINGOS AGOSTIN, 91 (LOJA 1) - SHOPPING METRO TATUAPE - SPC6496</t>
  </si>
  <si>
    <t>AVENIDA RADIAL LESTE</t>
  </si>
  <si>
    <t>LOJA 05</t>
  </si>
  <si>
    <t>TATUAPE</t>
  </si>
  <si>
    <t>3306010</t>
  </si>
  <si>
    <t>-23.541653 , -46.576683</t>
  </si>
  <si>
    <t>SPC6496</t>
  </si>
  <si>
    <t>33041260141060</t>
  </si>
  <si>
    <t>1691</t>
  </si>
  <si>
    <t>Shopping Metrô Tatuapé</t>
  </si>
  <si>
    <t>CASAS BAHIA - RUA HENRIQUE SAVI, 15 - SHOPPING BAURU - SPI6609</t>
  </si>
  <si>
    <t>RUA HENRIQUE SAVI</t>
  </si>
  <si>
    <t>1555</t>
  </si>
  <si>
    <t>LJS AM27,103 E 112</t>
  </si>
  <si>
    <t>VILA NOVA CIDADE UNIVERSITÁRIA</t>
  </si>
  <si>
    <t>Bauru</t>
  </si>
  <si>
    <t>17011900</t>
  </si>
  <si>
    <t>-22.342148 , -49.049427</t>
  </si>
  <si>
    <t>SPI 1</t>
  </si>
  <si>
    <t>SPI6609</t>
  </si>
  <si>
    <t>33041260117940</t>
  </si>
  <si>
    <t>1545</t>
  </si>
  <si>
    <t>Shopping Bauru</t>
  </si>
  <si>
    <t>HS - AVENIDA IZORAIDA MARQUES PERES, 401 - SHOPPING IGUATEMI ESPLANADA - SPI20800</t>
  </si>
  <si>
    <t>LOJA 304</t>
  </si>
  <si>
    <t>SPI20800</t>
  </si>
  <si>
    <t>05923253001807</t>
  </si>
  <si>
    <t>CLARO - TRAVESSA CASALBUONO, 120 (LOJA 1) - SHOPPING CENTER NORTE - SPC6368</t>
  </si>
  <si>
    <t>LOJA 303</t>
  </si>
  <si>
    <t>SPC6368</t>
  </si>
  <si>
    <t>40432544004053</t>
  </si>
  <si>
    <t>1108</t>
  </si>
  <si>
    <t>CLARO - AVENIDA IGUATEMI, 777 - SHOPPING IGUATEMI CAMPINAS - SPI7328</t>
  </si>
  <si>
    <t>AVENIDA IGUATEMI</t>
  </si>
  <si>
    <t>LOJA 4/3 B 1ºPISO</t>
  </si>
  <si>
    <t>VILA BRANDINA</t>
  </si>
  <si>
    <t>13092902</t>
  </si>
  <si>
    <t>-22.892553 , -47.027489</t>
  </si>
  <si>
    <t>SPI7328</t>
  </si>
  <si>
    <t>40432544013478</t>
  </si>
  <si>
    <t>1907</t>
  </si>
  <si>
    <t>Shopping Iguatemi Campinas</t>
  </si>
  <si>
    <t>CLARO - SAI/SO AREA 6580, S/N - PARK SHOPPING - MGCO22982</t>
  </si>
  <si>
    <t>LOJA 243 E 244</t>
  </si>
  <si>
    <t>MGCO22982</t>
  </si>
  <si>
    <t>01685903003301</t>
  </si>
  <si>
    <t>6105</t>
  </si>
  <si>
    <t>CLARO - AVENIDA BRIGADEIRO FARIA LIMA, 2232 - SHOPPING IGUATEMI SAO PAULO - SPC7303</t>
  </si>
  <si>
    <t>AVENIDA BRIGADEIRO FARIA LIMA</t>
  </si>
  <si>
    <t>2232</t>
  </si>
  <si>
    <t>JARDIM PAULISTANO</t>
  </si>
  <si>
    <t>1489900</t>
  </si>
  <si>
    <t>-23.5770446, -46.6881912</t>
  </si>
  <si>
    <t>SPC7303</t>
  </si>
  <si>
    <t>40432544001461</t>
  </si>
  <si>
    <t>1129</t>
  </si>
  <si>
    <t>Shopping Iguatemi São Paulo</t>
  </si>
  <si>
    <t>LOJAS AMERICANAS - AVENIDA WASHINGTON SOARES, 85 - SHOPPING IGUATEMI FORTALEZA - NE7427</t>
  </si>
  <si>
    <t>LOJA A2 120/ 121</t>
  </si>
  <si>
    <t>-3.755243905536298 , -38.488616834190886</t>
  </si>
  <si>
    <t>NE7427</t>
  </si>
  <si>
    <t>776574102072</t>
  </si>
  <si>
    <t>L148</t>
  </si>
  <si>
    <t>LOJAS AMERICANAS - RUA DESEMBARGADOR LAURO NOGUEIRA, 1500 - SHOPPING RIO MAR - NE39580</t>
  </si>
  <si>
    <t>PISO L1 LOJA 1055</t>
  </si>
  <si>
    <t>NE39580</t>
  </si>
  <si>
    <t>776574128543</t>
  </si>
  <si>
    <t>MAGAZINE LUIZA - AVENIDA JOAO NAVES DE AVILA, 1331 - CENTER SHOPPING UBERLANDIA - MGCO10525</t>
  </si>
  <si>
    <t>AVENIDA JOAO NAVES DE AVILA</t>
  </si>
  <si>
    <t>1331</t>
  </si>
  <si>
    <t>LOJA 53</t>
  </si>
  <si>
    <t>SARAIVA</t>
  </si>
  <si>
    <t>Uberlândia</t>
  </si>
  <si>
    <t>38405140</t>
  </si>
  <si>
    <t>-18.910343 , -48.260696</t>
  </si>
  <si>
    <t>MGCO10525</t>
  </si>
  <si>
    <t>47960950010607</t>
  </si>
  <si>
    <t>Center Shopping Uberlândia</t>
  </si>
  <si>
    <t>RIACHUELO - SAI / SO AREA 6580, S/N - PARK SHOPPING - MGCO46663</t>
  </si>
  <si>
    <t>LOJA 116</t>
  </si>
  <si>
    <t>MGCO46663</t>
  </si>
  <si>
    <t>33200056021308</t>
  </si>
  <si>
    <t>L034</t>
  </si>
  <si>
    <t>RIACHUELO</t>
  </si>
  <si>
    <t>FACELL - AVENIDA TANCREDO NEVES, 148 - SHOPPING DA BAHIA - NE14775</t>
  </si>
  <si>
    <t>LOJA 3 E 4 QD J PAVIMENTO</t>
  </si>
  <si>
    <t>-12.9817061 , -38.4646255</t>
  </si>
  <si>
    <t>NE14775</t>
  </si>
  <si>
    <t>7366109002059</t>
  </si>
  <si>
    <t>FACELL LTDA - SALVADOR - LOJA SHOPPING DA BAHIA - SAP (36010)</t>
  </si>
  <si>
    <t>TIM AA</t>
  </si>
  <si>
    <t>TIM - AVENIDA GUILHERME CAMPOS, 500 - SHOPPING PARQUE DOM PEDRO - SPI7326</t>
  </si>
  <si>
    <t>64</t>
  </si>
  <si>
    <t>SPI7326</t>
  </si>
  <si>
    <t>2421421020066</t>
  </si>
  <si>
    <t>C068</t>
  </si>
  <si>
    <t>TIM - AVENIDA IBIRAPUERA, 3103 - SHOPPING IBIRAPUERA - SPC258770</t>
  </si>
  <si>
    <t>INDIANÓPOLIS</t>
  </si>
  <si>
    <t>SPC258770</t>
  </si>
  <si>
    <t>2421421027583</t>
  </si>
  <si>
    <t>C705</t>
  </si>
  <si>
    <t>VIVO - SAI/SO AREA 6580, S/N (LOJA 1) - PARK SHOPPING - MGCO5642</t>
  </si>
  <si>
    <t>268/269 PISO 2</t>
  </si>
  <si>
    <t>MGCO5642</t>
  </si>
  <si>
    <t>2558157082118</t>
  </si>
  <si>
    <t>LOJA SHOPPING PKS ICONICA DF</t>
  </si>
  <si>
    <t>VIVO - AVENIDA PRESIDENTE KENNEDY, 4121 - SHOPPING PALLADIUM - SUL7207</t>
  </si>
  <si>
    <t>LOJA 1130 PISO L 1</t>
  </si>
  <si>
    <t>SUL7207</t>
  </si>
  <si>
    <t>2558157019181</t>
  </si>
  <si>
    <t>LOJA PALLADIUM CURITIBA PR</t>
  </si>
  <si>
    <t>VIVO - RUA 15 DE NOVEMBRO, 8 - SHOPPING PLAZA NITEROI - RJES7232</t>
  </si>
  <si>
    <t>LOJAS 349/350 3 PISO</t>
  </si>
  <si>
    <t>RJES7232</t>
  </si>
  <si>
    <t>2558157024347</t>
  </si>
  <si>
    <t>LOJA NITEROI PLAZA RJ</t>
  </si>
  <si>
    <t>VIVO - RUA BOCAIUVA, 2468 - BEIRAMAR SHOPPING - SUL7244</t>
  </si>
  <si>
    <t>SALAS 152 E 153</t>
  </si>
  <si>
    <t>88015530</t>
  </si>
  <si>
    <t>SUL7244</t>
  </si>
  <si>
    <t>2558157044020</t>
  </si>
  <si>
    <t>LOJA BEIRAMAR SC</t>
  </si>
  <si>
    <t>CARREFOUR - AVENIDA REBOUCAS, 3970 - SHOPPING ELDORADO - SPC7086</t>
  </si>
  <si>
    <t>SPC7086</t>
  </si>
  <si>
    <t>62545579001105</t>
  </si>
  <si>
    <t>ERE</t>
  </si>
  <si>
    <t>CASAS BAHIA - ESTRADA MIRANDELA, 131 - ZONA COMERCIAL - RJES6026</t>
  </si>
  <si>
    <t>ESTRADA DO MIRANDELA</t>
  </si>
  <si>
    <t>131 E 135</t>
  </si>
  <si>
    <t>Nilópolis</t>
  </si>
  <si>
    <t>26520331</t>
  </si>
  <si>
    <t>-22.808771 , -43.4166926</t>
  </si>
  <si>
    <t>RJES6026</t>
  </si>
  <si>
    <t>33041260081148</t>
  </si>
  <si>
    <t>1185</t>
  </si>
  <si>
    <t>CASAS BAHIA - RUA ALFREDO SCHURING, 70 - ZONA COMERCIAL - SPI18949</t>
  </si>
  <si>
    <t>RUA ALFREDO SCHURIG</t>
  </si>
  <si>
    <t>70</t>
  </si>
  <si>
    <t>72,74 E 78</t>
  </si>
  <si>
    <t>Jacareí</t>
  </si>
  <si>
    <t>12327005</t>
  </si>
  <si>
    <t>-23.306108 , -45.968391</t>
  </si>
  <si>
    <t>SPI18949</t>
  </si>
  <si>
    <t>33041260124300</t>
  </si>
  <si>
    <t>1039</t>
  </si>
  <si>
    <t>CASAS BAHIA - AVENIDA MATEO BEI, 3083 - ZONA COMERCIAL - SPC20248</t>
  </si>
  <si>
    <t>3083</t>
  </si>
  <si>
    <t>R.ELISIO F,390 E 400</t>
  </si>
  <si>
    <t>3949013</t>
  </si>
  <si>
    <t>-23.608983 , -46.477443</t>
  </si>
  <si>
    <t>SPC20248</t>
  </si>
  <si>
    <t>33041260114763</t>
  </si>
  <si>
    <t>1031</t>
  </si>
  <si>
    <t>CASAS BAHIA - RODOVIA PRESIDENTE DUTRA KM 230, S/N - SHOPPING INTERNACIONAL GUARULHOS - SPC7607</t>
  </si>
  <si>
    <t>RODOVIA PRESIDENTE DUTRA</t>
  </si>
  <si>
    <t>KM 230</t>
  </si>
  <si>
    <t>KM397/650,LOJA 8A</t>
  </si>
  <si>
    <t>ITAPEGICA</t>
  </si>
  <si>
    <t>Guarulhos</t>
  </si>
  <si>
    <t>7034911</t>
  </si>
  <si>
    <t>-23.488773 , -46.548561</t>
  </si>
  <si>
    <t>SPC7607</t>
  </si>
  <si>
    <t>33041260104105</t>
  </si>
  <si>
    <t>1003</t>
  </si>
  <si>
    <t>Shopping Internacional De Guarulhos</t>
  </si>
  <si>
    <t>CASAS BAHIA - AVENIDA WASHINGTON SOARES, 85 - SHOPPING IGUATEMI FORTALEZA - NE85205</t>
  </si>
  <si>
    <t>LOJA 601</t>
  </si>
  <si>
    <t>NE85205</t>
  </si>
  <si>
    <t>33041260147009</t>
  </si>
  <si>
    <t>1766</t>
  </si>
  <si>
    <t>CASAS BAHIA - CONSELHEIRO MAFRA, 148 - ZONA COMERCIAL - SUL7595</t>
  </si>
  <si>
    <t>AVENIDA CONSELHEIRO MAFRA</t>
  </si>
  <si>
    <t>-27.59738 , -48.551921</t>
  </si>
  <si>
    <t>SUL7595</t>
  </si>
  <si>
    <t>33041260128802</t>
  </si>
  <si>
    <t>1520</t>
  </si>
  <si>
    <t>CASAS BAHIA - RUA VEREADOR MARINHO HEMETERIO OLIVEIRA, 120 - ZONA COMERCIAL - RJES11705</t>
  </si>
  <si>
    <t>RUA VEREADOR MARINHO HEMETERIO DE OLIVEIRA</t>
  </si>
  <si>
    <t>Queimados</t>
  </si>
  <si>
    <t>26320500</t>
  </si>
  <si>
    <t>-22.717838 , -43.55600099999999</t>
  </si>
  <si>
    <t>RJES11705</t>
  </si>
  <si>
    <t>33041260082543</t>
  </si>
  <si>
    <t>1247</t>
  </si>
  <si>
    <t>CASAS BAHIA - AVENIDA COUTO MAGALHAES, 2293 - MGCO267280</t>
  </si>
  <si>
    <t>AVENIDA COUTO MAGALHAES</t>
  </si>
  <si>
    <t>2293</t>
  </si>
  <si>
    <t>Várzea Grande</t>
  </si>
  <si>
    <t>MT</t>
  </si>
  <si>
    <t>78110400</t>
  </si>
  <si>
    <t>-15.648795,-56.1408363</t>
  </si>
  <si>
    <t>MGCO267280</t>
  </si>
  <si>
    <t>33041260113449</t>
  </si>
  <si>
    <t>CASAS BAHIA - AVENIDA LUCIANO DAS NEVES, 2418 - SHOPPING VILA VELHA - RJES45424</t>
  </si>
  <si>
    <t>AVENIDA LUCIANO DAS NEVES</t>
  </si>
  <si>
    <t>2418</t>
  </si>
  <si>
    <t>DIVINO ESPIRITO SANTO</t>
  </si>
  <si>
    <t>Vila Velha</t>
  </si>
  <si>
    <t>29107900</t>
  </si>
  <si>
    <t>-20.3520419 , -40.2977172</t>
  </si>
  <si>
    <t>RJES45424</t>
  </si>
  <si>
    <t>33041260150050</t>
  </si>
  <si>
    <t>1772</t>
  </si>
  <si>
    <t>Shopping Vila Velha</t>
  </si>
  <si>
    <t>CASAS BAHIA - CL 114 LOTE D, S/N - SANTA MARIA SHOPPING - MGCO258130</t>
  </si>
  <si>
    <t>CL 114 LOTE D</t>
  </si>
  <si>
    <t>72544204</t>
  </si>
  <si>
    <t>-16.0064873,-48.0018234</t>
  </si>
  <si>
    <t>MGCO258130</t>
  </si>
  <si>
    <t>33041260152690</t>
  </si>
  <si>
    <t>1814</t>
  </si>
  <si>
    <t>Santa Maria Shopping</t>
  </si>
  <si>
    <t>FLEX CELL - AVENIDA GUILHERME CAMPOS, 500 - SHOPPING PARQUE DOM PEDRO - SPI40165</t>
  </si>
  <si>
    <t>EUC 35,SETOR COLINAS</t>
  </si>
  <si>
    <t>SPI40165</t>
  </si>
  <si>
    <t>3243382001306</t>
  </si>
  <si>
    <t>FLEX CELL - TRAVESSA CASALBUONO, 120 (LOJA 2) - SHOPPING CENTER NORTE - SPC7775</t>
  </si>
  <si>
    <t>LOJA 608</t>
  </si>
  <si>
    <t>SPC7775</t>
  </si>
  <si>
    <t>03243382001497</t>
  </si>
  <si>
    <t>CLARO - AVENIDA IZORAIDA MARQUES PERES, 401 - SHOPPING IGUATEMI ESPLANADA - SPI7400</t>
  </si>
  <si>
    <t>LOJA 701 E 702</t>
  </si>
  <si>
    <t>SPI7400</t>
  </si>
  <si>
    <t>40432544052538</t>
  </si>
  <si>
    <t>1968</t>
  </si>
  <si>
    <t>CLARO - RODOVIA BR 101 KM 211, S/N - CONTINENTE PARK SHOPPING - SUL6313</t>
  </si>
  <si>
    <t>KM 211</t>
  </si>
  <si>
    <t>SUL6313</t>
  </si>
  <si>
    <t>40432544043466</t>
  </si>
  <si>
    <t>4813</t>
  </si>
  <si>
    <t>CLARO - RUA BOCAIUVA, 2468 - BEIRAMAR SHOPPING - SUL7377</t>
  </si>
  <si>
    <t>LOJA 348 E 349</t>
  </si>
  <si>
    <t>SUL7377</t>
  </si>
  <si>
    <t>40432544013206</t>
  </si>
  <si>
    <t>4802</t>
  </si>
  <si>
    <t>CLARO - RUA PADRE CARAPUCEIRO, 777 - SHOPPING RECIFE - NE7199</t>
  </si>
  <si>
    <t>PC LOJA 146</t>
  </si>
  <si>
    <t>NE7199</t>
  </si>
  <si>
    <t>40432544019247</t>
  </si>
  <si>
    <t>8105</t>
  </si>
  <si>
    <t>FOTO NASCIMENTO - AVENIDA DJALMA BATISTA, 482 - AMAZONAS SHOPPING - N11596</t>
  </si>
  <si>
    <t>L 302</t>
  </si>
  <si>
    <t>N11596</t>
  </si>
  <si>
    <t>04356309000846</t>
  </si>
  <si>
    <t>FOTO NASCIMENTO</t>
  </si>
  <si>
    <t>FUJIOKA - SAI/SO AREA 6580, S/N - PARK SHOPPING - MGCO5710</t>
  </si>
  <si>
    <t>LOJA 214A</t>
  </si>
  <si>
    <t>MGCO5710</t>
  </si>
  <si>
    <t>01008713003694</t>
  </si>
  <si>
    <t>PARK SHOPPING</t>
  </si>
  <si>
    <t>MAGAZINE LUIZA - AVENIDA ANHANGUERA, 14404 - PORTAL SHOPPING - MGCO11105</t>
  </si>
  <si>
    <t>LOTE 39 A/E LOJA 277</t>
  </si>
  <si>
    <t>MGCO11105</t>
  </si>
  <si>
    <t>47960950114135</t>
  </si>
  <si>
    <t>1102</t>
  </si>
  <si>
    <t>MAGAZINE LUIZA - RODOVIA RSC 453, 2780 - SHOPPING VILLAGIO CAXIAS - SUL9118</t>
  </si>
  <si>
    <t>RODOVIA RSC 453</t>
  </si>
  <si>
    <t>2780</t>
  </si>
  <si>
    <t>SALA 195 TERREO</t>
  </si>
  <si>
    <t>SANVITTO</t>
  </si>
  <si>
    <t>Caxias do Sul</t>
  </si>
  <si>
    <t>95110900</t>
  </si>
  <si>
    <t>-29.177071 , -51.219372</t>
  </si>
  <si>
    <t>SUL9118</t>
  </si>
  <si>
    <t>47960950029294</t>
  </si>
  <si>
    <t>405</t>
  </si>
  <si>
    <t>Shopping Villagio Caxias</t>
  </si>
  <si>
    <t>MAGAZINE LUIZA - AVENIDA IZORAIDA MARQUES PERES, 401 - SHOPPING IGUATEMI ESPLANADA - SPI7693</t>
  </si>
  <si>
    <t>LUC G</t>
  </si>
  <si>
    <t>SPI7693</t>
  </si>
  <si>
    <t>47960950014009</t>
  </si>
  <si>
    <t>128</t>
  </si>
  <si>
    <t>MAGAZINE LUIZA - AVENIDA AFONSO PENA, 262 - ZONA COMERCIAL - MGCO18811</t>
  </si>
  <si>
    <t>AVENIDA AFONSO PENA</t>
  </si>
  <si>
    <t>262</t>
  </si>
  <si>
    <t>38400128</t>
  </si>
  <si>
    <t>-18.920645 , -48.279336</t>
  </si>
  <si>
    <t>MGCO18811</t>
  </si>
  <si>
    <t>47960950001012</t>
  </si>
  <si>
    <t>14</t>
  </si>
  <si>
    <t>MAGAZINE LUIZA - TENENTE NICOLAU MAFFEI, 412 - ZONA COMERCIAL - SPI20960</t>
  </si>
  <si>
    <t>RUA TENENTE NICOLAU MAFFEI</t>
  </si>
  <si>
    <t>Presidente Prudente</t>
  </si>
  <si>
    <t>19010010</t>
  </si>
  <si>
    <t>-22.123011 , -51.386838</t>
  </si>
  <si>
    <t>SPI20960</t>
  </si>
  <si>
    <t>47960950007568</t>
  </si>
  <si>
    <t>58</t>
  </si>
  <si>
    <t>MAGAZINE LUIZA - RUA PADRE PEDRO PINTO, 1297 - ZONA COMERCIAL - MGCO5810</t>
  </si>
  <si>
    <t>1295</t>
  </si>
  <si>
    <t>-19.813797 , -43.961334</t>
  </si>
  <si>
    <t>MGCO5810</t>
  </si>
  <si>
    <t>47960950046466</t>
  </si>
  <si>
    <t>293</t>
  </si>
  <si>
    <t>MAGAZINE LUIZA - RODOVIA BR-316, S/N - SHOPPING CASTANHEIRA - N228670</t>
  </si>
  <si>
    <t>RODOVIA BR-316</t>
  </si>
  <si>
    <t>CASTANHEIRA</t>
  </si>
  <si>
    <t>Belém</t>
  </si>
  <si>
    <t>PA</t>
  </si>
  <si>
    <t>66645900</t>
  </si>
  <si>
    <t>-1.4031731796488516 , -48.43060031188661</t>
  </si>
  <si>
    <t>N 2</t>
  </si>
  <si>
    <t>N228670</t>
  </si>
  <si>
    <t>47960950131811</t>
  </si>
  <si>
    <t>Shopping Castanheira</t>
  </si>
  <si>
    <t>MAGAZINE LUIZA - AVENIDA PASTOR MARTIN LUTHER KING JUNIOR, 126 - SHOPPING NOVA AMERICA - RJES256590</t>
  </si>
  <si>
    <t>AVENIDA PASTOR MARTIN LUTHER KING JUNIOR</t>
  </si>
  <si>
    <t>126</t>
  </si>
  <si>
    <t>DEL CASTILHO</t>
  </si>
  <si>
    <t>20760005</t>
  </si>
  <si>
    <t>-22.8778046, -43.2714868</t>
  </si>
  <si>
    <t>RJES256590</t>
  </si>
  <si>
    <t>47960950179695</t>
  </si>
  <si>
    <t>1633</t>
  </si>
  <si>
    <t>Shopping Nova America</t>
  </si>
  <si>
    <t>PONTO FRIO - AVENIDA DOM HELDER CAMARA, 5474 (2º PISO) - NORTE SHOPPING - RJES6048</t>
  </si>
  <si>
    <t>1003/1005/1601,PISOG</t>
  </si>
  <si>
    <t>RJES6048</t>
  </si>
  <si>
    <t>33041260009463</t>
  </si>
  <si>
    <t>17</t>
  </si>
  <si>
    <t>PONTO FRIO - SDN CNB CONJUNTO A LJ S 46/50, 2149 - SHOPPING CONJUNTO NACIONAL - MGCO6809</t>
  </si>
  <si>
    <t>LOJAS 46 A 51 E 84</t>
  </si>
  <si>
    <t>-15.7915217 , -47.8856178</t>
  </si>
  <si>
    <t>MGCO6809</t>
  </si>
  <si>
    <t>33041260005808</t>
  </si>
  <si>
    <t>73</t>
  </si>
  <si>
    <t>PONTO FRIO - RODOVIA WASHINGTON LUIZ, 2895 - SHOPPING CAXIAS - RJES10192</t>
  </si>
  <si>
    <t>RODOVIA WASHINGTON LUIZ</t>
  </si>
  <si>
    <t>2895</t>
  </si>
  <si>
    <t>LOJA 208,I,J,K, 2ºP</t>
  </si>
  <si>
    <t>PARQUE DUQUE</t>
  </si>
  <si>
    <t>25085008</t>
  </si>
  <si>
    <t>-22.787271 , -43.286549</t>
  </si>
  <si>
    <t>RJES10192</t>
  </si>
  <si>
    <t>33041260066939</t>
  </si>
  <si>
    <t>608</t>
  </si>
  <si>
    <t>Shopping Caxias</t>
  </si>
  <si>
    <t>PONTO FRIO - RUA CORONEL AGOSTINHO, 101 - ZONA COMERCIAL - RJES21881</t>
  </si>
  <si>
    <t>RUA CORONEL AGOSTINHO</t>
  </si>
  <si>
    <t>CAMPO GRANDE</t>
  </si>
  <si>
    <t>23050360</t>
  </si>
  <si>
    <t>-22.9039 , -43.559345</t>
  </si>
  <si>
    <t>RJES21881</t>
  </si>
  <si>
    <t>33041260018969</t>
  </si>
  <si>
    <t>152</t>
  </si>
  <si>
    <t>PONTO FRIO - RUA PADRE PEDRO PINTO, 6600 - ZONA COMERCIAL - MGCO10448</t>
  </si>
  <si>
    <t>6600</t>
  </si>
  <si>
    <t>31660000</t>
  </si>
  <si>
    <t>-19.802711 , -44.002037</t>
  </si>
  <si>
    <t>MGCO10448</t>
  </si>
  <si>
    <t>33041260050188</t>
  </si>
  <si>
    <t>486</t>
  </si>
  <si>
    <t>FACELL - AVENIDA BERNARDO VIEIRA, 3775 - SHOPPING MIDWAY MALL - NE11041</t>
  </si>
  <si>
    <t>LOJA 151</t>
  </si>
  <si>
    <t>NE11041</t>
  </si>
  <si>
    <t>7366109000196</t>
  </si>
  <si>
    <t>FACELL LTDA - NATAL - SHOPPING MIDWAY - SAP (4916)</t>
  </si>
  <si>
    <t>TIM - AVENIDA HIGIENOPOLIS, 618 - SHOPPING PATIO HIGIENOPOLIS - SPC7267</t>
  </si>
  <si>
    <t>LOJA 227/228</t>
  </si>
  <si>
    <t>SPC7267</t>
  </si>
  <si>
    <t>2421421018169</t>
  </si>
  <si>
    <t>C178</t>
  </si>
  <si>
    <t>VIVO - TRAVESSA CASALBUONO, 120 (LOJA 1) - SHOPPING CENTER NORTE - SPC7309</t>
  </si>
  <si>
    <t>LOJA 606 PARTE</t>
  </si>
  <si>
    <t>2047050</t>
  </si>
  <si>
    <t>SPC7309</t>
  </si>
  <si>
    <t>2558157007507</t>
  </si>
  <si>
    <t>LOJA SHOPPING CENTER NORTE SP</t>
  </si>
  <si>
    <t>CARREFOUR - AVENIDA JOAO NAVES DE AVILA, 1441 - ZONA COMERCIAL - MGCO20836</t>
  </si>
  <si>
    <t>1441</t>
  </si>
  <si>
    <t>SANTA MONICA</t>
  </si>
  <si>
    <t>38408288</t>
  </si>
  <si>
    <t>-18.911036 , -48.258261</t>
  </si>
  <si>
    <t>MGCO20836</t>
  </si>
  <si>
    <t>45543915002800</t>
  </si>
  <si>
    <t>UBL</t>
  </si>
  <si>
    <t>CASAS BAHIA - RUA DOUTOR SILVA BARROS, 387 - ZONA COMERCIAL - SPI10614</t>
  </si>
  <si>
    <t>RUA DOUTOR SILVA BARROS</t>
  </si>
  <si>
    <t>387</t>
  </si>
  <si>
    <t>403</t>
  </si>
  <si>
    <t>Taubaté</t>
  </si>
  <si>
    <t>12080300</t>
  </si>
  <si>
    <t>-23.026138 , -45.553493</t>
  </si>
  <si>
    <t>SPI10614</t>
  </si>
  <si>
    <t>33041260123592</t>
  </si>
  <si>
    <t>1085</t>
  </si>
  <si>
    <t>CASAS BAHIA - RUA SAO SEBASTIAO, 411 - ZONA COMERCIAL - SPI7704</t>
  </si>
  <si>
    <t>RUA SAO SEBASTIAO</t>
  </si>
  <si>
    <t>411</t>
  </si>
  <si>
    <t>421,427 E 433</t>
  </si>
  <si>
    <t>14015040</t>
  </si>
  <si>
    <t>-21.175283 , -47.810833</t>
  </si>
  <si>
    <t>SPI7704</t>
  </si>
  <si>
    <t>33041260121972</t>
  </si>
  <si>
    <t>1237</t>
  </si>
  <si>
    <t>CASAS BAHIA - RUA PRIMEIRO DE AGOSTO, 654 - ZONA COMERCIAL - SPI6618</t>
  </si>
  <si>
    <t>RUA PRIMEIRO DE AGOSTO</t>
  </si>
  <si>
    <t>17685</t>
  </si>
  <si>
    <t>6-52,6-60,6-64, 6-68</t>
  </si>
  <si>
    <t>17010100</t>
  </si>
  <si>
    <t>-22.321728 , -49.072829</t>
  </si>
  <si>
    <t>SPI6618</t>
  </si>
  <si>
    <t>33041260113953</t>
  </si>
  <si>
    <t>1056</t>
  </si>
  <si>
    <t>CASAS BAHIA - AVENIDA MARECHAL TITO, 4399 - ZONA COMERCIAL - SPC11219</t>
  </si>
  <si>
    <t>AVENIDA MARECHAL TITO</t>
  </si>
  <si>
    <t>4399</t>
  </si>
  <si>
    <t>ESQ.R.ALBARDAO 2A 40</t>
  </si>
  <si>
    <t>SAO MIGUEL PAULISTA</t>
  </si>
  <si>
    <t>8115100</t>
  </si>
  <si>
    <t>-23.495186 , -46.404358</t>
  </si>
  <si>
    <t>SPC11219</t>
  </si>
  <si>
    <t>33041260115140</t>
  </si>
  <si>
    <t>1098</t>
  </si>
  <si>
    <t>CASAS BAHIA - RUA APIACAS, 395 - ZONA COMERCIAL - RJES10217</t>
  </si>
  <si>
    <t>RUA APIACAS</t>
  </si>
  <si>
    <t>395</t>
  </si>
  <si>
    <t>421</t>
  </si>
  <si>
    <t>TAQUARA</t>
  </si>
  <si>
    <t>22730190</t>
  </si>
  <si>
    <t>-22.921446 , -43.372517</t>
  </si>
  <si>
    <t>RJES10217</t>
  </si>
  <si>
    <t>33041260084910</t>
  </si>
  <si>
    <t>1191</t>
  </si>
  <si>
    <t>CASAS BAHIA - AVENIDA BERNARDO VIEIRA, 3775 - SHOPPING MIDWAY MALL - NE11045</t>
  </si>
  <si>
    <t>LOJA 90 B1 L1</t>
  </si>
  <si>
    <t>NE11045</t>
  </si>
  <si>
    <t>33041260137380</t>
  </si>
  <si>
    <t>1696</t>
  </si>
  <si>
    <t>CASAS BAHIA - AVENIDA IZORAIDA MARQUES PERES, 401 - SHOPPING IGUATEMI ESPLANADA - SPI7673</t>
  </si>
  <si>
    <t>LUC B 1,TÉRREO</t>
  </si>
  <si>
    <t>SPI7673</t>
  </si>
  <si>
    <t>33041260125960</t>
  </si>
  <si>
    <t>1485</t>
  </si>
  <si>
    <t>CASAS BAHIA - AVENIDA GOVERNADOR MARIO COVAS JUNIOR, 1 - SHOPPING MAUA - SPC8715</t>
  </si>
  <si>
    <t>AVENIDA GOVERNADOR MARIO COVAS JUNIOR</t>
  </si>
  <si>
    <t>1</t>
  </si>
  <si>
    <t>LUC 180</t>
  </si>
  <si>
    <t>Mauá</t>
  </si>
  <si>
    <t>9390040</t>
  </si>
  <si>
    <t>-23.665379 , -46.460316</t>
  </si>
  <si>
    <t>SPC8715</t>
  </si>
  <si>
    <t>33041260118831</t>
  </si>
  <si>
    <t>1304</t>
  </si>
  <si>
    <t>Shopping Mauá Plaza</t>
  </si>
  <si>
    <t>CASAS BAHIA - RUA TENENTE AVELAR PIRES DE AZEVEDO, 81 - SHOPPING OSASCO PLAZA - SPC6352</t>
  </si>
  <si>
    <t>RUA TENENTE AVELAR PIRES DE AZEVEDO</t>
  </si>
  <si>
    <t>81</t>
  </si>
  <si>
    <t>6016060</t>
  </si>
  <si>
    <t>-23.529249 , -46.77792</t>
  </si>
  <si>
    <t>SPC6352</t>
  </si>
  <si>
    <t>33041260097141</t>
  </si>
  <si>
    <t>1103</t>
  </si>
  <si>
    <t>Shopping Osasco Plaza</t>
  </si>
  <si>
    <t>CLARICELL - AVENIDA IBIRAPUERA, 3103 - SHOPPING IBIRAPUERA - SPC7391</t>
  </si>
  <si>
    <t>-23.6102577 , -46.66669419999999</t>
  </si>
  <si>
    <t>SPC7391</t>
  </si>
  <si>
    <t>21848907000428</t>
  </si>
  <si>
    <t>HS - AVENIDA BRIGADEIRO FARIA LIMA, 6363 - SHOPPING RIO PRETO - SPI7107</t>
  </si>
  <si>
    <t>6363</t>
  </si>
  <si>
    <t>81 E 82</t>
  </si>
  <si>
    <t>JARDIM MORUMBI</t>
  </si>
  <si>
    <t>São José do Rio Preto</t>
  </si>
  <si>
    <t>15090000</t>
  </si>
  <si>
    <t>-20.835079 , -49.398884</t>
  </si>
  <si>
    <t>SPI7107</t>
  </si>
  <si>
    <t>05923253001394</t>
  </si>
  <si>
    <t>Shopping Rio Preto</t>
  </si>
  <si>
    <t>HS - RUA HENRIQUE SAVI, 15 - SHOPPING BAURU - SPI7408</t>
  </si>
  <si>
    <t>LOJA 66</t>
  </si>
  <si>
    <t>SPI7408</t>
  </si>
  <si>
    <t>05923253000231</t>
  </si>
  <si>
    <t>CELL NET - SAI/SO AREA 6580, S/N - PARK SHOPPING - MGCO6807</t>
  </si>
  <si>
    <t>LOJA 281 B</t>
  </si>
  <si>
    <t>-15.833491 , -47.955432</t>
  </si>
  <si>
    <t>MGCO6807</t>
  </si>
  <si>
    <t>4601016001859</t>
  </si>
  <si>
    <t>CLARO - RODOVIA BR 356, 3049 - SHOPPING BH - MGCO7192</t>
  </si>
  <si>
    <t>RODOVIA BR 356</t>
  </si>
  <si>
    <t>3049</t>
  </si>
  <si>
    <t>LOJA 9 E 10</t>
  </si>
  <si>
    <t>BELVEDERE</t>
  </si>
  <si>
    <t>30320900</t>
  </si>
  <si>
    <t>-19.97476 , -43.944729</t>
  </si>
  <si>
    <t>MGCO7192</t>
  </si>
  <si>
    <t>40432544018518</t>
  </si>
  <si>
    <t>3108</t>
  </si>
  <si>
    <t>Shopping Bh</t>
  </si>
  <si>
    <t>CLARO - AVENIDA TANCREDO NEVES, 148 - (2° PISO) - SHOPPING DA BAHIA - NE47272</t>
  </si>
  <si>
    <t>AV TANCREDO NEVES</t>
  </si>
  <si>
    <t>LOJA 01 E 02/QUADRAL/2 PISO</t>
  </si>
  <si>
    <t>41820972</t>
  </si>
  <si>
    <t>-12.981673024776617 , -38.464617932757704</t>
  </si>
  <si>
    <t>NE47272</t>
  </si>
  <si>
    <t>40432544034980</t>
  </si>
  <si>
    <t>7134</t>
  </si>
  <si>
    <t>CLARO - AVENIDA AFRANIO DE MELO FRANCO, 290 - SHOPPING LEBLON - RJES7223</t>
  </si>
  <si>
    <t>AVENIDA AFRANIO DE MELO FRANCO</t>
  </si>
  <si>
    <t>290</t>
  </si>
  <si>
    <t>LOJA 102 H</t>
  </si>
  <si>
    <t>LEBLON</t>
  </si>
  <si>
    <t>22430060</t>
  </si>
  <si>
    <t>-22.982388 , -43.216976</t>
  </si>
  <si>
    <t>RJES7223</t>
  </si>
  <si>
    <t>40432544004568</t>
  </si>
  <si>
    <t>2127</t>
  </si>
  <si>
    <t>Shopping Leblon</t>
  </si>
  <si>
    <t>CLARO - AVENIDA GISELE CONSTANTINO, 1870 - SHOPPING IGUATEMI ESPLANADA - SPI47257</t>
  </si>
  <si>
    <t>AVENIDA GISELE CONSTANTINO</t>
  </si>
  <si>
    <t>1870</t>
  </si>
  <si>
    <t>PARQUE BELA VISTA</t>
  </si>
  <si>
    <t>Votorantim</t>
  </si>
  <si>
    <t>-23.5352306, -47.4629669</t>
  </si>
  <si>
    <t>SPI47257</t>
  </si>
  <si>
    <t>40432544007664</t>
  </si>
  <si>
    <t>1916</t>
  </si>
  <si>
    <t>MAGAZINE LUIZA - AVENIDA JOAO PESSOA, S/N - ZONA COMERCIAL - NE10424</t>
  </si>
  <si>
    <t>RUA JOAO PESSOA</t>
  </si>
  <si>
    <t>320</t>
  </si>
  <si>
    <t>LOJA 2</t>
  </si>
  <si>
    <t>Aracaju</t>
  </si>
  <si>
    <t>SE</t>
  </si>
  <si>
    <t>49010120</t>
  </si>
  <si>
    <t>-10.909908 , -37.049187</t>
  </si>
  <si>
    <t>NE10424</t>
  </si>
  <si>
    <t>47960950080990</t>
  </si>
  <si>
    <t>744</t>
  </si>
  <si>
    <t>MAGAZINE LUIZA - RUA DOUTOR FLORES, 76 - ZONA COMERCIAL - SUL7576</t>
  </si>
  <si>
    <t>76</t>
  </si>
  <si>
    <t>90020120</t>
  </si>
  <si>
    <t>-30.02787 , -51.224537</t>
  </si>
  <si>
    <t>SUL7576</t>
  </si>
  <si>
    <t>47960950032678</t>
  </si>
  <si>
    <t>414</t>
  </si>
  <si>
    <t>MAGAZINE LUIZA - 6 DE JANEIRO, 112 - ZONA COMERCIAL - SUL19854</t>
  </si>
  <si>
    <t>6 DE JANEIRO</t>
  </si>
  <si>
    <t>112</t>
  </si>
  <si>
    <t>Criciúma</t>
  </si>
  <si>
    <t>88801055</t>
  </si>
  <si>
    <t>-28.6796513 , -49.3684483</t>
  </si>
  <si>
    <t>SUL19854</t>
  </si>
  <si>
    <t>47960950037807</t>
  </si>
  <si>
    <t>347</t>
  </si>
  <si>
    <t>MAGAZINE LUIZA - ESTRADA M BOI MIRIM, 938 - ZONA COMERCIAL - SPC6421</t>
  </si>
  <si>
    <t>ESTRADA M'BOI MIRIM</t>
  </si>
  <si>
    <t>930</t>
  </si>
  <si>
    <t>JARDIM SAO LUIS</t>
  </si>
  <si>
    <t>4905000</t>
  </si>
  <si>
    <t>-23.671827 , -46.741867</t>
  </si>
  <si>
    <t>SPC6421</t>
  </si>
  <si>
    <t>47960950058472</t>
  </si>
  <si>
    <t>578</t>
  </si>
  <si>
    <t>MAGAZINE LUIZA - AVENIDA CRISTIANO MACHADO, 11833 - SHOPPING ESTACAO BH - MGCO266750</t>
  </si>
  <si>
    <t>-19.821152 , -43.9475531</t>
  </si>
  <si>
    <t>MGCO266750</t>
  </si>
  <si>
    <t>47960950182564</t>
  </si>
  <si>
    <t>1853</t>
  </si>
  <si>
    <t>TIM - AVENIDA ARNIQUEIRA QS 1 RUA 210 LOTE 40, S/N - SHOPPING TAGUATINGA - MGCO5649</t>
  </si>
  <si>
    <t>SALOES 1028/ 1029</t>
  </si>
  <si>
    <t>MGCO5649</t>
  </si>
  <si>
    <t>2421421014171</t>
  </si>
  <si>
    <t>C005</t>
  </si>
  <si>
    <t>TIM - AVENIDA DEPUTADO JAMEL CECILIO, 3300 - SHOPPING FLAMBOYANT - MGCO7180</t>
  </si>
  <si>
    <t>LOJAS 246 E 250</t>
  </si>
  <si>
    <t>MGCO7180</t>
  </si>
  <si>
    <t>2421421016891</t>
  </si>
  <si>
    <t>C055</t>
  </si>
  <si>
    <t>TIM - AVENIDA CRISTIANO MACHADO, 4000 - SHOPPING MINAS - MGCO7183</t>
  </si>
  <si>
    <t>LOJAS 180 / 181</t>
  </si>
  <si>
    <t>MGCO7183</t>
  </si>
  <si>
    <t>02421421017510</t>
  </si>
  <si>
    <t>C243</t>
  </si>
  <si>
    <t>TIM - RUA GERONCIO THIVES, 1079 - SHOPPING ITAGUACU - SUL7593</t>
  </si>
  <si>
    <t>RUA GERONCIO THIVES</t>
  </si>
  <si>
    <t>1079</t>
  </si>
  <si>
    <t>234</t>
  </si>
  <si>
    <t>BARREIROS</t>
  </si>
  <si>
    <t>88117900</t>
  </si>
  <si>
    <t>-27.585371 , -48.614143</t>
  </si>
  <si>
    <t>SUL7593</t>
  </si>
  <si>
    <t>2421421005504</t>
  </si>
  <si>
    <t>C108</t>
  </si>
  <si>
    <t>Shopping Itaguacu</t>
  </si>
  <si>
    <t>TIM - AVENIDA AFRANIO DE MELO FRANCO, 290 - SHOPPING LEBLON - RJES7534</t>
  </si>
  <si>
    <t>106 K, L, M</t>
  </si>
  <si>
    <t>RJES7534</t>
  </si>
  <si>
    <t>2421421005423</t>
  </si>
  <si>
    <t>C112</t>
  </si>
  <si>
    <t>TIM - AVENIDA DAS AMERICAS, 4666 (LOJA 1) - BARRA SHOPPING - RJES7220</t>
  </si>
  <si>
    <t>LOJA 120M</t>
  </si>
  <si>
    <t>RJES7220</t>
  </si>
  <si>
    <t>2421421007981</t>
  </si>
  <si>
    <t>C184</t>
  </si>
  <si>
    <t>COMMCENTER - AVENIDA ROQUE PETRONI JUNIOR, 1089 - SHOPPING MORUMBI - SPC6357</t>
  </si>
  <si>
    <t>LUC 113 A/S</t>
  </si>
  <si>
    <t>SPC6357</t>
  </si>
  <si>
    <t>5828732016272</t>
  </si>
  <si>
    <t>VIVO - AVENIDA IBIRAPUERA, 3103 - SHOPPING IBIRAPUERA - SPC7260</t>
  </si>
  <si>
    <t>SPC7260</t>
  </si>
  <si>
    <t>2558157006870</t>
  </si>
  <si>
    <t>LOJA SHOPPING IBIRAPUERA SP</t>
  </si>
  <si>
    <t>BEMOL - AVENIDA AUTAZ MIRIM, 114 - SHOPPING GRANDE CIRCULAR - N21802</t>
  </si>
  <si>
    <t>AVENIDA AUTAZ MIRIM</t>
  </si>
  <si>
    <t>LOJA B2 E B3</t>
  </si>
  <si>
    <t>SAO JOSE OPERARIO</t>
  </si>
  <si>
    <t>69085970</t>
  </si>
  <si>
    <t>-3.063187, -59.9502013</t>
  </si>
  <si>
    <t>N21802</t>
  </si>
  <si>
    <t>04565289002786</t>
  </si>
  <si>
    <t>Grande Circular</t>
  </si>
  <si>
    <t>Shopping Grande Circular</t>
  </si>
  <si>
    <t>BEMOL - AVENIDA TORQUATO TAPAJOS, 8251 - ZONA COMERCIAL - N45443</t>
  </si>
  <si>
    <t>AVENIDA TORQUATO TAPAJOS</t>
  </si>
  <si>
    <t>8251</t>
  </si>
  <si>
    <t>TARUMA</t>
  </si>
  <si>
    <t>69041025</t>
  </si>
  <si>
    <t>-3.0067289 , -60.0336252</t>
  </si>
  <si>
    <t>N45443</t>
  </si>
  <si>
    <t>4565289000902</t>
  </si>
  <si>
    <t>Torquato</t>
  </si>
  <si>
    <t>CARREFOUR - AVENIDA CORONEL FERNANDO FERREIRA LEITE, 1540 - RIBEIRAO SHOPPING - SPI6603</t>
  </si>
  <si>
    <t>AVENIDA CORONEL FERNANDO FERREIRA LEITE</t>
  </si>
  <si>
    <t>1540</t>
  </si>
  <si>
    <t>JARDIM CALIFORNIA</t>
  </si>
  <si>
    <t>14026900</t>
  </si>
  <si>
    <t>-21.212465 , -47.815414</t>
  </si>
  <si>
    <t>SPI6603</t>
  </si>
  <si>
    <t>45543915001820</t>
  </si>
  <si>
    <t>RPS</t>
  </si>
  <si>
    <t>Shopping Ribeirao</t>
  </si>
  <si>
    <t>CASA &amp; VIDEO - RUA CURITIBA, 631 - MGCO237800</t>
  </si>
  <si>
    <t>631</t>
  </si>
  <si>
    <t>-19.9183407, -43.940976</t>
  </si>
  <si>
    <t>MGCO237800</t>
  </si>
  <si>
    <t>11114284030232</t>
  </si>
  <si>
    <t>CASAS BAHIA - RUA CAMPOS SALES, 95 - ZONA COMERCIAL - SPC11242</t>
  </si>
  <si>
    <t>RUA CAMPOS SALES</t>
  </si>
  <si>
    <t>95</t>
  </si>
  <si>
    <t>GAL.GLICERIO196/204</t>
  </si>
  <si>
    <t>9015200</t>
  </si>
  <si>
    <t>-23.655582 , -46.527775</t>
  </si>
  <si>
    <t>SPC11242</t>
  </si>
  <si>
    <t>33041260120224</t>
  </si>
  <si>
    <t>1147</t>
  </si>
  <si>
    <t>CASAS BAHIA - RUA 7 DE SETEMBRO, 352 - ZONA COMERCIAL - SPI18807</t>
  </si>
  <si>
    <t>RUA SETE DE SETEMBRO</t>
  </si>
  <si>
    <t>352</t>
  </si>
  <si>
    <t>R.JOSE MARIA MIRANDA</t>
  </si>
  <si>
    <t>13170036</t>
  </si>
  <si>
    <t>-22.823545 , -47.267147</t>
  </si>
  <si>
    <t>SPI18807</t>
  </si>
  <si>
    <t>33041260092344</t>
  </si>
  <si>
    <t>1136</t>
  </si>
  <si>
    <t>CASAS BAHIA - RODOVIA SC 401, 3116 - FLORIPA SHOPPING - SUL42708</t>
  </si>
  <si>
    <t>LUC'S 232/233/234</t>
  </si>
  <si>
    <t>SUL42708</t>
  </si>
  <si>
    <t>33041260150646</t>
  </si>
  <si>
    <t>1804</t>
  </si>
  <si>
    <t>CASAS BAHIA - AVENIDA PASTOR MARTIN LUTHER KING JUNIOR, 126 - SHOPPING NOVA AMERICA - RJES6078</t>
  </si>
  <si>
    <t>PARTES H E F,TÉRREO</t>
  </si>
  <si>
    <t>20765000</t>
  </si>
  <si>
    <t>RJES6078</t>
  </si>
  <si>
    <t>33041260086700</t>
  </si>
  <si>
    <t>1416</t>
  </si>
  <si>
    <t>CLARO - AVENIDA CANDIDO DE ABREU, 127 - SHOPPING MUELLER - SUL6910</t>
  </si>
  <si>
    <t>LOJA S S01</t>
  </si>
  <si>
    <t>SUL6910</t>
  </si>
  <si>
    <t>40432544014873</t>
  </si>
  <si>
    <t>4105</t>
  </si>
  <si>
    <t>LOJAS AMERICANAS - AVENIDA DEPUTADO JAMEL CECILIO, 3300 - SHOPPING FLAMBOYANT - MGCO6834</t>
  </si>
  <si>
    <t>LOJA 255</t>
  </si>
  <si>
    <t>MGCO6834</t>
  </si>
  <si>
    <t>776574130440</t>
  </si>
  <si>
    <t>L128</t>
  </si>
  <si>
    <t>LOJAS CEM - RUA BARAO DE JUNDIAI, 923 - ZONA COMERCIAL - SPI63596</t>
  </si>
  <si>
    <t>RUA BARAO DE JUNDIAI</t>
  </si>
  <si>
    <t>923</t>
  </si>
  <si>
    <t>Jundiaí</t>
  </si>
  <si>
    <t>13201012</t>
  </si>
  <si>
    <t>-23.18712 , -46.885452</t>
  </si>
  <si>
    <t>SPI63596</t>
  </si>
  <si>
    <t>56642960024556</t>
  </si>
  <si>
    <t>JUNDCE</t>
  </si>
  <si>
    <t>MAGAZINE LUIZA - AVENIDA FRANCISCO GLICERIO, 1057 - ZONA COMERCIAL - SPI6640</t>
  </si>
  <si>
    <t>AVENIDA FRANCISCO GLICERIO</t>
  </si>
  <si>
    <t>1091</t>
  </si>
  <si>
    <t>13012000</t>
  </si>
  <si>
    <t>-22.905275 , -47.059685</t>
  </si>
  <si>
    <t>SPI6640</t>
  </si>
  <si>
    <t>47960950004976</t>
  </si>
  <si>
    <t>32</t>
  </si>
  <si>
    <t>PONTO FRIO - AVENIDA MIRANDELA, 89 - ZONA COMERCIAL - RJES10198</t>
  </si>
  <si>
    <t>ESTRADA MIRANDELA</t>
  </si>
  <si>
    <t>89</t>
  </si>
  <si>
    <t>RUA A.P.FILGUEIRAS</t>
  </si>
  <si>
    <t>-22.8086932 , -43.4163934</t>
  </si>
  <si>
    <t>RJES10198</t>
  </si>
  <si>
    <t>33041260017563</t>
  </si>
  <si>
    <t>133</t>
  </si>
  <si>
    <t>AQUILON JUFAP (TIM) - TRAVESSA CASALBUONO, 120 - SHOPPING CENTER NORTE - SPC238120</t>
  </si>
  <si>
    <t>Vila Guilherme</t>
  </si>
  <si>
    <t>2049000</t>
  </si>
  <si>
    <t>SPC238120</t>
  </si>
  <si>
    <t>81214819004140</t>
  </si>
  <si>
    <t>JUFAP - SHOPPING CENTER NORTE - SAP (41574)</t>
  </si>
  <si>
    <t>TIM - RODOVIA BR 101 KM 211, S/N - CONTINENTE PARK SHOPPING - SUL7027</t>
  </si>
  <si>
    <t>SUL7027</t>
  </si>
  <si>
    <t>2421421007396</t>
  </si>
  <si>
    <t>C255</t>
  </si>
  <si>
    <t>TIM - AVENIDA IZORAIDA MARQUES PERES, 401 - SHOPPING IGUATEMI ESPLANADA - SPI7691</t>
  </si>
  <si>
    <t>420 / 421</t>
  </si>
  <si>
    <t>-23.5336612, -47.4634434</t>
  </si>
  <si>
    <t>SPI7691</t>
  </si>
  <si>
    <t>2421421023081</t>
  </si>
  <si>
    <t>C122</t>
  </si>
  <si>
    <t>TIM - AVENIDA DJALMA BATISTA, 482 - AMAZONAS SHOPPING - N10239</t>
  </si>
  <si>
    <t>LOJA 117/118</t>
  </si>
  <si>
    <t>N10239</t>
  </si>
  <si>
    <t>2421421019726</t>
  </si>
  <si>
    <t>C006</t>
  </si>
  <si>
    <t>TIM - AVENIDA TANCREDO NEVES, 148 - SHOPPING DA BAHIA - NE7161</t>
  </si>
  <si>
    <t>-12.981203 , -38.465282</t>
  </si>
  <si>
    <t>NE7161</t>
  </si>
  <si>
    <t>2421421017944</t>
  </si>
  <si>
    <t>C251</t>
  </si>
  <si>
    <t>COMMCENTER - AVENIDA IZORAIDA MARQUES PERES, 401 - SHOPPING IGUATEMI ESPLANADA - SPI6535</t>
  </si>
  <si>
    <t>AVENIDA IZORAIDA MARQUES PERES</t>
  </si>
  <si>
    <t>PARQUE CAMPOLIM</t>
  </si>
  <si>
    <t>-23.5336612 , -47.4634434</t>
  </si>
  <si>
    <t>SPI6535</t>
  </si>
  <si>
    <t>5828732016000</t>
  </si>
  <si>
    <t>VIVO - AVENIDA ARNIQUEIRA QS 1 RUA 210 LOTE 40, S/N - SHOPPING TAGUATINGA - MGCO7171</t>
  </si>
  <si>
    <t>LJS 2001 E 2002 PART</t>
  </si>
  <si>
    <t>MGCO7171</t>
  </si>
  <si>
    <t>2558157041519</t>
  </si>
  <si>
    <t>LOJA SHOPPING TAGUATINGA DF</t>
  </si>
  <si>
    <t>VIVO - AVENIDA AFRANIO DE MELO FRANCO, 290 - SHOPPING LEBLON - RJES7221</t>
  </si>
  <si>
    <t>LOJA 106 N PARTE</t>
  </si>
  <si>
    <t>RJES7221</t>
  </si>
  <si>
    <t>2558157023537</t>
  </si>
  <si>
    <t>LOJA LEBLON RJ</t>
  </si>
  <si>
    <t>VIVO - AVENIDA DAS AMERICAS, 4666 (PISO 1) - BARRA SHOPPING - RJES22926</t>
  </si>
  <si>
    <t>LOJA: B-115</t>
  </si>
  <si>
    <t>22610102</t>
  </si>
  <si>
    <t>RJES22926</t>
  </si>
  <si>
    <t>2558157023618</t>
  </si>
  <si>
    <t>LOJA MEGASTORE BARRA SHOPPING RJ</t>
  </si>
  <si>
    <t>CARREFOUR - AVENIDA DJALMA BATISTA, 276 - ZONA COMERCIAL - N11591</t>
  </si>
  <si>
    <t>276</t>
  </si>
  <si>
    <t>NOSSA SENHORA DAS GRACAS</t>
  </si>
  <si>
    <t>-3.0778095 , -60.0225933</t>
  </si>
  <si>
    <t>N11591</t>
  </si>
  <si>
    <t>45543915010063</t>
  </si>
  <si>
    <t>MNS</t>
  </si>
  <si>
    <t>CASAS BAHIA - AVENIDA BARAO DE MAUA, 90 - ZONA COMERCIAL - SPC11007</t>
  </si>
  <si>
    <t>AVENIDA BARAO DE MAUA</t>
  </si>
  <si>
    <t>88</t>
  </si>
  <si>
    <t>90,LOTE 3,QUADRA 8</t>
  </si>
  <si>
    <t>9310000</t>
  </si>
  <si>
    <t>-23.666542 , -46.461231</t>
  </si>
  <si>
    <t>SPC11007</t>
  </si>
  <si>
    <t>33041260118750</t>
  </si>
  <si>
    <t>1150</t>
  </si>
  <si>
    <t>CASAS BAHIA - AVENIDA GENERAL DAVID SARNOFF, 5160 - SHOPPING ITAU POWER - MGCO5816</t>
  </si>
  <si>
    <t>AVENIDA GENERAL DAVID SARNOFF</t>
  </si>
  <si>
    <t>5160</t>
  </si>
  <si>
    <t>LOJAS 246/246 A</t>
  </si>
  <si>
    <t>CIDADE INDUSTRIAL</t>
  </si>
  <si>
    <t>Contagem</t>
  </si>
  <si>
    <t>32210110</t>
  </si>
  <si>
    <t>-19.948351 , -44.022659</t>
  </si>
  <si>
    <t>MGCO5816</t>
  </si>
  <si>
    <t>33041260135760</t>
  </si>
  <si>
    <t>1398</t>
  </si>
  <si>
    <t>Itaú Power Shopping</t>
  </si>
  <si>
    <t>CASAS BAHIA - AVENIDA RIO NEGRO, 1100 - SHOPPING FRANCA - SPI10729</t>
  </si>
  <si>
    <t>AVENIDA RIO NEGRO</t>
  </si>
  <si>
    <t>1100</t>
  </si>
  <si>
    <t>LOJA A 1</t>
  </si>
  <si>
    <t>ESTACAO</t>
  </si>
  <si>
    <t>Franca</t>
  </si>
  <si>
    <t>14406901</t>
  </si>
  <si>
    <t>-20.547791 , -47.416706</t>
  </si>
  <si>
    <t>SPI10729</t>
  </si>
  <si>
    <t>33041260122278</t>
  </si>
  <si>
    <t>1405</t>
  </si>
  <si>
    <t>Shopping Franca</t>
  </si>
  <si>
    <t>CASAS BAHIA - AVENIDA AFONSO PENA, 257 - ZONA COMERCIAL - MGCO10535</t>
  </si>
  <si>
    <t>257</t>
  </si>
  <si>
    <t>-18.921244 , -48.280045</t>
  </si>
  <si>
    <t>MGCO10535</t>
  </si>
  <si>
    <t>33041260130882</t>
  </si>
  <si>
    <t>1099</t>
  </si>
  <si>
    <t>CASAS BAHIA - RUA SILVA BUENO, 2153 - ZONA COMERCIAL - SPC11203</t>
  </si>
  <si>
    <t>2153</t>
  </si>
  <si>
    <t>4208052</t>
  </si>
  <si>
    <t>-23.5975521 , -46.6003589</t>
  </si>
  <si>
    <t>SPC11203</t>
  </si>
  <si>
    <t>33041260100380</t>
  </si>
  <si>
    <t>1050</t>
  </si>
  <si>
    <t>CLARO - AVENIDA ANDROMEDA, 227 - SHOPPING VALE SUL - SPI87501</t>
  </si>
  <si>
    <t>SUC 015</t>
  </si>
  <si>
    <t>SPI87501</t>
  </si>
  <si>
    <t>40432544091274</t>
  </si>
  <si>
    <t>19A3</t>
  </si>
  <si>
    <t>CLARO - AVENIDA CORONEL FERNANDO FERREIRA LEITE, 1540 - RIBEIRAO SHOPPING - SPI7318</t>
  </si>
  <si>
    <t>LOJA 103 E 104</t>
  </si>
  <si>
    <t>SPI7318</t>
  </si>
  <si>
    <t>40432544012900</t>
  </si>
  <si>
    <t>1905</t>
  </si>
  <si>
    <t>CLARO - TRAVESSA PADRE EUTIQUIO, 1078 - SHOPPING PATIO BELEM - N7353</t>
  </si>
  <si>
    <t>TRAVESSA PADRE EUTIQUIO</t>
  </si>
  <si>
    <t>1078</t>
  </si>
  <si>
    <t>LOJA 154</t>
  </si>
  <si>
    <t>BATISTA CAMPOS</t>
  </si>
  <si>
    <t>66023710</t>
  </si>
  <si>
    <t>-1.457946 , -48.494904</t>
  </si>
  <si>
    <t>N7353</t>
  </si>
  <si>
    <t>40432544025301</t>
  </si>
  <si>
    <t>9102</t>
  </si>
  <si>
    <t>Shopping Patio Belem</t>
  </si>
  <si>
    <t>FOTO NASCIMENTO - AVENIDA MARIO YPIRANGA, 1300 - SHOPPING MANAUARA - N11594</t>
  </si>
  <si>
    <t>LOJA 76</t>
  </si>
  <si>
    <t>N11594</t>
  </si>
  <si>
    <t>04356309000250</t>
  </si>
  <si>
    <t>LOJAS AMERICANAS - RUA BARAO DO RIO BRANCO, 922 - NE7423</t>
  </si>
  <si>
    <t>RUA BARAO DO RIO BRANCO</t>
  </si>
  <si>
    <t>922</t>
  </si>
  <si>
    <t>60025000</t>
  </si>
  <si>
    <t>-3.726473 , -38.528301</t>
  </si>
  <si>
    <t>NE7423</t>
  </si>
  <si>
    <t>776574013568</t>
  </si>
  <si>
    <t>L047</t>
  </si>
  <si>
    <t>LOJAS CEM - PRACA AFONSO PENA, 131 - ZONA COMERCIAL - SPI18384</t>
  </si>
  <si>
    <t>PRACA AFONSO PENA</t>
  </si>
  <si>
    <t>131</t>
  </si>
  <si>
    <t>12210090</t>
  </si>
  <si>
    <t>-23.185425 , -45.886532</t>
  </si>
  <si>
    <t>SPI18384</t>
  </si>
  <si>
    <t>56642960002820</t>
  </si>
  <si>
    <t>SJCAMP</t>
  </si>
  <si>
    <t>MAGAZINE LUIZA - RUA GENERAL GLICERIO, 2746 - ZONA COMERCIAL - SPI18933</t>
  </si>
  <si>
    <t>RUA GENERAL GLICERIO</t>
  </si>
  <si>
    <t>2746</t>
  </si>
  <si>
    <t>2752</t>
  </si>
  <si>
    <t>15015400</t>
  </si>
  <si>
    <t>-20.808908 , -49.379608</t>
  </si>
  <si>
    <t>SPI18933</t>
  </si>
  <si>
    <t>47960950003066</t>
  </si>
  <si>
    <t>20</t>
  </si>
  <si>
    <t>MAGAZINE LUIZA - AVENIDA PRESIDENTE ERNESTO GEISEL, 2300 - SHOPPING NORTE SUL PLAZA - MGCO5853</t>
  </si>
  <si>
    <t>AVENIDA PRESIDENTE ERNESTO GEISEL</t>
  </si>
  <si>
    <t>2300</t>
  </si>
  <si>
    <t>SAL COML. 76, 77, 78</t>
  </si>
  <si>
    <t>AMAMBAI</t>
  </si>
  <si>
    <t>Campo Grande</t>
  </si>
  <si>
    <t>MS</t>
  </si>
  <si>
    <t>79008411</t>
  </si>
  <si>
    <t>-20.480153 , -54.626563</t>
  </si>
  <si>
    <t>MGCO5853</t>
  </si>
  <si>
    <t>47960950058715</t>
  </si>
  <si>
    <t>586</t>
  </si>
  <si>
    <t>Shopping Norte Sul Plaza</t>
  </si>
  <si>
    <t>MAGAZINE LUIZA - AVENIDA MENINO MARCELO, 3800 - MACEIO PATIO SHOPPING - NE252430</t>
  </si>
  <si>
    <t>AVENIDA MENINO MARCELO</t>
  </si>
  <si>
    <t>3800</t>
  </si>
  <si>
    <t>LOJA 405</t>
  </si>
  <si>
    <t>CIDADE UNIVERSITÁRIA</t>
  </si>
  <si>
    <t>57073900</t>
  </si>
  <si>
    <t>-9.558755 , -35.746269</t>
  </si>
  <si>
    <t>NE252430</t>
  </si>
  <si>
    <t>47960950171015</t>
  </si>
  <si>
    <t>1362</t>
  </si>
  <si>
    <t>Maceio Patio Shopping</t>
  </si>
  <si>
    <t>MAGAZINE LUIZA - AVENIDA CRISTIANO MACHADO, 4000 - SHOPPING MINAS - MGCO7442</t>
  </si>
  <si>
    <t>LOJA 186</t>
  </si>
  <si>
    <t>MGCO7442</t>
  </si>
  <si>
    <t>47960950055376</t>
  </si>
  <si>
    <t>MAGAZINE LUIZA - RUA 15 DE NOVEMBRO, 2330 - ZONA COMERCIAL - SUL10028</t>
  </si>
  <si>
    <t>2330</t>
  </si>
  <si>
    <t>Campo Largo</t>
  </si>
  <si>
    <t>83601030</t>
  </si>
  <si>
    <t>-25.458696 , -49.530361</t>
  </si>
  <si>
    <t>SUL10028</t>
  </si>
  <si>
    <t>47960950067382</t>
  </si>
  <si>
    <t>MAGAZINE LUIZA - RUA RIO DE JANEIRO, 319 - ZONA COMERCIAL - MGCO5813</t>
  </si>
  <si>
    <t>RUA RIO DE JANEIRO</t>
  </si>
  <si>
    <t>319</t>
  </si>
  <si>
    <t>30160040</t>
  </si>
  <si>
    <t>-19.917181 , -43.938023</t>
  </si>
  <si>
    <t>MGCO5813</t>
  </si>
  <si>
    <t>47960950042983</t>
  </si>
  <si>
    <t>236</t>
  </si>
  <si>
    <t>MAGAZINE LUIZA - AVENIDA MARECHAL TITO, 4459 - ZONA COMERCIAL - SPC20306</t>
  </si>
  <si>
    <t>4459</t>
  </si>
  <si>
    <t>ITAIM PAULISTA</t>
  </si>
  <si>
    <t>-23.495388 , -46.403873</t>
  </si>
  <si>
    <t>SPC20306</t>
  </si>
  <si>
    <t>47960950051540</t>
  </si>
  <si>
    <t>543</t>
  </si>
  <si>
    <t>MAGAZINE LUIZA - AVENIDA VISCONDE DE SOUZA FRANCO, 776 - SHOPPING BOULEVARD BELEM - N241880</t>
  </si>
  <si>
    <t>AVENIDA VISCONDE DE SOUZA FRANCO</t>
  </si>
  <si>
    <t>776</t>
  </si>
  <si>
    <t>Reduto</t>
  </si>
  <si>
    <t>66053000</t>
  </si>
  <si>
    <t>-1.4463503, -48.4897195</t>
  </si>
  <si>
    <t>N241880</t>
  </si>
  <si>
    <t>47960950175436</t>
  </si>
  <si>
    <t>1365</t>
  </si>
  <si>
    <t>Shopping Boulevard Belem</t>
  </si>
  <si>
    <t>MAGAZINE LUIZA - AVENIDA ABILIO AUGUSTO TAVORA, 1111 - SHOPPING NOVA IGUACU - RJES243460</t>
  </si>
  <si>
    <t>AVENIDA ABILIO AUGUSTO TAVORA</t>
  </si>
  <si>
    <t>1111</t>
  </si>
  <si>
    <t>LUZ</t>
  </si>
  <si>
    <t>NOVA IGUAÇU</t>
  </si>
  <si>
    <t>26260045</t>
  </si>
  <si>
    <t>-22.761974 , -43.465343</t>
  </si>
  <si>
    <t>RJES243460</t>
  </si>
  <si>
    <t>47960950179261</t>
  </si>
  <si>
    <t>1634</t>
  </si>
  <si>
    <t>Shopping Nova Iguacu</t>
  </si>
  <si>
    <t>PONTO FRIO - AVENIDA CRISTIANO MACHADO, 11833 - SHOPPING ESTACAO BH - MGCO9908</t>
  </si>
  <si>
    <t>LUC 1035</t>
  </si>
  <si>
    <t>31760000</t>
  </si>
  <si>
    <t>-19.821007 , -43.947224</t>
  </si>
  <si>
    <t>MGCO9908</t>
  </si>
  <si>
    <t>33041260076810</t>
  </si>
  <si>
    <t>933</t>
  </si>
  <si>
    <t>ALEGRIA (TIM) - RUA PADRE CARAPUCEIRO, 777 - SHOPPING RECIFE - NE7358</t>
  </si>
  <si>
    <t>NE7358</t>
  </si>
  <si>
    <t>21683365005440</t>
  </si>
  <si>
    <t>ALEGRIA TELECOM - SHOPPING RECIFE - SAP (42770)</t>
  </si>
  <si>
    <t>TIM - AVENIDA MARIO YPIRANGA, 1300 - SHOPPING MANAUARA - N10229</t>
  </si>
  <si>
    <t>N10229</t>
  </si>
  <si>
    <t>2421421019807</t>
  </si>
  <si>
    <t>C197</t>
  </si>
  <si>
    <t>WORLD CELL - SAI/SO AREA 6580, S/N - PARK SHOPPING - MGCO5637</t>
  </si>
  <si>
    <t>QUIOSQUE D03 2 PISO</t>
  </si>
  <si>
    <t>MGCO5637</t>
  </si>
  <si>
    <t>5199395000117</t>
  </si>
  <si>
    <t>VIVO - AVENIDA CRISTIANO MACHADO, 4000 - SHOPPING MINAS - MGCO7186</t>
  </si>
  <si>
    <t>LOJA 106 PARTE</t>
  </si>
  <si>
    <t>31160900</t>
  </si>
  <si>
    <t>MGCO7186</t>
  </si>
  <si>
    <t>2558157050348</t>
  </si>
  <si>
    <t>LOJA MINAS SHOPPING MG</t>
  </si>
  <si>
    <t>VIVO - AVENIDA PRESIDENTE CARLOS LUZ, 3001 - SHOPPING DEL REY - MGCO7185</t>
  </si>
  <si>
    <t>LOJA 1062 PISO 1 P.</t>
  </si>
  <si>
    <t>31250900</t>
  </si>
  <si>
    <t>MGCO7185</t>
  </si>
  <si>
    <t>2558157047045</t>
  </si>
  <si>
    <t>LOJA SHOPPING DEL REY MG</t>
  </si>
  <si>
    <t>BEMOL - AVENIDA EDUARDO RIBEIRO, 423 - ZONA COMERCIAL - N10257</t>
  </si>
  <si>
    <t>AVENIDA EDUARDO RIBEIRO</t>
  </si>
  <si>
    <t>69010000</t>
  </si>
  <si>
    <t>-3.133611 , -60.024466</t>
  </si>
  <si>
    <t>N10257</t>
  </si>
  <si>
    <t>04565289000228</t>
  </si>
  <si>
    <t>Avenida</t>
  </si>
  <si>
    <t>CASAS BAHIA - RUA MARECHAL DEODORO, 1381 - ZONA COMERCIAL - SPC23498</t>
  </si>
  <si>
    <t>RUA MARECHAL DEODORO</t>
  </si>
  <si>
    <t>1381</t>
  </si>
  <si>
    <t>1387</t>
  </si>
  <si>
    <t>São Bernardo do Campo</t>
  </si>
  <si>
    <t>9710012</t>
  </si>
  <si>
    <t>-23.710409 , -46.550682</t>
  </si>
  <si>
    <t>SPC23498</t>
  </si>
  <si>
    <t>33041260119307</t>
  </si>
  <si>
    <t>1256</t>
  </si>
  <si>
    <t>CASAS BAHIA - RUA BARAO DE JUNDIAI, 966 - ZONA COMERCIAL - SPI20880</t>
  </si>
  <si>
    <t>954</t>
  </si>
  <si>
    <t>966</t>
  </si>
  <si>
    <t>-23.186798 , -46.885415</t>
  </si>
  <si>
    <t>SPI20880</t>
  </si>
  <si>
    <t>33041260095017</t>
  </si>
  <si>
    <t>CASAS BAHIA - AVENIDA MINISTRO EDGARD ROMERO, 37 - ZONA COMERCIAL - RJES11714</t>
  </si>
  <si>
    <t>RUA MINISTRO EDGARD ROMERO</t>
  </si>
  <si>
    <t>LOJA 37 B E C</t>
  </si>
  <si>
    <t>21360201</t>
  </si>
  <si>
    <t>-22.874891 , -43.338295</t>
  </si>
  <si>
    <t>RJES11714</t>
  </si>
  <si>
    <t>33041260085488</t>
  </si>
  <si>
    <t>1280</t>
  </si>
  <si>
    <t>CASAS BAHIA - RUA 14, 197 - ZONA COMERCIAL - RJES18930</t>
  </si>
  <si>
    <t>RUA QUATORZE</t>
  </si>
  <si>
    <t>2/3,SL 20,30,45,55</t>
  </si>
  <si>
    <t>VILA SANTA CECILIA</t>
  </si>
  <si>
    <t>Volta Redonda</t>
  </si>
  <si>
    <t>27259170</t>
  </si>
  <si>
    <t>-22.517715 , -44.10685</t>
  </si>
  <si>
    <t>RJES18930</t>
  </si>
  <si>
    <t>33041260088746</t>
  </si>
  <si>
    <t>1190</t>
  </si>
  <si>
    <t>CASAS BAHIA - AVENIDA HISTORIADOR RUBENS DE MENDONCA, 3300 - SHOPPING PANTANAL - MGCO40397</t>
  </si>
  <si>
    <t>AVENIDA HISTORIADOR RUBENS DE MENDONCA</t>
  </si>
  <si>
    <t>ANCORA 207 A</t>
  </si>
  <si>
    <t>JARDIM ACLIMACAO</t>
  </si>
  <si>
    <t>Cuiabá</t>
  </si>
  <si>
    <t>78050250</t>
  </si>
  <si>
    <t>-15.576378 , -56.072102</t>
  </si>
  <si>
    <t>MGCO40397</t>
  </si>
  <si>
    <t>33041260112981</t>
  </si>
  <si>
    <t>Shopping Pantanal</t>
  </si>
  <si>
    <t>CASAS BAHIA - AVENIDA PRESIDENTE ERNESTO GEISEL, 2300 - SHOPPING NORTE SUL PLAZA - MGCO11410</t>
  </si>
  <si>
    <t>SALAS 65 E 66</t>
  </si>
  <si>
    <t>MGCO11410</t>
  </si>
  <si>
    <t>33041260095793</t>
  </si>
  <si>
    <t>1664</t>
  </si>
  <si>
    <t>CASAS BAHIA - RODOVIA BA 526, 305 - SALVADOR NORTE SHOPPING - NE5568</t>
  </si>
  <si>
    <t>RODOVIA BA 526</t>
  </si>
  <si>
    <t>305</t>
  </si>
  <si>
    <t>PISO L1</t>
  </si>
  <si>
    <t>SAO CRISTOVAO</t>
  </si>
  <si>
    <t>41510000</t>
  </si>
  <si>
    <t>-12.908805 , -38.351109</t>
  </si>
  <si>
    <t>NE5568</t>
  </si>
  <si>
    <t>33041260138867</t>
  </si>
  <si>
    <t>Salvador Norte Shopping</t>
  </si>
  <si>
    <t>CASAS BAHIA - RUA SETE DE SETEMBRO, 23 - ZONA COMERCIAL - SPI87498</t>
  </si>
  <si>
    <t>AVENIDA DOUTOR JORGE TIBIRICA</t>
  </si>
  <si>
    <t>174</t>
  </si>
  <si>
    <t>Pindamonhangaba</t>
  </si>
  <si>
    <t>12400460</t>
  </si>
  <si>
    <t>-22.926764 , -45.462021</t>
  </si>
  <si>
    <t>SPI87498</t>
  </si>
  <si>
    <t>33041260123673</t>
  </si>
  <si>
    <t>1197</t>
  </si>
  <si>
    <t>CLARO - AVENIDA COMENDADOR GUSTAVO PAIVA, 2990 - MACEIO SHOPPING - NE10378</t>
  </si>
  <si>
    <t>LOJA 116 E 117</t>
  </si>
  <si>
    <t>-9.6487402 , -35.7177725</t>
  </si>
  <si>
    <t>NE10378</t>
  </si>
  <si>
    <t>40432544024240</t>
  </si>
  <si>
    <t>8204</t>
  </si>
  <si>
    <t>HAVAN - RODOVIA ANTONIO HEIL, 200 - ZONA COMERCIAL - SUL90600</t>
  </si>
  <si>
    <t>RODOVIA ANTONIO HEIL</t>
  </si>
  <si>
    <t>200</t>
  </si>
  <si>
    <t>Brusque</t>
  </si>
  <si>
    <t>88352500</t>
  </si>
  <si>
    <t>-27.099562 , -48.907708</t>
  </si>
  <si>
    <t>SUL90600</t>
  </si>
  <si>
    <t>79379491000183</t>
  </si>
  <si>
    <t>1 - BRUSQUE</t>
  </si>
  <si>
    <t>HAVAN</t>
  </si>
  <si>
    <t>INFO STORE - AVENIDA MARIO YPIRANGA, 1300 - SHOPPING MANAUARA - N11601</t>
  </si>
  <si>
    <t>LOJA L64</t>
  </si>
  <si>
    <t>N11601</t>
  </si>
  <si>
    <t>02337524000440</t>
  </si>
  <si>
    <t>INFO STORE</t>
  </si>
  <si>
    <t>LOJAS AMERICANAS - RUA MANOEL JOAO GONCALVES, 188 - RJES10342</t>
  </si>
  <si>
    <t>RUA MANOEL JOAO GONCALVES</t>
  </si>
  <si>
    <t>188</t>
  </si>
  <si>
    <t>24711080</t>
  </si>
  <si>
    <t>-22.8222942 , -43.0003947</t>
  </si>
  <si>
    <t>RJES10342</t>
  </si>
  <si>
    <t>776574035880</t>
  </si>
  <si>
    <t>L463</t>
  </si>
  <si>
    <t>LOJAS CEM - RUA PRIMEIRO DE AGOSTO, 556 - SPI6614</t>
  </si>
  <si>
    <t>556</t>
  </si>
  <si>
    <t>17010011</t>
  </si>
  <si>
    <t>-22.3219537, -49.0736427</t>
  </si>
  <si>
    <t>SPI6614</t>
  </si>
  <si>
    <t>56642960011659</t>
  </si>
  <si>
    <t>BAURU</t>
  </si>
  <si>
    <t>MAGAZINE LUIZA - AVENIDA CONEGO VASCONCELOS, 250 - RJES241110</t>
  </si>
  <si>
    <t>AVENIDA CONEGO VASCONCELOS</t>
  </si>
  <si>
    <t>250</t>
  </si>
  <si>
    <t>RIO DE JANEIRO</t>
  </si>
  <si>
    <t>21810012</t>
  </si>
  <si>
    <t>-22.8787239, -43.4670919</t>
  </si>
  <si>
    <t>RJES241110</t>
  </si>
  <si>
    <t>47960950176599</t>
  </si>
  <si>
    <t>1618</t>
  </si>
  <si>
    <t>PONTO FRIO - GOVERNADOR AMARAL PEIXOTO, 75 - ZONA COMERCIAL - RJES6052</t>
  </si>
  <si>
    <t>7579</t>
  </si>
  <si>
    <t>85,91 E 95</t>
  </si>
  <si>
    <t>-22.759842 , -43.448673</t>
  </si>
  <si>
    <t>RJES6052</t>
  </si>
  <si>
    <t>33041260002370</t>
  </si>
  <si>
    <t>TIM - SDN CNB CONJUNTO A T119, 2149 - SHOPPING CONJUNTO NACIONAL - MGCO7340</t>
  </si>
  <si>
    <t>LOJA T 115</t>
  </si>
  <si>
    <t>MGCO7340</t>
  </si>
  <si>
    <t>2421421013876</t>
  </si>
  <si>
    <t>C192</t>
  </si>
  <si>
    <t>IDEAL (VIVO) - AVENIDA BERNARDO VIEIRA, 3775 - SHOPPING MIDWAY MALL - NE261390</t>
  </si>
  <si>
    <t>NE261390</t>
  </si>
  <si>
    <t>8182334004637</t>
  </si>
  <si>
    <t>VIVO - AVENIDA DAS NACOES UNIDAS, 4777 - SHOPPING VILLA LOBOS - SPC7300</t>
  </si>
  <si>
    <t>AVENIDA DAS NACOES UNIDAS</t>
  </si>
  <si>
    <t>4777</t>
  </si>
  <si>
    <t>LOJA 106</t>
  </si>
  <si>
    <t>ALTO DE PINHEIROS</t>
  </si>
  <si>
    <t>5477000</t>
  </si>
  <si>
    <t>-23.551107 , -46.721973</t>
  </si>
  <si>
    <t>SPC7300</t>
  </si>
  <si>
    <t>2558157003692</t>
  </si>
  <si>
    <t>LOJA SHOPPING VILLA LOBOS SP</t>
  </si>
  <si>
    <t>Shopping Villa Lobos</t>
  </si>
  <si>
    <t>CASAS BAHIA - RUA DOUTOR FLORES, 59 - ZONA COMERCIAL - SUL46670</t>
  </si>
  <si>
    <t>75</t>
  </si>
  <si>
    <t>77,81 E 85</t>
  </si>
  <si>
    <t>-30.02785678900891 , -51.224912538605054</t>
  </si>
  <si>
    <t>SUL46670</t>
  </si>
  <si>
    <t>33041260039885</t>
  </si>
  <si>
    <t>1502</t>
  </si>
  <si>
    <t>CASAS BAHIA - AVENIDA AFONSO PENA, 217 - ZONA COMERCIAL - MGCO10534</t>
  </si>
  <si>
    <t>217</t>
  </si>
  <si>
    <t>233 E 239</t>
  </si>
  <si>
    <t>-18.92068 , -48.279777</t>
  </si>
  <si>
    <t>MGCO10534</t>
  </si>
  <si>
    <t>33041260129795</t>
  </si>
  <si>
    <t>1326</t>
  </si>
  <si>
    <t>CASAS BAHIA - RUA BARAO DE JUNDIAI, 782 - ZONA COMERCIAL - SPI10610</t>
  </si>
  <si>
    <t>782</t>
  </si>
  <si>
    <t>788</t>
  </si>
  <si>
    <t>13201011</t>
  </si>
  <si>
    <t>-23.187966 , -46.884442</t>
  </si>
  <si>
    <t>SPI10610</t>
  </si>
  <si>
    <t>33041260094800</t>
  </si>
  <si>
    <t>1214</t>
  </si>
  <si>
    <t>CASAS BAHIA - AVENIDA BELMIRA MARIM, 646 - ZONA COMERCIAL - SPC10026</t>
  </si>
  <si>
    <t>AVENIDA DONA BELMIRA MARIN</t>
  </si>
  <si>
    <t>646</t>
  </si>
  <si>
    <t>656</t>
  </si>
  <si>
    <t>PARQUE BRASIL</t>
  </si>
  <si>
    <t>4846000</t>
  </si>
  <si>
    <t>-23.736691 , -46.694122</t>
  </si>
  <si>
    <t>SPC10026</t>
  </si>
  <si>
    <t>33041260101190</t>
  </si>
  <si>
    <t>1211</t>
  </si>
  <si>
    <t>CASAS BAHIA - AVENIDA MARECHAL FLORIANO PEIXOTO, 22 - ZONA COMERCIAL - SPC7080</t>
  </si>
  <si>
    <t>AVENIDA MARECHAL FLORIANO PEIXOTO</t>
  </si>
  <si>
    <t>22</t>
  </si>
  <si>
    <t>24 E 26</t>
  </si>
  <si>
    <t>GONZAGA</t>
  </si>
  <si>
    <t>11060300</t>
  </si>
  <si>
    <t>-23.9671898 , -46.3361398</t>
  </si>
  <si>
    <t>SPC7080</t>
  </si>
  <si>
    <t>33041260093316</t>
  </si>
  <si>
    <t>1076</t>
  </si>
  <si>
    <t>PONTO CERTO - RUA 15 DE NOVEMBRO, 8 - SHOPPING PLAZA NITEROI - RJES6146</t>
  </si>
  <si>
    <t>LOJA 111</t>
  </si>
  <si>
    <t>RJES6146</t>
  </si>
  <si>
    <t>05142929000683</t>
  </si>
  <si>
    <t>CLARO - AVENIDA DAS NACOES UNIDAS, 4777 - SHOPPING VILLA LOBOS - SPC7299</t>
  </si>
  <si>
    <t>LOJA 126 E 127</t>
  </si>
  <si>
    <t>SPC7299</t>
  </si>
  <si>
    <t>40432544021497</t>
  </si>
  <si>
    <t>1137</t>
  </si>
  <si>
    <t>CLARO - AVENIDA MADRE BENVENUTA, 687 - VILLA ROMANA SHOPPING - SUL7592</t>
  </si>
  <si>
    <t>RUA MADRE BENVENUTA</t>
  </si>
  <si>
    <t>687</t>
  </si>
  <si>
    <t>LOJA 202</t>
  </si>
  <si>
    <t>88035000</t>
  </si>
  <si>
    <t>-27.590254 , -48.514919</t>
  </si>
  <si>
    <t>SUL7592</t>
  </si>
  <si>
    <t>40432544022973</t>
  </si>
  <si>
    <t>4806</t>
  </si>
  <si>
    <t>Villa Romana Shopping</t>
  </si>
  <si>
    <t>KOERICH - RUA BOCAIUVA, 2468 - BEIRAMAR SHOPPING - SUL7583</t>
  </si>
  <si>
    <t>LJS 114 E 115</t>
  </si>
  <si>
    <t>SUL7583</t>
  </si>
  <si>
    <t>86184074005967</t>
  </si>
  <si>
    <t>KOERICH</t>
  </si>
  <si>
    <t>LOJAS AMERICANAS - AVENIDA BERNARDO VIEIRA, 3775 (LOJA 1) - SHOPPING MIDWAY MALL - NE6208</t>
  </si>
  <si>
    <t>LOJA 108</t>
  </si>
  <si>
    <t>59015450</t>
  </si>
  <si>
    <t>NE6208</t>
  </si>
  <si>
    <t>776574157136</t>
  </si>
  <si>
    <t>L226</t>
  </si>
  <si>
    <t>LOJAS CEM - AVENIDA EMANCIPACAO, 75 - ZONA COMERCIAL - SPC23022</t>
  </si>
  <si>
    <t>AVENIDA EMANCIPACAO</t>
  </si>
  <si>
    <t>8570002</t>
  </si>
  <si>
    <t>-23.477692 , -46.353214</t>
  </si>
  <si>
    <t>SPC23022</t>
  </si>
  <si>
    <t>56642960006655</t>
  </si>
  <si>
    <t>ITAQUA</t>
  </si>
  <si>
    <t>LOJAS CEM - RUA GENERAL GLICERIO, 2718 - ZONA COMERCIAL - SPI7140</t>
  </si>
  <si>
    <t>2718</t>
  </si>
  <si>
    <t>-20.808891 , -49.379566</t>
  </si>
  <si>
    <t>SPI7140</t>
  </si>
  <si>
    <t>56642960010091</t>
  </si>
  <si>
    <t>SJRPRE</t>
  </si>
  <si>
    <t>LOJAS CEM - RUA MARQUES DE HERVAL, 601 - ZONA COMERCIAL - SPI20951</t>
  </si>
  <si>
    <t>RUA MARQUES DE HERVAL</t>
  </si>
  <si>
    <t>601</t>
  </si>
  <si>
    <t>12080250</t>
  </si>
  <si>
    <t>-23.026102 , -45.554245</t>
  </si>
  <si>
    <t>SPI20951</t>
  </si>
  <si>
    <t>56642960002749</t>
  </si>
  <si>
    <t>TAUBAT</t>
  </si>
  <si>
    <t>MAGAZINE LUIZA - BARAO DE JUNDIAI, 847 - ZONA COMERCIAL - SPI10606</t>
  </si>
  <si>
    <t>847</t>
  </si>
  <si>
    <t>853</t>
  </si>
  <si>
    <t>-23.189981 , -46.883259</t>
  </si>
  <si>
    <t>SPI10606</t>
  </si>
  <si>
    <t>47960950044170</t>
  </si>
  <si>
    <t>MAGAZINE LUIZA - MARECHAL FLORIANO PEIXOTO, 58 - ZONA COMERCIAL - SPC42865</t>
  </si>
  <si>
    <t>-23.967222 , -46.334855</t>
  </si>
  <si>
    <t>SPC42865</t>
  </si>
  <si>
    <t>47960950095670</t>
  </si>
  <si>
    <t>934</t>
  </si>
  <si>
    <t>MAGAZINE LUIZA - AVENIDA RIO NEGRO, 1100 - SHOPPING FRANCA - SPI6607</t>
  </si>
  <si>
    <t>SPI6607</t>
  </si>
  <si>
    <t>47960950006162</t>
  </si>
  <si>
    <t>48</t>
  </si>
  <si>
    <t>MAGAZINE LUIZA - RUA GENERAL FRANCISCO GLICERIO, 372 - ZONA COMERCIAL - SPC10061</t>
  </si>
  <si>
    <t>RUA GENERAL FRANCISCO GLICERIO</t>
  </si>
  <si>
    <t>372</t>
  </si>
  <si>
    <t>Suzano</t>
  </si>
  <si>
    <t>8674000</t>
  </si>
  <si>
    <t>-23.537829 , -46.309544</t>
  </si>
  <si>
    <t>SPC10061</t>
  </si>
  <si>
    <t>47960950052512</t>
  </si>
  <si>
    <t>548</t>
  </si>
  <si>
    <t>MAGAZINE LUIZA - AVENIDA NERO MACEDO, 400 - SHOPPING CIDADE JARDIM GOIANIA - MGCO250340</t>
  </si>
  <si>
    <t>AVENIDA NERO MACEDO</t>
  </si>
  <si>
    <t>400</t>
  </si>
  <si>
    <t>CIDADE JARDIM</t>
  </si>
  <si>
    <t>74423250</t>
  </si>
  <si>
    <t>-16.6827968,-49.3162823</t>
  </si>
  <si>
    <t>MGCO250340</t>
  </si>
  <si>
    <t>47960950112191</t>
  </si>
  <si>
    <t>Shopping Cidade Jardim Goiania</t>
  </si>
  <si>
    <t>PONTO FRIO - AVENIDA PRESIDENTE KENEDY, 1541 - ZONA COMERCIAL - RJES7511</t>
  </si>
  <si>
    <t>AVENIDA PRESIDENTE KENEDY</t>
  </si>
  <si>
    <t>1541</t>
  </si>
  <si>
    <t>25010001</t>
  </si>
  <si>
    <t>-22.7883729704649 , -43.310861709060305</t>
  </si>
  <si>
    <t>RJES7511</t>
  </si>
  <si>
    <t>33041260154633</t>
  </si>
  <si>
    <t>972</t>
  </si>
  <si>
    <t>PONTO FRIO - AVENIDA ABILIO AUGUSTO TAVORA, 1111 - SHOPPING NOVA IGUACU - RJES47477</t>
  </si>
  <si>
    <t>LOJA 3013</t>
  </si>
  <si>
    <t>-22.762785246201716 , -43.4651445165328</t>
  </si>
  <si>
    <t>RJES47477</t>
  </si>
  <si>
    <t>33041260163381</t>
  </si>
  <si>
    <t>TIM - AVENIDA RIO VERDE, S/N - SHOPPING BURITI - MGCO20096</t>
  </si>
  <si>
    <t>LOJA 268</t>
  </si>
  <si>
    <t>MGCO20096</t>
  </si>
  <si>
    <t>2421421016204</t>
  </si>
  <si>
    <t>C231</t>
  </si>
  <si>
    <t>TIM - AVENIDA REBOUCAS, 3970 - SHOPPING ELDORADO - SPC7304</t>
  </si>
  <si>
    <t>2° PISO LOJA 306</t>
  </si>
  <si>
    <t>SPC7304</t>
  </si>
  <si>
    <t>2421421011580</t>
  </si>
  <si>
    <t>C126</t>
  </si>
  <si>
    <t>TIM - AVENIDA COMENDADOR GUSTAVO PAIVA, 2990 - MACEIO SHOPPING - NE10376</t>
  </si>
  <si>
    <t>-9.6475585 , -35.7185841</t>
  </si>
  <si>
    <t>NE10376</t>
  </si>
  <si>
    <t>2421421023677</t>
  </si>
  <si>
    <t>C294</t>
  </si>
  <si>
    <t>COMMCENTER - AVENIDA REBOUCAS, 3970 - SHOPPING ELDORADO - SPC6393</t>
  </si>
  <si>
    <t>1º PISO,LOJA L 219</t>
  </si>
  <si>
    <t>SPC6393</t>
  </si>
  <si>
    <t>5828732014903</t>
  </si>
  <si>
    <t>VIVO - AVENIDA VISCONDE DE SOUZA FRANCO, 776 - SHOPPING BOULEVARD BELEM - N5898</t>
  </si>
  <si>
    <t>REDUTO</t>
  </si>
  <si>
    <t>-1.4461253 , -48.4897166</t>
  </si>
  <si>
    <t>N5898</t>
  </si>
  <si>
    <t>2558157074018</t>
  </si>
  <si>
    <t>LOJA SHOPPING BOULEVARD BELEM PA</t>
  </si>
  <si>
    <t>CARREFOUR - AVENIDA PEDRO AMERICO, 23 - ZONA COMERCIAL - SPC11464</t>
  </si>
  <si>
    <t>AVENIDA PEDRO AMERICO</t>
  </si>
  <si>
    <t>23</t>
  </si>
  <si>
    <t>9110560</t>
  </si>
  <si>
    <t>-23.6625048 , -46.51078099999999</t>
  </si>
  <si>
    <t>SPC11464</t>
  </si>
  <si>
    <t>45543915002982</t>
  </si>
  <si>
    <t>STA</t>
  </si>
  <si>
    <t>CASAS BAHIA - AVENIDA ABILIO AUGUSTO TAVORA, 1111 - SHOPPING NOVA IGUACU - RJES47476</t>
  </si>
  <si>
    <t>Loja 3023</t>
  </si>
  <si>
    <t>RJES47476</t>
  </si>
  <si>
    <t>33041260163039</t>
  </si>
  <si>
    <t>137</t>
  </si>
  <si>
    <t>CASAS BAHIA - RODOVIA WASHINGTON LUIZ, 2895 - SHOPPING CAXIAS - RJES10191</t>
  </si>
  <si>
    <t>LUC 206 A</t>
  </si>
  <si>
    <t>RJES10191</t>
  </si>
  <si>
    <t>33041260080176</t>
  </si>
  <si>
    <t>1199</t>
  </si>
  <si>
    <t>CASAS BAHIA - RUA FREI GASPAR, 365 - SHOPPING BRISAMAR - SPC85170</t>
  </si>
  <si>
    <t>RUA FREI GASPAR</t>
  </si>
  <si>
    <t>365</t>
  </si>
  <si>
    <t>LOJAS 112 E 116</t>
  </si>
  <si>
    <t>11310060</t>
  </si>
  <si>
    <t>-23.967634 , -46.383835</t>
  </si>
  <si>
    <t>SPC85170</t>
  </si>
  <si>
    <t>33041260061970</t>
  </si>
  <si>
    <t>1897</t>
  </si>
  <si>
    <t>Shopping Brisamar</t>
  </si>
  <si>
    <t>HS - AVENIDA PRESIDENTE KENNEDY, 1500 - NOVO SHOPPING RIBEIRAO - SPI257800</t>
  </si>
  <si>
    <t>RIBEIRANIA</t>
  </si>
  <si>
    <t>14096901</t>
  </si>
  <si>
    <t>-21.2066863 , -47.7659135</t>
  </si>
  <si>
    <t>SPI257800</t>
  </si>
  <si>
    <t>5923253005039</t>
  </si>
  <si>
    <t>Novo Shopping Ribeirao</t>
  </si>
  <si>
    <t>CLARO - AVENIDA PRESIDENTE KENNEDY, 1500 - NOVO SHOPPING - SPI7102</t>
  </si>
  <si>
    <t>LOJA 392</t>
  </si>
  <si>
    <t>RIBEIRÂNEA</t>
  </si>
  <si>
    <t>-21.20726 , -47.76759</t>
  </si>
  <si>
    <t>SPI7102</t>
  </si>
  <si>
    <t>40432544037067</t>
  </si>
  <si>
    <t>1954</t>
  </si>
  <si>
    <t>CLARO - AVENIDA PRAIA DE BELAS, 1181 - PRAIA DE BELAS SHOPPING CENTER - SUL7007</t>
  </si>
  <si>
    <t>LOJA 2042,2º PISO</t>
  </si>
  <si>
    <t>SUL7007</t>
  </si>
  <si>
    <t>40432544009012</t>
  </si>
  <si>
    <t>5107</t>
  </si>
  <si>
    <t>CLARO - AVENIDA DJALMA BATISTA, 482 - AMAZONAS SHOPPING - N10234</t>
  </si>
  <si>
    <t>LUC QA 37 2 PISO</t>
  </si>
  <si>
    <t>N10234</t>
  </si>
  <si>
    <t>40432544039515</t>
  </si>
  <si>
    <t>9208</t>
  </si>
  <si>
    <t>CLARO - AVENIDA VISCONDE DE SOUZA FRANCO, 776 - SHOPPING BOULEVARD BELEM - N7468</t>
  </si>
  <si>
    <t>N7468</t>
  </si>
  <si>
    <t>40432544028742</t>
  </si>
  <si>
    <t>9105</t>
  </si>
  <si>
    <t>LOJAS AMERICANAS - TRAVESSA PADRE EUTIQUIO, 1078 - SHOPPING PATIO BELEM - N5868</t>
  </si>
  <si>
    <t>ANCORA C</t>
  </si>
  <si>
    <t>N5868</t>
  </si>
  <si>
    <t>776574165317</t>
  </si>
  <si>
    <t>L102</t>
  </si>
  <si>
    <t>LOJAS AMERICANAS - AVENIDA DOM HELDER CAMARA, 5474 - NORTE SHOPPING - RJES7539</t>
  </si>
  <si>
    <t>LOJA 2301 PISO 01</t>
  </si>
  <si>
    <t>RJES7539</t>
  </si>
  <si>
    <t>776574089114</t>
  </si>
  <si>
    <t>L119</t>
  </si>
  <si>
    <t>LOJAS CEM - RUA ALFREDO SCHURIG, 34 - ZONA COMERCIAL - SPI18952</t>
  </si>
  <si>
    <t>34</t>
  </si>
  <si>
    <t>-23.30612 , -45.968193</t>
  </si>
  <si>
    <t>SPI18952</t>
  </si>
  <si>
    <t>56642960002668</t>
  </si>
  <si>
    <t>JACAR</t>
  </si>
  <si>
    <t>MAGAZINE LUIZA - RUA ANDRADE NEVES, 1767 - SUL259520</t>
  </si>
  <si>
    <t>RUA ANDRADE NEVES</t>
  </si>
  <si>
    <t>1767</t>
  </si>
  <si>
    <t>ANEXO R SETE DE SETEMBRO 351 E 351A</t>
  </si>
  <si>
    <t>Pelotas</t>
  </si>
  <si>
    <t>96020080</t>
  </si>
  <si>
    <t>-31.7678332,-52.344589</t>
  </si>
  <si>
    <t>SUL259520</t>
  </si>
  <si>
    <t>47960950186985</t>
  </si>
  <si>
    <t>MAGAZINE LUIZA - RUA PADRE PEDRO PINTO, 6631 - ZONA COMERCIAL - MGCO45348</t>
  </si>
  <si>
    <t>6631</t>
  </si>
  <si>
    <t>6637</t>
  </si>
  <si>
    <t>VILA SANTA BRANCA (VENDA NOVA)</t>
  </si>
  <si>
    <t>31570000</t>
  </si>
  <si>
    <t>-19.803184 , -43.999126</t>
  </si>
  <si>
    <t>MGCO45348</t>
  </si>
  <si>
    <t>47960950094606</t>
  </si>
  <si>
    <t>639</t>
  </si>
  <si>
    <t>MEGA STORE - AVENIDA MARIO YPIRANGA, 1300 - SHOPPING MANAUARA - N39729</t>
  </si>
  <si>
    <t>LOJA 71/72</t>
  </si>
  <si>
    <t>N39729</t>
  </si>
  <si>
    <t>02337524000602</t>
  </si>
  <si>
    <t>MEGA STORE</t>
  </si>
  <si>
    <t>TIM - RODOVIA BR 316 KM 01, S/N - SHOPPING CASTANHEIRA - N7466</t>
  </si>
  <si>
    <t>RODOVIA BR 316</t>
  </si>
  <si>
    <t>KM 01</t>
  </si>
  <si>
    <t>LOJA 185</t>
  </si>
  <si>
    <t>-1.402996 , -48.430798</t>
  </si>
  <si>
    <t>N7466</t>
  </si>
  <si>
    <t>02421421023596</t>
  </si>
  <si>
    <t>C090</t>
  </si>
  <si>
    <t>TIM - AVENIDA DOM HELDER CAMARA, 5474 (PISO 1) - NORTE SHOPPING - RJES7210</t>
  </si>
  <si>
    <t>LOJA 2703</t>
  </si>
  <si>
    <t>RJES7210</t>
  </si>
  <si>
    <t>2421421006586</t>
  </si>
  <si>
    <t>C185</t>
  </si>
  <si>
    <t>TIM - AVENIDA VISCONDE DE SOUZA FRANCO, 776 - SHOPPING BOULEVARD BELEM - N7467</t>
  </si>
  <si>
    <t>AVENIDA VISCONDE DE SOUSA FRANCO</t>
  </si>
  <si>
    <t>-1.446046 , -48.489464</t>
  </si>
  <si>
    <t>N7467</t>
  </si>
  <si>
    <t>2421421021461</t>
  </si>
  <si>
    <t>C051</t>
  </si>
  <si>
    <t>VIVO - AVENIDA IGUATEMI, 777 - SHOPPING IGUATEMI CAMPINAS - SPI7327</t>
  </si>
  <si>
    <t>SUC 22-10</t>
  </si>
  <si>
    <t>13092229</t>
  </si>
  <si>
    <t>SPI7327</t>
  </si>
  <si>
    <t>2558157008570</t>
  </si>
  <si>
    <t>LOJA CAMPINAS IGUATEMI SP</t>
  </si>
  <si>
    <t>VIVO - AVENIDA DEPUTADO JAMEL CECILIO, 3300 - SHOPPING FLAMBOYANT - MGCO7179</t>
  </si>
  <si>
    <t>PISO 1 LOJA 114 PART</t>
  </si>
  <si>
    <t>74810900</t>
  </si>
  <si>
    <t>MGCO7179</t>
  </si>
  <si>
    <t>2558157029659</t>
  </si>
  <si>
    <t>LOJA SHOPPING FLAMBOYANT GO</t>
  </si>
  <si>
    <t>VIVO - RUA DESEMBARGADOR LAURO NOGUEIRA, 1500 - SHOPPING RIO MAR - NE39976</t>
  </si>
  <si>
    <t>LOJA 1101 PISO L1</t>
  </si>
  <si>
    <t>NE39976</t>
  </si>
  <si>
    <t>2558157057270</t>
  </si>
  <si>
    <t>LOJA SHOPPING RIOMAR CE</t>
  </si>
  <si>
    <t>VIVO - AVENIDA CANDIDO DE ABREU, 127 - SHOPPING MUELLER - SUL7205</t>
  </si>
  <si>
    <t>LOJA ML 29 E 30</t>
  </si>
  <si>
    <t>SUL7205</t>
  </si>
  <si>
    <t>2558157019262</t>
  </si>
  <si>
    <t>LOJA MUELLER CURITIBA PR</t>
  </si>
  <si>
    <t>CARREFOUR - SETOR TERMINAL NORTE, 716 - SHOPPING BOULEVARD - MGCO11267</t>
  </si>
  <si>
    <t>SETOR TERMINAL NORTE</t>
  </si>
  <si>
    <t>716</t>
  </si>
  <si>
    <t>LOTE J</t>
  </si>
  <si>
    <t>70770916</t>
  </si>
  <si>
    <t>-15.734625781070957 , -47.898929672408634</t>
  </si>
  <si>
    <t>MGCO11267</t>
  </si>
  <si>
    <t>45543915038820</t>
  </si>
  <si>
    <t>BAN</t>
  </si>
  <si>
    <t>Boulevard Shopping Brasilia</t>
  </si>
  <si>
    <t>CARREFOUR - AVENIDA DIARIO DE NOTICIAS, 300 - BARRA SHOPPING SUL - SUL6249</t>
  </si>
  <si>
    <t>SUL6249</t>
  </si>
  <si>
    <t>45543915097916</t>
  </si>
  <si>
    <t>BPC</t>
  </si>
  <si>
    <t>CARREFOUR - AVENIDA MADRE BENVENUTA, 687 - VILLA ROMANA SHOPPING - SUL19956</t>
  </si>
  <si>
    <t>-27.5897538 , -48.5152812</t>
  </si>
  <si>
    <t>SUL19956</t>
  </si>
  <si>
    <t>45543915099706</t>
  </si>
  <si>
    <t>BFL</t>
  </si>
  <si>
    <t>CASAS BAHIA - RUA ERNESTO KHULMANN, 45 - ZONA COMERCIAL - SPI7681</t>
  </si>
  <si>
    <t>RUA DOUTOR ERNESTO KHULMANN</t>
  </si>
  <si>
    <t>45</t>
  </si>
  <si>
    <t>55</t>
  </si>
  <si>
    <t>13013010</t>
  </si>
  <si>
    <t>-22.906349 , -47.061604</t>
  </si>
  <si>
    <t>SPI7681</t>
  </si>
  <si>
    <t>33041260090724</t>
  </si>
  <si>
    <t>1266</t>
  </si>
  <si>
    <t>CASAS BAHIA - RUA MARECHAL DEODORO DA FONSECA, 158 - ZONA COMERCIAL - SPI64704</t>
  </si>
  <si>
    <t>RUA MARECHAL DEODORO DA FONSECA</t>
  </si>
  <si>
    <t>158</t>
  </si>
  <si>
    <t>162,168 E 178</t>
  </si>
  <si>
    <t>Araçatuba</t>
  </si>
  <si>
    <t>16010300</t>
  </si>
  <si>
    <t>-21.20631 , -50.440784</t>
  </si>
  <si>
    <t>SPI64704</t>
  </si>
  <si>
    <t>33041260109840</t>
  </si>
  <si>
    <t>1025</t>
  </si>
  <si>
    <t>CASAS BAHIA - AVENIDA CONEGO DE VASCONCELOS, 111 - ZONA COMERCIAL - RJES6728</t>
  </si>
  <si>
    <t>AVENIDA CONEGO DE VASCONCELOS</t>
  </si>
  <si>
    <t>R.SILVIA CARDOSO</t>
  </si>
  <si>
    <t>21810011</t>
  </si>
  <si>
    <t>-22.876474 , -43.464775</t>
  </si>
  <si>
    <t>RJES6728</t>
  </si>
  <si>
    <t>33041260085054</t>
  </si>
  <si>
    <t>1192</t>
  </si>
  <si>
    <t>CASAS BAHIA - RUA DONA PRIMITIVA VIANCO, 132 - ZONA COMERCIAL - SPC11253</t>
  </si>
  <si>
    <t>RUA DOUTOR PRIMITIVA VIANCO</t>
  </si>
  <si>
    <t>RUA ANTONIO AGU,165</t>
  </si>
  <si>
    <t>JARDIM AGU</t>
  </si>
  <si>
    <t>6016000</t>
  </si>
  <si>
    <t>-23.529551 , -46.77557</t>
  </si>
  <si>
    <t>SPC11253</t>
  </si>
  <si>
    <t>33041260097303</t>
  </si>
  <si>
    <t>1366</t>
  </si>
  <si>
    <t>CASAS BAHIA - AVENIDA LINEU MACHADO, 419 - NORTH SHOPPING JOQUEI - NE10995</t>
  </si>
  <si>
    <t>AVENIDA LINEU MACHADO</t>
  </si>
  <si>
    <t>419</t>
  </si>
  <si>
    <t>2033 E 2034</t>
  </si>
  <si>
    <t>JOQUEI CLUBE</t>
  </si>
  <si>
    <t>60520102</t>
  </si>
  <si>
    <t>-3.764631 , -38.574646</t>
  </si>
  <si>
    <t>NE10995</t>
  </si>
  <si>
    <t>33041260143941</t>
  </si>
  <si>
    <t>1739</t>
  </si>
  <si>
    <t>North Shopping Jóquei</t>
  </si>
  <si>
    <t>CASAS BAHIA - AVENIDA GUILHERME CAMPOS, 500 - SHOPPING PARQUE DOM PEDRO - SPI7708</t>
  </si>
  <si>
    <t>EUC L168, SETOR 2/B</t>
  </si>
  <si>
    <t>SPI7708</t>
  </si>
  <si>
    <t>33041260090805</t>
  </si>
  <si>
    <t>1480</t>
  </si>
  <si>
    <t>CLARO - AVENIDA GUILHERME CAMPOS, 500 - SHOPPING PARQUE DOM PEDRO - SPI7323</t>
  </si>
  <si>
    <t>SPI7323</t>
  </si>
  <si>
    <t>40432544041501</t>
  </si>
  <si>
    <t>1957</t>
  </si>
  <si>
    <t>CLARO - RUA HENRIQUE SAVI, 15 - SHOPPING BAURU - SPI7407</t>
  </si>
  <si>
    <t>LOJA 78/79</t>
  </si>
  <si>
    <t>SPI7407</t>
  </si>
  <si>
    <t>40432544012072</t>
  </si>
  <si>
    <t>1911</t>
  </si>
  <si>
    <t>LOJAS AMERICANAS - ALAMEDA EUVALDO LUZ, 92 - SHOPPING BELA VISTA - NE5567</t>
  </si>
  <si>
    <t>ALAMEDA EUVALDO LUZ</t>
  </si>
  <si>
    <t>92</t>
  </si>
  <si>
    <t>LOJA 60</t>
  </si>
  <si>
    <t>CABULA</t>
  </si>
  <si>
    <t>41150125</t>
  </si>
  <si>
    <t>-12.970481 , -38.473816</t>
  </si>
  <si>
    <t>NE5567</t>
  </si>
  <si>
    <t>776574127733</t>
  </si>
  <si>
    <t>L130</t>
  </si>
  <si>
    <t>Shopping Bela Vista</t>
  </si>
  <si>
    <t>LOJAS AMERICANAS - AVENIDA ANDROMEDA, 227 - SHOPPING VALE SUL - SPI20940</t>
  </si>
  <si>
    <t>SUC 112</t>
  </si>
  <si>
    <t>SPI20940</t>
  </si>
  <si>
    <t>776574068036</t>
  </si>
  <si>
    <t>L229</t>
  </si>
  <si>
    <t>LOJAS CEM - AVENIDA DOUTOR JORGE TIBIRICA, 199 - ZONA COMERCIAL - SPI87494</t>
  </si>
  <si>
    <t>199</t>
  </si>
  <si>
    <t>-22.926912 , -45.461983</t>
  </si>
  <si>
    <t>SPI87494</t>
  </si>
  <si>
    <t>56642960003397</t>
  </si>
  <si>
    <t>PINDA</t>
  </si>
  <si>
    <t>MAGAZINE LUIZA - PRIMEIRO DE AGOSTO, 632 - ZONA COMERCIAL - SPI6615</t>
  </si>
  <si>
    <t>6</t>
  </si>
  <si>
    <t>-22.321912, -49.073183</t>
  </si>
  <si>
    <t>SPI6615</t>
  </si>
  <si>
    <t>47960950007215</t>
  </si>
  <si>
    <t>56</t>
  </si>
  <si>
    <t>MAGAZINE LUIZA - RUA CURITIBA, 735 - ZONA COMERCIAL - MGCO7453</t>
  </si>
  <si>
    <t>745</t>
  </si>
  <si>
    <t>746,753 E 757</t>
  </si>
  <si>
    <t>-19.91935 , -43.941364</t>
  </si>
  <si>
    <t>MGCO7453</t>
  </si>
  <si>
    <t>47960950026783</t>
  </si>
  <si>
    <t>232</t>
  </si>
  <si>
    <t>MAGAZINE LUIZA - RUA CAPITAO JOSE LEITE, 6 - ZONA COMERCIAL - SPC21864</t>
  </si>
  <si>
    <t>-23.475382 , -46.352032</t>
  </si>
  <si>
    <t>SPC21864</t>
  </si>
  <si>
    <t>47960950049643</t>
  </si>
  <si>
    <t>519</t>
  </si>
  <si>
    <t>VIVO - AVENIDA PERIMETRAL NORTE, 8303 - SHOPPING PASSEIO DAS AGUAS - MGCO239130</t>
  </si>
  <si>
    <t>FAZENDA CAVEIRAS</t>
  </si>
  <si>
    <t>74593841</t>
  </si>
  <si>
    <t>-16.6295282, -49.278692</t>
  </si>
  <si>
    <t>MGCO239130</t>
  </si>
  <si>
    <t>2558157088078</t>
  </si>
  <si>
    <t>LOJA PASSEIO DAS AGUAS SHOPPING GO</t>
  </si>
  <si>
    <t>CASAS BAHIA - JOAQUIM LOPES MACEDO , 38 - ZONA COMERCIAL - RJES21013</t>
  </si>
  <si>
    <t>RUA JOAQUIM LOPES MACEDO</t>
  </si>
  <si>
    <t>25025050</t>
  </si>
  <si>
    <t>-22.786773069749596 , -43.31025312960816</t>
  </si>
  <si>
    <t>RJES21013</t>
  </si>
  <si>
    <t>33041260079836</t>
  </si>
  <si>
    <t>1131</t>
  </si>
  <si>
    <t>CASAS BAHIA - AVENIDA RUI BARBOSA, 357 - ZONA COMERCIAL - SPC6436</t>
  </si>
  <si>
    <t>AVENIDA RUI BARBOSA</t>
  </si>
  <si>
    <t>E 494</t>
  </si>
  <si>
    <t>Carapicuíba</t>
  </si>
  <si>
    <t>6311000</t>
  </si>
  <si>
    <t>-23.519768 , -46.837528</t>
  </si>
  <si>
    <t>SPC6436</t>
  </si>
  <si>
    <t>33041260096927</t>
  </si>
  <si>
    <t>1456</t>
  </si>
  <si>
    <t>CASAS BAHIA - RUA LUIS BALDINATO, S/N - ZONA COMERCIAL - SPC40001</t>
  </si>
  <si>
    <t>RUA LUIS BALDINATO</t>
  </si>
  <si>
    <t>LOTES 33 E 36</t>
  </si>
  <si>
    <t>JARDIM ANGELA</t>
  </si>
  <si>
    <t>4935100</t>
  </si>
  <si>
    <t>-23.683483 , -46.769119</t>
  </si>
  <si>
    <t>SPC40001</t>
  </si>
  <si>
    <t>33041260101351</t>
  </si>
  <si>
    <t>1252</t>
  </si>
  <si>
    <t>CASAS BAHIA - ALAMEDA EUVALDO LUZ, 92 - SHOPPING BELA VISTA - NE5566</t>
  </si>
  <si>
    <t>41098020</t>
  </si>
  <si>
    <t>NE5566</t>
  </si>
  <si>
    <t>33041260141655</t>
  </si>
  <si>
    <t>1687</t>
  </si>
  <si>
    <t>CELL NET - AVENIDA DEPUTADO JAMEL CECILIO, 3300 - SHOPPING FLAMBOYANT - MGCO87785</t>
  </si>
  <si>
    <t>LOJA P-106</t>
  </si>
  <si>
    <t>MGCO87785</t>
  </si>
  <si>
    <t>20247322009101</t>
  </si>
  <si>
    <t>CLARO - RUA DOUTOR MELO FREIRE, S/N - SHOPPING METRO TATUAPE - SPC7307</t>
  </si>
  <si>
    <t>LOJA 41,42 E 43</t>
  </si>
  <si>
    <t>SPC7307</t>
  </si>
  <si>
    <t>40432544003596</t>
  </si>
  <si>
    <t>1117</t>
  </si>
  <si>
    <t>CLARO - RUA PEDRO VIRIATO PARIGOT DE SOUZA, 600 - PARK SHOPPING BARIGUI - SUL7203</t>
  </si>
  <si>
    <t>RUA PROFESSOR PEDRO VIRIATO PARIGOT DE SOUZA</t>
  </si>
  <si>
    <t>2º PISO LOJA 168</t>
  </si>
  <si>
    <t>MOSSUNGUE</t>
  </si>
  <si>
    <t>81200100</t>
  </si>
  <si>
    <t>-25.435072 , -49.316608</t>
  </si>
  <si>
    <t>SUL7203</t>
  </si>
  <si>
    <t>40432544015098</t>
  </si>
  <si>
    <t>4103</t>
  </si>
  <si>
    <t>Park Shopping Barigui</t>
  </si>
  <si>
    <t>CLARO - AVENIDA PERIMETRAL NORTE, 8303 - SHOPPING PASSEIO DAS AGUAS - MGCO9358</t>
  </si>
  <si>
    <t>EUC L 77-A 78</t>
  </si>
  <si>
    <t>MGCO9358</t>
  </si>
  <si>
    <t>40432544052880</t>
  </si>
  <si>
    <t>6215</t>
  </si>
  <si>
    <t>FUJIOKA - AVENIDA RIO VERDE, S/N (LOJA 1) - SHOPPING BURITI - MGCO20081</t>
  </si>
  <si>
    <t>LOJA 133</t>
  </si>
  <si>
    <t>MGCO20081</t>
  </si>
  <si>
    <t>1008713005204</t>
  </si>
  <si>
    <t>BURITI SHOPPING RO VERDE</t>
  </si>
  <si>
    <t>MAGAZINE LUIZA - RUA DO COMERCIO, 193 - ZONA COMERCIAL - NE10676</t>
  </si>
  <si>
    <t>RUA DO COMERCIO</t>
  </si>
  <si>
    <t>193</t>
  </si>
  <si>
    <t>.</t>
  </si>
  <si>
    <t>57020000</t>
  </si>
  <si>
    <t>-9.665825 , -35.737125</t>
  </si>
  <si>
    <t>NE10676</t>
  </si>
  <si>
    <t>47960950082349</t>
  </si>
  <si>
    <t>753</t>
  </si>
  <si>
    <t>MAGAZINE LUIZA - QUADRA C7, 19 - MGCO233910</t>
  </si>
  <si>
    <t>QUADRA C7</t>
  </si>
  <si>
    <t>19</t>
  </si>
  <si>
    <t>LOTE 2/10 LOJA 1</t>
  </si>
  <si>
    <t>21010110</t>
  </si>
  <si>
    <t>-15.832619667892828 , -48.055273140261775</t>
  </si>
  <si>
    <t>MGCO233910</t>
  </si>
  <si>
    <t>47960950144476</t>
  </si>
  <si>
    <t>1529</t>
  </si>
  <si>
    <t>MAGAZINE LUIZA - AVENIDA BARAO DO RIO BRANCO, 2243 - ZONA COMERCIAL - MGCO10490</t>
  </si>
  <si>
    <t>AVENIDA BARAO DO RIO BRANCO</t>
  </si>
  <si>
    <t>2243</t>
  </si>
  <si>
    <t>Juiz de Fora</t>
  </si>
  <si>
    <t>36010010</t>
  </si>
  <si>
    <t>-21.761679 , -43.349499</t>
  </si>
  <si>
    <t>MGCO10490</t>
  </si>
  <si>
    <t>47960950023504</t>
  </si>
  <si>
    <t>219</t>
  </si>
  <si>
    <t>NAGEM - AVENIDA REPUBLICA DO LIBANO, 251 - SHOPPING RIO MAR - NE42287</t>
  </si>
  <si>
    <t>LOJA 1033 E 1034</t>
  </si>
  <si>
    <t>NE42287</t>
  </si>
  <si>
    <t>24073694003766</t>
  </si>
  <si>
    <t>LJ NG REC SH RIOMAR</t>
  </si>
  <si>
    <t>NAGEM</t>
  </si>
  <si>
    <t>PONTO FRIO - PRACA GETULIO VARGAS, 89 - ZONA COMERCIAL - RJES11804</t>
  </si>
  <si>
    <t>PRACA GETULIO VARGAS</t>
  </si>
  <si>
    <t>BELFORD ROXO</t>
  </si>
  <si>
    <t>Belford Roxo</t>
  </si>
  <si>
    <t>26130070</t>
  </si>
  <si>
    <t>-22.765121 , -43.4007</t>
  </si>
  <si>
    <t>RJES11804</t>
  </si>
  <si>
    <t>33041260018101</t>
  </si>
  <si>
    <t>ALEGRIA (TIM) - AVENIDA DOM HELDER CAMARA, 5474 - NORTE SHOPPING - RJES99834</t>
  </si>
  <si>
    <t>RJES99834</t>
  </si>
  <si>
    <t>21683365001614</t>
  </si>
  <si>
    <t>ALEGRIA NORTE SHOPPING - SAP (36279)</t>
  </si>
  <si>
    <t>ALEGRIA (TIM) - AVENIDA CRISTIANO MACHADO, 4000 - SHOPPING MINAS - MGCO288550</t>
  </si>
  <si>
    <t>UNIÃO</t>
  </si>
  <si>
    <t>MGCO288550</t>
  </si>
  <si>
    <t>60806001000583</t>
  </si>
  <si>
    <t>ALEGRIA MINAS - SAP (44464)</t>
  </si>
  <si>
    <t>TIM - AVENIDA PERIMETRAL NORTE, 8303 - SHOPPING PASSEIO DAS AGUAS - MGCO9361</t>
  </si>
  <si>
    <t>LOTE B EUC L 143</t>
  </si>
  <si>
    <t>MGCO9361</t>
  </si>
  <si>
    <t>2421421016620</t>
  </si>
  <si>
    <t>C268</t>
  </si>
  <si>
    <t>TIM - AVENIDA TANCREDO NEVES, 148 - SHOPPING DA BAHIA - NE39665</t>
  </si>
  <si>
    <t>JARDIM P</t>
  </si>
  <si>
    <t>NE39665</t>
  </si>
  <si>
    <t>2421421018673</t>
  </si>
  <si>
    <t>C170</t>
  </si>
  <si>
    <t>TIM - AVENIDA PASTOR MARTIN LUTHER KING JUNIOR, 126 - SHOPPING NOVA AMERICA - RJES9067</t>
  </si>
  <si>
    <t>LOJA 220</t>
  </si>
  <si>
    <t>-22.877981 , -43.271954</t>
  </si>
  <si>
    <t>RJES9067</t>
  </si>
  <si>
    <t>2421421005857</t>
  </si>
  <si>
    <t>C263</t>
  </si>
  <si>
    <t>COMMCENTER - AVENIDA IBIRAPUERA, 3103 - SHOPPING IBIRAPUERA - SPC6358</t>
  </si>
  <si>
    <t>SPC6358</t>
  </si>
  <si>
    <t>5828732016353</t>
  </si>
  <si>
    <t>BEMOL - RUA CORONEL JORGE TEIXEIRA, 7581 - ZONA COMERCIAL - N10262</t>
  </si>
  <si>
    <t>AVENIDA CORONEL JORGE TEIXEIRA</t>
  </si>
  <si>
    <t>7581</t>
  </si>
  <si>
    <t>PONTA  NEGRA</t>
  </si>
  <si>
    <t>69035510</t>
  </si>
  <si>
    <t>-3.090114 , -60.056985</t>
  </si>
  <si>
    <t>N10262</t>
  </si>
  <si>
    <t>04565289002867</t>
  </si>
  <si>
    <t>Ponta Negra DB</t>
  </si>
  <si>
    <t>CASAS BAHIA - RUA ALVARES MACHADO, 681 - ZONA COMERCIAL - SPI20893</t>
  </si>
  <si>
    <t>RUA ALVARES MACHADO</t>
  </si>
  <si>
    <t>681</t>
  </si>
  <si>
    <t>685,701 E 703</t>
  </si>
  <si>
    <t>13093071</t>
  </si>
  <si>
    <t>-22.909212 , -47.061108</t>
  </si>
  <si>
    <t>SPI20893</t>
  </si>
  <si>
    <t>33041260090643</t>
  </si>
  <si>
    <t>1049</t>
  </si>
  <si>
    <t>CASAS BAHIA - AVENIDA SENADOR TEOTONIO VILELA, 1324 - ZONA COMERCIAL - SPC10024</t>
  </si>
  <si>
    <t>AVENIDA SENADOR TEOTONIO VILELA</t>
  </si>
  <si>
    <t>1324</t>
  </si>
  <si>
    <t>1346</t>
  </si>
  <si>
    <t>CIDADE DUTRA</t>
  </si>
  <si>
    <t>4801000</t>
  </si>
  <si>
    <t>-23.712864 , -46.698524</t>
  </si>
  <si>
    <t>SPC10024</t>
  </si>
  <si>
    <t>33041260100894</t>
  </si>
  <si>
    <t>CASAS BAHIA - RUA FELIPE CARDOSO, S/N - ZONA COMERCIAL - RJES21074</t>
  </si>
  <si>
    <t>RUA FELIPE CARDOSO</t>
  </si>
  <si>
    <t>LOTE 1 E 448</t>
  </si>
  <si>
    <t>SANTA CRUZ</t>
  </si>
  <si>
    <t>23510000</t>
  </si>
  <si>
    <t>-22.91987 , -43.681911</t>
  </si>
  <si>
    <t>RJES21074</t>
  </si>
  <si>
    <t>33041260085216</t>
  </si>
  <si>
    <t>1249</t>
  </si>
  <si>
    <t>CLARO - AVENIDA REBOUCAS, 3970 (LOJA 1) - SHOPPING ELDORADO - SPC6390</t>
  </si>
  <si>
    <t>LOJA 136,1° PISO</t>
  </si>
  <si>
    <t>SPC6390</t>
  </si>
  <si>
    <t>40432544018356</t>
  </si>
  <si>
    <t>CLARO - SDN CNB CONJUNTO A T119, 2149 - SHOPPING CONJUNTO NACIONAL - MGCO22983</t>
  </si>
  <si>
    <t>LOJAS S54 E S55</t>
  </si>
  <si>
    <t>MGCO22983</t>
  </si>
  <si>
    <t>40432544047534</t>
  </si>
  <si>
    <t>6107</t>
  </si>
  <si>
    <t>CLARO - AVENIDA DOM HELDER CAMARA, 5474 - NORTE SHOPPING - RJES7212</t>
  </si>
  <si>
    <t>RJES7212</t>
  </si>
  <si>
    <t>40432544013710</t>
  </si>
  <si>
    <t>2114</t>
  </si>
  <si>
    <t>CLARO - AVENIDA BERNARDO VIEIRA, 3775 - SHOPPING MIDWAY MALL - NE6209</t>
  </si>
  <si>
    <t>-5.8112867 , -35.2062242</t>
  </si>
  <si>
    <t>NE6209</t>
  </si>
  <si>
    <t>40432544023945</t>
  </si>
  <si>
    <t>8405</t>
  </si>
  <si>
    <t>MAGAZINE LUIZA - AVENIDA GETULIO DORNELES VARGAS, 760 - ZONA COMERCIAL - SUL47429</t>
  </si>
  <si>
    <t>AVENIDA GETULIO DORNELES VARGAS</t>
  </si>
  <si>
    <t>760</t>
  </si>
  <si>
    <t>Chapecó</t>
  </si>
  <si>
    <t>89802002</t>
  </si>
  <si>
    <t>-27.097769 , -52.616089</t>
  </si>
  <si>
    <t>SUL47429</t>
  </si>
  <si>
    <t>47960950040859</t>
  </si>
  <si>
    <t>301</t>
  </si>
  <si>
    <t>MAGAZINE LUIZA - RUA ANDRADE NEVES, 1967 - ZONA COMERCIAL - SUL11144</t>
  </si>
  <si>
    <t>1967</t>
  </si>
  <si>
    <t>-31.76616929853199 , -52.34177832789038</t>
  </si>
  <si>
    <t>SUL11144</t>
  </si>
  <si>
    <t>47960950028727</t>
  </si>
  <si>
    <t>438</t>
  </si>
  <si>
    <t>MAGAZINE LUIZA - RUA CURITIBA, 569 - ZONA COMERCIAL - MGCO20615</t>
  </si>
  <si>
    <t>569</t>
  </si>
  <si>
    <t>-19.917227 , -43.940647</t>
  </si>
  <si>
    <t>MGCO20615</t>
  </si>
  <si>
    <t>47960950026279</t>
  </si>
  <si>
    <t>231</t>
  </si>
  <si>
    <t>MAGAZINE LUIZA - RUA DUQUE DE CAXIAS, 126 - ZONA COMERCIAL - SPI64453</t>
  </si>
  <si>
    <t>16010410</t>
  </si>
  <si>
    <t>-21.207203 , -50.44154</t>
  </si>
  <si>
    <t>SPI64453</t>
  </si>
  <si>
    <t>47960950003570</t>
  </si>
  <si>
    <t>35</t>
  </si>
  <si>
    <t>MAGAZINE LUIZA - RUA SILVA BUENO, 2342 - ZONA COMERCIAL - SPC7034</t>
  </si>
  <si>
    <t>2342</t>
  </si>
  <si>
    <t>-23.599415 , -46.60051</t>
  </si>
  <si>
    <t>SPC7034</t>
  </si>
  <si>
    <t>47960950050811</t>
  </si>
  <si>
    <t>538</t>
  </si>
  <si>
    <t>PONTO FRIO - AVENIDA DAS AMERICAS, 4666 - BARRA SHOPPING - RJES6058</t>
  </si>
  <si>
    <t>LUC 204 A 210 B</t>
  </si>
  <si>
    <t>RJES6058</t>
  </si>
  <si>
    <t>33041260147696</t>
  </si>
  <si>
    <t>TIM - AVENIDA JOAO WALLIG, 1800 - SHOPPING IGUATEMI PORTO ALEGRE - SUL7237</t>
  </si>
  <si>
    <t>LOJA 177</t>
  </si>
  <si>
    <t>SUL7237</t>
  </si>
  <si>
    <t>2421421017782</t>
  </si>
  <si>
    <t>C073</t>
  </si>
  <si>
    <t>TIM - TRAVESSA PADRE EUTIQUIO, 1078 - SHOPPING PATIO BELEM - N7352</t>
  </si>
  <si>
    <t>LOJA 105/ 106</t>
  </si>
  <si>
    <t>N7352</t>
  </si>
  <si>
    <t>2421421022190</t>
  </si>
  <si>
    <t>C081</t>
  </si>
  <si>
    <t>VIVO - AVENIDA CORONEL FERNANDO FERREIRA LEITE, 1540 - RIBEIRAO SHOPPING - SPI7320</t>
  </si>
  <si>
    <t>14026020</t>
  </si>
  <si>
    <t>SPI7320</t>
  </si>
  <si>
    <t>2558157016328</t>
  </si>
  <si>
    <t>LOJA RIBEIRAO SHOPPING SP</t>
  </si>
  <si>
    <t>CARREFOUR - RODOVIA BR 356, 3049 - SHOPPING BH - MGCO5803</t>
  </si>
  <si>
    <t>LOTE B</t>
  </si>
  <si>
    <t>MGCO5803</t>
  </si>
  <si>
    <t>45543915001315</t>
  </si>
  <si>
    <t>BHS</t>
  </si>
  <si>
    <t>CARREFOUR - AVENIDA ALBERTO AUGUSTO ALVES, 50 - ZONA COMERCIAL - SPC20238</t>
  </si>
  <si>
    <t>AVENIDA ALBERTO AUGUSTO ALVES</t>
  </si>
  <si>
    <t>50</t>
  </si>
  <si>
    <t>5724030</t>
  </si>
  <si>
    <t>-23.6423732 , -46.73513650000001</t>
  </si>
  <si>
    <t>SPC20238</t>
  </si>
  <si>
    <t>45543915006465</t>
  </si>
  <si>
    <t>SPG</t>
  </si>
  <si>
    <t>CASAS BAHIA - PRACA GETULIO VARGAS, 15 - ZONA COMERCIAL - RJES11803</t>
  </si>
  <si>
    <t>15</t>
  </si>
  <si>
    <t>69</t>
  </si>
  <si>
    <t>-22.7650808 , -43.4001089</t>
  </si>
  <si>
    <t>RJES11803</t>
  </si>
  <si>
    <t>33041260079160</t>
  </si>
  <si>
    <t>1143</t>
  </si>
  <si>
    <t>PONTO CERTO - AVENIDA DAS AMERICAS, 4666 - BARRA SHOPPING - RJES6954</t>
  </si>
  <si>
    <t>106 PARTE 17</t>
  </si>
  <si>
    <t>RJES6954</t>
  </si>
  <si>
    <t>05142929002627</t>
  </si>
  <si>
    <t>FLEX CELL - AVENIDA GOVERNADOR MARIO COVAS JUNIOR, 1 - SHOPPING MAUA PLAZA - SPC247110</t>
  </si>
  <si>
    <t>MAUÁ</t>
  </si>
  <si>
    <t>-23.6643755 , -46.4605808</t>
  </si>
  <si>
    <t>SPC247110</t>
  </si>
  <si>
    <t>3243382002205</t>
  </si>
  <si>
    <t>CLARO - AVENIDA CRISTIANO MACHADO, 4000 - SHOPPING MINAS - MGCO6872</t>
  </si>
  <si>
    <t>LOJA A 182 E 183</t>
  </si>
  <si>
    <t>MGCO6872</t>
  </si>
  <si>
    <t>40432544019832</t>
  </si>
  <si>
    <t>3102</t>
  </si>
  <si>
    <t>LOJAS AMERICANAS - AVENIDA IZORAIDA MARQUES PERES, 401 - SHOPPING IGUATEMI ESPLANADA - SPI10571</t>
  </si>
  <si>
    <t>LUC F</t>
  </si>
  <si>
    <t>SPI10571</t>
  </si>
  <si>
    <t>776574147920</t>
  </si>
  <si>
    <t>L125</t>
  </si>
  <si>
    <t>LOJAS CEM - SAO LUIZ, 943 - ZONA COMERCIAL - SPI6632</t>
  </si>
  <si>
    <t>RUA SAO LUIZ</t>
  </si>
  <si>
    <t>Marília</t>
  </si>
  <si>
    <t>17500002</t>
  </si>
  <si>
    <t>-22.215294 , -49.951328</t>
  </si>
  <si>
    <t>SPI6632</t>
  </si>
  <si>
    <t>56642960012701</t>
  </si>
  <si>
    <t>MARILA</t>
  </si>
  <si>
    <t>LOJAS CEM - AVENIDA RUI RODRIGUEZ, 711 - SPI249740</t>
  </si>
  <si>
    <t>AVENIDA RUI RODRIGUEZ</t>
  </si>
  <si>
    <t>711</t>
  </si>
  <si>
    <t>JARDIM NOVO CAMPOS ELÍSIOS</t>
  </si>
  <si>
    <t>CAMPINAS</t>
  </si>
  <si>
    <t>13060192</t>
  </si>
  <si>
    <t>-22.9368121,-47.1062427</t>
  </si>
  <si>
    <t>SPI249740</t>
  </si>
  <si>
    <t>56642960029353</t>
  </si>
  <si>
    <t>CAMELI</t>
  </si>
  <si>
    <t>MAGAZINE LUIZA - AVENIDA AMAZONAS, 714 - ZONA COMERCIAL - MGCO10455</t>
  </si>
  <si>
    <t>714</t>
  </si>
  <si>
    <t>32600065</t>
  </si>
  <si>
    <t>-19.96641 , -44.199291</t>
  </si>
  <si>
    <t>MGCO10455</t>
  </si>
  <si>
    <t>47960950026511</t>
  </si>
  <si>
    <t>237</t>
  </si>
  <si>
    <t>PONTO FRIO - AVENIDA GENERAL DAVID SARNOFF, 5160 - SHOPPING ITAU POWER - MGCO5820</t>
  </si>
  <si>
    <t>MGCO5820</t>
  </si>
  <si>
    <t>33041260048523</t>
  </si>
  <si>
    <t>428</t>
  </si>
  <si>
    <t>PONTO FRIO - AVENIDA AMERICO BUAIZ, 200 - SHOPPING VITORIA - RJES8816</t>
  </si>
  <si>
    <t>AVENIDA AMERICO BUAIZ</t>
  </si>
  <si>
    <t>ENSEADA DO SUA</t>
  </si>
  <si>
    <t>Vitória</t>
  </si>
  <si>
    <t>29050420</t>
  </si>
  <si>
    <t>-20.3118693 , -40.2876606</t>
  </si>
  <si>
    <t>RJES8816</t>
  </si>
  <si>
    <t>33041260017059</t>
  </si>
  <si>
    <t>Shopping Vitória</t>
  </si>
  <si>
    <t>COMMCENTER - AVENIDA DAS AMERICAS, 4666 - BARRA SHOPPING - RJES6037</t>
  </si>
  <si>
    <t>LOJA SS02</t>
  </si>
  <si>
    <t>-22.9976583, -43.3581268</t>
  </si>
  <si>
    <t>RJES6037</t>
  </si>
  <si>
    <t>5828732000600</t>
  </si>
  <si>
    <t>VIVO - RODOVIA BR 356, 3049 - SHOPPING BH - MGCO7189</t>
  </si>
  <si>
    <t>LOJA 27/28</t>
  </si>
  <si>
    <t>MGCO7189</t>
  </si>
  <si>
    <t>2558157046740</t>
  </si>
  <si>
    <t>LOJA BH SHOPPING MG</t>
  </si>
  <si>
    <t>VIVO - AVENIDA BERNARDO VIEIRA, 3775 - SHOPPING MIDWAY MALL - NE6215</t>
  </si>
  <si>
    <t>LOJA 250 PARTE</t>
  </si>
  <si>
    <t>NE6215</t>
  </si>
  <si>
    <t>2558157039107</t>
  </si>
  <si>
    <t>LOJA SHOPPING MIDWAY RN</t>
  </si>
  <si>
    <t>VIVO - RUA GERONCIO THIVES, 1079 - SHOPPING ITAGUACU - SUL6312</t>
  </si>
  <si>
    <t>SALA: 260 E 261</t>
  </si>
  <si>
    <t>88117200</t>
  </si>
  <si>
    <t>SUL6312</t>
  </si>
  <si>
    <t>2558157042671</t>
  </si>
  <si>
    <t>LOJA ITAGUACU SC</t>
  </si>
  <si>
    <t>VIVO - RUA PEDRO VIRIATO PARIGOT DE SOUZA, 600 - PARK SHOPPING BARIGUI - SUL7201</t>
  </si>
  <si>
    <t>LOJA 127</t>
  </si>
  <si>
    <t>SUL7201</t>
  </si>
  <si>
    <t>2558157019939</t>
  </si>
  <si>
    <t>LOJA BARIGUI PR</t>
  </si>
  <si>
    <t>BEMOL - PRACA ADALBERTO VALE, 32 - ZONA COMERCIAL - N18896</t>
  </si>
  <si>
    <t>PRACA ADALBERTO VALE</t>
  </si>
  <si>
    <t>A 76</t>
  </si>
  <si>
    <t>69005290</t>
  </si>
  <si>
    <t>-3.1379062113988216 , -60.0239261072708</t>
  </si>
  <si>
    <t>N18896</t>
  </si>
  <si>
    <t>04565289000147</t>
  </si>
  <si>
    <t>-</t>
  </si>
  <si>
    <t>CASAS BAHIA - RUA CURITIBA, 780 - ZONA COMERCIAL - MGCO7455</t>
  </si>
  <si>
    <t>780</t>
  </si>
  <si>
    <t>-19.91939 , -43.94149</t>
  </si>
  <si>
    <t>MGCO7455</t>
  </si>
  <si>
    <t>33041260132311</t>
  </si>
  <si>
    <t>1285</t>
  </si>
  <si>
    <t>CASAS BAHIA - RUA TUPINAMBAS, 346 - ZONA COMERCIAL - MGCO20631</t>
  </si>
  <si>
    <t>RUA TUPINAMBAS</t>
  </si>
  <si>
    <t>346</t>
  </si>
  <si>
    <t>31120070</t>
  </si>
  <si>
    <t>-19.917971 , -43.937552</t>
  </si>
  <si>
    <t>MGCO20631</t>
  </si>
  <si>
    <t>33041260131420</t>
  </si>
  <si>
    <t>1238</t>
  </si>
  <si>
    <t>CASAS BAHIA - RUA MARECHAL DEODORO, 987 - ZONA COMERCIAL - SPC6700</t>
  </si>
  <si>
    <t>987</t>
  </si>
  <si>
    <t>1001 E 1005</t>
  </si>
  <si>
    <t>9710011</t>
  </si>
  <si>
    <t>-23.706991 , -46.55117</t>
  </si>
  <si>
    <t>SPC6700</t>
  </si>
  <si>
    <t>33041260119137</t>
  </si>
  <si>
    <t>1009</t>
  </si>
  <si>
    <t>CASAS BAHIA - AVENIDA RECANTO DAS EMAS, 560 - ZONA COMERCIAL - MGCO19014</t>
  </si>
  <si>
    <t>AVENIDA RECANTO DAS EMAS</t>
  </si>
  <si>
    <t>QUADRA 103,LOTE 16</t>
  </si>
  <si>
    <t>RECANTO DAS EMAS</t>
  </si>
  <si>
    <t>72600321</t>
  </si>
  <si>
    <t>-15.902108 , -48.066711</t>
  </si>
  <si>
    <t>MGCO19014</t>
  </si>
  <si>
    <t>33041260112043</t>
  </si>
  <si>
    <t>1315</t>
  </si>
  <si>
    <t>CASAS BAHIA - ESTRADA DA COLINA, 1048 - SPC234770</t>
  </si>
  <si>
    <t>ESTRADA DA COLINA</t>
  </si>
  <si>
    <t>1048</t>
  </si>
  <si>
    <t>PARELHEIROS</t>
  </si>
  <si>
    <t>4892000</t>
  </si>
  <si>
    <t>-23.827441, -46.7287283</t>
  </si>
  <si>
    <t>SPC234770</t>
  </si>
  <si>
    <t>33041260184117</t>
  </si>
  <si>
    <t>2227</t>
  </si>
  <si>
    <t>CLARO - AVENIDA DOUTOR CHUCRI ZAIDAN, 902 - SHOPPING MARKET PLACE - SPC7390</t>
  </si>
  <si>
    <t>4707120</t>
  </si>
  <si>
    <t>SPC7390</t>
  </si>
  <si>
    <t>40432544020849</t>
  </si>
  <si>
    <t>CLARO - AVENIDA T10, 1300 - SHOPPING GOIANIA - MGCO18516</t>
  </si>
  <si>
    <t>AVENIDA T-010</t>
  </si>
  <si>
    <t>LT.10/15-SL.108/109</t>
  </si>
  <si>
    <t>SETOR BUENO</t>
  </si>
  <si>
    <t>74223060</t>
  </si>
  <si>
    <t>-16.707958 , -49.272953</t>
  </si>
  <si>
    <t>MGCO18516</t>
  </si>
  <si>
    <t>40432544049820</t>
  </si>
  <si>
    <t>6203</t>
  </si>
  <si>
    <t>Goiânia Shopping</t>
  </si>
  <si>
    <t>HAVAN - RUA XAVIER DA SILVA, 1400 - ZONA COMERCIAL - SUL18763</t>
  </si>
  <si>
    <t>RUA XAVIER DA SILVA</t>
  </si>
  <si>
    <t>83601010</t>
  </si>
  <si>
    <t>-25.455402 , -49.533707</t>
  </si>
  <si>
    <t>SUL18763</t>
  </si>
  <si>
    <t>79379491004413</t>
  </si>
  <si>
    <t>44 - CAMPO LARGO</t>
  </si>
  <si>
    <t>LOJAS AMERICANAS - AVENIDA GUILHERME CAMPOS, 500 - SHOPPING PARQUE DOM PEDRO - SPI20753</t>
  </si>
  <si>
    <t>LOJAS L 179 E 180</t>
  </si>
  <si>
    <t>SPI20753</t>
  </si>
  <si>
    <t>776574057697</t>
  </si>
  <si>
    <t>L195</t>
  </si>
  <si>
    <t>LOJAS AMERICANAS - RODOVIA BR 356, 3049 - SHOPPING BH - MGCO5800</t>
  </si>
  <si>
    <t>LOJA 176</t>
  </si>
  <si>
    <t>30330000</t>
  </si>
  <si>
    <t>MGCO5800</t>
  </si>
  <si>
    <t>776574110768</t>
  </si>
  <si>
    <t>L040</t>
  </si>
  <si>
    <t>LOJAS AMERICANAS - RUA DAS OLIMPIADAS, 360 - SHOPPING VILA OLIMPIA - SPC11589</t>
  </si>
  <si>
    <t>RUA OLIMPIADAS</t>
  </si>
  <si>
    <t>360</t>
  </si>
  <si>
    <t>VILA OLIMPIA</t>
  </si>
  <si>
    <t>4551000</t>
  </si>
  <si>
    <t>-23.595387 , -46.686707</t>
  </si>
  <si>
    <t>SPC11589</t>
  </si>
  <si>
    <t>776574092840</t>
  </si>
  <si>
    <t>L073</t>
  </si>
  <si>
    <t>Shopping Vila Olímpia</t>
  </si>
  <si>
    <t>MAGAZINE LUIZA - AVENIDA PRESIDENTE KENNEDY, 1500 - NOVO SHOPPING - SPI7703</t>
  </si>
  <si>
    <t>ANCORA L</t>
  </si>
  <si>
    <t>SPI7703</t>
  </si>
  <si>
    <t>47960950013100</t>
  </si>
  <si>
    <t>MAGAZINE LUIZA - RUA 15 DE NOVEMBRO, 667 - ZONA COMERCIAL - SUL10132</t>
  </si>
  <si>
    <t>667</t>
  </si>
  <si>
    <t>Blumenau</t>
  </si>
  <si>
    <t>89010001</t>
  </si>
  <si>
    <t>-26.921371 , -49.062786</t>
  </si>
  <si>
    <t>SUL10132</t>
  </si>
  <si>
    <t>47960950043440</t>
  </si>
  <si>
    <t>468</t>
  </si>
  <si>
    <t>ALEGRIA (TIM) - AVENIDA ANDROMEDA, 277 - SHOPPING VALE SUL - SPI11006</t>
  </si>
  <si>
    <t>LJ SUC 109</t>
  </si>
  <si>
    <t>SPI11006</t>
  </si>
  <si>
    <t>21683365002858</t>
  </si>
  <si>
    <t>ALEGRIA - VALE SUL SHOPPING - SAP (39183)</t>
  </si>
  <si>
    <t>TIM - RODOVIA BR 356, 3049 - SHOPPING BH - MGCO7193</t>
  </si>
  <si>
    <t>MGCO7193</t>
  </si>
  <si>
    <t>2421421011075</t>
  </si>
  <si>
    <t>C147</t>
  </si>
  <si>
    <t>VIVO - SDN CNB CONJUNTO A T119, 2149 - SHOPPING CONJUNTO NACIONAL - MGCO5645</t>
  </si>
  <si>
    <t>LOJAS T77 E 75</t>
  </si>
  <si>
    <t>70077000</t>
  </si>
  <si>
    <t>-15.7915114 , -47.8856178</t>
  </si>
  <si>
    <t>MGCO5645</t>
  </si>
  <si>
    <t>2558157041780</t>
  </si>
  <si>
    <t>LOJA SHOPPING CNB DF</t>
  </si>
  <si>
    <t>VIVO - AVENIDA PRAIA DE BELAS, 1181 - PRAIA DE BELAS SHOPPING CENTER - SUL7241</t>
  </si>
  <si>
    <t>LOJA 1088</t>
  </si>
  <si>
    <t>SUL7241</t>
  </si>
  <si>
    <t>2558157036353</t>
  </si>
  <si>
    <t>LOJA PRAIA DE BELAS RS</t>
  </si>
  <si>
    <t>CASAS BAHIA - PRACA PRESIDENTE CASTELO BRANCO, 235 - ZONA COMERCIAL - SPC11011</t>
  </si>
  <si>
    <t>PRACA PRESIDENTE CASTELO BRANCO</t>
  </si>
  <si>
    <t>235</t>
  </si>
  <si>
    <t>251 E 261</t>
  </si>
  <si>
    <t>Diadema</t>
  </si>
  <si>
    <t>9911120</t>
  </si>
  <si>
    <t>-23.686491 , -46.624107</t>
  </si>
  <si>
    <t>SPC11011</t>
  </si>
  <si>
    <t>33041260118246</t>
  </si>
  <si>
    <t>1002</t>
  </si>
  <si>
    <t>CASAS BAHIA - RUA EPISCOPAL, 1041 - ZONA COMERCIAL - SPI8635</t>
  </si>
  <si>
    <t>RUA EPISCOPAL</t>
  </si>
  <si>
    <t>1041</t>
  </si>
  <si>
    <t>1071 E 1081</t>
  </si>
  <si>
    <t>NUCLEO RESIDENCIAL SILVIO VILARE</t>
  </si>
  <si>
    <t>São Carlos</t>
  </si>
  <si>
    <t>13560570</t>
  </si>
  <si>
    <t>-22.021448 , -47.891777</t>
  </si>
  <si>
    <t>SPI8635</t>
  </si>
  <si>
    <t>33041260122782</t>
  </si>
  <si>
    <t>1121</t>
  </si>
  <si>
    <t>CASAS BAHIA - AVENIDA VISCONDE DO RIO BRANCO, 360 - SHOPPING BAY MARKET - RJES9033</t>
  </si>
  <si>
    <t>AVENIDA VISCONDE DO RIO BRANCO</t>
  </si>
  <si>
    <t>L- 108-A/L-123 1 PAV</t>
  </si>
  <si>
    <t>24020002</t>
  </si>
  <si>
    <t>-22.892107 , -43.124722</t>
  </si>
  <si>
    <t>RJES9033</t>
  </si>
  <si>
    <t>33041260081571</t>
  </si>
  <si>
    <t>1184</t>
  </si>
  <si>
    <t>Shopping Bay Market</t>
  </si>
  <si>
    <t>CASAS BAHIA - RODOVIA BR 316 KM 01, KM 01 - SHOPPING CASTANHEIRA - N235160</t>
  </si>
  <si>
    <t>RODOVIA BR 316 KM 01</t>
  </si>
  <si>
    <t>-1.4025287 , -48.43133880000001</t>
  </si>
  <si>
    <t>N235160</t>
  </si>
  <si>
    <t>33041260187302</t>
  </si>
  <si>
    <t>2245</t>
  </si>
  <si>
    <t>CASAS BAHIA - AVENIDA DOUTOR ANTONIO MARIA LAET, 566 - SHOPPING TUCURUVI - SPC7841</t>
  </si>
  <si>
    <t>AVENIDA DOUTOR ANTONIO MARIA LAET</t>
  </si>
  <si>
    <t>566</t>
  </si>
  <si>
    <t>TUCURUVI</t>
  </si>
  <si>
    <t>2240000</t>
  </si>
  <si>
    <t>-23.479671 , -46.602486</t>
  </si>
  <si>
    <t>SPC7841</t>
  </si>
  <si>
    <t>33041260127741</t>
  </si>
  <si>
    <t>1709</t>
  </si>
  <si>
    <t>Shopping Metrô Tucuruvi</t>
  </si>
  <si>
    <t>D.R. CARDOSO (CLARO) - AVENIDA PRESIDENTE KENNEDY, 4121 - SHOPPING PALLADIUM - SUL263790</t>
  </si>
  <si>
    <t>LOJA 1130 ANDAR L1</t>
  </si>
  <si>
    <t>SUL263790</t>
  </si>
  <si>
    <t>18248878000530</t>
  </si>
  <si>
    <t>CLARO - AVENIDA TANCREDO NEVES, 148 - SHOPPING DA BAHIA - NE7330</t>
  </si>
  <si>
    <t>LOJA 20T</t>
  </si>
  <si>
    <t>NE7330</t>
  </si>
  <si>
    <t>40432544022701</t>
  </si>
  <si>
    <t>7108</t>
  </si>
  <si>
    <t>CLARO - AVENIDA DIARIO DE NOTICIAS, 300 - BARRA SHOPPING SUL - SUL7005</t>
  </si>
  <si>
    <t>LOJA 2017 E 2018</t>
  </si>
  <si>
    <t>SUL7005</t>
  </si>
  <si>
    <t>40432544026294</t>
  </si>
  <si>
    <t>5123</t>
  </si>
  <si>
    <t>FUJIOKA - SDN CNB CONJUNTO A T119, 2149 (T 18) - SHOPPING CONJUNTO NACIONAL - MGCO22981</t>
  </si>
  <si>
    <t>LOJA T18 TERREO</t>
  </si>
  <si>
    <t>MGCO22981</t>
  </si>
  <si>
    <t>01008713002965</t>
  </si>
  <si>
    <t>T - 18</t>
  </si>
  <si>
    <t>LOJAS AMERICANAS - AVENIDA GOVERNADOR ROBERTO SILVEIRA, 540 - TOP SHOPPING - RJES6158</t>
  </si>
  <si>
    <t>LOJAS 11 E 21</t>
  </si>
  <si>
    <t>RJES6158</t>
  </si>
  <si>
    <t>776574081210</t>
  </si>
  <si>
    <t>L131</t>
  </si>
  <si>
    <t>MAGAZINE LUIZA - RUA MARECHAL DEODORO, 952 - ZONA COMERCIAL - SPC7658</t>
  </si>
  <si>
    <t>952</t>
  </si>
  <si>
    <t>944</t>
  </si>
  <si>
    <t>9710001</t>
  </si>
  <si>
    <t>-23.706676 , -46.551247</t>
  </si>
  <si>
    <t>SPC7658</t>
  </si>
  <si>
    <t>47960950053675</t>
  </si>
  <si>
    <t>526</t>
  </si>
  <si>
    <t>CELMAX - AVENIDA DEPUTADO JAMEL CECILIO, 3300 - SHOPPING FLAMBOYANT - MGCO9841</t>
  </si>
  <si>
    <t>MGCO9841</t>
  </si>
  <si>
    <t>20881831000631</t>
  </si>
  <si>
    <t>F.M.M. ROCHA - RUA HENRIQUE SAVI, 15 - SHOPPING BAURU - SPI6611</t>
  </si>
  <si>
    <t>SPI6611</t>
  </si>
  <si>
    <t>11378319000414</t>
  </si>
  <si>
    <t>ROCHA TELECOM - BAURU SHOPPING - SAP (26169)</t>
  </si>
  <si>
    <t>TIM - AVENIDA PRAIA DE BELAS, 1181 - PRAIA DE BELAS SHOPPING CENTER - SUL7568</t>
  </si>
  <si>
    <t>PRAIADEBELAS</t>
  </si>
  <si>
    <t>-30.0500065 , -51.2288272</t>
  </si>
  <si>
    <t>SUL7568</t>
  </si>
  <si>
    <t>2421421015658</t>
  </si>
  <si>
    <t>C217</t>
  </si>
  <si>
    <t>VIVO - AVENIDA DJALMA BATISTA, 482 - AMAZONAS SHOPPING - N10240</t>
  </si>
  <si>
    <t>CHAPADA</t>
  </si>
  <si>
    <t>69050902</t>
  </si>
  <si>
    <t>-3.0944002 , -60.0226158</t>
  </si>
  <si>
    <t>N10240</t>
  </si>
  <si>
    <t>2558157081308</t>
  </si>
  <si>
    <t>LOJA AMAZONAS SHOPPING II AM</t>
  </si>
  <si>
    <t>CARREFOUR - AVENIDA T 09, 3874 - ZONA COMERCIAL - MGCO5750</t>
  </si>
  <si>
    <t>AVENIDA T. NOVE</t>
  </si>
  <si>
    <t>LOTE 1 B</t>
  </si>
  <si>
    <t>74310320</t>
  </si>
  <si>
    <t>-16.710217 , -49.296961</t>
  </si>
  <si>
    <t>MGCO5750</t>
  </si>
  <si>
    <t>45543915027896</t>
  </si>
  <si>
    <t>GSD</t>
  </si>
  <si>
    <t>CASAS BAHIA - AVENIDA GUILHERME COTCHING, 1442 - ZONA COMERCIAL - SPC20244</t>
  </si>
  <si>
    <t>AVENIDA GUILHERME COTCHING</t>
  </si>
  <si>
    <t>1442</t>
  </si>
  <si>
    <t>1452,BL A,B,C,TERREO</t>
  </si>
  <si>
    <t>ITABERABA</t>
  </si>
  <si>
    <t>2113012</t>
  </si>
  <si>
    <t>-23.516773 , -46.588364</t>
  </si>
  <si>
    <t>SPC20244</t>
  </si>
  <si>
    <t>33041260107554</t>
  </si>
  <si>
    <t>1061</t>
  </si>
  <si>
    <t>CASAS BAHIA - AVENIDA DOUTOR VICENTE MACHADO, 216 - SUL9177</t>
  </si>
  <si>
    <t>AVENIDA DOUTOR VICENTE MACHADO</t>
  </si>
  <si>
    <t>216</t>
  </si>
  <si>
    <t>Ponta Grossa</t>
  </si>
  <si>
    <t>84010000</t>
  </si>
  <si>
    <t>-25.094715 , -50.157494</t>
  </si>
  <si>
    <t>SUL9177</t>
  </si>
  <si>
    <t>33041260085720</t>
  </si>
  <si>
    <t>1133</t>
  </si>
  <si>
    <t>INFO STORE - AVENIDA DJALMA BATISTA, 482 - AMAZONAS SHOPPING - N11602</t>
  </si>
  <si>
    <t>LOJA 124 ANDAR 01</t>
  </si>
  <si>
    <t>N11602</t>
  </si>
  <si>
    <t>02337524000360</t>
  </si>
  <si>
    <t>LOJAS AMERICANAS - RUA SAO PAULO, 504 - MGCO20629</t>
  </si>
  <si>
    <t>RUA SAO PAULO</t>
  </si>
  <si>
    <t>504</t>
  </si>
  <si>
    <t>LOJAS 514, 516 E 522</t>
  </si>
  <si>
    <t>30170130</t>
  </si>
  <si>
    <t>-19.917967 , -43.939934</t>
  </si>
  <si>
    <t>MGCO20629</t>
  </si>
  <si>
    <t>776574049910</t>
  </si>
  <si>
    <t>L023</t>
  </si>
  <si>
    <t>LOJAS AMERICANAS - AVENIDA DOM HELDER CAMARA, 5474 (EXPRESS) - NORTE SHOPPING - RJES42607</t>
  </si>
  <si>
    <t>-22.885366 , -43.2812463</t>
  </si>
  <si>
    <t>RJES42607</t>
  </si>
  <si>
    <t>776574116375</t>
  </si>
  <si>
    <t>L900</t>
  </si>
  <si>
    <t>LOJAS CEM - PRACA JOAO PESSOA, 181 - ZONA COMERCIAL - SPC20212</t>
  </si>
  <si>
    <t>PRACA JOAO PESSOA</t>
  </si>
  <si>
    <t>181</t>
  </si>
  <si>
    <t>8674040</t>
  </si>
  <si>
    <t>-23.535603 , -46.309246</t>
  </si>
  <si>
    <t>SPC20212</t>
  </si>
  <si>
    <t>56642960002404</t>
  </si>
  <si>
    <t>SUZANO</t>
  </si>
  <si>
    <t>MAGAZINE LUIZA - AVENIDA 24 DE OUTUBRO, 1028 - ZONA COMERCIAL - MGCO87613</t>
  </si>
  <si>
    <t>AVENIDA VINTE E QUATRO DE OUTUBRO</t>
  </si>
  <si>
    <t>1028</t>
  </si>
  <si>
    <t>LOTE 01 QUADRA 50</t>
  </si>
  <si>
    <t>SETOR CAMPINAS</t>
  </si>
  <si>
    <t>74505010</t>
  </si>
  <si>
    <t>-16.670005 , -49.287984</t>
  </si>
  <si>
    <t>MGCO87613</t>
  </si>
  <si>
    <t>47960950105810</t>
  </si>
  <si>
    <t>1035</t>
  </si>
  <si>
    <t>TIM - AVENIDA BRIGADEIRO FARIA LIMA, 2232 - SHOPPING IGUATEMI SAO PAULO - SPC7856</t>
  </si>
  <si>
    <t>LOJA 3 PISO 3</t>
  </si>
  <si>
    <t>14899000</t>
  </si>
  <si>
    <t>-23.577124 , -46.688156</t>
  </si>
  <si>
    <t>SPC7856</t>
  </si>
  <si>
    <t>2421421011822</t>
  </si>
  <si>
    <t>C210</t>
  </si>
  <si>
    <t>TIM - AVENIDA WASHINGTON SOARES, 85 - SHOPPING IGUATEMI FORTALEZA - NE278810</t>
  </si>
  <si>
    <t>NE278810</t>
  </si>
  <si>
    <t>2421421029101</t>
  </si>
  <si>
    <t>COMMCENTER - AVENIDA PRAIA DE BELAS, 1181 - PRAIA DE BELAS SHOPPING CENTER - SUL6228</t>
  </si>
  <si>
    <t>SUL6228</t>
  </si>
  <si>
    <t>308055000325</t>
  </si>
  <si>
    <t>FMO (VIVO) - AVENIDA ANDROMEDA, 227 - SHOPPING VALE SUL - SPI8584</t>
  </si>
  <si>
    <t>SPI8584</t>
  </si>
  <si>
    <t>39321744004645</t>
  </si>
  <si>
    <t>VIVO - AVENIDA MARACANA, 987 - SHOPPING TIJUCA - RJES6044</t>
  </si>
  <si>
    <t>AVENIDA MARACANA</t>
  </si>
  <si>
    <t>LOJA: 2006 A 2008</t>
  </si>
  <si>
    <t>TIJUCA</t>
  </si>
  <si>
    <t>20511000</t>
  </si>
  <si>
    <t>-22.921932 , -43.235367</t>
  </si>
  <si>
    <t>RJES6044</t>
  </si>
  <si>
    <t>2558157022565</t>
  </si>
  <si>
    <t>LOJA TIJUCA RJ</t>
  </si>
  <si>
    <t>Shopping Tijuca</t>
  </si>
  <si>
    <t>VIVO - RODOVIA BR 101 KM 211, S/N - CONTINENTE PARK SHOPPING - SUL6311</t>
  </si>
  <si>
    <t>88104801</t>
  </si>
  <si>
    <t>SUL6311</t>
  </si>
  <si>
    <t>2558157078005</t>
  </si>
  <si>
    <t>LOJA SHOPPING CONTINENTE PARK II SC</t>
  </si>
  <si>
    <t>CLARO - RUA MARECHAL DEODORO, 115/119 - SPI47258</t>
  </si>
  <si>
    <t>115/119</t>
  </si>
  <si>
    <t>-21.2064138 , -50.4404864</t>
  </si>
  <si>
    <t>SPI47258</t>
  </si>
  <si>
    <t>40432544005025</t>
  </si>
  <si>
    <t>1906</t>
  </si>
  <si>
    <t>CLARO - RODOVIA BR 316 KM 01, S/N - SHOPPING CASTANHEIRA - N6876</t>
  </si>
  <si>
    <t>ATALAIA</t>
  </si>
  <si>
    <t>66645000</t>
  </si>
  <si>
    <t>-1.403129 , -48.430764</t>
  </si>
  <si>
    <t>N6876</t>
  </si>
  <si>
    <t>40432544043203</t>
  </si>
  <si>
    <t>9104</t>
  </si>
  <si>
    <t>LOJAS CEM - AVENIDA MAJOR CLAUDIANO, 2140 - ZONA COMERCIAL - SPI10735</t>
  </si>
  <si>
    <t>RUA MAJOR CLAUDIANO</t>
  </si>
  <si>
    <t>2140</t>
  </si>
  <si>
    <t>14400690</t>
  </si>
  <si>
    <t>-20.534781 , -47.40004</t>
  </si>
  <si>
    <t>SPI10735</t>
  </si>
  <si>
    <t>56642960004440</t>
  </si>
  <si>
    <t>FRANCA</t>
  </si>
  <si>
    <t>LOJAS CEM - RUA PERNAMBUCO, 266 - ZONA COMERCIAL - SPI64709</t>
  </si>
  <si>
    <t>RUA PERNAMBUCO</t>
  </si>
  <si>
    <t>266</t>
  </si>
  <si>
    <t>Catanduva</t>
  </si>
  <si>
    <t>15800080</t>
  </si>
  <si>
    <t>-21.134035 , -48.972176</t>
  </si>
  <si>
    <t>SPI64709</t>
  </si>
  <si>
    <t>56642960005500</t>
  </si>
  <si>
    <t>CATAND</t>
  </si>
  <si>
    <t>MAGAZINE LUIZA - RODOVIA BR 470, 3000 - BLUMENAU NORTE SHOPPING - SUL9193</t>
  </si>
  <si>
    <t>RODOVIA BR 470</t>
  </si>
  <si>
    <t>3000</t>
  </si>
  <si>
    <t>SALAO COML. 10</t>
  </si>
  <si>
    <t>SALTO DO NORTE</t>
  </si>
  <si>
    <t>89065800</t>
  </si>
  <si>
    <t>-26.863554 , -49.092232</t>
  </si>
  <si>
    <t>SUL9193</t>
  </si>
  <si>
    <t>47960950059606</t>
  </si>
  <si>
    <t>585</t>
  </si>
  <si>
    <t>Blumenau Norte Shopping</t>
  </si>
  <si>
    <t>MAGAZINE LUIZA - RUA DOUTOR DEODATO WERTHEIMER, 1403 - ZONA COMERCIAL - SPC44811</t>
  </si>
  <si>
    <t>1403</t>
  </si>
  <si>
    <t>8710500</t>
  </si>
  <si>
    <t>-23.525396 , -46.19899</t>
  </si>
  <si>
    <t>SPC44811</t>
  </si>
  <si>
    <t>47960950095912</t>
  </si>
  <si>
    <t>632</t>
  </si>
  <si>
    <t>PONTO FRIO - AVENIDA PRESIDENTE CARLOS LUZ, 3001 - SHOPPING DEL REY - MGCO7465</t>
  </si>
  <si>
    <t>LOJA 1070 A 1090</t>
  </si>
  <si>
    <t>MGCO7465</t>
  </si>
  <si>
    <t>33041260017210</t>
  </si>
  <si>
    <t>RIACHUELO - SDN CJ A LJ 137, 137 - SHOPPING CONJUNTO NACIONAL - MGCO46028</t>
  </si>
  <si>
    <t>LOJAS 3025 A 3027</t>
  </si>
  <si>
    <t>MGCO46028</t>
  </si>
  <si>
    <t>33200056035287</t>
  </si>
  <si>
    <t>L041</t>
  </si>
  <si>
    <t>ALEGRIA (TIM) - AVENIDA CARLOS LUZ, 3001 - SHOPPING DEL REY - MGCO45645</t>
  </si>
  <si>
    <t>STAND 106</t>
  </si>
  <si>
    <t>MGCO45645</t>
  </si>
  <si>
    <t>21683365000480</t>
  </si>
  <si>
    <t>ALEGRIA TELECOM DELREY - SAP (29216)</t>
  </si>
  <si>
    <t>COMMCENTER - AVENIDA CRISTIANO MACHADO, 4000 - SHOPPING MINAS - MGCO5771</t>
  </si>
  <si>
    <t>LOJA 635</t>
  </si>
  <si>
    <t>MGCO5771</t>
  </si>
  <si>
    <t>5828732001755</t>
  </si>
  <si>
    <t>VIVO - AVENIDA DOUTOR CHUCRI ZAIDAN, 902 - SHOPPING MARKET PLACE - SPC6355</t>
  </si>
  <si>
    <t>4583110</t>
  </si>
  <si>
    <t>-23.6216103, -46.6997154</t>
  </si>
  <si>
    <t>SPC6355</t>
  </si>
  <si>
    <t>2558157004230</t>
  </si>
  <si>
    <t>LOJA SHOPPING MARKET PLACE SP</t>
  </si>
  <si>
    <t>VIVO - TRAVESSA PADRE EUTIQUIO, 1078 - SHOPPING PATIO BELEM - N5871</t>
  </si>
  <si>
    <t>PISO 1 - LOJA 104B</t>
  </si>
  <si>
    <t>N5871</t>
  </si>
  <si>
    <t>2558157052553</t>
  </si>
  <si>
    <t>LOJA PATIO BELEM PA</t>
  </si>
  <si>
    <t>CASAS BAHIA - RUA GOIAS, 396 - ZONA COMERCIAL - MGCO10469</t>
  </si>
  <si>
    <t>RUA GOIAS</t>
  </si>
  <si>
    <t>396</t>
  </si>
  <si>
    <t>AV.ANTONIO O.MORAIS</t>
  </si>
  <si>
    <t>Divinópolis</t>
  </si>
  <si>
    <t>35500617</t>
  </si>
  <si>
    <t>-20.1460498 , -44.8894548</t>
  </si>
  <si>
    <t>MGCO10469</t>
  </si>
  <si>
    <t>33041260131935</t>
  </si>
  <si>
    <t>1205</t>
  </si>
  <si>
    <t>CASAS BAHIA - AVENIDA INDEPENDENCIA, 699 - ZONA COMERCIAL - SUL6267</t>
  </si>
  <si>
    <t>RUA INDEPENDENCIA</t>
  </si>
  <si>
    <t>699</t>
  </si>
  <si>
    <t>São Leopoldo</t>
  </si>
  <si>
    <t>93010002</t>
  </si>
  <si>
    <t>-29.765844 , -51.145832</t>
  </si>
  <si>
    <t>SUL6267</t>
  </si>
  <si>
    <t>33041260042754</t>
  </si>
  <si>
    <t>1483</t>
  </si>
  <si>
    <t>CASAS BAHIA - RUA DO PRINCIPE, 237 - ZONA COMERCIAL - SUL7984</t>
  </si>
  <si>
    <t>RUA DO PRINCIPE</t>
  </si>
  <si>
    <t>Joinville</t>
  </si>
  <si>
    <t>89201001</t>
  </si>
  <si>
    <t>-26.301142 , -48.845261</t>
  </si>
  <si>
    <t>SUL7984</t>
  </si>
  <si>
    <t>33041260043998</t>
  </si>
  <si>
    <t>1980</t>
  </si>
  <si>
    <t>CASAS BAHIA - RUA MAJOR CLAUDIANO, 1848 - ZONA COMERCIAL - SPI10728</t>
  </si>
  <si>
    <t>1848</t>
  </si>
  <si>
    <t>-20.537384 , -47.400604</t>
  </si>
  <si>
    <t>SPI10728</t>
  </si>
  <si>
    <t>33041260122197</t>
  </si>
  <si>
    <t>1044</t>
  </si>
  <si>
    <t>CASAS BAHIA - ESTRADA DE ITAPECERICA, 3880 - ZONA COMERCIAL - SPC89526</t>
  </si>
  <si>
    <t>ESTRADA DE ITAPECERICA</t>
  </si>
  <si>
    <t>3880</t>
  </si>
  <si>
    <t>5835004</t>
  </si>
  <si>
    <t>-23.6589463, -46.7664408</t>
  </si>
  <si>
    <t>SPC89526</t>
  </si>
  <si>
    <t>33041260103133</t>
  </si>
  <si>
    <t>1616</t>
  </si>
  <si>
    <t>CLARO - AVENIDA RIO VERDE, S/N - SHOPPING BURITI - MGCO20075</t>
  </si>
  <si>
    <t>LUC 283/284</t>
  </si>
  <si>
    <t>MGCO20075</t>
  </si>
  <si>
    <t>40432544049740</t>
  </si>
  <si>
    <t>6209</t>
  </si>
  <si>
    <t>CLARO - AVENIDA MARACANA, 987 - SHOPPING TIJUCA - RJES7231</t>
  </si>
  <si>
    <t>LOJA 1061</t>
  </si>
  <si>
    <t>RJES7231</t>
  </si>
  <si>
    <t>40432544005530</t>
  </si>
  <si>
    <t>2121</t>
  </si>
  <si>
    <t>MAGAZINE LUIZA - AVENIDA DOMINGOS ALVES, QD1 - SHOPPING SUL - MGCO11280</t>
  </si>
  <si>
    <t>AVENIDA DOMINGOS ALVES</t>
  </si>
  <si>
    <t>QD1</t>
  </si>
  <si>
    <t>LOTE 1</t>
  </si>
  <si>
    <t>PARQUE ESPLANADA III</t>
  </si>
  <si>
    <t>72876902</t>
  </si>
  <si>
    <t>-16.0786727 , -47.9848748</t>
  </si>
  <si>
    <t>MGCO11280</t>
  </si>
  <si>
    <t>47960950116502</t>
  </si>
  <si>
    <t>Shopping Sul</t>
  </si>
  <si>
    <t>MAGAZINE LUIZA - AVENIDA CORONEL FERNANDO FERREIRA LEITE, 1540 - RIBEIRAO SHOPPING - SPI39719</t>
  </si>
  <si>
    <t>LOJA 228/230/231</t>
  </si>
  <si>
    <t>SPI39719</t>
  </si>
  <si>
    <t>47960950091763</t>
  </si>
  <si>
    <t>452</t>
  </si>
  <si>
    <t>TIM - AVENIDA DIARIO DE NOTICIAS, 300 - BARRA SHOPPING SUL - SUL19951</t>
  </si>
  <si>
    <t>LOJA 2008</t>
  </si>
  <si>
    <t>SUL19951</t>
  </si>
  <si>
    <t>2421421014848</t>
  </si>
  <si>
    <t>C229</t>
  </si>
  <si>
    <t>VIVO - AVENIDA TANCREDO NEVES, 3133 - SHOPPING SALVADOR - NE7159</t>
  </si>
  <si>
    <t>1100,SETOR 125,1º P</t>
  </si>
  <si>
    <t>41820021</t>
  </si>
  <si>
    <t>NE7159</t>
  </si>
  <si>
    <t>2558157055730</t>
  </si>
  <si>
    <t>LOJA SHOPPING SALVADOR BA</t>
  </si>
  <si>
    <t>CASAS BAHIA - C5 SN LOTE 1 , S/N - ZONA COMERCIAL - MGCO5693</t>
  </si>
  <si>
    <t>OUTROS ST C 5,SETOR CENTRAL</t>
  </si>
  <si>
    <t>LT 1,2 E 7 LJS 1,2</t>
  </si>
  <si>
    <t>72010100</t>
  </si>
  <si>
    <t>-15.8325 , -48.054756</t>
  </si>
  <si>
    <t>MGCO5693</t>
  </si>
  <si>
    <t>33041260112477</t>
  </si>
  <si>
    <t>1569</t>
  </si>
  <si>
    <t>CASAS BAHIA - AVENIDA PRESIDENTE KENNEDY, 1500 - NOVO SHOPPING RIBEIRAO - SPI7696</t>
  </si>
  <si>
    <t>ANCORA G 349/361/363</t>
  </si>
  <si>
    <t>SPI7696</t>
  </si>
  <si>
    <t>33041260122006</t>
  </si>
  <si>
    <t>1347</t>
  </si>
  <si>
    <t>CASAS BAHIA - AVENIDA JUSCELINO KUBITSCHEK DE OLIVEIRA, 5308 - SHOPPING BONSUCESSO - SPC11273</t>
  </si>
  <si>
    <t>AVENIDA JUSCELINO KUBITSCHEK DE OLIVEIRA</t>
  </si>
  <si>
    <t>5308</t>
  </si>
  <si>
    <t>SUC P - 1</t>
  </si>
  <si>
    <t>JARDIM ALBERTINA</t>
  </si>
  <si>
    <t>7252000</t>
  </si>
  <si>
    <t>-23.434141 , -46.403271</t>
  </si>
  <si>
    <t>SPC11273</t>
  </si>
  <si>
    <t>33041260103486</t>
  </si>
  <si>
    <t>1560</t>
  </si>
  <si>
    <t>Shopping Bonsucesso</t>
  </si>
  <si>
    <t>CASAS BAHIA - AVENIDA EXPEDITO GARCIA, 147 - ZONA COMERCIAL - RJES10327</t>
  </si>
  <si>
    <t>AVENIDA EXPEDITO GARCIA</t>
  </si>
  <si>
    <t>147</t>
  </si>
  <si>
    <t>Cariacica</t>
  </si>
  <si>
    <t>29146200</t>
  </si>
  <si>
    <t>-20.3427021 , -40.3850787</t>
  </si>
  <si>
    <t>RJES10327</t>
  </si>
  <si>
    <t>33041260098970</t>
  </si>
  <si>
    <t>1641</t>
  </si>
  <si>
    <t>CASAS BAHIA - AVENIDA VICTOR FERREIRA DO AMARAL, 2633 - SHOPPING JOCKEY PLAZA - SUL111650</t>
  </si>
  <si>
    <t>AVENIDA VICTOR FERREIRA DO AMARAL</t>
  </si>
  <si>
    <t>2633</t>
  </si>
  <si>
    <t>TARUMÃ</t>
  </si>
  <si>
    <t>82810350</t>
  </si>
  <si>
    <t>-25.429149 , -49.2142792</t>
  </si>
  <si>
    <t>SUL111650</t>
  </si>
  <si>
    <t>33041260180634</t>
  </si>
  <si>
    <t>2039</t>
  </si>
  <si>
    <t>Shopping Jockey Plaza</t>
  </si>
  <si>
    <t>FUJIOKA - SDN CNB CONJUNTO A T119, 2149 (T 22) - SHOPPING CONJUNTO NACIONAL - MGCO22980</t>
  </si>
  <si>
    <t>LOJA T25 TERREO</t>
  </si>
  <si>
    <t>MGCO22980</t>
  </si>
  <si>
    <t>1008713001560</t>
  </si>
  <si>
    <t>T - 22</t>
  </si>
  <si>
    <t>LOJAS AMERICANAS - RODOVIA BR-316, S/N - SHOPPING CASTANHEIRA - N64234</t>
  </si>
  <si>
    <t>LOJA 423 A 464</t>
  </si>
  <si>
    <t>N64234</t>
  </si>
  <si>
    <t>776574113783</t>
  </si>
  <si>
    <t>1270</t>
  </si>
  <si>
    <t>LOJAS AMERICANAS - AVENIDA MARACANA, 987 - SHOPPING TIJUCA - RJES6970</t>
  </si>
  <si>
    <t>LJ 3009/16 E 3056/58</t>
  </si>
  <si>
    <t>20530230</t>
  </si>
  <si>
    <t>RJES6970</t>
  </si>
  <si>
    <t>776574089548</t>
  </si>
  <si>
    <t>L502</t>
  </si>
  <si>
    <t>LOJAS CEM - AVENIDA CINCO, 408 - ZONA COMERCIAL - SPI47417</t>
  </si>
  <si>
    <t>AVENIDA CINCO</t>
  </si>
  <si>
    <t>408</t>
  </si>
  <si>
    <t>Rio Claro</t>
  </si>
  <si>
    <t>13500380</t>
  </si>
  <si>
    <t>-22.4119904, -47.5613867</t>
  </si>
  <si>
    <t>SPI47417</t>
  </si>
  <si>
    <t>56642960001009</t>
  </si>
  <si>
    <t>RIOCLAR</t>
  </si>
  <si>
    <t>LOJAS CEM - RUA MARECHAL DEODORO, 713 - ZONA COMERCIAL - SPC11358</t>
  </si>
  <si>
    <t>-23.704426 , -46.551422</t>
  </si>
  <si>
    <t>SPC11358</t>
  </si>
  <si>
    <t>56642960002900</t>
  </si>
  <si>
    <t>SBCAMP</t>
  </si>
  <si>
    <t>MAGAZINE LUIZA - RUA 19, 60 - MGCO11232</t>
  </si>
  <si>
    <t>RUA 19</t>
  </si>
  <si>
    <t>60</t>
  </si>
  <si>
    <t>LOTE 32</t>
  </si>
  <si>
    <t>JARDIM ORIENTE</t>
  </si>
  <si>
    <t>Valparaíso de Goiás</t>
  </si>
  <si>
    <t>72874156</t>
  </si>
  <si>
    <t>-16.0694652 , -47.9856479</t>
  </si>
  <si>
    <t>MGCO11232</t>
  </si>
  <si>
    <t>47960950116774</t>
  </si>
  <si>
    <t>1105</t>
  </si>
  <si>
    <t>NAGEM - RUA PADRE CARAPUCEIRO, 777 - SHOPPING RECIFE - NE42288</t>
  </si>
  <si>
    <t>LOJAS PC 92 E 93 A</t>
  </si>
  <si>
    <t>NE42288</t>
  </si>
  <si>
    <t>24073694008997</t>
  </si>
  <si>
    <t>LJ NG REC SH RECIFE</t>
  </si>
  <si>
    <t>RIACHUELO - AVENIDA GUILHERME DE CAMPOS, 500 - SHOPPING PARQUE DOM PEDRO - SPI47566</t>
  </si>
  <si>
    <t>EUC N A-011/12</t>
  </si>
  <si>
    <t>SPI47566</t>
  </si>
  <si>
    <t>33200056000491</t>
  </si>
  <si>
    <t>L055</t>
  </si>
  <si>
    <t>TIM - AVENIDA BERNARDO VIEIRA, 3775 - SHOPPING MIDWAY MALL - NE11047</t>
  </si>
  <si>
    <t>353</t>
  </si>
  <si>
    <t>NE11047</t>
  </si>
  <si>
    <t>2421421021976</t>
  </si>
  <si>
    <t>C200</t>
  </si>
  <si>
    <t>TIM - RUA PEDRO VIRIATO PARIGOT DE SOUZA, 600 - PARK SHOPPING BARIGUI - SUL7204</t>
  </si>
  <si>
    <t>274</t>
  </si>
  <si>
    <t>SUL7204</t>
  </si>
  <si>
    <t>2421421020813</t>
  </si>
  <si>
    <t>C097</t>
  </si>
  <si>
    <t>CARREFOUR - AVENIDA FERNAO DIAS, 3000 - ZONA COMERCIAL - MGCO20837</t>
  </si>
  <si>
    <t>RODOVIA FERNAO DIAS</t>
  </si>
  <si>
    <t>BR 381 KM 3</t>
  </si>
  <si>
    <t>INCONFIDENTES</t>
  </si>
  <si>
    <t>32280680</t>
  </si>
  <si>
    <t>-19.956725 , -44.063432</t>
  </si>
  <si>
    <t>MGCO20837</t>
  </si>
  <si>
    <t>45543915000858</t>
  </si>
  <si>
    <t>BHC</t>
  </si>
  <si>
    <t>CASA &amp; VIDEO - RUA 15 DE NOVEMBRO, 8 - SHOPPING PLAZA NITEROI - RJES7922</t>
  </si>
  <si>
    <t>RUA 15 DE NOVEMBRO</t>
  </si>
  <si>
    <t>-22.89660433448112 , -43.12390931878787</t>
  </si>
  <si>
    <t>RJES7922</t>
  </si>
  <si>
    <t>11114284012099</t>
  </si>
  <si>
    <t>PLAZA SHOPPING NITEROI</t>
  </si>
  <si>
    <t>CASAS BAHIA - AVENIDA COMENDADOR GUSTAVO PAIVA, 2990 - MACEIO SHOPPING - NE10380</t>
  </si>
  <si>
    <t>LOJA B-2</t>
  </si>
  <si>
    <t>-9.6492399 , -35.7195288</t>
  </si>
  <si>
    <t>NE10380</t>
  </si>
  <si>
    <t>33041260145723</t>
  </si>
  <si>
    <t>1737</t>
  </si>
  <si>
    <t>CASAS BAHIA - AVENIDA DOS ANDRADAS, 3000 - SHOPPING BOULEVARD - MGCO5797</t>
  </si>
  <si>
    <t>AVENIDA DOS ANDRADAS</t>
  </si>
  <si>
    <t>LOJA 1056 A 1059</t>
  </si>
  <si>
    <t>SANTA EFIGENIA</t>
  </si>
  <si>
    <t>30260030</t>
  </si>
  <si>
    <t>-19.920692 , -43.920143</t>
  </si>
  <si>
    <t>MGCO5797</t>
  </si>
  <si>
    <t>33041260132745</t>
  </si>
  <si>
    <t>1609</t>
  </si>
  <si>
    <t>Shopping Boulevard Bh</t>
  </si>
  <si>
    <t>LOJAS AMERICANAS - RODOVIA BR 101 KM 211, S/N - CONTINENTE PARK SHOPPING - SUL42418</t>
  </si>
  <si>
    <t>SUL42418</t>
  </si>
  <si>
    <t>776574160781</t>
  </si>
  <si>
    <t>L070</t>
  </si>
  <si>
    <t>FACELL - AVENIDA WASHINGTON SOARES, 85 - SHOPPING IGUATEMI FORTALEZA - NE7335</t>
  </si>
  <si>
    <t>LOJA 87/ 88</t>
  </si>
  <si>
    <t>NE7335</t>
  </si>
  <si>
    <t>VIVO - AVENIDA RIO VERDE, S/N - SHOPPING BURITI - MGCO5742</t>
  </si>
  <si>
    <t>LOJA 164 165</t>
  </si>
  <si>
    <t>74915260</t>
  </si>
  <si>
    <t>MGCO5742</t>
  </si>
  <si>
    <t>2558157030827</t>
  </si>
  <si>
    <t>LOJA SHOPPING BURITI GO</t>
  </si>
  <si>
    <t>CASAS BAHIA - RUA CANDELARIA, 965 - ZONA COMERCIAL - SPI20841</t>
  </si>
  <si>
    <t>RUA DA CANDELARIA</t>
  </si>
  <si>
    <t>955</t>
  </si>
  <si>
    <t>991</t>
  </si>
  <si>
    <t>Indaiatuba</t>
  </si>
  <si>
    <t>13330180</t>
  </si>
  <si>
    <t>-23.0866837, -47.2166057</t>
  </si>
  <si>
    <t>SPI20841</t>
  </si>
  <si>
    <t>33041260090139</t>
  </si>
  <si>
    <t>CASAS BAHIA - RUA FELIPE CARDOSO, 281 - ZONA COMERCIAL - RJES21073</t>
  </si>
  <si>
    <t>281</t>
  </si>
  <si>
    <t>281 A</t>
  </si>
  <si>
    <t>23510006</t>
  </si>
  <si>
    <t>-22.918192 , -43.682919</t>
  </si>
  <si>
    <t>RJES21073</t>
  </si>
  <si>
    <t>33041260084830</t>
  </si>
  <si>
    <t>1188</t>
  </si>
  <si>
    <t>HS - AVENIDA ANDROMEDA, 227 - SHOPPING VALE SUL - SPI247250</t>
  </si>
  <si>
    <t>LOJA 244</t>
  </si>
  <si>
    <t>JARDIM SATÉLITE</t>
  </si>
  <si>
    <t>SÃO JOSÉ DOS CAMPOS</t>
  </si>
  <si>
    <t>SPI247250</t>
  </si>
  <si>
    <t>5923253004903</t>
  </si>
  <si>
    <t>CLARO - AVENIDA PRESIDENTE CARLOS LUZ, 3001 - SHOPPING DEL REY - MGCO7460</t>
  </si>
  <si>
    <t>LOJA 1058,1º PISO</t>
  </si>
  <si>
    <t>MGCO7460</t>
  </si>
  <si>
    <t>40432544029633</t>
  </si>
  <si>
    <t>3124</t>
  </si>
  <si>
    <t>LOJAS AMERICANAS - PRESIDENTE KENNEDY, 1500 - NOVO SHOPPING RIBEIRAO PRETO - SPI20930</t>
  </si>
  <si>
    <t>ANCORA AM</t>
  </si>
  <si>
    <t>SPI20930</t>
  </si>
  <si>
    <t>776574065010</t>
  </si>
  <si>
    <t>L173</t>
  </si>
  <si>
    <t>LOJAS AMERICANAS - AVENIDA PRAIA DE BELAS, 1181 - PRAIA DE BELAS SHOPPING CENTER - SUL6247</t>
  </si>
  <si>
    <t>LOJA 1062 E 1063</t>
  </si>
  <si>
    <t>SUL6247</t>
  </si>
  <si>
    <t>776574163373</t>
  </si>
  <si>
    <t>L154</t>
  </si>
  <si>
    <t>LOJAS CEM - AVENIDA 22 DE MAIO, 5381 - ZONA COMERCIAL - RJES18478</t>
  </si>
  <si>
    <t>AVENIDA VINTE E DOIS DE MAIO</t>
  </si>
  <si>
    <t>5381</t>
  </si>
  <si>
    <t>RIO VARZEA</t>
  </si>
  <si>
    <t>Itaboraí</t>
  </si>
  <si>
    <t>24800000</t>
  </si>
  <si>
    <t>-22.747509 , -42.86095</t>
  </si>
  <si>
    <t>RJES18478</t>
  </si>
  <si>
    <t>56642960012035</t>
  </si>
  <si>
    <t>ITABOR</t>
  </si>
  <si>
    <t>MAGAZINE LUIZA - 11 DE JUNHO, 951 - ZONA COMERCIAL - SPI10562</t>
  </si>
  <si>
    <t>RUA ONZE DE JUNHO</t>
  </si>
  <si>
    <t>951</t>
  </si>
  <si>
    <t>13347460</t>
  </si>
  <si>
    <t>-23.086357 , -47.214542</t>
  </si>
  <si>
    <t>SPI10562</t>
  </si>
  <si>
    <t>47960950012057</t>
  </si>
  <si>
    <t>107</t>
  </si>
  <si>
    <t>MAGAZINE LUIZA - AVENIDA BENJAMIN PINTO DIAS, 1254 - RJES241340</t>
  </si>
  <si>
    <t>AVENIDA BENJAMIN PINTO DIAS</t>
  </si>
  <si>
    <t>1254</t>
  </si>
  <si>
    <t>26130000</t>
  </si>
  <si>
    <t>-22.7647326, -43.4010991</t>
  </si>
  <si>
    <t>RJES241340</t>
  </si>
  <si>
    <t>47960950168308</t>
  </si>
  <si>
    <t>ALEGRIA (TIM) - AVENIDA MARACANA LOJA 1036, 987 - SHOPPING TIJUCA - RJES11001</t>
  </si>
  <si>
    <t>LOJA 1036</t>
  </si>
  <si>
    <t>RJES11001</t>
  </si>
  <si>
    <t>21683365001452</t>
  </si>
  <si>
    <t>ALEGRIA TIJUCA - SAP (35084)</t>
  </si>
  <si>
    <t>F.M.M. ROCHA -  BATISTA DE CARVALHO, 07-81 - ZONA COMERCIAL - SPI19499</t>
  </si>
  <si>
    <t>RUA BATISTA DE CARVALHO, 07-81</t>
  </si>
  <si>
    <t>07-81</t>
  </si>
  <si>
    <t>VILA AMERICA</t>
  </si>
  <si>
    <t>17012110</t>
  </si>
  <si>
    <t>-22.3221606, -49.0712505</t>
  </si>
  <si>
    <t>SPI19499</t>
  </si>
  <si>
    <t>CASAS BAHIA - AVENIDA AFONSO PENA, 4909 - SHOPPING CAMPO GRANDE - MGCO5852</t>
  </si>
  <si>
    <t>4909</t>
  </si>
  <si>
    <t>LOJA 1401</t>
  </si>
  <si>
    <t>SANTA FE</t>
  </si>
  <si>
    <t>79031900</t>
  </si>
  <si>
    <t>-20.457644 , -54.587166</t>
  </si>
  <si>
    <t>MGCO5852</t>
  </si>
  <si>
    <t>33041260095521</t>
  </si>
  <si>
    <t>1358</t>
  </si>
  <si>
    <t>Shopping Campo Grande</t>
  </si>
  <si>
    <t>CASAS BAHIA - AVENIDA PRESIDENTE KENNEDY, 4121 - SHOPPING PALLADIUM - SUL9888</t>
  </si>
  <si>
    <t>LOJA 2046 PISO L2</t>
  </si>
  <si>
    <t>-25.477237173666552 , -49.29000918269924</t>
  </si>
  <si>
    <t>SUL9888</t>
  </si>
  <si>
    <t>33041260110504</t>
  </si>
  <si>
    <t>1160</t>
  </si>
  <si>
    <t>CASAS BAHIA - RUA JOAO PESSOA, 197 - RJES270970</t>
  </si>
  <si>
    <t>CAMPOS DOS GOYTACAZES</t>
  </si>
  <si>
    <t>Campos dos Goytacazes</t>
  </si>
  <si>
    <t>28010250</t>
  </si>
  <si>
    <t>-21.7575064,-41.325839</t>
  </si>
  <si>
    <t>RJES270970</t>
  </si>
  <si>
    <t>33041260079593</t>
  </si>
  <si>
    <t>1459</t>
  </si>
  <si>
    <t>CLARO RP - RUA GERONCIO THIVES, 1079 - SHOPPING ITAGUACU - SUL6310</t>
  </si>
  <si>
    <t>-27.5852384 , -48.6141452</t>
  </si>
  <si>
    <t>SUL6310</t>
  </si>
  <si>
    <t>5949641006303</t>
  </si>
  <si>
    <t>LOJAS AMERICANAS - QNM 34 AREA ESPECIAL 01, S/N - SHOPPING JK - MGCO11395</t>
  </si>
  <si>
    <t>RODOVIA BR-497</t>
  </si>
  <si>
    <t>KM 1 480 A GLP 02</t>
  </si>
  <si>
    <t>PLANALTO</t>
  </si>
  <si>
    <t>72145450</t>
  </si>
  <si>
    <t>-15.81077952218854, -48.09288536079857</t>
  </si>
  <si>
    <t>MGCO11395</t>
  </si>
  <si>
    <t>776574073897</t>
  </si>
  <si>
    <t>Shopping Jk</t>
  </si>
  <si>
    <t>LOJAS CEM - RUA DOUTOR RICARDO VILELA, 181 - ZONA COMERCIAL - SPC18663</t>
  </si>
  <si>
    <t>RUA DOUTOR RICARDO VILELA</t>
  </si>
  <si>
    <t>8710150</t>
  </si>
  <si>
    <t>-23.521145 , -46.194103</t>
  </si>
  <si>
    <t>SPC18663</t>
  </si>
  <si>
    <t>56642960001858</t>
  </si>
  <si>
    <t>MGCRUZ</t>
  </si>
  <si>
    <t>MAGAZINE LUIZA - AVENIDA JK, QD26 - MGCO11264</t>
  </si>
  <si>
    <t>AVENIDA JK</t>
  </si>
  <si>
    <t>QD26</t>
  </si>
  <si>
    <t>N00017</t>
  </si>
  <si>
    <t>JARDIM BRASILIA</t>
  </si>
  <si>
    <t>Águas Lindas de Goiás</t>
  </si>
  <si>
    <t>72915036</t>
  </si>
  <si>
    <t>-15.7269186 , -48.2847793</t>
  </si>
  <si>
    <t>MGCO11264</t>
  </si>
  <si>
    <t>47960950116693</t>
  </si>
  <si>
    <t>MAGAZINE LUIZA - AVENIDA HISTORIADOR RUBENS DE MENDONCA, 3300 - SHOPPING PANTANAL - MGCO229400</t>
  </si>
  <si>
    <t>LOJA 203</t>
  </si>
  <si>
    <t>-15.5764394 , -56.0720408</t>
  </si>
  <si>
    <t>MGCO229400</t>
  </si>
  <si>
    <t>47960950123207</t>
  </si>
  <si>
    <t>1170</t>
  </si>
  <si>
    <t>MAGAZINE LUIZA - RUA COELHO RODRIGUES, 1044 - ZONA COMERCIAL - NE50010</t>
  </si>
  <si>
    <t>RUA COELHO RODRIGUES</t>
  </si>
  <si>
    <t>Teresina</t>
  </si>
  <si>
    <t>PI</t>
  </si>
  <si>
    <t>64000080</t>
  </si>
  <si>
    <t>-5.09052 , -42.815388</t>
  </si>
  <si>
    <t>NE50010</t>
  </si>
  <si>
    <t>47960950079550</t>
  </si>
  <si>
    <t>882</t>
  </si>
  <si>
    <t>PONTO FRIO - AVENIDA MARACANA, 987 - SHOPPING TIJUCA - RJES6971</t>
  </si>
  <si>
    <t>LOJA 2029</t>
  </si>
  <si>
    <t>RJES6971</t>
  </si>
  <si>
    <t>33041260053284</t>
  </si>
  <si>
    <t>521</t>
  </si>
  <si>
    <t>RIACHUELO - AVENIDA PRAIA DE BELAS, 1181 - PRAIA DE BELAS SHOPPING CENTER - SUL63190</t>
  </si>
  <si>
    <t>LOJA 002B PISO 1</t>
  </si>
  <si>
    <t>SUL63190</t>
  </si>
  <si>
    <t>33200056017700</t>
  </si>
  <si>
    <t>L203</t>
  </si>
  <si>
    <t>RIACHUELO - AVENIDA WAHSINGTON SOARES, 85 - SHOPPING IGUATEMI FORTALEZA - NE41629</t>
  </si>
  <si>
    <t>LOJA B TERREO</t>
  </si>
  <si>
    <t>NE41629</t>
  </si>
  <si>
    <t>33200056034710</t>
  </si>
  <si>
    <t>L108</t>
  </si>
  <si>
    <t>IANK CELL - AVENIDA MADRE BENVENUTA, 687 - VILLA ROMANA SHOPPING - SUL7019</t>
  </si>
  <si>
    <t>SUL7019</t>
  </si>
  <si>
    <t>08640305000170</t>
  </si>
  <si>
    <t>TIM - RUA TENENTE AVELAR PIRES DE AZEVEDO, 81 - SHOPPING OSASCO PLAZA - SPC6691</t>
  </si>
  <si>
    <t>SUC 120</t>
  </si>
  <si>
    <t>SPC6691</t>
  </si>
  <si>
    <t>2421421008600</t>
  </si>
  <si>
    <t>C179</t>
  </si>
  <si>
    <t>VIVO - AVENIDA PRESIDENTE KENNEDY, 1500 - NOVO SHOPPING - SPI6539</t>
  </si>
  <si>
    <t>ARCO 305</t>
  </si>
  <si>
    <t>14096650</t>
  </si>
  <si>
    <t>SPI6539</t>
  </si>
  <si>
    <t>2558157016247</t>
  </si>
  <si>
    <t>LOJA NOVO SHOPPING RIBEIRAO SP</t>
  </si>
  <si>
    <t>CASAS BAHIA - AVENIDA PRESIDENTE KENNEDY, 7530 - ZONA COMERCIAL - SPC10036</t>
  </si>
  <si>
    <t>7530</t>
  </si>
  <si>
    <t>AV.PRINCIPAL,S/N</t>
  </si>
  <si>
    <t>N.C.OCIAN</t>
  </si>
  <si>
    <t>11704100</t>
  </si>
  <si>
    <t>-24.026171 , -46.480507</t>
  </si>
  <si>
    <t>SPC10036</t>
  </si>
  <si>
    <t>33041260092697</t>
  </si>
  <si>
    <t>1221</t>
  </si>
  <si>
    <t>CASAS BAHIA - RODOVIA BR 040 KM 12 GLEBA F, S/N - SHOPPING SUL - MGCO18508</t>
  </si>
  <si>
    <t>RODOVIA DA BR 040 KM 12</t>
  </si>
  <si>
    <t>KM 12 QUADRA 1</t>
  </si>
  <si>
    <t>PARQUE ESPLANADA LLL</t>
  </si>
  <si>
    <t>-16.078838 , -47.984371</t>
  </si>
  <si>
    <t>MGCO18508</t>
  </si>
  <si>
    <t>33041260146452</t>
  </si>
  <si>
    <t>1753</t>
  </si>
  <si>
    <t>CASAS BAHIA - RUA CONSELHEIRO JUNQUEIRA AYRES, 8 - SHOPPING PIEDADE - NE7412</t>
  </si>
  <si>
    <t>RUA CONSELHEIRO JUNQUEIRA AYRES</t>
  </si>
  <si>
    <t>LOJA 110 A 113,PAV.4</t>
  </si>
  <si>
    <t>BARRIS</t>
  </si>
  <si>
    <t>40070080</t>
  </si>
  <si>
    <t>-12.983488 , -38.513016</t>
  </si>
  <si>
    <t>NE7412</t>
  </si>
  <si>
    <t>33041260142112</t>
  </si>
  <si>
    <t>1539</t>
  </si>
  <si>
    <t>Shopping Piedade</t>
  </si>
  <si>
    <t>HS - AVENIDA CORONEL FERNANDO FERREIRA LEITE, 1540 - RIBEIRAO SHOPPING - SPI7702</t>
  </si>
  <si>
    <t>-21.2119833, -47.815878</t>
  </si>
  <si>
    <t>SPI7702</t>
  </si>
  <si>
    <t>FUJIOKA - AVENIDA T10, 1300 - GOIANIA SHOPPING - MGCO6831</t>
  </si>
  <si>
    <t>ESC 118 A 120,1º PIS</t>
  </si>
  <si>
    <t>MGCO6831</t>
  </si>
  <si>
    <t>01008713005638</t>
  </si>
  <si>
    <t>GOIÂNIA SHOPPING</t>
  </si>
  <si>
    <t>MAGAZINE LUIZA - AVENIDA RECANTO DAS EMAS, S/N - MGCO235050</t>
  </si>
  <si>
    <t>AVENIDA RECANTO DAS EMAS, S/N</t>
  </si>
  <si>
    <t>QUADRA103 LOTE 17 LOJA 04</t>
  </si>
  <si>
    <t>70297400</t>
  </si>
  <si>
    <t>-15.9023123, -48.0666377</t>
  </si>
  <si>
    <t>MGCO235050</t>
  </si>
  <si>
    <t>47960950133512</t>
  </si>
  <si>
    <t>1162</t>
  </si>
  <si>
    <t>MAGAZINE LUIZA - VOLUNTARIOS DA FRANCA, 1465 - SPI10727</t>
  </si>
  <si>
    <t>RUA VOLUNTARIOS DA FRANCA</t>
  </si>
  <si>
    <t>1465</t>
  </si>
  <si>
    <t>14400660</t>
  </si>
  <si>
    <t>-20.536907 , -47.401375</t>
  </si>
  <si>
    <t>SPI10727</t>
  </si>
  <si>
    <t>47960950000121</t>
  </si>
  <si>
    <t>RIACHUELO - AVENIDA VISCONDE DE SOUZA FRANCO, 776 - SHOPPING BOULEVARD BELEM - N42463</t>
  </si>
  <si>
    <t>LOJAS 132, 226 E 227</t>
  </si>
  <si>
    <t>N42463</t>
  </si>
  <si>
    <t>33200056007151</t>
  </si>
  <si>
    <t>L139</t>
  </si>
  <si>
    <t>RIACHUELO - TRAVESSA PADRE EUTIQUIO, 1078 - SHOPPING PATIO BELEM - N45953</t>
  </si>
  <si>
    <t>LOJA 201, 202, 203</t>
  </si>
  <si>
    <t>N45953</t>
  </si>
  <si>
    <t>33200056036178</t>
  </si>
  <si>
    <t>L231</t>
  </si>
  <si>
    <t>TIM - AVENIDA PRESIDENTE CARLOS LUZ, 3001 - SHOPPING DEL REY - MGCO7348</t>
  </si>
  <si>
    <t>LOJA 3065</t>
  </si>
  <si>
    <t>MGCO7348</t>
  </si>
  <si>
    <t>2421421017600</t>
  </si>
  <si>
    <t>C245</t>
  </si>
  <si>
    <t>TIM - AVENIDA DAS AMERICAS, 4666 (LOJA 2 - NYCC) - BARRA SHOPPING - RJES6039</t>
  </si>
  <si>
    <t>LOJA 206/207</t>
  </si>
  <si>
    <t>-22.998859 , -43.360352</t>
  </si>
  <si>
    <t>RJES6039</t>
  </si>
  <si>
    <t>2421421007558</t>
  </si>
  <si>
    <t>C074</t>
  </si>
  <si>
    <t>TIM - AVENIDA MARACANA, 987 - SHOPPING TIJUCA - RJES7537</t>
  </si>
  <si>
    <t>"LOJAS 2045 E 2046	"</t>
  </si>
  <si>
    <t>RJES7537</t>
  </si>
  <si>
    <t>2421421007043</t>
  </si>
  <si>
    <t>C216</t>
  </si>
  <si>
    <t>VIVO - RUA ALEXANDRE MARTINS, 80 - SHOPPING PRAIAMAR - SPC7294</t>
  </si>
  <si>
    <t>LOJA 285</t>
  </si>
  <si>
    <t>11060100</t>
  </si>
  <si>
    <t>SPC7294</t>
  </si>
  <si>
    <t>2558157033842</t>
  </si>
  <si>
    <t>LOJA PRAIAMAR SP</t>
  </si>
  <si>
    <t>VIVO - AVENIDA DOS ANDRADAS, 3000 - SHOPPING BOULEVARD - MGCO5791</t>
  </si>
  <si>
    <t>LOJA PARTE</t>
  </si>
  <si>
    <t>30260070</t>
  </si>
  <si>
    <t>MGCO5791</t>
  </si>
  <si>
    <t>2558157046669</t>
  </si>
  <si>
    <t>LOJA SHOPPING BOULEVARD MG</t>
  </si>
  <si>
    <t>VIVO - AVENIDA T10, 1300 - GOIANIA SHOPPING - MGCO5740</t>
  </si>
  <si>
    <t>LOTE 10/15 PISO 02</t>
  </si>
  <si>
    <t>74223900</t>
  </si>
  <si>
    <t>MGCO5740</t>
  </si>
  <si>
    <t>2558157078196</t>
  </si>
  <si>
    <t>LOJA GOIANIA SHOPPING GO</t>
  </si>
  <si>
    <t>VIVO - RODOVIA BR 316 KM 01, S/N - SHOPPING CASTANHEIRA - N5873</t>
  </si>
  <si>
    <t>LOJA 184 PISO 2</t>
  </si>
  <si>
    <t>66645001</t>
  </si>
  <si>
    <t>N5873</t>
  </si>
  <si>
    <t>2558157052804</t>
  </si>
  <si>
    <t>LOJA CASTANHEIRA PA</t>
  </si>
  <si>
    <t>CARREFOUR - AVENIDA IGUATEMI, 777 - SHOPPING IGUATEMI CAMPINAS - SPI10349</t>
  </si>
  <si>
    <t>13092500</t>
  </si>
  <si>
    <t>-22.8925141 , -47.0255356</t>
  </si>
  <si>
    <t>SPI10349</t>
  </si>
  <si>
    <t>45543915098130</t>
  </si>
  <si>
    <t>ECP</t>
  </si>
  <si>
    <t>CARREFOUR - AVENIDA DOS ANDRADAS, 3000 - SHOPPING BOULEVARD - MGCO5796</t>
  </si>
  <si>
    <t>MGCO5796</t>
  </si>
  <si>
    <t>45543915047730</t>
  </si>
  <si>
    <t>BHA</t>
  </si>
  <si>
    <t>CASAS BAHIA - RUA ARLINDO COLACO, 404 - ZONA COMERCIAL - SPC6704</t>
  </si>
  <si>
    <t>RUA ARLINDO COLACO</t>
  </si>
  <si>
    <t>404</t>
  </si>
  <si>
    <t>418 E 422</t>
  </si>
  <si>
    <t>8010010</t>
  </si>
  <si>
    <t>-23.491922, -46.44050300000001</t>
  </si>
  <si>
    <t>SPC6704</t>
  </si>
  <si>
    <t>33041260114844</t>
  </si>
  <si>
    <t>1034</t>
  </si>
  <si>
    <t>PONTO CERTO - AVENIDA MARACANA, 987 - SHOPPING TIJUCA - RJES10225</t>
  </si>
  <si>
    <t>20543970</t>
  </si>
  <si>
    <t>-22.9225123 , -43.2351087</t>
  </si>
  <si>
    <t>RJES10225</t>
  </si>
  <si>
    <t>5142929003437</t>
  </si>
  <si>
    <t>CLARO - RUA DAS OLIMPIADAS, 360 - SHOPPING VILA OLIMPIA - SPC7305</t>
  </si>
  <si>
    <t>LOJA 102,TÉRREO</t>
  </si>
  <si>
    <t>SPC7305</t>
  </si>
  <si>
    <t>40432544028319</t>
  </si>
  <si>
    <t>1144</t>
  </si>
  <si>
    <t>AQUILON JUFAP (TIM) - AVENIDA PRESIDENTE KENNEDY, 4121 - SHOPPING PALLADIUM - SUL6918</t>
  </si>
  <si>
    <t>P. L1 LOJA 1058/1059</t>
  </si>
  <si>
    <t>SUL6918</t>
  </si>
  <si>
    <t>81214819004736</t>
  </si>
  <si>
    <t>JUFAP ADMINISTRACAO – SHOPPING PALLADIUM CURITIBA - SAP (41831)</t>
  </si>
  <si>
    <t>COMMCENTER - AVENIDA DOM HELDER CAMARA, 5474 - NORTE SHOPPING - RJES6029</t>
  </si>
  <si>
    <t>RJES6029</t>
  </si>
  <si>
    <t>CELULAR STATION - AVENIDA MARACANA, 987 - SHOPPING TIJUCA - RJES286650</t>
  </si>
  <si>
    <t>LOJA 1017</t>
  </si>
  <si>
    <t>RJES286650</t>
  </si>
  <si>
    <t>2714643004977</t>
  </si>
  <si>
    <t>VIVO - AVENIDA BRIGADEIRO FARIA LIMA, 2232 - SHOPPING IGUATEMI SAO PAULO - SPC7302</t>
  </si>
  <si>
    <t>LOJA C 24, 25 E 26</t>
  </si>
  <si>
    <t>4005001</t>
  </si>
  <si>
    <t>SPC7302</t>
  </si>
  <si>
    <t>2558157005040</t>
  </si>
  <si>
    <t>LOJA IGUATEMI SP</t>
  </si>
  <si>
    <t>VIVO - AVENIDA PRESIDENTE JUSCELINO KUBITSCHEK, 2041 - SHOPPING JK IGUATEMI - SPC63632</t>
  </si>
  <si>
    <t>AVENIDA JUSCELINO KUBITSCHEK</t>
  </si>
  <si>
    <t>2041</t>
  </si>
  <si>
    <t>SALÃO COM 361 PISO 2</t>
  </si>
  <si>
    <t>ITAIM BIBI</t>
  </si>
  <si>
    <t>4543011</t>
  </si>
  <si>
    <t>-23.591246 , -46.689713</t>
  </si>
  <si>
    <t>SPC63632</t>
  </si>
  <si>
    <t>2558157004400</t>
  </si>
  <si>
    <t>LOJA SHOPPING JK IGUATEMI SP</t>
  </si>
  <si>
    <t>Shopping Jk Iguatemi</t>
  </si>
  <si>
    <t>BEMOL - RUA MARECHAL DEODORO, 2275 - ZONA COMERCIAL - N64514</t>
  </si>
  <si>
    <t>2275</t>
  </si>
  <si>
    <t>Porto Velho</t>
  </si>
  <si>
    <t>RO</t>
  </si>
  <si>
    <t>78900800</t>
  </si>
  <si>
    <t>-8.76165 , -63.899326</t>
  </si>
  <si>
    <t>N64514</t>
  </si>
  <si>
    <t>04565289001895</t>
  </si>
  <si>
    <t>Porto Velho Centro</t>
  </si>
  <si>
    <t>CASAS BAHIA - SETOR SHD - BL L, S/N - ZONA COMERCIAL - MGCO19009</t>
  </si>
  <si>
    <t>OUTROS PROJECAO NOVE SETOR CENTRAL</t>
  </si>
  <si>
    <t>TERREO E SUBSOLO</t>
  </si>
  <si>
    <t>GAMA</t>
  </si>
  <si>
    <t>72405090</t>
  </si>
  <si>
    <t>-16.018724 , -48.065693</t>
  </si>
  <si>
    <t>MGCO19009</t>
  </si>
  <si>
    <t>33041260111829</t>
  </si>
  <si>
    <t>1323</t>
  </si>
  <si>
    <t>CASAS BAHIA - AVENIDA PRESIDENTE KENNEDY, 425 - PARTAGE SHOPPING SAO GONCALO - RJES10183</t>
  </si>
  <si>
    <t>425</t>
  </si>
  <si>
    <t>SUC 215 E 216,2ºPISO</t>
  </si>
  <si>
    <t>24445000</t>
  </si>
  <si>
    <t>-22.821735 , -43.045739</t>
  </si>
  <si>
    <t>RJES10183</t>
  </si>
  <si>
    <t>33041260088231</t>
  </si>
  <si>
    <t>1557</t>
  </si>
  <si>
    <t>Partage Shopping Sao Goncalo</t>
  </si>
  <si>
    <t>CLARICELL - AVENIDA REBOUCAS, 3970 (LOJA 2) - SHOPPING ELDORADO - SPC7742</t>
  </si>
  <si>
    <t>LOJA 316,2º PISO</t>
  </si>
  <si>
    <t>SPC7742</t>
  </si>
  <si>
    <t>21848907001076</t>
  </si>
  <si>
    <t>CLARO - AVENIDA JUSCELINO KUBITSCHEK, 2041 - SHOPPING JK IGUATEMI - SPC7396</t>
  </si>
  <si>
    <t>-23.5913703 , -46.6904974</t>
  </si>
  <si>
    <t>SPC7396</t>
  </si>
  <si>
    <t>40432544040521</t>
  </si>
  <si>
    <t>11A2</t>
  </si>
  <si>
    <t>CLARO - AVENIDA PASTOR MARTIN LUTHER KING JUNIOR, 126 - SHOPPING NOVA AMERICA - RJES9068</t>
  </si>
  <si>
    <t>RJES9068</t>
  </si>
  <si>
    <t>40432544051728</t>
  </si>
  <si>
    <t>2141</t>
  </si>
  <si>
    <t>LOJAS AMERICANAS - AVENIDA RIO VERDE, S/N - SHOPPING BURITI - MGCO20083</t>
  </si>
  <si>
    <t>LOJA 258</t>
  </si>
  <si>
    <t>74915515</t>
  </si>
  <si>
    <t>MGCO20083</t>
  </si>
  <si>
    <t>776574150395</t>
  </si>
  <si>
    <t>L190</t>
  </si>
  <si>
    <t>MAGAZINE LUIZA - AVENIDA THEODORO VICTORELLI, 150 - BOULEVARD LONDRINA SHOPPING - SUL9156</t>
  </si>
  <si>
    <t>AVENIDA THEODORO VICTORELLI</t>
  </si>
  <si>
    <t>150</t>
  </si>
  <si>
    <t>LSU 3</t>
  </si>
  <si>
    <t>Londrina</t>
  </si>
  <si>
    <t>86027750</t>
  </si>
  <si>
    <t>-23.312477 , -51.146435</t>
  </si>
  <si>
    <t>SUL9156</t>
  </si>
  <si>
    <t>47960950089270</t>
  </si>
  <si>
    <t>975</t>
  </si>
  <si>
    <t>Boulevard Londrina Shopping</t>
  </si>
  <si>
    <t>MAGAZINE LUIZA - RODOVIA CELSO GARCIA CID KM 377, S/N - SHOPPING CATUAI LONDRINA - SUL9166</t>
  </si>
  <si>
    <t>RODOVIA CELSO GARCIA CID</t>
  </si>
  <si>
    <t>KM 377,LUC B,B2</t>
  </si>
  <si>
    <t>GLEBA FAZENDA PALHA</t>
  </si>
  <si>
    <t>86057350</t>
  </si>
  <si>
    <t>-23.342228 , -51.185551</t>
  </si>
  <si>
    <t>SUL9166</t>
  </si>
  <si>
    <t>47960950009269</t>
  </si>
  <si>
    <t>Shopping Catuai Londrina</t>
  </si>
  <si>
    <t>PONTO FRIO - RUA MARIA SOARES SENDAS, 111 - SHOPPING GRANDE RIO - RJES6160</t>
  </si>
  <si>
    <t>LOJAS 196,197 E 199</t>
  </si>
  <si>
    <t>-22.797117 , -43.352379</t>
  </si>
  <si>
    <t>RJES6160</t>
  </si>
  <si>
    <t>33041260019183</t>
  </si>
  <si>
    <t>151</t>
  </si>
  <si>
    <t>RIACHUELO - RUA DESEMBARGADOR LAURO NOGUEIRA, 1500 - SHOPPING RIO MAR - NE65157</t>
  </si>
  <si>
    <t>LOJA 2001</t>
  </si>
  <si>
    <t>NE65157</t>
  </si>
  <si>
    <t>33200056028744</t>
  </si>
  <si>
    <t>L262</t>
  </si>
  <si>
    <t>ALEGRIA (TIM) - AVENIDA REPUBLICA DO LIBANO, 251 - SHOPPING RIO MAR - NE290910</t>
  </si>
  <si>
    <t>LOJA 123</t>
  </si>
  <si>
    <t>NE290910</t>
  </si>
  <si>
    <t>21683365006926</t>
  </si>
  <si>
    <t>ALEGRIA TELECOM - SHOPPING RIO MAR RECIFE - SAP (44616)</t>
  </si>
  <si>
    <t>COMMCENTER - RUA ALEXANDRE MARTINS, 80 - SHOPPING PRAIAMAR - SPC6378</t>
  </si>
  <si>
    <t>-23.9779471 , -46.3086452</t>
  </si>
  <si>
    <t>SPC6378</t>
  </si>
  <si>
    <t>5828732001089</t>
  </si>
  <si>
    <t>CARREFOUR - AVENIDA AFONSO PENA, 4904 - ZONA COMERCIAL - MGCO11391</t>
  </si>
  <si>
    <t>MGCO11391</t>
  </si>
  <si>
    <t>45543915098050</t>
  </si>
  <si>
    <t>ECG</t>
  </si>
  <si>
    <t>CASAS BAHIA - AVENIDA ITATINGA, S/N - MGCO265860</t>
  </si>
  <si>
    <t>AVENIDA ITATINGA</t>
  </si>
  <si>
    <t>QUADRA 37 LOTE 1/D18</t>
  </si>
  <si>
    <t>CONJUNTO SABIA</t>
  </si>
  <si>
    <t>Senador Canedo</t>
  </si>
  <si>
    <t>75250000</t>
  </si>
  <si>
    <t>-16.701687,-49.1013155</t>
  </si>
  <si>
    <t>MGCO265860</t>
  </si>
  <si>
    <t>33041260151375</t>
  </si>
  <si>
    <t>1805</t>
  </si>
  <si>
    <t>CASAS BAHIA - AVENIDA 26 DE MARCO, 217 - ZONA COMERCIAL - SPC9215</t>
  </si>
  <si>
    <t>AVENIDA VINTE E SEIS DE MARCO</t>
  </si>
  <si>
    <t>217 E 227</t>
  </si>
  <si>
    <t>VILA SAO JOAO</t>
  </si>
  <si>
    <t>6400000</t>
  </si>
  <si>
    <t>-23.511328 , -46.877121</t>
  </si>
  <si>
    <t>SPC9215</t>
  </si>
  <si>
    <t>33041260105187</t>
  </si>
  <si>
    <t>1115</t>
  </si>
  <si>
    <t>MAGAZINE LUIZA - RUA PROFESSOR PEDRO VIRIATO PARIGOT DE SOUZA, 600 - PARK SHOPPING BARIGUI - SUL253090</t>
  </si>
  <si>
    <t>CAMPINA DO SIQUEIRA</t>
  </si>
  <si>
    <t>SUL253090</t>
  </si>
  <si>
    <t>47960950179938</t>
  </si>
  <si>
    <t>1542</t>
  </si>
  <si>
    <t>PONTO FRIO - RUA ANTONIO AGU, 536 - ZONA COMERCIAL - SPC10977</t>
  </si>
  <si>
    <t>RUA ANTONIO AGU</t>
  </si>
  <si>
    <t>155</t>
  </si>
  <si>
    <t>FILIAL 85</t>
  </si>
  <si>
    <t>6010000</t>
  </si>
  <si>
    <t>-23.529587 , -46.77692</t>
  </si>
  <si>
    <t>SPC10977</t>
  </si>
  <si>
    <t>RIACHUELO - RODOVIA BR 316, 01 - SHOPPING CASTANHEIRA - N42467</t>
  </si>
  <si>
    <t>(EUC) 148, 149 E 150</t>
  </si>
  <si>
    <t>N42467</t>
  </si>
  <si>
    <t>33200056001030</t>
  </si>
  <si>
    <t>L144</t>
  </si>
  <si>
    <t>TIM - AVENIDA PRESIDENTE KENNEDY, 425 - PARTAGE SHOPPING SAO GONCALO - RJES6132</t>
  </si>
  <si>
    <t>LOJA 104 E 105 B</t>
  </si>
  <si>
    <t>RJES6132</t>
  </si>
  <si>
    <t>2421421006403</t>
  </si>
  <si>
    <t>C213</t>
  </si>
  <si>
    <t>COMMCENTER - RODOVIA BR 356, 3049 - SHOPPING BH - MGCO5775</t>
  </si>
  <si>
    <t>MGCO5775</t>
  </si>
  <si>
    <t>05828732003103</t>
  </si>
  <si>
    <t>VIVO - AVENIDA DIARIO DE NOTICIAS, 300 - BARRA SHOPPING SUL - SUL7238</t>
  </si>
  <si>
    <t>LOJA 2113 PARTE</t>
  </si>
  <si>
    <t>SUL7238</t>
  </si>
  <si>
    <t>2558157036000</t>
  </si>
  <si>
    <t>LOJA BARRA SHOPPING SUL RS</t>
  </si>
  <si>
    <t>CASAS BAHIA - RUA 9 DE JULHO, 823 - ZONA COMERCIAL - SPI10743</t>
  </si>
  <si>
    <t>RUA NOVE DE JULHO</t>
  </si>
  <si>
    <t>823</t>
  </si>
  <si>
    <t>833</t>
  </si>
  <si>
    <t>Araraquara</t>
  </si>
  <si>
    <t>14801295</t>
  </si>
  <si>
    <t>-21.79101 , -48.175272</t>
  </si>
  <si>
    <t>SPI10743</t>
  </si>
  <si>
    <t>33041260122430</t>
  </si>
  <si>
    <t>CASAS BAHIA - RUA MANOEL DA NOBREGA, 712 - SHOPPING PRACA DA MOCA - SPC40362</t>
  </si>
  <si>
    <t>RUA DA GRACIOSA</t>
  </si>
  <si>
    <t>378</t>
  </si>
  <si>
    <t>LJ 319,PAINEIRAS 816</t>
  </si>
  <si>
    <t>9910660</t>
  </si>
  <si>
    <t>-23.691486 , -46.623207</t>
  </si>
  <si>
    <t>SPC40362</t>
  </si>
  <si>
    <t>33041260068559</t>
  </si>
  <si>
    <t>1822</t>
  </si>
  <si>
    <t>Shopping Praça Da Moça</t>
  </si>
  <si>
    <t>CASAS BAHIA - AVENIDA CONDE FRANCISCO MATARAZZO, 100 - ZONA COMERCIAL - SPC7882</t>
  </si>
  <si>
    <t>AVENIDA CONDE FRANCISCO MATTARAZZO</t>
  </si>
  <si>
    <t>100</t>
  </si>
  <si>
    <t>FUNDACAO</t>
  </si>
  <si>
    <t>São Caetano do Sul</t>
  </si>
  <si>
    <t>9520900</t>
  </si>
  <si>
    <t>-23.610492 , -46.570935</t>
  </si>
  <si>
    <t>SPC7882</t>
  </si>
  <si>
    <t>33041260119641</t>
  </si>
  <si>
    <t>1000</t>
  </si>
  <si>
    <t>CLARO - AVENIDA OLEGARIO MACIEL, 1600 - SHOPPING DIAMOND MALL - MGCO7347</t>
  </si>
  <si>
    <t>AVENIDA OLEGARIO MACIEL</t>
  </si>
  <si>
    <t>1600</t>
  </si>
  <si>
    <t>1º ANDAR</t>
  </si>
  <si>
    <t>LOURDES</t>
  </si>
  <si>
    <t>30180111</t>
  </si>
  <si>
    <t>-19.928038 , -43.947372</t>
  </si>
  <si>
    <t>MGCO7347</t>
  </si>
  <si>
    <t>40432544030640</t>
  </si>
  <si>
    <t>3125</t>
  </si>
  <si>
    <t>Shopping Diamond Mall</t>
  </si>
  <si>
    <t>FUJIOKA - AVENIDA ARNIQUEIRA QS 1 RUA 210 LOTE 40, S/N - SHOPPING TAGUATINGA - MGCO5708</t>
  </si>
  <si>
    <t>LOJA 1051 PISO L1</t>
  </si>
  <si>
    <t>MGCO5708</t>
  </si>
  <si>
    <t>01008713002108</t>
  </si>
  <si>
    <t>TAGUATINGA SHOPPING</t>
  </si>
  <si>
    <t>LOJAS AMERICANAS - AVENIDA BRIGADEIRO FARIA LIMA, 2232 - SHOPPING IGUATEMI SAO PAULO - SPC7060</t>
  </si>
  <si>
    <t>LOJA C3</t>
  </si>
  <si>
    <t>1451000</t>
  </si>
  <si>
    <t>SPC7060</t>
  </si>
  <si>
    <t>Nao</t>
  </si>
  <si>
    <t>776574092506</t>
  </si>
  <si>
    <t>L006</t>
  </si>
  <si>
    <t>MAGAZINE LUIZA - AVENIDA DOM EMANUEL, 1032 - MGCO240490</t>
  </si>
  <si>
    <t>AVENIDA DOM EMANUEL</t>
  </si>
  <si>
    <t>QUADRA 01 E LOTE 01/30</t>
  </si>
  <si>
    <t>JARDIM TODOS OS SANTOS</t>
  </si>
  <si>
    <t>SENADOR CANEDO</t>
  </si>
  <si>
    <t>75261432</t>
  </si>
  <si>
    <t>-16.7013245, -49.0984418</t>
  </si>
  <si>
    <t>MGCO240490</t>
  </si>
  <si>
    <t>47960950118041</t>
  </si>
  <si>
    <t>1087</t>
  </si>
  <si>
    <t>MAGAZINE LUIZA - RUA PARANA, 256 - SPI245110</t>
  </si>
  <si>
    <t>RUA PARANA</t>
  </si>
  <si>
    <t>256</t>
  </si>
  <si>
    <t>OURINHOS</t>
  </si>
  <si>
    <t>19900020</t>
  </si>
  <si>
    <t>-22.9783014,-49.8713143</t>
  </si>
  <si>
    <t>SPI245110</t>
  </si>
  <si>
    <t>47960950011590</t>
  </si>
  <si>
    <t>MAGAZINE LUIZA - RUA DOUTOR EDUARDO DOTTO, 54 - NE244630</t>
  </si>
  <si>
    <t>RUA DOUTOR EDUARDO DOTTO</t>
  </si>
  <si>
    <t>PARIPE</t>
  </si>
  <si>
    <t>SALVADOR</t>
  </si>
  <si>
    <t>40800010</t>
  </si>
  <si>
    <t>-12.8407688,-38.470606</t>
  </si>
  <si>
    <t>NE244630</t>
  </si>
  <si>
    <t>47960950080567</t>
  </si>
  <si>
    <t>824</t>
  </si>
  <si>
    <t>FACELL - AVENIDA BERNARDO VIEIRA, 3775 - 2º PISO - SHOPPING MIDWAY MALL - NE11301</t>
  </si>
  <si>
    <t>2º PISO</t>
  </si>
  <si>
    <t>NE11301</t>
  </si>
  <si>
    <t>7366109001753</t>
  </si>
  <si>
    <t>FACELL LTDA - NATAL - SHOPPING MIDWAY 2 - SAP (34591)</t>
  </si>
  <si>
    <t>TIM - AVENIDA OLEGARIO MACIEL, 1600 - DIAMOND MALL - MGCO45295</t>
  </si>
  <si>
    <t>BG05</t>
  </si>
  <si>
    <t>MGCO45295</t>
  </si>
  <si>
    <t>4206050033607</t>
  </si>
  <si>
    <t>C266</t>
  </si>
  <si>
    <t>CARREFOUR - AVENIDA DEPUTADO BENEDITO MATARAZZO, 5701 - ZONA COMERCIAL - SPI19044</t>
  </si>
  <si>
    <t>5701</t>
  </si>
  <si>
    <t>SERIMBURA</t>
  </si>
  <si>
    <t>-23.222788576643264 , -45.90593327442291</t>
  </si>
  <si>
    <t>SPI19044</t>
  </si>
  <si>
    <t>45543915003601</t>
  </si>
  <si>
    <t>SJC</t>
  </si>
  <si>
    <t>CASA &amp; VIDEO - AVENIDA PASTOR MARTIN LUTHER KING JUNIOR, 126 - SHOPPING NOVA AMERICA - RJES6147</t>
  </si>
  <si>
    <t>LOJA K</t>
  </si>
  <si>
    <t>RJES6147</t>
  </si>
  <si>
    <t>11114284003855</t>
  </si>
  <si>
    <t>NOVA AMERICA SHOPPING</t>
  </si>
  <si>
    <t>CASAS BAHIA - RUA 15 DE NOVEMBRO, 393 - ZONA COMERCIAL - SUL7983</t>
  </si>
  <si>
    <t>393</t>
  </si>
  <si>
    <t>LOJA 02,PAV.1 E 2</t>
  </si>
  <si>
    <t>89201601</t>
  </si>
  <si>
    <t>-26.30077 , -48.846066</t>
  </si>
  <si>
    <t>SUL7983</t>
  </si>
  <si>
    <t>33041260128390</t>
  </si>
  <si>
    <t>1135</t>
  </si>
  <si>
    <t>AVENIDA NACOES UNIDAS</t>
  </si>
  <si>
    <t>12995</t>
  </si>
  <si>
    <t>BROOKLIN</t>
  </si>
  <si>
    <t>4571170</t>
  </si>
  <si>
    <t>-23.606713, -46.6957324</t>
  </si>
  <si>
    <t>33041260211882</t>
  </si>
  <si>
    <t>LOJAS CEM - RUA FREI GASPAR, 655 - ZONA COMERCIAL - SPC20202</t>
  </si>
  <si>
    <t>655</t>
  </si>
  <si>
    <t>11310061</t>
  </si>
  <si>
    <t>-23.966063 , -46.38559</t>
  </si>
  <si>
    <t>SPC20202</t>
  </si>
  <si>
    <t>56642960012620</t>
  </si>
  <si>
    <t>SVICEN</t>
  </si>
  <si>
    <t>TIM - AVENIDA T10, 1300 - GOIANIA SHOPPING - MGCO7344</t>
  </si>
  <si>
    <t>SETORBUENO</t>
  </si>
  <si>
    <t>-16.7080285 , -49.27269769999999</t>
  </si>
  <si>
    <t>MGCO7344</t>
  </si>
  <si>
    <t>02421421016700</t>
  </si>
  <si>
    <t>C236</t>
  </si>
  <si>
    <t>CELULAR STATION - AVENIDA PASTOR MARTIN LUTHER KING JUNIOR, 126 - SHOPPING NOVA AMERICA - RJES6076</t>
  </si>
  <si>
    <t>BL 1/103</t>
  </si>
  <si>
    <t>RJES6076</t>
  </si>
  <si>
    <t>2714643003903</t>
  </si>
  <si>
    <t>CASAS BAHIA - RUA FONSECA, 240 - SHOPPING BANGU - RJES6162</t>
  </si>
  <si>
    <t>L 137</t>
  </si>
  <si>
    <t>-22.8780442, -43.4664642</t>
  </si>
  <si>
    <t>RJES6162</t>
  </si>
  <si>
    <t>33041260086611</t>
  </si>
  <si>
    <t>1415</t>
  </si>
  <si>
    <t>MEX CELL - AVENIDA DAS AMERICAS, 4666 - BARRA SHOPPING - RJES229670</t>
  </si>
  <si>
    <t>-22.9976583 , -43.3581268</t>
  </si>
  <si>
    <t>RJES229670</t>
  </si>
  <si>
    <t>18959713000576</t>
  </si>
  <si>
    <t>LOJAS CEM - RUA CANDELARIA, 677 - ZONA COMERCIAL - SPI9837</t>
  </si>
  <si>
    <t>RUA CANDELARIA</t>
  </si>
  <si>
    <t>677</t>
  </si>
  <si>
    <t>VILA SFEIR</t>
  </si>
  <si>
    <t>-23.089302 , -47.217457</t>
  </si>
  <si>
    <t>SPI9837</t>
  </si>
  <si>
    <t>56642960000371</t>
  </si>
  <si>
    <t>INDAIA</t>
  </si>
  <si>
    <t>TELE RIO - AVENIDA DOM HELDER CAMARA, 5474 - NORTE SHOPPING - RJES269670</t>
  </si>
  <si>
    <t>RJES269670</t>
  </si>
  <si>
    <t>33086695004384</t>
  </si>
  <si>
    <t>TELE RIO</t>
  </si>
  <si>
    <t>VIVO - AVENIDA OLEGARIO MACIEL, 1600 - SHOPPING DIAMOND MALL - MGCO7184</t>
  </si>
  <si>
    <t>LOJAS 50/51</t>
  </si>
  <si>
    <t>30180915</t>
  </si>
  <si>
    <t>MGCO7184</t>
  </si>
  <si>
    <t>2558157080255</t>
  </si>
  <si>
    <t>LOJA SHOPPING DIAMOND MALL II ICONICA MG</t>
  </si>
  <si>
    <t>VIVO - AVENIDA MADRE BENVENUTA, 687 - VILLA ROMANA SHOPPING - SUL6301</t>
  </si>
  <si>
    <t>SUL6301</t>
  </si>
  <si>
    <t>2558157043724</t>
  </si>
  <si>
    <t>LOJA VILLA ROMANA SHOPPING SC</t>
  </si>
  <si>
    <t>BEMOL - AVENIDA RIO MADEIRA, 3288 - PORTO VELHO SHOPPING - N64511</t>
  </si>
  <si>
    <t>AVENIDA RIO MADEIRA</t>
  </si>
  <si>
    <t>3288</t>
  </si>
  <si>
    <t>LOJA 201</t>
  </si>
  <si>
    <t>FLODOALDO PONTES PINTO</t>
  </si>
  <si>
    <t>78905450</t>
  </si>
  <si>
    <t>-8.748343 , -63.875504</t>
  </si>
  <si>
    <t>N64511</t>
  </si>
  <si>
    <t>04565289001208</t>
  </si>
  <si>
    <t>Porto Velho Shopping</t>
  </si>
  <si>
    <t>CARREFOUR - AVENIDA BRASIL, 376 - ZONA COMERCIAL - SPI18452</t>
  </si>
  <si>
    <t>AVENIDA BRASIL</t>
  </si>
  <si>
    <t>376</t>
  </si>
  <si>
    <t>TERRA VERMELHA</t>
  </si>
  <si>
    <t>18017013</t>
  </si>
  <si>
    <t>-23.487069 , -47.470766</t>
  </si>
  <si>
    <t>SPI18452</t>
  </si>
  <si>
    <t>45543915021421</t>
  </si>
  <si>
    <t>SON</t>
  </si>
  <si>
    <t>CARREFOUR - RUA MUNICIPAL, 252 - ZONA COMERCIAL - SPI20852</t>
  </si>
  <si>
    <t>RUA MUNICIPAL</t>
  </si>
  <si>
    <t>252</t>
  </si>
  <si>
    <t>14055510</t>
  </si>
  <si>
    <t>-21.163729 , -47.815125</t>
  </si>
  <si>
    <t>SPI20852</t>
  </si>
  <si>
    <t>45543915028000</t>
  </si>
  <si>
    <t>RPN</t>
  </si>
  <si>
    <t>CASAS BAHIA - ESTRADA DO LAGEADO VELHO, 681 - ZONA COMERCIAL - SPC11227</t>
  </si>
  <si>
    <t>ESTRADA DO LAGEADO VELHO</t>
  </si>
  <si>
    <t>683</t>
  </si>
  <si>
    <t>GUAIANAZES</t>
  </si>
  <si>
    <t>8451000</t>
  </si>
  <si>
    <t>-23.535784 , -46.402817</t>
  </si>
  <si>
    <t>SPC11227</t>
  </si>
  <si>
    <t>33041260117860</t>
  </si>
  <si>
    <t>1510</t>
  </si>
  <si>
    <t>CASAS BAHIA - AVENIDA ITABERABA, 5080 - ZONA COMERCIAL - SPC6508</t>
  </si>
  <si>
    <t>AVENIDA ITABERABA</t>
  </si>
  <si>
    <t>5080</t>
  </si>
  <si>
    <t>5084</t>
  </si>
  <si>
    <t>2739000</t>
  </si>
  <si>
    <t>-23.474314 , -46.66878</t>
  </si>
  <si>
    <t>SPC6508</t>
  </si>
  <si>
    <t>33041260107201</t>
  </si>
  <si>
    <t>1269</t>
  </si>
  <si>
    <t>MAGAZINE LUIZA - INDEPENDENCIA, 301 - ZONA COMERCIAL - SUL19955</t>
  </si>
  <si>
    <t>93010001</t>
  </si>
  <si>
    <t>-29.762260908179854 , -51.14710097553257</t>
  </si>
  <si>
    <t>SUL19955</t>
  </si>
  <si>
    <t>47960950029707</t>
  </si>
  <si>
    <t>MAGAZINE LUIZA - RUA GERONIMO CAETANO GARCIA, 526 - ZONA COMERCIAL - SPC42847</t>
  </si>
  <si>
    <t>RUA GERONIMO CAETANO GARCIA</t>
  </si>
  <si>
    <t>Francisco Morato</t>
  </si>
  <si>
    <t>7901000</t>
  </si>
  <si>
    <t>-23.2817263 , -46.74296190000001</t>
  </si>
  <si>
    <t>SPC42847</t>
  </si>
  <si>
    <t>47960950095327</t>
  </si>
  <si>
    <t>989</t>
  </si>
  <si>
    <t>TIM - AVENIDA CORONEL FERNANDO FERREIRA LEITE, 1540 - RIBEIRAO SHOPPING - SPI7319</t>
  </si>
  <si>
    <t>LOJA 85/86</t>
  </si>
  <si>
    <t>SPI7319</t>
  </si>
  <si>
    <t>04206050002043</t>
  </si>
  <si>
    <t>VIVO - AVENIDA NACOES UNIDAS, 2001 - SHOPPING BOURBON NOVO HAMBURGO - SUL7235</t>
  </si>
  <si>
    <t>2001</t>
  </si>
  <si>
    <t>LOJA 1023 A 1025</t>
  </si>
  <si>
    <t>Novo Hamburgo</t>
  </si>
  <si>
    <t>93320021</t>
  </si>
  <si>
    <t>-29.685776 , -51.134052</t>
  </si>
  <si>
    <t>SUL7235</t>
  </si>
  <si>
    <t>2558157037678</t>
  </si>
  <si>
    <t>LOJA NOVO HAMBURGO SHOPPING RS</t>
  </si>
  <si>
    <t>Shopping Bourbon Novo Hamburgo</t>
  </si>
  <si>
    <t>CASA &amp; VIDEO - RUA LAURO MULLER, 116 - SHOPPING RIO SUL - RJES6152</t>
  </si>
  <si>
    <t>LOJA 401.</t>
  </si>
  <si>
    <t>RJES6152</t>
  </si>
  <si>
    <t>11114284005718</t>
  </si>
  <si>
    <t>SHOPPING RIO SUL</t>
  </si>
  <si>
    <t>CASAS BAHIA - AVENIDA RAIMUNDO PEREIRA DE MAGALHAES, 11001 - SHOPPING CANTAREIRA - SPC87521</t>
  </si>
  <si>
    <t>AVENIDA RAIMUNDO PEREIRA DE MAGALHAES</t>
  </si>
  <si>
    <t>11001</t>
  </si>
  <si>
    <t>EUC 2001 B</t>
  </si>
  <si>
    <t>JARDIM PIRITUBA</t>
  </si>
  <si>
    <t>2984035</t>
  </si>
  <si>
    <t>-23.444709 , -46.723007</t>
  </si>
  <si>
    <t>SPC87521</t>
  </si>
  <si>
    <t>33041260167964</t>
  </si>
  <si>
    <t>2047</t>
  </si>
  <si>
    <t>Shopping Cantareira</t>
  </si>
  <si>
    <t>CASAS BAHIA - AVENIDA 15 DE NOVEMBRO, 281 - ZONA COMERCIAL - SUL45403</t>
  </si>
  <si>
    <t>AVENIDA 15 DE NOVEMBRO</t>
  </si>
  <si>
    <t>Paranaguá</t>
  </si>
  <si>
    <t>83203695</t>
  </si>
  <si>
    <t>-25.5197851 , -48.5052789</t>
  </si>
  <si>
    <t>SUL45403</t>
  </si>
  <si>
    <t/>
  </si>
  <si>
    <t>TELECEL (CLARO) - AVENIDA RIO VERDE, S/N - SHOPPING BURITI - MGCO236730</t>
  </si>
  <si>
    <t>QD 06 LT A</t>
  </si>
  <si>
    <t>-16.7409786, -49.2768558</t>
  </si>
  <si>
    <t>MGCO236730</t>
  </si>
  <si>
    <t>03555618001269</t>
  </si>
  <si>
    <t>PONTO CERTO - AVENIDA DOM HELDER CAMARA, 5474 - NORTE SHOPPING - RJES6163</t>
  </si>
  <si>
    <t>-22.8863566 , -43.2827438</t>
  </si>
  <si>
    <t>RJES6163</t>
  </si>
  <si>
    <t>5142929000926</t>
  </si>
  <si>
    <t>MAGAZINE LUIZA - AVENIDA IGUATEMI, 777 - SHOPPING IGUATEMI CAMPINAS - SPI43433</t>
  </si>
  <si>
    <t>LOJA 218</t>
  </si>
  <si>
    <t>SPI43433</t>
  </si>
  <si>
    <t>47960950095750</t>
  </si>
  <si>
    <t>COMMCENTER - AVENIDA DIARIO DE NOTICIAS, 300 - BARRA SHOPPING SUL - SUL6236</t>
  </si>
  <si>
    <t>LOJA 2009</t>
  </si>
  <si>
    <t>SUL6236</t>
  </si>
  <si>
    <t>308055001488</t>
  </si>
  <si>
    <t>CASAS BAHIA - RUA DA MATRIZ, 33 - ZONA COMERCIAL - RJES21209</t>
  </si>
  <si>
    <t>RUA DA MATRIZ</t>
  </si>
  <si>
    <t>33</t>
  </si>
  <si>
    <t>43</t>
  </si>
  <si>
    <t>25520640</t>
  </si>
  <si>
    <t>-22.803337586254884 , -43.37118908102036</t>
  </si>
  <si>
    <t>RJES21209</t>
  </si>
  <si>
    <t>33041260087421</t>
  </si>
  <si>
    <t>1096</t>
  </si>
  <si>
    <t>HS - AVENIDA TANCREDO NEVES, 3133 - SHOPPING SALVADOR - NE263450</t>
  </si>
  <si>
    <t>41820910</t>
  </si>
  <si>
    <t>NE263450</t>
  </si>
  <si>
    <t>5923253005209</t>
  </si>
  <si>
    <t>LOJAS AMERICANAS - AVENIDA DIARIO DE NOTICIAS, 300 - BARRA SHOPPING SUL - SUL45658</t>
  </si>
  <si>
    <t>LOJA 1049</t>
  </si>
  <si>
    <t>SUL45658</t>
  </si>
  <si>
    <t>776574163454</t>
  </si>
  <si>
    <t>1234</t>
  </si>
  <si>
    <t>LOJAS CEM - AVENIDA NOVE DE JULHO, 76 - SPI262160</t>
  </si>
  <si>
    <t>AVENIDA NOVE DE JULHO</t>
  </si>
  <si>
    <t>Ourinhos</t>
  </si>
  <si>
    <t>19900070</t>
  </si>
  <si>
    <t>-22.978157,-49.8737207</t>
  </si>
  <si>
    <t>SPI262160</t>
  </si>
  <si>
    <t>56642960020640</t>
  </si>
  <si>
    <t>OURIN</t>
  </si>
  <si>
    <t>PONTO FRIO - AVENIDA PRESIDENTE KENNEDY, 1500 - NOVO SHOPPING - SPI7694</t>
  </si>
  <si>
    <t>ARCO 279</t>
  </si>
  <si>
    <t>SPI7694</t>
  </si>
  <si>
    <t>33041260038803</t>
  </si>
  <si>
    <t>336</t>
  </si>
  <si>
    <t>PONTO FRIO - RUA FONSECA, 240 - SHOPPING BANGU - RJES6097</t>
  </si>
  <si>
    <t>LOJAS 133 B E 135</t>
  </si>
  <si>
    <t>RJES6097</t>
  </si>
  <si>
    <t>33041260054337</t>
  </si>
  <si>
    <t>520</t>
  </si>
  <si>
    <t>CELMAX - AVENIDA RIO VERDE, S/N - SHOPPING BURITI - MGCO20084</t>
  </si>
  <si>
    <t>LOJA 148 TERREO</t>
  </si>
  <si>
    <t>MGCO20084</t>
  </si>
  <si>
    <t>20881831000208</t>
  </si>
  <si>
    <t>VIVO - AVENIDA TANCREDO NEVES LOJA 2, 148 - SHOPPING DA BAHIA - NE71999</t>
  </si>
  <si>
    <t>NE71999</t>
  </si>
  <si>
    <t>2558157072740</t>
  </si>
  <si>
    <t>LOJA IGUATEMI II BA</t>
  </si>
  <si>
    <t>CASAS BAHIA - RUA QUINTINO BOCAIUVA, 88 - ZONA COMERCIAL - SUL64559</t>
  </si>
  <si>
    <t>RUA QUINTINO BOCAIUVA</t>
  </si>
  <si>
    <t>E</t>
  </si>
  <si>
    <t>89801080</t>
  </si>
  <si>
    <t>-27.097746 , -52.615208</t>
  </si>
  <si>
    <t>SUL64559</t>
  </si>
  <si>
    <t>33041260129108</t>
  </si>
  <si>
    <t>1425</t>
  </si>
  <si>
    <t>CASAS BAHIA - QS 414 - CJ G COMERCIO, S/N - ZONA COMERCIAL - MGCO19454</t>
  </si>
  <si>
    <t>OUTROS QS QUATROCENTOS E QUATORZE CONJUNTO G</t>
  </si>
  <si>
    <t>LOTES 1 A 8</t>
  </si>
  <si>
    <t>SAMAMBAIA</t>
  </si>
  <si>
    <t>72320587</t>
  </si>
  <si>
    <t>-15.859776 , -48.07161</t>
  </si>
  <si>
    <t>MGCO19454</t>
  </si>
  <si>
    <t>33041260112124</t>
  </si>
  <si>
    <t>1297</t>
  </si>
  <si>
    <t>CLARO - AVENIDA NACOES UNIDAS, 2001 - SHOPPING BOURBON NOVO HAMBURGO - SUL7369</t>
  </si>
  <si>
    <t>SUL7369</t>
  </si>
  <si>
    <t>40432544011777</t>
  </si>
  <si>
    <t>5103</t>
  </si>
  <si>
    <t>HAVAN - AVENIDA BISPO DOM GERALDO PELLANDA, 100 - ZONA COMERCIAL - SUL18779</t>
  </si>
  <si>
    <t>AVENIDA BISPO DOM GERALDO PELLANDA</t>
  </si>
  <si>
    <t>UVARANAS</t>
  </si>
  <si>
    <t>84025007</t>
  </si>
  <si>
    <t>-25.091976 , -50.151146</t>
  </si>
  <si>
    <t>SUL18779</t>
  </si>
  <si>
    <t>79379491004170</t>
  </si>
  <si>
    <t>41 - PONTA GROSSA</t>
  </si>
  <si>
    <t>RIACHUELO - AVENIDA JOAO WALLING, 1800 - SHOPPING IGUATEMI PORTO ALEGRE - SUL48367</t>
  </si>
  <si>
    <t>LOJAS 1305/6/7</t>
  </si>
  <si>
    <t>SUL48367</t>
  </si>
  <si>
    <t>33200056044430</t>
  </si>
  <si>
    <t>L334</t>
  </si>
  <si>
    <t>VIVO - AVENIDA TANCREDO NEVES, 3133, LOJA 2 - SHOPPING SALVADOR - NE288130</t>
  </si>
  <si>
    <t>3133, LOJA 2</t>
  </si>
  <si>
    <t>LOJA 125</t>
  </si>
  <si>
    <t>CAMINHO DAS ÁRVORES</t>
  </si>
  <si>
    <t>NE288130</t>
  </si>
  <si>
    <t>2558157096500</t>
  </si>
  <si>
    <t>LOJA SALVADOR SHOPPING II BA</t>
  </si>
  <si>
    <t>VIVO - RUA PADRE CARAPUCEIRO, 777, LOJA 2 - SHOPPING RECIFE - NE265650</t>
  </si>
  <si>
    <t>RUA PADRE CARAPUCEIRO</t>
  </si>
  <si>
    <t>777, LOJA 2</t>
  </si>
  <si>
    <t>SALA 801</t>
  </si>
  <si>
    <t>NE265650</t>
  </si>
  <si>
    <t>2558157089635</t>
  </si>
  <si>
    <t>LOJA SHOPPING RECIFE II PE</t>
  </si>
  <si>
    <t>BEMOL - AVENIDA LEOPOLDO PERES, 199 - ZONA COMERCIAL - N10264</t>
  </si>
  <si>
    <t>AVENIDA LEOPOLDO PERES</t>
  </si>
  <si>
    <t>EDUCANDOS</t>
  </si>
  <si>
    <t>69070250</t>
  </si>
  <si>
    <t>-3.1428781, -60.01035039999999</t>
  </si>
  <si>
    <t>N10264</t>
  </si>
  <si>
    <t>04565289001461</t>
  </si>
  <si>
    <t>Educandos</t>
  </si>
  <si>
    <t>VIDA DIGITAL - QS 01 210 LOTE 40 LJ. 20 2 PISO - SHOPPING TAGUATINGA - MGCO6796</t>
  </si>
  <si>
    <t>LOJA 2039</t>
  </si>
  <si>
    <t>MGCO6796</t>
  </si>
  <si>
    <t>CLARO RP - AVENIDA DOS ANDRADAS, 3000 - SHOPPING BOULEVARD - MGCO254120</t>
  </si>
  <si>
    <t>LOJA NÍVEL 1</t>
  </si>
  <si>
    <t>SANTA EFIGÊNIA</t>
  </si>
  <si>
    <t>MGCO254120</t>
  </si>
  <si>
    <t>5949641008357</t>
  </si>
  <si>
    <t>CLARO RP - AVENIDA CRISTIANO MACHADO, 4000 - SHOPPING MINAS - MGCO288610</t>
  </si>
  <si>
    <t>31160342</t>
  </si>
  <si>
    <t>MGCO288610</t>
  </si>
  <si>
    <t>59496471008438</t>
  </si>
  <si>
    <t>LOJAS AMERICANAS - AVENIDA CRISTIANO MACHADO, 4000 - SHOPPING MINAS - MGCO20656</t>
  </si>
  <si>
    <t>31910810</t>
  </si>
  <si>
    <t>MGCO20656</t>
  </si>
  <si>
    <t>776574118580</t>
  </si>
  <si>
    <t>L138</t>
  </si>
  <si>
    <t>LOJAS CEM - TRAVESSA CORREIA DE FREITAS, 89 - ZONA COMERCIAL - SUL18633</t>
  </si>
  <si>
    <t>TRAVESSA CORREIA DE FREITAS</t>
  </si>
  <si>
    <t>83203260</t>
  </si>
  <si>
    <t>-25.518102 , -48.507516</t>
  </si>
  <si>
    <t>SUL18633</t>
  </si>
  <si>
    <t>56642960014240</t>
  </si>
  <si>
    <t>PARGUA</t>
  </si>
  <si>
    <t>LOJAS GUAIBIM - AVENIDA TANCREDO NEVES, 148 - SHOPPING DA BAHIA - NE39663</t>
  </si>
  <si>
    <t>PISO 2 LOJA 29</t>
  </si>
  <si>
    <t>NE39663</t>
  </si>
  <si>
    <t>13850516004407</t>
  </si>
  <si>
    <t xml:space="preserve">L44 </t>
  </si>
  <si>
    <t>LOJAS GUAIBIM</t>
  </si>
  <si>
    <t>MAGAZINE LUIZA - RUA FLORENTINO CHAVES, S/N - MGCO252990</t>
  </si>
  <si>
    <t>RUA FLORENTINO CHAVES</t>
  </si>
  <si>
    <t>QUADRA 73 LOTE 37</t>
  </si>
  <si>
    <t>LUZIÂNIA</t>
  </si>
  <si>
    <t>Luziânia</t>
  </si>
  <si>
    <t>72810100</t>
  </si>
  <si>
    <t>-16.2540461,-47.9565719</t>
  </si>
  <si>
    <t>MGCO252990</t>
  </si>
  <si>
    <t>47960950164310</t>
  </si>
  <si>
    <t>TELE RIO - AVENIDA PASTOR MARTIN LUTHER KING JUNIOR, 126 - SHOPPING NOVA AMERICA - RJES274590</t>
  </si>
  <si>
    <t>LOJA 1301</t>
  </si>
  <si>
    <t>Rio de janeiro</t>
  </si>
  <si>
    <t>RJES274590</t>
  </si>
  <si>
    <t>33086695004465</t>
  </si>
  <si>
    <t>AQUILON JUFAP (TIM) - AVENIDA VICTOR F, 2633 - SHOPPING JOCKEY PLAZA - SUL111690</t>
  </si>
  <si>
    <t>-25.42880018131931 , -49.21469762460629</t>
  </si>
  <si>
    <t>SUL111690</t>
  </si>
  <si>
    <t>81214819004817</t>
  </si>
  <si>
    <t>JUFAP ADMINISTRACAO – SHOPPING JOCKEY - SAP (41832)</t>
  </si>
  <si>
    <t>WORLD CELL - AVENIDA ARNIQUEIRA QS 1 RUA 210 LOTE 40, S/N - SHOPPING TAGUATINGA - MGCO5641</t>
  </si>
  <si>
    <t>SALÃO COM.1060,LT. 1</t>
  </si>
  <si>
    <t>MGCO5641</t>
  </si>
  <si>
    <t>5199395000621</t>
  </si>
  <si>
    <t>VIVO - RUA HENRIQUE SAVI, 15 - SHOPPING BAURU - SPI7321</t>
  </si>
  <si>
    <t>BOX 10</t>
  </si>
  <si>
    <t>SPI7321</t>
  </si>
  <si>
    <t>2558157013493</t>
  </si>
  <si>
    <t>LOJA BAURU SP</t>
  </si>
  <si>
    <t>CARREFOUR - RUA AQUIDABAM, S/N - ZONA COMERCIAL - SPC10020</t>
  </si>
  <si>
    <t>RUA AQUIDABAN</t>
  </si>
  <si>
    <t>9520180</t>
  </si>
  <si>
    <t>-23.610321 , -46.565764</t>
  </si>
  <si>
    <t>SPC10020</t>
  </si>
  <si>
    <t>45543915004250</t>
  </si>
  <si>
    <t>SCS</t>
  </si>
  <si>
    <t>FAJULUTI GAVEA - RUA 15 DE NOVEMBRO, 8 - SHOPPING PLAZA NITEROI - RJES233790</t>
  </si>
  <si>
    <t>LOJA 362</t>
  </si>
  <si>
    <t>-22.8970938 , -43.1239013</t>
  </si>
  <si>
    <t>RJES233790</t>
  </si>
  <si>
    <t>26117255001013</t>
  </si>
  <si>
    <t>D.R. CARDOSO (CLARO) - AVENIDA VICTOR FERREIRA DO AMARAL, 2633 - SHOPPING JOCKEY PLAZA - SUL234260</t>
  </si>
  <si>
    <t>LOJA 1139 ANDAR 01</t>
  </si>
  <si>
    <t>SUL234260</t>
  </si>
  <si>
    <t>18248878000700</t>
  </si>
  <si>
    <t>HARCOS TELECOM (CLARO) - RUA PADRE CARAPUCEIRO, 777 - SHOPPING RECIFE - NE265640</t>
  </si>
  <si>
    <t>LOJA 101/102 - PC</t>
  </si>
  <si>
    <t>NE265640</t>
  </si>
  <si>
    <t>6371307001076</t>
  </si>
  <si>
    <t>CONNECT CELL (CLARO) - RUA PADRE CARAPUCEIRO, 777 - SHOPPING RECIFE - NE7819</t>
  </si>
  <si>
    <t>-8.118945499999999 , -34.9048274</t>
  </si>
  <si>
    <t>NE7819</t>
  </si>
  <si>
    <t>13985813000200</t>
  </si>
  <si>
    <t>RIACHUELO - AVENIDA ARNIQUEIRA QS 1 RUA 210 LOTE 40, S/N - SHOPPING TAGUATINGA - MGCO46656</t>
  </si>
  <si>
    <t>MGCO46656</t>
  </si>
  <si>
    <t>33200056035953</t>
  </si>
  <si>
    <t>L093</t>
  </si>
  <si>
    <t>STILLO CELULAR - QS 01 210 LOTE 40 TERREO LJ 1049 - SHOPPING TAGUATINGA - MGCO7341</t>
  </si>
  <si>
    <t>LOJA 1049 - TERREO</t>
  </si>
  <si>
    <t>MGCO7341</t>
  </si>
  <si>
    <t>10875866000108</t>
  </si>
  <si>
    <t>TELECEL - AVENIDA ARNIQUEIRA QS 1 RUA 210 LOTE 40, S/N - SHOPPING TAGUATINGA - MGCO6795</t>
  </si>
  <si>
    <t>AVENIDA ARNIQUEIRA QS 1 RUA 210 LOTE 40</t>
  </si>
  <si>
    <t>-15.8414407 , -48.04402049999999</t>
  </si>
  <si>
    <t>MGCO6795</t>
  </si>
  <si>
    <t>2421421002912</t>
  </si>
  <si>
    <t>TELECEL - TAGUATINGA SHOPPING - SAP (28748)</t>
  </si>
  <si>
    <t>CASAS BAHIA - AVENIDA IGUALDADE, 598 - ZONA COMERCIAL - MGCO5751</t>
  </si>
  <si>
    <t>AVENIDA DA IGUALDADE</t>
  </si>
  <si>
    <t>QUADRA 113 LOTE 2</t>
  </si>
  <si>
    <t>SETOR GARAVELO</t>
  </si>
  <si>
    <t>74930530</t>
  </si>
  <si>
    <t>-16.7689236 , -49.3415877</t>
  </si>
  <si>
    <t>MGCO5751</t>
  </si>
  <si>
    <t>33041260108283</t>
  </si>
  <si>
    <t>LOJAS AMERICANAS - AVENIDA TANCREDO NEVES, 3133 - SHOPPING SALVADOR - NE5572</t>
  </si>
  <si>
    <t>PISOL1 SALAOCOM.1166</t>
  </si>
  <si>
    <t>NE5572</t>
  </si>
  <si>
    <t>776574127814</t>
  </si>
  <si>
    <t>L370</t>
  </si>
  <si>
    <t>LOJAS CEM - AVENIDA 31 DE MARCO, 588 - ZONA COMERCIAL - SPI19575</t>
  </si>
  <si>
    <t>AVENIDA TRINTA E UM DE MARCO</t>
  </si>
  <si>
    <t>588</t>
  </si>
  <si>
    <t>PROTESTANTES</t>
  </si>
  <si>
    <t>18110005</t>
  </si>
  <si>
    <t>-23.543789 , -47.447495</t>
  </si>
  <si>
    <t>SPI19575</t>
  </si>
  <si>
    <t>56642960004105</t>
  </si>
  <si>
    <t>VOTOR</t>
  </si>
  <si>
    <t>FACELL - AVENIDA TANCREDO NEVES, 3133 - SHOPPING SALVADOR - NE110690</t>
  </si>
  <si>
    <t>AVENIDA TANCREDO NEVES, 2915</t>
  </si>
  <si>
    <t>SALVADOR SHOPPING LOJA 1101</t>
  </si>
  <si>
    <t>-12.978532 , -38.455121</t>
  </si>
  <si>
    <t>NE110690</t>
  </si>
  <si>
    <t>7366109001834</t>
  </si>
  <si>
    <t>FACELL LTDA - SALVADOR - SALVADOR SHOPPING - SAP (34818)</t>
  </si>
  <si>
    <t>TIM - AVENIDA PRESIDENTE KENNEDY, 4121 - SHOPPING PALLADIUM - SUL7739</t>
  </si>
  <si>
    <t>SUL7739</t>
  </si>
  <si>
    <t>2421421020309</t>
  </si>
  <si>
    <t>C265</t>
  </si>
  <si>
    <t>VIVO - AVENIDA VICTOR FERREIRA DO AMARAL, 2633 - SHOPPING JOCKEY PLAZA - SUL288060</t>
  </si>
  <si>
    <t>LJ2122</t>
  </si>
  <si>
    <t>SUL288060</t>
  </si>
  <si>
    <t>2558157097654</t>
  </si>
  <si>
    <t>LOJA SHOPPING JOCKEY PLAZA PR</t>
  </si>
  <si>
    <t>CARREFOUR - RUA MATHIAS VELHO, 555 - ZONA COMERCIAL - SUL18870</t>
  </si>
  <si>
    <t>RUA MATHIAS VELHO</t>
  </si>
  <si>
    <t>555</t>
  </si>
  <si>
    <t>MATHIAS VELHO</t>
  </si>
  <si>
    <t>Canoas</t>
  </si>
  <si>
    <t>92310300</t>
  </si>
  <si>
    <t>-29.9096326 , -51.1866456</t>
  </si>
  <si>
    <t>SUL18870</t>
  </si>
  <si>
    <t>45543915005817</t>
  </si>
  <si>
    <t>CNS</t>
  </si>
  <si>
    <t>LOJAS AMERICANAS - AVENIDA GENERAL DAVID SARNOFF, 5160 - SHOPPING ITAU POWER - MGCO5818</t>
  </si>
  <si>
    <t>LOJA 237</t>
  </si>
  <si>
    <t>MGCO5818</t>
  </si>
  <si>
    <t>776574085712</t>
  </si>
  <si>
    <t>L256</t>
  </si>
  <si>
    <t>COMMCENTER - AVENIDA IGUATEMI, 777 (LOJA 2) - SHOPPING IGUATEMI CAMPINAS - SPI8607</t>
  </si>
  <si>
    <t>-22.89263375112111 , -47.02674855344242</t>
  </si>
  <si>
    <t>SPI8607</t>
  </si>
  <si>
    <t>COMMCENTER - TRAVESSA CASALBUONO, 120 (LOJA 1) - SHOPPING CENTER NORTE - SPC6365</t>
  </si>
  <si>
    <t>LOJA 900</t>
  </si>
  <si>
    <t>SPC6365</t>
  </si>
  <si>
    <t>5828732018640</t>
  </si>
  <si>
    <t>COMMCENTER - TRAVESSA CASALBUONO, 120 - SHOPPING CENTER NORTE - SPC6370</t>
  </si>
  <si>
    <t>SPC6370</t>
  </si>
  <si>
    <t>03418924000877</t>
  </si>
  <si>
    <t>CARREFOUR - ESTRADA DO PESSEGO, 1200 - ZONA COMERCIAL - SPC11852</t>
  </si>
  <si>
    <t>ESTRADA DO PESSEGO</t>
  </si>
  <si>
    <t>1200</t>
  </si>
  <si>
    <t>JOSÉ BONIFÁCIO</t>
  </si>
  <si>
    <t>8260000</t>
  </si>
  <si>
    <t>-23.569805 , -46.446351</t>
  </si>
  <si>
    <t>SPC11852</t>
  </si>
  <si>
    <t>45543915006708</t>
  </si>
  <si>
    <t>SPE</t>
  </si>
  <si>
    <t>CASAS BAHIA - AVENIDA CAMAPUA, 3088 - N263970</t>
  </si>
  <si>
    <t>3088</t>
  </si>
  <si>
    <t>NOVI ALEIXO</t>
  </si>
  <si>
    <t>69099028</t>
  </si>
  <si>
    <t>-3.0369232,-59.9414989</t>
  </si>
  <si>
    <t>N263970</t>
  </si>
  <si>
    <t>33041260207184</t>
  </si>
  <si>
    <t>2471</t>
  </si>
  <si>
    <t>LOJAS CEM - AVENIDA 9 DE ABRIL, 2050 - ZONA COMERCIAL - SPC20121</t>
  </si>
  <si>
    <t>AVENIDA NOVE DE ABRIL</t>
  </si>
  <si>
    <t>2050</t>
  </si>
  <si>
    <t>GLEBA QUATRO</t>
  </si>
  <si>
    <t>Cubatão</t>
  </si>
  <si>
    <t>11510000</t>
  </si>
  <si>
    <t>-23.883596 , -46.421066</t>
  </si>
  <si>
    <t>SPC20121</t>
  </si>
  <si>
    <t>56642960009832</t>
  </si>
  <si>
    <t>CUBATA</t>
  </si>
  <si>
    <t>MAGAZINE LUIZA - RUA DOUTOR LEOCADIO, 136 - ZONA COMERCIAL - SUL18971</t>
  </si>
  <si>
    <t>RUA DOUTOR LEOCADIO</t>
  </si>
  <si>
    <t>136</t>
  </si>
  <si>
    <t>-25.5178471 , -48.5063574</t>
  </si>
  <si>
    <t>SUL18971</t>
  </si>
  <si>
    <t>47960950071304</t>
  </si>
  <si>
    <t>TIM - AVENIDA DOS ANDRADAS, 3000 - SHOPPING BOULEVARD - MGCO7351</t>
  </si>
  <si>
    <t>LOJAS 1022 / 1023</t>
  </si>
  <si>
    <t>MGCO7351</t>
  </si>
  <si>
    <t>02421421011237</t>
  </si>
  <si>
    <t>C191</t>
  </si>
  <si>
    <t>HAVAN - AVENIDA MARECHAL MASCARENHAS DE MORAIS, 705 - SUL257330</t>
  </si>
  <si>
    <t>AVENIDA MARECHAL MASCARENHAS DE MORAIS</t>
  </si>
  <si>
    <t>705</t>
  </si>
  <si>
    <t>SANTA CÂNDIDA</t>
  </si>
  <si>
    <t>82620300</t>
  </si>
  <si>
    <t>-25.37648, -49.225476</t>
  </si>
  <si>
    <t>SUL257330</t>
  </si>
  <si>
    <t>79379491018473</t>
  </si>
  <si>
    <t>164 - SANTA CANDIDA</t>
  </si>
  <si>
    <t>LOJAS AMERICANAS - RUA PEDRO VIRIATO PARIGOT DE SOUZA, 600 - SHOPPING BARIGUI - SUL62958</t>
  </si>
  <si>
    <t>PISO SUP, LJ 251</t>
  </si>
  <si>
    <t>SUL62958</t>
  </si>
  <si>
    <t>776574158370</t>
  </si>
  <si>
    <t>1264</t>
  </si>
  <si>
    <t>LOJAS AMERICANAS - AVENIDA CORONEL FERNANDO FERREIRA LEITE, 1540 - RIBEIRAO SHOPPING - SPI10336</t>
  </si>
  <si>
    <t>SPI10336</t>
  </si>
  <si>
    <t>776574065363</t>
  </si>
  <si>
    <t>CASAS BAHIA - RODOVIA CELSO GARCIA CID KM 377, S/N - SHOPPING CATUAI LONDRINA - SUL9143</t>
  </si>
  <si>
    <t>KM 377 LOTE 2A</t>
  </si>
  <si>
    <t>SUL9143</t>
  </si>
  <si>
    <t>33041260111071</t>
  </si>
  <si>
    <t>1397</t>
  </si>
  <si>
    <t>SELF TELECOM (CLARO) - RUA DESEMBARGADOR LAURO NOGUEIRA, 1500 - SHOPPING RIO MAR FORTALEZA - NE288040</t>
  </si>
  <si>
    <t>LOJA 228</t>
  </si>
  <si>
    <t>NE288040</t>
  </si>
  <si>
    <t>NAGEM - AVENIDA BERNARDO VIEIRA, 3775 - SHOPPING MIDWAY MALL - NE42444</t>
  </si>
  <si>
    <t>NE42444</t>
  </si>
  <si>
    <t>24073694001550</t>
  </si>
  <si>
    <t>LJ NG NAT SH MIDWAY</t>
  </si>
  <si>
    <t>CASAS BAHIA - AVENIDA LEOPOLDO PEREZ, 261 - N261740</t>
  </si>
  <si>
    <t>AVENIDA LEOPOLDO PEREZ</t>
  </si>
  <si>
    <t>261</t>
  </si>
  <si>
    <t>69074355</t>
  </si>
  <si>
    <t>-3.1427339,-60.0098595</t>
  </si>
  <si>
    <t>N261740</t>
  </si>
  <si>
    <t>33041260206293</t>
  </si>
  <si>
    <t>2470</t>
  </si>
  <si>
    <t>VIDA DIGITAL - SCN QUADRA 05 BLOCO A, S/N - BRASILIA SHOPPING - MGCO6804</t>
  </si>
  <si>
    <t>SCN QUADRA 05 BLOCO A</t>
  </si>
  <si>
    <t>ASANORTE</t>
  </si>
  <si>
    <t>70715900</t>
  </si>
  <si>
    <t>-15.786847 , -47.889162</t>
  </si>
  <si>
    <t>MGCO6804</t>
  </si>
  <si>
    <t>04601016000534</t>
  </si>
  <si>
    <t>Brasilia Shopping</t>
  </si>
  <si>
    <t>LOJAS AMERICANAS - RUA HENRIQUE SAVI, 15 - SHOPPING BAURU - SPI19459</t>
  </si>
  <si>
    <t>LOJA 73</t>
  </si>
  <si>
    <t>SPI19459</t>
  </si>
  <si>
    <t>776574056453</t>
  </si>
  <si>
    <t>L296</t>
  </si>
  <si>
    <t>MAGAZINE LUIZA - BARAO DE JUNDIAI, 157 - ZONA COMERCIAL - SPI6584</t>
  </si>
  <si>
    <t>BARAO DE JUNDIAI</t>
  </si>
  <si>
    <t>157</t>
  </si>
  <si>
    <t>-23.1872753 , -46.8851136</t>
  </si>
  <si>
    <t>SPI6584</t>
  </si>
  <si>
    <t>VIVO - RUA DAS OLIMPIADAS, 360 - SHOPPING VILA OLIMPIA - SPC7301</t>
  </si>
  <si>
    <t>LOJA 136</t>
  </si>
  <si>
    <t>SPC7301</t>
  </si>
  <si>
    <t>2558157004664</t>
  </si>
  <si>
    <t>LOJA SHOPPING VILA OLIMPIA SP</t>
  </si>
  <si>
    <t>CARREFOUR - AVENIDA PRESIDENTE CARLOS LUZ, 4055 - ZONA COMERCIAL - MGCO87610</t>
  </si>
  <si>
    <t>4055</t>
  </si>
  <si>
    <t>ENGENHO NOGUEIRA</t>
  </si>
  <si>
    <t>31310250</t>
  </si>
  <si>
    <t>-19.87504 , -43.977303</t>
  </si>
  <si>
    <t>MGCO87610</t>
  </si>
  <si>
    <t>45543915007003</t>
  </si>
  <si>
    <t>BHP</t>
  </si>
  <si>
    <t>CARREFOUR - AVENIDA PROFESSOR JOSE MONTEIRO, 1045 - ZONA COMERCIAL - SPC9027</t>
  </si>
  <si>
    <t>AVENIDA PREFEITO JOSE MONTEIRO</t>
  </si>
  <si>
    <t>1045</t>
  </si>
  <si>
    <t>JARDIM INDEPENDENCIA</t>
  </si>
  <si>
    <t>11380001</t>
  </si>
  <si>
    <t>-23.967281092579636 , -46.369228457333854</t>
  </si>
  <si>
    <t>SPC9027</t>
  </si>
  <si>
    <t>45543915002630</t>
  </si>
  <si>
    <t>SAV</t>
  </si>
  <si>
    <t>HS - AVENIDA TANCREDO NEVES, 148 - SHOPPING DA BAHIA - NE278760</t>
  </si>
  <si>
    <t>NE278760</t>
  </si>
  <si>
    <t>5923253007759</t>
  </si>
  <si>
    <t>LOJAS AMERICANAS - SCN QUADRA 05 BLOCO A, S/N - BRASILIA SHOPPING - MGCO19045</t>
  </si>
  <si>
    <t>71710500</t>
  </si>
  <si>
    <t>MGCO19045</t>
  </si>
  <si>
    <t>776574072653</t>
  </si>
  <si>
    <t>L137</t>
  </si>
  <si>
    <t>RIACHUELO - AVENIDA BERNARDO VIEIRA, 3775 - SHOPPING MIDWAY MALL - NE42255</t>
  </si>
  <si>
    <t>LOJA 114 E 230</t>
  </si>
  <si>
    <t>NE42255</t>
  </si>
  <si>
    <t>33200056058147</t>
  </si>
  <si>
    <t>L132</t>
  </si>
  <si>
    <t>MAGNATA/RAGAR (TIM) - RUA LAURO MULLER, 116 - SHOPPING RIO SUL - RJES7958</t>
  </si>
  <si>
    <t>PARTE A11 E A12</t>
  </si>
  <si>
    <t>RJES7958</t>
  </si>
  <si>
    <t>5999455000500</t>
  </si>
  <si>
    <t>MAGNATA - RIO SUL - SAP (22907)</t>
  </si>
  <si>
    <t>TIM - AVENIDA MIGUEL SUTIL, 9300 - SHOPPING ESTACAO CUIABA - MGCO11287</t>
  </si>
  <si>
    <t>AVENIDA MIGUEL SUTIL</t>
  </si>
  <si>
    <t>9300</t>
  </si>
  <si>
    <t>DUQUE DE CAXIAS</t>
  </si>
  <si>
    <t>78020160</t>
  </si>
  <si>
    <t>-15.5901447 , -56.1206767</t>
  </si>
  <si>
    <t>MGCO11287</t>
  </si>
  <si>
    <t>2421421025963</t>
  </si>
  <si>
    <t>C693</t>
  </si>
  <si>
    <t>Shopping Estação Cuiabá</t>
  </si>
  <si>
    <t>CASAS BAHIA - AVENIDA SAPOPEMBA, 8491 - ZONA COMERCIAL - SPC11205</t>
  </si>
  <si>
    <t>AVENIDA SAPOPEMBA</t>
  </si>
  <si>
    <t>8491</t>
  </si>
  <si>
    <t>JARDIM ADUTORA</t>
  </si>
  <si>
    <t>3988010</t>
  </si>
  <si>
    <t>-23.5983972 , -46.5185633</t>
  </si>
  <si>
    <t>SPC11205</t>
  </si>
  <si>
    <t>33041260116030</t>
  </si>
  <si>
    <t>1236</t>
  </si>
  <si>
    <t>HARCOS TELECOM (CLARO) - AVENIDA BERNARDO VIEIRA, 3775 - SHOPPING MIDWAY MALL - NE255610</t>
  </si>
  <si>
    <t>LOJA 115</t>
  </si>
  <si>
    <t>NE255610</t>
  </si>
  <si>
    <t>6371307000428</t>
  </si>
  <si>
    <t>PONTO CERTO - AVENIDA PASTOR MARTIN LUTHER KING JUNIOR, 126 - SHOPPING NOVA AMERICA - RJES9066</t>
  </si>
  <si>
    <t>DELCASTILHO</t>
  </si>
  <si>
    <t>-22.8782978 , -43.2749791</t>
  </si>
  <si>
    <t>RJES9066</t>
  </si>
  <si>
    <t>05142929001302</t>
  </si>
  <si>
    <t>COMMCENTER - RUA HENRIQUE SAVI, 15 - SHOPPING BAURU - SPI6617</t>
  </si>
  <si>
    <t>UN-4,PISO DAS NAÇÕES</t>
  </si>
  <si>
    <t>SPI6617</t>
  </si>
  <si>
    <t>05828732008334</t>
  </si>
  <si>
    <t>CASAS BAHIA - AVENIDA DOUTOR JOSE FORNARI, 715 - SPC290350</t>
  </si>
  <si>
    <t>AVENIDA DOUTOR JOSE FORNARI</t>
  </si>
  <si>
    <t>715</t>
  </si>
  <si>
    <t>FERRAZÓPOLIS</t>
  </si>
  <si>
    <t>9790400</t>
  </si>
  <si>
    <t>-23.7300198,-46.5479515</t>
  </si>
  <si>
    <t>SPC290350</t>
  </si>
  <si>
    <t>33041260094711</t>
  </si>
  <si>
    <t>3604</t>
  </si>
  <si>
    <t>LOJAS AMERICANAS - AVENIDA PERIMETRAL NORTE, 8303 - SHOPPING PASSEIO DAS AGUAS - MGCO46758</t>
  </si>
  <si>
    <t>PISO TERREO</t>
  </si>
  <si>
    <t>MGCO46758</t>
  </si>
  <si>
    <t>776574168847</t>
  </si>
  <si>
    <t>RIACHUELO - RUA PADRE CARAPUCEIRO, 777 - SHOPPING RECIFE - NE42471</t>
  </si>
  <si>
    <t>LOJA BV-80</t>
  </si>
  <si>
    <t>NE42471</t>
  </si>
  <si>
    <t>33200056035015</t>
  </si>
  <si>
    <t>L106</t>
  </si>
  <si>
    <t>TELE RIO - RUA XV DE NOVEMBRO, 8 - SHOPPING PLAZA NITEROI - RJES292290</t>
  </si>
  <si>
    <t>LOJA SPN01144 PISO 1</t>
  </si>
  <si>
    <t>RJES292290</t>
  </si>
  <si>
    <t>33086695004970</t>
  </si>
  <si>
    <t>CASAS BAHIA - AVENIDA FRANSCISCO QUEIROZ, 429 - N261840</t>
  </si>
  <si>
    <t>AVENIDA FRANSCISCO QUEIROZ</t>
  </si>
  <si>
    <t>429</t>
  </si>
  <si>
    <t>COLÔNIA SANTO ANTÔNIO</t>
  </si>
  <si>
    <t>69093000</t>
  </si>
  <si>
    <t>-3.0321823,-60.0012584</t>
  </si>
  <si>
    <t>N261840</t>
  </si>
  <si>
    <t>33041260208660</t>
  </si>
  <si>
    <t>2467</t>
  </si>
  <si>
    <t>CLARO - AVENIDA DELMIRO GOUVEIA, 400 - SHOPPING RIOMAR ARACAJU - NE247240</t>
  </si>
  <si>
    <t>AVENIDA DELMIRO GOUVEIA</t>
  </si>
  <si>
    <t>B2A/ B2B</t>
  </si>
  <si>
    <t>COROA DO MEIO</t>
  </si>
  <si>
    <t>ARACAJU</t>
  </si>
  <si>
    <t>49035900</t>
  </si>
  <si>
    <t>-10.945363 , -37.047295</t>
  </si>
  <si>
    <t>NE247240</t>
  </si>
  <si>
    <t>40432544010703</t>
  </si>
  <si>
    <t>7901</t>
  </si>
  <si>
    <t>Shopping Riomar Aracaju</t>
  </si>
  <si>
    <t>RIACHUELO - AVENIDA ALEXANDRE MARTINS, 80 - SHOPPING PRAIAMAR - SPC46763</t>
  </si>
  <si>
    <t>SPC46763</t>
  </si>
  <si>
    <t>33200056035520</t>
  </si>
  <si>
    <t>L064</t>
  </si>
  <si>
    <t>TIM - AVENIDA DELMIRO GOUVEIA, 400 - SHOPPING RIOMAR ARACAJU - NE10958</t>
  </si>
  <si>
    <t>COROADOMEIO</t>
  </si>
  <si>
    <t>49035500</t>
  </si>
  <si>
    <t>-10.9447321, -37.0475752</t>
  </si>
  <si>
    <t>NE10958</t>
  </si>
  <si>
    <t>2421421026188</t>
  </si>
  <si>
    <t>C692</t>
  </si>
  <si>
    <t>COMMCENTER - RUA LAURO MULLER, 116 (4 PISO) - SHOPPING RIO SUL - RJES42168</t>
  </si>
  <si>
    <t>LOJA 111.</t>
  </si>
  <si>
    <t>RJES42168</t>
  </si>
  <si>
    <t>5828732002646</t>
  </si>
  <si>
    <t>VIVO - AVENIDA DELMIRO GOUVEIA, 400 - SHOPPING RIOMAR ARACAJU - NE83102</t>
  </si>
  <si>
    <t>RUA DELMIRO GOUVEIA</t>
  </si>
  <si>
    <t>LJ 315/316</t>
  </si>
  <si>
    <t>NE83102</t>
  </si>
  <si>
    <t>2558157077203</t>
  </si>
  <si>
    <t>LOJA SHOPPING RIOMAR SE</t>
  </si>
  <si>
    <t>CARREFOUR - RODOVIA JOAO LEOPOLDO JACOMEL, 10154 - ZONA COMERCIAL - SUL18539</t>
  </si>
  <si>
    <t>RODOVIA DEPUTADO JOAO LEOPOLDO JACOMEL</t>
  </si>
  <si>
    <t>10154</t>
  </si>
  <si>
    <t>VILA MARIA ANTONIETA</t>
  </si>
  <si>
    <t>Pinhais</t>
  </si>
  <si>
    <t>83302000</t>
  </si>
  <si>
    <t>-25.435129 , -49.164535</t>
  </si>
  <si>
    <t>SUL18539</t>
  </si>
  <si>
    <t>45543915000939</t>
  </si>
  <si>
    <t>CWB</t>
  </si>
  <si>
    <t>CASAS BAHIA - AVENIDA EDUARDO RIBEIRO, 409 - N263960</t>
  </si>
  <si>
    <t>-3.1336844,-60.0261248</t>
  </si>
  <si>
    <t>N263960</t>
  </si>
  <si>
    <t>33041260209209</t>
  </si>
  <si>
    <t>2518</t>
  </si>
  <si>
    <t>R&amp;R HIPER COMERCIO (CLARO) - AVENIDA BERNARDO VIEIRA, 3775 - SHOPPING MIDWAY MALL - NE288120</t>
  </si>
  <si>
    <t>NE288120</t>
  </si>
  <si>
    <t>3006494002153</t>
  </si>
  <si>
    <t>LOJAS AMERICANAS - RUA GERONCIO THIVES, 1079 - SHOPPING ITAGUACU - SUL6325</t>
  </si>
  <si>
    <t>-27.5852384, -48.6141452</t>
  </si>
  <si>
    <t>SUL6325</t>
  </si>
  <si>
    <t>776574166208</t>
  </si>
  <si>
    <t>L158</t>
  </si>
  <si>
    <t>RIACHUELO - AVENIDA DOM HELDER CAMARA, 5474 - NORTE SHOPPING - RJES46033</t>
  </si>
  <si>
    <t>SOBRELOJA A</t>
  </si>
  <si>
    <t>RJES46033</t>
  </si>
  <si>
    <t>33200056007313</t>
  </si>
  <si>
    <t>L116</t>
  </si>
  <si>
    <t>RIACHUELO - AVENIDA PERIMETRAL NORTE, 8303 - SHOPPING PASSEI DAS AGUAS - MGCO47400</t>
  </si>
  <si>
    <t>AREA B LSU-06</t>
  </si>
  <si>
    <t>MGCO47400</t>
  </si>
  <si>
    <t>33200056022975</t>
  </si>
  <si>
    <t>RIACHUELO - RODOVIA BR 101 KM 211, S/N - CONTINENTE PARK SHOPPING - SUL46658</t>
  </si>
  <si>
    <t>LOJA ANCORA 06</t>
  </si>
  <si>
    <t>SUL46658</t>
  </si>
  <si>
    <t>33200056014107</t>
  </si>
  <si>
    <t>L021</t>
  </si>
  <si>
    <t>CARREFOUR - AVENIDA PEDRO TEIXEIRA, 52 - ZONA COMERCIAL - N18884</t>
  </si>
  <si>
    <t>AVENIDA PEDRO TEIXEIRA</t>
  </si>
  <si>
    <t>52</t>
  </si>
  <si>
    <t>DOM PEDRO</t>
  </si>
  <si>
    <t>69040000</t>
  </si>
  <si>
    <t>-3.092804926219842 , -60.05008316937254</t>
  </si>
  <si>
    <t>N18884</t>
  </si>
  <si>
    <t>45543915028434</t>
  </si>
  <si>
    <t>MPN</t>
  </si>
  <si>
    <t>PONTO CELULAR - AVENIDA BERNARDO VIEIRA, 3775 - PISO 2 - SHOPPING MIDWAY MALL - NE255630</t>
  </si>
  <si>
    <t>3775 - PISO 2</t>
  </si>
  <si>
    <t>PISO 2</t>
  </si>
  <si>
    <t>NE255630</t>
  </si>
  <si>
    <t>3006494001262</t>
  </si>
  <si>
    <t>SELF TELECOM (CLARO) - AVENIDA REPUBLICA DO LIBANO, 251 - SHOPPING RIO MAR - NE256560</t>
  </si>
  <si>
    <t>LOJA 144</t>
  </si>
  <si>
    <t>NE256560</t>
  </si>
  <si>
    <t>36485465000208</t>
  </si>
  <si>
    <t>LOJAS AMERICANAS - AVENIDA T10, 1300 - GOIANIA SHOPPING - MGCO240500</t>
  </si>
  <si>
    <t>AVENIDA T10</t>
  </si>
  <si>
    <t>LOJA 321</t>
  </si>
  <si>
    <t>-16.7081079, -49.272381</t>
  </si>
  <si>
    <t>MGCO240500</t>
  </si>
  <si>
    <t>776574130602</t>
  </si>
  <si>
    <t>5183</t>
  </si>
  <si>
    <t>COMMCENTER - AVENIDA HIGIENOPOLIS, 618 - SHOPPING PATIO HIGIENOPOLIS - SPC8439</t>
  </si>
  <si>
    <t>ARCO 343</t>
  </si>
  <si>
    <t>SPC8439</t>
  </si>
  <si>
    <t>5828732005580</t>
  </si>
  <si>
    <t>CASA &amp; VÍDEO - AVENIDA CRISTIANO MACHADO, 4000 - SHOPPING MINAS - MGCO286720</t>
  </si>
  <si>
    <t>MGCO286720</t>
  </si>
  <si>
    <t>11114284033410</t>
  </si>
  <si>
    <t>MILENA MOVEIS - RUA PADRE CARAPUCEIRO, 777 - SHOPPING RECIFE - NE252420</t>
  </si>
  <si>
    <t>LOJA 0001BV</t>
  </si>
  <si>
    <t>NE252420</t>
  </si>
  <si>
    <t>40865278005539</t>
  </si>
  <si>
    <t>MILENA MOVEIS</t>
  </si>
  <si>
    <t>MOBILE MAGAZINE (TIM) - DO ROSARIO, 334 - ZONA COMERCIAL - SPI20879</t>
  </si>
  <si>
    <t>DO ROSARIO</t>
  </si>
  <si>
    <t>334</t>
  </si>
  <si>
    <t>-23.1884769 , -46.8849154</t>
  </si>
  <si>
    <t>SPI20879</t>
  </si>
  <si>
    <t>17043178000112</t>
  </si>
  <si>
    <t>COMMCENTER - RUA 15 DE NOVEMBRO, 8 - SHOPPING PLAZA NITEROI - RJES6144</t>
  </si>
  <si>
    <t>-22.8967196 , -43.1240433</t>
  </si>
  <si>
    <t>RJES6144</t>
  </si>
  <si>
    <t>5828732001593</t>
  </si>
  <si>
    <t>CARREFOUR - ANHANGUERA KM 59, S/N - ZONA COMERCIAL - SPI20855</t>
  </si>
  <si>
    <t>PROFESSORA MARIA DO CARMO GUIMARAES PELLEGRINI</t>
  </si>
  <si>
    <t>KM 59</t>
  </si>
  <si>
    <t>VILA VIOTO</t>
  </si>
  <si>
    <t>-23.183379241339228 , -46.9080315716858</t>
  </si>
  <si>
    <t>SPI20855</t>
  </si>
  <si>
    <t>45543915005221</t>
  </si>
  <si>
    <t>JDI</t>
  </si>
  <si>
    <t>CASAS BAHIA - AVENIDA PADRE ARLINDO VIEIRA, 1374 - ZONA COMERCIAL - SPC40064</t>
  </si>
  <si>
    <t>AVENIDA PADRE ARLINDO VIEIRA</t>
  </si>
  <si>
    <t>1374</t>
  </si>
  <si>
    <t>VILA DAS MERCES</t>
  </si>
  <si>
    <t>4166000</t>
  </si>
  <si>
    <t>-23.6326918 , -46.6051487</t>
  </si>
  <si>
    <t>SPC40064</t>
  </si>
  <si>
    <t>1821</t>
  </si>
  <si>
    <t>LE BISCUIT - TRAVESSA PADRE EUTIQUIO, 1065 - SHOPPING PATIO BELEM - N19694</t>
  </si>
  <si>
    <t>1065</t>
  </si>
  <si>
    <t>-1.457308 , -48.494732</t>
  </si>
  <si>
    <t>N19694</t>
  </si>
  <si>
    <t>16233389013133</t>
  </si>
  <si>
    <t>LE BISCUIT</t>
  </si>
  <si>
    <t>RIACHUELO - AVENIDA RIO VERDE, S/N - SHOPPING BURITI - MGCO47397</t>
  </si>
  <si>
    <t>MGCO47397</t>
  </si>
  <si>
    <t>33200056012902</t>
  </si>
  <si>
    <t>L038</t>
  </si>
  <si>
    <t>WORLD CELL - SCN QUADRA 05 BLOCO A, S/N - BRASILIA SHOPPING - MGCO5632</t>
  </si>
  <si>
    <t>MGCO5632</t>
  </si>
  <si>
    <t>5199395000540</t>
  </si>
  <si>
    <t>HARCOS TELECOM (CLARO) - AVENIDA COMENDADOR GUSTAVO PAIVA, 2990 - MACEIO SHOPPING - NE257550</t>
  </si>
  <si>
    <t>LOJA 274</t>
  </si>
  <si>
    <t>57037901</t>
  </si>
  <si>
    <t>-9.648787554716481, -35.716728892197125</t>
  </si>
  <si>
    <t>NE257550</t>
  </si>
  <si>
    <t>6371307000347</t>
  </si>
  <si>
    <t>RIACHUELO - AVENIDA PASTOR MARTIN LUTHER KING JUNIOR, 126 - SHOPPING NOVA AMERICA - RJES47366</t>
  </si>
  <si>
    <t>BL 1 LJ 1556/155 2 P</t>
  </si>
  <si>
    <t>RJES47366</t>
  </si>
  <si>
    <t>33200056011850</t>
  </si>
  <si>
    <t>L024</t>
  </si>
  <si>
    <t>CONECTRIO - RUA PADRE CARAPUCEIRO, 777 - SHOPPING RECIFE - NE39991</t>
  </si>
  <si>
    <t>NE39991</t>
  </si>
  <si>
    <t>11105504001598</t>
  </si>
  <si>
    <t>TIM OLIVEIRA - AVENIDA COMENDADOR GUSTAVO PAIVA, 2990 - MACEIO SHOPPING - NE42166</t>
  </si>
  <si>
    <t>-9.648385099999999 , -35.7151933</t>
  </si>
  <si>
    <t>NE42166</t>
  </si>
  <si>
    <t>7043550000137</t>
  </si>
  <si>
    <t>RIACHUELO - AVENIDA REPUBLICA DO LIBANO, 251 - SHOPPING RIO MAR - NE45324</t>
  </si>
  <si>
    <t>NE45324</t>
  </si>
  <si>
    <t>33200056010616</t>
  </si>
  <si>
    <t>L176</t>
  </si>
  <si>
    <t>TELECEL - SCN QUADRA 05 BLOCO A, S/N - BRASILIA SHOPPING - MGCO11240</t>
  </si>
  <si>
    <t>BLOCO O</t>
  </si>
  <si>
    <t>-15.7867436 , -47.8890379</t>
  </si>
  <si>
    <t>MGCO11240</t>
  </si>
  <si>
    <t>11775328001925</t>
  </si>
  <si>
    <t>TELECEL - BRASILIA SHOPPING - SAP (31687)</t>
  </si>
  <si>
    <t>TELECEL - SDN CNB CONJUNTO A T119, 2149 - SHOPPING CONJUNTO NACIONAL - MGCO6783</t>
  </si>
  <si>
    <t>SDN CNB CONJUNTO A T119</t>
  </si>
  <si>
    <t>2149</t>
  </si>
  <si>
    <t>-15.7912954 , -47.8831321</t>
  </si>
  <si>
    <t>MGCO6783</t>
  </si>
  <si>
    <t>5480748000152</t>
  </si>
  <si>
    <t>TELECEL - SHOPPING CONJUNTO NACIONAL - SAP (1345)</t>
  </si>
  <si>
    <t>CMR (TIM) - AVENIDA VISCONDE DE SOUZA FRANCO, 776 - SHOPPING BOULEVARD BELEM - N248420</t>
  </si>
  <si>
    <t>BELÉM</t>
  </si>
  <si>
    <t>N248420</t>
  </si>
  <si>
    <t>11775328002492</t>
  </si>
  <si>
    <t>Telecel Boulevard - SAP (42057)</t>
  </si>
  <si>
    <t>CASAS BAHIA - RUA JOAO DOMINGUES DE OLIVEIRA, 31 - ZONA COMERCIAL - SPC11372</t>
  </si>
  <si>
    <t>RUA JOAO DOMINGUES DE OLIVEIRA</t>
  </si>
  <si>
    <t>31</t>
  </si>
  <si>
    <t>32, 36 E 40</t>
  </si>
  <si>
    <t>Ribeirão Pires</t>
  </si>
  <si>
    <t>9400250</t>
  </si>
  <si>
    <t>-23.7113 , -46.411263</t>
  </si>
  <si>
    <t>SPC11372</t>
  </si>
  <si>
    <t>33041260119056</t>
  </si>
  <si>
    <t>1276</t>
  </si>
  <si>
    <t>CASAS BAHIA - RUA CARIJOS, 1856 - ZONA COMERCIAL - SPC11241</t>
  </si>
  <si>
    <t>RUA CARIJOS</t>
  </si>
  <si>
    <t>1856</t>
  </si>
  <si>
    <t>1860 E 1912</t>
  </si>
  <si>
    <t>VILA LINDA</t>
  </si>
  <si>
    <t>9180001</t>
  </si>
  <si>
    <t>-23.686607 , -46.521963</t>
  </si>
  <si>
    <t>SPC11241</t>
  </si>
  <si>
    <t>33041260120496</t>
  </si>
  <si>
    <t>1010</t>
  </si>
  <si>
    <t>CASAS BAHIA - RUA HERCILIO LUZ, 460 - ZONA COMERCIAL - SUL21796</t>
  </si>
  <si>
    <t>RUA HERCILIO LUZ</t>
  </si>
  <si>
    <t>460</t>
  </si>
  <si>
    <t>Itajaí</t>
  </si>
  <si>
    <t>88301001</t>
  </si>
  <si>
    <t>-26.906042 , -48.658844</t>
  </si>
  <si>
    <t>SUL21796</t>
  </si>
  <si>
    <t>33041260128632</t>
  </si>
  <si>
    <t>1203</t>
  </si>
  <si>
    <t>CASAS BAHIA - AVENIDA DOM PEDRO I, 3773 - ZONA COMERCIAL - SPC11247</t>
  </si>
  <si>
    <t>AVENIDA DOM PEDRO I</t>
  </si>
  <si>
    <t>3773</t>
  </si>
  <si>
    <t>VILA PIRES</t>
  </si>
  <si>
    <t>9130410</t>
  </si>
  <si>
    <t>-23.6970666 , -46.5050191</t>
  </si>
  <si>
    <t>SPC11247</t>
  </si>
  <si>
    <t>33041260120810</t>
  </si>
  <si>
    <t>1394</t>
  </si>
  <si>
    <t>BARROS TELECON (CLARO) - AVENIDA WASHINGTON SOARES, 85 - SHOPPING IGUATEMI FORTALEZA - NE7164</t>
  </si>
  <si>
    <t>NE7164</t>
  </si>
  <si>
    <t>07953678033575</t>
  </si>
  <si>
    <t>RIACHUELO - AVENIDA DIARIO DE NOTICIAS, 300 - BARRA SHOPPING SUL - SUL46665</t>
  </si>
  <si>
    <t>LOJA 2059</t>
  </si>
  <si>
    <t>SUL46665</t>
  </si>
  <si>
    <t>33200056043620</t>
  </si>
  <si>
    <t>L338</t>
  </si>
  <si>
    <t>RIACHUELO - AVENIDA CRISTIANO MACHADO, 4000 - SHOPPING MINAS - MGCO48470</t>
  </si>
  <si>
    <t>MGCO48470</t>
  </si>
  <si>
    <t>33200056031966</t>
  </si>
  <si>
    <t>L167</t>
  </si>
  <si>
    <t>CASA &amp; VIDEO - AVENIDA PRESIDENTE KENNEDY, 425 - PARTAGE SHOPPING SAO GONCALO - RJES6739</t>
  </si>
  <si>
    <t>20560030</t>
  </si>
  <si>
    <t>-22.8215815 , -43.0461357</t>
  </si>
  <si>
    <t>RJES6739</t>
  </si>
  <si>
    <t>11114284012412</t>
  </si>
  <si>
    <t>PARTAGE SÃO GONÇALO</t>
  </si>
  <si>
    <t>CLARO - AVENIDA MAGALHAES DE CASTRO, 12000 - SHOPPING CIDADE JARDIM - SPC8442</t>
  </si>
  <si>
    <t>AVENIDA MAGALHAES DE CASTRO</t>
  </si>
  <si>
    <t>12000</t>
  </si>
  <si>
    <t>MORUMBI</t>
  </si>
  <si>
    <t>5502001</t>
  </si>
  <si>
    <t>-23.5989077, -46.6976032</t>
  </si>
  <si>
    <t>SPC8442</t>
  </si>
  <si>
    <t>40432544025131</t>
  </si>
  <si>
    <t>Shopping Cidade Jardim</t>
  </si>
  <si>
    <t>MAGAZINE LUIZA - RUA HERCILIO LUZ, 480 - ZONA COMERCIAL - SUL10781</t>
  </si>
  <si>
    <t>480</t>
  </si>
  <si>
    <t>-26.906094 , -48.659023</t>
  </si>
  <si>
    <t>SUL10781</t>
  </si>
  <si>
    <t>47960950036070</t>
  </si>
  <si>
    <t>463</t>
  </si>
  <si>
    <t>CENTRAO (VIVO) - AVENIDA VISCONDE DE SOUZA FRANCO, 776 - SHOPPING BOULEVARD BELEM - N266910</t>
  </si>
  <si>
    <t>PISO 3</t>
  </si>
  <si>
    <t>N266910</t>
  </si>
  <si>
    <t>20360124001329</t>
  </si>
  <si>
    <t>VIVO - AVENIDA COMENDADOR GUSTAVO PAIVA, 2990 - MACEIO SHOPPING - NE10374</t>
  </si>
  <si>
    <t>LOJA 171 A 173</t>
  </si>
  <si>
    <t>NE10374</t>
  </si>
  <si>
    <t>2558157040466</t>
  </si>
  <si>
    <t>LOJA MACEIO SHOPPING AL</t>
  </si>
  <si>
    <t>CASAS BAHIA - AVENIDA TABELIAO PASSARELA, 610 - ZONA COMERCIAL - SPC40067</t>
  </si>
  <si>
    <t>AVENIDA TABELIAO PASSARELLA</t>
  </si>
  <si>
    <t>610</t>
  </si>
  <si>
    <t>Mairiporã</t>
  </si>
  <si>
    <t>7600000</t>
  </si>
  <si>
    <t>-23.318277 , -46.587219</t>
  </si>
  <si>
    <t>SPC40067</t>
  </si>
  <si>
    <t>33041260103303</t>
  </si>
  <si>
    <t>1389</t>
  </si>
  <si>
    <t>CLARO RP - AVENIDA PRESIDENTE CARLOS LUZ, 3001 - SHOPPING DEL REY - MGCO288620</t>
  </si>
  <si>
    <t>MGCO288620</t>
  </si>
  <si>
    <t>LE BISCUIT - AVENIDA REPUBLICA DO LIBANO, 251 - SHOPPING RIO MAR - NE18396</t>
  </si>
  <si>
    <t>NE18396</t>
  </si>
  <si>
    <t>16233389003090</t>
  </si>
  <si>
    <t>NAGEM - AVENIDA WASHINGTON SOARES, 85 - SHOPPING IGUATEMI FORTALEZA - NE22877</t>
  </si>
  <si>
    <t>LOJAS 60 E 61</t>
  </si>
  <si>
    <t>NE22877</t>
  </si>
  <si>
    <t>24073694001046</t>
  </si>
  <si>
    <t>LJ NG FOR SH IGUATEMI</t>
  </si>
  <si>
    <t>RIACHUELO - RUA GERONCIO THIVES, 1079 - SHOPPING ITAGUACU - SUL90412</t>
  </si>
  <si>
    <t>LOJA 317, 319 E 320</t>
  </si>
  <si>
    <t>SUL90412</t>
  </si>
  <si>
    <t>33200056045835</t>
  </si>
  <si>
    <t>L360</t>
  </si>
  <si>
    <t>IDEAL (VIVO) - AVENIDA DELMIRO GOUVEIA, 400 - SHOPPING RIOMAR ARACAJU - NE260180</t>
  </si>
  <si>
    <t>NE260180</t>
  </si>
  <si>
    <t>7097077000685</t>
  </si>
  <si>
    <t>CASAS BAHIA - AVENIDA DELMIRO GOUVEIA, 400 - SHOPPING RIOMAR ARACAJU - NE20724</t>
  </si>
  <si>
    <t>LOJA 169 E 170</t>
  </si>
  <si>
    <t>NE20724</t>
  </si>
  <si>
    <t>33041260113287</t>
  </si>
  <si>
    <t>CASAS BAHIA - AVENIDA CUPECE, 3036 - ZONA COMERCIAL - SPC11236</t>
  </si>
  <si>
    <t>AVENIDA CUPECE</t>
  </si>
  <si>
    <t>3036</t>
  </si>
  <si>
    <t>JARDIM PRUDENCIA</t>
  </si>
  <si>
    <t>4366000</t>
  </si>
  <si>
    <t>-23.6665035 , -46.6560696</t>
  </si>
  <si>
    <t>SPC11236</t>
  </si>
  <si>
    <t>33041260102404</t>
  </si>
  <si>
    <t>1434</t>
  </si>
  <si>
    <t>IMPERIO - AVENIDA REPUBLICA DO LIBANO, 200 - SHOPPING RIO MAR - NE80066</t>
  </si>
  <si>
    <t>-8.085770030918056, -34.89448998688802</t>
  </si>
  <si>
    <t>NE80066</t>
  </si>
  <si>
    <t>27936211000600</t>
  </si>
  <si>
    <t>IMPERIO</t>
  </si>
  <si>
    <t>RIACHUELO - AVENIDA COMENDADOR GUSTAVO PAIVA, 2990 - MACEIO SHOPPING - NE42453</t>
  </si>
  <si>
    <t>LJ 242</t>
  </si>
  <si>
    <t>-9.647962672119172 , -35.71521640657584</t>
  </si>
  <si>
    <t>NE42453</t>
  </si>
  <si>
    <t>33200056034639</t>
  </si>
  <si>
    <t>L147</t>
  </si>
  <si>
    <t>CELULAR STATION - AVENIDA PASTOR MARTIN LUTHER KING JUNIOR, 126 - SHOPPING NOVA AMERICA - RJES10199</t>
  </si>
  <si>
    <t>BL 10 -109 PARTE 522</t>
  </si>
  <si>
    <t>RJES10199</t>
  </si>
  <si>
    <t>2714643000718</t>
  </si>
  <si>
    <t>PONTO CELULAR - AVENIDA BERNARDO VIEIRA, 3775 - PISO 1 - SHOPPING MIDWAY MALL - NE11042</t>
  </si>
  <si>
    <t>PISO 1</t>
  </si>
  <si>
    <t>NE11042</t>
  </si>
  <si>
    <t>3006494001939</t>
  </si>
  <si>
    <t>LE BISCUIT - RUA PADRE CARAPUCEIRO, 777 - SHOPPING RECIFE - NE18395</t>
  </si>
  <si>
    <t>NE18395</t>
  </si>
  <si>
    <t>16233389002794</t>
  </si>
  <si>
    <t>LOGIN INFORMATICA - AVENIDA TANCREDO NEVES, 148 - SHOPPING DA BAHIA - NE18864</t>
  </si>
  <si>
    <t>LOJA 107 QD72</t>
  </si>
  <si>
    <t>NE18864</t>
  </si>
  <si>
    <t>00066716001082</t>
  </si>
  <si>
    <t>LOGIN INFORMÁTICA</t>
  </si>
  <si>
    <t>LOJAS AMERICANAS - AVENIDA CANDIDO DE ABREU, 127 - SHOPPING MUELLER - SUL5990</t>
  </si>
  <si>
    <t>80530000</t>
  </si>
  <si>
    <t>SUL5990</t>
  </si>
  <si>
    <t>776574165740</t>
  </si>
  <si>
    <t>L071</t>
  </si>
  <si>
    <t>NOVO MUNDO - SDN CNB CONJUNTO A T119, 2149 - SHOPPING CONJUNTO NACIONAL - MGCO5669</t>
  </si>
  <si>
    <t>LOJA S70 1 SUBSOLO</t>
  </si>
  <si>
    <t>MGCO5669</t>
  </si>
  <si>
    <t>01534080010603</t>
  </si>
  <si>
    <t>NOVO MUNDO</t>
  </si>
  <si>
    <t>RIACHUELO - AVENIDA PRESIDENTE KENNEDY, 4121 - SHOPPING PALLADIUM - SUL47497</t>
  </si>
  <si>
    <t>LOJAS 2048 A 2058</t>
  </si>
  <si>
    <t>SUL47497</t>
  </si>
  <si>
    <t>33200056004802</t>
  </si>
  <si>
    <t>L057</t>
  </si>
  <si>
    <t>RIACHUELO - AVENIDA MARIO YPIRANGA, 1300 - SHOPPING MANAUARA - N47364</t>
  </si>
  <si>
    <t>-3.1043615 , -60.01194890000001</t>
  </si>
  <si>
    <t>N47364</t>
  </si>
  <si>
    <t>33200056004721</t>
  </si>
  <si>
    <t>L098</t>
  </si>
  <si>
    <t>RIACHUELO - AVENIDA VICTOR FERREIRA DO AMARAL, 2633 - SHOPPING JOCKEY PLAZA - SUL11167</t>
  </si>
  <si>
    <t>-25.428838939000354 , -49.21467616693417</t>
  </si>
  <si>
    <t>SUL11167</t>
  </si>
  <si>
    <t>33200056039436</t>
  </si>
  <si>
    <t>L306</t>
  </si>
  <si>
    <t>TIM - OUTROS SDN CNB CONJUNTO A, S/N - SHOPPING CONJUNTO NACIONAL - MGCO236250</t>
  </si>
  <si>
    <t>TERREO</t>
  </si>
  <si>
    <t>-15.791281 , -47.883178</t>
  </si>
  <si>
    <t>MGCO236250</t>
  </si>
  <si>
    <t>02421421026269</t>
  </si>
  <si>
    <t>C694</t>
  </si>
  <si>
    <t>COMMCENTER - AVENIDA PRESIDENTE CARLOS LUZ, 3001 - SHOPPING DEL REY - MGCO5772</t>
  </si>
  <si>
    <t>LOJA 3056</t>
  </si>
  <si>
    <t>MGCO5772</t>
  </si>
  <si>
    <t>05828732001674</t>
  </si>
  <si>
    <t>LE BISCUIT - RIACHUELO - AVENIDA TANCREDO NEVES, 2 PISO, S/N - SHOPPING DA BAHIA - NE48478</t>
  </si>
  <si>
    <t>CAMINHO DAS ARVOES</t>
  </si>
  <si>
    <t>-12.981859020758021, -38.464190428697194</t>
  </si>
  <si>
    <t>NE48478</t>
  </si>
  <si>
    <t>16233389001801</t>
  </si>
  <si>
    <t>IMPERIO - RUA PADRE CARAPUCEIRO, 777 - SHOPPING RECIFE - NE80084</t>
  </si>
  <si>
    <t>NE80084</t>
  </si>
  <si>
    <t>27936211000510</t>
  </si>
  <si>
    <t>LE BISCUIT - AVENIDA TANCREDO NEVES, 3133 - SHOPPING SALVADOR - NE110590</t>
  </si>
  <si>
    <t>NE110590</t>
  </si>
  <si>
    <t>16233389001046</t>
  </si>
  <si>
    <t>TELECEL - RODOVIA BR 316, KM 01 - SHOPPING CASTANHEIRA - N238310</t>
  </si>
  <si>
    <t>RODOVIA BR 316, KM 01</t>
  </si>
  <si>
    <t>-1.4027539380472487, -48.430829180287176</t>
  </si>
  <si>
    <t>N238310</t>
  </si>
  <si>
    <t>11775328001763</t>
  </si>
  <si>
    <t>TELECEL CASTANHEIRA - SAP (42000)</t>
  </si>
  <si>
    <t>CARREFOUR - AVENIDA CONSELHEIRO NEBIAS, 802 - ZONA COMERCIAL - SPC20186</t>
  </si>
  <si>
    <t>AVENIDA CONSELHEIRO NEBIAS</t>
  </si>
  <si>
    <t>802</t>
  </si>
  <si>
    <t>Boqueirão</t>
  </si>
  <si>
    <t>11045002</t>
  </si>
  <si>
    <t>-23.9693987 , -46.3249192</t>
  </si>
  <si>
    <t>SPC20186</t>
  </si>
  <si>
    <t>45543915098645</t>
  </si>
  <si>
    <t>EST</t>
  </si>
  <si>
    <t>LOGIN INFORMATICA - AVENIDA TANCREDO NEVES, 3133 - SHOPPING SALVADOR - NE18946</t>
  </si>
  <si>
    <t>LOJA 1172</t>
  </si>
  <si>
    <t>NE18946</t>
  </si>
  <si>
    <t>00066716000949</t>
  </si>
  <si>
    <t>RIACHUELO - AVENIDA TANCREDO NEVES, 148 - SHOPPING DA BAHIA - NE42457</t>
  </si>
  <si>
    <t>LOJA 07/QZ4</t>
  </si>
  <si>
    <t>NE42457</t>
  </si>
  <si>
    <t>33200056035449</t>
  </si>
  <si>
    <t>L104</t>
  </si>
  <si>
    <t>RIACHUELO - AVENIDA TANCREDO NEVES, 3133 - SHOPPING SALVADOR - NE48475</t>
  </si>
  <si>
    <t>LOJA 2045</t>
  </si>
  <si>
    <t>NE48475</t>
  </si>
  <si>
    <t>33200056003830</t>
  </si>
  <si>
    <t>L112</t>
  </si>
  <si>
    <t>RIACHUELO - AVENIDA DJALMA BATISTA, 482 - AMAZONAS SHOPPING - N42456</t>
  </si>
  <si>
    <t>-3.094597272047328, -60.02284559379761</t>
  </si>
  <si>
    <t>N42456</t>
  </si>
  <si>
    <t>33200056032008</t>
  </si>
  <si>
    <t>L168</t>
  </si>
  <si>
    <t>CASA &amp; VIDEO - RUA 15 DE NOVEMBRO, 8 (1 PISO) - SHOPPING PLAZA NITEROI - RJES42509</t>
  </si>
  <si>
    <t>LOJA 301 A 404</t>
  </si>
  <si>
    <t>RJES42509</t>
  </si>
  <si>
    <t>11114284001054</t>
  </si>
  <si>
    <t>CLARO - AVENIDA LAURO SODRE, 445, LOJA 101 - SHOPPING RIO SUL - RJES47288</t>
  </si>
  <si>
    <t>AVENIDA LAURO SODRE, 445</t>
  </si>
  <si>
    <t>445</t>
  </si>
  <si>
    <t>22290070</t>
  </si>
  <si>
    <t>-22.957127 , -43.17688499999997</t>
  </si>
  <si>
    <t>RJES47288</t>
  </si>
  <si>
    <t>LOJAS CEM - AVENIDA DEPUTADO ULISSES GUIMARAES, 1524 - ZONA COMERCIAL - SPC44741</t>
  </si>
  <si>
    <t>AVENIDA DEPUTADO ULISSES GUIMARAES</t>
  </si>
  <si>
    <t>1524</t>
  </si>
  <si>
    <t>SAOVICENTE</t>
  </si>
  <si>
    <t>11347000</t>
  </si>
  <si>
    <t>-23.9841378, -46.4678964</t>
  </si>
  <si>
    <t>SPC44741</t>
  </si>
  <si>
    <t>56642960023070</t>
  </si>
  <si>
    <t>SVICON</t>
  </si>
  <si>
    <t>RIACHUELO - AVENIDA CARLOS LUZ, 3001 - SHOPPING DEL REY - MGCO64398</t>
  </si>
  <si>
    <t>MGCO64398</t>
  </si>
  <si>
    <t>33200056034043</t>
  </si>
  <si>
    <t>L145</t>
  </si>
  <si>
    <t>G BARBOSA - AVENIDA DELMIRO GOUVEIA, 400 - SHOPPING RIOMAR ARACAJU - NE20725</t>
  </si>
  <si>
    <t>-10.9461986, -37.048515</t>
  </si>
  <si>
    <t>NE20725</t>
  </si>
  <si>
    <t>G. BARBOSA</t>
  </si>
  <si>
    <t>IMPERIO - RUA DESEMBARGADOR LAURO NOGUEIRA, 1500 - SHOPPING RIO MAR FORTALEZA - NE262190</t>
  </si>
  <si>
    <t>NE262190</t>
  </si>
  <si>
    <t>27936211005318</t>
  </si>
  <si>
    <t>LOJAS AMERICANAS - AVENIDA IGUATEMI, 777 - SHOPPING IGUATEMI CAMPINAS - SPI10348</t>
  </si>
  <si>
    <t>LOJA 1A,2º PAVIMENTO</t>
  </si>
  <si>
    <t>13094900</t>
  </si>
  <si>
    <t>SPI10348</t>
  </si>
  <si>
    <t>776574145987</t>
  </si>
  <si>
    <t>PAPEL &amp; CIA DIGITAL - AVENIDA TANCREDO NEVES, 148 - SHOPPING DA BAHIA  - NE45383</t>
  </si>
  <si>
    <t>NE45383</t>
  </si>
  <si>
    <t>07014198000705</t>
  </si>
  <si>
    <t>PAPEL &amp; CIA DIGITAL</t>
  </si>
  <si>
    <t>WORLD CELL - SDN CNB CONJUNTO A , 2149- QUIOSQUE - SHOPPING CONJUNTO NACIONAL - MGCO5633</t>
  </si>
  <si>
    <t>SDN CNB</t>
  </si>
  <si>
    <t>MGCO5633</t>
  </si>
  <si>
    <t>5199395002675</t>
  </si>
  <si>
    <t>VIVO - RUA DOS ANDRADAS, 1599 - ZONA COMERCIAL - SUL6226</t>
  </si>
  <si>
    <t>RUA DOS ANDRADAS</t>
  </si>
  <si>
    <t>1599</t>
  </si>
  <si>
    <t>90020013</t>
  </si>
  <si>
    <t>-30.029734 , -51.225536</t>
  </si>
  <si>
    <t>SUL6226</t>
  </si>
  <si>
    <t>2558157035896</t>
  </si>
  <si>
    <t>LOJA ANDRADAS RS</t>
  </si>
  <si>
    <t>B</t>
  </si>
  <si>
    <t>776574092921</t>
  </si>
  <si>
    <t>L085</t>
  </si>
  <si>
    <t>MAGAZINE LUIZA - RUA MANOEL CAVALCANTE, 805 - SHOPPING MANAIRA - NE10842</t>
  </si>
  <si>
    <t>AVENIDA FLAVIO RIBEIRO COUTINHO</t>
  </si>
  <si>
    <t>805</t>
  </si>
  <si>
    <t>T215 1 PISO</t>
  </si>
  <si>
    <t>MANAIRA</t>
  </si>
  <si>
    <t>João Pessoa</t>
  </si>
  <si>
    <t>PB</t>
  </si>
  <si>
    <t>58038680</t>
  </si>
  <si>
    <t>-7.098906 , -34.844868</t>
  </si>
  <si>
    <t>NE10842</t>
  </si>
  <si>
    <t>47960950077698</t>
  </si>
  <si>
    <t>738</t>
  </si>
  <si>
    <t>Shopping Manaira</t>
  </si>
  <si>
    <t>MAGAZINE LUIZA - AVENIDA GENERAL DAVID SARNOFF, 5160 - ITAU POWER SHOPPING - MGCO78196</t>
  </si>
  <si>
    <t>PISO 2 LOJA 263</t>
  </si>
  <si>
    <t>MGCO78196</t>
  </si>
  <si>
    <t>47960950100266</t>
  </si>
  <si>
    <t>MAGAZINE LUIZA - RUA 15 DE NOVEMBRO, 186 - ZONA COMERCIAL - SPI10626</t>
  </si>
  <si>
    <t>186</t>
  </si>
  <si>
    <t>-23.182378 , -45.887208</t>
  </si>
  <si>
    <t>SPI10626</t>
  </si>
  <si>
    <t>47960950011085</t>
  </si>
  <si>
    <t>102</t>
  </si>
  <si>
    <t>CLARO - AVENIDA GOVERNADOR AGAMENON MAGALHAES, 153 - SHOPPING TACARUNA - NE7197</t>
  </si>
  <si>
    <t>LOJA 318 A 320</t>
  </si>
  <si>
    <t>NE7197</t>
  </si>
  <si>
    <t>40432544021659</t>
  </si>
  <si>
    <t>8107</t>
  </si>
  <si>
    <t>PONTO FRIO - AVENIDA ARICANDUVA, 5555 (LOJA 2) - SHOPPING ARICANDUVA - SPC8803</t>
  </si>
  <si>
    <t>LUCS 225/226</t>
  </si>
  <si>
    <t>SPC8803</t>
  </si>
  <si>
    <t>33041260070456</t>
  </si>
  <si>
    <t>880</t>
  </si>
  <si>
    <t>MAGAZINE LUIZA - ALAMEDA EUVALDO LUZ, 92 - SHOPPING BELA VISTA - NE39669</t>
  </si>
  <si>
    <t>1º PISO LOJA 42.1</t>
  </si>
  <si>
    <t>NE39669</t>
  </si>
  <si>
    <t>47960950076888</t>
  </si>
  <si>
    <t>892</t>
  </si>
  <si>
    <t>MAGAZINE LUIZA - AVENIDA GOVERNADOR AGAMENON MAGALHAES, 153 - SHOPPING TACARUNA - NE229000</t>
  </si>
  <si>
    <t>-8.0376463 , -34.8724733</t>
  </si>
  <si>
    <t>NE229000</t>
  </si>
  <si>
    <t>47960950125765</t>
  </si>
  <si>
    <t>1322</t>
  </si>
  <si>
    <t>CASAS BAHIA - AVENIDA BARRETO DE MENEZES, 800 - SHOPPING GUARARAPES - NE94779</t>
  </si>
  <si>
    <t>AVENIDA BARRETO DE MENEZES</t>
  </si>
  <si>
    <t>800</t>
  </si>
  <si>
    <t>PIEDADE</t>
  </si>
  <si>
    <t>Jaboatão dos Guararapes</t>
  </si>
  <si>
    <t>54410100</t>
  </si>
  <si>
    <t>-8.1673124 , -34.918615</t>
  </si>
  <si>
    <t>NE94779</t>
  </si>
  <si>
    <t>33041260179628</t>
  </si>
  <si>
    <t>2157</t>
  </si>
  <si>
    <t>Shopping Guararapes</t>
  </si>
  <si>
    <t>CLARO - AVENIDA INTERLAGOS, 2255 - SHOPPING INTERLAGOS - SPC7248</t>
  </si>
  <si>
    <t>ARCOS 9 E 10</t>
  </si>
  <si>
    <t>SPC7248</t>
  </si>
  <si>
    <t>40432544003405</t>
  </si>
  <si>
    <t>FUJIOKA - CNM 02, S/N - ZONA COMERCIAL - MGCO11648</t>
  </si>
  <si>
    <t>OUTROS CNM DOIS LOTES UM E DOIS</t>
  </si>
  <si>
    <t>LOJA 1/ SALA C</t>
  </si>
  <si>
    <t>CEILANDIA</t>
  </si>
  <si>
    <t>72010120</t>
  </si>
  <si>
    <t>-15.815773 , -48.103462</t>
  </si>
  <si>
    <t>MGCO11648</t>
  </si>
  <si>
    <t>01008713003180</t>
  </si>
  <si>
    <t>CASAS BAHIA - AVENIDA 22 DE MAIO, S/N - ZONA COMERCIAL - RJES11689</t>
  </si>
  <si>
    <t>QD 3,LOTES 1,6 E 7</t>
  </si>
  <si>
    <t>24800065</t>
  </si>
  <si>
    <t>-22.747406 , -42.860016</t>
  </si>
  <si>
    <t>RJES11689</t>
  </si>
  <si>
    <t>33041260080419</t>
  </si>
  <si>
    <t>CASAS BAHIA - RUA 15 DE NOVEMBRO, 16 - ZONA COMERCIAL - SPC90089</t>
  </si>
  <si>
    <t>Itapecerica da Serra</t>
  </si>
  <si>
    <t>6850100</t>
  </si>
  <si>
    <t>-23.7161843, -46.84958719999999</t>
  </si>
  <si>
    <t>SPC90089</t>
  </si>
  <si>
    <t>33041260098032</t>
  </si>
  <si>
    <t>1282</t>
  </si>
  <si>
    <t>HS - AVENIDA GETULIO VARGAS, 88 - ZONA COMERCIAL - SPI20731</t>
  </si>
  <si>
    <t>AVENIDA GETULIO VARGAS</t>
  </si>
  <si>
    <t>888</t>
  </si>
  <si>
    <t>-22.3414517 , -49.0615067</t>
  </si>
  <si>
    <t>SPI20731</t>
  </si>
  <si>
    <t>5923253003257</t>
  </si>
  <si>
    <t>LOJAS AMERICANAS - ESTRADA DO MENDANHA, 555 - WEST SHOPPING - RJES7545</t>
  </si>
  <si>
    <t>ESTRADA DO MENDANHA</t>
  </si>
  <si>
    <t>SUC 103</t>
  </si>
  <si>
    <t>23087281</t>
  </si>
  <si>
    <t>-22.884546 , -43.557751</t>
  </si>
  <si>
    <t>RJES7545</t>
  </si>
  <si>
    <t>776574089033</t>
  </si>
  <si>
    <t>L095</t>
  </si>
  <si>
    <t>West Shopping</t>
  </si>
  <si>
    <t>MAGAZINE LUIZA - AVENIDA HILTON SOUTO MAIOR, 3901 - MANGABEIRA SHOPPING - NE39733</t>
  </si>
  <si>
    <t>AVENIDA HILTON SOUTO MAIOR</t>
  </si>
  <si>
    <t>3901</t>
  </si>
  <si>
    <t>LOJAS P1016 E P1017</t>
  </si>
  <si>
    <t>58055018</t>
  </si>
  <si>
    <t>-7.161959 , -34.830444</t>
  </si>
  <si>
    <t>NE39733</t>
  </si>
  <si>
    <t>47960950091097</t>
  </si>
  <si>
    <t>735</t>
  </si>
  <si>
    <t>Mangabeira Shopping</t>
  </si>
  <si>
    <t>MAGAZINE LUIZA - AVENIDA DAS NACOES UNIDAS, 22540 - SHOPPING SP MARKET - SPC6423</t>
  </si>
  <si>
    <t>22540</t>
  </si>
  <si>
    <t>ARCO 6</t>
  </si>
  <si>
    <t>JURUBATUBA</t>
  </si>
  <si>
    <t>4795000</t>
  </si>
  <si>
    <t>-23.679721 , -46.696725</t>
  </si>
  <si>
    <t>SPC6423</t>
  </si>
  <si>
    <t>47960950059010</t>
  </si>
  <si>
    <t>584</t>
  </si>
  <si>
    <t>Shopping Sp Market</t>
  </si>
  <si>
    <t>CASAS BAHIA - TENENTE NICOLAU MAFFEI, 222 - ZONA COMERCIAL - SPI20889</t>
  </si>
  <si>
    <t>DOUTOR JOSE FOZ,438</t>
  </si>
  <si>
    <t>-22.122343 , -51.388626</t>
  </si>
  <si>
    <t>SPI20889</t>
  </si>
  <si>
    <t>33041260124998</t>
  </si>
  <si>
    <t>1062</t>
  </si>
  <si>
    <t>LOJAS AMERICANAS - AVENIDA GOVERNADOR AGAMENON MAGALHAES, 153 - SHOPPING TACARUNA - NE6902</t>
  </si>
  <si>
    <t>NE6902</t>
  </si>
  <si>
    <t>776574164426</t>
  </si>
  <si>
    <t>L056</t>
  </si>
  <si>
    <t>MAGAZINE LUIZA - AVENIDA INTERLAGOS, 2255 - SHOPPING INTERLAGOS - SPC7611</t>
  </si>
  <si>
    <t>ARCO N.147-A</t>
  </si>
  <si>
    <t>SPC7611</t>
  </si>
  <si>
    <t>47960950058120</t>
  </si>
  <si>
    <t>579</t>
  </si>
  <si>
    <t>MAGAZINE LUIZA - AVENIDA LINEU MACHADO, 419 - NORTH SHOPPING JOQUEI - NE88367</t>
  </si>
  <si>
    <t>-3.7647341 , -38.5744554</t>
  </si>
  <si>
    <t>NE88367</t>
  </si>
  <si>
    <t>47960950085283</t>
  </si>
  <si>
    <t>742</t>
  </si>
  <si>
    <t>MAGAZINE LUIZA - RUA DOUTOR ALFREDO BACKER, 689 - RJES230070</t>
  </si>
  <si>
    <t>689</t>
  </si>
  <si>
    <t>-22.8195897 , -43.0030145</t>
  </si>
  <si>
    <t>RJES230070</t>
  </si>
  <si>
    <t>47960950137690</t>
  </si>
  <si>
    <t>759</t>
  </si>
  <si>
    <t>MAGAZINE LUIZA - AVENIDA JOAO DURVAL CARNEIRO, 3665 - SHOPPING BOULEVARD FEIRA DE SANTANA - NE21898</t>
  </si>
  <si>
    <t>AVENIDA JOAO DURVAL CARNEIRO</t>
  </si>
  <si>
    <t>3665</t>
  </si>
  <si>
    <t>CASEB</t>
  </si>
  <si>
    <t>Feira de Santana</t>
  </si>
  <si>
    <t>44052064</t>
  </si>
  <si>
    <t>-12.2412855 , -38.9486775</t>
  </si>
  <si>
    <t>NE21898</t>
  </si>
  <si>
    <t>1338</t>
  </si>
  <si>
    <t>Shopping Boulevard Feira De Santana</t>
  </si>
  <si>
    <t>CARREFOUR - AVENIDA JORNALISTA HUMBERTO CALDERARO, 203 - ZONA COMERCIAL - N18897</t>
  </si>
  <si>
    <t>AVENIDA JORNALISTA HUMBERTO CALDERARO FILHO</t>
  </si>
  <si>
    <t>203</t>
  </si>
  <si>
    <t>69054000</t>
  </si>
  <si>
    <t>-3.105761 , -60.0102</t>
  </si>
  <si>
    <t>N18897</t>
  </si>
  <si>
    <t>45543915041619</t>
  </si>
  <si>
    <t>MAD</t>
  </si>
  <si>
    <t>CASAS BAHIA - AVENIDA BEZERRA DE MENEZES, 2450 - NORTH SHOPPING FORTALEZA - NE21907</t>
  </si>
  <si>
    <t>AVENIDA BEZERRA DE MENEZES</t>
  </si>
  <si>
    <t>2450</t>
  </si>
  <si>
    <t>SAO GERALDO</t>
  </si>
  <si>
    <t>60325002</t>
  </si>
  <si>
    <t>-3.734935 , -38.566223</t>
  </si>
  <si>
    <t>NE21907</t>
  </si>
  <si>
    <t>33041260127903</t>
  </si>
  <si>
    <t>1707</t>
  </si>
  <si>
    <t>North Shopping Fortaleza</t>
  </si>
  <si>
    <t>CLARO - AVENIDA ARICANDUVA, 5555 - SHOPPING ARICANDUVA - SPC47271</t>
  </si>
  <si>
    <t>3527000</t>
  </si>
  <si>
    <t>-23.5660251 , -46.50407910000001</t>
  </si>
  <si>
    <t>SPC47271</t>
  </si>
  <si>
    <t>40432544004134</t>
  </si>
  <si>
    <t>1116</t>
  </si>
  <si>
    <t>CLARO - AVENIDA DEPUTADO BENEDITO MATARAZZO, 9403 - SHOPPING CENTER VALE - SPI7402</t>
  </si>
  <si>
    <t>LOJA T 315 E 316</t>
  </si>
  <si>
    <t>SPI7402</t>
  </si>
  <si>
    <t>40432544013800</t>
  </si>
  <si>
    <t>1903</t>
  </si>
  <si>
    <t>LOJAS AMERICANAS - ESTRADA DO MONTEIRO, 1200 - PARK SHOPPING CAMPO GRANDE - RJES10815</t>
  </si>
  <si>
    <t>ESTRADA DO MONTEIRO</t>
  </si>
  <si>
    <t>LUC 101</t>
  </si>
  <si>
    <t>23045830</t>
  </si>
  <si>
    <t>-22.926893 , -43.575298</t>
  </si>
  <si>
    <t>RJES10815</t>
  </si>
  <si>
    <t>776574114321</t>
  </si>
  <si>
    <t>L090</t>
  </si>
  <si>
    <t>Park Shopping Campo Grande</t>
  </si>
  <si>
    <t>MAGAZINE LUIZA - AVENIDA AYRTON SENNA DA SILVA, 1511 - SHOPPING LITORAL PLAZA - SPC42852</t>
  </si>
  <si>
    <t>LOJAS 18 A 20</t>
  </si>
  <si>
    <t>SPC42852</t>
  </si>
  <si>
    <t>47960950094355</t>
  </si>
  <si>
    <t>506</t>
  </si>
  <si>
    <t>MAGAZINE LUIZA - AVENIDA MINISTRO GERALDO BARRETO SOBRAL, 215 - SHOPPING JARDINS - NE10405</t>
  </si>
  <si>
    <t>AVENIDA Ministro Geraldo Barreto Sobral</t>
  </si>
  <si>
    <t>215</t>
  </si>
  <si>
    <t>Loja 118-B</t>
  </si>
  <si>
    <t>Jardins</t>
  </si>
  <si>
    <t>49026010</t>
  </si>
  <si>
    <t>-10.9432674 , -37.059823</t>
  </si>
  <si>
    <t>NE10405</t>
  </si>
  <si>
    <t>47960950081296</t>
  </si>
  <si>
    <t>898</t>
  </si>
  <si>
    <t>Shopping Jardins - Aracaju</t>
  </si>
  <si>
    <t>MAGAZINE LUIZA - RUA PRESIDENTE JOAO PESSOA, 112 - ZONA COMERCIAL - NE10879</t>
  </si>
  <si>
    <t>RUA PRESIDENTE JOAO PESSOA</t>
  </si>
  <si>
    <t>Campina Grande</t>
  </si>
  <si>
    <t>58400002</t>
  </si>
  <si>
    <t>-7.2172847 , -35.8869196</t>
  </si>
  <si>
    <t>NE10879</t>
  </si>
  <si>
    <t>47960950087146</t>
  </si>
  <si>
    <t>717</t>
  </si>
  <si>
    <t>CASAS BAHIA - AVENIDA MARECHAL TITO, 413 - ZONA COMERCIAL - SPC11222</t>
  </si>
  <si>
    <t>8010090</t>
  </si>
  <si>
    <t>-23.493148 , -46.44149</t>
  </si>
  <si>
    <t>SPC11222</t>
  </si>
  <si>
    <t>33041260115735</t>
  </si>
  <si>
    <t>1220</t>
  </si>
  <si>
    <t>CASAS BAHIA - AVENIDA VEREADOR NARCISO YAGUE GUIMARAES, 1001 - SHOPPING MOGI DAS CRUZES - SPC8794</t>
  </si>
  <si>
    <t>AVENIDA VEREADOR NARCISO YAGUE GUIMARAES</t>
  </si>
  <si>
    <t>1001</t>
  </si>
  <si>
    <t>LOJA D1</t>
  </si>
  <si>
    <t>JARDIM ARMENIA</t>
  </si>
  <si>
    <t>8780910</t>
  </si>
  <si>
    <t>-23.516062 , -46.179863</t>
  </si>
  <si>
    <t>SPC8794</t>
  </si>
  <si>
    <t>33041260104377</t>
  </si>
  <si>
    <t>1612</t>
  </si>
  <si>
    <t>Shopping Mogi Das Cruzes</t>
  </si>
  <si>
    <t>CASAS BAHIA - RUA DOMINGOS DE MORAIS, 2564 - SHOPPING METRO SANTA CRUZ - SPC7069</t>
  </si>
  <si>
    <t>RUA DOMINGOS DE MORAIS</t>
  </si>
  <si>
    <t>2564</t>
  </si>
  <si>
    <t>LOJAS 9,10 S,19T,L2</t>
  </si>
  <si>
    <t>VILA MARIANA</t>
  </si>
  <si>
    <t>4036100</t>
  </si>
  <si>
    <t>-23.599131 , -46.636909</t>
  </si>
  <si>
    <t>SPC7069</t>
  </si>
  <si>
    <t>33041260101270</t>
  </si>
  <si>
    <t>1231</t>
  </si>
  <si>
    <t>Shopping Metro Santa Cruz</t>
  </si>
  <si>
    <t>CASAS BAHIA - ESTRADA DO MENDANHA, 555 - WEST SHOPPING - RJES7543</t>
  </si>
  <si>
    <t>SUC 175 / 176</t>
  </si>
  <si>
    <t>23087280</t>
  </si>
  <si>
    <t>RJES7543</t>
  </si>
  <si>
    <t>33041260086298</t>
  </si>
  <si>
    <t>1357</t>
  </si>
  <si>
    <t>LOJAS AMERICANAS - AVENIDA BARRETO DE MENEZES, 800 - SHOPPING GUARARAPES - NE7480</t>
  </si>
  <si>
    <t>54325000</t>
  </si>
  <si>
    <t>-8.167759 , -34.919044</t>
  </si>
  <si>
    <t>NE7480</t>
  </si>
  <si>
    <t>776574107899</t>
  </si>
  <si>
    <t>L123</t>
  </si>
  <si>
    <t>MAGAZINE LUIZA - AVENIDA CONSUL CARLOS RENAUX, 154 - ZONA COMERCIAL - SUL45453</t>
  </si>
  <si>
    <t>AVENIDA CONSUL CARLOS RENAUX</t>
  </si>
  <si>
    <t>154</t>
  </si>
  <si>
    <t>SAO LUIZ</t>
  </si>
  <si>
    <t>88350002</t>
  </si>
  <si>
    <t>-27.096733 , -48.915447</t>
  </si>
  <si>
    <t>SUL45453</t>
  </si>
  <si>
    <t>47960950035855</t>
  </si>
  <si>
    <t>464</t>
  </si>
  <si>
    <t>MAGAZINE LUIZA - AVENIDA MANOEL GOULART, 2400 - PRUDENSHOPPING - SPI20764</t>
  </si>
  <si>
    <t>AVENIDA MANOEL GOULART</t>
  </si>
  <si>
    <t>2400</t>
  </si>
  <si>
    <t>ANCORA 205</t>
  </si>
  <si>
    <t>JARDIM DAS ROSAS</t>
  </si>
  <si>
    <t>19060000</t>
  </si>
  <si>
    <t>-22.115719 , -51.408581</t>
  </si>
  <si>
    <t>SPI20764</t>
  </si>
  <si>
    <t>47960950013452</t>
  </si>
  <si>
    <t>Prudenshopping</t>
  </si>
  <si>
    <t>MAGAZINE LUIZA - AVENIDA JULIO DE CASTILHOS, 2150 - ZONA COMERCIAL - SUL9123</t>
  </si>
  <si>
    <t>AVENIDA JULIO DE CASTILHOS</t>
  </si>
  <si>
    <t>2150</t>
  </si>
  <si>
    <t>95010001</t>
  </si>
  <si>
    <t>-29.167946 , -51.183491</t>
  </si>
  <si>
    <t>SUL9123</t>
  </si>
  <si>
    <t>47960950030977</t>
  </si>
  <si>
    <t>MAGAZINE LUIZA - AVENIDA MARECHAL TITO, 468 - ZONA COMERCIAL - SPC20308</t>
  </si>
  <si>
    <t>-23.493919 , -46.43956</t>
  </si>
  <si>
    <t>SPC20308</t>
  </si>
  <si>
    <t>47960950051621</t>
  </si>
  <si>
    <t>MAGAZINE LUIZA - RUA VIGARIO FREIRE, 33 - NE244330</t>
  </si>
  <si>
    <t>RUA VIGARIO FREIRE</t>
  </si>
  <si>
    <t>NOSSA SENHORA DAS DORES</t>
  </si>
  <si>
    <t>CARUARU</t>
  </si>
  <si>
    <t>55002200</t>
  </si>
  <si>
    <t>-8.2854204,-35.9705636</t>
  </si>
  <si>
    <t>NE244330</t>
  </si>
  <si>
    <t>47960950087812</t>
  </si>
  <si>
    <t>834</t>
  </si>
  <si>
    <t>PONTO FRIO - ESTRADA DO MONTEIRO, S/N - PARK SHOPPING CAMPO GRANDE - RJES6735</t>
  </si>
  <si>
    <t>LUC 104-H</t>
  </si>
  <si>
    <t>23036340</t>
  </si>
  <si>
    <t>RJES6735</t>
  </si>
  <si>
    <t>33041260077388</t>
  </si>
  <si>
    <t>941</t>
  </si>
  <si>
    <t>RIACHUELO - AVENIDA GOVERNADOR AGAMENON MAGALHAES, 153 - SHOPPING RECIFE TACARUNA - NE42469</t>
  </si>
  <si>
    <t>LOJA 301</t>
  </si>
  <si>
    <t>NE42469</t>
  </si>
  <si>
    <t>33200056001897</t>
  </si>
  <si>
    <t>L129</t>
  </si>
  <si>
    <t>VIVO - AVENIDA GENERAL DAVID SARNOFF, 5160 - SHOPPING ITAU POWER - MGCO7194</t>
  </si>
  <si>
    <t>LOJAS 65B E 66</t>
  </si>
  <si>
    <t>MGCO7194</t>
  </si>
  <si>
    <t>2558157080174</t>
  </si>
  <si>
    <t>LOJA ITAU POWER SHOPPING II MG</t>
  </si>
  <si>
    <t>CARREFOUR - AVENIDA BRIGADEIRO FARIA LIMA, 6363 - SHOPPING RIO PRETO - SPI6623</t>
  </si>
  <si>
    <t>SPI6623</t>
  </si>
  <si>
    <t>45543915008328</t>
  </si>
  <si>
    <t>CSS</t>
  </si>
  <si>
    <t>CASA &amp; VIDEO - RUA CORONEL AGOSTINHO, 123 - ZONA COMERCIAL - RJES7521</t>
  </si>
  <si>
    <t>RJES7521</t>
  </si>
  <si>
    <t>11114284006447</t>
  </si>
  <si>
    <t>CAMPO GRANDE CALÇADÃO</t>
  </si>
  <si>
    <t>AVENIDA EMBAIXADOR MACEDO SOARES</t>
  </si>
  <si>
    <t>9175</t>
  </si>
  <si>
    <t>LOJA 01</t>
  </si>
  <si>
    <t>LAPA</t>
  </si>
  <si>
    <t>5035900</t>
  </si>
  <si>
    <t>-23.5096752,-46.7024555</t>
  </si>
  <si>
    <t>33041260195070</t>
  </si>
  <si>
    <t>CLARO - RODOVIA PRESIDENTE DUTRA KM 230, S/N (LOJA 2) - SHOPPING INTERNACIONAL GUARULHOS - SPC22858</t>
  </si>
  <si>
    <t>LOJA 3 E 4</t>
  </si>
  <si>
    <t>SPC22858</t>
  </si>
  <si>
    <t>40432544022388</t>
  </si>
  <si>
    <t>1132</t>
  </si>
  <si>
    <t>ELETROMOVEIS MARTINELLO - AVENIDA HISTORIADOR RUBENS DE MENDONCA, 3300 - SHOPPING PANTANAL - MGCO290190</t>
  </si>
  <si>
    <t>LOJA 01 - PAVIMENTO 02</t>
  </si>
  <si>
    <t>MGCO290190</t>
  </si>
  <si>
    <t>32951535008461</t>
  </si>
  <si>
    <t>F83</t>
  </si>
  <si>
    <t>ELETROMOVEIS MARTINELLO</t>
  </si>
  <si>
    <t>MAGAZINE LUIZA - SINIMBU, 2070 - ZONA COMERCIAL - SUL6272</t>
  </si>
  <si>
    <t>RUA SINIMBU</t>
  </si>
  <si>
    <t>2070</t>
  </si>
  <si>
    <t>95098020</t>
  </si>
  <si>
    <t>-29.168779 , -51.177063</t>
  </si>
  <si>
    <t>SUL6272</t>
  </si>
  <si>
    <t>47960950031000</t>
  </si>
  <si>
    <t>402</t>
  </si>
  <si>
    <t>MAGAZINE LUIZA - AVENIDA BRASILIA, 1749 - ZONA COMERCIAL - MGCO39731</t>
  </si>
  <si>
    <t>1749</t>
  </si>
  <si>
    <t>33120510</t>
  </si>
  <si>
    <t>-19.788887 , -43.930424</t>
  </si>
  <si>
    <t>MGCO39731</t>
  </si>
  <si>
    <t>47960950043521</t>
  </si>
  <si>
    <t>284</t>
  </si>
  <si>
    <t>TIM - AVENIDA JOSE PINHEIRO BORGES, S/N - SHOPPING METRO ITAQUERA - SPC7308</t>
  </si>
  <si>
    <t>LOJA 168 - PISO</t>
  </si>
  <si>
    <t>SPC7308</t>
  </si>
  <si>
    <t>2421421015909</t>
  </si>
  <si>
    <t>C186</t>
  </si>
  <si>
    <t>CARREFOUR - AVENIDA MANOEL GOULART, 2400 - PRUDENSHOPPING - SPI20761</t>
  </si>
  <si>
    <t>SPI20761</t>
  </si>
  <si>
    <t>45543915098211</t>
  </si>
  <si>
    <t>EPP</t>
  </si>
  <si>
    <t>CASAS BAHIA - RUA CORONEL AGOSTINHO, 107 - ZONA COMERCIAL - RJES6088</t>
  </si>
  <si>
    <t>RJES6088</t>
  </si>
  <si>
    <t>33041260082977</t>
  </si>
  <si>
    <t>1110</t>
  </si>
  <si>
    <t>CASAS BAHIA - AVENIDA MANOEL GOULART, 2400 - PRUDENSHOPPING - SPI20762</t>
  </si>
  <si>
    <t>SUC 249,PISO MG,SL J</t>
  </si>
  <si>
    <t>SPI20762</t>
  </si>
  <si>
    <t>33041260125021</t>
  </si>
  <si>
    <t>1494</t>
  </si>
  <si>
    <t>CLARO - RUA FONSECA, 240 - SHOPPING BANGU - RJES6098</t>
  </si>
  <si>
    <t>LOJA 144 A</t>
  </si>
  <si>
    <t>RJES6098</t>
  </si>
  <si>
    <t>40432544023600</t>
  </si>
  <si>
    <t>2129</t>
  </si>
  <si>
    <t>LOJAS AMERICANAS - AVENIDA BEZERRA DE MENEZES, 2450 - NORTH SHOPPING FORTALEZA - NE7422</t>
  </si>
  <si>
    <t>266 PISO 2</t>
  </si>
  <si>
    <t>NE7422</t>
  </si>
  <si>
    <t>776574101939</t>
  </si>
  <si>
    <t>L107</t>
  </si>
  <si>
    <t>MAGAZINE LUIZA - AVENIDA BEZERRA DE MENEZES, 2450 - NORTH SHOPPING FORTALEZA - NE7424</t>
  </si>
  <si>
    <t>LOJA 650,2º PISO</t>
  </si>
  <si>
    <t>NE7424</t>
  </si>
  <si>
    <t>47960950084473</t>
  </si>
  <si>
    <t>835</t>
  </si>
  <si>
    <t>MAGAZINE LUIZA - AVENIDA DOUTOR JOAO MEDEIROS FILHO, 2395 - PARTAGE NORTE SHOPPING - NE19094</t>
  </si>
  <si>
    <t>AVENIDA DOUTOR JOAO MEDEIROS FILHO</t>
  </si>
  <si>
    <t>2395</t>
  </si>
  <si>
    <t>SL 102 E 102A</t>
  </si>
  <si>
    <t>PATENGI</t>
  </si>
  <si>
    <t>59110200</t>
  </si>
  <si>
    <t>-5.757634 , -35.247089</t>
  </si>
  <si>
    <t>NE19094</t>
  </si>
  <si>
    <t>47960950082934</t>
  </si>
  <si>
    <t>814</t>
  </si>
  <si>
    <t>Partage Norte Shopping</t>
  </si>
  <si>
    <t>MAGAZINE LUIZA - RUA CORONEL AGOSTINHO, 146 - RJES229991</t>
  </si>
  <si>
    <t>-22.9056575 , -43.5602065</t>
  </si>
  <si>
    <t>RJES229991</t>
  </si>
  <si>
    <t>47960950178109</t>
  </si>
  <si>
    <t>1630</t>
  </si>
  <si>
    <t>MAGAZINE LUIZA - RODOVIA REGIS BITTENCOURT, 2643 - SHOPPING TABOAO DA SERRA - SPC254330</t>
  </si>
  <si>
    <t>JARDIM HELENA</t>
  </si>
  <si>
    <t>SPC254330</t>
  </si>
  <si>
    <t>47960950187019</t>
  </si>
  <si>
    <t>PONTO FRIO - AVENIDA BRIGADEIRO FARIA LIMA, 6363 - SHOPPING RIO PRETO - SPI7141</t>
  </si>
  <si>
    <t>SUC 44,47,48 E 49</t>
  </si>
  <si>
    <t>SPI7141</t>
  </si>
  <si>
    <t>33041260038641</t>
  </si>
  <si>
    <t>382</t>
  </si>
  <si>
    <t>PONTO FRIO - RUA CONSELHEIRO MAFRA, 28 - ZONA COMERCIAL - SUL7579</t>
  </si>
  <si>
    <t>28</t>
  </si>
  <si>
    <t>-27.597335 , -48.552118</t>
  </si>
  <si>
    <t>SUL7579</t>
  </si>
  <si>
    <t>33041260043130</t>
  </si>
  <si>
    <t>392</t>
  </si>
  <si>
    <t>TIM - AVENIDA ARICANDUVA, 5555 - SHOPPING ARICANDUVA - SPC7293</t>
  </si>
  <si>
    <t>LOJAS 88 A 92</t>
  </si>
  <si>
    <t>SPC7293</t>
  </si>
  <si>
    <t>2421421012047</t>
  </si>
  <si>
    <t>C202</t>
  </si>
  <si>
    <t>CASAS BAHIA - AVENIDA PIRACEMA, 669 - SHOPPING TAMBORE - SPC6445</t>
  </si>
  <si>
    <t>ANCORA H,TÉRREO</t>
  </si>
  <si>
    <t>SPC6445</t>
  </si>
  <si>
    <t>33041260105268</t>
  </si>
  <si>
    <t>1582</t>
  </si>
  <si>
    <t>CASAS BAHIA - RODOVIA FERNAO DIAS KM 492, 601 - SHOPPING METROPOLITAN - MGCO19488</t>
  </si>
  <si>
    <t>RODOVIA BR-381</t>
  </si>
  <si>
    <t>LOJA 2028</t>
  </si>
  <si>
    <t>32655505</t>
  </si>
  <si>
    <t>-19.962721 , -44.16135</t>
  </si>
  <si>
    <t>MGCO19488</t>
  </si>
  <si>
    <t>33041260134799</t>
  </si>
  <si>
    <t>1682</t>
  </si>
  <si>
    <t>Shopping Metropolitan</t>
  </si>
  <si>
    <t>MAGAZINE LUIZA - AVENIDA GOVERNADOR MARIO COVAS JUNIOR, 1 - SHOPPING MAUA - SPC6480</t>
  </si>
  <si>
    <t>LOJA A 157</t>
  </si>
  <si>
    <t>SPC6480</t>
  </si>
  <si>
    <t>47960950055023</t>
  </si>
  <si>
    <t>568</t>
  </si>
  <si>
    <t>MAGAZINE LUIZA - AVENIDA DOS AUTONOMISTAS, 1400 - SHOPPING UNIAO - SPC6399</t>
  </si>
  <si>
    <t>ANCORA H</t>
  </si>
  <si>
    <t>SPC6399</t>
  </si>
  <si>
    <t>47960950055708</t>
  </si>
  <si>
    <t>528</t>
  </si>
  <si>
    <t>MAGAZINE LUIZA - RODOVIA FERNAO DIAS KM 492, 601 - SHOPPING METROPOLITAN - MGCO19493</t>
  </si>
  <si>
    <t>RODOVIA FERNAO DIAS KM 492</t>
  </si>
  <si>
    <t>SAOJOAO</t>
  </si>
  <si>
    <t>-19.9625603 , -44.160051</t>
  </si>
  <si>
    <t>MGCO19493</t>
  </si>
  <si>
    <t>47960950064367</t>
  </si>
  <si>
    <t>976</t>
  </si>
  <si>
    <t>PONTO FRIO - RODOVIA FERNAO DIAS KM 492, 601 - SHOPPING METROPOLITAN - MGCO20649</t>
  </si>
  <si>
    <t>LOJA 3006</t>
  </si>
  <si>
    <t>MGCO20649</t>
  </si>
  <si>
    <t>33041260076497</t>
  </si>
  <si>
    <t>929</t>
  </si>
  <si>
    <t>TIM - AVENIDA JOAO NAVES DE AVILA, 1331 - CENTER SHOPPING UBERLANDIA - MGCO45092</t>
  </si>
  <si>
    <t>LOJA 288</t>
  </si>
  <si>
    <t>MGCO45092</t>
  </si>
  <si>
    <t>2421421013604</t>
  </si>
  <si>
    <t>C305</t>
  </si>
  <si>
    <t>TIM - AVENIDA INTERLAGOS, 2255 - SHOPPING INTERLAGOS - SPC22894</t>
  </si>
  <si>
    <t>LOJA 211/212/213</t>
  </si>
  <si>
    <t>SPC22894</t>
  </si>
  <si>
    <t>2421421015810</t>
  </si>
  <si>
    <t>C020</t>
  </si>
  <si>
    <t>TIM - RUA DOMINGOS DE MORAIS, 2564 - SHOPPING METRO SANTA CRUZ - SPC6688</t>
  </si>
  <si>
    <t>LOJA 36/T</t>
  </si>
  <si>
    <t>SPC6688</t>
  </si>
  <si>
    <t>02421421012390</t>
  </si>
  <si>
    <t>C250</t>
  </si>
  <si>
    <t>VIVO - AVENIDA JOAO NAVES DE AVILA, 1331 - CENTER SHOPPING UBERLANDIA - MGCO10527</t>
  </si>
  <si>
    <t>LOJA 214</t>
  </si>
  <si>
    <t>MGCO10527</t>
  </si>
  <si>
    <t>2558157078277</t>
  </si>
  <si>
    <t>LOJA UBERLANDIA CENTER SHOPPING MG</t>
  </si>
  <si>
    <t>CASAS BAHIA - RUA SAO LUIZ, 778 - ZONA COMERCIAL - SPI6629</t>
  </si>
  <si>
    <t>772</t>
  </si>
  <si>
    <t>CALÇADÃO LOJA 778 A 794</t>
  </si>
  <si>
    <t>17500001</t>
  </si>
  <si>
    <t>-22.216425 , -49.950577</t>
  </si>
  <si>
    <t>SPI6629</t>
  </si>
  <si>
    <t>33041260126850</t>
  </si>
  <si>
    <t>1040</t>
  </si>
  <si>
    <t>CASAS BAHIA - RUA CORONEL AGOSTINHO, 97 - ZONA COMERCIAL - RJES21072</t>
  </si>
  <si>
    <t>97</t>
  </si>
  <si>
    <t>RJES21072</t>
  </si>
  <si>
    <t>33041260083868</t>
  </si>
  <si>
    <t>CLARO - AVENIDA CHARLES SCHNNEIDER, 1700 - SHOPPING TAUBATE - SPI7690</t>
  </si>
  <si>
    <t>AVENIDA CHARLES SCHNEIDER</t>
  </si>
  <si>
    <t>1700</t>
  </si>
  <si>
    <t>LOJA 17E 18</t>
  </si>
  <si>
    <t>VILA COSTA</t>
  </si>
  <si>
    <t>12040900</t>
  </si>
  <si>
    <t>-23.024059 , -45.582153</t>
  </si>
  <si>
    <t>SPI7690</t>
  </si>
  <si>
    <t>40432544004720</t>
  </si>
  <si>
    <t>1915</t>
  </si>
  <si>
    <t>Shopping Taubaté</t>
  </si>
  <si>
    <t>LOJAS AMERICANAS - AVENIDA CHARLES SCHNEIDER, 1700 - SHOPPING TAUBATE - SPI20946</t>
  </si>
  <si>
    <t>LUC 21 E 22</t>
  </si>
  <si>
    <t>SPI20946</t>
  </si>
  <si>
    <t>776574069946</t>
  </si>
  <si>
    <t>L272</t>
  </si>
  <si>
    <t>MAGAZINE LUIZA - RUA BATISTA DE CARVALHO, 513 - ZONA COMERCIAL - SPI10362</t>
  </si>
  <si>
    <t>RUA BATISTA DE CARVALHO</t>
  </si>
  <si>
    <t>17010001</t>
  </si>
  <si>
    <t>-22.322021 , -49.070084</t>
  </si>
  <si>
    <t>SPI10362</t>
  </si>
  <si>
    <t>47960950021390</t>
  </si>
  <si>
    <t>MAGAZINE LUIZA - AVENIDA ASSIS BRASIL, 2488 - ZONA COMERCIAL - SUL7558</t>
  </si>
  <si>
    <t>AVENIDA ASSIS BRASIL</t>
  </si>
  <si>
    <t>2488</t>
  </si>
  <si>
    <t>91010002</t>
  </si>
  <si>
    <t>-30.010881 , -51.162113</t>
  </si>
  <si>
    <t>SUL7558</t>
  </si>
  <si>
    <t>47960950029022</t>
  </si>
  <si>
    <t>MAGAZINE LUIZA - RUA DIREITA, 231 - ZONA COMERCIAL - SPC20310</t>
  </si>
  <si>
    <t>RUA DIREITA</t>
  </si>
  <si>
    <t>1002001</t>
  </si>
  <si>
    <t>-23.548435 , -46.634933</t>
  </si>
  <si>
    <t>SPC20310</t>
  </si>
  <si>
    <t>47960950053594</t>
  </si>
  <si>
    <t>551</t>
  </si>
  <si>
    <t>TIM - RUA FONSECA, 240 - SHOPPING BANGU - RJES9082</t>
  </si>
  <si>
    <t>LOJA 141 D A 143</t>
  </si>
  <si>
    <t>RJES9082</t>
  </si>
  <si>
    <t>2421421027400</t>
  </si>
  <si>
    <t>C704</t>
  </si>
  <si>
    <t>TIM - AVENIDA BRIGADEIRO FARIA LIMA, 6363 - SHOPPING RIO PRETO - SPI7705</t>
  </si>
  <si>
    <t>SPI7705</t>
  </si>
  <si>
    <t>2421421012551</t>
  </si>
  <si>
    <t>C227</t>
  </si>
  <si>
    <t>VIVO - AVENIDA BRIGADEIRO FARIA LIMA, 6363 - SHOPPING RIO PRETO - SPI7322</t>
  </si>
  <si>
    <t>15090900</t>
  </si>
  <si>
    <t>SPI7322</t>
  </si>
  <si>
    <t>2558157010478</t>
  </si>
  <si>
    <t>LOJA RIO PRETO SHOPPING SP</t>
  </si>
  <si>
    <t>CASAS BAHIA - RUA GOVERNADOR PORTELA, 211 - ZONA COMERCIAL - RJES18914</t>
  </si>
  <si>
    <t>RUA GOVERNADOR PORTELA</t>
  </si>
  <si>
    <t>211</t>
  </si>
  <si>
    <t>AV.CARLOS ARAUJO,57</t>
  </si>
  <si>
    <t>Barra do Piraí</t>
  </si>
  <si>
    <t>27123000</t>
  </si>
  <si>
    <t>-22.468544 , -43.827148</t>
  </si>
  <si>
    <t>RJES18914</t>
  </si>
  <si>
    <t>33041260078945</t>
  </si>
  <si>
    <t>1253</t>
  </si>
  <si>
    <t>CASAS BAHIA - RUA DOUTOR ALVARO SOARES, 48 - SPI7692</t>
  </si>
  <si>
    <t>RUA DOUTOR ALVARO SOARES</t>
  </si>
  <si>
    <t>66,72,80,94,102,110,</t>
  </si>
  <si>
    <t>18010190</t>
  </si>
  <si>
    <t>-23.4984045, -47.4589227</t>
  </si>
  <si>
    <t>SPI7692</t>
  </si>
  <si>
    <t>33041260126184</t>
  </si>
  <si>
    <t>CASAS BAHIA - AVENIDA CHARLES SCHNNEIDER, 1700 - SHOPPING TAUBATE - SPI7884</t>
  </si>
  <si>
    <t>LUC 23,24 E 142</t>
  </si>
  <si>
    <t>SPI7884</t>
  </si>
  <si>
    <t>33041260123401</t>
  </si>
  <si>
    <t>1595</t>
  </si>
  <si>
    <t>CASAS BAHIA - RUA DOUTOR SILVIO BASTOS TAVARES, 316 - SHOPPING PARTAGE CAMPOS - RJES18699</t>
  </si>
  <si>
    <t>AVENIDA DOUTOR SILVIO BASTOS TAVARES</t>
  </si>
  <si>
    <t>330</t>
  </si>
  <si>
    <t>LOJA 103 EF</t>
  </si>
  <si>
    <t>PARQUE DOS RODOVIARIOS</t>
  </si>
  <si>
    <t>28051250</t>
  </si>
  <si>
    <t>-21.754898 , -41.349087</t>
  </si>
  <si>
    <t>RJES18699</t>
  </si>
  <si>
    <t>33041260079674</t>
  </si>
  <si>
    <t>1652</t>
  </si>
  <si>
    <t>Shopping Partage Campos</t>
  </si>
  <si>
    <t>CASAS BAHIA - PRACA AFONSO PENA, 123 - ZONA COMERCIAL - SPI10623</t>
  </si>
  <si>
    <t>123</t>
  </si>
  <si>
    <t>-23.185199 , -45.886209</t>
  </si>
  <si>
    <t>SPI10623</t>
  </si>
  <si>
    <t>33041260124564</t>
  </si>
  <si>
    <t>1074</t>
  </si>
  <si>
    <t>PONTO FRIO - RUA CORONEL AGOSTINHO, 121 - ZONA COMERCIAL - RJES7522</t>
  </si>
  <si>
    <t>101</t>
  </si>
  <si>
    <t>LOJAS A,B E C</t>
  </si>
  <si>
    <t>RJES7522</t>
  </si>
  <si>
    <t>33041260000679</t>
  </si>
  <si>
    <t>TIM - AVENIDA DOS AUTONOMISTAS, 1400 - SHOPPING UNIAO - SPC40039</t>
  </si>
  <si>
    <t>LOJA 243 PISO 2</t>
  </si>
  <si>
    <t>SPC40039</t>
  </si>
  <si>
    <t>2421421008872</t>
  </si>
  <si>
    <t>C307</t>
  </si>
  <si>
    <t>TIM - AVENIDA ASSIS BRASIL, 2611 - BOURBON SHOPPING WALLIG - SUL7010</t>
  </si>
  <si>
    <t>2611</t>
  </si>
  <si>
    <t>LOJA 118</t>
  </si>
  <si>
    <t>CRISTO REDENTOR</t>
  </si>
  <si>
    <t>91010006</t>
  </si>
  <si>
    <t>-30.012068 , -51.160728</t>
  </si>
  <si>
    <t>SUL7010</t>
  </si>
  <si>
    <t>2421421015224</t>
  </si>
  <si>
    <t>C208</t>
  </si>
  <si>
    <t>Bourbon Shopping Wallig</t>
  </si>
  <si>
    <t>CASAS BAHIA - AVENIDA ALBINO DE ALMEIDA, 195 - ZONA COMERCIAL - RJES18908</t>
  </si>
  <si>
    <t>AVENIDA ALBINO DE ALMEIDA</t>
  </si>
  <si>
    <t>195</t>
  </si>
  <si>
    <t>201 E 213A/B,TÉRREO</t>
  </si>
  <si>
    <t>CAMPOS ELISEOS</t>
  </si>
  <si>
    <t>Resende</t>
  </si>
  <si>
    <t>27542080</t>
  </si>
  <si>
    <t>-22.464279 , -44.447964</t>
  </si>
  <si>
    <t>RJES18908</t>
  </si>
  <si>
    <t>33041260090562</t>
  </si>
  <si>
    <t>LOJAS AMERICANAS - RUA CORONEL AGOSTINHO, 112 - RJES7520</t>
  </si>
  <si>
    <t>RJES7520</t>
  </si>
  <si>
    <t>776574031973</t>
  </si>
  <si>
    <t>L032</t>
  </si>
  <si>
    <t>LOJAS AMERICANAS - RUA GRANDE, 692 - NE10933</t>
  </si>
  <si>
    <t>RUA GRANDE</t>
  </si>
  <si>
    <t>São Luís</t>
  </si>
  <si>
    <t>MA</t>
  </si>
  <si>
    <t>65000000</t>
  </si>
  <si>
    <t>-2.530787 , -44.297623</t>
  </si>
  <si>
    <t>NE10933</t>
  </si>
  <si>
    <t>776574012324</t>
  </si>
  <si>
    <t>L061</t>
  </si>
  <si>
    <t>LOJAS CEM - RUA MAJOR TELLES, 122 - ZONA COMERCIAL - SPC20135</t>
  </si>
  <si>
    <t>RUA MAJOR TELLES</t>
  </si>
  <si>
    <t>6850001</t>
  </si>
  <si>
    <t>-23.7176262 , -46.8509073</t>
  </si>
  <si>
    <t>SPC20135</t>
  </si>
  <si>
    <t>56642960006140</t>
  </si>
  <si>
    <t>ITAPSE</t>
  </si>
  <si>
    <t>MAGAZINE LUIZA - RODOVIA PRESIDENTE DUTRA KM 230, S/N - SHOPPING INTERNACIONAL GUARULHOS - SPC6718</t>
  </si>
  <si>
    <t>ANTIGO 397/650</t>
  </si>
  <si>
    <t>SPC6718</t>
  </si>
  <si>
    <t>47960950052008</t>
  </si>
  <si>
    <t>517</t>
  </si>
  <si>
    <t>MAGAZINE LUIZA - RUA DOUTOR CURVELO CAVALCANTI, 145 - RJES241240</t>
  </si>
  <si>
    <t>RUA DOUTOR CURVELO CAVALCANTI</t>
  </si>
  <si>
    <t>Centro</t>
  </si>
  <si>
    <t>Itaguaí</t>
  </si>
  <si>
    <t>23810201</t>
  </si>
  <si>
    <t>-22.8716267, -43.7764502</t>
  </si>
  <si>
    <t>RJES241240</t>
  </si>
  <si>
    <t>47960950176084</t>
  </si>
  <si>
    <t>1635</t>
  </si>
  <si>
    <t>MAGAZINE LUIZA - AVENIDA BARAO DE MAUA, 112 - ZONA COMERCIAL - SPC9900</t>
  </si>
  <si>
    <t>FAUSTO NEVES MORELII</t>
  </si>
  <si>
    <t>-23.666479 , -46.460907</t>
  </si>
  <si>
    <t>SPC9900</t>
  </si>
  <si>
    <t>47960950050064</t>
  </si>
  <si>
    <t>MAGAZINE LUIZA - RUA PADRE LEMOS, 197 - ZONA COMERCIAL - NE19099</t>
  </si>
  <si>
    <t>RUA PADRE LEMOS</t>
  </si>
  <si>
    <t>CASAAMARELA</t>
  </si>
  <si>
    <t>52070200</t>
  </si>
  <si>
    <t>-8.0250146 , -34.9179472</t>
  </si>
  <si>
    <t>NE19099</t>
  </si>
  <si>
    <t>47960950079984</t>
  </si>
  <si>
    <t>VIVO - AVENIDA CRISTIANO MACHADO, 11833 - SHOPPING ESTACAO BH - MGCO90028</t>
  </si>
  <si>
    <t>Loja 1010</t>
  </si>
  <si>
    <t>MGCO90028</t>
  </si>
  <si>
    <t>2558157080506</t>
  </si>
  <si>
    <t>LOJA SHOPPING ESTACAO MG</t>
  </si>
  <si>
    <t>CASA &amp; VIDEO - AVENIDA GOVERNADOR AMARAL PEIXOTO, 652 - ZONA COMERCIAL - RJES6054</t>
  </si>
  <si>
    <t>652</t>
  </si>
  <si>
    <t>LOJA/SOBRADO</t>
  </si>
  <si>
    <t>-22.757627 , -43.453621</t>
  </si>
  <si>
    <t>RJES6054</t>
  </si>
  <si>
    <t>11114284000678</t>
  </si>
  <si>
    <t>NOVA IGUACU 3 - CENTRO</t>
  </si>
  <si>
    <t>CASAS BAHIA - RUA CURITIBA, 504 - ZONA COMERCIAL - MGCO7451</t>
  </si>
  <si>
    <t>-19.916924 , -43.940891</t>
  </si>
  <si>
    <t>MGCO7451</t>
  </si>
  <si>
    <t>33041260008904</t>
  </si>
  <si>
    <t>1498</t>
  </si>
  <si>
    <t>CASAS BAHIA - RUA GENERAL FRANCISCO GLICERIO, 377 - ZONA COMERCIAL - SPC10062</t>
  </si>
  <si>
    <t>377</t>
  </si>
  <si>
    <t>385</t>
  </si>
  <si>
    <t>8674001</t>
  </si>
  <si>
    <t>-23.537695 , -46.309345</t>
  </si>
  <si>
    <t>SPC10062</t>
  </si>
  <si>
    <t>33041260104709</t>
  </si>
  <si>
    <t>1008</t>
  </si>
  <si>
    <t>CLARO - RUA CORONEL XAVIER DE TOLEDO, 23 - SHOPPING LIGHT - SPC9827</t>
  </si>
  <si>
    <t>RUA CORONEL XAVIER DE TOLEDO</t>
  </si>
  <si>
    <t>1048100</t>
  </si>
  <si>
    <t>-23.5466296 , -46.6387818</t>
  </si>
  <si>
    <t>SPC9827</t>
  </si>
  <si>
    <t>21648907009266</t>
  </si>
  <si>
    <t>Shopping Light</t>
  </si>
  <si>
    <t>MAGAZINE LUIZA - RUA TEODORO SAMPAIO, 2382 - SPC229430</t>
  </si>
  <si>
    <t>RUA TEODORO SAMPAIO</t>
  </si>
  <si>
    <t>2382</t>
  </si>
  <si>
    <t>ALA A</t>
  </si>
  <si>
    <t>5405250</t>
  </si>
  <si>
    <t>-23.5654997 , -46.6912203</t>
  </si>
  <si>
    <t>SPC229430</t>
  </si>
  <si>
    <t>47960950134403</t>
  </si>
  <si>
    <t>533</t>
  </si>
  <si>
    <t>MAGAZINE LUIZA - RUA DEPUTADO CLARO CESAR , 97 - ZONA COMERCIAL - SPI87497</t>
  </si>
  <si>
    <t>RUA DEPUTADO CLARO CESAR</t>
  </si>
  <si>
    <t>12400220</t>
  </si>
  <si>
    <t>-22.923555 , -45.462116</t>
  </si>
  <si>
    <t>SPI87497</t>
  </si>
  <si>
    <t>47960950013290</t>
  </si>
  <si>
    <t>117</t>
  </si>
  <si>
    <t>MAGAZINE LUIZA - AVENIDA DOUTOR BELMINIO CORREIA, 1716 - ZONA COMERCIAL - NE45388</t>
  </si>
  <si>
    <t>AVENIDA DOUTOR BELMINIO CORREIA</t>
  </si>
  <si>
    <t>1716</t>
  </si>
  <si>
    <t>TIMBI</t>
  </si>
  <si>
    <t>Camaragibe</t>
  </si>
  <si>
    <t>54762303</t>
  </si>
  <si>
    <t>-8.0200472 , -34.9807605</t>
  </si>
  <si>
    <t>NE45388</t>
  </si>
  <si>
    <t>47960950096307</t>
  </si>
  <si>
    <t>890</t>
  </si>
  <si>
    <t>MAGAZINE LUIZA - RODOVIA RAPOSO TAVARES KM 14,5, S/N - SHOPPING RAPOSO - SPC6513</t>
  </si>
  <si>
    <t>RODOVIA RAPOSO TAVARES</t>
  </si>
  <si>
    <t>KM 14,5</t>
  </si>
  <si>
    <t>JARDIM BOA VISTA</t>
  </si>
  <si>
    <t>5577200</t>
  </si>
  <si>
    <t>-23.587475 , -46.750931</t>
  </si>
  <si>
    <t>SPC6513</t>
  </si>
  <si>
    <t>47960950058049</t>
  </si>
  <si>
    <t>577</t>
  </si>
  <si>
    <t>Shopping Raposo</t>
  </si>
  <si>
    <t>PONTO FRIO - AVENIDA HISTORIADOR RUBENS DE MENDONCA, 3300 - SHOPPING PANTANAL - MGCO10281</t>
  </si>
  <si>
    <t>LOJA 104,TERREO</t>
  </si>
  <si>
    <t>MGCO10281</t>
  </si>
  <si>
    <t>33041260052040</t>
  </si>
  <si>
    <t>481</t>
  </si>
  <si>
    <t>PONTO FRIO - RODOVIA PRESIDENTE DUTRA KM 230, S/N - SHOPPING INTERNACIONAL GUARULHOS - SPC7604</t>
  </si>
  <si>
    <t>KM 650,LJF21/22/23,T</t>
  </si>
  <si>
    <t>SPC7604</t>
  </si>
  <si>
    <t>33041260046822</t>
  </si>
  <si>
    <t>342</t>
  </si>
  <si>
    <t>PONTO FRIO - RUA DOUTOR CURVELO CAVALCANTE, 287 - ZONA COMERCIAL - RJES10204</t>
  </si>
  <si>
    <t>RUA DOUTOR CURVELO CAVALCANTE</t>
  </si>
  <si>
    <t>287</t>
  </si>
  <si>
    <t>23830040</t>
  </si>
  <si>
    <t>-22.870535 , -43.779461</t>
  </si>
  <si>
    <t>RJES10204</t>
  </si>
  <si>
    <t>33041260014700</t>
  </si>
  <si>
    <t>CARREFOUR - RODOVIA RSC 453, 2780 - SHOPPING VILLAGIO CAXIAS - SUL6271</t>
  </si>
  <si>
    <t>KM 12,5</t>
  </si>
  <si>
    <t>SUL6271</t>
  </si>
  <si>
    <t>45543915005140</t>
  </si>
  <si>
    <t>CXS</t>
  </si>
  <si>
    <t>CASAS BAHIA - PRACA DA REPUBLICA, 138 - ZONA COMERCIAL - SPI64710</t>
  </si>
  <si>
    <t>138</t>
  </si>
  <si>
    <t>164,TERREO/SUBSOLO</t>
  </si>
  <si>
    <t>15800105</t>
  </si>
  <si>
    <t>-21.1355412, -48.9733228</t>
  </si>
  <si>
    <t>SPI64710</t>
  </si>
  <si>
    <t>33041260127075</t>
  </si>
  <si>
    <t>1125</t>
  </si>
  <si>
    <t>CASAS BAHIA - RODOVIA RAPOSO TAVARES KM 14,5, S/N - SHOPPING RAPOSO - SPC7825</t>
  </si>
  <si>
    <t>SUC 126 E 127,PISO 1</t>
  </si>
  <si>
    <t>SPC7825</t>
  </si>
  <si>
    <t>33041260102919</t>
  </si>
  <si>
    <t>1594</t>
  </si>
  <si>
    <t>CLARO - AVENIDA JOSE PINHEIRO BORGES, S/N - SOPPING ITAQUERA - SPC79577</t>
  </si>
  <si>
    <t>LOJA 132</t>
  </si>
  <si>
    <t>SPC79577</t>
  </si>
  <si>
    <t>40432544023430</t>
  </si>
  <si>
    <t>1139</t>
  </si>
  <si>
    <t>LOJAS AMERICANAS - AVENIDA VICENTE DE CARVALHO, 909 - SHOPPING CARIOCA - RJES6988</t>
  </si>
  <si>
    <t>LOJA 201A</t>
  </si>
  <si>
    <t>21371120</t>
  </si>
  <si>
    <t>RJES6988</t>
  </si>
  <si>
    <t>776574091879</t>
  </si>
  <si>
    <t>L164</t>
  </si>
  <si>
    <t>LOJAS CEM - EDGARD FERRAZ, 527 - ZONA COMERCIAL - SPI8772</t>
  </si>
  <si>
    <t>RUA EDGARD FERRAZ</t>
  </si>
  <si>
    <t>Jaú</t>
  </si>
  <si>
    <t>17201440</t>
  </si>
  <si>
    <t>-22.2967 , -48.557671</t>
  </si>
  <si>
    <t>SPI8772</t>
  </si>
  <si>
    <t>56642960012388</t>
  </si>
  <si>
    <t>JAÚ</t>
  </si>
  <si>
    <t>MAGAZINE LUIZA - AVENIDA SENHOR DOS PASSOS, 1332 - ZONA COMERCIAL - NE83100</t>
  </si>
  <si>
    <t>AVENIDA SENHOR DOS PASSOS</t>
  </si>
  <si>
    <t>RIBEIRO</t>
  </si>
  <si>
    <t>44002200</t>
  </si>
  <si>
    <t>-12.250959 , -38.965187</t>
  </si>
  <si>
    <t>NE83100</t>
  </si>
  <si>
    <t>47960950073005</t>
  </si>
  <si>
    <t>885</t>
  </si>
  <si>
    <t>PONTO FRIO - RUA GOVERNADOR PORTELA, 55 - ZONA COMERCIAL - RJES19075</t>
  </si>
  <si>
    <t>Predio 19,Antigo 3</t>
  </si>
  <si>
    <t>-22.4698171 , -43.826158</t>
  </si>
  <si>
    <t>RJES19075</t>
  </si>
  <si>
    <t>33041260163543</t>
  </si>
  <si>
    <t>TIM - RODOVIA AUGUSTO MONTE NEGRO, 4300 - PARQUE SHOPPING BELEM - N7939</t>
  </si>
  <si>
    <t>RODOVIA AUGUSTO MONTENEGRO</t>
  </si>
  <si>
    <t>4300</t>
  </si>
  <si>
    <t>LOJA 1004</t>
  </si>
  <si>
    <t>PARQUE VERDE</t>
  </si>
  <si>
    <t>66635110</t>
  </si>
  <si>
    <t>-1.370786 , -48.447411</t>
  </si>
  <si>
    <t>N7939</t>
  </si>
  <si>
    <t>2421421021542</t>
  </si>
  <si>
    <t>C279</t>
  </si>
  <si>
    <t>Parque Shopping Belém</t>
  </si>
  <si>
    <t>CASAS BAHIA - RUA ANDRADE NEVES, 1823 - ZONA COMERCIAL - SUL46671</t>
  </si>
  <si>
    <t>1823</t>
  </si>
  <si>
    <t>-31.765837 , -52.34132</t>
  </si>
  <si>
    <t>SUL46671</t>
  </si>
  <si>
    <t>33041260043726</t>
  </si>
  <si>
    <t>1464</t>
  </si>
  <si>
    <t>CASAS BAHIA - AVENIDA PADRE JULIO MARIA, 206 - RJES254540</t>
  </si>
  <si>
    <t>AVENIDA PADRE JULIO MARIA</t>
  </si>
  <si>
    <t>206</t>
  </si>
  <si>
    <t>Angra dos Reis</t>
  </si>
  <si>
    <t>23900504</t>
  </si>
  <si>
    <t>-23.008357,-44.319183</t>
  </si>
  <si>
    <t>RJES254540</t>
  </si>
  <si>
    <t>33041260192055</t>
  </si>
  <si>
    <t>2320</t>
  </si>
  <si>
    <t>CASAS BAHIA - RUA VIGARIO FREIRE, 71 - ZONA COMERCIAL - NE11181</t>
  </si>
  <si>
    <t>Rua VigArio freire</t>
  </si>
  <si>
    <t>71</t>
  </si>
  <si>
    <t>Nossa senhora das dores</t>
  </si>
  <si>
    <t>Caruaru</t>
  </si>
  <si>
    <t>-8.2853468 , -35.9697082</t>
  </si>
  <si>
    <t>NE11181</t>
  </si>
  <si>
    <t>33041260173859</t>
  </si>
  <si>
    <t>2103</t>
  </si>
  <si>
    <t>CLARICELL - RUA CORONEL XAVIER DE TOLEDO, SHOPPING LIGTH - SPC231070</t>
  </si>
  <si>
    <t>REPUBLICA</t>
  </si>
  <si>
    <t>-23.5465766 , -46.6386315</t>
  </si>
  <si>
    <t>SPC231070</t>
  </si>
  <si>
    <t>21848907000266</t>
  </si>
  <si>
    <t>LOJAS AMERICANAS - RODOVIA AUGUSTO MONTE NEGRO, 4300 - PARQUE SHOPPING BELEM - N5892</t>
  </si>
  <si>
    <t>-1.370219898068231 , -48.44596987377714</t>
  </si>
  <si>
    <t>N5892</t>
  </si>
  <si>
    <t>776574112701</t>
  </si>
  <si>
    <t>L133</t>
  </si>
  <si>
    <t>MAGAZINE LUIZA - SAO LUIZ, 646 - ZONA COMERCIAL - SPI20958</t>
  </si>
  <si>
    <t>658</t>
  </si>
  <si>
    <t>-22.217838 , -49.950294</t>
  </si>
  <si>
    <t>SPI20958</t>
  </si>
  <si>
    <t>47960950020319</t>
  </si>
  <si>
    <t>MAGAZINE LUIZA - RUA TRES, 1296 - ZONA COMERCIAL - SPI20963</t>
  </si>
  <si>
    <t>RUA TRES</t>
  </si>
  <si>
    <t>1296</t>
  </si>
  <si>
    <t>13500160</t>
  </si>
  <si>
    <t>-22.408323 , -47.560379</t>
  </si>
  <si>
    <t>SPI20963</t>
  </si>
  <si>
    <t>MAGAZINE LUIZA - SAO LUIZ, 913 - ZONA COMERCIAL - SPI20959</t>
  </si>
  <si>
    <t>913</t>
  </si>
  <si>
    <t>-22.215431 , -49.951344</t>
  </si>
  <si>
    <t>SPI20959</t>
  </si>
  <si>
    <t>47960950006081</t>
  </si>
  <si>
    <t>TIM - ESTRADA DO CAMPO LIMPO, 459 - SHOPPING CAMPO LIMPO - SPC10969</t>
  </si>
  <si>
    <t>LOJA 304 E 305</t>
  </si>
  <si>
    <t>SPC10969</t>
  </si>
  <si>
    <t>02421421008791</t>
  </si>
  <si>
    <t>C287</t>
  </si>
  <si>
    <t>CARREFOUR - AVENIDA WASHINGTON LUIS, 1415 - SPC263780</t>
  </si>
  <si>
    <t>AVENIDA WASHINGTON LUIS</t>
  </si>
  <si>
    <t>4662002</t>
  </si>
  <si>
    <t>-23.6547133,-46.6952104</t>
  </si>
  <si>
    <t>SPC263780</t>
  </si>
  <si>
    <t>00063960003620</t>
  </si>
  <si>
    <t>BWL</t>
  </si>
  <si>
    <t>CASAS BAHIA - RUA GENERAL GLICERIO, 2751 - SPI7135</t>
  </si>
  <si>
    <t>2751</t>
  </si>
  <si>
    <t>2751 E 2763</t>
  </si>
  <si>
    <t>-20.80912 , -49.379753</t>
  </si>
  <si>
    <t>SPI7135</t>
  </si>
  <si>
    <t>33041260123240</t>
  </si>
  <si>
    <t>1075</t>
  </si>
  <si>
    <t>CASAS BAHIA - AVENIDA 24 DE OUTUBRO, 1686 - ZONA COMERCIAL - MGCO10310</t>
  </si>
  <si>
    <t>1686</t>
  </si>
  <si>
    <t>QUADRA 26,LOTE 2</t>
  </si>
  <si>
    <t>74543100</t>
  </si>
  <si>
    <t>-16.667664 , -49.295395</t>
  </si>
  <si>
    <t>MGCO10310</t>
  </si>
  <si>
    <t>33041260108950</t>
  </si>
  <si>
    <t>CASAS BAHIA - AVENIDA PIO XII, 829 - VILA AURORA OEST, 829 - ZONA COMERCIAL - MGCO78162</t>
  </si>
  <si>
    <t>AVENIDA PIO XII</t>
  </si>
  <si>
    <t>829</t>
  </si>
  <si>
    <t>Q100 L9</t>
  </si>
  <si>
    <t>AURORA OESTE</t>
  </si>
  <si>
    <t>74425098</t>
  </si>
  <si>
    <t>-16.680651 , -49.308156</t>
  </si>
  <si>
    <t>MGCO78162</t>
  </si>
  <si>
    <t>33041260157063</t>
  </si>
  <si>
    <t>CASAS BAHIA - RUA 6 DE JANEIRO, 119 - ZONA COMERCIAL - SUL21932</t>
  </si>
  <si>
    <t>RUA SEIS DE JANEIRO</t>
  </si>
  <si>
    <t>119</t>
  </si>
  <si>
    <t>-28.6792222 , -49.3681508</t>
  </si>
  <si>
    <t>SUL21932</t>
  </si>
  <si>
    <t>CASAS BAHIA - AVENIDA DOUTOR BELMINO CORREIA, 1809 - NE246930</t>
  </si>
  <si>
    <t>AVENIDA DOUTOR BELMINO CORREIA</t>
  </si>
  <si>
    <t>1809</t>
  </si>
  <si>
    <t>NOVO DO CARMELO</t>
  </si>
  <si>
    <t>CAMARAGIBE</t>
  </si>
  <si>
    <t>-8.020605,-34.9819919</t>
  </si>
  <si>
    <t>NE246930</t>
  </si>
  <si>
    <t>33041260168855</t>
  </si>
  <si>
    <t>LOJAS AMERICANAS - RUA GERMANO FRANCK, 300 - SHOPPING PARANGABA - NE21355</t>
  </si>
  <si>
    <t>NE21355</t>
  </si>
  <si>
    <t>776574103125</t>
  </si>
  <si>
    <t>1109</t>
  </si>
  <si>
    <t>LOJAS CEM - RUA SAO SEBASTIAO, 402 - ZONA COMERCIAL - SPI7697</t>
  </si>
  <si>
    <t>-21.175243 , -47.810917</t>
  </si>
  <si>
    <t>SPI7697</t>
  </si>
  <si>
    <t>56642960008860</t>
  </si>
  <si>
    <t>RIBPRE</t>
  </si>
  <si>
    <t>MAGAZINE LUIZA - RUA 7 DE SETEMBRO, 555 - SHOPPING SUZANO - SPC8789</t>
  </si>
  <si>
    <t>LOJA 118 E 119</t>
  </si>
  <si>
    <t>JARDIM IRAI</t>
  </si>
  <si>
    <t>8673020</t>
  </si>
  <si>
    <t>-23.542976 , -46.318581</t>
  </si>
  <si>
    <t>SPC8789</t>
  </si>
  <si>
    <t>47960950070502</t>
  </si>
  <si>
    <t>Shopping Suzano</t>
  </si>
  <si>
    <t>MAGAZINE LUIZA - ALVARES MACHADO, 777 - ZONA COMERCIAL - SPI7683</t>
  </si>
  <si>
    <t>13013071</t>
  </si>
  <si>
    <t>-22.909956 , -47.060738</t>
  </si>
  <si>
    <t>SPI7683</t>
  </si>
  <si>
    <t>47960950018683</t>
  </si>
  <si>
    <t>VIVO - AVENIDA DEPUTADO BENEDITO MATARAZZO, 9403 - SHOPPING CENTER VALE - SPI7315</t>
  </si>
  <si>
    <t>LOJA 307 E 308</t>
  </si>
  <si>
    <t>12216580</t>
  </si>
  <si>
    <t>SPI7315</t>
  </si>
  <si>
    <t>2558157011440</t>
  </si>
  <si>
    <t>LOJA CENTERVALE SHOPPING SP</t>
  </si>
  <si>
    <t>CASAS BAHIA - RAUL VEIGA, 289 - ZONA COMERCIAL - RJES6135</t>
  </si>
  <si>
    <t>ESTRADA RAUL VEIGA</t>
  </si>
  <si>
    <t>289</t>
  </si>
  <si>
    <t>RAUL VEIGA</t>
  </si>
  <si>
    <t>24710480</t>
  </si>
  <si>
    <t>-22.822573 , -42.998383</t>
  </si>
  <si>
    <t>RJES6135</t>
  </si>
  <si>
    <t>33041260088150</t>
  </si>
  <si>
    <t>1460</t>
  </si>
  <si>
    <t>COLOMBO - RUA ACAMPAMENTO, 412 - ZONA COMERCIAL - SUL10806</t>
  </si>
  <si>
    <t>97050002</t>
  </si>
  <si>
    <t>-29.6892491 , -53.8044619</t>
  </si>
  <si>
    <t>SUL10806</t>
  </si>
  <si>
    <t>89848543011292</t>
  </si>
  <si>
    <t>66</t>
  </si>
  <si>
    <t>COLOMBO</t>
  </si>
  <si>
    <t>LOJAS AMERICANAS - RODOVIA BR-316, KM 4, 450 SHOPPING METROPOLE ANANINDEUA - N87275</t>
  </si>
  <si>
    <t>4500</t>
  </si>
  <si>
    <t>LJ 201 A/B/C</t>
  </si>
  <si>
    <t>COQUEIRO</t>
  </si>
  <si>
    <t>Ananindeua</t>
  </si>
  <si>
    <t>67113970</t>
  </si>
  <si>
    <t>-1.3844545, -48.409748</t>
  </si>
  <si>
    <t>N87275</t>
  </si>
  <si>
    <t>776574153220</t>
  </si>
  <si>
    <t>1333</t>
  </si>
  <si>
    <t>Shopping Metrópole Ananindeua</t>
  </si>
  <si>
    <t>LOJAS AMERICANAS - AVENIDA LINEU MACHADO, 419 - NORTH SHOPPING JOQUEI - NE22887</t>
  </si>
  <si>
    <t>60520101</t>
  </si>
  <si>
    <t>NE22887</t>
  </si>
  <si>
    <t>776574102820</t>
  </si>
  <si>
    <t>MAGAZINE LUIZA - AVENIDA 24 DE OUTUBRO, 1807 - ZONA COMERCIAL - MGCO87612</t>
  </si>
  <si>
    <t>AVENIDA 24 DE OUTUBRO</t>
  </si>
  <si>
    <t>LOTE 05 QUADRA 36</t>
  </si>
  <si>
    <t>74505012</t>
  </si>
  <si>
    <t>-16.668235 , -49.293571</t>
  </si>
  <si>
    <t>MGCO87612</t>
  </si>
  <si>
    <t>47960950106620</t>
  </si>
  <si>
    <t>1030</t>
  </si>
  <si>
    <t>MAGAZINE LUIZA - AVENIDA DOUTOR LUCIO MALTA, 459 - ZONA COMERCIAL - SPI18950</t>
  </si>
  <si>
    <t>RUA DOUTOR LUCIO MALTA</t>
  </si>
  <si>
    <t>12327000</t>
  </si>
  <si>
    <t>-23.304022 , -45.969154</t>
  </si>
  <si>
    <t>SPI18950</t>
  </si>
  <si>
    <t>47960950013533</t>
  </si>
  <si>
    <t>MAGAZINE LUIZA - AVENIDA SENADOR TEOTONIO VILELA, 1217 - ZONA COMERCIAL - SPC6499</t>
  </si>
  <si>
    <t>1217</t>
  </si>
  <si>
    <t>4801010</t>
  </si>
  <si>
    <t>-23.712242 , -46.698616</t>
  </si>
  <si>
    <t>SPC6499</t>
  </si>
  <si>
    <t>47960950053918</t>
  </si>
  <si>
    <t>532</t>
  </si>
  <si>
    <t>MAGAZINE LUIZA - RUA SANTO ELIAS, 35 - NE243540</t>
  </si>
  <si>
    <t>RUA SANTO ELIAS</t>
  </si>
  <si>
    <t>CAJUEIRO SECO</t>
  </si>
  <si>
    <t>54330230</t>
  </si>
  <si>
    <t>-8.1643001,-34.9276913</t>
  </si>
  <si>
    <t>NE243540</t>
  </si>
  <si>
    <t>47960950098938</t>
  </si>
  <si>
    <t>PONTO FRIO - AVENIDA SATURNINO BRAGA, 369 - SHOPPING RESENDE - RJES18903</t>
  </si>
  <si>
    <t>AVENIDA SATURNINO BRAGA</t>
  </si>
  <si>
    <t>369</t>
  </si>
  <si>
    <t>LUC 101,104 A 110</t>
  </si>
  <si>
    <t>27511300</t>
  </si>
  <si>
    <t>-22.466242 , -44.451656</t>
  </si>
  <si>
    <t>RJES18903</t>
  </si>
  <si>
    <t>33041260076659</t>
  </si>
  <si>
    <t>931</t>
  </si>
  <si>
    <t>Shopping Resende</t>
  </si>
  <si>
    <t>TELE RIO - AVENIDA GOVERNADOR AMARAL PEIXOTO, 400 - RJES287330</t>
  </si>
  <si>
    <t>LOJA 06</t>
  </si>
  <si>
    <t>-22.7584923,-43.4538354</t>
  </si>
  <si>
    <t>RJES287330</t>
  </si>
  <si>
    <t>33086695001954</t>
  </si>
  <si>
    <t>VIVO - RUA TUPIS, 337 - SHOPPING CIDADE - MGCO8569</t>
  </si>
  <si>
    <t>RUA TUPIS</t>
  </si>
  <si>
    <t>337</t>
  </si>
  <si>
    <t>T-01/02</t>
  </si>
  <si>
    <t>30160043</t>
  </si>
  <si>
    <t>-19.92211 , -43.940086</t>
  </si>
  <si>
    <t>MGCO8569</t>
  </si>
  <si>
    <t>2558157046316</t>
  </si>
  <si>
    <t>LOJA SHOPPING CIDADE MG</t>
  </si>
  <si>
    <t>Shopping Cidade</t>
  </si>
  <si>
    <t>CARREFOUR - RUA ALBION, 111 - ZONA COMERCIAL - SUL6242</t>
  </si>
  <si>
    <t>RUA ALBION</t>
  </si>
  <si>
    <t>99</t>
  </si>
  <si>
    <t>PARTENON</t>
  </si>
  <si>
    <t>91530010</t>
  </si>
  <si>
    <t>-30.061808 , -51.166077</t>
  </si>
  <si>
    <t>SUL6242</t>
  </si>
  <si>
    <t>45543915000777</t>
  </si>
  <si>
    <t>POA</t>
  </si>
  <si>
    <t>CARREFOUR - RUA ORATORIO, 85 - ZONA COMERCIAL - SPC11483</t>
  </si>
  <si>
    <t>RUA DO ORATORIO</t>
  </si>
  <si>
    <t>PARQUE DAS NACOES</t>
  </si>
  <si>
    <t>9280550</t>
  </si>
  <si>
    <t>-23.646828 , -46.525497</t>
  </si>
  <si>
    <t>SPC11483</t>
  </si>
  <si>
    <t>45543915022150</t>
  </si>
  <si>
    <t>STO</t>
  </si>
  <si>
    <t>CASAS BAHIA - AVENIDA INDEPENDENCIA, 285 - SHOPPING APARECIDA - MGCO85413</t>
  </si>
  <si>
    <t>AVENIDA INDEPENDENCIA</t>
  </si>
  <si>
    <t>ML 02/03</t>
  </si>
  <si>
    <t>SETOR SERRA DOURADA</t>
  </si>
  <si>
    <t>74973340</t>
  </si>
  <si>
    <t>-16.8232495, -49.2508516</t>
  </si>
  <si>
    <t>MGCO85413</t>
  </si>
  <si>
    <t>33041260164353</t>
  </si>
  <si>
    <t>2026</t>
  </si>
  <si>
    <t>Shopping Aparecida</t>
  </si>
  <si>
    <t>CASAS BAHIA - RUA TEODORO SAMPAIO, 2522 - ZONA COMERCIAL - SPC6505</t>
  </si>
  <si>
    <t>2522</t>
  </si>
  <si>
    <t>5406200</t>
  </si>
  <si>
    <t>-23.566257 , -46.692001</t>
  </si>
  <si>
    <t>SPC6505</t>
  </si>
  <si>
    <t>33041260099861</t>
  </si>
  <si>
    <t>1013</t>
  </si>
  <si>
    <t>CLARO - AVENIDA GOVERNADOR AMARAL PEIXOTO, 370 - ZONA COMERCIAL - RJES6063</t>
  </si>
  <si>
    <t>AVENIDA AMARAL PEIXOTO</t>
  </si>
  <si>
    <t>370</t>
  </si>
  <si>
    <t>-22.758692 , -43.450925</t>
  </si>
  <si>
    <t>RJES6063</t>
  </si>
  <si>
    <t>40432544005378</t>
  </si>
  <si>
    <t>2128</t>
  </si>
  <si>
    <t>LOJAS AMERICANAS - RUA DO ACAMPAMENTO, 200 - SUL82949</t>
  </si>
  <si>
    <t>RUA DO ACAMPAMENTO</t>
  </si>
  <si>
    <t>97050000</t>
  </si>
  <si>
    <t>-29.6879081 , -53.8059458</t>
  </si>
  <si>
    <t>SUL82949</t>
  </si>
  <si>
    <t>776574021072</t>
  </si>
  <si>
    <t>LOJAS CEM - RUA 7 DE SETEMBRO, 131 - ZONA COMERCIAL - SPI18808</t>
  </si>
  <si>
    <t>13176102</t>
  </si>
  <si>
    <t>-22.821688 , -47.264366</t>
  </si>
  <si>
    <t>SPI18808</t>
  </si>
  <si>
    <t>56642960006736</t>
  </si>
  <si>
    <t>SUMARÉ</t>
  </si>
  <si>
    <t>MAGAZINE LUIZA - RUA 9 DE JULHO, 836 - ZONA COMERCIAL - SPI10741</t>
  </si>
  <si>
    <t>842</t>
  </si>
  <si>
    <t>-21.791275 , -48.17511</t>
  </si>
  <si>
    <t>SPI10741</t>
  </si>
  <si>
    <t>47960950003490</t>
  </si>
  <si>
    <t>MAGAZINE LUIZA - RUA MARANHAO, 381 - ZONA COMERCIAL - SPI64454</t>
  </si>
  <si>
    <t>RUA MARANHAO</t>
  </si>
  <si>
    <t>381</t>
  </si>
  <si>
    <t>15800020</t>
  </si>
  <si>
    <t>-21.133902 , -48.972549</t>
  </si>
  <si>
    <t>SPI64454</t>
  </si>
  <si>
    <t>47960950069326</t>
  </si>
  <si>
    <t>915</t>
  </si>
  <si>
    <t>MAGAZINE LUIZA - AVENIDA COUTO MAGALHAES, 2383 - MGCO267300</t>
  </si>
  <si>
    <t>2383</t>
  </si>
  <si>
    <t>CENTRO NORTE</t>
  </si>
  <si>
    <t>-15.6487611,-56.1413176</t>
  </si>
  <si>
    <t>MGCO267300</t>
  </si>
  <si>
    <t>47960950119790</t>
  </si>
  <si>
    <t>PONTO FRIO - RUA APIACAS, 435 - ZONA COMERCIAL - RJES10215</t>
  </si>
  <si>
    <t>435</t>
  </si>
  <si>
    <t>27730190</t>
  </si>
  <si>
    <t>-22.921146 , -43.371986</t>
  </si>
  <si>
    <t>RJES10215</t>
  </si>
  <si>
    <t>33041260018020</t>
  </si>
  <si>
    <t>CARREFOUR - AVENIDA REGENTE FEIJO, 1739 - SHOPPING ANALIA FRANCO - SPC8778</t>
  </si>
  <si>
    <t>AVENIDA REGENTE FEIJO</t>
  </si>
  <si>
    <t>3342000</t>
  </si>
  <si>
    <t>-23.56143 , -46.560398</t>
  </si>
  <si>
    <t>SPC8778</t>
  </si>
  <si>
    <t>45543915005060</t>
  </si>
  <si>
    <t>TTE</t>
  </si>
  <si>
    <t>Shopping Analia Franco</t>
  </si>
  <si>
    <t>CASAS BAHIA - AVENIDA MENINO MARCELO, 3800 - MACEIO PATIO SHOPPING - NE10392</t>
  </si>
  <si>
    <t>CIDADE UNIVERSITARIA</t>
  </si>
  <si>
    <t>57073470</t>
  </si>
  <si>
    <t>NE10392</t>
  </si>
  <si>
    <t>33041260144913</t>
  </si>
  <si>
    <t>1738</t>
  </si>
  <si>
    <t>CLARO - AVENIDA AFONSO PENA, 581 - ZONA COMERCIAL - MGCO5788</t>
  </si>
  <si>
    <t>581</t>
  </si>
  <si>
    <t>30130000</t>
  </si>
  <si>
    <t>-19.9184044 , -43.9387812</t>
  </si>
  <si>
    <t>MGCO5788</t>
  </si>
  <si>
    <t>40432544027770</t>
  </si>
  <si>
    <t>CLARO - PRACA LEONOR KAUPA, 100 - SHOPPING PLAZA SUL - SPC7250</t>
  </si>
  <si>
    <t>PRACA LEONOR KAUPA</t>
  </si>
  <si>
    <t>LOJA 159 A 162</t>
  </si>
  <si>
    <t>JD DA SAUDE</t>
  </si>
  <si>
    <t>4151100</t>
  </si>
  <si>
    <t>-23.619692 , -46.626797</t>
  </si>
  <si>
    <t>SPC7250</t>
  </si>
  <si>
    <t>40432544002603</t>
  </si>
  <si>
    <t>Shopping Plaza Sul</t>
  </si>
  <si>
    <t>CLARO - AVENIDA CRISTIANO MACHADO, 11833 - SHOPPING ESTACAO BH - MGCO6851</t>
  </si>
  <si>
    <t>LOJAS 1046 / 1047</t>
  </si>
  <si>
    <t>MGCO6851</t>
  </si>
  <si>
    <t>40432544042494</t>
  </si>
  <si>
    <t>3136</t>
  </si>
  <si>
    <t>LOJAS AMERICANAS - AVENIDA PASTOR MARTIN LUTHER KING JUNIOR, 126 - SHOPPING NOVA AMERICA - RJES6075</t>
  </si>
  <si>
    <t>CONJUNTO B</t>
  </si>
  <si>
    <t>RJES6075</t>
  </si>
  <si>
    <t>776574089467</t>
  </si>
  <si>
    <t>L175</t>
  </si>
  <si>
    <t>LOJAS AMERICANAS - RUA MARECHAL DEODORO, 1489 - SPC40068</t>
  </si>
  <si>
    <t>1489</t>
  </si>
  <si>
    <t>-23.711355 , -46.550533</t>
  </si>
  <si>
    <t>SPC40068</t>
  </si>
  <si>
    <t>776574037580</t>
  </si>
  <si>
    <t>L065</t>
  </si>
  <si>
    <t>LOJAS AMERICANAS - FELIPE SCHIMITD, 446 - SUL6316</t>
  </si>
  <si>
    <t>446</t>
  </si>
  <si>
    <t>88010001</t>
  </si>
  <si>
    <t>-27.595285 , -48.554001</t>
  </si>
  <si>
    <t>SUL6316</t>
  </si>
  <si>
    <t>776574054833</t>
  </si>
  <si>
    <t>L066</t>
  </si>
  <si>
    <t>MAGAZINE LUIZA - SENADOR POMPEU, 1012 - ZONA COMERCIAL - NE5616</t>
  </si>
  <si>
    <t>RUA SENADOR POMPEU</t>
  </si>
  <si>
    <t>1012</t>
  </si>
  <si>
    <t>-3.727503 , -38.529823</t>
  </si>
  <si>
    <t>NE5616</t>
  </si>
  <si>
    <t>47960950085364</t>
  </si>
  <si>
    <t>740</t>
  </si>
  <si>
    <t>MAGAZINE LUIZA - RUA ABEL SCUISSIATO, 449 - ZONA COMERCIAL - SUL10696</t>
  </si>
  <si>
    <t>RUA ABEL SOUISSIATO</t>
  </si>
  <si>
    <t>449</t>
  </si>
  <si>
    <t>JD DOS EUCALIPTOS VILA YARA</t>
  </si>
  <si>
    <t>Colombo</t>
  </si>
  <si>
    <t>83408280</t>
  </si>
  <si>
    <t>-25.3674431, -49.1848798</t>
  </si>
  <si>
    <t>SUL10696</t>
  </si>
  <si>
    <t>47960950048671</t>
  </si>
  <si>
    <t>471</t>
  </si>
  <si>
    <t>PONTO FRIO - AVENIDA ANTONIO FREDERICO OZANAM, 600 - MAXI SHOPPING JUNDIAI - SPI7937</t>
  </si>
  <si>
    <t>AVENIDA ANTONIO FREDERICO OZANAN</t>
  </si>
  <si>
    <t>6000</t>
  </si>
  <si>
    <t>SALÃO 1400 A,1ºPISO</t>
  </si>
  <si>
    <t>VILA RIO BRANCO</t>
  </si>
  <si>
    <t>13215900</t>
  </si>
  <si>
    <t>-23.169369 , -46.892036</t>
  </si>
  <si>
    <t>SPI7937</t>
  </si>
  <si>
    <t>33041260048361</t>
  </si>
  <si>
    <t>Maxi Shopping Jundiaí</t>
  </si>
  <si>
    <t>CASAS BAHIA - RUA CNM 02 BLOCO C, 7 - ZONA COMERCIAL - MGCO22875</t>
  </si>
  <si>
    <t>OUTROS CNM DOIS BLOCO C LOTE SETE, BLOCO D LOTES UM E DOIS</t>
  </si>
  <si>
    <t>LOJA 1, SETOR M</t>
  </si>
  <si>
    <t>72210503</t>
  </si>
  <si>
    <t>-15.81629 , -48.103008</t>
  </si>
  <si>
    <t>MGCO22875</t>
  </si>
  <si>
    <t>33041260111586</t>
  </si>
  <si>
    <t>CASAS BAHIA - QUADRA, 06, PARQUE SAO BERNARDO - MGCO11231</t>
  </si>
  <si>
    <t>QUADRA</t>
  </si>
  <si>
    <t>LOTE DETU</t>
  </si>
  <si>
    <t>PARQUE SAO BERNARDO</t>
  </si>
  <si>
    <t>72870106</t>
  </si>
  <si>
    <t>-16.0580798, -47.98336949999999</t>
  </si>
  <si>
    <t>MGCO11231</t>
  </si>
  <si>
    <t>33041260109689</t>
  </si>
  <si>
    <t>1313</t>
  </si>
  <si>
    <t>CASAS BAHIA - RUA ARQUIMEDES, 142 - ZONA COMERCIAL - SUL10695</t>
  </si>
  <si>
    <t>RUA ARQUIMEDES</t>
  </si>
  <si>
    <t>142</t>
  </si>
  <si>
    <t>LOTES 17 E 18 QD H</t>
  </si>
  <si>
    <t>MARACANA</t>
  </si>
  <si>
    <t>83408270</t>
  </si>
  <si>
    <t>-25.367538 , -49.186169</t>
  </si>
  <si>
    <t>SUL10695</t>
  </si>
  <si>
    <t>33041260110261</t>
  </si>
  <si>
    <t>CASAS BAHIA - RUA 7 DE SETEMBRO, 555 - SHOPPING SUZANO - SPC8787</t>
  </si>
  <si>
    <t>ARCOS 109 A 112</t>
  </si>
  <si>
    <t>SPC8787</t>
  </si>
  <si>
    <t>33041260104610</t>
  </si>
  <si>
    <t>1391</t>
  </si>
  <si>
    <t>CASAS BAHIA - AVENIDA ROTARY, 624 - SAO BERNARDO PLAZA SHOPPING - SPC7895</t>
  </si>
  <si>
    <t>AVENIDA ROTARY</t>
  </si>
  <si>
    <t>624</t>
  </si>
  <si>
    <t>LUC 1079 PISO L1</t>
  </si>
  <si>
    <t>9721000</t>
  </si>
  <si>
    <t>-23.723188 , -46.543064</t>
  </si>
  <si>
    <t>SPC7895</t>
  </si>
  <si>
    <t>33041260121115</t>
  </si>
  <si>
    <t>1689</t>
  </si>
  <si>
    <t>São Bernardo Plaza Shopping</t>
  </si>
  <si>
    <t>CASAS BAHIA - AVENIDA INDEPENDENCIA, S/N - MGCO233350</t>
  </si>
  <si>
    <t>74968085</t>
  </si>
  <si>
    <t>-16.8238239, -49.280764</t>
  </si>
  <si>
    <t>MGCO233350</t>
  </si>
  <si>
    <t>33041260184540</t>
  </si>
  <si>
    <t>2223</t>
  </si>
  <si>
    <t>CASAS BAHIA - ESTRADA DE JACAREPAGUA, 6069 - SHOPPING PARK JACAREPAGUA - MULTIPLAN - RJES255090</t>
  </si>
  <si>
    <t>ESTRADA DE JACAREPAGUA</t>
  </si>
  <si>
    <t>6069</t>
  </si>
  <si>
    <t>ANIL</t>
  </si>
  <si>
    <t>22753045</t>
  </si>
  <si>
    <t>-22.9562444,-43.3392096</t>
  </si>
  <si>
    <t>RJES255090</t>
  </si>
  <si>
    <t>33041260207699</t>
  </si>
  <si>
    <t>2459</t>
  </si>
  <si>
    <t>Shopping Park Jacarepagua - Multiplan</t>
  </si>
  <si>
    <t>CLARICELL - AVENIDA DAS NACOES UNIDAS, 22540 - SHOPPING SP MARKET - SPC7050</t>
  </si>
  <si>
    <t>LOJA 13 / 15</t>
  </si>
  <si>
    <t>SPC7050</t>
  </si>
  <si>
    <t>21848907000185</t>
  </si>
  <si>
    <t>CLARO - AVENIDA FRANCISCO GLICERIO, 965 - SPI18520</t>
  </si>
  <si>
    <t>965</t>
  </si>
  <si>
    <t>-22.906691 , -47.058865</t>
  </si>
  <si>
    <t>SPI18520</t>
  </si>
  <si>
    <t>40432544034203</t>
  </si>
  <si>
    <t>1940</t>
  </si>
  <si>
    <t>LOJAS AMERICANAS - RUA DOS ANDRADAS, 903 - SUL6251</t>
  </si>
  <si>
    <t>1297/1305</t>
  </si>
  <si>
    <t>90020009</t>
  </si>
  <si>
    <t>-30.02986 , -51.228622</t>
  </si>
  <si>
    <t>SUL6251</t>
  </si>
  <si>
    <t>776574010976</t>
  </si>
  <si>
    <t>L042</t>
  </si>
  <si>
    <t>LOJAS CEM - AVENIDA JOAO MANOEL, 220 - ZONA COMERCIAL - SPC10034</t>
  </si>
  <si>
    <t>AVENIDA JOAO MANOEL</t>
  </si>
  <si>
    <t>220</t>
  </si>
  <si>
    <t>Arujá</t>
  </si>
  <si>
    <t>7400000</t>
  </si>
  <si>
    <t>-23.394918 , -46.325039</t>
  </si>
  <si>
    <t>SPC10034</t>
  </si>
  <si>
    <t>56642960011225</t>
  </si>
  <si>
    <t>ARUJÁ</t>
  </si>
  <si>
    <t>LOJAS CEM - RUA RAUL POMPEIA, 100 - ZONA COMERCIAL - RJES44630</t>
  </si>
  <si>
    <t>AVENIDA RAUL POMPEIA</t>
  </si>
  <si>
    <t>23900000</t>
  </si>
  <si>
    <t>-23.007366 , -44.31818</t>
  </si>
  <si>
    <t>RJES44630</t>
  </si>
  <si>
    <t>56642960012973</t>
  </si>
  <si>
    <t>ANGRAR</t>
  </si>
  <si>
    <t>MAGAZINE LUIZA - AVENIDA INDEPENDENCIA, 19 - MGCO234330</t>
  </si>
  <si>
    <t>CIDADE LIVRE</t>
  </si>
  <si>
    <t>74968350</t>
  </si>
  <si>
    <t>-16.8241811 , -49.2825784</t>
  </si>
  <si>
    <t>MGCO234330</t>
  </si>
  <si>
    <t>47960950106973</t>
  </si>
  <si>
    <t>1027</t>
  </si>
  <si>
    <t>CASAS BAHIA - RUA TRES, 1410 - ZONA COMERCIAL - SPI20890</t>
  </si>
  <si>
    <t>1467</t>
  </si>
  <si>
    <t>FILIAL 267</t>
  </si>
  <si>
    <t>13500161</t>
  </si>
  <si>
    <t>-22.406586 , -47.561005</t>
  </si>
  <si>
    <t>SPI20890</t>
  </si>
  <si>
    <t>33041260122863</t>
  </si>
  <si>
    <t>1055</t>
  </si>
  <si>
    <t>CASAS BAHIA - AVENIDA CESARIO DE ABREU, 77 - ZONA COMERCIAL - SPC9213</t>
  </si>
  <si>
    <t>AVENIDA CEZARIO DE ABREU</t>
  </si>
  <si>
    <t>77</t>
  </si>
  <si>
    <t>Itapevi</t>
  </si>
  <si>
    <t>6653020</t>
  </si>
  <si>
    <t>-23.545925 , -46.934067</t>
  </si>
  <si>
    <t>SPC9213</t>
  </si>
  <si>
    <t>33041260105420</t>
  </si>
  <si>
    <t>1268</t>
  </si>
  <si>
    <t>CLARO - AVENIDA CENTRAL, 739 - RJES11826</t>
  </si>
  <si>
    <t>739</t>
  </si>
  <si>
    <t>-20.1996707 , -40.2528792</t>
  </si>
  <si>
    <t>RJES11826</t>
  </si>
  <si>
    <t>40432544028238</t>
  </si>
  <si>
    <t>2711</t>
  </si>
  <si>
    <t>LOJAS AMERICANAS - SCS QUADRA 07 BLOCO A, S/N - PATIO BRASIL SHOPPING - MGCO11687</t>
  </si>
  <si>
    <t>SCS QUADRA 07 BLOCO A</t>
  </si>
  <si>
    <t>SETOR COMERCIAL SUL</t>
  </si>
  <si>
    <t>70307902</t>
  </si>
  <si>
    <t>-15.7946504 , -47.8933064</t>
  </si>
  <si>
    <t>MGCO11687</t>
  </si>
  <si>
    <t>776574157306</t>
  </si>
  <si>
    <t>L240</t>
  </si>
  <si>
    <t>Pátio Brasil Shopping</t>
  </si>
  <si>
    <t>LOJAS CEM - RUA DOUTOR CURVELO CAVALCANTI, 500 - ZONA COMERCIAL - RJES21879</t>
  </si>
  <si>
    <t>VILA MARGARIDA</t>
  </si>
  <si>
    <t>23815292</t>
  </si>
  <si>
    <t>-22.87048 , -43.779636</t>
  </si>
  <si>
    <t>RJES21879</t>
  </si>
  <si>
    <t>56642960010504</t>
  </si>
  <si>
    <t>ITAGAI</t>
  </si>
  <si>
    <t>LOJAS CEM - RUA NILO PECANHA, 60 - ZONA COMERCIAL - RJES19069</t>
  </si>
  <si>
    <t>RUA NILO PECANHA</t>
  </si>
  <si>
    <t>CAMPOS ELISIOS</t>
  </si>
  <si>
    <t>27542210</t>
  </si>
  <si>
    <t>-22.462765, -44.448396</t>
  </si>
  <si>
    <t>RJES19069</t>
  </si>
  <si>
    <t>56642960009409</t>
  </si>
  <si>
    <t>RESEND</t>
  </si>
  <si>
    <t>MAGAZINE LUIZA - AVENIDA SAO CARLOS, 1428 - ZONA COMERCIAL - SPI10713</t>
  </si>
  <si>
    <t>AVENIDA SAO CARLOS</t>
  </si>
  <si>
    <t>1428</t>
  </si>
  <si>
    <t>13560011</t>
  </si>
  <si>
    <t>-22.019644 , -47.890751</t>
  </si>
  <si>
    <t>SPI10713</t>
  </si>
  <si>
    <t>47960950000202</t>
  </si>
  <si>
    <t>10</t>
  </si>
  <si>
    <t>MAGAZINE LUIZA - RUA LUCIANO ESTEVES, 245 - ZONA COMERCIAL - SPI20957</t>
  </si>
  <si>
    <t>PRACA DOUTOR LUCIANO ESTEVES</t>
  </si>
  <si>
    <t>245</t>
  </si>
  <si>
    <t>Limeira</t>
  </si>
  <si>
    <t>13480048</t>
  </si>
  <si>
    <t>-22.564541 , -47.40041</t>
  </si>
  <si>
    <t>SPI20957</t>
  </si>
  <si>
    <t>47960950004542</t>
  </si>
  <si>
    <t>PONTO FRIO - SAO LUIZ, 669 - ZONA COMERCIAL - SPI6630</t>
  </si>
  <si>
    <t>FILIAL 238</t>
  </si>
  <si>
    <t>-22.217539 , -49.950462</t>
  </si>
  <si>
    <t>SPI6630</t>
  </si>
  <si>
    <t>33041260031809</t>
  </si>
  <si>
    <t>238</t>
  </si>
  <si>
    <t>PONTO FRIO - ESTRADA DO PORTELA, 222 - SHOPPING MADUREIRA - RJES7528</t>
  </si>
  <si>
    <t>LOJAS 117 E 118</t>
  </si>
  <si>
    <t>RJES7528</t>
  </si>
  <si>
    <t>33041260011018</t>
  </si>
  <si>
    <t>RIACHUELO - AVENIDA SAO LUIS REI DE FRANCA, 8 - SHOPPING RIO ANIL - NE42514</t>
  </si>
  <si>
    <t>1293</t>
  </si>
  <si>
    <t>44002205</t>
  </si>
  <si>
    <t>-2.5340958, -44.2245293</t>
  </si>
  <si>
    <t>NE42514</t>
  </si>
  <si>
    <t>33200056006180</t>
  </si>
  <si>
    <t>L082</t>
  </si>
  <si>
    <t>Shopping Rio Anil</t>
  </si>
  <si>
    <t>CARREFOUR - TANCREDO NEVES, 900 - ZONA COMERCIAL - SPI6626</t>
  </si>
  <si>
    <t>900</t>
  </si>
  <si>
    <t>CRISTO REI</t>
  </si>
  <si>
    <t>15076630</t>
  </si>
  <si>
    <t>-20.834822 , -49.357334</t>
  </si>
  <si>
    <t>SPI6626</t>
  </si>
  <si>
    <t>45543915004500</t>
  </si>
  <si>
    <t>SJP</t>
  </si>
  <si>
    <t>CARREFOUR - RUA LUCIANO DAS NEVES, 2418 - SHOPPING VILA VELHA - RJES45019</t>
  </si>
  <si>
    <t>RJES45019</t>
  </si>
  <si>
    <t>45543915056055</t>
  </si>
  <si>
    <t>VVS</t>
  </si>
  <si>
    <t>CASAS BAHIA - AVENIDA BELMIRA MARIM, 891 - ZONA COMERCIAL - SPC10025</t>
  </si>
  <si>
    <t>891</t>
  </si>
  <si>
    <t>895 E 899</t>
  </si>
  <si>
    <t>PARQUE AMERICA</t>
  </si>
  <si>
    <t>4846010</t>
  </si>
  <si>
    <t>-23.738279 , -46.692036</t>
  </si>
  <si>
    <t>SPC10025</t>
  </si>
  <si>
    <t>33041260102323</t>
  </si>
  <si>
    <t>1430</t>
  </si>
  <si>
    <t>CASAS BAHIA - AVENIDA 24 DE OUTUBRO, 1504 - ZONA COMERCIAL - MGCO10314</t>
  </si>
  <si>
    <t>1504</t>
  </si>
  <si>
    <t>74505011</t>
  </si>
  <si>
    <t>-16.6703019, -49.28776879999999</t>
  </si>
  <si>
    <t>MGCO10314</t>
  </si>
  <si>
    <t>33041260005638</t>
  </si>
  <si>
    <t>1932</t>
  </si>
  <si>
    <t>CASAS BAHIA - AVENIDA BRASIL, 1690 - ZONA COMERCIAL - SPC11224</t>
  </si>
  <si>
    <t>1690</t>
  </si>
  <si>
    <t>ROMANOPOLIS</t>
  </si>
  <si>
    <t>Ferraz de Vasconcelos</t>
  </si>
  <si>
    <t>8500020</t>
  </si>
  <si>
    <t>-23.542847 , -46.369831</t>
  </si>
  <si>
    <t>SPC11224</t>
  </si>
  <si>
    <t>33041260104458</t>
  </si>
  <si>
    <t>1261</t>
  </si>
  <si>
    <t>PONTO CERTO - RUA FONSECA, 240 - SHOPPING BANGU - RJES6093</t>
  </si>
  <si>
    <t>BANG</t>
  </si>
  <si>
    <t>-22.8786888, -43.4665869</t>
  </si>
  <si>
    <t>RJES6093</t>
  </si>
  <si>
    <t>5142929002465</t>
  </si>
  <si>
    <t>LEBES - AVENIDA BORGES DE MEDEIROS, 262 - ZONA COMERCIAL - SUL79552</t>
  </si>
  <si>
    <t>AVENIDA BORGES DE MEDEIROS</t>
  </si>
  <si>
    <t>CENTRO HISTÓRICO</t>
  </si>
  <si>
    <t>90020020</t>
  </si>
  <si>
    <t>-30.028743 , -51.227805</t>
  </si>
  <si>
    <t>SUL79552</t>
  </si>
  <si>
    <t>96662168018855</t>
  </si>
  <si>
    <t>160</t>
  </si>
  <si>
    <t>LEBES</t>
  </si>
  <si>
    <t>LOJAS AMERICANAS - RUA DIREITA, 151 - SPC19562</t>
  </si>
  <si>
    <t>67</t>
  </si>
  <si>
    <t>-23.5484617 , -46.6354497</t>
  </si>
  <si>
    <t>SPC19562</t>
  </si>
  <si>
    <t>776574038471</t>
  </si>
  <si>
    <t>L001</t>
  </si>
  <si>
    <t>LOJAS AMERICANAS - RUA FELIPE CARDOSO, 540 - SHOPPING SANTA CRUZ - RJES19054</t>
  </si>
  <si>
    <t>LOJA 9/10,122 A 123</t>
  </si>
  <si>
    <t>23510001</t>
  </si>
  <si>
    <t>-22.920984 , -43.681877</t>
  </si>
  <si>
    <t>RJES19054</t>
  </si>
  <si>
    <t>776574122006</t>
  </si>
  <si>
    <t>L570</t>
  </si>
  <si>
    <t>Shopping Santa Cruz</t>
  </si>
  <si>
    <t>LOJAS AMERICANAS - QNM 12 VIA NM 12 B, 24 - MGCO80307</t>
  </si>
  <si>
    <t>QUADRA QNM 12 VIA NM 12B LOTE</t>
  </si>
  <si>
    <t>24</t>
  </si>
  <si>
    <t>72210120</t>
  </si>
  <si>
    <t>-15.813756 , -48.106288</t>
  </si>
  <si>
    <t>MGCO80307</t>
  </si>
  <si>
    <t>776574015935</t>
  </si>
  <si>
    <t>L391</t>
  </si>
  <si>
    <t>LOJAS CEM - RUA 9 DE JULHO, 443 - ZONA COMERCIAL - SPI7776</t>
  </si>
  <si>
    <t>443</t>
  </si>
  <si>
    <t>-21.790611 , -48.175331</t>
  </si>
  <si>
    <t>SPI7776</t>
  </si>
  <si>
    <t>56642960002153</t>
  </si>
  <si>
    <t>ARARAQ</t>
  </si>
  <si>
    <t>MAGAZINE LUIZA - AVENIDA PEDRO ADAMS FILHO, 5224 - ZONA COMERCIAL - SUL10072</t>
  </si>
  <si>
    <t>AVENIDA PEDRO ADAMS FILHO</t>
  </si>
  <si>
    <t>5224</t>
  </si>
  <si>
    <t>93310550</t>
  </si>
  <si>
    <t>-29.6866967, -51.1297814</t>
  </si>
  <si>
    <t>SUL10072</t>
  </si>
  <si>
    <t>47960950031787</t>
  </si>
  <si>
    <t>415</t>
  </si>
  <si>
    <t>MAGAZINE LUIZA - RUA VEREADOR MARINHO HEMETERIO OLIVEIRA, 123 - RJES243480</t>
  </si>
  <si>
    <t>RUA VEREADOR MARINHO HEMETERIO OLIVEIRA</t>
  </si>
  <si>
    <t>QUEIMADOS</t>
  </si>
  <si>
    <t>-22.717669, -43.555471</t>
  </si>
  <si>
    <t>RJES243480</t>
  </si>
  <si>
    <t>47960950168731</t>
  </si>
  <si>
    <t>1605</t>
  </si>
  <si>
    <t>CARREFOUR - AVENIDA GOVERNADOR AGAMENON MAGALHAES, 153 - SHOPPING TACARUNA - NE9260</t>
  </si>
  <si>
    <t>NE9260</t>
  </si>
  <si>
    <t>45543915100488</t>
  </si>
  <si>
    <t>BTC</t>
  </si>
  <si>
    <t>CASAS BAHIA - AVENIDA ANTONIO FREDERICO OZANAM, 6000 - MAXI SHOPPING JUNDIAI - SPI6583</t>
  </si>
  <si>
    <t>SUC 1001,PISO 1</t>
  </si>
  <si>
    <t>SPI6583</t>
  </si>
  <si>
    <t>33041260094983</t>
  </si>
  <si>
    <t>1370</t>
  </si>
  <si>
    <t>HS - SAO SEBASTIAO, 467 - ZONA COMERCIAL - SPI7404</t>
  </si>
  <si>
    <t>467</t>
  </si>
  <si>
    <t>-21.175514 , -47.81052</t>
  </si>
  <si>
    <t>SPI7404</t>
  </si>
  <si>
    <t>5923253002102</t>
  </si>
  <si>
    <t>CLARO - RUA DOUTOR BOZANO, 1204 - ZONA COMERCIAL - SUL11161</t>
  </si>
  <si>
    <t>RUA DOUTOR BOZANO</t>
  </si>
  <si>
    <t>97015004</t>
  </si>
  <si>
    <t>-29.6868171 , -53.80926609999999</t>
  </si>
  <si>
    <t>SUL11161</t>
  </si>
  <si>
    <t>40432544032855</t>
  </si>
  <si>
    <t>5126</t>
  </si>
  <si>
    <t>LOJAS AMERICANAS - ESTRADA DE JACAREPAGUA, 6069 - SHOPPING PARK JACAREPAGUA - MULTIPLAN - RJES252570</t>
  </si>
  <si>
    <t>LUC 222-A</t>
  </si>
  <si>
    <t>RJES252570</t>
  </si>
  <si>
    <t>776574185695</t>
  </si>
  <si>
    <t>1451</t>
  </si>
  <si>
    <t>LOJAS AMERICANAS - AVENIDA 15 DE NOVEMBRO, 317 - SPI20941</t>
  </si>
  <si>
    <t>AVENIDA QUINZE DE NOVEMBRO</t>
  </si>
  <si>
    <t>317</t>
  </si>
  <si>
    <t>-23.183727 , -45.886868</t>
  </si>
  <si>
    <t>SPI20941</t>
  </si>
  <si>
    <t>776574049082</t>
  </si>
  <si>
    <t>L302</t>
  </si>
  <si>
    <t>MAGAZINE LUIZA - SALDANHA MARINHO, 475 - ZONA COMERCIAL - SPI7130</t>
  </si>
  <si>
    <t>RUA SALDANHA MARINHO</t>
  </si>
  <si>
    <t>475</t>
  </si>
  <si>
    <t>487</t>
  </si>
  <si>
    <t>14401234</t>
  </si>
  <si>
    <t>-21.174007 , -47.811497</t>
  </si>
  <si>
    <t>SPI7130</t>
  </si>
  <si>
    <t>47960950004208</t>
  </si>
  <si>
    <t>3</t>
  </si>
  <si>
    <t>VIVO - JOSE PINHEIROS BORGES, 200 - SHOPPING METRO ITAQUERA - SPC40413</t>
  </si>
  <si>
    <t>LOJA 171A/172 PARTE</t>
  </si>
  <si>
    <t>8220900</t>
  </si>
  <si>
    <t>SPC40413</t>
  </si>
  <si>
    <t>2558157005555</t>
  </si>
  <si>
    <t>LOJA SHOPPING ITAQUERA SP</t>
  </si>
  <si>
    <t>CASAS BAHIA - RUA HALFELD, 639 - ZONA COMERCIAL - MGCO10502</t>
  </si>
  <si>
    <t>RUA HALFELD</t>
  </si>
  <si>
    <t>647,TERREO,LOJA 12</t>
  </si>
  <si>
    <t>36010002</t>
  </si>
  <si>
    <t>-21.760872 , -43.34761</t>
  </si>
  <si>
    <t>MGCO10502</t>
  </si>
  <si>
    <t>33041260133555</t>
  </si>
  <si>
    <t>1420</t>
  </si>
  <si>
    <t>LOJAS AMERICANAS - ESTRADA RODRIGUES CALDAS, 127 - TAQUARA PLAZA SHOPPING - RJES271950</t>
  </si>
  <si>
    <t>ESTRADA RODRIGUES CALDAS</t>
  </si>
  <si>
    <t>LUC 107/108</t>
  </si>
  <si>
    <t>22713372</t>
  </si>
  <si>
    <t>-22.9245893,-43.3767874</t>
  </si>
  <si>
    <t>RJES271950</t>
  </si>
  <si>
    <t>776574209705</t>
  </si>
  <si>
    <t>1578</t>
  </si>
  <si>
    <t>Taquara Plaza Shopping</t>
  </si>
  <si>
    <t>LOJAS CEM - RUA ALFERES FRANCO, 338 - ZONA COMERCIAL - SPI20944</t>
  </si>
  <si>
    <t>RUA ALFERES FRANCO</t>
  </si>
  <si>
    <t>338</t>
  </si>
  <si>
    <t>13480050</t>
  </si>
  <si>
    <t>-22.562389 , -47.40337</t>
  </si>
  <si>
    <t>SPI20944</t>
  </si>
  <si>
    <t>56642960001343</t>
  </si>
  <si>
    <t>LIMEIR</t>
  </si>
  <si>
    <t>MAGAZINE LUIZA - AVENIDA DANIEL DE LA TOUCHE, 987 - SHOPPING DA ILHA - NE88878</t>
  </si>
  <si>
    <t>AVENIDA DANIEL DE LA TOUCHE</t>
  </si>
  <si>
    <t>VILA MARANHAO</t>
  </si>
  <si>
    <t>65074115</t>
  </si>
  <si>
    <t>-2.5274577 , -44.2550059</t>
  </si>
  <si>
    <t>NE88878</t>
  </si>
  <si>
    <t>47960950111543</t>
  </si>
  <si>
    <t>1235</t>
  </si>
  <si>
    <t>Shopping Da Ilha</t>
  </si>
  <si>
    <t>MAGAZINE LUIZA - AVENIDA PEDRO ADAMS FILHO, 5367 - ZONA COMERCIAL - SUL10076</t>
  </si>
  <si>
    <t>5367</t>
  </si>
  <si>
    <t>-29.685354 , -51.129784</t>
  </si>
  <si>
    <t>SUL10076</t>
  </si>
  <si>
    <t>47960950028646</t>
  </si>
  <si>
    <t>MAGAZINE LUIZA - RUA GOIAS, 629 - ZONA COMERCIAL - MGCO10476</t>
  </si>
  <si>
    <t>629</t>
  </si>
  <si>
    <t>35500001</t>
  </si>
  <si>
    <t>-20.145806 , -44.8917917</t>
  </si>
  <si>
    <t>MGCO10476</t>
  </si>
  <si>
    <t>47960950013029</t>
  </si>
  <si>
    <t>115</t>
  </si>
  <si>
    <t>MAGAZINE LUIZA - RUA LAMEIRA BITTENCOURT, 252 - N280680</t>
  </si>
  <si>
    <t>RUA LAMEIRA BITTENCOURT</t>
  </si>
  <si>
    <t>Santarém</t>
  </si>
  <si>
    <t>68005010</t>
  </si>
  <si>
    <t>-2.4169499, -54.7134399</t>
  </si>
  <si>
    <t>N280680</t>
  </si>
  <si>
    <t>47960950128004</t>
  </si>
  <si>
    <t>1292</t>
  </si>
  <si>
    <t>PONTO FRIO - RUA ACAMPAMENTO, 115 - ZONA COMERCIAL - SUL10804</t>
  </si>
  <si>
    <t>-29.6873757 , -53.8065528</t>
  </si>
  <si>
    <t>SUL10804</t>
  </si>
  <si>
    <t>33041260021838</t>
  </si>
  <si>
    <t>CARREFOUR - RUA RIBEIRO LACERDA, 940 - ZONA COMERCIAL - SPC18379</t>
  </si>
  <si>
    <t>RUA RIBEIRO LACERDA</t>
  </si>
  <si>
    <t>940</t>
  </si>
  <si>
    <t>4150000</t>
  </si>
  <si>
    <t>-23.6180414, -46.6273327</t>
  </si>
  <si>
    <t>SPC18379</t>
  </si>
  <si>
    <t>45543915002710</t>
  </si>
  <si>
    <t>SPS</t>
  </si>
  <si>
    <t>CARREFOUR - PEDRO VIRIATO PARIGOT DE SOUZA, 100 - ZONA COMERCIAL - SUL5996</t>
  </si>
  <si>
    <t>RUA DEPUTADO HEITOR ALENCAR FURTADO</t>
  </si>
  <si>
    <t>80740060</t>
  </si>
  <si>
    <t>-25.4378155 , -49.31884909999999</t>
  </si>
  <si>
    <t>SUL5996</t>
  </si>
  <si>
    <t>45543915002044</t>
  </si>
  <si>
    <t>CWC</t>
  </si>
  <si>
    <t>CASAS BAHIA - QNM 12 VIA CNM 2 LOTE1/9, S/N - ZONA COMERCIAL - MGCO5687</t>
  </si>
  <si>
    <t>OUTROS QNM DOZE VIA CNM DOIS</t>
  </si>
  <si>
    <t>LOTES 1,3,5,7 E 9</t>
  </si>
  <si>
    <t>-15.815264 , -48.104626</t>
  </si>
  <si>
    <t>MGCO5687</t>
  </si>
  <si>
    <t>33041260111667</t>
  </si>
  <si>
    <t>1298</t>
  </si>
  <si>
    <t>CASAS BAHIA - RUA JACY TEIXEIRA DE CAMARGO, 940 - SHOPPING CAMPINAS - SPI6645</t>
  </si>
  <si>
    <t>AVENIDA JACY TEIXEIRA DE CAMARGO</t>
  </si>
  <si>
    <t>LUC 431</t>
  </si>
  <si>
    <t>JARDIM DO LAGO</t>
  </si>
  <si>
    <t>13050913</t>
  </si>
  <si>
    <t>-22.932907 , -47.077713</t>
  </si>
  <si>
    <t>SPI6645</t>
  </si>
  <si>
    <t>33041260089556</t>
  </si>
  <si>
    <t>1318</t>
  </si>
  <si>
    <t>Shopping Campinas</t>
  </si>
  <si>
    <t>CASAS BAHIA - RUA CEL GOMES MACHADO, S/N - SHOPPING NITEROI - RJES6730</t>
  </si>
  <si>
    <t>RUA CORONEL GOMES MACHADO</t>
  </si>
  <si>
    <t>30</t>
  </si>
  <si>
    <t>24020068</t>
  </si>
  <si>
    <t>-22.892904 , -43.123043</t>
  </si>
  <si>
    <t>RJES6730</t>
  </si>
  <si>
    <t>33041260081300</t>
  </si>
  <si>
    <t>1169</t>
  </si>
  <si>
    <t>Shopping Niteroi</t>
  </si>
  <si>
    <t>CASAS BAHIA - RUA DOUTOR NILO PESSANHA, 43 - ZONA COMERCIAL - RJES7820</t>
  </si>
  <si>
    <t>RUA DOUTOR NILO PECANHA</t>
  </si>
  <si>
    <t>47</t>
  </si>
  <si>
    <t>24445300</t>
  </si>
  <si>
    <t>-22.823051 , -43.044579</t>
  </si>
  <si>
    <t>RJES7820</t>
  </si>
  <si>
    <t>33041260087936</t>
  </si>
  <si>
    <t>1178</t>
  </si>
  <si>
    <t>CLARO RP - AVENIDA DEPUTADO BENEDITO MATARAZZO, 9403 - SHOPPING CENTER VALE - SPI230950</t>
  </si>
  <si>
    <t>-23.1997471 , -45.8815718</t>
  </si>
  <si>
    <t>SPI230950</t>
  </si>
  <si>
    <t>05949641002405</t>
  </si>
  <si>
    <t>CLARO - AVENIDA MINISTRO GERALDO BARRETO SOBRAL, 215 - SHOPPING JARDINS - NE10406</t>
  </si>
  <si>
    <t>AVENIDA MINISTRO GERALDO BARRETO SOBRAL</t>
  </si>
  <si>
    <t>LOJAS 55 E 57</t>
  </si>
  <si>
    <t>JARDINS</t>
  </si>
  <si>
    <t>-10.942913 , -37.059347</t>
  </si>
  <si>
    <t>NE10406</t>
  </si>
  <si>
    <t>40432544019590</t>
  </si>
  <si>
    <t>7905</t>
  </si>
  <si>
    <t>MAGAZINE LUIZA - AVENIDA BRASIL, 3409 - ZONA COMERCIAL - SUL6016</t>
  </si>
  <si>
    <t>3409</t>
  </si>
  <si>
    <t>Maringá</t>
  </si>
  <si>
    <t>87013000</t>
  </si>
  <si>
    <t>-23.421026 , -51.935307</t>
  </si>
  <si>
    <t>SUL6016</t>
  </si>
  <si>
    <t>47960950009420</t>
  </si>
  <si>
    <t>MAGAZINE LUIZA - RUA DA PENHA, 400 - SPI7688</t>
  </si>
  <si>
    <t>RUA DA PENHA</t>
  </si>
  <si>
    <t>18010000</t>
  </si>
  <si>
    <t>-23.499298 , -47.458618</t>
  </si>
  <si>
    <t>SPI7688</t>
  </si>
  <si>
    <t>47960950010780</t>
  </si>
  <si>
    <t>103</t>
  </si>
  <si>
    <t>IMAGEM TELECOM - RUA FREI GASPAR, 365 - SHOPPING BRISAMAR - SPI290740</t>
  </si>
  <si>
    <t>LOJAS 233</t>
  </si>
  <si>
    <t>-23.9684021 , -46.3843668</t>
  </si>
  <si>
    <t>SPI290740</t>
  </si>
  <si>
    <t>11057917002605</t>
  </si>
  <si>
    <t>IMAGEM - SHOPPING BRISAMAR - SAP (44637)</t>
  </si>
  <si>
    <t>CASAS BAHIA - AVENIDA ASSIS BRASIL, 1924 - ZONA COMERCIAL - SUL7559</t>
  </si>
  <si>
    <t>2288</t>
  </si>
  <si>
    <t>2294</t>
  </si>
  <si>
    <t>-30.011341 , -51.164925</t>
  </si>
  <si>
    <t>SUL7559</t>
  </si>
  <si>
    <t>33041260034220</t>
  </si>
  <si>
    <t>1506</t>
  </si>
  <si>
    <t>CASAS BAHIA - AVENIDA 9 DE ABRIL, 1995 - ZONA COMERCIAL - SPC9021</t>
  </si>
  <si>
    <t>1995</t>
  </si>
  <si>
    <t>1997,1999 E 2003</t>
  </si>
  <si>
    <t>-23.883224 , -46.421009</t>
  </si>
  <si>
    <t>SPC9021</t>
  </si>
  <si>
    <t>33041260093235</t>
  </si>
  <si>
    <t>1077</t>
  </si>
  <si>
    <t>CASAS BAHIA - COSTA AGUIAR, 348 - ZONA COMERCIAL - SPI7678</t>
  </si>
  <si>
    <t>RUA DOUTOR COSTA AGUIAR</t>
  </si>
  <si>
    <t>348</t>
  </si>
  <si>
    <t>356 E 372</t>
  </si>
  <si>
    <t>13010061</t>
  </si>
  <si>
    <t>-22.907318 , -47.062778</t>
  </si>
  <si>
    <t>SPI7678</t>
  </si>
  <si>
    <t>33041260089475</t>
  </si>
  <si>
    <t>1244</t>
  </si>
  <si>
    <t>CASAS BAHIA - RUA BENEDITO PIMENTEL, QUADRA 72, S/N - MGCO236270</t>
  </si>
  <si>
    <t>RUA BENEDITO PIMENTEL, QUADRA 72</t>
  </si>
  <si>
    <t>LOTE 01 QUADRA72, PARTE 01 (RUA DO COMERCIO)</t>
  </si>
  <si>
    <t>72800550</t>
  </si>
  <si>
    <t>-16.253787730625465, -47.95420904004623</t>
  </si>
  <si>
    <t>MGCO236270</t>
  </si>
  <si>
    <t>33041260136732</t>
  </si>
  <si>
    <t>CASAS BAHIA - RUA SANTOS DUMONT, 23 - ZONA COMERCIAL - RJES18717</t>
  </si>
  <si>
    <t>RUA BOULEVARD FRANCISCO DE PAULA CARNEIRO</t>
  </si>
  <si>
    <t>28010230</t>
  </si>
  <si>
    <t>-21.757668 , -41.323105</t>
  </si>
  <si>
    <t>RJES18717</t>
  </si>
  <si>
    <t>33041260079402</t>
  </si>
  <si>
    <t>1283</t>
  </si>
  <si>
    <t>LOJAS CEM - PRACA BARAO DO RIO BRANCO, 41 - ZONA COMERCIAL - SUL18635</t>
  </si>
  <si>
    <t>41</t>
  </si>
  <si>
    <t>84010710</t>
  </si>
  <si>
    <t>-25.0941949 , -50.1594042</t>
  </si>
  <si>
    <t>SUL18635</t>
  </si>
  <si>
    <t>56642960010334</t>
  </si>
  <si>
    <t>PGROSA</t>
  </si>
  <si>
    <t>MAGAZINE LUIZA - PRACA DOM EPAMINONDAS, 107 - ZONA COMERCIAL - SPI10616</t>
  </si>
  <si>
    <t>PRACA DOM EPAMINONDAS</t>
  </si>
  <si>
    <t>12010020</t>
  </si>
  <si>
    <t>-23.02639 , -45.555328</t>
  </si>
  <si>
    <t>SPI10616</t>
  </si>
  <si>
    <t>47960950052946</t>
  </si>
  <si>
    <t>560</t>
  </si>
  <si>
    <t>PONTO FRIO - RUA GOIAS, 320 - ZONA COMERCIAL - MGCO10468</t>
  </si>
  <si>
    <t>-20.1462856 , -44.88877919999999</t>
  </si>
  <si>
    <t>MGCO10468</t>
  </si>
  <si>
    <t>33041260037165</t>
  </si>
  <si>
    <t>TIM - AVENIDA GENERAL DAVID SARNOFF, 5160 - SHOPPING ITAU POWER - MGCO6858</t>
  </si>
  <si>
    <t>MGCO6858</t>
  </si>
  <si>
    <t>02421421010770</t>
  </si>
  <si>
    <t>C240</t>
  </si>
  <si>
    <t>CASAS BAHIA - RODOVIA BR 470, 3000 - BLUMENAU NORTE SHOPPING - SUL9192</t>
  </si>
  <si>
    <t>MEGA LOJA 1</t>
  </si>
  <si>
    <t>SUL9192</t>
  </si>
  <si>
    <t>33041260129361</t>
  </si>
  <si>
    <t>1653</t>
  </si>
  <si>
    <t>FLEX CELL - RUA FREI GASPAR, 365 - SHOPPING BRISAMAR - SPC85410</t>
  </si>
  <si>
    <t>LOJA 217</t>
  </si>
  <si>
    <t>SPC85410</t>
  </si>
  <si>
    <t>3243382003350</t>
  </si>
  <si>
    <t>FW TELEFONIA - RODOVIA REGIS BITTENCOURT KM 271, 2643 (LOJA 1) - SHOPPING TABOAO DA SERRA - SPC10964</t>
  </si>
  <si>
    <t>SPC10964</t>
  </si>
  <si>
    <t>51046680000115</t>
  </si>
  <si>
    <t>HS - GENERAL GLICERIO, 2993 - ZONA COMERCIAL - SPI7143</t>
  </si>
  <si>
    <t>2993</t>
  </si>
  <si>
    <t>15060000</t>
  </si>
  <si>
    <t>-20.8105829, -49.3815243</t>
  </si>
  <si>
    <t>SPI7143</t>
  </si>
  <si>
    <t>05923253001041</t>
  </si>
  <si>
    <t>CLARO - AVENIDA HISTORIADOR RUBENS DE MENDONCA, 3330 - SHOPPING PANTANAL - MGCO10283</t>
  </si>
  <si>
    <t>LOJA 2124/25</t>
  </si>
  <si>
    <t>-15.575631 , -56.071976</t>
  </si>
  <si>
    <t>MGCO10283</t>
  </si>
  <si>
    <t>40432544045167</t>
  </si>
  <si>
    <t>6504</t>
  </si>
  <si>
    <t>ELETROMOVEIS MARTINELLO - AVENIDA COUTO MAGALHAES, 2371 - MGCO287360</t>
  </si>
  <si>
    <t>2371</t>
  </si>
  <si>
    <t>-15.6486358,-56.1437033</t>
  </si>
  <si>
    <t>MGCO287360</t>
  </si>
  <si>
    <t>32951535009352</t>
  </si>
  <si>
    <t>F92</t>
  </si>
  <si>
    <t>LEBES - RUA GENERAL OSORIO, 659 - SUL267090</t>
  </si>
  <si>
    <t>659</t>
  </si>
  <si>
    <t>96020000</t>
  </si>
  <si>
    <t>-31.7679282,-52.3464094</t>
  </si>
  <si>
    <t>SUL267090</t>
  </si>
  <si>
    <t>96662168018774</t>
  </si>
  <si>
    <t>LOJAS AMERICANAS - VISCONDE DO RIO BRANCO, 247 - SPI20947</t>
  </si>
  <si>
    <t>RUA VISCONDE DO RIO BRANCO</t>
  </si>
  <si>
    <t>247</t>
  </si>
  <si>
    <t>12020040</t>
  </si>
  <si>
    <t>-23.025 , -45.555168</t>
  </si>
  <si>
    <t>SPI20947</t>
  </si>
  <si>
    <t>776574038129</t>
  </si>
  <si>
    <t>L516</t>
  </si>
  <si>
    <t>LOJAS CEM - TRAVESSA CARMINE MARTUSCELLO, 30 - ZONA COMERCIAL - RJES19761</t>
  </si>
  <si>
    <t>TRAVESSA CARMINE MARTUSCELLO</t>
  </si>
  <si>
    <t>27123040</t>
  </si>
  <si>
    <t>-22.468356 , -43.82662</t>
  </si>
  <si>
    <t>RJES19761</t>
  </si>
  <si>
    <t>56642960009166</t>
  </si>
  <si>
    <t>BPIRAÍ</t>
  </si>
  <si>
    <t>MAGAZINE LUIZA - RUA MARCONDES SALGADO, 11 - SHOPPING BOULEVARD BAURU - SPI10359</t>
  </si>
  <si>
    <t>RUA GENERAL MARCONDES SALGADO</t>
  </si>
  <si>
    <t>14550</t>
  </si>
  <si>
    <t>LOJA EUC 102 E 103</t>
  </si>
  <si>
    <t>17013231</t>
  </si>
  <si>
    <t>-22.31568 , -49.066456</t>
  </si>
  <si>
    <t>SPI10359</t>
  </si>
  <si>
    <t>47960950071576</t>
  </si>
  <si>
    <t>598</t>
  </si>
  <si>
    <t>Shopping Boulevard Bauru</t>
  </si>
  <si>
    <t>PONTO FRIO - RUA JOSE OTONI, 13 - ZONA COMERCIAL - SPC11295</t>
  </si>
  <si>
    <t>RUA JOSE OTONI</t>
  </si>
  <si>
    <t>13</t>
  </si>
  <si>
    <t>LOJA A - FILIAL 718</t>
  </si>
  <si>
    <t>8010290</t>
  </si>
  <si>
    <t>-23.493451 , -46.440487</t>
  </si>
  <si>
    <t>SPC11295</t>
  </si>
  <si>
    <t>33041260069954</t>
  </si>
  <si>
    <t>718</t>
  </si>
  <si>
    <t>PONTO FRIO - RUA MARECHAL DEODORO, 968 - ZONA COMERCIAL - SPC10013</t>
  </si>
  <si>
    <t>968</t>
  </si>
  <si>
    <t>-23.706818 , -46.551228</t>
  </si>
  <si>
    <t>SPC10013</t>
  </si>
  <si>
    <t>33041260031396</t>
  </si>
  <si>
    <t>CELULAR STATION - AVENIDA GOVERNADOR AMARAL PEIXOTO, 427 - ZONA COMERCIAL - RJES9077</t>
  </si>
  <si>
    <t>427</t>
  </si>
  <si>
    <t>26010060</t>
  </si>
  <si>
    <t>-22.7588462 , -43.4517322</t>
  </si>
  <si>
    <t>RJES9077</t>
  </si>
  <si>
    <t>02714643002508</t>
  </si>
  <si>
    <t>CASAS BAHIA - RUA 15 DE NOVEMBRO, 1510 - ZONA COMERCIAL - SUL9897</t>
  </si>
  <si>
    <t>LOJA 1119</t>
  </si>
  <si>
    <t>São José dos Pinhais</t>
  </si>
  <si>
    <t>83005000</t>
  </si>
  <si>
    <t>-25.536888 , -49.203434</t>
  </si>
  <si>
    <t>SUL9897</t>
  </si>
  <si>
    <t>33041260078198</t>
  </si>
  <si>
    <t>CASAS BAHIA - RUA SENADOR VERGUEIRO, 310 - ZONA COMERCIAL - SPI18955</t>
  </si>
  <si>
    <t>RUA SENADOR VERGUEIRO</t>
  </si>
  <si>
    <t>310</t>
  </si>
  <si>
    <t>314, 318 E 322</t>
  </si>
  <si>
    <t>13480005</t>
  </si>
  <si>
    <t>-22.562557 , -47.401165</t>
  </si>
  <si>
    <t>SPI18955</t>
  </si>
  <si>
    <t>33041260094045</t>
  </si>
  <si>
    <t>1054</t>
  </si>
  <si>
    <t>CASAS BAHIA - RUA DOUTOR CINCINATO POMPONET, 161 - ZONA COMERCIAL - SPC9219</t>
  </si>
  <si>
    <t>RUA DOUTOR CINCINATO POMPONET</t>
  </si>
  <si>
    <t>161</t>
  </si>
  <si>
    <t>187</t>
  </si>
  <si>
    <t>5072020</t>
  </si>
  <si>
    <t>-23.519419 , -46.702896</t>
  </si>
  <si>
    <t>SPC9219</t>
  </si>
  <si>
    <t>33041260106310</t>
  </si>
  <si>
    <t>CASAS BAHIA - AVENIDA CONSUL CARLOS RENAUX, 164 - ZONA COMERCIAL - SUL90601</t>
  </si>
  <si>
    <t>164</t>
  </si>
  <si>
    <t>-27.095819 , -48.914776</t>
  </si>
  <si>
    <t>SUL90601</t>
  </si>
  <si>
    <t>33041260129280</t>
  </si>
  <si>
    <t>1424</t>
  </si>
  <si>
    <t>CLARO - AVENIDA RIO NEGRO, 1100 - SHOPPING FRANCA - SPI10730</t>
  </si>
  <si>
    <t>SPI10730</t>
  </si>
  <si>
    <t>40432544011009</t>
  </si>
  <si>
    <t>1913</t>
  </si>
  <si>
    <t>CLARO - AVENIDA AMERICO BUAIZ, 200 - SHOPPING VITORIA - RJES7343</t>
  </si>
  <si>
    <t>ENSEADA DO SUÁ</t>
  </si>
  <si>
    <t>RJES7343</t>
  </si>
  <si>
    <t>40432544023198</t>
  </si>
  <si>
    <t>2703</t>
  </si>
  <si>
    <t>LEBES - RUA ACAMPAMENTO, 48 - ZONA COMERCIAL - SUL64579</t>
  </si>
  <si>
    <t>RUA ACAMPAMENTO, 48</t>
  </si>
  <si>
    <t>97050001</t>
  </si>
  <si>
    <t>-29.6867595 , -53.8069048</t>
  </si>
  <si>
    <t>SUL64579</t>
  </si>
  <si>
    <t>96662168018693</t>
  </si>
  <si>
    <t>144</t>
  </si>
  <si>
    <t>MAGAZINE LUIZA - AVENIDA ANHANGUERA, 4495 - MGCO274870</t>
  </si>
  <si>
    <t>4495</t>
  </si>
  <si>
    <t>QUADRA 61 LOTE 130</t>
  </si>
  <si>
    <t>SETOR LESTE UNIVERSITÁRIO</t>
  </si>
  <si>
    <t>74610010</t>
  </si>
  <si>
    <t>-16.673571,-49.2535388</t>
  </si>
  <si>
    <t>MGCO274870</t>
  </si>
  <si>
    <t>47960950106540</t>
  </si>
  <si>
    <t>1029</t>
  </si>
  <si>
    <t>MAGAZINE LUIZA - RUA GOVERNADOR PORTELA, 248 - RJES249960</t>
  </si>
  <si>
    <t>248</t>
  </si>
  <si>
    <t>Barra Do Piraí</t>
  </si>
  <si>
    <t>-22.4682667,-43.8293915</t>
  </si>
  <si>
    <t>RJES249960</t>
  </si>
  <si>
    <t>47960950180782</t>
  </si>
  <si>
    <t>1646</t>
  </si>
  <si>
    <t>PONTO FRIO - RUA FELIPE CARDOSO, 171 - ZONA COMERCIAL - RJES21153</t>
  </si>
  <si>
    <t>171</t>
  </si>
  <si>
    <t>171 A E B</t>
  </si>
  <si>
    <t>-22.917797 , -43.683155</t>
  </si>
  <si>
    <t>RJES21153</t>
  </si>
  <si>
    <t>33041260007339</t>
  </si>
  <si>
    <t>CELMAX - AVENIDA INDEPENDENCIA, 91 - SHOPPING APARECIDA - MGCO85125</t>
  </si>
  <si>
    <t>91</t>
  </si>
  <si>
    <t>SERRA DOURADA 3</t>
  </si>
  <si>
    <t>-16.8232248, -49.2514464</t>
  </si>
  <si>
    <t>MGCO85125</t>
  </si>
  <si>
    <t>20881831000399</t>
  </si>
  <si>
    <t>TIM - AVENIDA PRESIDENTE KENNEDY, 1500 - NOVO SHOPPING - SPI7124</t>
  </si>
  <si>
    <t>ARCO 237/239</t>
  </si>
  <si>
    <t>RIBEIRÂNIA</t>
  </si>
  <si>
    <t>14096350</t>
  </si>
  <si>
    <t>-21.206628 , -47.765891</t>
  </si>
  <si>
    <t>SPI7124</t>
  </si>
  <si>
    <t>2421421008953</t>
  </si>
  <si>
    <t>C226</t>
  </si>
  <si>
    <t>CASA &amp; VIDEO - AVENIDA CENTRAL, 893 - RJES266540</t>
  </si>
  <si>
    <t>893</t>
  </si>
  <si>
    <t>PARQUE RESIDENCIAL LARANJEIRAS</t>
  </si>
  <si>
    <t>-20.1995366,-40.2591493</t>
  </si>
  <si>
    <t>RJES266540</t>
  </si>
  <si>
    <t>11114284025581</t>
  </si>
  <si>
    <t>SERRA - ES</t>
  </si>
  <si>
    <t>CASAS BAHIA - AVENIDA THIAGO FERREIRA, 560 - ZONA COMERCIAL - SPC8645</t>
  </si>
  <si>
    <t>AVENIDA THIAGO FERREIRA</t>
  </si>
  <si>
    <t>572</t>
  </si>
  <si>
    <t>VILA ALICE</t>
  </si>
  <si>
    <t>Guarujá</t>
  </si>
  <si>
    <t>11450000</t>
  </si>
  <si>
    <t>-23.9420167 , -46.305738</t>
  </si>
  <si>
    <t>SPC8645</t>
  </si>
  <si>
    <t>33041260091968</t>
  </si>
  <si>
    <t>1101</t>
  </si>
  <si>
    <t>CASAS BAHIA - RUA MARCONDES SALGADO, 11 - SHOPPING BOULEVARD BAURU - SPI8775</t>
  </si>
  <si>
    <t>SPI8775</t>
  </si>
  <si>
    <t>33041260127580</t>
  </si>
  <si>
    <t>1708</t>
  </si>
  <si>
    <t>LOJAS AMERICANAS - AVENIDA SAO LUIS REI DA FRANCA, 8 - SHOPPING ANIL - NE10685</t>
  </si>
  <si>
    <t>AVENIDA SAO LUIS REI DE FRANCA</t>
  </si>
  <si>
    <t>LOJA 1033</t>
  </si>
  <si>
    <t>TURU</t>
  </si>
  <si>
    <t>65065470</t>
  </si>
  <si>
    <t>-2.533821 , -44.22493</t>
  </si>
  <si>
    <t>NE10685</t>
  </si>
  <si>
    <t>776574148811</t>
  </si>
  <si>
    <t>L398</t>
  </si>
  <si>
    <t>LOJAS AMERICANAS - AVENIDA SENADOR LEMOS, 3153 - SHOPPING IT CENTER - N5894</t>
  </si>
  <si>
    <t>AVENIDA SENADOR LEMOS</t>
  </si>
  <si>
    <t>3143</t>
  </si>
  <si>
    <t>LOJA 269</t>
  </si>
  <si>
    <t>SACRAMENTA</t>
  </si>
  <si>
    <t>66120000</t>
  </si>
  <si>
    <t>-1.417513 , -48.479095</t>
  </si>
  <si>
    <t>N5894</t>
  </si>
  <si>
    <t>776574112892</t>
  </si>
  <si>
    <t>L282</t>
  </si>
  <si>
    <t>Shopping It Center</t>
  </si>
  <si>
    <t>LOJAS CEM - AVENIDA ANDROMEDA, 1265 - ZONA COMERCIAL - SPI19035</t>
  </si>
  <si>
    <t>1265</t>
  </si>
  <si>
    <t>-23.224091 , -45.886803</t>
  </si>
  <si>
    <t>SPI19035</t>
  </si>
  <si>
    <t>56642960007970</t>
  </si>
  <si>
    <t>SJCSAT</t>
  </si>
  <si>
    <t>LOJAS CEM - AVENIDA PIRACICABA, 731 - SPI268380</t>
  </si>
  <si>
    <t>AVENIDA PIRACICABA</t>
  </si>
  <si>
    <t>731</t>
  </si>
  <si>
    <t>VILA SÃO JOÃO</t>
  </si>
  <si>
    <t>13480743</t>
  </si>
  <si>
    <t>-22.5616694, -47.4141784</t>
  </si>
  <si>
    <t>SPI268380</t>
  </si>
  <si>
    <t>56642960029191</t>
  </si>
  <si>
    <t>LIMJOA</t>
  </si>
  <si>
    <t>MAGAZINE LUIZA - 15 DE NOVEMBRO, 122 - ZONA COMERCIAL - SPI20965</t>
  </si>
  <si>
    <t>-23.181811680100253 , -45.88736010551753</t>
  </si>
  <si>
    <t>SPI20965</t>
  </si>
  <si>
    <t>47960950066572</t>
  </si>
  <si>
    <t>MAGAZINE LUIZA - AVENIDA GETULIO VARGAS, 1340 - RJES241220</t>
  </si>
  <si>
    <t>Térreo</t>
  </si>
  <si>
    <t>26510014</t>
  </si>
  <si>
    <t>-22.8097902, -43.41680909999999</t>
  </si>
  <si>
    <t>RJES241220</t>
  </si>
  <si>
    <t>47960950171104</t>
  </si>
  <si>
    <t>1614</t>
  </si>
  <si>
    <t>MAGAZINE LUIZA - AVENIDA MARECHAL DEODORO, 95 - ZONA COMERCIAL - NE10429</t>
  </si>
  <si>
    <t>44002064</t>
  </si>
  <si>
    <t>-12.258739 , -38.966648</t>
  </si>
  <si>
    <t>NE10429</t>
  </si>
  <si>
    <t>47960950072971</t>
  </si>
  <si>
    <t>767</t>
  </si>
  <si>
    <t>MAGAZINE LUIZA - AVENIDA THIAGO FERREIRA, 311 - ZONA COMERCIAL - SPC20126</t>
  </si>
  <si>
    <t>311</t>
  </si>
  <si>
    <t>11450001</t>
  </si>
  <si>
    <t>-23.94198 , -46.303143</t>
  </si>
  <si>
    <t>SPC20126</t>
  </si>
  <si>
    <t>47960950053322</t>
  </si>
  <si>
    <t>553</t>
  </si>
  <si>
    <t>PONTO FRIO - AVENIDA DAS AMERICAS, 15500 - AMERICAS SHOPPING - RJES19515</t>
  </si>
  <si>
    <t>15500</t>
  </si>
  <si>
    <t>LOJA 192 PISO 1</t>
  </si>
  <si>
    <t>RECREIO DOS BANDEIRANTES</t>
  </si>
  <si>
    <t>22790702</t>
  </si>
  <si>
    <t>-23.012585 , -43.462177</t>
  </si>
  <si>
    <t>RJES19515</t>
  </si>
  <si>
    <t>Americas Shopping</t>
  </si>
  <si>
    <t>VIVO - AVENIDA AMERICO BUAIZ, 200 - SHOPPING VITORIA - RJES7175</t>
  </si>
  <si>
    <t>ENSEADADOSU</t>
  </si>
  <si>
    <t>29050902</t>
  </si>
  <si>
    <t>RJES7175</t>
  </si>
  <si>
    <t>2558157040032</t>
  </si>
  <si>
    <t>LOJA SHOPPING VITORIA ES</t>
  </si>
  <si>
    <t>CASAS BAHIA - AVENIDA BRASIL, 3300 - ZONA COMERCIAL - SUL9162</t>
  </si>
  <si>
    <t>ANEXO 3316</t>
  </si>
  <si>
    <t>-23.420853 , -51.934368</t>
  </si>
  <si>
    <t>SUL9162</t>
  </si>
  <si>
    <t>33041260089122</t>
  </si>
  <si>
    <t>1124</t>
  </si>
  <si>
    <t>CASAS BAHIA - RUA VOLUNTARIOS DA PATRIA, 1945 - ZONA COMERCIAL - SPC9818</t>
  </si>
  <si>
    <t>RUA VOLUNTARIOS DA PATRIA</t>
  </si>
  <si>
    <t>1943</t>
  </si>
  <si>
    <t>1945,1949,1953,1955T</t>
  </si>
  <si>
    <t>SANTANA</t>
  </si>
  <si>
    <t>2011400</t>
  </si>
  <si>
    <t>-23.503119 , -46.626495</t>
  </si>
  <si>
    <t>SPC9818</t>
  </si>
  <si>
    <t>33041260105934</t>
  </si>
  <si>
    <t>CASAS BAHIA - RUA ANTONIO CARLOS MORI, 298 - SPI245130</t>
  </si>
  <si>
    <t>RUA ANTONIO CARLOS MORI</t>
  </si>
  <si>
    <t>298</t>
  </si>
  <si>
    <t>19900080</t>
  </si>
  <si>
    <t>-22.9791599,-49.8715949</t>
  </si>
  <si>
    <t>SPI245130</t>
  </si>
  <si>
    <t>33041260126699</t>
  </si>
  <si>
    <t>1128</t>
  </si>
  <si>
    <t>LOJAS CEM - AVENIDA BRASIL, 1300 - ZONA COMERCIAL - SPC18661</t>
  </si>
  <si>
    <t>8529310</t>
  </si>
  <si>
    <t>-23.540487 , -46.366756</t>
  </si>
  <si>
    <t>SPC18661</t>
  </si>
  <si>
    <t>56642960005764</t>
  </si>
  <si>
    <t>FEVASC</t>
  </si>
  <si>
    <t>MAGAZINE LUIZA - RUA ANTONIO AGU, 617 - ZONA COMERCIAL - SPC6351</t>
  </si>
  <si>
    <t>617</t>
  </si>
  <si>
    <t>6013003</t>
  </si>
  <si>
    <t>-23.532808 , -46.77895</t>
  </si>
  <si>
    <t>SPC6351</t>
  </si>
  <si>
    <t>47960950053080</t>
  </si>
  <si>
    <t>513</t>
  </si>
  <si>
    <t>MAGAZINE LUIZA - RUA DOM PEDRO II, 369 - ZONA COMERCIAL - SPC23026</t>
  </si>
  <si>
    <t>RUA DOM PEDRO II</t>
  </si>
  <si>
    <t>7010003</t>
  </si>
  <si>
    <t>-23.469681 , -46.527252</t>
  </si>
  <si>
    <t>SPC23026</t>
  </si>
  <si>
    <t>47960950054485</t>
  </si>
  <si>
    <t>561</t>
  </si>
  <si>
    <t>MAGAZINE LUIZA - AVENIDA 15 DE NOVEMBRO, 103 - ZONA COMERCIAL  - SPC23036</t>
  </si>
  <si>
    <t>8500405</t>
  </si>
  <si>
    <t>-23.5413199 , -46.3667329</t>
  </si>
  <si>
    <t>SPC23036</t>
  </si>
  <si>
    <t>47960950154005</t>
  </si>
  <si>
    <t>515</t>
  </si>
  <si>
    <t>CARREFOUR - AVENIDA DOS AUTONOMISTAS, 1542 - ZONA COMERCIAL - SPC9211</t>
  </si>
  <si>
    <t>6020015</t>
  </si>
  <si>
    <t>-23.537450943446704 , -46.768637522932266</t>
  </si>
  <si>
    <t>SPC9211</t>
  </si>
  <si>
    <t>45543915005493</t>
  </si>
  <si>
    <t>OSC</t>
  </si>
  <si>
    <t>CASAS BAHIA - AVENIDA SAO JOSE, 174 - ZONA COMERCIAL - SPC6701</t>
  </si>
  <si>
    <t>AVENIDA SAO JOSE</t>
  </si>
  <si>
    <t>178 E 182</t>
  </si>
  <si>
    <t>9910380</t>
  </si>
  <si>
    <t>-23.687313 , -46.626213</t>
  </si>
  <si>
    <t>SPC6701</t>
  </si>
  <si>
    <t>33041260118327</t>
  </si>
  <si>
    <t>CASAS BAHIA - RUA XV DE NOVEMBRO, 473 - SUL227940</t>
  </si>
  <si>
    <t>473</t>
  </si>
  <si>
    <t>89010000</t>
  </si>
  <si>
    <t>-26.9223565 , -49.0619031</t>
  </si>
  <si>
    <t>SUL227940</t>
  </si>
  <si>
    <t>33041260129442</t>
  </si>
  <si>
    <t>1423</t>
  </si>
  <si>
    <t>CASAS BAHIA - PRACA CANDIDO MOTA, 79 - SPI240670</t>
  </si>
  <si>
    <t>PRACA CANDIDO MOTA</t>
  </si>
  <si>
    <t>79</t>
  </si>
  <si>
    <t>Caraguatatuba</t>
  </si>
  <si>
    <t>11660060</t>
  </si>
  <si>
    <t>-23.6215554, -45.4120169</t>
  </si>
  <si>
    <t>SPI240670</t>
  </si>
  <si>
    <t>33041260124211</t>
  </si>
  <si>
    <t>CLARO - RUA DAS ANDRADAS, 1501 - SUL7375</t>
  </si>
  <si>
    <t>1501</t>
  </si>
  <si>
    <t>90020011</t>
  </si>
  <si>
    <t>-30.029762 , -51.226643</t>
  </si>
  <si>
    <t>SUL7375</t>
  </si>
  <si>
    <t>40432544015926</t>
  </si>
  <si>
    <t>5109</t>
  </si>
  <si>
    <t>LOJAS AMERICANAS - RUA CONSELHEIRO JUNQUEIRA AYRES, 8 - SHOPPING PIEDADE - NE5550</t>
  </si>
  <si>
    <t>LJ 19 PV L 2</t>
  </si>
  <si>
    <t>40070310</t>
  </si>
  <si>
    <t>-12.9835518, -38.5130701</t>
  </si>
  <si>
    <t>NE5550</t>
  </si>
  <si>
    <t>776574135752</t>
  </si>
  <si>
    <t>L063</t>
  </si>
  <si>
    <t>LOJAS AMERICANAS - C 02 LOTE 12, 1306 - MGCO80095</t>
  </si>
  <si>
    <t>C 02 LOTE 12</t>
  </si>
  <si>
    <t>1306</t>
  </si>
  <si>
    <t>72010905</t>
  </si>
  <si>
    <t>-15.8333045, -48.0561315</t>
  </si>
  <si>
    <t>MGCO80095</t>
  </si>
  <si>
    <t>776574074192</t>
  </si>
  <si>
    <t>MAGAZINE LUIZA - AVENIDA DA IGUALDADE, 122 - ZONA COMERCIAL - MGCO87614</t>
  </si>
  <si>
    <t>"QUADRA122 LOTE 0012	"</t>
  </si>
  <si>
    <t>-16.771896 , -49.338434</t>
  </si>
  <si>
    <t>MGCO87614</t>
  </si>
  <si>
    <t>47960950106892</t>
  </si>
  <si>
    <t>MAGAZINE LUIZA - RUA 15 DE NOVEMBRO, 1831 - ZONA COMERCIAL - SUL6008</t>
  </si>
  <si>
    <t>1831</t>
  </si>
  <si>
    <t>-25.538265 , -49.199833</t>
  </si>
  <si>
    <t>SUL6008</t>
  </si>
  <si>
    <t>47960950042479</t>
  </si>
  <si>
    <t>MAGAZINE LUIZA - AVENIDA 26 DE MARCO, 187 - SPC239210</t>
  </si>
  <si>
    <t>AVENIDA 26 DE MARCO</t>
  </si>
  <si>
    <t>6401050</t>
  </si>
  <si>
    <t>-23.5113355, -46.8768132</t>
  </si>
  <si>
    <t>SPC239210</t>
  </si>
  <si>
    <t>47960950172682</t>
  </si>
  <si>
    <t>1565</t>
  </si>
  <si>
    <t>CASA &amp; VIDEO - RUA JOSE DE ALVARENGA, 243 - ZONA COMERCIAL - RJES7508</t>
  </si>
  <si>
    <t>243</t>
  </si>
  <si>
    <t>LOJA 88</t>
  </si>
  <si>
    <t>-22.786709 , -43.311913</t>
  </si>
  <si>
    <t>RJES7508</t>
  </si>
  <si>
    <t>11114284000830</t>
  </si>
  <si>
    <t>CAXIAS 3 - DUQUE DE CAXIAS</t>
  </si>
  <si>
    <t>CASA &amp; VIDEO - RUA PADRE PEDRO PINTO, 6637 - MGCO252980</t>
  </si>
  <si>
    <t>3157000</t>
  </si>
  <si>
    <t>-19.8031235,-44.0014044</t>
  </si>
  <si>
    <t>MGCO252980</t>
  </si>
  <si>
    <t>11114284028092</t>
  </si>
  <si>
    <t>CASAS BAHIA - RUA ANTONIO AGU, 446 - ZONA COMERCIAL - SPC10976</t>
  </si>
  <si>
    <t>448,450 E 456</t>
  </si>
  <si>
    <t>6093003</t>
  </si>
  <si>
    <t>-23.531908 , -46.778217</t>
  </si>
  <si>
    <t>SPC10976</t>
  </si>
  <si>
    <t>33041260096765</t>
  </si>
  <si>
    <t>1005</t>
  </si>
  <si>
    <t>CASAS BAHIA - AVENIDA JOAO CESAR DE OLIVEIRA, 3149 - ZONA COMERCIAL - MGCO20839</t>
  </si>
  <si>
    <t>AVENIDA JOAO CESAR DE OLIVEIRA</t>
  </si>
  <si>
    <t>3149</t>
  </si>
  <si>
    <t>LJ 3,3ºPAV.TÉRREO</t>
  </si>
  <si>
    <t>GLORIA</t>
  </si>
  <si>
    <t>32310000</t>
  </si>
  <si>
    <t>-19.938659 , -44.048903</t>
  </si>
  <si>
    <t>MGCO20839</t>
  </si>
  <si>
    <t>33041260131773</t>
  </si>
  <si>
    <t>1344</t>
  </si>
  <si>
    <t>CASAS BAHIA - AVENIDA AFRANIO PEIXOTO, S/N - NE244650</t>
  </si>
  <si>
    <t>AVENIDA AFRANIO PEIXOTO</t>
  </si>
  <si>
    <t>-12.8423506,-38.4707728</t>
  </si>
  <si>
    <t>NE244650</t>
  </si>
  <si>
    <t>33041260138000</t>
  </si>
  <si>
    <t>1309</t>
  </si>
  <si>
    <t>CLARO - AVENIDA GENERAL DAVID SARNOFF, 5160 - SHOPPING ITAU POWER - MGCO6845</t>
  </si>
  <si>
    <t>LOJA 79 E 80</t>
  </si>
  <si>
    <t>MGCO6845</t>
  </si>
  <si>
    <t>40432544022620</t>
  </si>
  <si>
    <t>3115</t>
  </si>
  <si>
    <t>GAZIN - RUA LAMEIRA BITTENCOURT, 340 - N289200</t>
  </si>
  <si>
    <t>340</t>
  </si>
  <si>
    <t>68005015</t>
  </si>
  <si>
    <t>-2.4169071, -54.7143314</t>
  </si>
  <si>
    <t>N289200</t>
  </si>
  <si>
    <t>77941490025140</t>
  </si>
  <si>
    <t>10246</t>
  </si>
  <si>
    <t>GAZIN</t>
  </si>
  <si>
    <t>LOJAS CEM - AVENIDA SAO CARLOS, 1047 - ZONA COMERCIAL - SPI45145</t>
  </si>
  <si>
    <t>1047</t>
  </si>
  <si>
    <t>-22.022827 , -47.890663</t>
  </si>
  <si>
    <t>SPI45145</t>
  </si>
  <si>
    <t>56642960004288</t>
  </si>
  <si>
    <t>SCARLO</t>
  </si>
  <si>
    <t>LOJAS CEM - RUA PADRE LUIS, 345 - ZONA COMERCIAL - SPI7676</t>
  </si>
  <si>
    <t>RUA PADRE LUIS</t>
  </si>
  <si>
    <t>345</t>
  </si>
  <si>
    <t>18035011</t>
  </si>
  <si>
    <t>-23.498526 , -47.460674</t>
  </si>
  <si>
    <t>SPI7676</t>
  </si>
  <si>
    <t>56642960000886</t>
  </si>
  <si>
    <t>SOROC</t>
  </si>
  <si>
    <t>MAGAZINE LUIZA - RUA 43, S/N, QUADRA 482, LOTE 25 - MGCO11239</t>
  </si>
  <si>
    <t>RUA 43, S/N, QUADRA 482, LOTE 25</t>
  </si>
  <si>
    <t>PARQUE ESTRELA DALVA</t>
  </si>
  <si>
    <t>Goiás</t>
  </si>
  <si>
    <t>72860445</t>
  </si>
  <si>
    <t>-16.0532307, -48.0295514</t>
  </si>
  <si>
    <t>MGCO11239</t>
  </si>
  <si>
    <t>47960950114054</t>
  </si>
  <si>
    <t>1106</t>
  </si>
  <si>
    <t>MAGAZINE LUIZA - SETOR CENTRAL COMERCIAL GAMA, S/N - MGCO236260</t>
  </si>
  <si>
    <t>SETOR CENTRAL COMERCIAL GAMA</t>
  </si>
  <si>
    <t>BLOCO 5 LOTE 41 A 59 IMPARES LOJA B</t>
  </si>
  <si>
    <t>SETOR CENTRAL (GAMA)</t>
  </si>
  <si>
    <t>75340000</t>
  </si>
  <si>
    <t>-16.0185144, -48.0656878</t>
  </si>
  <si>
    <t>MGCO236260</t>
  </si>
  <si>
    <t>47960950125099</t>
  </si>
  <si>
    <t>1165</t>
  </si>
  <si>
    <t>MAGAZINE LUIZA - RUA DO PRINCIPE, 335 - ZONA COMERCIAL - SUL9928</t>
  </si>
  <si>
    <t>335</t>
  </si>
  <si>
    <t>89201000</t>
  </si>
  <si>
    <t>-26.302195 , -48.845352</t>
  </si>
  <si>
    <t>SUL9928</t>
  </si>
  <si>
    <t>47960950038102</t>
  </si>
  <si>
    <t>456</t>
  </si>
  <si>
    <t>MAGAZINE LUIZA - PRACA CANDIDO MOTA, 179 - SPI240630</t>
  </si>
  <si>
    <t>179</t>
  </si>
  <si>
    <t>-23.6215682, -45.4111223</t>
  </si>
  <si>
    <t>SPI240630</t>
  </si>
  <si>
    <t>47960950045222</t>
  </si>
  <si>
    <t>285</t>
  </si>
  <si>
    <t>PONTO FRIO - RUA ANDRADE NEVES, 1698 - ZONA COMERCIAL - SUL11141</t>
  </si>
  <si>
    <t>1698</t>
  </si>
  <si>
    <t>FILIAL 249</t>
  </si>
  <si>
    <t>-31.768425 , -52.34243</t>
  </si>
  <si>
    <t>SUL11141</t>
  </si>
  <si>
    <t>33041260023377</t>
  </si>
  <si>
    <t>249</t>
  </si>
  <si>
    <t>PONTO FRIO - RUA BATISTA DE OLIVEIRA, 670 - ZONA COMERCIAL - MGCO10493</t>
  </si>
  <si>
    <t>RUA BATISTA DE OLIVEIRA</t>
  </si>
  <si>
    <t>670</t>
  </si>
  <si>
    <t>36013300</t>
  </si>
  <si>
    <t>-21.761761 , -43.346729</t>
  </si>
  <si>
    <t>MGCO10493</t>
  </si>
  <si>
    <t>33041260019850</t>
  </si>
  <si>
    <t>61</t>
  </si>
  <si>
    <t>TIM - SCS QUADRA 07 BLOCO A, S/N - PATIO BRASIL SHOPPING - MGCO7342</t>
  </si>
  <si>
    <t>OUTROS SCS QUADRA 7 BLOCO A</t>
  </si>
  <si>
    <t>LOJAS 6C E 12C</t>
  </si>
  <si>
    <t>ASA SUL</t>
  </si>
  <si>
    <t>-15.796356 , -47.892105</t>
  </si>
  <si>
    <t>MGCO7342</t>
  </si>
  <si>
    <t>2421421014252</t>
  </si>
  <si>
    <t>C054</t>
  </si>
  <si>
    <t>VIVO - SCS QUADRA 7, BLOCO A - PATIO BRASIL SHOPPING - MGCO22673</t>
  </si>
  <si>
    <t>SCS QUADRA 7</t>
  </si>
  <si>
    <t>Bloco A</t>
  </si>
  <si>
    <t>Loja 3</t>
  </si>
  <si>
    <t>-15.796273971029953, -47.89200802602675</t>
  </si>
  <si>
    <t>MGCO22673</t>
  </si>
  <si>
    <t>2558157044968</t>
  </si>
  <si>
    <t>LOJA SHOPPING PATIO BRASIL DF</t>
  </si>
  <si>
    <t>CASAS BAHIA - AVENIDA PARANA, 217 - ZONA COMERCIAL - SUL9140</t>
  </si>
  <si>
    <t>AVENIDA PARANA</t>
  </si>
  <si>
    <t>86010390</t>
  </si>
  <si>
    <t>-23.310834 , -51.162538</t>
  </si>
  <si>
    <t>SUL9140</t>
  </si>
  <si>
    <t>33041260110938</t>
  </si>
  <si>
    <t>1278</t>
  </si>
  <si>
    <t>CASAS BAHIA - AVENIDA ANHANGUERA, 4776 - ZONA COMERCIAL - MGCO80283</t>
  </si>
  <si>
    <t>4776</t>
  </si>
  <si>
    <t>QUADRA 52,LOTE 99</t>
  </si>
  <si>
    <t>SETOR CENTRAL</t>
  </si>
  <si>
    <t>74040010</t>
  </si>
  <si>
    <t>-16.673944 , -49.255516</t>
  </si>
  <si>
    <t>MGCO80283</t>
  </si>
  <si>
    <t>33041260005476</t>
  </si>
  <si>
    <t>1818</t>
  </si>
  <si>
    <t>CASAS BAHIA - RUA 13 DE JUNHO , 169 - ZONA COMERCIAL - MGCO10286</t>
  </si>
  <si>
    <t>RUA TREZE DE JUNHO</t>
  </si>
  <si>
    <t>169</t>
  </si>
  <si>
    <t>101,104,201,204,301</t>
  </si>
  <si>
    <t>78005250</t>
  </si>
  <si>
    <t>-15.599199 , -56.096169</t>
  </si>
  <si>
    <t>MGCO10286</t>
  </si>
  <si>
    <t>33041260112639</t>
  </si>
  <si>
    <t>1625</t>
  </si>
  <si>
    <t>CASAS BAHIA - AVENIDA BARRETO DE MENEZES, 338 - NE238940</t>
  </si>
  <si>
    <t>Prazeres</t>
  </si>
  <si>
    <t>54330212</t>
  </si>
  <si>
    <t>-8.1622174, -34.925788</t>
  </si>
  <si>
    <t>NE238940</t>
  </si>
  <si>
    <t>33041260172372</t>
  </si>
  <si>
    <t>2087</t>
  </si>
  <si>
    <t>CLARO - RUA FREI GASPAR, 365 - SHOPPING BRISAMAR - SPC7660</t>
  </si>
  <si>
    <t>LOJA 121,NIVEL 1</t>
  </si>
  <si>
    <t>SPC7660</t>
  </si>
  <si>
    <t>40432544032189</t>
  </si>
  <si>
    <t>1949</t>
  </si>
  <si>
    <t>CLARO - AVENIDA LUCIANO DAS NEVES, 2418 - SHOPPING VILA VELHA - RJES42388</t>
  </si>
  <si>
    <t>RJES42388</t>
  </si>
  <si>
    <t>40432544053500</t>
  </si>
  <si>
    <t>HAVAN - AVENIDA GETULIO DORNELES VARGAS, 558 - ZONA COMERCIAL - SUL65283</t>
  </si>
  <si>
    <t>558</t>
  </si>
  <si>
    <t>89801000</t>
  </si>
  <si>
    <t>-27.09967 , -52.615555</t>
  </si>
  <si>
    <t>SUL65283</t>
  </si>
  <si>
    <t>79379491001406</t>
  </si>
  <si>
    <t>12 - CHAPECO</t>
  </si>
  <si>
    <t>LOJAS AMERICANAS - AVENIDA PRESIDENTE KENNEDY, 1691 - RJES11806</t>
  </si>
  <si>
    <t>1961</t>
  </si>
  <si>
    <t>A 1975</t>
  </si>
  <si>
    <t>25020002</t>
  </si>
  <si>
    <t>-22.786469942870553 , -43.31011630457692</t>
  </si>
  <si>
    <t>RJES11806</t>
  </si>
  <si>
    <t>776574079070</t>
  </si>
  <si>
    <t>LOJAS AMERICANAS - AVENIDA ABILIO AUGUSTO TAVORA, 1111 - SHOPPING NOVA IGUACU - RJES49978</t>
  </si>
  <si>
    <t>LOJA 4043</t>
  </si>
  <si>
    <t>-22.762696207219914 , -43.46516060978695</t>
  </si>
  <si>
    <t>RJES49978</t>
  </si>
  <si>
    <t>776574081644</t>
  </si>
  <si>
    <t>LOJAS AMERICANAS - RUA HALFELD, 668 - MGCO10498</t>
  </si>
  <si>
    <t>668</t>
  </si>
  <si>
    <t>36010000</t>
  </si>
  <si>
    <t>-21.760918 , -43.347836</t>
  </si>
  <si>
    <t>MGCO10498</t>
  </si>
  <si>
    <t>776574043980</t>
  </si>
  <si>
    <t>L014</t>
  </si>
  <si>
    <t>LOJAS AMERICANAS - RUA OPHIR JOSE BRAZ, S/N - SHOPPING LUZIANIA - MGCO19987</t>
  </si>
  <si>
    <t>RUA OPHIR JOSE BRAZ</t>
  </si>
  <si>
    <t>1496</t>
  </si>
  <si>
    <t>72800150</t>
  </si>
  <si>
    <t>-16.255991 , -47.955322</t>
  </si>
  <si>
    <t>MGCO19987</t>
  </si>
  <si>
    <t>776574169304</t>
  </si>
  <si>
    <t>L451</t>
  </si>
  <si>
    <t>Shopping Luziania</t>
  </si>
  <si>
    <t>LOJAS CEM - AVENIDA FELICIANO SODRE, 61 - ZONA COMERCIAL - RJES18479</t>
  </si>
  <si>
    <t>RUA DOUTOR FELICIANO SODRE</t>
  </si>
  <si>
    <t>24440440</t>
  </si>
  <si>
    <t>-22.825897 , -43.050308</t>
  </si>
  <si>
    <t>RJES18479</t>
  </si>
  <si>
    <t>56642960011144</t>
  </si>
  <si>
    <t>SGONÇA</t>
  </si>
  <si>
    <t>MAGAZINE LUIZA - AVENIDA JOHN BOYD DUNLOP, 3900 - SHOPPING PARQUE DAS BANDEIRAS - SPI10599</t>
  </si>
  <si>
    <t>AVENIDA JOHN BOYD DUNLOP</t>
  </si>
  <si>
    <t>3072</t>
  </si>
  <si>
    <t>JD IPAUSSURAMA</t>
  </si>
  <si>
    <t>13060803</t>
  </si>
  <si>
    <t>-22.925516 , -47.126801</t>
  </si>
  <si>
    <t>SPI10599</t>
  </si>
  <si>
    <t>47960950087308</t>
  </si>
  <si>
    <t>599</t>
  </si>
  <si>
    <t>Shopping Parque Das Bandeiras</t>
  </si>
  <si>
    <t>MAGAZINE LUIZA - AVENIDA INDEPENDENCIA, 755 - ZONA COMERCIAL - SUL6266</t>
  </si>
  <si>
    <t>755</t>
  </si>
  <si>
    <t>-29.766272 , -51.145798</t>
  </si>
  <si>
    <t>SUL6266</t>
  </si>
  <si>
    <t>47960950031604</t>
  </si>
  <si>
    <t>424</t>
  </si>
  <si>
    <t>MAGAZINE LUIZA - RUA BENJAMIN CONSTANT, 1220 - ZONA COMERCIAL - SUL9137</t>
  </si>
  <si>
    <t>RUA BENJAMIM CONSTANT</t>
  </si>
  <si>
    <t>86010350</t>
  </si>
  <si>
    <t>-23.308739 , -51.162257</t>
  </si>
  <si>
    <t>SUL9137</t>
  </si>
  <si>
    <t>47960950017873</t>
  </si>
  <si>
    <t>182</t>
  </si>
  <si>
    <t>MAGAZINE LUIZA - RUA PAISSANDU, 1190 - NE250510</t>
  </si>
  <si>
    <t>RUA PAISSANDU</t>
  </si>
  <si>
    <t>64001120</t>
  </si>
  <si>
    <t>-5.0928473,-42.8157784</t>
  </si>
  <si>
    <t>NE250510</t>
  </si>
  <si>
    <t>47960950079046</t>
  </si>
  <si>
    <t>861</t>
  </si>
  <si>
    <t>MAGAZINE LUIZA - RUA CORONEL GOMES MACHADO, 19 - RJES262370</t>
  </si>
  <si>
    <t>24020069</t>
  </si>
  <si>
    <t>-22.8928629,-43.1252134</t>
  </si>
  <si>
    <t>RJES262370</t>
  </si>
  <si>
    <t>47960950173069</t>
  </si>
  <si>
    <t>PONTO FRIO - SCCG LOTE 41 A 49 51 53 55 57 E 59 , S/N - ZONA COMERCIAL - MGCO19006</t>
  </si>
  <si>
    <t>OUTROS SCCG LOTE 41 A 49,51,53,55,57 E 59</t>
  </si>
  <si>
    <t>BLOCO 5</t>
  </si>
  <si>
    <t>72491010</t>
  </si>
  <si>
    <t>-16.019555605924843, -48.06644208503812</t>
  </si>
  <si>
    <t>MGCO19006</t>
  </si>
  <si>
    <t>33041260008300</t>
  </si>
  <si>
    <t>PONTO FRIO - AVENIDA JOAO CESAR DE OLIVEIRA, 2796 - ZONA COMERCIAL - MGCO20854</t>
  </si>
  <si>
    <t>2796</t>
  </si>
  <si>
    <t>ELDORADO</t>
  </si>
  <si>
    <t>-19.9383143 , -44.0494241</t>
  </si>
  <si>
    <t>MGCO20854</t>
  </si>
  <si>
    <t>ARMAZEM PARAIBA - AVENIDA ALMIRANTE BARROSO, 11 - ZONA COMERCIAL - NE10896</t>
  </si>
  <si>
    <t>AVENIDA ALMIRANTE BARROSO</t>
  </si>
  <si>
    <t>11</t>
  </si>
  <si>
    <t>58013000</t>
  </si>
  <si>
    <t>-7.118562 , -34.878292</t>
  </si>
  <si>
    <t>NE10896</t>
  </si>
  <si>
    <t>08995631001414</t>
  </si>
  <si>
    <t>ARMAZEM PARAIBA</t>
  </si>
  <si>
    <t>CASAS BAHIA - AVENIDA DOUTOR FRANCISCO MESQUITA, 1000 - SHOPPING CENTRAL PLAZA - SPC6486</t>
  </si>
  <si>
    <t>AVENIDA DOUTOR FRANCISCO MESQUITA</t>
  </si>
  <si>
    <t>ANCORA O</t>
  </si>
  <si>
    <t>VILA PRUDENTE</t>
  </si>
  <si>
    <t>3153000</t>
  </si>
  <si>
    <t>-23.593939 , -46.585186</t>
  </si>
  <si>
    <t>SPC6486</t>
  </si>
  <si>
    <t>33041260114259</t>
  </si>
  <si>
    <t>Shopping Central Plaza</t>
  </si>
  <si>
    <t>CASAS BAHIA - RUA DOM AQUINO, 1339 - MGCO227490</t>
  </si>
  <si>
    <t>RUA DOM AQUINO</t>
  </si>
  <si>
    <t>1339</t>
  </si>
  <si>
    <t>79002185</t>
  </si>
  <si>
    <t>-20.4612817 , -54.618385</t>
  </si>
  <si>
    <t>MGCO227490</t>
  </si>
  <si>
    <t>33041260143518</t>
  </si>
  <si>
    <t>1720</t>
  </si>
  <si>
    <t>HS - RUA 9 DE JULHO, 736 - ZONA COMERCIAL - SPI10747</t>
  </si>
  <si>
    <t>RUA 9 DE JULHO</t>
  </si>
  <si>
    <t>736</t>
  </si>
  <si>
    <t>-21.7917815 , -48.1748262</t>
  </si>
  <si>
    <t>SPI10747</t>
  </si>
  <si>
    <t>5923253002285</t>
  </si>
  <si>
    <t>CLARO - AVENIDA REGENTE FEIJO, 1739 - SHOPPING ANALIA FRANCO - SPC7279</t>
  </si>
  <si>
    <t>LOJA 21 E 22</t>
  </si>
  <si>
    <t>SPC7279</t>
  </si>
  <si>
    <t>40432544021063</t>
  </si>
  <si>
    <t>CLARO - FELIPE SCHMIDT, 39 - ZONA COMERCIAL - SUL6308</t>
  </si>
  <si>
    <t>39</t>
  </si>
  <si>
    <t>-27.596102 , -48.552612</t>
  </si>
  <si>
    <t>SUL6308</t>
  </si>
  <si>
    <t>40432544039000</t>
  </si>
  <si>
    <t>4808</t>
  </si>
  <si>
    <t>LOJAS AMERICANAS - RUA PORTAO DA PIEDADE, 155 - SHOPPING CENTER LAPA - NE5554</t>
  </si>
  <si>
    <t>RUA PORTAO DA PIEDADE</t>
  </si>
  <si>
    <t>1° PISO</t>
  </si>
  <si>
    <t>40070000</t>
  </si>
  <si>
    <t>-12.983211 , -38.513958</t>
  </si>
  <si>
    <t>NE5554</t>
  </si>
  <si>
    <t>776574135671</t>
  </si>
  <si>
    <t>L052</t>
  </si>
  <si>
    <t>Shopping Center Lapa Salvador</t>
  </si>
  <si>
    <t>LOJAS AMERICANAS - AVENIDA BARAO DE LUCENA, 330 - NE11298</t>
  </si>
  <si>
    <t>AVENIDA BARAO DE LUCENA</t>
  </si>
  <si>
    <t>54110000</t>
  </si>
  <si>
    <t>-8.112370199999999 , -35.0164538</t>
  </si>
  <si>
    <t>NE11298</t>
  </si>
  <si>
    <t>33014556065565</t>
  </si>
  <si>
    <t>LOJAS AMERICANAS - AVENIDA PRESIDENTE KENNEDY, 7204 - SPC42111</t>
  </si>
  <si>
    <t>7218</t>
  </si>
  <si>
    <t>CIDADE OCIAN</t>
  </si>
  <si>
    <t>-24.025227 , -46.477843</t>
  </si>
  <si>
    <t>SPC42111</t>
  </si>
  <si>
    <t>776574048949</t>
  </si>
  <si>
    <t>L466</t>
  </si>
  <si>
    <t>LOJAS CEM - AVENIDA DA REPUBLICA, 383 - ZONA COMERCIAL - SPC10033</t>
  </si>
  <si>
    <t>AVENIDA DA REPUBLICA</t>
  </si>
  <si>
    <t>383</t>
  </si>
  <si>
    <t>Santa Isabel</t>
  </si>
  <si>
    <t>7500000</t>
  </si>
  <si>
    <t>-23.319799 , -46.228443</t>
  </si>
  <si>
    <t>SPC10033</t>
  </si>
  <si>
    <t>56642960011306</t>
  </si>
  <si>
    <t>SISABE</t>
  </si>
  <si>
    <t>LOJAS CEM - AVENIDA PRESIDENTE KENNEDY, 7358 - ZONA COMERCIAL - SPC10037</t>
  </si>
  <si>
    <t>7358</t>
  </si>
  <si>
    <t>11705000</t>
  </si>
  <si>
    <t>-24.02574 , -46.479172</t>
  </si>
  <si>
    <t>SPC10037</t>
  </si>
  <si>
    <t>56642960017002</t>
  </si>
  <si>
    <t>CIDOCI</t>
  </si>
  <si>
    <t>MAGAZINE LUIZA - RUA MANOEL DA NOBREGA, 712 - SHOPPING PRACA DA MOCA - SPC6722</t>
  </si>
  <si>
    <t>RUA MANOEL DA NOBREGA</t>
  </si>
  <si>
    <t>712</t>
  </si>
  <si>
    <t>LOJAS 204 E 205</t>
  </si>
  <si>
    <t>SPC6722</t>
  </si>
  <si>
    <t>47960950056003</t>
  </si>
  <si>
    <t>573</t>
  </si>
  <si>
    <t>MAGAZINE LUIZA - RUA MANOEL COELHO, 300 - ZONA COMERCIAL - SPC6403</t>
  </si>
  <si>
    <t>RUA MANOEL COELHO</t>
  </si>
  <si>
    <t>9510110</t>
  </si>
  <si>
    <t>-23.612265 , -46.572311</t>
  </si>
  <si>
    <t>SPC6403</t>
  </si>
  <si>
    <t>47960950053403</t>
  </si>
  <si>
    <t>516</t>
  </si>
  <si>
    <t>MAGAZINE LUIZA - AVENIDA MINISTRO EDGARD ROMERO, 63 - RJES241380</t>
  </si>
  <si>
    <t>AVENIDA MINISTRO EDGARD ROMERO</t>
  </si>
  <si>
    <t>21350301</t>
  </si>
  <si>
    <t>-22.874873, -43.337466</t>
  </si>
  <si>
    <t>RJES241380</t>
  </si>
  <si>
    <t>47960950176327</t>
  </si>
  <si>
    <t>1615</t>
  </si>
  <si>
    <t>PONTO FRIO - AVENIDA AMAZONAS, 539 - ZONA COMERCIAL - MGCO10457</t>
  </si>
  <si>
    <t>539</t>
  </si>
  <si>
    <t>-19.965807 , -44.197899</t>
  </si>
  <si>
    <t>MGCO10457</t>
  </si>
  <si>
    <t>33041260037246</t>
  </si>
  <si>
    <t>263</t>
  </si>
  <si>
    <t>TIM - AVENIDA AFONSO PENA, 822 - MGCO10532</t>
  </si>
  <si>
    <t>822</t>
  </si>
  <si>
    <t>-18.917442 , -48.277164</t>
  </si>
  <si>
    <t>MGCO10532</t>
  </si>
  <si>
    <t>2421421024215</t>
  </si>
  <si>
    <t>C149</t>
  </si>
  <si>
    <t>TIM - SETOR TERMINAL NORTE CONJ J, S/N - BOULEVARD SHOPPING BRASILIA - MGCO234780</t>
  </si>
  <si>
    <t>SETOR TERMINAL NORTE CONJ J</t>
  </si>
  <si>
    <t>-15.733693920588792, -47.89898706725079</t>
  </si>
  <si>
    <t>MGCO234780</t>
  </si>
  <si>
    <t>02421421024487</t>
  </si>
  <si>
    <t>C327</t>
  </si>
  <si>
    <t>VIVO - AVENIDA AFONSO PENA, 719 - ZONA COMERCIAL - MGCO10531</t>
  </si>
  <si>
    <t>RUA AFONSO PENA</t>
  </si>
  <si>
    <t>719</t>
  </si>
  <si>
    <t>38400130</t>
  </si>
  <si>
    <t>-18.91814 , -48.277679</t>
  </si>
  <si>
    <t>MGCO10531</t>
  </si>
  <si>
    <t>2558157049099</t>
  </si>
  <si>
    <t>LOJA UBERLANDIA MG</t>
  </si>
  <si>
    <t>CASAS BAHIA - AVENIDA VISCONDE DE IBITURUNA, 65 - ZONA COMERCIAL - MGCO10149</t>
  </si>
  <si>
    <t>AVENIDA VISCONDE DE IBITURUNA</t>
  </si>
  <si>
    <t>65</t>
  </si>
  <si>
    <t>67,71 E 93,LJ 1 E 2</t>
  </si>
  <si>
    <t>BARREIRO</t>
  </si>
  <si>
    <t>30640080</t>
  </si>
  <si>
    <t>-19.972995 , -44.016114</t>
  </si>
  <si>
    <t>MGCO10149</t>
  </si>
  <si>
    <t>33041260131340</t>
  </si>
  <si>
    <t>1026</t>
  </si>
  <si>
    <t>CASAS BAHIA - RUA ALVARO MENDES, 1173 - ZONA COMERCIAL - NE50006</t>
  </si>
  <si>
    <t>RUA ALVARO MENDES</t>
  </si>
  <si>
    <t>1173</t>
  </si>
  <si>
    <t>64000060</t>
  </si>
  <si>
    <t>-5.091081 , -42.814563</t>
  </si>
  <si>
    <t>NE50006</t>
  </si>
  <si>
    <t>33041260158892</t>
  </si>
  <si>
    <t>1860</t>
  </si>
  <si>
    <t>CASAS BAHIA - GERONIMO CAETANO GARCIA, 129 - SPC287780</t>
  </si>
  <si>
    <t>GERONIMO CAETANO GARCIA</t>
  </si>
  <si>
    <t>129</t>
  </si>
  <si>
    <t>-23.2794429,-46.7458772</t>
  </si>
  <si>
    <t>SPC287780</t>
  </si>
  <si>
    <t>33041260184389</t>
  </si>
  <si>
    <t>2219</t>
  </si>
  <si>
    <t>CLARO RP - RUA 9 DE JULHO, 593 - ZONA COMERCIAL - SPI10717</t>
  </si>
  <si>
    <t>593</t>
  </si>
  <si>
    <t>13560042</t>
  </si>
  <si>
    <t>-22.02422 , -47.8925497</t>
  </si>
  <si>
    <t>SPI10717</t>
  </si>
  <si>
    <t>05949641000100</t>
  </si>
  <si>
    <t>CLARO - PRACA SAMUEL SABATINI, 200 - SHOPPING METROPOLE - SPC7296</t>
  </si>
  <si>
    <t>PRACA SAMUEL SABATINI</t>
  </si>
  <si>
    <t>LOJA 137</t>
  </si>
  <si>
    <t>9750902</t>
  </si>
  <si>
    <t>-23.692766 , -46.550373</t>
  </si>
  <si>
    <t>SPC7296</t>
  </si>
  <si>
    <t>40432544029803</t>
  </si>
  <si>
    <t>Shopping Metrópole</t>
  </si>
  <si>
    <t>CLARO - RODOVIA CELSO GARCIA CID KM 377 - SHOPPING CATUAI LONDRINA - SUL6018</t>
  </si>
  <si>
    <t>KM 377</t>
  </si>
  <si>
    <t>SUL6018</t>
  </si>
  <si>
    <t>40432544024836</t>
  </si>
  <si>
    <t>4108</t>
  </si>
  <si>
    <t>CLARO - AVENIDA RAIMUNDO PEREIRA DE MAGALHAES, 1465 - TIETE PLAZA SHOPPING - SPC22119</t>
  </si>
  <si>
    <t>PIRITUBA</t>
  </si>
  <si>
    <t>5145000</t>
  </si>
  <si>
    <t>-23.506594 , -46.718304</t>
  </si>
  <si>
    <t>SPC22119</t>
  </si>
  <si>
    <t>40432544053186</t>
  </si>
  <si>
    <t>11C1</t>
  </si>
  <si>
    <t>Tiete Plaza Shopping</t>
  </si>
  <si>
    <t>LOJAS AMERICANAS - CL 114 LOTE D, S/N - SANTA MARIA SHOPPING - MGCO258160</t>
  </si>
  <si>
    <t>MGCO258160</t>
  </si>
  <si>
    <t>776574073382</t>
  </si>
  <si>
    <t>L495</t>
  </si>
  <si>
    <t>MAGAZINE LUIZA - AVENIDA SAO JOSE, 212 - ZONA COMERCIAL - SPC6723</t>
  </si>
  <si>
    <t>212</t>
  </si>
  <si>
    <t>214</t>
  </si>
  <si>
    <t>-23.687685 , -46.626511</t>
  </si>
  <si>
    <t>SPC6723</t>
  </si>
  <si>
    <t>47960950049805</t>
  </si>
  <si>
    <t>514</t>
  </si>
  <si>
    <t>MAGAZINE LUIZA - RUA BATISTA DE OLIVEIRA, 589 - ZONA COMERCIAL - MGCO10492</t>
  </si>
  <si>
    <t>589</t>
  </si>
  <si>
    <t>36010532</t>
  </si>
  <si>
    <t>-21.761103 , -43.346737</t>
  </si>
  <si>
    <t>MGCO10492</t>
  </si>
  <si>
    <t>47960950023768</t>
  </si>
  <si>
    <t>221</t>
  </si>
  <si>
    <t>MAGAZINE LUIZA - AVENIDA VISCONDE DE IBITURUNA, 318 - ZONA COMERCIAL - MGCO10152</t>
  </si>
  <si>
    <t>-19.975367 , -44.015881</t>
  </si>
  <si>
    <t>MGCO10152</t>
  </si>
  <si>
    <t>47960950048248</t>
  </si>
  <si>
    <t>390</t>
  </si>
  <si>
    <t>MAGAZINE LUIZA - ESTRADA DE JACAREPAGUA, 6069 - SHOPPING PARK JACAREPAGUA - MULTIPLAN - RJES252560</t>
  </si>
  <si>
    <t>RJES252560</t>
  </si>
  <si>
    <t>47960950182300</t>
  </si>
  <si>
    <t>1645</t>
  </si>
  <si>
    <t>TIM - AVENIDA GOVERNADOR MARIO COVAS JUNIOR, 1 - SHOPPING MAUA - SPC78192</t>
  </si>
  <si>
    <t>SPC78192</t>
  </si>
  <si>
    <t>02421421025025</t>
  </si>
  <si>
    <t>C331</t>
  </si>
  <si>
    <t>CASAS BAHIA - RUA BATISTA DE OLIVEIRA, S/N - ZONA COMERCIAL - MGCO10494</t>
  </si>
  <si>
    <t>LJ 663,665,671,675,T</t>
  </si>
  <si>
    <t>36010121</t>
  </si>
  <si>
    <t>-21.762224 , -43.346584</t>
  </si>
  <si>
    <t>MGCO10494</t>
  </si>
  <si>
    <t>33041260129957</t>
  </si>
  <si>
    <t>1093</t>
  </si>
  <si>
    <t>CASAS BAHIA - RUA DOM PEDRO II, 345 - ZONA COMERCIAL - SPC11269</t>
  </si>
  <si>
    <t>349,355,361 E 377</t>
  </si>
  <si>
    <t>-23.469719 , -46.527519</t>
  </si>
  <si>
    <t>SPC11269</t>
  </si>
  <si>
    <t>33041260103990</t>
  </si>
  <si>
    <t>1073</t>
  </si>
  <si>
    <t>CASAS BAHIA - RUA CARVALHO DE SOUSA, 282 - ZONA COMERCIAL - RJES9042</t>
  </si>
  <si>
    <t>RUA CARVALHO DE SOUZA</t>
  </si>
  <si>
    <t>282</t>
  </si>
  <si>
    <t>288 E 288 B</t>
  </si>
  <si>
    <t>21350180</t>
  </si>
  <si>
    <t>-22.875242 , -43.336227</t>
  </si>
  <si>
    <t>RJES9042</t>
  </si>
  <si>
    <t>33041260083604</t>
  </si>
  <si>
    <t>CASAS BAHIA - RUA, 43 - MGCO11237</t>
  </si>
  <si>
    <t>RUA</t>
  </si>
  <si>
    <t>QUADRA 490</t>
  </si>
  <si>
    <t>PEDREGAL</t>
  </si>
  <si>
    <t>Novo Gama</t>
  </si>
  <si>
    <t>72860343</t>
  </si>
  <si>
    <t>-16.0576801 , -48.0294726</t>
  </si>
  <si>
    <t>MGCO11237</t>
  </si>
  <si>
    <t>33041260109336</t>
  </si>
  <si>
    <t>1308</t>
  </si>
  <si>
    <t>CASAS BAHIA - AVENIDA PADRE ANCHIETA, S/N - ZONA COMERCIAL - SPC22092</t>
  </si>
  <si>
    <t>AVENIDA PADRE ANCHIETA</t>
  </si>
  <si>
    <t>Peruíbe</t>
  </si>
  <si>
    <t>11750000</t>
  </si>
  <si>
    <t>-24.320145 , -46.995762</t>
  </si>
  <si>
    <t>SPC22092</t>
  </si>
  <si>
    <t>33041260092425</t>
  </si>
  <si>
    <t>1251</t>
  </si>
  <si>
    <t>CASAS BAHIA - AVENIDA JUSCELINO KUBITSCHEK QUADRA 26 S/N - MGCO45820</t>
  </si>
  <si>
    <t>AGUAS LINDAS</t>
  </si>
  <si>
    <t>72910000</t>
  </si>
  <si>
    <t>-15.727328698668803, -48.28470492674855</t>
  </si>
  <si>
    <t>MGCO45820</t>
  </si>
  <si>
    <t>33041260109760</t>
  </si>
  <si>
    <t>1627</t>
  </si>
  <si>
    <t>FLEX CELL - AVENIDA ARICANDUVA, 5555 - SHOPPING ARICANDUVA - SPC7282</t>
  </si>
  <si>
    <t>LOJA 60, 61 E 62</t>
  </si>
  <si>
    <t>SPC7282</t>
  </si>
  <si>
    <t>3243382000334</t>
  </si>
  <si>
    <t>CLARO - AVENIDA EXPEDITO GARCIA, 192 - ZONA COMERCIAL - RJES19711</t>
  </si>
  <si>
    <t>192</t>
  </si>
  <si>
    <t>-20.3414813 , -40.3832566</t>
  </si>
  <si>
    <t>RJES19711</t>
  </si>
  <si>
    <t>40432544026880</t>
  </si>
  <si>
    <t>LOJAS AMERICANAS - AVENIDA JUSCELINO KUBITSCHEK DE OLIVEIRA, 5308 - SHOPPING BONSUCESSO - SPC47410</t>
  </si>
  <si>
    <t>7272345</t>
  </si>
  <si>
    <t>SPC47410</t>
  </si>
  <si>
    <t>776574059630</t>
  </si>
  <si>
    <t>L422</t>
  </si>
  <si>
    <t>LOJAS CEM - RUA MANOEL COELHO, 382 - ZONA COMERCIAL - SPC11539</t>
  </si>
  <si>
    <t>9510100</t>
  </si>
  <si>
    <t>-23.612976 , -46.572346</t>
  </si>
  <si>
    <t>SPC11539</t>
  </si>
  <si>
    <t>56642960002234</t>
  </si>
  <si>
    <t>SCAET</t>
  </si>
  <si>
    <t>MAGAZINE LUIZA - AVENIDA DOUTOR VICENTE MACHADO, 207 - ZONA COMERCIAL - SUL9174</t>
  </si>
  <si>
    <t>-25.094788 , -50.157829</t>
  </si>
  <si>
    <t>SUL9174</t>
  </si>
  <si>
    <t>47960950009692</t>
  </si>
  <si>
    <t>MAGAZINE LUIZA - RUA NOSSA SENHORA DA LAPA, 112 - ZONA COMERCIAL - SPC9221</t>
  </si>
  <si>
    <t>RUA NOSSA SENHORA DA LAPA</t>
  </si>
  <si>
    <t>120 E 128</t>
  </si>
  <si>
    <t>5074050</t>
  </si>
  <si>
    <t>-23.520807 , -46.702362</t>
  </si>
  <si>
    <t>SPC9221</t>
  </si>
  <si>
    <t>47960950057743</t>
  </si>
  <si>
    <t>580</t>
  </si>
  <si>
    <t>MAGAZINE LUIZA - AVENIDA JOAO CEZAR DE OLIVEIRA, 3127 - ZONA COMERCIAL - MGCO44779</t>
  </si>
  <si>
    <t>3127</t>
  </si>
  <si>
    <t>32340001</t>
  </si>
  <si>
    <t>-19.938722 , -44.048705</t>
  </si>
  <si>
    <t>MGCO44779</t>
  </si>
  <si>
    <t>47960950095831</t>
  </si>
  <si>
    <t>641</t>
  </si>
  <si>
    <t>MAGAZINE LUIZA - AVENIDA PARADA PINTO, 67 - ZONA COMERCIAL - SPC6466</t>
  </si>
  <si>
    <t>AVENIDA PARADA PINTO</t>
  </si>
  <si>
    <t>VILA NOVA CACHOEIRINHA</t>
  </si>
  <si>
    <t>2411000</t>
  </si>
  <si>
    <t>-23.473572 , -46.667263</t>
  </si>
  <si>
    <t>SPC6466</t>
  </si>
  <si>
    <t>47960950050730</t>
  </si>
  <si>
    <t>TIM - AVENIDA NILO PECANHA, 84 - RJES110760</t>
  </si>
  <si>
    <t>84</t>
  </si>
  <si>
    <t>VILA MERITI</t>
  </si>
  <si>
    <t>25010143</t>
  </si>
  <si>
    <t>-22.7868319 , -43.3118417</t>
  </si>
  <si>
    <t>RJES110760</t>
  </si>
  <si>
    <t>2421421025106</t>
  </si>
  <si>
    <t>C685</t>
  </si>
  <si>
    <t>TIM - RUA DOS TUPIS, 337 - SHOPPING CIDADE - MGCO20642</t>
  </si>
  <si>
    <t>30190060</t>
  </si>
  <si>
    <t>MGCO20642</t>
  </si>
  <si>
    <t>2421421013442</t>
  </si>
  <si>
    <t>C269</t>
  </si>
  <si>
    <t>CASA &amp; VIDEO - AVENIDA 22 DE MAIO, 6054 - ZONA COMERCIAL - RJES11690</t>
  </si>
  <si>
    <t>AVENIDA 22 DE MAIO</t>
  </si>
  <si>
    <t>6054</t>
  </si>
  <si>
    <t>-22.745835 , -42.8540843</t>
  </si>
  <si>
    <t>RJES11690</t>
  </si>
  <si>
    <t>11114284002379</t>
  </si>
  <si>
    <t>ITABORAI</t>
  </si>
  <si>
    <t>CASAS BAHIA - AVENIDA NOSSA SENHORA DA LAPA, 85 - ZONA COMERCIAL - SPC20259</t>
  </si>
  <si>
    <t>93,107,111 E 115</t>
  </si>
  <si>
    <t>5072000</t>
  </si>
  <si>
    <t>-23.520842 , -46.702339</t>
  </si>
  <si>
    <t>SPC20259</t>
  </si>
  <si>
    <t>33041260107988</t>
  </si>
  <si>
    <t>1086</t>
  </si>
  <si>
    <t>CASAS BAHIA - RUA RAUL LOPES, 1000 - SHOPPING TERESINA - NE50015</t>
  </si>
  <si>
    <t>AVENIDA RAUL LOPES</t>
  </si>
  <si>
    <t>ANCORA 5 L2</t>
  </si>
  <si>
    <t>BAIRRO DOS NOIVOS</t>
  </si>
  <si>
    <t>64046902</t>
  </si>
  <si>
    <t>-5.085019 , -42.789669</t>
  </si>
  <si>
    <t>NE50015</t>
  </si>
  <si>
    <t>33041260159007</t>
  </si>
  <si>
    <t>1862</t>
  </si>
  <si>
    <t>Shopping Teresina</t>
  </si>
  <si>
    <t>CASAS BAHIA - AVENIDA BARAO DE LUCENA, 593 - NE11299</t>
  </si>
  <si>
    <t>-8.1131967 , -35.0188736</t>
  </si>
  <si>
    <t>NE11299</t>
  </si>
  <si>
    <t>33041260136228</t>
  </si>
  <si>
    <t>1714</t>
  </si>
  <si>
    <t>CASAS BAHIA - AVENIDA ANDROMEDA, 453 - ZONA COMERCIAL - SPI20894</t>
  </si>
  <si>
    <t>453</t>
  </si>
  <si>
    <t>-23.219086 , -45.892292</t>
  </si>
  <si>
    <t>SPI20894</t>
  </si>
  <si>
    <t>33041260124645</t>
  </si>
  <si>
    <t>1154</t>
  </si>
  <si>
    <t>CASAS BAHIA - RUA DA PENHA, 412 - ZONA COMERCIAL - SPI7686</t>
  </si>
  <si>
    <t>-23.498343 , -47.459126</t>
  </si>
  <si>
    <t>SPI7686</t>
  </si>
  <si>
    <t>59291534010804</t>
  </si>
  <si>
    <t>HS - RUA MARCONDES SALGADO, 11 - SHOPPING BOULEVARD BAURU - SPI10357</t>
  </si>
  <si>
    <t>LOJA 249/250</t>
  </si>
  <si>
    <t>SPI10357</t>
  </si>
  <si>
    <t>05923253003095</t>
  </si>
  <si>
    <t>EDUARDO JUNQUEIRA (CLARO) - RUA OTAVIO ROCHA, 187 - SUL7011</t>
  </si>
  <si>
    <t>RUA OTAVIO ROCHA</t>
  </si>
  <si>
    <t>90020151</t>
  </si>
  <si>
    <t>-30.028595 , -51.224522</t>
  </si>
  <si>
    <t>SUL7011</t>
  </si>
  <si>
    <t>29686678000828</t>
  </si>
  <si>
    <t>5127</t>
  </si>
  <si>
    <t>FOTO NASCIMENTO - AVENIDA NOEL NUTELS, 1762 - SHOPPING SAMAUMA - N79516</t>
  </si>
  <si>
    <t>-3.0308157, -59.9778797</t>
  </si>
  <si>
    <t>N79516</t>
  </si>
  <si>
    <t>04356309000412</t>
  </si>
  <si>
    <t>LOJAS AMERICANAS - RUA CORONEL XAVIER DE TOLEDO, 23 - SHOPPING LIGHT - SPC19330</t>
  </si>
  <si>
    <t>LJS 1,16,101 E 127</t>
  </si>
  <si>
    <t>-23.546654 , -46.638508</t>
  </si>
  <si>
    <t>SPC19330</t>
  </si>
  <si>
    <t>776574093499</t>
  </si>
  <si>
    <t>L149</t>
  </si>
  <si>
    <t>LOJAS AMERICANAS - RUA 2 QUADRA 66 LOTE 7 A, 15 - MGCO255840</t>
  </si>
  <si>
    <t>RUA 2 QUADRA 66 LOTE 7 A</t>
  </si>
  <si>
    <t>72870281</t>
  </si>
  <si>
    <t>-16.073403,-47.9864396</t>
  </si>
  <si>
    <t>MGCO255840</t>
  </si>
  <si>
    <t>776574130793</t>
  </si>
  <si>
    <t>MAGAZINE LUIZA - AVENIDA ROTARY, 624 - SAO BERNARDO PLAZA SHOPPING - SPC7849</t>
  </si>
  <si>
    <t>LUC 1030 PISO L1</t>
  </si>
  <si>
    <t>SPC7849</t>
  </si>
  <si>
    <t>47960950088894</t>
  </si>
  <si>
    <t>509</t>
  </si>
  <si>
    <t>MAGAZINE LUIZA - AVENIDA BARAO DE LUCENA, 197 - NE11296</t>
  </si>
  <si>
    <t>-8.112122 , -35.01553</t>
  </si>
  <si>
    <t>NE11296</t>
  </si>
  <si>
    <t>47960950086506</t>
  </si>
  <si>
    <t>MAGAZINE LUIZA - AVENIDA NOVE DE ABRIL, 1958 - SPC243750</t>
  </si>
  <si>
    <t>1958</t>
  </si>
  <si>
    <t>CUBATÃO</t>
  </si>
  <si>
    <t>11510001</t>
  </si>
  <si>
    <t>-23.8832079,-46.4235552</t>
  </si>
  <si>
    <t>SPC243750</t>
  </si>
  <si>
    <t>47960950177641</t>
  </si>
  <si>
    <t>1536</t>
  </si>
  <si>
    <t>MAGAZINE LUIZA - AVENIDA BOSQUE DA SAUDE, 138 - ZONA COMERCIAL - SPC19718</t>
  </si>
  <si>
    <t>AVENIDA BOSQUE DA SAUDE</t>
  </si>
  <si>
    <t>SAUDE</t>
  </si>
  <si>
    <t>4142080</t>
  </si>
  <si>
    <t>-23.61128 , -46.636936</t>
  </si>
  <si>
    <t>SPC19718</t>
  </si>
  <si>
    <t>47960950051036</t>
  </si>
  <si>
    <t>545</t>
  </si>
  <si>
    <t>MAGAZINE LUIZA - RUA DONA PRIMITIVA VIANCO, 138 - ZONA COMERCIAL - SPC19579</t>
  </si>
  <si>
    <t>RUA DONA PRIMITIVA VIANCO</t>
  </si>
  <si>
    <t>-23.529577 , -46.77557</t>
  </si>
  <si>
    <t>SPC19579</t>
  </si>
  <si>
    <t>47960950050145</t>
  </si>
  <si>
    <t>TIM - RUA DOUTOR MELO FREIRE, S/N - SHOPPING METRO TATUAPE - SPC7663</t>
  </si>
  <si>
    <t>RUA DOUTOR MELLO FREIRE</t>
  </si>
  <si>
    <t>3314030</t>
  </si>
  <si>
    <t>-23.5417122, -46.5766705</t>
  </si>
  <si>
    <t>SPC7663</t>
  </si>
  <si>
    <t>02421421009259</t>
  </si>
  <si>
    <t>C031</t>
  </si>
  <si>
    <t>CASAS BAHIA - AVENIDA SAO CRISTOVAO, 231 - ZONA COMERCIAL - NE10416</t>
  </si>
  <si>
    <t>RUA SAO CRISTOVAO</t>
  </si>
  <si>
    <t>49010380</t>
  </si>
  <si>
    <t>-10.910482 , -37.050098</t>
  </si>
  <si>
    <t>NE10416</t>
  </si>
  <si>
    <t>33041260140926</t>
  </si>
  <si>
    <t>1660</t>
  </si>
  <si>
    <t>GAZIN - RUA DOM AQUINO, 1293 - MGCO263650</t>
  </si>
  <si>
    <t>-20.4613895,-54.6192721</t>
  </si>
  <si>
    <t>MGCO263650</t>
  </si>
  <si>
    <t>77941490034807</t>
  </si>
  <si>
    <t>10347</t>
  </si>
  <si>
    <t>LOJAS AMERICANAS - RODOVIA BA 526, 305 - SALVADOR NORTE SHOPPING - NE20564</t>
  </si>
  <si>
    <t>LOJA 404</t>
  </si>
  <si>
    <t>NE20564</t>
  </si>
  <si>
    <t>776574127903</t>
  </si>
  <si>
    <t>L404</t>
  </si>
  <si>
    <t>LOJAS AMERICANAS - AVENIDA DOS AUTONOMISTAS, 1400 - SHOPPING UNIAO - SPC11654</t>
  </si>
  <si>
    <t>LOJA ANCORA J</t>
  </si>
  <si>
    <t>6020010</t>
  </si>
  <si>
    <t>SPC11654</t>
  </si>
  <si>
    <t>776574131765</t>
  </si>
  <si>
    <t>L388</t>
  </si>
  <si>
    <t>LOJAS AMERICANAS - AVENIDA EXPEDITO GARCIA, 168 - RJES42158</t>
  </si>
  <si>
    <t>168</t>
  </si>
  <si>
    <t>29146201</t>
  </si>
  <si>
    <t>-20.3423364 , -40.3839807</t>
  </si>
  <si>
    <t>RJES42158</t>
  </si>
  <si>
    <t>776574012162</t>
  </si>
  <si>
    <t>L303</t>
  </si>
  <si>
    <t>MAGAZINE LUIZA - AVENIDA GUILHERME COTCHING, 1472 - ZONA COMERCIAL - SPC9360</t>
  </si>
  <si>
    <t>AVENIDA GUILHERME COATCHING</t>
  </si>
  <si>
    <t>1472</t>
  </si>
  <si>
    <t>VILA MARIA</t>
  </si>
  <si>
    <t>-23.516533 , -46.588177</t>
  </si>
  <si>
    <t>SPC9360</t>
  </si>
  <si>
    <t>47960950053160</t>
  </si>
  <si>
    <t>PONTO FRIO - AVENIDA VISCONDE DE IBITURUNA, 76 - ZONA COMERCIAL - MGCO10555</t>
  </si>
  <si>
    <t>BARREIRO DE BAIXO</t>
  </si>
  <si>
    <t>-19.973312 , -44.016361</t>
  </si>
  <si>
    <t>MGCO10555</t>
  </si>
  <si>
    <t>33041260036355</t>
  </si>
  <si>
    <t>RIACHUELO - RUA DO ACAMPAMENTO, 215 - ZONA COMERCIAL - SUL49949</t>
  </si>
  <si>
    <t>RUA DO ACAMPAMENTO, 215</t>
  </si>
  <si>
    <t>-29.6880378 , -53.8060724</t>
  </si>
  <si>
    <t>SUL49949</t>
  </si>
  <si>
    <t>33200056029554</t>
  </si>
  <si>
    <t>L068</t>
  </si>
  <si>
    <t>TIM - AVENIDA HISTORIADOR RUBENS DE MENDONCA, 3300 - SHOPPING PANTANAL - MGCO19457</t>
  </si>
  <si>
    <t>LOJA 2006/2007</t>
  </si>
  <si>
    <t>MGCO19457</t>
  </si>
  <si>
    <t>2421421019483</t>
  </si>
  <si>
    <t>C289</t>
  </si>
  <si>
    <t>TIM - RUA MANOEL CORREA, 38 - RJES6062</t>
  </si>
  <si>
    <t>RUA MANOEL CORREA</t>
  </si>
  <si>
    <t>25020056</t>
  </si>
  <si>
    <t>-22.786549 , -43.310104</t>
  </si>
  <si>
    <t>RJES6062</t>
  </si>
  <si>
    <t>2421421006152</t>
  </si>
  <si>
    <t>C222</t>
  </si>
  <si>
    <t>CARREFOUR - AVENIDA BARRETO DE MENEZES, 800 - SHOPPING GUARARAPES - NE5966</t>
  </si>
  <si>
    <t>LOJA 5</t>
  </si>
  <si>
    <t>NE5966</t>
  </si>
  <si>
    <t>45543915100569</t>
  </si>
  <si>
    <t>BJG</t>
  </si>
  <si>
    <t>CASAS BAHIA - AVENIDA BOSQUE DA SAUDE, 76 - ZONA COMERCIAL - SPC11301</t>
  </si>
  <si>
    <t>86</t>
  </si>
  <si>
    <t>BOSQUE DA SAUDE</t>
  </si>
  <si>
    <t>-23.610849 , -46.637352</t>
  </si>
  <si>
    <t>SPC11301</t>
  </si>
  <si>
    <t>33041260032600</t>
  </si>
  <si>
    <t>CASAS BAHIA - AVENIDA SENHOR DOS PASSOS, 124 - ZONA COMERCIAL - NE10433</t>
  </si>
  <si>
    <t>-12.252772 , -38.965271</t>
  </si>
  <si>
    <t>NE10433</t>
  </si>
  <si>
    <t>33041260139910</t>
  </si>
  <si>
    <t>1579</t>
  </si>
  <si>
    <t>GAZIN - AVENIDA RIO MADEIRA, 3288 - PORTO VELHO SHOPPING - N250020</t>
  </si>
  <si>
    <t>76820408</t>
  </si>
  <si>
    <t>N250020</t>
  </si>
  <si>
    <t>77941490037580</t>
  </si>
  <si>
    <t>10374</t>
  </si>
  <si>
    <t>INFO STORE - AVENIDA NOEL NUTELS, 1762 - SHOPPING SAMAUMA - N41444</t>
  </si>
  <si>
    <t>LOJA 2094/2095</t>
  </si>
  <si>
    <t>N41444</t>
  </si>
  <si>
    <t>02337524001250</t>
  </si>
  <si>
    <t>LOJAS AMERICANAS - RUA BATISTA DE CARVALHO, 651 - ZONA COMERCIAL - SPI19498</t>
  </si>
  <si>
    <t>17053460</t>
  </si>
  <si>
    <t>-22.32325, -49.0754332</t>
  </si>
  <si>
    <t>SPI19498</t>
  </si>
  <si>
    <t>776574036770</t>
  </si>
  <si>
    <t>L016</t>
  </si>
  <si>
    <t>LOJAS CEM - RUA GOVERNADOR PEDRO DE TOLEDO, 500 - ZONA COMERCIAL - SPI11528</t>
  </si>
  <si>
    <t>RUA GOVERNADOR PEDRO DE TOLEDO</t>
  </si>
  <si>
    <t>Piracicaba</t>
  </si>
  <si>
    <t>13400060</t>
  </si>
  <si>
    <t>-22.72238 , -47.646358</t>
  </si>
  <si>
    <t>SPI11528</t>
  </si>
  <si>
    <t>56642960001696</t>
  </si>
  <si>
    <t>PIRACI</t>
  </si>
  <si>
    <t>LOJAS CEM - AVENIDA THIAGO FERREIRA, 500 - ZONA COMERCIAL - SPC20125</t>
  </si>
  <si>
    <t>VICENTE DE CARVALHO</t>
  </si>
  <si>
    <t>-23.941164 , -46.304623</t>
  </si>
  <si>
    <t>SPC20125</t>
  </si>
  <si>
    <t>56642960012469</t>
  </si>
  <si>
    <t>VICARV</t>
  </si>
  <si>
    <t>MAGAZINE LUIZA - RUA DOM AQUINO, 1259 - MGCO77225</t>
  </si>
  <si>
    <t>1259</t>
  </si>
  <si>
    <t>-20.4613358 , -54.6190491</t>
  </si>
  <si>
    <t>MGCO77225</t>
  </si>
  <si>
    <t>47960950063719</t>
  </si>
  <si>
    <t>MAGAZINE LUIZA - RUA 13 DE JULHO, 421 - MGCO229780</t>
  </si>
  <si>
    <t>RUA 13 DE JULHO</t>
  </si>
  <si>
    <t>78020000</t>
  </si>
  <si>
    <t>-15.6018518 , -56.0982354</t>
  </si>
  <si>
    <t>MGCO229780</t>
  </si>
  <si>
    <t>47960950132621</t>
  </si>
  <si>
    <t>1193</t>
  </si>
  <si>
    <t>PONTO FRIO - DOUTOR NILO PECANHA, S/N - ZONA COMERCIAL - RJES6737</t>
  </si>
  <si>
    <t>PRACA DOUTOR LUIZ PALMIER</t>
  </si>
  <si>
    <t>24440470</t>
  </si>
  <si>
    <t>-22.822951 , -43.045769</t>
  </si>
  <si>
    <t>RJES6737</t>
  </si>
  <si>
    <t>33041260155109</t>
  </si>
  <si>
    <t>970</t>
  </si>
  <si>
    <t>CASAS BAHIA - AVENIDA THIAGO FERREIRA, 235 - ZONA COMERCIAL - SPC11311</t>
  </si>
  <si>
    <t>R.CUNHAMBEBE,40/42</t>
  </si>
  <si>
    <t>-23.942297 , -46.302544</t>
  </si>
  <si>
    <t>SPC11311</t>
  </si>
  <si>
    <t>33041260091887</t>
  </si>
  <si>
    <t>1069</t>
  </si>
  <si>
    <t>CASAS BAHIA - AVENIDA JOAQUIM LEITE, 299 - ZONA COMERCIAL - RJES18918</t>
  </si>
  <si>
    <t>AVENIDA JOAQUIM LEITE</t>
  </si>
  <si>
    <t>Barra Mansa</t>
  </si>
  <si>
    <t>27330042</t>
  </si>
  <si>
    <t>-22.545261 , -44.170303</t>
  </si>
  <si>
    <t>RJES18918</t>
  </si>
  <si>
    <t>33041260079089</t>
  </si>
  <si>
    <t>1167</t>
  </si>
  <si>
    <t>CLARO - RUA YOLANDA SAAD ABUZAID, 150 - RJES21192</t>
  </si>
  <si>
    <t>RUA YOLANDA SAAD ABUZAID</t>
  </si>
  <si>
    <t>24710460</t>
  </si>
  <si>
    <t>-22.8213419 , -43.0014578</t>
  </si>
  <si>
    <t>RJES21192</t>
  </si>
  <si>
    <t>40432544004487</t>
  </si>
  <si>
    <t>CLARO - SCS QUADRA 07 BLOCO A, S/N - PATIO BRASIL SHOPPING - MGCO6799</t>
  </si>
  <si>
    <t>MGCO6799</t>
  </si>
  <si>
    <t>40432544047291</t>
  </si>
  <si>
    <t>6111</t>
  </si>
  <si>
    <t>LOJAS AMERICANAS - AVENIDA JOAO DURVAL CARNEIRO, 3665 - SHOPPING BOULEVARD FEIRA DE SANTANA - NE5558</t>
  </si>
  <si>
    <t>LOJA 179B</t>
  </si>
  <si>
    <t>44037010</t>
  </si>
  <si>
    <t>-12.241923 , -38.948959</t>
  </si>
  <si>
    <t>NE5558</t>
  </si>
  <si>
    <t>776574136139</t>
  </si>
  <si>
    <t>L250</t>
  </si>
  <si>
    <t>LOJAS AMERICANAS - ESTRADA DO PORTELA, 222 - SHOPPING MADUREIRA - RJES7527</t>
  </si>
  <si>
    <t>LOJA 302</t>
  </si>
  <si>
    <t>21351050</t>
  </si>
  <si>
    <t>RJES7527</t>
  </si>
  <si>
    <t>776574121530</t>
  </si>
  <si>
    <t>L258</t>
  </si>
  <si>
    <t>LOJAS CEM - AVENIDA DOMINGOS DA COSTA GRIMALDI, 41 - ZONA COMERCIAL - SPC22091</t>
  </si>
  <si>
    <t>AVENIDA DOMINGOS DA COSTA GRIMALDI</t>
  </si>
  <si>
    <t>-24.3208333, -46.9972222</t>
  </si>
  <si>
    <t>SPC22091</t>
  </si>
  <si>
    <t>56642960013279</t>
  </si>
  <si>
    <t>PERUÍB</t>
  </si>
  <si>
    <t>LOJAS CEM - RUA DEMERSON ROMANO, 42 - ZONA COMERCIAL - SPC46121</t>
  </si>
  <si>
    <t>RUA DEMERSON ROMANO</t>
  </si>
  <si>
    <t>42</t>
  </si>
  <si>
    <t>7985170</t>
  </si>
  <si>
    <t>-23.286064 , -46.743019</t>
  </si>
  <si>
    <t>SPC46121</t>
  </si>
  <si>
    <t>56642960008437</t>
  </si>
  <si>
    <t>FMORAT</t>
  </si>
  <si>
    <t>PONTO FRIO - AVENIDA JOAQUIM LEITE, 499 - ZONA COMERCIAL - RJES18917</t>
  </si>
  <si>
    <t>RUA JOAQUIM LEITE</t>
  </si>
  <si>
    <t>499</t>
  </si>
  <si>
    <t>27330040</t>
  </si>
  <si>
    <t>-22.544884 , -44.172325</t>
  </si>
  <si>
    <t>RJES18917</t>
  </si>
  <si>
    <t>33041260016400</t>
  </si>
  <si>
    <t>175</t>
  </si>
  <si>
    <t>TIM - RUA DOS ANDRADAS, 1659 - ZONA COMERCIAL - SUL7815</t>
  </si>
  <si>
    <t>RUA DAS ANDRADAS</t>
  </si>
  <si>
    <t>1659</t>
  </si>
  <si>
    <t>-30.0298853, -51.2248817</t>
  </si>
  <si>
    <t>SUL7815</t>
  </si>
  <si>
    <t>242121022433</t>
  </si>
  <si>
    <t>C058</t>
  </si>
  <si>
    <t>CASAS BAHIA - AVENIDA JABAQUARA, 452 - ZONA COMERCIAL - SPC19719</t>
  </si>
  <si>
    <t>AVENIDA JABAQUARA</t>
  </si>
  <si>
    <t>458,464 E 470</t>
  </si>
  <si>
    <t>MIRANDOPOLIS</t>
  </si>
  <si>
    <t>4046000</t>
  </si>
  <si>
    <t>-23.61001 , -46.63797</t>
  </si>
  <si>
    <t>SPC19719</t>
  </si>
  <si>
    <t>33041260100703</t>
  </si>
  <si>
    <t>1068</t>
  </si>
  <si>
    <t>CASAS BAHIA - AVENIDA PEREIRA BARRETO, 42 - SHOPPING ABC - SPC11374</t>
  </si>
  <si>
    <t>AVENIDA PEREIRA BARRETO</t>
  </si>
  <si>
    <t>EUC 6,PISO PB</t>
  </si>
  <si>
    <t>VILA DORA</t>
  </si>
  <si>
    <t>9190210</t>
  </si>
  <si>
    <t>-23.667936 , -46.533657</t>
  </si>
  <si>
    <t>SPC11374</t>
  </si>
  <si>
    <t>33041260120739</t>
  </si>
  <si>
    <t>1372</t>
  </si>
  <si>
    <t>Shopping Abc</t>
  </si>
  <si>
    <t>CASAS BAHIA - RUA IZAAC FERREIRA DA CRUZ, 3632 - ZONA COMERCIAL - SUL19550</t>
  </si>
  <si>
    <t>RUA IZAAC FERREIRA DA CRUZ</t>
  </si>
  <si>
    <t>3632</t>
  </si>
  <si>
    <t>SITIO CERCADO</t>
  </si>
  <si>
    <t>81910000</t>
  </si>
  <si>
    <t>-25.5349751 , -49.2679541</t>
  </si>
  <si>
    <t>SUL19550</t>
  </si>
  <si>
    <t>33041260091372</t>
  </si>
  <si>
    <t>1242</t>
  </si>
  <si>
    <t>HS - AVENIDA RIO NEGRO, 1100 - FRANCA SHOPPING - SPI80057</t>
  </si>
  <si>
    <t>SPI80057</t>
  </si>
  <si>
    <t>5923253003842</t>
  </si>
  <si>
    <t>HS - RUA PORTAO DA PIEDADE, 155 - SHOPPING CENTER LAPA SALVADOR - NE269710</t>
  </si>
  <si>
    <t>40070900</t>
  </si>
  <si>
    <t>-12.9830493 , -38.51373220000001</t>
  </si>
  <si>
    <t>NE269710</t>
  </si>
  <si>
    <t>5923253006191</t>
  </si>
  <si>
    <t>CELL NET - RUA DO COMERCIO, 369 - MGCO273160</t>
  </si>
  <si>
    <t>72800010</t>
  </si>
  <si>
    <t>-16.2544747,-47.9549481</t>
  </si>
  <si>
    <t>MGCO273160</t>
  </si>
  <si>
    <t>4601016001182</t>
  </si>
  <si>
    <t>CLARO - RUA SENADOR FELIPE SCHIMIDT, 235 - SHOPPING MUELLER - SUL7020</t>
  </si>
  <si>
    <t>AVENIDA SENADOR FELIPE SCHIMIDT</t>
  </si>
  <si>
    <t>LOJA 9,P010</t>
  </si>
  <si>
    <t>89201900</t>
  </si>
  <si>
    <t>-26.303774 , -48.849102</t>
  </si>
  <si>
    <t>SUL7020</t>
  </si>
  <si>
    <t>40432544008806</t>
  </si>
  <si>
    <t>4803</t>
  </si>
  <si>
    <t>Shopping Mueller Joinville</t>
  </si>
  <si>
    <t>LOJAS AMERICANAS - AVENIDA RECANTO DAS EMAS, 01 - MGCO46030</t>
  </si>
  <si>
    <t>OUTROS CENTO E TRES</t>
  </si>
  <si>
    <t>LOTE 3/4</t>
  </si>
  <si>
    <t>72610321</t>
  </si>
  <si>
    <t>-15.9021005, -48.0658469</t>
  </si>
  <si>
    <t>MGCO46030</t>
  </si>
  <si>
    <t>776574009021</t>
  </si>
  <si>
    <t>L211</t>
  </si>
  <si>
    <t>LOJAS AMERICANAS - RUA NOVA JERSEY, 297 - SHOPPING SAO GONCALO - RJES6983</t>
  </si>
  <si>
    <t>RUA NOVA JERSEY</t>
  </si>
  <si>
    <t>297</t>
  </si>
  <si>
    <t>BOA VISTA</t>
  </si>
  <si>
    <t>24466240</t>
  </si>
  <si>
    <t>-22.813352206101843 , -43.07036831104506</t>
  </si>
  <si>
    <t>RJES6983</t>
  </si>
  <si>
    <t>776574082888</t>
  </si>
  <si>
    <t>L184</t>
  </si>
  <si>
    <t>Shopping Sao Goncalo</t>
  </si>
  <si>
    <t>LOJAS CEM - AVENIDA FRANCISCO FERREIRA LOPES, 2615 - ZONA COMERCIAL - SPC20142</t>
  </si>
  <si>
    <t>AVENIDA FRANCISCO FERREIRA LOPES</t>
  </si>
  <si>
    <t>2615</t>
  </si>
  <si>
    <t>BRAZ CUBAS</t>
  </si>
  <si>
    <t>8745000</t>
  </si>
  <si>
    <t>-23.537525 , -46.22377</t>
  </si>
  <si>
    <t>SPC20142</t>
  </si>
  <si>
    <t>56642960016707</t>
  </si>
  <si>
    <t>MGCBRA</t>
  </si>
  <si>
    <t>MAGAZINE LUIZA - AVENIDA OTTO NIEMEYER, 2795 - ZONA COMERCIAL - SUL64244</t>
  </si>
  <si>
    <t>AVENIDA OTTO NIEMEYER</t>
  </si>
  <si>
    <t>2795</t>
  </si>
  <si>
    <t>TRISTEZA</t>
  </si>
  <si>
    <t>91910001</t>
  </si>
  <si>
    <t>-30.102314 , -51.231706</t>
  </si>
  <si>
    <t>SUL64244</t>
  </si>
  <si>
    <t>47960950097451</t>
  </si>
  <si>
    <t>633</t>
  </si>
  <si>
    <t>MAGAZINE LUIZA - RUA DOUTOR JOAO RIBEIRO, 304 - SHOPPING PENHA - SPC7090</t>
  </si>
  <si>
    <t>RUA DOUTOR JOAO RIBEIRO</t>
  </si>
  <si>
    <t>LOJA 2123 E 2130</t>
  </si>
  <si>
    <t>PENHA DE FRANCA</t>
  </si>
  <si>
    <t>3634000</t>
  </si>
  <si>
    <t>-23.525249 , -46.546898</t>
  </si>
  <si>
    <t>SPC7090</t>
  </si>
  <si>
    <t>47960950054647</t>
  </si>
  <si>
    <t>Shopping Penha</t>
  </si>
  <si>
    <t>MAGAZINE LUIZA - RUA SANTOS DUMONT, 58 - RJES241210</t>
  </si>
  <si>
    <t>RUA SANTOS DUMONT</t>
  </si>
  <si>
    <t>28010220</t>
  </si>
  <si>
    <t>-21.7567592, -41.3230566</t>
  </si>
  <si>
    <t>RJES241210</t>
  </si>
  <si>
    <t>47960950171791</t>
  </si>
  <si>
    <t>1547</t>
  </si>
  <si>
    <t>TIM - RUA PORTAO DA PIEDADE, 155 - SHOPPING CENTER LAPA - NE10403</t>
  </si>
  <si>
    <t>LUC 217</t>
  </si>
  <si>
    <t>NE10403</t>
  </si>
  <si>
    <t>2421421018835</t>
  </si>
  <si>
    <t>C297</t>
  </si>
  <si>
    <t>VIVO - AVENIDA EXPEDITO GARCIA, 173 - ZONA COMERCIAL - RJES19709</t>
  </si>
  <si>
    <t>CAMPOGRANDE</t>
  </si>
  <si>
    <t>-20.3419205 , -40.3839808</t>
  </si>
  <si>
    <t>RJES19709</t>
  </si>
  <si>
    <t>2558157016832</t>
  </si>
  <si>
    <t>LOJA CAMPO GRANDE ES</t>
  </si>
  <si>
    <t>CARREFOUR - RUA PAMPLONA, 1704 - ZONA COMERCIAL - SPC20235</t>
  </si>
  <si>
    <t>RUA PAMPLONA</t>
  </si>
  <si>
    <t>1704</t>
  </si>
  <si>
    <t>1405907</t>
  </si>
  <si>
    <t>-23.570596593829446, -46.66098995791038</t>
  </si>
  <si>
    <t>SPC20235</t>
  </si>
  <si>
    <t>45543915098300</t>
  </si>
  <si>
    <t>EPL</t>
  </si>
  <si>
    <t>CASAS BAHIA - AVENIDA PEDRO ADAMS FILHO, 5325 - ZONA COMERCIAL - SUL10071</t>
  </si>
  <si>
    <t>5333</t>
  </si>
  <si>
    <t>5335 E 5337</t>
  </si>
  <si>
    <t>-29.685638 , -51.12973</t>
  </si>
  <si>
    <t>SUL10071</t>
  </si>
  <si>
    <t>33041260043300</t>
  </si>
  <si>
    <t>1473</t>
  </si>
  <si>
    <t>CASAS BAHIA - AVENIDA GENERAL FLORES DA CUNHA, 1924 - ZONA COMERCIAL - SUL42824</t>
  </si>
  <si>
    <t>AVENIDA GENERAL FLORES DA CUNHA</t>
  </si>
  <si>
    <t>1924</t>
  </si>
  <si>
    <t>LOJAS 2/3 SETOR 11</t>
  </si>
  <si>
    <t>VILA CACHOEIRINHA</t>
  </si>
  <si>
    <t>Cachoeirinha</t>
  </si>
  <si>
    <t>94910003</t>
  </si>
  <si>
    <t>-29.948649 , -51.095295</t>
  </si>
  <si>
    <t>SUL42824</t>
  </si>
  <si>
    <t>33041260161176</t>
  </si>
  <si>
    <t>1867</t>
  </si>
  <si>
    <t>CASAS BAHIA - AVENIDA BRASILIA, 146 - SHOPPING 3 AMERICAS - MGCO40399</t>
  </si>
  <si>
    <t>SALA 109A SUBSOLO</t>
  </si>
  <si>
    <t>JARDIM DAS AMERICAS</t>
  </si>
  <si>
    <t>78060601</t>
  </si>
  <si>
    <t>-15.612293 , -56.073612</t>
  </si>
  <si>
    <t>MGCO40399</t>
  </si>
  <si>
    <t>33041260155796</t>
  </si>
  <si>
    <t>1841</t>
  </si>
  <si>
    <t>Shopping 3 Americas</t>
  </si>
  <si>
    <t>CASAS BAHIA - AVENIDA SAO GONCALO, 100 - SHOPPING SAO GONCALO - RJES6137</t>
  </si>
  <si>
    <t>AVENIDA SAO GONCALO</t>
  </si>
  <si>
    <t>LOJA 277</t>
  </si>
  <si>
    <t>24466315</t>
  </si>
  <si>
    <t>-22.814234 , -43.070412</t>
  </si>
  <si>
    <t>RJES6137</t>
  </si>
  <si>
    <t>33041260088070</t>
  </si>
  <si>
    <t>1386</t>
  </si>
  <si>
    <t>CASAS BAHIA - AVENIDA BENJAMIN CONSTANT, 1138 - ZONA COMERCIAL - SUL38245</t>
  </si>
  <si>
    <t>RUA BENJAMIN CONSTANT</t>
  </si>
  <si>
    <t>1138</t>
  </si>
  <si>
    <t>-23.308662 , -51.161701</t>
  </si>
  <si>
    <t>SUL38245</t>
  </si>
  <si>
    <t>33041260146290</t>
  </si>
  <si>
    <t>1754</t>
  </si>
  <si>
    <t>CASAS BAHIA - AVENIDA TEIXEIRA E SOUZA , 245 - ZONA COMERCIAL - RJES11728</t>
  </si>
  <si>
    <t>AVENIDA TEIXEIRA E SOUZA</t>
  </si>
  <si>
    <t>Cabo Frio</t>
  </si>
  <si>
    <t>28907410</t>
  </si>
  <si>
    <t>-22.880935 , -42.0207515</t>
  </si>
  <si>
    <t>RJES11728</t>
  </si>
  <si>
    <t>33041260079240</t>
  </si>
  <si>
    <t>1351</t>
  </si>
  <si>
    <t>CASAS BAHIA - RUA HAMILTON PRADO, 211 - ZONA COMERCIAL - SPC23039</t>
  </si>
  <si>
    <t>RUA DOUTOR HAMILTON PRADO</t>
  </si>
  <si>
    <t>Franco da Rocha</t>
  </si>
  <si>
    <t>7801000</t>
  </si>
  <si>
    <t>-23.324682 , -46.725529</t>
  </si>
  <si>
    <t>SPC23039</t>
  </si>
  <si>
    <t>33041260098385</t>
  </si>
  <si>
    <t>1127</t>
  </si>
  <si>
    <t>FUJIOKA - AVENIDA INDEPENDENCIA , 3822 - ZONA COMERCIAL - MGCO19023</t>
  </si>
  <si>
    <t>3822</t>
  </si>
  <si>
    <t>74055045</t>
  </si>
  <si>
    <t>-16.663637 , -49.259285</t>
  </si>
  <si>
    <t>MGCO19023</t>
  </si>
  <si>
    <t>01008713000750</t>
  </si>
  <si>
    <t>INDEPENDENCIA</t>
  </si>
  <si>
    <t>LOJAS CEM - AVENIDA CONDESSA DE VIMIEIROS, 84 - ZONA COMERCIAL - SPC42615</t>
  </si>
  <si>
    <t>AVENIDA CONDESSA DE VIMIEIROS</t>
  </si>
  <si>
    <t>Itanhaém</t>
  </si>
  <si>
    <t>11740000</t>
  </si>
  <si>
    <t>-24.184774 , -46.788063</t>
  </si>
  <si>
    <t>SPC42615</t>
  </si>
  <si>
    <t>56642960008194</t>
  </si>
  <si>
    <t>ITANHA</t>
  </si>
  <si>
    <t>LOJAS CEM - RUA DOS EXPEDICIONARIOS, 164 - ZONA COMERCIAL - SPC37598</t>
  </si>
  <si>
    <t>AVENIDA DOS EXPEDICIONARIOS</t>
  </si>
  <si>
    <t>7803010</t>
  </si>
  <si>
    <t>-23.329304 , -46.727512</t>
  </si>
  <si>
    <t>SPC37598</t>
  </si>
  <si>
    <t>56642960007899</t>
  </si>
  <si>
    <t>FROCHA</t>
  </si>
  <si>
    <t>MAGAZINE LUIZA - AVENIDA FLORES DA CUNHA, 1924 - ZONA COMERCIAL - SUL11459</t>
  </si>
  <si>
    <t>AVENIDA FLORES DA CUNHA</t>
  </si>
  <si>
    <t>99500000</t>
  </si>
  <si>
    <t>-29.9479984, -51.0947407</t>
  </si>
  <si>
    <t>SUL11459</t>
  </si>
  <si>
    <t>47960950027240</t>
  </si>
  <si>
    <t>325</t>
  </si>
  <si>
    <t>MAGAZINE LUIZA - RUA GOVERNADOR PEDRO DE TOLEDO, 973 - ZONA COMERCIAL - SPI11524</t>
  </si>
  <si>
    <t>973</t>
  </si>
  <si>
    <t>13400070</t>
  </si>
  <si>
    <t>-22.728159 , -47.649143</t>
  </si>
  <si>
    <t>SPI11524</t>
  </si>
  <si>
    <t>47960950065096</t>
  </si>
  <si>
    <t>947</t>
  </si>
  <si>
    <t>MAGAZINE LUIZA - AVENIDA NOSSA SENHORA DE COPACABANA, 750 - RJES241200</t>
  </si>
  <si>
    <t>AVENIDA NOSSA SENHORA DE COPACABANA</t>
  </si>
  <si>
    <t>750B</t>
  </si>
  <si>
    <t>Copacabana</t>
  </si>
  <si>
    <t>22050001</t>
  </si>
  <si>
    <t>-22.9720762, -43.1878163</t>
  </si>
  <si>
    <t>RJES241200</t>
  </si>
  <si>
    <t>47960950176408</t>
  </si>
  <si>
    <t>1622</t>
  </si>
  <si>
    <t>AQUILON JUFAP (TIM) - AVENIDA THEODORO VICTORELLI, 150 - BOULEVARD LONDRINA SHOPPING - SUL9135</t>
  </si>
  <si>
    <t>SUL9135</t>
  </si>
  <si>
    <t>81214819002016</t>
  </si>
  <si>
    <t>JUFAP ADMINISTRAÇÃO - LONDRINA SHOPPING BOULEVARD - SAP (34284)</t>
  </si>
  <si>
    <t>CARREFOUR - RUA DOUTOR ALFREDO BACKER, 500 - ZONA COMERCIAL - RJES21190</t>
  </si>
  <si>
    <t>-22.818655 , -43.007639</t>
  </si>
  <si>
    <t>RJES21190</t>
  </si>
  <si>
    <t>45543915022665</t>
  </si>
  <si>
    <t>CAL</t>
  </si>
  <si>
    <t>CASAS BAHIA - AVENIDA AFONSO VAZ DE MELO, 640 - SHOPPING VIA SHOPPING - MGCO18794</t>
  </si>
  <si>
    <t>AVENIDA AFONSO VAZ DE MELO</t>
  </si>
  <si>
    <t>640</t>
  </si>
  <si>
    <t>LOJAS 214 A 217</t>
  </si>
  <si>
    <t>30640070</t>
  </si>
  <si>
    <t>-19.974022 , -44.021271</t>
  </si>
  <si>
    <t>MGCO18794</t>
  </si>
  <si>
    <t>33041260132583</t>
  </si>
  <si>
    <t>1356</t>
  </si>
  <si>
    <t>Shopping Via Shopping</t>
  </si>
  <si>
    <t>CASAS BAHIA - AVENIDA LIMEIRA, 722 - SHOPPING PIRACICABA - SPI8476</t>
  </si>
  <si>
    <t>AVENIDA LIMEIRA</t>
  </si>
  <si>
    <t>722</t>
  </si>
  <si>
    <t>SUC S B4,P2/4,TÉRREO</t>
  </si>
  <si>
    <t>VILA AREAO</t>
  </si>
  <si>
    <t>13414018</t>
  </si>
  <si>
    <t>-22.703156 , -47.650158</t>
  </si>
  <si>
    <t>SPI8476</t>
  </si>
  <si>
    <t>33041260093740</t>
  </si>
  <si>
    <t>1407</t>
  </si>
  <si>
    <t>Shopping Piracicaba</t>
  </si>
  <si>
    <t>CASAS BAHIA - AVENIDA SANTA BARBARA, 777 - SHOPPING TIVOLI - SPI9025</t>
  </si>
  <si>
    <t>AVENIDA SANTA BARBARA</t>
  </si>
  <si>
    <t>RUA OSMIO,699</t>
  </si>
  <si>
    <t>VILA MOLLON</t>
  </si>
  <si>
    <t>Santa Bárbara d'Oeste</t>
  </si>
  <si>
    <t>13450000</t>
  </si>
  <si>
    <t>-22.748859 , -47.367607</t>
  </si>
  <si>
    <t>SPI9025</t>
  </si>
  <si>
    <t>33041260006790</t>
  </si>
  <si>
    <t>1918</t>
  </si>
  <si>
    <t>Shopping Tivoli</t>
  </si>
  <si>
    <t>CASAS BAHIA - RUA JOAO PESSOA, 320 - NE244750</t>
  </si>
  <si>
    <t>49010911</t>
  </si>
  <si>
    <t>-10.9096735,-37.051344</t>
  </si>
  <si>
    <t>NE244750</t>
  </si>
  <si>
    <t>33041260188708</t>
  </si>
  <si>
    <t>2268</t>
  </si>
  <si>
    <t>CASAS BAHIA - ESTRADA MUNICIPAL DO MANDI, 1205 - ITAQUA GARDEN SHOPPING - SPC262030</t>
  </si>
  <si>
    <t>ESTRADA MUNICIPAL DO MANDI</t>
  </si>
  <si>
    <t>JARDIM ADRIANE</t>
  </si>
  <si>
    <t>8596000</t>
  </si>
  <si>
    <t>-23.4752918,-46.3283816</t>
  </si>
  <si>
    <t>SPC262030</t>
  </si>
  <si>
    <t>33041260166720</t>
  </si>
  <si>
    <t>2061</t>
  </si>
  <si>
    <t>Itaqua Garden Shopping</t>
  </si>
  <si>
    <t>LOJAS AMERICANAS - RUA DO OUVIDOR, 175 - RJES6974</t>
  </si>
  <si>
    <t>RUA OUVIDOR</t>
  </si>
  <si>
    <t>175 E 177</t>
  </si>
  <si>
    <t>20040030</t>
  </si>
  <si>
    <t>-22.904583 , -43.179901</t>
  </si>
  <si>
    <t>RJES6974</t>
  </si>
  <si>
    <t>776574032279</t>
  </si>
  <si>
    <t>L005</t>
  </si>
  <si>
    <t>LOJAS AMERICANAS - AVENIDA HISTORIADOR RUBENS DE MENDONCA, 3300 - SHOPPING PANTANAL - MGCO229150</t>
  </si>
  <si>
    <t>MGCO229150</t>
  </si>
  <si>
    <t>776574076560</t>
  </si>
  <si>
    <t>L208</t>
  </si>
  <si>
    <t>MAGAZINE LUIZA - RUA CASEMIRO DE ABREU, 1663 - RJES274670</t>
  </si>
  <si>
    <t>RUA CASEMIRO DE ABREU</t>
  </si>
  <si>
    <t>1663</t>
  </si>
  <si>
    <t>LOJA 1663</t>
  </si>
  <si>
    <t>28927797</t>
  </si>
  <si>
    <t>-22.8806119,-42.0261914</t>
  </si>
  <si>
    <t>RJES274670</t>
  </si>
  <si>
    <t>47960950188414</t>
  </si>
  <si>
    <t>TIM - RODOVIA SC 401, 3116 - FLORIPA SHOPPING - SUL45924</t>
  </si>
  <si>
    <t>LOJA 145</t>
  </si>
  <si>
    <t>SUL45924</t>
  </si>
  <si>
    <t>2421421009410</t>
  </si>
  <si>
    <t>C308</t>
  </si>
  <si>
    <t>CASAS BAHIA - AVENIDA MARECHAL DEODORO, 74 - ZONA COMERCIAL - NE9344</t>
  </si>
  <si>
    <t>74</t>
  </si>
  <si>
    <t>78, 82, 84 E 88</t>
  </si>
  <si>
    <t>-12.255877 , -38.966492</t>
  </si>
  <si>
    <t>NE9344</t>
  </si>
  <si>
    <t>33041260141221</t>
  </si>
  <si>
    <t>1157</t>
  </si>
  <si>
    <t>CASAS BAHIA - RUA DO COMERCIO, 288 - ZONA COMERCIAL - NE10678</t>
  </si>
  <si>
    <t>288</t>
  </si>
  <si>
    <t>-9.662706 , -35.737869</t>
  </si>
  <si>
    <t>NE10678</t>
  </si>
  <si>
    <t>33041260104962</t>
  </si>
  <si>
    <t>1688</t>
  </si>
  <si>
    <t>CASAS BAHIA - AVENIDA GOVERNADOR AGAMENON MAGALHAES, 1167 - NE246910</t>
  </si>
  <si>
    <t>JABOATÃO DOS GUARARAPES</t>
  </si>
  <si>
    <t>54250000</t>
  </si>
  <si>
    <t>-8.0914476,-34.9752265</t>
  </si>
  <si>
    <t>NE246910</t>
  </si>
  <si>
    <t>33041260199149</t>
  </si>
  <si>
    <t>2319</t>
  </si>
  <si>
    <t>CASAS BAHIA - RUA RUBENS DE OLIVEIRA, 15 - ZONA COMERCIAL - SPC11235</t>
  </si>
  <si>
    <t>RUA RUBENS DE OLIVEIRA</t>
  </si>
  <si>
    <t>PARQUE COCAIA</t>
  </si>
  <si>
    <t>4849210</t>
  </si>
  <si>
    <t>-23.7432252, -46.6650387</t>
  </si>
  <si>
    <t>SPC11235</t>
  </si>
  <si>
    <t>33041260102161</t>
  </si>
  <si>
    <t>1406</t>
  </si>
  <si>
    <t>TELECEL (CLARO) - RODOVIA BR 040 KM 12 GLEBA F, S/N - SHOPPING SUL - MGCO19995</t>
  </si>
  <si>
    <t>RODOVIA BR 040 KM 12 GLEBA F</t>
  </si>
  <si>
    <t>-16.0791607 , -47.9845471</t>
  </si>
  <si>
    <t>MGCO19995</t>
  </si>
  <si>
    <t>3555618001854</t>
  </si>
  <si>
    <t>CLARO - AVENIDA JOAO DURVAL CARNEIRO, 3665 - SHOPPING BOULEVARD FEIRA DE SANTANA - NE5570</t>
  </si>
  <si>
    <t>LOJA 252</t>
  </si>
  <si>
    <t>NE5570</t>
  </si>
  <si>
    <t>40432544022892</t>
  </si>
  <si>
    <t>7109</t>
  </si>
  <si>
    <t>CLARO - RUA MANOEL DA NOBREGA, 712, LOJA 248/249 - SHOPPING PRACA DA MOCA - SPC47263</t>
  </si>
  <si>
    <t>RUA MANOEL DA NOBREGA, 712</t>
  </si>
  <si>
    <t>9910720</t>
  </si>
  <si>
    <t>-23.691524 , -46.62323930000002</t>
  </si>
  <si>
    <t>SPC47263</t>
  </si>
  <si>
    <t>40432544033746</t>
  </si>
  <si>
    <t>HAVAN - RUA BEJAMIM CONSTANT, 777 - ZONA COMERCIAL - SUL18774</t>
  </si>
  <si>
    <t>RUA BEJAMIM CONSTANT</t>
  </si>
  <si>
    <t>86020320</t>
  </si>
  <si>
    <t>-23.3091021 , -51.1582687</t>
  </si>
  <si>
    <t>SUL18774</t>
  </si>
  <si>
    <t>79379491004928</t>
  </si>
  <si>
    <t>52 - LONDRINA CENTRO</t>
  </si>
  <si>
    <t>LOJAS AMERICANAS  - RUA DO COMERCIO, 173 - NE79827</t>
  </si>
  <si>
    <t>-9.6656911 , -35.7371544</t>
  </si>
  <si>
    <t>NE79827</t>
  </si>
  <si>
    <t>776574100703</t>
  </si>
  <si>
    <t>1287</t>
  </si>
  <si>
    <t>MAGAZINE LUIZA - AVENIDA GOVERNADOR AGAMENON MAGALHAES, 1178 - NE238240</t>
  </si>
  <si>
    <t>Cavaleiro</t>
  </si>
  <si>
    <t>-8.0908368, -34.9733769</t>
  </si>
  <si>
    <t>NE238240</t>
  </si>
  <si>
    <t>47960950097028</t>
  </si>
  <si>
    <t>TIM - AVENIDA JOAO DURVAL CARNEIRO, 3665 - SHOPPING BOULEVARD FEIRA DE SANTANA - NE10426</t>
  </si>
  <si>
    <t>LOJA 209</t>
  </si>
  <si>
    <t>NE10426</t>
  </si>
  <si>
    <t>2421421022867</t>
  </si>
  <si>
    <t>C296</t>
  </si>
  <si>
    <t>VIVO - RUA ANDRADE NEVES, 1749 - ZONA COMERCIAL - SUL11135</t>
  </si>
  <si>
    <t>-31.766499 , -52.341636</t>
  </si>
  <si>
    <t>SUL11135</t>
  </si>
  <si>
    <t>2558157032870</t>
  </si>
  <si>
    <t>LOJA PELOTAS RS</t>
  </si>
  <si>
    <t>CARREFOUR - ESTRADAS DAS CAPOEIRAS, 355 - RJES231270</t>
  </si>
  <si>
    <t>ESTRADAS DAS CAPOEIRAS</t>
  </si>
  <si>
    <t>355</t>
  </si>
  <si>
    <t>26220000</t>
  </si>
  <si>
    <t>-22.8923816 , -43.55980719999999</t>
  </si>
  <si>
    <t>RJES231270</t>
  </si>
  <si>
    <t>45543915025176</t>
  </si>
  <si>
    <t>CASAS BAHIA - AVENIDA ANHANGUERA, 4482 - ZONA COMERCIAL - MGCO6816</t>
  </si>
  <si>
    <t>4482</t>
  </si>
  <si>
    <t>4494</t>
  </si>
  <si>
    <t>-16.67362 , -49.254128</t>
  </si>
  <si>
    <t>MGCO6816</t>
  </si>
  <si>
    <t>33041260108798</t>
  </si>
  <si>
    <t>1321</t>
  </si>
  <si>
    <t>CASAS BAHIA - ALAMEDA FILTROS MANN, 670 - POLO SHOPPING - SPI9892</t>
  </si>
  <si>
    <t>ALAMEDA FILTROS MANN</t>
  </si>
  <si>
    <t>LOJA SUC A 2</t>
  </si>
  <si>
    <t>JARDIM TROPICAL</t>
  </si>
  <si>
    <t>13344580</t>
  </si>
  <si>
    <t>-23.116777 , -47.219719</t>
  </si>
  <si>
    <t>SPI9892</t>
  </si>
  <si>
    <t>33041260090210</t>
  </si>
  <si>
    <t>1651</t>
  </si>
  <si>
    <t>Polo Shopping</t>
  </si>
  <si>
    <t>CASAS BAHIA - RUA DOUTOR ANTONIO DE SOUZA LEAO, 285 - NE246010</t>
  </si>
  <si>
    <t>RUA DOUTOR ANTONIO DE SOUZA LEAO</t>
  </si>
  <si>
    <t>CABO DE SANTO AGOSTINHO</t>
  </si>
  <si>
    <t>54505330</t>
  </si>
  <si>
    <t>-8.2870932,-35.0394338</t>
  </si>
  <si>
    <t>NE246010</t>
  </si>
  <si>
    <t>33041260165910</t>
  </si>
  <si>
    <t>2130</t>
  </si>
  <si>
    <t>LOJAS AMERICANAS - RODOVIA BR 040 KM 12 GLEBA F, S/N - SHOPPING SUL - MGCO18510</t>
  </si>
  <si>
    <t>MGCO18510</t>
  </si>
  <si>
    <t>776574119200</t>
  </si>
  <si>
    <t>L346</t>
  </si>
  <si>
    <t>LOJAS AMERICANAS - AVENIDA FRANCISCO MATARAZZO, S/N - SHOPPING WEST PLAZA - SPC20278</t>
  </si>
  <si>
    <t>AVENIDA FRANCISCO MATARAZZO</t>
  </si>
  <si>
    <t>AGUA BRANCA</t>
  </si>
  <si>
    <t>5003020</t>
  </si>
  <si>
    <t>-23.527136 , -46.673958</t>
  </si>
  <si>
    <t>SPC20278</t>
  </si>
  <si>
    <t>776574093308</t>
  </si>
  <si>
    <t>L127</t>
  </si>
  <si>
    <t>Shopping West Plaza</t>
  </si>
  <si>
    <t>LOJAS CEM - AVENIDA JOAQUIM LEITE, 221 - ZONA COMERCIAL - RJES18920</t>
  </si>
  <si>
    <t>27330041</t>
  </si>
  <si>
    <t>-22.545376 , -44.169655</t>
  </si>
  <si>
    <t>RJES18920</t>
  </si>
  <si>
    <t>56642960010849</t>
  </si>
  <si>
    <t>BMANSA</t>
  </si>
  <si>
    <t>MAGAZINE LUIZA - RUA LUIZ PISTARINI, 65 - RJES245170</t>
  </si>
  <si>
    <t>RUA LUIZ PISTARINI</t>
  </si>
  <si>
    <t>101 E 201</t>
  </si>
  <si>
    <t>RESENDE</t>
  </si>
  <si>
    <t>27542090</t>
  </si>
  <si>
    <t>-22.4628994,-44.4486494</t>
  </si>
  <si>
    <t>RJES245170</t>
  </si>
  <si>
    <t>47960950180863</t>
  </si>
  <si>
    <t>MAGAZINE LUIZA - ALAMEDA FILTROS MANN, 670 - POLO SHOPPING - SPI10630</t>
  </si>
  <si>
    <t>SPI10630</t>
  </si>
  <si>
    <t>47960950058987</t>
  </si>
  <si>
    <t>MAGAZINE LUIZA - AVENIDA AZENHA, 1007 - ZONA COMERCIAL - SUL8571</t>
  </si>
  <si>
    <t>AVENIDA AZENHA</t>
  </si>
  <si>
    <t>1007</t>
  </si>
  <si>
    <t>AZENHA</t>
  </si>
  <si>
    <t>90160002</t>
  </si>
  <si>
    <t>-30.052724582511374 , -51.21402072897092</t>
  </si>
  <si>
    <t>SUL8571</t>
  </si>
  <si>
    <t>47960950029618</t>
  </si>
  <si>
    <t>410</t>
  </si>
  <si>
    <t>MAGAZINE LUIZA - RUA COMENDADOR SANTANNA, 679 - ZONA COMERCIAL - SPC7048</t>
  </si>
  <si>
    <t>RUA COMENDADOR SANTANNA</t>
  </si>
  <si>
    <t>679</t>
  </si>
  <si>
    <t>CAPAO REDONDO</t>
  </si>
  <si>
    <t>5866000</t>
  </si>
  <si>
    <t>-23.672977 , -46.773399</t>
  </si>
  <si>
    <t>SPC7048</t>
  </si>
  <si>
    <t>47960950058634</t>
  </si>
  <si>
    <t>582</t>
  </si>
  <si>
    <t>MAGAZINE LUIZA - AVENIDA LIMEIRA, 722 - SHOPPING PIRACICABA - SPI259790</t>
  </si>
  <si>
    <t>AREIÃO</t>
  </si>
  <si>
    <t>13414900</t>
  </si>
  <si>
    <t>SPI259790</t>
  </si>
  <si>
    <t>47960950190150</t>
  </si>
  <si>
    <t>1803</t>
  </si>
  <si>
    <t>RIACHUELO - AVENIDA HISTORIADOR RUBENS DE MENDONCA, 3300 - SHOPPING PANTANAL - MGCO287830</t>
  </si>
  <si>
    <t>LOJA 106- PISO L1</t>
  </si>
  <si>
    <t>BOSQUE DA SAÚDE</t>
  </si>
  <si>
    <t>78050000</t>
  </si>
  <si>
    <t>MGCO287830</t>
  </si>
  <si>
    <t>33200056040957</t>
  </si>
  <si>
    <t>L312</t>
  </si>
  <si>
    <t>TIM - AVENIDA GOVERNADOR ROBERTO DA SILVEIRA, 540 - TOP SHOPPING - RJES7365</t>
  </si>
  <si>
    <t>LOJA 143, 144 E 145</t>
  </si>
  <si>
    <t>RJES7365</t>
  </si>
  <si>
    <t>2421421006748</t>
  </si>
  <si>
    <t>C190</t>
  </si>
  <si>
    <t>TIM - RUA ANTONIO AGU, 121 - ZONA COMERCIAL - SPC20170</t>
  </si>
  <si>
    <t>6013006</t>
  </si>
  <si>
    <t>-23.5290363 , -46.7761355</t>
  </si>
  <si>
    <t>SPC20170</t>
  </si>
  <si>
    <t>2421421828636</t>
  </si>
  <si>
    <t>VIVO FUTURA - RUA PADRE PEDRO PINTO, 1155 - MGCO233150</t>
  </si>
  <si>
    <t>LOJA  C E D</t>
  </si>
  <si>
    <t>-19.8144369 , -43.9604961</t>
  </si>
  <si>
    <t>MGCO233150</t>
  </si>
  <si>
    <t>07538340002406</t>
  </si>
  <si>
    <t>CARREFOUR - AVENIDA DAS AMERICAS, 5150 - ZONA COMERCIAL - RJES9098</t>
  </si>
  <si>
    <t>5150</t>
  </si>
  <si>
    <t>-22.997196 , -43.362988</t>
  </si>
  <si>
    <t>RJES9098</t>
  </si>
  <si>
    <t>45543915055245</t>
  </si>
  <si>
    <t>RJB</t>
  </si>
  <si>
    <t>CASAS BAHIA - RUA DEPUTADO CLARO CESAR , 156 - ZONA COMERCIAL - SPI87495</t>
  </si>
  <si>
    <t>RUA 7 DE SETEMBRO</t>
  </si>
  <si>
    <t>-22.924118 , -45.462093</t>
  </si>
  <si>
    <t>SPI87495</t>
  </si>
  <si>
    <t>33041260033259</t>
  </si>
  <si>
    <t>CASAS BAHIA - RUA PARANA, 289 - SPI245120</t>
  </si>
  <si>
    <t>19900001</t>
  </si>
  <si>
    <t>-22.9786172,-49.8711044</t>
  </si>
  <si>
    <t>SPI245120</t>
  </si>
  <si>
    <t>33041260154048</t>
  </si>
  <si>
    <t>1422</t>
  </si>
  <si>
    <t>CLARO - AVENIDA PARANA, 378 - SUL11016</t>
  </si>
  <si>
    <t>378 B</t>
  </si>
  <si>
    <t>-23.310934 , -51.16193</t>
  </si>
  <si>
    <t>SUL11016</t>
  </si>
  <si>
    <t>40432544025484</t>
  </si>
  <si>
    <t>4110</t>
  </si>
  <si>
    <t>LOJAS AMERICANAS - RUA EDUARDO DE MORAIS, S/N - SHOPPING PATTEO OLINDA - NE239380</t>
  </si>
  <si>
    <t>RUA EDUARDO DE MORAIS</t>
  </si>
  <si>
    <t>LOJA: 1419</t>
  </si>
  <si>
    <t>CASA CAIADA</t>
  </si>
  <si>
    <t>Olinda</t>
  </si>
  <si>
    <t>53130635</t>
  </si>
  <si>
    <t>-7.993477899999999, -34.8402871</t>
  </si>
  <si>
    <t>NE239380</t>
  </si>
  <si>
    <t>776574129353</t>
  </si>
  <si>
    <t>1419</t>
  </si>
  <si>
    <t>Shopping Patteo Olinda</t>
  </si>
  <si>
    <t>LOJAS CEM - RUA VEREADOR MARINHO HEMETERIO OLIVEIRA, 100 - ZONA COMERCIAL - RJES11711</t>
  </si>
  <si>
    <t>RUA VEREADOR  MARINHO HEMETERIO OLIVEIRA</t>
  </si>
  <si>
    <t>JARIDM HIMALAIA</t>
  </si>
  <si>
    <t>26323292</t>
  </si>
  <si>
    <t>-22.7174658 , -43.5556654</t>
  </si>
  <si>
    <t>RJES11711</t>
  </si>
  <si>
    <t>56642960010253</t>
  </si>
  <si>
    <t>QUEIMA</t>
  </si>
  <si>
    <t>LOJAS CEM - RUA NICOLAU KLUPPEL NETO, 517 - SUL268060</t>
  </si>
  <si>
    <t>RUA NICOLAU KLUPPEL NETO</t>
  </si>
  <si>
    <t>84062112</t>
  </si>
  <si>
    <t>-25.1005924,-50.2033121</t>
  </si>
  <si>
    <t>SUL268060</t>
  </si>
  <si>
    <t>56642960023665</t>
  </si>
  <si>
    <t>PGRORA</t>
  </si>
  <si>
    <t>GUAIBIM - ALAMEDA EUVALDO LUZ 92 - SHOPPING BELA VISTA - NE110700</t>
  </si>
  <si>
    <t>SALA L52 1 PISO</t>
  </si>
  <si>
    <t>HORTO BELA VISTA</t>
  </si>
  <si>
    <t>-12.9702226 , -38.4741374</t>
  </si>
  <si>
    <t>NE110700</t>
  </si>
  <si>
    <t>13850516015018</t>
  </si>
  <si>
    <t xml:space="preserve">LG 52 </t>
  </si>
  <si>
    <t>PONTO FRIO - RUA SANTOS DUMONT, 25 - ZONA COMERCIAL - RJES18712</t>
  </si>
  <si>
    <t>SUB.PAV.1,TERREO</t>
  </si>
  <si>
    <t>-21.757236 , -41.323032</t>
  </si>
  <si>
    <t>RJES18712</t>
  </si>
  <si>
    <t>33041260049333</t>
  </si>
  <si>
    <t>479</t>
  </si>
  <si>
    <t>VIVO FUTURA - RUA TUPIS, 337 - SHOPPING CIDADE - MGCO5789</t>
  </si>
  <si>
    <t>-19.9218454 , -43.9401018</t>
  </si>
  <si>
    <t>MGCO5789</t>
  </si>
  <si>
    <t>07538340001949</t>
  </si>
  <si>
    <t>CASAS BAHIA - RUA DA MATRIZ, 163 - ZONA COMERCIAL - RJES11816</t>
  </si>
  <si>
    <t>163</t>
  </si>
  <si>
    <t>167, 177 E 177A</t>
  </si>
  <si>
    <t>-22.802099991809374 , -43.371256376651786</t>
  </si>
  <si>
    <t>RJES11816</t>
  </si>
  <si>
    <t>33041260154552</t>
  </si>
  <si>
    <t>1839</t>
  </si>
  <si>
    <t>CASAS BAHIA - RUA TRAJANO BARROS CAMARGO, 1467 - ZONA COMERCIAL - SPI20978</t>
  </si>
  <si>
    <t>RUA DOUTOR TRAJANO DE BARROS CAMARGO</t>
  </si>
  <si>
    <t>FILIAL 234</t>
  </si>
  <si>
    <t>13480201</t>
  </si>
  <si>
    <t>-22.561684 , -47.403339</t>
  </si>
  <si>
    <t>SPI20978</t>
  </si>
  <si>
    <t>33041260031981</t>
  </si>
  <si>
    <t>CASAS BAHIA - AVENIDA OTAVIO BRAGA DE MESQUITA, 3954 - ZONA COMERCIAL - SPC11268</t>
  </si>
  <si>
    <t>AVENIDA OTAVIO BRAGA DE MESQUITA</t>
  </si>
  <si>
    <t>3954</t>
  </si>
  <si>
    <t>4066</t>
  </si>
  <si>
    <t>JARDIM SAO GERALDO</t>
  </si>
  <si>
    <t>7191000</t>
  </si>
  <si>
    <t>-23.431305 , -46.502998</t>
  </si>
  <si>
    <t>SPC11268</t>
  </si>
  <si>
    <t>33041260104024</t>
  </si>
  <si>
    <t>1046</t>
  </si>
  <si>
    <t>CASAS BAHIA - AVENIDA PRESIDENTE COSTA E SILVA, 408 - ZONA COMERCIAL - SPC6707</t>
  </si>
  <si>
    <t>AVENIDA PRESIDENTE COSTA E SILVA</t>
  </si>
  <si>
    <t>426,LOJAS 2 E 3</t>
  </si>
  <si>
    <t>BOQUEIRAO</t>
  </si>
  <si>
    <t>11700005</t>
  </si>
  <si>
    <t>-24.009674 , -46.414032</t>
  </si>
  <si>
    <t>SPC6707</t>
  </si>
  <si>
    <t>33041260092506</t>
  </si>
  <si>
    <t>1067</t>
  </si>
  <si>
    <t>CASAS BAHIA - RUA GENERAL DIVISAO PEDRO RODRIGUES DA SILVA, 400 - SHOPPING PARQUE BARUERI - SPC10650</t>
  </si>
  <si>
    <t>RUA GENERAL DIVISAO PEDRO RODRIGUES DA SILVA</t>
  </si>
  <si>
    <t>LOJA 1,1028</t>
  </si>
  <si>
    <t>NOVA ALDEINHA</t>
  </si>
  <si>
    <t>6440180</t>
  </si>
  <si>
    <t>-23.516281 , -46.855419</t>
  </si>
  <si>
    <t>SPC10650</t>
  </si>
  <si>
    <t>33041260105349</t>
  </si>
  <si>
    <t>1670</t>
  </si>
  <si>
    <t>Shopping Parque Barueri</t>
  </si>
  <si>
    <t>CLARO - AVENIDA LIMEIRA, 722 - SHOPPING PIRACICABA - SPI7109</t>
  </si>
  <si>
    <t>VILA REZENDE</t>
  </si>
  <si>
    <t>-22.7039888 , -47.64986649999999</t>
  </si>
  <si>
    <t>SPI7109</t>
  </si>
  <si>
    <t>40432544004649</t>
  </si>
  <si>
    <t>1934</t>
  </si>
  <si>
    <t>CLARO - RODOVIA RSC 453, 2780 - SHOPPING VILLAGIO CAXIAS - SUL7368</t>
  </si>
  <si>
    <t>KM 3,5 LOJA 343/344</t>
  </si>
  <si>
    <t>SUL7368</t>
  </si>
  <si>
    <t>40432544028076</t>
  </si>
  <si>
    <t>5124</t>
  </si>
  <si>
    <t>FUJIOKA - AVENIDA ASSIS CHATEAUBRIAND, 500 - ZONA COMERCIAL - MGCO42366</t>
  </si>
  <si>
    <t>AVENIDA ASSIS CHATEAUBRIAND</t>
  </si>
  <si>
    <t>SETOR OESTE</t>
  </si>
  <si>
    <t>74130011</t>
  </si>
  <si>
    <t>-16.6844745, -49.2637358</t>
  </si>
  <si>
    <t>MGCO42366</t>
  </si>
  <si>
    <t>1008713000679</t>
  </si>
  <si>
    <t>TAMANDARE</t>
  </si>
  <si>
    <t>GAZIN - AVENIDA ARY PAES BARRETO, 1753 - MGCO271300</t>
  </si>
  <si>
    <t>AVENIDA ARY PAES BARRETO</t>
  </si>
  <si>
    <t>78118091</t>
  </si>
  <si>
    <t>-15.6456049,-56.1072003</t>
  </si>
  <si>
    <t>MGCO271300</t>
  </si>
  <si>
    <t>779414900316201</t>
  </si>
  <si>
    <t>10315</t>
  </si>
  <si>
    <t>MAGAZINE LUIZA - RUA PROFESSOER JOAO CANDIDO, 175 - ZONA COMERCIAL - SUL90335</t>
  </si>
  <si>
    <t>RUA PROFESSOR JOAO CANDIDO</t>
  </si>
  <si>
    <t>86010000</t>
  </si>
  <si>
    <t>-23.309956 , -51.16151</t>
  </si>
  <si>
    <t>SUL90335</t>
  </si>
  <si>
    <t>47960950009340</t>
  </si>
  <si>
    <t>78</t>
  </si>
  <si>
    <t>MAGAZINE LUIZA - AVENIDA PRESIDENTE COSTA E SILVA, 144 - ZONA COMERCIAL - SPC6724</t>
  </si>
  <si>
    <t>-24.012041 , -46.414524</t>
  </si>
  <si>
    <t>SPC6724</t>
  </si>
  <si>
    <t>47960950051893</t>
  </si>
  <si>
    <t>523</t>
  </si>
  <si>
    <t>MAGAZINE LUIZA - AVENIDA SAO MIGUEL, 4505 - SPC22605</t>
  </si>
  <si>
    <t>AVENIDA SAO MIGUEL</t>
  </si>
  <si>
    <t>4505</t>
  </si>
  <si>
    <t>SAO MIGUEL</t>
  </si>
  <si>
    <t>3871100</t>
  </si>
  <si>
    <t>-23.5073734 , -46.4898901</t>
  </si>
  <si>
    <t>SPC22605</t>
  </si>
  <si>
    <t>47960950117231</t>
  </si>
  <si>
    <t>1118</t>
  </si>
  <si>
    <t>MAGAZINE LUIZA - ESTRADA DO CAMPO LIMPO, 4438 - ZONA COMERCIAL - SPC7047</t>
  </si>
  <si>
    <t>4438</t>
  </si>
  <si>
    <t>PIRAJUSSARA</t>
  </si>
  <si>
    <t>5787000</t>
  </si>
  <si>
    <t>-23.625555 , -46.765251</t>
  </si>
  <si>
    <t>SPC7047</t>
  </si>
  <si>
    <t>47960950057077</t>
  </si>
  <si>
    <t>574</t>
  </si>
  <si>
    <t>MAGAZINE LUIZA - AVENIDA OTAVIO BRAGA DE MESQUITA, 3921 - SPC240540</t>
  </si>
  <si>
    <t>3921</t>
  </si>
  <si>
    <t>JARDIM SÃO GERALDO</t>
  </si>
  <si>
    <t>7140230</t>
  </si>
  <si>
    <t>-23.4314504, -46.5031454</t>
  </si>
  <si>
    <t>SPC240540</t>
  </si>
  <si>
    <t>47960950142856</t>
  </si>
  <si>
    <t>1522</t>
  </si>
  <si>
    <t>PONTO FRIO - AVENIDA VICENTE DE CARVALHO, 909 - SHOPPING CARIOCA - RJES6991</t>
  </si>
  <si>
    <t>RJES6991</t>
  </si>
  <si>
    <t>33041260052717</t>
  </si>
  <si>
    <t>503</t>
  </si>
  <si>
    <t>PONTO FRIO - RUA HENRIQUE TERRA, 1700 - SHOPPING PARK LAGOS - RJES40242</t>
  </si>
  <si>
    <t>RUA HENRIQUE TERRA</t>
  </si>
  <si>
    <t>PORTINHO</t>
  </si>
  <si>
    <t>28911320</t>
  </si>
  <si>
    <t>-22.8730294 , -42.0356509</t>
  </si>
  <si>
    <t>RJES40242</t>
  </si>
  <si>
    <t>33041260147858</t>
  </si>
  <si>
    <t>Shopping Park Lagos</t>
  </si>
  <si>
    <t>CARREFOUR - AVENIDA MARECHAL FONTELLI, 3555 - PARQUE SHOPPING SULACAP - RJES78090</t>
  </si>
  <si>
    <t>AVENIDA MARECHAL FONTELLI</t>
  </si>
  <si>
    <t>3555</t>
  </si>
  <si>
    <t>JARDIM SULACAP</t>
  </si>
  <si>
    <t>21750000</t>
  </si>
  <si>
    <t>-22.884811 , -43.40397</t>
  </si>
  <si>
    <t>RJES78090</t>
  </si>
  <si>
    <t>45543915005302</t>
  </si>
  <si>
    <t>RJJ</t>
  </si>
  <si>
    <t>Shopping Sulacap</t>
  </si>
  <si>
    <t>CASAS BAHIA - AVENIDA FRANCISCO MARENGO, 2175 - SPC256530</t>
  </si>
  <si>
    <t>AVENIDA FRANCISCO MARENGO</t>
  </si>
  <si>
    <t>2175</t>
  </si>
  <si>
    <t>86960040</t>
  </si>
  <si>
    <t>-23.500931,-46.2996141</t>
  </si>
  <si>
    <t>SPC256530</t>
  </si>
  <si>
    <t>33041260185350</t>
  </si>
  <si>
    <t>2233</t>
  </si>
  <si>
    <t>CASAS BAHIA - AVENIDA GASPAR DE BRITO, 88 - ZONA COMERCIAL - SPC11230</t>
  </si>
  <si>
    <t>AVENIDA GASPAR DE BRITO</t>
  </si>
  <si>
    <t>VILA JOANIZA</t>
  </si>
  <si>
    <t>4403110</t>
  </si>
  <si>
    <t>-23.6742641 , -46.6638387</t>
  </si>
  <si>
    <t>SPC11230</t>
  </si>
  <si>
    <t>33041260100037</t>
  </si>
  <si>
    <t>1023</t>
  </si>
  <si>
    <t>CASAS BAHIA - AVENIDA ARY PAES BARRETO, 1716 - MGCO271310</t>
  </si>
  <si>
    <t>78118090</t>
  </si>
  <si>
    <t>-15.6456132,-56.1077811</t>
  </si>
  <si>
    <t>MGCO271310</t>
  </si>
  <si>
    <t>33041260147262</t>
  </si>
  <si>
    <t>1763</t>
  </si>
  <si>
    <t>CASAS BAHIA - RUA HENRIQUE TERRA, 1700 - SHOPPING PARK LAGOS - RJES11731</t>
  </si>
  <si>
    <t>RJES11731</t>
  </si>
  <si>
    <t>33041260143437</t>
  </si>
  <si>
    <t>1727</t>
  </si>
  <si>
    <t>CLARO AA - AVENIDA PADRE PEDRO PINTO, 1405 - ZONA COMERCIAL - MGCO10446</t>
  </si>
  <si>
    <t>AVENIDA PADRE PEDRO PINTO</t>
  </si>
  <si>
    <t>BARRO PRETO</t>
  </si>
  <si>
    <t>-19.813355 , -43.9625816</t>
  </si>
  <si>
    <t>MGCO10446</t>
  </si>
  <si>
    <t>HAVAN - AVENIDA CORONEL PROCOPIO GOMES, 249 - ZONA COMERCIAL - SUL10095</t>
  </si>
  <si>
    <t>RUA CORONEL PROCOPIO GOMES</t>
  </si>
  <si>
    <t>BUCAREIN</t>
  </si>
  <si>
    <t>89202300</t>
  </si>
  <si>
    <t>-26.308298 , -48.840809</t>
  </si>
  <si>
    <t>SUL10095</t>
  </si>
  <si>
    <t>79379491000930</t>
  </si>
  <si>
    <t>6 - JOINVILLE</t>
  </si>
  <si>
    <t>LOJAS AMERICANAS - AVENIDA NOSSA SENHORA DE COPACABANA, 622 - RJES9100</t>
  </si>
  <si>
    <t>620</t>
  </si>
  <si>
    <t>A/B</t>
  </si>
  <si>
    <t>COPACABANA</t>
  </si>
  <si>
    <t>-22.969986 , -43.185707</t>
  </si>
  <si>
    <t>RJES9100</t>
  </si>
  <si>
    <t>776574046229</t>
  </si>
  <si>
    <t>L020</t>
  </si>
  <si>
    <t>LOJAS AMERICANAS - AVENIDA NERO MACEDO, 400 - SHOPPING CIDADE JARDIM GOIANIA - MGCO250350</t>
  </si>
  <si>
    <t>MGCO250350</t>
  </si>
  <si>
    <t>776574130521</t>
  </si>
  <si>
    <t>L492</t>
  </si>
  <si>
    <t>LOJAS CEM - RUA 15 DE NOVEMBRO, 2177 - ZONA COMERCIAL - SUL18629</t>
  </si>
  <si>
    <t>2177</t>
  </si>
  <si>
    <t>-25.459053 , -49.529495</t>
  </si>
  <si>
    <t>SUL18629</t>
  </si>
  <si>
    <t>56642960010172</t>
  </si>
  <si>
    <t>CLARGO</t>
  </si>
  <si>
    <t>LOJAS CEM - AVENIDA FRANCISCO MARENGO, 2041 - ZONA COMERCIAL - SPC45445</t>
  </si>
  <si>
    <t>JARDIM DONA BENTA</t>
  </si>
  <si>
    <t>8694520</t>
  </si>
  <si>
    <t>-23.501629 , -46.299061</t>
  </si>
  <si>
    <t>SPC45445</t>
  </si>
  <si>
    <t>56642960022189</t>
  </si>
  <si>
    <t>SUZBEN</t>
  </si>
  <si>
    <t>LOJAS GUAIBIM - RUA CONSELHEIRO JUNQUEIRA AYRES, 8 - SHOPPING PIEDADE - NE20586</t>
  </si>
  <si>
    <t>40070901</t>
  </si>
  <si>
    <t>-12.9834095 , -38.51427109999999</t>
  </si>
  <si>
    <t>NE20586</t>
  </si>
  <si>
    <t>13850516006299</t>
  </si>
  <si>
    <t>L42</t>
  </si>
  <si>
    <t>MAGAZINE LUIZA - AVENIDA ARY PAES BARRETO, 1742 - MGCO271320</t>
  </si>
  <si>
    <t>1742</t>
  </si>
  <si>
    <t>-15.6456996,-56.1060956</t>
  </si>
  <si>
    <t>MGCO271320</t>
  </si>
  <si>
    <t>47960950182645</t>
  </si>
  <si>
    <t>1558</t>
  </si>
  <si>
    <t>CARREFOUR - RUA COPAIBA, S/N - MGCO229490</t>
  </si>
  <si>
    <t>RUA COPAIBA</t>
  </si>
  <si>
    <t>71919540</t>
  </si>
  <si>
    <t>-15.8323262, -48.04009850000001</t>
  </si>
  <si>
    <t>MGCO229490</t>
  </si>
  <si>
    <t>45543915099889</t>
  </si>
  <si>
    <t>BAC</t>
  </si>
  <si>
    <t>CARREFOUR - AVENIDA OTAVIANO ALVES LIMA, 1824 - ZONA COMERCIAL - SPC9218</t>
  </si>
  <si>
    <t>AVENIDA OTAVIANO ALVES DE LIMA</t>
  </si>
  <si>
    <t>1824</t>
  </si>
  <si>
    <t>LIMAO</t>
  </si>
  <si>
    <t>2701000</t>
  </si>
  <si>
    <t>-23.51227245776637 , -46.675018702021376</t>
  </si>
  <si>
    <t>SPC9218</t>
  </si>
  <si>
    <t>45543915003440</t>
  </si>
  <si>
    <t>SPL</t>
  </si>
  <si>
    <t>CASAS BAHIA - AVENIDA BARAO DO RIO BRANCO, 2257 - ZONA COMERCIAL - MGCO10491</t>
  </si>
  <si>
    <t>2257</t>
  </si>
  <si>
    <t>2261 E 2265</t>
  </si>
  <si>
    <t>-21.761797 , -43.349461</t>
  </si>
  <si>
    <t>MGCO10491</t>
  </si>
  <si>
    <t>33041260134101</t>
  </si>
  <si>
    <t>1183</t>
  </si>
  <si>
    <t>CASAS BAHIA - AVENIDA FRANCISCO GLICERIO, 918 - ZONA COMERCIAL - SPI6532</t>
  </si>
  <si>
    <t>918</t>
  </si>
  <si>
    <t>LOJA C,ED.BRASUL</t>
  </si>
  <si>
    <t>13012100</t>
  </si>
  <si>
    <t>-22.906414 , -47.058861</t>
  </si>
  <si>
    <t>SPI6532</t>
  </si>
  <si>
    <t>33041260089394</t>
  </si>
  <si>
    <t>1095</t>
  </si>
  <si>
    <t>CASAS BAHIA - RUA GOIANESIA, 13 - ZONA COMERCIAL - SPC11274</t>
  </si>
  <si>
    <t>RUA GOIANESIA</t>
  </si>
  <si>
    <t>VILA MEDEIROS</t>
  </si>
  <si>
    <t>2220290</t>
  </si>
  <si>
    <t>-23.4920485 , -46.57463480000001</t>
  </si>
  <si>
    <t>SPC11274</t>
  </si>
  <si>
    <t>33041260107392</t>
  </si>
  <si>
    <t>1360</t>
  </si>
  <si>
    <t>FUJIOKA - QS 414 CONJUNTO D LOTE 07 E 08, S/N - ZONA COMERCIAL - MGCO21984</t>
  </si>
  <si>
    <t>OUTROS QS QUATROCENTOS E QUATORZE CONJUNTO D LOTE SETE E OITO</t>
  </si>
  <si>
    <t>LOJA 02</t>
  </si>
  <si>
    <t>SAMAMBAIA NORTE</t>
  </si>
  <si>
    <t>72320584</t>
  </si>
  <si>
    <t>-15.859317 , -48.07111</t>
  </si>
  <si>
    <t>MGCO21984</t>
  </si>
  <si>
    <t>01008713007762</t>
  </si>
  <si>
    <t>LOJAS AMERICANAS - AVENIDA GUAJAJARAS, 30 - N287320</t>
  </si>
  <si>
    <t>AVENIDA GUAJAJARAS</t>
  </si>
  <si>
    <t>LOJA 010</t>
  </si>
  <si>
    <t>TIRIRICAL</t>
  </si>
  <si>
    <t>65055285</t>
  </si>
  <si>
    <t>-2.572502,-44.2376358</t>
  </si>
  <si>
    <t>N287320</t>
  </si>
  <si>
    <t>776574124556</t>
  </si>
  <si>
    <t>MAGAZINE LUIZA - TRAVESSA TEIXEIRA DE AS, 13 - ZONA COMERCIAL - NE9244</t>
  </si>
  <si>
    <t>TRAVESSA TEIXEIRA DE AS</t>
  </si>
  <si>
    <t>Cabo de Santo Agostinho</t>
  </si>
  <si>
    <t>54505551</t>
  </si>
  <si>
    <t>-8.2871496 , -35.0340005</t>
  </si>
  <si>
    <t>NE9244</t>
  </si>
  <si>
    <t>47960950086921</t>
  </si>
  <si>
    <t>865</t>
  </si>
  <si>
    <t>AQUILON JUFAP (TIM) - AVENIDA PARANA, 362 - ZONA COMERCIAL - SUL5980</t>
  </si>
  <si>
    <t>362</t>
  </si>
  <si>
    <t>-23.310934 , -51.162014</t>
  </si>
  <si>
    <t>SUL5980</t>
  </si>
  <si>
    <t>81214819000668</t>
  </si>
  <si>
    <t>JUFAP ADMINISTRAÇÃO - CENTRO - LONDRINA - SAP (20237)</t>
  </si>
  <si>
    <t>CASAS BAHIA - RUA GOVERNADOR PEDRO DE TOLEDO, 1206 - ZONA COMERCIAL - SPI11526</t>
  </si>
  <si>
    <t>1206</t>
  </si>
  <si>
    <t>1208,1216 E 1218</t>
  </si>
  <si>
    <t>13400075</t>
  </si>
  <si>
    <t>-22.726173 , -47.648037</t>
  </si>
  <si>
    <t>SPI11526</t>
  </si>
  <si>
    <t>33041260093669</t>
  </si>
  <si>
    <t>1083</t>
  </si>
  <si>
    <t>CASAS BAHIA - AVENIDA PARANAGUA, 1477 - ZONA COMERCIAL - SPC11225</t>
  </si>
  <si>
    <t>AVENIDA PARANAGUA</t>
  </si>
  <si>
    <t>1477</t>
  </si>
  <si>
    <t>1681,1687 E 1701</t>
  </si>
  <si>
    <t>VILA PARANAGUA</t>
  </si>
  <si>
    <t>3806010</t>
  </si>
  <si>
    <t>-23.492998 , -46.478748</t>
  </si>
  <si>
    <t>SPC11225</t>
  </si>
  <si>
    <t>33041260116545</t>
  </si>
  <si>
    <t>1348</t>
  </si>
  <si>
    <t>CASAS BAHIA - AVENIDA 9 DE JULHO, 236 - ZONA COMERCIAL - SPC11223</t>
  </si>
  <si>
    <t>VL. ATUI</t>
  </si>
  <si>
    <t>Poá</t>
  </si>
  <si>
    <t>8550100</t>
  </si>
  <si>
    <t>-23.523424 , -46.343784</t>
  </si>
  <si>
    <t>SPC11223</t>
  </si>
  <si>
    <t>33041260103214</t>
  </si>
  <si>
    <t>1224</t>
  </si>
  <si>
    <t>CASAS BAHIA - AVENIDA MARECHAL FONTENELLE , 3545 - SHOPPING SULACAP - RJES10178</t>
  </si>
  <si>
    <t>AVENIDA MARECHAL FONTENELE</t>
  </si>
  <si>
    <t>3545</t>
  </si>
  <si>
    <t>LOJA 146</t>
  </si>
  <si>
    <t>21750001</t>
  </si>
  <si>
    <t>-22.885893 , -43.402523</t>
  </si>
  <si>
    <t>RJES10178</t>
  </si>
  <si>
    <t>33041260144751</t>
  </si>
  <si>
    <t>1723</t>
  </si>
  <si>
    <t>CASAS BAHIA - URUGUAIANA, 5 - ZONA COMERCIAL - RJES6976</t>
  </si>
  <si>
    <t>URUGUAIANA</t>
  </si>
  <si>
    <t>5</t>
  </si>
  <si>
    <t>20050093</t>
  </si>
  <si>
    <t>-22.9062605 , -43.1790677</t>
  </si>
  <si>
    <t>RJES6976</t>
  </si>
  <si>
    <t>33041260083434</t>
  </si>
  <si>
    <t>LOJAS AMERICANAS - AVENIDA VISCONDE DO RIO BRANCO, 360 - SHOPPING BAY MARKET - RJES10206</t>
  </si>
  <si>
    <t>LOJA 127 A</t>
  </si>
  <si>
    <t>-22.89172 , -43.123714</t>
  </si>
  <si>
    <t>RJES10206</t>
  </si>
  <si>
    <t>776574080320</t>
  </si>
  <si>
    <t>L508</t>
  </si>
  <si>
    <t>LOJAS AMERICANAS - RUA SAO BENTO, 293 - SPC20294</t>
  </si>
  <si>
    <t>RUA SAO BENTO</t>
  </si>
  <si>
    <t>1011000</t>
  </si>
  <si>
    <t>-23.5464694 , -46.63567099999999</t>
  </si>
  <si>
    <t>SPC20294</t>
  </si>
  <si>
    <t>776574094380</t>
  </si>
  <si>
    <t>L505</t>
  </si>
  <si>
    <t>LOJAS AMERICANAS - ESTRADA MUNICIPAL DO MANDI, 1205 - ITAQUA GARDEN SHOPPING - SPC65451</t>
  </si>
  <si>
    <t>8598000</t>
  </si>
  <si>
    <t>-23.4752918 , -46.3261929</t>
  </si>
  <si>
    <t>SPC65451</t>
  </si>
  <si>
    <t>776574061376</t>
  </si>
  <si>
    <t>L434</t>
  </si>
  <si>
    <t>MAGAZINE LUIZA - RUA JOSE MARIA DA LUZ, 2870 - ZONA COMERCIAL - SUL6340</t>
  </si>
  <si>
    <t>AVENIDA JOSE MARIA DA LUZ</t>
  </si>
  <si>
    <t>2870</t>
  </si>
  <si>
    <t>Palhoça</t>
  </si>
  <si>
    <t>88131000</t>
  </si>
  <si>
    <t>-27.646643 , -48.666794</t>
  </si>
  <si>
    <t>SUL6340</t>
  </si>
  <si>
    <t>47960950040425</t>
  </si>
  <si>
    <t>379</t>
  </si>
  <si>
    <t>MAGAZINE LUIZA - RUA GAL. DIVISAO PEDRO RODRIGUES DA SILVA, 400 - SHOPPING PARQUE BARUERI - SPC9217</t>
  </si>
  <si>
    <t>LUC 2031</t>
  </si>
  <si>
    <t>SPC9217</t>
  </si>
  <si>
    <t>47960950059444</t>
  </si>
  <si>
    <t>511</t>
  </si>
  <si>
    <t>MAGAZINE LUIZA - RUA GOVERNADOR PEDRO DE TOLEDO, 1120 - ZONA COMERCIAL - SPI11529</t>
  </si>
  <si>
    <t>1120</t>
  </si>
  <si>
    <t>13400063</t>
  </si>
  <si>
    <t>-22.727356 , -47.648762</t>
  </si>
  <si>
    <t>SPI11529</t>
  </si>
  <si>
    <t>47960950005000</t>
  </si>
  <si>
    <t>MAGAZINE LUIZA - ESTRADA KIZAEMON TAKEUTI, 3190 - ZONA COMERCIAL - SPC44819</t>
  </si>
  <si>
    <t>ESTRADA KIZAEMON TAKEUTI</t>
  </si>
  <si>
    <t>3190</t>
  </si>
  <si>
    <t>TABOAODASERRA</t>
  </si>
  <si>
    <t>6775003</t>
  </si>
  <si>
    <t>-23.6415082 , -46.80457819999999</t>
  </si>
  <si>
    <t>SPC44819</t>
  </si>
  <si>
    <t>47960950096218</t>
  </si>
  <si>
    <t>507</t>
  </si>
  <si>
    <t>MAGAZINE LUIZA - RUA IZAAC FERREIRA DA CRUZ, 3454 - ZONA COMERCIAL - SUL5995</t>
  </si>
  <si>
    <t>3454</t>
  </si>
  <si>
    <t>-25.535238 , -49.269958</t>
  </si>
  <si>
    <t>SUL5995</t>
  </si>
  <si>
    <t>47960950070847</t>
  </si>
  <si>
    <t>921</t>
  </si>
  <si>
    <t>PONTO FRIO - AVENIDA AFONSO PENA, 526 - ZONA COMERCIAL - MGCO10536</t>
  </si>
  <si>
    <t>-18.91906 , -48.278378</t>
  </si>
  <si>
    <t>MGCO10536</t>
  </si>
  <si>
    <t>33041260018616</t>
  </si>
  <si>
    <t>4 REDES TELECOM (VIVO) - CL 114 LOTE D, S/N - SANTA MARIA SHOPPING - MGCO273830</t>
  </si>
  <si>
    <t>LOJA 216</t>
  </si>
  <si>
    <t>MGCO273830</t>
  </si>
  <si>
    <t>7041040002921</t>
  </si>
  <si>
    <t>VIVO - AVENIDA MIGUEL SUTIL, 9300 - SHOPPING ESTACAO CUIABA - MGCO11284</t>
  </si>
  <si>
    <t>JARDIM MARIANA</t>
  </si>
  <si>
    <t>78040790</t>
  </si>
  <si>
    <t>MGCO11284</t>
  </si>
  <si>
    <t>2558157081812</t>
  </si>
  <si>
    <t>LOJA ESTACAO CUIABA MT</t>
  </si>
  <si>
    <t>CARREFOUR - RODOVIA WASHINGTON LUIZ, 4735 - ZONA COMERCIAL - RJES21012</t>
  </si>
  <si>
    <t>4735</t>
  </si>
  <si>
    <t>QUATORZE DE JULHO</t>
  </si>
  <si>
    <t>25055009</t>
  </si>
  <si>
    <t>-22.767601 , -43.289013</t>
  </si>
  <si>
    <t>RJES21012</t>
  </si>
  <si>
    <t>45543915010497</t>
  </si>
  <si>
    <t>RJD</t>
  </si>
  <si>
    <t>CASAS BAHIA - PRACA DA BANDEIRA, 30/34 - ZONA COMERCIAL - NE83099</t>
  </si>
  <si>
    <t>PRACA DA BANDEIRA</t>
  </si>
  <si>
    <t>44002160</t>
  </si>
  <si>
    <t>-12.255347 , -38.966963</t>
  </si>
  <si>
    <t>NE83099</t>
  </si>
  <si>
    <t>33041260139839</t>
  </si>
  <si>
    <t>1570</t>
  </si>
  <si>
    <t>CASAS BAHIA - NOSSA SENHORA DE COPACABANA, 794 - ZONA COMERCIAL - RJES6994</t>
  </si>
  <si>
    <t>794</t>
  </si>
  <si>
    <t>-22.9727643, -43.188431</t>
  </si>
  <si>
    <t>RJES6994</t>
  </si>
  <si>
    <t>33041260085992</t>
  </si>
  <si>
    <t>1305</t>
  </si>
  <si>
    <t>TELECEL - RUA 01 Q - QUADRA 61 LOTE 12, 0 - MGCO260940</t>
  </si>
  <si>
    <t>RUA 01 Q - QUADRA 61 LOTE 12</t>
  </si>
  <si>
    <t>0</t>
  </si>
  <si>
    <t>QUADRA 61 LOTE 12</t>
  </si>
  <si>
    <t>72870201</t>
  </si>
  <si>
    <t>-16.069403, -47.98544949999999</t>
  </si>
  <si>
    <t>MGCO260940</t>
  </si>
  <si>
    <t>3555618003474</t>
  </si>
  <si>
    <t>CLARICELL - RUA AMADOR BUENO, 229 - SHOPPING MAIS - SPC233240</t>
  </si>
  <si>
    <t>RUA AMADOR BUENO</t>
  </si>
  <si>
    <t>229</t>
  </si>
  <si>
    <t>4752005</t>
  </si>
  <si>
    <t>-23.6530286 , -46.7105358</t>
  </si>
  <si>
    <t>SPC233240</t>
  </si>
  <si>
    <t>21848907000770</t>
  </si>
  <si>
    <t>Shopping Mais</t>
  </si>
  <si>
    <t>TELECEL (CLARO) - ALAMEDA SANTA LUZIA QUADRA 00, 06B-2 - AGUAS LINDAS SHOPPING - MGCO275890</t>
  </si>
  <si>
    <t>ALAMEDA SANTA LUZIA QUADRA 00</t>
  </si>
  <si>
    <t>06B-2</t>
  </si>
  <si>
    <t>MANSOES CENTRO OESTE</t>
  </si>
  <si>
    <t>72915015</t>
  </si>
  <si>
    <t>-15.735514,-48.2763589</t>
  </si>
  <si>
    <t>MGCO275890</t>
  </si>
  <si>
    <t>Aguas Lindas Shopping</t>
  </si>
  <si>
    <t>HAVAN - AVENIDA GABRIEL ZANETTE, 1455 - SUL263800</t>
  </si>
  <si>
    <t>AVENIDA GABRIEL ZANETTE</t>
  </si>
  <si>
    <t>1455</t>
  </si>
  <si>
    <t>BAIRRO PROSPE</t>
  </si>
  <si>
    <t>88815075</t>
  </si>
  <si>
    <t>-28.6819027,-49.3517653</t>
  </si>
  <si>
    <t>SUL263800</t>
  </si>
  <si>
    <t>79379491001074</t>
  </si>
  <si>
    <t>7 - CRICIUMA SHOPPING</t>
  </si>
  <si>
    <t>LOJAS AMERICANAS - AVENIDA MIGUEL SUTIL, 9300 - SHOPPING ESTACAO CUIABA - MGCO13228</t>
  </si>
  <si>
    <t>LOJA 2038</t>
  </si>
  <si>
    <t>SANTA ROSA</t>
  </si>
  <si>
    <t>78040365</t>
  </si>
  <si>
    <t>MGCO13228</t>
  </si>
  <si>
    <t>776574076802</t>
  </si>
  <si>
    <t>LOJAS AMERICANAS - RUA DO AROUCHE, 49 - ZONA COMERCIAL - SPC20289</t>
  </si>
  <si>
    <t>RUA DO AROUCHE</t>
  </si>
  <si>
    <t>49</t>
  </si>
  <si>
    <t>1219000</t>
  </si>
  <si>
    <t>-23.5431482 , -46.6442494</t>
  </si>
  <si>
    <t>SPC20289</t>
  </si>
  <si>
    <t>776574094541</t>
  </si>
  <si>
    <t>L528</t>
  </si>
  <si>
    <t>LOJAS CEM - ESTRADA MIRANDELA, 280 - ZONA COMERCIAL - RJES21369</t>
  </si>
  <si>
    <t>26520332</t>
  </si>
  <si>
    <t>-22.8090912 , -43.4182995</t>
  </si>
  <si>
    <t>RJES21369</t>
  </si>
  <si>
    <t>56642960000614</t>
  </si>
  <si>
    <t>NILOP</t>
  </si>
  <si>
    <t>MAGAZINE LUIZA - QUADRA QS, 412 - MGCO233550</t>
  </si>
  <si>
    <t>QUADRA QS</t>
  </si>
  <si>
    <t>CONJUNTO D LOTE 1</t>
  </si>
  <si>
    <t>72320101</t>
  </si>
  <si>
    <t>-15.86085692237664, -48.07420016079812</t>
  </si>
  <si>
    <t>MGCO233550</t>
  </si>
  <si>
    <t>47960950155915</t>
  </si>
  <si>
    <t>MAGAZINE LUIZA - AVENIDA RAGUEB CHOHFI, 7001 - SPC234940</t>
  </si>
  <si>
    <t>AVENIDA RAGUEB CHOHFI</t>
  </si>
  <si>
    <t>7001</t>
  </si>
  <si>
    <t>JARDIM MARILU</t>
  </si>
  <si>
    <t>8371440</t>
  </si>
  <si>
    <t>-23.5827278, -46.4156909</t>
  </si>
  <si>
    <t>SPC234940</t>
  </si>
  <si>
    <t>47960950155168</t>
  </si>
  <si>
    <t>MAGAZINE LUIZA - ESTRADA DE ITAPECERICA, 3871 - ZONA COMERCIAL - SPC6420</t>
  </si>
  <si>
    <t>ESTRADA ITAPECERICA</t>
  </si>
  <si>
    <t>3987</t>
  </si>
  <si>
    <t>5835005</t>
  </si>
  <si>
    <t>-23.659352 , -46.766286</t>
  </si>
  <si>
    <t>SPC6420</t>
  </si>
  <si>
    <t>47960950054051</t>
  </si>
  <si>
    <t>562</t>
  </si>
  <si>
    <t>PONTO FRIO - RUA VISCONDE DO URUGUAI, 466 - RJES261440</t>
  </si>
  <si>
    <t>RUA VISCONDE DO URUGUAI</t>
  </si>
  <si>
    <t>466</t>
  </si>
  <si>
    <t>24030078</t>
  </si>
  <si>
    <t>-22.892308,-43.1245267</t>
  </si>
  <si>
    <t>RJES261440</t>
  </si>
  <si>
    <t>33041260051583</t>
  </si>
  <si>
    <t>448</t>
  </si>
  <si>
    <t>PONTO FRIO - URSULA PAULINO, 1442 - ZONA COMERCIAL - MGCO41594</t>
  </si>
  <si>
    <t>RUA URSULA PAULINO</t>
  </si>
  <si>
    <t>BETANIA</t>
  </si>
  <si>
    <t>30580000</t>
  </si>
  <si>
    <t>-19.9599 , -43.989487</t>
  </si>
  <si>
    <t>MGCO41594</t>
  </si>
  <si>
    <t>33041260053446</t>
  </si>
  <si>
    <t>SETE LAN (TIM) - RUA FELIPE CARDOSO, 540 - SHOPPING SANTA CRUZ - RJES63747</t>
  </si>
  <si>
    <t>LOJA 89 A 91</t>
  </si>
  <si>
    <t>23515000</t>
  </si>
  <si>
    <t>RJES63747</t>
  </si>
  <si>
    <t>08312444001227</t>
  </si>
  <si>
    <t>TIM - RUA SENADOR FELIPE SCHIMIDT, 235 - SHOPPING MUELLER - SUL7245</t>
  </si>
  <si>
    <t>SL 171</t>
  </si>
  <si>
    <t>SUL7245</t>
  </si>
  <si>
    <t>2421421007124</t>
  </si>
  <si>
    <t>C106</t>
  </si>
  <si>
    <t>COMMCENTER - AVENIDA GUILHERME SCHELL, 6750 - CANOAS SHOPPING - SUL7240</t>
  </si>
  <si>
    <t>AVENIDA GUILHERME SCHELL</t>
  </si>
  <si>
    <t>6750</t>
  </si>
  <si>
    <t>PISO 1 LOJA 73/74</t>
  </si>
  <si>
    <t>92310001</t>
  </si>
  <si>
    <t>-29.910139 , -51.182728</t>
  </si>
  <si>
    <t>SUL7240</t>
  </si>
  <si>
    <t>02558157031122</t>
  </si>
  <si>
    <t>Canoas Shopping</t>
  </si>
  <si>
    <t>CARREFOUR - RUA NICOLAU BECKER, 345 - ZONA COMERCIAL - SUL19391</t>
  </si>
  <si>
    <t>RUA NICOLAU BECKER</t>
  </si>
  <si>
    <t>93510060</t>
  </si>
  <si>
    <t>-29.6829787 , -51.1319159</t>
  </si>
  <si>
    <t>SUL19391</t>
  </si>
  <si>
    <t>45543915102421</t>
  </si>
  <si>
    <t>BNH</t>
  </si>
  <si>
    <t>CARREFOUR - RODOVIA ANCHIETA, 3398 - ZONA COMERCIAL - SPC6509</t>
  </si>
  <si>
    <t>RODOVIA ANCHIETA</t>
  </si>
  <si>
    <t>3398</t>
  </si>
  <si>
    <t>4246000</t>
  </si>
  <si>
    <t>-23.6319772 , -46.5965384</t>
  </si>
  <si>
    <t>SPC6509</t>
  </si>
  <si>
    <t>45543915001234</t>
  </si>
  <si>
    <t>SPA</t>
  </si>
  <si>
    <t>CASAS BAHIA - RUA 14 DE JULHO, 2376 - ZONA COMERCIAL - MGCO10267</t>
  </si>
  <si>
    <t>RUA QUATORZE DE JULHO</t>
  </si>
  <si>
    <t>2376</t>
  </si>
  <si>
    <t>79002331</t>
  </si>
  <si>
    <t>-20.459686 , -54.617905</t>
  </si>
  <si>
    <t>MGCO10267</t>
  </si>
  <si>
    <t>33041260095440</t>
  </si>
  <si>
    <t>1151</t>
  </si>
  <si>
    <t>CASAS BAHIA - RUA KIZAEMON TAKEUTI, 3045 - ZONA COMERCIAL - SPC11252</t>
  </si>
  <si>
    <t>RUA KIZAEMON TAKEUTI</t>
  </si>
  <si>
    <t>3045</t>
  </si>
  <si>
    <t>-23.6413888 , -46.8038904</t>
  </si>
  <si>
    <t>SPC11252</t>
  </si>
  <si>
    <t>33041260097656</t>
  </si>
  <si>
    <t>CASAS BAHIA - AVENIDA CARLOS LINDENBERG, 723 - RJES241920</t>
  </si>
  <si>
    <t>AVENIDA CARLOS LINDENBERG</t>
  </si>
  <si>
    <t>723</t>
  </si>
  <si>
    <t>Cristóvão Colombo</t>
  </si>
  <si>
    <t>29106405</t>
  </si>
  <si>
    <t>-20.3386189, -40.3043416</t>
  </si>
  <si>
    <t>RJES241920</t>
  </si>
  <si>
    <t>33041260183498</t>
  </si>
  <si>
    <t>2204</t>
  </si>
  <si>
    <t>CASAS BAHIA - AVENIDA LUIS VIANA FILHO, 8544 - SHOPPING PARALELA - NE10129</t>
  </si>
  <si>
    <t>AVENIDA GOVERNADOR LUIS VIANA FILHO</t>
  </si>
  <si>
    <t>8544</t>
  </si>
  <si>
    <t>PARALELA</t>
  </si>
  <si>
    <t>41730101</t>
  </si>
  <si>
    <t>-12.9363967, -38.3953386</t>
  </si>
  <si>
    <t>NE10129</t>
  </si>
  <si>
    <t>33041260141906</t>
  </si>
  <si>
    <t>1573</t>
  </si>
  <si>
    <t>Shopping Paralela</t>
  </si>
  <si>
    <t>CASAS BAHIA - RODOVIA DO SOL, 5000 - SHOPPING BOULEVARD VILA VELHA - RJES11830</t>
  </si>
  <si>
    <t>RODOVIA DO SOL</t>
  </si>
  <si>
    <t>5000</t>
  </si>
  <si>
    <t>ITAPARICA</t>
  </si>
  <si>
    <t>29103900</t>
  </si>
  <si>
    <t>-20.3920365 , -40.3181731</t>
  </si>
  <si>
    <t>RJES11830</t>
  </si>
  <si>
    <t>33041260142708</t>
  </si>
  <si>
    <t>1706</t>
  </si>
  <si>
    <t>Shopping Boulevard Vila Velha</t>
  </si>
  <si>
    <t>LOJAS AMERICANAS - RUA DEZ UNIDADE 203, 1 - N272780</t>
  </si>
  <si>
    <t>RUA DEZ UNIDADE 203</t>
  </si>
  <si>
    <t>UNIDADE 203</t>
  </si>
  <si>
    <t>CIDADE OPERÁRIA</t>
  </si>
  <si>
    <t>65058188</t>
  </si>
  <si>
    <t>-2.5736549,-44.2022785</t>
  </si>
  <si>
    <t>N272780</t>
  </si>
  <si>
    <t>776574140756</t>
  </si>
  <si>
    <t>1284</t>
  </si>
  <si>
    <t>LOJAS AMERICANAS - RUA JOAO PESSOA, 331 - NE10423</t>
  </si>
  <si>
    <t>331</t>
  </si>
  <si>
    <t>49010130</t>
  </si>
  <si>
    <t>-10.910233 , -37.049553</t>
  </si>
  <si>
    <t>NE10423</t>
  </si>
  <si>
    <t>776574049406</t>
  </si>
  <si>
    <t>L059</t>
  </si>
  <si>
    <t>LOJAS AMERICANAS - QS 412 CONJUNTO D, S/N - MGCO238290</t>
  </si>
  <si>
    <t>QR 412 Conj. 8 - Samambaia Sul</t>
  </si>
  <si>
    <t>72320554</t>
  </si>
  <si>
    <t>-15.8591827, -48.0760274</t>
  </si>
  <si>
    <t>MGCO238290</t>
  </si>
  <si>
    <t>776574074354</t>
  </si>
  <si>
    <t>5003</t>
  </si>
  <si>
    <t>LOJAS CEM - AVENIDA PRESIDENTE COSTA E SILVA, 395 - ZONA COMERCIAL - SPC8642</t>
  </si>
  <si>
    <t>11701000</t>
  </si>
  <si>
    <t>-24.009956 , -46.414265</t>
  </si>
  <si>
    <t>SPC8642</t>
  </si>
  <si>
    <t>56642960013864</t>
  </si>
  <si>
    <t>PRAIAG</t>
  </si>
  <si>
    <t>MAGAZINE LUIZA - AVENIDA SAUL ELKIND , 1560 - ZONA COMERCIAL - SUL9136</t>
  </si>
  <si>
    <t>AVENIDA SAUL ELKIND</t>
  </si>
  <si>
    <t>1550</t>
  </si>
  <si>
    <t>5 CONJUNTOS</t>
  </si>
  <si>
    <t>86084000</t>
  </si>
  <si>
    <t>-23.25791 , -51.152344</t>
  </si>
  <si>
    <t>SUL9136</t>
  </si>
  <si>
    <t>47960950044250</t>
  </si>
  <si>
    <t>271</t>
  </si>
  <si>
    <t>MAGAZINE LUIZA - RUA GENERAL GLICERIO, 145 - ZONA COMERCIAL - SPC7656</t>
  </si>
  <si>
    <t>9015190</t>
  </si>
  <si>
    <t>-23.654324 , -46.527843</t>
  </si>
  <si>
    <t>SPC7656</t>
  </si>
  <si>
    <t>47960950052350</t>
  </si>
  <si>
    <t>MAGAZINE LUIZA - AVENIDA PRESIDENTE JUSCELINO KUBITSCHEK, 2814 - ZONA COMERCIAL - SPC90362</t>
  </si>
  <si>
    <t>AVENIDA PRESIDENTE JUSCELINO KUBITSCHEK</t>
  </si>
  <si>
    <t>2814</t>
  </si>
  <si>
    <t>-23.4549798, -46.4072086</t>
  </si>
  <si>
    <t>SPC90362</t>
  </si>
  <si>
    <t>47960950114216</t>
  </si>
  <si>
    <t>COMERCIAL MOVEIS BRASILIA (VIVO) - AVENIDA 15 DE NOVEMBRO, 36 - ZONA COMERCIAL - SUL18976</t>
  </si>
  <si>
    <t>36</t>
  </si>
  <si>
    <t>-25.5183016 , -48.5033691</t>
  </si>
  <si>
    <t>SUL18976</t>
  </si>
  <si>
    <t>78614278014368</t>
  </si>
  <si>
    <t>VIVO - RUA TUCUNARES, 500 - SHOPPING MARILIA - SPI6542</t>
  </si>
  <si>
    <t>RUA TUCUNARES</t>
  </si>
  <si>
    <t>QUIOSQUE 105</t>
  </si>
  <si>
    <t>JARDIM MARIA MARTHA</t>
  </si>
  <si>
    <t>17507280</t>
  </si>
  <si>
    <t>-22.186243 , -49.967018</t>
  </si>
  <si>
    <t>SPI6542</t>
  </si>
  <si>
    <t>2558157080093</t>
  </si>
  <si>
    <t>LOJA MARILIA SHOPPING SP</t>
  </si>
  <si>
    <t>Shopping Marilia</t>
  </si>
  <si>
    <t>CARREFOUR - AVENIDA CHARLES SCHNEIDER, S/N - ZONA COMERCIAL - SPI20846</t>
  </si>
  <si>
    <t>AVENIDA CHARLES SCHNNEIDER</t>
  </si>
  <si>
    <t>BARRANCO</t>
  </si>
  <si>
    <t>12040000</t>
  </si>
  <si>
    <t>-23.025966 , -45.576982</t>
  </si>
  <si>
    <t>SPI20846</t>
  </si>
  <si>
    <t>45543915008590</t>
  </si>
  <si>
    <t>TAU</t>
  </si>
  <si>
    <t>CASAS BAHIA - AVENIDA COMENDADOR SANTANA, 1011 - ZONA COMERCIAL - SPC6524</t>
  </si>
  <si>
    <t>AVENIDA COMENDADOR SANTANA</t>
  </si>
  <si>
    <t>1011 /1017 /1025 E 1029</t>
  </si>
  <si>
    <t>1017,1025 E 1029</t>
  </si>
  <si>
    <t>-23.6758 , -46.773836</t>
  </si>
  <si>
    <t>SPC6524</t>
  </si>
  <si>
    <t>33041260100975</t>
  </si>
  <si>
    <t>1207</t>
  </si>
  <si>
    <t>CASAS BAHIA - RUA SHD PROJECAO I, 7 - ZONA COMERCIAL - MGCO22876</t>
  </si>
  <si>
    <t>OUTROS SHD PROJECAO I</t>
  </si>
  <si>
    <t>LOTES 07,08 E 09</t>
  </si>
  <si>
    <t>PLANALTINA</t>
  </si>
  <si>
    <t>73310200</t>
  </si>
  <si>
    <t>-15.618635 , -47.652179</t>
  </si>
  <si>
    <t>MGCO22876</t>
  </si>
  <si>
    <t>33041260111900</t>
  </si>
  <si>
    <t>1334</t>
  </si>
  <si>
    <t>CASAS BAHIA - RUA VISCONDE DE PIRAJA, 161 - ZONA COMERCIAL - RJES6957</t>
  </si>
  <si>
    <t>RUA VISCONDE DE PIRAJA</t>
  </si>
  <si>
    <t>IPANEMA</t>
  </si>
  <si>
    <t>22410001</t>
  </si>
  <si>
    <t>-22.984497 , -43.200073</t>
  </si>
  <si>
    <t>RJES6957</t>
  </si>
  <si>
    <t>33041260084163</t>
  </si>
  <si>
    <t>CASAS BAHIA - AVENIDA GEREMARIO DANTAS, 404 - CENTER SHOPPING - RJES10213</t>
  </si>
  <si>
    <t>AVENIDA GEREMARIO DANTAS</t>
  </si>
  <si>
    <t>SUC 136</t>
  </si>
  <si>
    <t>JACAREPAGUA</t>
  </si>
  <si>
    <t>22740010</t>
  </si>
  <si>
    <t>-22.925106 , -43.361073</t>
  </si>
  <si>
    <t>RJES10213</t>
  </si>
  <si>
    <t>33041260085569</t>
  </si>
  <si>
    <t>1281</t>
  </si>
  <si>
    <t>Center Shopping</t>
  </si>
  <si>
    <t>CASAS BAHIA - RUA JOSE MARIA DA LUZ, 2808 - SUL260170</t>
  </si>
  <si>
    <t>RUA JOSE MARIA DA LUZ</t>
  </si>
  <si>
    <t>2808</t>
  </si>
  <si>
    <t>CENTRO DA PALHOÇA</t>
  </si>
  <si>
    <t>-27.6467681,-48.6691407</t>
  </si>
  <si>
    <t>SUL260170</t>
  </si>
  <si>
    <t>33041260173697</t>
  </si>
  <si>
    <t>2113</t>
  </si>
  <si>
    <t>HAVAN - RODOVIA RSC 453, 4363 - ZONA COMERCIAL - SUL65153</t>
  </si>
  <si>
    <t>4363</t>
  </si>
  <si>
    <t>95032898</t>
  </si>
  <si>
    <t>-29.1784175,-51.2356243</t>
  </si>
  <si>
    <t>SUL65153</t>
  </si>
  <si>
    <t>79379491013242</t>
  </si>
  <si>
    <t>138 - CAXIAS DO SUL</t>
  </si>
  <si>
    <t>LOJAS AMERICANAS - ESTRADA MIRANDELA, 290 - RJES42161</t>
  </si>
  <si>
    <t>A 318 C1</t>
  </si>
  <si>
    <t>26500000</t>
  </si>
  <si>
    <t>-22.808866820251236 , -43.41866163988112</t>
  </si>
  <si>
    <t>RJES42161</t>
  </si>
  <si>
    <t>776574047110</t>
  </si>
  <si>
    <t>LOJAS AMERICANAS - RUA MANOEL DA NOBREGA, 712 - SHOPPING PRACA DA MOCA - SPC6478</t>
  </si>
  <si>
    <t>SPC6478</t>
  </si>
  <si>
    <t>776574058669</t>
  </si>
  <si>
    <t>L393</t>
  </si>
  <si>
    <t>LOJAS AMERICANAS - RODOVIA GOVERNADOR MARIO COVAS, KM 295 - SHOPPING ITABORAI PLAZA - RJES266860</t>
  </si>
  <si>
    <t>RODOVIA GOVERNADOR MARIO COVAS</t>
  </si>
  <si>
    <t>KM 295</t>
  </si>
  <si>
    <t>TRÊS PONTES</t>
  </si>
  <si>
    <t>24809234</t>
  </si>
  <si>
    <t>-22.7676112,-42.9086152</t>
  </si>
  <si>
    <t>RJES266860</t>
  </si>
  <si>
    <t>776574079402</t>
  </si>
  <si>
    <t>L051</t>
  </si>
  <si>
    <t>Shopping Itaborai Plaza</t>
  </si>
  <si>
    <t>MAGAZINE LUIZA - RUA 15 DE NOVEMBRO, 350 - ZONA COMERCIAL - SUL7988</t>
  </si>
  <si>
    <t>350</t>
  </si>
  <si>
    <t>89201600</t>
  </si>
  <si>
    <t>-26.300749 , -48.845688</t>
  </si>
  <si>
    <t>SUL7988</t>
  </si>
  <si>
    <t>47960950038447</t>
  </si>
  <si>
    <t>465</t>
  </si>
  <si>
    <t>MAGAZINE LUIZA - AVENIDA DOS NOGUEIRAS, 80 - MGCO243760</t>
  </si>
  <si>
    <t>AVENIDA DOS NOGUEIRAS</t>
  </si>
  <si>
    <t>RIBEIRÃO DAS NEVES</t>
  </si>
  <si>
    <t>33805000</t>
  </si>
  <si>
    <t>-19.7659357,-44.0886836</t>
  </si>
  <si>
    <t>MGCO243760</t>
  </si>
  <si>
    <t>47960950093030</t>
  </si>
  <si>
    <t>494</t>
  </si>
  <si>
    <t>MAGAZINE LUIZA - RUA FELIPE CARDOSO, 539 - RJES246410</t>
  </si>
  <si>
    <t>-22.9200178,-43.683549</t>
  </si>
  <si>
    <t>RJES246410</t>
  </si>
  <si>
    <t>47960950180600</t>
  </si>
  <si>
    <t>1647</t>
  </si>
  <si>
    <t>PONTO FRIO - AVENIDA AMARAL PEIXOTO, 264 - ZONA COMERCIAL - RJES11721</t>
  </si>
  <si>
    <t>264</t>
  </si>
  <si>
    <t>266 E 272 PARTE</t>
  </si>
  <si>
    <t>27253220</t>
  </si>
  <si>
    <t>-22.513154 , -44.092795</t>
  </si>
  <si>
    <t>RJES11721</t>
  </si>
  <si>
    <t>33041260154986</t>
  </si>
  <si>
    <t>CASAS BAHIA - AVENIDA DOS NOGUEIRAS, 25 - MGCO243780</t>
  </si>
  <si>
    <t>31A</t>
  </si>
  <si>
    <t>-19.7661111,-44.0908052</t>
  </si>
  <si>
    <t>MGCO243780</t>
  </si>
  <si>
    <t>33041260145057</t>
  </si>
  <si>
    <t>1732</t>
  </si>
  <si>
    <t>CASAS BAHIA - ESTRADA JUSCELINO KUBITSCHEK DE OLIVEIRA, 100 - ZONA COMERCIAL - SPC40116</t>
  </si>
  <si>
    <t>ESTRADA PRESIDENTE JUSCELINO KUBITSCHEK DE OLIVEIR</t>
  </si>
  <si>
    <t>5010,LOTES 60 E 61</t>
  </si>
  <si>
    <t>-23.464364 , -46.417499</t>
  </si>
  <si>
    <t>SPC40116</t>
  </si>
  <si>
    <t>33041260103648</t>
  </si>
  <si>
    <t>CASAS BAHIA - PRACA DOUTOR SAMPAIO VIDAL, 49 - ZONA COMERCIAL - SPC11202</t>
  </si>
  <si>
    <t>PRACA DOUTOR SAMPAIO VIDAL</t>
  </si>
  <si>
    <t>59, 61 E 67</t>
  </si>
  <si>
    <t>VILA FORMOSA</t>
  </si>
  <si>
    <t>3356000</t>
  </si>
  <si>
    <t>-23.567347 , -46.541241</t>
  </si>
  <si>
    <t>SPC11202</t>
  </si>
  <si>
    <t>33041260114682</t>
  </si>
  <si>
    <t>CASAS BAHIA - QUADRA CENTRAL BLOCO 12 LOTE 3/5, S/N - ZONA COMERCIAL - MGCO19029</t>
  </si>
  <si>
    <t>QUADRA CENTRAL BLOCO 12 LOTE 3/5</t>
  </si>
  <si>
    <t>73010522</t>
  </si>
  <si>
    <t>-15.6504295, -47.7898086</t>
  </si>
  <si>
    <t>MGCO19029</t>
  </si>
  <si>
    <t>1310</t>
  </si>
  <si>
    <t>CASAS BAHIA - ESTRADA ERNESTINA VIEIRA, 149 - PLAZA SHOPPING CARAPICUIBA - SPC250460</t>
  </si>
  <si>
    <t>ESTRADA ERNESTINA VIEIRA</t>
  </si>
  <si>
    <t>VILA DIRCE</t>
  </si>
  <si>
    <t>6382260</t>
  </si>
  <si>
    <t>-23.5530588,-46.8396049</t>
  </si>
  <si>
    <t>SPC250460</t>
  </si>
  <si>
    <t>33041260165759</t>
  </si>
  <si>
    <t>2032</t>
  </si>
  <si>
    <t>Plaza Shopping Carapicuiba</t>
  </si>
  <si>
    <t>CASAS BAHIA - AVENIDA DOUTOR OLIVIO LIRA, 353 - SHOPPING PRAIA DA COSTA - RJES5720</t>
  </si>
  <si>
    <t>AVENIDA DOUTOR OLIVIO LIRA</t>
  </si>
  <si>
    <t>PRAIA DA COSTA</t>
  </si>
  <si>
    <t>29101950</t>
  </si>
  <si>
    <t>-20.3417996 , -40.2887314</t>
  </si>
  <si>
    <t>RJES5720</t>
  </si>
  <si>
    <t>33041260099438</t>
  </si>
  <si>
    <t>Shopping Praia Da Costa</t>
  </si>
  <si>
    <t>CASAS BAHIA - AVENIDA DAS AMERICAS, 19019 - SHOPPING RECREIO - RJES10172</t>
  </si>
  <si>
    <t>19019</t>
  </si>
  <si>
    <t>22790703</t>
  </si>
  <si>
    <t>-23.0207934 , -43.48784819999999</t>
  </si>
  <si>
    <t>RJES10172</t>
  </si>
  <si>
    <t>33041260083949</t>
  </si>
  <si>
    <t>1168</t>
  </si>
  <si>
    <t>Shopping Recreio</t>
  </si>
  <si>
    <t>VIDA DIGITAL - CL 114 LOTE D, S/N - SANTA MARIA SHOPPING - MGCO258150</t>
  </si>
  <si>
    <t>MGCO258150</t>
  </si>
  <si>
    <t>7553112000119</t>
  </si>
  <si>
    <t>LOJAS AMERICANAS - RUA MARIA SOARES SENDAS, 111 - SHOPPING GRANDE RIO - RJES6155</t>
  </si>
  <si>
    <t>LOJA 323</t>
  </si>
  <si>
    <t>RJES6155</t>
  </si>
  <si>
    <t>776574083426</t>
  </si>
  <si>
    <t>L188</t>
  </si>
  <si>
    <t>MAGAZINE LUIZA - RUA BARAO DO RIO BRANCO, 1273 - ZONA COMERCIAL - SPI8599</t>
  </si>
  <si>
    <t>1273</t>
  </si>
  <si>
    <t>Sertãozinho</t>
  </si>
  <si>
    <t>-21.13848, -47.9888571</t>
  </si>
  <si>
    <t>SPI8599</t>
  </si>
  <si>
    <t>47960950002418</t>
  </si>
  <si>
    <t>18</t>
  </si>
  <si>
    <t>MAGAZINE LUIZA - AVENIDA PRESIDENTE VARGAS, 2294 - ZONA COMERCIAL - SUL10993</t>
  </si>
  <si>
    <t>AVENIDA PRESIDENTE GETULIO VARGAS</t>
  </si>
  <si>
    <t>BELA VISTA</t>
  </si>
  <si>
    <t>Alvorada</t>
  </si>
  <si>
    <t>94810001</t>
  </si>
  <si>
    <t>-29.998611 , -51.076683</t>
  </si>
  <si>
    <t>SUL10993</t>
  </si>
  <si>
    <t>47960950029456</t>
  </si>
  <si>
    <t>CARREFOUR - RODOVIA CELSO GARCIA CID KM 377, S/N - SHOPPING CATUAI LONDRINA - SUL19384</t>
  </si>
  <si>
    <t>-23.340666028894 , -51.1864997778015</t>
  </si>
  <si>
    <t>SUL19384</t>
  </si>
  <si>
    <t>45543915003520</t>
  </si>
  <si>
    <t>LDB</t>
  </si>
  <si>
    <t>CARREFOUR - ALAMEDA ARAGUAIA, 2751 - ZONA COMERCIAL - SPC11647</t>
  </si>
  <si>
    <t>ALAMEDA ARAGUAIA</t>
  </si>
  <si>
    <t>ALPHAVILLE</t>
  </si>
  <si>
    <t>6455000</t>
  </si>
  <si>
    <t>-23.501102 , -46.835987</t>
  </si>
  <si>
    <t>SPC11647</t>
  </si>
  <si>
    <t>63960000605</t>
  </si>
  <si>
    <t>BBT</t>
  </si>
  <si>
    <t>CASAS BAHIA - RUA CARDOSO DE MORAES, 80 - ZONA COMERCIAL - RJES11434</t>
  </si>
  <si>
    <t>RUA CARDOSO DE MORAIS</t>
  </si>
  <si>
    <t>80 A</t>
  </si>
  <si>
    <t>88A,APTO. 92/96A,101</t>
  </si>
  <si>
    <t>BONSUCESSO</t>
  </si>
  <si>
    <t>21032000</t>
  </si>
  <si>
    <t>-22.864576 , -43.254581</t>
  </si>
  <si>
    <t>RJES11434</t>
  </si>
  <si>
    <t>33041260084406</t>
  </si>
  <si>
    <t>1177</t>
  </si>
  <si>
    <t>CASAS BAHIA - AVENIDA ABILIO DE MACHADO, 2116 - ZONA COMERCIAL - MGCO10437</t>
  </si>
  <si>
    <t>AVENIDA ABILIO MACHADO</t>
  </si>
  <si>
    <t>2116</t>
  </si>
  <si>
    <t>R.URSULINA DE MELO</t>
  </si>
  <si>
    <t>ALIPIO DE MELO</t>
  </si>
  <si>
    <t>30820622</t>
  </si>
  <si>
    <t>-19.899235 , -44.005278</t>
  </si>
  <si>
    <t>MGCO10437</t>
  </si>
  <si>
    <t>33041260130530</t>
  </si>
  <si>
    <t>1418</t>
  </si>
  <si>
    <t>CASAS BAHIA - AVENIDA FLORIANOPOLIS, 115 - ZONA COMERCIAL - SPC90237</t>
  </si>
  <si>
    <t>AVENIDA FLORIANOPOLIS</t>
  </si>
  <si>
    <t>JARDIM SAO JOAO</t>
  </si>
  <si>
    <t>7151110</t>
  </si>
  <si>
    <t>-23.41324 , -46.454224</t>
  </si>
  <si>
    <t>SPC90237</t>
  </si>
  <si>
    <t>33041260173000</t>
  </si>
  <si>
    <t>2098</t>
  </si>
  <si>
    <t>CASAS BAHIA - AVENIDA SANTOS DUMONT, 4360 - PARQUE SHOPPING BAHIA - NE240120</t>
  </si>
  <si>
    <t>AVENIDA SANTOS DUMONT</t>
  </si>
  <si>
    <t>4360</t>
  </si>
  <si>
    <t>LAURO DE FREITAS</t>
  </si>
  <si>
    <t>42702400</t>
  </si>
  <si>
    <t>-12.8881031, -38.318141</t>
  </si>
  <si>
    <t>NE240120</t>
  </si>
  <si>
    <t>33041260185601</t>
  </si>
  <si>
    <t>2216</t>
  </si>
  <si>
    <t>Parque Shopping Bahia</t>
  </si>
  <si>
    <t>LEBES - AVENIDA GUILHERME SCHELL, 6750 - CANOAS SHOPPING - SUL6255</t>
  </si>
  <si>
    <t>SALA 48</t>
  </si>
  <si>
    <t>SUL6255</t>
  </si>
  <si>
    <t>96662168010528</t>
  </si>
  <si>
    <t>MAGAZINE LUIZA - AVENIDA ALIOMAR BALEEIRO, 08 - ZONA COMERCIAL - NE45661</t>
  </si>
  <si>
    <t>AVENIDA ALIOMAR BALEEIRO</t>
  </si>
  <si>
    <t>08</t>
  </si>
  <si>
    <t>SAOCRISTOVAO</t>
  </si>
  <si>
    <t>41500660</t>
  </si>
  <si>
    <t>-12.9114349, -38.3515935</t>
  </si>
  <si>
    <t>NE45661</t>
  </si>
  <si>
    <t>47960950094274</t>
  </si>
  <si>
    <t>MAGAZINE LUIZA - AVENIDA 7 DE SETEMBRO, 282 - NE244610</t>
  </si>
  <si>
    <t>AVENIDA 7 DE SETEMBRO</t>
  </si>
  <si>
    <t>DOIS DE JULHO</t>
  </si>
  <si>
    <t>40060001</t>
  </si>
  <si>
    <t>-12.9800608,-38.5153779</t>
  </si>
  <si>
    <t>NE244610</t>
  </si>
  <si>
    <t>47960950088703</t>
  </si>
  <si>
    <t>982</t>
  </si>
  <si>
    <t>PONTO FRIO - AVENIDA PASSEIO DOS FLAMBOYANTS, 200 - SHOPPING IGUATEMI SAO CARLOS - SPI11148</t>
  </si>
  <si>
    <t>RUA PASSEIO DOS FLAMBOYANTS</t>
  </si>
  <si>
    <t>LOTE 87</t>
  </si>
  <si>
    <t>PARQUE FABER</t>
  </si>
  <si>
    <t>13561352</t>
  </si>
  <si>
    <t>-22.017521 , -47.915016</t>
  </si>
  <si>
    <t>SPI11148</t>
  </si>
  <si>
    <t>33041260150131</t>
  </si>
  <si>
    <t>960</t>
  </si>
  <si>
    <t>Shopping Iguatemi São Carlos</t>
  </si>
  <si>
    <t>MASTERCELL TIM - RUA INDEPENDENCIA, 520 - SUL257090</t>
  </si>
  <si>
    <t>LOJA RUA</t>
  </si>
  <si>
    <t>-29.7642051,-51.148191</t>
  </si>
  <si>
    <t>SUL257090</t>
  </si>
  <si>
    <t>2455036008684</t>
  </si>
  <si>
    <t>TIM - AVENIDA ALAGADO CL 114 S/N,135 - SHOPPING SANTA MARIA - MGCO49299</t>
  </si>
  <si>
    <t>AVENIDA ALAGADO CL 114, S/N</t>
  </si>
  <si>
    <t>135</t>
  </si>
  <si>
    <t>SANTAMARIA</t>
  </si>
  <si>
    <t>-16.0065963 , -48.0011108</t>
  </si>
  <si>
    <t>MGCO49299</t>
  </si>
  <si>
    <t>CARREFOUR - AVENIDA PLINIO MILANO, 2343 - ZONA COMERCIAL - SUL6260</t>
  </si>
  <si>
    <t>AVENIDA PLINIO BRASIL MILANO</t>
  </si>
  <si>
    <t>2333</t>
  </si>
  <si>
    <t>2343</t>
  </si>
  <si>
    <t>90520001</t>
  </si>
  <si>
    <t>-30.0123364, -51.17005839999999</t>
  </si>
  <si>
    <t>SUL6260</t>
  </si>
  <si>
    <t>45543915010659</t>
  </si>
  <si>
    <t>PPA</t>
  </si>
  <si>
    <t>CARREFOUR - AVENIDA DO TABOAO, 2000 - ZONA COMERCIAL - SPC11772</t>
  </si>
  <si>
    <t>AVENIDA DO TABOAO</t>
  </si>
  <si>
    <t>2000</t>
  </si>
  <si>
    <t>9655000</t>
  </si>
  <si>
    <t>-23.6553053 , -46.5953038</t>
  </si>
  <si>
    <t>SPC11772</t>
  </si>
  <si>
    <t>45543915032890</t>
  </si>
  <si>
    <t>SBP</t>
  </si>
  <si>
    <t>CASAS BAHIA - AVENIDA PUGLISI, 537 - ZONA COMERCIAL - SPC9016</t>
  </si>
  <si>
    <t>AVENIDA PUGLISI</t>
  </si>
  <si>
    <t>11410003</t>
  </si>
  <si>
    <t>-23.992498 , -46.258488</t>
  </si>
  <si>
    <t>SPC9016</t>
  </si>
  <si>
    <t>33041260092182</t>
  </si>
  <si>
    <t>1493</t>
  </si>
  <si>
    <t>(DUPLICADA) CASAS BAHIA - RUA 12 DE OUTUBRO, 215 - ZONA COMERCIAL - SPC6522</t>
  </si>
  <si>
    <t>RUA DOZE DE OUTUBRO</t>
  </si>
  <si>
    <t>219,255 E 227</t>
  </si>
  <si>
    <t>5073001</t>
  </si>
  <si>
    <t>-23.520023 , -46.70417</t>
  </si>
  <si>
    <t>SPC6522</t>
  </si>
  <si>
    <t>33041260106663</t>
  </si>
  <si>
    <t>CÓD CORRETO SPC20258</t>
  </si>
  <si>
    <t>CASAS BAHIA - AVENIDA JUSCELINO KUBISTSCHEK, 1005 - ZONA COMERCIAL - MGCO40104</t>
  </si>
  <si>
    <t>AVENIDA JUSCELINO KUBSTCHECK</t>
  </si>
  <si>
    <t>LOJAS 01,02 E 03</t>
  </si>
  <si>
    <t>INDUSTRIAL</t>
  </si>
  <si>
    <t>32230090</t>
  </si>
  <si>
    <t>-19.968735 , -44.03529</t>
  </si>
  <si>
    <t>MGCO40104</t>
  </si>
  <si>
    <t>33041260037750</t>
  </si>
  <si>
    <t>1819</t>
  </si>
  <si>
    <t>CASAS BAHIA - AVENIDA 31 DE MARCO, 797 - ZONA COMERCIAL - SPI19573</t>
  </si>
  <si>
    <t>AVENIDA 31 DE MARCO</t>
  </si>
  <si>
    <t>797</t>
  </si>
  <si>
    <t>-23.5455789 , -47.448049</t>
  </si>
  <si>
    <t>SPI19573</t>
  </si>
  <si>
    <t>CASAS BAHIA - RUA 7 DE SETEMBRO, 774 - ZONA COMERCIAL - NE20533</t>
  </si>
  <si>
    <t>774</t>
  </si>
  <si>
    <t>44280000</t>
  </si>
  <si>
    <t>-12.9835901, -38.5167503</t>
  </si>
  <si>
    <t>NE20533</t>
  </si>
  <si>
    <t>33041260139324</t>
  </si>
  <si>
    <t>CASAS BAHIA - ESTRADA DA PACIENCIA CAJAZEIRAS, 171 - NE255750</t>
  </si>
  <si>
    <t>ESTRADA DA PACIENCIA CAJAZEIRAS</t>
  </si>
  <si>
    <t>CAJAZEIRAS</t>
  </si>
  <si>
    <t>41338700</t>
  </si>
  <si>
    <t>-12.8996763,-38.4115332</t>
  </si>
  <si>
    <t>NE255750</t>
  </si>
  <si>
    <t>33041260141574</t>
  </si>
  <si>
    <t>1571</t>
  </si>
  <si>
    <t>GAZIN - RUA 13 DE JUNHO , 646 - ZONA COMERCIAL - MGCO10294</t>
  </si>
  <si>
    <t>CENTRO SUL</t>
  </si>
  <si>
    <t>-15.602432 , -56.099003</t>
  </si>
  <si>
    <t>MGCO10294</t>
  </si>
  <si>
    <t>77941490020695</t>
  </si>
  <si>
    <t>10202</t>
  </si>
  <si>
    <t>HAVAN - AVENIDA MADRE LEONIA MILITO, 2121 - ZONA COMERCIAL - SUL18773</t>
  </si>
  <si>
    <t>AVENIDA MADRE LEÔNIA MILITO</t>
  </si>
  <si>
    <t>BELA SUICA</t>
  </si>
  <si>
    <t>81070150</t>
  </si>
  <si>
    <t>-23.3371315 , -51.182478</t>
  </si>
  <si>
    <t>SUL18773</t>
  </si>
  <si>
    <t>79379491003018</t>
  </si>
  <si>
    <t>29 - LONDRINA</t>
  </si>
  <si>
    <t>LOJAS CEM - AVENIDA CORONEL MANOEL INOCENCIO, 457 - ZONA COMERCIAL - SPI21376</t>
  </si>
  <si>
    <t>AVENIDA CORONEL MANOEL INOCENCIO</t>
  </si>
  <si>
    <t>457</t>
  </si>
  <si>
    <t>Caçapava</t>
  </si>
  <si>
    <t>12281020</t>
  </si>
  <si>
    <t>-23.103197 , -45.704388</t>
  </si>
  <si>
    <t>SPI21376</t>
  </si>
  <si>
    <t>56642960003206</t>
  </si>
  <si>
    <t>CAÇAP</t>
  </si>
  <si>
    <t>LOJAS CEM - RUA BELO HORIZONTE, 140 - ZONA COMERCIAL - SPC88141</t>
  </si>
  <si>
    <t>RUA BELO HORIZONTE</t>
  </si>
  <si>
    <t>Embu das Artes</t>
  </si>
  <si>
    <t>6803440</t>
  </si>
  <si>
    <t>-23.650558 , -46.854313</t>
  </si>
  <si>
    <t>SPC88141</t>
  </si>
  <si>
    <t>56642960007384</t>
  </si>
  <si>
    <t>EMBÚ</t>
  </si>
  <si>
    <t>LOJAS CEM - RUA CAPITAO GABRIEL, 148 - ZONA COMERCIAL - SPC23025</t>
  </si>
  <si>
    <t>RUA CAPITAO GABRIEL</t>
  </si>
  <si>
    <t>7011010</t>
  </si>
  <si>
    <t>-23.468685 , -46.530868</t>
  </si>
  <si>
    <t>SPC23025</t>
  </si>
  <si>
    <t>56642960003125</t>
  </si>
  <si>
    <t>GUARUL</t>
  </si>
  <si>
    <t>LOJAS CEM - RUA JOAO DOMINGUES DE OLIVEIRA, 301 - ZONA COMERCIAL - SPC11167</t>
  </si>
  <si>
    <t>-23.713011 , -46.412941</t>
  </si>
  <si>
    <t>SPC11167</t>
  </si>
  <si>
    <t>56642960015565</t>
  </si>
  <si>
    <t>RPIRES</t>
  </si>
  <si>
    <t>MAGAZINE LUIZA - QUADRA SHD BLOCO N, N/I - MGCO233540</t>
  </si>
  <si>
    <t>QUADRA SHD BLOCO N</t>
  </si>
  <si>
    <t>N/I</t>
  </si>
  <si>
    <t>LOJA 1 SETOR HOTELEIRO  PLANALTINA</t>
  </si>
  <si>
    <t>73310229</t>
  </si>
  <si>
    <t>-15.6188712 , -47.6516989</t>
  </si>
  <si>
    <t>MGCO233540</t>
  </si>
  <si>
    <t>47960950141370</t>
  </si>
  <si>
    <t>MAGAZINE LUIZA - AVENIDA ABILIO DE MACHADO, 2072 - ZONA COMERCIAL - MGCO5812</t>
  </si>
  <si>
    <t>2072</t>
  </si>
  <si>
    <t>JARDIM INCONFIDENCIA</t>
  </si>
  <si>
    <t>30830000</t>
  </si>
  <si>
    <t>-19.899689 , -44.005104</t>
  </si>
  <si>
    <t>MGCO5812</t>
  </si>
  <si>
    <t>47960950048167</t>
  </si>
  <si>
    <t>MAGAZINE LUIZA - AVENIDA TIRADENTES, 2671 - ZONA COMERCIAL - MGCO20853</t>
  </si>
  <si>
    <t>RUA TIRADENTES</t>
  </si>
  <si>
    <t>2671</t>
  </si>
  <si>
    <t>AMAZONAS</t>
  </si>
  <si>
    <t>32230020</t>
  </si>
  <si>
    <t>-19.9687252, -44.0337791</t>
  </si>
  <si>
    <t>MGCO20853</t>
  </si>
  <si>
    <t>47960950026600</t>
  </si>
  <si>
    <t>233</t>
  </si>
  <si>
    <t>MAGAZINE LUIZA - AVENIDA BRASIL, 3457 - ZONA COMERCIAL - SUL9902</t>
  </si>
  <si>
    <t>3457</t>
  </si>
  <si>
    <t>-23.421001 , -51.935768</t>
  </si>
  <si>
    <t>SUL9902</t>
  </si>
  <si>
    <t>47960950065509</t>
  </si>
  <si>
    <t>MULTILOJA - RUA DOUTOR LEOCADIO, 80 - ZONA COMERCIAL - SUL62683</t>
  </si>
  <si>
    <t>CENTROHISTORICO</t>
  </si>
  <si>
    <t>83203270</t>
  </si>
  <si>
    <t>-25.5181975 , -48.5065544</t>
  </si>
  <si>
    <t>SUL62683</t>
  </si>
  <si>
    <t>MULTILOJA</t>
  </si>
  <si>
    <t>TELE RIO - AVENIDA PRESIDENTE KENNEDY, 425 - PARTAGE SHOPPING SAO GONCALO - RJES272410</t>
  </si>
  <si>
    <t>-22.821855321684012 , -43.04595487508544</t>
  </si>
  <si>
    <t>RJES272410</t>
  </si>
  <si>
    <t>33086695003736</t>
  </si>
  <si>
    <t>VIVO - AVENIDA HISTORIADOR RUBENS DE MENDONCA, 3300 - SHOPPING PANTANAL - MGCO10284</t>
  </si>
  <si>
    <t>LOJAS 20/21</t>
  </si>
  <si>
    <t>MGCO10284</t>
  </si>
  <si>
    <t>2558157021836</t>
  </si>
  <si>
    <t>LOJA SHOPPING PANTANAL CUIABA MT</t>
  </si>
  <si>
    <t>CARREFOUR - DOM PEDRO I, S/N - ZONA COMERCIAL - SPI20883</t>
  </si>
  <si>
    <t>RODOVIA DOM PEDRO I</t>
  </si>
  <si>
    <t>KM 127 E 128</t>
  </si>
  <si>
    <t>INHAUMAS</t>
  </si>
  <si>
    <t>13073003</t>
  </si>
  <si>
    <t>-22.853573 , -47.027347</t>
  </si>
  <si>
    <t>SPI20883</t>
  </si>
  <si>
    <t>45543915000505</t>
  </si>
  <si>
    <t>CPS</t>
  </si>
  <si>
    <t>CARREFOUR - AVENIDA SENADOR VERGUEIRO, 2000 - ZONA COMERCIAL - SPC21367</t>
  </si>
  <si>
    <t>AVENIDA SENADOR VERGUEIRO</t>
  </si>
  <si>
    <t>JARDIM TRES MARIAS</t>
  </si>
  <si>
    <t>9750001</t>
  </si>
  <si>
    <t>-23.676896 , -46.55518</t>
  </si>
  <si>
    <t>SPC21367</t>
  </si>
  <si>
    <t>45543915004845</t>
  </si>
  <si>
    <t>SBC</t>
  </si>
  <si>
    <t>CARREFOUR - AVENIDA SENADOR SALGADO FILHO, 2234 - NATAL SHOPPING - NE18871</t>
  </si>
  <si>
    <t>AVENIDA SENADOR SALGADO FILHO</t>
  </si>
  <si>
    <t>2234</t>
  </si>
  <si>
    <t>CANDELARIA</t>
  </si>
  <si>
    <t>59064000</t>
  </si>
  <si>
    <t>-5.8421159 , -35.2121959</t>
  </si>
  <si>
    <t>NE18871</t>
  </si>
  <si>
    <t>45543915067928</t>
  </si>
  <si>
    <t>Natal Shopping</t>
  </si>
  <si>
    <t>CASAS BAHIA - AVENIDA RANGEL PESTANA, 2163 - ZONA COMERCIAL - SPC11265</t>
  </si>
  <si>
    <t>RUA RANGEL PESTANA</t>
  </si>
  <si>
    <t>2163</t>
  </si>
  <si>
    <t>2169,SL 15,18,33,36</t>
  </si>
  <si>
    <t>BRAS</t>
  </si>
  <si>
    <t>3001000</t>
  </si>
  <si>
    <t>-23.541132 , -46.613773</t>
  </si>
  <si>
    <t>SPC11265</t>
  </si>
  <si>
    <t>33041260117606</t>
  </si>
  <si>
    <t>1532</t>
  </si>
  <si>
    <t>CASAS BAHIA - AVENIDA JERONIMO MONTEIRO, 1465 - ZONA COMERCIAL - RJES11840</t>
  </si>
  <si>
    <t>AVENIDA JERONIMO MONTEIRO</t>
  </si>
  <si>
    <t>29100401</t>
  </si>
  <si>
    <t>-20.3355901 , -40.2960308</t>
  </si>
  <si>
    <t>RJES11840</t>
  </si>
  <si>
    <t>33041260099519</t>
  </si>
  <si>
    <t>CASAS BAHIA - AVENIDA DO TABOAO, 3990 - ZONA COMERCIAL - SPC11245</t>
  </si>
  <si>
    <t>3990</t>
  </si>
  <si>
    <t>VILA LUZIA</t>
  </si>
  <si>
    <t>9657000</t>
  </si>
  <si>
    <t>-23.6640734 , -46.6076667</t>
  </si>
  <si>
    <t>SPC11245</t>
  </si>
  <si>
    <t>1336</t>
  </si>
  <si>
    <t>CASAS BAHIA - ESTRADA DE ITAPECERICA, 3038 - ZONA COMERCIAL - SPC11259</t>
  </si>
  <si>
    <t>3038</t>
  </si>
  <si>
    <t>JARDIM DOM JOSE</t>
  </si>
  <si>
    <t>6823301</t>
  </si>
  <si>
    <t>-23.6735592 , -46.803404</t>
  </si>
  <si>
    <t>SPC11259</t>
  </si>
  <si>
    <t>33041260097737</t>
  </si>
  <si>
    <t>1592</t>
  </si>
  <si>
    <t>CASAS BAHIA - QUADRA 17 CONJUNTO 11, LOTE 12 - MGCO258820</t>
  </si>
  <si>
    <t>QUADRA 17 CONJUNTO 11</t>
  </si>
  <si>
    <t>LOTE 12</t>
  </si>
  <si>
    <t>PARANOÁ</t>
  </si>
  <si>
    <t>71571711</t>
  </si>
  <si>
    <t>-15.7707838,-47.7807978</t>
  </si>
  <si>
    <t>MGCO258820</t>
  </si>
  <si>
    <t>33041260186918</t>
  </si>
  <si>
    <t>2252</t>
  </si>
  <si>
    <t>CASAS BAHIA - BR 262 KM 5, 6555 - SHOPPING MOXUARA - RJES19542</t>
  </si>
  <si>
    <t>BR 262 KM 5</t>
  </si>
  <si>
    <t>6555</t>
  </si>
  <si>
    <t>29140855</t>
  </si>
  <si>
    <t>-20.3435888 , -40.4005622</t>
  </si>
  <si>
    <t>RJES19542</t>
  </si>
  <si>
    <t>33041260150212</t>
  </si>
  <si>
    <t>1764</t>
  </si>
  <si>
    <t>Shopping Moxuara</t>
  </si>
  <si>
    <t>LOJAS CEM - AVENIDA NOSSA SENHORA DE FATIMA, 100 - ZONA COMERCIAL - SPC20114</t>
  </si>
  <si>
    <t>AVENIDA NOSSA SENHORA DE FATIMA</t>
  </si>
  <si>
    <t>Cotia</t>
  </si>
  <si>
    <t>6715125</t>
  </si>
  <si>
    <t>-23.60627 , -46.926207</t>
  </si>
  <si>
    <t>SPC20114</t>
  </si>
  <si>
    <t>56642960005250</t>
  </si>
  <si>
    <t>COTIA</t>
  </si>
  <si>
    <t>LOJAS CEM - RUA ANTONIO AGU, 749 - ZONA COMERCIAL - SPC20158</t>
  </si>
  <si>
    <t>749</t>
  </si>
  <si>
    <t>6013000</t>
  </si>
  <si>
    <t>-23.5338488 , -46.7790469</t>
  </si>
  <si>
    <t>SPC20158</t>
  </si>
  <si>
    <t>56642960001424</t>
  </si>
  <si>
    <t>OSASCO</t>
  </si>
  <si>
    <t>LOJAS CEM - RUA BOA VISTA, 180 - ZONA COMERCIAL - SPC40011</t>
  </si>
  <si>
    <t>RUA BOA VISTA</t>
  </si>
  <si>
    <t>180</t>
  </si>
  <si>
    <t>Embu-Guaçu</t>
  </si>
  <si>
    <t>6900000</t>
  </si>
  <si>
    <t>-23.8291147 , -46.81510610000001</t>
  </si>
  <si>
    <t>SPC40011</t>
  </si>
  <si>
    <t>56642960018823</t>
  </si>
  <si>
    <t>EMBUG</t>
  </si>
  <si>
    <t>MAGAZINE LUIZA - AVENIDA GETULIO VARGAS, 13 - ZONA COMERCIAL - NE42860</t>
  </si>
  <si>
    <t>Camaçari</t>
  </si>
  <si>
    <t>42800005</t>
  </si>
  <si>
    <t>-12.7007448 , -38.3251147</t>
  </si>
  <si>
    <t>NE42860</t>
  </si>
  <si>
    <t>47960950088622</t>
  </si>
  <si>
    <t>899</t>
  </si>
  <si>
    <t>MAGAZINE LUIZA - RUA 13 DE MAIO, 104 - SPC288480</t>
  </si>
  <si>
    <t>RUA 13 DE MAIO</t>
  </si>
  <si>
    <t>Santana de Parnaíba</t>
  </si>
  <si>
    <t>6502150</t>
  </si>
  <si>
    <t>-23.4444262,-46.9235834</t>
  </si>
  <si>
    <t>SPC288480</t>
  </si>
  <si>
    <t>47960950105144</t>
  </si>
  <si>
    <t>MAGAZINE LUIZA - ESTRADA DO COQUEIRO GRANDE, 2023 - ZONA COMERCIAL - NE41552</t>
  </si>
  <si>
    <t>ESTRADA DO COQUEIRO GRANDE</t>
  </si>
  <si>
    <t>2023</t>
  </si>
  <si>
    <t>CAJAZAEIRAS</t>
  </si>
  <si>
    <t>41343855</t>
  </si>
  <si>
    <t>-12.9013036 , -38.4073938</t>
  </si>
  <si>
    <t>NE41552</t>
  </si>
  <si>
    <t>47960950076373</t>
  </si>
  <si>
    <t>811</t>
  </si>
  <si>
    <t>MAGAZINE LUIZA - RUA VISCONDE DE PIRAJA, 151 - RJES241980</t>
  </si>
  <si>
    <t>R. Visc. de Pirajá</t>
  </si>
  <si>
    <t>Loja A</t>
  </si>
  <si>
    <t>-22.9846531, -43.1998052</t>
  </si>
  <si>
    <t>RJES241980</t>
  </si>
  <si>
    <t>47960950168812</t>
  </si>
  <si>
    <t>1607</t>
  </si>
  <si>
    <t>PONTO FRIO - RUA CARDOSO DE MORAES, 87 - ZONA COMERCIAL - RJES11435</t>
  </si>
  <si>
    <t>87</t>
  </si>
  <si>
    <t>91 A E B,SOBRADO</t>
  </si>
  <si>
    <t>-22.864325 , -43.254513</t>
  </si>
  <si>
    <t>RJES11435</t>
  </si>
  <si>
    <t>33041260032953</t>
  </si>
  <si>
    <t>7</t>
  </si>
  <si>
    <t>ARMAZEM PARAIBA - RUA PRESIDENTE JOAO PESSOA, 197 - ZONA COMERCIAL - NE10884</t>
  </si>
  <si>
    <t>58101490</t>
  </si>
  <si>
    <t>-7.217305 , -35.887024</t>
  </si>
  <si>
    <t>NE10884</t>
  </si>
  <si>
    <t>08995631001252</t>
  </si>
  <si>
    <t>CARREFOUR - AVENIDA MARIA SERVIDEI DEMARCHI, 398 - ZONA COMERCIAL - SPC18383</t>
  </si>
  <si>
    <t>AVENIDA MARIA SERVIDEI DEMARCHI</t>
  </si>
  <si>
    <t>398</t>
  </si>
  <si>
    <t>DEMARCHI</t>
  </si>
  <si>
    <t>9820000</t>
  </si>
  <si>
    <t>-23.7271188 , -46.5524949</t>
  </si>
  <si>
    <t>SPC18383</t>
  </si>
  <si>
    <t>45543915021855</t>
  </si>
  <si>
    <t>SBD</t>
  </si>
  <si>
    <t>CASAS BAHIA - AVENIDA ITAVUVU, 3365 - SHOPPING CIDADE - SPI39688</t>
  </si>
  <si>
    <t>AVENIDA ITAVUVU</t>
  </si>
  <si>
    <t>3373</t>
  </si>
  <si>
    <t>3112 - PISO 3</t>
  </si>
  <si>
    <t>18074385</t>
  </si>
  <si>
    <t>-23.456656 , -47.483086</t>
  </si>
  <si>
    <t>SPI39688</t>
  </si>
  <si>
    <t>33041260150999</t>
  </si>
  <si>
    <t>1790</t>
  </si>
  <si>
    <t>Shopping Cidade Sorocaba</t>
  </si>
  <si>
    <t>CASAS BAHIA - AVENIDA GETULIO VARGAS, 90 - ZONA COMERCIAL - NE64717</t>
  </si>
  <si>
    <t>90</t>
  </si>
  <si>
    <t>-12.7001209 , -38.3250736</t>
  </si>
  <si>
    <t>NE64717</t>
  </si>
  <si>
    <t>33041260139596</t>
  </si>
  <si>
    <t>CASAS BAHIA - AVENIDA DO RIO PEQUENO, 1158 - ZONA COMERCIAL - SPC11260</t>
  </si>
  <si>
    <t>AVENIDA DO RIO PEQUENO</t>
  </si>
  <si>
    <t>1158</t>
  </si>
  <si>
    <t>RIO PEQUENO</t>
  </si>
  <si>
    <t>5379000</t>
  </si>
  <si>
    <t>-23.5680579 , -46.7561995</t>
  </si>
  <si>
    <t>SPC11260</t>
  </si>
  <si>
    <t>1613</t>
  </si>
  <si>
    <t>CASAS BAHIA - RUA TREZE DE MAIO, 77 - ZONA COMERCIAL - SPC40008</t>
  </si>
  <si>
    <t>RUA TREZE DE MAIO</t>
  </si>
  <si>
    <t>SANTANA DE PARNAÍBA</t>
  </si>
  <si>
    <t>-23.4450181, -46.9185673</t>
  </si>
  <si>
    <t>SPC40008</t>
  </si>
  <si>
    <t>33041260105691</t>
  </si>
  <si>
    <t>CASAS BAHIA - ESTRADA DE RIBAMAR, MA 201, KM 05, 98 - SHOPPING PATIO NORTH - N250010</t>
  </si>
  <si>
    <t>ESTRADA DE RIBAMAR, MA 201, KM 05</t>
  </si>
  <si>
    <t>98</t>
  </si>
  <si>
    <t>SARAMANTA</t>
  </si>
  <si>
    <t>São José De Ribamar</t>
  </si>
  <si>
    <t>65110000</t>
  </si>
  <si>
    <t>-2.5516439, -44.1919228</t>
  </si>
  <si>
    <t>N250010</t>
  </si>
  <si>
    <t>33041260156687</t>
  </si>
  <si>
    <t>1846</t>
  </si>
  <si>
    <t>Shopping Patio North</t>
  </si>
  <si>
    <t>CASAS BAHIA - RODOVIA GOVERNADOR MARIO COVAS, KM 295 - SHOPPING ITABORAI PLAZA - RJES266870</t>
  </si>
  <si>
    <t>MANILHA</t>
  </si>
  <si>
    <t>24855140</t>
  </si>
  <si>
    <t>RJES266870</t>
  </si>
  <si>
    <t>33041260148234</t>
  </si>
  <si>
    <t>1771</t>
  </si>
  <si>
    <t>LOJAS COLOMBO - AVENIDA JULIO DE CASTILHOS, 1609 - ZONA COMERCIAL - SUL9121</t>
  </si>
  <si>
    <t>95010002</t>
  </si>
  <si>
    <t>-29.167952 , -51.180721</t>
  </si>
  <si>
    <t>SUL9121</t>
  </si>
  <si>
    <t>89848543000339</t>
  </si>
  <si>
    <t>2</t>
  </si>
  <si>
    <t>HAVAN - AVENIDA FRANCISCO FERREIRA LOPES, 3300 - SPC21360</t>
  </si>
  <si>
    <t>VILA JUNDIAI</t>
  </si>
  <si>
    <t>-23.5396019 , -46.2301744</t>
  </si>
  <si>
    <t>SPC21360</t>
  </si>
  <si>
    <t>79379491006629</t>
  </si>
  <si>
    <t>66 - MOGI DAS CRUZES</t>
  </si>
  <si>
    <t>LOJAS AMERICANAS - AVENIDA CRISTIANO MACHADO, 11833 - SHOPPING ESTACAO BH - MGCO20652</t>
  </si>
  <si>
    <t>LUC 317 / 318</t>
  </si>
  <si>
    <t>MGCO20652</t>
  </si>
  <si>
    <t>776574133547</t>
  </si>
  <si>
    <t>L097</t>
  </si>
  <si>
    <t>LOJAS AMERICANAS - AVENIDA DOS NOGUEIRAS, 49 - MGCO243740</t>
  </si>
  <si>
    <t>-19.7660624,-44.0909088</t>
  </si>
  <si>
    <t>MGCO243740</t>
  </si>
  <si>
    <t>776574044870</t>
  </si>
  <si>
    <t>L640</t>
  </si>
  <si>
    <t>LOJAS CEM - AVENIDA INOCENCIO PIRES DE OLIVEIRA, 176 - SPC267970</t>
  </si>
  <si>
    <t>AVENIDA INOCENCIO PIRES DE OLIVEIRA</t>
  </si>
  <si>
    <t>176</t>
  </si>
  <si>
    <t>6725105</t>
  </si>
  <si>
    <t>-23.6865537, -47.0222499</t>
  </si>
  <si>
    <t>SPC267970</t>
  </si>
  <si>
    <t>56642960021700</t>
  </si>
  <si>
    <t>COTCAU</t>
  </si>
  <si>
    <t>LOJAS CEM - RUA VINTE E CINCO DE MARCO, 100 - SPC268360</t>
  </si>
  <si>
    <t>RUA VINTE E CINCO DE MARCO</t>
  </si>
  <si>
    <t>JARDIM PAMELA</t>
  </si>
  <si>
    <t>Biritiba Mirim</t>
  </si>
  <si>
    <t>8940000</t>
  </si>
  <si>
    <t>-23.5697641,-46.0389303</t>
  </si>
  <si>
    <t>SPC268360</t>
  </si>
  <si>
    <t>56642960028896</t>
  </si>
  <si>
    <t>BIRIMI</t>
  </si>
  <si>
    <t>VIVO - AVENIDA AFONSO PENA, 4909 - SHOPPING CAMPO GRANDE - MGCO5835</t>
  </si>
  <si>
    <t>LOJA 2013 E 2015</t>
  </si>
  <si>
    <t>79010230</t>
  </si>
  <si>
    <t>MGCO5835</t>
  </si>
  <si>
    <t>2558157012926</t>
  </si>
  <si>
    <t>LOJA SHOPPING CAMPO GRANDE MS</t>
  </si>
  <si>
    <t>CARREFOUR - AVENIDA RUI BARBOSA MENDES, 300 - ZONA COMERCIAL - SPI82889</t>
  </si>
  <si>
    <t>AVENIDA RUI BARBOSA MENDES</t>
  </si>
  <si>
    <t>TERRAS DE PIRACICABA</t>
  </si>
  <si>
    <t>13403825</t>
  </si>
  <si>
    <t>-22.7251105 , -47.6747301</t>
  </si>
  <si>
    <t>SPI82889</t>
  </si>
  <si>
    <t>45543915037344</t>
  </si>
  <si>
    <t>PIR</t>
  </si>
  <si>
    <t>CASAS BAHIA - AVENIDA SANTOS DUMONT, 30 - ZONA COMERCIAL - SPC11271</t>
  </si>
  <si>
    <t>21,25,33,34,LT 5,QDC</t>
  </si>
  <si>
    <t>CUMBICA</t>
  </si>
  <si>
    <t>7180270</t>
  </si>
  <si>
    <t>-23.449635 , -46.473403</t>
  </si>
  <si>
    <t>SPC11271</t>
  </si>
  <si>
    <t>33041260103567</t>
  </si>
  <si>
    <t>1213</t>
  </si>
  <si>
    <t>CASAS BAHIA - RUA CONDE DE BONFIM, 326 - ZONA COMERCIAL - RJES21080</t>
  </si>
  <si>
    <t>RUA CONDE DE BONFIM</t>
  </si>
  <si>
    <t>326</t>
  </si>
  <si>
    <t>20520054</t>
  </si>
  <si>
    <t>-22.923449 , -43.232002</t>
  </si>
  <si>
    <t>RJES21080</t>
  </si>
  <si>
    <t>33041260082896</t>
  </si>
  <si>
    <t>1071</t>
  </si>
  <si>
    <t>CASAS BAHIA - RUA DO CATETE, 265 - ZONA COMERCIAL - RJES11786</t>
  </si>
  <si>
    <t>RUA DO CATETE</t>
  </si>
  <si>
    <t>265</t>
  </si>
  <si>
    <t>TERREO,2º PAVIMENTO</t>
  </si>
  <si>
    <t>CATETE</t>
  </si>
  <si>
    <t>22220001</t>
  </si>
  <si>
    <t>-22.929594 , -43.17749</t>
  </si>
  <si>
    <t>RJES11786</t>
  </si>
  <si>
    <t>33041260083272</t>
  </si>
  <si>
    <t>CASAS BAHIA - PRACA BOM JESUS DE PIRAPORINHA, 307 - ZONA COMERCIAL - SPC11246</t>
  </si>
  <si>
    <t>PRACA BOM JESUS DE PIRAPORINHA</t>
  </si>
  <si>
    <t>307</t>
  </si>
  <si>
    <t>313</t>
  </si>
  <si>
    <t>PIRAPORINHA</t>
  </si>
  <si>
    <t>9951550</t>
  </si>
  <si>
    <t>-23.691235 , -46.581249</t>
  </si>
  <si>
    <t>SPC11246</t>
  </si>
  <si>
    <t>33041260118599</t>
  </si>
  <si>
    <t>1353</t>
  </si>
  <si>
    <t>CASAS BAHIA - AVENIDA DOUTOR ARY TEIXEIRA, 270 - MGCO242590</t>
  </si>
  <si>
    <t>AVENIDA DOUTOR ARY TEIXEIRA</t>
  </si>
  <si>
    <t>270</t>
  </si>
  <si>
    <t>VESPASIANO</t>
  </si>
  <si>
    <t>33201000</t>
  </si>
  <si>
    <t>-19.6918168,-43.9240787</t>
  </si>
  <si>
    <t>MGCO242590</t>
  </si>
  <si>
    <t>33041260129604</t>
  </si>
  <si>
    <t>1694</t>
  </si>
  <si>
    <t>ELETROMAR MOVEIS - RUA 13 DE JULHO, 573 - MGCO229790</t>
  </si>
  <si>
    <t>-15.6022415 , -56.0985695</t>
  </si>
  <si>
    <t>MGCO229790</t>
  </si>
  <si>
    <t>32951535004474</t>
  </si>
  <si>
    <t>F43</t>
  </si>
  <si>
    <t>ELETROMAR MOVEIS</t>
  </si>
  <si>
    <t>INFO STORE - AVENIDA ARQUITETO JOSE HENRIQUE BENTO RODRIGUES, 3760 - SHOPPING VIA NORTE - N261730</t>
  </si>
  <si>
    <t>AVENIDA ARQUITETO JOSE HENRIQUE BENTO RODRIGUES</t>
  </si>
  <si>
    <t>3760</t>
  </si>
  <si>
    <t>MONTE DAS OLIVEIRAS</t>
  </si>
  <si>
    <t>69093149</t>
  </si>
  <si>
    <t>-2.999386 , -60.001752</t>
  </si>
  <si>
    <t>N261730</t>
  </si>
  <si>
    <t>2337524000521</t>
  </si>
  <si>
    <t>Shopping Via Norte</t>
  </si>
  <si>
    <t>LOJAS AMERICANAS - ESTRADA DE RIBAMAR, MA 201, KM 05 98 - SHOPPING PATIO NORTH - NE42102</t>
  </si>
  <si>
    <t>ESTRADA SAO JOSE DE RIBAMAR KM 05 MA-201</t>
  </si>
  <si>
    <t>São José de Ribamar</t>
  </si>
  <si>
    <t>-2.551519 , -44.191756</t>
  </si>
  <si>
    <t>NE42102</t>
  </si>
  <si>
    <t>776574166984</t>
  </si>
  <si>
    <t>LOJAS AMERICANAS - RUA SANTA CATARINA, 198 - SPC11474</t>
  </si>
  <si>
    <t>RUA SANTA CATARINA</t>
  </si>
  <si>
    <t>198</t>
  </si>
  <si>
    <t>9510120</t>
  </si>
  <si>
    <t>-23.6128368 , -46.5719873</t>
  </si>
  <si>
    <t>SPC11474</t>
  </si>
  <si>
    <t>776574029057</t>
  </si>
  <si>
    <t>L562</t>
  </si>
  <si>
    <t>LOJAS AMERICANAS - AVENIDA JOSE HENRIQUE BENTO RODRIGUES, 3760 - SHOPPING VIA NORTE - N41649</t>
  </si>
  <si>
    <t>AVENIDA ARQUITETO JOSÉ HENRIQUE BENTO RODRIGUES</t>
  </si>
  <si>
    <t>-2.9990087 , -60.00218520000001</t>
  </si>
  <si>
    <t>N41649</t>
  </si>
  <si>
    <t>776574150204</t>
  </si>
  <si>
    <t>LOJAS CEM - RUA 13 DE MAIO, 13 - SPC267580</t>
  </si>
  <si>
    <t>6500000</t>
  </si>
  <si>
    <t>-23.4450092, -46.91819580000001</t>
  </si>
  <si>
    <t>SPC267580</t>
  </si>
  <si>
    <t>56642960008003</t>
  </si>
  <si>
    <t>SPARNA</t>
  </si>
  <si>
    <t>LOJAS CEM - AVENIDA CONSELHEIRO CARRAO, 2100 - ZONA COMERCIAL - SPC20298</t>
  </si>
  <si>
    <t>AVENIDA CONSELHEIRO CARRAO</t>
  </si>
  <si>
    <t>2100</t>
  </si>
  <si>
    <t>3403002</t>
  </si>
  <si>
    <t>-23.5471704 , -46.5410202</t>
  </si>
  <si>
    <t>SPC20298</t>
  </si>
  <si>
    <t>56642960015050</t>
  </si>
  <si>
    <t>SPVCAR</t>
  </si>
  <si>
    <t>LOJAS CEM - AVENIDA SAPOPEMBA, 8327 - ZONA COMERCIAL - SPC20299</t>
  </si>
  <si>
    <t>8327</t>
  </si>
  <si>
    <t>-23.5984548 , -46.52006069999999</t>
  </si>
  <si>
    <t>SPC20299</t>
  </si>
  <si>
    <t>56642960014674</t>
  </si>
  <si>
    <t>SPSAP</t>
  </si>
  <si>
    <t>LOJAS CEM - RUA CORONEL FAGUNDES, 130 - ZONA COMERCIAL - SPC23021</t>
  </si>
  <si>
    <t>RUA CORONEL FAGUNDES</t>
  </si>
  <si>
    <t>130</t>
  </si>
  <si>
    <t>JARDIM MAIRI</t>
  </si>
  <si>
    <t>-23.319056 , -46.585758</t>
  </si>
  <si>
    <t>SPC23021</t>
  </si>
  <si>
    <t>56642960011900</t>
  </si>
  <si>
    <t>MAIRIP</t>
  </si>
  <si>
    <t>MAGAZINE LUIZA - AVENIDA LONDRINA, 443 - ZONA COMERCIAL - SUL18574</t>
  </si>
  <si>
    <t>AVENIDA LONDRINA</t>
  </si>
  <si>
    <t>LOJA 1</t>
  </si>
  <si>
    <t>Sarandi</t>
  </si>
  <si>
    <t>87111220</t>
  </si>
  <si>
    <t>-23.4426253 , -51.874436</t>
  </si>
  <si>
    <t>SUL18574</t>
  </si>
  <si>
    <t>47960950066149</t>
  </si>
  <si>
    <t>967</t>
  </si>
  <si>
    <t>MAGAZINE LUIZA - RUA XV DE NOVEMBRO, 450 - ZONA COMERCIAL - SPI64807</t>
  </si>
  <si>
    <t>450</t>
  </si>
  <si>
    <t>Cravinhos</t>
  </si>
  <si>
    <t>14140000</t>
  </si>
  <si>
    <t>-21.339886 , -47.7322165</t>
  </si>
  <si>
    <t>SPI64807</t>
  </si>
  <si>
    <t>47960950021986</t>
  </si>
  <si>
    <t>MAGAZINE LUIZA - AVENIDA MANGALO, S/N - MGCO258850</t>
  </si>
  <si>
    <t>AVENIDA MANGALO</t>
  </si>
  <si>
    <t>SETOR MORADA DO SOL</t>
  </si>
  <si>
    <t>74475115</t>
  </si>
  <si>
    <t>-16.6284969,-49.3315815</t>
  </si>
  <si>
    <t>MGCO258850</t>
  </si>
  <si>
    <t>47960950106388</t>
  </si>
  <si>
    <t>1038</t>
  </si>
  <si>
    <t>MAGAZINE LUIZA - AVENIDA JOAO BATISTA, 55 - SPC7999</t>
  </si>
  <si>
    <t>AVENIDA SAO JOAO BATISTA</t>
  </si>
  <si>
    <t>VILA NORMANDIA</t>
  </si>
  <si>
    <t>9635000</t>
  </si>
  <si>
    <t>-23.6536068 , -46.5717684</t>
  </si>
  <si>
    <t>SPC7999</t>
  </si>
  <si>
    <t>47960950107350</t>
  </si>
  <si>
    <t>MAGAZINE LUIZA - AVENIDA BRASIL, 6235 - SHOPPING JARDIM NORTE - MGCO254820</t>
  </si>
  <si>
    <t>6235</t>
  </si>
  <si>
    <t>MARIANO PROCÓPIO</t>
  </si>
  <si>
    <t>36080060</t>
  </si>
  <si>
    <t>-21.7405643, -43.3706894</t>
  </si>
  <si>
    <t>MGCO254820</t>
  </si>
  <si>
    <t>47960950184770</t>
  </si>
  <si>
    <t>1854</t>
  </si>
  <si>
    <t>Shopping Jardim Norte</t>
  </si>
  <si>
    <t>CARREFOUR - AVENIDA DOS AUTONOMISTAS, 1768 - SUPER SHOPPING OSASCO - SPC9210</t>
  </si>
  <si>
    <t>1768</t>
  </si>
  <si>
    <t>1828,PREDIO A</t>
  </si>
  <si>
    <t>-23.539499 , -46.770851</t>
  </si>
  <si>
    <t>SPC9210</t>
  </si>
  <si>
    <t>BOS</t>
  </si>
  <si>
    <t>Super Shopping Osasco</t>
  </si>
  <si>
    <t>CASAS BAHIA - ESTRADA DO CAMPO LIMPO, 4162 - ZONA COMERCIAL - SPC11233</t>
  </si>
  <si>
    <t>4162</t>
  </si>
  <si>
    <t>4172 E 4182 A</t>
  </si>
  <si>
    <t>CAMPO LIMPO</t>
  </si>
  <si>
    <t>-23.627471 , -46.766803</t>
  </si>
  <si>
    <t>SPC11233</t>
  </si>
  <si>
    <t>33041260101009</t>
  </si>
  <si>
    <t>1209</t>
  </si>
  <si>
    <t>CASAS BAHIA - AVENIDA PRESIDENTE CASTELO BRANCO, 991 - ZONA COMERCIAL - SPC11249</t>
  </si>
  <si>
    <t>AVENIDA PRESIDENTE CASTELO BRANCO</t>
  </si>
  <si>
    <t>1005 E 1013</t>
  </si>
  <si>
    <t>JARDIM ZAIRA</t>
  </si>
  <si>
    <t>9321375</t>
  </si>
  <si>
    <t>-23.656006 , -46.447834</t>
  </si>
  <si>
    <t>SPC11249</t>
  </si>
  <si>
    <t>33041260118912</t>
  </si>
  <si>
    <t>1564</t>
  </si>
  <si>
    <t>CASAS BAHIA - AVENIDA JOAO PALACIO, 300 - SHOPPING MESTRE ALVARO - RJES9110</t>
  </si>
  <si>
    <t>AVENIDA JOAO PALACIO</t>
  </si>
  <si>
    <t>EURICO SALLES</t>
  </si>
  <si>
    <t>29160161</t>
  </si>
  <si>
    <t>-20.2400366 , -40.2749716</t>
  </si>
  <si>
    <t>RJES9110</t>
  </si>
  <si>
    <t>1715</t>
  </si>
  <si>
    <t>Shopping Mestre Álvaro</t>
  </si>
  <si>
    <t>CLARO - AVENIDA FARROUPILHA, 4545 - PARK SHOPPING CANOAS - SUL89242</t>
  </si>
  <si>
    <t>AVENIDA FARROUPILHA</t>
  </si>
  <si>
    <t>4545</t>
  </si>
  <si>
    <t>MARECHAL RONDON</t>
  </si>
  <si>
    <t>92020475</t>
  </si>
  <si>
    <t>-29.9151684 , -51.1647481</t>
  </si>
  <si>
    <t>SUL89242</t>
  </si>
  <si>
    <t>40432544097205</t>
  </si>
  <si>
    <t>5143</t>
  </si>
  <si>
    <t>Park Shopping Canoas</t>
  </si>
  <si>
    <t>LOJAS AMERICANAS - RUA JULIO DE CASTILHOS, 1729 - SUL49295</t>
  </si>
  <si>
    <t>1729</t>
  </si>
  <si>
    <t>NOSSA SENHORA DE LOURDES</t>
  </si>
  <si>
    <t>95010004</t>
  </si>
  <si>
    <t>-29.167785 , -51.179065</t>
  </si>
  <si>
    <t>SUL49295</t>
  </si>
  <si>
    <t>776574020424</t>
  </si>
  <si>
    <t>LOJAS AMERICANAS - AVENIDA NACOES UNIDAS, 2001 - SHOPPING NOVO HAMBURGO - SUL19941</t>
  </si>
  <si>
    <t>LOJA 1004 A</t>
  </si>
  <si>
    <t>-29.6858679 , -51.13398549999999</t>
  </si>
  <si>
    <t>SUL19941</t>
  </si>
  <si>
    <t>776574161400</t>
  </si>
  <si>
    <t>L186</t>
  </si>
  <si>
    <t>LOJAS AMERICANAS - AVENIDA SENHOR DOS PASSOS, 942 - NE10428</t>
  </si>
  <si>
    <t>AVENIDA SENADOR DOS PASSOS</t>
  </si>
  <si>
    <t>942</t>
  </si>
  <si>
    <t>44010231</t>
  </si>
  <si>
    <t>-12.25564 , -38.965318</t>
  </si>
  <si>
    <t>NE10428</t>
  </si>
  <si>
    <t>776574051060</t>
  </si>
  <si>
    <t>L271</t>
  </si>
  <si>
    <t>LOJAS CEM - RUA XV DE NOVEMBRO, 112 - SPI258600</t>
  </si>
  <si>
    <t>-21.3403008,-47.7345515</t>
  </si>
  <si>
    <t>SPI258600</t>
  </si>
  <si>
    <t>56642960026761</t>
  </si>
  <si>
    <t>CRAVIN</t>
  </si>
  <si>
    <t>LOJAS CEM - AVENIDA JOSE PAULINO, 975 - ZONA COMERCIAL - SPI18799</t>
  </si>
  <si>
    <t>AVENIDA JOSE PAULINO</t>
  </si>
  <si>
    <t>JARDIMSOBENTO</t>
  </si>
  <si>
    <t>Paulínia</t>
  </si>
  <si>
    <t>13140000</t>
  </si>
  <si>
    <t>-22.7636353 , -47.151882</t>
  </si>
  <si>
    <t>SPI18799</t>
  </si>
  <si>
    <t>56642960008275</t>
  </si>
  <si>
    <t>PAULÍN</t>
  </si>
  <si>
    <t>LOJAS CEM - AVENIDA RICIERI JOSE MARCATTO , 1105 - ZONA COMERCIAL - SPC64313</t>
  </si>
  <si>
    <t>AVENIDA RICIERI JOSE MARCATTO</t>
  </si>
  <si>
    <t>VILA SUISSA</t>
  </si>
  <si>
    <t>8810020</t>
  </si>
  <si>
    <t>-23.505588 , -46.15112</t>
  </si>
  <si>
    <t>SPC64313</t>
  </si>
  <si>
    <t>56642960024637</t>
  </si>
  <si>
    <t>MGCCES</t>
  </si>
  <si>
    <t>LOJAS CEM - AVENIDA PIETRO PETRI, 479 - SPC268390</t>
  </si>
  <si>
    <t>AVENIDA PIETRO PETRI</t>
  </si>
  <si>
    <t>TERRA PRETA</t>
  </si>
  <si>
    <t>7661435</t>
  </si>
  <si>
    <t>-23.2623881,-46.5880459</t>
  </si>
  <si>
    <t>SPC268390</t>
  </si>
  <si>
    <t>56642960029434</t>
  </si>
  <si>
    <t>MAIRTP</t>
  </si>
  <si>
    <t>MAGAZINE LUIZA - RUA ALMIRANTE BARROSO, 71 - ZONA COMERCIAL - NE22964</t>
  </si>
  <si>
    <t>58013120</t>
  </si>
  <si>
    <t>-7.11903 , -34.876736</t>
  </si>
  <si>
    <t>NE22964</t>
  </si>
  <si>
    <t>47960950078236</t>
  </si>
  <si>
    <t>781</t>
  </si>
  <si>
    <t>MAGAZINE LUIZA - AVENIDA TABELIAO PASSARELA, 43 - ZONA COMERCIAL - SPC78169</t>
  </si>
  <si>
    <t>AVENIDA TAB. PASSARELA</t>
  </si>
  <si>
    <t>343</t>
  </si>
  <si>
    <t>-23.318206 , -46.58512</t>
  </si>
  <si>
    <t>SPC78169</t>
  </si>
  <si>
    <t>47960950100185</t>
  </si>
  <si>
    <t>648</t>
  </si>
  <si>
    <t>MAGAZINE LUIZA - RUA TIRADENTES, 180 - ZONA COMERCIAL - SUL9112</t>
  </si>
  <si>
    <t>72</t>
  </si>
  <si>
    <t>92010260</t>
  </si>
  <si>
    <t>-29.919195 , -51.178917</t>
  </si>
  <si>
    <t>SUL9112</t>
  </si>
  <si>
    <t>47960950029537</t>
  </si>
  <si>
    <t>MAGAZINE LUIZA - AVENIDA WASHINGTON SOARES, 4055 - ZONA COMERCIAL - NE21356</t>
  </si>
  <si>
    <t>SAPIRANGA</t>
  </si>
  <si>
    <t>60833005</t>
  </si>
  <si>
    <t>-3.7923392 , -38.4797767</t>
  </si>
  <si>
    <t>NE21356</t>
  </si>
  <si>
    <t>47960950084635</t>
  </si>
  <si>
    <t>873</t>
  </si>
  <si>
    <t>PONTO FRIO - Q 2 - PLANALTINA - ZONA COMERCIAL - MGCO19025</t>
  </si>
  <si>
    <t>OUTROS SHD PROJECAO N</t>
  </si>
  <si>
    <t>LOJA 4 A 8,TÉRREO</t>
  </si>
  <si>
    <t>72310200</t>
  </si>
  <si>
    <t>-15.618622 , -47.653018</t>
  </si>
  <si>
    <t>MGCO19025</t>
  </si>
  <si>
    <t>33041260049090</t>
  </si>
  <si>
    <t>476</t>
  </si>
  <si>
    <t>CASAS BAHIA - RUA DIAS DA CRUZ, 21 - ZONA COMERCIAL - RJES11698</t>
  </si>
  <si>
    <t>RUA DIAS DA CRUZ</t>
  </si>
  <si>
    <t>19 A,21,23,25 E 29</t>
  </si>
  <si>
    <t>MEIER</t>
  </si>
  <si>
    <t>20720010</t>
  </si>
  <si>
    <t>-22.901993 , -43.278358</t>
  </si>
  <si>
    <t>RJES11698</t>
  </si>
  <si>
    <t>33041260084082</t>
  </si>
  <si>
    <t>CASAS BAHIA - RUA DOUTOR MARTINIANO, 135 - SPI11227</t>
  </si>
  <si>
    <t>RUA DOUTOR MARTINIANO</t>
  </si>
  <si>
    <t>Guaratinguetá</t>
  </si>
  <si>
    <t>12500170</t>
  </si>
  <si>
    <t>-22.8155108 , -45.1920808</t>
  </si>
  <si>
    <t>SPI11227</t>
  </si>
  <si>
    <t>33041260123835</t>
  </si>
  <si>
    <t>1051</t>
  </si>
  <si>
    <t>CASAS BAHIA - RUA FREI ANIBAL DE GENOVA, S/N - ZONA COMERCIAL - SPC11226</t>
  </si>
  <si>
    <t>RUA FREI ANIBAL DE GENOVA</t>
  </si>
  <si>
    <t>8490550</t>
  </si>
  <si>
    <t>-23.5838801 , -46.4078944</t>
  </si>
  <si>
    <t>SPC11226</t>
  </si>
  <si>
    <t>33041260116979</t>
  </si>
  <si>
    <t>1413</t>
  </si>
  <si>
    <t>HAVAN - AVENIDA BENTO MUNHOZ ROCHA NETO, 5136 - SUL291120</t>
  </si>
  <si>
    <t>AVENIDA BENTO MUNHOZ ROCHA NETO</t>
  </si>
  <si>
    <t>5136</t>
  </si>
  <si>
    <t>JARDIM YAMAGUCHI</t>
  </si>
  <si>
    <t>83215000</t>
  </si>
  <si>
    <t>-25.5608119,-48.5656589</t>
  </si>
  <si>
    <t>SUL291120</t>
  </si>
  <si>
    <t>79379491019879</t>
  </si>
  <si>
    <t>214 - PARANAGUA 2</t>
  </si>
  <si>
    <t>LOJAS AMERICANAS - AVENIDA SANTOS DUMONT, 4360 - PARQUE SHOPPING BAHIA - NE235950</t>
  </si>
  <si>
    <t>LOJA 2005 PISO L2</t>
  </si>
  <si>
    <t>Lauro de Freitas</t>
  </si>
  <si>
    <t>-12.88838366354231, -38.31770978977637</t>
  </si>
  <si>
    <t>NE235950</t>
  </si>
  <si>
    <t>776574155435</t>
  </si>
  <si>
    <t>LOJAS AMERICANAS - AVENIDA LUIS VIANA FILHO, 8544 - SHOPPING PARALELA - NE5563</t>
  </si>
  <si>
    <t>AVENIDA LUIZ VIANA FILHO</t>
  </si>
  <si>
    <t>LOJA 120 E 121</t>
  </si>
  <si>
    <t>-12.936563 , -38.39497</t>
  </si>
  <si>
    <t>NE5563</t>
  </si>
  <si>
    <t>776574128039</t>
  </si>
  <si>
    <t>L413</t>
  </si>
  <si>
    <t>LOJAS CEM - PRACA NOSSA SENHORA APARECIDA, 80 - SPI232510</t>
  </si>
  <si>
    <t>PRACA NOSSA SENHORA APARECIDA</t>
  </si>
  <si>
    <t>Jardinópolis</t>
  </si>
  <si>
    <t>14680000</t>
  </si>
  <si>
    <t>-21.0223165, -47.7676702</t>
  </si>
  <si>
    <t>SPI232510</t>
  </si>
  <si>
    <t>56642960015999</t>
  </si>
  <si>
    <t>JARDIN</t>
  </si>
  <si>
    <t>MAGAZINE LUIZA - AVENIDA PRESIDENTE VARGAS, 1856 - ZONA COMERCIAL - SUL37183</t>
  </si>
  <si>
    <t>AVENIDA PRESIDENTE VARGAS</t>
  </si>
  <si>
    <t>Esteio</t>
  </si>
  <si>
    <t>93260004</t>
  </si>
  <si>
    <t>-29.84679 , -51.174629</t>
  </si>
  <si>
    <t>SUL37183</t>
  </si>
  <si>
    <t>47960950033216</t>
  </si>
  <si>
    <t>431</t>
  </si>
  <si>
    <t>MAGAZINE LUIZA - PRACA MARTIN MOREIRA, 41 - ZONA COMERIAL - SPI39892</t>
  </si>
  <si>
    <t>PRACA MARTIN MOREIRA</t>
  </si>
  <si>
    <t>Brodowski</t>
  </si>
  <si>
    <t>14340000</t>
  </si>
  <si>
    <t>-20.9900507, -47.6591463</t>
  </si>
  <si>
    <t>SPI39892</t>
  </si>
  <si>
    <t>47960950025620</t>
  </si>
  <si>
    <t>MAGAZINE LUIZA - AVENIDA RIO BRANCO, 928 - ZONA COMERCIAL - SUL18426</t>
  </si>
  <si>
    <t>AVENIDA RIO BRANCO</t>
  </si>
  <si>
    <t>928</t>
  </si>
  <si>
    <t>-29.17584519999999 , -51.19299969999999</t>
  </si>
  <si>
    <t>SUL18426</t>
  </si>
  <si>
    <t>47960950031191</t>
  </si>
  <si>
    <t>PONTO FRIO - ESTRADA DO CAMPO LIMPO, 4317 - ZONA COMERCIAL - SPC10017</t>
  </si>
  <si>
    <t>4317</t>
  </si>
  <si>
    <t>4329</t>
  </si>
  <si>
    <t>-23.62616 , -46.766102</t>
  </si>
  <si>
    <t>SPC10017</t>
  </si>
  <si>
    <t>33041260020947</t>
  </si>
  <si>
    <t>BEMOL - AVENIDA CORONEL TEIXEIRA, 5705 - SHOPPING PONTA NEGRA - N10249</t>
  </si>
  <si>
    <t>AVENIDA CORONEL TEIXEIRA</t>
  </si>
  <si>
    <t>5705</t>
  </si>
  <si>
    <t>LOJA 39 PISO 1</t>
  </si>
  <si>
    <t>PONTA NEGRA</t>
  </si>
  <si>
    <t>69037000</t>
  </si>
  <si>
    <t>-3.085037 , -60.072476</t>
  </si>
  <si>
    <t>N10249</t>
  </si>
  <si>
    <t>04565289003405</t>
  </si>
  <si>
    <t>Shopping Ponta Negra</t>
  </si>
  <si>
    <t>CASAS BAHIA - AVENIDA PRESIDENTE VARGAS, 1991 - ZONA COMERCIAL - SUL87160</t>
  </si>
  <si>
    <t>1991</t>
  </si>
  <si>
    <t>93260077</t>
  </si>
  <si>
    <t>-29.848352 , -51.175868</t>
  </si>
  <si>
    <t>SUL87160</t>
  </si>
  <si>
    <t>33041260166801</t>
  </si>
  <si>
    <t>2045</t>
  </si>
  <si>
    <t>CASAS BAHIA - RUA SILVEIRA MARTINS, 165 - NE282370</t>
  </si>
  <si>
    <t>RUA SILVEIRA MARTINS</t>
  </si>
  <si>
    <t>165</t>
  </si>
  <si>
    <t>41150000</t>
  </si>
  <si>
    <t>-12.9607138,-38.4725665</t>
  </si>
  <si>
    <t>NE282370</t>
  </si>
  <si>
    <t>33041260138948</t>
  </si>
  <si>
    <t>CLARO - RUA TUPIS, 337 - SHOPPING CIDADE - MGCO6857</t>
  </si>
  <si>
    <t>LOJA 37</t>
  </si>
  <si>
    <t>MGCO6857</t>
  </si>
  <si>
    <t>40432544024755</t>
  </si>
  <si>
    <t>CLARO - AVENIDA RIO MADEIRA, 3288 - PORTO VELHO SHOPPING - N64509</t>
  </si>
  <si>
    <t>AVENIDA RIO MADEIRA, 3288</t>
  </si>
  <si>
    <t>-8.7481518 , -63.8757944</t>
  </si>
  <si>
    <t>N64509</t>
  </si>
  <si>
    <t>40432544046139</t>
  </si>
  <si>
    <t>6905</t>
  </si>
  <si>
    <t>GAZIN - RUA PRESIDENTE CASTELO BRANCO, 659 - MGCO288960</t>
  </si>
  <si>
    <t>RUA PRESIDENTE CASTELO BRANCO</t>
  </si>
  <si>
    <t>Rondonópolis</t>
  </si>
  <si>
    <t>78720630</t>
  </si>
  <si>
    <t>-16.439609,-54.6277778</t>
  </si>
  <si>
    <t>MGCO288960</t>
  </si>
  <si>
    <t>77941490014296</t>
  </si>
  <si>
    <t>10135</t>
  </si>
  <si>
    <t>LOJAS AMERICANAS - RUA DO GIRIQUITI, 48 - SHOPPING BOA VISTA - NE6889</t>
  </si>
  <si>
    <t>RUA DO GIRIQUITI</t>
  </si>
  <si>
    <t>LOJA 35 E 36</t>
  </si>
  <si>
    <t>50070010</t>
  </si>
  <si>
    <t>-8.059919 , -34.887262</t>
  </si>
  <si>
    <t>NE6889</t>
  </si>
  <si>
    <t>776574164507</t>
  </si>
  <si>
    <t>L518</t>
  </si>
  <si>
    <t>Shopping Boa Vista - Pe</t>
  </si>
  <si>
    <t>LOJAS CEM - RUA MARECHAL DEODORO, 166 - SPI11228</t>
  </si>
  <si>
    <t>12500210</t>
  </si>
  <si>
    <t>-22.8158204 , -45.1893687</t>
  </si>
  <si>
    <t>SPI11228</t>
  </si>
  <si>
    <t>56642960003478</t>
  </si>
  <si>
    <t>GUARAT</t>
  </si>
  <si>
    <t>LOJAS CEM - AVENIDA SOUZA RAMOS, 245 - ZONA COMERCIAL - SPC18667</t>
  </si>
  <si>
    <t>AVENIDA SOUZA RAMOS</t>
  </si>
  <si>
    <t>8490490</t>
  </si>
  <si>
    <t>-23.5785795 , -46.4117517</t>
  </si>
  <si>
    <t>SPC18667</t>
  </si>
  <si>
    <t>56642960015212</t>
  </si>
  <si>
    <t>SPCTIR</t>
  </si>
  <si>
    <t>LOJAS CEM - RUA JOSE CAMILO DE CAMARGO, 5 - SHOPPING HORTOLANDIA - SPI18460</t>
  </si>
  <si>
    <t>RUA JOSE CAMILO DE CAMARGO</t>
  </si>
  <si>
    <t>REMANSO CAMPINEIRO</t>
  </si>
  <si>
    <t>Hortolândia</t>
  </si>
  <si>
    <t>13184494</t>
  </si>
  <si>
    <t>-22.863419018667983 , -47.21359066571142</t>
  </si>
  <si>
    <t>SPI18460</t>
  </si>
  <si>
    <t>Shopping Hortolândia</t>
  </si>
  <si>
    <t>MAGAZINE LUIZA - RUA JOSE BONIFACIO, 34 - SPI11225</t>
  </si>
  <si>
    <t>RUA JOSE BONIFACIO</t>
  </si>
  <si>
    <t>12500030</t>
  </si>
  <si>
    <t>-22.8157389 , -45.1932719</t>
  </si>
  <si>
    <t>SPI11225</t>
  </si>
  <si>
    <t>47960950069911</t>
  </si>
  <si>
    <t>925</t>
  </si>
  <si>
    <t>RIACHUELO - RODOVIA PE - 015 KM 16,5, 242 - PAULISTA NORTH WAY SHOPPING - NE48489</t>
  </si>
  <si>
    <t>RODOVIA PE 15 KM 16,5</t>
  </si>
  <si>
    <t>ANCORA 03</t>
  </si>
  <si>
    <t>Paulista</t>
  </si>
  <si>
    <t>53401445</t>
  </si>
  <si>
    <t>-7.938472 , -34.877722</t>
  </si>
  <si>
    <t>NE48489</t>
  </si>
  <si>
    <t>33200056038707</t>
  </si>
  <si>
    <t>L298</t>
  </si>
  <si>
    <t>Paulista North Way Shopping</t>
  </si>
  <si>
    <t>CASAS BAHIA - AVENIDA MAESTRO PAULO E SILVA, 400 - SHOPPING ILHA PLAZA - RJES6945</t>
  </si>
  <si>
    <t>AVENIDA MAESTRO PAULO E SILVA</t>
  </si>
  <si>
    <t>B3,PARTE 2,3º PISO</t>
  </si>
  <si>
    <t>ILHA DO GOVERNADOR</t>
  </si>
  <si>
    <t>21920445</t>
  </si>
  <si>
    <t>-22.801622 , -43.201916</t>
  </si>
  <si>
    <t>RJES6945</t>
  </si>
  <si>
    <t>33041260087006</t>
  </si>
  <si>
    <t>1629</t>
  </si>
  <si>
    <t>Shopping Ilha Plaza</t>
  </si>
  <si>
    <t>CASAS BAHIA - RUA ITAPERA, 500 - SHOPPING VIA BRASIL - RJES6065</t>
  </si>
  <si>
    <t>RUA ITAPERA</t>
  </si>
  <si>
    <t>SUC 120 E 121,1ºPISO</t>
  </si>
  <si>
    <t>IRAJA</t>
  </si>
  <si>
    <t>21230500</t>
  </si>
  <si>
    <t>-22.82313 , -43.319805</t>
  </si>
  <si>
    <t>RJES6065</t>
  </si>
  <si>
    <t>33041260105004</t>
  </si>
  <si>
    <t>1626</t>
  </si>
  <si>
    <t>Shopping Via Brasil</t>
  </si>
  <si>
    <t>CASAS BAHIA - AVENIDA EUSEBIO DE QUEIROZ, 1890 - SHOPPING EUSEBIO - NE277860</t>
  </si>
  <si>
    <t>AVENIDA EUSEBIO DE QUEIROZ</t>
  </si>
  <si>
    <t>1890</t>
  </si>
  <si>
    <t>LJ 90</t>
  </si>
  <si>
    <t>TAMATANDUBA</t>
  </si>
  <si>
    <t>Eusébio</t>
  </si>
  <si>
    <t>61768680</t>
  </si>
  <si>
    <t>-3.8711492,-38.4674381</t>
  </si>
  <si>
    <t>NE277860</t>
  </si>
  <si>
    <t>33041260194341</t>
  </si>
  <si>
    <t>2315</t>
  </si>
  <si>
    <t>Shopping Eusebio</t>
  </si>
  <si>
    <t>CASAS BAHIA - PRACA CONSELHEIRO RODRIGUES ALVES, 268 - SPI11226</t>
  </si>
  <si>
    <t>PRACA CONSELHEIRO RODRIGUES ALVES</t>
  </si>
  <si>
    <t>268</t>
  </si>
  <si>
    <t>12501230</t>
  </si>
  <si>
    <t>-22.8163896 , -45.1926327</t>
  </si>
  <si>
    <t>SPI11226</t>
  </si>
  <si>
    <t>33041260033097</t>
  </si>
  <si>
    <t>CASAS BAHIA - AVENIDA DOUTOR ALMIRO LEAL DA COSTA, 370 - ZONA COMERCIAL - SPC11229</t>
  </si>
  <si>
    <t>AVENIDA DOUTOR ALMIRO LEAL DA COSTA</t>
  </si>
  <si>
    <t>JARDIM OLIVEIRAS</t>
  </si>
  <si>
    <t>8122260</t>
  </si>
  <si>
    <t>-23.4932925 , -46.3781976</t>
  </si>
  <si>
    <t>SPC11229</t>
  </si>
  <si>
    <t>1590</t>
  </si>
  <si>
    <t>CASAS BAHIA - AVENIDA NOSSA SENHORA DOS NAVEGANTES, 259 - ZONA COMERCIAL - SPC42566</t>
  </si>
  <si>
    <t>AVENIDA NOSSA SENHORA DOS NAVEGANTES</t>
  </si>
  <si>
    <t>259</t>
  </si>
  <si>
    <t>DIADEMA</t>
  </si>
  <si>
    <t>9972260</t>
  </si>
  <si>
    <t>-23.7173932 , -46.6237424</t>
  </si>
  <si>
    <t>SPC42566</t>
  </si>
  <si>
    <t>1855</t>
  </si>
  <si>
    <t>CASAS BAHIA - RUA JAYME VIEIRA LIMA, S/N - NE273250</t>
  </si>
  <si>
    <t>RUA JAYME VIEIRA LIMA</t>
  </si>
  <si>
    <t>PAU DA LIMA</t>
  </si>
  <si>
    <t>41235000</t>
  </si>
  <si>
    <t>-12.9205349,-38.4433355</t>
  </si>
  <si>
    <t>NE273250</t>
  </si>
  <si>
    <t>33041260138603</t>
  </si>
  <si>
    <t>1515</t>
  </si>
  <si>
    <t>CASAS BAHIA - AVENIDADORIVAL CAYMMI, 264 - NE282350</t>
  </si>
  <si>
    <t>AVENIDADORIVAL CAYMMI</t>
  </si>
  <si>
    <t>ITAPUA</t>
  </si>
  <si>
    <t>41635152</t>
  </si>
  <si>
    <t>-12.9482081,-38.3697523</t>
  </si>
  <si>
    <t>NE282350</t>
  </si>
  <si>
    <t>33041260142384</t>
  </si>
  <si>
    <t>1482</t>
  </si>
  <si>
    <t>HS - AVENIDA ITAVUVU, 3365 - SHOPPING CIDADE - SPI10980</t>
  </si>
  <si>
    <t>AVENIDA PAULISTA</t>
  </si>
  <si>
    <t>1230</t>
  </si>
  <si>
    <t>1310100</t>
  </si>
  <si>
    <t>-23.456759, -47.483232</t>
  </si>
  <si>
    <t>SPI10980</t>
  </si>
  <si>
    <t>LOJAS AMERICANAS - AVENIDA FARROUPILHA, 4545 - PARK SHOPPING CANOAS - SUL80462</t>
  </si>
  <si>
    <t>LOJA LUC 3049</t>
  </si>
  <si>
    <t>-29.915886 , -51.165075</t>
  </si>
  <si>
    <t>SUL80462</t>
  </si>
  <si>
    <t>776574162300</t>
  </si>
  <si>
    <t>1222</t>
  </si>
  <si>
    <t>LOJAS CEM - AVENIDA DOM PEDRO II, 302 - SPC268350</t>
  </si>
  <si>
    <t>AVENIDA DOM PEDRO II</t>
  </si>
  <si>
    <t>302</t>
  </si>
  <si>
    <t>Rio Grande da Serra</t>
  </si>
  <si>
    <t>9450000</t>
  </si>
  <si>
    <t>-23.7465186,-46.3958041</t>
  </si>
  <si>
    <t>SPC268350</t>
  </si>
  <si>
    <t>56642960028543</t>
  </si>
  <si>
    <t>RGSERR</t>
  </si>
  <si>
    <t>MAGAZINE LUIZA - AVENIDA OCTAVIO MANGABEIRA, 13461 - NE280420</t>
  </si>
  <si>
    <t>AVENIDA OCTAVIO MANGABEIRA</t>
  </si>
  <si>
    <t>13461</t>
  </si>
  <si>
    <t>41610160</t>
  </si>
  <si>
    <t>-12.9502166,-38.3704873</t>
  </si>
  <si>
    <t>NE280420</t>
  </si>
  <si>
    <t>47960950113244</t>
  </si>
  <si>
    <t>MAGAZINE LUIZA - AVENIDA EUSEBIO DE QUEIROZ, 1890 - SHOPPING EUSEBIO - NE281000</t>
  </si>
  <si>
    <t>61760000</t>
  </si>
  <si>
    <t>NE281000</t>
  </si>
  <si>
    <t>47960950156806</t>
  </si>
  <si>
    <t>1345</t>
  </si>
  <si>
    <t>VIVO - RUA SENADOR FELIPE SCHIMIDT, 235 - SHOPPING MUELLER - SUL6303</t>
  </si>
  <si>
    <t>TERREO - LOJA 09</t>
  </si>
  <si>
    <t>89201420</t>
  </si>
  <si>
    <t>SUL6303</t>
  </si>
  <si>
    <t>2558157042086</t>
  </si>
  <si>
    <t>LOJA MUELLER JOINVILLE SC</t>
  </si>
  <si>
    <t>CASAS BAHIA - AVENIDA SAPOPEMBA, 3681 - ZONA COMERCIAL - SPC11208</t>
  </si>
  <si>
    <t>3681</t>
  </si>
  <si>
    <t>REGENTE FEIJO</t>
  </si>
  <si>
    <t>3345001</t>
  </si>
  <si>
    <t>-23.574863 , -46.5536938</t>
  </si>
  <si>
    <t>SPC11208</t>
  </si>
  <si>
    <t>33041260116383</t>
  </si>
  <si>
    <t>1271</t>
  </si>
  <si>
    <t>LOJAS COLOMBO (MATRIZ) - RUA JULIO DE CASTILHOS, 719 - ZONA COMERCIAL - SUL64806</t>
  </si>
  <si>
    <t>RUA JULIO DE CASTILHOS</t>
  </si>
  <si>
    <t>Farroupilha</t>
  </si>
  <si>
    <t>95180000</t>
  </si>
  <si>
    <t>-29.2300742, -51.3455708</t>
  </si>
  <si>
    <t>SUL64806</t>
  </si>
  <si>
    <t>89848543001572</t>
  </si>
  <si>
    <t>HAVAN - AVENIDA GETULIO VARGAS, 266 - JARAGUA DO SUL PARK SHOPPING - SUL22146</t>
  </si>
  <si>
    <t>Jaraguá do Sul</t>
  </si>
  <si>
    <t>89251000</t>
  </si>
  <si>
    <t>-26.479914 , -49.084877</t>
  </si>
  <si>
    <t>SUL22146</t>
  </si>
  <si>
    <t>79379491001589</t>
  </si>
  <si>
    <t>13 - JARAGUA SHOPPING</t>
  </si>
  <si>
    <t>Jaragua Do Sul Park Shopping</t>
  </si>
  <si>
    <t>LOJAS CEM - RUA FLORIANO PEIXOTO, 640 - ZONA COMERCIAL - SPI18449</t>
  </si>
  <si>
    <t>Itu</t>
  </si>
  <si>
    <t>13300000</t>
  </si>
  <si>
    <t>-23.2637176 , -47.2987091</t>
  </si>
  <si>
    <t>SPI18449</t>
  </si>
  <si>
    <t>56642960000452</t>
  </si>
  <si>
    <t>ITU</t>
  </si>
  <si>
    <t>MAGAZINE LUIZA - PRACA JOAO PESSOA, 28 - NE279520</t>
  </si>
  <si>
    <t>Santa Rita</t>
  </si>
  <si>
    <t>58300140</t>
  </si>
  <si>
    <t>-7.1214625, -34.9799219</t>
  </si>
  <si>
    <t>NE279520</t>
  </si>
  <si>
    <t>47960950078589</t>
  </si>
  <si>
    <t>RIACHUELO - AVENIDA SENHOR DOS PASSOS, 1296 - ZONA COMERCIAL - NE45076</t>
  </si>
  <si>
    <t>-12.252796947268633 , -38.9654539654494</t>
  </si>
  <si>
    <t>NE45076</t>
  </si>
  <si>
    <t>33200056006937</t>
  </si>
  <si>
    <t>L075</t>
  </si>
  <si>
    <t>CARREFOUR - AVENIDA DOM PEDRO I, 2131 - ZONA COMERCIAL - SPC20122</t>
  </si>
  <si>
    <t>2131</t>
  </si>
  <si>
    <t>JARDIM BELMAR</t>
  </si>
  <si>
    <t>11440002</t>
  </si>
  <si>
    <t>-23.981975 , -46.231495</t>
  </si>
  <si>
    <t>SPC20122</t>
  </si>
  <si>
    <t>45543915012511</t>
  </si>
  <si>
    <t>GUA</t>
  </si>
  <si>
    <t>CLEAR TELECOM - AVENIDA SANTOS DUMONT, 4360 - PARQUE SHOPPING BAHIA - NE248340</t>
  </si>
  <si>
    <t>-12.888985503109357, -38.317425475620794</t>
  </si>
  <si>
    <t>NE248340</t>
  </si>
  <si>
    <t>23199256000760</t>
  </si>
  <si>
    <t>LE BISCUIT - SENHOR DOS PASSOS, 1350 - NE251320</t>
  </si>
  <si>
    <t>SENHOR DOS PASSOS</t>
  </si>
  <si>
    <t>1350</t>
  </si>
  <si>
    <t>Feira De Santana</t>
  </si>
  <si>
    <t>44001192</t>
  </si>
  <si>
    <t>-12.2525632,-38.9659954</t>
  </si>
  <si>
    <t>NE251320</t>
  </si>
  <si>
    <t>16233389013729</t>
  </si>
  <si>
    <t>LOJAS CEM - RUA ALTINO ARANTES, 130 - ZONA COMERCIAL - SPI39611</t>
  </si>
  <si>
    <t>RUA ALTINO ARANTES</t>
  </si>
  <si>
    <t>Porto Feliz</t>
  </si>
  <si>
    <t>18540147</t>
  </si>
  <si>
    <t>-23.2144378 , -47.5256873</t>
  </si>
  <si>
    <t>SPI39611</t>
  </si>
  <si>
    <t>56642960014160</t>
  </si>
  <si>
    <t>PFELIZ</t>
  </si>
  <si>
    <t>MAGAZINE LUIZA - RUA 15 DE NOVEMBRO, 700 - ZONA COMERCIAL - SUL18970</t>
  </si>
  <si>
    <t>700</t>
  </si>
  <si>
    <t>-25.5219316 , -48.5074826</t>
  </si>
  <si>
    <t>SUL18970</t>
  </si>
  <si>
    <t>47960950071223</t>
  </si>
  <si>
    <t>MAGAZINE LUIZA - RUA SAO MARCOS, 819 - NE273240</t>
  </si>
  <si>
    <t>RUA SAO MARCOS</t>
  </si>
  <si>
    <t>819</t>
  </si>
  <si>
    <t>41245805</t>
  </si>
  <si>
    <t>-12.9231929,-38.4415685</t>
  </si>
  <si>
    <t>NE273240</t>
  </si>
  <si>
    <t>47960950080648</t>
  </si>
  <si>
    <t>983</t>
  </si>
  <si>
    <t>CLARO - RUA GRACIOSA, S/N - SHOPPING PRACA DA MOCA - SPC6348</t>
  </si>
  <si>
    <t>RUA GRACIOSA</t>
  </si>
  <si>
    <t>-23.6903017 , -46.6242713</t>
  </si>
  <si>
    <t>SPC6348</t>
  </si>
  <si>
    <t>HAVAN - RUA JOSE PEREIRA LIBERATO, 10 - SUL5542</t>
  </si>
  <si>
    <t>RUA JOSE PEREIRA LIBERATO</t>
  </si>
  <si>
    <t>SAO JUDAS</t>
  </si>
  <si>
    <t>88303400</t>
  </si>
  <si>
    <t>-26.9102425 , -48.6828924</t>
  </si>
  <si>
    <t>SUL5542</t>
  </si>
  <si>
    <t>79379491014648</t>
  </si>
  <si>
    <t>110 - ITAJAI SAO JUDAS</t>
  </si>
  <si>
    <t>HAVAN - 7 DE SETEMBRO, 1500 - ZONA COMERCIAL - SUL10788</t>
  </si>
  <si>
    <t>7 DE SETEMBRO</t>
  </si>
  <si>
    <t>88301205</t>
  </si>
  <si>
    <t>-26.9205222 , -48.6543968</t>
  </si>
  <si>
    <t>SUL10788</t>
  </si>
  <si>
    <t>79379491003360</t>
  </si>
  <si>
    <t>35 - ITAJAI</t>
  </si>
  <si>
    <t>LOJAS AMERICANAS - RUA CORONEL ANTONIO BOTELHO DE SOUZA, 254 - MARANGUAPE SHOPPING MALL - NE291230</t>
  </si>
  <si>
    <t>RUA CORONEL ANTONIO BOTELHO DE SOUZA</t>
  </si>
  <si>
    <t>254</t>
  </si>
  <si>
    <t>Maranguape</t>
  </si>
  <si>
    <t>61940005</t>
  </si>
  <si>
    <t>-3.8935136,-38.6866279</t>
  </si>
  <si>
    <t>NE291230</t>
  </si>
  <si>
    <t>776574103982</t>
  </si>
  <si>
    <t>Maranguape Shopping Mall</t>
  </si>
  <si>
    <t>MAGAZINE LUIZA - CORONEL ANTONIO BOTELHO DE SOUSA, 254 - MARANGUAPE SHOPPING MALL - NE279120</t>
  </si>
  <si>
    <t>CORONEL ANTONIO BOTELHO DE SOUSA</t>
  </si>
  <si>
    <t>NE279120</t>
  </si>
  <si>
    <t>47960950092220</t>
  </si>
  <si>
    <t>LOJAS CEM - RUA 11 DE AGOSTO, 300 - SPI230870</t>
  </si>
  <si>
    <t>RUA 11 DE AGOSTO</t>
  </si>
  <si>
    <t>Tatuí</t>
  </si>
  <si>
    <t>18270001</t>
  </si>
  <si>
    <t>-23.3483204 , -47.849715</t>
  </si>
  <si>
    <t>SPI230870</t>
  </si>
  <si>
    <t>56642960009247</t>
  </si>
  <si>
    <t>TATUÍ</t>
  </si>
  <si>
    <t>LOJAS CEM - RUA 7 DE SETEMBRO, 150 - SPI232610</t>
  </si>
  <si>
    <t>Cosmópolis</t>
  </si>
  <si>
    <t>13150000</t>
  </si>
  <si>
    <t>-22.6447388 , -47.1978869</t>
  </si>
  <si>
    <t>SPI232610</t>
  </si>
  <si>
    <t>56642960007031</t>
  </si>
  <si>
    <t>COSMOP</t>
  </si>
  <si>
    <t>LOJAS CEM - RUA ROTA DOS IMIGRANTES, 249 - SPI268270</t>
  </si>
  <si>
    <t>RUA ROTA DOS IMIGRANTES</t>
  </si>
  <si>
    <t>Holambra</t>
  </si>
  <si>
    <t>13825000</t>
  </si>
  <si>
    <t>-22.6335396,-47.0565775</t>
  </si>
  <si>
    <t>SPI268270</t>
  </si>
  <si>
    <t>56642960027652</t>
  </si>
  <si>
    <t>HOLAMB</t>
  </si>
  <si>
    <t>MAGAZINE LUIZA - TRAVESSA FREDERICO PONTES, 284 - NE20509</t>
  </si>
  <si>
    <t>TRAVESSA FREDERICO PONTES</t>
  </si>
  <si>
    <t>40406001</t>
  </si>
  <si>
    <t>-12.9472479, -38.5013265</t>
  </si>
  <si>
    <t>NE20509</t>
  </si>
  <si>
    <t>47960950076705</t>
  </si>
  <si>
    <t>750</t>
  </si>
  <si>
    <t>VIVO - AVENIDA INTERLAGOS, 2255 - SHOPPING INTERLAGOS - SPC7252</t>
  </si>
  <si>
    <t>LOJA 128</t>
  </si>
  <si>
    <t>SPC7252</t>
  </si>
  <si>
    <t>2558157008066</t>
  </si>
  <si>
    <t>LOJA SHOPPING INTERLAGOS SP</t>
  </si>
  <si>
    <t>C</t>
  </si>
  <si>
    <t>LOJAS AMERICANAS - AVENIDA INDUSTRIAL, 600 - SHOPPING GRAND PLAZA - SPC64393</t>
  </si>
  <si>
    <t>SUC 326</t>
  </si>
  <si>
    <t>SPC64393</t>
  </si>
  <si>
    <t>776574065959</t>
  </si>
  <si>
    <t>L789</t>
  </si>
  <si>
    <t>CLARO - RUA TURIASSU, 2100 - SHOPPING BOURBON - SPC7275</t>
  </si>
  <si>
    <t>RUA TURIASSU</t>
  </si>
  <si>
    <t>LOJA T05</t>
  </si>
  <si>
    <t>PERDIZES</t>
  </si>
  <si>
    <t>5005900</t>
  </si>
  <si>
    <t>-23.526622 , -46.680967</t>
  </si>
  <si>
    <t>SPC7275</t>
  </si>
  <si>
    <t>40432544023864</t>
  </si>
  <si>
    <t>1142</t>
  </si>
  <si>
    <t>Shopping Bourbon</t>
  </si>
  <si>
    <t>CLARO - RUA MANOEL CAVALCANTE, 805 - SHOPPING MANAIRA - NE10663</t>
  </si>
  <si>
    <t>RUA MANOEL CAVALCANTE</t>
  </si>
  <si>
    <t>TERREO,LOJA T 0117</t>
  </si>
  <si>
    <t>NE10663</t>
  </si>
  <si>
    <t>40432544026537</t>
  </si>
  <si>
    <t>8305</t>
  </si>
  <si>
    <t>CLARO - AVENIDA INDUSTRIAL, 600 - SHOPPING GRAND PLAZA - SPC7284</t>
  </si>
  <si>
    <t>LOJA 318</t>
  </si>
  <si>
    <t>SPC7284</t>
  </si>
  <si>
    <t>40432544003839</t>
  </si>
  <si>
    <t>1107</t>
  </si>
  <si>
    <t>CLARO - AVENIDA BARRETO DE MENEZES, 800 - SHOPPING GUARARAPES - NE7356</t>
  </si>
  <si>
    <t>LOJA SUC 40</t>
  </si>
  <si>
    <t>NE7356</t>
  </si>
  <si>
    <t>40432544015411</t>
  </si>
  <si>
    <t>8103</t>
  </si>
  <si>
    <t>TIM - AVENIDA BARRETO DE MENEZES, 800 - SHOPPING GUARARAPES - NE265390</t>
  </si>
  <si>
    <t>NE265390</t>
  </si>
  <si>
    <t>2421421027907</t>
  </si>
  <si>
    <t>C707</t>
  </si>
  <si>
    <t>VIVO - AVENIDA ARICANDUVA, 5555 - SHOPPING ARICANDUVA - SPC7278</t>
  </si>
  <si>
    <t>LOJA 241</t>
  </si>
  <si>
    <t>SPC7278</t>
  </si>
  <si>
    <t>2558157014112</t>
  </si>
  <si>
    <t>LOJA SHOPPING LESTE ARICANDUVA SP</t>
  </si>
  <si>
    <t>MAGAZINE LUIZA - RUA AMAZONAS DA SILVA, 27 - ZONA COMERCIAL - SPC8440</t>
  </si>
  <si>
    <t>RUA AMAZONAS DA SILVA</t>
  </si>
  <si>
    <t>27</t>
  </si>
  <si>
    <t>2051000</t>
  </si>
  <si>
    <t>-23.519972 , -46.613529</t>
  </si>
  <si>
    <t>SPC8440</t>
  </si>
  <si>
    <t>47960950057824</t>
  </si>
  <si>
    <t>595</t>
  </si>
  <si>
    <t>TIM - RUA TURIASSU, 2100 - SHOPPING BOURBON - SPC6476</t>
  </si>
  <si>
    <t>SUC 258</t>
  </si>
  <si>
    <t>SPC6476</t>
  </si>
  <si>
    <t>2421421019130</t>
  </si>
  <si>
    <t>C256</t>
  </si>
  <si>
    <t>VIVO - RODOVIA REGIS BITTENCOURT KM 271, 2643 - SHOPPING TABOAO DA SERRA - SPC6354</t>
  </si>
  <si>
    <t>LOJA 101,KM 271,5</t>
  </si>
  <si>
    <t>SPC6354</t>
  </si>
  <si>
    <t>2558157013817</t>
  </si>
  <si>
    <t>LOJA TABOAO SP</t>
  </si>
  <si>
    <t>CASAS BAHIA - AVENIDA SAO LUIS REI DE FRANCA, 8 - SHOPPING RIO ANIL - N249720</t>
  </si>
  <si>
    <t>SÃO LUÍS</t>
  </si>
  <si>
    <t>N249720</t>
  </si>
  <si>
    <t>33041260152428</t>
  </si>
  <si>
    <t>1810</t>
  </si>
  <si>
    <t>MAGAZINE LUIZA - GENERAL GLICERIO, 2968 - ZONA COMERCIAL - SPI7142</t>
  </si>
  <si>
    <t>2968</t>
  </si>
  <si>
    <t>-20.812008 , -49.382816</t>
  </si>
  <si>
    <t>SPI7142</t>
  </si>
  <si>
    <t>47960950021129</t>
  </si>
  <si>
    <t>PONTO FRIO - TENENTE NICOLAU MAFFEI, 233 - ZONA COMERCIAL - SPI20979</t>
  </si>
  <si>
    <t>-22.1238347, -51.3850799</t>
  </si>
  <si>
    <t>SPI20979</t>
  </si>
  <si>
    <t>33041260033410</t>
  </si>
  <si>
    <t>TIM - AVENIDA DEPUTADO BENEDITO MATARAZZO, 9403 - SHOPPING CENTER VALE - SPI7401</t>
  </si>
  <si>
    <t>JARDIMOSWALDOCRUZ</t>
  </si>
  <si>
    <t>-23.1997732 , -45.8815797</t>
  </si>
  <si>
    <t>SPI7401</t>
  </si>
  <si>
    <t>2421421026420</t>
  </si>
  <si>
    <t>C696</t>
  </si>
  <si>
    <t>PONTO FRIO - RUA ELOI TEIXEIRA, 414 - ZONA COMERCIAL - RJES11706</t>
  </si>
  <si>
    <t>151 A PARTE</t>
  </si>
  <si>
    <t>26325281</t>
  </si>
  <si>
    <t>-22.717932 , -43.555503</t>
  </si>
  <si>
    <t>RJES11706</t>
  </si>
  <si>
    <t>33041260154803</t>
  </si>
  <si>
    <t>ALGAR TELECOM - AVENIDA JOAO NAVES DE AVILA, 1331 - CENTER SHOPPING UBERLANDIA - MGCO45090</t>
  </si>
  <si>
    <t>-18.9091684 , -48.2612926</t>
  </si>
  <si>
    <t>MGCO45090</t>
  </si>
  <si>
    <t>71208516011702</t>
  </si>
  <si>
    <t>ALGAR TELECOM</t>
  </si>
  <si>
    <t>MAGAZINE LUIZA - AVENIDA MARECHAL DEODORO DA FONSECA, 37 - ZONA COMERCIAL - SUL7499</t>
  </si>
  <si>
    <t>AVENIDA MARECHAL DEODORO DA FONSECA</t>
  </si>
  <si>
    <t>37</t>
  </si>
  <si>
    <t>80010110</t>
  </si>
  <si>
    <t>-25.4321029 , -49.2720182</t>
  </si>
  <si>
    <t>SUL7499</t>
  </si>
  <si>
    <t>47960950048752</t>
  </si>
  <si>
    <t>469</t>
  </si>
  <si>
    <t>TIM - AVENIDA VICENTE DE CARVALHO, 909 - SHOPPING CARIOCA - RJES39755</t>
  </si>
  <si>
    <t>LOJA 103 PISO 1</t>
  </si>
  <si>
    <t>RJES39755</t>
  </si>
  <si>
    <t>2421421009763</t>
  </si>
  <si>
    <t>C306</t>
  </si>
  <si>
    <t>TIM - PRACA LEONOR KAUPA, 100 - SHOPPING PLAZA SUL - SPC7249</t>
  </si>
  <si>
    <t>LOJA 219 220</t>
  </si>
  <si>
    <t>SPC7249</t>
  </si>
  <si>
    <t>2421421016034</t>
  </si>
  <si>
    <t>C193</t>
  </si>
  <si>
    <t>VIVO - RUA FONSECA, 240 - SHOPPING BANGU - RJES288520</t>
  </si>
  <si>
    <t>LOJA 1388</t>
  </si>
  <si>
    <t>RJES288520</t>
  </si>
  <si>
    <t>2558157097140</t>
  </si>
  <si>
    <t>LOJA SHOPPING BANGU RJ</t>
  </si>
  <si>
    <t>LOJAS AMERICANAS - RUA MARCONDES SALGADO, 11 - SHOPPING BOULEVARD BAURU - SPI43045</t>
  </si>
  <si>
    <t>EUC 140</t>
  </si>
  <si>
    <t>17013113</t>
  </si>
  <si>
    <t>SPI43045</t>
  </si>
  <si>
    <t>776574056615</t>
  </si>
  <si>
    <t>LOJAS AMERICANAS - AVENIDA JOSE PINHEIRO BORGES, S/N - SHOPPING METRO ITAQUERA - SPC80217</t>
  </si>
  <si>
    <t>LOJA 410/411</t>
  </si>
  <si>
    <t>SPC80217</t>
  </si>
  <si>
    <t>776574098458</t>
  </si>
  <si>
    <t>1216</t>
  </si>
  <si>
    <t>MAGAZINE LUIZA - AVENIDA VINTE E DOIS DE MAIO, 5900 - RJES262180</t>
  </si>
  <si>
    <t>5900</t>
  </si>
  <si>
    <t>-22.7468355,-42.8567605</t>
  </si>
  <si>
    <t>RJES262180</t>
  </si>
  <si>
    <t>47960950180944</t>
  </si>
  <si>
    <t>MAGAZINE LUIZA - AVENIDA SANTA CATARINA, 1 - BALNEARIO CAMBORIU SHOPPING - SUL21929</t>
  </si>
  <si>
    <t>AVENIDA SANTA CATARINA</t>
  </si>
  <si>
    <t>BAIRRO DOS ESTADOS</t>
  </si>
  <si>
    <t>Balneário Camboriú</t>
  </si>
  <si>
    <t>88339005</t>
  </si>
  <si>
    <t>-26.9927578 , -48.6452435</t>
  </si>
  <si>
    <t>SUL21929</t>
  </si>
  <si>
    <t>47960950125331</t>
  </si>
  <si>
    <t>Balneário Camboriú Shopping</t>
  </si>
  <si>
    <t>VIVO - PRACA DIOGO DE VASCONCELOS, 274 - MGCO7190</t>
  </si>
  <si>
    <t>PRACA DIOGO DE VASCONCELOS</t>
  </si>
  <si>
    <t>NUMERO 274</t>
  </si>
  <si>
    <t>FUNCIONARIOS</t>
  </si>
  <si>
    <t>30140160</t>
  </si>
  <si>
    <t>-19.937761 , -43.935455</t>
  </si>
  <si>
    <t>MGCO7190</t>
  </si>
  <si>
    <t>2558157050003</t>
  </si>
  <si>
    <t>LOJA SAVASSI MG</t>
  </si>
  <si>
    <t>MAGAZINE LUIZA - RUA URUGUAIANA, 118 - RJES241130</t>
  </si>
  <si>
    <t>RUA URUGUAIANA</t>
  </si>
  <si>
    <t>118</t>
  </si>
  <si>
    <t>20050092</t>
  </si>
  <si>
    <t>-22.9037625, -43.1802601</t>
  </si>
  <si>
    <t>RJES241130</t>
  </si>
  <si>
    <t>47960950171449</t>
  </si>
  <si>
    <t>1608</t>
  </si>
  <si>
    <t>VIVO - AVENIDA ASSIS BRASIL, 2611 - BOURBON SHOPPING WALLIG - SUL6237</t>
  </si>
  <si>
    <t>SUL6237</t>
  </si>
  <si>
    <t>2558157035209</t>
  </si>
  <si>
    <t>LOJA BOURBON WALLIG RS</t>
  </si>
  <si>
    <t>CLARO - AVENIDA DANIEL DE LA TOUCHE, 987 - SHOPPING DA ILHA - NE10399</t>
  </si>
  <si>
    <t>AVENIDA DANIEL DE LATOUCHE</t>
  </si>
  <si>
    <t>BEQUIMAO</t>
  </si>
  <si>
    <t>65061020</t>
  </si>
  <si>
    <t>-2.5268838589029636 , -44.25531024519448</t>
  </si>
  <si>
    <t>NE10399</t>
  </si>
  <si>
    <t>40432544041250</t>
  </si>
  <si>
    <t>9804</t>
  </si>
  <si>
    <t>CLARO - ESTRADA DO CAMPO LIMPO, 459 - SHOPPING CAMPO LIMPO - SPC10968</t>
  </si>
  <si>
    <t>LOJA 201,202 E 203</t>
  </si>
  <si>
    <t>SPC10968</t>
  </si>
  <si>
    <t>40432544036680</t>
  </si>
  <si>
    <t>1153</t>
  </si>
  <si>
    <t>DULCOM/DPI (TIM) - AVENIDA MANOEL GOULART, 2400 - PRUDENSHOPPING - SPI11187</t>
  </si>
  <si>
    <t>VILA SANTA HELENA</t>
  </si>
  <si>
    <t>19010270</t>
  </si>
  <si>
    <t>-22.117454 , -51.405048</t>
  </si>
  <si>
    <t>SPI11187</t>
  </si>
  <si>
    <t>SETE LAN - GOVERNADOR AMARAL PEIXOTO, 311 - ZONA COMERCIAL - RJES21061</t>
  </si>
  <si>
    <t>GOVERNADOR AMARAL PEIXOTO</t>
  </si>
  <si>
    <t>-22.7590853 , -43.4506594</t>
  </si>
  <si>
    <t>RJES21061</t>
  </si>
  <si>
    <t>CASAS BAHIA - AVENIDA MINISTRO GERALDO BARRETO SOBRAL, 215 - SHOPPING JARDINS - NE10409</t>
  </si>
  <si>
    <t>LOJA 143/145</t>
  </si>
  <si>
    <t>NE10409</t>
  </si>
  <si>
    <t>33041260146029</t>
  </si>
  <si>
    <t>1752</t>
  </si>
  <si>
    <t>MAGAZINE LUIZA - RUA LEITE DE MORAIS, 73 - ZONA COMERCIAL - SPC19797</t>
  </si>
  <si>
    <t>RUA LEITE DE MORAIS</t>
  </si>
  <si>
    <t>2034020</t>
  </si>
  <si>
    <t>-23.502914 , -46.62569</t>
  </si>
  <si>
    <t>SPC19797</t>
  </si>
  <si>
    <t>47960950050307</t>
  </si>
  <si>
    <t>554</t>
  </si>
  <si>
    <t>SETE LAN (TIM) - AVENIDA GOVERNADOR AMARAL PEIXOTO, 18 - ZONA COMERCIAL - RJES9079</t>
  </si>
  <si>
    <t>LOJA 5 E 6</t>
  </si>
  <si>
    <t>22210060</t>
  </si>
  <si>
    <t>-22.759048721903664 , -43.45061607605743</t>
  </si>
  <si>
    <t>RJES9079</t>
  </si>
  <si>
    <t>8312444002460</t>
  </si>
  <si>
    <t>FACELL - AVENIDA LINEU MACHADO, 419 - NORTH SHOPPING JOQUEI - NE11171</t>
  </si>
  <si>
    <t>AVENIA LINEU MACHADO</t>
  </si>
  <si>
    <t>NE11171</t>
  </si>
  <si>
    <t>7366109001249</t>
  </si>
  <si>
    <t>FACELL LTDA - FORTALEZA - JOQUEI - SAP (30788)</t>
  </si>
  <si>
    <t>CLARO RP - RUA TUPIS, 337 - SHOPPING CIDADE - MGCO254110</t>
  </si>
  <si>
    <t>30190061</t>
  </si>
  <si>
    <t>MGCO254110</t>
  </si>
  <si>
    <t>5949641008438</t>
  </si>
  <si>
    <t>CLARO - AVENIDA MANOEL GOULART, 2400 - PRUDENSHOPPING - SPI20763</t>
  </si>
  <si>
    <t>LOJAS 288 E 289</t>
  </si>
  <si>
    <t>SPI20763</t>
  </si>
  <si>
    <t>40432544020687</t>
  </si>
  <si>
    <t>LOJAS AMERICANAS - AVENIDA DAS AMERICAS, 15500 - AMERICAS SHOPPING - RJES19516</t>
  </si>
  <si>
    <t>LOJA 178/178/179</t>
  </si>
  <si>
    <t>RJES19516</t>
  </si>
  <si>
    <t>776574092174</t>
  </si>
  <si>
    <t>1033</t>
  </si>
  <si>
    <t>LOJAS AMERICANAS - LARGO 13 DE MAIO, 542 - ZONA COMERCIAL - SPC20295</t>
  </si>
  <si>
    <t>LARGO 13 DE MAIO</t>
  </si>
  <si>
    <t>-23.6525064, -46.70595000000001</t>
  </si>
  <si>
    <t>SPC20295</t>
  </si>
  <si>
    <t>776574022397</t>
  </si>
  <si>
    <t>L506</t>
  </si>
  <si>
    <t>RIACHUELO - AVENIDA LINEU MACHADO, 419 - NORTH SHOPPING JOQUEI - NE45220</t>
  </si>
  <si>
    <t>JOQUEICLUBE</t>
  </si>
  <si>
    <t>60000000</t>
  </si>
  <si>
    <t>NE45220</t>
  </si>
  <si>
    <t>33200056024838</t>
  </si>
  <si>
    <t>L222</t>
  </si>
  <si>
    <t>HS - RUA BATISTA DE CARVALHO, 754 - ZONA COMERCIAL - SPI20796</t>
  </si>
  <si>
    <t>17010000</t>
  </si>
  <si>
    <t>-22.32229 , -49.071164</t>
  </si>
  <si>
    <t>SPI20796</t>
  </si>
  <si>
    <t>05923253003176</t>
  </si>
  <si>
    <t>MAGAZINE LUIZA - AVENIDA PEDRO MIRANDA, 1276 - N227050</t>
  </si>
  <si>
    <t>AVENIDA PEDRO MIRANDA</t>
  </si>
  <si>
    <t>PEDREIRA</t>
  </si>
  <si>
    <t>66085022</t>
  </si>
  <si>
    <t>-1.4287944 , -48.4722789</t>
  </si>
  <si>
    <t>N227050</t>
  </si>
  <si>
    <t>47960950128861</t>
  </si>
  <si>
    <t>MAGAZINE LUIZA - AVENIDA ANTARTICA, 380 - SHOPPING WEST PLAZA - SPC6469</t>
  </si>
  <si>
    <t>AVENIDA ANTARTICA</t>
  </si>
  <si>
    <t>380</t>
  </si>
  <si>
    <t>BARRA FUNDA</t>
  </si>
  <si>
    <t>5003100</t>
  </si>
  <si>
    <t>-23.52694444596022 , -46.674372742788705</t>
  </si>
  <si>
    <t>SPC6469</t>
  </si>
  <si>
    <t>47960950059100</t>
  </si>
  <si>
    <t>583</t>
  </si>
  <si>
    <t>VIVO - SETOR TERMINAL NORTE CONJ J, S/N - BOULEVARD SHOPPING BRASILIA - MGCO44824</t>
  </si>
  <si>
    <t>70770100</t>
  </si>
  <si>
    <t>-15.7334386 , -47.8991321</t>
  </si>
  <si>
    <t>MGCO44824</t>
  </si>
  <si>
    <t>2558157057431</t>
  </si>
  <si>
    <t>LOJA BOULLEVARD SHOPPING DF</t>
  </si>
  <si>
    <t>LOJAS AMERICANAS - RUA ANDRADE NEVES, 1933 - SUL248390</t>
  </si>
  <si>
    <t>1933</t>
  </si>
  <si>
    <t>PELOTAS</t>
  </si>
  <si>
    <t>-31.7665493,-52.342045</t>
  </si>
  <si>
    <t>SUL248390</t>
  </si>
  <si>
    <t>776574177161</t>
  </si>
  <si>
    <t>1519</t>
  </si>
  <si>
    <t>MAGAZINE LUIZA - RUA 12 DE OUTUBRO, 357 - ZONA COMERCIAL - SPC7628</t>
  </si>
  <si>
    <t>357</t>
  </si>
  <si>
    <t>-23.521184 , -46.704669</t>
  </si>
  <si>
    <t>SPC7628</t>
  </si>
  <si>
    <t>47960950063980</t>
  </si>
  <si>
    <t>530</t>
  </si>
  <si>
    <t>CASAS BAHIA - RUA DOM PEDRO II, 23 - ZONA COMERCIAL - SPC8444</t>
  </si>
  <si>
    <t>1015070</t>
  </si>
  <si>
    <t>-23.470051 , -46.5303362</t>
  </si>
  <si>
    <t>SPC8444</t>
  </si>
  <si>
    <t>33041260103729</t>
  </si>
  <si>
    <t>HS - 9 DE JULHO, 1340 - ZONA COMERCIAL - SPI20918</t>
  </si>
  <si>
    <t>9 DE JULHO</t>
  </si>
  <si>
    <t>-22.21833 , -49.9504329</t>
  </si>
  <si>
    <t>SPI20918</t>
  </si>
  <si>
    <t>4 REDES TELECOM (VIVO) - RUA 1 LOJA 01 LOTE 22 QUADRA 56, S/N - MGCO255830</t>
  </si>
  <si>
    <t>RUA 1 LOJA 01 LOTE 22 QUADRA 56</t>
  </si>
  <si>
    <t>-16.06601855000016, -47.98455964999759</t>
  </si>
  <si>
    <t>MGCO255830</t>
  </si>
  <si>
    <t>7041040003570</t>
  </si>
  <si>
    <t>CASAS BAHIA - AVENIDA ANHANGUERA, 4603 - ZONA COMERCIAL - MGCO6815</t>
  </si>
  <si>
    <t>4603</t>
  </si>
  <si>
    <t>4627</t>
  </si>
  <si>
    <t>74043011</t>
  </si>
  <si>
    <t>-16.673777 , -49.254101</t>
  </si>
  <si>
    <t>MGCO6815</t>
  </si>
  <si>
    <t>33041260108879</t>
  </si>
  <si>
    <t>CLARO - AVENIDA AFONSO PENA, 567 - MGCO258060</t>
  </si>
  <si>
    <t>567</t>
  </si>
  <si>
    <t>LOJA-A</t>
  </si>
  <si>
    <t>30400128</t>
  </si>
  <si>
    <t>-18.9184075,-48.2781157</t>
  </si>
  <si>
    <t>MGCO258060</t>
  </si>
  <si>
    <t>40432544028580</t>
  </si>
  <si>
    <t>3122</t>
  </si>
  <si>
    <t>LOJAS AMERICANAS - RUA BARAO DE ITAPETININGA, 62 - SPC278850</t>
  </si>
  <si>
    <t>RUA BARAO DE ITAPETININGA</t>
  </si>
  <si>
    <t>62</t>
  </si>
  <si>
    <t>BAIRRO REPÚBLICA</t>
  </si>
  <si>
    <t>1042000</t>
  </si>
  <si>
    <t>-23.5451409,-46.6424344</t>
  </si>
  <si>
    <t>SPC278850</t>
  </si>
  <si>
    <t>776574193795</t>
  </si>
  <si>
    <t>5457</t>
  </si>
  <si>
    <t>TIM - AVENIDA SAO CRISTOVAO, 305 - SALVADOR NORTE SHOPPING - NE89219</t>
  </si>
  <si>
    <t>PISO L1 SALAO COMERCIAL N 1003</t>
  </si>
  <si>
    <t>NE89219</t>
  </si>
  <si>
    <t>2421421024991</t>
  </si>
  <si>
    <t>C328</t>
  </si>
  <si>
    <t>VIVO - PRACA SAMUEL SABATINI, 200 - SHOPPING METROPOLE - SPC7285</t>
  </si>
  <si>
    <t>LOJA 78</t>
  </si>
  <si>
    <t>9750700</t>
  </si>
  <si>
    <t>SPC7285</t>
  </si>
  <si>
    <t>2558157007094</t>
  </si>
  <si>
    <t>LOJA SHOPPING METROPOLE SP</t>
  </si>
  <si>
    <t>MAGAZINE LUIZA - AVENIDA PADRE ANCHIETA, 1317 - ZONA COMERCIAL - SPC80221</t>
  </si>
  <si>
    <t>1317</t>
  </si>
  <si>
    <t>-24.3201154, -46.9959611</t>
  </si>
  <si>
    <t>SPC80221</t>
  </si>
  <si>
    <t>47960950103109</t>
  </si>
  <si>
    <t>1020</t>
  </si>
  <si>
    <t>MAGAZINE LUIZA - RUA 13 DE MAIO, 127 - ZONA COMERCIAL - NE10919</t>
  </si>
  <si>
    <t>58013070</t>
  </si>
  <si>
    <t>-7.118762 , -34.882122</t>
  </si>
  <si>
    <t>NE10919</t>
  </si>
  <si>
    <t>47960950077345</t>
  </si>
  <si>
    <t>703</t>
  </si>
  <si>
    <t>PONTO FRIO - AVENIDA CAVALHADA, 2905 - ZONA COMERCIAL - SUL39942</t>
  </si>
  <si>
    <t>AVENIDA CAVALHADA</t>
  </si>
  <si>
    <t>2905</t>
  </si>
  <si>
    <t>CAVALHADA</t>
  </si>
  <si>
    <t>91740001</t>
  </si>
  <si>
    <t>-30.1019198, -51.23140309999999</t>
  </si>
  <si>
    <t>SUL39942</t>
  </si>
  <si>
    <t>33041260021404</t>
  </si>
  <si>
    <t>AQUILON JUFAP (TIM) - AVENIDA RIO NEGRO, 1100 - SHOPPING FRANCA - SPI10731</t>
  </si>
  <si>
    <t>LOJA 326/327</t>
  </si>
  <si>
    <t>SPI10731</t>
  </si>
  <si>
    <t>29103391000747</t>
  </si>
  <si>
    <t>CASAS BAHIA - RUA CESARIO BASTOS, 128 - ZONA COMERCIAL - SPC11364</t>
  </si>
  <si>
    <t>RUA CESARIO BASTOS</t>
  </si>
  <si>
    <t>-24.183111 , -46.787041</t>
  </si>
  <si>
    <t>SPC11364</t>
  </si>
  <si>
    <t>33041260092859</t>
  </si>
  <si>
    <t>1402</t>
  </si>
  <si>
    <t>LOJAS AMERICANAS - RUA MARECHAL CANDIDO MARIANO RONDON, 1336 - MGCO80280</t>
  </si>
  <si>
    <t>RUA MARECHAL RONDON</t>
  </si>
  <si>
    <t>79002205</t>
  </si>
  <si>
    <t>-20.460226 , -54.618988</t>
  </si>
  <si>
    <t>MGCO80280</t>
  </si>
  <si>
    <t>776574010119</t>
  </si>
  <si>
    <t>L036</t>
  </si>
  <si>
    <t>CLARO - AVENIDA GOVERNADOR ROBERTO SILVEIRA, 540 - TOP SHOPPING - RJES6949</t>
  </si>
  <si>
    <t>LOJAS 171,172 E 173</t>
  </si>
  <si>
    <t>RJES6949</t>
  </si>
  <si>
    <t>40432544005610</t>
  </si>
  <si>
    <t>2126</t>
  </si>
  <si>
    <t>MAGAZINE LUIZA - ESTRADA DO LAGEADO VELHO, 821 - ZONA COMERCIAL - SPC7036</t>
  </si>
  <si>
    <t>821</t>
  </si>
  <si>
    <t>LAJEADO</t>
  </si>
  <si>
    <t>-23.535192 , -46.401512</t>
  </si>
  <si>
    <t>SPC7036</t>
  </si>
  <si>
    <t>47960950058200</t>
  </si>
  <si>
    <t>PONTO FRIO - AVENIDA CONEGO DE VASCONCELOS, 4425 - ZONA COMERCIAL - RJES6734</t>
  </si>
  <si>
    <t>21853480</t>
  </si>
  <si>
    <t>-22.8766681 , -43.4655826</t>
  </si>
  <si>
    <t>RJES6734</t>
  </si>
  <si>
    <t>33041260003856</t>
  </si>
  <si>
    <t>080</t>
  </si>
  <si>
    <t>COMMCENTER - AVENIDA GOVERNADOR MARIO COVAS JUNIOR, 1 - SHOPPING MAUA - SPC6382</t>
  </si>
  <si>
    <t>9340040</t>
  </si>
  <si>
    <t>SPC6382</t>
  </si>
  <si>
    <t>05828732000864</t>
  </si>
  <si>
    <t>CASAS BAHIA - AVENIDA ALFREDO ANTONIO DE OLIVEIRA, 2077 - SHOPPING CIDADE NORTE - SPI85835</t>
  </si>
  <si>
    <t>AVENIDA ALFREDO ANTONIO DE OLIVEIRA</t>
  </si>
  <si>
    <t>2077</t>
  </si>
  <si>
    <t>LUC B 140/141/142</t>
  </si>
  <si>
    <t>JARDIM MARAJO</t>
  </si>
  <si>
    <t>15046335</t>
  </si>
  <si>
    <t>-20.769825 , -49.385975</t>
  </si>
  <si>
    <t>SPI85835</t>
  </si>
  <si>
    <t>33041260166488</t>
  </si>
  <si>
    <t>2024</t>
  </si>
  <si>
    <t>Shopping Cidade Norte</t>
  </si>
  <si>
    <t>CASAS BAHIA - AVENIDA AUTAZ MIRIM, 6100 - SHOPPING GRANDE CIRCULAR - N261750</t>
  </si>
  <si>
    <t>6100</t>
  </si>
  <si>
    <t>SÃO JOSÉ OPERÁRIO</t>
  </si>
  <si>
    <t>69085000</t>
  </si>
  <si>
    <t>-3.062113 , -59.94978</t>
  </si>
  <si>
    <t>N261750</t>
  </si>
  <si>
    <t>33041260207931</t>
  </si>
  <si>
    <t>2498</t>
  </si>
  <si>
    <t>FAJULUTI GAVEA - AVENIDA PRESIDENTE KENNEDY, 425 - PARTAGE SHOPPING SAO GONCALO - RJES256500</t>
  </si>
  <si>
    <t>RJES256500</t>
  </si>
  <si>
    <t>26117255000394</t>
  </si>
  <si>
    <t>GAZIN - RUA JOSE AMADOR DOS REIS, 1575 - N289150</t>
  </si>
  <si>
    <t>RUA JOSE AMADOR DOS REIS</t>
  </si>
  <si>
    <t>1575</t>
  </si>
  <si>
    <t>JK I</t>
  </si>
  <si>
    <t>76829348</t>
  </si>
  <si>
    <t>-8.7695875, -63.83589060000001</t>
  </si>
  <si>
    <t>N289150</t>
  </si>
  <si>
    <t>77941490022043</t>
  </si>
  <si>
    <t>10218</t>
  </si>
  <si>
    <t>LOJAS CEM - RUA ALTINO ARANTES, 630 - SPI240650</t>
  </si>
  <si>
    <t>630</t>
  </si>
  <si>
    <t>11660020</t>
  </si>
  <si>
    <t>-23.6209526, -45.408123</t>
  </si>
  <si>
    <t>SPI240650</t>
  </si>
  <si>
    <t>56642960007708</t>
  </si>
  <si>
    <t>CARAGA</t>
  </si>
  <si>
    <t>TIM - RUA DOS ANDRADAS, 1415 - SUL7566</t>
  </si>
  <si>
    <t>90020007</t>
  </si>
  <si>
    <t>-30.030606559191135 , -51.231582333328895</t>
  </si>
  <si>
    <t>SUL7566</t>
  </si>
  <si>
    <t>2421421022433</t>
  </si>
  <si>
    <t>C195</t>
  </si>
  <si>
    <t>COMMCENTER - RUA DOS ANDRADAS, 1489 - ZONA COMERCIAL - SUL6238</t>
  </si>
  <si>
    <t>-30.02977 , -51.226761</t>
  </si>
  <si>
    <t>SUL6238</t>
  </si>
  <si>
    <t>308055001216</t>
  </si>
  <si>
    <t>LOJAS AMERICANAS - QUADRA, 0 - MGCO11235</t>
  </si>
  <si>
    <t>72860444</t>
  </si>
  <si>
    <t>-16.0525992, -48.0294754</t>
  </si>
  <si>
    <t>MGCO11235</t>
  </si>
  <si>
    <t>33014556059409</t>
  </si>
  <si>
    <t>MAGAZINE LUIZA - AVENIDA SAO GONCALO, 100 - SHOPPING SAO GONCALO - RJES287280</t>
  </si>
  <si>
    <t>LOJA 245</t>
  </si>
  <si>
    <t>RJES287280</t>
  </si>
  <si>
    <t>47960950186047</t>
  </si>
  <si>
    <t>DULCOM/DPI (TIM) - RUA TENENTE NICOLAU MAFFEI, 193 - SPI245690</t>
  </si>
  <si>
    <t>PRESIDENTE PRUDENTE</t>
  </si>
  <si>
    <t>-22.1242998,-51.3850609</t>
  </si>
  <si>
    <t>SPI245690</t>
  </si>
  <si>
    <t>2356946002083</t>
  </si>
  <si>
    <t>RIACHUELO - AVENIDA RAUL LOPES, 1000 - SHOPPING TERESINA - NE42466</t>
  </si>
  <si>
    <t>NOIVOS</t>
  </si>
  <si>
    <t>-5.0854285, -42.7902659</t>
  </si>
  <si>
    <t>NE42466</t>
  </si>
  <si>
    <t>CELL NET - SETOR TERMINAL NORTE CONJ J, S/N - BOULEVARD SHOPPING BRASILIA - MGCO6779</t>
  </si>
  <si>
    <t>LOTE T92</t>
  </si>
  <si>
    <t>-15.733082 , -47.899111</t>
  </si>
  <si>
    <t>MGCO6779</t>
  </si>
  <si>
    <t>4601016000534</t>
  </si>
  <si>
    <t>TELECEL (CLARO) - AVENIDA ANHANGUERA, 14404 - PORTAL SHOPPING - MGCO90423</t>
  </si>
  <si>
    <t>-16.6543289 , -49.3292946</t>
  </si>
  <si>
    <t>MGCO90423</t>
  </si>
  <si>
    <t>3555618001420</t>
  </si>
  <si>
    <t>Portal Shopping</t>
  </si>
  <si>
    <t>CASAS BAHIA - AVENIDA PENHA DE FRANCA, 58 - ZONA COMERCIAL - SPC6705</t>
  </si>
  <si>
    <t>PRACA OITO DE SETEMBRO</t>
  </si>
  <si>
    <t>68,74 e 76</t>
  </si>
  <si>
    <t>PENHA</t>
  </si>
  <si>
    <t>3606030</t>
  </si>
  <si>
    <t>-23.524139 , -46.548252</t>
  </si>
  <si>
    <t>SPC6705</t>
  </si>
  <si>
    <t>33041260114500</t>
  </si>
  <si>
    <t>1022</t>
  </si>
  <si>
    <t>CASA &amp; VIDEO - AVENIDA GOVERNADOR ROBERTO SILVEIRA, 540 - TOP SHOPPING - RJES6154</t>
  </si>
  <si>
    <t>LOJAS 111 A 115</t>
  </si>
  <si>
    <t>RJES6154</t>
  </si>
  <si>
    <t>11114284001216</t>
  </si>
  <si>
    <t>TOP SHOPPING - NOVA IGUAÇU</t>
  </si>
  <si>
    <t>LOJA CEM - AVENIDA DOUTOR SILVIO DE CAMPOS, 380 - ZONA COMERCIAL - SPC23041</t>
  </si>
  <si>
    <t>AVENIDA DOUTOR SILVIO DE CAMPOS</t>
  </si>
  <si>
    <t>VILA PERUS</t>
  </si>
  <si>
    <t>4416250</t>
  </si>
  <si>
    <t>-23.406872 , -46.758106</t>
  </si>
  <si>
    <t>SPC23041</t>
  </si>
  <si>
    <t>56642960014402</t>
  </si>
  <si>
    <t>SPPERU</t>
  </si>
  <si>
    <t>LOJAS GUAIBIM - RUA DOUTOR EDUARDO DOTTO, 79 - NE244640</t>
  </si>
  <si>
    <t>-12.8409424, -38.4698272</t>
  </si>
  <si>
    <t>NE244640</t>
  </si>
  <si>
    <t>13850516010300</t>
  </si>
  <si>
    <t>L50</t>
  </si>
  <si>
    <t>RIACHUELO - AVENIDA PARANA, 222 - ZONA COMERCIAL - SUL47483</t>
  </si>
  <si>
    <t>86010370</t>
  </si>
  <si>
    <t>-23.311084 , -51.161829</t>
  </si>
  <si>
    <t>SUL47483</t>
  </si>
  <si>
    <t>33200056018439</t>
  </si>
  <si>
    <t>L062</t>
  </si>
  <si>
    <t>VIVO - AVENIDA CAMPOS SALLES, S/N - ZONA COMERCIAL - SPI6564</t>
  </si>
  <si>
    <t>AVENIDA CAMPOS SALLES</t>
  </si>
  <si>
    <t>-22.9061469 , -47.0638489</t>
  </si>
  <si>
    <t>SPI6564</t>
  </si>
  <si>
    <t>02558157008228</t>
  </si>
  <si>
    <t>LOJA CAMPINAS ROSARIO SP</t>
  </si>
  <si>
    <t>ARMAZEM PARAIBA - RUA HILTO MAIOR, 3901 - MANGABEIRA SHOPPING - NE43432</t>
  </si>
  <si>
    <t>LOJA P1064, 65, 66..</t>
  </si>
  <si>
    <t>NE43432</t>
  </si>
  <si>
    <t>08995631005754</t>
  </si>
  <si>
    <t>CASA &amp; VIDEO - RUA CORONEL GOMES MACHADO, 115 - ZONA COMERCIAL - RJES10186</t>
  </si>
  <si>
    <t>24020107</t>
  </si>
  <si>
    <t>-22.8927561 , -43.12072209999999</t>
  </si>
  <si>
    <t>RJES10186</t>
  </si>
  <si>
    <t>32121766000706</t>
  </si>
  <si>
    <t>NITEROI 2</t>
  </si>
  <si>
    <t>FUJIOKA - RODOVIA BR 040 KM 12 GLEBA F, S/N - SHOPPING SUL - MGCO18512</t>
  </si>
  <si>
    <t>QUADRA 1 GLEBA F</t>
  </si>
  <si>
    <t>MGCO18512</t>
  </si>
  <si>
    <t>01008713008653</t>
  </si>
  <si>
    <t>VALPARAISO DE GOIAS</t>
  </si>
  <si>
    <t>INFO STORE - AVENIDA AUTAZ MIRIM, 6250 - SHOPPING GRANDE CIRCULAR - N80312</t>
  </si>
  <si>
    <t>1495</t>
  </si>
  <si>
    <t>-3.063254, -59.95034130000001</t>
  </si>
  <si>
    <t>N80312</t>
  </si>
  <si>
    <t>02337524000793</t>
  </si>
  <si>
    <t>MAGAZINE LUIZA - AVENIDA ANHANGUERA, 2699 - SHOPPING CERRADO - MGCO87217</t>
  </si>
  <si>
    <t>-16.6663961, -49.3085057</t>
  </si>
  <si>
    <t>MGCO87217</t>
  </si>
  <si>
    <t>47960950112000</t>
  </si>
  <si>
    <t>1092</t>
  </si>
  <si>
    <t>Shopping Cerrado</t>
  </si>
  <si>
    <t>MAGAZINE LUIZA - AVENIDA AMARAL PEIXOTO, 431 - RJES241330</t>
  </si>
  <si>
    <t>SAO JOAO</t>
  </si>
  <si>
    <t>27253223</t>
  </si>
  <si>
    <t>-22.5126106, -44.0912403</t>
  </si>
  <si>
    <t>RJES241330</t>
  </si>
  <si>
    <t>47960950171872</t>
  </si>
  <si>
    <t>PONTO FRIO - AVENIDA AZENHA, 871 - ZONA COMERCIAL - SUL8573</t>
  </si>
  <si>
    <t>871</t>
  </si>
  <si>
    <t>90160006</t>
  </si>
  <si>
    <t>-30.0514978, -51.21343359999999</t>
  </si>
  <si>
    <t>SUL8573</t>
  </si>
  <si>
    <t>33041260052806</t>
  </si>
  <si>
    <t>LEBES - AVENIDA AZENHA, 1268 - ZONA COMERCIAL - SUL6282</t>
  </si>
  <si>
    <t>-30.056055 , -51.214912</t>
  </si>
  <si>
    <t>SUL6282</t>
  </si>
  <si>
    <t>96662168012571</t>
  </si>
  <si>
    <t>RIACHUELO - RUA ALVARO MENDES, 1070  - ZONA COMERCIAL - NE42468</t>
  </si>
  <si>
    <t>1060/1064/1070</t>
  </si>
  <si>
    <t>-5.091464 , -42.81531</t>
  </si>
  <si>
    <t>NE42468</t>
  </si>
  <si>
    <t>33200056021812</t>
  </si>
  <si>
    <t>L084</t>
  </si>
  <si>
    <t>MEX CELL - RUA FELIPE CARDOSO, 540 - SHOPPING SANTA CRUZ - RJES64363</t>
  </si>
  <si>
    <t>LOJA 03</t>
  </si>
  <si>
    <t>RJES64363</t>
  </si>
  <si>
    <t>18959713001114</t>
  </si>
  <si>
    <t>LOJAS CEM - AVENIDA BENJAMIN PINTO DIAS, 1465 - ZONA COMERCIAL - RJES21800</t>
  </si>
  <si>
    <t>-22.7631009 , -43.4021042</t>
  </si>
  <si>
    <t>RJES21800</t>
  </si>
  <si>
    <t>56642960011730</t>
  </si>
  <si>
    <t>BELROX</t>
  </si>
  <si>
    <t>RIACHUELO - RODOVIA BR-316, KM 4, 450 SHOPPING METROPOLE ANANINDEUA - N87276</t>
  </si>
  <si>
    <t>RODOVIA BR 316, KM 4</t>
  </si>
  <si>
    <t>-1.3859436 , -48.4091286</t>
  </si>
  <si>
    <t>N87276</t>
  </si>
  <si>
    <t>33200056036763</t>
  </si>
  <si>
    <t>L276</t>
  </si>
  <si>
    <t>LOJAS AMERICANAS - AVENIDA AUTAZ MIRIM, 6468 - GRANDE CIRCULAR - N90315</t>
  </si>
  <si>
    <t>LOJA LUC 2207</t>
  </si>
  <si>
    <t>-3.06255 , -59.949847</t>
  </si>
  <si>
    <t>N90315</t>
  </si>
  <si>
    <t>776574152843</t>
  </si>
  <si>
    <t>1368</t>
  </si>
  <si>
    <t>LOJAS AMERICANAS - AVENIDA GEREMARIO DANTAS, 404 - CENTER SHOPPING - RJES10212</t>
  </si>
  <si>
    <t>RJES10212</t>
  </si>
  <si>
    <t>776574114240</t>
  </si>
  <si>
    <t>L077</t>
  </si>
  <si>
    <t>MAGAZINE LUIZA - AVENIDA ITAVUVU, 3365 - SHOPPING CIDADE - SPI9859</t>
  </si>
  <si>
    <t>SPI9859</t>
  </si>
  <si>
    <t>47960950089866</t>
  </si>
  <si>
    <t>498</t>
  </si>
  <si>
    <t>MAGAZINE LUIZA - AVENIDA PUGLIESE, 260 - ZONA COMERCIAL - SPC44740</t>
  </si>
  <si>
    <t>260</t>
  </si>
  <si>
    <t>11410000</t>
  </si>
  <si>
    <t>-23.994461 , -46.256782</t>
  </si>
  <si>
    <t>SPC44740</t>
  </si>
  <si>
    <t>47960950095246</t>
  </si>
  <si>
    <t>912</t>
  </si>
  <si>
    <t>SETE LAN (TIM) - RODOVIA WASHINGTON LUIZ, 2895 - SHOPPING CAXIAS - RJES21857</t>
  </si>
  <si>
    <t>LOJAS 201 T</t>
  </si>
  <si>
    <t>RJES21857</t>
  </si>
  <si>
    <t>8312444000506</t>
  </si>
  <si>
    <t>CAXIAS SHOPPING - SAP (21074)</t>
  </si>
  <si>
    <t>CASAS BAHIA - AVENIDA LAUDELINO GOMES, 283 - ZONA COMERCIAL - MGCO42484</t>
  </si>
  <si>
    <t>AVENIDA LAUDELINO GOMES</t>
  </si>
  <si>
    <t>283</t>
  </si>
  <si>
    <t>QUADRA 210 / LOTE 17</t>
  </si>
  <si>
    <t>PEDRO LUDOVICO</t>
  </si>
  <si>
    <t>74823310</t>
  </si>
  <si>
    <t>-16.7215991 , -49.26316350000002</t>
  </si>
  <si>
    <t>MGCO42484</t>
  </si>
  <si>
    <t>33041260109093</t>
  </si>
  <si>
    <t>CASAS BAHIA - AVENIDA SANTOS DUMONT, 2934 - NE251370</t>
  </si>
  <si>
    <t>2934</t>
  </si>
  <si>
    <t>42700130</t>
  </si>
  <si>
    <t>-12.8949269,-38.3303732</t>
  </si>
  <si>
    <t>NE251370</t>
  </si>
  <si>
    <t>33041260142627</t>
  </si>
  <si>
    <t>1466</t>
  </si>
  <si>
    <t>CLARO - RUA INDEPENDENCIA, 474 - ZONA COMERCIAL - SUL19954</t>
  </si>
  <si>
    <t>474</t>
  </si>
  <si>
    <t>-29.763786 , -51.1462261</t>
  </si>
  <si>
    <t>SUL19954</t>
  </si>
  <si>
    <t>40432544008636</t>
  </si>
  <si>
    <t>5104</t>
  </si>
  <si>
    <t>LE BISCUIT - RUA OSVALDO CRUZ, 415 - ZONA COMERCIAL - NE21353</t>
  </si>
  <si>
    <t>RUA OSVALDO CRUZ</t>
  </si>
  <si>
    <t>65020250</t>
  </si>
  <si>
    <t>-2.530867 , -44.2985718</t>
  </si>
  <si>
    <t>NE21353</t>
  </si>
  <si>
    <t>16233389005033</t>
  </si>
  <si>
    <t>GUAIBIM - RODOVIA BA 526, 305 - SALVADOR NORTE SHOPPING - NE65310</t>
  </si>
  <si>
    <t>-12.9090584 , -38.3509985</t>
  </si>
  <si>
    <t>NE65310</t>
  </si>
  <si>
    <t>13850516013236</t>
  </si>
  <si>
    <t>L49</t>
  </si>
  <si>
    <t>CELULAR HOUSE (VIVO) - RUA 15 DE NOVEMBRO, 392 - ZONA COMERCIAL - SUL7957</t>
  </si>
  <si>
    <t>-26.3005596 , -48.8461382</t>
  </si>
  <si>
    <t>SUL7957</t>
  </si>
  <si>
    <t>VIVO - RUA SAO BENTO, 743 - ZONA COMERCIAL - SPI7317</t>
  </si>
  <si>
    <t>14801300</t>
  </si>
  <si>
    <t>-21.7937625, -48.175417</t>
  </si>
  <si>
    <t>SPI7317</t>
  </si>
  <si>
    <t>2558157011873</t>
  </si>
  <si>
    <t>LOJA ARARAQUARA SP</t>
  </si>
  <si>
    <t>PONTO FRIO - NOSSA SENHORA DE COPACABANA, 735 - ZONA COMERCIAL - RJES6996</t>
  </si>
  <si>
    <t>22050002</t>
  </si>
  <si>
    <t>-22.972128 , -43.187611</t>
  </si>
  <si>
    <t>RJES6996</t>
  </si>
  <si>
    <t>33041260000750</t>
  </si>
  <si>
    <t>CASAS BAHIA - TAGUATINGA C7 LOJA, 1 - ZONA COMERCIAL - MGCO79749</t>
  </si>
  <si>
    <t>OUTROS C SETE LOTES UM E NOVE / DOIS E DEZ</t>
  </si>
  <si>
    <t>72010070</t>
  </si>
  <si>
    <t>-15.832631 , -48.054718</t>
  </si>
  <si>
    <t>MGCO79749</t>
  </si>
  <si>
    <t>33041260062194</t>
  </si>
  <si>
    <t>1921</t>
  </si>
  <si>
    <t>RIACHUELO - AVENIDA DANIEL DE LA TOUCHE, 987 - SHOPPING DA ILHA - NE47387</t>
  </si>
  <si>
    <t>LOJA 206A</t>
  </si>
  <si>
    <t>COHAMA</t>
  </si>
  <si>
    <t>-2.527514 , -44.255062</t>
  </si>
  <si>
    <t>NE47387</t>
  </si>
  <si>
    <t>33200056013046</t>
  </si>
  <si>
    <t>VIVO - RODOVIA CELSO GARCIA CID KM 377, S/N - SHOPPING CATUAI LONDRINA - SUL9168</t>
  </si>
  <si>
    <t>86050901</t>
  </si>
  <si>
    <t>SUL9168</t>
  </si>
  <si>
    <t>2558157018452</t>
  </si>
  <si>
    <t>LOJA CATUAI PR</t>
  </si>
  <si>
    <t>CASA &amp; VIDEO - RUA FELIPE CARDOSO, 540 - SHOPPING SANTA CRUZ - RJES19055</t>
  </si>
  <si>
    <t>RJES19055</t>
  </si>
  <si>
    <t>11114284004150</t>
  </si>
  <si>
    <t>SANTA CRUZ SHOPPING</t>
  </si>
  <si>
    <t>LOJAS COLOMBO - AVENIDA GUILHERME SCHELL, 6750 - CANOAS SHOPPING - SUL6253</t>
  </si>
  <si>
    <t>SALA 49</t>
  </si>
  <si>
    <t>SUL6253</t>
  </si>
  <si>
    <t>89848543937594</t>
  </si>
  <si>
    <t>897</t>
  </si>
  <si>
    <t>MAGAZINE LUIZA - RUA DA BANDEIRA , 111 - ZONA COMERCIAL - SPI87499</t>
  </si>
  <si>
    <t>12281630</t>
  </si>
  <si>
    <t>-23.100014 , -45.704922</t>
  </si>
  <si>
    <t>SPI87499</t>
  </si>
  <si>
    <t>47960950105730</t>
  </si>
  <si>
    <t>MAGAZINE LUIZA - AVENIDA ITABERABA, 2023 - ZONA COMERCIAL - SPC80555</t>
  </si>
  <si>
    <t>-23.484871 , -46.693984</t>
  </si>
  <si>
    <t>SPC80555</t>
  </si>
  <si>
    <t>47960950102714</t>
  </si>
  <si>
    <t>MULTILOJA - RUA IZAAC FERREIRA DA CRUZ, 3391 - ZONA COMERCIAL - SUL19548</t>
  </si>
  <si>
    <t>3391</t>
  </si>
  <si>
    <t>-25.535248 , -49.270084</t>
  </si>
  <si>
    <t>SUL19548</t>
  </si>
  <si>
    <t>02869763002495</t>
  </si>
  <si>
    <t>TIM - BR 040 KM 12 C, 12 - SHOPPING SUL - MGCO45449</t>
  </si>
  <si>
    <t>BR 040 KM 12 C</t>
  </si>
  <si>
    <t>12</t>
  </si>
  <si>
    <t>PARQUEEXPLANADAIII</t>
  </si>
  <si>
    <t>-16.0790703 , -47.9847151</t>
  </si>
  <si>
    <t>MGCO45449</t>
  </si>
  <si>
    <t>02421421016387</t>
  </si>
  <si>
    <t>C325</t>
  </si>
  <si>
    <t>CARREFOUR - AVENIDA MORVAN DIAS DE FIGUEIREDO, 3177 - ZONA COMERCIAL - SPC6515</t>
  </si>
  <si>
    <t>AVENIDA MORVAN DIAS DE FIGUEIREDO</t>
  </si>
  <si>
    <t>3177</t>
  </si>
  <si>
    <t>2170000</t>
  </si>
  <si>
    <t>-23.521445 , -46.598741</t>
  </si>
  <si>
    <t>SPC6515</t>
  </si>
  <si>
    <t>45543915000696</t>
  </si>
  <si>
    <t>SPT</t>
  </si>
  <si>
    <t>CASA &amp; VIDEO - RUA PROFESSOR ALFREDO GONCALVES FIGUEIRA, 100 - SHOPPING NILOPOLIS SQUARE - RJES11718</t>
  </si>
  <si>
    <t>RUA PROFESSOR ALFREDO GONCALVES FILGUEIRAS</t>
  </si>
  <si>
    <t>LOJA 201,203 E 233</t>
  </si>
  <si>
    <t>26525060</t>
  </si>
  <si>
    <t>-22.8094005 , -43.4156833</t>
  </si>
  <si>
    <t>RJES11718</t>
  </si>
  <si>
    <t>11114284000910</t>
  </si>
  <si>
    <t>NILOPOLIS SQUARE SHOPPING</t>
  </si>
  <si>
    <t>Shopping Nilopolis Square</t>
  </si>
  <si>
    <t>CASAS BAHIA - AVENIDA BRASIL, 22155 - SHOPPING JARDIM GUADALUPE - RJES10141</t>
  </si>
  <si>
    <t>22155</t>
  </si>
  <si>
    <t>LOJAS 111 E 112</t>
  </si>
  <si>
    <t>GUADALUPE</t>
  </si>
  <si>
    <t>21670000</t>
  </si>
  <si>
    <t>-22.840822 , -43.368507</t>
  </si>
  <si>
    <t>RJES10141</t>
  </si>
  <si>
    <t>33041260104881</t>
  </si>
  <si>
    <t>1657</t>
  </si>
  <si>
    <t>Shopping Jardim Guadalupe</t>
  </si>
  <si>
    <t>HAVAN - RUA 15 DE NOVEMBRO, 2900 - ZONA COMERCIAL - SUL18562</t>
  </si>
  <si>
    <t>2900</t>
  </si>
  <si>
    <t>-25.5409919 , -49.19303379999999</t>
  </si>
  <si>
    <t>SUL18562</t>
  </si>
  <si>
    <t>LOJAS AMERICANAS - RODOVIA CELSO GARCIA CID KM 377, S/N - SHOPPING CATUAI LONDRINA - SUL11105</t>
  </si>
  <si>
    <t>86000000</t>
  </si>
  <si>
    <t>SUL11105</t>
  </si>
  <si>
    <t>776574143348</t>
  </si>
  <si>
    <t>L115</t>
  </si>
  <si>
    <t>LOJAS AMERICANAS - RUA DOUTOR JOAO SANTOS FILHO, 255 - SHOPPING PLAZA CASA FORTE - NE5925</t>
  </si>
  <si>
    <t>RUA DOUTOR JOAO SANTOS FILHO</t>
  </si>
  <si>
    <t>255</t>
  </si>
  <si>
    <t>CASA FORTE</t>
  </si>
  <si>
    <t>52060904</t>
  </si>
  <si>
    <t>-8.037044 , -34.912598</t>
  </si>
  <si>
    <t>NE5925</t>
  </si>
  <si>
    <t>776574129604</t>
  </si>
  <si>
    <t>L243</t>
  </si>
  <si>
    <t>Shopping Plaza Casa Forte</t>
  </si>
  <si>
    <t>LOJAS AMERICANAS - RUA CARIJOS, 1675 - SPC231530</t>
  </si>
  <si>
    <t>1675</t>
  </si>
  <si>
    <t>-23.6855153 , -46.5215647</t>
  </si>
  <si>
    <t>SPC231530</t>
  </si>
  <si>
    <t>776574028751</t>
  </si>
  <si>
    <t>L487</t>
  </si>
  <si>
    <t>LOJAS CEM - AVENIDA RUI BARBOSA, 2479 - SPI268280</t>
  </si>
  <si>
    <t>2479</t>
  </si>
  <si>
    <t>BAIRRO SANTANA</t>
  </si>
  <si>
    <t>12212000</t>
  </si>
  <si>
    <t>-23.1586207,-45.8988908</t>
  </si>
  <si>
    <t>SPI268280</t>
  </si>
  <si>
    <t>56642960027733</t>
  </si>
  <si>
    <t>SJCSAN</t>
  </si>
  <si>
    <t>MASTERCELL TIM - AVENIDA GUILHERME SCHELL, 6750 - CANOAS SHOPPING - SUL9355</t>
  </si>
  <si>
    <t>LOJAS 41 E 42</t>
  </si>
  <si>
    <t>SUL9355</t>
  </si>
  <si>
    <t>13552977000163</t>
  </si>
  <si>
    <t>CASAS BAHIA - LUIZ CAMILO DE CAMARGO, 716 - ZONA COMERCIAL - SPI20838</t>
  </si>
  <si>
    <t>RUA LUIZ CAMILO DE CAMARGO</t>
  </si>
  <si>
    <t>LOTE 13</t>
  </si>
  <si>
    <t>13184420</t>
  </si>
  <si>
    <t>-22.86451 , -47.21439</t>
  </si>
  <si>
    <t>SPI20838</t>
  </si>
  <si>
    <t>33041260089980</t>
  </si>
  <si>
    <t>1250</t>
  </si>
  <si>
    <t>CASAS BAHIA - AVENIDA BRASIL, 6345 - SHOPPING JARDIM NORTE - MGCO89542</t>
  </si>
  <si>
    <t>6345</t>
  </si>
  <si>
    <t>LUC 1000</t>
  </si>
  <si>
    <t>MARIANO PROCOPIO</t>
  </si>
  <si>
    <t>-21.74001 , -43.371286</t>
  </si>
  <si>
    <t>MGCO89542</t>
  </si>
  <si>
    <t>33041260167611</t>
  </si>
  <si>
    <t>2048</t>
  </si>
  <si>
    <t>CASAS BAHIA - AVENIDA SENADOR VERGUEIRO, 5058 - ZONA COMERCIAL - SPC11463</t>
  </si>
  <si>
    <t>5058</t>
  </si>
  <si>
    <t>9604000</t>
  </si>
  <si>
    <t>-23.654196715180355 , -46.57138556383609</t>
  </si>
  <si>
    <t>SPC11463</t>
  </si>
  <si>
    <t>33041260119218</t>
  </si>
  <si>
    <t>FAJULUTI GAVEA - AVENIDA RIO BRANCO, 159 - RJES274370</t>
  </si>
  <si>
    <t>159</t>
  </si>
  <si>
    <t>20040006</t>
  </si>
  <si>
    <t>-22.9060499,-43.1774189</t>
  </si>
  <si>
    <t>RJES274370</t>
  </si>
  <si>
    <t>26117255003300</t>
  </si>
  <si>
    <t>HAVAN - AVENIDA PIRAPORINHA, 1280 - SPC262250</t>
  </si>
  <si>
    <t>AVENIDA PIRAPORINHA</t>
  </si>
  <si>
    <t>9891001</t>
  </si>
  <si>
    <t>-23.6903105,-46.5815478</t>
  </si>
  <si>
    <t>SPC262250</t>
  </si>
  <si>
    <t>79379491017400</t>
  </si>
  <si>
    <t>189 - SAO BERNARDO CAMPO</t>
  </si>
  <si>
    <t>LOJAS AMERICANAS - AVENIDA FREI CIRILO, 3840 - GRAND SHOPPING - NE110660</t>
  </si>
  <si>
    <t>AVENIDA FREI CIRILO</t>
  </si>
  <si>
    <t>3840</t>
  </si>
  <si>
    <t>SUC 100</t>
  </si>
  <si>
    <t>60840285</t>
  </si>
  <si>
    <t>-3.818322 , -38.497768</t>
  </si>
  <si>
    <t>NE110660</t>
  </si>
  <si>
    <t>776574102668</t>
  </si>
  <si>
    <t>L477</t>
  </si>
  <si>
    <t>Grand Shopping</t>
  </si>
  <si>
    <t>LOJAS AMERICANAS - RUA DAS LARANJEIRAS, 49 - RJES11784</t>
  </si>
  <si>
    <t>RUA DAS LARANJEIRAS</t>
  </si>
  <si>
    <t>LARANJEIRAS</t>
  </si>
  <si>
    <t>22240000</t>
  </si>
  <si>
    <t>-22.931986 , -43.181156</t>
  </si>
  <si>
    <t>RJES11784</t>
  </si>
  <si>
    <t>776574032007</t>
  </si>
  <si>
    <t>L046</t>
  </si>
  <si>
    <t>LOJAS AMERICANAS - ESTRADA VELHA DE SANTO AMARO DE IPITANGA, 44 - NE267120</t>
  </si>
  <si>
    <t>ESTRADA VELHA DE SANTO AMARO DE IPITANGA</t>
  </si>
  <si>
    <t>44</t>
  </si>
  <si>
    <t>-12.8997999, -38.4121169</t>
  </si>
  <si>
    <t>NE267120</t>
  </si>
  <si>
    <t>776574006600</t>
  </si>
  <si>
    <t>L499</t>
  </si>
  <si>
    <t>LOJAS CEM - AVENIDA RUBENS CARAMEZ, 411 - ZONA COMERCIAL - SPC18685</t>
  </si>
  <si>
    <t>AVENIDA RUBENS CARAMEZ</t>
  </si>
  <si>
    <t>6657000</t>
  </si>
  <si>
    <t>-23.549202 , -46.93729</t>
  </si>
  <si>
    <t>SPC18685</t>
  </si>
  <si>
    <t>56642960006060</t>
  </si>
  <si>
    <t>ITAPVI</t>
  </si>
  <si>
    <t>MAGAZINE LUIZA - AVENIDA DOUTOR ARI TEIXEIRA, 220 - MGCO242580</t>
  </si>
  <si>
    <t>AVENIDA DOUTOR ARI TEIXEIRA</t>
  </si>
  <si>
    <t>33200338</t>
  </si>
  <si>
    <t>-19.6913926,-43.9240962</t>
  </si>
  <si>
    <t>MGCO242580</t>
  </si>
  <si>
    <t>47960950047195</t>
  </si>
  <si>
    <t>391</t>
  </si>
  <si>
    <t>ARMAZEM PARAIBA - AVENIDA FLAVIO RIBEIRO COUTINHO, S/N - NE286540</t>
  </si>
  <si>
    <t>58300220</t>
  </si>
  <si>
    <t>-7.1223929,-34.9833522</t>
  </si>
  <si>
    <t>NE286540</t>
  </si>
  <si>
    <t>8995631003700</t>
  </si>
  <si>
    <t>CASA &amp; VIDEO - AVENIDA NOSSA SENHORA DAS GRACAS, 260 - ZONA COMERCIAL - RJES11819</t>
  </si>
  <si>
    <t>AVENIDA NOSSA SENHORA DAS GRACAS</t>
  </si>
  <si>
    <t>25515001</t>
  </si>
  <si>
    <t>-22.803286 , -43.369156</t>
  </si>
  <si>
    <t>RJES11819</t>
  </si>
  <si>
    <t>11114284000759</t>
  </si>
  <si>
    <t>SAO JOAO DE MERITI</t>
  </si>
  <si>
    <t>CASAS BAHIA - AVENIDA GOVERNADOR JONES SANTOS NEVES, 655 - ZONA COMERCIAL - RJES18484</t>
  </si>
  <si>
    <t>AVENIDA GOVERNADOR JONES SANTOS NEVES</t>
  </si>
  <si>
    <t>Guarapari</t>
  </si>
  <si>
    <t>29215002</t>
  </si>
  <si>
    <t>-20.6633574, -40.5008091</t>
  </si>
  <si>
    <t>RJES18484</t>
  </si>
  <si>
    <t>33041260099004</t>
  </si>
  <si>
    <t>FLEX CELL - RUA DOUTOR JOAO RIBEIRO, 304 - SHOPPING PENHA - SPC253470</t>
  </si>
  <si>
    <t>LOJA 1719 1720</t>
  </si>
  <si>
    <t>BAIRRO DA PENHA</t>
  </si>
  <si>
    <t>SPC253470</t>
  </si>
  <si>
    <t>3243382002973</t>
  </si>
  <si>
    <t>LOJAS CEM - RUA VIGARIO JOAO JOSE RODRIGUES, 43 - SPI268090</t>
  </si>
  <si>
    <t>RUA VIGARIO JOAO JOSE RODRIGUES</t>
  </si>
  <si>
    <t>13201001</t>
  </si>
  <si>
    <t>-23.196438,-46.8775665</t>
  </si>
  <si>
    <t>SPI268090</t>
  </si>
  <si>
    <t>56642960021298</t>
  </si>
  <si>
    <t>JUNDVA</t>
  </si>
  <si>
    <t>LOJAS CEM - AVENIDA DOM PEDRO II, 115 - SUL268140</t>
  </si>
  <si>
    <t>Ibiporã</t>
  </si>
  <si>
    <t>86200000</t>
  </si>
  <si>
    <t>-23.2696725,-51.0466568</t>
  </si>
  <si>
    <t>SUL268140</t>
  </si>
  <si>
    <t>56642960025609</t>
  </si>
  <si>
    <t>IBIPOR</t>
  </si>
  <si>
    <t>LOJAS CEM - PRACA MARTIN MOREIRA, 16 - SPI240110</t>
  </si>
  <si>
    <t>Bom Jardim</t>
  </si>
  <si>
    <t>-20.9899085, -47.65882329999999</t>
  </si>
  <si>
    <t>SPI240110</t>
  </si>
  <si>
    <t>56642960026095</t>
  </si>
  <si>
    <t>BRODOW</t>
  </si>
  <si>
    <t>CASAS BAHIA- AVENIDA LONDRINA,465 - SUL79518</t>
  </si>
  <si>
    <t>455</t>
  </si>
  <si>
    <t>-23.4426201 , -51.8742135</t>
  </si>
  <si>
    <t>SUL79518</t>
  </si>
  <si>
    <t>33041260169665</t>
  </si>
  <si>
    <t>2092</t>
  </si>
  <si>
    <t>CASAS BAHIA - RUA CORONEL JOAQUIM ROSA, 232 - SPI254970</t>
  </si>
  <si>
    <t>RUA CORONEL JOAQUIM ROSA</t>
  </si>
  <si>
    <t>Batatais</t>
  </si>
  <si>
    <t>14300000</t>
  </si>
  <si>
    <t>-20.8907846,-47.5865282</t>
  </si>
  <si>
    <t>SPI254970</t>
  </si>
  <si>
    <t>33041260167450</t>
  </si>
  <si>
    <t>2046</t>
  </si>
  <si>
    <t>CASAS BAHIA - RUA DO TESOURO, 240 - ZONA COMERCIAL - SPC11255</t>
  </si>
  <si>
    <t>RUA DO TESOURO</t>
  </si>
  <si>
    <t>PARQUE SANTOS DUMONT</t>
  </si>
  <si>
    <t>6754190</t>
  </si>
  <si>
    <t>-23.608772 , -46.755512</t>
  </si>
  <si>
    <t>SPC11255</t>
  </si>
  <si>
    <t>33041260098202</t>
  </si>
  <si>
    <t>1487</t>
  </si>
  <si>
    <t>LOJAS AMERICANAS - AVENIDA SARGENTO HERMINIO SAMPAIO, 3100 - SHOPPING RIOMAR KENNEDY - NE242570</t>
  </si>
  <si>
    <t>AVENIDA SARGENTO HERMINIO SAMPAIO</t>
  </si>
  <si>
    <t>PISO L2</t>
  </si>
  <si>
    <t>PRESIDENTE KENNEDY</t>
  </si>
  <si>
    <t>60355512</t>
  </si>
  <si>
    <t>-3.7264686 , -38.566981</t>
  </si>
  <si>
    <t>NE242570</t>
  </si>
  <si>
    <t>776574166631</t>
  </si>
  <si>
    <t>Shopping Riomar Kennedy</t>
  </si>
  <si>
    <t>MAGAZINE LUIZA - PRACA NOSSA SENHORA APARECIDA, 1418 - SPI235960</t>
  </si>
  <si>
    <t>-21.0220241, -47.7679986</t>
  </si>
  <si>
    <t>SPI235960</t>
  </si>
  <si>
    <t>47960950011751</t>
  </si>
  <si>
    <t>TELE RIO - RUA URUGUAIANA, 44 - RJES271940</t>
  </si>
  <si>
    <t>20050090</t>
  </si>
  <si>
    <t>-22.9052203,-43.1793299</t>
  </si>
  <si>
    <t>RJES271940</t>
  </si>
  <si>
    <t>33086695000559</t>
  </si>
  <si>
    <t>CARREFOUR - AVENIDA SANTO AMARO, 4850 - ZONA COMERCIAL - SPC20239</t>
  </si>
  <si>
    <t>AVENIDA SANTO AMARO</t>
  </si>
  <si>
    <t>4850</t>
  </si>
  <si>
    <t>4506000</t>
  </si>
  <si>
    <t>-23.624436 , -46.6861146</t>
  </si>
  <si>
    <t>SPC20239</t>
  </si>
  <si>
    <t>45543915064155</t>
  </si>
  <si>
    <t>SBK</t>
  </si>
  <si>
    <t>CASAS BAHIA - ESTRADA DE ITAPECERICA, 8880 - ZONA COMERCIAL - SPC11238</t>
  </si>
  <si>
    <t>8880</t>
  </si>
  <si>
    <t>R.TRIBO DOS ACRAS</t>
  </si>
  <si>
    <t>PARQUE FERNANDA</t>
  </si>
  <si>
    <t>5858002</t>
  </si>
  <si>
    <t>-23.68479 , -46.799848</t>
  </si>
  <si>
    <t>SPC11238</t>
  </si>
  <si>
    <t>33041260102676</t>
  </si>
  <si>
    <t>1476</t>
  </si>
  <si>
    <t>CASAS BAHIA - AVENIDA ANCHIETA, 1855 - SPI260320</t>
  </si>
  <si>
    <t>AVENIDA ANCHIETA</t>
  </si>
  <si>
    <t>Bertioga</t>
  </si>
  <si>
    <t>11250363</t>
  </si>
  <si>
    <t>-23.8397952,-46.1361865</t>
  </si>
  <si>
    <t>SPI260320</t>
  </si>
  <si>
    <t>33041260091704</t>
  </si>
  <si>
    <t>1533</t>
  </si>
  <si>
    <t>LOJAS COLOMBO - AVENIDA JULIO DE CASTILHOS, 1886 - ZONA COMERCIAL - SUL11422</t>
  </si>
  <si>
    <t>1886</t>
  </si>
  <si>
    <t>SUL11422</t>
  </si>
  <si>
    <t>89848543022227</t>
  </si>
  <si>
    <t>ELETROMAR MOVEIS - RUA PRESIDENTE CASTELO BRANCO, 469 - MGCO289010</t>
  </si>
  <si>
    <t>VILA OPERÁRIA</t>
  </si>
  <si>
    <t>78700100</t>
  </si>
  <si>
    <t>-16.4400795,-54.6259639</t>
  </si>
  <si>
    <t>MGCO289010</t>
  </si>
  <si>
    <t>32951535007570</t>
  </si>
  <si>
    <t>LOJAS AMERICANAS - AVENIDA WASHINGTON SOARES, 4335 - SHOPPING VIA SUL - NE22879</t>
  </si>
  <si>
    <t>4335</t>
  </si>
  <si>
    <t>MUC - N200</t>
  </si>
  <si>
    <t>-3.794625 , -38.479828</t>
  </si>
  <si>
    <t>NE22879</t>
  </si>
  <si>
    <t>776574102234</t>
  </si>
  <si>
    <t>L327</t>
  </si>
  <si>
    <t>Shopping Via Sul</t>
  </si>
  <si>
    <t>LOJAS AMERICANAS - RUA DA MOOCA, 2413 - SPC18433</t>
  </si>
  <si>
    <t>RUA DA MOOCA</t>
  </si>
  <si>
    <t>2413</t>
  </si>
  <si>
    <t>3103003</t>
  </si>
  <si>
    <t>-23.5551733 , -46.6016815</t>
  </si>
  <si>
    <t>SPC18433</t>
  </si>
  <si>
    <t>776574023873</t>
  </si>
  <si>
    <t>L552</t>
  </si>
  <si>
    <t>LOJAS CEM - RUA NOSSA SENHORA DAS DORES, 402 - ZONA COMERCIAL - SPI44827</t>
  </si>
  <si>
    <t>RUA NOSSA SENHORA DAS DORES</t>
  </si>
  <si>
    <t>Serrana</t>
  </si>
  <si>
    <t>14150000</t>
  </si>
  <si>
    <t>-21.211462 , -47.596684</t>
  </si>
  <si>
    <t>SPI44827</t>
  </si>
  <si>
    <t>56642960022006</t>
  </si>
  <si>
    <t>SERANA</t>
  </si>
  <si>
    <t>LOJAS CEM - AVENIDA ANCHIETA, 2138 - SPI260310</t>
  </si>
  <si>
    <t>2138</t>
  </si>
  <si>
    <t>11250360</t>
  </si>
  <si>
    <t>-23.8382821,-46.1359246</t>
  </si>
  <si>
    <t>SPI260310</t>
  </si>
  <si>
    <t>56642960024041</t>
  </si>
  <si>
    <t>BERTIO</t>
  </si>
  <si>
    <t>MAGAZINE LUIZA - AVENIDA GETULIO VARGAS, 579 - RJES290320</t>
  </si>
  <si>
    <t>Araruama</t>
  </si>
  <si>
    <t>28970000</t>
  </si>
  <si>
    <t>-22.8716096,-42.3359433</t>
  </si>
  <si>
    <t>RJES290320</t>
  </si>
  <si>
    <t>47960950171287</t>
  </si>
  <si>
    <t>ELETROMAR MOVEIS - AVENIDA MARECHAL RONDON, 1030 - MGCO289000</t>
  </si>
  <si>
    <t>AVENIDA MARECHAL RONDON</t>
  </si>
  <si>
    <t>78700075</t>
  </si>
  <si>
    <t>-16.4712415,-54.6334481</t>
  </si>
  <si>
    <t>MGCO289000</t>
  </si>
  <si>
    <t>32951535007651</t>
  </si>
  <si>
    <t>MAGAZINE LUIZA - RUA CARAPINIMA, 2200 - SHOPPING BENFICA - NE5596</t>
  </si>
  <si>
    <t>AVENIDA CARAPINIMA</t>
  </si>
  <si>
    <t>2200</t>
  </si>
  <si>
    <t>LOJA 201 E 202</t>
  </si>
  <si>
    <t>BENFICA</t>
  </si>
  <si>
    <t>60015290</t>
  </si>
  <si>
    <t>-3.739129 , -38.540203</t>
  </si>
  <si>
    <t>NE5596</t>
  </si>
  <si>
    <t>47960950085011</t>
  </si>
  <si>
    <t>846</t>
  </si>
  <si>
    <t>Shopping Benfica</t>
  </si>
  <si>
    <t>MAGAZINE LUIZA - RUA CORONEL PENA DE MORAES, 414 - SUL252280</t>
  </si>
  <si>
    <t>RUA CORONEL PENA DE MORAES</t>
  </si>
  <si>
    <t>-29.2287516,-51.3480478</t>
  </si>
  <si>
    <t>SUL252280</t>
  </si>
  <si>
    <t>47960950030624</t>
  </si>
  <si>
    <t>432</t>
  </si>
  <si>
    <t>COMMCENTER - AVENIDA FARROUPILHA, 4545 - PARK SHOPPING CANOAS - SUL80279</t>
  </si>
  <si>
    <t>LJ 2008 PAVMTO L2</t>
  </si>
  <si>
    <t>SUL80279</t>
  </si>
  <si>
    <t>308055001992</t>
  </si>
  <si>
    <t>MAGAZINE LUIZA - RUA PRESIDENTE NEREU RAMOS, 306 - ZONA COMERCIAL - SUL64530</t>
  </si>
  <si>
    <t>RUA PRESIDENTE NEREU RAMOS</t>
  </si>
  <si>
    <t>306</t>
  </si>
  <si>
    <t>Lages</t>
  </si>
  <si>
    <t>88502170</t>
  </si>
  <si>
    <t>-27.8136449 , -50.32740159999999</t>
  </si>
  <si>
    <t>SUL64530</t>
  </si>
  <si>
    <t>47960950039095</t>
  </si>
  <si>
    <t>PONTO FRIO - AVENIDA MARECHAL RONDON, 1124 - MGCO288920</t>
  </si>
  <si>
    <t>78710129</t>
  </si>
  <si>
    <t>-16.4706152,-54.6305497</t>
  </si>
  <si>
    <t>MGCO288920</t>
  </si>
  <si>
    <t>33041260026040</t>
  </si>
  <si>
    <t>LOJAS CEM - RUA ANTONIO FERNANDES LEITE, 185 - SPI268200</t>
  </si>
  <si>
    <t>RUA ANTONIO FERNANDES LEITE</t>
  </si>
  <si>
    <t>JARDIM SANTA IZABEL (ROZOLEM)</t>
  </si>
  <si>
    <t>13185230</t>
  </si>
  <si>
    <t>-22.8943608,-47.1758257</t>
  </si>
  <si>
    <t>SPI268200</t>
  </si>
  <si>
    <t>56642960026680</t>
  </si>
  <si>
    <t>HORTRO</t>
  </si>
  <si>
    <t>RIACHUELO - RUA JOAO PESSOA, 594 - ZONA COMERCIAL - NE45078</t>
  </si>
  <si>
    <t>-10.91116 , -37.049203</t>
  </si>
  <si>
    <t>NE45078</t>
  </si>
  <si>
    <t>33200056023947</t>
  </si>
  <si>
    <t>CASAS BAHIA - AVENIDA AUTOMOVEL CLUBE, 2384 - ZONA COMERCIAL - RJES11815</t>
  </si>
  <si>
    <t>AVENIDA AUTOMOVEL CLUBE</t>
  </si>
  <si>
    <t>2384</t>
  </si>
  <si>
    <t>1034,1040,1072,1ºP,T</t>
  </si>
  <si>
    <t>VILAR DOS TELES</t>
  </si>
  <si>
    <t>25515126</t>
  </si>
  <si>
    <t>-22.776798 , -43.360905</t>
  </si>
  <si>
    <t>RJES11815</t>
  </si>
  <si>
    <t>33041260087774</t>
  </si>
  <si>
    <t>1414</t>
  </si>
  <si>
    <t>CASAS BAHIA - AVENIDA MARCELINO PIRES, 1978 - MGCO271280</t>
  </si>
  <si>
    <t>AVENIDA MARCELINO PIRES</t>
  </si>
  <si>
    <t>1978</t>
  </si>
  <si>
    <t>Dourados</t>
  </si>
  <si>
    <t>79800004</t>
  </si>
  <si>
    <t>-22.2280668,-54.8120948</t>
  </si>
  <si>
    <t>MGCO271280</t>
  </si>
  <si>
    <t>33041260095874</t>
  </si>
  <si>
    <t>1233</t>
  </si>
  <si>
    <t>CASAS BAHIA - RUA CORONEL ANTONIO BOTELHO DE SOUSA, 254 - MARANGUAPE SHOPPING MALL - NE282180</t>
  </si>
  <si>
    <t>RUA CORONEL ANTONIO BOTELHO DE SOUSA</t>
  </si>
  <si>
    <t>NE282180</t>
  </si>
  <si>
    <t>33041260189500</t>
  </si>
  <si>
    <t>HAVAN - AVENIDA NESTOR DE MOURA JARDIM, 417 - SUL235090</t>
  </si>
  <si>
    <t>AVENIDA NESTOR DE MOURA JARDIM</t>
  </si>
  <si>
    <t>417</t>
  </si>
  <si>
    <t>PARQUE 35</t>
  </si>
  <si>
    <t>Guaíba</t>
  </si>
  <si>
    <t>92705200</t>
  </si>
  <si>
    <t>-30.1149773 , -51.3306322</t>
  </si>
  <si>
    <t>SUL235090</t>
  </si>
  <si>
    <t>79379491016853</t>
  </si>
  <si>
    <t>173 - GUAIBA</t>
  </si>
  <si>
    <t>LOJAS CEM - RUA CAMPOS SALES, 700 - SPI230430</t>
  </si>
  <si>
    <t>Itapetininga</t>
  </si>
  <si>
    <t>18200005</t>
  </si>
  <si>
    <t>-23.5885819 , -48.0483843</t>
  </si>
  <si>
    <t>SPI230430</t>
  </si>
  <si>
    <t>56642960000703</t>
  </si>
  <si>
    <t>ITAPET</t>
  </si>
  <si>
    <t>LOJAS CEM - RUA ARAUJO LEITE, 115 - ZONA COMERCIAL - SPI19462</t>
  </si>
  <si>
    <t>RUA ARAUJO LEITE</t>
  </si>
  <si>
    <t>DOSPAULASEMENDES</t>
  </si>
  <si>
    <t>Piedade</t>
  </si>
  <si>
    <t>18170000</t>
  </si>
  <si>
    <t>-23.71287182913005 , -47.41711949080733</t>
  </si>
  <si>
    <t>SPI19462</t>
  </si>
  <si>
    <t>56642960013350</t>
  </si>
  <si>
    <t>PIEDAD</t>
  </si>
  <si>
    <t>LOJAS CEM - AVENIDA INDEPENDENCIA, 1130 - SPI268410</t>
  </si>
  <si>
    <t>1130</t>
  </si>
  <si>
    <t>12031001</t>
  </si>
  <si>
    <t>-23.03812,-45.5823931</t>
  </si>
  <si>
    <t>SPI268410</t>
  </si>
  <si>
    <t>56642960029868</t>
  </si>
  <si>
    <t>TAUBIN</t>
  </si>
  <si>
    <t>LOJAS GUAIBIM - RUA J B FONSECA, 30 - ZONA COMERCIAL - NE10963</t>
  </si>
  <si>
    <t>177</t>
  </si>
  <si>
    <t>-12.25683 , -38.966476</t>
  </si>
  <si>
    <t>NE10963</t>
  </si>
  <si>
    <t>13850516007694</t>
  </si>
  <si>
    <t>LOJAS CEM - RUA 9 DE JULHO, 400 - ZONA COMERCIAL - SPI19289</t>
  </si>
  <si>
    <t>Salto</t>
  </si>
  <si>
    <t>13320000</t>
  </si>
  <si>
    <t>-23.2050038, -47.2917411</t>
  </si>
  <si>
    <t>SPI19289</t>
  </si>
  <si>
    <t>56642960000290</t>
  </si>
  <si>
    <t>SALTO</t>
  </si>
  <si>
    <t>TIM - RUA 13 DE MAIO, 1947 - SHOPPING PATIO PAULISTA - SPC7067</t>
  </si>
  <si>
    <t>1947</t>
  </si>
  <si>
    <t>1327001</t>
  </si>
  <si>
    <t>-23.570602 , -46.643482</t>
  </si>
  <si>
    <t>SPC7067</t>
  </si>
  <si>
    <t>01452789000346</t>
  </si>
  <si>
    <t>Shopping Pátio Paulista</t>
  </si>
  <si>
    <t>D</t>
  </si>
  <si>
    <t>ALEGRIA (TIM) - AVENIDA GOVERNADOR AGAMENON MAGALHAES, 153 - SHOPPING TACARUNA - NE7357</t>
  </si>
  <si>
    <t>LOJAS 116 E 117</t>
  </si>
  <si>
    <t>NE7357</t>
  </si>
  <si>
    <t>21683365005792</t>
  </si>
  <si>
    <t>ALEGRIA TELECOM - SHOPPING TACARUNA  - SAP (42861)</t>
  </si>
  <si>
    <t>CLARO - RUA 13 DE MAIO, 1947 - SHOPPING PATIO PAULISTA - SPC7268</t>
  </si>
  <si>
    <t>ARCO 4007 E 4008</t>
  </si>
  <si>
    <t>SPC7268</t>
  </si>
  <si>
    <t>40432544032340</t>
  </si>
  <si>
    <t>TIM - AVENIDA GOVERNADOR AGAMENON MAGALHAES, 153 - SHOPPING TACARUNA - NE19619</t>
  </si>
  <si>
    <t>LOJA 22</t>
  </si>
  <si>
    <t>NE19619</t>
  </si>
  <si>
    <t>2421421022948</t>
  </si>
  <si>
    <t>C252</t>
  </si>
  <si>
    <t>FW TELEFONIA - AVENIDA INDUSTRIAL, 600 - SHOPPING GRAND PLAZA - SPC64248</t>
  </si>
  <si>
    <t>-23.6487428 , -46.5320549</t>
  </si>
  <si>
    <t>SPC64248</t>
  </si>
  <si>
    <t>22202431000254</t>
  </si>
  <si>
    <t>ALEGRIA (TIM) - AVENIDA INTERLAGOS, 2255 - SHOPPING INTERLAGOS - SPC19041</t>
  </si>
  <si>
    <t>SPC19041</t>
  </si>
  <si>
    <t>21683365000804</t>
  </si>
  <si>
    <t>ALEGRIA TELECOM - SHOPPING INTERLAGOS - SAP (31732)</t>
  </si>
  <si>
    <t>TIM - AVENIDA INDUSTRIAL, 600 - SHOPPING GRAND PLAZA - SPC6682</t>
  </si>
  <si>
    <t>SPC6682</t>
  </si>
  <si>
    <t>2421421019050</t>
  </si>
  <si>
    <t>C181</t>
  </si>
  <si>
    <t>TIM - RODOVIA PRESIDENTE DUTRA KM 230, S/N - SHOPPING INTERNACIONAL GUARULHOS - SPC7274</t>
  </si>
  <si>
    <t>LOJA A2 E A3</t>
  </si>
  <si>
    <t>SPC7274</t>
  </si>
  <si>
    <t>2421421017197</t>
  </si>
  <si>
    <t>C034</t>
  </si>
  <si>
    <t>CLARICELL - RUA MANOEL CAVALCANTE, 805 - SHOPPING MANAIRA - NE10843</t>
  </si>
  <si>
    <t>-7.098919599999999 , -34.8448542</t>
  </si>
  <si>
    <t>NE10843</t>
  </si>
  <si>
    <t>13985813000804</t>
  </si>
  <si>
    <t>MAGAZINE LUIZA - RODOVIA AUGUSTO MONTENEGRO, 4300 - PARQUE SHOPPING BELEM - N229190</t>
  </si>
  <si>
    <t>-1.3709374 , -48.4473422</t>
  </si>
  <si>
    <t>N229190</t>
  </si>
  <si>
    <t>47960950131730</t>
  </si>
  <si>
    <t>ALEGRIA (TIM) - RUA MANOEL CAVALCANTE, 805 - SHOPPING MANAIRA - NE10662</t>
  </si>
  <si>
    <t>T 0001</t>
  </si>
  <si>
    <t>NE10662</t>
  </si>
  <si>
    <t>21683365005369</t>
  </si>
  <si>
    <t>ALEGRIA TELECOM - MANAIRA - SAP (42803)</t>
  </si>
  <si>
    <t>FACELL - RUA GERMANO FRANCK, 300 - SHOPPING PARANGABA - NE11173</t>
  </si>
  <si>
    <t>NE11173</t>
  </si>
  <si>
    <t>07366109001591</t>
  </si>
  <si>
    <t>VIVO - RODOVIA PRESIDENTE DUTRA KM 230, S/N - SHOPPING INTERNACIONAL GUARULHOS - SPC8780</t>
  </si>
  <si>
    <t>KM 397,650,LJ F1/F2</t>
  </si>
  <si>
    <t>7034010</t>
  </si>
  <si>
    <t>SPC8780</t>
  </si>
  <si>
    <t>2558157015003</t>
  </si>
  <si>
    <t>LOJA SHOPPING INTERNACIONAL GUARULHOS SP</t>
  </si>
  <si>
    <t>CLARO - AVENIDA LINEU MACHADO, 419 - NORTH SHOPPING JOQUEI - NE9853</t>
  </si>
  <si>
    <t>JOQUEI CLUB</t>
  </si>
  <si>
    <t>NE9853</t>
  </si>
  <si>
    <t>40432544052104</t>
  </si>
  <si>
    <t>8509</t>
  </si>
  <si>
    <t>MAGAZINE LUIZA - RODOVIA MARIO COVAS, 970 - SHOPPING METROPOLE ANANINDEUA - N227160</t>
  </si>
  <si>
    <t>RODOVIA MARIO COVAS</t>
  </si>
  <si>
    <t>-1.3843158010752563 , -48.41025128092042</t>
  </si>
  <si>
    <t>N227160</t>
  </si>
  <si>
    <t>47960950122316</t>
  </si>
  <si>
    <t>VIVO - AVENIDA BARRETO DE MENEZES, 800 - SHOPPING GUARARAPES - NE79535</t>
  </si>
  <si>
    <t>SUC 078</t>
  </si>
  <si>
    <t>NE79535</t>
  </si>
  <si>
    <t>2558157077033</t>
  </si>
  <si>
    <t>LOJA SHOPPING GUARARAPES PE</t>
  </si>
  <si>
    <t>CLARICELL - RUA DOMINGOS DE MORAIS, 2564 - SHOPPING METRO SANTA CRUZ - SPC275380</t>
  </si>
  <si>
    <t>SPC275380</t>
  </si>
  <si>
    <t>21848907001580</t>
  </si>
  <si>
    <t>CLARO - AVENIDA ASSIS BRASIL, 2611 - BOURBON SHOPPING WALLIG - SUL7374</t>
  </si>
  <si>
    <t>LOJA 259</t>
  </si>
  <si>
    <t>SUL7374</t>
  </si>
  <si>
    <t>40432544033312</t>
  </si>
  <si>
    <t>5128</t>
  </si>
  <si>
    <t>FACELL - AVENIDA BEZERRA DE MENEZES, 2450 - NORTH SHOPPING FORTALEZA - NE5627</t>
  </si>
  <si>
    <t>LOJA 281</t>
  </si>
  <si>
    <t>NE5627</t>
  </si>
  <si>
    <t>08143291000502</t>
  </si>
  <si>
    <t>VIVO - AVENIDA GOVERNADOR AGAMENON MAGALHAES, 153 - SHOPPING TACARUNA - NE5909</t>
  </si>
  <si>
    <t>LOJA 332/333</t>
  </si>
  <si>
    <t>NE5909</t>
  </si>
  <si>
    <t>2558157051310</t>
  </si>
  <si>
    <t>LOJA TACARUNA PE</t>
  </si>
  <si>
    <t>VIVO - RUA DOMINGOS DE MORAIS, 2564 - SHOPPING METRO SANTA CRUZ - SPC6460</t>
  </si>
  <si>
    <t>4095000</t>
  </si>
  <si>
    <t>-23.5990249 , -46.6371985</t>
  </si>
  <si>
    <t>SPC6460</t>
  </si>
  <si>
    <t>2558157004826</t>
  </si>
  <si>
    <t>LOJA SHOPPING METRO SANTA CRUZ SP</t>
  </si>
  <si>
    <t>MAGAZINE LUIZA - RUA DOUTOR ALVARO SOARES, 111 - SPI7687</t>
  </si>
  <si>
    <t>-23.498026 , -47.458569</t>
  </si>
  <si>
    <t>SPI7687</t>
  </si>
  <si>
    <t>47960950043289</t>
  </si>
  <si>
    <t>VIVO - RUA TURIASSU, 2100 - SHOPPING BOURBON - SPC7269</t>
  </si>
  <si>
    <t>LOJA 225</t>
  </si>
  <si>
    <t>SPC7269</t>
  </si>
  <si>
    <t>2558157015356</t>
  </si>
  <si>
    <t>LOJA SHOPPING BOURBON SP</t>
  </si>
  <si>
    <t>CLARO - RUA DOMINGOS DE MORAIS, 2564 - SHOPPING METRO SANTA CRUZ - SPC6360</t>
  </si>
  <si>
    <t>LOJA 23 E</t>
  </si>
  <si>
    <t>SPC6360</t>
  </si>
  <si>
    <t>40432544004215</t>
  </si>
  <si>
    <t>1122</t>
  </si>
  <si>
    <t>CLARO - RODOVIA AUGUSTO MONTENEGRO, 4300, LOJA 1012 - PARQUE SHOPPING BELEM - N47306</t>
  </si>
  <si>
    <t>RODOVIA AUGUSTO MONTENEGRO, 4300</t>
  </si>
  <si>
    <t>-1.3702351 , -48.4468323</t>
  </si>
  <si>
    <t>N47306</t>
  </si>
  <si>
    <t>40432544042303</t>
  </si>
  <si>
    <t>9108</t>
  </si>
  <si>
    <t>MAGAZINE LUIZA - RUA OSWALDO CRUZ, S/N - NE228430</t>
  </si>
  <si>
    <t>RUA OSWALDO CRUZ</t>
  </si>
  <si>
    <t>65065545</t>
  </si>
  <si>
    <t>-2.5307832, -44.29774339999999</t>
  </si>
  <si>
    <t>NE228430</t>
  </si>
  <si>
    <t>47960950130840</t>
  </si>
  <si>
    <t>FACELL - ALAMEDA EUVALDO LUZ, 92 - SHOPPING BELA VISTA - NE237790</t>
  </si>
  <si>
    <t>ALAMEDA EUVALDO LUZ,</t>
  </si>
  <si>
    <t>Horto Bela Vista</t>
  </si>
  <si>
    <t>-12.9694842, -38.4737508</t>
  </si>
  <si>
    <t>NE237790</t>
  </si>
  <si>
    <t>7366109002482</t>
  </si>
  <si>
    <t>TIM - AVENIDA FLAVIO RIBEIRO COUTINHO, 220 - SHOPPING MANAIRA - NE21247</t>
  </si>
  <si>
    <t>Loja 048 Loja 049 Loja 050</t>
  </si>
  <si>
    <t>58036853</t>
  </si>
  <si>
    <t>-7.098347, -34.8448827</t>
  </si>
  <si>
    <t>NE21247</t>
  </si>
  <si>
    <t>02421421022786</t>
  </si>
  <si>
    <t>C165</t>
  </si>
  <si>
    <t>CLARICELL - AVENIDA INTERLAGOS, 2255 - SHOPPING INTERLAGOS - SPC8449</t>
  </si>
  <si>
    <t>SPC8449</t>
  </si>
  <si>
    <t>21848907000347</t>
  </si>
  <si>
    <t>LOJAS AMERICANAS - RODOVIA PRESIDENTE DUTRA KM 230, S/N - SHOPPING INTERNACIONAL GUARULHOS - SPC7601</t>
  </si>
  <si>
    <t>ANT.397/650,LOJA B06</t>
  </si>
  <si>
    <t>SPC7601</t>
  </si>
  <si>
    <t>776574059550</t>
  </si>
  <si>
    <t>L246</t>
  </si>
  <si>
    <t>MAGAZINE LUIZA - RODOVIA BR-316, 1500 - N269680</t>
  </si>
  <si>
    <t>KM 09</t>
  </si>
  <si>
    <t>67033000</t>
  </si>
  <si>
    <t>-1.3673788,-48.3745801</t>
  </si>
  <si>
    <t>N269680</t>
  </si>
  <si>
    <t>47960950123398</t>
  </si>
  <si>
    <t>RIACHUELO - RUA MANOEL ARRUDA CAVALCANTE, 805 - SHOPPING MANAIRA - NE43430</t>
  </si>
  <si>
    <t>RUA MANOEL ARRUDA CAVALCANTE</t>
  </si>
  <si>
    <t>NE43430</t>
  </si>
  <si>
    <t>33200056033233</t>
  </si>
  <si>
    <t>CENTRAO (VIVO) - AVENIDA NOEL NUTELS, 1762 - SAMAUMA SHOPPING - N237230</t>
  </si>
  <si>
    <t>Cidade Nova</t>
  </si>
  <si>
    <t>69057021</t>
  </si>
  <si>
    <t>-3.0304476, -59.97768899999999</t>
  </si>
  <si>
    <t>N237230</t>
  </si>
  <si>
    <t>20360124001248</t>
  </si>
  <si>
    <t>CLARO - AVENIDA GOVERNADOR MARIO COVAS JUNIOR, 1 - SHOPPING MAUA - SPC8813</t>
  </si>
  <si>
    <t>SPC8813</t>
  </si>
  <si>
    <t>40432544031379</t>
  </si>
  <si>
    <t>1156</t>
  </si>
  <si>
    <t>TIM - AVENIDA PROFESSOR CARLOS CUNHA, 1000 - SHOPPING SAO LUIS - NE10683</t>
  </si>
  <si>
    <t>AVENIDA PROFESSOR CARLOS CUNHA</t>
  </si>
  <si>
    <t>165 E 165 A</t>
  </si>
  <si>
    <t>JARACATY</t>
  </si>
  <si>
    <t>65076820</t>
  </si>
  <si>
    <t>-2.510613 , -44.285381</t>
  </si>
  <si>
    <t>NE10683</t>
  </si>
  <si>
    <t>2421421018916</t>
  </si>
  <si>
    <t>C137</t>
  </si>
  <si>
    <t>Shopping São Luís</t>
  </si>
  <si>
    <t>LOJAS AMERICANAS - AVENIDA PIRACEMA, 669 - SHOPPING TAMBORE - SPC6440</t>
  </si>
  <si>
    <t>LOJA ANCORA G</t>
  </si>
  <si>
    <t>SPC6440</t>
  </si>
  <si>
    <t>776574173093</t>
  </si>
  <si>
    <t>L239</t>
  </si>
  <si>
    <t>TIM - AVENIDA BEZERRA DE MENEZES, 2450 (PISO 2) - NORTH SHOPPING FORTALEZA - NE7887</t>
  </si>
  <si>
    <t>LOJA 03-B</t>
  </si>
  <si>
    <t>NE7887</t>
  </si>
  <si>
    <t>2421421008368</t>
  </si>
  <si>
    <t>C259</t>
  </si>
  <si>
    <t>CASAS BAHIA - RUA EDGARD FERRAZ, 473 - ZONA COMERCIAL - SPI8768</t>
  </si>
  <si>
    <t>RUA EDGAR FERRAZ</t>
  </si>
  <si>
    <t>475,477,479,489,495</t>
  </si>
  <si>
    <t>-22.296415 , -48.557266</t>
  </si>
  <si>
    <t>SPI8768</t>
  </si>
  <si>
    <t>33041260113791</t>
  </si>
  <si>
    <t>1248</t>
  </si>
  <si>
    <t>SELF TELECOM (CLARO) - RUA GERMANO FRANCK, 300 - SHOPPING PARANGABA - NE275350</t>
  </si>
  <si>
    <t>LOJA 200</t>
  </si>
  <si>
    <t>NE275350</t>
  </si>
  <si>
    <t>32219632000108</t>
  </si>
  <si>
    <t>CLARICELL - RUA TREZE DE MAIO, 1947 - SHOPPING PATIO PAULISTA - SPC248270</t>
  </si>
  <si>
    <t>SÃO PAULO</t>
  </si>
  <si>
    <t>1327900</t>
  </si>
  <si>
    <t>-23.5705529 , -46.6435248</t>
  </si>
  <si>
    <t>SPC248270</t>
  </si>
  <si>
    <t>21848907000690</t>
  </si>
  <si>
    <t>CLARO - AVENIDA RAUL LOPES, 1000 - SHOPPING TERESINA - NE47310</t>
  </si>
  <si>
    <t>AVENIDA RAUL LOPES, 1000</t>
  </si>
  <si>
    <t>DOS NOIVOS</t>
  </si>
  <si>
    <t>-5.0849354 , -42.78982329999999</t>
  </si>
  <si>
    <t>NE47310</t>
  </si>
  <si>
    <t>40432544023350</t>
  </si>
  <si>
    <t>8604</t>
  </si>
  <si>
    <t>LOJAS AMERICANAS - AVENIDA DEPUTADO BENEDITO MATARAZZO, 9403 - SHOPPING CENTER VALE - SPI6589</t>
  </si>
  <si>
    <t>LOJA E,1º PAVIMENTO</t>
  </si>
  <si>
    <t>SPI6589</t>
  </si>
  <si>
    <t>776574067900</t>
  </si>
  <si>
    <t>L086</t>
  </si>
  <si>
    <t>MAGAZINE LUIZA - AVENIDA RAIMUNDO PEREIRA DE MAGALHAES, 1465 - TIETE PLAZA SHOPPING - SPC246700</t>
  </si>
  <si>
    <t>JARDIM IRIS</t>
  </si>
  <si>
    <t>SPC246700</t>
  </si>
  <si>
    <t>47960950171520</t>
  </si>
  <si>
    <t>1562</t>
  </si>
  <si>
    <t>VIVO - RUA MANOEL CAVALCANTE, 805 - SHOPPING MANAIRA - NE10666</t>
  </si>
  <si>
    <t>NE10666</t>
  </si>
  <si>
    <t>2558157033419</t>
  </si>
  <si>
    <t>LOJA SHOPPING MANAIRA PB</t>
  </si>
  <si>
    <t>CASAS BAHIA - AVENIDA RAIMUNDO PEREIRA DE MAGALHAES, 1465 - TIETE PLAZA SHOPPING - SPC37266</t>
  </si>
  <si>
    <t>LOJA 2070 PAVIMENTO1</t>
  </si>
  <si>
    <t>SPC37266</t>
  </si>
  <si>
    <t>33041260148820</t>
  </si>
  <si>
    <t>1759</t>
  </si>
  <si>
    <t>MAGAZINE LUIZA - LOURENCO PRADO, 321 - ZONA COMERCIAL - SPI8769</t>
  </si>
  <si>
    <t>RUA LOURENCO PRADO</t>
  </si>
  <si>
    <t>17201000</t>
  </si>
  <si>
    <t>-22.295286 , -48.557323</t>
  </si>
  <si>
    <t>SPI8769</t>
  </si>
  <si>
    <t>47960950004704</t>
  </si>
  <si>
    <t>VIVO - PRACA LEONOR KAUPA, 100 - SHOPPING PLAZA SUL - SPC7246</t>
  </si>
  <si>
    <t>JARDIMDASAUDE</t>
  </si>
  <si>
    <t>4123011</t>
  </si>
  <si>
    <t>-23.6198566 , -46.6268858</t>
  </si>
  <si>
    <t>SPC7246</t>
  </si>
  <si>
    <t>2558157004745</t>
  </si>
  <si>
    <t>LOJA SHOPPING PLAZA SUL SP</t>
  </si>
  <si>
    <t>VIVO - AVENIDA PROFESSOR CARLOS CUNHA, 1000 - SHOPPING SAO LUIS - NE10927</t>
  </si>
  <si>
    <t>JACARATI</t>
  </si>
  <si>
    <t>-2.5097887 , -44.2849277</t>
  </si>
  <si>
    <t>NE10927</t>
  </si>
  <si>
    <t>2558157050500</t>
  </si>
  <si>
    <t>LOJA SAO LUIS MA</t>
  </si>
  <si>
    <t>LOJAS AMERICANAS - AVENIDA VISCONDE DE SOUZA FRANCO, 776 - SHOPPING BOULEVARD - N5895</t>
  </si>
  <si>
    <t>LOJA 15</t>
  </si>
  <si>
    <t>N5895</t>
  </si>
  <si>
    <t>776574113007</t>
  </si>
  <si>
    <t>L375</t>
  </si>
  <si>
    <t>ALEGRIA (TIM) - AVENIDA CRISTIANO MACHADO, 11833 - SHOPPING ESTACAO BH - MGCO45344</t>
  </si>
  <si>
    <t>LOJA 1052 ANDAR 1</t>
  </si>
  <si>
    <t>MGCO45344</t>
  </si>
  <si>
    <t>21683365000219</t>
  </si>
  <si>
    <t>ALEGRIA TELECOM SHOPPING ESTACAO - SAP (27872)</t>
  </si>
  <si>
    <t>TIM - AVENIDA RAUL LOPES, 1000 - SHOPPING TERESINA - NE50014</t>
  </si>
  <si>
    <t>NE50014</t>
  </si>
  <si>
    <t>02421421027826</t>
  </si>
  <si>
    <t>C706</t>
  </si>
  <si>
    <t>LOJAS AMERICANAS - RUA TEODORO SAMPAIO, 2174 - SPC10333</t>
  </si>
  <si>
    <t>2174</t>
  </si>
  <si>
    <t>5406150</t>
  </si>
  <si>
    <t>-23.564276 , -46.688766</t>
  </si>
  <si>
    <t>SPC10333</t>
  </si>
  <si>
    <t>776574094975</t>
  </si>
  <si>
    <t>L582</t>
  </si>
  <si>
    <t>LOJAS AMERICANAS - AVENIDA GOVERNADOR MARIO COVAS JUNIOR, 1 - SHOPPING MAUA - SPC8811</t>
  </si>
  <si>
    <t>LOJA 7,TERREO</t>
  </si>
  <si>
    <t>SPC8811</t>
  </si>
  <si>
    <t>776574131684</t>
  </si>
  <si>
    <t>L277</t>
  </si>
  <si>
    <t>LOJAS AMERICANAS - RODOVIA REGIS BITTENCOURT KM 271, 2643 - SHOPPING TABOAO DA SERRA - SPC11759</t>
  </si>
  <si>
    <t>LOJA 95 A,TÉRREO</t>
  </si>
  <si>
    <t>SPC11759</t>
  </si>
  <si>
    <t>776574069784</t>
  </si>
  <si>
    <t>MAGAZINE LUIZA - AVENIDA RUI BARBOSA, 518 - ZONA COMERCIAL - SPC42912</t>
  </si>
  <si>
    <t>518</t>
  </si>
  <si>
    <t>LJ 004</t>
  </si>
  <si>
    <t>-23.519673 , -46.836987</t>
  </si>
  <si>
    <t>SPC42912</t>
  </si>
  <si>
    <t>47960950096056</t>
  </si>
  <si>
    <t>508</t>
  </si>
  <si>
    <t>COMMCENTER - RUA 13 DE MAIO, 1947 - SHOPPING PATIO PAULISTA - SPC6758</t>
  </si>
  <si>
    <t>Loja Suc 225</t>
  </si>
  <si>
    <t>SPC6758</t>
  </si>
  <si>
    <t>5828732018720</t>
  </si>
  <si>
    <t>VIVO - RUA 13 DE MAIO, 1947 - SHOPPING PATIO PAULISTA - SPC7266</t>
  </si>
  <si>
    <t>SPC7266</t>
  </si>
  <si>
    <t>2558157005806</t>
  </si>
  <si>
    <t>LOJA SHOPPING PAULISTA SP</t>
  </si>
  <si>
    <t>LOJAS AMERICANAS - RUA MANOEL CAVALCANTE, 805 - SHOPPING MANAIRA - NE10664</t>
  </si>
  <si>
    <t>T 306</t>
  </si>
  <si>
    <t>58037000</t>
  </si>
  <si>
    <t>NE10664</t>
  </si>
  <si>
    <t>776574124980</t>
  </si>
  <si>
    <t>L159</t>
  </si>
  <si>
    <t>MAGAZINE LUIZA - AVENIDA CESARIO DE ABREU, 61 - SPC229290</t>
  </si>
  <si>
    <t>AVENIDA CESARIO DE ABREU</t>
  </si>
  <si>
    <t>Anexo ala A</t>
  </si>
  <si>
    <t>-23.546023 , -46.9343031</t>
  </si>
  <si>
    <t>SPC229290</t>
  </si>
  <si>
    <t>47960950134837</t>
  </si>
  <si>
    <t>MAGAZINE LUIZA - TRAVESSA DOUTOR LOPO DE CASTRO, 420 - N280530</t>
  </si>
  <si>
    <t>TRAVESSA DOUTOR LOPO DE CASTRO</t>
  </si>
  <si>
    <t>CRUZEIRO - ICOARACI</t>
  </si>
  <si>
    <t>66810191</t>
  </si>
  <si>
    <t>-1.2985567,-48.4880261</t>
  </si>
  <si>
    <t>N280530</t>
  </si>
  <si>
    <t>47960950128942</t>
  </si>
  <si>
    <t>1272</t>
  </si>
  <si>
    <t>ALEGRIA (TIM) - RUA DOMINGOS DE MORAIS, 2564 - SHOPPING METRO SANTA CRUZ - SPC8460</t>
  </si>
  <si>
    <t>SPC8460</t>
  </si>
  <si>
    <t>21683365006179</t>
  </si>
  <si>
    <t>ALEGRIA - SHOPPING SANTA CRUZ - SAP (43368)</t>
  </si>
  <si>
    <t>CASAS BAHIA - RUA OSWALDO CRUZ, 415 - N249700</t>
  </si>
  <si>
    <t>-2.5305155,-44.3000552</t>
  </si>
  <si>
    <t>N249700</t>
  </si>
  <si>
    <t>33041260190273</t>
  </si>
  <si>
    <t>2281</t>
  </si>
  <si>
    <t>CLARO - AVENIDA DOS AUTONOMISTAS, 1400 - SHOPPING UNIAO - SPC7399</t>
  </si>
  <si>
    <t>ARCO 169</t>
  </si>
  <si>
    <t>SPC7399</t>
  </si>
  <si>
    <t>40432544031530</t>
  </si>
  <si>
    <t>LOJAS AMERICANAS - AVENIDA RAUL LOPES, 1000 - SHOPPING TERESINA - NE50012</t>
  </si>
  <si>
    <t>SUC 02</t>
  </si>
  <si>
    <t>NE50012</t>
  </si>
  <si>
    <t>776574156911</t>
  </si>
  <si>
    <t>L494</t>
  </si>
  <si>
    <t>LOJAS AMERICANAS - AVENIDA PROFESSOR CARLOS CUNHA, 1000 - SHOPPING SAO LUIS - NE10928</t>
  </si>
  <si>
    <t>LOJA 158</t>
  </si>
  <si>
    <t>NE10928</t>
  </si>
  <si>
    <t>776574156083</t>
  </si>
  <si>
    <t>L253</t>
  </si>
  <si>
    <t>TIM - AVENIDA JULIO DE CASTILHOS, 1944 - SUL19365</t>
  </si>
  <si>
    <t>1944</t>
  </si>
  <si>
    <t>-29.167971 , -51.18132</t>
  </si>
  <si>
    <t>SUL19365</t>
  </si>
  <si>
    <t>04206050004097</t>
  </si>
  <si>
    <t>C056</t>
  </si>
  <si>
    <t>VIVO - RUA AUGUSTA, 1771 - SHOPPING CONJUNTO NACIONAL - SPC7264</t>
  </si>
  <si>
    <t>RUA AUGUSTA</t>
  </si>
  <si>
    <t>CERQUEIRACESAR</t>
  </si>
  <si>
    <t>1413000</t>
  </si>
  <si>
    <t>-23.5585901 , -46.66051419999999</t>
  </si>
  <si>
    <t>SPC7264</t>
  </si>
  <si>
    <t>2558157014031</t>
  </si>
  <si>
    <t>LOJA CONJUNTO NACIONAL SP</t>
  </si>
  <si>
    <t>Conjunto Nacional Sp</t>
  </si>
  <si>
    <t>CLARICELL - AVENIDA JOSE PINHEIRO BORGES, S/N - SHOPPING METRO ITAQUERA - SPC7398</t>
  </si>
  <si>
    <t>SPC7398</t>
  </si>
  <si>
    <t>21848907000509</t>
  </si>
  <si>
    <t>LS SP METRO ITAQUERA SAO PAULO 1</t>
  </si>
  <si>
    <t>ALEGRIA (TIM) - AVENIDA CHARLES SCHNNEIDER, 1700 - SHOPPING TAUBATE - SPI11009</t>
  </si>
  <si>
    <t>LOJA 96</t>
  </si>
  <si>
    <t>SPI11009</t>
  </si>
  <si>
    <t>21683365003153</t>
  </si>
  <si>
    <t>ALEGRIA - TAUBATE SHOPPING - SAP (39230)</t>
  </si>
  <si>
    <t>TIM - AVENIDA GIOVANNI GRONCHI, 5819 - SHOPPING JARDIM SUL - SPC6680</t>
  </si>
  <si>
    <t>AVENIDA GIOVANNI GRONCHI</t>
  </si>
  <si>
    <t>5819</t>
  </si>
  <si>
    <t>5724003</t>
  </si>
  <si>
    <t>-23.631336 , -46.735867</t>
  </si>
  <si>
    <t>SPC6680</t>
  </si>
  <si>
    <t>2421421011903</t>
  </si>
  <si>
    <t>C233</t>
  </si>
  <si>
    <t>Shopping Jardim Sul</t>
  </si>
  <si>
    <t>TIM - RUA GERMANO FRANCK, 300 - SHOPPING PARANGABA - NE9899</t>
  </si>
  <si>
    <t>NE9899</t>
  </si>
  <si>
    <t>2421421008287</t>
  </si>
  <si>
    <t>C286</t>
  </si>
  <si>
    <t>CASAS BAHIA - AVENIDA BRASIL, 3414 - ZONA COMERCIAL - SUL42672</t>
  </si>
  <si>
    <t>3414</t>
  </si>
  <si>
    <t>-23.420824 , -51.935429</t>
  </si>
  <si>
    <t>SUL42672</t>
  </si>
  <si>
    <t>33041260025825</t>
  </si>
  <si>
    <t>1909</t>
  </si>
  <si>
    <t>RIACHUELO - RODOVIA AUGUSTO MONTE NEGRO, 4300 - PARQUE SHOPPING BELEM - N47367</t>
  </si>
  <si>
    <t>LJ1037 P1 - LJ 2087 P2</t>
  </si>
  <si>
    <t>N47367</t>
  </si>
  <si>
    <t>33200056014018</t>
  </si>
  <si>
    <t>COMMCENTER - AVENIDA DEPUTADO BENEDITO MATARAZZO, 9403 - SHOPPING CENTER VALE - SPI10644</t>
  </si>
  <si>
    <t>SPI10644</t>
  </si>
  <si>
    <t>5828732006471</t>
  </si>
  <si>
    <t>VIVO - AVENIDA SAO LUIS REI DA FRANCA, 8 - SHOPPING ANIL - NE10687</t>
  </si>
  <si>
    <t>LOJA - 2051</t>
  </si>
  <si>
    <t>NE10687</t>
  </si>
  <si>
    <t>2558157050429</t>
  </si>
  <si>
    <t>LOJA RIO ANIL MA</t>
  </si>
  <si>
    <t>VIVO - AVENIDA BEZERRA DE MENEZES, 2450 - NORTE SHOPPING - NE11586</t>
  </si>
  <si>
    <t>-3.7350579 , -38.5660305</t>
  </si>
  <si>
    <t>NE11586</t>
  </si>
  <si>
    <t>2558157091109</t>
  </si>
  <si>
    <t>LOJA NORTH SHOPPING II CE</t>
  </si>
  <si>
    <t>FLEX CELL - RODOVIA PRESIDENTE DUTRA, 295 - SHOPPING INTERNACIONAL GUARULHOS - SPC233170</t>
  </si>
  <si>
    <t>295</t>
  </si>
  <si>
    <t>LOJA G03</t>
  </si>
  <si>
    <t>-23.48757980211801 , -46.549773150926335</t>
  </si>
  <si>
    <t>SPC233170</t>
  </si>
  <si>
    <t>03243382003430</t>
  </si>
  <si>
    <t>CLARO - RODOVIA RAPOSO TAVARES KM 14,5, S/N - SHOPPING RAPOSO - SPC20115</t>
  </si>
  <si>
    <t>SUC 3045</t>
  </si>
  <si>
    <t>SPC20115</t>
  </si>
  <si>
    <t>40432544034122</t>
  </si>
  <si>
    <t>1146</t>
  </si>
  <si>
    <t>CLARO - RODOVIA PRESIDENTE DUTRA KM 230, S/N (LOJA 1) - SHOPPING INTERNACIONAL GUARULHOS - SPC7393</t>
  </si>
  <si>
    <t>LOJA A 4</t>
  </si>
  <si>
    <t>SPC7393</t>
  </si>
  <si>
    <t>40432544031964</t>
  </si>
  <si>
    <t>MAGAZINE LUIZA - AVENIDA MARECHAL DEODORO DA FONSECA, 235 - ZONA COMERCIAL - SUL7503</t>
  </si>
  <si>
    <t>80020320</t>
  </si>
  <si>
    <t>-25.43153 , -49.269997</t>
  </si>
  <si>
    <t>SUL7503</t>
  </si>
  <si>
    <t>47960950012642</t>
  </si>
  <si>
    <t>TIM - AVENIDA DANIEL DE LA TOUCHE, 987 - SHOPPING DA ILHA - NE11466</t>
  </si>
  <si>
    <t>NE11466</t>
  </si>
  <si>
    <t>2421421025459</t>
  </si>
  <si>
    <t>C684</t>
  </si>
  <si>
    <t>CASAS BAHIA - RODOVIA BR 316 KM 09, 1174 - N281470</t>
  </si>
  <si>
    <t>RODOVIA BR 316 KM 09</t>
  </si>
  <si>
    <t>1174</t>
  </si>
  <si>
    <t>-1.3678375, -48.3753281</t>
  </si>
  <si>
    <t>N281470</t>
  </si>
  <si>
    <t>33041260188619</t>
  </si>
  <si>
    <t>2261</t>
  </si>
  <si>
    <t>HAVAN - ESTRADA DA RIBEIRA, 200 - ZONA COMERCIAL - SUL18765</t>
  </si>
  <si>
    <t>ESTRADA DA RIBEIRA</t>
  </si>
  <si>
    <t>GUARANI</t>
  </si>
  <si>
    <t>83408000</t>
  </si>
  <si>
    <t>-25.36841782995488 , -49.189448863159946</t>
  </si>
  <si>
    <t>SUL18765</t>
  </si>
  <si>
    <t>79379491006033</t>
  </si>
  <si>
    <t>60 - COLOMBO</t>
  </si>
  <si>
    <t>LOJAS AMERICANAS - RUA DOUTOR SILVIO BASTOS TAVARES, 316 - SHOPPING PARTAGE CAMPOS - RJES18702</t>
  </si>
  <si>
    <t>RJES18702</t>
  </si>
  <si>
    <t>776574120992</t>
  </si>
  <si>
    <t>L464</t>
  </si>
  <si>
    <t>MAGAZINE LUIZA - RUA QUINZE DE NOVEMBRO, 64 - N55658</t>
  </si>
  <si>
    <t>CAMPINA</t>
  </si>
  <si>
    <t>66013060</t>
  </si>
  <si>
    <t>-1.4530335 , -48.5028915</t>
  </si>
  <si>
    <t>N55658</t>
  </si>
  <si>
    <t>47960950125846</t>
  </si>
  <si>
    <t>ALEGRIA (TIM) - RUA CORONEL XAVIER DE TOLEDO, 23 - SHOPPING LIGHT - SPC7094</t>
  </si>
  <si>
    <t>SPC7094</t>
  </si>
  <si>
    <t>21683365001029</t>
  </si>
  <si>
    <t>ALEGRIA SHOPIING LIGHT - SAP (33820)</t>
  </si>
  <si>
    <t>CASAS BAHIA - AVENIDA MARECHAL DEODORO DA FONSECA, 327 - ZONA COMERCIAL - SUL8465</t>
  </si>
  <si>
    <t>327</t>
  </si>
  <si>
    <t>-25.4312 , -49.269176</t>
  </si>
  <si>
    <t>SUL8465</t>
  </si>
  <si>
    <t>33041260091020</t>
  </si>
  <si>
    <t>1113</t>
  </si>
  <si>
    <t>LOJAS COLOMBO - AVENIDA DOUTOR FLORES, 204 - ZONA COMERCIAL - SUL7575</t>
  </si>
  <si>
    <t>204</t>
  </si>
  <si>
    <t>ANEXO 212</t>
  </si>
  <si>
    <t>-30.029725 , -51.224705</t>
  </si>
  <si>
    <t>SUL7575</t>
  </si>
  <si>
    <t>89848543035043</t>
  </si>
  <si>
    <t>LOJAS AMERICANAS - AVENIDA SILVA LOBO, 1210 - ZONA COMERCIAL - MGCO41599</t>
  </si>
  <si>
    <t>AVENIDA SILVA LOBO</t>
  </si>
  <si>
    <t>NOVA GRANADA</t>
  </si>
  <si>
    <t>30431262</t>
  </si>
  <si>
    <t>-19.9353111 , -43.9713507</t>
  </si>
  <si>
    <t>MGCO41599</t>
  </si>
  <si>
    <t>776574173689</t>
  </si>
  <si>
    <t>L645</t>
  </si>
  <si>
    <t>TIM INFORCELL - AVENIDA NOEL NUTELS, 1762 - SAMAUMA SHOPPING - N39679</t>
  </si>
  <si>
    <t>AVENIDADE NOEL NUTELS</t>
  </si>
  <si>
    <t>-3.0308173 , -59.9775928</t>
  </si>
  <si>
    <t>N39679</t>
  </si>
  <si>
    <t>11050941000156</t>
  </si>
  <si>
    <t>COMMCENTER - RUA CORONEL XAVIER DE TOLEDO, 23 - SHOPPING LIGHT - SPC9353</t>
  </si>
  <si>
    <t>SPC9353</t>
  </si>
  <si>
    <t>5828732007605</t>
  </si>
  <si>
    <t>VIVO - AVENIDA PIRACEMA, 669 - SHOPPING TAMBORE - SPC7253</t>
  </si>
  <si>
    <t>LOJAS 21 E 22</t>
  </si>
  <si>
    <t>SPC7253</t>
  </si>
  <si>
    <t>2558157011601</t>
  </si>
  <si>
    <t>LOJA SHOPPING TAMBORE SP</t>
  </si>
  <si>
    <t>VIVO - AVENIDA FLAVIO RIBEIRO COUTINHO, 805 (LOJA 2) - SHOPPING MANAIRA - NE275211</t>
  </si>
  <si>
    <t>805 (LOJA 2)</t>
  </si>
  <si>
    <t>NE275211</t>
  </si>
  <si>
    <t>2558157090307</t>
  </si>
  <si>
    <t>LOJA SHOPPING MANAIRA II PB</t>
  </si>
  <si>
    <t>CASAS BAHIA - AVENIDA JOHN BOYD DUNLOP, 3900 - SHOPPING PARQUE DAS BANDEIRAS - SPI10637</t>
  </si>
  <si>
    <t>LOJA 1015</t>
  </si>
  <si>
    <t>SPI10637</t>
  </si>
  <si>
    <t>33041260089807</t>
  </si>
  <si>
    <t>1683</t>
  </si>
  <si>
    <t>FLEX CELL - PRACA BARAO DO RIO BRANCO, 90 - SPI290250</t>
  </si>
  <si>
    <t>11310000</t>
  </si>
  <si>
    <t>-23.9670037,-46.3904183</t>
  </si>
  <si>
    <t>SPI290250</t>
  </si>
  <si>
    <t>3243382000768</t>
  </si>
  <si>
    <t>LOJAS COLOMBO - AVENIDA DOUTOR FLORES, 59 - ZONA COMERCIAL - SUL7573</t>
  </si>
  <si>
    <t>59</t>
  </si>
  <si>
    <t>-30.027736 , -51.22467</t>
  </si>
  <si>
    <t>SUL7573</t>
  </si>
  <si>
    <t>89848543035396</t>
  </si>
  <si>
    <t>322</t>
  </si>
  <si>
    <t>LOJAS AMERICANAS - ESTRADA DO PORTELA, 70 - RJES7526</t>
  </si>
  <si>
    <t>A 80</t>
  </si>
  <si>
    <t>-22.87282 , -43.338539</t>
  </si>
  <si>
    <t>RJES7526</t>
  </si>
  <si>
    <t>776574031205</t>
  </si>
  <si>
    <t>L012</t>
  </si>
  <si>
    <t>LOJAS AMERICANAS - AVENIDA GIOVANNI GRONCHI, 5819 - SHOPPING JARDIM SUL - SPC6500</t>
  </si>
  <si>
    <t>122 B/C,123,136,137</t>
  </si>
  <si>
    <t>SPC6500</t>
  </si>
  <si>
    <t>776574093812</t>
  </si>
  <si>
    <t>MAGAZINE LUIZA - RUA SANTO ANTONIO, 273 - N44575</t>
  </si>
  <si>
    <t>RUA SANTO ANTONIO</t>
  </si>
  <si>
    <t>273</t>
  </si>
  <si>
    <t>66010090</t>
  </si>
  <si>
    <t>-1.4498493 , -48.4988379</t>
  </si>
  <si>
    <t>N44575</t>
  </si>
  <si>
    <t>47960950126060</t>
  </si>
  <si>
    <t>COMMCENTER - AVENIDA INDUSTRIAL, 600 - SHOPPING GRAND PLAZA - SPC6375</t>
  </si>
  <si>
    <t>LOJA SUC 100</t>
  </si>
  <si>
    <t>SPC6375</t>
  </si>
  <si>
    <t>05828732006129</t>
  </si>
  <si>
    <t>VIVO - AVENIDA GIOVANNI GRONCHI, 5819 - SHOPPING JARDIM SUL - SPC7251</t>
  </si>
  <si>
    <t>LOJAS 429 A 431</t>
  </si>
  <si>
    <t>SPC7251</t>
  </si>
  <si>
    <t>2558157003340</t>
  </si>
  <si>
    <t>LOJA SHOPPING JARDIM SUL SP</t>
  </si>
  <si>
    <t>CARREFOUR - AVENIDA DOUTOR NILO PECANHA, 439 - RJES272910</t>
  </si>
  <si>
    <t>AVENIDA DOUTOR NILO PECANHA</t>
  </si>
  <si>
    <t>439</t>
  </si>
  <si>
    <t>28030035</t>
  </si>
  <si>
    <t>-21.7662985,-41.3444255</t>
  </si>
  <si>
    <t>RJES272910</t>
  </si>
  <si>
    <t>45543915100305</t>
  </si>
  <si>
    <t>BCG</t>
  </si>
  <si>
    <t>CSW (CLARO) - AVENIDA ASSIS BRASIL, 2611 - BOURBON SHOPPING WALLIG - SUL254640</t>
  </si>
  <si>
    <t>-30.0111521, -51.1608281</t>
  </si>
  <si>
    <t>SUL254640</t>
  </si>
  <si>
    <t>42739885000276</t>
  </si>
  <si>
    <t>HS - MAJOR CLAUDIANO, 1830 - ZONA COMERCIAL - SPI64230</t>
  </si>
  <si>
    <t>MAJOR CLAUDIANO</t>
  </si>
  <si>
    <t>1830</t>
  </si>
  <si>
    <t>-20.537592 , -47.40063019999999</t>
  </si>
  <si>
    <t>SPI64230</t>
  </si>
  <si>
    <t>5923253001556</t>
  </si>
  <si>
    <t>CLARO - AVENIDA FRANCISCO MATARAZZO, S/N - SHOPPING WEST PLAZA - SPC6473</t>
  </si>
  <si>
    <t>4121 / 22 .</t>
  </si>
  <si>
    <t>SPC6473</t>
  </si>
  <si>
    <t>40432544000902</t>
  </si>
  <si>
    <t>1123</t>
  </si>
  <si>
    <t>CLARO - AVENIDA BEZERRA DE MENEZES, 2450 - NORTH SHOPPING FORTALEZA - NE11367</t>
  </si>
  <si>
    <t>LOJA 267</t>
  </si>
  <si>
    <t>NE11367</t>
  </si>
  <si>
    <t>40432544041765</t>
  </si>
  <si>
    <t>8510</t>
  </si>
  <si>
    <t>LOJAS AMERICANAS - AVENIDA ANTONIO FREDERICO OZANAM, 6000 - MAXI SHOPPING JUNDIAI - SPI10602</t>
  </si>
  <si>
    <t>LOJA 2600,PISO SUP</t>
  </si>
  <si>
    <t>SPI10602</t>
  </si>
  <si>
    <t>776574061708</t>
  </si>
  <si>
    <t>L165</t>
  </si>
  <si>
    <t>MAGAZINE LUIZA - RUA DOUTOR FELICIANO SODRE, 218 - RJES241120</t>
  </si>
  <si>
    <t>218</t>
  </si>
  <si>
    <t>-22.8238535, -43.0472274</t>
  </si>
  <si>
    <t>RJES241120</t>
  </si>
  <si>
    <t>47960950171600</t>
  </si>
  <si>
    <t>1611</t>
  </si>
  <si>
    <t>RIACHUELO - RUA OSWALDO CRUZ, 362 - ZONA COMERCIAL - NE85209</t>
  </si>
  <si>
    <t>65099110</t>
  </si>
  <si>
    <t>-2.530618 , -44.300244</t>
  </si>
  <si>
    <t>NE85209</t>
  </si>
  <si>
    <t>33200056022207</t>
  </si>
  <si>
    <t>TIM - RUA JACY TEIXEIRA DE CAMARGO, 940 - SHOPPING CAMPINAS - SPI8624</t>
  </si>
  <si>
    <t>RUA JACY TEIXEIRA DE CAMARGO</t>
  </si>
  <si>
    <t>JARDIMDOLAGO</t>
  </si>
  <si>
    <t>-22.9328254 , -47.077649</t>
  </si>
  <si>
    <t>SPI8624</t>
  </si>
  <si>
    <t>02421421025882</t>
  </si>
  <si>
    <t>C690</t>
  </si>
  <si>
    <t>VIVO - RUA 12, 300 - SIDER SHOPPING - RJES18926</t>
  </si>
  <si>
    <t>RUA 12</t>
  </si>
  <si>
    <t>VILASANTACECILIA</t>
  </si>
  <si>
    <t>27260315</t>
  </si>
  <si>
    <t>-22.5167898 , -44.1066621</t>
  </si>
  <si>
    <t>RJES18926</t>
  </si>
  <si>
    <t>2558157024770</t>
  </si>
  <si>
    <t>LOJA VOLTA REDONDA RJ</t>
  </si>
  <si>
    <t>Sider Shopping</t>
  </si>
  <si>
    <t>CASAS BAHIA - AVENIDA DOS EXPEDICIONARIOS, 1031 - ZONA COMERCIAL - SPC11045</t>
  </si>
  <si>
    <t>VILA FLORA REGINA</t>
  </si>
  <si>
    <t>7400490</t>
  </si>
  <si>
    <t>-23.395365 , -46.323723</t>
  </si>
  <si>
    <t>SPC11045</t>
  </si>
  <si>
    <t>33041260177846</t>
  </si>
  <si>
    <t>2120</t>
  </si>
  <si>
    <t>CLARO - AVENIDA PIRACEMA, 669 - SHOPPING TAMBORE - SPC7383</t>
  </si>
  <si>
    <t>SPC7383</t>
  </si>
  <si>
    <t>40432544031298</t>
  </si>
  <si>
    <t>1179</t>
  </si>
  <si>
    <t>LOJAS AMERICANAS - PRACA BRASIL, 171 - RJES11726</t>
  </si>
  <si>
    <t>PRACA BRASIL</t>
  </si>
  <si>
    <t>RETIRO</t>
  </si>
  <si>
    <t>27260170</t>
  </si>
  <si>
    <t>-22.517532 , -44.10495</t>
  </si>
  <si>
    <t>RJES11726</t>
  </si>
  <si>
    <t>776574047381</t>
  </si>
  <si>
    <t>L017</t>
  </si>
  <si>
    <t>MAGAZINE LUIZA - RUA PRESIDENTE KENNEDY, 585 - ZONA COMERCIAL - SUL6324</t>
  </si>
  <si>
    <t>88101001</t>
  </si>
  <si>
    <t>-27.60074213599297 , -48.61208346892547</t>
  </si>
  <si>
    <t>SUL6324</t>
  </si>
  <si>
    <t>47960950040263</t>
  </si>
  <si>
    <t>384</t>
  </si>
  <si>
    <t>MAGAZINE LUIZA - RUA DOM PEDRO II, 221 - ZONA COMERCIAL - SPC19819</t>
  </si>
  <si>
    <t>-23.469925 , -46.528488</t>
  </si>
  <si>
    <t>SPC19819</t>
  </si>
  <si>
    <t>47960950069679</t>
  </si>
  <si>
    <t>926</t>
  </si>
  <si>
    <t>IMAGEM TELECOM - AVENIDA PIRACEMA, 669 - SHOPPING TAMBORE - SPC11500</t>
  </si>
  <si>
    <t>SUC 305 E 306</t>
  </si>
  <si>
    <t>CONSOLAÇÃO</t>
  </si>
  <si>
    <t>1307001</t>
  </si>
  <si>
    <t>-23.5043417 , -46.834366</t>
  </si>
  <si>
    <t>SPC11500</t>
  </si>
  <si>
    <t>11057917000300</t>
  </si>
  <si>
    <t>ALEGRIA (TIM) - RODOVIA REGIS BITTENCOURT KM 271, 2643 - SHOPPING TABOAO DA SERRA - SPC10653</t>
  </si>
  <si>
    <t>"KM 2715 LOJA 205	"</t>
  </si>
  <si>
    <t>SPC10653</t>
  </si>
  <si>
    <t>21683365000561</t>
  </si>
  <si>
    <t>ALEGRIA TELECOM - SHOPPING TABOAO DA SERRA - SAP (31207)</t>
  </si>
  <si>
    <t>ALEGRIA (TIM) - RUA EDUARDO DE MORAIS, S/N - SHOPPING PATTEO OLINDA - NE239390</t>
  </si>
  <si>
    <t>LOJAS: 1096 E 1097</t>
  </si>
  <si>
    <t>NE239390</t>
  </si>
  <si>
    <t>21683365005288</t>
  </si>
  <si>
    <t>ALEGRIA TELECOM - PATTEO OLINDA  - SAP (42820)</t>
  </si>
  <si>
    <t>WORLD CELL (VIVO) - AVENIDA INDEPENDENCIA, S/N - SHOPPING APARECIDA - MGCO289040</t>
  </si>
  <si>
    <t>74976095</t>
  </si>
  <si>
    <t>MGCO289040</t>
  </si>
  <si>
    <t>42690420104</t>
  </si>
  <si>
    <t>VIVO - AVENIDA FRANCISCO MATARAZZO, S/N - SHOPPING WEST PLAZA - SPC7270</t>
  </si>
  <si>
    <t>LOJAS 4123 E 4124</t>
  </si>
  <si>
    <t>5003900</t>
  </si>
  <si>
    <t>SPC7270</t>
  </si>
  <si>
    <t>2558157015437</t>
  </si>
  <si>
    <t>LOJA SHOPPING WEST PLAZA SP</t>
  </si>
  <si>
    <t>VIVO - AVENIDA INDUSTRIAL, 600 - SHOPPING GRAND PLAZA - SPC7283</t>
  </si>
  <si>
    <t>35/36</t>
  </si>
  <si>
    <t>SPC7283</t>
  </si>
  <si>
    <t>2558157007256</t>
  </si>
  <si>
    <t>LOJA ABC PLAZA SHOPPING SP</t>
  </si>
  <si>
    <t>VIVO - AVENIDA SANTA CATARINA, 1 - BALNEARIO CAMBORIU SHOPPING - SUL21930</t>
  </si>
  <si>
    <t>-26.9924891 , -48.6471838</t>
  </si>
  <si>
    <t>SUL21930</t>
  </si>
  <si>
    <t>2558157083432</t>
  </si>
  <si>
    <t>LOJA SHOPPING BALNEARIO CAMBORIU SC</t>
  </si>
  <si>
    <t>FUJIOKA - AVENIDA 24 DE OUTUBRO, 1245 - ZONA COMERCIAL - MGCO10312</t>
  </si>
  <si>
    <t>1245</t>
  </si>
  <si>
    <t>-16.669 , -49.291789</t>
  </si>
  <si>
    <t>MGCO10312</t>
  </si>
  <si>
    <t>01008713000326</t>
  </si>
  <si>
    <t>CAICARA</t>
  </si>
  <si>
    <t>LOJAS AMERICANAS - AVENIDA PRESIDENTE ERNEST GEISEL, 2300 - SHOPPING NORTE SUL PLAZA - MGCO45404</t>
  </si>
  <si>
    <t>LOJA: 140/175</t>
  </si>
  <si>
    <t>79081900</t>
  </si>
  <si>
    <t>MGCO45404</t>
  </si>
  <si>
    <t>776574075083</t>
  </si>
  <si>
    <t>MAGAZINE LUIZA - AVENIDA ENGENHEIRO FERNANDO GUILHON, S/N - RIO TAPAJOS SHOPPING - N281040</t>
  </si>
  <si>
    <t>AVENIDA ENGENHEIRO FERNANDO GUILHON</t>
  </si>
  <si>
    <t>SANTARENZINHO</t>
  </si>
  <si>
    <t>68035000</t>
  </si>
  <si>
    <t>-2.4479887, -54.7573649</t>
  </si>
  <si>
    <t>N281040</t>
  </si>
  <si>
    <t>47960950158779</t>
  </si>
  <si>
    <t>Rio Tapajos Shopping</t>
  </si>
  <si>
    <t>RIACHUELO - AVENIDA BEZERRA DE MENEZES, 2450 - NORTH SHOPPING FORTALEZA - NE42513</t>
  </si>
  <si>
    <t>LOJA MUC 500</t>
  </si>
  <si>
    <t>NE42513</t>
  </si>
  <si>
    <t>33200056000815</t>
  </si>
  <si>
    <t>ALEGRIA (TIM) - RUA FONSECA, 240 - BANGU SHOPPING - RJES111640</t>
  </si>
  <si>
    <t>RJES111640</t>
  </si>
  <si>
    <t>21683365001886</t>
  </si>
  <si>
    <t>ALEGRIA BANGU - SAP (35684)</t>
  </si>
  <si>
    <t>VIVO - RUA JACY TEIXEIRA DE CAMARGO, 940 - SHOPPING CAMPINAS - SPI6556</t>
  </si>
  <si>
    <t>LOJA 407</t>
  </si>
  <si>
    <t>SPI6556</t>
  </si>
  <si>
    <t>2558157006608</t>
  </si>
  <si>
    <t>LOJA CAMPINAS SHOPPING SP</t>
  </si>
  <si>
    <t>VIVO - AVENIDA LINEU MACHADO, 419 - NORTH SHOPPING JOQUEI - NE21250</t>
  </si>
  <si>
    <t>JOQUEICLUB</t>
  </si>
  <si>
    <t>NE21250</t>
  </si>
  <si>
    <t>2558157090994</t>
  </si>
  <si>
    <t>LOJA SHOPPING JOQUEI CE</t>
  </si>
  <si>
    <t>CASAS BAHIA - AVENIDA ENGENHEIRO FERNANDO GUILHON, S/N - RIO TAPAJOS SHOPPING - N281710</t>
  </si>
  <si>
    <t>N281710</t>
  </si>
  <si>
    <t>33041260201143</t>
  </si>
  <si>
    <t>FAJULUTI GAVEA - AVENIDA JOAO NAVES DE AVILA, 1331 - CENTER SHOPPING UBERLANDIA - MGCO258070</t>
  </si>
  <si>
    <t>LOJA 282</t>
  </si>
  <si>
    <t>3840890</t>
  </si>
  <si>
    <t>MGCO258070</t>
  </si>
  <si>
    <t>26117255002419</t>
  </si>
  <si>
    <t>SELF TELECOM (CLARO) - RUA EDUARDO DE MORAIS, S/N - SHOPPING PATTEO OLINDA - NE260290</t>
  </si>
  <si>
    <t>LOJA 1054</t>
  </si>
  <si>
    <t>53130465</t>
  </si>
  <si>
    <t>-7.994051 , -34.8432561</t>
  </si>
  <si>
    <t>NE260290</t>
  </si>
  <si>
    <t>36485465000127</t>
  </si>
  <si>
    <t>CLARO - AVENIDA GIOVANNI GRONCHI, 5819 (LOJA 1) - SHOPPING JARDIM SUL - SPC6426</t>
  </si>
  <si>
    <t>LOJA 397 E 398</t>
  </si>
  <si>
    <t>SPC6426</t>
  </si>
  <si>
    <t>40432544021578</t>
  </si>
  <si>
    <t>1134</t>
  </si>
  <si>
    <t>CLARO - AVENIDA ANTONIO FREDERICO OZANAM, 6000 - MAXI SHOPPING JUNDIAI - SPI7312</t>
  </si>
  <si>
    <t>-23.1692949 , -46.8917403</t>
  </si>
  <si>
    <t>SPI7312</t>
  </si>
  <si>
    <t>40432544013630</t>
  </si>
  <si>
    <t>11B6</t>
  </si>
  <si>
    <t>CLARO - AVENIDA BRASILIA, 146 - SHOPPING 3 AMERICAS - MGCO10274</t>
  </si>
  <si>
    <t>78090700</t>
  </si>
  <si>
    <t>-15.6122953 , -56.073435</t>
  </si>
  <si>
    <t>MGCO10274</t>
  </si>
  <si>
    <t>40432544045400</t>
  </si>
  <si>
    <t>6502</t>
  </si>
  <si>
    <t>LOJAS AMERICANAS - AVENIDA VEREADOR NARCISO YAGUE GUIMARAES, 1001 - SHOPPING MOGI - SPC8798</t>
  </si>
  <si>
    <t>ARCO D</t>
  </si>
  <si>
    <t>8780000</t>
  </si>
  <si>
    <t>SPC8798</t>
  </si>
  <si>
    <t>776574151529</t>
  </si>
  <si>
    <t>LOJAS AMERICANAS - RUA DOUTOR MANOEL BARATA, 612 - ZONA COMERCIAL - N45458</t>
  </si>
  <si>
    <t>RUA DOUTOR MANOEL BARATA</t>
  </si>
  <si>
    <t>612</t>
  </si>
  <si>
    <t>ICOARACI</t>
  </si>
  <si>
    <t>66810100</t>
  </si>
  <si>
    <t>-1.2998068 , -48.4875905</t>
  </si>
  <si>
    <t>N45458</t>
  </si>
  <si>
    <t>776574040379</t>
  </si>
  <si>
    <t>L421</t>
  </si>
  <si>
    <t>MAGAZINE LUIZA - AVENIDA VICTOR FERREIRA DO AMARAL, 2633 - SHOPPING JOCKEY PLAZA - SUL235530</t>
  </si>
  <si>
    <t>82821020</t>
  </si>
  <si>
    <t>-25.428672 , -49.2147448</t>
  </si>
  <si>
    <t>SUL235530</t>
  </si>
  <si>
    <t>47960950163691</t>
  </si>
  <si>
    <t>MAGAZINE LUIZA - AVENIDA NOSSA SENHORA DE FATIMA, 438 - SPC247930</t>
  </si>
  <si>
    <t>JARDIM MONTO SANTO</t>
  </si>
  <si>
    <t>6717210</t>
  </si>
  <si>
    <t>-23.6082263,-46.9264952</t>
  </si>
  <si>
    <t>SPC247930</t>
  </si>
  <si>
    <t>47960950177560</t>
  </si>
  <si>
    <t>1554</t>
  </si>
  <si>
    <t>AQUILON JUFAP (TIM) - AVENIDA ARICANDUVA, 5555 - SHOPPING ARICANDUVA - SPC20423</t>
  </si>
  <si>
    <t>ARCO 154</t>
  </si>
  <si>
    <t>SPC20423</t>
  </si>
  <si>
    <t>81214819004493</t>
  </si>
  <si>
    <t>JUFAP - ARICANDUVA - SAP (41592)</t>
  </si>
  <si>
    <t>IMAGEM TELECOM - AVENIDA ARICANDUVA, 5555 - SHOPPING ARICANDUVA - SPC7649</t>
  </si>
  <si>
    <t>JARDIMARICANDUVA</t>
  </si>
  <si>
    <t>-23.5638862 , -46.5014475</t>
  </si>
  <si>
    <t>SPC7649</t>
  </si>
  <si>
    <t>11057917001897</t>
  </si>
  <si>
    <t>IMAGEM - SHOPPING ARICANDUVA - SAP (43299)</t>
  </si>
  <si>
    <t>VIVO CRONOLOGICA - RUA BARAO DO RIO BRANCO, 209 - SPI260150</t>
  </si>
  <si>
    <t>209</t>
  </si>
  <si>
    <t>18010171</t>
  </si>
  <si>
    <t>-23.4986033,-47.4583617</t>
  </si>
  <si>
    <t>SPI260150</t>
  </si>
  <si>
    <t>3685001002906</t>
  </si>
  <si>
    <t>VIVO - RUA FREI GASPAR, 365 - SHOPPING BRISAMAR - SPC6385</t>
  </si>
  <si>
    <t>LOJA 423 E 424</t>
  </si>
  <si>
    <t>SPC6385</t>
  </si>
  <si>
    <t>2558157011016</t>
  </si>
  <si>
    <t>LOJA SAO VICENTE SP</t>
  </si>
  <si>
    <t>CASAS BAHIA - RODOVIA BR-316, KM 4, 4500 - SHOPPING METROPOLE ANANINDEUA - N235230</t>
  </si>
  <si>
    <t>RODOVIA BR-316, KM 4</t>
  </si>
  <si>
    <t>-1.3839345, -48.4106371</t>
  </si>
  <si>
    <t>N235230</t>
  </si>
  <si>
    <t>33041260187051</t>
  </si>
  <si>
    <t>2244</t>
  </si>
  <si>
    <t>CLARO - RUA JACY TEIXEIRA DE CAMARGO, 940 - SHOPPING CAMPINAS - SPI6569</t>
  </si>
  <si>
    <t>LOJA 239 E 244</t>
  </si>
  <si>
    <t>SPI6569</t>
  </si>
  <si>
    <t>40432544030992</t>
  </si>
  <si>
    <t>1953</t>
  </si>
  <si>
    <t>LOJAS AMERICANAS - RUA GENERAL GLICERIO, 2888 - SPI20937</t>
  </si>
  <si>
    <t>2888</t>
  </si>
  <si>
    <t>2841 E 2847</t>
  </si>
  <si>
    <t>-20.809815 , -49.380792</t>
  </si>
  <si>
    <t>SPI20937</t>
  </si>
  <si>
    <t>776574029138</t>
  </si>
  <si>
    <t>LOJAS AMERICANAS - AVENIDA ZACARIAS DE ASSUNCAO, 8 - N264330</t>
  </si>
  <si>
    <t>AVENIDA ZACARIAS DE ASSUNCAO</t>
  </si>
  <si>
    <t>LOTEAMENTO SAO PAULO QUADRA 18 LOTES 7 E 8</t>
  </si>
  <si>
    <t>CENTRO ANANINDEUA</t>
  </si>
  <si>
    <t>67030180</t>
  </si>
  <si>
    <t>-1.3475785,-48.3629792</t>
  </si>
  <si>
    <t>N264330</t>
  </si>
  <si>
    <t>776574153491</t>
  </si>
  <si>
    <t>LOJAS AMERICANAS - AVENIDA 15 DE NOVEMBRO, 89 - SHOPPING ITAPECIRICA - SPC10046</t>
  </si>
  <si>
    <t>LUC 1015</t>
  </si>
  <si>
    <t>-23.7155669 , -46.8501937</t>
  </si>
  <si>
    <t>SPC10046</t>
  </si>
  <si>
    <t>776574060990</t>
  </si>
  <si>
    <t>Shopping Itapecirica</t>
  </si>
  <si>
    <t>LOJAS AMERICANAS - AVENIDA PEDRO MIRANDA, 1701 - N19529</t>
  </si>
  <si>
    <t>1701</t>
  </si>
  <si>
    <t>66085023</t>
  </si>
  <si>
    <t>-1.4245701, -48.4704878</t>
  </si>
  <si>
    <t>N19529</t>
  </si>
  <si>
    <t>776574040298</t>
  </si>
  <si>
    <t>L403</t>
  </si>
  <si>
    <t>PONTO FRIO - AVENIDA SAO JOSE, 90 - ZONA COMERCIAL - SPC11302</t>
  </si>
  <si>
    <t>-23.6866 , -46.625904</t>
  </si>
  <si>
    <t>SPC11302</t>
  </si>
  <si>
    <t>33041260027100</t>
  </si>
  <si>
    <t>VIVO - AVENIDA AFONSO PENA, 785 - ZONA COMERCIAL - MGCO7195</t>
  </si>
  <si>
    <t>30130002</t>
  </si>
  <si>
    <t>-19.9202137, -43.9377664</t>
  </si>
  <si>
    <t>MGCO7195</t>
  </si>
  <si>
    <t>2558157046235</t>
  </si>
  <si>
    <t>LOJA CENTRO MG</t>
  </si>
  <si>
    <t>VIVO - RUA BERNARDINO DE CAMPOS, 3085 - ZONA COMERCIAL - SPI10082</t>
  </si>
  <si>
    <t>RUA BERNARDINO DE CAMPOS</t>
  </si>
  <si>
    <t>3085</t>
  </si>
  <si>
    <t>15015300</t>
  </si>
  <si>
    <t>-20.812023, -49.381315</t>
  </si>
  <si>
    <t>SPI10082</t>
  </si>
  <si>
    <t>2558157012098</t>
  </si>
  <si>
    <t>LOJA SAO JOSE DO RIO PRETO SP</t>
  </si>
  <si>
    <t>CARREFOUR - AVENIDA DAS NACOES UNIDAS, 15187 - ZONA COMERCIAL - SPC18795</t>
  </si>
  <si>
    <t>15187</t>
  </si>
  <si>
    <t>4578000</t>
  </si>
  <si>
    <t>-23.6298817 , -46.7108378</t>
  </si>
  <si>
    <t>SPC18795</t>
  </si>
  <si>
    <t>45543915000424</t>
  </si>
  <si>
    <t>SPP</t>
  </si>
  <si>
    <t>CASAS BAHIA - AVENIDA JOSE MUNIA, 4775 - SHOPPING PLAZA AVENIDA - SPI7136</t>
  </si>
  <si>
    <t>AVENIDA JOSE MUNIA</t>
  </si>
  <si>
    <t>4775</t>
  </si>
  <si>
    <t>LOJA 22 A</t>
  </si>
  <si>
    <t>JARDIM REDENTOR</t>
  </si>
  <si>
    <t>15085350</t>
  </si>
  <si>
    <t>-20.827789 , -49.386299</t>
  </si>
  <si>
    <t>SPI7136</t>
  </si>
  <si>
    <t>33041260123169</t>
  </si>
  <si>
    <t>Shopping Plaza Avenida</t>
  </si>
  <si>
    <t>CASAS BAHIA - AVENIDA NOSSA SENHORA DE FATIMA, 96 - ZONA COMERCIAL - SPC10833</t>
  </si>
  <si>
    <t>96</t>
  </si>
  <si>
    <t>-23.605547 , -46.926971</t>
  </si>
  <si>
    <t>SPC10833</t>
  </si>
  <si>
    <t>33041260097222</t>
  </si>
  <si>
    <t>1219</t>
  </si>
  <si>
    <t>CASAS BAHIA - AVENIDA PRESIDENTE KENNEDY, 600 - ZONA COMERCIAL - SUL10085</t>
  </si>
  <si>
    <t>-27.60102107286116 , -48.61118266501235</t>
  </si>
  <si>
    <t>SUL10085</t>
  </si>
  <si>
    <t>33041260043564</t>
  </si>
  <si>
    <t>1981</t>
  </si>
  <si>
    <t>CASAS BAHIA - AVENIDA CORONEL TEIXEIRA, 7687 - N263950</t>
  </si>
  <si>
    <t>7687</t>
  </si>
  <si>
    <t>NOVA ESPERANÇA</t>
  </si>
  <si>
    <t>69037473</t>
  </si>
  <si>
    <t>-3.0897454,-60.0592203</t>
  </si>
  <si>
    <t>N263950</t>
  </si>
  <si>
    <t>33041260210134</t>
  </si>
  <si>
    <t>2512</t>
  </si>
  <si>
    <t>CLARO - AVENIDA CRISTOVAO COLOMBO, 152 - MGCO7191</t>
  </si>
  <si>
    <t>AVENIDA CRISTOVAO COLOMBO</t>
  </si>
  <si>
    <t>LOJA 6</t>
  </si>
  <si>
    <t>SAVASSI</t>
  </si>
  <si>
    <t>30140150</t>
  </si>
  <si>
    <t>-19.939041 , -43.934929</t>
  </si>
  <si>
    <t>MGCO7191</t>
  </si>
  <si>
    <t>40432544020415</t>
  </si>
  <si>
    <t>3114</t>
  </si>
  <si>
    <t>LOJAS AMERICANAS - RUA DOMINGOS AGOSTIM, S/N - SHOPPING METRO TATUAPE - SPC6415</t>
  </si>
  <si>
    <t>LOJA ANCORA 3</t>
  </si>
  <si>
    <t>SPC6415</t>
  </si>
  <si>
    <t>776574093065</t>
  </si>
  <si>
    <t>L101</t>
  </si>
  <si>
    <t>LOJAS AMERICANAS - AVENIDA CORONEL FERNANDO PRESTES, 214 - SPI239220</t>
  </si>
  <si>
    <t>AVENIDA CORONEL FERNANDO PRESTES</t>
  </si>
  <si>
    <t>12400240</t>
  </si>
  <si>
    <t>-22.9256256, -45.46093459999999</t>
  </si>
  <si>
    <t>SPI239220</t>
  </si>
  <si>
    <t>776574048868</t>
  </si>
  <si>
    <t>L561</t>
  </si>
  <si>
    <t>PONTO FRIO - ESTRADA DAS MARINAS, 200 - SHOPPING PIRATAS MALL - RJES42621</t>
  </si>
  <si>
    <t>ESTRADA DO MARINAS</t>
  </si>
  <si>
    <t>GLEBA 1</t>
  </si>
  <si>
    <t>PRAIA DO JARDIM</t>
  </si>
  <si>
    <t>-23.003059884259315, -44.30003156867889</t>
  </si>
  <si>
    <t>RJES42621</t>
  </si>
  <si>
    <t>33041260035545</t>
  </si>
  <si>
    <t>Shopping Piratas Mall</t>
  </si>
  <si>
    <t>ALEGRIA (TIM) - AVENIDA INDUSTRIAL, 600 - SHOPPING GRAND PLAZA - SPC234110</t>
  </si>
  <si>
    <t>9080510</t>
  </si>
  <si>
    <t>-23.6467785 , -46.53386460000001</t>
  </si>
  <si>
    <t>SPC234110</t>
  </si>
  <si>
    <t>21683365002343</t>
  </si>
  <si>
    <t>ALEGRIA - GRAND PLAZA - SAP (37833)</t>
  </si>
  <si>
    <t>CELULAR STATION - ESTRADA DO MENDANHA, 555 - WEST SHOPPING - RJES45490</t>
  </si>
  <si>
    <t>23087283</t>
  </si>
  <si>
    <t>-22.8844684 , -43.5575406</t>
  </si>
  <si>
    <t>RJES45490</t>
  </si>
  <si>
    <t>CLARO - RUA ANDRADE NEVES, 1813 - SUL22665</t>
  </si>
  <si>
    <t>1813</t>
  </si>
  <si>
    <t>-31.7674999 , -52.3420838</t>
  </si>
  <si>
    <t>SUL22665</t>
  </si>
  <si>
    <t>40432544008717</t>
  </si>
  <si>
    <t>5110</t>
  </si>
  <si>
    <t>GAZIN - AVENIDA COUTO MAGALHAES, 2236 - MGCO267290</t>
  </si>
  <si>
    <t>2236</t>
  </si>
  <si>
    <t>-15.6484428,-56.1396346</t>
  </si>
  <si>
    <t>MGCO267290</t>
  </si>
  <si>
    <t>77941490034300</t>
  </si>
  <si>
    <t>MAGAZINE LUIZA - PRACA MONSENHOR, 92 - ZONA COMERCIAL - SPI64707</t>
  </si>
  <si>
    <t>PRACA MONSENHOR ALBINO</t>
  </si>
  <si>
    <t>15808261</t>
  </si>
  <si>
    <t>-21.138258 , -48.973763</t>
  </si>
  <si>
    <t>SPI64707</t>
  </si>
  <si>
    <t>47960950007487</t>
  </si>
  <si>
    <t>57</t>
  </si>
  <si>
    <t>AQUILON JUFAP (TIM) - AVENIDA PAULISTA, 1230 - SHOPPING CIDADE SAO PAULO - SPC230190</t>
  </si>
  <si>
    <t>-23.563522 , -46.6526872</t>
  </si>
  <si>
    <t>SPC230190</t>
  </si>
  <si>
    <t>81214819003764</t>
  </si>
  <si>
    <t>JUFAP  - CIDADE SP - SAP (41593)</t>
  </si>
  <si>
    <t>Shopping Cidade Sao Paulo</t>
  </si>
  <si>
    <t>LOPES TELECOM (TIM) - RUA ALFREDO SCHURIG, 85 - SPI269890</t>
  </si>
  <si>
    <t>-23.3058156,-45.9696214</t>
  </si>
  <si>
    <t>SPI269890</t>
  </si>
  <si>
    <t>320355001130</t>
  </si>
  <si>
    <t>TIM - AVENIDA SANTA CATARINA, 1 - BALNEARIO CAMBORIU SHOPPING - SUL6331</t>
  </si>
  <si>
    <t>LOJA 16</t>
  </si>
  <si>
    <t>-26.992588 , -48.646088</t>
  </si>
  <si>
    <t>SUL6331</t>
  </si>
  <si>
    <t>04206050028603</t>
  </si>
  <si>
    <t>C220</t>
  </si>
  <si>
    <t>IDEAL (VIVO) - AVENIDA MINISTRO GERALDO BARRETO SOBRAL, 215 - SHOPPING JARDINS - ARACAJU - NE266220</t>
  </si>
  <si>
    <t>NE266220</t>
  </si>
  <si>
    <t>8182334004122</t>
  </si>
  <si>
    <t>VIVO - ESTRADA DE JACAREPAGUA, 6069 - SHOPPING PARK JACAREPAGUA - MULTIPLAN - RJES288530</t>
  </si>
  <si>
    <t>JACAREPAGUÁ</t>
  </si>
  <si>
    <t>22753038</t>
  </si>
  <si>
    <t>RJES288530</t>
  </si>
  <si>
    <t>2558157097069</t>
  </si>
  <si>
    <t>LOJA SHOP PARK JACAREPAGUA RJ</t>
  </si>
  <si>
    <t>CLARO - AVENIDA AYRTON SENNA DA SILVA, 1511 - SHOPPING LITORAL PLAZA - SPC7395</t>
  </si>
  <si>
    <t>LOJA 14 E 15</t>
  </si>
  <si>
    <t>SPC7395</t>
  </si>
  <si>
    <t>40432544016493</t>
  </si>
  <si>
    <t>1914</t>
  </si>
  <si>
    <t>CLARO - AVENIDA BRASIL, 3233 - SUL9159</t>
  </si>
  <si>
    <t>3233</t>
  </si>
  <si>
    <t>DATA 19,QUADRA 19</t>
  </si>
  <si>
    <t>ZONA 01</t>
  </si>
  <si>
    <t>-23.421034 , -51.933678</t>
  </si>
  <si>
    <t>SUL9159</t>
  </si>
  <si>
    <t>40432544010452</t>
  </si>
  <si>
    <t>4107</t>
  </si>
  <si>
    <t>LOJAS COLOMBO - AVENIDA ASSIS BRASIL, 2611 - BOURBON SHOPPING WALLIG - SUL6259</t>
  </si>
  <si>
    <t>LOJA 114</t>
  </si>
  <si>
    <t>SUL6259</t>
  </si>
  <si>
    <t>89848543064817</t>
  </si>
  <si>
    <t>291</t>
  </si>
  <si>
    <t>COLOMBO - RUA ANDRADE NEVES, 1979 - ZONA COMERCIAL - SUL11142</t>
  </si>
  <si>
    <t>1979</t>
  </si>
  <si>
    <t>-31.766098 , -52.341457</t>
  </si>
  <si>
    <t>SUL11142</t>
  </si>
  <si>
    <t>89848543012264</t>
  </si>
  <si>
    <t>LOJAS AMERICANAS - AVENIDA INDEPENDENCIA S/N - SHOPPING APARECIDA - MGCO79437</t>
  </si>
  <si>
    <t>AVENIDA INDEPENDENCIA S/N</t>
  </si>
  <si>
    <t>QD. 56 LOJAS 03 E 04</t>
  </si>
  <si>
    <t>3º ETAPA</t>
  </si>
  <si>
    <t>74973753</t>
  </si>
  <si>
    <t>MGCO79437</t>
  </si>
  <si>
    <t>776574150476</t>
  </si>
  <si>
    <t>LOJAS AMERICANAS - AVENIDA DOUTOR MARIA LAET, 566 - SHOPPING TUCURUVI - SPC45447</t>
  </si>
  <si>
    <t>PISO PLATAFORMA</t>
  </si>
  <si>
    <t>SPC45447</t>
  </si>
  <si>
    <t>776574095602</t>
  </si>
  <si>
    <t>L753</t>
  </si>
  <si>
    <t>MAGAZINE LUIZA - AVENIDA CONDESSA DE VIMIEIROS, 48 - ZONA COMERCIAL - SPC80069</t>
  </si>
  <si>
    <t>-24.185015 , -46.788235</t>
  </si>
  <si>
    <t>SPC80069</t>
  </si>
  <si>
    <t>47960950098261</t>
  </si>
  <si>
    <t>651</t>
  </si>
  <si>
    <t>AQUILON JUFAP (TIM) - RUA TENENTE AVELAR PIRES DE AZEVEDO, 81 - SHOPPING OSASCO PLAZA - SPC79530</t>
  </si>
  <si>
    <t>SPC79530</t>
  </si>
  <si>
    <t>81214819003500</t>
  </si>
  <si>
    <t>JUFAP - SHOPPING OSASCO PLAZA - SAP (41385)</t>
  </si>
  <si>
    <t>AQUILON JUFAP (TIM) - RODOVIA PRESIDENTE DUTRA, KM 230 - SHOPPING INTERNACIONAL DE GUARULHOS - SPC238170</t>
  </si>
  <si>
    <t>RODOVIA PRESIDENTE DUTRA, KM 230</t>
  </si>
  <si>
    <t>LOJA 3233 PISO SUPERIOR</t>
  </si>
  <si>
    <t>-23.4885739, -46.5488783</t>
  </si>
  <si>
    <t>SPC238170</t>
  </si>
  <si>
    <t>81214819003926</t>
  </si>
  <si>
    <t>JUFAP - INTERNACIONAL SHOPPING GUARULHOS - SAP (41633)</t>
  </si>
  <si>
    <t>CELULAR.COM - AVENIDA JOSE PINHEIRO BORGES, S/N - SHOPPING ITAQUERA - SPC263460</t>
  </si>
  <si>
    <t>8420092</t>
  </si>
  <si>
    <t>SPC263460</t>
  </si>
  <si>
    <t>5949641009248</t>
  </si>
  <si>
    <t>EDUARDO JUNQUEIRA (CLARO) - RUA CALCADAO SALVADOR ISAIAS, 1346 - SUL265570</t>
  </si>
  <si>
    <t>RUA CALCADAO SALVADOR ISAIAS</t>
  </si>
  <si>
    <t>97015015</t>
  </si>
  <si>
    <t>-29.6864509,-53.8085178</t>
  </si>
  <si>
    <t>SUL265570</t>
  </si>
  <si>
    <t>29686678001980</t>
  </si>
  <si>
    <t>CLARO - AVENIDA MARECHAL FLORIANO PEIXOTO, 44 - SHOPPING MIRAMAR - SPC20193</t>
  </si>
  <si>
    <t>RUA EUCLIDES DA CUNHA</t>
  </si>
  <si>
    <t>LOJA 77,1ºPISO</t>
  </si>
  <si>
    <t>11065900</t>
  </si>
  <si>
    <t>-23.96603 , -46.334602</t>
  </si>
  <si>
    <t>SPC20193</t>
  </si>
  <si>
    <t>40432544031026</t>
  </si>
  <si>
    <t>Shopping Miramar</t>
  </si>
  <si>
    <t>CLARO - AVENIDA PROFESSOR CARLOS CUNHA, 1000 - SHOPPING SAO LUIS - NE10979</t>
  </si>
  <si>
    <t>65076907</t>
  </si>
  <si>
    <t>NE10979</t>
  </si>
  <si>
    <t>40432544025999</t>
  </si>
  <si>
    <t>9802</t>
  </si>
  <si>
    <t>GAZIN - AVENIDA JOSE AMADOR DOS REIS, 3123 - N289140</t>
  </si>
  <si>
    <t>AVENIDA JOSE AMADOR DOS REIS</t>
  </si>
  <si>
    <t>3123</t>
  </si>
  <si>
    <t>JK</t>
  </si>
  <si>
    <t>76801063</t>
  </si>
  <si>
    <t>-8.7661776,-63.8419663</t>
  </si>
  <si>
    <t>N289140</t>
  </si>
  <si>
    <t>77941490016159</t>
  </si>
  <si>
    <t>10157</t>
  </si>
  <si>
    <t>SETE LAN (TIM) - ESTRADA DO MENDANHA, 555 - WEST SHOPPING - RJES9867</t>
  </si>
  <si>
    <t>LOJA 173</t>
  </si>
  <si>
    <t>RJES9867</t>
  </si>
  <si>
    <t>8312444001499</t>
  </si>
  <si>
    <t>AQUILON JUFAP (TIM) - AVENIDA DOS AUTONOMISTAS, 1400 - SHOPPING UNIAO - SPC6456</t>
  </si>
  <si>
    <t>LOJA ARCO 79</t>
  </si>
  <si>
    <t>SPC6456</t>
  </si>
  <si>
    <t>81214819004060</t>
  </si>
  <si>
    <t>JUFAP - SHOPPING UNIÃO OSASCO - SAP (41595)</t>
  </si>
  <si>
    <t>VIVERE CELULARES - AVENIDA VICENTE MACHADO, 275 - SUL234250</t>
  </si>
  <si>
    <t>AVENIDA VICENTE MACHADO</t>
  </si>
  <si>
    <t>84010100</t>
  </si>
  <si>
    <t>-25.0949494 , -50.1587137</t>
  </si>
  <si>
    <t>SUL234250</t>
  </si>
  <si>
    <t>5323673000104</t>
  </si>
  <si>
    <t>TIM - ESTRADA DO PORTELA, 158 - RJES270490</t>
  </si>
  <si>
    <t>-22.8707192,-43.3420181</t>
  </si>
  <si>
    <t>RJES270490</t>
  </si>
  <si>
    <t>2421421026773</t>
  </si>
  <si>
    <t>C698</t>
  </si>
  <si>
    <t>TIM - AVENIDA JOHN BOYD DUNLOP, 3900 - SHOPPING PARQUE DAS BANDEIRAS - SPI18693</t>
  </si>
  <si>
    <t>JARDIMIPAUSSURAMA</t>
  </si>
  <si>
    <t>-22.9253008, -47.1274568</t>
  </si>
  <si>
    <t>SPI18693</t>
  </si>
  <si>
    <t>COMMCENTER - AVENIDA PAULISTA , 1230 - SHOPPING CIDADE SAO PAULO - SPC90031</t>
  </si>
  <si>
    <t>SPC90031</t>
  </si>
  <si>
    <t>5828732016191</t>
  </si>
  <si>
    <t>VIVO - AVENIDA CENTRAL, 811 - ZONA COMERCIAL - RJES11820</t>
  </si>
  <si>
    <t>-20.1996048, -40.253078</t>
  </si>
  <si>
    <t>RJES11820</t>
  </si>
  <si>
    <t>2558157028091</t>
  </si>
  <si>
    <t>LOJA LARANJEIRAS ES</t>
  </si>
  <si>
    <t>CASA &amp; VIDEO - AVENIDA DAS AMERICAS, 15500 - AMERICAS SHOPPING - RJES19506</t>
  </si>
  <si>
    <t>-23.0111412 , -43.4609821</t>
  </si>
  <si>
    <t>RJES19506</t>
  </si>
  <si>
    <t>1111428404360</t>
  </si>
  <si>
    <t>CASAS BAHIA - RUA EDUARDO DE MORAIS, S/N - SHOPPING PATTEO OLINDA - NE239370</t>
  </si>
  <si>
    <t>-7.993415300000001, -34.8404725</t>
  </si>
  <si>
    <t>NE239370</t>
  </si>
  <si>
    <t>33041260167379</t>
  </si>
  <si>
    <t>2035</t>
  </si>
  <si>
    <t>FLEX CELL - AVENIDA AYRTON SENNA DA SILVA, 1511 - SHOPPING LITORAL PLAZA - SPC235200</t>
  </si>
  <si>
    <t>LOJA 04</t>
  </si>
  <si>
    <t>-23.9980809 , -46.406835</t>
  </si>
  <si>
    <t>SPC235200</t>
  </si>
  <si>
    <t>03243382003198</t>
  </si>
  <si>
    <t>PONTO CERTO - ESTRADA DO MONTEIRO, 1200 - PARK SHOPPING CAMPO GRANDE - RJES11095</t>
  </si>
  <si>
    <t>RJES11095</t>
  </si>
  <si>
    <t>05142929003607</t>
  </si>
  <si>
    <t>HS - RUA DOS RODOVIARIOS, S/N - SHOPPING BELA VISTA - NE47280</t>
  </si>
  <si>
    <t>RUA DOS RODOVIARIOS</t>
  </si>
  <si>
    <t>SUC 52.2 2 PISO</t>
  </si>
  <si>
    <t>-12.965967197930578 , -38.472992819885235</t>
  </si>
  <si>
    <t>NE47280</t>
  </si>
  <si>
    <t>5923253005381</t>
  </si>
  <si>
    <t>7137</t>
  </si>
  <si>
    <t>FLEXX CELL - RUA CARLOS GOMES, 1321 - SHOPPING PATIO LIMEIRA - SPI6641</t>
  </si>
  <si>
    <t>RUA CARLOS GOMES</t>
  </si>
  <si>
    <t>13480013</t>
  </si>
  <si>
    <t>-22.5709662 , -47.4084298</t>
  </si>
  <si>
    <t>SPI6641</t>
  </si>
  <si>
    <t>3243382001063</t>
  </si>
  <si>
    <t>Shopping Pátio Limeira</t>
  </si>
  <si>
    <t>HS - RUA BRAGUINHA, 33 - ZONA COMERCIAL - SPI20923</t>
  </si>
  <si>
    <t>RUA BRAGUINHA</t>
  </si>
  <si>
    <t>-23.4999044 , -47.458108</t>
  </si>
  <si>
    <t>SPI20923</t>
  </si>
  <si>
    <t>5923253002790</t>
  </si>
  <si>
    <t>CLARO - ALAMEDA EUVALDO LUZ, 92 - SHOPPING BELA VISTA - NE6767</t>
  </si>
  <si>
    <t>LOJA 52</t>
  </si>
  <si>
    <t>NE6767</t>
  </si>
  <si>
    <t>40432544044438</t>
  </si>
  <si>
    <t>CLARO - RUA 12 DE OUTUBRO, 476 - ZONA COMERCIAL - SPC11087</t>
  </si>
  <si>
    <t>RUA 12 DE OUTUBRO</t>
  </si>
  <si>
    <t>-23.5221067 , -46.70533589999999</t>
  </si>
  <si>
    <t>SPC11087</t>
  </si>
  <si>
    <t>40432544051051</t>
  </si>
  <si>
    <t>11B7</t>
  </si>
  <si>
    <t>CLARO - AVENIDA PAULISTA, 1230 - SHOPPING CIDADE SAO PAULO - SPC47025</t>
  </si>
  <si>
    <t>AVENIDA PAULISTA, 1230</t>
  </si>
  <si>
    <t>-23.5634841 , -46.65266109999999</t>
  </si>
  <si>
    <t>SPC47025</t>
  </si>
  <si>
    <t>40432544087323</t>
  </si>
  <si>
    <t>11C2</t>
  </si>
  <si>
    <t>LOJAS AMERICANAS - AVENIDA PORTUGAL, 213 - N20482</t>
  </si>
  <si>
    <t>AVENIDA PORTUGAL</t>
  </si>
  <si>
    <t>66015190</t>
  </si>
  <si>
    <t>-1.454322 , -48.502385</t>
  </si>
  <si>
    <t>N20482</t>
  </si>
  <si>
    <t>776574153572</t>
  </si>
  <si>
    <t>L415</t>
  </si>
  <si>
    <t>LOJAS AMERICANAS - AVENIDA ADJAR DA SILVA CASE, 800 - SHOPPING CARUARU - NE44852</t>
  </si>
  <si>
    <t>AVENIDA ADJAR DA SILVA CASE</t>
  </si>
  <si>
    <t>ECL 300</t>
  </si>
  <si>
    <t>55024740</t>
  </si>
  <si>
    <t>-8.295277 , -35.952023</t>
  </si>
  <si>
    <t>NE44852</t>
  </si>
  <si>
    <t>776574164264</t>
  </si>
  <si>
    <t>L247</t>
  </si>
  <si>
    <t>Shopping Caruaru</t>
  </si>
  <si>
    <t>MAGAZINE LUIZA - RUA EDUARDO DE MORAIS, S/N - SHOPPING PATTEO OLINDA - NE240070</t>
  </si>
  <si>
    <t>LOJAS 2003 E 2004</t>
  </si>
  <si>
    <t>NE240070</t>
  </si>
  <si>
    <t>47960950122073</t>
  </si>
  <si>
    <t>1263</t>
  </si>
  <si>
    <t>MATHEUS SUPERMERCADO - AVENIDA GUAXENDUBA, 288 - N271210</t>
  </si>
  <si>
    <t>AVENIDA GUAXENDUBA</t>
  </si>
  <si>
    <t>SÃO JOÃO</t>
  </si>
  <si>
    <t>-2.5362015,-44.3012898</t>
  </si>
  <si>
    <t>N271210</t>
  </si>
  <si>
    <t>3995515004154</t>
  </si>
  <si>
    <t>MATHEUS SUPERMERCADO</t>
  </si>
  <si>
    <t>ALEGRIA (TIM) - AVENIDA BARRETO DE MENEZES, 800 - SHOPPING GUARARAPES - NE39990</t>
  </si>
  <si>
    <t>SUC 143</t>
  </si>
  <si>
    <t>NE39990</t>
  </si>
  <si>
    <t>21683365004800</t>
  </si>
  <si>
    <t>ALEGRIA TELECOM - SHOPPING GUARARAPES - SAP (42863)</t>
  </si>
  <si>
    <t>TIM - RUA 15 DE NOVEMBRO, 171 - ZONA COMERCIAL - SUL6920</t>
  </si>
  <si>
    <t>80020310</t>
  </si>
  <si>
    <t>-25.4310644 , -49.2722028</t>
  </si>
  <si>
    <t>SUL6920</t>
  </si>
  <si>
    <t>02421421024304</t>
  </si>
  <si>
    <t>C232</t>
  </si>
  <si>
    <t>TIM - AVENIDA MARECHAL FLORIANO PEIXOTO, 44 - SHOPPING MIRAMAR - SPC8805</t>
  </si>
  <si>
    <t>-23.9669759 , -46.3344518</t>
  </si>
  <si>
    <t>SPC8805</t>
  </si>
  <si>
    <t>02421421009097</t>
  </si>
  <si>
    <t>C282</t>
  </si>
  <si>
    <t>TIM - RUA YOLANDA SAAD ABUZAID, 80 - RJES110780</t>
  </si>
  <si>
    <t>-22.8201523 , -43.00365910000001</t>
  </si>
  <si>
    <t>RJES110780</t>
  </si>
  <si>
    <t>2421421025378</t>
  </si>
  <si>
    <t>C686</t>
  </si>
  <si>
    <t>VIVO - AVENIDA RIO BRANCO, 156 - SHOPPING AVENIDA CENTRAL - RJES7229</t>
  </si>
  <si>
    <t>156</t>
  </si>
  <si>
    <t>LOJAS 331 E 330</t>
  </si>
  <si>
    <t>20040003</t>
  </si>
  <si>
    <t>-22.9068126, -43.1773262</t>
  </si>
  <si>
    <t>RJES7229</t>
  </si>
  <si>
    <t>2558157039450</t>
  </si>
  <si>
    <t>LOJA CENTRO RJ</t>
  </si>
  <si>
    <t>Shopping Avenida Central</t>
  </si>
  <si>
    <t>CASA &amp; VIDEO - AVENIDA LUCIANO DAS NEVES, 2418 - SHOPPING VILA VELHA - RJES269560</t>
  </si>
  <si>
    <t>DIVINO ESPÍRITO SANTO</t>
  </si>
  <si>
    <t>RJES269560</t>
  </si>
  <si>
    <t>11114284013060</t>
  </si>
  <si>
    <t>SHOPPING VILA VELHA</t>
  </si>
  <si>
    <t>CELULAR.COM - AVENIDA CHARLES SCHNEIDER, 1700 - SHOPPING TAUBATE - SPI255870</t>
  </si>
  <si>
    <t>LOJA 29</t>
  </si>
  <si>
    <t>SENHOS DO BONFIM</t>
  </si>
  <si>
    <t>SPI255870</t>
  </si>
  <si>
    <t>5949641004289</t>
  </si>
  <si>
    <t>CLARO - RUA JOSE FOZ, 531 - ZONA COMERCIAL - SPI20900</t>
  </si>
  <si>
    <t>RUA DOUTOR JOSE FOZ</t>
  </si>
  <si>
    <t>531</t>
  </si>
  <si>
    <t>PREFEITURA MUNICIPAL</t>
  </si>
  <si>
    <t>19010041</t>
  </si>
  <si>
    <t>-22.12447 , -51.384853</t>
  </si>
  <si>
    <t>SPI20900</t>
  </si>
  <si>
    <t>40432544041684</t>
  </si>
  <si>
    <t>FUJIOKA - AVENIDA DOM EMANUEL QD. 1 G LT. 25, S/N - ZONA COMERCIAL - MGCO42373</t>
  </si>
  <si>
    <t>QUADRA 01 LOTE 25</t>
  </si>
  <si>
    <t>JD TODOS SANTOS I</t>
  </si>
  <si>
    <t>-16.695413 , -49.103263</t>
  </si>
  <si>
    <t>MGCO42373</t>
  </si>
  <si>
    <t>01008713010399</t>
  </si>
  <si>
    <t>LOJAS AMERICANAS - AVENIDA JUSCELINO KUBISTCHEK , S/N - MGCO19451</t>
  </si>
  <si>
    <t>AVENIDA JUSCELINO KUBISTCHEK</t>
  </si>
  <si>
    <t>-15.733349547800062 , -48.283585587011885</t>
  </si>
  <si>
    <t>MGCO19451</t>
  </si>
  <si>
    <t>776574009374</t>
  </si>
  <si>
    <t>RIACHUELO - RUA GERMANA FRANCK, 300 - SHOPPING PARANGABA - NE45221</t>
  </si>
  <si>
    <t>NE45221</t>
  </si>
  <si>
    <t>33200056009871</t>
  </si>
  <si>
    <t>TELEMIL - RUA ITACOLOMI, 292 - SHOPPING TOTAL - SUL6922</t>
  </si>
  <si>
    <t>RUA ITACOLOMI</t>
  </si>
  <si>
    <t>292</t>
  </si>
  <si>
    <t>LOJA 145/146</t>
  </si>
  <si>
    <t>-25.478434 , -49.294273</t>
  </si>
  <si>
    <t>SUL6922</t>
  </si>
  <si>
    <t>81214819000749</t>
  </si>
  <si>
    <t>Shopping Total</t>
  </si>
  <si>
    <t>ALEGRIA (TIM) - AVENIDA DAS NACOES UNIDAS, 22540 - SHOPPING SP MARKET - SPC6422</t>
  </si>
  <si>
    <t>LOJA A7-05</t>
  </si>
  <si>
    <t>SPC6422</t>
  </si>
  <si>
    <t>21683365006250</t>
  </si>
  <si>
    <t>ALEGRIA - SHOPPING SP MARKET - SAP (43369)</t>
  </si>
  <si>
    <t>CELULAR STATION - AVENIDA PRESIDENTE KENNEDY, 1777 - ELA SHOPPING - RJES11807</t>
  </si>
  <si>
    <t>1777</t>
  </si>
  <si>
    <t>BOX 15 E 16</t>
  </si>
  <si>
    <t>-22.786370306308847 , -43.31095516336825</t>
  </si>
  <si>
    <t>RJES11807</t>
  </si>
  <si>
    <t>2714643002923</t>
  </si>
  <si>
    <t>Ela Shopping</t>
  </si>
  <si>
    <t>VIVO - AVENIDA BRASILIA, 146 - SHOPPING 3 AMERICAS - MGCO10273</t>
  </si>
  <si>
    <t>SALA 200 A</t>
  </si>
  <si>
    <t>MGCO10273</t>
  </si>
  <si>
    <t>2558157026552</t>
  </si>
  <si>
    <t>LOJA SHOPPING TRES AMERICAS MT</t>
  </si>
  <si>
    <t>VIVO - RODOVIA SC 401, 3116 - FLORIPA SHOPPING - SUL6302</t>
  </si>
  <si>
    <t>PISO 1 LOJA 139</t>
  </si>
  <si>
    <t>88032005</t>
  </si>
  <si>
    <t>SUL6302</t>
  </si>
  <si>
    <t>2558157051077</t>
  </si>
  <si>
    <t>LOJA FLORIPA SHOPPING SC</t>
  </si>
  <si>
    <t>VIVO - AVENIDA DANIEL DE LA TOUCHE, 987 - SHOPPING DA ILHA - NE10397</t>
  </si>
  <si>
    <t>-2.5274136 , -44.2553047</t>
  </si>
  <si>
    <t>NE10397</t>
  </si>
  <si>
    <t>2558157052200</t>
  </si>
  <si>
    <t>LOJA SHOPPING ILHA MA</t>
  </si>
  <si>
    <t>CASAS BAHIA - AVENIDA DOUTOR AFONSO VERGUEIRO, 823 - SHOPPING PATIO CIANE - SPI254800</t>
  </si>
  <si>
    <t>AVENIDA DOUTOR AFONSO VERGUEIRO</t>
  </si>
  <si>
    <t>18035370</t>
  </si>
  <si>
    <t>-23.495815 , -47.461235</t>
  </si>
  <si>
    <t>SPI254800</t>
  </si>
  <si>
    <t>33041260202034</t>
  </si>
  <si>
    <t>2464</t>
  </si>
  <si>
    <t>Shopping Pátio Cianê</t>
  </si>
  <si>
    <t>FLEX CELL - AVENIDA DOUTOR ANTONIO MARIA LAET, 566 - SHOPPING TUCURUVI - SPC7843</t>
  </si>
  <si>
    <t>LOJA 24</t>
  </si>
  <si>
    <t>SPC7843</t>
  </si>
  <si>
    <t>03243382001144</t>
  </si>
  <si>
    <t>SELF TELECOM (CLARO) - AVENIDA BARRETO DE MENEZES, 800 - SHOPPING GUARARAPES - NE79536</t>
  </si>
  <si>
    <t>-8.1677696 , -34.9187443</t>
  </si>
  <si>
    <t>NE79536</t>
  </si>
  <si>
    <t>36370020000100</t>
  </si>
  <si>
    <t>HAVAN - AVENIDA DO ESTADO DALMO VIEIRA, 4300 - SUL227190</t>
  </si>
  <si>
    <t>AVENIDA DO ESTADO DALMO VIEIRA</t>
  </si>
  <si>
    <t>ESTADOS</t>
  </si>
  <si>
    <t>88339055</t>
  </si>
  <si>
    <t>-26.9917018 , -48.6442874</t>
  </si>
  <si>
    <t>SUL227190</t>
  </si>
  <si>
    <t>79379491009300</t>
  </si>
  <si>
    <t>71 - BALNEARIO PEDREIRA</t>
  </si>
  <si>
    <t>LOJAS AMERICANAS - PRACA SAMUEL SABATINI, 200 - SHOPPING METROPOLE - SPC7879</t>
  </si>
  <si>
    <t>LOJA ANCORA 1</t>
  </si>
  <si>
    <t>SPC7879</t>
  </si>
  <si>
    <t>776574066688</t>
  </si>
  <si>
    <t>LOJAS AMERICANAS - RUA 44, 399 - SHOPPING ARAGUAIA - MGCO6822</t>
  </si>
  <si>
    <t>RUA QUARENTA E QUATRO</t>
  </si>
  <si>
    <t>399</t>
  </si>
  <si>
    <t>74063010</t>
  </si>
  <si>
    <t>-16.659391 , -49.259663</t>
  </si>
  <si>
    <t>MGCO6822</t>
  </si>
  <si>
    <t>776574157640</t>
  </si>
  <si>
    <t>L232</t>
  </si>
  <si>
    <t>Shopping Araguaia</t>
  </si>
  <si>
    <t>MAGAZINE LUIZA - AVENIDA SANTA BARBARA, 777 - SHOPPING TIVOLI - SPI6581</t>
  </si>
  <si>
    <t>LUC B</t>
  </si>
  <si>
    <t>SPI6581</t>
  </si>
  <si>
    <t>47960950012219</t>
  </si>
  <si>
    <t>109</t>
  </si>
  <si>
    <t>IANK CELL - RUA ALVARO DE CARVALO, S/N - ZONA COMERCIAL - SUL6741</t>
  </si>
  <si>
    <t>RUA ALVARO DE CARVALO</t>
  </si>
  <si>
    <t>88010040</t>
  </si>
  <si>
    <t>-27.5957261 , -48.5533172</t>
  </si>
  <si>
    <t>SUL6741</t>
  </si>
  <si>
    <t>08640305000684</t>
  </si>
  <si>
    <t>FACELL - RODOVIA BA 526, 305 - SALVADOR NORTE SHOPPING - NE238370</t>
  </si>
  <si>
    <t>SÃO CRISTÓVÃO</t>
  </si>
  <si>
    <t>-12.908822592311756, -38.35135709510651</t>
  </si>
  <si>
    <t>NE238370</t>
  </si>
  <si>
    <t>7366109002563</t>
  </si>
  <si>
    <t>FACELL LTDA - SALVADOR - SHOPPING SALVADOR NORTE - SAP (39151)</t>
  </si>
  <si>
    <t>CONECTRIO - AVENIDA DEPUTADO ODON BEZERRA, 184 - SHOPPING TAMBIA - NE10909</t>
  </si>
  <si>
    <t>AVENIDA DEPUTADO ODON BEZERRA</t>
  </si>
  <si>
    <t>184</t>
  </si>
  <si>
    <t>TAMBIA</t>
  </si>
  <si>
    <t>58020500</t>
  </si>
  <si>
    <t>-7.115831099999999 , -34.8799019</t>
  </si>
  <si>
    <t>NE10909</t>
  </si>
  <si>
    <t>11105504000273</t>
  </si>
  <si>
    <t>Shopping Tambia</t>
  </si>
  <si>
    <t>DULCOM/DPI (TIM) - RUA BERNARDINO DE CAMPOS, 2940 - PRACA SHOPPING RIO PRETO - SPI39649</t>
  </si>
  <si>
    <t>2940</t>
  </si>
  <si>
    <t>-20.810738 , -49.380512</t>
  </si>
  <si>
    <t>SPI39649</t>
  </si>
  <si>
    <t>2356946002598</t>
  </si>
  <si>
    <t>Praça Shopping Rio Preto</t>
  </si>
  <si>
    <t>TIM - AVENIDA GETULIO VARGAS, 1303 - MGCO5774</t>
  </si>
  <si>
    <t>1303</t>
  </si>
  <si>
    <t>30112020</t>
  </si>
  <si>
    <t>-19.937956 , -43.935059</t>
  </si>
  <si>
    <t>MGCO5774</t>
  </si>
  <si>
    <t>2421421010265</t>
  </si>
  <si>
    <t>C148</t>
  </si>
  <si>
    <t>CELULAR STATION - ESTRADA RODRIGUES CALDAS, 127 - TAQUARA PLAZA SHOPPING - RJES264020</t>
  </si>
  <si>
    <t>LOJA 2016 PISO 1</t>
  </si>
  <si>
    <t>RJES264020</t>
  </si>
  <si>
    <t>2714643004039</t>
  </si>
  <si>
    <t>CELULAR STATION - RUA MANUEL CORREIA, 22 - RJES234450</t>
  </si>
  <si>
    <t>RUA MANUEL CORREIA</t>
  </si>
  <si>
    <t>LOJA 248</t>
  </si>
  <si>
    <t>-22.7865254 , -43.3101641</t>
  </si>
  <si>
    <t>RJES234450</t>
  </si>
  <si>
    <t>02714643001013</t>
  </si>
  <si>
    <t>VIVO - AVENIDA ANTONIO FREDERICO OZANAM, 6000 - MAXI SHOPPING JUNDIAI - SPI10600</t>
  </si>
  <si>
    <t>LOJA 1216 - PARTE</t>
  </si>
  <si>
    <t>13202590</t>
  </si>
  <si>
    <t>SPI10600</t>
  </si>
  <si>
    <t>2558157009119</t>
  </si>
  <si>
    <t>LOJA JUNDIAI MAXI SHOPPING SP</t>
  </si>
  <si>
    <t>VIVO - RUA GERMANO FRANCK, 300 - SHOPPING PARANGABA - NE21249</t>
  </si>
  <si>
    <t>-3.7755437 , -38.5619871</t>
  </si>
  <si>
    <t>NE21249</t>
  </si>
  <si>
    <t>2558157091290</t>
  </si>
  <si>
    <t>LOJA SHOPPING PARANGABA CE</t>
  </si>
  <si>
    <t>CARREFOUR - AVENIDA RIO BRANCO, 732 - ZONA COMERCIAL - SUL10811</t>
  </si>
  <si>
    <t>732</t>
  </si>
  <si>
    <t>97010422</t>
  </si>
  <si>
    <t>-29.6837409 , -53.80694279999999</t>
  </si>
  <si>
    <t>SUL10811</t>
  </si>
  <si>
    <t>45543915038154</t>
  </si>
  <si>
    <t>SMA</t>
  </si>
  <si>
    <t>CASA &amp; VIDEO - ESTRADA DO MENDANHA, 555 - WEST SHOPPING - RJES7544</t>
  </si>
  <si>
    <t>SUC 285A</t>
  </si>
  <si>
    <t>RJES7544</t>
  </si>
  <si>
    <t>11114284003502</t>
  </si>
  <si>
    <t>WEST SHOPPING</t>
  </si>
  <si>
    <t>CASA &amp; VIDEO - RUA SILVA BUENO, 2419 - SPC290730</t>
  </si>
  <si>
    <t>2419</t>
  </si>
  <si>
    <t>4208053</t>
  </si>
  <si>
    <t>-23.5999742,-46.605268</t>
  </si>
  <si>
    <t>SPC290730</t>
  </si>
  <si>
    <t>11114284035978</t>
  </si>
  <si>
    <t>CELL NET - RUA QUARENTA E QUATRO, 399 - SHOPPING ARAGUAIA - MGCO251700</t>
  </si>
  <si>
    <t>LOJA 050</t>
  </si>
  <si>
    <t>74063920</t>
  </si>
  <si>
    <t>MGCO251700</t>
  </si>
  <si>
    <t>4601016001344</t>
  </si>
  <si>
    <t>FW TELEFONIA (CLARO) - AVENIDA PEREIRA BARRETO, 42 - SHOPPING ABC - SPC289640</t>
  </si>
  <si>
    <t>PISO TÉRREO</t>
  </si>
  <si>
    <t>-23.6678306,-46.535583</t>
  </si>
  <si>
    <t>SPC289640</t>
  </si>
  <si>
    <t>51046680000204</t>
  </si>
  <si>
    <t>CELL NET - QNM 34 AREA ESPECIAL 01, S/N - SHOPPING JK - MGCO289920</t>
  </si>
  <si>
    <t>QNM 34 AREA ESPECIAL 01</t>
  </si>
  <si>
    <t>LJ 246/247</t>
  </si>
  <si>
    <t>TAGUATINGA NORTE</t>
  </si>
  <si>
    <t>-15.809326 , -48.09412</t>
  </si>
  <si>
    <t>MGCO289920</t>
  </si>
  <si>
    <t>4601016002669</t>
  </si>
  <si>
    <t>CELL AZUL CELULARES - RUA TURIASSU, 2100 - SHOPPING BOURBON - SPC257850</t>
  </si>
  <si>
    <t>50005030</t>
  </si>
  <si>
    <t>SPC257850</t>
  </si>
  <si>
    <t>7120722001109</t>
  </si>
  <si>
    <t>PONTO CERTO - RUA CORONEL AGOSTINHO, 101 - SMART SHOPPING - RJES271150</t>
  </si>
  <si>
    <t>-22.9042866,-43.5593864</t>
  </si>
  <si>
    <t>RJES271150</t>
  </si>
  <si>
    <t>5142929004590</t>
  </si>
  <si>
    <t>Smart Shopping</t>
  </si>
  <si>
    <t>CLARO RP - CLARO - RUA SAO SEBASTIAO, 688 - SPI230440</t>
  </si>
  <si>
    <t>688</t>
  </si>
  <si>
    <t>-21.1769651 , -47.8088008</t>
  </si>
  <si>
    <t>SPI230440</t>
  </si>
  <si>
    <t>5949641001000</t>
  </si>
  <si>
    <t>FLEX CELL - PRACA DA INDEPENDENCIA, 4 - SPI274610</t>
  </si>
  <si>
    <t>PRACA DA INDEPENDENCIA</t>
  </si>
  <si>
    <t>4</t>
  </si>
  <si>
    <t>-23.9671413,-46.3339984</t>
  </si>
  <si>
    <t>SPI274610</t>
  </si>
  <si>
    <t>3243382004240</t>
  </si>
  <si>
    <t>GAZIN - RUA 13 DE JUNHO, 229 - MGCO288630</t>
  </si>
  <si>
    <t>RUA 13 DE JUNHO</t>
  </si>
  <si>
    <t>-15.5998529,-56.0966677</t>
  </si>
  <si>
    <t>MGCO288630</t>
  </si>
  <si>
    <t>77941490041269</t>
  </si>
  <si>
    <t>LOJAS AMERICANAS - AVENIDA MANOEL GOULART, 2400 - PRUDENSHOPPING - SPI258100</t>
  </si>
  <si>
    <t>LOJA 1051</t>
  </si>
  <si>
    <t>SPI258100</t>
  </si>
  <si>
    <t>776574188953</t>
  </si>
  <si>
    <t>LOJAS AMERICANAS - AVENIDA DANIEL DE LA TOUCHE, 987 - SHOPPING DA ILHA - NE45223</t>
  </si>
  <si>
    <t>LOJA 405 AB</t>
  </si>
  <si>
    <t>NE45223</t>
  </si>
  <si>
    <t>776574156245</t>
  </si>
  <si>
    <t>1195</t>
  </si>
  <si>
    <t>LOJAS AMERICANAS - ESTRADA DAS MARINAS, 200 - SHOPPING PIRATAS MALL - RJES42619</t>
  </si>
  <si>
    <t>ESTRADA MUNICIPAL</t>
  </si>
  <si>
    <t>LOJA 201/202</t>
  </si>
  <si>
    <t>23907900</t>
  </si>
  <si>
    <t>-23.00375 , -44.299865</t>
  </si>
  <si>
    <t>RJES42619</t>
  </si>
  <si>
    <t>776574077701</t>
  </si>
  <si>
    <t>L594</t>
  </si>
  <si>
    <t>LOJAS AMERICANAS - AVENIDA PADRE ANCHIETA, 332 - SPC80070</t>
  </si>
  <si>
    <t>-24.3202762, -46.99575309999999</t>
  </si>
  <si>
    <t>SPC80070</t>
  </si>
  <si>
    <t>776574048787</t>
  </si>
  <si>
    <t>L467</t>
  </si>
  <si>
    <t>LOJAS AMERICANAS - AVENIDA LUCIANO DAS NEVES, 2418 - SHOPPING VILA VELHA - RJES37385</t>
  </si>
  <si>
    <t>AVENDIDA LUCIANO DAS NEVES</t>
  </si>
  <si>
    <t>29100200</t>
  </si>
  <si>
    <t>RJES37385</t>
  </si>
  <si>
    <t>776574152509</t>
  </si>
  <si>
    <t>MAGAZINE LUIZA - RUA DO ROSARIO, 345 - ZONA COMERCIAL - SPI47409</t>
  </si>
  <si>
    <t>RUA DO ROSARIO</t>
  </si>
  <si>
    <t>13201014</t>
  </si>
  <si>
    <t>-23.1885557 , -46.8853131</t>
  </si>
  <si>
    <t>SPI47409</t>
  </si>
  <si>
    <t>47960950094940</t>
  </si>
  <si>
    <t>TIM - AVENIDA IPIRANGA, 5200 - SHOPPING BOURBON IPIRANGA - SUL9131</t>
  </si>
  <si>
    <t>AVENIDA IPIRANGA</t>
  </si>
  <si>
    <t>5200</t>
  </si>
  <si>
    <t>LOJA 104</t>
  </si>
  <si>
    <t>90610000</t>
  </si>
  <si>
    <t>-30.054995 , -51.186958</t>
  </si>
  <si>
    <t>SUL9131</t>
  </si>
  <si>
    <t>2421421015143</t>
  </si>
  <si>
    <t>C260</t>
  </si>
  <si>
    <t>Shopping Bourbon Ipiranga</t>
  </si>
  <si>
    <t>COMMCENTER - AVENIDA ARICANDUVA, 5555 - SHOPPING ARICANDUVA - SPC8617</t>
  </si>
  <si>
    <t>JARDIM ARICANDUVA</t>
  </si>
  <si>
    <t>SPC8617</t>
  </si>
  <si>
    <t>WORLD CELL (VIVO) - RUA 44, 399 - SHOPPING ARAGUAIA - MGCO47402</t>
  </si>
  <si>
    <t>RUA 44</t>
  </si>
  <si>
    <t>CENTRAL</t>
  </si>
  <si>
    <t>-16.6596179 , -49.2596102</t>
  </si>
  <si>
    <t>MGCO47402</t>
  </si>
  <si>
    <t>VIVO - RUA DOUTOR MELO FREIRE, S/N - SHOPPING METRO TATUAPE - SPC7306</t>
  </si>
  <si>
    <t>SPC7306</t>
  </si>
  <si>
    <t>2558157004907</t>
  </si>
  <si>
    <t>LOJA SHOPPING METRO TATUAPE SP</t>
  </si>
  <si>
    <t>FLEX CELL - AVENIDA ROTARY, 624 - SAO BERNARDO PLAZA SHOPPING - SPC7853</t>
  </si>
  <si>
    <t>LOJA 1066</t>
  </si>
  <si>
    <t>SPC7853</t>
  </si>
  <si>
    <t>3243382002035</t>
  </si>
  <si>
    <t>LOJAS COLOMBO - AVENIDA CONSUL CARLOS RENAUX, 88 - ZONA COMERCIAL - SUL90843</t>
  </si>
  <si>
    <t>-27.09787 , -48.916142</t>
  </si>
  <si>
    <t>SUL90843</t>
  </si>
  <si>
    <t>89848543028268</t>
  </si>
  <si>
    <t>COLOMBO - RUA FELIPE SCHMIDT, 165 - SUL264640</t>
  </si>
  <si>
    <t>-27.5969037,-48.553802</t>
  </si>
  <si>
    <t>SUL264640</t>
  </si>
  <si>
    <t>89848543080774</t>
  </si>
  <si>
    <t>529</t>
  </si>
  <si>
    <t>J MAHFUZ - SAO LUIZ, 837 - ZONA COMERCIAL - SPI6633</t>
  </si>
  <si>
    <t>AVENIDA SAO LUIS</t>
  </si>
  <si>
    <t>837</t>
  </si>
  <si>
    <t>-22.216065 , -49.951057</t>
  </si>
  <si>
    <t>SPI6633</t>
  </si>
  <si>
    <t>54289996002331</t>
  </si>
  <si>
    <t>020</t>
  </si>
  <si>
    <t>J. MAHFUZ</t>
  </si>
  <si>
    <t>KOERICH - DEODORO, 190 - ZONA COMERCIAL - SUL7598</t>
  </si>
  <si>
    <t>RUA DEODORO</t>
  </si>
  <si>
    <t>88010020</t>
  </si>
  <si>
    <t>-27.59641 , -48.551534</t>
  </si>
  <si>
    <t>SUL7598</t>
  </si>
  <si>
    <t>86184074001899</t>
  </si>
  <si>
    <t>LOJAS AMERICANAS - AVENIDA SATURNINO BRAGA , 369 - SHOPPING RESENDE - RJES18901</t>
  </si>
  <si>
    <t>LOJA 117</t>
  </si>
  <si>
    <t>RJES18901</t>
  </si>
  <si>
    <t>776574082535</t>
  </si>
  <si>
    <t>L230</t>
  </si>
  <si>
    <t>LOJAS AMERICANAS - AVENIDA BRASIL, 22155 - SHOPPING JARDIM GUADALUPE - RJES10138</t>
  </si>
  <si>
    <t>207-217</t>
  </si>
  <si>
    <t>RJES10138</t>
  </si>
  <si>
    <t>776574121883</t>
  </si>
  <si>
    <t>L480</t>
  </si>
  <si>
    <t>MAGAZINE LUIZA - RUA CORONEL CLAUDIO, 107 - ZONA COMERCIAL - SUL9941</t>
  </si>
  <si>
    <t>RUA CORONEL CLAUDIO</t>
  </si>
  <si>
    <t>84010120</t>
  </si>
  <si>
    <t>-25.0939676 , -50.1572572</t>
  </si>
  <si>
    <t>SUL9941</t>
  </si>
  <si>
    <t>47960950065843</t>
  </si>
  <si>
    <t>957</t>
  </si>
  <si>
    <t>MAGAZINE LUIZA - RUA 15 DE NOVEMBRO, 710 - ZONA COMERCIAL - SPI10615</t>
  </si>
  <si>
    <t>710</t>
  </si>
  <si>
    <t>-23.0252619 , -45.5573722</t>
  </si>
  <si>
    <t>SPI10615</t>
  </si>
  <si>
    <t>PAPEL &amp; CIA DIGITAL - RODOVIA BA - 526, 305 - SALVADOR NORTE SHOPPING - NE45384</t>
  </si>
  <si>
    <t>NE45384</t>
  </si>
  <si>
    <t>07014198001000</t>
  </si>
  <si>
    <t>TIM INFORCELL - AVENIDA AUTAZ MIRIM, 6468 - GRANDE CIRCULAR - N90316</t>
  </si>
  <si>
    <t>6468</t>
  </si>
  <si>
    <t>TANCREDO NEVES</t>
  </si>
  <si>
    <t>69087215</t>
  </si>
  <si>
    <t>-3.063012191398595 , -59.94970129762271</t>
  </si>
  <si>
    <t>N90316</t>
  </si>
  <si>
    <t>11050941000318</t>
  </si>
  <si>
    <t>TIM INFORCELL - AVENIDA CORONEL TEIXEIRA, 7687 - N248210</t>
  </si>
  <si>
    <t>DB SUPERMERCADOS</t>
  </si>
  <si>
    <t>MANAUS</t>
  </si>
  <si>
    <t>-3.0900201, -60.05691460000001</t>
  </si>
  <si>
    <t>N248210</t>
  </si>
  <si>
    <t>2421421013795</t>
  </si>
  <si>
    <t>IMAGEM TELECOM - AVENIDA AYRTON SENNA DA SILVA, 1511 - SHOPPING LITORAL PLAZA - SPI290690</t>
  </si>
  <si>
    <t>LOJA 13</t>
  </si>
  <si>
    <t>SPI290690</t>
  </si>
  <si>
    <t>11057917002869</t>
  </si>
  <si>
    <t>IMAGEM - SHOPPING LITORAL PLAZA - SAP (44633)</t>
  </si>
  <si>
    <t>TALKLINE TELECOM (TIM) - AVENIDA SAO LUIS REI DE FRANCA, 8 - SHOPPING RIO ANIL - NE18436</t>
  </si>
  <si>
    <t>AVENIDA SAO LUIS REI DA FRANCA</t>
  </si>
  <si>
    <t>-2.5338388 , -44.2237444</t>
  </si>
  <si>
    <t>NE18436</t>
  </si>
  <si>
    <t>44944217000125</t>
  </si>
  <si>
    <t>TIM - RUA SETE DE SETEMBRO, 1213 - SHOPPING NEUMARKT - SUL6299</t>
  </si>
  <si>
    <t>LOJA 7</t>
  </si>
  <si>
    <t>89010911</t>
  </si>
  <si>
    <t>-26.919872 , -49.069008</t>
  </si>
  <si>
    <t>SUL6299</t>
  </si>
  <si>
    <t>04206050028786</t>
  </si>
  <si>
    <t>C221</t>
  </si>
  <si>
    <t>Shopping Neumarkt</t>
  </si>
  <si>
    <t>COMMCENTER - AVENIDA INTERLAGOS, 2255 - SHOPPING INTERLAGOS - SPC7762</t>
  </si>
  <si>
    <t>INTERLAGOS</t>
  </si>
  <si>
    <t>-23.6754146 , -46.6759198</t>
  </si>
  <si>
    <t>SPC7762</t>
  </si>
  <si>
    <t>5828732016434</t>
  </si>
  <si>
    <t>COMMCENTER - RODOVIA PRESIDENTE DUTRA KM 230, S/N - SHOPPING INTERNACIONAL GUARULHOS - SPC6366</t>
  </si>
  <si>
    <t>LOJA R 9</t>
  </si>
  <si>
    <t>SPC6366</t>
  </si>
  <si>
    <t>05828732008768</t>
  </si>
  <si>
    <t>COMMCENTER - RUA GENERAL MARCONDES SALGADO, 14550 - SHOPPING BOULEVARD BAURU - SPI261770</t>
  </si>
  <si>
    <t>CHÁCARA DAS FLORES</t>
  </si>
  <si>
    <t>SPI261770</t>
  </si>
  <si>
    <t>5828732014490</t>
  </si>
  <si>
    <t>COMMCENTER - AVENIDA JOHN BOYD DUNLOP, 3900 - SHOPPING PARQUE DAS BANDEIRAS - SPI6560</t>
  </si>
  <si>
    <t>SPI6560</t>
  </si>
  <si>
    <t>COMMCENTER - AVENIDA CHARLES SCHNNEIDER, 1700 - SHOPPING TAUBATE - SPI6534</t>
  </si>
  <si>
    <t>VILA DA COSTA</t>
  </si>
  <si>
    <t>-23.0227732 , -45.5818951</t>
  </si>
  <si>
    <t>SPI6534</t>
  </si>
  <si>
    <t>VIVO - AVENIDA IPIRANGA, 5200 - SHOPPING BOURBON IPIRANGA - SUL6227</t>
  </si>
  <si>
    <t>SUL6227</t>
  </si>
  <si>
    <t>2558157035381</t>
  </si>
  <si>
    <t>LOJA BOURBON IPIRANGA RS</t>
  </si>
  <si>
    <t>VIVO - RUA FELIPE SCHIMITD, 90 - ZONA COMERCIAL - SUL6309</t>
  </si>
  <si>
    <t>-27.594651 , -48.555143</t>
  </si>
  <si>
    <t>SUL6309</t>
  </si>
  <si>
    <t>2558157044100</t>
  </si>
  <si>
    <t>LOJA FELIPE SCHMIDT SC</t>
  </si>
  <si>
    <t>CASA &amp; VIDEO - AVENIDA EXPEDITO GARCIA, 120 - RJES244820</t>
  </si>
  <si>
    <t>CARIACICA</t>
  </si>
  <si>
    <t>-20.3432604,-40.3886943</t>
  </si>
  <si>
    <t>RJES244820</t>
  </si>
  <si>
    <t>11114284014113</t>
  </si>
  <si>
    <t>CASAS BAHIA - AVENIDA DOUTOR SILVIO DE CAMPOS, 25 - ZONA COMERCIAL - SPC37597</t>
  </si>
  <si>
    <t>RUA DOUTOR SILVIO DE CAMPOS</t>
  </si>
  <si>
    <t>25 A</t>
  </si>
  <si>
    <t>-23.406102 , -46.753528</t>
  </si>
  <si>
    <t>SPC37597</t>
  </si>
  <si>
    <t>33041260106906</t>
  </si>
  <si>
    <t>1392</t>
  </si>
  <si>
    <t>FW TELEFONIA (CLARO) - AVENIDA DOS AUTONOMISTAS , 1400 - SHOPPING UNIAO - SPC87360</t>
  </si>
  <si>
    <t>SPC87360</t>
  </si>
  <si>
    <t>22202431000173</t>
  </si>
  <si>
    <t>CLARO - ESTRADA DO MENDANHA, 555 - WEST SHOPPING - RJES6087</t>
  </si>
  <si>
    <t>LOJA 135</t>
  </si>
  <si>
    <t>RJES6087</t>
  </si>
  <si>
    <t>40432544006935</t>
  </si>
  <si>
    <t>2124</t>
  </si>
  <si>
    <t>LOJAS AMERICANAS - AVENIDA DAS NACOES UNIDAS, 22540 - SHOPPING SP MARKET - SPC7043</t>
  </si>
  <si>
    <t>LOJA R 425,PAO 40</t>
  </si>
  <si>
    <t>SPC7043</t>
  </si>
  <si>
    <t>776574094037</t>
  </si>
  <si>
    <t>L242</t>
  </si>
  <si>
    <t>LOJAS AMERICANAS - AVENIDA MARECHAL TITO, 299 - SPC19818</t>
  </si>
  <si>
    <t>299</t>
  </si>
  <si>
    <t>-23.493422 , -46.44268</t>
  </si>
  <si>
    <t>SPC19818</t>
  </si>
  <si>
    <t>776574023288</t>
  </si>
  <si>
    <t>L599</t>
  </si>
  <si>
    <t>LOJAS AMERICANAS - RUA VEREADOR HEMETERIO DE OLIVEIRA, 199 - RJES263270</t>
  </si>
  <si>
    <t>RUA VEREADOR HEMETERIO DE OLIVEIRA</t>
  </si>
  <si>
    <t>-22.7183787,-43.5578413</t>
  </si>
  <si>
    <t>RJES263270</t>
  </si>
  <si>
    <t>776574185776</t>
  </si>
  <si>
    <t>LOJAS AMERICANAS - AVENIDA ENGENHEIRO FERNANDO GUILHON, S/N - SHOPPING RIO TAPAJOS - N64701</t>
  </si>
  <si>
    <t>AVENIDA ENGENHEIRO FERNANDO GUILHON, S/N</t>
  </si>
  <si>
    <t>-2.45079 , -54.7585991</t>
  </si>
  <si>
    <t>N64701</t>
  </si>
  <si>
    <t>776574125951</t>
  </si>
  <si>
    <t>Shopping Rio Tapajos</t>
  </si>
  <si>
    <t>MAGAZINE LUIZA - AVENIDA JOAQUIM LEITE, 620 - RJES253710</t>
  </si>
  <si>
    <t>27340010</t>
  </si>
  <si>
    <t>-22.5449936,-44.174761</t>
  </si>
  <si>
    <t>RJES253710</t>
  </si>
  <si>
    <t>47960950181592</t>
  </si>
  <si>
    <t>1649</t>
  </si>
  <si>
    <t>MAGAZINE LUIZA - AVENIDA PENHA DE FRANCA, 368 - ZONA COMERCIAL - SPC20314</t>
  </si>
  <si>
    <t>AVENIDA PENHA DE FRANCA</t>
  </si>
  <si>
    <t>368</t>
  </si>
  <si>
    <t>3606000</t>
  </si>
  <si>
    <t>-23.523851 , -46.548</t>
  </si>
  <si>
    <t>SPC20314</t>
  </si>
  <si>
    <t>47960950052270</t>
  </si>
  <si>
    <t>MAGAZINE LUIZA - AVENIDA SYLVIO DE CAMPOS, 289 - ZONA COMERCIAL - SPC23038</t>
  </si>
  <si>
    <t>VILAS PERUS</t>
  </si>
  <si>
    <t>-23.40683 , -46.756912</t>
  </si>
  <si>
    <t>SPC23038</t>
  </si>
  <si>
    <t>47960950050226</t>
  </si>
  <si>
    <t>RIACHUELO - RUA SAO LUIZ, 719 - ZONA COMERCIAL - SPI90498</t>
  </si>
  <si>
    <t>RUA SAO LUIS</t>
  </si>
  <si>
    <t>693</t>
  </si>
  <si>
    <t>-22.217215 , -49.950657</t>
  </si>
  <si>
    <t>SPI90498</t>
  </si>
  <si>
    <t>61099834014140</t>
  </si>
  <si>
    <t>L022</t>
  </si>
  <si>
    <t>SIPOLATTI - RODOVIA CARLOS LINDEMBERG, 978 - ZONA COMERCIAL - RJES11837</t>
  </si>
  <si>
    <t>29122036</t>
  </si>
  <si>
    <t>-20.3394841 , -40.3066992</t>
  </si>
  <si>
    <t>RJES11837</t>
  </si>
  <si>
    <t>30689848002850</t>
  </si>
  <si>
    <t>SIPOLATTI</t>
  </si>
  <si>
    <t>VIVO - RUA MARECHAL DEODORO DA FONSECA, 246 - SPI262340</t>
  </si>
  <si>
    <t>246</t>
  </si>
  <si>
    <t>LOJAS 04 E 06</t>
  </si>
  <si>
    <t>16010301</t>
  </si>
  <si>
    <t>-21.2063409,-50.4440279</t>
  </si>
  <si>
    <t>SPI262340</t>
  </si>
  <si>
    <t>2558157012411</t>
  </si>
  <si>
    <t>LOJA MULTISHOP SP</t>
  </si>
  <si>
    <t>CASA &amp; VIDEO - RUA FONSECA, 240 - SHOPPING BANGU - RJES6094</t>
  </si>
  <si>
    <t>LOJA 138</t>
  </si>
  <si>
    <t>RJES6094</t>
  </si>
  <si>
    <t>11114284003936</t>
  </si>
  <si>
    <t>BANGU SHOPPING</t>
  </si>
  <si>
    <t>CASAS BAHIA - AVENIDA PEDRO MIRANDA, 1521 - N281450</t>
  </si>
  <si>
    <t>-1.4260427,-48.4759626</t>
  </si>
  <si>
    <t>N281450</t>
  </si>
  <si>
    <t>33041260188376</t>
  </si>
  <si>
    <t>PONTO CERTO - RUA MARIA SOARES SENDAS, 111 - SHOPPING GRANDE RIO - RJES6104</t>
  </si>
  <si>
    <t>RJES6104</t>
  </si>
  <si>
    <t>5142929002899</t>
  </si>
  <si>
    <t>FLEX CELL - RUA SENADOR VERGUEIRO, 301 - SPI20899</t>
  </si>
  <si>
    <t>RUA SENADOR VEGUEIRO</t>
  </si>
  <si>
    <t>-22.562532 , -47.401081</t>
  </si>
  <si>
    <t>SPI20899</t>
  </si>
  <si>
    <t>3243382004836</t>
  </si>
  <si>
    <t>FLEX CELL - AVENIDA JOAQUIM MIGUEL COUTO, 563 - SPI274950</t>
  </si>
  <si>
    <t>AVENIDA JOAQUIM MIGUEL COUTO</t>
  </si>
  <si>
    <t>563</t>
  </si>
  <si>
    <t>VILA PAULISTA</t>
  </si>
  <si>
    <t>11510010</t>
  </si>
  <si>
    <t>-23.8845904,-46.4260466</t>
  </si>
  <si>
    <t>SPI274950</t>
  </si>
  <si>
    <t>3243382004593</t>
  </si>
  <si>
    <t>CLARO - AVENIDA JOSE MUNIA, 4775 - SHOPPING PLAZA AVENIDA - SPI7106</t>
  </si>
  <si>
    <t>LUC 227</t>
  </si>
  <si>
    <t>SPI7106</t>
  </si>
  <si>
    <t>40432544008393</t>
  </si>
  <si>
    <t>1912</t>
  </si>
  <si>
    <t>CLARO - AVENIDA SAO LUIS REI DA FRANCA, 8 - SHOPPING ANIL - NE10686</t>
  </si>
  <si>
    <t>LOJA 2031</t>
  </si>
  <si>
    <t>65064470</t>
  </si>
  <si>
    <t>NE10686</t>
  </si>
  <si>
    <t>40432544050918</t>
  </si>
  <si>
    <t>9807</t>
  </si>
  <si>
    <t>FUJIOKA - AVENIDA ANHANGUERA, 4714 - ZONA COMERCIAL - MGCO9809</t>
  </si>
  <si>
    <t>4714</t>
  </si>
  <si>
    <t>ESQ. AV. ANHANGUERA</t>
  </si>
  <si>
    <t>-16.673861 , -49.254893</t>
  </si>
  <si>
    <t>MGCO9809</t>
  </si>
  <si>
    <t>01008713000598</t>
  </si>
  <si>
    <t>ANHANGUERA</t>
  </si>
  <si>
    <t>LOJAS AMERICANAS - AVENIDA CONDESSA DE VIMIEIROS, 307/323 - SPC80067</t>
  </si>
  <si>
    <t>323</t>
  </si>
  <si>
    <t>-24.183691 , -46.786041</t>
  </si>
  <si>
    <t>SPC80067</t>
  </si>
  <si>
    <t>776574048000</t>
  </si>
  <si>
    <t>LOJAS AMERICANAS - RUA GENERAL OSORIO, 470 - SPI18469</t>
  </si>
  <si>
    <t>470</t>
  </si>
  <si>
    <t>-21.175121 , -47.809471</t>
  </si>
  <si>
    <t>SPI18469</t>
  </si>
  <si>
    <t>776574038803</t>
  </si>
  <si>
    <t>LOJAS AMERICANAS - AVENIDA RAIMUNDO PEREIRA DE MAGALHAES, 11001 - SHOPPING CANTAREIRA - SPC264340</t>
  </si>
  <si>
    <t>SPC264340</t>
  </si>
  <si>
    <t>776574098539</t>
  </si>
  <si>
    <t>MAGAZINE LUIZA - ESTRADA DO PORTELA, 162 - RJES248180</t>
  </si>
  <si>
    <t>-22.8717471,-43.3400706</t>
  </si>
  <si>
    <t>RJES248180</t>
  </si>
  <si>
    <t>47960950178370</t>
  </si>
  <si>
    <t>1631</t>
  </si>
  <si>
    <t>NAGEM INFORMATICA - RUA MANOEL CAVALCANTE, 805 - SHOPPING MANAIRA - NE10839</t>
  </si>
  <si>
    <t>NE10839</t>
  </si>
  <si>
    <t>24073694002522</t>
  </si>
  <si>
    <t>LJ NG JPA SH MANAIRA</t>
  </si>
  <si>
    <t>RIACHUELO - AVENIDA PRESIDENTE ERNESTO GEISEL, 2300 - SHOPPING NORTE SUL PLAZA - MGCO46760</t>
  </si>
  <si>
    <t>LOJA 28</t>
  </si>
  <si>
    <t>MGCO46760</t>
  </si>
  <si>
    <t>33200056007909</t>
  </si>
  <si>
    <t>RIACHUELO - AVENIDA BRASIL, 3954 - ZONA COMERCIAL - SUL47499</t>
  </si>
  <si>
    <t>-23.420512 , -51.940606</t>
  </si>
  <si>
    <t>SUL47499</t>
  </si>
  <si>
    <t>33200056011000</t>
  </si>
  <si>
    <t>RIACHUELO - RUA ALFREDO SCHURING, 124 - ZONA COMERCIAL - SPI48027</t>
  </si>
  <si>
    <t>124</t>
  </si>
  <si>
    <t>-23.30522 , -45.969597</t>
  </si>
  <si>
    <t>SPI48027</t>
  </si>
  <si>
    <t>33200056001544</t>
  </si>
  <si>
    <t>L011</t>
  </si>
  <si>
    <t>IMAGEM TELECOM - RUA DOUTOR MELO FREIRE, S/N - SHOPPING METRO TATUAPE - SPC6497</t>
  </si>
  <si>
    <t>SPC6497</t>
  </si>
  <si>
    <t>11057917001544</t>
  </si>
  <si>
    <t>IMAGEM TELECOM - METRO TATUAPE - SAP (42685)</t>
  </si>
  <si>
    <t>FACELL - RUA CONSELHEIRO JUNQUEIRA AYRES, 8 - SHOPPING PIEDADE - NE269860</t>
  </si>
  <si>
    <t>NE269860</t>
  </si>
  <si>
    <t>7366109002806</t>
  </si>
  <si>
    <t>TIM - AVENIDA AFONSO PENA, 788 - MGCO6856</t>
  </si>
  <si>
    <t>CONJUNTO 796/800</t>
  </si>
  <si>
    <t>30130003</t>
  </si>
  <si>
    <t>-19.920414 , -43.937946</t>
  </si>
  <si>
    <t>MGCO6856</t>
  </si>
  <si>
    <t>2421421011156</t>
  </si>
  <si>
    <t>C152</t>
  </si>
  <si>
    <t>TIM - AVENIDA FRANCISCO GLICERIO, 983 - SPI40010</t>
  </si>
  <si>
    <t>-22.905947, -47.0593826</t>
  </si>
  <si>
    <t>SPI40010</t>
  </si>
  <si>
    <t>02421421024800</t>
  </si>
  <si>
    <t>C329</t>
  </si>
  <si>
    <t>VIVO - AVENIDA DOUTOR FRANCISCO MESQUITA, 1000 - SHOPPING CENTRAL PLAZA - SPC7289</t>
  </si>
  <si>
    <t>LOJAS 198,199 E 209</t>
  </si>
  <si>
    <t>3153001</t>
  </si>
  <si>
    <t>SPC7289</t>
  </si>
  <si>
    <t>2558157005717</t>
  </si>
  <si>
    <t>LOJA SHOPPING CENTRAL PLAZA SP</t>
  </si>
  <si>
    <t>VIVO - RUA DOUTOR BOZZANO, 1110 - ZONA COMERCIAL - SUL11164</t>
  </si>
  <si>
    <t>RUA DOUTOR BOZZANO</t>
  </si>
  <si>
    <t>97015001</t>
  </si>
  <si>
    <t>-29.6868513 , -53.8100021</t>
  </si>
  <si>
    <t>SUL11164</t>
  </si>
  <si>
    <t>2558157037325</t>
  </si>
  <si>
    <t>LOJA SANTA MARIA CENTRO RS</t>
  </si>
  <si>
    <t>VIVO - RUA MAJOR CLAUDIANO, 1868 - ZONA COMERCIAL - SPI40109</t>
  </si>
  <si>
    <t>1868</t>
  </si>
  <si>
    <t>-20.5373209 , -47.400408</t>
  </si>
  <si>
    <t>SPI40109</t>
  </si>
  <si>
    <t>2558157010397</t>
  </si>
  <si>
    <t>LOJA FRANCA SP</t>
  </si>
  <si>
    <t>CARREFOUR - RUA MARAMBAIA, 200 - ZONA COMERCIAL - SPC11783</t>
  </si>
  <si>
    <t>RUA MARAMBAIA</t>
  </si>
  <si>
    <t>CASA VERDE</t>
  </si>
  <si>
    <t>2513000</t>
  </si>
  <si>
    <t>-23.5134299 , -46.6549922</t>
  </si>
  <si>
    <t>SPC11783</t>
  </si>
  <si>
    <t>45543915034400</t>
  </si>
  <si>
    <t>BCV</t>
  </si>
  <si>
    <t>FLEX CELL - RUA DOUTOR MELLO FREIRE, S/N - SHOPPING METRO TATUAPE - SPC233290</t>
  </si>
  <si>
    <t>LOJA 115/116</t>
  </si>
  <si>
    <t>TATUAPÉ</t>
  </si>
  <si>
    <t>SPC233290</t>
  </si>
  <si>
    <t>3243382003007</t>
  </si>
  <si>
    <t>CLARO - RUA ANTONIO AGU, 300 - PLAZA SHOPPING - SPC10973</t>
  </si>
  <si>
    <t>-23.530715 , -46.7774946</t>
  </si>
  <si>
    <t>SPC10973</t>
  </si>
  <si>
    <t>40432544002271</t>
  </si>
  <si>
    <t>CLARO - AVENIDA DO CONTORNO, 6061 - SHOPPING PATIO SAVASSI - MGCO7463</t>
  </si>
  <si>
    <t>AVENIDA DO CONTORNO</t>
  </si>
  <si>
    <t>6061</t>
  </si>
  <si>
    <t>LOJA 160</t>
  </si>
  <si>
    <t>30110929</t>
  </si>
  <si>
    <t>-19.940935 , -43.933998</t>
  </si>
  <si>
    <t>MGCO7463</t>
  </si>
  <si>
    <t>40432544037490</t>
  </si>
  <si>
    <t>3140</t>
  </si>
  <si>
    <t>Shopping Patio Savassi</t>
  </si>
  <si>
    <t>CLARO - RODOVIA BR 470, 3000 - BLUMENAU NORTE SHOPPING - SUL6306</t>
  </si>
  <si>
    <t>LOJA 101 E 102</t>
  </si>
  <si>
    <t>SUL6306</t>
  </si>
  <si>
    <t>40432544036508</t>
  </si>
  <si>
    <t>4809</t>
  </si>
  <si>
    <t>CLARO - AVENIDA DOUTOR FRANCISCO MESQUITA, 1000 - SHOPPING CENTRAL PLAZA - SPC7295</t>
  </si>
  <si>
    <t>-23.5939178 , -46.585139</t>
  </si>
  <si>
    <t>SPC7295</t>
  </si>
  <si>
    <t>40432544001623</t>
  </si>
  <si>
    <t>LOGIN INFORMATICA - RODOVIA BA 526, 305 - SALVADOR NORTE SHOPPING - NE19357</t>
  </si>
  <si>
    <t>NE19357</t>
  </si>
  <si>
    <t>00066716001163</t>
  </si>
  <si>
    <t>LOJAS AMERICANAS - AVENIDA 24 DE OUTUBRO, 934 - MGCO40417</t>
  </si>
  <si>
    <t>QUADRA 50 LOTE 6</t>
  </si>
  <si>
    <t>-16.670142736387866, -49.28707083558193</t>
  </si>
  <si>
    <t>MGCO40417</t>
  </si>
  <si>
    <t>776574119471</t>
  </si>
  <si>
    <t>L405</t>
  </si>
  <si>
    <t>LOJAS AMERICANAS - RUA FREI GASPAR, 365 - SHOPPING BRISAMAR - SPC21887</t>
  </si>
  <si>
    <t>SPC21887</t>
  </si>
  <si>
    <t>776574068974</t>
  </si>
  <si>
    <t>L287</t>
  </si>
  <si>
    <t>LOJAS AMERICANAS - AVENIDA NOEL NUTELS, 1762 - SAMAUMA SHOPPING - N39683</t>
  </si>
  <si>
    <t>LOJA 3105</t>
  </si>
  <si>
    <t>N39683</t>
  </si>
  <si>
    <t>776574125790</t>
  </si>
  <si>
    <t>LOJAS AMERICANAS - PRACA DOM PEDRO II, 47 - SPI231291</t>
  </si>
  <si>
    <t>PRACA DOM PEDRO II</t>
  </si>
  <si>
    <t>13330080</t>
  </si>
  <si>
    <t>-23.0868585 , -47.2144662</t>
  </si>
  <si>
    <t>SPI231291</t>
  </si>
  <si>
    <t>776574060728</t>
  </si>
  <si>
    <t>5061</t>
  </si>
  <si>
    <t>LOJAS SIMONETTI - AVENIDA CARLOS LINDENBERG, 7175 - ZONA COMERCIAL - RJES45065</t>
  </si>
  <si>
    <t>7175</t>
  </si>
  <si>
    <t>29122355</t>
  </si>
  <si>
    <t>-20.337995 , -40.3039028</t>
  </si>
  <si>
    <t>RJES45065</t>
  </si>
  <si>
    <t>31743818005430</t>
  </si>
  <si>
    <t>LOJAS SIMONETTI</t>
  </si>
  <si>
    <t>MAGAZINE LUIZA - AVENIDA RUI BARBOSA, 619 - ZONA COMERCIAL - SPC9207</t>
  </si>
  <si>
    <t>619</t>
  </si>
  <si>
    <t>6320000</t>
  </si>
  <si>
    <t>-23.519573 , -46.836273</t>
  </si>
  <si>
    <t>SPC9207</t>
  </si>
  <si>
    <t>47960950049996</t>
  </si>
  <si>
    <t>512</t>
  </si>
  <si>
    <t>MAGAZINE LUIZA - AVENIDA BARAO DE RIO BRANCO, 507 - SUL291380</t>
  </si>
  <si>
    <t>AVENIDA BARAO DE RIO BRANCO</t>
  </si>
  <si>
    <t>Torres</t>
  </si>
  <si>
    <t>95560000</t>
  </si>
  <si>
    <t>-29.3361597,-49.7342239</t>
  </si>
  <si>
    <t>SUL291380</t>
  </si>
  <si>
    <t>47960950094789</t>
  </si>
  <si>
    <t>993</t>
  </si>
  <si>
    <t>MAGAZINE LUIZA - CENTRO - PRACA BARAO DE LUCA, 2 - ZONA COMERCIAL - SPI10726</t>
  </si>
  <si>
    <t>CENTRO - PRACA BARAO DE LUCA</t>
  </si>
  <si>
    <t>-20.5360525 , -47.4129522</t>
  </si>
  <si>
    <t>SPI10726</t>
  </si>
  <si>
    <t>47960950001608</t>
  </si>
  <si>
    <t>MAGAZINE LUIZA - AVENIDA IGUALDADE, S/N - MGCO230930</t>
  </si>
  <si>
    <t>AVENIDA IGUALDADE</t>
  </si>
  <si>
    <t>GARAVELO</t>
  </si>
  <si>
    <t>-16.7656594, -49.34530600000001</t>
  </si>
  <si>
    <t>MGCO230930</t>
  </si>
  <si>
    <t>47960950124106</t>
  </si>
  <si>
    <t>MAGAZINE LUIZA - AVENIDA DOUTOR EDUARDO COTCHING, 2130 - ZONA COMERCIAL - SPC20309</t>
  </si>
  <si>
    <t>AVENIDA DOUTOR EDUARDO COATCHING</t>
  </si>
  <si>
    <t>3356001</t>
  </si>
  <si>
    <t>-23.567337 , -46.542122</t>
  </si>
  <si>
    <t>SPC20309</t>
  </si>
  <si>
    <t>47960950050498</t>
  </si>
  <si>
    <t>534</t>
  </si>
  <si>
    <t>RIACHUELO - RUA DOUTOR DEODATO WERTHEIMER, 1448 - ZONA COMERCIAL - SPC48894</t>
  </si>
  <si>
    <t>1448</t>
  </si>
  <si>
    <t>-23.523698 , -46.19447</t>
  </si>
  <si>
    <t>SPC48894</t>
  </si>
  <si>
    <t>33200056031532</t>
  </si>
  <si>
    <t>L163</t>
  </si>
  <si>
    <t>IMAGEM TELECOM - AVENIDA JOSE PINHEIRO BORGES, S/N - SHOPPING METRO ITAQUERA - SPC6754</t>
  </si>
  <si>
    <t>LOJA 283</t>
  </si>
  <si>
    <t>SPC6754</t>
  </si>
  <si>
    <t>11057917000220</t>
  </si>
  <si>
    <t>IMAGEM - SHOPPING ITAQUERA - SAP (19051)</t>
  </si>
  <si>
    <t>CONECTRIO - AVENIDA HILDO SOUTO MAIOR, 3901 - MANGABEIRA SHOPPING - NE45431</t>
  </si>
  <si>
    <t>MANGABEIRA</t>
  </si>
  <si>
    <t>-7.162198800000001 , -34.8305084</t>
  </si>
  <si>
    <t>NE45431</t>
  </si>
  <si>
    <t>11105504000605</t>
  </si>
  <si>
    <t>IMAGEM TELECOM - AVENIDA MIGUEL COUTO, 564 - SPI290640</t>
  </si>
  <si>
    <t>AVENIDA MIGUEL COUTO</t>
  </si>
  <si>
    <t>-23.8843977,-46.4237242</t>
  </si>
  <si>
    <t>SPI290640</t>
  </si>
  <si>
    <t>2421421000111</t>
  </si>
  <si>
    <t>TIM - AVENIDA BRASILIA, 146 - SHOPPING 3 AMERICAS - MGCO10275</t>
  </si>
  <si>
    <t>LOJA 272</t>
  </si>
  <si>
    <t>MGCO10275</t>
  </si>
  <si>
    <t>2421421021119</t>
  </si>
  <si>
    <t>C062</t>
  </si>
  <si>
    <t>COMMCENTER - RODOVIA REGIS BITTENCOURT KM 271, 2643 - SHOPPING TABOAO DA SERRA - SPC19446</t>
  </si>
  <si>
    <t>SPC19446</t>
  </si>
  <si>
    <t>05828732001240</t>
  </si>
  <si>
    <t>VIVO - RUA RAUL LOPES, 1000 - SHOPPING TERESINA - NE50017</t>
  </si>
  <si>
    <t>Loja 298/299</t>
  </si>
  <si>
    <t>64046010</t>
  </si>
  <si>
    <t>NE50017</t>
  </si>
  <si>
    <t>2558157071779</t>
  </si>
  <si>
    <t>LOJA TERESINA SHOPPING PI</t>
  </si>
  <si>
    <t>VIVO - RODOVIA RSC 453, 2780 - SHOPPING VILLAGIO CAXIAS - SUL6220</t>
  </si>
  <si>
    <t>95001970</t>
  </si>
  <si>
    <t>-29.1760593 , -51.2203437</t>
  </si>
  <si>
    <t>SUL6220</t>
  </si>
  <si>
    <t>2558157039611</t>
  </si>
  <si>
    <t>LOJA CAXIAS DO SUL SHOPPING RS</t>
  </si>
  <si>
    <t>CARREFOUR - RUA BANCARIO SERGIO GUERRA, 900 - ZONA COMERCIAL - NE22026</t>
  </si>
  <si>
    <t>RUA BANCARIO SERGIO GUERRA</t>
  </si>
  <si>
    <t>BANCARIOS</t>
  </si>
  <si>
    <t>58052000</t>
  </si>
  <si>
    <t>-7.146889068567061 , -34.84937080939325</t>
  </si>
  <si>
    <t>NE22026</t>
  </si>
  <si>
    <t>45593915044120</t>
  </si>
  <si>
    <t>CARREFOUR - RODOVIA RAPOSO TAVARES, S/N - ZONA COMERCIAL - SPC6510</t>
  </si>
  <si>
    <t>7201</t>
  </si>
  <si>
    <t>KM 17+160 METROS</t>
  </si>
  <si>
    <t>JARDIM CAMBARA</t>
  </si>
  <si>
    <t>5577000</t>
  </si>
  <si>
    <t>-23.58471615634947, -46.77887852783173</t>
  </si>
  <si>
    <t>SPC6510</t>
  </si>
  <si>
    <t>45543915002206</t>
  </si>
  <si>
    <t>SPO</t>
  </si>
  <si>
    <t>CASA &amp; VIDEO - RUA DOUTOR SILVIO BASTOS TAVARES, 316 - SHOPPING PARTAGE CAMPOS - RJES18698</t>
  </si>
  <si>
    <t>RUA DOUTOR SILVIO BASTOS TAVARES</t>
  </si>
  <si>
    <t>316</t>
  </si>
  <si>
    <t>PARQUE LEOPOLDINA</t>
  </si>
  <si>
    <t>-21.7554412 , -41.3489325</t>
  </si>
  <si>
    <t>RJES18698</t>
  </si>
  <si>
    <t>BOULEVARD CAMPOS</t>
  </si>
  <si>
    <t>CASAS BAHIA - AVENIDA CONCEICAO SAMMARTINO, 146 - ZONA COMERCIAL - SPC11251</t>
  </si>
  <si>
    <t>AVENIDA CONCEICAO SAMARITANO</t>
  </si>
  <si>
    <t>23,25,27 E 35</t>
  </si>
  <si>
    <t>Jandira</t>
  </si>
  <si>
    <t>6600080</t>
  </si>
  <si>
    <t>-23.531185 , -46.902992</t>
  </si>
  <si>
    <t>SPC11251</t>
  </si>
  <si>
    <t>33041260105500</t>
  </si>
  <si>
    <t>CONNECT CELL (CLARO) - AVENIDA HILTON SOUTO MAIOR, 3901 - MANGABEIRA SHOPPING - NE262380</t>
  </si>
  <si>
    <t>LOJA P1 105</t>
  </si>
  <si>
    <t>NE262380</t>
  </si>
  <si>
    <t>13985813000715</t>
  </si>
  <si>
    <t>PONTO CERTO - ESTRADA RODRIGUES CALDAS, 127 - TAQUARA PLAZA SHOPPING - RJES264030</t>
  </si>
  <si>
    <t>22713272</t>
  </si>
  <si>
    <t>RJES264030</t>
  </si>
  <si>
    <t>5142929004409</t>
  </si>
  <si>
    <t>HS - AVENIDA ENGENHEIRO JOSE NELSON MACHADO, 280 - SPI233100</t>
  </si>
  <si>
    <t>AVENIDA ENGENHEIRO JOSE NELSON MACHADO</t>
  </si>
  <si>
    <t>15800200</t>
  </si>
  <si>
    <t>-21.1357107 , -48.9688041</t>
  </si>
  <si>
    <t>SPI233100</t>
  </si>
  <si>
    <t>05923253002951</t>
  </si>
  <si>
    <t>LOJAS COLOMBO - AVENIDA PEDRO ADAMS FILHO, 5276 - ZONA COMERCIAL - SUL10074</t>
  </si>
  <si>
    <t>5273</t>
  </si>
  <si>
    <t>-29.686146 , -51.129635</t>
  </si>
  <si>
    <t>SUL10074</t>
  </si>
  <si>
    <t>89848543005217</t>
  </si>
  <si>
    <t>LOJAS AMERICANAS - RUA TUPIS, 337 - SHOPPING CIDADE - MGCO5808</t>
  </si>
  <si>
    <t>MGCO5808</t>
  </si>
  <si>
    <t>776574110849</t>
  </si>
  <si>
    <t>L156</t>
  </si>
  <si>
    <t>LOJAS CEM - RUA DOUTOR ANISIO MOREIRA, 2061 - ZONA COMERCIAL - SPI44608</t>
  </si>
  <si>
    <t>PRACA DRUA ANISIO JOSE MOREIRA</t>
  </si>
  <si>
    <t>2069</t>
  </si>
  <si>
    <t>Mirassol</t>
  </si>
  <si>
    <t>15130000</t>
  </si>
  <si>
    <t>-20.816471 , -49.51211</t>
  </si>
  <si>
    <t>SPI44608</t>
  </si>
  <si>
    <t>56642960023150</t>
  </si>
  <si>
    <t>MIRASS</t>
  </si>
  <si>
    <t>MAGAZINE LUIZA - AVENIDA COLOMBO, 9161 - SHOPPING CATUAI MARINGA - SUL9146</t>
  </si>
  <si>
    <t>AVENIDA COLOMBO</t>
  </si>
  <si>
    <t>9161</t>
  </si>
  <si>
    <t>LUC 62/63</t>
  </si>
  <si>
    <t>GLEBA PATRIMONIO MARINGA</t>
  </si>
  <si>
    <t>87070000</t>
  </si>
  <si>
    <t>-23.420317 , -51.970039</t>
  </si>
  <si>
    <t>SUL9146</t>
  </si>
  <si>
    <t>47960950055961</t>
  </si>
  <si>
    <t>Shopping Catuai Maringa</t>
  </si>
  <si>
    <t>CELMAX - AVENIDA ANHANGUERA, 14404 - SHOPPING PORTAL - MGCO238390</t>
  </si>
  <si>
    <t>QD AREA LT 39 A N</t>
  </si>
  <si>
    <t>Capuava</t>
  </si>
  <si>
    <t>-16.6542534, -49.32938350000001</t>
  </si>
  <si>
    <t>MGCO238390</t>
  </si>
  <si>
    <t>20881831000127</t>
  </si>
  <si>
    <t>IMAGEM TELECOM - AVENIDA ANTARTICA, 380 - SHOPPING WEST PLAZA - SPC6468</t>
  </si>
  <si>
    <t>-23.5271065, -46.6744199</t>
  </si>
  <si>
    <t>SPC6468</t>
  </si>
  <si>
    <t>11057917002001</t>
  </si>
  <si>
    <t>IMAGEM - SHOPPING WEST PLAZA - SAP (43336)</t>
  </si>
  <si>
    <t>CONECTRIO - AVENIDA ADJAR DA SILVA CASE, 800 - SHOPPING CARUARU - NE22704</t>
  </si>
  <si>
    <t>-8.2947436 , -35.9522597</t>
  </si>
  <si>
    <t>NE22704</t>
  </si>
  <si>
    <t>11105504001407</t>
  </si>
  <si>
    <t>IMAGEM TELECOM - AVENIDA VEREADOR NARCISO YAGUE GUIMARAES, 1001 - SHOPPING MOGI DAS CRUZES - SPC245160</t>
  </si>
  <si>
    <t>MOGI DAS CRUZES</t>
  </si>
  <si>
    <t>SPC245160</t>
  </si>
  <si>
    <t>110577991700103</t>
  </si>
  <si>
    <t>CONECTRIO - AVENIDA BARRETO DE MENEZES, 800 - SHOPPING GUARARAPES - NE271910</t>
  </si>
  <si>
    <t>82639574</t>
  </si>
  <si>
    <t>NE271910</t>
  </si>
  <si>
    <t>11105504001326</t>
  </si>
  <si>
    <t>IANK CELL - RUA MARIO LOBO, 106 - SHOPPING CIDADE DAS FLORES - SUL7950</t>
  </si>
  <si>
    <t>RUA MARIO LOBO</t>
  </si>
  <si>
    <t>106</t>
  </si>
  <si>
    <t>89200001</t>
  </si>
  <si>
    <t>-26.2984648 , -48.84826890000001</t>
  </si>
  <si>
    <t>SUL7950</t>
  </si>
  <si>
    <t>08640305001060</t>
  </si>
  <si>
    <t>Shopping Cidade Das Flores</t>
  </si>
  <si>
    <t>COMMCENTER - RUA YOLANDA SAAD ABUZAID, 150 - RJES257360</t>
  </si>
  <si>
    <t>ALCÂNTARA</t>
  </si>
  <si>
    <t>-22.8213419,-43.0036465</t>
  </si>
  <si>
    <t>RJES257360</t>
  </si>
  <si>
    <t>5828732012013</t>
  </si>
  <si>
    <t>VIVO - AVENIDA AYRTON SENNA DA SILVA, 1511 - SHOPPING LITORAL PLAZA - SPC7290</t>
  </si>
  <si>
    <t>LOJAS 01 E 02</t>
  </si>
  <si>
    <t>SPC7290</t>
  </si>
  <si>
    <t>2558157005121</t>
  </si>
  <si>
    <t>LOJA LITORAL PLAZA SHOPPING SP</t>
  </si>
  <si>
    <t>CARREFOUR - AVENIDA RIO DAS PEDRAS, 555 - ZONA COMERCIAL - SPC18747</t>
  </si>
  <si>
    <t>AVENIDA RIO DAS PEDRAS</t>
  </si>
  <si>
    <t>3453000</t>
  </si>
  <si>
    <t>-23.56197 , -46.517021</t>
  </si>
  <si>
    <t>SPC18747</t>
  </si>
  <si>
    <t>45543915001587</t>
  </si>
  <si>
    <t>SPR</t>
  </si>
  <si>
    <t>CASAS BAHIA - AVENIDA DOUTOR JOAO MEDEIROS FILHO, 2395 - PARTAGE NORTE SHOPPING - NE255020</t>
  </si>
  <si>
    <t>59120000</t>
  </si>
  <si>
    <t>NE255020</t>
  </si>
  <si>
    <t>33041260178222</t>
  </si>
  <si>
    <t>2147</t>
  </si>
  <si>
    <t>CASAS BAHIA - AVENIDA DANIEL DE LA TOUCHE, 987 - SHOPPING DA ILHA - N249710</t>
  </si>
  <si>
    <t>N249710</t>
  </si>
  <si>
    <t>33041260156504</t>
  </si>
  <si>
    <t>1811</t>
  </si>
  <si>
    <t>CLARO AA - AVENIDA THEODORO VICTORELLI, 150 - BOULEVARD LONDRINA SHOPPING - SUL244430</t>
  </si>
  <si>
    <t>LOJA 69</t>
  </si>
  <si>
    <t>HELENA</t>
  </si>
  <si>
    <t>LONDRINA</t>
  </si>
  <si>
    <t>SUL244430</t>
  </si>
  <si>
    <t>18248878000882</t>
  </si>
  <si>
    <t>HS - RUA CONSELHEIRO JUNQUEIRA AYRES, 8 - SHOPPING PIEDADE - NE288450</t>
  </si>
  <si>
    <t>LOJA 66, BARRIS</t>
  </si>
  <si>
    <t>NE288450</t>
  </si>
  <si>
    <t>5923253005977</t>
  </si>
  <si>
    <t>FLEX CELL - RUA GOVERNADOR PEDRO DE TOLEDO, 987 - SPI11525</t>
  </si>
  <si>
    <t>-22.7260649 , -47.6479282</t>
  </si>
  <si>
    <t>SPI11525</t>
  </si>
  <si>
    <t>3243382004674</t>
  </si>
  <si>
    <t>FLEX CELL - RUA 7 DE SETEMBRO, 555 - SHOPPING SUZANO - SPC8786</t>
  </si>
  <si>
    <t>-23.5425943 , -46.3186688</t>
  </si>
  <si>
    <t>SPC8786</t>
  </si>
  <si>
    <t>3243382000253</t>
  </si>
  <si>
    <t>CLARO - RUA CAPITAO PACHECO E CHAVES, 313 - MOOCA PLAZA SHOPPING - SPC21909</t>
  </si>
  <si>
    <t>RUA CAPITAO PACHECO E CHAVES</t>
  </si>
  <si>
    <t>MOOCA</t>
  </si>
  <si>
    <t>3126000</t>
  </si>
  <si>
    <t>-23.579779 , -46.594509</t>
  </si>
  <si>
    <t>SPC21909</t>
  </si>
  <si>
    <t>40432544032502</t>
  </si>
  <si>
    <t>Shopping Mooca Plaza</t>
  </si>
  <si>
    <t>CLARO - RUA MANUEL CORREIA, 26 - ZONA COMERCIAL - RJES6032</t>
  </si>
  <si>
    <t>RUA MANOEL CORREIA</t>
  </si>
  <si>
    <t>26</t>
  </si>
  <si>
    <t>-22.786330991802366 , -43.31138698182298</t>
  </si>
  <si>
    <t>RJES6032</t>
  </si>
  <si>
    <t>40432544004800</t>
  </si>
  <si>
    <t>2108</t>
  </si>
  <si>
    <t>ELETROZEMA - AVENIDA PIO XII, 651 - MGCO287540</t>
  </si>
  <si>
    <t>QD 97 LT 7/17</t>
  </si>
  <si>
    <t>VILA AURORA OESTE</t>
  </si>
  <si>
    <t>-16.6781456,-49.3118066</t>
  </si>
  <si>
    <t>MGCO287540</t>
  </si>
  <si>
    <t>26404731062035</t>
  </si>
  <si>
    <t>ELETROZEMA</t>
  </si>
  <si>
    <t>ELETROZEMA - AVENIDA ANHANGUERA, 4596 - MGCO269550</t>
  </si>
  <si>
    <t>4596</t>
  </si>
  <si>
    <t>-16.6734176,-49.2565256</t>
  </si>
  <si>
    <t>MGCO269550</t>
  </si>
  <si>
    <t>26404731060334</t>
  </si>
  <si>
    <t>GAZIN - RUA BARAO DO RIO BRANCO, 1239 - MGCO227500</t>
  </si>
  <si>
    <t>79002174</t>
  </si>
  <si>
    <t>-20.4621226 , -54.6169069</t>
  </si>
  <si>
    <t>MGCO227500</t>
  </si>
  <si>
    <t>77941490033916</t>
  </si>
  <si>
    <t>10336</t>
  </si>
  <si>
    <t>LOJAS AMERICANAS - RUA DOUTOR ALFREDO BACKER, 500 - RJES266900</t>
  </si>
  <si>
    <t>LOJA 01,02,43 E 44</t>
  </si>
  <si>
    <t>-22.8187646,-43.0075147</t>
  </si>
  <si>
    <t>RJES266900</t>
  </si>
  <si>
    <t>776574083264</t>
  </si>
  <si>
    <t>5228</t>
  </si>
  <si>
    <t>LOJAS AMERICANAS - RUA TENENTE AVELAR PIRES DE AZEVEDO, 81 - SHOPPING OSASCO PLAZA - SPC64391</t>
  </si>
  <si>
    <t>LOJA 12 E 154</t>
  </si>
  <si>
    <t>SPC64391</t>
  </si>
  <si>
    <t>776574131927</t>
  </si>
  <si>
    <t>L533</t>
  </si>
  <si>
    <t>LOJAS AMERICANAS - AVENIDA MINISTRO GERALDO BARRETO SOBRAL, 215 - SHOPPING JARDINS - NE10408</t>
  </si>
  <si>
    <t>LOJA 147</t>
  </si>
  <si>
    <t>NE10408</t>
  </si>
  <si>
    <t>776574140837</t>
  </si>
  <si>
    <t>L136</t>
  </si>
  <si>
    <t>LOJAS AMERICANAS - ALAMEDA SANTA LUZIA QUADRA 00, 06B-2 - AGUAS LINDAS SHOPPING - MGCO236300</t>
  </si>
  <si>
    <t>06B2</t>
  </si>
  <si>
    <t>-15.7358468 , -48.2748479</t>
  </si>
  <si>
    <t>MGCO236300</t>
  </si>
  <si>
    <t>776574157560</t>
  </si>
  <si>
    <t>L183</t>
  </si>
  <si>
    <t>LOJAS AMERICANAS - RODOVIA BR 316 KM 8, 1113 - ZONA COMERCIAL - N63541</t>
  </si>
  <si>
    <t>RODOVIA BR 316 KM 8</t>
  </si>
  <si>
    <t>67030000</t>
  </si>
  <si>
    <t>-1.3673368, -48.37645</t>
  </si>
  <si>
    <t>N63541</t>
  </si>
  <si>
    <t>776574153149</t>
  </si>
  <si>
    <t>LOJAS AMERICANAS - JOAQUIM MURTINHO, 196 - MGCO45791</t>
  </si>
  <si>
    <t>JOAQUIM MURTINHO</t>
  </si>
  <si>
    <t>196</t>
  </si>
  <si>
    <t>-15.5977724, -56.0970964</t>
  </si>
  <si>
    <t>MGCO45791</t>
  </si>
  <si>
    <t>776574009536</t>
  </si>
  <si>
    <t>L447</t>
  </si>
  <si>
    <t>LOJAS AMERICANAS - AVENIDA CARLOS LINDENBERG, 710 - RJES42267</t>
  </si>
  <si>
    <t>-20.3381765 , -40.3045151</t>
  </si>
  <si>
    <t>RJES42267</t>
  </si>
  <si>
    <t>776574012081</t>
  </si>
  <si>
    <t>L603</t>
  </si>
  <si>
    <t>LOJAS AMERICANAS - RUA MANOEL HONORATO DA COSTA, 555 - SHOPPING CAMARA - NE239680</t>
  </si>
  <si>
    <t>RUA MANOEL HONORATO DA COSTA</t>
  </si>
  <si>
    <t>VILA DA FABRICA</t>
  </si>
  <si>
    <t>54759475</t>
  </si>
  <si>
    <t>-8.016197687578288, -34.977778344776056</t>
  </si>
  <si>
    <t>NE239680</t>
  </si>
  <si>
    <t>776574129191</t>
  </si>
  <si>
    <t>1141</t>
  </si>
  <si>
    <t>Shopping Camara</t>
  </si>
  <si>
    <t>LOJAS SIMONETTI - AVENIDA EXPEDITO GARCIA, 175 - ZONA COMERCIAL - RJES44993</t>
  </si>
  <si>
    <t>-20.3419833 , -40.3837293</t>
  </si>
  <si>
    <t>RJES44993</t>
  </si>
  <si>
    <t>31743818005359</t>
  </si>
  <si>
    <t>MAGAZINE LUIZA - AVENIDA PROFESSOR CELESTINO BOURROUL, 858 - ZONA COMERCIAL - SPC6518</t>
  </si>
  <si>
    <t>AVENIDA PROFESSOR CELESTINO BOURROUL</t>
  </si>
  <si>
    <t>858</t>
  </si>
  <si>
    <t>2710001</t>
  </si>
  <si>
    <t>-23.506138 , -46.673325</t>
  </si>
  <si>
    <t>SPC6518</t>
  </si>
  <si>
    <t>47960950054132</t>
  </si>
  <si>
    <t>RIACHUELO - AVENIDA ADOLFO PINHEIRO, 55-65 - SPC46047</t>
  </si>
  <si>
    <t>AVENIDA ADOLFO PINHEIRO</t>
  </si>
  <si>
    <t>65 A 79</t>
  </si>
  <si>
    <t>4733000</t>
  </si>
  <si>
    <t>-23.651797 , -46.705447</t>
  </si>
  <si>
    <t>SPC46047</t>
  </si>
  <si>
    <t>33200056037905</t>
  </si>
  <si>
    <t>L288</t>
  </si>
  <si>
    <t>RIACHUELO - RUA FREI GASPAR, 365 - SHOPPING BRISAMAR - SPC46049</t>
  </si>
  <si>
    <t>SUCS 102 E 103</t>
  </si>
  <si>
    <t>SPC46049</t>
  </si>
  <si>
    <t>33200056013127</t>
  </si>
  <si>
    <t>L007</t>
  </si>
  <si>
    <t>TIM - AVENIDA FREI SERAFIM, 2420 - NE244390</t>
  </si>
  <si>
    <t>AVENIDA FREI SERAFIM</t>
  </si>
  <si>
    <t>2420</t>
  </si>
  <si>
    <t>TERESINA</t>
  </si>
  <si>
    <t>64001020</t>
  </si>
  <si>
    <t>-5.0872479,-42.8060034</t>
  </si>
  <si>
    <t>NE244390</t>
  </si>
  <si>
    <t>2421421023405</t>
  </si>
  <si>
    <t>C163</t>
  </si>
  <si>
    <t>CELULAR STATION - ESTRADA DO MONTEIRO, 1200 - PARK SHOPPING CAMPO GRANDE - RJES11096</t>
  </si>
  <si>
    <t>RJES11096</t>
  </si>
  <si>
    <t>2714643001528</t>
  </si>
  <si>
    <t>COMMCENTER - RUA TRES, 1408 - SPI232020</t>
  </si>
  <si>
    <t>1408</t>
  </si>
  <si>
    <t>-22.4070062 , -47.5607917</t>
  </si>
  <si>
    <t>SPI232020</t>
  </si>
  <si>
    <t>VIVO - RUA MARIA SOARES SENDAS, 111 - SHOPPING GRANDE RIO - RJES288150</t>
  </si>
  <si>
    <t>LJ 205/206</t>
  </si>
  <si>
    <t>25581325</t>
  </si>
  <si>
    <t>RJES288150</t>
  </si>
  <si>
    <t>2558157094124</t>
  </si>
  <si>
    <t>LOJA SHOPPING GRANDE RIO RJ</t>
  </si>
  <si>
    <t>CASAS BAHIA - RUA SETE DE SETEMBRO, 1999 - ZONA COMERCIAL - SPI37293</t>
  </si>
  <si>
    <t>1999</t>
  </si>
  <si>
    <t>JOSE BONIFACIO,2333</t>
  </si>
  <si>
    <t>-20.816488 , -49.512951</t>
  </si>
  <si>
    <t>SPI37293</t>
  </si>
  <si>
    <t>33041260122944</t>
  </si>
  <si>
    <t>1546</t>
  </si>
  <si>
    <t>CASAS BAHIA - AVENIDA SAO MIGUEL, 4525 - ZONA COMERCIAL - SPC11201</t>
  </si>
  <si>
    <t>4525</t>
  </si>
  <si>
    <t>4527 E 4533</t>
  </si>
  <si>
    <t>PARQUE BOTURUSSU</t>
  </si>
  <si>
    <t>-23.507383 , -46.489803</t>
  </si>
  <si>
    <t>SPC11201</t>
  </si>
  <si>
    <t>33041260114410</t>
  </si>
  <si>
    <t>1011</t>
  </si>
  <si>
    <t>CASAS BAHIA - AVENIDA PROFESSOR CELESTINO BOURROUL, 847 - ZONA COMERCIAL - SPC11275</t>
  </si>
  <si>
    <t>FILIAL 1409</t>
  </si>
  <si>
    <t>-23.506178 , -46.673367</t>
  </si>
  <si>
    <t>SPC11275</t>
  </si>
  <si>
    <t>33041260106744</t>
  </si>
  <si>
    <t>1409</t>
  </si>
  <si>
    <t>FLEX CELL - RUA DOM PEDRO II, 178 - POLI SHOPPING - SPC238180</t>
  </si>
  <si>
    <t>RUA DOM PEDRO II, 178</t>
  </si>
  <si>
    <t>178</t>
  </si>
  <si>
    <t>LOJA 102</t>
  </si>
  <si>
    <t>7012071</t>
  </si>
  <si>
    <t>-23.4704342, -46.5287842</t>
  </si>
  <si>
    <t>SPC238180</t>
  </si>
  <si>
    <t>3243382000687</t>
  </si>
  <si>
    <t>Poli Shopping</t>
  </si>
  <si>
    <t>FLEX CELL - ESTRADA MUNICIPAL DO MANDI, 1205 - ITAQUA GARDEN SHOPPING - SPC234190</t>
  </si>
  <si>
    <t>LOJA 1024 PISO 1</t>
  </si>
  <si>
    <t>SPC234190</t>
  </si>
  <si>
    <t>03243382001730</t>
  </si>
  <si>
    <t>PONTO CERTO - RODOVIA WASHINGTON LUIZ, 2895 - SHOPPING CAXIAS - RJES21855</t>
  </si>
  <si>
    <t>LOJA 210-C</t>
  </si>
  <si>
    <t>RJES21855</t>
  </si>
  <si>
    <t>05142929000179</t>
  </si>
  <si>
    <t>TELECEL (CLARO) - AVENIDA ANHANGUERA, 4795 - MGCO273800</t>
  </si>
  <si>
    <t>4795</t>
  </si>
  <si>
    <t>QUADRA 38 LOTE 98</t>
  </si>
  <si>
    <t>-16.6743005,-49.2562304</t>
  </si>
  <si>
    <t>MGCO273800</t>
  </si>
  <si>
    <t>3555618003989</t>
  </si>
  <si>
    <t>PONTO CERTO - AVENIDA DAS AMERICAS, 15500 - AMERICAS SHOPPING - RJES19504</t>
  </si>
  <si>
    <t>RJES19504</t>
  </si>
  <si>
    <t>5142929004247</t>
  </si>
  <si>
    <t>FAJULUTI GAVEA - PRACA CARLOS GIANELLI, S/N - SHOPPING PATIO ALCANTARA - RJES277830</t>
  </si>
  <si>
    <t>PRACA CARLOS GIANELLI</t>
  </si>
  <si>
    <t>24710465</t>
  </si>
  <si>
    <t>-22.8201626 , -43.0032404</t>
  </si>
  <si>
    <t>RJES277830</t>
  </si>
  <si>
    <t>26117255000203</t>
  </si>
  <si>
    <t>Shopping Patio Alcantara</t>
  </si>
  <si>
    <t>PONTO CERTO - AVENIDA PRESIDENTE KENNEDY, 1777 - ELA SHOPPING - RJES21015</t>
  </si>
  <si>
    <t>25010007</t>
  </si>
  <si>
    <t>-22.7863533 , -43.3112427</t>
  </si>
  <si>
    <t>RJES21015</t>
  </si>
  <si>
    <t>5142929003003</t>
  </si>
  <si>
    <t>HS - RUA LOURENCO PRADO, 364 - ZONA COMERCIAL - SPI8774</t>
  </si>
  <si>
    <t>364</t>
  </si>
  <si>
    <t>-22.294983 , -48.55759</t>
  </si>
  <si>
    <t>SPI8774</t>
  </si>
  <si>
    <t>05923253000827</t>
  </si>
  <si>
    <t>CLARO - ESTRADA DO PORTELA, 222 - SHOPPING MADUREIRA - RJES6099</t>
  </si>
  <si>
    <t>LOJA 350/351</t>
  </si>
  <si>
    <t>RJES6099</t>
  </si>
  <si>
    <t>40432544005963</t>
  </si>
  <si>
    <t>CLARO - AVENIDA ALFREDO ANTONIO DE OLIVEIRA, 2077 - SHOPPING CIDADE NORTE - SPI7098</t>
  </si>
  <si>
    <t>SPI7098</t>
  </si>
  <si>
    <t>40432544048859</t>
  </si>
  <si>
    <t>1964</t>
  </si>
  <si>
    <t>FUJIOKA - AVENIDA JUCELINO KUBITSCHEK - QD 21 - LT 05, S/N - ZONA COMERCIAL - MGCO19244</t>
  </si>
  <si>
    <t>AVENIDA JUCELINO KUBITSCHEK - QD 21 - LT 05</t>
  </si>
  <si>
    <t>-15.72819842224862, -48.28417392705609</t>
  </si>
  <si>
    <t>MGCO19244</t>
  </si>
  <si>
    <t>1008713007177</t>
  </si>
  <si>
    <t>HAVAN - ROD BR 470,3000 LJ C2 - ZONA COMERCIAL - SUL18658</t>
  </si>
  <si>
    <t>SUL18658</t>
  </si>
  <si>
    <t>79379491002984</t>
  </si>
  <si>
    <t>28 - NORTE SHOPPING</t>
  </si>
  <si>
    <t>LE BISCUIT - AVENIDA GERMANO FRANK, 300 - SHOPPING PARANGABA - NE252600</t>
  </si>
  <si>
    <t>AVENIDA GERMANO FRANK</t>
  </si>
  <si>
    <t>NE252600</t>
  </si>
  <si>
    <t>16233389006439</t>
  </si>
  <si>
    <t>LOJAS AMERICANAS - RUA 12 DE OUTUBRO, 82 - SPC11088</t>
  </si>
  <si>
    <t>82</t>
  </si>
  <si>
    <t>5073000</t>
  </si>
  <si>
    <t>-23.518862 , -46.703609</t>
  </si>
  <si>
    <t>SPC11088</t>
  </si>
  <si>
    <t>776574022044</t>
  </si>
  <si>
    <t>L029</t>
  </si>
  <si>
    <t>LOJAS AMERICANAS - RODOVIA FERNAO DIAS KM 492, 601 - SHOPPING METROPOLITAN - MGCO45643</t>
  </si>
  <si>
    <t>KM 492</t>
  </si>
  <si>
    <t>MGCO45643</t>
  </si>
  <si>
    <t>776574084317</t>
  </si>
  <si>
    <t>LOJAS AMERICANAS - AVENIDA ARICANDUVA, 5555 - SHOPPING ARICANDUVA - SPC6503</t>
  </si>
  <si>
    <t>LOJA ANCORA F</t>
  </si>
  <si>
    <t>SPC6503</t>
  </si>
  <si>
    <t>776574093650</t>
  </si>
  <si>
    <t>LOJAS AMERICANAS - AVENIDA RAIMUNDO PEREIRA DE MAGALHAES, 1465 - TIETE PLAZA SHOPPING - SPC64314</t>
  </si>
  <si>
    <t>SUC 2041 A 2043</t>
  </si>
  <si>
    <t>5145907</t>
  </si>
  <si>
    <t>SPC64314</t>
  </si>
  <si>
    <t>776574095785</t>
  </si>
  <si>
    <t>L794</t>
  </si>
  <si>
    <t>LOJAS AMERICANAS - AVENIDA NOVE DE JULHO, 564 - SPC23045</t>
  </si>
  <si>
    <t>-23.5207781 , -46.3430877</t>
  </si>
  <si>
    <t>SPC23045</t>
  </si>
  <si>
    <t>776574028247</t>
  </si>
  <si>
    <t>L548</t>
  </si>
  <si>
    <t>LOJAS AMERICANAS - AVENIDA MARECHAL FONTENELLE , 3545 - SHOPPING SULACAP - RJES10177</t>
  </si>
  <si>
    <t>21740001</t>
  </si>
  <si>
    <t>RJES10177</t>
  </si>
  <si>
    <t>776574116707</t>
  </si>
  <si>
    <t>MAGAZINE LUIZA - RUA CONCEICAO SAMMARTINO, 88 - ZONA COMERCIAL - SPC44818</t>
  </si>
  <si>
    <t>RUA CONCEICAO SAMMARTINO</t>
  </si>
  <si>
    <t>-23.532162 , -46.903296</t>
  </si>
  <si>
    <t>SPC44818</t>
  </si>
  <si>
    <t>47960950095165</t>
  </si>
  <si>
    <t>497</t>
  </si>
  <si>
    <t>MAGAZINE LUIZA - AVENIDA REVERENDO AMERICO VESPUCIO CABRAL, 331 - SUL270570</t>
  </si>
  <si>
    <t>AVENIDA REVERENDO AMERICO VESPUCIO CABRAL</t>
  </si>
  <si>
    <t>Viamão</t>
  </si>
  <si>
    <t>94410300</t>
  </si>
  <si>
    <t>-30.0830398,-51.0339716</t>
  </si>
  <si>
    <t>SUL270570</t>
  </si>
  <si>
    <t>47960950029375</t>
  </si>
  <si>
    <t>426</t>
  </si>
  <si>
    <t>MAGAZINE LUIZA - AVENIDA RUI BARBOSA, 500 - N280700</t>
  </si>
  <si>
    <t>68005080</t>
  </si>
  <si>
    <t>-2.4191909,-54.7139422</t>
  </si>
  <si>
    <t>N280700</t>
  </si>
  <si>
    <t>47960950123479</t>
  </si>
  <si>
    <t>PONTO FRIO - RUA SALVADOR GIANETTI, 1014 - ZONA COMERCIAL - SPC11292</t>
  </si>
  <si>
    <t>RUA SALVADOR GIANETTI</t>
  </si>
  <si>
    <t>1082 E 1084</t>
  </si>
  <si>
    <t>8410000</t>
  </si>
  <si>
    <t>-23.543554 , -46.411806</t>
  </si>
  <si>
    <t>SPC11292</t>
  </si>
  <si>
    <t>33041260070294</t>
  </si>
  <si>
    <t>RIACHUELO - ESTRADA DO MENDANHA, 555 - WEST SHOPPING - RJES48796</t>
  </si>
  <si>
    <t>LOJA 105, 106/ 205</t>
  </si>
  <si>
    <t>RJES48796</t>
  </si>
  <si>
    <t>33200056006694</t>
  </si>
  <si>
    <t>L122</t>
  </si>
  <si>
    <t>RIACHUELO - AVENIDA AFONSO PENA, 4909 - SHOPPING CAMPO GRANDE - MGCO46759</t>
  </si>
  <si>
    <t>SANTAFE</t>
  </si>
  <si>
    <t>-20.4568861 , -54.5869007</t>
  </si>
  <si>
    <t>MGCO46759</t>
  </si>
  <si>
    <t>33200056034981</t>
  </si>
  <si>
    <t>JMX (TIM) - AVENIDA GOVERNADOR VALADARES, 220 - MGCO257110</t>
  </si>
  <si>
    <t>AVENIDA GOVERNADOR VALADARES</t>
  </si>
  <si>
    <t>32600212</t>
  </si>
  <si>
    <t>-19.9679212,-44.2021678</t>
  </si>
  <si>
    <t>MGCO257110</t>
  </si>
  <si>
    <t>3372209000689</t>
  </si>
  <si>
    <t>FACELL - AVENIDA DOUTOR JOAO MEDEIROS FILHO, 2395 - PARTAGE NORTE SHOPPING - NE19093</t>
  </si>
  <si>
    <t>NE19093</t>
  </si>
  <si>
    <t>7366109000943</t>
  </si>
  <si>
    <t>FACELL LTDA - NATAL - NORTH SHOPPING - SAP (26971)</t>
  </si>
  <si>
    <t>AQUILON JUFAP (TIM) - AVENIDA DOUTOR VICENTE MACHADO, 496 - SUL287730</t>
  </si>
  <si>
    <t>496</t>
  </si>
  <si>
    <t>-25.0949727,-50.1634177</t>
  </si>
  <si>
    <t>SUL287730</t>
  </si>
  <si>
    <t>81214819000315</t>
  </si>
  <si>
    <t>JUFAP ADMINISTRACAO - CENTRO - PONTA GROSSA - SAP (6774)</t>
  </si>
  <si>
    <t>CELMAX - RUA QUARENTA E QUATRO, 399 - SHOPPING ARAGUAIA - MGCO238400</t>
  </si>
  <si>
    <t>-16.6594981, -49.2596923</t>
  </si>
  <si>
    <t>MGCO238400</t>
  </si>
  <si>
    <t>20881831000470</t>
  </si>
  <si>
    <t>TIM - ALAMEDA TERRACOTA, 545 - SHOPPING PARK SAO CAETANO - SPC7657</t>
  </si>
  <si>
    <t>ALAMEDA TERRACOTA</t>
  </si>
  <si>
    <t>LOJA 1058</t>
  </si>
  <si>
    <t>ESPAÇO CERÂMICA</t>
  </si>
  <si>
    <t>9531190</t>
  </si>
  <si>
    <t>-23.626158 , -46.580025</t>
  </si>
  <si>
    <t>SPC7657</t>
  </si>
  <si>
    <t>04206050027542</t>
  </si>
  <si>
    <t>C212</t>
  </si>
  <si>
    <t>Shopping Park São Caetano</t>
  </si>
  <si>
    <t>TIM - RUA GOIAS, 608 - MGCO10475</t>
  </si>
  <si>
    <t>ORION</t>
  </si>
  <si>
    <t>35500433</t>
  </si>
  <si>
    <t>-20.1455345, -44.8912805</t>
  </si>
  <si>
    <t>MGCO10475</t>
  </si>
  <si>
    <t>2421421010699</t>
  </si>
  <si>
    <t>C153</t>
  </si>
  <si>
    <t>COMMCENTER - RUA CAPITAO PACHECO E CHAVES, 313 - MOOCA PLAZA SHOPPING - SPC20440</t>
  </si>
  <si>
    <t>LOJA 1044,PISO L1</t>
  </si>
  <si>
    <t>SPC20440</t>
  </si>
  <si>
    <t>5828732009225</t>
  </si>
  <si>
    <t>COMMCENTER - RUA MARIO LOBO, 106 - SHOPPING CIDADE DAS FLORES - SUL7951</t>
  </si>
  <si>
    <t>SUL7951</t>
  </si>
  <si>
    <t>11099131000275</t>
  </si>
  <si>
    <t>VIVO CRONOLOGICA - AVENIDA FRANCISCO GLICERIO, 948 - SPI230610</t>
  </si>
  <si>
    <t>948</t>
  </si>
  <si>
    <t>-22.906208 , -47.05896689999999</t>
  </si>
  <si>
    <t>SPI230610</t>
  </si>
  <si>
    <t>3685001002582</t>
  </si>
  <si>
    <t>VIVO CRONOLOGICA - RUA JOSE MARIA MIRANDA, 689 - SPI227690</t>
  </si>
  <si>
    <t>RUA JOSE MARIA MIRANDA</t>
  </si>
  <si>
    <t>JARDIM SAO CARLOS</t>
  </si>
  <si>
    <t>13170234</t>
  </si>
  <si>
    <t>-22.8234997 , -47.26736650000001</t>
  </si>
  <si>
    <t>SPI227690</t>
  </si>
  <si>
    <t>03685001003120</t>
  </si>
  <si>
    <t>VIVO - AVENIDA REGENTE FEIJO, 1739 - SHOPPING ANALIA FRANCO - SPC7280</t>
  </si>
  <si>
    <t>LOJA 15 E 16</t>
  </si>
  <si>
    <t>SPC7280</t>
  </si>
  <si>
    <t>2558157005474</t>
  </si>
  <si>
    <t>LOJA SHOPPING ANALIA FRANCO SP</t>
  </si>
  <si>
    <t>VIVO - RUA EUCLIDES DA CUNHA, 21 - SHOPPING MIRAMAR - SPC6381</t>
  </si>
  <si>
    <t>11065100</t>
  </si>
  <si>
    <t>SPC6381</t>
  </si>
  <si>
    <t>2558157010800</t>
  </si>
  <si>
    <t>LOJA SANTOS MIRAMAR SP</t>
  </si>
  <si>
    <t>VIVO - AVENIDA DOS AUTONOMISTAS, 1400 - SHOPPING UNIAO - SPC6457</t>
  </si>
  <si>
    <t>N. 91</t>
  </si>
  <si>
    <t>SPC6457</t>
  </si>
  <si>
    <t>2558157052120</t>
  </si>
  <si>
    <t>LOJA UNIAO DE OSASCO SP</t>
  </si>
  <si>
    <t>VIVO - AVENIDA GOVERNADOR JOAO DURVAL CARNEIRO, 3665 - SHOPPING BOULEVARD - NE83101</t>
  </si>
  <si>
    <t>NE83101</t>
  </si>
  <si>
    <t>2558157077971</t>
  </si>
  <si>
    <t>LOJA SHOPPING BOULEVARD FEIRA DE SANTANA BA</t>
  </si>
  <si>
    <t>VIVO - AVENIDA THEODORO VICTORELLI, 150 - BOULEVARD LONDRINA SHOPPING - SUL9134</t>
  </si>
  <si>
    <t>SUL9134</t>
  </si>
  <si>
    <t>2558157018290</t>
  </si>
  <si>
    <t>LOJA BOULEVARD LONDRINA PR</t>
  </si>
  <si>
    <t>CARREFOUR - AVENIDA BENJAMIN HARRIS HANNICUTT, S/N - ZONA COMERCIAL - SPC42213</t>
  </si>
  <si>
    <t>AVENIDA BENJAMIN HARRIS HUNNICUTT</t>
  </si>
  <si>
    <t>VILA RIO DE JANEIRO</t>
  </si>
  <si>
    <t>7124000</t>
  </si>
  <si>
    <t>-23.442281 , -46.538394</t>
  </si>
  <si>
    <t>SPC42213</t>
  </si>
  <si>
    <t>45543915004926</t>
  </si>
  <si>
    <t>GRU</t>
  </si>
  <si>
    <t>CARREFOUR - AVENIDA BARAO DO RIO BRANCO, 5001 - ZONA COMERCIAL - MGCO41546</t>
  </si>
  <si>
    <t>5001</t>
  </si>
  <si>
    <t>GRAMINHA</t>
  </si>
  <si>
    <t>36026900</t>
  </si>
  <si>
    <t>-21.78491592114291, -43.33823826040885</t>
  </si>
  <si>
    <t>MGCO41546</t>
  </si>
  <si>
    <t>45543915007194</t>
  </si>
  <si>
    <t>JFO</t>
  </si>
  <si>
    <t>CASA &amp; VIDEO - RUA HENRIQUE TERRA, 1700 - SHOPPING PARK LAGOS - RJES40243</t>
  </si>
  <si>
    <t>RJES40243</t>
  </si>
  <si>
    <t>11114284011440</t>
  </si>
  <si>
    <t>SHOPPING PARK LAGOS</t>
  </si>
  <si>
    <t>CASA &amp; VIDEO - RUA NOVA JERSEY, 297 - SHOPPING SAO GONCALO - RJES21191</t>
  </si>
  <si>
    <t>24466970</t>
  </si>
  <si>
    <t>-22.8117402 , -43.0703549</t>
  </si>
  <si>
    <t>RJES21191</t>
  </si>
  <si>
    <t>11114284002700</t>
  </si>
  <si>
    <t>SAO GONCALO SHOPPING</t>
  </si>
  <si>
    <t>CASAS BAHIA - AVENIDA JACOB MACANHAN , 449 - ZONA COMERCIAL - SUL89537</t>
  </si>
  <si>
    <t>AVENIDA JACOB MACANHAN</t>
  </si>
  <si>
    <t>SALAS 1 A 3</t>
  </si>
  <si>
    <t>JARDIM GUAIRACA</t>
  </si>
  <si>
    <t>83324510</t>
  </si>
  <si>
    <t>-25.428665 , -49.183338</t>
  </si>
  <si>
    <t>SUL89537</t>
  </si>
  <si>
    <t>33041260077892</t>
  </si>
  <si>
    <t>1363</t>
  </si>
  <si>
    <t>CASAS BAHIA - AVENIDA DO ESTADO, 3174 - ZONA COMERCIAL - SUL10773</t>
  </si>
  <si>
    <t>AVENIDA DO ESTADO</t>
  </si>
  <si>
    <t>3174</t>
  </si>
  <si>
    <t>88338065</t>
  </si>
  <si>
    <t>-26.983536 , -48.64016</t>
  </si>
  <si>
    <t>SUL10773</t>
  </si>
  <si>
    <t>33041260129523</t>
  </si>
  <si>
    <t>1444</t>
  </si>
  <si>
    <t>CASAS BAHIA - RUA DO COMERCIO, 200 - NE253200</t>
  </si>
  <si>
    <t>-9.6641083,-35.7379979</t>
  </si>
  <si>
    <t>NE253200</t>
  </si>
  <si>
    <t>33041260149044</t>
  </si>
  <si>
    <t>1780</t>
  </si>
  <si>
    <t>CASAS BAHIA - RUA JACARANDA, 462 - ZONA COMERCIAL - SUL18791</t>
  </si>
  <si>
    <t>RUA JACARANDA</t>
  </si>
  <si>
    <t>462</t>
  </si>
  <si>
    <t>EUCALIPTOS</t>
  </si>
  <si>
    <t>Fazenda Rio Grande</t>
  </si>
  <si>
    <t>83823014</t>
  </si>
  <si>
    <t>-25.649712 , -49.308582</t>
  </si>
  <si>
    <t>SUL18791</t>
  </si>
  <si>
    <t>33041260077973</t>
  </si>
  <si>
    <t>1655</t>
  </si>
  <si>
    <t>MEX CELL - AVENIDA LUCIANO DAS NEVES, 2418 - SHOPPING VILA VELHA - RJES287710</t>
  </si>
  <si>
    <t>LOJA1029</t>
  </si>
  <si>
    <t>RJES287710</t>
  </si>
  <si>
    <t>18959713001700</t>
  </si>
  <si>
    <t>FLEX CELL - AVENIDA BARTOLOMEU DE CARLOS, 230 - PARQUE SHOPPING MAIA - SPC241830</t>
  </si>
  <si>
    <t>AVENIDA BARTOLOMEU DE CARLOS</t>
  </si>
  <si>
    <t>Jardim Flor da Montanha</t>
  </si>
  <si>
    <t>7097420</t>
  </si>
  <si>
    <t>-23.4435468, -46.5402624</t>
  </si>
  <si>
    <t>SPC241830</t>
  </si>
  <si>
    <t>3243382000172</t>
  </si>
  <si>
    <t>Parque Shopping Maia</t>
  </si>
  <si>
    <t>CLARO RP - RUA FELIPE SCHMIDT, 236 - SUL237280</t>
  </si>
  <si>
    <t>-27.5962251, -48.5522861</t>
  </si>
  <si>
    <t>SUL237280</t>
  </si>
  <si>
    <t>5949641000100</t>
  </si>
  <si>
    <t>CLARO - RUA HALFELD, 825 - MGCO10507</t>
  </si>
  <si>
    <t>825</t>
  </si>
  <si>
    <t>36010003</t>
  </si>
  <si>
    <t>-21.761374 , -43.349415</t>
  </si>
  <si>
    <t>MGCO10507</t>
  </si>
  <si>
    <t>40432544020253</t>
  </si>
  <si>
    <t>3113</t>
  </si>
  <si>
    <t>CLARO - RUA CORONEL OLIVEIRA LIMA, 534 - ZONA COMERCIAL - SPC19691</t>
  </si>
  <si>
    <t>RUA CORONEL OLIVEIRA LIMA</t>
  </si>
  <si>
    <t>9010000</t>
  </si>
  <si>
    <t>-23.658963 , -46.5272629</t>
  </si>
  <si>
    <t>SPC19691</t>
  </si>
  <si>
    <t>COLOMBO - AVENIDA AZENHA, 831 - ZONA COMERCIAL - SUL6279</t>
  </si>
  <si>
    <t>831</t>
  </si>
  <si>
    <t>-30.05127389999999 , -51.2133405</t>
  </si>
  <si>
    <t>SUL6279</t>
  </si>
  <si>
    <t>89848543017738</t>
  </si>
  <si>
    <t>COLOMBO - RUA BENJAMIN CONSTANT, 1205 - SUL276530</t>
  </si>
  <si>
    <t>80060020</t>
  </si>
  <si>
    <t>-23.3089741,-51.1671124</t>
  </si>
  <si>
    <t>SUL276530</t>
  </si>
  <si>
    <t>89848543087191</t>
  </si>
  <si>
    <t>FUJIOKA - AVENIDA RECANTO DAS EMAS, 572 - ZONA COMERCIAL - MGCO19010</t>
  </si>
  <si>
    <t>72600300</t>
  </si>
  <si>
    <t>-15.904211 , -48.067249</t>
  </si>
  <si>
    <t>MGCO19010</t>
  </si>
  <si>
    <t>01008713008734</t>
  </si>
  <si>
    <t>LE BISCUIT - AVENIDA LUCIANO DAS NEVES, 2418 - SHOPPING VILA VELHA - RJES274260</t>
  </si>
  <si>
    <t>RJES274260</t>
  </si>
  <si>
    <t>16233389012676</t>
  </si>
  <si>
    <t>LOJAS AMERICANAS - AVENIDA JOAO NAVES DE AVILA, 1331 - CENTER SHOPPING UBERLANDIA - MGCO20639</t>
  </si>
  <si>
    <t>38408902</t>
  </si>
  <si>
    <t>MGCO20639</t>
  </si>
  <si>
    <t>776574135167</t>
  </si>
  <si>
    <t>L353</t>
  </si>
  <si>
    <t>LOJAS AMERICANAS - RODOVIA WASHINGTON LUIZ, 2895 - SHOPPING CAXIAS - RJES10193</t>
  </si>
  <si>
    <t>LOKA 210 R</t>
  </si>
  <si>
    <t>VILA SAO LUIS</t>
  </si>
  <si>
    <t>-22.787613 , -43.285618</t>
  </si>
  <si>
    <t>RJES10193</t>
  </si>
  <si>
    <t>776574079232</t>
  </si>
  <si>
    <t>L774</t>
  </si>
  <si>
    <t>LOJAS AMERICANAS - RUA 7 DE SETEMBRO, 555 - SHOPPING SUZANO - SPC8790</t>
  </si>
  <si>
    <t>LOJAS 50 A 54</t>
  </si>
  <si>
    <t>SPC8790</t>
  </si>
  <si>
    <t>776574069601</t>
  </si>
  <si>
    <t>L264</t>
  </si>
  <si>
    <t>LOJAS AMERICANAS - RUA HENRIQUE TERRA, 1700 - SHOPPING PARK LAGOS - RJES11733</t>
  </si>
  <si>
    <t>RJES11733</t>
  </si>
  <si>
    <t>776574078341</t>
  </si>
  <si>
    <t>L058</t>
  </si>
  <si>
    <t>LOJAS QUERO-QUERO - AVENIDA DA AZENHA, 941 - SUL262880</t>
  </si>
  <si>
    <t>AVENIDA DA AZENHA</t>
  </si>
  <si>
    <t>-30.052175,-51.2158211</t>
  </si>
  <si>
    <t>SUL262880</t>
  </si>
  <si>
    <t>96418264027843</t>
  </si>
  <si>
    <t>LOJAS QUERO-QUERO</t>
  </si>
  <si>
    <t>MAGAZINE LUIZA - AVENIDA NOVE DE JULHO, 369 - ZONA COMERCIAL - SPC23044</t>
  </si>
  <si>
    <t>-23.522339 , -46.343647</t>
  </si>
  <si>
    <t>SPC23044</t>
  </si>
  <si>
    <t>47960950049724</t>
  </si>
  <si>
    <t>552</t>
  </si>
  <si>
    <t>RIACHUELO - AVENIDA MENINO MARCELO, 3800 - MACEIO PATIO SHOPPING - NE42452</t>
  </si>
  <si>
    <t>LOJA 3</t>
  </si>
  <si>
    <t>NE42452</t>
  </si>
  <si>
    <t>33200056006775</t>
  </si>
  <si>
    <t>L143</t>
  </si>
  <si>
    <t>RIACHUELO - RUA BERNARDINHO DE CAMPOS, 3020 - ZONA COMERCIAL - SPI48543</t>
  </si>
  <si>
    <t>3020</t>
  </si>
  <si>
    <t>VILA MACENO</t>
  </si>
  <si>
    <t>-20.811525 , -49.380898</t>
  </si>
  <si>
    <t>SPI48543</t>
  </si>
  <si>
    <t>33200056021065</t>
  </si>
  <si>
    <t>L049</t>
  </si>
  <si>
    <t>SIPOLATTI - AVENIDA EXPEDITO GARCIA 145 - ZONA COMERCIAL - RJES44848</t>
  </si>
  <si>
    <t>-20.3429614 , -40.3851957</t>
  </si>
  <si>
    <t>RJES44848</t>
  </si>
  <si>
    <t>30689848000645</t>
  </si>
  <si>
    <t>AQUILON JUFAP (TIM) - RUA ERMELINO LEAO, 703 - SHOPPING PALLADIUM PONTA GROSSA - SUL8756</t>
  </si>
  <si>
    <t>RUA ERMELINO DE LEAO</t>
  </si>
  <si>
    <t>84035000</t>
  </si>
  <si>
    <t>-25.094711 , -50.152184</t>
  </si>
  <si>
    <t>SUL8756</t>
  </si>
  <si>
    <t>81214819000404</t>
  </si>
  <si>
    <t>JUFAP ADMINISTRACAO - SHOPPING PALLADIUM - SAP (6191)</t>
  </si>
  <si>
    <t>Shopping Palladium Ponta Grossa</t>
  </si>
  <si>
    <t>ALEGRIA (TIM) - ESTRADA DO MONTEIRO, 1200 - PARK SHOPPING - RJES99873</t>
  </si>
  <si>
    <t>-22.9274502 , -43.5748104</t>
  </si>
  <si>
    <t>RJES99873</t>
  </si>
  <si>
    <t>21683365002009</t>
  </si>
  <si>
    <t>ALEGRIA PARK CAMPO GRANDE - SAP (36030)</t>
  </si>
  <si>
    <t>IMAGEM TELECOM - RUA CAPITAO PACHECO E CHAVES, 313 - SHOPPING MOOCA PLAZA - SPC11068</t>
  </si>
  <si>
    <t>-23.5797475 , -46.5943652</t>
  </si>
  <si>
    <t>SPC11068</t>
  </si>
  <si>
    <t>11057917000904</t>
  </si>
  <si>
    <t>IMAGEM TELECOM - MOOCA PLAZA SHOPPING - SAP (32177)</t>
  </si>
  <si>
    <t>TIM - AVENIDA AGAMENON MAGALHAES, 444 - SHOPPING DIFUSORA - NE51885</t>
  </si>
  <si>
    <t>AVENIDA AGAMENON MAGALHAES</t>
  </si>
  <si>
    <t>444</t>
  </si>
  <si>
    <t>MAURICIO DE NASSAU</t>
  </si>
  <si>
    <t>55012290</t>
  </si>
  <si>
    <t>-8.277778999999999 , -35.9718772</t>
  </si>
  <si>
    <t>NE51885</t>
  </si>
  <si>
    <t>02421421021208</t>
  </si>
  <si>
    <t>C311</t>
  </si>
  <si>
    <t>Shopping Difusora</t>
  </si>
  <si>
    <t>TIM - PRACA DOUTOR RAUL BOAVENTURA, 5 - RJES89539</t>
  </si>
  <si>
    <t>PRACA DOUTOR RAUL BOAVENTURA</t>
  </si>
  <si>
    <t>23050300</t>
  </si>
  <si>
    <t>-22.902109 , -43.558788</t>
  </si>
  <si>
    <t>RJES89539</t>
  </si>
  <si>
    <t>02421421024720</t>
  </si>
  <si>
    <t>C330</t>
  </si>
  <si>
    <t>VIVO - RUA SETE DE SETEMBRO, 1213 - SHOPPING NEUMARKT - SUL6298</t>
  </si>
  <si>
    <t>89010203</t>
  </si>
  <si>
    <t>-26.9208312, -49.06917079999999</t>
  </si>
  <si>
    <t>SUL6298</t>
  </si>
  <si>
    <t>2558157043643</t>
  </si>
  <si>
    <t>COMMCENTER - AVENIDA ROTARY, 624 - SAO BERNARDO PLAZA SHOPPING - SPC7852</t>
  </si>
  <si>
    <t>FERRAZOPOLIS</t>
  </si>
  <si>
    <t>-23.7233912 , -46.543588</t>
  </si>
  <si>
    <t>SPC7852</t>
  </si>
  <si>
    <t>05828732011122</t>
  </si>
  <si>
    <t>VIVO CRONOLOGICA - RUA DOUTOR SILVIO BASTOS TAVARES, 316 - SHOPPING PARTAGE CAMPOS - RJES262410</t>
  </si>
  <si>
    <t>LOJA 104 G</t>
  </si>
  <si>
    <t>PARQUE DOS RODOVIÁRIOS</t>
  </si>
  <si>
    <t>RJES262410</t>
  </si>
  <si>
    <t>3685001001772</t>
  </si>
  <si>
    <t>COMMCENTER - RUA DOUTOR MELO FREIRE, S/N - SHOPPING METRO TATUAPE - SPC8610</t>
  </si>
  <si>
    <t>SPC8610</t>
  </si>
  <si>
    <t>5828732002808</t>
  </si>
  <si>
    <t>COMMCENTER - ALAMEDA TERRACOTA, 545 - SHOPPING PARK SAO CAETANO - SPC6376</t>
  </si>
  <si>
    <t>ESPACO CERAMICA</t>
  </si>
  <si>
    <t>-23.6264755 , -46.5799968</t>
  </si>
  <si>
    <t>SPC6376</t>
  </si>
  <si>
    <t>5828732009063</t>
  </si>
  <si>
    <t>WEST TELECOM (VIVO) - AVENIDA MANOEL GOULART, 2400 - PRUDENSHOPPING - SPI20766</t>
  </si>
  <si>
    <t>JARDIMDASROSAS</t>
  </si>
  <si>
    <t>-22.1156989 , -51.408263</t>
  </si>
  <si>
    <t>SPI20766</t>
  </si>
  <si>
    <t>VIVO - ALAMEDA TERRACOTA, 20 - SHOPPING PARK SAO CAETANO - SPC42520</t>
  </si>
  <si>
    <t>LOJA 1030 PARTE</t>
  </si>
  <si>
    <t>SPC42520</t>
  </si>
  <si>
    <t>2558157051239</t>
  </si>
  <si>
    <t>LOJA PARK SHOPPING SAO CAETANO SP</t>
  </si>
  <si>
    <t>VIVO - AVENIDA DO CONTORNO, 6061 - SHOPPING PATIO SAVASSI - MGCO7188</t>
  </si>
  <si>
    <t>LOJAS 123 E 123A</t>
  </si>
  <si>
    <t>MGCO7188</t>
  </si>
  <si>
    <t>2558157046154</t>
  </si>
  <si>
    <t>LOJA PATIO SAVASSI MG</t>
  </si>
  <si>
    <t>VIVO - ALAMEDA EUVALDO LUZ, 92 - SHOPPING BELA VISTA - NE288140</t>
  </si>
  <si>
    <t>NE288140</t>
  </si>
  <si>
    <t>2558157094981</t>
  </si>
  <si>
    <t>LOJA SHOPPING BELA VISTA BA</t>
  </si>
  <si>
    <t>VIVO - RUA ERMELINO DE LEAO, 703 (LOJA 1) - SHOPPING PALLADIUM PONTA GROSSA - SUL9186</t>
  </si>
  <si>
    <t>OLARIAS</t>
  </si>
  <si>
    <t>-25.094885 , -50.15204500000001</t>
  </si>
  <si>
    <t>SUL9186</t>
  </si>
  <si>
    <t>2558157018533</t>
  </si>
  <si>
    <t>LOJA PALLADIUM PR</t>
  </si>
  <si>
    <t>VIVO - RUA TENENTE AVELAR PIRES DE AZEVEDO, 81 - SHOPPING OSASCO PLAZA - SPC6450</t>
  </si>
  <si>
    <t>LOJA 107/108</t>
  </si>
  <si>
    <t>SPC6450</t>
  </si>
  <si>
    <t>2558157007680</t>
  </si>
  <si>
    <t>LOJA OSASCO PLAZA SHOPPING SP</t>
  </si>
  <si>
    <t>CASA &amp; VIDEO - ESTRADA DO PORTELA, 222 - SHOPPING MADUREIRA - RJES7529</t>
  </si>
  <si>
    <t>LOJA SS 101</t>
  </si>
  <si>
    <t>RJES7529</t>
  </si>
  <si>
    <t>11114284004312</t>
  </si>
  <si>
    <t>MADUREIRA SHOPPING</t>
  </si>
  <si>
    <t>CASA &amp; VIDEO - AVENIDA BRASIL, 22155 - SHOPPING JARDIM GUADALUPE - RJES11800</t>
  </si>
  <si>
    <t>-22.8412275 , -43.3690198</t>
  </si>
  <si>
    <t>RJES11800</t>
  </si>
  <si>
    <t>11114284008490</t>
  </si>
  <si>
    <t>JARDIM GUADALUPE SHOPPING</t>
  </si>
  <si>
    <t>CASA E VIDEO - AVENIDA MARECHAL FONTENELLE, 3545 - PARQUE SHOPPING SULACAP - RJES90537</t>
  </si>
  <si>
    <t>AVENIDA MARECHAL FONTENELLE</t>
  </si>
  <si>
    <t>-22.8846958 , -43.4046394</t>
  </si>
  <si>
    <t>RJES90537</t>
  </si>
  <si>
    <t>11114284012927</t>
  </si>
  <si>
    <t>HARCOS TELECOM (CLARO) - AVENIDA AGAMENON MAGALHAES, 444 - SHOPPING DIFUSORA - NE266480</t>
  </si>
  <si>
    <t>LOJA 42/43 PRIMEIRO PISO</t>
  </si>
  <si>
    <t>55014000</t>
  </si>
  <si>
    <t>NE266480</t>
  </si>
  <si>
    <t>6371307001157</t>
  </si>
  <si>
    <t>FAJULUTI GAVEA - AVENIDA JOAO PINHEIRO, 1154 - PRATIC SHOPPING - MGCO286620</t>
  </si>
  <si>
    <t>AVENIDA JOAO PINHEIRO</t>
  </si>
  <si>
    <t>LOJA 32</t>
  </si>
  <si>
    <t>38400712</t>
  </si>
  <si>
    <t>-18.9139965 , -48.27557849999999</t>
  </si>
  <si>
    <t>MGCO286620</t>
  </si>
  <si>
    <t>26117255002338</t>
  </si>
  <si>
    <t>Pratic Shopping</t>
  </si>
  <si>
    <t>FAJULUTI GAVEA - AVENIDA DOUTOR SILVIO BASTOS TAVARES, 330 - SHOPPING PARTAGE CAMPOS - RJES290710</t>
  </si>
  <si>
    <t>PARQUE RODOVIARIO</t>
  </si>
  <si>
    <t>RJES290710</t>
  </si>
  <si>
    <t>26117255004896</t>
  </si>
  <si>
    <t>CLARO RP - RODOVIA VIRGILIO VARZEA, 587 - SUL11275</t>
  </si>
  <si>
    <t>RODOVIA VIRGILIO VARZEA</t>
  </si>
  <si>
    <t>587</t>
  </si>
  <si>
    <t>88032000</t>
  </si>
  <si>
    <t>-27.5538529 , -48.4985304</t>
  </si>
  <si>
    <t>SUL11275</t>
  </si>
  <si>
    <t>5949641006575</t>
  </si>
  <si>
    <t>PONTO CERTO - RUA VIUVA DANTAS, 100 - SHOPPING PASSEIO - RJES6089</t>
  </si>
  <si>
    <t>RUA VIUVA DANTAS</t>
  </si>
  <si>
    <t>23052090</t>
  </si>
  <si>
    <t>-22.9036321 , -43.5573371</t>
  </si>
  <si>
    <t>RJES6089</t>
  </si>
  <si>
    <t>5142929001906</t>
  </si>
  <si>
    <t>Shopping Passeio</t>
  </si>
  <si>
    <t>HS - RUA TUCUNARES, 500 - SHOPPING MARILIA - SPI20768</t>
  </si>
  <si>
    <t>-22.186814 , -49.9673403</t>
  </si>
  <si>
    <t>SPI20768</t>
  </si>
  <si>
    <t>5923253000584</t>
  </si>
  <si>
    <t>CLARO - ALAMEDA TERRACOTA, 545 - SHOPPING PARK SAO CAETANO - SPC7288</t>
  </si>
  <si>
    <t>LOJA 1076,TERREO</t>
  </si>
  <si>
    <t>SPC7288</t>
  </si>
  <si>
    <t>40432544030488</t>
  </si>
  <si>
    <t>CLARO - AVENIDA AGAMENON MAGALHAES, 297 - NE246900</t>
  </si>
  <si>
    <t>LOJAS 01/02</t>
  </si>
  <si>
    <t>-8.2799231,-35.9720684</t>
  </si>
  <si>
    <t>NE246900</t>
  </si>
  <si>
    <t>40432544021225</t>
  </si>
  <si>
    <t>8108</t>
  </si>
  <si>
    <t>LOJAS COLOMBO - AVENIDA OTTO NEIMEIER, 2333 - ZONA COMERCIAL - SUL39944</t>
  </si>
  <si>
    <t>-30.103809 , -51.235954</t>
  </si>
  <si>
    <t>SUL39944</t>
  </si>
  <si>
    <t>89848543066194</t>
  </si>
  <si>
    <t>HAVAN - RODOVIA SC 401, 3116 - FLORIPA SHOPPING - SUL10351</t>
  </si>
  <si>
    <t>-27.5539395 , -48.49852869999999</t>
  </si>
  <si>
    <t>SUL10351</t>
  </si>
  <si>
    <t>79379491002470</t>
  </si>
  <si>
    <t>23 - FLORIPA SHOPPING</t>
  </si>
  <si>
    <t>LOJAS AMERICANAS - RUA OLIMPIO CATAO, 500 - SHOPPING JACAREI - SPI20850</t>
  </si>
  <si>
    <t>RUA OLIMPIO CATAO</t>
  </si>
  <si>
    <t>LOJA 46</t>
  </si>
  <si>
    <t>12308001</t>
  </si>
  <si>
    <t>-23.3039 , -45.96233</t>
  </si>
  <si>
    <t>SPI20850</t>
  </si>
  <si>
    <t>776574151600</t>
  </si>
  <si>
    <t>L224</t>
  </si>
  <si>
    <t>Shopping Jacarei</t>
  </si>
  <si>
    <t>LOJAS AMERICANAS - RUA CONSELHEIRO MOREIRA DE BARROS, 2780 - SHOPPING SANTANA PARQUE - SPC18793</t>
  </si>
  <si>
    <t>RUA CONSELHEIRO MOREIRA DE BARROS</t>
  </si>
  <si>
    <t>LOJA 1011</t>
  </si>
  <si>
    <t>2430001</t>
  </si>
  <si>
    <t>-23.482872 , -46.644939</t>
  </si>
  <si>
    <t>SPC18793</t>
  </si>
  <si>
    <t>776574094118</t>
  </si>
  <si>
    <t>L289</t>
  </si>
  <si>
    <t>Shopping Santana Parque</t>
  </si>
  <si>
    <t>LOJAS AMERICANAS - QUATRO, 1129 - SPI20932</t>
  </si>
  <si>
    <t>RUA QUATRO</t>
  </si>
  <si>
    <t>ZONA CENTRAL</t>
  </si>
  <si>
    <t>13500170</t>
  </si>
  <si>
    <t>-22.409752 , -47.560894</t>
  </si>
  <si>
    <t>SPI20932</t>
  </si>
  <si>
    <t>776574028590</t>
  </si>
  <si>
    <t>L383</t>
  </si>
  <si>
    <t>LOJAS AMERICANAS - AVENIDA AZENHA, 1099 - SUL64239</t>
  </si>
  <si>
    <t>AVENIDA AZENHA, 1099</t>
  </si>
  <si>
    <t>90040001</t>
  </si>
  <si>
    <t>-30.0535734 , -51.2142747</t>
  </si>
  <si>
    <t>SUL64239</t>
  </si>
  <si>
    <t>776574019175</t>
  </si>
  <si>
    <t>L456</t>
  </si>
  <si>
    <t>LOJAS AMERICANAS - RUA FREI CANECA, 569 - SHOPPING FREI CANECA - SPC20277</t>
  </si>
  <si>
    <t>RUA FREI CANECA</t>
  </si>
  <si>
    <t>CONSOLACAO</t>
  </si>
  <si>
    <t>-23.5539873 , -46.6527794</t>
  </si>
  <si>
    <t>SPC20277</t>
  </si>
  <si>
    <t>776574094207</t>
  </si>
  <si>
    <t>L504</t>
  </si>
  <si>
    <t>Shopping Frei Caneca</t>
  </si>
  <si>
    <t>LOJAS CEM - AVENIDA 9 DE JULHO, 380 - ZONA COMERCIAL - SPC23043</t>
  </si>
  <si>
    <t>8557100</t>
  </si>
  <si>
    <t>-23.52207 , -46.343662</t>
  </si>
  <si>
    <t>SPC23043</t>
  </si>
  <si>
    <t>56642960005926</t>
  </si>
  <si>
    <t>POÁ</t>
  </si>
  <si>
    <t>LOJAS SIMONETTI - AVENIDA EXPEDITO GARCIA, 1359 - ZONA COMERCIAL - RJES79580</t>
  </si>
  <si>
    <t>-20.3423738, -40.38967969999999</t>
  </si>
  <si>
    <t>RJES79580</t>
  </si>
  <si>
    <t>31743818007130</t>
  </si>
  <si>
    <t>MAGAZINE LUIZA - RUA 9 DE JULHO, 531 - ZONA COMERCIAL - SPI10742</t>
  </si>
  <si>
    <t>-21.7937023 , -48.174664</t>
  </si>
  <si>
    <t>SPI10742</t>
  </si>
  <si>
    <t>47960950034379</t>
  </si>
  <si>
    <t>228</t>
  </si>
  <si>
    <t>MAGAZINE LUIZA - AVENIDA PARANAGUA, 1783 - ZONA COMERCIAL - SPC7035</t>
  </si>
  <si>
    <t>1783</t>
  </si>
  <si>
    <t>ERMELINO MATARAZZO</t>
  </si>
  <si>
    <t>-23.490471 , -46.479225</t>
  </si>
  <si>
    <t>SPC7035</t>
  </si>
  <si>
    <t>47960950057662</t>
  </si>
  <si>
    <t>576</t>
  </si>
  <si>
    <t>RIACHUELO - RUA FONSECA, 240 - SHOPPING BANGU - RJES46038</t>
  </si>
  <si>
    <t>LOJA 153A</t>
  </si>
  <si>
    <t>RJES46038</t>
  </si>
  <si>
    <t>33200056007828</t>
  </si>
  <si>
    <t>RIACHUELO - RODOVIA DO SOL, 5000 - SHOPPING BOULEVARD VILA VELHA - RJES265890</t>
  </si>
  <si>
    <t>JOCKEY ITAPARICA</t>
  </si>
  <si>
    <t>RJES265890</t>
  </si>
  <si>
    <t>33200056015766</t>
  </si>
  <si>
    <t>L192</t>
  </si>
  <si>
    <t>SIPOLATTI - AVENIDA EXPEDITO GARCIA, 520 - RJES242470</t>
  </si>
  <si>
    <t>-20.3426311,-40.3916599</t>
  </si>
  <si>
    <t>RJES242470</t>
  </si>
  <si>
    <t>30689848003580</t>
  </si>
  <si>
    <t>ALEGRIA (TIM) - AVENIDA AFONSO VAZ DE MELO, 640 - SHOPPING VIA SHOPPING - MGCO45345</t>
  </si>
  <si>
    <t>LOJA 272/273</t>
  </si>
  <si>
    <t>MGCO45345</t>
  </si>
  <si>
    <t>21683365000308</t>
  </si>
  <si>
    <t>ALEGRIA TELECOM VIA SHOPPING - SAP (28260)</t>
  </si>
  <si>
    <t>F.M.M. ROCHA - BOA MORTE, 628 - ZONA COMERCIAL - SPI20882</t>
  </si>
  <si>
    <t>BOA MORTE</t>
  </si>
  <si>
    <t>628</t>
  </si>
  <si>
    <t>-22.5642163, -47.4030588</t>
  </si>
  <si>
    <t>SPI20882</t>
  </si>
  <si>
    <t>11378319001658</t>
  </si>
  <si>
    <t>ROCHA TELECOM - LIMEIRA - SAP (38167)</t>
  </si>
  <si>
    <t>ALEGRIA (TIM) - RODOVIA FERNAO DIAS KM 492, 601 - SHOPPING METROPOLITAN - MGCO266470</t>
  </si>
  <si>
    <t>MGCO266470</t>
  </si>
  <si>
    <t>21683365003749</t>
  </si>
  <si>
    <t>ALEGRIA TELECOM PARTAGE - SAP (42145)</t>
  </si>
  <si>
    <t>IMAGEM TELECOM - RUA 7 DE SETEMBRO, 555 - SHOPPING SUZANO - SPC8788</t>
  </si>
  <si>
    <t>JARDIMIRAI</t>
  </si>
  <si>
    <t>SPC8788</t>
  </si>
  <si>
    <t>11057917001110</t>
  </si>
  <si>
    <t>IMAGEM - SHOPPING SUZANO  - SAP (39188)</t>
  </si>
  <si>
    <t>COMMCENTER - RUA FREI GASPAR, 365 - SHOPPING BRISAMAR - SPC20207</t>
  </si>
  <si>
    <t>LOJA 224</t>
  </si>
  <si>
    <t>SPC20207</t>
  </si>
  <si>
    <t>05828732008920</t>
  </si>
  <si>
    <t>FUTURA - RODOVIA FERNAO DIAS KM 492, 601 - SHOPPING METROPOLITAN - MGCO19490</t>
  </si>
  <si>
    <t>MGCO19490</t>
  </si>
  <si>
    <t>07538340001272</t>
  </si>
  <si>
    <t>COMPMASTER - AVENIDA FERNANDO MACHADO, 4000 - SHOPPING PATIO CHAPECO - SUL45668</t>
  </si>
  <si>
    <t>AVENIDA FERNANDO MACHADO</t>
  </si>
  <si>
    <t>LÍDER</t>
  </si>
  <si>
    <t>-27.0704127 , -52.6263041</t>
  </si>
  <si>
    <t>SUL45668</t>
  </si>
  <si>
    <t>2170211011302</t>
  </si>
  <si>
    <t>Shopping Patio Chapeco</t>
  </si>
  <si>
    <t>COMMCENTER - AVENIDA BARTOLOMEU DE CARLOS, 230 - PARQUE SHOPPING MAIA - SPC42204</t>
  </si>
  <si>
    <t>PIANCO</t>
  </si>
  <si>
    <t>-23.4435829 , -46.539884</t>
  </si>
  <si>
    <t>SPC42204</t>
  </si>
  <si>
    <t>03418924005755</t>
  </si>
  <si>
    <t>VIVO - AVENIDA PEREIRA BARRETO, 42 (LOJA 1) - SHOPPING ABC - SPC7286</t>
  </si>
  <si>
    <t>LOJA 54/55</t>
  </si>
  <si>
    <t>9190610</t>
  </si>
  <si>
    <t>SPC7286</t>
  </si>
  <si>
    <t>2558157007175</t>
  </si>
  <si>
    <t>LOJA SHOPPING ABC MAPPIN SP</t>
  </si>
  <si>
    <t>VIVO - QNM 34 AREA ESPECIAL 01, S/N - SHOPPING JK - MGCO11398</t>
  </si>
  <si>
    <t>-15.8102211 , -48.0931521</t>
  </si>
  <si>
    <t>MGCO11398</t>
  </si>
  <si>
    <t>2558157041195</t>
  </si>
  <si>
    <t>LOJA SHOPPING JK DF</t>
  </si>
  <si>
    <t>VIVO - PRACA PORTO ROCHA, 74 - RJES262050</t>
  </si>
  <si>
    <t>PRACA PORTO ROCHA</t>
  </si>
  <si>
    <t>SAO BENTO</t>
  </si>
  <si>
    <t>28905250</t>
  </si>
  <si>
    <t>-22.8789383,-42.0185441</t>
  </si>
  <si>
    <t>RJES262050</t>
  </si>
  <si>
    <t>2558157025580</t>
  </si>
  <si>
    <t>LOJA CABO FRIO RJ</t>
  </si>
  <si>
    <t>CASA &amp; VIDEO - AVENIDA GEREMARIO DANTAS, 404 - CENTER SHOPPING - RJES10220</t>
  </si>
  <si>
    <t>-22.9250649 , -43.3612182</t>
  </si>
  <si>
    <t>RJES10220</t>
  </si>
  <si>
    <t>CENTER SHOPPING</t>
  </si>
  <si>
    <t>CASAS BAHIA - RUA PROFESSOR JOAO LIMA PAIVA, 65 - ZONA COMERCIAL - SPC46125</t>
  </si>
  <si>
    <t>RUA PROFESSOR JOAO DE LIMA PAIVA</t>
  </si>
  <si>
    <t>OTELO A.RIBEIRO,126</t>
  </si>
  <si>
    <t>8411020</t>
  </si>
  <si>
    <t>-23.544518 , -46.410198</t>
  </si>
  <si>
    <t>SPC46125</t>
  </si>
  <si>
    <t>33041260115301</t>
  </si>
  <si>
    <t>FAJULUTI GAVEA - RUA DOUTOR CURVELO CAVALCANTE, 189 - SHOPPING ITAGUAI - RJES248480</t>
  </si>
  <si>
    <t>189</t>
  </si>
  <si>
    <t>LOJA 119</t>
  </si>
  <si>
    <t>ITAGUAI</t>
  </si>
  <si>
    <t>23815290</t>
  </si>
  <si>
    <t>-22.8716241,-43.7772653</t>
  </si>
  <si>
    <t>RJES248480</t>
  </si>
  <si>
    <t>26117255001870</t>
  </si>
  <si>
    <t>Shopping Itaguai</t>
  </si>
  <si>
    <t>BARROS TELECON (CLARO) - AVENIDA BEZERRA DE MENEZES, 2450 - NORTH SHOPPING FORTALEZA - NE259820</t>
  </si>
  <si>
    <t>SÃO GERARDO</t>
  </si>
  <si>
    <t>60356000</t>
  </si>
  <si>
    <t>NE259820</t>
  </si>
  <si>
    <t>44242523000110</t>
  </si>
  <si>
    <t>FAJULUTI GAVEA - RUA MANOEL CORREA, 26 - RJES266390</t>
  </si>
  <si>
    <t>-22.7866335,-43.3106748</t>
  </si>
  <si>
    <t>RJES266390</t>
  </si>
  <si>
    <t>26117255001951</t>
  </si>
  <si>
    <t>CLARO - AVENIDA PRESIDENTE VARGAS, 1012 - ZONA COMERCIAL - RJES6045</t>
  </si>
  <si>
    <t>20071910</t>
  </si>
  <si>
    <t>-22.902994 , -43.185383</t>
  </si>
  <si>
    <t>RJES6045</t>
  </si>
  <si>
    <t>40432544038039</t>
  </si>
  <si>
    <t>2137</t>
  </si>
  <si>
    <t>CLARO - RUA FREI CANECA, 569 - SHOPPING FREI CANECA - SPC7062</t>
  </si>
  <si>
    <t>SPC7062</t>
  </si>
  <si>
    <t>40432544032260</t>
  </si>
  <si>
    <t>CLARO - QNM 34 AREA ESPECIAL 01, S/N - SHOPPING JK - MGCO9924</t>
  </si>
  <si>
    <t>OUTROS QNM 34 AREA ESPECIAL 01</t>
  </si>
  <si>
    <t>113</t>
  </si>
  <si>
    <t>MGCO9924</t>
  </si>
  <si>
    <t>40432544051809</t>
  </si>
  <si>
    <t>6118</t>
  </si>
  <si>
    <t>COLOMBO - RUA NEREU RAMOS, 372 - ZONA COMERCIAL - SUL19853</t>
  </si>
  <si>
    <t>RUA NEREU RAMOS</t>
  </si>
  <si>
    <t>88801505</t>
  </si>
  <si>
    <t>-28.6786392, -49.36960329999999</t>
  </si>
  <si>
    <t>SUL19853</t>
  </si>
  <si>
    <t>89848543034152</t>
  </si>
  <si>
    <t>HAVAN - RUA PREFEITO ARI VAGNER, 358 - ZONA COMERCIAL - SUL42545</t>
  </si>
  <si>
    <t>RUA PREFEITO ARI WAGNER</t>
  </si>
  <si>
    <t>358</t>
  </si>
  <si>
    <t>88130070</t>
  </si>
  <si>
    <t>-27.644001 , -48.666576</t>
  </si>
  <si>
    <t>SUL42545</t>
  </si>
  <si>
    <t>79379491002208</t>
  </si>
  <si>
    <t>21 - PALHOCA</t>
  </si>
  <si>
    <t>IMPERIO - AVENIDA DOUTOR BELMINO CORREIA, 1841A - NE246940</t>
  </si>
  <si>
    <t>1841A</t>
  </si>
  <si>
    <t>-8.02064,-34.9822835</t>
  </si>
  <si>
    <t>NE246940</t>
  </si>
  <si>
    <t>27936211001169</t>
  </si>
  <si>
    <t>LE BISCUIT - AVENIDA AGAMENON MAGALHAES, 153 - SHOPPING TACARUNA - NE42216</t>
  </si>
  <si>
    <t>AVENINDA AGAMENON MAGALHAES</t>
  </si>
  <si>
    <t>-8.0387608, -34.8711893</t>
  </si>
  <si>
    <t>NE42216</t>
  </si>
  <si>
    <t>16233389007168</t>
  </si>
  <si>
    <t>LOJAS AMERICANAS - RUA PAISANDU, 955 - NE50005</t>
  </si>
  <si>
    <t>ANEXO 971</t>
  </si>
  <si>
    <t>-5.0929497, -42.815681</t>
  </si>
  <si>
    <t>NE50005</t>
  </si>
  <si>
    <t>776574005549</t>
  </si>
  <si>
    <t>L328</t>
  </si>
  <si>
    <t>LOJAS AMERICANAS - AVENIDA DOUTOR SILAS MUNGUBA, 4820 - NE275900</t>
  </si>
  <si>
    <t>AVENIDA DOUTOR SILAS MUNGUBA</t>
  </si>
  <si>
    <t>4820</t>
  </si>
  <si>
    <t>LOJA C</t>
  </si>
  <si>
    <t>ITAPERY</t>
  </si>
  <si>
    <t>60714242</t>
  </si>
  <si>
    <t>-3.7967733,-38.5343965</t>
  </si>
  <si>
    <t>NE275900</t>
  </si>
  <si>
    <t>776574155869</t>
  </si>
  <si>
    <t>LOJAS AMERICANAS - RUA TUCUNARES, 500 - SHOPPING MARILIA - SPI20769</t>
  </si>
  <si>
    <t>SPI20769</t>
  </si>
  <si>
    <t>776574062348</t>
  </si>
  <si>
    <t>L320</t>
  </si>
  <si>
    <t>LOJAS AMERICANAS - AVENIDA ALFREDO ANTONIO DE OLIVEIRA - 2077 - SHOPPING CIDADE NORTE - SPI11094</t>
  </si>
  <si>
    <t>EUC 110</t>
  </si>
  <si>
    <t>15046355</t>
  </si>
  <si>
    <t>SPI11094</t>
  </si>
  <si>
    <t>776574067650</t>
  </si>
  <si>
    <t>5184</t>
  </si>
  <si>
    <t>LOJAS AMERICANAS - AVENIDA SANTA BARBARA, 777 - SHOPPING TIVOLI - SPI22003</t>
  </si>
  <si>
    <t>13456080</t>
  </si>
  <si>
    <t>SPI22003</t>
  </si>
  <si>
    <t>776574172879</t>
  </si>
  <si>
    <t>L194</t>
  </si>
  <si>
    <t>LOJAS AMERICANAS - RUA 9 DE JULHO, 1388 - SPI10369</t>
  </si>
  <si>
    <t>17500120</t>
  </si>
  <si>
    <t>-22.21747 , -49.947887</t>
  </si>
  <si>
    <t>SPI10369</t>
  </si>
  <si>
    <t>776574048515</t>
  </si>
  <si>
    <t>L315</t>
  </si>
  <si>
    <t>LOJAS AMERICANAS - PRACA PRESIDENTE CASTELO BRANCO, 125 - SPC266550</t>
  </si>
  <si>
    <t>9911130</t>
  </si>
  <si>
    <t>-23.6861473,-46.627203</t>
  </si>
  <si>
    <t>SPC266550</t>
  </si>
  <si>
    <t>776574192551</t>
  </si>
  <si>
    <t>1551</t>
  </si>
  <si>
    <t>LOJAS AMERICANAS - AVENIDA ANHANGUERA, S/N - MGCO229200</t>
  </si>
  <si>
    <t>-16.6736986, -49.2526641</t>
  </si>
  <si>
    <t>MGCO229200</t>
  </si>
  <si>
    <t>776574168332</t>
  </si>
  <si>
    <t>L217</t>
  </si>
  <si>
    <t>LOJAS CEM - AVENIDA ITAVUVU, 3365 - SHOPPING CIDADE - SPI19118</t>
  </si>
  <si>
    <t>VILA TORTELLI</t>
  </si>
  <si>
    <t>18075042</t>
  </si>
  <si>
    <t>-23.481133, -47.473636</t>
  </si>
  <si>
    <t>SPI19118</t>
  </si>
  <si>
    <t>ITAVUVU</t>
  </si>
  <si>
    <t>LOJAS SIMONETTI - AVENIDA CENTRAL, 1078 - ZONA COMERCIAL - RJES42163</t>
  </si>
  <si>
    <t>PARQUERESIDENCIALLARANJEIRAS</t>
  </si>
  <si>
    <t>-20.198228 , -40.25577690000001</t>
  </si>
  <si>
    <t>RJES42163</t>
  </si>
  <si>
    <t>MAGAZINE LUIZA - RUA NOVECENTOS E UM , 400 - ZONA COMERCIAL - SUL10774</t>
  </si>
  <si>
    <t>RUA NOVECENTOS E UM</t>
  </si>
  <si>
    <t>ESQ.AV.DO ESTADO</t>
  </si>
  <si>
    <t>88330725</t>
  </si>
  <si>
    <t>-26.986668 , -48.639019</t>
  </si>
  <si>
    <t>SUL10774</t>
  </si>
  <si>
    <t>47960950038609</t>
  </si>
  <si>
    <t>PONTO FRIO - URUGUAIANA, 128 - ZONA COMERCIAL - RJES6978</t>
  </si>
  <si>
    <t>154,SOBRELOJA 1 E 2</t>
  </si>
  <si>
    <t>20050000</t>
  </si>
  <si>
    <t>-22.903374 , -43.180603</t>
  </si>
  <si>
    <t>RJES6978</t>
  </si>
  <si>
    <t>33041260001489</t>
  </si>
  <si>
    <t>RIACHUELO - AVENIDA DEPUTADO ODON BEZERRA, 184 - JOAO PESSOA TAMBIA SHOPPING - NE42470</t>
  </si>
  <si>
    <t>AVENIDA ODON BEZERRA</t>
  </si>
  <si>
    <t>LOJAS 12, 13 E 14</t>
  </si>
  <si>
    <t>58013150</t>
  </si>
  <si>
    <t>-7.115746 , -34.879994</t>
  </si>
  <si>
    <t>NE42470</t>
  </si>
  <si>
    <t>33200056003164</t>
  </si>
  <si>
    <t>L161</t>
  </si>
  <si>
    <t>MASTERCELL TIM - PRACA DOUTOR NEREU RAMOS, 364 - SHOPPING DELLA - SUL261490</t>
  </si>
  <si>
    <t>PRACA DOUTOR NEREU RAMOS</t>
  </si>
  <si>
    <t>SHOPPING DELLA , LOJA 13</t>
  </si>
  <si>
    <t>-28.6785415,-49.3701788</t>
  </si>
  <si>
    <t>SUL261490</t>
  </si>
  <si>
    <t>2455036004000</t>
  </si>
  <si>
    <t>Shopping Della</t>
  </si>
  <si>
    <t>AQUILON JUFAP (TIM) - AVENIDA ROTARY, 624 - SAO BERNARDO PLAZA SHOPPING - SPC7851</t>
  </si>
  <si>
    <t>LOJA 1075</t>
  </si>
  <si>
    <t>SPC7851</t>
  </si>
  <si>
    <t>81214819003683</t>
  </si>
  <si>
    <t>JUFAP – SÃO BERNARDO PLAZA SHOPPING - SAP (41396)</t>
  </si>
  <si>
    <t>ALEGRIA (TIM) - AVENIDA VICENTE DE CARVALHO, 909 - SHOPPING CARIOCA - RJES252370</t>
  </si>
  <si>
    <t>LOJA 103</t>
  </si>
  <si>
    <t>RJES252370</t>
  </si>
  <si>
    <t>21683365001967</t>
  </si>
  <si>
    <t>ALEGRIA CARIOCA SHOPPING - SAP (39395)</t>
  </si>
  <si>
    <t>F.M.M. ROCHA - RUA GOVERNADOR PEDRO DE TOLEDO, 899 - SPI274690</t>
  </si>
  <si>
    <t>-22.7253334,-47.6500767</t>
  </si>
  <si>
    <t>SPI274690</t>
  </si>
  <si>
    <t>11378319000848</t>
  </si>
  <si>
    <t>ROCHA TELECOM - PIRACICABA CENTRO - SAP (28619)</t>
  </si>
  <si>
    <t>TIM - RUA 15 DE NOVEMBRO, 525 - SUL9014</t>
  </si>
  <si>
    <t>80020311</t>
  </si>
  <si>
    <t>-25.42993 , -49.268976</t>
  </si>
  <si>
    <t>SUL9014</t>
  </si>
  <si>
    <t>2421421020228</t>
  </si>
  <si>
    <t>C283</t>
  </si>
  <si>
    <t>TIM - AVENIDA MINISTRO GERALDO BARRETO SOBRAL, 215 - SHOPPING JARDINS - NE10407</t>
  </si>
  <si>
    <t>LOJA 51 E 53</t>
  </si>
  <si>
    <t>NE10407</t>
  </si>
  <si>
    <t>2421421022352</t>
  </si>
  <si>
    <t>C146</t>
  </si>
  <si>
    <t>TIM - RUA TUPIS, 337 - SHOPPING CIDADE - MGCO18861</t>
  </si>
  <si>
    <t>RUA DOS TUPIS</t>
  </si>
  <si>
    <t>MGCO18861</t>
  </si>
  <si>
    <t>COMMCENTER - AVENIDA RAIMUNDO PEREIRA DE MAGALHAES, 1465 - TIETE PLAZA SHOPPING - SPC40037</t>
  </si>
  <si>
    <t>SPC40037</t>
  </si>
  <si>
    <t>05828732010827</t>
  </si>
  <si>
    <t>COMMCENTER - RUA DOMINGOS DE MORAIS, 2564 - SHOPPING METRO SANTA CRUZ - SPC21912</t>
  </si>
  <si>
    <t>SPC21912</t>
  </si>
  <si>
    <t>5828732019450</t>
  </si>
  <si>
    <t>CELULAR STATION - RUA VIUVA DANTAS, 100, LOJA 2 - SHOPPING PASSEIO - RJES274980</t>
  </si>
  <si>
    <t>100, LOJA 2</t>
  </si>
  <si>
    <t>LOJ 150 A / LOJA 150 B</t>
  </si>
  <si>
    <t>-22.903364 , -43.55759</t>
  </si>
  <si>
    <t>RJES274980</t>
  </si>
  <si>
    <t>2714643001285</t>
  </si>
  <si>
    <t>COMMCENTER - AVENIDA DOUTOR ANTONIO MARIA LAET, 566 - SHOPPING TUCURUVI - SPC7846</t>
  </si>
  <si>
    <t>-23.4805106 , -46.60370400000001</t>
  </si>
  <si>
    <t>SPC7846</t>
  </si>
  <si>
    <t>3418924006646</t>
  </si>
  <si>
    <t>WORLD CELL (VIVO) - AVENIDA ANHANGUERA, 14404 - SHOPPING PORTAL - MGCO236980</t>
  </si>
  <si>
    <t>-16.6545456, -49.3289954</t>
  </si>
  <si>
    <t>MGCO236980</t>
  </si>
  <si>
    <t>5199395002080</t>
  </si>
  <si>
    <t>ALEA ELETRO (VIVO) - RUA DOUTOR BOZZANO , 1257 - ZONA COMERCIAL - SUL11002</t>
  </si>
  <si>
    <t>1257</t>
  </si>
  <si>
    <t>-29.6869864 , -53.8093081</t>
  </si>
  <si>
    <t>SUL11002</t>
  </si>
  <si>
    <t>VIVO - RUA MAJOR PRADO, 377 - ZONA COMERCIAL - SPI9901</t>
  </si>
  <si>
    <t>RUA MAJOR PRADO</t>
  </si>
  <si>
    <t>17201450</t>
  </si>
  <si>
    <t>-22.294929 , -48.555952</t>
  </si>
  <si>
    <t>SPI9901</t>
  </si>
  <si>
    <t>2558157009895</t>
  </si>
  <si>
    <t>LOJA JAU SP</t>
  </si>
  <si>
    <t>VIVO - AVENIDA GOVERNADOR VALADARES, 293 - MGCO258980</t>
  </si>
  <si>
    <t>32600115</t>
  </si>
  <si>
    <t>-19.9678642,-44.1994259</t>
  </si>
  <si>
    <t>MGCO258980</t>
  </si>
  <si>
    <t>2558157047207</t>
  </si>
  <si>
    <t>LOJA BETIM MG</t>
  </si>
  <si>
    <t>VIVO - AVENIDA PAULISTA, 854 - SHOPPING TOP CENTER - SPC63035</t>
  </si>
  <si>
    <t>AVENIDA PAULISTA, 854</t>
  </si>
  <si>
    <t>854</t>
  </si>
  <si>
    <t>BELAVISTA</t>
  </si>
  <si>
    <t>-23.5655312 , -46.6505626</t>
  </si>
  <si>
    <t>SPC63035</t>
  </si>
  <si>
    <t>2558157003935</t>
  </si>
  <si>
    <t>LOJA TOP CENTER AVENIDA PAULISTA SP</t>
  </si>
  <si>
    <t>Shopping Top Center</t>
  </si>
  <si>
    <t>CASAS BAHIA - RUA GENERAL SAMPAIO, 724 - ZONA COMERCIAL - NE21287</t>
  </si>
  <si>
    <t>RUA GENERAL SAMPAIO</t>
  </si>
  <si>
    <t>724</t>
  </si>
  <si>
    <t>60020030</t>
  </si>
  <si>
    <t>-3.724798 , -38.530209</t>
  </si>
  <si>
    <t>NE21287</t>
  </si>
  <si>
    <t>33041260078511</t>
  </si>
  <si>
    <t>1678</t>
  </si>
  <si>
    <t>CASAS BAHIA - AVENIDA PRESIDENTE VARGAS, 2548 - ZONA COMERCIAL - SUL90608</t>
  </si>
  <si>
    <t>2548</t>
  </si>
  <si>
    <t>94810002</t>
  </si>
  <si>
    <t>-29.997754 , -51.074514</t>
  </si>
  <si>
    <t>SUL90608</t>
  </si>
  <si>
    <t>33041260172887</t>
  </si>
  <si>
    <t>2084</t>
  </si>
  <si>
    <t>CASAS BAHIA - AVENIDA WINSTON CHURCHILL, 2399 - ZONA COMERCIAL - SUL86787</t>
  </si>
  <si>
    <t>AVENIDA WINSTON CHURCHILL</t>
  </si>
  <si>
    <t>2399</t>
  </si>
  <si>
    <t>CAPAO RASO</t>
  </si>
  <si>
    <t>81150050</t>
  </si>
  <si>
    <t>-25.517431 , -49.295521</t>
  </si>
  <si>
    <t>SUL86787</t>
  </si>
  <si>
    <t>33041260091615</t>
  </si>
  <si>
    <t>1481</t>
  </si>
  <si>
    <t>HARCOS TELECOM (CLARO) - AVENIDA MENINO MARCELO, 3800 - MACEIO PATIO SHOPPING - NE249390</t>
  </si>
  <si>
    <t>NE249390</t>
  </si>
  <si>
    <t>CLARO RP - RUA ERMELINO DE LEAO, 703 - SHOPPING PALLADIUM PONTA GROSSA - SUL8754</t>
  </si>
  <si>
    <t>olarias</t>
  </si>
  <si>
    <t>84035903</t>
  </si>
  <si>
    <t>SUL8754</t>
  </si>
  <si>
    <t>5949641005501</t>
  </si>
  <si>
    <t>FLEX CELL - AVENIDA RAIMUNDO PEREIRA DE MAGALHAES, 11001 - SHOPPING CANTAREIRA - SPC233400</t>
  </si>
  <si>
    <t>LOJA 1007</t>
  </si>
  <si>
    <t>2984038</t>
  </si>
  <si>
    <t>-23.4447474 , -46.7229906</t>
  </si>
  <si>
    <t>SPC233400</t>
  </si>
  <si>
    <t>3243382001900</t>
  </si>
  <si>
    <t>LINK TELECOM (CLARO) - AVENIDA JUSCELINO KUBITSCHEK DE OLIVEIRA, 5308 - SHOPPING BONSUCESSO - SPC10057</t>
  </si>
  <si>
    <t>-23.4330531 , -46.4033295</t>
  </si>
  <si>
    <t>SPC10057</t>
  </si>
  <si>
    <t>23001122000602</t>
  </si>
  <si>
    <t>1145</t>
  </si>
  <si>
    <t>BANDEIRA TELEFONIA (CLARO) - RUA MARIO LOBO, 106 - SHOPPING CIDADE DAS FLORES - SUL275060</t>
  </si>
  <si>
    <t>SUL275060</t>
  </si>
  <si>
    <t>6971234000677</t>
  </si>
  <si>
    <t>CLARO - RUA GONCALVES CRESPO, S/N - SHOPPING BOULEVARD TATUAPE - SPC7088</t>
  </si>
  <si>
    <t>RUA GONCALVES CRESPO</t>
  </si>
  <si>
    <t>LOJAS 138 E 139 - TERREO</t>
  </si>
  <si>
    <t>3066030</t>
  </si>
  <si>
    <t>-23.538956 , -46.57642</t>
  </si>
  <si>
    <t>SPC7088</t>
  </si>
  <si>
    <t>40432544020768</t>
  </si>
  <si>
    <t>1140</t>
  </si>
  <si>
    <t>Shopping Boulevard Tatuapé</t>
  </si>
  <si>
    <t>FUJIOKA - QNM 34 AREA ESPECIAL 01, S/N - SHOPPING JK - MGCO11394</t>
  </si>
  <si>
    <t>LOJA 156, 157 E 158</t>
  </si>
  <si>
    <t>MGCO11394</t>
  </si>
  <si>
    <t>01008713010127</t>
  </si>
  <si>
    <t>JK SHOPPING</t>
  </si>
  <si>
    <t>HAVAN - RUA FRANCISCO DEROSSO, 3488 - ZONA COMERCIAL - SUL18772</t>
  </si>
  <si>
    <t>RUA FRANCISCO DEROSSO</t>
  </si>
  <si>
    <t>3488</t>
  </si>
  <si>
    <t>LOJA 33</t>
  </si>
  <si>
    <t>XAXIM</t>
  </si>
  <si>
    <t>81830285</t>
  </si>
  <si>
    <t>-25.518681 , -49.255974</t>
  </si>
  <si>
    <t>SUL18772</t>
  </si>
  <si>
    <t>79379491003875</t>
  </si>
  <si>
    <t>36 - XAXIM</t>
  </si>
  <si>
    <t>HAVAN - RUA SETE DE SETEMBRO, 1213 - SHOPPING NEUMARKT - SUL19835</t>
  </si>
  <si>
    <t>LOJA 01,1º PISO</t>
  </si>
  <si>
    <t>SUL19835</t>
  </si>
  <si>
    <t>79379491001155</t>
  </si>
  <si>
    <t>8 - BLUMENAU</t>
  </si>
  <si>
    <t>LE BISCUIT - AVENIDA LINEU MACHADO, 419 - NORTH SHOPPING JOQUEI - NE288580</t>
  </si>
  <si>
    <t>JÓQUEI</t>
  </si>
  <si>
    <t>NE288580</t>
  </si>
  <si>
    <t>16233389005386</t>
  </si>
  <si>
    <t>LOJAS AMERICANAS - AVENIDA GETULIO VARGAS, 523 - ZONA COMERCIAL - RJES40373</t>
  </si>
  <si>
    <t>27253410</t>
  </si>
  <si>
    <t>-22.5120205 , -44.0902888</t>
  </si>
  <si>
    <t>RJES40373</t>
  </si>
  <si>
    <t>4506905000199</t>
  </si>
  <si>
    <t>LOJAS AMERICANAS - RUA ALVAREZ DE AZEVEDO, 99 - ZONA COMERCIAL - SPC40408</t>
  </si>
  <si>
    <t>RUA ALVARES DE AZEVEDO</t>
  </si>
  <si>
    <t>LOJA 05 A 20</t>
  </si>
  <si>
    <t>9020901</t>
  </si>
  <si>
    <t>-23.65772 , -46.528275</t>
  </si>
  <si>
    <t>SPC40408</t>
  </si>
  <si>
    <t>776574173336</t>
  </si>
  <si>
    <t>L260</t>
  </si>
  <si>
    <t>LOJAS AMERICANAS - AVENIDA ALBINO DE ALMEIDA, 239 - RJES45688</t>
  </si>
  <si>
    <t>239</t>
  </si>
  <si>
    <t>-22.463964 , -44.4483972</t>
  </si>
  <si>
    <t>RJES45688</t>
  </si>
  <si>
    <t>776574035456</t>
  </si>
  <si>
    <t>L684</t>
  </si>
  <si>
    <t>LOJAS AMERICANAS - PRACA CONDE FRONTIN, 28 - SPI63602</t>
  </si>
  <si>
    <t>RUA CONDE FRONTIN</t>
  </si>
  <si>
    <t>12327330</t>
  </si>
  <si>
    <t>-23.305536 , -45.966957</t>
  </si>
  <si>
    <t>SPI63602</t>
  </si>
  <si>
    <t>776574048191</t>
  </si>
  <si>
    <t>L558</t>
  </si>
  <si>
    <t>LOJAS AMERICANAS - RUA NOVE DE MARCO, 619 - SUL85154</t>
  </si>
  <si>
    <t>RUA NOVE DE MARCO</t>
  </si>
  <si>
    <t>89201400</t>
  </si>
  <si>
    <t>-26.301506 , -48.847609</t>
  </si>
  <si>
    <t>SUL85154</t>
  </si>
  <si>
    <t>776574055481</t>
  </si>
  <si>
    <t>LOJAS AMERICANAS - RUA GABRIEL ZANETTE, 1455 - SHOPPING CRICIUMA - SUL19852</t>
  </si>
  <si>
    <t>RUA GABRIEL ZANETTE</t>
  </si>
  <si>
    <t>PROSPERA</t>
  </si>
  <si>
    <t>88815060</t>
  </si>
  <si>
    <t>-28.6822255 , -49.3484338</t>
  </si>
  <si>
    <t>SUL19852</t>
  </si>
  <si>
    <t>776574160943</t>
  </si>
  <si>
    <t>L267</t>
  </si>
  <si>
    <t>Shopping Criciúma</t>
  </si>
  <si>
    <t>MAGAZINE LUIZA - BARAO DO RIO BRANCO, 1248 - ZONA COMERCIAL - NE5614</t>
  </si>
  <si>
    <t>60025061</t>
  </si>
  <si>
    <t>-3.729289 , -38.529167</t>
  </si>
  <si>
    <t>NE5614</t>
  </si>
  <si>
    <t>47960950085445</t>
  </si>
  <si>
    <t>809</t>
  </si>
  <si>
    <t>MAGAZINE LUIZA - AVENIDA SANTOS DUMONT, 4360 - PARQUE SHOPPING BAHIA - NE236060</t>
  </si>
  <si>
    <t>-12.888800845349502, -38.31778858011129</t>
  </si>
  <si>
    <t>NE236060</t>
  </si>
  <si>
    <t>47960950164582</t>
  </si>
  <si>
    <t>1352</t>
  </si>
  <si>
    <t>NAGEM - AVENIDA BARRETO DE MENZES, 800 - SHOPPING GUARARAPES - NE44806</t>
  </si>
  <si>
    <t>SALA 239</t>
  </si>
  <si>
    <t>NE44806</t>
  </si>
  <si>
    <t>24073694000317</t>
  </si>
  <si>
    <t>LJ NG JAB SH GUARARAPES</t>
  </si>
  <si>
    <t>RIACHUELO - AVENIDA MANOEL GOULART, 2400 - PRUDENSHOPPING - SPI78082</t>
  </si>
  <si>
    <t>LOJA 1045 WL</t>
  </si>
  <si>
    <t>SPI78082</t>
  </si>
  <si>
    <t>33200056018943</t>
  </si>
  <si>
    <t>L193</t>
  </si>
  <si>
    <t>RIACHUELO - AVENIDA SANTA CATARINA, 1 - BALNEARIO CAMBORIU SHOPPING - SUL260450</t>
  </si>
  <si>
    <t>88339901</t>
  </si>
  <si>
    <t>SUL260450</t>
  </si>
  <si>
    <t>33200056029040</t>
  </si>
  <si>
    <t>L257</t>
  </si>
  <si>
    <t>JMX (TIM) - AVENIDA JOAO PINHEIRO, 1154 - PRATIC SHOPPING - MGCO286610</t>
  </si>
  <si>
    <t>LOJA 60 E 61</t>
  </si>
  <si>
    <t>38400126</t>
  </si>
  <si>
    <t>MGCO286610</t>
  </si>
  <si>
    <t>3372209001065</t>
  </si>
  <si>
    <t>ALGAR TELECOM - AVENIDA JOAO PINHEIRO, 1154 - PRATIC SHOPPING - MGCO286640</t>
  </si>
  <si>
    <t>LOJA 33/34 TERMINAL CENTRAL</t>
  </si>
  <si>
    <t>MGCO286640</t>
  </si>
  <si>
    <t>71208516021767</t>
  </si>
  <si>
    <t>TIM OLIVEIRA - AVENIDA MENINO MARCELO, 3800 - MACEIO PATIO SHOPPING - NE10394</t>
  </si>
  <si>
    <t>LOJA 213</t>
  </si>
  <si>
    <t>NE10394</t>
  </si>
  <si>
    <t>12633214000265</t>
  </si>
  <si>
    <t>AQUILON JUFAP (TIM) - RODOVIA RAPOSO TAVARES KM 14,5, S/N - SHOPPING RAPOSO - SPC20410</t>
  </si>
  <si>
    <t>SPC20410</t>
  </si>
  <si>
    <t>81214819004302</t>
  </si>
  <si>
    <t>JUFAP - SHOPPING RAPOSO - SAP (41573)</t>
  </si>
  <si>
    <t>DULCOM/DPI (TIM) - AVENIDA ALFREDO ANTONIO DE OLIVEIRA, 2077 - SHOPPING CIDADE NORTE - SPI20990</t>
  </si>
  <si>
    <t>-20.7698224, -49.3859174</t>
  </si>
  <si>
    <t>SPI20990</t>
  </si>
  <si>
    <t>2356946002164</t>
  </si>
  <si>
    <t>TIM - PRACA SAMUEL SABATINI, 200 - SHOPPING METROPOLE - SPC7291</t>
  </si>
  <si>
    <t>LOJA 129</t>
  </si>
  <si>
    <t>SPC7291</t>
  </si>
  <si>
    <t>2421421016972</t>
  </si>
  <si>
    <t>C194</t>
  </si>
  <si>
    <t>TIM - AVENIDA ANTONIO FREDERICO OZANAM, 6000 - MAXI SHOPPING JUNDIAI - SPI10601</t>
  </si>
  <si>
    <t>LOJA 1004 A 1006</t>
  </si>
  <si>
    <t>SPI10601</t>
  </si>
  <si>
    <t>2421421008520</t>
  </si>
  <si>
    <t>C183</t>
  </si>
  <si>
    <t>TIM - RUA DOUTOR JOAO SANTOS FILHOS, 255 - SHOPPING PLAZA CASA FORTE - NE47510</t>
  </si>
  <si>
    <t>52060615</t>
  </si>
  <si>
    <t>-8.0370292 , -34.9125187</t>
  </si>
  <si>
    <t>NE47510</t>
  </si>
  <si>
    <t>02421421028806</t>
  </si>
  <si>
    <t>C709</t>
  </si>
  <si>
    <t>TIM - RUA HALFELD, 767 - ZONA COMERCIAL - MGCO10505</t>
  </si>
  <si>
    <t>698</t>
  </si>
  <si>
    <t>-21.760971 , -43.348118</t>
  </si>
  <si>
    <t>MGCO10505</t>
  </si>
  <si>
    <t>04206050029081</t>
  </si>
  <si>
    <t>COMMCENTER - AVENIDA VICENTE DE CARVALHO, 909 - SHOPPING CARIOCA - RJES6079</t>
  </si>
  <si>
    <t>159/160</t>
  </si>
  <si>
    <t>-22.8499687, -43.3110186</t>
  </si>
  <si>
    <t>RJES6079</t>
  </si>
  <si>
    <t>5828732003375</t>
  </si>
  <si>
    <t>CENTERCELL (VIVO) - AVENIDA JOAO PINHEIRO, 1154 - PRATIC SHOPPING - MGCO286630</t>
  </si>
  <si>
    <t>LOJA 030 E 031</t>
  </si>
  <si>
    <t>38400983</t>
  </si>
  <si>
    <t>MGCO286630</t>
  </si>
  <si>
    <t>9074142001140</t>
  </si>
  <si>
    <t>COMMCENTER - ALAMEDA FILTROS MANN, 670 - POLO SHOPPING - SPI258780</t>
  </si>
  <si>
    <t>LOJA 106/108</t>
  </si>
  <si>
    <t>-23.1169076 , -47.2196118</t>
  </si>
  <si>
    <t>SPI258780</t>
  </si>
  <si>
    <t>5828732015110</t>
  </si>
  <si>
    <t>COMMCENTER - AVENIDA JOSE PINHEIRO BORGES, S/N - SHOPPING METRO ITAQUERA - SPC8784</t>
  </si>
  <si>
    <t>-23.5405621, -46.4706432</t>
  </si>
  <si>
    <t>SPC8784</t>
  </si>
  <si>
    <t>5828732005408</t>
  </si>
  <si>
    <t>ALEA ELETRO (VIVO) - RUA FREI CANECA, 569 - SHOPPING FREI CANECA - SPC6362</t>
  </si>
  <si>
    <t>-23.5542040521982 , -46.65271634454484</t>
  </si>
  <si>
    <t>SPC6362</t>
  </si>
  <si>
    <t>93720464018524</t>
  </si>
  <si>
    <t>COMMCENTER - AVENIDA ALFREDO ANTONIO DE OLIVEIRA, 2077 - SHOPPING CIDADE NORTE - SPI261170</t>
  </si>
  <si>
    <t>JARDIM MARAJÓ</t>
  </si>
  <si>
    <t>SPI261170</t>
  </si>
  <si>
    <t>5828732014571</t>
  </si>
  <si>
    <t>VIVO CRONOLOGICA - RUA GOVERNADOR PEDRO DE TOLEDO, 914 - SPI245090</t>
  </si>
  <si>
    <t>914</t>
  </si>
  <si>
    <t>PIRACICABA</t>
  </si>
  <si>
    <t>-22.7252646,-47.650147</t>
  </si>
  <si>
    <t>SPI245090</t>
  </si>
  <si>
    <t>3685001003040</t>
  </si>
  <si>
    <t>VIVO - AVENIDA MINISTRO GERALDO BARRETO SOBRAL, 215 - SHOPPING JARDINS - NE10411</t>
  </si>
  <si>
    <t>Loja 137 Parte</t>
  </si>
  <si>
    <t>49026900</t>
  </si>
  <si>
    <t>NE10411</t>
  </si>
  <si>
    <t>2558157037910</t>
  </si>
  <si>
    <t>LOJA JARDINS SE</t>
  </si>
  <si>
    <t>VIVO - AVENIDA PELINCA, 100 - SHOPPING PELINCA - RJES18859</t>
  </si>
  <si>
    <t>AVENIDA PELINCA</t>
  </si>
  <si>
    <t>28035053</t>
  </si>
  <si>
    <t>-21.7601655 , -41.33220559999999</t>
  </si>
  <si>
    <t>RJES18859</t>
  </si>
  <si>
    <t>2558157025238</t>
  </si>
  <si>
    <t>LOJA NOVA CAMPOS PELINCA RJ</t>
  </si>
  <si>
    <t>Shopping Pelinca</t>
  </si>
  <si>
    <t>VIVO - RUA DOUTOR JOAO SANTOS FILHO, 255 - SHOPPING PLAZA CASA FORTE - NE21256</t>
  </si>
  <si>
    <t>NE21256</t>
  </si>
  <si>
    <t>2558157091370</t>
  </si>
  <si>
    <t>LOJA SHOPPING PLAZA PE</t>
  </si>
  <si>
    <t>CARREFOUR - AVENIDA PRESIDENTE JUSCELINO KUBITSCHEK DE OLIVEIRA , 2300 - ZONA COMERCIAL - SUL37287</t>
  </si>
  <si>
    <t>AVENIDA PRESIDENTE JUSCELINO KUBITSCHEK DE OLIVEIRA</t>
  </si>
  <si>
    <t>AREAL</t>
  </si>
  <si>
    <t>-31.763599 , -52.329064</t>
  </si>
  <si>
    <t>SUL37287</t>
  </si>
  <si>
    <t>45543915100135</t>
  </si>
  <si>
    <t>BPR</t>
  </si>
  <si>
    <t>CARREFOUR - AVENIDA PAULO FACCINI, 240 - ZONA COMERCIAL - SPC18802</t>
  </si>
  <si>
    <t>AVENIDA PAULO FACCINI</t>
  </si>
  <si>
    <t>MACEDO</t>
  </si>
  <si>
    <t>7111000</t>
  </si>
  <si>
    <t>-23.467982733786904 , -46.5213755703192</t>
  </si>
  <si>
    <t>SPC18802</t>
  </si>
  <si>
    <t>45543915036453</t>
  </si>
  <si>
    <t>BGU</t>
  </si>
  <si>
    <t>CASA &amp; VIDEO - AVENIDA TEIXEIRA E SOUZA , 980 - ZONA COMERCIAL - RJES11727</t>
  </si>
  <si>
    <t>980</t>
  </si>
  <si>
    <t>28905100</t>
  </si>
  <si>
    <t>-22.8841707 , -42.0272865</t>
  </si>
  <si>
    <t>RJES11727</t>
  </si>
  <si>
    <t>11114284001992</t>
  </si>
  <si>
    <t>CABO FRIO</t>
  </si>
  <si>
    <t>CASA &amp; VIDEO - AVENIDA DAS AMERICAS, 19019 - SHOPPING RECREIO - RJES10171</t>
  </si>
  <si>
    <t>RJES10171</t>
  </si>
  <si>
    <t>SHOPPING RECREIO AMÉRICAS</t>
  </si>
  <si>
    <t>CASA &amp; VIDEO - AVENIDA CARLOS LINDENBERG, 781 - RJES273720</t>
  </si>
  <si>
    <t>GLÓRIA</t>
  </si>
  <si>
    <t>-20.3388942,-40.3074207</t>
  </si>
  <si>
    <t>RJES273720</t>
  </si>
  <si>
    <t>11114284030151</t>
  </si>
  <si>
    <t>CASAS BAHIA - AVENIDA NOSSA SENHORA DE LOURDES, 63 - SHOPPING JARDIM DAS AMERICAS - SUL19382</t>
  </si>
  <si>
    <t>AVENIDA NOSSA SENHORA DE LOURDES</t>
  </si>
  <si>
    <t>LOJAS 43 A 48 A</t>
  </si>
  <si>
    <t>81530020</t>
  </si>
  <si>
    <t>-25.451397 , -49.228512</t>
  </si>
  <si>
    <t>SUL19382</t>
  </si>
  <si>
    <t>33041260110695</t>
  </si>
  <si>
    <t>1581</t>
  </si>
  <si>
    <t>Shopping Jardim Das Americas</t>
  </si>
  <si>
    <t>CASAS BAHIA - AVENIDA REPUBLICA ARGENTINA, 4455 - ZONA COMERCIAL - SUL18504</t>
  </si>
  <si>
    <t>AVENIDA REPUBLICA ARGENTINA</t>
  </si>
  <si>
    <t>4455</t>
  </si>
  <si>
    <t>81050000</t>
  </si>
  <si>
    <t>-25.485174 , -49.293854</t>
  </si>
  <si>
    <t>SUL18504</t>
  </si>
  <si>
    <t>33041260091534</t>
  </si>
  <si>
    <t>1196</t>
  </si>
  <si>
    <t>CLARO RP - AVENIDA AFONSO VAZ DE MELO, 640 - SHOPPING VIA SHOPPING - MGCO5782</t>
  </si>
  <si>
    <t>LJ 202</t>
  </si>
  <si>
    <t>MGCO5782</t>
  </si>
  <si>
    <t>5949671008004</t>
  </si>
  <si>
    <t>HS - AVENIDA DOUTOR QUINZINHO, 551 - SHOPPING JAU - SPI8773</t>
  </si>
  <si>
    <t>AVENIDA DOUTOR QUINZINHO</t>
  </si>
  <si>
    <t>BOX 16</t>
  </si>
  <si>
    <t>CHÁCARA PEBBIOLI</t>
  </si>
  <si>
    <t>17210110</t>
  </si>
  <si>
    <t>-22.296881 , -48.545933</t>
  </si>
  <si>
    <t>SPI8773</t>
  </si>
  <si>
    <t>05923253000401</t>
  </si>
  <si>
    <t>Shopping Jau</t>
  </si>
  <si>
    <t>FLEX CELL - CONDE FRANCISCO MATARAZZO JUNIOR, 208 - SHOPPING RIO CLARO - SPI248980</t>
  </si>
  <si>
    <t>CONDE FRANCISCO MATARAZZO JUNIOR</t>
  </si>
  <si>
    <t>208</t>
  </si>
  <si>
    <t>LOJA 21</t>
  </si>
  <si>
    <t>RIO CLARO</t>
  </si>
  <si>
    <t>13506845</t>
  </si>
  <si>
    <t>-22.412895 , -47.554146</t>
  </si>
  <si>
    <t>SPI248980</t>
  </si>
  <si>
    <t>3243382001578</t>
  </si>
  <si>
    <t>Shopping Rio Claro</t>
  </si>
  <si>
    <t>CELULAR.COM - RUA MARECHAL DEODORO, 976 - SPC275050</t>
  </si>
  <si>
    <t>LOJA 07</t>
  </si>
  <si>
    <t>9710000</t>
  </si>
  <si>
    <t>-23.7066288,-46.551925</t>
  </si>
  <si>
    <t>SPC275050</t>
  </si>
  <si>
    <t>5949641011145</t>
  </si>
  <si>
    <t>PONTO CERTO - AVENIDA ABELARDO BUENO, 1300 - SHOPPING METROPOLITANO - RJES21149</t>
  </si>
  <si>
    <t>AVENIDA ABELARDO BUENO</t>
  </si>
  <si>
    <t>BARRADATIJUCA</t>
  </si>
  <si>
    <t>22775040</t>
  </si>
  <si>
    <t>-22.971049 , -43.3724375</t>
  </si>
  <si>
    <t>RJES21149</t>
  </si>
  <si>
    <t>5142929003860</t>
  </si>
  <si>
    <t>Shopping Metropolitano</t>
  </si>
  <si>
    <t>CLARO RP - AVENIDA SETE DE SETEMBRO, 2775 - SHOPPING ESTACAO - SUL261180</t>
  </si>
  <si>
    <t>AVENIDA SETE DE SETEMBRO</t>
  </si>
  <si>
    <t>2775</t>
  </si>
  <si>
    <t>REBOUÇAS</t>
  </si>
  <si>
    <t>80230010</t>
  </si>
  <si>
    <t>-25.438702 , -49.267544</t>
  </si>
  <si>
    <t>SUL261180</t>
  </si>
  <si>
    <t>5949641006656</t>
  </si>
  <si>
    <t>Shopping Estacao</t>
  </si>
  <si>
    <t>CN COMERCIO DE CELULARES (CLARO) - AVENIDA PRESIDENTE ERNESTO GEISEL, 2300 - SHOPPING NORTE SUL PLAZA - MGCO273450</t>
  </si>
  <si>
    <t>JARDIM JOCKEY CLUB</t>
  </si>
  <si>
    <t>79080105</t>
  </si>
  <si>
    <t>MGCO273450</t>
  </si>
  <si>
    <t>35624813000137</t>
  </si>
  <si>
    <t>MEX CELL - AVENIDA GOVERNADOR ROBERTO SILVEIRA, 540 - TOP SHOPPING - RJES256640</t>
  </si>
  <si>
    <t>26210210</t>
  </si>
  <si>
    <t>RJES256640</t>
  </si>
  <si>
    <t>18959713000495</t>
  </si>
  <si>
    <t>HS - RUA DOS EXPEDICIONARIOS, 34 - SPI239230</t>
  </si>
  <si>
    <t>RUA DOS EXPEDICIONARIOS</t>
  </si>
  <si>
    <t>12400370</t>
  </si>
  <si>
    <t>-22.9264583, -45.4616528</t>
  </si>
  <si>
    <t>SPI239230</t>
  </si>
  <si>
    <t>5923253004652</t>
  </si>
  <si>
    <t>PONTO CERTO - AVENIDA GEREMARIO DANTAS, 404 - CENTER SHOPPING - RJES46765</t>
  </si>
  <si>
    <t>RJES46765</t>
  </si>
  <si>
    <t>CLARO - RUA GOIAS, 486 - ZONA COMERCIAL - MGCO10473</t>
  </si>
  <si>
    <t>488</t>
  </si>
  <si>
    <t>PORTO VELHO</t>
  </si>
  <si>
    <t>-20.1461716, -44.8903954</t>
  </si>
  <si>
    <t>MGCO10473</t>
  </si>
  <si>
    <t>40432544027851</t>
  </si>
  <si>
    <t>3121</t>
  </si>
  <si>
    <t>CLARO - RUA SETE DE SETEMBRO, 1213 - SHOPPING NEUMARKT - SUL6300</t>
  </si>
  <si>
    <t>-26.9206906 , -49.069948</t>
  </si>
  <si>
    <t>SUL6300</t>
  </si>
  <si>
    <t>40432544007079</t>
  </si>
  <si>
    <t>4804</t>
  </si>
  <si>
    <t>COLOMBO - RUA 15 DE NOVEMBRO, 366 - ZONA COMERCIAL - SUL7982</t>
  </si>
  <si>
    <t>366</t>
  </si>
  <si>
    <t>-26.3005035 , -48.84592199999999</t>
  </si>
  <si>
    <t>SUL7982</t>
  </si>
  <si>
    <t>89848543047211</t>
  </si>
  <si>
    <t>321</t>
  </si>
  <si>
    <t>FUJIOKA - AVENIDA IGUALDADE - QD 111 - LT 05, S/N - ZONA COMERCIAL - MGCO5753</t>
  </si>
  <si>
    <t>QUADRA 111 LOTE 05</t>
  </si>
  <si>
    <t>MGCO5753</t>
  </si>
  <si>
    <t>01008713007339</t>
  </si>
  <si>
    <t>HAVAN - AVENIDA ROLF WIEST, 333 - GARTEN SHOPPING - SUL45073</t>
  </si>
  <si>
    <t>AVENIDA ROLF WIEST</t>
  </si>
  <si>
    <t>333</t>
  </si>
  <si>
    <t>BOM RETIRO</t>
  </si>
  <si>
    <t>89223005</t>
  </si>
  <si>
    <t>-26.2537855 , -48.85339399999999</t>
  </si>
  <si>
    <t>SUL45073</t>
  </si>
  <si>
    <t>79379491004251</t>
  </si>
  <si>
    <t>42 - GARTEN SHOPPING</t>
  </si>
  <si>
    <t>Garten Shopping</t>
  </si>
  <si>
    <t>INFORCELL PREMIUM - AVENIDA NOEL NUTELS, 1762 - SAMAUMA SHOPPING - N290370</t>
  </si>
  <si>
    <t>N290370</t>
  </si>
  <si>
    <t>11050941001802</t>
  </si>
  <si>
    <t>INFORCELL PREMIUM</t>
  </si>
  <si>
    <t>LEBES - AVENIDA PEDRO ADAMS FILHO, 5157 - ZONA COMERCIAL - SUL11348</t>
  </si>
  <si>
    <t>5157</t>
  </si>
  <si>
    <t>-29.6871119, -51.1292102</t>
  </si>
  <si>
    <t>SUL11348</t>
  </si>
  <si>
    <t>LOJAS AMERICANAS - AVENIDA DAS AMERICAS, 19021 - SHOPPING RECREIO - RJES237310</t>
  </si>
  <si>
    <t>AS - AVENIDA DAS AMERICAS</t>
  </si>
  <si>
    <t>LJ 206 207</t>
  </si>
  <si>
    <t>Recreio dos Bandeirantes</t>
  </si>
  <si>
    <t>-23.0212081, -43.48820389999999</t>
  </si>
  <si>
    <t>RJES237310</t>
  </si>
  <si>
    <t>776574092255</t>
  </si>
  <si>
    <t>5296</t>
  </si>
  <si>
    <t>LOJAS AMERICANAS - AVENIDA PAULISTA, 320 - SPC20284</t>
  </si>
  <si>
    <t>326 LOJA B</t>
  </si>
  <si>
    <t>1310000</t>
  </si>
  <si>
    <t>-23.569111 , -46.646873</t>
  </si>
  <si>
    <t>SPC20284</t>
  </si>
  <si>
    <t>776574022125</t>
  </si>
  <si>
    <t>L527</t>
  </si>
  <si>
    <t>LOJAS AMERICANAS - AVENIDA DOM EMANUEL, - MGCO78163</t>
  </si>
  <si>
    <t>RUA DOM EMANUEL</t>
  </si>
  <si>
    <t>RUA GOVERNADOR ARY</t>
  </si>
  <si>
    <t>JARDIM TODOS OS SANTOS II</t>
  </si>
  <si>
    <t>-16.699226 , -49.100593</t>
  </si>
  <si>
    <t>MGCO78163</t>
  </si>
  <si>
    <t>776574157802</t>
  </si>
  <si>
    <t>LOJAS AMERICANAS - RUA DONA IZABEL A REDENTORA, 1434 - SHOPPING SAO JOSE - SUL18559</t>
  </si>
  <si>
    <t>RUA IZABEL A REDENTORA</t>
  </si>
  <si>
    <t>83005010</t>
  </si>
  <si>
    <t>-25.538013 , -49.204391</t>
  </si>
  <si>
    <t>SUL18559</t>
  </si>
  <si>
    <t>776574144905</t>
  </si>
  <si>
    <t>L344</t>
  </si>
  <si>
    <t>Shopping Sao Jose</t>
  </si>
  <si>
    <t>LOJAS AMERICANAS - AVENIDA PRESIDENTE KENNEDY, 425 - PARTAGE SHOPPING SAO GONCALO - RJES111420</t>
  </si>
  <si>
    <t>RJES111420</t>
  </si>
  <si>
    <t>776574083183</t>
  </si>
  <si>
    <t>5113</t>
  </si>
  <si>
    <t>LOJAS AMERICANAS - PROF. ALFREDO GONCALVES FIGUEIRA, 100 - SHOPPING NILOPOLIS SQUARE - RJES235730</t>
  </si>
  <si>
    <t>RUA PROFESSOR ALFREDO GONCALVES FIGUEIRA</t>
  </si>
  <si>
    <t>LOJA 147 A 151</t>
  </si>
  <si>
    <t>RJES235730</t>
  </si>
  <si>
    <t>776574080249</t>
  </si>
  <si>
    <t>LOJAS AMERICANAS - AVENIDA AYRTON SENNA DA SILVA, 1511 - SHOPPING LITORAL PLAZA - SPC42155</t>
  </si>
  <si>
    <t>LOJA 400</t>
  </si>
  <si>
    <t>SPC42155</t>
  </si>
  <si>
    <t>776574064553</t>
  </si>
  <si>
    <t>L196</t>
  </si>
  <si>
    <t>LOJAS AMERICANAS - AVENIDA LIMEIRA, 722 - SHOPPING PIRACICABA - SPI22929</t>
  </si>
  <si>
    <t>ANCORA A2,TERREO</t>
  </si>
  <si>
    <t>SPI22929</t>
  </si>
  <si>
    <t>776574064120</t>
  </si>
  <si>
    <t>L177</t>
  </si>
  <si>
    <t>LOJAS AMERICANAS - ALAMEDA FILTROS MANN, 670 - POLO SHOPPING - SPI257140</t>
  </si>
  <si>
    <t>LOJA A03A</t>
  </si>
  <si>
    <t>BAIRRO PIMENTA</t>
  </si>
  <si>
    <t>SPI257140</t>
  </si>
  <si>
    <t>776574181860</t>
  </si>
  <si>
    <t>LOJAS AMERICANAS - AVENIDA ABELARDO BUENO, 1300 - SHOPPING METROPOLITANO - RJES10173</t>
  </si>
  <si>
    <t>LOJA 1009</t>
  </si>
  <si>
    <t>22775027</t>
  </si>
  <si>
    <t>-22.971987 , -43.373337</t>
  </si>
  <si>
    <t>RJES10173</t>
  </si>
  <si>
    <t>776574110334</t>
  </si>
  <si>
    <t>LOJAS AMERICANAS - AVENIDA AYRTON SENNA, 3000 - SHOPPING VIA PARQUE - RJES6034</t>
  </si>
  <si>
    <t>AVENIDA AYRTON SENNA</t>
  </si>
  <si>
    <t>LOJA 1091</t>
  </si>
  <si>
    <t>22775001</t>
  </si>
  <si>
    <t>-22.982697 , -43.363045</t>
  </si>
  <si>
    <t>RJES6034</t>
  </si>
  <si>
    <t>776574091798</t>
  </si>
  <si>
    <t>L100</t>
  </si>
  <si>
    <t>Shopping Via Parque</t>
  </si>
  <si>
    <t>LOJAS AMERICANAS - AVENIDA DOUTOR OLIVIO LIRA, 353 - SHOPPING PRAIA DA COSTA - RJES5717</t>
  </si>
  <si>
    <t>RJES5717</t>
  </si>
  <si>
    <t>776574112205</t>
  </si>
  <si>
    <t>L187</t>
  </si>
  <si>
    <t>LOJAS AMERICANAS - BR 262  KM 5, 6555 - SHOPPING MOXUARA - RJES19545</t>
  </si>
  <si>
    <t>29145910</t>
  </si>
  <si>
    <t>RJES19545</t>
  </si>
  <si>
    <t>776574118157</t>
  </si>
  <si>
    <t>LOJAS AMERICANAS - RODOVIA DO SOL, 5000 - SHOPPING BOULEVARD VILA VELHA - RJES11834</t>
  </si>
  <si>
    <t>RJES11834</t>
  </si>
  <si>
    <t>776574127067</t>
  </si>
  <si>
    <t>LOJAS CEM - RUA 15 DE NOVEMBRO, 1982 - ZONA COMERCIAL - SUL18636</t>
  </si>
  <si>
    <t>1982</t>
  </si>
  <si>
    <t>-25.538605 , -49.1998815</t>
  </si>
  <si>
    <t>SUL18636</t>
  </si>
  <si>
    <t>56642960009751</t>
  </si>
  <si>
    <t>SJPIN</t>
  </si>
  <si>
    <t>LOJAS CEM - ALAMEDA SANTO AMARO, 370 - ZONA COMERCIAL - SPC20300</t>
  </si>
  <si>
    <t>ALAMEDA SANTO AMARO</t>
  </si>
  <si>
    <t>4745001</t>
  </si>
  <si>
    <t>-23.656904 , -46.706323</t>
  </si>
  <si>
    <t>SPC20300</t>
  </si>
  <si>
    <t>56642960002315</t>
  </si>
  <si>
    <t>SAMARO</t>
  </si>
  <si>
    <t>MAGAZINE LUIZA - AVENIDA PARADA PINTO, 2262 - SHOPPING ANDORINHA - SPC229450</t>
  </si>
  <si>
    <t>2262</t>
  </si>
  <si>
    <t>2611001</t>
  </si>
  <si>
    <t>-23.4710455 , -46.6495648</t>
  </si>
  <si>
    <t>SPC229450</t>
  </si>
  <si>
    <t>47960950134675</t>
  </si>
  <si>
    <t>Shopping Andorinha</t>
  </si>
  <si>
    <t>MAGAZINE LUIZA - AVENIDA SEVERINO BEZERRA CABRAL, 1050 - PARTAGE SHOPPING CAMPINA GRANDE - NE247870</t>
  </si>
  <si>
    <t>AVENIDA SEVERINO BEZERRA CABRAL</t>
  </si>
  <si>
    <t>CATOLE</t>
  </si>
  <si>
    <t>CAMPINA GRANDE</t>
  </si>
  <si>
    <t>58408000</t>
  </si>
  <si>
    <t>-7.2347023,-35.872469</t>
  </si>
  <si>
    <t>NE247870</t>
  </si>
  <si>
    <t>47960950124017</t>
  </si>
  <si>
    <t>Partage Shopping Campina Grande</t>
  </si>
  <si>
    <t>MATHEUS SUPERMERCADO - ILHA - AVENIDA DANIEL DE LA TOUCHE, 987 - SHOPPING DA ILHA - NE10395</t>
  </si>
  <si>
    <t>NE10395</t>
  </si>
  <si>
    <t>3995515003344</t>
  </si>
  <si>
    <t>PONTO FRIO - RUA HALFELD, 747 - ZONA COMERCIAL - MGCO10503</t>
  </si>
  <si>
    <t>-21.76111 , -43.348656</t>
  </si>
  <si>
    <t>MGCO10503</t>
  </si>
  <si>
    <t>33041260053527</t>
  </si>
  <si>
    <t>TELE RIO - ESTRADA DO PORTELA, 222 - SHOPPING MADUREIRA - RJES276520</t>
  </si>
  <si>
    <t>LOJA 133 134 135 136 137</t>
  </si>
  <si>
    <t>RJES276520</t>
  </si>
  <si>
    <t>33086695004627</t>
  </si>
  <si>
    <t>MAGNATA/RAGAR (TIM) - AVENIDA GEREMARIO DANTAS, 404 - CENTER SHOPPING - RJES250480</t>
  </si>
  <si>
    <t>LOJA 134</t>
  </si>
  <si>
    <t>RJES250480</t>
  </si>
  <si>
    <t>5999455001077</t>
  </si>
  <si>
    <t>AQUILON JUFAP (TIM) - RUA DONA IZABEL A REDENTORA, 1434 - SHOPPING SAO JOSE - SUL6915</t>
  </si>
  <si>
    <t>SUL6915</t>
  </si>
  <si>
    <t>81214819001044</t>
  </si>
  <si>
    <t>JUFAP ADMINISTRACAO - SHOPPING SÃO JOSÉ - SAP (20164)</t>
  </si>
  <si>
    <t>F.M.M. ROCHA - RUA FILTROS MANN, 670 - POLO SHOPPING - SPI236190</t>
  </si>
  <si>
    <t>Alameda Filtros Mann</t>
  </si>
  <si>
    <t>Jardim Tropical</t>
  </si>
  <si>
    <t>-23.1163137, -47.2194738</t>
  </si>
  <si>
    <t>SPI236190</t>
  </si>
  <si>
    <t>11378319000767</t>
  </si>
  <si>
    <t>ROCHA TELECOM - SHOPPING POLO - SAP (28620)</t>
  </si>
  <si>
    <t>SETE LAN (TIM) - RUA VIUVA DANTAS, 100 - SHOPPING PASSEIO - RJES39531</t>
  </si>
  <si>
    <t>23050365</t>
  </si>
  <si>
    <t>RJES39531</t>
  </si>
  <si>
    <t>8312444001812</t>
  </si>
  <si>
    <t>MASTERCELL TIM - RUA ANDRADE NEVES, 1872 - ZONA COMERCIAL - SUL11139</t>
  </si>
  <si>
    <t>1872</t>
  </si>
  <si>
    <t>-31.765509 , -52.341171</t>
  </si>
  <si>
    <t>SUL11139</t>
  </si>
  <si>
    <t>2455036008927</t>
  </si>
  <si>
    <t>TIM - AVENIDA SAO PAULO, 1099 - SHOPPING MARINGA PARK CENTER - SUL40029</t>
  </si>
  <si>
    <t>AVENIDA SAO PAULO</t>
  </si>
  <si>
    <t>SALA 101,102 E 103</t>
  </si>
  <si>
    <t>87013931</t>
  </si>
  <si>
    <t>-23.422374 , -51.932732</t>
  </si>
  <si>
    <t>SUL40029</t>
  </si>
  <si>
    <t>2421421014414</t>
  </si>
  <si>
    <t>C101</t>
  </si>
  <si>
    <t>Shopping Maringa Park Center</t>
  </si>
  <si>
    <t>TIM - AVENIDA ROLF WIEST, 333 - GARTEN SHOPPING - SUL7955</t>
  </si>
  <si>
    <t>-26.2537855, -48.85339399999999</t>
  </si>
  <si>
    <t>SUL7955</t>
  </si>
  <si>
    <t>2421421007205</t>
  </si>
  <si>
    <t>C302</t>
  </si>
  <si>
    <t>COMMCENTER - AVENIDA ABELARDO BUENO, 1300 - SHOPPING METROPOLITANO - RJES237670</t>
  </si>
  <si>
    <t>Barra da Tijuca</t>
  </si>
  <si>
    <t>-22.9708333, -43.3719444</t>
  </si>
  <si>
    <t>RJES237670</t>
  </si>
  <si>
    <t>5828732012366</t>
  </si>
  <si>
    <t>VIVO FUTURA - RUA GOIAS, 589 - ZONA COMERCIAL - MGCO11084</t>
  </si>
  <si>
    <t>843</t>
  </si>
  <si>
    <t>-20.145031 , -44.893654</t>
  </si>
  <si>
    <t>MGCO11084</t>
  </si>
  <si>
    <t>08704046000101</t>
  </si>
  <si>
    <t>COMMCENTER - RUA DEPUTADO CLARO CESAR, 181 - SPI276880</t>
  </si>
  <si>
    <t>-22.9244813,-45.4627668</t>
  </si>
  <si>
    <t>SPI276880</t>
  </si>
  <si>
    <t>5828732021608</t>
  </si>
  <si>
    <t>WORLD CELL (VIVO) - AVENIDA DOM EMANUEL, QUADRA 1H, LOTE 25, S/N - MGCO252500</t>
  </si>
  <si>
    <t>AVENIDA DOM EMANUEL, QUADRA 1H, LOTE 25</t>
  </si>
  <si>
    <t>-16.7002875, -49.0996406</t>
  </si>
  <si>
    <t>MGCO252500</t>
  </si>
  <si>
    <t>5199395001946</t>
  </si>
  <si>
    <t>COMMCENTER - AVENIDA GEREMARIO DANTAS, 404 - CENTER SHOPPING - RJES80085</t>
  </si>
  <si>
    <t>22730305</t>
  </si>
  <si>
    <t>RJES80085</t>
  </si>
  <si>
    <t>VIVO - AVENIDA PRESIDENTE KENNEDY, 425 - PARTAGE SHOPPING SAO GONCALO - RJES290360</t>
  </si>
  <si>
    <t>LOJA 156-157</t>
  </si>
  <si>
    <t>RJES290360</t>
  </si>
  <si>
    <t>2558157096259</t>
  </si>
  <si>
    <t>LOJA SHOP PARTAGE S GONCALO RJ</t>
  </si>
  <si>
    <t>VIVO - AVENIDA RIO BRANCO, 100 - ZONA COMERCIAL - NE20688</t>
  </si>
  <si>
    <t>JARDIMPLANALTO</t>
  </si>
  <si>
    <t>49025390</t>
  </si>
  <si>
    <t>-10.9118046 , -37.0481589</t>
  </si>
  <si>
    <t>NE20688</t>
  </si>
  <si>
    <t>2558157038135</t>
  </si>
  <si>
    <t>LOJA CENTRO ARACAJU SE</t>
  </si>
  <si>
    <t>BERLANDA - RUA SEIS DE JANEIRO, 136 - SUL290240</t>
  </si>
  <si>
    <t>-28.6795893,-49.3708699</t>
  </si>
  <si>
    <t>SUL290240</t>
  </si>
  <si>
    <t>9313141024585</t>
  </si>
  <si>
    <t>BERLANDA</t>
  </si>
  <si>
    <t>CARREFOUR - AVENIDA PEREIRA BARRETO, 290 - ZONA COMERCIAL - SPC11375</t>
  </si>
  <si>
    <t>PARAISO</t>
  </si>
  <si>
    <t>-23.669764 , -46.535239</t>
  </si>
  <si>
    <t>SPC11375</t>
  </si>
  <si>
    <t>45543915034086</t>
  </si>
  <si>
    <t>BSA</t>
  </si>
  <si>
    <t>CASAS BAHIA - RUA RIBEIRO ALMEIDA, 66 - ZONA COMERCIAL - RJES18848</t>
  </si>
  <si>
    <t>RUA RIBEIRO ALMEIDA</t>
  </si>
  <si>
    <t>Maricá</t>
  </si>
  <si>
    <t>24900885</t>
  </si>
  <si>
    <t>-22.9174353 , -42.8177387</t>
  </si>
  <si>
    <t>RJES18848</t>
  </si>
  <si>
    <t>33041260081067</t>
  </si>
  <si>
    <t>CASAS BAHIA - AVENIDA BENEDITO DE ANDRADE, 176 - ZONA COMERCIAL - SPC11272</t>
  </si>
  <si>
    <t>AVENIDA BENEDITO DE ANDRADE</t>
  </si>
  <si>
    <t>2936000</t>
  </si>
  <si>
    <t>-23.4882868 , -46.7188009</t>
  </si>
  <si>
    <t>SPC11272</t>
  </si>
  <si>
    <t>33041260106582</t>
  </si>
  <si>
    <t>1218</t>
  </si>
  <si>
    <t>CASAS BAHIA - AVENIDA HILTON SOUTO MAIOR, 3901 - MANGABEIRA SHOPPING - NE39732</t>
  </si>
  <si>
    <t>-7.1625667083675095 , -34.83018986089477</t>
  </si>
  <si>
    <t>NE39732</t>
  </si>
  <si>
    <t>33041260151456</t>
  </si>
  <si>
    <t>1775</t>
  </si>
  <si>
    <t>CASAS BAHIA - AVENIDA SARGENTO HERMINIO,3100 - RIOMAR KENNEDY - NE90290</t>
  </si>
  <si>
    <t>AVENIDA SARGENTO HERMINIO</t>
  </si>
  <si>
    <t>PRESIDENTE KENNEY</t>
  </si>
  <si>
    <t>60350485</t>
  </si>
  <si>
    <t>NE90290</t>
  </si>
  <si>
    <t>33041260165325</t>
  </si>
  <si>
    <t>FLEX CELL - RUA CONSELHEIRO MOREIRA DE BARROS, 2780 - SHOPPING SANTANA PARQUE - SPC7834</t>
  </si>
  <si>
    <t>LOJA 1016 B</t>
  </si>
  <si>
    <t>SPC7834</t>
  </si>
  <si>
    <t>03243382000415</t>
  </si>
  <si>
    <t>MEIOS E METAS - AVENIDA GENERAL DAVID SARNOFF, 5160 - SHOPPING ITAU POWER - MGCO5792</t>
  </si>
  <si>
    <t>MGCO5792</t>
  </si>
  <si>
    <t>07603073000540</t>
  </si>
  <si>
    <t>CELL AZUL CELULARES - RUA TENENTE AVELAR PIRES DE AZEVEDO, 81 - SHOPPING OSASCO PLAZA - SPC238350</t>
  </si>
  <si>
    <t>-23.5293536, -46.7778662</t>
  </si>
  <si>
    <t>SPC238350</t>
  </si>
  <si>
    <t>7120722000986</t>
  </si>
  <si>
    <t>HARCOS TELECOM (CLARO) - AVENIDA DOUTOR JOAO MEDEIROS FILHO, 2395 - PARTAGE NORTE SHOPPING - NE247950</t>
  </si>
  <si>
    <t>LOJA 140</t>
  </si>
  <si>
    <t>POTENGI</t>
  </si>
  <si>
    <t>NE247950</t>
  </si>
  <si>
    <t>6371307001661</t>
  </si>
  <si>
    <t>CINELAN (CLARO) - AVENIDA QUINZE DE NOVEMBRO, 89 - SPC227790</t>
  </si>
  <si>
    <t>LOJA 1029</t>
  </si>
  <si>
    <t>685010</t>
  </si>
  <si>
    <t>SPC227790</t>
  </si>
  <si>
    <t>10971535000244</t>
  </si>
  <si>
    <t>FW TELEFONIA (CLARO) - ESTRADA ERNESTINA VIEIRA, 149 - PLAZA SHOPPING CARAPICUIBA - SPC266760</t>
  </si>
  <si>
    <t>SPC266760</t>
  </si>
  <si>
    <t>22202431000688</t>
  </si>
  <si>
    <t>TELECEL (CLARO) - AVENIDA MIGUEL SUTIL, 9300 - SHOPPING ESTACAO CUIABA - MGCO288170</t>
  </si>
  <si>
    <t>MGCO288170</t>
  </si>
  <si>
    <t>3555618004284</t>
  </si>
  <si>
    <t>CLARO RP - AVENIDA DOUTOR AFONSO VERGUEIRO, 823 - SHOPPING PATIO CIANE - SPI10595</t>
  </si>
  <si>
    <t>-23.4962154, -47.4610519</t>
  </si>
  <si>
    <t>SPI10595</t>
  </si>
  <si>
    <t>5949641004874</t>
  </si>
  <si>
    <t>FAJULUTI GAVEA - RUA RIBEIRO DE ALMEIDA, 146 - RJES274210</t>
  </si>
  <si>
    <t>RUA RIBEIRO DE ALMEIDA</t>
  </si>
  <si>
    <t>-22.9180883,-42.8200878</t>
  </si>
  <si>
    <t>RJES274210</t>
  </si>
  <si>
    <t>26117255000475</t>
  </si>
  <si>
    <t>CLARO - RUA ESPIRITO SANTO, 1000 - MGCO249690</t>
  </si>
  <si>
    <t>RUA ESPIRITO SANTO</t>
  </si>
  <si>
    <t>BELO HORIZONTE</t>
  </si>
  <si>
    <t>30160030</t>
  </si>
  <si>
    <t>-19.9234091,-43.9384864</t>
  </si>
  <si>
    <t>MGCO249690</t>
  </si>
  <si>
    <t>40432544050837</t>
  </si>
  <si>
    <t>CLARO - SHIN CA 4 BLOCO A 04 S/N LOJA 46 - SHOPPING IGUATEMI BRASILIA - MGCO7337</t>
  </si>
  <si>
    <t>CA 4</t>
  </si>
  <si>
    <t>LAGO NORTE</t>
  </si>
  <si>
    <t>71503504</t>
  </si>
  <si>
    <t>-15.7196664 , -47.8842787</t>
  </si>
  <si>
    <t>MGCO7337</t>
  </si>
  <si>
    <t>40432544047615</t>
  </si>
  <si>
    <t>6112</t>
  </si>
  <si>
    <t>Shopping Iguatemi Brasilia</t>
  </si>
  <si>
    <t>CLARO - RUA 3/9, 952 - ZONA COMERCIAL - MGCO8479</t>
  </si>
  <si>
    <t>RUA 3/9</t>
  </si>
  <si>
    <t>74023010</t>
  </si>
  <si>
    <t>-16.6763307, -49.25946010000001</t>
  </si>
  <si>
    <t>MGCO8479</t>
  </si>
  <si>
    <t>GAZIN - AVENIDA RUI BARBOSA, 1169 - N289090</t>
  </si>
  <si>
    <t>-2.4208435,-54.7199733</t>
  </si>
  <si>
    <t>N289090</t>
  </si>
  <si>
    <t>77941490024330</t>
  </si>
  <si>
    <t>10241</t>
  </si>
  <si>
    <t>HAVAN - AVENIDA HELVIO BASSO, 1250 - SUL228420</t>
  </si>
  <si>
    <t>AVENIDA HELVIO BASSO</t>
  </si>
  <si>
    <t>NOSSA SENHORA MEDIANEIRA</t>
  </si>
  <si>
    <t>97070805</t>
  </si>
  <si>
    <t>-29.7053099 , -53.8143965</t>
  </si>
  <si>
    <t>SUL228420</t>
  </si>
  <si>
    <t>79379491014133</t>
  </si>
  <si>
    <t>152 - SANTA MARIA</t>
  </si>
  <si>
    <t>HAVAN - AVENIDA JUSCELINO KUBTSCHECK DE OLIVEIRA, 2211 - ZONA COMERCIAL - SUL18769</t>
  </si>
  <si>
    <t>2211</t>
  </si>
  <si>
    <t>81270200</t>
  </si>
  <si>
    <t>-25.451571 , -49.361973</t>
  </si>
  <si>
    <t>SUL18769</t>
  </si>
  <si>
    <t>79379491005576</t>
  </si>
  <si>
    <t>50 - ECOVILLE</t>
  </si>
  <si>
    <t>LE BISCUIT - AVENIDA AMERICO BUAIZ, 200 - SHOPPING VITORIA - RJES273730</t>
  </si>
  <si>
    <t>RJES273730</t>
  </si>
  <si>
    <t>16233389011432</t>
  </si>
  <si>
    <t>LOJAS AMERICANAS - RUA CONDE DE BONFIM, 352 - RJES6939</t>
  </si>
  <si>
    <t>62A</t>
  </si>
  <si>
    <t>20520053</t>
  </si>
  <si>
    <t>-22.924328 , -43.233215</t>
  </si>
  <si>
    <t>RJES6939</t>
  </si>
  <si>
    <t>776574031892</t>
  </si>
  <si>
    <t>L019</t>
  </si>
  <si>
    <t>LOJAS AMERICANAS - AVENIDA 22 DE MAIO, 5973 - RJES11694</t>
  </si>
  <si>
    <t>5973</t>
  </si>
  <si>
    <t>LOJA B KM 29,5</t>
  </si>
  <si>
    <t>24800097</t>
  </si>
  <si>
    <t>-22.74555 , -42.854951</t>
  </si>
  <si>
    <t>RJES11694</t>
  </si>
  <si>
    <t>776574033755</t>
  </si>
  <si>
    <t>LOJAS AMERICANAS - AVENIDA PRINCESA ISABEL, 475 - RJES21224</t>
  </si>
  <si>
    <t>AVENIDA PRINCESA ISABEL</t>
  </si>
  <si>
    <t>29010361</t>
  </si>
  <si>
    <t>-20.319324 , -40.33040260000001</t>
  </si>
  <si>
    <t>RJES21224</t>
  </si>
  <si>
    <t>776574011352</t>
  </si>
  <si>
    <t>L045</t>
  </si>
  <si>
    <t>LOJAS AMERICANAS - AVENIDA PRESIDENTE GETULIO VARGAS, 466 - NE254920</t>
  </si>
  <si>
    <t>54505560</t>
  </si>
  <si>
    <t>-8.285541,-35.0388755</t>
  </si>
  <si>
    <t>NE254920</t>
  </si>
  <si>
    <t>776574164850</t>
  </si>
  <si>
    <t>5241</t>
  </si>
  <si>
    <t>LOJAS AMERICANAS - RUA RIBEIRO DE ALMEIDA, 80 - RJES271110</t>
  </si>
  <si>
    <t>-22.9177411,-42.8179354</t>
  </si>
  <si>
    <t>RJES271110</t>
  </si>
  <si>
    <t>776574046903</t>
  </si>
  <si>
    <t>LOJAS AMERICANAS - AVENIDA ANHANGUERA, 5562 - MGCO19820</t>
  </si>
  <si>
    <t>5562</t>
  </si>
  <si>
    <t>74043010</t>
  </si>
  <si>
    <t>-16.6759672, -49.26256129999999</t>
  </si>
  <si>
    <t>MGCO19820</t>
  </si>
  <si>
    <t>776574054400</t>
  </si>
  <si>
    <t>L033</t>
  </si>
  <si>
    <t>LOJAS AMERICANAS - AVENIDA SAPOPEMBA, 8420 - SPC278120</t>
  </si>
  <si>
    <t>8420</t>
  </si>
  <si>
    <t>JARDIM PLANALTO</t>
  </si>
  <si>
    <t>3988000</t>
  </si>
  <si>
    <t>-23.5988814,-46.524153</t>
  </si>
  <si>
    <t>SPC278120</t>
  </si>
  <si>
    <t>00776574099853</t>
  </si>
  <si>
    <t>5332</t>
  </si>
  <si>
    <t>LOJAS AMERICANAS - RODOVIA PE 60 KM 03, 3200 - SHOPPING COSTA DOURADA - NE19735</t>
  </si>
  <si>
    <t>RODOVIA PE - 060</t>
  </si>
  <si>
    <t>3200</t>
  </si>
  <si>
    <t>CIDADE GARAPU</t>
  </si>
  <si>
    <t>54520600</t>
  </si>
  <si>
    <t>-8.305739 , -35.021971</t>
  </si>
  <si>
    <t>NE19735</t>
  </si>
  <si>
    <t>776574164183</t>
  </si>
  <si>
    <t>L326</t>
  </si>
  <si>
    <t>Shopping Costa Dourada</t>
  </si>
  <si>
    <t>MAGAZINE LUIZA - AVENIDA 31 DE MARCO, 750 - SPI261080</t>
  </si>
  <si>
    <t>-23.5450028,-47.4505501</t>
  </si>
  <si>
    <t>SPI261080</t>
  </si>
  <si>
    <t>47960950124440</t>
  </si>
  <si>
    <t>MAGAZINE LUIZA - RUA RUI BARBOSA, 1085 - RJES274220</t>
  </si>
  <si>
    <t>RUA RUI BARBOSA</t>
  </si>
  <si>
    <t>28013000</t>
  </si>
  <si>
    <t>-21.7557991,-41.3230753</t>
  </si>
  <si>
    <t>RJES274220</t>
  </si>
  <si>
    <t>47960950188171</t>
  </si>
  <si>
    <t>1665</t>
  </si>
  <si>
    <t>MAGAZINE LUIZA - AVENIDA GUSTAVO PAIVA, 5945 - MACEIO PARK SHOPPING - NE10387</t>
  </si>
  <si>
    <t>5945</t>
  </si>
  <si>
    <t>CRUZDASALMAS</t>
  </si>
  <si>
    <t>57038000</t>
  </si>
  <si>
    <t>-9.6276766 , -35.6992105</t>
  </si>
  <si>
    <t>NE10387</t>
  </si>
  <si>
    <t>47960950090872</t>
  </si>
  <si>
    <t>Maceio Park Shopping</t>
  </si>
  <si>
    <t>MAGAZINE LUIZA - RUA ATILIO PEDRO PAGANI, 270 -  SHOPPING VIACATARINA - SUL6339</t>
  </si>
  <si>
    <t>RUA ATILIO PEDRO PAGANI</t>
  </si>
  <si>
    <t>PASSAVINTE</t>
  </si>
  <si>
    <t>88132149</t>
  </si>
  <si>
    <t>-27.6419338 , -48.6719476</t>
  </si>
  <si>
    <t>SUL6339</t>
  </si>
  <si>
    <t>47960950035260</t>
  </si>
  <si>
    <t>Shopping Viacatarina</t>
  </si>
  <si>
    <t>MATHEUS SUPERMERCADOS - AVENIDA COLARES MOREIRA, 400 - ZONA COMERCIAL - NE40091</t>
  </si>
  <si>
    <t>AVENIDA COLARES MOREIRA'</t>
  </si>
  <si>
    <t>RENASCENA</t>
  </si>
  <si>
    <t>65075440</t>
  </si>
  <si>
    <t>-2.501007, -44.2869944</t>
  </si>
  <si>
    <t>NE40091</t>
  </si>
  <si>
    <t>RIACHUELO - RODOVIA WASHINGTON LUIZ, 2895 - SHOPPING CAXIAS - RJES47293</t>
  </si>
  <si>
    <t>LOJA 201 A</t>
  </si>
  <si>
    <t>RJES47293</t>
  </si>
  <si>
    <t>33200056005370</t>
  </si>
  <si>
    <t>RIACHUELO - RUA BARAO DO RIO BRANCO, 1067 - ZONA COMERCIAL - NE42459</t>
  </si>
  <si>
    <t>-3.727711 , -38.52859</t>
  </si>
  <si>
    <t>NE42459</t>
  </si>
  <si>
    <t>33200056002273</t>
  </si>
  <si>
    <t>RIACHUELO - RUA JOSE DE ALVARENGA, 350 - ZONA COMERCIAL - RJES47291</t>
  </si>
  <si>
    <t>VILA FLÁVIA</t>
  </si>
  <si>
    <t>-22.788066 , -43.311403</t>
  </si>
  <si>
    <t>RJES47291</t>
  </si>
  <si>
    <t>33200056013801</t>
  </si>
  <si>
    <t>L035</t>
  </si>
  <si>
    <t>RIACHUELO - AVENIDA AMERICO BUAIZ, 200 - SHOPPING VITORIA - RJES48041</t>
  </si>
  <si>
    <t>RJES48041</t>
  </si>
  <si>
    <t>33200056032180</t>
  </si>
  <si>
    <t>L169</t>
  </si>
  <si>
    <t>IANK CELL - RODOVIA BR 470, 3000 - BLUMENAU NORTE SHOPPING - SUL45389</t>
  </si>
  <si>
    <t>LOJA 152</t>
  </si>
  <si>
    <t>-26.8636948 , -49.0926064</t>
  </si>
  <si>
    <t>SUL45389</t>
  </si>
  <si>
    <t>8640305001494</t>
  </si>
  <si>
    <t>IMAGEM TELECOM - RUA AMAZONAS, 72 - CHRIS SHOPPING GUARUJA - SPI290600</t>
  </si>
  <si>
    <t>RUA AMAZONAS</t>
  </si>
  <si>
    <t>LOJA 25</t>
  </si>
  <si>
    <t>VILA ALICE (VICENTE DE CARVALHO)</t>
  </si>
  <si>
    <t>11450210</t>
  </si>
  <si>
    <t>-23.9430503,-46.3019879</t>
  </si>
  <si>
    <t>SPI290600</t>
  </si>
  <si>
    <t>11057917002788</t>
  </si>
  <si>
    <t>Chris Shopping Guaruja</t>
  </si>
  <si>
    <t>F.M.M. ROCHA - RUA CARLOS GOMES, 1321 - SHOPPING PATIO LIMEIRA - SPI11659</t>
  </si>
  <si>
    <t>SPI11659</t>
  </si>
  <si>
    <t>11378319001062</t>
  </si>
  <si>
    <t>ROCHA TELECOM - PÁTIO LIMEIRA - SAP (30930)</t>
  </si>
  <si>
    <t>F.M.M. ROCHA - AVENIDA DOUTOR QUINZINHO, 511 - SHOPPING JAU - SPI10370</t>
  </si>
  <si>
    <t>LOJA 40</t>
  </si>
  <si>
    <t>SPI10370</t>
  </si>
  <si>
    <t>11378319000252</t>
  </si>
  <si>
    <t>ROCHA TELECOM - JAÚ SHOPPING  - SAP (27783)</t>
  </si>
  <si>
    <t>F.M.M. ROCHA - AVENIDA CONDE FRANCISCO MATARAZZO JUNIOR, 205 - SHOPPING RIO CLARO - SPI248940</t>
  </si>
  <si>
    <t>AVENIDA CONDE FRANCISCO MATARAZZO JUNIOR</t>
  </si>
  <si>
    <t>205</t>
  </si>
  <si>
    <t>LOJA 053</t>
  </si>
  <si>
    <t>SPI248940</t>
  </si>
  <si>
    <t>11378319001810</t>
  </si>
  <si>
    <t>ROCHA TELECOM - SHOPPING RIO CLARO - SAP (38169)</t>
  </si>
  <si>
    <t>ALEGRIA (TIM) - AVENIDA GOVERNADOR ROBERTO SILVEIRA, 540 - TOP SHOPPING - RJES250040</t>
  </si>
  <si>
    <t>2621220</t>
  </si>
  <si>
    <t>RJES250040</t>
  </si>
  <si>
    <t>21683365003234</t>
  </si>
  <si>
    <t>ALEGRIA TOP SHOPPING - SAP (39627)</t>
  </si>
  <si>
    <t>TIM PLANET (TIM) - ESTRADA ERNESTINA VIEIRA, 149 - PLAZA SHOPPING CARAPICUIBA - SPC250450</t>
  </si>
  <si>
    <t>SPC250450</t>
  </si>
  <si>
    <t>45739952000160</t>
  </si>
  <si>
    <t>IMAGEM TELECOM - RUA JOSE BONIFACIO, 112 - SPC274840</t>
  </si>
  <si>
    <t>8710070</t>
  </si>
  <si>
    <t>-23.5238051,-46.1959853</t>
  </si>
  <si>
    <t>SPC274840</t>
  </si>
  <si>
    <t>11057917001200</t>
  </si>
  <si>
    <t>AQUILON JUFAP (TIM) - RUA SAO SEBASTIAO, 577 - SPI240370</t>
  </si>
  <si>
    <t>RIBEIRÃO PRETO</t>
  </si>
  <si>
    <t>-21.1761239, -47.809495</t>
  </si>
  <si>
    <t>SPI240370</t>
  </si>
  <si>
    <t>81214819003250</t>
  </si>
  <si>
    <t>TIM - AVENIDA LIMEIRA, 722 - SHOPPING PIRACICABA - SPI21754</t>
  </si>
  <si>
    <t>LUC 162/163 PISO 1</t>
  </si>
  <si>
    <t>SPI21754</t>
  </si>
  <si>
    <t>02421421017430</t>
  </si>
  <si>
    <t>C298</t>
  </si>
  <si>
    <t>COMMCENTER - AVENIDA GOVERNADOR ROBERTO SILVEIRA, 540 - TOP SHOPPING - RJES7981</t>
  </si>
  <si>
    <t>-22.7536945 , -43.4541073</t>
  </si>
  <si>
    <t>RJES7981</t>
  </si>
  <si>
    <t>05828732002999</t>
  </si>
  <si>
    <t>COMERCIAL MOVEIS BRASILIA (VIVO) - AVENIDA COLOMBO, 9161 - SHOPPING CATUAI MARINGA - SUL5981</t>
  </si>
  <si>
    <t>-23.4201719 , -51.96954849999999</t>
  </si>
  <si>
    <t>SUL5981</t>
  </si>
  <si>
    <t>78614278004729</t>
  </si>
  <si>
    <t>COMMCENTER - RUA TURIASSU, 2100 - SHOPPING BOURBON - SPC6367</t>
  </si>
  <si>
    <t>SUC T 004</t>
  </si>
  <si>
    <t>SPC6367</t>
  </si>
  <si>
    <t>5828732005742</t>
  </si>
  <si>
    <t>CENTRAO (VIVO) - AVENIDA AUTAZ MIRIM, 6100 - SHOPPING GRANDE CIRCULAR - N265880</t>
  </si>
  <si>
    <t>Q208</t>
  </si>
  <si>
    <t>N265880</t>
  </si>
  <si>
    <t>20360124001671</t>
  </si>
  <si>
    <t>VIVO CRONOLOGICA - AVENIDA CONDE FRANCISCO MATARAZZO JUNIOR, 205 - SHOPPING RIO CLARO - SPI260570</t>
  </si>
  <si>
    <t>SPI260570</t>
  </si>
  <si>
    <t>3685001004445</t>
  </si>
  <si>
    <t>VIVO - AVENIDA ENGENHEIRO LUIS CARLOS BERRINI, 1376 - MATRIZ - SPC99985</t>
  </si>
  <si>
    <t>AVENIDA ENGENHEIRO LUIS CARLOS BERRINI</t>
  </si>
  <si>
    <t>1376</t>
  </si>
  <si>
    <t>CIDADE MONCOES</t>
  </si>
  <si>
    <t>4571000</t>
  </si>
  <si>
    <t>-23.6085754 , -46.6945653</t>
  </si>
  <si>
    <t>SPC99985</t>
  </si>
  <si>
    <t>2558157052391</t>
  </si>
  <si>
    <t>LOJA SEDE ECO BERRINI SP</t>
  </si>
  <si>
    <t>VIVO - SHIN CA 4 BLOCO A S/N LJ. 37 - SHOPPING IGUATEMI BRASILIA - MGCO7174</t>
  </si>
  <si>
    <t>AC CA 4</t>
  </si>
  <si>
    <t>SHI/NORTE LOTE A PISO SEMI ENTERRADO LOJA NE 37</t>
  </si>
  <si>
    <t>MGCO7174</t>
  </si>
  <si>
    <t>2558157045506</t>
  </si>
  <si>
    <t>LOJA SHOPPING IGUATEMI BRASILIA DF</t>
  </si>
  <si>
    <t>VIVO - AVENIDA CENTRAL, 765 - RJES286790</t>
  </si>
  <si>
    <t>765</t>
  </si>
  <si>
    <t>-20.1997968,-40.2559585</t>
  </si>
  <si>
    <t>RJES286790</t>
  </si>
  <si>
    <t>2558157093071</t>
  </si>
  <si>
    <t>LOJA LARANJEIRAS II ES</t>
  </si>
  <si>
    <t>VIVO - RODOVIA DO SOL, 5000 - SHOPPING BOULEVARD VILA VELHA - RJES21222</t>
  </si>
  <si>
    <t>RJES21222</t>
  </si>
  <si>
    <t>2558157093314</t>
  </si>
  <si>
    <t>LOJA SHOPPING BOULEVARD ES</t>
  </si>
  <si>
    <t>CASA &amp; VIDEO - ESTRADA DO MONTEIRO, S/N - PARK SHOPPING CAMPO GRANDE - RJES6727</t>
  </si>
  <si>
    <t>RJES6727</t>
  </si>
  <si>
    <t>11114284009381</t>
  </si>
  <si>
    <t>PARK SHOPPING CAMPO GRANDE</t>
  </si>
  <si>
    <t>CASAS BAHIA - PRACA DA BANDEIRA, 23 - ZONA COMERCIAL - SPI48031</t>
  </si>
  <si>
    <t>-23.101904 , -45.706882</t>
  </si>
  <si>
    <t>SPI48031</t>
  </si>
  <si>
    <t>33041260028506</t>
  </si>
  <si>
    <t>1904</t>
  </si>
  <si>
    <t>CASAS BAHIA - RUA DOUTOR LUIZ CORREIA ARAUJO, 44 - NE239670</t>
  </si>
  <si>
    <t>RUA DOUTOR LUIZ CORREIA ARAUJO</t>
  </si>
  <si>
    <t>São Lourenço da Mata</t>
  </si>
  <si>
    <t>54735200</t>
  </si>
  <si>
    <t>-7.996952599999999, -35.0365972</t>
  </si>
  <si>
    <t>NE239670</t>
  </si>
  <si>
    <t>33041260149559</t>
  </si>
  <si>
    <t>1791</t>
  </si>
  <si>
    <t>CASAS BAHIA - AVENIDA MARECHAL FLORIANO PEIXOTO, 6274 - SUL228190</t>
  </si>
  <si>
    <t>6274</t>
  </si>
  <si>
    <t>BOQUEIRÃO</t>
  </si>
  <si>
    <t>81670000</t>
  </si>
  <si>
    <t>-25.4827508 , -49.24708820000001</t>
  </si>
  <si>
    <t>SUL228190</t>
  </si>
  <si>
    <t>33041260091453</t>
  </si>
  <si>
    <t>1311</t>
  </si>
  <si>
    <t>CASAS BAHIA - AVENIDA ADJAR DA SILVA CASE, 800 - SHOPPING CARUARU - NE11178</t>
  </si>
  <si>
    <t>NE11178</t>
  </si>
  <si>
    <t>33041260165678</t>
  </si>
  <si>
    <t>1586</t>
  </si>
  <si>
    <t>CASAS BAHIA - AVENIDA CENTENARIO, 1052 - SHOPPING BOSQUE GRAO PARA - N246300</t>
  </si>
  <si>
    <t>AVENIDA CENTENARIO</t>
  </si>
  <si>
    <t>1052</t>
  </si>
  <si>
    <t>VAL DE CAES</t>
  </si>
  <si>
    <t>66635694</t>
  </si>
  <si>
    <t>-1.3889979 , -48.4646712</t>
  </si>
  <si>
    <t>N246300</t>
  </si>
  <si>
    <t>33041260187990</t>
  </si>
  <si>
    <t>2246</t>
  </si>
  <si>
    <t>Shopping Bosque Grao Para</t>
  </si>
  <si>
    <t>CLARO RP - RUA RUBIAO JUNIOR, 84 - SHOPPING CENTRO - SPI234370</t>
  </si>
  <si>
    <t>RUA RUBIAO JUNIOR</t>
  </si>
  <si>
    <t>LOJA 11</t>
  </si>
  <si>
    <t>12210180</t>
  </si>
  <si>
    <t>-23.1841917 , -45.8858864</t>
  </si>
  <si>
    <t>SPI234370</t>
  </si>
  <si>
    <t>05949641002740</t>
  </si>
  <si>
    <t>Shopping Centro</t>
  </si>
  <si>
    <t>VIP CELL (CLARO) - RODOVIA PE - 060, 3200 - SHOPPING COSTA DOURADA - NE265370</t>
  </si>
  <si>
    <t>GARAPU</t>
  </si>
  <si>
    <t>54518901</t>
  </si>
  <si>
    <t>NE265370</t>
  </si>
  <si>
    <t>40254043000207</t>
  </si>
  <si>
    <t>CELULAR.COM - PRACA SAMUEL SABATINI, 200 - SHOPPING METROPOLE - SPC235070</t>
  </si>
  <si>
    <t>-23.6927223 , -46.5508713</t>
  </si>
  <si>
    <t>SPC235070</t>
  </si>
  <si>
    <t>5949641009167</t>
  </si>
  <si>
    <t>CLARO RP - AVENIDA SANTOS DUMONT, 228 - SUL290620</t>
  </si>
  <si>
    <t>SETOR 1</t>
  </si>
  <si>
    <t>86200981</t>
  </si>
  <si>
    <t>-23.2697999,-51.0519624</t>
  </si>
  <si>
    <t>SUL290620</t>
  </si>
  <si>
    <t>5949641014918</t>
  </si>
  <si>
    <t>CLARO - AVENIDA ALBERTO BENASSI, 2270 - SHOPPING JARAGUA ARARAQUARA - SPI10749</t>
  </si>
  <si>
    <t>AVENIDA ALBERTO BENASSI</t>
  </si>
  <si>
    <t>2270</t>
  </si>
  <si>
    <t>SUC 88</t>
  </si>
  <si>
    <t>JARDIM MANACAS</t>
  </si>
  <si>
    <t>14804300</t>
  </si>
  <si>
    <t>-21.784435 , -48.200655</t>
  </si>
  <si>
    <t>SPI10749</t>
  </si>
  <si>
    <t>05923253001203</t>
  </si>
  <si>
    <t>Shopping Jaraguá</t>
  </si>
  <si>
    <t>CLARO - AVENIDA JUSC. KUBIT. DE OLIVEIRA, 5000 - SHOPPING IGUATEMI SAO JOSE - SPI19658</t>
  </si>
  <si>
    <t>LOJA 1109 E 1110</t>
  </si>
  <si>
    <t>15093270</t>
  </si>
  <si>
    <t>-20.866386 , -49.41468</t>
  </si>
  <si>
    <t>SPI19658</t>
  </si>
  <si>
    <t>40432544053003</t>
  </si>
  <si>
    <t>19A2</t>
  </si>
  <si>
    <t>Shopping Iguatemi Sao Jose</t>
  </si>
  <si>
    <t>CLARO - PASSEIO DOS FLAMBOYANTS, 200 - SHOPPING IGUATEMI SAO CARLOS - SPI47056</t>
  </si>
  <si>
    <t>LOJAS 83 E 84</t>
  </si>
  <si>
    <t>SPI47056</t>
  </si>
  <si>
    <t>40432544052961</t>
  </si>
  <si>
    <t>1969</t>
  </si>
  <si>
    <t>CLARO - AE 01 QUADRA 55, 391 - GAMA SHOPPING - MGCO42585</t>
  </si>
  <si>
    <t>AE 01 QUADRA 55</t>
  </si>
  <si>
    <t>72000000</t>
  </si>
  <si>
    <t>-16.013016, -48.06278020000001</t>
  </si>
  <si>
    <t>MGCO42585</t>
  </si>
  <si>
    <t>Gama Shopping</t>
  </si>
  <si>
    <t>HAVAN - AVENIDA COLOMBO, 9161 - MARINGA - SUL78146</t>
  </si>
  <si>
    <t>LOJA 87</t>
  </si>
  <si>
    <t>SUL78146</t>
  </si>
  <si>
    <t>79379491002550</t>
  </si>
  <si>
    <t>24 - MARINGA</t>
  </si>
  <si>
    <t>HAVAN - RODOVIA ARMANDO CALIL BULOS, 170 - SUL234210</t>
  </si>
  <si>
    <t>RODOVIA ARMANDO CALIL BULOS</t>
  </si>
  <si>
    <t>170</t>
  </si>
  <si>
    <t>VARGEM GRANDE</t>
  </si>
  <si>
    <t>88058000</t>
  </si>
  <si>
    <t>-27.4529046 , -48.4556642</t>
  </si>
  <si>
    <t>SUL234210</t>
  </si>
  <si>
    <t>79379491011622</t>
  </si>
  <si>
    <t>122 - FLORIPA NORTE ILHA</t>
  </si>
  <si>
    <t>HAVAN - RUA ORESTES CAMILLI, 91 - ZONA COMERCIAL - SUL18770</t>
  </si>
  <si>
    <t>RUA ORESTES CAMILI</t>
  </si>
  <si>
    <t>PRADO VELHO</t>
  </si>
  <si>
    <t>80215330</t>
  </si>
  <si>
    <t>-25.4635166 , -49.2529412</t>
  </si>
  <si>
    <t>SUL18770</t>
  </si>
  <si>
    <t>79379491000779</t>
  </si>
  <si>
    <t>4 - PAROLIN</t>
  </si>
  <si>
    <t>HAVAN - ESTRADA MUNICIPAL DO MANDI, 1205 -  - SPC65373</t>
  </si>
  <si>
    <t>SPC65373</t>
  </si>
  <si>
    <t>79379491010901</t>
  </si>
  <si>
    <t>115 - ITAQUAQUECETUBA</t>
  </si>
  <si>
    <t>J. MAHFUZ - TENENTE NICOLAU MAFFEI, 204 - ZONA COMERCIAL - SPI20924</t>
  </si>
  <si>
    <t>-22.123926 , -51.384929</t>
  </si>
  <si>
    <t>SPI20924</t>
  </si>
  <si>
    <t>54289996006086</t>
  </si>
  <si>
    <t>LOJAS AMERICANAS - RUA VISCONDE DE PIRAJA, 526 - RJES21113</t>
  </si>
  <si>
    <t>532 A</t>
  </si>
  <si>
    <t>22410002</t>
  </si>
  <si>
    <t>-22.983877 , -43.210751</t>
  </si>
  <si>
    <t>RJES21113</t>
  </si>
  <si>
    <t>776574046733</t>
  </si>
  <si>
    <t>LOJAS AMERICANAS - AVENIDA NOSSA SENHORA DE FATIMA, 438 - SPC276150</t>
  </si>
  <si>
    <t>JARDIM MONTE SANTO</t>
  </si>
  <si>
    <t>-23.6083941,-46.925315</t>
  </si>
  <si>
    <t>SPC276150</t>
  </si>
  <si>
    <t>776574193019</t>
  </si>
  <si>
    <t>5443</t>
  </si>
  <si>
    <t>LOJAS AMERICANAS - RUA CARLOS GOMES, 1321 - SHOPPING PATIO LIMEIRA - SPI11657</t>
  </si>
  <si>
    <t>LUC 201,1º PAVIMENTO</t>
  </si>
  <si>
    <t>-22.570992 , -47.40807</t>
  </si>
  <si>
    <t>SPI11657</t>
  </si>
  <si>
    <t>776574061961</t>
  </si>
  <si>
    <t>L279</t>
  </si>
  <si>
    <t>LOJAS AMERICANAS - AVENIDA DOUTOR QUINZINHO, 511 - SHOPPING JAU - SPI247920</t>
  </si>
  <si>
    <t>CHACARA PECCIOLI</t>
  </si>
  <si>
    <t>JAU</t>
  </si>
  <si>
    <t>-22.2967512, -48.5460463</t>
  </si>
  <si>
    <t>SPI247920</t>
  </si>
  <si>
    <t>776574145804</t>
  </si>
  <si>
    <t>L356</t>
  </si>
  <si>
    <t>LOJAS AMERICANAS - RUA ITACOLOMI, 292 - SHOPPING TOTAL - SUL18993</t>
  </si>
  <si>
    <t>237, 292</t>
  </si>
  <si>
    <t>-25.4785118 , -49.2946002</t>
  </si>
  <si>
    <t>SUL18993</t>
  </si>
  <si>
    <t>776574142457</t>
  </si>
  <si>
    <t>L235</t>
  </si>
  <si>
    <t>LOJAS AMERICANAS - RUA IRMA DULCE, 550 - SHOPPING PRACA NOVA - SUL254600</t>
  </si>
  <si>
    <t>RUA IRMA DULCE</t>
  </si>
  <si>
    <t>550</t>
  </si>
  <si>
    <t>LOJA 1021</t>
  </si>
  <si>
    <t>PATRONATO</t>
  </si>
  <si>
    <t>97020405</t>
  </si>
  <si>
    <t>-29.7072991 , -53.829744</t>
  </si>
  <si>
    <t>SUL254600</t>
  </si>
  <si>
    <t>776574171473</t>
  </si>
  <si>
    <t>Shopping Praca Nova</t>
  </si>
  <si>
    <t>LOJAS AMERICANAS - AVENIDA ANHANGUERA, 14404 - SHOPPING PORTAL - MGCO5763</t>
  </si>
  <si>
    <t>LOJAS 238 E 239</t>
  </si>
  <si>
    <t>MGCO5763</t>
  </si>
  <si>
    <t>776574168413</t>
  </si>
  <si>
    <t>L285</t>
  </si>
  <si>
    <t>LOJAS AMERICANAS - RODOVIA RAPOSO TAVARES KM 14,5, S/N - SHOPPING RAPOSO - SPC21358</t>
  </si>
  <si>
    <t>RODOVIA RAPOSO TAVARES KM 14,5</t>
  </si>
  <si>
    <t>5576100</t>
  </si>
  <si>
    <t>-23.5880518 , -46.7510605</t>
  </si>
  <si>
    <t>SPC21358</t>
  </si>
  <si>
    <t>776574095009</t>
  </si>
  <si>
    <t>L586</t>
  </si>
  <si>
    <t>LOJAS AMERICANAS - RUA GONCALVES CRESPO, S/N - SHOPPING BOULEVARD TATUAPE - SPC6406</t>
  </si>
  <si>
    <t>-23.538538 , -46.5755367</t>
  </si>
  <si>
    <t>SPC6406</t>
  </si>
  <si>
    <t>776574094703</t>
  </si>
  <si>
    <t>L566</t>
  </si>
  <si>
    <t>LOJAS AMERICANAS - RUA QUINZE DE NOVEMBRO, 1960 - SUL18560</t>
  </si>
  <si>
    <t>1960</t>
  </si>
  <si>
    <t>-25.538357 , -49.199657</t>
  </si>
  <si>
    <t>SUL18560</t>
  </si>
  <si>
    <t>776574010895</t>
  </si>
  <si>
    <t>L207</t>
  </si>
  <si>
    <t>LOJAS AMERICANAS - AVENIDA EMANCIPACAO, 47 - SPC23037</t>
  </si>
  <si>
    <t>-23.4775164 , -46.3528614</t>
  </si>
  <si>
    <t>SPC23037</t>
  </si>
  <si>
    <t>776574026899</t>
  </si>
  <si>
    <t>L539</t>
  </si>
  <si>
    <t>LOJAS AMERICANAS - AVENIDA 9 DE ABRIL,1877 - SPC45689</t>
  </si>
  <si>
    <t>1877</t>
  </si>
  <si>
    <t>VILA NOVA</t>
  </si>
  <si>
    <t>-23.882269 , -46.421226</t>
  </si>
  <si>
    <t>SPC45689</t>
  </si>
  <si>
    <t>776574026384</t>
  </si>
  <si>
    <t>L741</t>
  </si>
  <si>
    <t>LOJAS AMERICANAS - AVENIDA CONDE FRANCISCO MATARAZZO JUNIOR, 205 - SPI234591</t>
  </si>
  <si>
    <t>-22.4130226 , -47.554094</t>
  </si>
  <si>
    <t>SPI234591</t>
  </si>
  <si>
    <t>776574065444</t>
  </si>
  <si>
    <t>L468</t>
  </si>
  <si>
    <t>LOJAS AMERICANAS - AVENIDA THIAGO FERREIRA, 819 - ZONA COMERCIAL - SPC20124</t>
  </si>
  <si>
    <t>11450002</t>
  </si>
  <si>
    <t>-23.943314 , -46.300579</t>
  </si>
  <si>
    <t>SPC20124</t>
  </si>
  <si>
    <t>776574026627</t>
  </si>
  <si>
    <t>L559</t>
  </si>
  <si>
    <t>LOJAS CEM - AVENIDA MARECHAL FLORIANO PEIXOTO, 6126 - ZONA COMERCIAL - SUL18470</t>
  </si>
  <si>
    <t>6126</t>
  </si>
  <si>
    <t>HAUER</t>
  </si>
  <si>
    <t>81610000</t>
  </si>
  <si>
    <t>-25.481533 , -49.247433</t>
  </si>
  <si>
    <t>SUL18470</t>
  </si>
  <si>
    <t>56642960011578</t>
  </si>
  <si>
    <t>CURVHA</t>
  </si>
  <si>
    <t>MAGAZINE LUIZA - DOUTOR ANISIO JOSE MOREIRA , 1990 - ZONA COMERCIAL - SPI90421</t>
  </si>
  <si>
    <t>RUA DOUTOR ANISIO JOSE MOREIRA</t>
  </si>
  <si>
    <t>2195</t>
  </si>
  <si>
    <t>ESQUINA COM A RUA SA</t>
  </si>
  <si>
    <t>15130065</t>
  </si>
  <si>
    <t>-20.816469 , -49.514987</t>
  </si>
  <si>
    <t>SPI90421</t>
  </si>
  <si>
    <t>47960950117150</t>
  </si>
  <si>
    <t>MAGAZINE LUIZA - AVENIDA DOM PEDRO, 1146 - ZONA COMERCIAL - SPI10740</t>
  </si>
  <si>
    <t>14055630</t>
  </si>
  <si>
    <t>-21.153561 , -47.822399</t>
  </si>
  <si>
    <t>SPI10740</t>
  </si>
  <si>
    <t>47960950026430</t>
  </si>
  <si>
    <t>MAGAZINE LUIZA - AVENIDA TUCURUVI, 181 - ZONA COMERCIAL - SPC9351</t>
  </si>
  <si>
    <t>AVENIDA TUCURUVI</t>
  </si>
  <si>
    <t>2305000</t>
  </si>
  <si>
    <t>-23.47813 , -46.609132</t>
  </si>
  <si>
    <t>SPC9351</t>
  </si>
  <si>
    <t>47960950051702</t>
  </si>
  <si>
    <t>MAGAZINE LUIZA - RUA CESAR CARELLI, 180 - ZONA COMERCIAL - SUL11158</t>
  </si>
  <si>
    <t>RUA CESAR CARELLI</t>
  </si>
  <si>
    <t>PIONEIROS</t>
  </si>
  <si>
    <t>83820000</t>
  </si>
  <si>
    <t>-25.644516 , -49.314522</t>
  </si>
  <si>
    <t>SUL11158</t>
  </si>
  <si>
    <t>47960950044331</t>
  </si>
  <si>
    <t>279</t>
  </si>
  <si>
    <t>RIACHUELO - RODOVIA PE60, 3200 - SHOPPING COSTA DOURADA - NE79521</t>
  </si>
  <si>
    <t>NE79521</t>
  </si>
  <si>
    <t>33200056020506</t>
  </si>
  <si>
    <t>RIACHUELO - AVENIDA GOVERNADOR MARIO COVAS JUNIOR, 19 - SHOPPING MAUA PLAZA - SPC47802</t>
  </si>
  <si>
    <t>"LOJA N 19-21	"</t>
  </si>
  <si>
    <t>SPC47802</t>
  </si>
  <si>
    <t>33200056004136</t>
  </si>
  <si>
    <t>IMAGEM TELECOM - RUA GONCALVES CRESPO, 78 - SHOPPING BOULEVARD TATUAPE - SPC270520</t>
  </si>
  <si>
    <t>LOJA 211</t>
  </si>
  <si>
    <t>-23.5389549 , -46.5765026</t>
  </si>
  <si>
    <t>SPC270520</t>
  </si>
  <si>
    <t>11057917001625</t>
  </si>
  <si>
    <t>IMAGEM TELECOM - BOULEVARD TATUAPE - SAP (42676)</t>
  </si>
  <si>
    <t>AQUILON JUFAP (TIM) - AVENIDA TUCURUVI, 248 - SHOPPING TRIMAIS - SPC240180</t>
  </si>
  <si>
    <t>Tucuruvi</t>
  </si>
  <si>
    <t>2304000</t>
  </si>
  <si>
    <t>-23.4784775, -46.60945659999999</t>
  </si>
  <si>
    <t>SPC240180</t>
  </si>
  <si>
    <t>81214819003845</t>
  </si>
  <si>
    <t>JUFAP - SHOPPING TRIMAIS - SAP (41594)</t>
  </si>
  <si>
    <t>Shopping Trimais</t>
  </si>
  <si>
    <t>ALEGRIA (TIM) - AVENIDA GOVERNADOR MARIO COVAS JUNIOR, 1 - SHOPPING MAUA PLAZA - SPC235630</t>
  </si>
  <si>
    <t>-23.6653794 , -46.4603927</t>
  </si>
  <si>
    <t>SPC235630</t>
  </si>
  <si>
    <t>21683365000642</t>
  </si>
  <si>
    <t>ALEGRIA TELECOM - MAUA PLAZA SHOPPING - SAP (31185)</t>
  </si>
  <si>
    <t>TELECEL - ST AREA ESPECIAL NR 01 ENTREQUADRA, 55/56 - GAMA SHOPPING - MGCO230520</t>
  </si>
  <si>
    <t>ST AREA ESPECIAL NR 01 ENTREQUADRA</t>
  </si>
  <si>
    <t>55/56</t>
  </si>
  <si>
    <t>72405555</t>
  </si>
  <si>
    <t>-16.0133041, -48.0627692</t>
  </si>
  <si>
    <t>MGCO230520</t>
  </si>
  <si>
    <t>11775328000368</t>
  </si>
  <si>
    <t>TIM - AVENIDA FERNANDO MACHADO, 4000 - SHOPPING PATIO CHAPECO - SUL64726</t>
  </si>
  <si>
    <t>LOJA L70</t>
  </si>
  <si>
    <t>89805203</t>
  </si>
  <si>
    <t>-27.070078 , -52.62595</t>
  </si>
  <si>
    <t>SUL64726</t>
  </si>
  <si>
    <t>06164409000472</t>
  </si>
  <si>
    <t>C321</t>
  </si>
  <si>
    <t>TIM - RUA DOZE DE OUTUBRO, 443 - SPC250520</t>
  </si>
  <si>
    <t>-23.5217321,-46.7050194</t>
  </si>
  <si>
    <t>SPC250520</t>
  </si>
  <si>
    <t>2421421026501</t>
  </si>
  <si>
    <t>C697</t>
  </si>
  <si>
    <t>TIM - AVENIDA CENTENARIO, 1052 - SHOPPING BOSQUE GRAO PARA - N45006</t>
  </si>
  <si>
    <t>VALDECAES</t>
  </si>
  <si>
    <t>14789632</t>
  </si>
  <si>
    <t>N45006</t>
  </si>
  <si>
    <t>2421421027150</t>
  </si>
  <si>
    <t>C701</t>
  </si>
  <si>
    <t>TIM - AVENIDA DOM PEDRO II, 350 - SHOPPING TOTAL PONTA GROSSA - SUL11576</t>
  </si>
  <si>
    <t>NOVARUSSIA</t>
  </si>
  <si>
    <t>84053000</t>
  </si>
  <si>
    <t>-25.085284 , -50.1785872</t>
  </si>
  <si>
    <t>SUL11576</t>
  </si>
  <si>
    <t>05323613000368</t>
  </si>
  <si>
    <t>Shopping Total Ponta Grossa</t>
  </si>
  <si>
    <t>TIM - RUA ANDORRA, 500 - SHOPPING JARDIM ORIENTE - SPI276010</t>
  </si>
  <si>
    <t>RUA ANDORRA</t>
  </si>
  <si>
    <t>JARDIM AMÉRICA</t>
  </si>
  <si>
    <t>12235050</t>
  </si>
  <si>
    <t>-23.2382179, -45.8982976</t>
  </si>
  <si>
    <t>SPI276010</t>
  </si>
  <si>
    <t>2421421028989</t>
  </si>
  <si>
    <t>Shopping Jardim Oriente</t>
  </si>
  <si>
    <t>4 REDES TELECOM (VIVO) - RUA OPHIR JOSE BRAZ, S/N - SHOPPING LUZIANIA - MGCO263240</t>
  </si>
  <si>
    <t>LOJA 107</t>
  </si>
  <si>
    <t>MGCO263240</t>
  </si>
  <si>
    <t>7041040002760</t>
  </si>
  <si>
    <t>COMMCENTER - AVENIDA DAS NACOES UNIDAS, 22540 - SHOPPING SP MARKET - SPC6346</t>
  </si>
  <si>
    <t>UNIDADE A-3,25</t>
  </si>
  <si>
    <t>SPC6346</t>
  </si>
  <si>
    <t>5828732005904</t>
  </si>
  <si>
    <t>COMMCENTER - AVENIDA AYRTON SENNA DA SILVA, 1511 - SHOPPING LITORAL PLAZA - SPC8809</t>
  </si>
  <si>
    <t>SPC8809</t>
  </si>
  <si>
    <t>5828732018569</t>
  </si>
  <si>
    <t>COMMCENTER - AVENIDA RAIMUNDO PEREIRA DE MAGALHAES, 11001 - SHOPPING CANTAREIRA - SPC257580</t>
  </si>
  <si>
    <t>SPC257580</t>
  </si>
  <si>
    <t>5828732012528</t>
  </si>
  <si>
    <t>FMO (VIVO) - RODOVIA RAPOSO TAVARES, KM 14,5 - SHOPPING RAPOSO - SPC259680</t>
  </si>
  <si>
    <t>JARDIM ARPOADOR</t>
  </si>
  <si>
    <t>5577100</t>
  </si>
  <si>
    <t>SPC259680</t>
  </si>
  <si>
    <t>39321744003401</t>
  </si>
  <si>
    <t>COMMCENTER - RUA MANOEL DA NOBREGA, 712 - SHOPPING PRACA DA MOCA - SPC19566</t>
  </si>
  <si>
    <t>-23.6913313, -46.6231541</t>
  </si>
  <si>
    <t>SPC19566</t>
  </si>
  <si>
    <t>5828732008415</t>
  </si>
  <si>
    <t>VIVO - RUA RIBEIRO DE ALMEIDA, 233 - RJES288090</t>
  </si>
  <si>
    <t>-22.9171551,-42.8221772</t>
  </si>
  <si>
    <t>RJES288090</t>
  </si>
  <si>
    <t>2558157095600</t>
  </si>
  <si>
    <t>LOJA MARICA RJ</t>
  </si>
  <si>
    <t>VIVO - AVENIDA CENTENARIO, 1052 - SHOPPING BOSQUE GRAO PARA - N45010</t>
  </si>
  <si>
    <t>66635894</t>
  </si>
  <si>
    <t>N45010</t>
  </si>
  <si>
    <t>2558157055900</t>
  </si>
  <si>
    <t>LOJA SHOPPING BOSQUE GRAO PARA PA</t>
  </si>
  <si>
    <t>VIVO - AVENIDA VEREADOR NARCISO YAGUE GUIMARAES, 1001 - SHOPPING MOGI DAS CRUZES - SPC6394</t>
  </si>
  <si>
    <t>CENTROCIVICO</t>
  </si>
  <si>
    <t>-23.51595 , -46.1795747</t>
  </si>
  <si>
    <t>SPC6394</t>
  </si>
  <si>
    <t>2558157008732</t>
  </si>
  <si>
    <t>LOJA MOGI SHOPPING CENTER SP</t>
  </si>
  <si>
    <t>VIVO - AE 01 QUADRA 55, 391 - GAMA SHOPPING - MGCO257150</t>
  </si>
  <si>
    <t>SETOR CENTRAL GAMA</t>
  </si>
  <si>
    <t>Gama</t>
  </si>
  <si>
    <t>-16.013323897935628, -48.06255430306398</t>
  </si>
  <si>
    <t>MGCO257150</t>
  </si>
  <si>
    <t>2558157041357</t>
  </si>
  <si>
    <t>LOJA SHOPPING GAMA DF</t>
  </si>
  <si>
    <t>VIVO - AVENIDA DOUTOR JOAO MEDEIROS FILHO, 2395 - PARTAGE NORTE SHOPPING - NE272870</t>
  </si>
  <si>
    <t>NE272870</t>
  </si>
  <si>
    <t>2558157091532</t>
  </si>
  <si>
    <t>LOJA PARTAGE NATAL RN</t>
  </si>
  <si>
    <t>VIVO - AVENIDA MARIO GURGEL, 5353 - SHOPPING MOXUARA - RJES286850</t>
  </si>
  <si>
    <t>AVENIDA MARIO GURGEL</t>
  </si>
  <si>
    <t>5353</t>
  </si>
  <si>
    <t>SÃO FRANCISCO</t>
  </si>
  <si>
    <t>RJES286850</t>
  </si>
  <si>
    <t>2558157092695</t>
  </si>
  <si>
    <t>LOJA SHOPPING MOXUARA ES</t>
  </si>
  <si>
    <t>BECKER - RUA QUINTINO BOCAIUVA, 56 - ZONA COMERCIAL - SUL64563</t>
  </si>
  <si>
    <t>RUA QUINTINO BOCAIUVA, 56</t>
  </si>
  <si>
    <t>89802251</t>
  </si>
  <si>
    <t>-27.0978091 , -52.6168175</t>
  </si>
  <si>
    <t>SUL64563</t>
  </si>
  <si>
    <t>BECKER</t>
  </si>
  <si>
    <t>BENOIT - RUA GETULIO DORNELES VARGAS, 415 - SUL22623</t>
  </si>
  <si>
    <t>RUA GETULIO DORNELES VARGAS</t>
  </si>
  <si>
    <t>-27.1012962 , -52.615649</t>
  </si>
  <si>
    <t>SUL22623</t>
  </si>
  <si>
    <t>87296026018669</t>
  </si>
  <si>
    <t>BENOIT</t>
  </si>
  <si>
    <t>CARREFOUR - AVENIDA RECIFE, 3777 - ZONA COMERCIAL - NE5949</t>
  </si>
  <si>
    <t>AVENIDA RECIFE</t>
  </si>
  <si>
    <t>3777</t>
  </si>
  <si>
    <t>ESTANCIA</t>
  </si>
  <si>
    <t>50110727</t>
  </si>
  <si>
    <t>-8.0974758 , -34.929042</t>
  </si>
  <si>
    <t>NE5949</t>
  </si>
  <si>
    <t>45543915099455</t>
  </si>
  <si>
    <t>BRE</t>
  </si>
  <si>
    <t>CASA &amp; VIDEO - RUA DOUTOR ALFREDO BACKER, 500 - ZONA COMERCIAL - RJES6134</t>
  </si>
  <si>
    <t>-22.819017 , -43.0076463</t>
  </si>
  <si>
    <t>RJES6134</t>
  </si>
  <si>
    <t>ALCÂNTARA II</t>
  </si>
  <si>
    <t>CASA &amp; VIDEO - BR 262 KM 5, 6555 - SHOPPING MOXUARA - RJES272880</t>
  </si>
  <si>
    <t>RJES272880</t>
  </si>
  <si>
    <t>11114284013575</t>
  </si>
  <si>
    <t>CASAS BAHIA - RUA BARAO DO RIO BRANCO, 1373 - ZONA COMERCIAL - SPI8598</t>
  </si>
  <si>
    <t>1373</t>
  </si>
  <si>
    <t>RUA S. SAMPAIO,1372</t>
  </si>
  <si>
    <t>14160570</t>
  </si>
  <si>
    <t>-21.139303 , -47.988201</t>
  </si>
  <si>
    <t>SPI8598</t>
  </si>
  <si>
    <t>33041260121549</t>
  </si>
  <si>
    <t>1053</t>
  </si>
  <si>
    <t>CASAS BAHIA - PRACA RUI BARBOSA, 49 - SPI11220</t>
  </si>
  <si>
    <t>PRACA RUI BARBOSA</t>
  </si>
  <si>
    <t>Mogi Guaçu</t>
  </si>
  <si>
    <t>13845180</t>
  </si>
  <si>
    <t>-22.3719966 , -46.9421516</t>
  </si>
  <si>
    <t>SPI11220</t>
  </si>
  <si>
    <t>33041260098466</t>
  </si>
  <si>
    <t>CASAS BAHIA - RUA CONDE DE BONFIM, 412 - ZONA COMERCIAL - RJES6941</t>
  </si>
  <si>
    <t>-22.923457 , -43.232064</t>
  </si>
  <si>
    <t>RJES6941</t>
  </si>
  <si>
    <t>33041260083515</t>
  </si>
  <si>
    <t>1163</t>
  </si>
  <si>
    <t>CASAS BAHIA - RUA PADRE PEDRO DE ALENCAR, 316 - NE289730</t>
  </si>
  <si>
    <t>RUA PADRE PEDRO DE ALENCAR</t>
  </si>
  <si>
    <t>60840020</t>
  </si>
  <si>
    <t>-3.8303803, -38.4942315</t>
  </si>
  <si>
    <t>NE289730</t>
  </si>
  <si>
    <t>33041260137623</t>
  </si>
  <si>
    <t>1717</t>
  </si>
  <si>
    <t>CASAS BAHIA - AVENIDA CARLOS KUNTZ BUSCH, 800 - SHOPPING CENTER LIMEIRA - SPI310394</t>
  </si>
  <si>
    <t>AVENIDA CARLOS KUNTZ BUSCH</t>
  </si>
  <si>
    <t>PARQUE EGISTO RAGAZZO</t>
  </si>
  <si>
    <t>13485346</t>
  </si>
  <si>
    <t>-22.5331408, -47.3861086</t>
  </si>
  <si>
    <t>SPI310394</t>
  </si>
  <si>
    <t>33041260191750</t>
  </si>
  <si>
    <t>2305</t>
  </si>
  <si>
    <t>Shopping Center Limeira</t>
  </si>
  <si>
    <t>FLEX CELL - AVENIDA TUCURUVI, 248 - SHOPPING TRIMAIS - SPC240190</t>
  </si>
  <si>
    <t>LOJA 006</t>
  </si>
  <si>
    <t>SPC240190</t>
  </si>
  <si>
    <t>3243382004160</t>
  </si>
  <si>
    <t>CLARICELL - RUA CATAO, 72 - SHOPPING CENTER LAPA SP - SPC253080</t>
  </si>
  <si>
    <t>RUA CATAO</t>
  </si>
  <si>
    <t>LOJA 148</t>
  </si>
  <si>
    <t>5049901</t>
  </si>
  <si>
    <t>-23.5211477,-46.7030188</t>
  </si>
  <si>
    <t>SPC253080</t>
  </si>
  <si>
    <t>21848907000932</t>
  </si>
  <si>
    <t>Shopping Center Lapa Sp</t>
  </si>
  <si>
    <t>CONNECT CELL (CLARO) - AVENIDA DEPUTADO ODON BEZERRA, 184 - SHOPPING TAMBIA - NE272060</t>
  </si>
  <si>
    <t>NE272060</t>
  </si>
  <si>
    <t>13985813000553</t>
  </si>
  <si>
    <t>MEX CELL - AVENIDA DOUTOR OLIVIO LIRA, 353 - SHOPPING PRAIA DA COSTA - RJES274460</t>
  </si>
  <si>
    <t>RJES274460</t>
  </si>
  <si>
    <t>18959713001548</t>
  </si>
  <si>
    <t>FLEX CELL - RUA AMAZONAS, 72 - CHRIS SHOPPING GUARUJA - SPI290650</t>
  </si>
  <si>
    <t>LOJAS 55</t>
  </si>
  <si>
    <t>SPI290650</t>
  </si>
  <si>
    <t>3243382004089</t>
  </si>
  <si>
    <t>CLARO RP - AVENIDA NOSSA SENHORA DE FATIMA, 833 - SPC259070</t>
  </si>
  <si>
    <t>VILA MONTE</t>
  </si>
  <si>
    <t>-23.6083911,-46.9215345</t>
  </si>
  <si>
    <t>SPC259070</t>
  </si>
  <si>
    <t>5949641010688</t>
  </si>
  <si>
    <t>CLARO RP - AVENIDA ROLF WIEST, 333 - GARTEN SHOPPING - SUL7959</t>
  </si>
  <si>
    <t>LOJA 156</t>
  </si>
  <si>
    <t>-26.252693 , -48.853081</t>
  </si>
  <si>
    <t>SUL7959</t>
  </si>
  <si>
    <t>40432544036419</t>
  </si>
  <si>
    <t>4811</t>
  </si>
  <si>
    <t>PONTO CERTO - AVENIDA VICENTE DE CARVALHO, 909 - SHOPPING CARIOCA - RJES6080</t>
  </si>
  <si>
    <t>VILAKOSMOS</t>
  </si>
  <si>
    <t>21210623</t>
  </si>
  <si>
    <t>-22.8500572 , -43.3115069</t>
  </si>
  <si>
    <t>RJES6080</t>
  </si>
  <si>
    <t>5142929002546</t>
  </si>
  <si>
    <t>HARCOS TELECOM (CLARO) - AVENIDA GUSTAVO PAIVA, 5945 - MACEIO PARK SHOPPING - NE10385</t>
  </si>
  <si>
    <t>CRUZ DAS ALMAS</t>
  </si>
  <si>
    <t>NE10385</t>
  </si>
  <si>
    <t>6371307000185</t>
  </si>
  <si>
    <t>CLARO IZZI - AVENIDA GERMANO FRANK, 300 - SHOPPING PARANGABA - NE22891</t>
  </si>
  <si>
    <t>AVENIDA GERMANO FRANCK</t>
  </si>
  <si>
    <t>NE22891</t>
  </si>
  <si>
    <t>31512117000188</t>
  </si>
  <si>
    <t>PONTO CERTO - ESTRADA DO PORTELA, 222 (3 PISO) - SHOPPING MADUREIRA - RJES6081</t>
  </si>
  <si>
    <t>-22.870455 , -43.3410831</t>
  </si>
  <si>
    <t>RJES6081</t>
  </si>
  <si>
    <t>5142929001221</t>
  </si>
  <si>
    <t>CLARO RP - AVENIDA CARLOS KUNTZ BUSCH, 800 - SHOPPING CENTER LIMEIRA - SPI256480</t>
  </si>
  <si>
    <t>PARQUE EGISTO RAZZO</t>
  </si>
  <si>
    <t>-22.5333, -47.3859</t>
  </si>
  <si>
    <t>SPI256480</t>
  </si>
  <si>
    <t>5949641007385</t>
  </si>
  <si>
    <t>IDEAL (CLARO) - AVENIDA INGLATERRA, 1095 - SUL273120</t>
  </si>
  <si>
    <t>AVENIDA INGLATERRA</t>
  </si>
  <si>
    <t>Cambé</t>
  </si>
  <si>
    <t>86181000</t>
  </si>
  <si>
    <t>-23.2784213,-51.2872554</t>
  </si>
  <si>
    <t>SUL273120</t>
  </si>
  <si>
    <t>26031890000192</t>
  </si>
  <si>
    <t>CLARO - RUA BRIGADEIRO FRANCO, 2300 - SHOPPING CURITIBA - SUL7482</t>
  </si>
  <si>
    <t>RUA BRIGADEIRO FRANCO</t>
  </si>
  <si>
    <t>LOJA 327 E 328,P L3</t>
  </si>
  <si>
    <t>80250903</t>
  </si>
  <si>
    <t>-25.440998 , -49.277481</t>
  </si>
  <si>
    <t>SUL7482</t>
  </si>
  <si>
    <t>40432544025727</t>
  </si>
  <si>
    <t>4111</t>
  </si>
  <si>
    <t>Shopping Curitiba</t>
  </si>
  <si>
    <t>CLARO - AVENIDA FERNANDO MACHADO, 4000 - SHOPPING PATIO CHAPECO - SUL65285</t>
  </si>
  <si>
    <t>LOJA L 59,TERREO</t>
  </si>
  <si>
    <t>SUL65285</t>
  </si>
  <si>
    <t>40432544037148</t>
  </si>
  <si>
    <t>4810</t>
  </si>
  <si>
    <t>CLARO - AVENIDA AFONSO PENA, 4909 - SHOPPING CAMPO GRANDE - MGCO5832</t>
  </si>
  <si>
    <t>MGCO5832</t>
  </si>
  <si>
    <t>40432544048182</t>
  </si>
  <si>
    <t>67A2</t>
  </si>
  <si>
    <t>CLARO - AVENIDA SENADOR SALGADO FILHO, 2234 - NATAL SHOPPING - NE11064</t>
  </si>
  <si>
    <t>59056000</t>
  </si>
  <si>
    <t>-5.8420052938232745 , -35.21154500796509</t>
  </si>
  <si>
    <t>NE11064</t>
  </si>
  <si>
    <t>40432544000147</t>
  </si>
  <si>
    <t>8414</t>
  </si>
  <si>
    <t>CLARO - AVENIDA SEVERINO BEZERRA CABRAL, 1050 - PARTAGE SHOPPING CAMPINA GRANDE - NE243400</t>
  </si>
  <si>
    <t>-7.2347076,-35.8724691</t>
  </si>
  <si>
    <t>NE243400</t>
  </si>
  <si>
    <t>40330024000123</t>
  </si>
  <si>
    <t>CLARO - RUA DOUTOR JOAO SANTOS FILHO, 255 - SHOPPING PLAZA CASA FORTE - NE21230</t>
  </si>
  <si>
    <t>NE21230</t>
  </si>
  <si>
    <t>LOJAS COLOMBO - AVENIDA GETULIO VARGAS, 751 - ZONA COMERCIAL - SUL64561</t>
  </si>
  <si>
    <t>751</t>
  </si>
  <si>
    <t>-27.098217 , -52.616158</t>
  </si>
  <si>
    <t>SUL64561</t>
  </si>
  <si>
    <t>89848543017495</t>
  </si>
  <si>
    <t>93</t>
  </si>
  <si>
    <t>COLOMBO - AVENIDA AZENHA, 1286 - ZONA COMERCIAL - SUL6280</t>
  </si>
  <si>
    <t>-30.0551921 , -51.21425259999999</t>
  </si>
  <si>
    <t>SUL6280</t>
  </si>
  <si>
    <t>89848543029744</t>
  </si>
  <si>
    <t>COLOMBO - AVENIDA FLORES DA CUNHA, 1731 - SUL270920</t>
  </si>
  <si>
    <t>1731</t>
  </si>
  <si>
    <t>-29.9499159,-51.0972176</t>
  </si>
  <si>
    <t>SUL270920</t>
  </si>
  <si>
    <t>89848543011020</t>
  </si>
  <si>
    <t>GAZIN - AVENIDA COUTO MAGALHAES, 1576 - MGCO273570</t>
  </si>
  <si>
    <t>1576</t>
  </si>
  <si>
    <t>-15.6471032,-56.1351219</t>
  </si>
  <si>
    <t>MGCO273570</t>
  </si>
  <si>
    <t>77941490031549</t>
  </si>
  <si>
    <t>HAVAN - RUA ITACOLOMI, 292 - SHOPPING TOTAL - SUL18771</t>
  </si>
  <si>
    <t>-25.479322 , -49.294582</t>
  </si>
  <si>
    <t>SUL18771</t>
  </si>
  <si>
    <t>79379491001740</t>
  </si>
  <si>
    <t>15 - PORTAO</t>
  </si>
  <si>
    <t>LEBES - AVENIDA GENERAL FLORES DA CUNHA , 1390 - ZONA COMERCIAL - SUL80459</t>
  </si>
  <si>
    <t>1390</t>
  </si>
  <si>
    <t>94910001</t>
  </si>
  <si>
    <t>-29.950068 , -51.099461</t>
  </si>
  <si>
    <t>SUL80459</t>
  </si>
  <si>
    <t>96662168003742</t>
  </si>
  <si>
    <t>LEBES - AVENIDA ASSIS BRASIL, 6470 - ZONA COMERCIAL - SUL85804</t>
  </si>
  <si>
    <t>6470</t>
  </si>
  <si>
    <t>LOJAS 102 E 103</t>
  </si>
  <si>
    <t>SARANDI</t>
  </si>
  <si>
    <t>91140000</t>
  </si>
  <si>
    <t>-29.994256 , -51.129863</t>
  </si>
  <si>
    <t>SUL85804</t>
  </si>
  <si>
    <t>96662168016801</t>
  </si>
  <si>
    <t>LOJAS AMERICANAS - RUA ERMELINO DE LEAO, 703 - SHOPPING PALLADIUM PONTA GROSSA - SUL8758</t>
  </si>
  <si>
    <t>ANCORA 1</t>
  </si>
  <si>
    <t>SUL8758</t>
  </si>
  <si>
    <t>776574165902</t>
  </si>
  <si>
    <t>L166</t>
  </si>
  <si>
    <t>LOJAS AMERICANAS - AVENIDA FERNANDO MACHADO, 4000 - PATIO CHAPECO - SUL65282</t>
  </si>
  <si>
    <t>LOJA ANCORA 2</t>
  </si>
  <si>
    <t>SUL65282</t>
  </si>
  <si>
    <t>776574170744</t>
  </si>
  <si>
    <t>L436</t>
  </si>
  <si>
    <t>LOJAS AMERICANAS - RUA DOUTOR JOAO RIBEIRO, 304 - SHOPPING PENHA - SPC11850</t>
  </si>
  <si>
    <t>LOJA ANCORA C 1 PISO</t>
  </si>
  <si>
    <t>SPC11850</t>
  </si>
  <si>
    <t>776574093146</t>
  </si>
  <si>
    <t>L110</t>
  </si>
  <si>
    <t>LOJAS AMERICANAS - AVENIDA MARECHAL TITO, 4320 - SPC89241</t>
  </si>
  <si>
    <t>4320</t>
  </si>
  <si>
    <t>8115000</t>
  </si>
  <si>
    <t>-23.496166 , -46.402567</t>
  </si>
  <si>
    <t>SPC89241</t>
  </si>
  <si>
    <t>776574022206</t>
  </si>
  <si>
    <t>L600</t>
  </si>
  <si>
    <t>LOJAS AMERICANAS - AVENIDA DAS ARAUCARIAS, S/N - SHOPPING AGUAS CLARAS - MGCO242720</t>
  </si>
  <si>
    <t>AVENIDA DAS ARAUCARIAS</t>
  </si>
  <si>
    <t>71936250</t>
  </si>
  <si>
    <t>-15.8415557,-48.0237366</t>
  </si>
  <si>
    <t>MGCO242720</t>
  </si>
  <si>
    <t>776574167280</t>
  </si>
  <si>
    <t>L244</t>
  </si>
  <si>
    <t>Shopping Aguas Claras</t>
  </si>
  <si>
    <t>LOJAS AMERICANAS - RUA CATAO, 72 - SHOPPING CENTER LAPA - SPC39946</t>
  </si>
  <si>
    <t>-23.5213824 , -46.70090390000001</t>
  </si>
  <si>
    <t>SPC39946</t>
  </si>
  <si>
    <t>776574094894</t>
  </si>
  <si>
    <t>L576</t>
  </si>
  <si>
    <t>LOJAS AMERICANAS - ESTRADA ERNESTINA VIEIRA, 149 - PLAZA SHOPPING CARAPICUIBA - SPC250420</t>
  </si>
  <si>
    <t>SPC250420</t>
  </si>
  <si>
    <t>776574058235</t>
  </si>
  <si>
    <t>LOJAS CEM - RUA 13 DE MAIO, 543 - ZONA COMERCIAL - SPI19372</t>
  </si>
  <si>
    <t>Agudos</t>
  </si>
  <si>
    <t>17120009</t>
  </si>
  <si>
    <t>-22.4719255 , -48.9888415</t>
  </si>
  <si>
    <t>SPI19372</t>
  </si>
  <si>
    <t>56642960017851</t>
  </si>
  <si>
    <t>AGUDOS</t>
  </si>
  <si>
    <t>LOJAS GUAIBIM - AVENIDA ALIOMAR BALEEIRO, 4348 - NE249750</t>
  </si>
  <si>
    <t>4348</t>
  </si>
  <si>
    <t>SETE DE ABRIL</t>
  </si>
  <si>
    <t>41385160</t>
  </si>
  <si>
    <t>-12.90008611257553, -38.40774927797275</t>
  </si>
  <si>
    <t>NE249750</t>
  </si>
  <si>
    <t>13850516006612</t>
  </si>
  <si>
    <t>L48</t>
  </si>
  <si>
    <t>LOJAS QUERO-QUERO - RUA 7 DE SETEMBRO, 353 - ZONA COMERCIAL - SUL11024</t>
  </si>
  <si>
    <t>96015300</t>
  </si>
  <si>
    <t>-31.7678147,-52.34488</t>
  </si>
  <si>
    <t>SUL11024</t>
  </si>
  <si>
    <t>96418264019905</t>
  </si>
  <si>
    <t>MAGAZINE LUIZA - RUA JACOB MACANHAM, 468 - ZONA COMERCIAL - SUL10692</t>
  </si>
  <si>
    <t>-25.4283831 , -49.183336</t>
  </si>
  <si>
    <t>SUL10692</t>
  </si>
  <si>
    <t>47960950066068</t>
  </si>
  <si>
    <t>MAGAZINE LUIZA - RUA TREZE DE MAIO, 21 - SPI11221</t>
  </si>
  <si>
    <t>13840015</t>
  </si>
  <si>
    <t>-22.3713849 , -46.9430054</t>
  </si>
  <si>
    <t>SPI11221</t>
  </si>
  <si>
    <t>47960950015587</t>
  </si>
  <si>
    <t>MAGAZINE LUIZA - RUA DOUTOR LUIS CORREIA DE ARAUJO, 44 - ZONA COMERCIAL - NE48776</t>
  </si>
  <si>
    <t>RUA DOUTOR LUIS CORREIA DE ARAUJO</t>
  </si>
  <si>
    <t>-7.996901899999999 , -35.0365914</t>
  </si>
  <si>
    <t>NE48776</t>
  </si>
  <si>
    <t>47960950092492</t>
  </si>
  <si>
    <t>MAGAZINE LUIZA - AVENIDA EDGAR PIRES DE CASTRO, 2140 - SUL265400</t>
  </si>
  <si>
    <t>AVENIDA EDGAR PIRES DE CASTRO</t>
  </si>
  <si>
    <t>HIPICA</t>
  </si>
  <si>
    <t>91787878</t>
  </si>
  <si>
    <t>-30.1561252,-51.1718853</t>
  </si>
  <si>
    <t>SUL265400</t>
  </si>
  <si>
    <t>47960950189658</t>
  </si>
  <si>
    <t>MAGAZINE LUIZA - ESTRADA DO TINDIBA, 2314 - RJES271160</t>
  </si>
  <si>
    <t>ESTRADA DO TINDIBA</t>
  </si>
  <si>
    <t>2314</t>
  </si>
  <si>
    <t>22730262</t>
  </si>
  <si>
    <t>-22.9217818,-43.3760864</t>
  </si>
  <si>
    <t>RJES271160</t>
  </si>
  <si>
    <t>47960950188686</t>
  </si>
  <si>
    <t>1662</t>
  </si>
  <si>
    <t>MAGAZINE LUIZA - AVENIDA CARLOS KUNTZ BUSCH, 800 - SHOPPING CENTER LIMEIRA - SPI255950</t>
  </si>
  <si>
    <t>13485342</t>
  </si>
  <si>
    <t>SPI255950</t>
  </si>
  <si>
    <t>47960950089602</t>
  </si>
  <si>
    <t>977</t>
  </si>
  <si>
    <t>MATHEUS SUPERMERCADOS - RIO ANIL - AVENIDA SAO LUIS REI DA FRANCA, 8 - SHOPPING ANIL - NE10930</t>
  </si>
  <si>
    <t>NE10930</t>
  </si>
  <si>
    <t>03995515002534</t>
  </si>
  <si>
    <t>MILENA MOVEIS - RODOVIA PE - 060, 3200 - SHOPPING COSTA DOURADA - NE270510</t>
  </si>
  <si>
    <t>NE270510</t>
  </si>
  <si>
    <t>296549006963</t>
  </si>
  <si>
    <t>RIACHUELO - AVENIDA DOS AUTONOMISTAS, 1400 - SHOPPING UNIAO - SPC48060</t>
  </si>
  <si>
    <t>ANCORA S</t>
  </si>
  <si>
    <t>SPC48060</t>
  </si>
  <si>
    <t>33200056005108</t>
  </si>
  <si>
    <t>L008</t>
  </si>
  <si>
    <t>RIACHUELO - AVENIDA LUCIANO DAS NEVES, 2418 - SHOPPING VILA VELHA - RJES48040</t>
  </si>
  <si>
    <t>RJES48040</t>
  </si>
  <si>
    <t>33200056025567</t>
  </si>
  <si>
    <t>L236</t>
  </si>
  <si>
    <t>SIPOLATTI - AVENIDA LUCIANO DAS NEVES, 2418 - SHOPPING VILA VELHA - RJES37388</t>
  </si>
  <si>
    <t>RJES37388</t>
  </si>
  <si>
    <t>30689848003903</t>
  </si>
  <si>
    <t>SIPOLATTI - AVENIDA CENTRAL, 931 - ZONA COMERCIAL - RJES11827</t>
  </si>
  <si>
    <t>-20.199123 , -40.254886</t>
  </si>
  <si>
    <t>RJES11827</t>
  </si>
  <si>
    <t>30689848000211</t>
  </si>
  <si>
    <t>BATTI MALDONADO - AVENIDA SETE DE SETEMBRO, 2775 - SHOPPING ESTACAO - SUL6914</t>
  </si>
  <si>
    <t>LOJA SET 01170</t>
  </si>
  <si>
    <t>SUL6914</t>
  </si>
  <si>
    <t>11021140000839</t>
  </si>
  <si>
    <t>AQUILON JUFAP (TIM) - RUA CONSELHEIRO MOREIRA DE BARROS, 2780 - SHOPPING SANTANA PARQUE - SPC7835</t>
  </si>
  <si>
    <t>LOJA 1047</t>
  </si>
  <si>
    <t>SPC7835</t>
  </si>
  <si>
    <t>81214819004221</t>
  </si>
  <si>
    <t>JUFAP – SANTANA PARQUE SHOPPING - SAP (41575)</t>
  </si>
  <si>
    <t>DULCOM/DPI (TIM) - AVENIDA NOSSA SENHORA DE LOURDES, 63 - SHOPPING JARDIM DAS AMERICAS - SUL6917</t>
  </si>
  <si>
    <t>SUL6917</t>
  </si>
  <si>
    <t>2356946000110</t>
  </si>
  <si>
    <t>DPI/DULCOM  - SHOPPING JARDINS DAS AMERICAS - SAP (3719)</t>
  </si>
  <si>
    <t>FACELL - AVENIDA SENADOR SALGADO FILHO, 2234 - NATAL SHOPPING - NE6201</t>
  </si>
  <si>
    <t>NE6201</t>
  </si>
  <si>
    <t>7366109000609</t>
  </si>
  <si>
    <t>FACELL LTDA - NATAL - NATAL SHOPPING - SAP (14082)</t>
  </si>
  <si>
    <t>MAGNATA/RAGAR (TIM) - RUA MARIA SOARES SENDAS, 111 - SHOPPING GRANDE RIO - RJES6106</t>
  </si>
  <si>
    <t>-22.7973334 , -43.3523151</t>
  </si>
  <si>
    <t>RJES6106</t>
  </si>
  <si>
    <t>5999455001239</t>
  </si>
  <si>
    <t>MAGNATA - GRANDE RIO - SAP (40462)</t>
  </si>
  <si>
    <t>ALEGRIA (TIM) - AVENIDA PEREIRA BARRETO, 42 - SHOPPING ABC - SPC250000</t>
  </si>
  <si>
    <t>VILA GILDA</t>
  </si>
  <si>
    <t>SPC250000</t>
  </si>
  <si>
    <t>21683365003315</t>
  </si>
  <si>
    <t>ALEGRIA - ABC SHOPPING  - SAP (39568)</t>
  </si>
  <si>
    <t>ART FIBRA NORTE SUL (TIM) - AVENIDA PRESIDENTE ERNESTO GEISEL, 2300 - SHOPPING NORTE SUL PLAZA - MGCO5838</t>
  </si>
  <si>
    <t>MGCO5838</t>
  </si>
  <si>
    <t>41777307000180</t>
  </si>
  <si>
    <t>SETE LAN (TIM) - RUA MARIA SOARES SENDAS, 111 - SHOPPING GRANDE RIO - RJES9863</t>
  </si>
  <si>
    <t>-22.797396412774297 , -43.351627981475815</t>
  </si>
  <si>
    <t>RJES9863</t>
  </si>
  <si>
    <t>08312444001650</t>
  </si>
  <si>
    <t>TALKLINE TELECOM (TIM) - RUA GRANDE, 767 - N287820</t>
  </si>
  <si>
    <t>65020251</t>
  </si>
  <si>
    <t>-2.5306706,-44.3013352</t>
  </si>
  <si>
    <t>N287820</t>
  </si>
  <si>
    <t>44944217000478</t>
  </si>
  <si>
    <t>TIM PLANET (TIM) - RUA CATAO, 72 - SHOPPING CENTER LAPA - SPC20405</t>
  </si>
  <si>
    <t>SPC20405</t>
  </si>
  <si>
    <t>TIM - AVENIDA BARTOLOMEU DE CARLOS, 230 - PARQUE SHOPPING MAIA - SPC42209</t>
  </si>
  <si>
    <t>JARDIMFLORDAMONTANHA</t>
  </si>
  <si>
    <t>SPC42209</t>
  </si>
  <si>
    <t>COMMCENTER - AVENIDA PIRACEMA, 669 - SHOPPING TAMBORE - SPC6446</t>
  </si>
  <si>
    <t>LOJA 42</t>
  </si>
  <si>
    <t>SPC6446</t>
  </si>
  <si>
    <t>05828732004932</t>
  </si>
  <si>
    <t>COMMCENTER - AVENIDA TUCURUVI, 248 - SHOPPING TRIMAIS - SPC240410</t>
  </si>
  <si>
    <t>2305002</t>
  </si>
  <si>
    <t>SPC240410</t>
  </si>
  <si>
    <t>93720464019687</t>
  </si>
  <si>
    <t>COMMCENTER - AVENIDA ALBERTO BENASSI, 2270 - SHOPPING JARAGUA - SPI253190</t>
  </si>
  <si>
    <t>JARDIM BANDEIRANTES</t>
  </si>
  <si>
    <t>SPI253190</t>
  </si>
  <si>
    <t>5828732014229</t>
  </si>
  <si>
    <t>ALEA ELETRO (VIVO) - AVENIDA PEDRO ADAMS FILHO, 5381 - SUL257610</t>
  </si>
  <si>
    <t>93510025</t>
  </si>
  <si>
    <t>-29.6851956,-51.1302081</t>
  </si>
  <si>
    <t>SUL257610</t>
  </si>
  <si>
    <t>93720464003845</t>
  </si>
  <si>
    <t>WORLD CELL (VIVO) - RUA 08, 358 - ZONA COMERCIAL - MGCO5741</t>
  </si>
  <si>
    <t>RUA OITO</t>
  </si>
  <si>
    <t>74013030</t>
  </si>
  <si>
    <t>-16.676059 , -49.2587063</t>
  </si>
  <si>
    <t>MGCO5741</t>
  </si>
  <si>
    <t>14976383546958</t>
  </si>
  <si>
    <t>COMMCENTER - RODOVIA RSC 453, 2780 - SHOPPING VILLAGIO CAXIAS - SUL6273</t>
  </si>
  <si>
    <t>SUL6273</t>
  </si>
  <si>
    <t>308055000597</t>
  </si>
  <si>
    <t>MS CELULAR (VIVO) - AVENIDA SENADOR FILINTO MULLER, 43 - VARZEA GRANDE SHOPPING - MGCO45819</t>
  </si>
  <si>
    <t>AVENIDA SENADOR FILINTO MULLER</t>
  </si>
  <si>
    <t>JARDIMAEROPORTO</t>
  </si>
  <si>
    <t>78110056</t>
  </si>
  <si>
    <t>-15.652832 , -56.1229217</t>
  </si>
  <si>
    <t>MGCO45819</t>
  </si>
  <si>
    <t>5960876000870</t>
  </si>
  <si>
    <t>Varzea Grande Shopping</t>
  </si>
  <si>
    <t>ALEA ELETRO (VIVO) - RUA CATAO, 72 - SHOPPING CENTER LAPA - SPC9222</t>
  </si>
  <si>
    <t>SPC9222</t>
  </si>
  <si>
    <t>93720464019334</t>
  </si>
  <si>
    <t>4 REDES TELECOM (VIVO) - ALAMEDA SANTA LUZIA QUADRA 00, 06B-2 - AGUAS LINDAS SHOPPING - MGCO258830</t>
  </si>
  <si>
    <t>72915705</t>
  </si>
  <si>
    <t>MGCO258830</t>
  </si>
  <si>
    <t>7041040002093</t>
  </si>
  <si>
    <t>FMO (VIVO) - AVENIDA JUSCELINO KUBITSCHEK DE OLIVEIRA, 5308 - SHOPPING BONSUCESSO - SPC273150</t>
  </si>
  <si>
    <t>SPC273150</t>
  </si>
  <si>
    <t>39321744000143</t>
  </si>
  <si>
    <t>COMMCENTER - RUA PROFESSOR ALFREDO GONCALVES FIGUEIRA, 100 - SHOPPING NILOPOLIS SQUARE - RJES235590</t>
  </si>
  <si>
    <t>RJES235590</t>
  </si>
  <si>
    <t>5828732012285</t>
  </si>
  <si>
    <t>COMMCENTER - AVENIDA CRISTIANO MACHADO, 11833 - SHOPPING ESTACAO BH - MGCO234510</t>
  </si>
  <si>
    <t>MGCO234510</t>
  </si>
  <si>
    <t>COMMCENTER - RUA TENENTE AVELAR PIRES DE AZEVEDO, 81 - SHOPPING OSASCO PLAZA - SPC20172</t>
  </si>
  <si>
    <t>-23.5293672 , -46.7777805</t>
  </si>
  <si>
    <t>SPC20172</t>
  </si>
  <si>
    <t>VIVO - RUA BRIGADEIRO FRANCO, 2300 - SHOPPING CURITIBA - SUL7202</t>
  </si>
  <si>
    <t>LOJA 213-P2 PARTE</t>
  </si>
  <si>
    <t>80420200</t>
  </si>
  <si>
    <t>SUL7202</t>
  </si>
  <si>
    <t>2558157019343</t>
  </si>
  <si>
    <t>LOJA SHOPPING CURITIBA PR</t>
  </si>
  <si>
    <t>VIVO - AVENIDA SENADOR SALGADO FILHO, 2234 - NATAL SHOPPING - NE258020</t>
  </si>
  <si>
    <t>CANDELÁRIA</t>
  </si>
  <si>
    <t>59064900</t>
  </si>
  <si>
    <t>NE258020</t>
  </si>
  <si>
    <t>2558157076576</t>
  </si>
  <si>
    <t>LOJA NATAL SHOPPING RN</t>
  </si>
  <si>
    <t>BENOIT ELETRODOMESTICOS LTDA - AV CONSUL CARLOS RENAUX, 91 - ZONA COMERCIAL - SUL90838</t>
  </si>
  <si>
    <t>AV CONSUL CARLOS RENAUX</t>
  </si>
  <si>
    <t>88350001</t>
  </si>
  <si>
    <t>-27.097143 , -48.9159736</t>
  </si>
  <si>
    <t>SUL90838</t>
  </si>
  <si>
    <t>87296026024715</t>
  </si>
  <si>
    <t>BERLANDA - AVENIDA CONSUL CARLOS RENAUX, 116 - ZONA COMERCIAL - SUL90842</t>
  </si>
  <si>
    <t>-27.097284 , -48.915741</t>
  </si>
  <si>
    <t>SUL90842</t>
  </si>
  <si>
    <t>09313141001887</t>
  </si>
  <si>
    <t>CASA &amp; VIDEO - RUA MARIA SOARES SENDAS, 111 - SHOPPING GRANDE RIO - RJES6156</t>
  </si>
  <si>
    <t>LOJA 417</t>
  </si>
  <si>
    <t>-22.799038260337987 , -43.3519672809162</t>
  </si>
  <si>
    <t>RJES6156</t>
  </si>
  <si>
    <t>11114284001720</t>
  </si>
  <si>
    <t>GRANDE RIO SHOPPING</t>
  </si>
  <si>
    <t>CASA &amp; VIDEO - ESTRADA DOS BANDEIRANTES, 243 - ZONA COMERCIAL - RJES10214</t>
  </si>
  <si>
    <t>ESTRADA DOS BANDEIRANTES</t>
  </si>
  <si>
    <t>22710570</t>
  </si>
  <si>
    <t>-22.9253915 , -43.373544</t>
  </si>
  <si>
    <t>RJES10214</t>
  </si>
  <si>
    <t>11114284006609</t>
  </si>
  <si>
    <t>CASA &amp; VIDEO - AVENIDA DOUTOR OLIVIO LIRA, 353 - SHOPPING PRAIA DA COSTA - RJES251400</t>
  </si>
  <si>
    <t>29101750</t>
  </si>
  <si>
    <t>RJES251400</t>
  </si>
  <si>
    <t>11114284013303</t>
  </si>
  <si>
    <t>SHOPPING PRAIA DA COSTA</t>
  </si>
  <si>
    <t>CASA &amp; VIDEO - PRACA TIRADENTES CENTRO, 9 - MGCO236820</t>
  </si>
  <si>
    <t>PRAÇA TIRADENTES CENTRO</t>
  </si>
  <si>
    <t>9</t>
  </si>
  <si>
    <t>32600054</t>
  </si>
  <si>
    <t>-19.9664976 , -44.1992711</t>
  </si>
  <si>
    <t>MGCO236820</t>
  </si>
  <si>
    <t>11114284040585</t>
  </si>
  <si>
    <t>CASAS BAHIA - AVENIDA NOVA CANTAREIRA, 1818 - ZONA COMERCIAL - SPC18643</t>
  </si>
  <si>
    <t>AVENIDA NOVA CANTAREIRA</t>
  </si>
  <si>
    <t>1822,1826 E 1830,1ºP</t>
  </si>
  <si>
    <t>2330002</t>
  </si>
  <si>
    <t>-23.480349 , -46.611095</t>
  </si>
  <si>
    <t>SPC18643</t>
  </si>
  <si>
    <t>33041260106159</t>
  </si>
  <si>
    <t>1024</t>
  </si>
  <si>
    <t>CASAS BAHIA - RUA PARAPUA, 1407 - ZONA COMERCIAL - SPC11266</t>
  </si>
  <si>
    <t>RUA PARAPUA</t>
  </si>
  <si>
    <t>1407  1417</t>
  </si>
  <si>
    <t>1417 E 1423</t>
  </si>
  <si>
    <t>2831001</t>
  </si>
  <si>
    <t>-23.472633 , -46.691002</t>
  </si>
  <si>
    <t>SPC11266</t>
  </si>
  <si>
    <t>33041260107635</t>
  </si>
  <si>
    <t>1593</t>
  </si>
  <si>
    <t>CASAS BAHIA - RUA PADRE LEMOS, 350 - NE238450</t>
  </si>
  <si>
    <t>CASA AMARELA</t>
  </si>
  <si>
    <t>-8.0236909, -34.918208</t>
  </si>
  <si>
    <t>NE238450</t>
  </si>
  <si>
    <t>33041260167298</t>
  </si>
  <si>
    <t>2043</t>
  </si>
  <si>
    <t>CASAS BAHIA - AVENIDA JERONIMO MONTEIRO, 173 - ZONA COMERCIAL - RJES10319</t>
  </si>
  <si>
    <t>29010002</t>
  </si>
  <si>
    <t>-20.3212111, -40.3379011</t>
  </si>
  <si>
    <t>RJES10319</t>
  </si>
  <si>
    <t>33041260099608</t>
  </si>
  <si>
    <t>CASAS BAHIA - RUA DOS MINEIROS 58 - ZONA COMERCIAL - RJES44858</t>
  </si>
  <si>
    <t>RUA DOS MINEIROS</t>
  </si>
  <si>
    <t>Valença</t>
  </si>
  <si>
    <t>27600000</t>
  </si>
  <si>
    <t>-22.2450711 , -43.7018761</t>
  </si>
  <si>
    <t>RJES44858</t>
  </si>
  <si>
    <t>33041260088665</t>
  </si>
  <si>
    <t>1461</t>
  </si>
  <si>
    <t>CASAS BAHIA - RUA REVERENDO AMERICO VESPUCIO CABRAL, 426 - SUL271960</t>
  </si>
  <si>
    <t>RUA REVERENDO AMERICO VESPUCIO CABRAL</t>
  </si>
  <si>
    <t>-30.0827037,-51.0324078</t>
  </si>
  <si>
    <t>SUL271960</t>
  </si>
  <si>
    <t>33041260171309</t>
  </si>
  <si>
    <t>2079</t>
  </si>
  <si>
    <t>CASAS BAHIA - AVENIDA 14 DE DEZEMBRO, 93 - ZONA COMERCIAL - SPC42414</t>
  </si>
  <si>
    <t>AVENIDA QUATORZE DE DEZEMBRO</t>
  </si>
  <si>
    <t>CRESCIUMA</t>
  </si>
  <si>
    <t>Caieiras</t>
  </si>
  <si>
    <t>7700000</t>
  </si>
  <si>
    <t>-23.360703 , -46.745541</t>
  </si>
  <si>
    <t>SPC42414</t>
  </si>
  <si>
    <t>33041260096501</t>
  </si>
  <si>
    <t>PONTO CERTO - ESTRADA DE JACAREPAGUA, 6069 - SHOPPING PARK JACAREPAGUA - MULTIPLAN - RJES261830</t>
  </si>
  <si>
    <t>22753033</t>
  </si>
  <si>
    <t>RJES261830</t>
  </si>
  <si>
    <t>5142929002384</t>
  </si>
  <si>
    <t>FAJULUTI GAVEA - AVENIDA VICENTE DE CARVALHO, 909 - SHOPPING CARIOCA - RJES9089</t>
  </si>
  <si>
    <t>VILA KOSMOS</t>
  </si>
  <si>
    <t>RJES9089</t>
  </si>
  <si>
    <t>26117255001609</t>
  </si>
  <si>
    <t>FLEX CELL - AVENIDA LIMEIRA, 722 - SHOPPING PIRACICABA - SPI80671</t>
  </si>
  <si>
    <t>VILA RESENDE</t>
  </si>
  <si>
    <t>SPI80671</t>
  </si>
  <si>
    <t>3243382004755</t>
  </si>
  <si>
    <t>EDUARDO JUNQUEIRA (CLARO) - RUA IRMA DULCE, 550 - SHOPPING PRACA NOVA - SUL228300</t>
  </si>
  <si>
    <t>RENASCENÇA</t>
  </si>
  <si>
    <t>97030630</t>
  </si>
  <si>
    <t>SUL228300</t>
  </si>
  <si>
    <t>29686678001719</t>
  </si>
  <si>
    <t>PONTO CERTO - PRAIA DE BOTAFOGO, 400 - BOTAFOGO PRAIA SHOPPING - RJES274230</t>
  </si>
  <si>
    <t>PRAIA DE BOTAFOGO</t>
  </si>
  <si>
    <t>22250040</t>
  </si>
  <si>
    <t>-22.947498 , -43.183353</t>
  </si>
  <si>
    <t>RJES274230</t>
  </si>
  <si>
    <t>5142929004670</t>
  </si>
  <si>
    <t>Botafogo Praia Shopping</t>
  </si>
  <si>
    <t>HS - AVENIDA MINISTRO GERALDO BARRETO SOBRAL, 215 - SHOPPING JARDINS - ARACAJU - NE277820</t>
  </si>
  <si>
    <t>NE277820</t>
  </si>
  <si>
    <t>5923253006604</t>
  </si>
  <si>
    <t>MAXELL - RUA BATISTA DE OLIVEIRA, 646 - ZONA COMERCIAL - MGCO64403</t>
  </si>
  <si>
    <t>-21.761545 , -43.346771</t>
  </si>
  <si>
    <t>MGCO64403</t>
  </si>
  <si>
    <t>03162253000583</t>
  </si>
  <si>
    <t>PONTO CERTO - ESTRADA DO PORTELA, 222 (1 PISO) - SHOPPING MADUREIRA - RJES22895</t>
  </si>
  <si>
    <t>RJES22895</t>
  </si>
  <si>
    <t>CLARO - AVENIDA INDEPENDENCIA, 3600 - SHOPPING INDEPENDENCIA - MGCO10520</t>
  </si>
  <si>
    <t>AVENIDA PRESIDENTE ITAMAR FRANCO</t>
  </si>
  <si>
    <t>3600</t>
  </si>
  <si>
    <t>LOJA 134,NIVEL 1</t>
  </si>
  <si>
    <t>36025290</t>
  </si>
  <si>
    <t>-21.780699 , -43.36039</t>
  </si>
  <si>
    <t>MGCO10520</t>
  </si>
  <si>
    <t>40432544036842</t>
  </si>
  <si>
    <t>3137</t>
  </si>
  <si>
    <t>Shopping Independência</t>
  </si>
  <si>
    <t>COLOMBO - PRACA OITO DE JANEIRO, 1356 - ZONA COMERCIAL - SUL19386</t>
  </si>
  <si>
    <t>PRACA OITO DE JANEIRO</t>
  </si>
  <si>
    <t>83005110</t>
  </si>
  <si>
    <t>-25.5364213 , -49.2052068</t>
  </si>
  <si>
    <t>SUL19386</t>
  </si>
  <si>
    <t>89848543025919</t>
  </si>
  <si>
    <t>HAVAN - RUA QUINZE DE NOVEMBRO, 2900 - ZONA COMERCIAL - SUL18780</t>
  </si>
  <si>
    <t>SUL18780</t>
  </si>
  <si>
    <t>79379491002127</t>
  </si>
  <si>
    <t>20 - S J DOS PINHAIS</t>
  </si>
  <si>
    <t>HAVAN - RODOVIA BR 282, 3700 - ZONA COMERCIAL - SUL10352</t>
  </si>
  <si>
    <t>RODOVIA BR 282</t>
  </si>
  <si>
    <t>3700</t>
  </si>
  <si>
    <t>88090700</t>
  </si>
  <si>
    <t>-27.596704832680217 , -48.59973982235947</t>
  </si>
  <si>
    <t>SUL10352</t>
  </si>
  <si>
    <t>79379491000264</t>
  </si>
  <si>
    <t>5 - VIA EXPRESSA FLORIPA</t>
  </si>
  <si>
    <t>HAVAN - AVENIDA ASSIS BRASIL, 11120 - SUL244990</t>
  </si>
  <si>
    <t>11120</t>
  </si>
  <si>
    <t>PORTO ALEGRE</t>
  </si>
  <si>
    <t>91010004</t>
  </si>
  <si>
    <t>-29.974471, -51.1162646</t>
  </si>
  <si>
    <t>SUL244990</t>
  </si>
  <si>
    <t>79379491018040</t>
  </si>
  <si>
    <t>188 - PORTO ALEGRE</t>
  </si>
  <si>
    <t>INFO STORE - AVENIDA MARGARITA, 1359 - SHOPPING NOVA CIDADE - N238840</t>
  </si>
  <si>
    <t>NOVA CIDADE</t>
  </si>
  <si>
    <t>-3.0032544, -59.980277</t>
  </si>
  <si>
    <t>N238840</t>
  </si>
  <si>
    <t>2337524003385</t>
  </si>
  <si>
    <t>KOERICH - AVENIDA DO ESTADO DALVO VIEIRA, 3201 - SUL228410</t>
  </si>
  <si>
    <t>AVENIDA DO ESTADO DALVO VIEIRA</t>
  </si>
  <si>
    <t>3201</t>
  </si>
  <si>
    <t>88330077</t>
  </si>
  <si>
    <t>-26.98355 , -48.6400218</t>
  </si>
  <si>
    <t>SUL228410</t>
  </si>
  <si>
    <t>LE BISCUIT - RUA CONSELHEIRO JUNQUEIRA AYRES, 165 - SHOPPING PIEDADE - NE271240</t>
  </si>
  <si>
    <t>40366405</t>
  </si>
  <si>
    <t>NE271240</t>
  </si>
  <si>
    <t>16233389010207</t>
  </si>
  <si>
    <t>LEBES - AVENIDA ASSIS BRASIL, 2236 - ZONA COMERCIAL - SUL19944</t>
  </si>
  <si>
    <t>-30.01136 , -51.165035</t>
  </si>
  <si>
    <t>SUL19944</t>
  </si>
  <si>
    <t>96662168012148</t>
  </si>
  <si>
    <t>LOJAS AMERICANAS - PRACA TUBAL VILELA, 252 - MGCO10542</t>
  </si>
  <si>
    <t>PRACA TUBAL VILELA</t>
  </si>
  <si>
    <t>272</t>
  </si>
  <si>
    <t>38400186</t>
  </si>
  <si>
    <t>-18.920618 , -48.277332</t>
  </si>
  <si>
    <t>MGCO10542</t>
  </si>
  <si>
    <t>776574045508</t>
  </si>
  <si>
    <t>LOJAS AMERICANAS - AVENIDA DAS AMERICAS, 500 - SHOPPING DOWNTOWN - RJES235760</t>
  </si>
  <si>
    <t>BLOCO 18 LOJA 107</t>
  </si>
  <si>
    <t>22640100</t>
  </si>
  <si>
    <t>-23.0036474, -43.3172348</t>
  </si>
  <si>
    <t>RJES235760</t>
  </si>
  <si>
    <t>776574092093</t>
  </si>
  <si>
    <t>L979</t>
  </si>
  <si>
    <t>LOJAS AMERICANAS - SC-401, 3116 - SUL19965</t>
  </si>
  <si>
    <t>SC-401</t>
  </si>
  <si>
    <t>SUL19965</t>
  </si>
  <si>
    <t>776574159007</t>
  </si>
  <si>
    <t>L354</t>
  </si>
  <si>
    <t>LOJAS AMERICANAS - ESTRADA DE TAIPAS, 4027 - SPC40013</t>
  </si>
  <si>
    <t>ESTRADA DAS TAIPAS</t>
  </si>
  <si>
    <t>4027</t>
  </si>
  <si>
    <t>JARAGUA</t>
  </si>
  <si>
    <t>2995145</t>
  </si>
  <si>
    <t>-23.43349 , -46.720383</t>
  </si>
  <si>
    <t>SPC40013</t>
  </si>
  <si>
    <t>776574038552</t>
  </si>
  <si>
    <t>L626</t>
  </si>
  <si>
    <t>LOJAS AMERICANAS - ESTRADA DO LAJEADO VELHO, 514 - ZONA COMERCIAL - SPC42212</t>
  </si>
  <si>
    <t>A 521 LOTE 01</t>
  </si>
  <si>
    <t>-23.536634 , -46.40404</t>
  </si>
  <si>
    <t>SPC42212</t>
  </si>
  <si>
    <t>776574095351</t>
  </si>
  <si>
    <t>L608</t>
  </si>
  <si>
    <t>LOJAS AMERICANAS - AVENIDA GUILHERME SCHELL, 6750 - CANOAS SHOPPING - SUL19934</t>
  </si>
  <si>
    <t>LOJA ANCORA 6</t>
  </si>
  <si>
    <t>SUL19934</t>
  </si>
  <si>
    <t>776574161672</t>
  </si>
  <si>
    <t>L233</t>
  </si>
  <si>
    <t>LOJAS AMERICANAS - AVENIDA ROTARY, 624 - SAO BERNARDO PLAZA SHOPPING - SPC45489</t>
  </si>
  <si>
    <t>LUC SSB2001B PISO L2</t>
  </si>
  <si>
    <t>SPC45489</t>
  </si>
  <si>
    <t>776574067064</t>
  </si>
  <si>
    <t>LOJAS AMERICANAS - AVENIDA PEREIRA BARRETO, 42 - SHOPPING ABC - SPC7880</t>
  </si>
  <si>
    <t>LOJA 01 A,PISO PB</t>
  </si>
  <si>
    <t>SPC7880</t>
  </si>
  <si>
    <t>776574172798</t>
  </si>
  <si>
    <t>LOJAS AMERICANAS - AVENIDA PUGLISI, 276 - SPC20123</t>
  </si>
  <si>
    <t>-23.994406 , -46.256992</t>
  </si>
  <si>
    <t>SPC20123</t>
  </si>
  <si>
    <t>776574047977</t>
  </si>
  <si>
    <t>L345</t>
  </si>
  <si>
    <t>LOJAS AMERICANAS - AVENIDA TREZE DE MAIO, 83 - RJES64360</t>
  </si>
  <si>
    <t>AVENIDA TREZE DE MAIO</t>
  </si>
  <si>
    <t>83</t>
  </si>
  <si>
    <t>28010260</t>
  </si>
  <si>
    <t>-21.759489 , -41.323296</t>
  </si>
  <si>
    <t>RJES64360</t>
  </si>
  <si>
    <t>776574078503</t>
  </si>
  <si>
    <t>L445</t>
  </si>
  <si>
    <t>LOJAS AMERICANAS - RUA MAJOR CLAUDIANO, 1684 - SPI11135</t>
  </si>
  <si>
    <t>1684</t>
  </si>
  <si>
    <t>-20.538894 , -47.400776</t>
  </si>
  <si>
    <t>SPI11135</t>
  </si>
  <si>
    <t>776574047896</t>
  </si>
  <si>
    <t>LOJAS AMERICANAS - PRACA BOM JESUS DE PIRAPORINHA, 196 - SPC262260</t>
  </si>
  <si>
    <t>-23.6922763,-46.5840972</t>
  </si>
  <si>
    <t>SPC262260</t>
  </si>
  <si>
    <t>776574110415</t>
  </si>
  <si>
    <t>1507</t>
  </si>
  <si>
    <t>LOJAS AMERICANAS - AVENIDA BRASIL, 1290 - SPC18679</t>
  </si>
  <si>
    <t>1290</t>
  </si>
  <si>
    <t>-23.540206 , -46.36663</t>
  </si>
  <si>
    <t>SPC18679</t>
  </si>
  <si>
    <t>776574036932</t>
  </si>
  <si>
    <t>L555</t>
  </si>
  <si>
    <t>LOJAS AMERICANAS - AVENIDA ANA COSTA, 542 - SPC9017</t>
  </si>
  <si>
    <t>AVENIDA ANA COSTA</t>
  </si>
  <si>
    <t>11060002</t>
  </si>
  <si>
    <t>-23.968136 , -46.333027</t>
  </si>
  <si>
    <t>SPC9017</t>
  </si>
  <si>
    <t>776574028832</t>
  </si>
  <si>
    <t>L155</t>
  </si>
  <si>
    <t>LOJAS AMERICANAS - AVENIDA GUILHERME COTCHING, 1812 - SPC40097</t>
  </si>
  <si>
    <t>1812</t>
  </si>
  <si>
    <t>2113014</t>
  </si>
  <si>
    <t>-23.514231 , -46.586318</t>
  </si>
  <si>
    <t>SPC40097</t>
  </si>
  <si>
    <t>776574023440</t>
  </si>
  <si>
    <t>L652</t>
  </si>
  <si>
    <t>LOJAS AMERICANAS - AVENIDA PROFESSOR FRANCISCO DE MESQUITA, 1000 - SHOPPING CENTRAL PLAZA - SPC20281</t>
  </si>
  <si>
    <t>-23.59408005035992 , -46.585386619049075</t>
  </si>
  <si>
    <t>SPC20281</t>
  </si>
  <si>
    <t>776574093570</t>
  </si>
  <si>
    <t>L162</t>
  </si>
  <si>
    <t>LOJAS AMERICANAS - AVENIDA CENTENARIO, 1052 - SHOPPING BOSQUE GRAO PARA - N45009</t>
  </si>
  <si>
    <t>VAL DE CÃES</t>
  </si>
  <si>
    <t>N45009</t>
  </si>
  <si>
    <t>776574113279</t>
  </si>
  <si>
    <t>1227</t>
  </si>
  <si>
    <t>LOJAS AMERICANAS - AVENIDA FERREIRA VIANA, 1526 - SHOPPING PELOTAS - SUL10799</t>
  </si>
  <si>
    <t>AVENIDA FERREIRA VIANA</t>
  </si>
  <si>
    <t>1526</t>
  </si>
  <si>
    <t>96085000</t>
  </si>
  <si>
    <t>-31.761074 , -52.318314</t>
  </si>
  <si>
    <t>SUL10799</t>
  </si>
  <si>
    <t>776574161834</t>
  </si>
  <si>
    <t>L427</t>
  </si>
  <si>
    <t>Shopping Pelotas</t>
  </si>
  <si>
    <t>LOJAS AMERICANAS - AVENIDA INDEPENDENCIA, 3600 - SHOPPING INDEPENDENCIA - MGCO11519</t>
  </si>
  <si>
    <t>1840</t>
  </si>
  <si>
    <t>CASCATINHA</t>
  </si>
  <si>
    <t>36016321</t>
  </si>
  <si>
    <t>-21.7809473, -43.3603834</t>
  </si>
  <si>
    <t>MGCO11519</t>
  </si>
  <si>
    <t>776574126761</t>
  </si>
  <si>
    <t>L619</t>
  </si>
  <si>
    <t>LOJAS AMERICANAS - AVENIDA JORGE ELIAS DE LUCCA, 677 - SHOPPING NACOES - SUL261510</t>
  </si>
  <si>
    <t>AVENIDA JORGE ELIAS DE LUCCA</t>
  </si>
  <si>
    <t>NOSSA SENHORA DA SALETE</t>
  </si>
  <si>
    <t>88813901</t>
  </si>
  <si>
    <t>-28.6861541,-49.3367981</t>
  </si>
  <si>
    <t>SUL261510</t>
  </si>
  <si>
    <t>776574158965</t>
  </si>
  <si>
    <t>Shopping Nacoes</t>
  </si>
  <si>
    <t>LOJAS CEM - AVENIDA 14 DE DEZEMBRO, 21 - ZONA COMERCIAL - SPC46122</t>
  </si>
  <si>
    <t>-23.360716 , -46.745533</t>
  </si>
  <si>
    <t>SPC46122</t>
  </si>
  <si>
    <t>56642960013511</t>
  </si>
  <si>
    <t>CAIEIRA</t>
  </si>
  <si>
    <t>LOJAS CEM - AVENIDA TUCURUVI, 330 - ZONA COMERCIAL - SPC18645</t>
  </si>
  <si>
    <t>-23.479284 , -46.608395</t>
  </si>
  <si>
    <t>SPC18645</t>
  </si>
  <si>
    <t>56642960015301</t>
  </si>
  <si>
    <t>SPTUVI</t>
  </si>
  <si>
    <t>LOJAS QUERO-QUERO - RUA REVERENDO AMERICO VESPUCIO CABRAL, 106 - SUL273200</t>
  </si>
  <si>
    <t>-30.0825603,-51.0331504</t>
  </si>
  <si>
    <t>SUL273200</t>
  </si>
  <si>
    <t>96418264011505</t>
  </si>
  <si>
    <t>LOJAS SIMONETTI - AVENIDA CENTRAL, 445 - ZONA COMERCIAL - RJES45064</t>
  </si>
  <si>
    <t>PARQUERESIDENCIALLAREIJEIRAS</t>
  </si>
  <si>
    <t>-20.1986626 , -40.2499685</t>
  </si>
  <si>
    <t>RJES45064</t>
  </si>
  <si>
    <t>31743818005278</t>
  </si>
  <si>
    <t>MAGAZINE LUIZA - AVENIDA LUIZ EDUARDO TOLEDO PRADO, 900 - SHOPPING IGUATEMI RIBEIRAO PRETO - SPI8603</t>
  </si>
  <si>
    <t>AVENIDA LUIZ EDUARDO TOLEDO PRADO</t>
  </si>
  <si>
    <t>LOJA 1028</t>
  </si>
  <si>
    <t>14027250</t>
  </si>
  <si>
    <t>-21.225775 , -47.835297</t>
  </si>
  <si>
    <t>SPI8603</t>
  </si>
  <si>
    <t>47960950088118</t>
  </si>
  <si>
    <t>Shopping Iguatemi Ribeirao Preto</t>
  </si>
  <si>
    <t>MAGAZINE LUIZA - AVENIDA 14 DE NOVEMBRO, 9 - ZONA COMERCIAL - SPC23040</t>
  </si>
  <si>
    <t>SPC23040</t>
  </si>
  <si>
    <t>47960950051206</t>
  </si>
  <si>
    <t>MAGAZINE LUIZA - AVENIDA LIBERDADE, 3580 - NE249440</t>
  </si>
  <si>
    <t>AVENIDA LIBERDADE</t>
  </si>
  <si>
    <t>3580</t>
  </si>
  <si>
    <t>BAYEUX</t>
  </si>
  <si>
    <t>58306000</t>
  </si>
  <si>
    <t>-7.1249177,-34.9275744</t>
  </si>
  <si>
    <t>NE249440</t>
  </si>
  <si>
    <t>47960950090520</t>
  </si>
  <si>
    <t>887</t>
  </si>
  <si>
    <t>MAGAZINE LUIZA - RUA SAO JOAO, 440 - SPI252590</t>
  </si>
  <si>
    <t>RUA SAO JOAO</t>
  </si>
  <si>
    <t>440</t>
  </si>
  <si>
    <t>Olímpia</t>
  </si>
  <si>
    <t>15400065</t>
  </si>
  <si>
    <t>-20.7390573,-48.9167151</t>
  </si>
  <si>
    <t>SPI252590</t>
  </si>
  <si>
    <t>47960950011247</t>
  </si>
  <si>
    <t>MAGAZINE LUIZA - RUA 13 DE MAIO, 412 - ZONA COMERCIAL - SPI19374</t>
  </si>
  <si>
    <t>-22.4707087 , -48.9889519</t>
  </si>
  <si>
    <t>SPI19374</t>
  </si>
  <si>
    <t>47960950016559</t>
  </si>
  <si>
    <t>MAGAZINE LUIZA - RUA CONDE DE BONFIM, 326 - RJES263260</t>
  </si>
  <si>
    <t>-22.9234124,-43.2363347</t>
  </si>
  <si>
    <t>RJES263260</t>
  </si>
  <si>
    <t>47960950183374</t>
  </si>
  <si>
    <t>1636</t>
  </si>
  <si>
    <t>MATHEUS SUPERMERCADOS - AVENIDA DANIEL DE LA TOUCHE, 73 - ZONA COMERCIAL - NE40090</t>
  </si>
  <si>
    <t>65073780</t>
  </si>
  <si>
    <t>-2.5157923, -44.2452414</t>
  </si>
  <si>
    <t>NE40090</t>
  </si>
  <si>
    <t>3995515001309</t>
  </si>
  <si>
    <t>PINTOS MAGAZINE - RUA DAS TULIPAS, 500 - NE264230</t>
  </si>
  <si>
    <t>RUA DAS TULIPAS</t>
  </si>
  <si>
    <t>JOQUEI</t>
  </si>
  <si>
    <t>64049140</t>
  </si>
  <si>
    <t>-5.0801599,-42.7962883</t>
  </si>
  <si>
    <t>NE264230</t>
  </si>
  <si>
    <t>6837645001131</t>
  </si>
  <si>
    <t>PINTOS MAGAZINE</t>
  </si>
  <si>
    <t>PONTO FRIO - AVENIDA BRASIL, 22155 - SHOPPING JARDIM GUADALUPE - RJES10140</t>
  </si>
  <si>
    <t>LOJAS 113 E 145</t>
  </si>
  <si>
    <t>RJES10140</t>
  </si>
  <si>
    <t>33041260075849</t>
  </si>
  <si>
    <t>PONTO FRIO - AVENIDA FERREIRA VIANA, 1526 - SHOPPING PELOTAS - SUL10798</t>
  </si>
  <si>
    <t>LOJA 35</t>
  </si>
  <si>
    <t>SUL10798</t>
  </si>
  <si>
    <t>33041260146886</t>
  </si>
  <si>
    <t>PONTO FRIO - AVENIDA EXPEDITO GARCIA, 520 - ZONA COMERCIAL - RJES10326</t>
  </si>
  <si>
    <t>-20.3426902 , -40.389529</t>
  </si>
  <si>
    <t>RJES10326</t>
  </si>
  <si>
    <t>33041260017300</t>
  </si>
  <si>
    <t>RIACHUELO - AVENIDA JOAO NAVES DE AVILA, 1331 - CENTER SHOPPING UBERLANDIA - MGCO48542</t>
  </si>
  <si>
    <t>LOJA 1236</t>
  </si>
  <si>
    <t>MGCO48542</t>
  </si>
  <si>
    <t>33200056008638</t>
  </si>
  <si>
    <t>RIACHUELO - RODOVIA PRESIDENTE DUTRA KM 230, S/N - SHOPPING INTERNACIONAL GUARULHOS - SPC47408</t>
  </si>
  <si>
    <t>LOJAS AO5/6/7</t>
  </si>
  <si>
    <t>SPC47408</t>
  </si>
  <si>
    <t>33200056033667</t>
  </si>
  <si>
    <t>L153</t>
  </si>
  <si>
    <t>RIACHUELO - RUA MARIA SOARES SENDAS, 111 - SHOPPING GRANDE RIO - RJES55484</t>
  </si>
  <si>
    <t>PARQUE BARRETO</t>
  </si>
  <si>
    <t>-22.7977197 , -43.3522565</t>
  </si>
  <si>
    <t>RJES55484</t>
  </si>
  <si>
    <t>33200056046645</t>
  </si>
  <si>
    <t>L362</t>
  </si>
  <si>
    <t>RIACHUELO - AVENIDA RAIMUNDO PEREIRA DE MAGALHAES, 11001 - SHOPPING CANTAREIRA - SPC258640</t>
  </si>
  <si>
    <t>SPC258640</t>
  </si>
  <si>
    <t>33200056049903</t>
  </si>
  <si>
    <t>L417</t>
  </si>
  <si>
    <t>RIACHUELO - RUA IRMA DULCE, 550 - SHOPPING PRACA NOVA - SUL228310</t>
  </si>
  <si>
    <t>SUL228310</t>
  </si>
  <si>
    <t>33200056044278</t>
  </si>
  <si>
    <t>L301</t>
  </si>
  <si>
    <t>SIPOLATTI - BR 262  KM 5, 6555 - SHOPPING MOXUARA - RJES19546</t>
  </si>
  <si>
    <t>RJES19546</t>
  </si>
  <si>
    <t>30689848003822</t>
  </si>
  <si>
    <t>SIPOLATTI - RODOVIA DO SOL, 5000 - SHOPPING BOULEVARD VILA VELHA - RJES262290</t>
  </si>
  <si>
    <t>29103800</t>
  </si>
  <si>
    <t>RJES262290</t>
  </si>
  <si>
    <t>30689848001706</t>
  </si>
  <si>
    <t>SIPOLATTI - AVENIDA PRINCESA ISABEL, 478 - RJES251380</t>
  </si>
  <si>
    <t>478</t>
  </si>
  <si>
    <t>29010360</t>
  </si>
  <si>
    <t>-20.3197012,-40.3310135</t>
  </si>
  <si>
    <t>RJES251380</t>
  </si>
  <si>
    <t>30689848001374</t>
  </si>
  <si>
    <t>SIPOLATTI - AVENIDA HENRIQUE MOSCOSO, 1338 - ZONA COMERCIAL - RJES11839</t>
  </si>
  <si>
    <t>AVENIDA HENRIQUE MOSCOSO</t>
  </si>
  <si>
    <t>29100021</t>
  </si>
  <si>
    <t>-20.3346344 , -40.2942863</t>
  </si>
  <si>
    <t>RJES11839</t>
  </si>
  <si>
    <t>30689848001293</t>
  </si>
  <si>
    <t>TELE RIO - ESTRADA DE JACAREPAGUA, 6069 - SHOPPING PARK JACAREPAGUA - MULTIPLAN - RJES252580</t>
  </si>
  <si>
    <t>RJES252580</t>
  </si>
  <si>
    <t>33086695003655</t>
  </si>
  <si>
    <t>DULCOM/DPI (TIM) - AVENIDA JOSE MUNIA, 4775 - SHOPPING PLAZA AVENIDA - SPI20776</t>
  </si>
  <si>
    <t>-20.8267168 , -49.3864191</t>
  </si>
  <si>
    <t>SPI20776</t>
  </si>
  <si>
    <t>14315260000280</t>
  </si>
  <si>
    <t>FACELL - AVENIDA SARGENTO HERMINIO SAMPAIO, 3100 - SHOPPING RIOMAR KENNEDY - NE239940</t>
  </si>
  <si>
    <t>LOJA 2091</t>
  </si>
  <si>
    <t>-3.7264949, -38.5669291</t>
  </si>
  <si>
    <t>NE239940</t>
  </si>
  <si>
    <t>8143291001150</t>
  </si>
  <si>
    <t>IMAGEM TELECOM - AVENIDA DOUTOR ANTONIO MARIA LAET, 566 - SHOPPING TUCURUVI - SPC7845</t>
  </si>
  <si>
    <t>LOJA 42 E 43</t>
  </si>
  <si>
    <t>SPC7845</t>
  </si>
  <si>
    <t>11057917001978</t>
  </si>
  <si>
    <t>IMAGEM - SHOPPING TUCURUVI - SAP (43300)</t>
  </si>
  <si>
    <t>IMAGEM TELECOM - AVENIDA REGENTE FEIJO, 1739 - SHOPPING ANALIA FRANCO - SPC6693</t>
  </si>
  <si>
    <t>SPC6693</t>
  </si>
  <si>
    <t>11057917000491</t>
  </si>
  <si>
    <t>IMAGEM - SHOPPING ANÁLIA FRANCO - SAP (19786)</t>
  </si>
  <si>
    <t>ALEGRIA (TIM) - ESTRADA DE JACAREPAGUA, 6069 - SHOPPING PARK JACAREPAGUA - MULTIPLAN - RJES252540</t>
  </si>
  <si>
    <t>LUC 132 B</t>
  </si>
  <si>
    <t>RJES252540</t>
  </si>
  <si>
    <t>21683365003404</t>
  </si>
  <si>
    <t>ALEGRIA PARK JACAREPAGUA - SAP (39937)</t>
  </si>
  <si>
    <t>TELECEL - QNM 34 AREA ESPECIAL 01, S/N - SHOPPING JK - MGCO278490</t>
  </si>
  <si>
    <t>LOJA 139 E 140</t>
  </si>
  <si>
    <t>TAGUATINGA NORTE( TAGUATINGA)</t>
  </si>
  <si>
    <t>MGCO278490</t>
  </si>
  <si>
    <t>11775328001330</t>
  </si>
  <si>
    <t>TELECEL - JK SHOPPING  - SAP (42023)</t>
  </si>
  <si>
    <t>CONECTRIO - AVENIDA SEVERINO BEZERRA CABRAL, 1050 - PARTAGE SHOPPING CAMPINA GRANDE - NE10885</t>
  </si>
  <si>
    <t>RUA SEVERINO BEZERRA CABRAL</t>
  </si>
  <si>
    <t>58407660</t>
  </si>
  <si>
    <t>-7.2351578 , -35.87028350000001</t>
  </si>
  <si>
    <t>NE10885</t>
  </si>
  <si>
    <t>11105504000192</t>
  </si>
  <si>
    <t>AQUILON JUFAP (TIM) - AVENIDA DOUTOR FRANCISCO MESQUITA, 1000 - SHOPPING CENTRAL PLAZA - SPC6482</t>
  </si>
  <si>
    <t>VILAPRUDENTE</t>
  </si>
  <si>
    <t>SPC6482</t>
  </si>
  <si>
    <t>33390917002061</t>
  </si>
  <si>
    <t>SETE LAN (TIM) - ESTRADA RODRIGUES CALDAS, 127 - TAQUARA PLAZA SHOPPING - RJES264050</t>
  </si>
  <si>
    <t>RJES264050</t>
  </si>
  <si>
    <t>8312444001901</t>
  </si>
  <si>
    <t>PLANET CELL (TIM) - PRACA SAMUEL SABATINI, 200 - SHOPPING METROPOLE - SPC274660</t>
  </si>
  <si>
    <t>São Bernardo do campo</t>
  </si>
  <si>
    <t>09750902</t>
  </si>
  <si>
    <t>SPC274660</t>
  </si>
  <si>
    <t>52037542000132</t>
  </si>
  <si>
    <t>DULCOM/DPI (TIM) - AVENIDA JACOB MACANHAN, 335 - SUL287770</t>
  </si>
  <si>
    <t>83320352</t>
  </si>
  <si>
    <t>-25.4296853,-49.1886223</t>
  </si>
  <si>
    <t>SUL287770</t>
  </si>
  <si>
    <t>2356946001940</t>
  </si>
  <si>
    <t>TIM - RUA DOUTOR BOZZANO, 1203 - ZONA COMERCIAL - SUL11003</t>
  </si>
  <si>
    <t>-29.6869284 , -53.8089148</t>
  </si>
  <si>
    <t>SUL11003</t>
  </si>
  <si>
    <t>02421421014929</t>
  </si>
  <si>
    <t>C204</t>
  </si>
  <si>
    <t>TIM - AVENIDA GUSTAVO PAIVA, 5945 - MACEIO PARK SHOPPING - NE10386</t>
  </si>
  <si>
    <t>NE10386</t>
  </si>
  <si>
    <t>2421421023758</t>
  </si>
  <si>
    <t>COMMCENTER - AVENIDA SANTA BARBARA, 777 - SHOPPING TIVOLI - SPI9026</t>
  </si>
  <si>
    <t>-22.7489609, -47.3677489</t>
  </si>
  <si>
    <t>SPI9026</t>
  </si>
  <si>
    <t>05828732008253</t>
  </si>
  <si>
    <t>CELULAR STATION - RODOVIA WASHINGTON LUIZ, 2895 - SHOPPING CAXIAS - RJES21853</t>
  </si>
  <si>
    <t>LOJA 210 B</t>
  </si>
  <si>
    <t>RJES21853</t>
  </si>
  <si>
    <t>2714643001609</t>
  </si>
  <si>
    <t>VTM TELECOMUNICACOES - RUA CARLOS GOMES, 1321 - SHOPPING PATIO LIMEIRA - SPI240380</t>
  </si>
  <si>
    <t>Loja 318/319 2o Andar</t>
  </si>
  <si>
    <t>-22.5709662, -47.4084298</t>
  </si>
  <si>
    <t>SPI240380</t>
  </si>
  <si>
    <t>5828732014652</t>
  </si>
  <si>
    <t>ALEA ALETRO (VIVO) - RUA IRMA DULCE, 550 - SHOPPING PRACA NOVA - SUL254580</t>
  </si>
  <si>
    <t>LOJA 1074</t>
  </si>
  <si>
    <t>SUL254580</t>
  </si>
  <si>
    <t>93720464006275</t>
  </si>
  <si>
    <t>COMMCENTER - PRACA BARAO DE SCHNEEBURG, 43 - SUL227240</t>
  </si>
  <si>
    <t>PRACA BARAO DE SCHNEEBURG</t>
  </si>
  <si>
    <t>SALA 03</t>
  </si>
  <si>
    <t>88350345</t>
  </si>
  <si>
    <t>-27.0986508 , -48.9169642</t>
  </si>
  <si>
    <t>SUL227240</t>
  </si>
  <si>
    <t>308055003693</t>
  </si>
  <si>
    <t>COMMCENTER - AVENIDA LIMEIRA, 722 - SHOPPING PIRACICABA - SPI39766</t>
  </si>
  <si>
    <t>VILA AREIAO</t>
  </si>
  <si>
    <t>-22.7040032 , -47.6495155</t>
  </si>
  <si>
    <t>SPI39766</t>
  </si>
  <si>
    <t>5828732011041</t>
  </si>
  <si>
    <t>COMMCENTER - AVENIDA REGENTE FEIJO, 1739 - SHOPPING ANALIA FRANCO - SPC6373</t>
  </si>
  <si>
    <t>JARDIM ANALIA FRANCO</t>
  </si>
  <si>
    <t>-23.5613655 , -46.5603552</t>
  </si>
  <si>
    <t>SPC6373</t>
  </si>
  <si>
    <t>5828732019379</t>
  </si>
  <si>
    <t>COMMCENTER - AVENIDA FERREIRA VIANA, 1528 - SHOPPING PELOTAS - SUL39963</t>
  </si>
  <si>
    <t>1528</t>
  </si>
  <si>
    <t>-31.7615439, -52.3182387</t>
  </si>
  <si>
    <t>SUL39963</t>
  </si>
  <si>
    <t>308055001720</t>
  </si>
  <si>
    <t>IDEAL (VIVO) - RUA VENANCIO NEIVA, 189 - NE255730</t>
  </si>
  <si>
    <t>RUA VENANCIO NEIVA</t>
  </si>
  <si>
    <t>58400090</t>
  </si>
  <si>
    <t>-7.217996,-35.8869495</t>
  </si>
  <si>
    <t>NE255730</t>
  </si>
  <si>
    <t>8182334002006</t>
  </si>
  <si>
    <t>COMERCIAL MOVEIS BRASILIA (VIVO) - AVENIDA INGLATERRA, 1069 - SUL272280</t>
  </si>
  <si>
    <t>CENTRO CAMBÉ</t>
  </si>
  <si>
    <t>-23.2784234,-51.282308</t>
  </si>
  <si>
    <t>SUL272280</t>
  </si>
  <si>
    <t>78614278005105</t>
  </si>
  <si>
    <t>COMMCENTER - AVENIDA VEREADOR NARCISO YAGUE GUIMARAES, 1001 - SHOPPING MOGI DAS CRUZES - SPC8795</t>
  </si>
  <si>
    <t>SPC8795</t>
  </si>
  <si>
    <t>VIVO - RUA RIO DE JANEIRO, 420 - ZONA COMERCIAL - MGCO10466</t>
  </si>
  <si>
    <t>35500009</t>
  </si>
  <si>
    <t>-20.142593 , -44.889252</t>
  </si>
  <si>
    <t>MGCO10466</t>
  </si>
  <si>
    <t>2558157047630</t>
  </si>
  <si>
    <t>LOJA DIVINOPOLIS MG</t>
  </si>
  <si>
    <t>VIVO - AVENIDA DOUTOR OLIVIO LIRA, 353 - SHOPPING PRAIA DA COSTA - RJES5711</t>
  </si>
  <si>
    <t>PRAIADACOSTA</t>
  </si>
  <si>
    <t>RJES5711</t>
  </si>
  <si>
    <t>2558157028687</t>
  </si>
  <si>
    <t>LOJA SHOPPING PRAIA DA COSTA ES</t>
  </si>
  <si>
    <t>VIVO - AVENIDA SARGENTO HERMINIO SAMPAIO, 3100 - SHOPPING RIOMAR KENNEDY - NE248810</t>
  </si>
  <si>
    <t>-3.7261534, -38.5663554</t>
  </si>
  <si>
    <t>NE248810</t>
  </si>
  <si>
    <t>2558157075766</t>
  </si>
  <si>
    <t>LOJA RIOMAR PRESIDENTE KENNEDY CE</t>
  </si>
  <si>
    <t>VIVO - AVENIDA LUCIANO DAS NEVES, 2418 - SHOPPING VILA VELHA - RJES286870</t>
  </si>
  <si>
    <t>RJES286870</t>
  </si>
  <si>
    <t>2558157092857</t>
  </si>
  <si>
    <t>LOJA SHOPPING VILA VELHA ES</t>
  </si>
  <si>
    <t>CARREFOUR - AVENIDA PRESIDENTE ARTHUR BERNARDES, 2200 - ZONA COMERCIAL - SUL87362</t>
  </si>
  <si>
    <t>AVENIDA PRESIDENTE ARTHUR BERNARDES</t>
  </si>
  <si>
    <t>80320300</t>
  </si>
  <si>
    <t>-25.470013 , -49.295978</t>
  </si>
  <si>
    <t>SUL87362</t>
  </si>
  <si>
    <t>45543915098726</t>
  </si>
  <si>
    <t>BPO</t>
  </si>
  <si>
    <t>CASA &amp; VIDEO - RODOVIA WASHINGTON LUIZ, 2895 - SHOPPING CAXIAS - RJES10195</t>
  </si>
  <si>
    <t>RJES10195</t>
  </si>
  <si>
    <t>11114284003340</t>
  </si>
  <si>
    <t>CAXIAS SHOPPING</t>
  </si>
  <si>
    <t>CASA &amp; VIDEO - AVENIDA ABILIO AUGUSTO TAVORA, 1111 - SHOPPING NOVA IGUACU - RJES234280</t>
  </si>
  <si>
    <t>BAIRRO DA LUZ</t>
  </si>
  <si>
    <t>26255620</t>
  </si>
  <si>
    <t>-22.7634506 , -43.4659498</t>
  </si>
  <si>
    <t>RJES234280</t>
  </si>
  <si>
    <t>11114284013818</t>
  </si>
  <si>
    <t>SHOPPING NOVA IGUAÇU</t>
  </si>
  <si>
    <t>CASAS BAHIA - AVENIDA MARECHAL DEODORO DA FONSECA, 113 - ZONA COMERCIAL - SUL11670</t>
  </si>
  <si>
    <t>-25.431837 , -49.270718</t>
  </si>
  <si>
    <t>SUL11670</t>
  </si>
  <si>
    <t>33041260091100</t>
  </si>
  <si>
    <t>CASAS BAHIA - CORONEL TEOFILO LEME, 1492 - ZONA COOMERCIAL - SPI47353</t>
  </si>
  <si>
    <t>RUA CORONEL TEOFILO LEME</t>
  </si>
  <si>
    <t>1492</t>
  </si>
  <si>
    <t>Bragança Paulista</t>
  </si>
  <si>
    <t>12900005</t>
  </si>
  <si>
    <t>-22.95023 , -46.541569</t>
  </si>
  <si>
    <t>SPI47353</t>
  </si>
  <si>
    <t>33041260098628</t>
  </si>
  <si>
    <t>1036</t>
  </si>
  <si>
    <t>CASAS BAHIA - AVENIDA WALDEMAR CARLOS PEREIRA, 1151 - SPC275120</t>
  </si>
  <si>
    <t>AVENIDA WALDEMAR CARLOS PEREIRA</t>
  </si>
  <si>
    <t>VILA TALARICO</t>
  </si>
  <si>
    <t>3533003</t>
  </si>
  <si>
    <t>-23.5449058,-46.5155187</t>
  </si>
  <si>
    <t>SPC275120</t>
  </si>
  <si>
    <t>33041260117002</t>
  </si>
  <si>
    <t>1431</t>
  </si>
  <si>
    <t>FLEX CELL - AVENIDA PARADA PINTO, 2262 - SHOPPING ANDORINHA - SPC234340</t>
  </si>
  <si>
    <t>PISO 2 LOJA 215</t>
  </si>
  <si>
    <t>2443090</t>
  </si>
  <si>
    <t>SPC234340</t>
  </si>
  <si>
    <t>3243382000504</t>
  </si>
  <si>
    <t>MEX CELL - AVENIDA DAS AMERICAS, 500 - SHOPPING DOWNTOWN - RJES275070</t>
  </si>
  <si>
    <t>BLOCO 4</t>
  </si>
  <si>
    <t>21535000</t>
  </si>
  <si>
    <t>-23.0037859,-43.3173928</t>
  </si>
  <si>
    <t>RJES275070</t>
  </si>
  <si>
    <t>18959713000819</t>
  </si>
  <si>
    <t>Shopping Downtown</t>
  </si>
  <si>
    <t>TELECEL (CLARO) - AVENIDA RECANTO DAS EMAS, 205 - MGCO267320</t>
  </si>
  <si>
    <t>LOTE 04 LOJA 03</t>
  </si>
  <si>
    <t>72610535</t>
  </si>
  <si>
    <t>-15.9045121,-48.0681132</t>
  </si>
  <si>
    <t>MGCO267320</t>
  </si>
  <si>
    <t>3555618002150</t>
  </si>
  <si>
    <t>FLEX CELL - AVENIDA CRUZEIRO DO SUL, 1100 - SHOPPING D - SPC247120</t>
  </si>
  <si>
    <t>AVENIDA CRUZEIRO DO SUL</t>
  </si>
  <si>
    <t>CANINDÉ</t>
  </si>
  <si>
    <t>3033020</t>
  </si>
  <si>
    <t>-23.5209486 , -46.6233726</t>
  </si>
  <si>
    <t>SPC247120</t>
  </si>
  <si>
    <t>3243382002116</t>
  </si>
  <si>
    <t>Shopping D</t>
  </si>
  <si>
    <t>PONTO CERTO - RUA MARQUES DE SAO VICENTE, 52 - SHOPPING GAVEA - RJES275410</t>
  </si>
  <si>
    <t>RUA MARQUES DE SAO VICENTE</t>
  </si>
  <si>
    <t>GÁVEA</t>
  </si>
  <si>
    <t>25451040</t>
  </si>
  <si>
    <t>-22.9752405,-43.2306169</t>
  </si>
  <si>
    <t>RJES275410</t>
  </si>
  <si>
    <t>5142929004832</t>
  </si>
  <si>
    <t>Shopping Gavea</t>
  </si>
  <si>
    <t>CELL NET - AVENIDA DAS ARAUCARIAS, S/N - SHOPPING AGUAS CLARAS - MGCO271880</t>
  </si>
  <si>
    <t>ÁGUA CLARAS</t>
  </si>
  <si>
    <t>-15.8413622,-48.025876</t>
  </si>
  <si>
    <t>MGCO271880</t>
  </si>
  <si>
    <t>4601016000968</t>
  </si>
  <si>
    <t>FLEX CELL - RUA GENERAL FRANCISCO GLICERIO, 1145 - SPC278840</t>
  </si>
  <si>
    <t>8674003</t>
  </si>
  <si>
    <t>-23.5488651,-46.3163676</t>
  </si>
  <si>
    <t>SPC278840</t>
  </si>
  <si>
    <t>3243382004321</t>
  </si>
  <si>
    <t>HS - RUA SAO CRISTOVAO, 172 - NE289650</t>
  </si>
  <si>
    <t>172</t>
  </si>
  <si>
    <t>49010909</t>
  </si>
  <si>
    <t>-10.910289,-37.0499595</t>
  </si>
  <si>
    <t>NE289650</t>
  </si>
  <si>
    <t>5923253006787</t>
  </si>
  <si>
    <t>CLARO - AVENIDA NOSSA SENHORA DE LOURDES, 63 - SHOPPING JARDIM DAS AMERICAS - SUL6921</t>
  </si>
  <si>
    <t>-25.4513656 , -49.2284708</t>
  </si>
  <si>
    <t>SUL6921</t>
  </si>
  <si>
    <t>22391998100135</t>
  </si>
  <si>
    <t>CLARO - AVENIDA MARECHAL DEODORO DA FONSECA, 885 - SHOPPING LA PLAGE - SPC8648</t>
  </si>
  <si>
    <t>PITANGUEIRAS</t>
  </si>
  <si>
    <t>11410221</t>
  </si>
  <si>
    <t>-23.997589 , -46.256927</t>
  </si>
  <si>
    <t>SPC8648</t>
  </si>
  <si>
    <t>40432544032006</t>
  </si>
  <si>
    <t>1951</t>
  </si>
  <si>
    <t>Shopping La Plage</t>
  </si>
  <si>
    <t>CELL AZUL CELULARES - AVENIDA DOS AUTONOMISTAS, 1828 - SHOPPING SUPER OSASCO - SPC7388</t>
  </si>
  <si>
    <t>1828</t>
  </si>
  <si>
    <t>LUC E 2</t>
  </si>
  <si>
    <t>-23.535582 , -46.771217</t>
  </si>
  <si>
    <t>SPC7388</t>
  </si>
  <si>
    <t>7120722001362</t>
  </si>
  <si>
    <t>1149</t>
  </si>
  <si>
    <t>CLARO - AVENIDA GUILHERME SCHELL, 6750 - CANOAS SHOPPING - SUL7003</t>
  </si>
  <si>
    <t>LOJA 100,100 A,1ºP</t>
  </si>
  <si>
    <t>SUL7003</t>
  </si>
  <si>
    <t>40432544008989</t>
  </si>
  <si>
    <t>5105</t>
  </si>
  <si>
    <t>CLARO - ALAMEDA RIO NEGRO, 111 - SHOPPING IGUATEMI ALPHAVILLE - SPC6444</t>
  </si>
  <si>
    <t>ALAMEDA RIO NEGRO</t>
  </si>
  <si>
    <t>6454000</t>
  </si>
  <si>
    <t>-23.5045434 , -46.84844649999999</t>
  </si>
  <si>
    <t>SPC6444</t>
  </si>
  <si>
    <t>40432544037903</t>
  </si>
  <si>
    <t>Shopping Iguatemi Alphaville</t>
  </si>
  <si>
    <t>CLARO - RUA CORONEL MOREIRA CESAR, 251, LJ. 104 E 105 - SHOPPING CENTRAL PRIME - RJES47029</t>
  </si>
  <si>
    <t>R. CEL. MOREIRA CÉSAR, 251</t>
  </si>
  <si>
    <t>ICARAÍ</t>
  </si>
  <si>
    <t>24230052</t>
  </si>
  <si>
    <t>-22.9072077 , -43.110288200000014</t>
  </si>
  <si>
    <t>RJES47029</t>
  </si>
  <si>
    <t>40432544086351</t>
  </si>
  <si>
    <t>2143</t>
  </si>
  <si>
    <t>Shopping Central Prime</t>
  </si>
  <si>
    <t>LOJAS COLOMBO - AVENIDA INDEPENDENCIA, 726 - ZONA COMERCIAL - SUL6270</t>
  </si>
  <si>
    <t>762</t>
  </si>
  <si>
    <t>-29.766371 , -51.14576</t>
  </si>
  <si>
    <t>SUL6270</t>
  </si>
  <si>
    <t>89848543010059</t>
  </si>
  <si>
    <t>LOJAS COLOMBO - AVENIDA INGLATERRA, 868 - ZONA COMERCIAL - SUL11565</t>
  </si>
  <si>
    <t>868</t>
  </si>
  <si>
    <t>SEDE</t>
  </si>
  <si>
    <t>-23.278061 , -51.281006</t>
  </si>
  <si>
    <t>SUL11565</t>
  </si>
  <si>
    <t>89848543040713</t>
  </si>
  <si>
    <t>COLOMBO - AVENIDA ASSIS BRASIL, 8600 - SUL276890</t>
  </si>
  <si>
    <t>8600</t>
  </si>
  <si>
    <t>-29.9795982,-51.1174524</t>
  </si>
  <si>
    <t>SUL276890</t>
  </si>
  <si>
    <t>89848543086705</t>
  </si>
  <si>
    <t>FOTO NASCIMENTO - AVENIDA AUTAZ MIRIM, 6100 - SHOPPING GRANDE CIRCULAR - N254130</t>
  </si>
  <si>
    <t>69055000</t>
  </si>
  <si>
    <t>N254130</t>
  </si>
  <si>
    <t>4356309001656</t>
  </si>
  <si>
    <t>FUJIOKA - Q SIA QUADRA 4 - C, S/N - MGCO265510</t>
  </si>
  <si>
    <t>Q SIA QUADRA 4 - C</t>
  </si>
  <si>
    <t>LOTE 02 A 07 E 14 A 19</t>
  </si>
  <si>
    <t>SETOR INDUSTRIAL (GUARÁ)</t>
  </si>
  <si>
    <t>71200049</t>
  </si>
  <si>
    <t>-15.8047259,-47.9513548</t>
  </si>
  <si>
    <t>MGCO265510</t>
  </si>
  <si>
    <t>1008713012090</t>
  </si>
  <si>
    <t>120 - SIA</t>
  </si>
  <si>
    <t>HAVAN - AVENIDA FERNANDO MACHADO, 4000 - SHOPPING PATIO CHAPECO - SUL65284</t>
  </si>
  <si>
    <t>LOJA A 3</t>
  </si>
  <si>
    <t>SUL65284</t>
  </si>
  <si>
    <t>79379491003280</t>
  </si>
  <si>
    <t>31 - PATIO CHAPECO</t>
  </si>
  <si>
    <t>HAVAN - AVENIDA ZEFERINO COSTA, 140 - SUL229830</t>
  </si>
  <si>
    <t>AVENIDA ZEFERINO COSTA</t>
  </si>
  <si>
    <t>140</t>
  </si>
  <si>
    <t>TRES VENDAS</t>
  </si>
  <si>
    <t>96070480</t>
  </si>
  <si>
    <t>-31.7293352 , -52.3406482</t>
  </si>
  <si>
    <t>SUL229830</t>
  </si>
  <si>
    <t>79379491014567</t>
  </si>
  <si>
    <t>148 - PELOTAS</t>
  </si>
  <si>
    <t>HAVAN - RUA WERNER BATTENFELD, 269 - SPC247500</t>
  </si>
  <si>
    <t>RUA WERNER BATTENFELD</t>
  </si>
  <si>
    <t>269</t>
  </si>
  <si>
    <t>PRESIDENTE ALTINO</t>
  </si>
  <si>
    <t>6210170</t>
  </si>
  <si>
    <t>-23.5236469,-46.7662236</t>
  </si>
  <si>
    <t>SPC247500</t>
  </si>
  <si>
    <t>79379491017582</t>
  </si>
  <si>
    <t>179 - OSASCO</t>
  </si>
  <si>
    <t>KOERICH - 15 DE NOVEMBRO, 275 - ZONA COMERCIAL - SUL64355</t>
  </si>
  <si>
    <t>-26.300821 , -48.844894</t>
  </si>
  <si>
    <t>SUL64355</t>
  </si>
  <si>
    <t>86184074005614</t>
  </si>
  <si>
    <t>KOERICH - AVENIDA PRESIDENTE KENNEDY, 583 - ZONA COMERCIAL - SUL18940</t>
  </si>
  <si>
    <t>-27.600876 , -48.610718</t>
  </si>
  <si>
    <t>SUL18940</t>
  </si>
  <si>
    <t>86184074000817</t>
  </si>
  <si>
    <t>KOERICH - RUA OLAVO BILAC, 200 - SUL18507</t>
  </si>
  <si>
    <t>RUA OLAVO BILAC</t>
  </si>
  <si>
    <t>PIRABEIRABA</t>
  </si>
  <si>
    <t>89239100</t>
  </si>
  <si>
    <t>-26.2094027, -48.9083327</t>
  </si>
  <si>
    <t>SUL18507</t>
  </si>
  <si>
    <t>LEBES - AVENIDA  PEDRO ADAMS FILHO, 800 - ZONA COMERCIAL - SUL11347</t>
  </si>
  <si>
    <t>SANTO AFONSO</t>
  </si>
  <si>
    <t>93320001</t>
  </si>
  <si>
    <t>-29.72311 , -51.133648</t>
  </si>
  <si>
    <t>SUL11347</t>
  </si>
  <si>
    <t>96662168000565</t>
  </si>
  <si>
    <t>LOJAS AMERICANAS - RUA AURELIANO GARCIA, 196 E 200 - RJES745541</t>
  </si>
  <si>
    <t>RUA AURELIANO GARCIA</t>
  </si>
  <si>
    <t>196 E 200</t>
  </si>
  <si>
    <t>27135400</t>
  </si>
  <si>
    <t>-22.4706008 , -43.824361</t>
  </si>
  <si>
    <t>RJES745541</t>
  </si>
  <si>
    <t>776574120720</t>
  </si>
  <si>
    <t>5166</t>
  </si>
  <si>
    <t>LOJAS AMERICANAS - AVENIDA PRESIDENTE CASTELO BRANCO, 2079 - SPC87142</t>
  </si>
  <si>
    <t>2079-2089</t>
  </si>
  <si>
    <t>JARDIM ZAÍRA</t>
  </si>
  <si>
    <t>-23.649720675422635 , -46.43971195343016</t>
  </si>
  <si>
    <t>SPC87142</t>
  </si>
  <si>
    <t>776574133032</t>
  </si>
  <si>
    <t>LOJAS AMERICANAS - RUA CONEGO DE CASTRO, 1138 - NE270310</t>
  </si>
  <si>
    <t>RUA CONEGO DE CASTRO</t>
  </si>
  <si>
    <t>NOVO MUDUBIM</t>
  </si>
  <si>
    <t>60720096</t>
  </si>
  <si>
    <t>-3.8009513, -38.586656</t>
  </si>
  <si>
    <t>NE270310</t>
  </si>
  <si>
    <t>776574102900</t>
  </si>
  <si>
    <t>LOJAS AMERICANAS - AVENIDA DOS AUTONOMISTAS, 1828 - SUPER SHOPPING OSASCO - SPC21412</t>
  </si>
  <si>
    <t>1768,L ANCORA A10</t>
  </si>
  <si>
    <t>SPC21412</t>
  </si>
  <si>
    <t>776574131846</t>
  </si>
  <si>
    <t>L513</t>
  </si>
  <si>
    <t>LOJAS AMERICANAS - AVENIDA COUTO MAGALHAES, 2056 - ZONA COMERCIAL - MGCO44825</t>
  </si>
  <si>
    <t>2056</t>
  </si>
  <si>
    <t>-15.6475729 , -56.138246</t>
  </si>
  <si>
    <t>MGCO44825</t>
  </si>
  <si>
    <t>776574009960</t>
  </si>
  <si>
    <t>LOJAS AMERICANAS - RUA JOAQUIM DA SILVA LIMA, 167 - RJES18487</t>
  </si>
  <si>
    <t>RUA JOAQUIM DA SILVA LIMA</t>
  </si>
  <si>
    <t>167</t>
  </si>
  <si>
    <t>29200260</t>
  </si>
  <si>
    <t>-20.6722717 , -40.4978872</t>
  </si>
  <si>
    <t>RJES18487</t>
  </si>
  <si>
    <t>776574011603</t>
  </si>
  <si>
    <t>L475</t>
  </si>
  <si>
    <t>LOJAS AMERICANAS - AVENIDA ATILIO PEDRO PAGANI- 270 - SHOPPING VIACATARINA - SUL64358</t>
  </si>
  <si>
    <t>AVENIDA ATILIO PEDRO PAGANI</t>
  </si>
  <si>
    <t>PASSE VINTE</t>
  </si>
  <si>
    <t>88132140</t>
  </si>
  <si>
    <t>-27.64267 , -48.66951</t>
  </si>
  <si>
    <t>SUL64358</t>
  </si>
  <si>
    <t>776574159341</t>
  </si>
  <si>
    <t>LOJAS AMERICANAS - RUA DOUTOR FLORES, 87 - SUL80098</t>
  </si>
  <si>
    <t>-30.02802 , -51.224888</t>
  </si>
  <si>
    <t>SUL80098</t>
  </si>
  <si>
    <t>776574162482</t>
  </si>
  <si>
    <t>LOJAS AMERICANAS - AVENIDA DOUTOR EDUARDO COTCHING, 2129 - SPC274820</t>
  </si>
  <si>
    <t>AVENIDA DOUTOR EDUARDO COTCHING</t>
  </si>
  <si>
    <t>-23.5672973,-46.5424134</t>
  </si>
  <si>
    <t>SPC274820</t>
  </si>
  <si>
    <t>776574099500</t>
  </si>
  <si>
    <t>5286</t>
  </si>
  <si>
    <t>LOJAS AMERICANAS - RUA ANDORRA, 500 - SHOPPING JARDIM ORIENTE - SPI255640</t>
  </si>
  <si>
    <t>SPI255640</t>
  </si>
  <si>
    <t>776574173417</t>
  </si>
  <si>
    <t>LOJAS AMERICANAS - AVENIDA CRUZEIRO DO SUL, 1100 - SHOPPING D - SPC79509</t>
  </si>
  <si>
    <t>SPC79509</t>
  </si>
  <si>
    <t>776574098610</t>
  </si>
  <si>
    <t>LOJAS CEM - RUA ADOLFO ANDRE, 185 - ZONA COMERCIAL - SPI474140</t>
  </si>
  <si>
    <t>RUA ADOLFO ANDRE</t>
  </si>
  <si>
    <t>Atibaia</t>
  </si>
  <si>
    <t>12940280</t>
  </si>
  <si>
    <t>-23.11351 , -46.558731</t>
  </si>
  <si>
    <t>SPI474140</t>
  </si>
  <si>
    <t>56642960004520</t>
  </si>
  <si>
    <t>ATIBAI</t>
  </si>
  <si>
    <t>LOJAS CEM - RUA SARGENTO AVIADOR OSVALDO FERNANDES, 147 - SPI227590</t>
  </si>
  <si>
    <t>RUA SARGENTO AVIADOR OSVALDO FERNANDES</t>
  </si>
  <si>
    <t>13840029</t>
  </si>
  <si>
    <t>-22.3716712 , -46.9431382</t>
  </si>
  <si>
    <t>SPI227590</t>
  </si>
  <si>
    <t>56642960004601</t>
  </si>
  <si>
    <t>MGGUAÇ</t>
  </si>
  <si>
    <t>LOJAS CEM - RUA NOVE DE JULHO, 125 - ZONA COMERCIAL - SPI39652</t>
  </si>
  <si>
    <t>Pederneiras</t>
  </si>
  <si>
    <t>17280000</t>
  </si>
  <si>
    <t>-22.3549456, -48.775817</t>
  </si>
  <si>
    <t>SPI39652</t>
  </si>
  <si>
    <t>56642960016375</t>
  </si>
  <si>
    <t>PEDERN</t>
  </si>
  <si>
    <t>LOJAS CEM - AVENIDA DOUTOR NILO PECANHA 118 - ZONA COMERCIAL - RJES44857</t>
  </si>
  <si>
    <t>-22.2437871 , -43.7017825</t>
  </si>
  <si>
    <t>RJES44857</t>
  </si>
  <si>
    <t>56642960011063</t>
  </si>
  <si>
    <t>VALENÇ</t>
  </si>
  <si>
    <t>LOJAS CEM - RUA CESARIO COIMBRA, 15 - SPI237910</t>
  </si>
  <si>
    <t>RUA CESARIO COIMBRA</t>
  </si>
  <si>
    <t>Araras</t>
  </si>
  <si>
    <t>13600030</t>
  </si>
  <si>
    <t>-22.3577072, -47.3868126</t>
  </si>
  <si>
    <t>SPI237910</t>
  </si>
  <si>
    <t>56642960001505</t>
  </si>
  <si>
    <t>ARARAS</t>
  </si>
  <si>
    <t>MAGAZINE LUIZA - AVENIDA ROLF WIEST, 333 - GARTEN SHOPPING - SUL228150</t>
  </si>
  <si>
    <t>LOJA 945</t>
  </si>
  <si>
    <t>SUL228150</t>
  </si>
  <si>
    <t>47960950124289</t>
  </si>
  <si>
    <t>MAGAZINE LUIZA - 30 DE JULHO, 111 - ZONA COMERCIAL - SPI6635</t>
  </si>
  <si>
    <t>RUA TRINTA DE JULHO</t>
  </si>
  <si>
    <t>Americana</t>
  </si>
  <si>
    <t>13465500</t>
  </si>
  <si>
    <t>-22.738611 , -47.329735</t>
  </si>
  <si>
    <t>SPI6635</t>
  </si>
  <si>
    <t>47960950004623</t>
  </si>
  <si>
    <t>29</t>
  </si>
  <si>
    <t>MAGAZINE LUIZA - RUA NOVE DE JULHO, 111 - ZONA COMERCIAL - SPI39651</t>
  </si>
  <si>
    <t>-22.3514752 , -48.7710707</t>
  </si>
  <si>
    <t>SPI39651</t>
  </si>
  <si>
    <t>47960950026007</t>
  </si>
  <si>
    <t>MAGAZINE LUIZA - RUA SIQUEIRA CAMPOS, 308 - N280710</t>
  </si>
  <si>
    <t>RUA SIQUEIRA CAMPOS</t>
  </si>
  <si>
    <t>68005020</t>
  </si>
  <si>
    <t>-2.4175797,-54.7168913</t>
  </si>
  <si>
    <t>N280710</t>
  </si>
  <si>
    <t>47960950129086</t>
  </si>
  <si>
    <t>MAGAZINE LUIZA - RUA DA PALMA, 302 - ZONA COMERCIAL - NE5934</t>
  </si>
  <si>
    <t>RUA DA PALMA</t>
  </si>
  <si>
    <t>SANTO ANTONIO</t>
  </si>
  <si>
    <t>50010460</t>
  </si>
  <si>
    <t>-8.065595 , -34.881012</t>
  </si>
  <si>
    <t>NE5934</t>
  </si>
  <si>
    <t>47960950079712</t>
  </si>
  <si>
    <t>MAGAZINE LUIZA - RUA LUIZ CAMILO DE CAMARGO, 260 - ZONA COMERCIAL - SPI18463</t>
  </si>
  <si>
    <t>-22.864107 , -47.21896</t>
  </si>
  <si>
    <t>SPI18463</t>
  </si>
  <si>
    <t>47960950059363</t>
  </si>
  <si>
    <t>MAGAZINE LUIZA - RUA BARAO DE IGARAPE MIRIM, 344 - N269590</t>
  </si>
  <si>
    <t>RUA BARAO DE IGARAPE MIRIM</t>
  </si>
  <si>
    <t>344</t>
  </si>
  <si>
    <t>GUAMA</t>
  </si>
  <si>
    <t>66075748</t>
  </si>
  <si>
    <t>-1.4673507,-48.4657397</t>
  </si>
  <si>
    <t>N269590</t>
  </si>
  <si>
    <t>47960950129914</t>
  </si>
  <si>
    <t>MATHEUS SUPERMERCADO - RUA PADRE CARAPUCEIRO, 800 - NE278820</t>
  </si>
  <si>
    <t>-8.1152916,-34.9048223</t>
  </si>
  <si>
    <t>NE278820</t>
  </si>
  <si>
    <t>3995515028924</t>
  </si>
  <si>
    <t>RIACHUELO - AVENIDA AUTAZ MIRIM, 6250 - SHOPPING GRANDE CIRCULAR - N80313</t>
  </si>
  <si>
    <t>6250</t>
  </si>
  <si>
    <t>SAO JOSE</t>
  </si>
  <si>
    <t>N80313</t>
  </si>
  <si>
    <t>33200056002940</t>
  </si>
  <si>
    <t>RIACHUELO - AVENIDA DAS AMERICAS, 15500 - AMERICAS SHOPPING - RJES47534</t>
  </si>
  <si>
    <t>LOJA 188</t>
  </si>
  <si>
    <t>RJES47534</t>
  </si>
  <si>
    <t>33200056029120</t>
  </si>
  <si>
    <t>L237</t>
  </si>
  <si>
    <t>RIACHUELO - AVENIDA DOUTOR FRANCISCO MESQUITA, 1000 - SHOPPING CENTRAL PLAZA - SPC47800</t>
  </si>
  <si>
    <t>LOJA ANCORA H</t>
  </si>
  <si>
    <t>SPC47800</t>
  </si>
  <si>
    <t>33200056033829</t>
  </si>
  <si>
    <t>RIACHUELO - AVENIDA INTERLAGOS, 2255 - SHOPPING INTERLAGOS - SPC41441</t>
  </si>
  <si>
    <t>ARCO ANCORA 5</t>
  </si>
  <si>
    <t>SPC41441</t>
  </si>
  <si>
    <t>33200056033071</t>
  </si>
  <si>
    <t>RIACHUELO - ESTRADA DO MONTEIRO, 1200 - PARK SHOPPING CAMPO GRANDE - RJES47555</t>
  </si>
  <si>
    <t>LOJA 102-D</t>
  </si>
  <si>
    <t>RJES47555</t>
  </si>
  <si>
    <t>33200056013631</t>
  </si>
  <si>
    <t>RIACHUELO - PRACA CARLOS GIANELLI, S/N - SHOPPING PATIO ALCANTARA - RJES47382</t>
  </si>
  <si>
    <t>LOJA 01/20</t>
  </si>
  <si>
    <t>-22.82015 , -43.003414</t>
  </si>
  <si>
    <t>RJES47382</t>
  </si>
  <si>
    <t>33200056041414</t>
  </si>
  <si>
    <t>L317</t>
  </si>
  <si>
    <t>RIACHUELO - AVENIDA GOVERNADOR ROBERTO SILVEIRA, 540 - TOP SHOPPING - RJES47533</t>
  </si>
  <si>
    <t>L.21/240/241/250/251</t>
  </si>
  <si>
    <t>-22.753434634566407 , -43.45428190050534</t>
  </si>
  <si>
    <t>RJES47533</t>
  </si>
  <si>
    <t>33200056035104</t>
  </si>
  <si>
    <t>L118</t>
  </si>
  <si>
    <t>RIACHUELO - AVENIDA AFONSO PENA, 470 - ZONA COMERCIAL - MGCO48541</t>
  </si>
  <si>
    <t>-18.919455 , -48.278487</t>
  </si>
  <si>
    <t>MGCO48541</t>
  </si>
  <si>
    <t>33200056012074</t>
  </si>
  <si>
    <t>RIACHUELO - AVENIDA BRASILIA, 139 - SHOPPING 3 AMERICAS - MGCO11291</t>
  </si>
  <si>
    <t>139</t>
  </si>
  <si>
    <t>-15.6118143 , -56.07433760000001</t>
  </si>
  <si>
    <t>MGCO11291</t>
  </si>
  <si>
    <t>33200056003245</t>
  </si>
  <si>
    <t>BATTI MALDONADO - RUA BRIGADEIRO FRANCO, 2300 - SHOPPING CURITIBA - SUL45448</t>
  </si>
  <si>
    <t>80250030</t>
  </si>
  <si>
    <t>-25.4409909 , -49.2774894</t>
  </si>
  <si>
    <t>SUL45448</t>
  </si>
  <si>
    <t>11021140006777</t>
  </si>
  <si>
    <t>DATAFOR INFORMATICA - AVENIDA BRASIL, 6345 - SHOPPING JARDIM NORTE - MGCO227820</t>
  </si>
  <si>
    <t>Q 107</t>
  </si>
  <si>
    <t>MGCO227820</t>
  </si>
  <si>
    <t>41910977000980</t>
  </si>
  <si>
    <t>MAGNATA/RAGAR (TIM) - AVENIDA INDEPENDENCIA, 3600 - SHOPPING INDEPENDENCIA - MGCO10518</t>
  </si>
  <si>
    <t>DOM BOSCO</t>
  </si>
  <si>
    <t>-21.781199 , -43.364662</t>
  </si>
  <si>
    <t>MGCO10518</t>
  </si>
  <si>
    <t>5999455000348</t>
  </si>
  <si>
    <t>SETE LAN (TIM) - ESTRADA DO PORTELA, 222 (PISO 1) - SHOPPING MADUREIRA - RJES9083</t>
  </si>
  <si>
    <t>LOJAS 307 / 308</t>
  </si>
  <si>
    <t>RJES9083</t>
  </si>
  <si>
    <t>08312444001146</t>
  </si>
  <si>
    <t>MOBILE MAGAZINE (TIM) - AVENIDA ANTONIO FREDERICO OZANAN, 6000 - MAXI SHOPPING JUNDIAI - SPI274680</t>
  </si>
  <si>
    <t>LOJA 1430</t>
  </si>
  <si>
    <t>SPI274680</t>
  </si>
  <si>
    <t>17813672000119</t>
  </si>
  <si>
    <t>TELECEL - RODOVIA BR 040 KM 12 GLEBA F, S/N - SHOPPING SUL - MGCO45633</t>
  </si>
  <si>
    <t>LOJA 132 B</t>
  </si>
  <si>
    <t>MGCO45633</t>
  </si>
  <si>
    <t>12267907000281</t>
  </si>
  <si>
    <t>IMAGEM TELECOM - RUA DOUTOR JOAO RIBEIRO, 304 - SHOPPING PENHA - SPC11853</t>
  </si>
  <si>
    <t>LOJA 1814</t>
  </si>
  <si>
    <t>SPC11853</t>
  </si>
  <si>
    <t>11057917000653</t>
  </si>
  <si>
    <t>IMAGEM - SHOPPING PENHA - SAP (20428)</t>
  </si>
  <si>
    <t>JUFAP - RUA AMERICO DEOLINDO GARLA, 224 - SHOPPING LONDRINA NORTE - SUL9157</t>
  </si>
  <si>
    <t>RUA AMERICO DEOLINDO GARLA</t>
  </si>
  <si>
    <t>224</t>
  </si>
  <si>
    <t>LOJA 112</t>
  </si>
  <si>
    <t>JD PACAEMBU</t>
  </si>
  <si>
    <t>86079225</t>
  </si>
  <si>
    <t>-23.285343 , -51.152142</t>
  </si>
  <si>
    <t>SUL9157</t>
  </si>
  <si>
    <t>81214819000234</t>
  </si>
  <si>
    <t>JUFAP ADMINISTRAÇÃO - LONDRINA SHOPPING NORTE - SAP (4141)</t>
  </si>
  <si>
    <t>Londrina Norte Shopping</t>
  </si>
  <si>
    <t>AQUILON JUFAP (TIM) - RODOVIA CELSO GARCIA CID KM 377, S/N - SHOPPING CATUAI LONDRINA - SUL9904</t>
  </si>
  <si>
    <t>LOJ. 253/254/255</t>
  </si>
  <si>
    <t>SUL9904</t>
  </si>
  <si>
    <t>81214819001559</t>
  </si>
  <si>
    <t>JUFAP ADMINISTRAÇÃO - LONDRINA SHOPPING CATUAÍ - SAP (34244)</t>
  </si>
  <si>
    <t>TELECEL - AVENIDA DAS ARAUCARIAS, S/N - AGUAS CLARAS SHOPPING - MGCO18966</t>
  </si>
  <si>
    <t>AGUASCLARAS</t>
  </si>
  <si>
    <t>-15.8417211, -48.0242759</t>
  </si>
  <si>
    <t>MGCO18966</t>
  </si>
  <si>
    <t>11775328000287</t>
  </si>
  <si>
    <t>TELECEL - AGUAS CLARAS SHOPPING - SAP (21077)</t>
  </si>
  <si>
    <t>MAGNATA/RAGAR (TIM) - AVENIDA ABILIO AUGUSTO TAVORA, 1111 - SHOPPING NOVA IGUACU - RJES241360</t>
  </si>
  <si>
    <t>-22.763372, -43.465124</t>
  </si>
  <si>
    <t>RJES241360</t>
  </si>
  <si>
    <t>5999455000933</t>
  </si>
  <si>
    <t>MAGNATA - NOVA IGUAÇU - SAP (34754)</t>
  </si>
  <si>
    <t>MAGNATA/RAGAR (TIM) - AVENIDA VISCONDE DO RIO BRANCO, 360 - SHOPPING BAY MARKET - RJES290720</t>
  </si>
  <si>
    <t>RJES290720</t>
  </si>
  <si>
    <t>5999455002049</t>
  </si>
  <si>
    <t>MAGNATA - BAY MARKET - SAP (44054)</t>
  </si>
  <si>
    <t>ALEGRIA (TIM) - RUA GENERAL DIVISAO PEDRO RODRIGUES DA SILVA, 400 - SHOPPING PARQUE BARUERI - SPC10987</t>
  </si>
  <si>
    <t>ALDEIA</t>
  </si>
  <si>
    <t>-23.5162632324052 , -46.8556701023773</t>
  </si>
  <si>
    <t>SPC10987</t>
  </si>
  <si>
    <t>21683365000995</t>
  </si>
  <si>
    <t>ALEGRIA TELECOM - SHOPPING BARUERI - SAP (31731)</t>
  </si>
  <si>
    <t>SETE LAN (TIM) - AVENIDA DAS AMERICAS, 15500 - AMERICAS SHOPPING - RJES246420</t>
  </si>
  <si>
    <t>RJES246420</t>
  </si>
  <si>
    <t>8312444000417</t>
  </si>
  <si>
    <t>SERGIO MOHR - AVENIDA CONSUL CARLOS RENAUX, 190 - SUL227970</t>
  </si>
  <si>
    <t>-27.0955146 , -48.9144782</t>
  </si>
  <si>
    <t>SUL227970</t>
  </si>
  <si>
    <t>83602540000172</t>
  </si>
  <si>
    <t>INOVACELL - AVENIDA INDEPENDENCIA, 3600 - SHOPPING INDEPENDENCIA - MGCO10519</t>
  </si>
  <si>
    <t>-21.7807678 , -43.36034679999999</t>
  </si>
  <si>
    <t>MGCO10519</t>
  </si>
  <si>
    <t>10928558000438</t>
  </si>
  <si>
    <t>COMMCENTER - AVENIDA ROLF WIEST, 333 - GARTEN SHOPPING - SUL7960</t>
  </si>
  <si>
    <t>BOMRETIRO</t>
  </si>
  <si>
    <t>SUL7960</t>
  </si>
  <si>
    <t>308055004827</t>
  </si>
  <si>
    <t>WORLD CELL (VIVO) - QUADRA 1, LOTE 1 - SHOPPING SUL - MGCO11265</t>
  </si>
  <si>
    <t>QUADRA 1</t>
  </si>
  <si>
    <t>LOJA 19</t>
  </si>
  <si>
    <t>PARQUE ESPLANADA</t>
  </si>
  <si>
    <t>72876301</t>
  </si>
  <si>
    <t>-16.07845165458019, -47.984339799722285</t>
  </si>
  <si>
    <t>MGCO11265</t>
  </si>
  <si>
    <t>05199395000702</t>
  </si>
  <si>
    <t>4 REDES TELECOM (VIVO) - AVENIDA FREI CIRILO, 3840 - GRAND SHOPPING - NE267340</t>
  </si>
  <si>
    <t>LOJA 62</t>
  </si>
  <si>
    <t>-3.8183863 , -38.4977774</t>
  </si>
  <si>
    <t>NE267340</t>
  </si>
  <si>
    <t>7041040006323</t>
  </si>
  <si>
    <t>CELULAR STATION - AVENIDA DAS AMERICAS, 15500 - AMERICAS SHOPPING - RJES19505</t>
  </si>
  <si>
    <t>RJES19505</t>
  </si>
  <si>
    <t>2714643000203</t>
  </si>
  <si>
    <t>CELULAR STATION - AVENIDA DAS AMERICAS, 500 - SHOPPING DOWNTOWN - RJES11791</t>
  </si>
  <si>
    <t>-23.0043783 , -43.3179216</t>
  </si>
  <si>
    <t>RJES11791</t>
  </si>
  <si>
    <t>2714643001870</t>
  </si>
  <si>
    <t>COMMCENTER - AVENIDA DOS AUTONOMISTAS, 1828 - SUPER SHOPPING OSASCO - SPC6454</t>
  </si>
  <si>
    <t>VILAYARA</t>
  </si>
  <si>
    <t>-23.5384637 , -46.7711405</t>
  </si>
  <si>
    <t>SPC6454</t>
  </si>
  <si>
    <t>5828732010401</t>
  </si>
  <si>
    <t>COMMCENTER - AVENIDA PARADA PINTO, 2262 - SHOPPING ANDORINHA - SPC19775</t>
  </si>
  <si>
    <t>VILANOVACACHOEIRINHA</t>
  </si>
  <si>
    <t>-23.4714791, -46.6503029</t>
  </si>
  <si>
    <t>SPC19775</t>
  </si>
  <si>
    <t>93720464010388</t>
  </si>
  <si>
    <t>ALEA ELETRO (VIVO) - AVENIDA CRUZEIRO DO SUL, 1100 - SHOPPING D - SPC247130</t>
  </si>
  <si>
    <t>SPC247130</t>
  </si>
  <si>
    <t>93720464020006</t>
  </si>
  <si>
    <t>CAMARA TELECOM (VIVO) - RUA MANOEL HONORATO DA COSTA, 555 - SHOPPING CAMARA - NE269870</t>
  </si>
  <si>
    <t>VILA DA FÁBRICA</t>
  </si>
  <si>
    <t>54759902</t>
  </si>
  <si>
    <t>-8.0150538 , -34.977946</t>
  </si>
  <si>
    <t>NE269870</t>
  </si>
  <si>
    <t>32954394000103</t>
  </si>
  <si>
    <t>COMMCENTER - AVENIDA MARECHAL FONTENELLE, 3545 - SHOPPING SULACAP - RJES274510</t>
  </si>
  <si>
    <t>RJES274510</t>
  </si>
  <si>
    <t>5828732012102</t>
  </si>
  <si>
    <t>COMMCENTER - RUA PRIMEIRO DE MARCO, 821 - SHOPPING BOURBON - SUL22158</t>
  </si>
  <si>
    <t>AVENIDA PRIMEIRO DE MARCO</t>
  </si>
  <si>
    <t>93010210</t>
  </si>
  <si>
    <t>-29.769283 , -51.146523</t>
  </si>
  <si>
    <t>SUL22158</t>
  </si>
  <si>
    <t>00308055001135</t>
  </si>
  <si>
    <t>Shopping Bourbon São Leopoldo</t>
  </si>
  <si>
    <t>VIVO CRONOLOGICA - RUA SANTOS DUMONT, 64 - RJES262020</t>
  </si>
  <si>
    <t>-21.7569439,-41.3252679</t>
  </si>
  <si>
    <t>RJES262020</t>
  </si>
  <si>
    <t>3685001001349</t>
  </si>
  <si>
    <t>GRAMCELL - RUA 9 DE JULHO, 460 - ZONA COMERCIAL - SPI8005</t>
  </si>
  <si>
    <t>-21.7942012 , -48.1740569</t>
  </si>
  <si>
    <t>SPI8005</t>
  </si>
  <si>
    <t>4452037000888</t>
  </si>
  <si>
    <t>VIVO - AVENIDA MARECHAL DEODORO DA FONSECA, 885 - SHOPPING LA PLAGE - SPC6379</t>
  </si>
  <si>
    <t>LOJA 210/211</t>
  </si>
  <si>
    <t>SPC6379</t>
  </si>
  <si>
    <t>2558157010710</t>
  </si>
  <si>
    <t>LOJA GUARUJA LA PLAGE SP</t>
  </si>
  <si>
    <t>VIVO - RUA DOUTOR TAVARES DE MACEDO, 210 - RJES288080</t>
  </si>
  <si>
    <t>RUA DOUTOR TAVARES DE MACEDO</t>
  </si>
  <si>
    <t>210</t>
  </si>
  <si>
    <t>LOJA 101/102</t>
  </si>
  <si>
    <t>ICARAI</t>
  </si>
  <si>
    <t>24220215</t>
  </si>
  <si>
    <t>-22.9054118,-43.1131186</t>
  </si>
  <si>
    <t>RJES288080</t>
  </si>
  <si>
    <t>2558157094477</t>
  </si>
  <si>
    <t>LOJA ICARAI RJ</t>
  </si>
  <si>
    <t>VIVO - RUA IZABEL REDENTORA, 1434 - SHOPPING SAO JOSE - SUL7985</t>
  </si>
  <si>
    <t>SUL7985</t>
  </si>
  <si>
    <t>2558157096330</t>
  </si>
  <si>
    <t>LOJA SHOPPING SAO JOSE PR</t>
  </si>
  <si>
    <t>VIVO - AVENIDA DOUTOR ROBERTO CALMOM, 142 - ZONA COMERCIAL - RJES42386</t>
  </si>
  <si>
    <t>AVENIDA DOUTOR ROBERTO CALMOM</t>
  </si>
  <si>
    <t>29200450</t>
  </si>
  <si>
    <t>-20.6706671 , -40.4986933</t>
  </si>
  <si>
    <t>RJES42386</t>
  </si>
  <si>
    <t>2558157028504</t>
  </si>
  <si>
    <t>LOJA GUARAPARI ES</t>
  </si>
  <si>
    <t>VIVO - ALAMEDA RIO NEGRO, 111 - SHOPPING IGUATEMI ALPHAVILLE - SPC63150</t>
  </si>
  <si>
    <t>99010380</t>
  </si>
  <si>
    <t>SPC63150</t>
  </si>
  <si>
    <t>2558157009542</t>
  </si>
  <si>
    <t>LOJA SHOPPING IGUATEMI ALPHAVILLE SP</t>
  </si>
  <si>
    <t>ARMAZEM PARAIBA - RUA PAISANDU, 1111 - ZONA COMERCIAL - NE50004</t>
  </si>
  <si>
    <t>RUA PAISANDU</t>
  </si>
  <si>
    <t>-5.0927733, -42.8140097</t>
  </si>
  <si>
    <t>NE50004</t>
  </si>
  <si>
    <t>6862627010524</t>
  </si>
  <si>
    <t>CASA &amp; VIDEO - RUA URUGUAIANA, 35 - ZONA COMERCIAL - RJES6985</t>
  </si>
  <si>
    <t>RUA URUGAUIANA</t>
  </si>
  <si>
    <t>-22.905106 , -43.179491</t>
  </si>
  <si>
    <t>RJES6985</t>
  </si>
  <si>
    <t>11114284006366</t>
  </si>
  <si>
    <t>CASA &amp; VIDEO - AVENIDA VICENTE DE CARVALHO, 909 - SHOPPING CARIOCA - RJES6990</t>
  </si>
  <si>
    <t>LOJA 201. BOX 6D</t>
  </si>
  <si>
    <t>RJES6990</t>
  </si>
  <si>
    <t>11114284005122</t>
  </si>
  <si>
    <t>CARIOCA  SHOPPING</t>
  </si>
  <si>
    <t>CASA &amp; VIDEO - AVENIDA BENJAMIM PINTO DIAS, 1345 - ZONA COMERCIAL - RJES11805</t>
  </si>
  <si>
    <t>AVENIDA BENJAMIM PINTO DIAS</t>
  </si>
  <si>
    <t>-22.7641729 , -43.401574</t>
  </si>
  <si>
    <t>RJES11805</t>
  </si>
  <si>
    <t>11114284000406</t>
  </si>
  <si>
    <t>CASA &amp; VIDEO - RUA JOAQUIM DA SILVA LIMA, 18 - RJES272340</t>
  </si>
  <si>
    <t>29200280</t>
  </si>
  <si>
    <t>-20.6710242,-40.5017759</t>
  </si>
  <si>
    <t>RJES272340</t>
  </si>
  <si>
    <t>11114284028416</t>
  </si>
  <si>
    <t>CASAS BAHIA - AVENIDA JOAO CESAR DE OLIVEIRA, 1275 - BIG SHOPPING - MGCO10461</t>
  </si>
  <si>
    <t>1275</t>
  </si>
  <si>
    <t>LOJA 408 E 409</t>
  </si>
  <si>
    <t>32315000</t>
  </si>
  <si>
    <t>-19.94381, -44.04019599999999</t>
  </si>
  <si>
    <t>MGCO10461</t>
  </si>
  <si>
    <t>33041260017482</t>
  </si>
  <si>
    <t>1900</t>
  </si>
  <si>
    <t>Big Shopping</t>
  </si>
  <si>
    <t>CASAS BAHIA - AVENIDA BRASIL, 442 - SPI253150</t>
  </si>
  <si>
    <t>442</t>
  </si>
  <si>
    <t>Osvaldo Cruz</t>
  </si>
  <si>
    <t>17700000</t>
  </si>
  <si>
    <t>-21.7969188,-50.8749917</t>
  </si>
  <si>
    <t>SPI253150</t>
  </si>
  <si>
    <t>33041260179970</t>
  </si>
  <si>
    <t>2173</t>
  </si>
  <si>
    <t>CASAS BAHIA - BENEDITO DE ALMEIDA BUENO, 372- ZONA COMERCIAL - SPI473520</t>
  </si>
  <si>
    <t>RUA BENEDITO DE ALMEIDA BUENO</t>
  </si>
  <si>
    <t>12940660</t>
  </si>
  <si>
    <t>-23.114965 , -46.552921</t>
  </si>
  <si>
    <t>SPI473520</t>
  </si>
  <si>
    <t>33041260098709</t>
  </si>
  <si>
    <t>CASAS BAHIA - AVENIDA GETULIO VARGAS, 946 - SUL266530</t>
  </si>
  <si>
    <t>946</t>
  </si>
  <si>
    <t>Piraquara</t>
  </si>
  <si>
    <t>83301010</t>
  </si>
  <si>
    <t>-25.4485128,-49.0680366</t>
  </si>
  <si>
    <t>SUL266530</t>
  </si>
  <si>
    <t>33041260201224</t>
  </si>
  <si>
    <t>2403</t>
  </si>
  <si>
    <t>CASAS BAHIA - AVENIDA GETULIO VARGAS, 545 - ZONA COMERCIAL - RJES11735</t>
  </si>
  <si>
    <t>-22.8716166 , -42.336141</t>
  </si>
  <si>
    <t>RJES11735</t>
  </si>
  <si>
    <t>33041260078864</t>
  </si>
  <si>
    <t>CASAS BAHIA - AVENIDA ANTONIO CARLOS COSTA, 1021 - ZONA COMERCIAL - SPC11256</t>
  </si>
  <si>
    <t>AVENIDA ANTONIO CARLOS COSTA</t>
  </si>
  <si>
    <t>1021</t>
  </si>
  <si>
    <t>JARDIM BELA VISTA</t>
  </si>
  <si>
    <t>6053010</t>
  </si>
  <si>
    <t>-23.551832 , -46.7853039</t>
  </si>
  <si>
    <t>SPC11256</t>
  </si>
  <si>
    <t>CASAS BAHIA - AVENIDA PRESIDENTE COSTA E SILVA, 263 - ZONA COMERCIAL - SPC11257</t>
  </si>
  <si>
    <t>JARDIM HELENA MARIA</t>
  </si>
  <si>
    <t>6253000</t>
  </si>
  <si>
    <t>-23.5029307 , -46.7905327</t>
  </si>
  <si>
    <t>SPC11257</t>
  </si>
  <si>
    <t>1535</t>
  </si>
  <si>
    <t>CASAS BAHIA - PRACA BARAO DE ARARAS, 334 - SPI237900</t>
  </si>
  <si>
    <t>PRACA BARAO DE ARARAS</t>
  </si>
  <si>
    <t>13600040</t>
  </si>
  <si>
    <t>-22.3567, -47.3861011</t>
  </si>
  <si>
    <t>SPI237900</t>
  </si>
  <si>
    <t>33041260093820</t>
  </si>
  <si>
    <t>CASAS BAHIA - AVENIDA JOSE PAULINO, 1261 - ZONA COMERCIAL - SPI18800</t>
  </si>
  <si>
    <t>JARDIM SÃO BENTO</t>
  </si>
  <si>
    <t>-22.7618379 , -47.1550856</t>
  </si>
  <si>
    <t>SPI18800</t>
  </si>
  <si>
    <t>33041260090309</t>
  </si>
  <si>
    <t>1457</t>
  </si>
  <si>
    <t>CASAS BAHIA - RUA DA PALMA, 333 - NE241040</t>
  </si>
  <si>
    <t>Santo Antônio</t>
  </si>
  <si>
    <t>-8.0658716, -34.8808416</t>
  </si>
  <si>
    <t>NE241040</t>
  </si>
  <si>
    <t>33041260188457</t>
  </si>
  <si>
    <t>2254</t>
  </si>
  <si>
    <t>CASAS BAHIA - RUA NOSSA SENHORA DO SOCORRO, S/N - SHOPPING PREMIO - NE10952</t>
  </si>
  <si>
    <t>RUA NOSSA SENHORA DO SOCORRO</t>
  </si>
  <si>
    <t>NOSSA SENHORA DO SOCORRO</t>
  </si>
  <si>
    <t>Nossa Senhora do Socorro</t>
  </si>
  <si>
    <t>49160000</t>
  </si>
  <si>
    <t>-10.8506814, -37.0784467</t>
  </si>
  <si>
    <t>NE10952</t>
  </si>
  <si>
    <t>33041260151022</t>
  </si>
  <si>
    <t>1787</t>
  </si>
  <si>
    <t>Shopping Premio</t>
  </si>
  <si>
    <t>MEX CELL - PROF. ALFREDO GONCALVES FIGUEIRA, 100 - SHOPPING NILOPOLIS SQUARE - RJES235720</t>
  </si>
  <si>
    <t>RJES235720</t>
  </si>
  <si>
    <t>18959713000142</t>
  </si>
  <si>
    <t>CLARO RP - AVENIDA KENNEDY, 700 - SHOPPING GOLDEN SQUARE - SPC18681</t>
  </si>
  <si>
    <t>AVENIDA KENNEDY</t>
  </si>
  <si>
    <t>LOJA 159</t>
  </si>
  <si>
    <t>JARDIM DO MAR</t>
  </si>
  <si>
    <t>9726253</t>
  </si>
  <si>
    <t>-23.68408 , -46.558338</t>
  </si>
  <si>
    <t>SPC18681</t>
  </si>
  <si>
    <t>5949641009329</t>
  </si>
  <si>
    <t>Shopping Golden Square</t>
  </si>
  <si>
    <t>CLARICELL - AVENIDA REGENTE FEIJO, 1739 - SHOPPING ANALIA FRANCO - SPC276030</t>
  </si>
  <si>
    <t>NÍVEL TULIPA LOJA TL 110</t>
  </si>
  <si>
    <t>SPC276030</t>
  </si>
  <si>
    <t>21848907001904</t>
  </si>
  <si>
    <t>AGR TELECOM - AVENIDA AFONSO PENA, 583 - ZONA COMERCIAL - MGCO45285</t>
  </si>
  <si>
    <t>911</t>
  </si>
  <si>
    <t>-19.920944 , -43.937309</t>
  </si>
  <si>
    <t>MGCO45285</t>
  </si>
  <si>
    <t>SELF TELECOM (CLARO) - RODOVIA BR-316, KM 4, 4500 - SHOPPING METROPOLE ANANINDEUA - N235150</t>
  </si>
  <si>
    <t>-1.3841694, -48.4098321</t>
  </si>
  <si>
    <t>N235150</t>
  </si>
  <si>
    <t>40432544097639</t>
  </si>
  <si>
    <t>9119</t>
  </si>
  <si>
    <t>CELL NET - RUA COPAIBA, 1 - DF PLAZA SHOPPING - MGCO257730</t>
  </si>
  <si>
    <t>ÁGUAS CLARAS</t>
  </si>
  <si>
    <t>-15.8321781,-48.0428366</t>
  </si>
  <si>
    <t>MGCO257730</t>
  </si>
  <si>
    <t>4601016002235</t>
  </si>
  <si>
    <t>Df Plaza Shopping</t>
  </si>
  <si>
    <t>FAJULUTI GAVEA - ESTRADA FRANCISCO DA CRUZ NUNES, 6501 - SHOPPING ITAIPU MULTICENTER - RJES266420</t>
  </si>
  <si>
    <t>ESTRADA FRANCISCO DA CRUZ NUNES</t>
  </si>
  <si>
    <t>6501</t>
  </si>
  <si>
    <t>ITAIPU</t>
  </si>
  <si>
    <t>24350310</t>
  </si>
  <si>
    <t>-22.9405959,-43.0587585</t>
  </si>
  <si>
    <t>RJES266420</t>
  </si>
  <si>
    <t>26117255000807</t>
  </si>
  <si>
    <t>Shopping Itaipu Multicenter</t>
  </si>
  <si>
    <t>ALFATEC (CLARO) - RUA GENERAL OSWALDO PINTO DA VEIGA, 350 - PONTUAL SHOPPING - RJES276070</t>
  </si>
  <si>
    <t>RUA GENERAL OSWALDO PINTO DA VEIGA</t>
  </si>
  <si>
    <t>VILA SANTA CECÍLIA</t>
  </si>
  <si>
    <t>27260140</t>
  </si>
  <si>
    <t>-22.5171922,-44.107037</t>
  </si>
  <si>
    <t>RJES276070</t>
  </si>
  <si>
    <t>30725326000651</t>
  </si>
  <si>
    <t>Pontual Shopping</t>
  </si>
  <si>
    <t>HS - AVENIDA COLETORA, S/N - SHOPPING PREMIO - NE20717</t>
  </si>
  <si>
    <t>AVENIDA COLETORA</t>
  </si>
  <si>
    <t>MARCOS FREIRE</t>
  </si>
  <si>
    <t>NE20717</t>
  </si>
  <si>
    <t>5923253007325</t>
  </si>
  <si>
    <t>ATUAL TELECOMUNICACOES (CLARO) - AVENIDA INDEPENDENCIA, S/N - SHOPPING APARECIDA - MGCO287530</t>
  </si>
  <si>
    <t>-16.8236875, -49.2516406</t>
  </si>
  <si>
    <t>MGCO287530</t>
  </si>
  <si>
    <t>19789945000910</t>
  </si>
  <si>
    <t>CLARO RP - RUA MARECHAL DEODORO, 398 - ZONA COMERCIAL - SUL38241</t>
  </si>
  <si>
    <t>80010010</t>
  </si>
  <si>
    <t>-25.431156 , -49.2685189</t>
  </si>
  <si>
    <t>SUL38241</t>
  </si>
  <si>
    <t>5949641005927</t>
  </si>
  <si>
    <t>HS - RUA BRASIL, 768 - SPI233320</t>
  </si>
  <si>
    <t>RUA BRASIL</t>
  </si>
  <si>
    <t>768</t>
  </si>
  <si>
    <t>15800030</t>
  </si>
  <si>
    <t>-21.137197 , -48.9731028</t>
  </si>
  <si>
    <t>SPI233320</t>
  </si>
  <si>
    <t>05923252002528</t>
  </si>
  <si>
    <t>PONTO CERTO - LARGO DO MACHADO, 1923 - RJES234590</t>
  </si>
  <si>
    <t>LARGO DO MACHADO</t>
  </si>
  <si>
    <t>1923</t>
  </si>
  <si>
    <t>22221020</t>
  </si>
  <si>
    <t>-22.931184 , -43.17868199999999</t>
  </si>
  <si>
    <t>RJES234590</t>
  </si>
  <si>
    <t>5142929001817</t>
  </si>
  <si>
    <t>CLARO AA - RODOVIA BA 526, 305 - SALVADOR NORTE SHOPPING - NE237590</t>
  </si>
  <si>
    <t>São Cristóvão</t>
  </si>
  <si>
    <t>-12.9090341, -38.3518871</t>
  </si>
  <si>
    <t>NE237590</t>
  </si>
  <si>
    <t>CLARO - RUA GENERAL DIVISAO PEDRO RODRIGUES DA SILVA, 400 - SHOPPING PARQUE BARUERI - SPC10649</t>
  </si>
  <si>
    <t>LUC L1 - 1102</t>
  </si>
  <si>
    <t>SPC10649</t>
  </si>
  <si>
    <t>40432544040360</t>
  </si>
  <si>
    <t>CLARO - RUA DOUTOR MONTARY, 1317 - SUL10824</t>
  </si>
  <si>
    <t>RUA DOUTOR MONTARY</t>
  </si>
  <si>
    <t>95020190</t>
  </si>
  <si>
    <t>-29.1680638, -51.1801952</t>
  </si>
  <si>
    <t>SUL10824</t>
  </si>
  <si>
    <t>40432544008474</t>
  </si>
  <si>
    <t>5102</t>
  </si>
  <si>
    <t>CLARO - AVENIDA SANTA CATARINA, 1 - BALNEARIO CAMBORIU SHOPPING - SUL21927</t>
  </si>
  <si>
    <t>SUL21927</t>
  </si>
  <si>
    <t>40432544050675</t>
  </si>
  <si>
    <t>4814</t>
  </si>
  <si>
    <t>CLARO - AVENIDA JOAO PALACIO, 300 - SHOPPING MESTRE ALVARO - RJES9107</t>
  </si>
  <si>
    <t>RJES9107</t>
  </si>
  <si>
    <t>2715</t>
  </si>
  <si>
    <t>CLARO - RUA ANDRADE NEVES, 1869 - ZONA COMERCIAL - SUL49296</t>
  </si>
  <si>
    <t>1869</t>
  </si>
  <si>
    <t>-31.7670116 , -52.3420366</t>
  </si>
  <si>
    <t>SUL49296</t>
  </si>
  <si>
    <t>CLARO - RUA LINDOLFO COLOR, 484 - ZONA COMERCIAL - SUL83153</t>
  </si>
  <si>
    <t>RUA LINDOLFO COLOR</t>
  </si>
  <si>
    <t>93010080</t>
  </si>
  <si>
    <t>-29.7686374 , -51.14549110000001</t>
  </si>
  <si>
    <t>SUL83153</t>
  </si>
  <si>
    <t>COLOMBO - RUA 15 DE NOVEMBRO, 640 - ZONA COMERCIAL - SUL10134</t>
  </si>
  <si>
    <t>89012078</t>
  </si>
  <si>
    <t>-26.921349 , -49.063219</t>
  </si>
  <si>
    <t>SUL10134</t>
  </si>
  <si>
    <t>89848543021921</t>
  </si>
  <si>
    <t>LOJAS COLOMBO - AVENIDA PRESIDENTE KENNEDY, 676 - ZONA COMERCIAL - SUL10084</t>
  </si>
  <si>
    <t>676</t>
  </si>
  <si>
    <t>88101000</t>
  </si>
  <si>
    <t>-27.6007135 , -48.6117576</t>
  </si>
  <si>
    <t>SUL10084</t>
  </si>
  <si>
    <t>89848543028934</t>
  </si>
  <si>
    <t>FUJIOKA - QD CENTRAL BLOCO 10, 13 - ZONA COMERCIAL - MGCO42422</t>
  </si>
  <si>
    <t>QUADRA CENTRAL BLOCO 10</t>
  </si>
  <si>
    <t>SOBRADINHO</t>
  </si>
  <si>
    <t>73010700</t>
  </si>
  <si>
    <t>-15.6504556 , -47.7899371</t>
  </si>
  <si>
    <t>MGCO42422</t>
  </si>
  <si>
    <t>01008713005123</t>
  </si>
  <si>
    <t>HAVAN - RODOVIA DEP. JOAO LEOPOLDO JACOMEL, 12986 - ZONA COMERCIAL - SUL18778</t>
  </si>
  <si>
    <t>12896</t>
  </si>
  <si>
    <t>EMILIANO PERNETA</t>
  </si>
  <si>
    <t>83020210</t>
  </si>
  <si>
    <t>-25.43183 , -49.196173</t>
  </si>
  <si>
    <t>SUL18778</t>
  </si>
  <si>
    <t>79379491003441</t>
  </si>
  <si>
    <t>37 - PINHAIS</t>
  </si>
  <si>
    <t>HAVAN - ROD DOS METALURGICOS , 1189 - SHOPPING PARK SUL VOLTA REDONDA - RJES11011</t>
  </si>
  <si>
    <t>ROD DOS METALURGICOS</t>
  </si>
  <si>
    <t>SÃO GERALDO</t>
  </si>
  <si>
    <t>27253005</t>
  </si>
  <si>
    <t>-22.522406 , -44.0780537</t>
  </si>
  <si>
    <t>RJES11011</t>
  </si>
  <si>
    <t>79379491012785</t>
  </si>
  <si>
    <t>135 - VOLTA REDONDA</t>
  </si>
  <si>
    <t>Shopping Park Sul Volta Redonda</t>
  </si>
  <si>
    <t>KOERICH - RUA 15 DE NOVEMBRO, 519 - ZONA COMERCIAL - SUL19175</t>
  </si>
  <si>
    <t>RUA QUINZE DE NOVEMVRO</t>
  </si>
  <si>
    <t>-26.92199 , -49.061673</t>
  </si>
  <si>
    <t>SUL19175</t>
  </si>
  <si>
    <t>86184074002518</t>
  </si>
  <si>
    <t>KOERICH - RUA EUGENIO RAULINO KOERICH, S/N - SUL232210</t>
  </si>
  <si>
    <t>RUA EUGENIO RAULINO KOERICH</t>
  </si>
  <si>
    <t>88101060</t>
  </si>
  <si>
    <t>-27.5986544 , -48.6126841</t>
  </si>
  <si>
    <t>SUL232210</t>
  </si>
  <si>
    <t>86184074001627</t>
  </si>
  <si>
    <t>LOJAS AMERICANAS - AVENIDA GETULIO VARGAS, 657 - SUL90346</t>
  </si>
  <si>
    <t>657</t>
  </si>
  <si>
    <t>-25.4460334 , -49.0639153</t>
  </si>
  <si>
    <t>SUL90346</t>
  </si>
  <si>
    <t>776574018799</t>
  </si>
  <si>
    <t>5019</t>
  </si>
  <si>
    <t>LOJAS AMERICANAS - RUA DA MATRIZ, 118 - RJES11818</t>
  </si>
  <si>
    <t>-22.800476 , -43.372253</t>
  </si>
  <si>
    <t>RJES11818</t>
  </si>
  <si>
    <t>776574036002</t>
  </si>
  <si>
    <t>LOJAS AMERICANAS - AVENIDA DOUTOR AFONSO VERGUEIRO, 823 - SHOPPING CIANE - SPI43044</t>
  </si>
  <si>
    <t>ESPAÇO COMERCIAL</t>
  </si>
  <si>
    <t>SPI43044</t>
  </si>
  <si>
    <t>776574069431</t>
  </si>
  <si>
    <t>LOJAS AMERICANAS - AVENIDA MARECHAL FLORIANO PEIXOTO, 44 - SHOPPING MIRAMAR - SPC42385</t>
  </si>
  <si>
    <t>11060910</t>
  </si>
  <si>
    <t>SPC42385</t>
  </si>
  <si>
    <t>776574132060</t>
  </si>
  <si>
    <t>L538</t>
  </si>
  <si>
    <t>LOJAS AMERICANAS - RODOVIA BR 470, 3000 - BLUMENAU NORTE SHOPPING - SUL9194</t>
  </si>
  <si>
    <t>SUL9194</t>
  </si>
  <si>
    <t>776574158701</t>
  </si>
  <si>
    <t>L460</t>
  </si>
  <si>
    <t>LOJAS AMERICANAS - AVENIDA KENNEDY, 700 - SHOPPING GOLDEN SQUARE - SPC38253</t>
  </si>
  <si>
    <t>9726901</t>
  </si>
  <si>
    <t>SPC38253</t>
  </si>
  <si>
    <t>776574147092</t>
  </si>
  <si>
    <t>1104</t>
  </si>
  <si>
    <t>LOJAS AMERICANAS - RUA MARQUES DE SAO VICENTE, 52 - SHOPPING GAVEA - RJES261500</t>
  </si>
  <si>
    <t>N° 10, 2º PAVIMENTO</t>
  </si>
  <si>
    <t>22451040</t>
  </si>
  <si>
    <t>RJES261500</t>
  </si>
  <si>
    <t>776574189925</t>
  </si>
  <si>
    <t>5412</t>
  </si>
  <si>
    <t>LOJAS AMERICANAS - RUA PRESIDENTE JOAO PESSOA, 381 - NE10888</t>
  </si>
  <si>
    <t>-7.217084 , -35.888808</t>
  </si>
  <si>
    <t>NE10888</t>
  </si>
  <si>
    <t>776574015501</t>
  </si>
  <si>
    <t>L442</t>
  </si>
  <si>
    <t>LOJAS AMERICANAS - AVENIDA DOUTOR FRANCISCO CORREIA, 381 - NE19105</t>
  </si>
  <si>
    <t>AVENIDA DOUTOR FRANCISCO CORREIA</t>
  </si>
  <si>
    <t>54735000</t>
  </si>
  <si>
    <t>-7.997877 , -35.038628</t>
  </si>
  <si>
    <t>NE19105</t>
  </si>
  <si>
    <t>776574008807</t>
  </si>
  <si>
    <t>L414</t>
  </si>
  <si>
    <t>LOJAS AMERICANAS - RUA JOAQUIM LEITE, 646 - RJES45486</t>
  </si>
  <si>
    <t>27345390</t>
  </si>
  <si>
    <t>-22.54465 , -44.173825</t>
  </si>
  <si>
    <t>RJES45486</t>
  </si>
  <si>
    <t>776574033240</t>
  </si>
  <si>
    <t>LOJAS AMERICANAS - RUA MARECHAL JOSE B. BORMANN, 91 - ZONA COMERCIAL - SUL65287</t>
  </si>
  <si>
    <t>RUA MARECHAL JOSE B. BORMANN - D</t>
  </si>
  <si>
    <t>89801050</t>
  </si>
  <si>
    <t>-27.102039 , -52.616046</t>
  </si>
  <si>
    <t>SUL65287</t>
  </si>
  <si>
    <t>776574055210</t>
  </si>
  <si>
    <t>1208</t>
  </si>
  <si>
    <t>LOJAS AMERICANAS - RUA RUI PIROZZELLI, 44 - ZONA COMERCIAL - SPC44613</t>
  </si>
  <si>
    <t>RUA RUI PIROZZELLI</t>
  </si>
  <si>
    <t>JARDIM BELEM</t>
  </si>
  <si>
    <t>3811020</t>
  </si>
  <si>
    <t>-23.489884 , -46.479416</t>
  </si>
  <si>
    <t>SPC44613</t>
  </si>
  <si>
    <t>776574022800</t>
  </si>
  <si>
    <t>L632</t>
  </si>
  <si>
    <t>LOJAS AMERICANAS - AVENIDA NAZARE, 1500 - ZONA COMERCIAL - SPC11058</t>
  </si>
  <si>
    <t>AVENIDA NAZARÉ</t>
  </si>
  <si>
    <t>4262200</t>
  </si>
  <si>
    <t>-23.597208 , -46.610136</t>
  </si>
  <si>
    <t>SPC11058</t>
  </si>
  <si>
    <t>776574098105</t>
  </si>
  <si>
    <t>L927</t>
  </si>
  <si>
    <t>LOJAS AMERICANAS - AVENIDA MARCONDES DE BRITO, 1470 - SPC258020</t>
  </si>
  <si>
    <t>AVENIDA MARCONDES DE BRITO</t>
  </si>
  <si>
    <t>1470</t>
  </si>
  <si>
    <t>CHÁCARA SEIS DE OUTUBRO</t>
  </si>
  <si>
    <t>3509000</t>
  </si>
  <si>
    <t>-23.5368867,-46.5262547</t>
  </si>
  <si>
    <t>SPC258020</t>
  </si>
  <si>
    <t>776574024411</t>
  </si>
  <si>
    <t>L853</t>
  </si>
  <si>
    <t>LOJAS AMERICANAS - RUA NOSSA SENHORA DO SOCORRO, S/N - SHOPPING PREMIO - NE10954</t>
  </si>
  <si>
    <t>-10.8504107, -37.078204</t>
  </si>
  <si>
    <t>NE10954</t>
  </si>
  <si>
    <t>776574141485</t>
  </si>
  <si>
    <t>LOJAS AMERICANAS - SHC/ AOS EA 2/8, S/N - SHOPPING TERRACO - MGCO257750</t>
  </si>
  <si>
    <t>SHC/ AOS EA 2/8</t>
  </si>
  <si>
    <t>OCTOGONAL</t>
  </si>
  <si>
    <t>70660900</t>
  </si>
  <si>
    <t>-15.8036697,-47.9416393</t>
  </si>
  <si>
    <t>MGCO257750</t>
  </si>
  <si>
    <t>776574073030</t>
  </si>
  <si>
    <t>Shopping Terraco</t>
  </si>
  <si>
    <t>LOJAS AMERICANAS - ROD DOS METALURGICOS , 1189 - SHOPPING PARK SUL VOLTA REDONDA - RJES11010</t>
  </si>
  <si>
    <t>27220370</t>
  </si>
  <si>
    <t>RJES11010</t>
  </si>
  <si>
    <t>776574121298</t>
  </si>
  <si>
    <t>1240</t>
  </si>
  <si>
    <t>LOJAS CEM - AVENIDA JOSE GOMES DA ROCHA LEAL, 2100 - ZONA COMERCIAL - SPI47415</t>
  </si>
  <si>
    <t>AVENIDA JOSE GOMES DA ROCHA LEAL</t>
  </si>
  <si>
    <t>12900301</t>
  </si>
  <si>
    <t>-22.9497154, -46.5440604</t>
  </si>
  <si>
    <t>SPI47415</t>
  </si>
  <si>
    <t>56642960003710</t>
  </si>
  <si>
    <t>BRAGAN</t>
  </si>
  <si>
    <t>LOJAS CEM - RUA GENERAL OSORIO, 518 - ZONA COMERCIAL - SPI11758</t>
  </si>
  <si>
    <t>-22.755255 , -47.413433</t>
  </si>
  <si>
    <t>SPI11758</t>
  </si>
  <si>
    <t>56642960001262</t>
  </si>
  <si>
    <t>STABAR</t>
  </si>
  <si>
    <t>LOJAS CEM - RUA SANTOS DUMONT, 64 - SPI231960</t>
  </si>
  <si>
    <t>-20.8905258, -47.5867217</t>
  </si>
  <si>
    <t>SPI231960</t>
  </si>
  <si>
    <t>56642960018319</t>
  </si>
  <si>
    <t>BATAT</t>
  </si>
  <si>
    <t>LOJAS CEM - RUA CORONEL VALFREDO DE CAMPOS, 10 - SPC45440</t>
  </si>
  <si>
    <t>RUA CORONEL VALFREDO DE CAMPOS</t>
  </si>
  <si>
    <t>VILAMAZZEI</t>
  </si>
  <si>
    <t>2315060</t>
  </si>
  <si>
    <t>-23.4610061 , -46.6023435</t>
  </si>
  <si>
    <t>SPC45440</t>
  </si>
  <si>
    <t>56642960013945</t>
  </si>
  <si>
    <t>SPTREM</t>
  </si>
  <si>
    <t>LOJAS CEM - AVENIDA JOAO RAMALHO, 1910 - ZONA COMERCIAL - SPI85831</t>
  </si>
  <si>
    <t>AVENIDA JOÃO RAMALHO</t>
  </si>
  <si>
    <t>1910</t>
  </si>
  <si>
    <t>JARDIMCONQUISTA</t>
  </si>
  <si>
    <t>17522363</t>
  </si>
  <si>
    <t>-22.2453516 , -49.9286164</t>
  </si>
  <si>
    <t>SPI85831</t>
  </si>
  <si>
    <t>56642960025285</t>
  </si>
  <si>
    <t>MARINO</t>
  </si>
  <si>
    <t>MAGAZINE LUIZA - AVENIDA SENADOR LEMOS, 1541 - N87542</t>
  </si>
  <si>
    <t>TELEGRAFO</t>
  </si>
  <si>
    <t>66113000</t>
  </si>
  <si>
    <t>-1.430022 , -48.485584</t>
  </si>
  <si>
    <t>N87542</t>
  </si>
  <si>
    <t>47960950125927</t>
  </si>
  <si>
    <t>MAGAZINE LUIZA - AVENIDA BRASIL, 445 - SPI253160</t>
  </si>
  <si>
    <t>-21.7972053,-50.8750574</t>
  </si>
  <si>
    <t>SPI253160</t>
  </si>
  <si>
    <t>47960950020408</t>
  </si>
  <si>
    <t>191</t>
  </si>
  <si>
    <t>MAGAZINE LUIZA - AVENIDA DEZENOVE, 784 - ZONA COMERCIAL - SPI64407</t>
  </si>
  <si>
    <t>AVENIDA DEZENOVE</t>
  </si>
  <si>
    <t>786</t>
  </si>
  <si>
    <t>Barretos</t>
  </si>
  <si>
    <t>14780300</t>
  </si>
  <si>
    <t>-20.558786 , -48.568634</t>
  </si>
  <si>
    <t>SPI64407</t>
  </si>
  <si>
    <t>47960950002175</t>
  </si>
  <si>
    <t>MAGAZINE LUIZA - RUA BENEDITO DE ALMEIDA BUENO, 317 - ZONA COMERCIAL - SPI474250</t>
  </si>
  <si>
    <t>-23.114891 , -46.552246</t>
  </si>
  <si>
    <t>SPI474250</t>
  </si>
  <si>
    <t>47960950053756</t>
  </si>
  <si>
    <t>493</t>
  </si>
  <si>
    <t>MAGAZINE LUIZA - RUA CORONEL JOAO LEME,680 - ZONA COMERCIAL - SPI47427</t>
  </si>
  <si>
    <t>RUA CORONEL JOAO LEME</t>
  </si>
  <si>
    <t>-22.952995 , -46.541664</t>
  </si>
  <si>
    <t>SPI47427</t>
  </si>
  <si>
    <t>47960950012804</t>
  </si>
  <si>
    <t>MAGAZINE LUIZA - AVENIDA PARANA, 12  - ZONA COMERCIAL - SUL22164</t>
  </si>
  <si>
    <t>-23.2692183 , -51.0471562</t>
  </si>
  <si>
    <t>SUL22164</t>
  </si>
  <si>
    <t>47960950019906</t>
  </si>
  <si>
    <t>183</t>
  </si>
  <si>
    <t>MAGAZINE LUIZA - RUA TIRADENTES, 508 - SPI249270</t>
  </si>
  <si>
    <t>13660070</t>
  </si>
  <si>
    <t>-22.3548318,-47.3874174</t>
  </si>
  <si>
    <t>SPI249270</t>
  </si>
  <si>
    <t>47960950005948</t>
  </si>
  <si>
    <t>46</t>
  </si>
  <si>
    <t>MAGAZINE LUIZA - AVENIDA ANCHIETA, 2136 - SPI260300</t>
  </si>
  <si>
    <t>2136</t>
  </si>
  <si>
    <t>-23.8379685,-46.1335146</t>
  </si>
  <si>
    <t>SPI260300</t>
  </si>
  <si>
    <t>47960950135132</t>
  </si>
  <si>
    <t>1530</t>
  </si>
  <si>
    <t>MAGAZINE LUIZA - AVENIDA SAUDADE, S/N - ZONA COMERCIAL - SPI6697</t>
  </si>
  <si>
    <t>AVENIDA DA SAUDADE</t>
  </si>
  <si>
    <t>14080000</t>
  </si>
  <si>
    <t>-21.163242 , -47.802391</t>
  </si>
  <si>
    <t>SPI6697</t>
  </si>
  <si>
    <t>47960950004380</t>
  </si>
  <si>
    <t>MAGAZINE LUIZA - RUA TREZE DE MAIO, 351 - ZONA COMERCIAL - SPC23034</t>
  </si>
  <si>
    <t>351</t>
  </si>
  <si>
    <t>VILA GALVAO</t>
  </si>
  <si>
    <t>7071050</t>
  </si>
  <si>
    <t>-23.454338 , -46.566711</t>
  </si>
  <si>
    <t>SPC23034</t>
  </si>
  <si>
    <t>47960950055295</t>
  </si>
  <si>
    <t>571</t>
  </si>
  <si>
    <t>MAGAZINE LUIZA - RUA TUIUTI, 2230 - SPC6345</t>
  </si>
  <si>
    <t>RUA TUIUTI</t>
  </si>
  <si>
    <t>2230</t>
  </si>
  <si>
    <t>3307000</t>
  </si>
  <si>
    <t>-23.545172 , -46.574698</t>
  </si>
  <si>
    <t>SPC6345</t>
  </si>
  <si>
    <t>47960950054809</t>
  </si>
  <si>
    <t>565</t>
  </si>
  <si>
    <t>MAGAZINE LUIZA - PROFESSOR GOMES DE MATOS, 875 - ZONA COMERCIAL - NE5588</t>
  </si>
  <si>
    <t>AVENIDA PROFESSOR GOMES DE MATOS</t>
  </si>
  <si>
    <t>MONTESE</t>
  </si>
  <si>
    <t>60410001</t>
  </si>
  <si>
    <t>-3.7608238 , -38.54517329999999</t>
  </si>
  <si>
    <t>NE5588</t>
  </si>
  <si>
    <t>47960950092069</t>
  </si>
  <si>
    <t>MAGAZINE LUIZA - AVENIDA PRESIDENTE KENNEDY, 2156 - NE250890</t>
  </si>
  <si>
    <t>2156</t>
  </si>
  <si>
    <t>PEIXINHOS</t>
  </si>
  <si>
    <t>40130200</t>
  </si>
  <si>
    <t>-8.0123523,-34.8754176</t>
  </si>
  <si>
    <t>NE250890</t>
  </si>
  <si>
    <t>47960950080303</t>
  </si>
  <si>
    <t>709</t>
  </si>
  <si>
    <t>MAGAZINE LUIZA - AVENIDA COLETORA, S/N - SHOPPING PREMIO - NE20721</t>
  </si>
  <si>
    <t>MARCOSFREIRE</t>
  </si>
  <si>
    <t>-10.8503264, -37.0784628</t>
  </si>
  <si>
    <t>NE20721</t>
  </si>
  <si>
    <t>47960950090015</t>
  </si>
  <si>
    <t>737</t>
  </si>
  <si>
    <t>NAGEM - RUA RAUL LOPES, 1000 - SHOPPING TERESINA - NE251090</t>
  </si>
  <si>
    <t>RUA RAUL LOPES</t>
  </si>
  <si>
    <t>NE251090</t>
  </si>
  <si>
    <t>24073694010118</t>
  </si>
  <si>
    <t>LJ NG TER SH TERESINA</t>
  </si>
  <si>
    <t>PONTO FRIO - ESTRADA FRANCISCO DA CRUZ NUNES, 6501 - SHOPPING ITAIPU MULTICENTER - RJES11843</t>
  </si>
  <si>
    <t>-22.9406009, -43.0561836</t>
  </si>
  <si>
    <t>RJES11843</t>
  </si>
  <si>
    <t>33041260065967</t>
  </si>
  <si>
    <t>642</t>
  </si>
  <si>
    <t>RIACHUELO - ALAMEDA EUVALDO LUZ, 92 - SHOPPING BELA VISTA SALVADOR - NE64716</t>
  </si>
  <si>
    <t>LOJA 17.1</t>
  </si>
  <si>
    <t>NE64716</t>
  </si>
  <si>
    <t>33200056014441</t>
  </si>
  <si>
    <t>RIACHUELO - AVENIDA ARICANDUVA, 5555 - SHOPPING ARICANDUVA - SPC46653</t>
  </si>
  <si>
    <t>LOJA 23</t>
  </si>
  <si>
    <t>SPC46653</t>
  </si>
  <si>
    <t>33200056007402</t>
  </si>
  <si>
    <t>L126</t>
  </si>
  <si>
    <t>RIACHUELO - AVENIDA DOUTOR ANTONIO MARIA LAET, 566 - SHOPPING TUCURUVI - SPC48578</t>
  </si>
  <si>
    <t>LOJA 22/2 PISO 2</t>
  </si>
  <si>
    <t>SPC48578</t>
  </si>
  <si>
    <t>33200056004993</t>
  </si>
  <si>
    <t>RIACHUELO - AVENIDA FERREIRA VIANA, 1526 - SHOPPING PELOTAS - SUL48366</t>
  </si>
  <si>
    <t>LOJA 17</t>
  </si>
  <si>
    <t>SUL48366</t>
  </si>
  <si>
    <t>33200056010373</t>
  </si>
  <si>
    <t>L027</t>
  </si>
  <si>
    <t>RIACHUELO - AVENIDA SENADOR FILINTO MULLER, 43 - VARZEA GRANDE SHOPPING - MGCO251750</t>
  </si>
  <si>
    <t>(LOT JD AEROPORTO)</t>
  </si>
  <si>
    <t>78125100</t>
  </si>
  <si>
    <t>-15.6528225,-56.1231805</t>
  </si>
  <si>
    <t>MGCO251750</t>
  </si>
  <si>
    <t>33200056027772</t>
  </si>
  <si>
    <t>L290</t>
  </si>
  <si>
    <t>RIACHUELO - AVENIDA SARGENTO HERMINIO SAMPAIO, 3100 - SHOPPING RIOMAR KENNEDY - NE242560</t>
  </si>
  <si>
    <t>FORTALEZA</t>
  </si>
  <si>
    <t>60351088</t>
  </si>
  <si>
    <t>NE242560</t>
  </si>
  <si>
    <t>33200056044600</t>
  </si>
  <si>
    <t>L350</t>
  </si>
  <si>
    <t>RIACHUELO - RODOVIA DOS METALURGICOS , 1189 - SHOPPING PARK SUL - RJES90538</t>
  </si>
  <si>
    <t>RODOVIA DOS METALURGICOS</t>
  </si>
  <si>
    <t>RJES90538</t>
  </si>
  <si>
    <t>33200056041767</t>
  </si>
  <si>
    <t>L335</t>
  </si>
  <si>
    <t>RIACHUELO - AVENIDA CENTENARIO, 1052 - SHOPPING BOSQUE GRAO PARA - N45960</t>
  </si>
  <si>
    <t>N45960</t>
  </si>
  <si>
    <t>33200056040019</t>
  </si>
  <si>
    <t>RIACHUELO - ESTRADA DE RIBAMAR, MA 201, KM 05, 98 - SHOPPING PATIO NORTH - N242420</t>
  </si>
  <si>
    <t>SÃO JOSÉ DE RIBAMAR</t>
  </si>
  <si>
    <t>N242420</t>
  </si>
  <si>
    <t>33200056037140</t>
  </si>
  <si>
    <t>L291</t>
  </si>
  <si>
    <t>TELE RIO - RODOVIA DOS METALURGICOS, 1189 - SHOPPING PARK SUL VOLTA REDONDA - RJES271130</t>
  </si>
  <si>
    <t>RJES271130</t>
  </si>
  <si>
    <t>33086695004201</t>
  </si>
  <si>
    <t>TIM VIP - RUA CARDOSO RIBEIRO, 970 - OURINHOS PLAZA SHOPPING - SPI256420</t>
  </si>
  <si>
    <t>RUA CARDOSO RIBEIRO</t>
  </si>
  <si>
    <t>VILA BOA ESPERANCA</t>
  </si>
  <si>
    <t>19912120</t>
  </si>
  <si>
    <t>-22.9800198,-49.8657783</t>
  </si>
  <si>
    <t>SPI256420</t>
  </si>
  <si>
    <t>26668126000980</t>
  </si>
  <si>
    <t>Ourinhos Plaza Shopping</t>
  </si>
  <si>
    <t>LOJAS LEMAR (TIM) - RUA SAUL ELKIND, 1513 - SUL289820</t>
  </si>
  <si>
    <t>RUA SAUL ELKIND</t>
  </si>
  <si>
    <t>1513</t>
  </si>
  <si>
    <t>LOJA DE RUA</t>
  </si>
  <si>
    <t>AQUILES STHENGEL</t>
  </si>
  <si>
    <t>-23.2581161,-51.1576826</t>
  </si>
  <si>
    <t>SUL289820</t>
  </si>
  <si>
    <t>20654202001136</t>
  </si>
  <si>
    <t>MASTERCELL TIM - RUA FELIPE SCHIMITD, 167 - ZONA COMERCIAL - SUL7021</t>
  </si>
  <si>
    <t>RUA FELIPE SCHIMIDT</t>
  </si>
  <si>
    <t>SALA 1</t>
  </si>
  <si>
    <t>-27.596741 , -48.551689</t>
  </si>
  <si>
    <t>SUL7021</t>
  </si>
  <si>
    <t>02455036001400</t>
  </si>
  <si>
    <t>ALEGRIA (TIM) - AVENIDA AFONSO PENA, 522 - ZONA COMERCIAL - MGCO90826</t>
  </si>
  <si>
    <t>522</t>
  </si>
  <si>
    <t>31130001</t>
  </si>
  <si>
    <t>-19.9181824 , -43.939513</t>
  </si>
  <si>
    <t>MGCO90826</t>
  </si>
  <si>
    <t>21683365001371</t>
  </si>
  <si>
    <t>AQUILON JUFAP (TIM) - AVENIDA RAIMUNDO PEREIRA DE MAGALHAES, 1465 - TIETE PLAZA SHOPPING - SPC22137</t>
  </si>
  <si>
    <t>LOJA 1076</t>
  </si>
  <si>
    <t>SPC22137</t>
  </si>
  <si>
    <t>81214819003411</t>
  </si>
  <si>
    <t>JUFAP - TIETÊ PLAZA SHOPPING - SAP (41397)</t>
  </si>
  <si>
    <t>TELE COMPANY (TIM) - RUA XV DE NOVEMBRO, 2100 - ZONA COMERCIAL - SUL44790</t>
  </si>
  <si>
    <t>-25.459513 , -49.5280393</t>
  </si>
  <si>
    <t>SUL44790</t>
  </si>
  <si>
    <t>995956000170</t>
  </si>
  <si>
    <t>LUIZ ROBERTO – CENTRO – CAMPO LARGO - SAP (20643)</t>
  </si>
  <si>
    <t>TELECEL - OUTROS SHC OCTOGONAL EQ 02/08, S/N - SHOPPING TERRACO - MGCO5673</t>
  </si>
  <si>
    <t>OUTROS SHC OCTOGONAL EQ 02/08</t>
  </si>
  <si>
    <t>OCTOGONALSUL</t>
  </si>
  <si>
    <t>-15.8057612 , -47.9427618</t>
  </si>
  <si>
    <t>MGCO5673</t>
  </si>
  <si>
    <t>11775328000104</t>
  </si>
  <si>
    <t>TELECEL - TERRAÇO SHOPPING - SAP (20932)</t>
  </si>
  <si>
    <t>FACELL - AVENIDA LUIS VIANA FILHO, 8544 - SHOPPING PARALELA - NE241940</t>
  </si>
  <si>
    <t>AVENIDA LUIS VIANA FILHO</t>
  </si>
  <si>
    <t>-12.9362531, -38.3952636</t>
  </si>
  <si>
    <t>NE241940</t>
  </si>
  <si>
    <t>7366109002300</t>
  </si>
  <si>
    <t>FACELL LTDA - SALVADOR - SHOPPING PARALELA - SAP (39152)</t>
  </si>
  <si>
    <t>TIM - AVENIDA AFONSO PENA, 4909 - SHOPPING CAMPO GRANDE - MGCO5833</t>
  </si>
  <si>
    <t>MGCO5833</t>
  </si>
  <si>
    <t>2421421013108</t>
  </si>
  <si>
    <t>C060</t>
  </si>
  <si>
    <t>TIM - AVENIDA RIO MADEIRA, 3288 - PORTO VELHO SHOPPING - N64510</t>
  </si>
  <si>
    <t>FLODOALDOPONTESPINTO</t>
  </si>
  <si>
    <t>N64510</t>
  </si>
  <si>
    <t>2421421027230</t>
  </si>
  <si>
    <t>C703</t>
  </si>
  <si>
    <t>TIM - RUA OSCAR FREIRE, 987 - SPC288050</t>
  </si>
  <si>
    <t>RUA OSCAR FREIRE</t>
  </si>
  <si>
    <t>CERQUEIRA CEZAR</t>
  </si>
  <si>
    <t>1426003</t>
  </si>
  <si>
    <t>-23.5626488,-46.6722205</t>
  </si>
  <si>
    <t>SPC288050</t>
  </si>
  <si>
    <t>2421421029012</t>
  </si>
  <si>
    <t>CELULAR STATION - AVENIDA ABILIO AUGUSTO TAVORA, 1111 - SHOPPING NOVA IGUACU - RJES47481</t>
  </si>
  <si>
    <t>26255155</t>
  </si>
  <si>
    <t>-22.763253976240456 , -43.46516662057187</t>
  </si>
  <si>
    <t>RJES47481</t>
  </si>
  <si>
    <t>2449992018101</t>
  </si>
  <si>
    <t>COMMCENTER - RODOVIA BR 470, 3000 - BLUMENAU NORTE SHOPPING - SUL227930</t>
  </si>
  <si>
    <t>SALA 208/209</t>
  </si>
  <si>
    <t>SUL227930</t>
  </si>
  <si>
    <t>24965379001376</t>
  </si>
  <si>
    <t>ALEA ELETRO (VIVO) - RUA CONSELHEIRO MOREIRA DE BARROS, 2780 - SHOPPING SANTANA PARQUE - SPC261420</t>
  </si>
  <si>
    <t>LOJA 1023 A</t>
  </si>
  <si>
    <t>LAUZANE PAULISTA</t>
  </si>
  <si>
    <t>SPC261420</t>
  </si>
  <si>
    <t>93720464019253</t>
  </si>
  <si>
    <t>ALEA ELETRO (VIVO) - RUA COPAIBA, 1 - DF PLAZA SHOPPING - MGCO272460</t>
  </si>
  <si>
    <t>MGCO272460</t>
  </si>
  <si>
    <t>93720464017714</t>
  </si>
  <si>
    <t>CENTRAO (VIVO) - AVENIDA CORONEL TEIXEIRA, 7687 - N248220</t>
  </si>
  <si>
    <t>N248220</t>
  </si>
  <si>
    <t>20360124001833</t>
  </si>
  <si>
    <t>CELULAR STATION - RUA DAS LARANJEIRAS, 29 - RJES262440</t>
  </si>
  <si>
    <t>LOJA 39</t>
  </si>
  <si>
    <t>22221901</t>
  </si>
  <si>
    <t>-22.9320117,-43.1845811</t>
  </si>
  <si>
    <t>RJES262440</t>
  </si>
  <si>
    <t>2714643003229</t>
  </si>
  <si>
    <t>CELULAR STATION - RUA DO CATETE, 228 - RJES273220</t>
  </si>
  <si>
    <t>-22.9283707,-43.1776786</t>
  </si>
  <si>
    <t>RJES273220</t>
  </si>
  <si>
    <t>2714643004381</t>
  </si>
  <si>
    <t>WORLD CELL - OUTROS SHC OCTOGONAL EQ 02/08, S/N - SHOPPING TERRACO - MGCO5685</t>
  </si>
  <si>
    <t>MGCO5685</t>
  </si>
  <si>
    <t>5199395000206</t>
  </si>
  <si>
    <t>COMMCENTER - AVENIDA KENNEDY, 700 - SHOPPING GOLDEN SQUARE - SPC242750</t>
  </si>
  <si>
    <t>SÃO BERNARDO DO CAMPO</t>
  </si>
  <si>
    <t>-23.6835214 , -46.5573444</t>
  </si>
  <si>
    <t>SPC242750</t>
  </si>
  <si>
    <t>5828732014067</t>
  </si>
  <si>
    <t>VIVO CRONOLOGICA - PRACA DAS QUATRO JORNADAS, 10 - RJES272900</t>
  </si>
  <si>
    <t>PRACA DAS QUATRO JORNADAS</t>
  </si>
  <si>
    <t>28010000</t>
  </si>
  <si>
    <t>-21.7553834,-41.3242044</t>
  </si>
  <si>
    <t>RJES272900</t>
  </si>
  <si>
    <t>3685001004364</t>
  </si>
  <si>
    <t>ALEA ELETRO (VIVO) - RODOVIA AUGUSTO MONTE NEGRO, 4300 - PARQUE SHOPPING BELEM - N20488</t>
  </si>
  <si>
    <t>RODOVIA AUGUSTO MONTE NEGRO</t>
  </si>
  <si>
    <t>PARQUEVERDE</t>
  </si>
  <si>
    <t>N20488</t>
  </si>
  <si>
    <t>VIVO - PASSEIO DOS FLAMBOYANTS, 200 - SHOPPING IGUATEMI SAO CARLOS - SPI6341</t>
  </si>
  <si>
    <t>SPI6341</t>
  </si>
  <si>
    <t>2558157013736</t>
  </si>
  <si>
    <t>LOJA SAO CARLOS SHOPPING IGUATEMI SP</t>
  </si>
  <si>
    <t>VIVO - RUA 15 DE NOVEMBRO, 1699 - ZONA COMERCIAL - SUL5978</t>
  </si>
  <si>
    <t>1699</t>
  </si>
  <si>
    <t>80810000</t>
  </si>
  <si>
    <t>-25.537392 , -49.201908</t>
  </si>
  <si>
    <t>SUL5978</t>
  </si>
  <si>
    <t>2558157018886</t>
  </si>
  <si>
    <t>LOJA SAO JOSE DOS PINHAIS PR</t>
  </si>
  <si>
    <t>VIVO - RUA HALFELD, 816 - MGCO10508</t>
  </si>
  <si>
    <t>816</t>
  </si>
  <si>
    <t>-21.761236 , -43.349228</t>
  </si>
  <si>
    <t>MGCO10508</t>
  </si>
  <si>
    <t>2558157048017</t>
  </si>
  <si>
    <t>LOJA JUIZ DE FORA MG</t>
  </si>
  <si>
    <t>VIVO - AVENIDA AFONSO PENA, 2386 - ZONA COMERCIAL - MGCO5834</t>
  </si>
  <si>
    <t>2386</t>
  </si>
  <si>
    <t>79002933</t>
  </si>
  <si>
    <t>-20.4639137 , -54.6135643</t>
  </si>
  <si>
    <t>MGCO5834</t>
  </si>
  <si>
    <t>2558157012683</t>
  </si>
  <si>
    <t>LOJA SEDE MS</t>
  </si>
  <si>
    <t>VIVO - AVENIDA JULIO DE CASTILHOS, 2069 - ZONA COMERCIAL - SUL6223</t>
  </si>
  <si>
    <t>-29.167873 , -51.182472</t>
  </si>
  <si>
    <t>SUL6223</t>
  </si>
  <si>
    <t>2558157075847</t>
  </si>
  <si>
    <t>LOJA CAXIAS DO SUL CENTRO II RS</t>
  </si>
  <si>
    <t>VIVO - AVENIDA GETULIO VARGAS, 1211 - SUL288180</t>
  </si>
  <si>
    <t>JARDIM BOM JESUS DOS PASSOS</t>
  </si>
  <si>
    <t>-25.4487742,-49.0696937</t>
  </si>
  <si>
    <t>SUL288180</t>
  </si>
  <si>
    <t>2558157095104</t>
  </si>
  <si>
    <t>LOJA PIRAQUARA PR</t>
  </si>
  <si>
    <t>VIVO - RUA PORTAO DA PIEDADE, 155 - SHOPPING CENTER LAPA - NE7713</t>
  </si>
  <si>
    <t>-12.9830289 , -38.5137764</t>
  </si>
  <si>
    <t>NE7713</t>
  </si>
  <si>
    <t>LOJA INATIVADA/NÃO REATIVAR SEM VALIDAÇÃO</t>
  </si>
  <si>
    <t>VIVO - AVENIDA ADIAR DA SILVA CASE , 800 - SHOPPING CARUARU - NE11177</t>
  </si>
  <si>
    <t>NE11177</t>
  </si>
  <si>
    <t>2558157080689</t>
  </si>
  <si>
    <t>LOJA CARUARU SHOPPING PE</t>
  </si>
  <si>
    <t>VIVO - AVENIDA JOAO PALACIO, 300 - SHOPPING MESTRE ALVARO - RJES21219</t>
  </si>
  <si>
    <t>RJES21219</t>
  </si>
  <si>
    <t>2558157092504</t>
  </si>
  <si>
    <t>LOJA SHOPPING MESTRE ALVARO ES</t>
  </si>
  <si>
    <t>ARMAZEM PARAIBA - AVENIDA JOSEFA TAVERA, 85 - ZONA COMERCIAL - NE22037</t>
  </si>
  <si>
    <t>AVENIDA JOSEFA TAVERA</t>
  </si>
  <si>
    <t>58055000</t>
  </si>
  <si>
    <t>-7.1625729 , -34.8381416</t>
  </si>
  <si>
    <t>NE22037</t>
  </si>
  <si>
    <t>8995631001090</t>
  </si>
  <si>
    <t>CARREFOUR - AVENIDA DOUTOR JOAO MEDEIROS FILHO, 2005 - ZONA COMERCIAL - NE11059</t>
  </si>
  <si>
    <t>2005</t>
  </si>
  <si>
    <t>NE11059</t>
  </si>
  <si>
    <t>45543915031907</t>
  </si>
  <si>
    <t>NZN</t>
  </si>
  <si>
    <t>CARREFOUR - AVENIDA MARECHAL FLORIANO PEIXOTO, 3031 - ZONA COMERCIAL - SUL5991</t>
  </si>
  <si>
    <t>3031</t>
  </si>
  <si>
    <t>80220000</t>
  </si>
  <si>
    <t>-25.455578 , -49.259823</t>
  </si>
  <si>
    <t>SUL5991</t>
  </si>
  <si>
    <t>45543915007437</t>
  </si>
  <si>
    <t>CWP</t>
  </si>
  <si>
    <t>CARREFOUR - AVENIDA PROFESSOR FRANCISCO MORATO, 2718 - SHOPPING BUTANTA - SPC18694</t>
  </si>
  <si>
    <t>AVENIDA PROFESSOR FRANCISCO MORATO</t>
  </si>
  <si>
    <t>BUTANTA</t>
  </si>
  <si>
    <t>5512300</t>
  </si>
  <si>
    <t>-23.58432 , -46.725182</t>
  </si>
  <si>
    <t>SPC18694</t>
  </si>
  <si>
    <t>45543915003954</t>
  </si>
  <si>
    <t>SPB</t>
  </si>
  <si>
    <t>Shopping Butanta</t>
  </si>
  <si>
    <t>CASA &amp; VIDEO - AVENIDA JOAO PALACIO, 300 - SHOPPING MESTRE ALVARO - RJES269790</t>
  </si>
  <si>
    <t>EURICO SALES</t>
  </si>
  <si>
    <t>RJES269790</t>
  </si>
  <si>
    <t>11114284011017</t>
  </si>
  <si>
    <t>CASAS BAHIA - AVENIDA JOAO PESSOA, 87 - ZONA COMERCIAL - SPC20187</t>
  </si>
  <si>
    <t>11013001</t>
  </si>
  <si>
    <t>-23.934679 , -46.328175</t>
  </si>
  <si>
    <t>SPC20187</t>
  </si>
  <si>
    <t>33041260093405</t>
  </si>
  <si>
    <t>1066</t>
  </si>
  <si>
    <t>CASAS BAHIA - PRACA FRANCISCO BARRETO, 352 - ZONA COMERCIAL - SPI64812</t>
  </si>
  <si>
    <t>PRACA FRANCISCO BARRETO</t>
  </si>
  <si>
    <t>RUA DEZOITO</t>
  </si>
  <si>
    <t>14780059</t>
  </si>
  <si>
    <t>-20.55814 , -48.568188</t>
  </si>
  <si>
    <t>SPI64812</t>
  </si>
  <si>
    <t>33041260127407</t>
  </si>
  <si>
    <t>CASAS BAHIA - RUA AMAZONAS, 3423 - ZONA COMERCIAL - SPI42479</t>
  </si>
  <si>
    <t>3423</t>
  </si>
  <si>
    <t>RUA SAO PAULO,3390</t>
  </si>
  <si>
    <t>Votuporanga</t>
  </si>
  <si>
    <t>15500004</t>
  </si>
  <si>
    <t>-20.422351, -49.9743273</t>
  </si>
  <si>
    <t>SPI42479</t>
  </si>
  <si>
    <t>33041260126931</t>
  </si>
  <si>
    <t>CASAS BAHIA - AVENIDA RAGUEB CHOHFI, 4710 - ZONA COMERCIAL - SPC11206</t>
  </si>
  <si>
    <t>4710</t>
  </si>
  <si>
    <t>4720 E 4730</t>
  </si>
  <si>
    <t>8375000</t>
  </si>
  <si>
    <t>-23.5952867, -46.4404033</t>
  </si>
  <si>
    <t>SPC11206</t>
  </si>
  <si>
    <t>33041260116111</t>
  </si>
  <si>
    <t>CASAS BAHIA - RUA 13 DE MAIO, 274 - ZONA COMERCIAL - SPC11270</t>
  </si>
  <si>
    <t>R ST.ANTONIO,258</t>
  </si>
  <si>
    <t>-23.45503 , -46.566368</t>
  </si>
  <si>
    <t>SPC11270</t>
  </si>
  <si>
    <t>33041260103800</t>
  </si>
  <si>
    <t>CASAS BAHIA - RUA BERNARDO VIEIRA DE MELO, 53 - NE250870</t>
  </si>
  <si>
    <t>RUA BERNARDO VIEIRA DE MELO</t>
  </si>
  <si>
    <t>53</t>
  </si>
  <si>
    <t>AREA 2A / 2B</t>
  </si>
  <si>
    <t>Carpina</t>
  </si>
  <si>
    <t>55815100</t>
  </si>
  <si>
    <t>-7.8443168,-35.2577096</t>
  </si>
  <si>
    <t>NE250870</t>
  </si>
  <si>
    <t>33041260170167</t>
  </si>
  <si>
    <t>2075</t>
  </si>
  <si>
    <t>CASAS BAHIA - AVENIDA SENADOR CARLOS JEREISSATI, 100 - NORTH SHOPPING MARACANAU - NE42094</t>
  </si>
  <si>
    <t>AVENIDA SENADOR CARLOS JEREISSATI</t>
  </si>
  <si>
    <t>JEREISSATI II</t>
  </si>
  <si>
    <t>Maracanaú</t>
  </si>
  <si>
    <t>61900010</t>
  </si>
  <si>
    <t>-3.879695 , -38.621574</t>
  </si>
  <si>
    <t>NE42094</t>
  </si>
  <si>
    <t>33041260150301</t>
  </si>
  <si>
    <t>1789</t>
  </si>
  <si>
    <t>North Shopping Maracanau</t>
  </si>
  <si>
    <t>CASAS BAHIA - PRACA DA BANDEIRA, 15 - ZONA COMERCIAL - SPI39724</t>
  </si>
  <si>
    <t>Itatiba</t>
  </si>
  <si>
    <t>13250329</t>
  </si>
  <si>
    <t>-23.005151 , -46.8396268</t>
  </si>
  <si>
    <t>SPI39724</t>
  </si>
  <si>
    <t>33041260094550</t>
  </si>
  <si>
    <t>1396</t>
  </si>
  <si>
    <t>CASAS BAHIA - RUA CORONEL COIMBRA, 158 - SPI249990</t>
  </si>
  <si>
    <t>RUA CORONEL COIMBRA</t>
  </si>
  <si>
    <t>-22.3557863,-48.7745487</t>
  </si>
  <si>
    <t>SPI249990</t>
  </si>
  <si>
    <t>33041260180553</t>
  </si>
  <si>
    <t>2167</t>
  </si>
  <si>
    <t>CASAS BAHIA - AVENIDA JOAO DE ANDRADE, 1515 - ZONA COMERCIAL - SPC11258</t>
  </si>
  <si>
    <t>AVENIDA JOAO DE ANDRADE</t>
  </si>
  <si>
    <t>6132004</t>
  </si>
  <si>
    <t>-23.5591565 , -46.7992195</t>
  </si>
  <si>
    <t>SPC11258</t>
  </si>
  <si>
    <t>33041260097060</t>
  </si>
  <si>
    <t>HS - RUA OLIMPIO CATAO, 500 - SHOPPING JACAREI - SPI260070</t>
  </si>
  <si>
    <t>LOJA 54</t>
  </si>
  <si>
    <t>12308051</t>
  </si>
  <si>
    <t>SPI260070</t>
  </si>
  <si>
    <t>5923253004733</t>
  </si>
  <si>
    <t>COMERCIO DE CELULARES - VIA EXPRESSA PAUL FRITZ KUENRICH, 1600 - SHOPPING PARK EUROPEU - SUL87221</t>
  </si>
  <si>
    <t>VIA EXPRESSA PAUL FRITZ KUENRICH</t>
  </si>
  <si>
    <t>ITOUOAVA NORTE</t>
  </si>
  <si>
    <t>89052381</t>
  </si>
  <si>
    <t>-26.886531, -49.0687685</t>
  </si>
  <si>
    <t>SUL87221</t>
  </si>
  <si>
    <t>10722871000504</t>
  </si>
  <si>
    <t>Shopping Park Europeu</t>
  </si>
  <si>
    <t>SELF TELECOM (CLARO) - RUA MANOEL HONORATO DA COSTA, 555 - SHOPPING CAMARA - NE256570</t>
  </si>
  <si>
    <t>LOJA 1010</t>
  </si>
  <si>
    <t>NE256570</t>
  </si>
  <si>
    <t>36370002000282</t>
  </si>
  <si>
    <t>HS - RUA ANDORRA, 500 - SHOPPING JARDIM ORIENTE - SPI260960</t>
  </si>
  <si>
    <t>LOJA 296</t>
  </si>
  <si>
    <t>SPI260960</t>
  </si>
  <si>
    <t>5923253005110</t>
  </si>
  <si>
    <t>FLEX CELL - AVENIDA SANTA BARBARA, 777 - SHOPPING TIVOLI - SPI10822</t>
  </si>
  <si>
    <t>13064890</t>
  </si>
  <si>
    <t>SPI10822</t>
  </si>
  <si>
    <t>03243382001810</t>
  </si>
  <si>
    <t>HS - RUA BARAO DO RIO BRANCO, 1189 - ZONA COMERCIAL - SPI80083</t>
  </si>
  <si>
    <t>-21.138796 , -47.988888</t>
  </si>
  <si>
    <t>SPI80083</t>
  </si>
  <si>
    <t>5923253001475</t>
  </si>
  <si>
    <t>CARLOS EDUARDO SAVIAN REVENDA (CLARO) - AVENIDA CONSUL CARLOS RENAUX, 120 - SUL271380</t>
  </si>
  <si>
    <t>-27.097075,-48.9166187</t>
  </si>
  <si>
    <t>SUL271380</t>
  </si>
  <si>
    <t>7614855001123</t>
  </si>
  <si>
    <t>FLEX CELL - RUA JOAO PESSOA, 90 - SPI288600</t>
  </si>
  <si>
    <t>11015000</t>
  </si>
  <si>
    <t>-23.9349654,-46.3282481</t>
  </si>
  <si>
    <t>SPI288600</t>
  </si>
  <si>
    <t>3243382003511</t>
  </si>
  <si>
    <t>CLARO - AVENIDA 9 DE JULHO, 3333 - SHOPPING JUNDIAI - SPI6531</t>
  </si>
  <si>
    <t>3333</t>
  </si>
  <si>
    <t>LUC 109</t>
  </si>
  <si>
    <t>ANHANGABAU</t>
  </si>
  <si>
    <t>13208056</t>
  </si>
  <si>
    <t>-23.199556 , -46.889812</t>
  </si>
  <si>
    <t>SPI6531</t>
  </si>
  <si>
    <t>40432544032693</t>
  </si>
  <si>
    <t>11A9</t>
  </si>
  <si>
    <t>Shopping Jundiai</t>
  </si>
  <si>
    <t>CLARO - RODOVIA RAPOSO TAVARES KM 23,5, 23500 - SHOPPING GRANJA VIANNA - SPC7387</t>
  </si>
  <si>
    <t>AVENIDA RAPOSO TAVARES</t>
  </si>
  <si>
    <t>LOJA 242</t>
  </si>
  <si>
    <t>LAGEADINHO</t>
  </si>
  <si>
    <t>6709015</t>
  </si>
  <si>
    <t>-23.592454 , -46.833666</t>
  </si>
  <si>
    <t>SPC7387</t>
  </si>
  <si>
    <t>40432544033070</t>
  </si>
  <si>
    <t>Shopping Granja Vianna</t>
  </si>
  <si>
    <t>CLARO - AVENIDA 24 DE OUTUBRO, 1215 - ZONA COMERCIAL - MGCO5738</t>
  </si>
  <si>
    <t>-16.6697335 , -49.2895473</t>
  </si>
  <si>
    <t>MGCO5738</t>
  </si>
  <si>
    <t>40432544107456</t>
  </si>
  <si>
    <t>6213</t>
  </si>
  <si>
    <t>CLARO - AVENIDA FERNANDES LIMA, 580 - ZONA COMERCIAL - NE11077</t>
  </si>
  <si>
    <t>AVENIDA FERNANDES LIMA</t>
  </si>
  <si>
    <t>FAROL</t>
  </si>
  <si>
    <t>57050000</t>
  </si>
  <si>
    <t>-9.6453623 , -35.7340108</t>
  </si>
  <si>
    <t>NE11077</t>
  </si>
  <si>
    <t>40432544040955</t>
  </si>
  <si>
    <t>8205</t>
  </si>
  <si>
    <t>CLARO - RODOVIA DOS TRABALHADORES, S/N, LOJA 26 - SHOPPING BOSQUE GRAO - N47023</t>
  </si>
  <si>
    <t>RODOVIA DOS TRABALHADORES</t>
  </si>
  <si>
    <t>-1.388988, -48.4646489</t>
  </si>
  <si>
    <t>N47023</t>
  </si>
  <si>
    <t>40432544087676</t>
  </si>
  <si>
    <t>9118</t>
  </si>
  <si>
    <t>CLARO - AVENIDA PROFESSOR FRANCISCO MORATO, 2718 - SHOPPING BUTANTA - SPC6452</t>
  </si>
  <si>
    <t>-23.5845327 , -46.7252074</t>
  </si>
  <si>
    <t>SPC6452</t>
  </si>
  <si>
    <t>40432544034041</t>
  </si>
  <si>
    <t>LOJAS COLOMBO - AVENIDA MARECHAL DEODORO DA FONSECA, 137 - ZONA COMERCIAL - SUL7500</t>
  </si>
  <si>
    <t>AVENIDA MARECHAL DEODORO</t>
  </si>
  <si>
    <t>-25.431938 , -49.270924</t>
  </si>
  <si>
    <t>SUL7500</t>
  </si>
  <si>
    <t>89848543021255</t>
  </si>
  <si>
    <t>ELETROZEMA - AVENIDA AFONSO PENA, 177 - ZONA COMERCIAL - MGCO10533</t>
  </si>
  <si>
    <t>-18.9213 , -48.280379</t>
  </si>
  <si>
    <t>MGCO10533</t>
  </si>
  <si>
    <t>26404731013921</t>
  </si>
  <si>
    <t>UBERLÂNDIA</t>
  </si>
  <si>
    <t>GAZIN - RUA DOM PEDRO II, 1371 - N250070</t>
  </si>
  <si>
    <t>76801102</t>
  </si>
  <si>
    <t>-8.7613075,-63.8993616</t>
  </si>
  <si>
    <t>N250070</t>
  </si>
  <si>
    <t>77941490020504</t>
  </si>
  <si>
    <t>10200</t>
  </si>
  <si>
    <t>HAVAN - AVENIDA HORACIO ROCANELLO, 5135 - ZONA COMERCIAL - SUL18776</t>
  </si>
  <si>
    <t>AVENIDA HORACIO ROCANELLO</t>
  </si>
  <si>
    <t>5135</t>
  </si>
  <si>
    <t>87030040</t>
  </si>
  <si>
    <t>-23.4184545 , -51.9315942</t>
  </si>
  <si>
    <t>SUL18776</t>
  </si>
  <si>
    <t>79379491003603</t>
  </si>
  <si>
    <t>34 - AVENIDA CENTER</t>
  </si>
  <si>
    <t>HAVAN - RODOVIA PAUL FRITZ KUEHNRICH, 1600 - SHOPPING PARK EUROPEU - SUL19836</t>
  </si>
  <si>
    <t>OUTROS VIA EXPRESSA PAUL FRITZ KUEHRICH</t>
  </si>
  <si>
    <t>ITOUPAVA NORTE</t>
  </si>
  <si>
    <t>-26.886639 , -49.068558</t>
  </si>
  <si>
    <t>SUL19836</t>
  </si>
  <si>
    <t>79379491003107</t>
  </si>
  <si>
    <t>30 - PARK EUROPEU</t>
  </si>
  <si>
    <t>KOERICH - RUA SEIS DE JANEIRO, 77 - SUL266820</t>
  </si>
  <si>
    <t>-28.6790454,-49.3710843</t>
  </si>
  <si>
    <t>SUL266820</t>
  </si>
  <si>
    <t>86184074014010</t>
  </si>
  <si>
    <t>LEBES - RUA ALCEBIADES AZEREDO DOS SANTOS, 261 - ZONA COMERCIAL - SUL511101</t>
  </si>
  <si>
    <t>RUA ALCEBÍADES AZEREDO DOS SANTOS</t>
  </si>
  <si>
    <t>LOJA 343</t>
  </si>
  <si>
    <t>-30.0833955 , -51.0284241</t>
  </si>
  <si>
    <t>SUL511101</t>
  </si>
  <si>
    <t>96662168005958</t>
  </si>
  <si>
    <t>LOJAS AMERICANAS - RUA RUA MONTEIRO DE AZEVEDO, 34 - RJES21035</t>
  </si>
  <si>
    <t>RUA DOUTOR MONTEIRO AZEVEDO</t>
  </si>
  <si>
    <t>LOJA 335/394</t>
  </si>
  <si>
    <t>23810500</t>
  </si>
  <si>
    <t>-22.87318 , -43.7773</t>
  </si>
  <si>
    <t>RJES21035</t>
  </si>
  <si>
    <t>776574033836</t>
  </si>
  <si>
    <t>L471</t>
  </si>
  <si>
    <t>LOJAS AMERICANAS - SCC LTS 1,5E6, S/N - MGCO42627</t>
  </si>
  <si>
    <t>SCC LTS 1,5E6</t>
  </si>
  <si>
    <t>72445010</t>
  </si>
  <si>
    <t>-16.021107038346468 , -48.068354842533495</t>
  </si>
  <si>
    <t>MGCO42627</t>
  </si>
  <si>
    <t>776574073978</t>
  </si>
  <si>
    <t>LOJAS AMERICANAS - RUA JOAQUIM NABUCO, 39 - SPC90032</t>
  </si>
  <si>
    <t>RUA JOAQUIM NABUCO</t>
  </si>
  <si>
    <t>CAMPO BELO</t>
  </si>
  <si>
    <t>4621000</t>
  </si>
  <si>
    <t>-23.623198 , -46.684643</t>
  </si>
  <si>
    <t>SPC90032</t>
  </si>
  <si>
    <t>776574094460</t>
  </si>
  <si>
    <t>L511</t>
  </si>
  <si>
    <t>LOJAS AMERICANAS - RUA SETE DE SETEMBRO, 1213 - SHOPPING NEUMARKT - SUL19837</t>
  </si>
  <si>
    <t>SUL19837</t>
  </si>
  <si>
    <t>776574158612</t>
  </si>
  <si>
    <t>L197</t>
  </si>
  <si>
    <t>LOJAS AMERICANAS - RUA MARIO LOBO, 106 - SHOPPING CIDADE DAS FLORES - SUL271920</t>
  </si>
  <si>
    <t>SUL271920</t>
  </si>
  <si>
    <t>776574193604</t>
  </si>
  <si>
    <t>5455</t>
  </si>
  <si>
    <t>LOJAS AMERICANAS - AVENIDA DEPUTADO ODON BEZERRA, 184 - SHOPPING TAMBIA - NE10915</t>
  </si>
  <si>
    <t>L 1</t>
  </si>
  <si>
    <t>NE10915</t>
  </si>
  <si>
    <t>776574167018</t>
  </si>
  <si>
    <t>L198</t>
  </si>
  <si>
    <t>LOJAS AMERICANAS - RODOVIA RAPOSO TAVARES KM 23,5, 23500 - SHOPPING GRANJA VIANNA - SPC19570</t>
  </si>
  <si>
    <t>LUC 281/282 PISO L1</t>
  </si>
  <si>
    <t>SPC19570</t>
  </si>
  <si>
    <t>776574132141</t>
  </si>
  <si>
    <t>L658</t>
  </si>
  <si>
    <t>LOJAS AMERICANAS - AVENIDA PROFESSOR FRANCISCO MORATO, 2718 - SHOPPING BUTANTA - SPC21866</t>
  </si>
  <si>
    <t>SPC21866</t>
  </si>
  <si>
    <t>776574093901</t>
  </si>
  <si>
    <t>L238</t>
  </si>
  <si>
    <t>LOJAS AMERICANAS - AVENIDA CARLOS GOMES, 1360 - N64515</t>
  </si>
  <si>
    <t>AVENIDA CARLOS GOMES</t>
  </si>
  <si>
    <t>76801109</t>
  </si>
  <si>
    <t>-8.76071 , -63.900183</t>
  </si>
  <si>
    <t>N64515</t>
  </si>
  <si>
    <t>776574003767</t>
  </si>
  <si>
    <t>L446</t>
  </si>
  <si>
    <t>LOJAS AMERICANAS - AVENIDA PARANA, 196 - SUL11012</t>
  </si>
  <si>
    <t>86020360</t>
  </si>
  <si>
    <t>-23.310968 , -51.161133</t>
  </si>
  <si>
    <t>SUL11012</t>
  </si>
  <si>
    <t>776574018446</t>
  </si>
  <si>
    <t>L028</t>
  </si>
  <si>
    <t>LOJAS AMERICANAS - AVENIDA ANCHIETA, 1948 - SPI260330</t>
  </si>
  <si>
    <t>1948</t>
  </si>
  <si>
    <t>11250000</t>
  </si>
  <si>
    <t>-23.8394771,-46.1349937</t>
  </si>
  <si>
    <t>SPI260330</t>
  </si>
  <si>
    <t>776574025655</t>
  </si>
  <si>
    <t>L751</t>
  </si>
  <si>
    <t>LOJAS AMERICANAS - AVENIDA PINHEIRO FRANCO, S/N - ZONA COMERCIAL - SPC18678</t>
  </si>
  <si>
    <t>AVENIDA PINHEIRO FRANCO</t>
  </si>
  <si>
    <t>-23.5250604 , -46.2004323</t>
  </si>
  <si>
    <t>SPC18678</t>
  </si>
  <si>
    <t>LOJAS AMERICANAS - RUA GAVIAO PEIXOTO, 171 - ZONA COMERCIAL - RJES11845</t>
  </si>
  <si>
    <t>RUA GAVIAO PEIXOTO</t>
  </si>
  <si>
    <t>24230091</t>
  </si>
  <si>
    <t>-22.9038054 , -43.1096599</t>
  </si>
  <si>
    <t>RJES11845</t>
  </si>
  <si>
    <t>776574034484</t>
  </si>
  <si>
    <t>L308</t>
  </si>
  <si>
    <t>LOJAS AMERICANAS - AVENIDA SEGUNDA AVENIDA , 443 - ZONA COMERCIAL - RJES85247</t>
  </si>
  <si>
    <t>AVENIDA SEGUNDA AVENIDA</t>
  </si>
  <si>
    <t>29165390</t>
  </si>
  <si>
    <t>-20.1981764 , -40.2522009</t>
  </si>
  <si>
    <t>RJES85247</t>
  </si>
  <si>
    <t>776574011948</t>
  </si>
  <si>
    <t>5064</t>
  </si>
  <si>
    <t>LOJAS AMERICANAS - RUA ECILDA DE QUEIROZ, 200 - SHOPPING PATIO ARVOREDO - NE278000</t>
  </si>
  <si>
    <t>RUA ECILDA DE QUEIROZ</t>
  </si>
  <si>
    <t>PARQUE DOIS IRMAOS</t>
  </si>
  <si>
    <t>60761285</t>
  </si>
  <si>
    <t>-3.8211831,-38.5575405</t>
  </si>
  <si>
    <t>NE278000</t>
  </si>
  <si>
    <t>00776574102587</t>
  </si>
  <si>
    <t>L437</t>
  </si>
  <si>
    <t>Shopping Patio Arvoredo</t>
  </si>
  <si>
    <t>LOJAS AMERICANAS - AVENIDA JOAO PALACIO, 300 - SHOPPING MESTRE ALVARO - RJES9052</t>
  </si>
  <si>
    <t>29160925</t>
  </si>
  <si>
    <t>RJES9052</t>
  </si>
  <si>
    <t>776574126842</t>
  </si>
  <si>
    <t>LOJAS AMERICANAS - RUA DOUTOR PERGENTINO MAIA, 555 - NE289740</t>
  </si>
  <si>
    <t>RUA DOUTOR PERGENTINO MAIA</t>
  </si>
  <si>
    <t>60840045</t>
  </si>
  <si>
    <t>-3.8310846,-38.4927567</t>
  </si>
  <si>
    <t>NE289740</t>
  </si>
  <si>
    <t>776574013304</t>
  </si>
  <si>
    <t>LOJAS CEM - RUA JOAO PESSOA, 185 - ZONA COMERCIAL - SPC20190</t>
  </si>
  <si>
    <t>11010013</t>
  </si>
  <si>
    <t>-23.935204 , -46.325481</t>
  </si>
  <si>
    <t>SPC20190</t>
  </si>
  <si>
    <t>56642960003044</t>
  </si>
  <si>
    <t>SANTOS</t>
  </si>
  <si>
    <t>LOJAS CEM - AVENIDA JANIO QUADROS, 45 - ZONA COMERCIAL - SPI42109</t>
  </si>
  <si>
    <t>AVENIDA JANIO QUADROS</t>
  </si>
  <si>
    <t>Monte Mor</t>
  </si>
  <si>
    <t>13190000</t>
  </si>
  <si>
    <t>-22.948965 , -47.315182</t>
  </si>
  <si>
    <t>SPI42109</t>
  </si>
  <si>
    <t>56642960012540</t>
  </si>
  <si>
    <t>MTEMOR</t>
  </si>
  <si>
    <t>LOJAS CEM - RUA NOVE DE JULHO, 1019 - SPI232110</t>
  </si>
  <si>
    <t>1019</t>
  </si>
  <si>
    <t>15400000</t>
  </si>
  <si>
    <t>-20.7394384 , -48.9135819</t>
  </si>
  <si>
    <t>SPI232110</t>
  </si>
  <si>
    <t>56642960025528</t>
  </si>
  <si>
    <t>OLIMPI</t>
  </si>
  <si>
    <t>LOJAS CEM - RUA VINTE, 762 - ZONA COMERCIAL - SPI64409</t>
  </si>
  <si>
    <t>RUA VINTE</t>
  </si>
  <si>
    <t>14780070</t>
  </si>
  <si>
    <t>-20.55871 , -48.56897</t>
  </si>
  <si>
    <t>SPI64409</t>
  </si>
  <si>
    <t>56642960005098</t>
  </si>
  <si>
    <t>BARRET</t>
  </si>
  <si>
    <t>LOJAS CEM - AVENIDA PRESIDENTE ROOSEVELT, 657 - SPI268500</t>
  </si>
  <si>
    <t>AVENIDA PRESIDENTE ROOSEVELT</t>
  </si>
  <si>
    <t>-21.7962329,-50.8733564</t>
  </si>
  <si>
    <t>SPI268500</t>
  </si>
  <si>
    <t>56642960030793</t>
  </si>
  <si>
    <t>OSVCRU</t>
  </si>
  <si>
    <t>LOJAS CEM - AVENIDA SAUL ELKIND, 1650 - SUL11270</t>
  </si>
  <si>
    <t>1650</t>
  </si>
  <si>
    <t>JD SANTA CRUZ</t>
  </si>
  <si>
    <t>-23.2577330764746 , -51.1530225150463</t>
  </si>
  <si>
    <t>SUL11270</t>
  </si>
  <si>
    <t>56642960026338</t>
  </si>
  <si>
    <t>LONDSA</t>
  </si>
  <si>
    <t>LOJAS SIMONETTI - AVENIDA JOAO PALACIO, 300 - SHOPPING MESTRE ALVARO - RJES79579</t>
  </si>
  <si>
    <t>EURICOSALLES</t>
  </si>
  <si>
    <t>RJES79579</t>
  </si>
  <si>
    <t>MAGAZINE LUIZA - AVENIDA JUSC. KUBIT. DE OLIVEIRA, 5000 - SHOPPING IGUATEMI SAO JOSE - SPI19659</t>
  </si>
  <si>
    <t>LOJA 1096/1097</t>
  </si>
  <si>
    <t>SPI19659</t>
  </si>
  <si>
    <t>47960950090791</t>
  </si>
  <si>
    <t>MAGAZINE LUIZA - RUA BARAO DO RIO BRANCO, 441 - ZONA COMERCIAL - SPI44829</t>
  </si>
  <si>
    <t>441</t>
  </si>
  <si>
    <t>-21.212521 , -47.597282</t>
  </si>
  <si>
    <t>SPI44829</t>
  </si>
  <si>
    <t>47960950058553</t>
  </si>
  <si>
    <t>611</t>
  </si>
  <si>
    <t>MAGAZINE LUIZA - AVENIDA GETULIO VARGAS, 40 - ZONA COMERCIAL - SUL40043</t>
  </si>
  <si>
    <t>AVENIDA GETULIO VARGAS,</t>
  </si>
  <si>
    <t>40</t>
  </si>
  <si>
    <t>Biguaçu</t>
  </si>
  <si>
    <t>88160000</t>
  </si>
  <si>
    <t>-27.4960113 , -48.65543479999999</t>
  </si>
  <si>
    <t>SUL40043</t>
  </si>
  <si>
    <t>47960950041740</t>
  </si>
  <si>
    <t>MAGAZINE LUIZA - RUA JANIO QUADROS, 176 - SPI227680</t>
  </si>
  <si>
    <t>RUA JANIO QUADROS</t>
  </si>
  <si>
    <t>-22.9492144, -47.3142948</t>
  </si>
  <si>
    <t>SPI227680</t>
  </si>
  <si>
    <t>47960950118980</t>
  </si>
  <si>
    <t>MAGAZINE LUIZA - AVENIDA MANOEL RIBAS, 1207 - ZONA COMERCIAL - SUL11560</t>
  </si>
  <si>
    <t>AVENIDA MANOEL RIBAS</t>
  </si>
  <si>
    <t>Rolândia</t>
  </si>
  <si>
    <t>-23.3123638 , -51.3683602</t>
  </si>
  <si>
    <t>SUL11560</t>
  </si>
  <si>
    <t>47960950067030</t>
  </si>
  <si>
    <t>971</t>
  </si>
  <si>
    <t>MAGAZINE LUIZA - AVENIDA JOSE PAULINO, 1488 - ZONA COMERCIAL - SPI18803</t>
  </si>
  <si>
    <t>1488</t>
  </si>
  <si>
    <t>-22.7655376 , -47.1499438</t>
  </si>
  <si>
    <t>SPI18803</t>
  </si>
  <si>
    <t>47960950018411</t>
  </si>
  <si>
    <t>MAGAZINE LUIZA - AVENIDA JOSEFA TAVERA, 32 - ZONA COMERCIAL - NE22038</t>
  </si>
  <si>
    <t>-7.1623861 , -34.838659</t>
  </si>
  <si>
    <t>NE22038</t>
  </si>
  <si>
    <t>47960950077930</t>
  </si>
  <si>
    <t>764</t>
  </si>
  <si>
    <t>MAGAZINE LUIZA - AVENIDA MARECHAL FLORIANO PEIXOTO, 5899 - ZONA COMERCIAL - SUL6003</t>
  </si>
  <si>
    <t>5899</t>
  </si>
  <si>
    <t>VILA HAUER</t>
  </si>
  <si>
    <t>-25.479576 , -49.248093</t>
  </si>
  <si>
    <t>SUL6003</t>
  </si>
  <si>
    <t>47960950012723</t>
  </si>
  <si>
    <t>MAGAZINE LUIZA - AVENIDA WINSTON CHURCHILL, 2469 - ZONA COMERCIAL - SUL5994</t>
  </si>
  <si>
    <t>2469</t>
  </si>
  <si>
    <t>PINHEIRINHO</t>
  </si>
  <si>
    <t>-25.518097 , -49.295521</t>
  </si>
  <si>
    <t>SUL5994</t>
  </si>
  <si>
    <t>47960950070766</t>
  </si>
  <si>
    <t>920</t>
  </si>
  <si>
    <t>MAGAZINE LUIZA - RUA AMAZONAS, 3311 - ZONA COMERCIAL - SPI40177</t>
  </si>
  <si>
    <t>3311</t>
  </si>
  <si>
    <t>PÓLO COMERCIAL E INDUSTRIAL</t>
  </si>
  <si>
    <t>15505208</t>
  </si>
  <si>
    <t>-20.4234217, -49.97440659999999</t>
  </si>
  <si>
    <t>SPI40177</t>
  </si>
  <si>
    <t>47960950025540</t>
  </si>
  <si>
    <t>226</t>
  </si>
  <si>
    <t>PONTO FRIO - RUA TIRADENTES, 163 - ZONA COMERCIAL - SUL9111</t>
  </si>
  <si>
    <t>32235250</t>
  </si>
  <si>
    <t>-29.919075 , -51.180004</t>
  </si>
  <si>
    <t>SUL9111</t>
  </si>
  <si>
    <t>33041260022800</t>
  </si>
  <si>
    <t>RIACHUELO - AVENIDA BENEDITO MATARAZZO, 9403 - ZONA COMERCIAL - SPI48026</t>
  </si>
  <si>
    <t>SPI48026</t>
  </si>
  <si>
    <t>33200056003083</t>
  </si>
  <si>
    <t>L152</t>
  </si>
  <si>
    <t>RIACHUELO - AVENIDA JOSE PINHEIRO BORGES, S/N - SHOPPING ITAQUERA - SPC80216</t>
  </si>
  <si>
    <t>LJ 441 442 443 E 541</t>
  </si>
  <si>
    <t>SPC80216</t>
  </si>
  <si>
    <t>33200056022380</t>
  </si>
  <si>
    <t>RIACHUELO - RUA MANOEL DA NOBREGA ,712 - SHOPPING PRACA DA MOCA - SPC47801</t>
  </si>
  <si>
    <t>-23.6916005 , -46.6233279</t>
  </si>
  <si>
    <t>SPC47801</t>
  </si>
  <si>
    <t>33200056007070</t>
  </si>
  <si>
    <t>RIACHUELO - TENENTE AVELAR PIRES AZEVEDO, 81 - SHOPPING OSASCO PLAZA - SPC48043</t>
  </si>
  <si>
    <t>SPC48043</t>
  </si>
  <si>
    <t>33200056005884</t>
  </si>
  <si>
    <t>RIACHUELO - RUA BARAO DE JUNDIAI, 789 - ZONA COMERCIAL - SPI48485</t>
  </si>
  <si>
    <t>789</t>
  </si>
  <si>
    <t>-23.188153 , -46.885241</t>
  </si>
  <si>
    <t>SPI48485</t>
  </si>
  <si>
    <t>33200056024404</t>
  </si>
  <si>
    <t>L015</t>
  </si>
  <si>
    <t>RIACHUELO - RUA CONSELHEIRO MOREIRA DE BARROS, 2780 - SHOPPING SANTANA PARQUE - SPC237520</t>
  </si>
  <si>
    <t>-23.483018538794834, -46.644843452765805</t>
  </si>
  <si>
    <t>SPC237520</t>
  </si>
  <si>
    <t>33200056037654</t>
  </si>
  <si>
    <t>L248</t>
  </si>
  <si>
    <t>RIACHUELO - AVENIDA JORGE ELIAS DE LUCCA, 677 - SHOPPING NACOES - SUL237370</t>
  </si>
  <si>
    <t>AVENIDA JORGE ELIAS DE LUCCA, 677 - SHOPPING NACOES</t>
  </si>
  <si>
    <t>88813390</t>
  </si>
  <si>
    <t>-28.6857892, -49.333701</t>
  </si>
  <si>
    <t>SUL237370</t>
  </si>
  <si>
    <t>33200056044359</t>
  </si>
  <si>
    <t>L339</t>
  </si>
  <si>
    <t>RIACHUELO - AVENIDA JOAO PALACIO, 300 - SHOPPING MESTRE ALVARO - RJES265810</t>
  </si>
  <si>
    <t>RJES265810</t>
  </si>
  <si>
    <t>33200056009286</t>
  </si>
  <si>
    <t>SIPOLATTI - AVENIDA JOAO PALACIO, 300 - SHOPPING MESTRE ALVARO - RJES9049</t>
  </si>
  <si>
    <t>RJES9049</t>
  </si>
  <si>
    <t>IANK CELL - RODOVIA PAUL FRITZ KUEHNRICH, 1600 - SHOPPING PARK EUROPEU - SUL9200</t>
  </si>
  <si>
    <t>"LOJA 1061	"</t>
  </si>
  <si>
    <t>SUL9200</t>
  </si>
  <si>
    <t>11024827000402</t>
  </si>
  <si>
    <t>CELLZAP - RUA MANOEL HONORATO DA COSTA, 555 - SHOPPING CAMARA - NE239690</t>
  </si>
  <si>
    <t>LOJA 1018 - PISO L1</t>
  </si>
  <si>
    <t>-8.0163327, -34.9775849</t>
  </si>
  <si>
    <t>NE239690</t>
  </si>
  <si>
    <t>22529731000242</t>
  </si>
  <si>
    <t>IMAGEM TELECOM - AVENIDA PROFESSOR FRANCISCO MORATO, 2718 - SHOPPING BUTANTA - SPC18867</t>
  </si>
  <si>
    <t>LOJA 253 PISO G2</t>
  </si>
  <si>
    <t>SPC18867</t>
  </si>
  <si>
    <t>11057917000815</t>
  </si>
  <si>
    <t>IMAGEM - SHOPPING BUTANTA - SAP (25989)</t>
  </si>
  <si>
    <t>ALEGRIA (TIM) - RUA TUPIS, 337 - SHOPPING CIDADE - MGCO288540</t>
  </si>
  <si>
    <t>MGCO288540</t>
  </si>
  <si>
    <t>60806001000400</t>
  </si>
  <si>
    <t>BEM MAIS TELECOM CIDADE - SAP (44481)</t>
  </si>
  <si>
    <t>ALEGRIA (TIM) - RUA OLIMPIO CATAO, 500 - SPI11007</t>
  </si>
  <si>
    <t>RUA OLÍMPIO CATÃO</t>
  </si>
  <si>
    <t>-23.3033556, -45.9626255</t>
  </si>
  <si>
    <t>SPI11007</t>
  </si>
  <si>
    <t>21683365002939</t>
  </si>
  <si>
    <t>ALEGRIA - JACAREI SHOPPING - SAP (39229)</t>
  </si>
  <si>
    <t>TALKLINE TELECOM (TIM) - ESTRADA DE RIBAMAR, MA 201, KM 05, 98 - SHOPPING PATIO NORTH - N265780</t>
  </si>
  <si>
    <t>SARAMENTA</t>
  </si>
  <si>
    <t>N265780</t>
  </si>
  <si>
    <t>44944217000206</t>
  </si>
  <si>
    <t>ALEGRIA (TIM) - AVENIDA GENERAL DAVID SARNOFF, 5160 - ITAU POWER SHOPPING - MGCO289590</t>
  </si>
  <si>
    <t>MGCO289590</t>
  </si>
  <si>
    <t>60806001000150</t>
  </si>
  <si>
    <t>ALEGRIA ITAU - SAP (44457)</t>
  </si>
  <si>
    <t>IMAGEM TELECOM - RODOVIA RAPOSO TAVARES KM 23,5, 23500 - SHOPPING GRANJA VIANNA - SPC7897</t>
  </si>
  <si>
    <t>RODOVIA RAPOSO TAVARES KM 23,5</t>
  </si>
  <si>
    <t>23500</t>
  </si>
  <si>
    <t>-23.592098, -46.832799</t>
  </si>
  <si>
    <t>SPC7897</t>
  </si>
  <si>
    <t>11057917002273</t>
  </si>
  <si>
    <t>IMAGEM - SHOPPING GRANJA VIANNA - SAP (44062)</t>
  </si>
  <si>
    <t>FACELL - AVENIDA SANTOS DUMONT, 4360 - PARQUE SHOPPING BAHIA - NE237040</t>
  </si>
  <si>
    <t>NE237040</t>
  </si>
  <si>
    <t>7366109002644</t>
  </si>
  <si>
    <t>TELECEL - QD. 00 LOTE 6A-6B2 LJ 48 - SHOPPING DE AGUAS LINDAS - MGCO79576</t>
  </si>
  <si>
    <t>QD. 00 LOTE 6A-6B2 LJ 48</t>
  </si>
  <si>
    <t>MANSESCENTROOESTE</t>
  </si>
  <si>
    <t>-15.735514, -48.2741702</t>
  </si>
  <si>
    <t>MGCO79576</t>
  </si>
  <si>
    <t>DULCOM/DPI (TIM) - RUA MARECHAL DEODORO, 128 - SPI44971</t>
  </si>
  <si>
    <t>-21.2061436, -50.4405705</t>
  </si>
  <si>
    <t>SPI44971</t>
  </si>
  <si>
    <t>TIM - AVENIDAS JOAO CESAR DE OLIVEIRA, 2718 - MGCO254100</t>
  </si>
  <si>
    <t>AVENIDAS JOAO CESAR DE OLIVEIRA</t>
  </si>
  <si>
    <t>-19.9389574,-44.049921</t>
  </si>
  <si>
    <t>MGCO254100</t>
  </si>
  <si>
    <t>2421421026692</t>
  </si>
  <si>
    <t>C699</t>
  </si>
  <si>
    <t>TIM - AVENIDA RIO BRANCO, 122 - RJES7536</t>
  </si>
  <si>
    <t>-22.9047638 , -43.1780991</t>
  </si>
  <si>
    <t>RJES7536</t>
  </si>
  <si>
    <t>2421421006314</t>
  </si>
  <si>
    <t>C215</t>
  </si>
  <si>
    <t>COMERCIAL MOVEIS BRASILIA (VIVO) - AVENIDA TUIUTI, 710 - SHOPPING CIDADE MARINGA - SUL235370</t>
  </si>
  <si>
    <t>AVENIDA TUIUTI</t>
  </si>
  <si>
    <t>SALA 25 LOTE 583 A 586</t>
  </si>
  <si>
    <t>87040360</t>
  </si>
  <si>
    <t>-23.422752 , -51.90661110000001</t>
  </si>
  <si>
    <t>SUL235370</t>
  </si>
  <si>
    <t>78614278010885</t>
  </si>
  <si>
    <t>Shopping Cidade Maringa</t>
  </si>
  <si>
    <t>FMO (VIVO) - RUA GONCALVES CRESPO, 78 - SHOPPING BOULEVARD TATUAPE - SPC233370</t>
  </si>
  <si>
    <t>PAVILHÃO 1 LOJA 208</t>
  </si>
  <si>
    <t>SPC233370</t>
  </si>
  <si>
    <t>39321744002006</t>
  </si>
  <si>
    <t>VIVO FUTURA - AVENIDA GENERAL DAVID SARNOFF, 5160 - ITAU POWER SHOPPING - MGCO273010</t>
  </si>
  <si>
    <t>ANDAR 1 LOJA 60</t>
  </si>
  <si>
    <t>MGCO273010</t>
  </si>
  <si>
    <t>7538340003992</t>
  </si>
  <si>
    <t>COMMCENTER - PRACA CARLOS GIANELLI, S/N - SHOPPING PATIO ALCANTARA - RJES288070</t>
  </si>
  <si>
    <t>LOJA 205</t>
  </si>
  <si>
    <t>RJES288070</t>
  </si>
  <si>
    <t>5828732021942</t>
  </si>
  <si>
    <t>COMMCENTER - RODOVIA RAPOSO TAVARES KM 23,5, 23500 - SHOPPING GRANJA VIANNA - SPC10316</t>
  </si>
  <si>
    <t>SPC10316</t>
  </si>
  <si>
    <t>5828732001917</t>
  </si>
  <si>
    <t>COMMCENTER - AVENIDA PROFESSOR FRANCISCO MORATO, 2718 - SHOPPING BUTANTA - SPC9225</t>
  </si>
  <si>
    <t>SPC9225</t>
  </si>
  <si>
    <t>5828732015705</t>
  </si>
  <si>
    <t>COMMCENTER - RUA EUCLIDES DA CUNHA, 21 - SHOPPING MIRAMAR - SPC8806</t>
  </si>
  <si>
    <t>-23.9656929 , -46.3352099</t>
  </si>
  <si>
    <t>SPC8806</t>
  </si>
  <si>
    <t>5828732016515</t>
  </si>
  <si>
    <t>COMMCENTER - RODOVIA PAUL FRITZ KUEHNRICH, 1600 - SHOPPING PARK EUROPEU - SUL9201</t>
  </si>
  <si>
    <t>RODOVIA PAUL FRITZ KUEHNRICH</t>
  </si>
  <si>
    <t>85010002</t>
  </si>
  <si>
    <t>-26.8861648, -49.0691809</t>
  </si>
  <si>
    <t>SUL9201</t>
  </si>
  <si>
    <t>308055002964</t>
  </si>
  <si>
    <t>ALEA ELETRO (VIVO) - AVENIDA CORONEL MARCOS DE ANDRADE, 171 - SUL270580</t>
  </si>
  <si>
    <t>AVENIDA CORONEL MARCOS DE ANDRADE</t>
  </si>
  <si>
    <t>94410050</t>
  </si>
  <si>
    <t>-30.0828452,-51.0279825</t>
  </si>
  <si>
    <t>SUL270580</t>
  </si>
  <si>
    <t>93720464004221</t>
  </si>
  <si>
    <t>PORTOCELL (VIVO) - RUA BARAO DE SAO JOAO NEPOMUCENO, 326 - MGCO278830</t>
  </si>
  <si>
    <t>RUA BARAO DE SAO JOAO NEPOMUCENO</t>
  </si>
  <si>
    <t>36110081</t>
  </si>
  <si>
    <t>-21.7619238,-43.3509332</t>
  </si>
  <si>
    <t>MGCO278830</t>
  </si>
  <si>
    <t>11655202000864</t>
  </si>
  <si>
    <t>VIVO CRONOLOGICA - RUA ALFREDO WHATELI, S/N - ZONA COMERCIAL - RJES19073</t>
  </si>
  <si>
    <t>RUA ALFREDO WHATELI</t>
  </si>
  <si>
    <t>25620003</t>
  </si>
  <si>
    <t>-22.4617951 , -44.4534062</t>
  </si>
  <si>
    <t>RJES19073</t>
  </si>
  <si>
    <t>03685001000539</t>
  </si>
  <si>
    <t>MINAS TELECOM (VIVO) - AVENIDA JOAO CESAR DE OLIVEIRA, 2600 - MGCO273710</t>
  </si>
  <si>
    <t>2600</t>
  </si>
  <si>
    <t>-19.939028,-44.046979</t>
  </si>
  <si>
    <t>MGCO273710</t>
  </si>
  <si>
    <t>9719752002630</t>
  </si>
  <si>
    <t>VIVO - SIQUEIRA CAMPOS, 1545 - SHOPPING PRUDENTE PARQUE - SPI20821</t>
  </si>
  <si>
    <t>QUIOSQUE 29</t>
  </si>
  <si>
    <t>VL ROBERTO</t>
  </si>
  <si>
    <t>19013030</t>
  </si>
  <si>
    <t>-22.131746 , -51.390289</t>
  </si>
  <si>
    <t>SPI20821</t>
  </si>
  <si>
    <t>2558157076223</t>
  </si>
  <si>
    <t>LOJA PARQUE SHOPPING PRUDENTE SP</t>
  </si>
  <si>
    <t>Shopping Prudente Parque</t>
  </si>
  <si>
    <t>VIVO - AVENIDA BRASIL, 3207 - SUL5983</t>
  </si>
  <si>
    <t>3207</t>
  </si>
  <si>
    <t>-23.421036 , -51.933441</t>
  </si>
  <si>
    <t>SUL5983</t>
  </si>
  <si>
    <t>2558157017804</t>
  </si>
  <si>
    <t>LOJA BRASIL PR</t>
  </si>
  <si>
    <t>VIVO - RUA DOUTOR JOAO RIBEIRO, 304 - SHOPPING PENHA - SPC7311</t>
  </si>
  <si>
    <t>-23.525265, -46.5468663</t>
  </si>
  <si>
    <t>SPC7311</t>
  </si>
  <si>
    <t>2558157009461</t>
  </si>
  <si>
    <t>LOJA PENHA SP</t>
  </si>
  <si>
    <t>VIVO - RUA CONSELHEIRO JUNQUEIRA AYRES, 8 - SHOPPING PIEDADE - NE20590</t>
  </si>
  <si>
    <t>NE20590</t>
  </si>
  <si>
    <t>2558157094809</t>
  </si>
  <si>
    <t>LOJA CENTER PIEDADE BA</t>
  </si>
  <si>
    <t>ARMAZEM PARAIBA - AVENIDA LIBERDADE, 3450 - NE249430</t>
  </si>
  <si>
    <t>3450</t>
  </si>
  <si>
    <t>58308001</t>
  </si>
  <si>
    <t>-7.124638,-34.9264021</t>
  </si>
  <si>
    <t>NE249430</t>
  </si>
  <si>
    <t>8995631005916</t>
  </si>
  <si>
    <t>ARMAZEM PARAIBA - RUA VALDEMAR GALDINO NAZARENO, 514 - NE22039</t>
  </si>
  <si>
    <t>RUA VALDEMAR GALDINO NAZARENO</t>
  </si>
  <si>
    <t>GEISEL</t>
  </si>
  <si>
    <t>58076003</t>
  </si>
  <si>
    <t>-7.1790639 , -34.8737171</t>
  </si>
  <si>
    <t>NE22039</t>
  </si>
  <si>
    <t>CARREFOUR - AVENIDA DORIVAL CANDIDO LUZ DE OLIVEIRA, 165 - ZONA COMERCIAL - SUL11419</t>
  </si>
  <si>
    <t>AVENIDA DORIVAL CANDIDO DE OLIVEIRA LUZ</t>
  </si>
  <si>
    <t>Gravataí</t>
  </si>
  <si>
    <t>94030000</t>
  </si>
  <si>
    <t>-29.93986739999999 , -50.9966392</t>
  </si>
  <si>
    <t>SUL11419</t>
  </si>
  <si>
    <t>45543915038588</t>
  </si>
  <si>
    <t>GRV</t>
  </si>
  <si>
    <t>CARREFOUR - RUA FRANCISCO LEOCADIO COUTINHO, 701 - ZONA COMERCIAL - NE22041</t>
  </si>
  <si>
    <t>RUA FRANCISCO LEOCADIO COUTINHO</t>
  </si>
  <si>
    <t>701</t>
  </si>
  <si>
    <t>AEROCLUBE</t>
  </si>
  <si>
    <t>58036450</t>
  </si>
  <si>
    <t>-7.085035299999999, -34.8430604</t>
  </si>
  <si>
    <t>NE22041</t>
  </si>
  <si>
    <t>45543915030099</t>
  </si>
  <si>
    <t>JPE</t>
  </si>
  <si>
    <t>CASA &amp; VIDEO - RUA ITAPERA, 500 - SHOPPING VIA BRASIL - RJES6069</t>
  </si>
  <si>
    <t>RJES6069</t>
  </si>
  <si>
    <t>11114284006528</t>
  </si>
  <si>
    <t>SHOPPING VIA BRASIL</t>
  </si>
  <si>
    <t>CASA &amp; VIDEO - RODOVIA GOVERNADOR MARIO COVAS, KM 295 - SHOPPING ITABORAI PLAZA - RJES266890</t>
  </si>
  <si>
    <t>24855148</t>
  </si>
  <si>
    <t>RJES266890</t>
  </si>
  <si>
    <t>11114284011874</t>
  </si>
  <si>
    <t>ITABORAI PLAZA</t>
  </si>
  <si>
    <t>CASAS BAHIA - AVENIDA MARECHAL DEODORO DA FONSECA, 158 - ZONA COMERCIAL - SUL21989</t>
  </si>
  <si>
    <t>SALA 3</t>
  </si>
  <si>
    <t>89251700</t>
  </si>
  <si>
    <t>-26.48271 , -49.082752</t>
  </si>
  <si>
    <t>SUL21989</t>
  </si>
  <si>
    <t>33041260128470</t>
  </si>
  <si>
    <t>CASAS BAHIA - RUA PRESIDENTE CARLOS CAVALCANTI, 239 - ZONA COMERCIAL - SUL22069</t>
  </si>
  <si>
    <t>RUA PRESIDENTE CARLOS CAVALCANTI</t>
  </si>
  <si>
    <t>Araucária</t>
  </si>
  <si>
    <t>83702470</t>
  </si>
  <si>
    <t>-25.592137 , -49.40979350000001</t>
  </si>
  <si>
    <t>SUL22069</t>
  </si>
  <si>
    <t>33041260077620</t>
  </si>
  <si>
    <t>1734</t>
  </si>
  <si>
    <t>CASAS BAHIA - RUA MACIEL MONTEIRO, 239 - ZONA COMERCIAL - SPC10051</t>
  </si>
  <si>
    <t>RUA MACIEL MONTEIRO</t>
  </si>
  <si>
    <t>R.DES. PORTELA,821</t>
  </si>
  <si>
    <t>ARTUR ALVIM</t>
  </si>
  <si>
    <t>3566000</t>
  </si>
  <si>
    <t>-23.538528 , -46.490429</t>
  </si>
  <si>
    <t>SPC10051</t>
  </si>
  <si>
    <t>33041260115905</t>
  </si>
  <si>
    <t>1226</t>
  </si>
  <si>
    <t>CASAS BAHIA - RUA IGNACIO ALVES MATTOS, 64 - ZONA COMERCIAL - SPC11220</t>
  </si>
  <si>
    <t>RUA IGNACIO ALVES DE MATTOS</t>
  </si>
  <si>
    <t>A E B,FUNDOS 66</t>
  </si>
  <si>
    <t>8210210</t>
  </si>
  <si>
    <t>-23.537893 , -46.454021</t>
  </si>
  <si>
    <t>SPC11220</t>
  </si>
  <si>
    <t>33041260115220</t>
  </si>
  <si>
    <t>CASAS BAHIA - AMANDO DE BARROS, 490 - ZONA COMERCIAL - SPI8761</t>
  </si>
  <si>
    <t>AMANDO DE BARROS</t>
  </si>
  <si>
    <t>Botucatu</t>
  </si>
  <si>
    <t>18600050</t>
  </si>
  <si>
    <t>-22.8865082 , -48.440416</t>
  </si>
  <si>
    <t>SPI8761</t>
  </si>
  <si>
    <t>33041260113520</t>
  </si>
  <si>
    <t>1126</t>
  </si>
  <si>
    <t>CASAS BAHIA - RUA 30 DE JULHO, 134 - ZONA COMERCIAL - SPI6637</t>
  </si>
  <si>
    <t>134</t>
  </si>
  <si>
    <t>-22.738619 , -47.329975</t>
  </si>
  <si>
    <t>SPI6637</t>
  </si>
  <si>
    <t>33041260093154</t>
  </si>
  <si>
    <t>CASAS BAHIA - RUA GOVERNADOR PEDRO DE TOLEDO, 1118 - ZONA COMERCIAL - SPI11522</t>
  </si>
  <si>
    <t>-22.726986 , -47.648441</t>
  </si>
  <si>
    <t>SPI11522</t>
  </si>
  <si>
    <t>33041260033330</t>
  </si>
  <si>
    <t>1952</t>
  </si>
  <si>
    <t>CASAS BAHIA - RUA 15 DE NOVEMBRO, 545 - ZONA COMERCIAL - SPI19366</t>
  </si>
  <si>
    <t>Lençóis Paulista</t>
  </si>
  <si>
    <t>-22.5977444 , -48.7979806</t>
  </si>
  <si>
    <t>SPI19366</t>
  </si>
  <si>
    <t>33041260113600</t>
  </si>
  <si>
    <t>1377</t>
  </si>
  <si>
    <t>CASAS BAHIA - RUA SIQUEIRA CAMPOS, 582 - NE238800</t>
  </si>
  <si>
    <t>53401320</t>
  </si>
  <si>
    <t>-7.94145, -34.881758</t>
  </si>
  <si>
    <t>NE238800</t>
  </si>
  <si>
    <t>33041260167107</t>
  </si>
  <si>
    <t>2044</t>
  </si>
  <si>
    <t>CASAS BAHIA - AVENIDA PIRES DO RIO, 4840 - ZONA COMERCIAL - SPC11218</t>
  </si>
  <si>
    <t>AVENIDA PIRES DO RIO</t>
  </si>
  <si>
    <t>4840</t>
  </si>
  <si>
    <t>8240005</t>
  </si>
  <si>
    <t>-23.533802 , -46.454193</t>
  </si>
  <si>
    <t>SPC11218</t>
  </si>
  <si>
    <t>33041260115069</t>
  </si>
  <si>
    <t>1072</t>
  </si>
  <si>
    <t>CASAS BAHIA - AVENIDA MARECHAL TITO, 3154 - ZONA COMERCIAL - SPC11228</t>
  </si>
  <si>
    <t>3154</t>
  </si>
  <si>
    <t>8160495</t>
  </si>
  <si>
    <t>-23.4943281 , -46.4153751</t>
  </si>
  <si>
    <t>SPC11228</t>
  </si>
  <si>
    <t>33041260117436</t>
  </si>
  <si>
    <t>1525</t>
  </si>
  <si>
    <t>CASAS BAHIA - RUA PROFESSOR DUILIO CALDERARI, 1720 - SUL287610</t>
  </si>
  <si>
    <t>RUA PROFESSOR DUILIO CALDERARI</t>
  </si>
  <si>
    <t>JARDIM PAULISTA</t>
  </si>
  <si>
    <t>Campina Grande do Sul</t>
  </si>
  <si>
    <t>83430000</t>
  </si>
  <si>
    <t>-25.3636491,-49.1017863</t>
  </si>
  <si>
    <t>SUL287610</t>
  </si>
  <si>
    <t>33041260182173</t>
  </si>
  <si>
    <t>2179</t>
  </si>
  <si>
    <t>CASAS BAHIA - AVENIDA CONSUL ASSAF TRAD, 4796 - SHOPPING BOSQUE DOS IPES - MGCO11389</t>
  </si>
  <si>
    <t>AVENIDA CONSUL ASSAF TRAD</t>
  </si>
  <si>
    <t>4796</t>
  </si>
  <si>
    <t>NOVOS ESTADOS</t>
  </si>
  <si>
    <t>79013545</t>
  </si>
  <si>
    <t>-20.3976671, -54.5588309</t>
  </si>
  <si>
    <t>MGCO11389</t>
  </si>
  <si>
    <t>33041260144590</t>
  </si>
  <si>
    <t>1743</t>
  </si>
  <si>
    <t>Shopping Bosque Dos Ipês</t>
  </si>
  <si>
    <t>SELF TELECOM (CLARO) - AVENIDA SENADOR CARLOS JEREISSATI, 100 - NORTH SHOPPING MARACANAU - NE251710</t>
  </si>
  <si>
    <t>JEREISSATE</t>
  </si>
  <si>
    <t>61901012</t>
  </si>
  <si>
    <t>NE251710</t>
  </si>
  <si>
    <t>34769989000114</t>
  </si>
  <si>
    <t>ALFATEC (CLARO) - RUA 12, 300 - SIDER SHOPPING - RJES276080</t>
  </si>
  <si>
    <t>LOJA 328/329</t>
  </si>
  <si>
    <t>-22.51656 , -44.106506</t>
  </si>
  <si>
    <t>RJES276080</t>
  </si>
  <si>
    <t>30725326000147</t>
  </si>
  <si>
    <t>CONNECT CELL (CLARO) - AVENIDA GOVERNADOR AGAMENON MAGALHAES, 153 - SHOPPING TACARUNA - NE6883</t>
  </si>
  <si>
    <t>SANTOAMARO</t>
  </si>
  <si>
    <t>-8.037975399999999 , -34.8717322</t>
  </si>
  <si>
    <t>NE6883</t>
  </si>
  <si>
    <t>13985813000120</t>
  </si>
  <si>
    <t>CLARO RP - RUA PEDRO COSTA, 22 - ZONA COMERCIAL - SPI20902</t>
  </si>
  <si>
    <t>RUA PEDRO COSTA</t>
  </si>
  <si>
    <t>-23.0272748 , -45.5557316</t>
  </si>
  <si>
    <t>SPI20902</t>
  </si>
  <si>
    <t>5949641002669</t>
  </si>
  <si>
    <t>HS - RUA CORONEL JOAQUIM ROSA, 141 - SPI254960</t>
  </si>
  <si>
    <t>141</t>
  </si>
  <si>
    <t>-20.8905116,-47.5873986</t>
  </si>
  <si>
    <t>SPI254960</t>
  </si>
  <si>
    <t>5923253001718</t>
  </si>
  <si>
    <t>HARCOS TELECOM (CLARO) - RUA PADRE JOSE, 54 - NE290180</t>
  </si>
  <si>
    <t>RUA PADRE JOSE</t>
  </si>
  <si>
    <t>SÃO JOSÉ</t>
  </si>
  <si>
    <t>55815140</t>
  </si>
  <si>
    <t>-7.8448091,-35.2560631</t>
  </si>
  <si>
    <t>NE290180</t>
  </si>
  <si>
    <t>6371307002200</t>
  </si>
  <si>
    <t>CLARO AA - AVENIDA LUIZ EDUARDO TOLEDO PRADO, 900 - SHOPPING IGUATEMI RIBEIRAO PRETO - SPI8601</t>
  </si>
  <si>
    <t>SPI8601</t>
  </si>
  <si>
    <t>CLARO - AVENIDA LUIS VIANA FILHO, 8544 - SHOPPING PARALELA - NE47034</t>
  </si>
  <si>
    <t>PISO L2,QD E, LOJAS 209, 210 E 2</t>
  </si>
  <si>
    <t>-12.93655355439528 , -38.394869696196</t>
  </si>
  <si>
    <t>NE47034</t>
  </si>
  <si>
    <t>40432544029048</t>
  </si>
  <si>
    <t>7111</t>
  </si>
  <si>
    <t>CLARO - AVENIDA MARECHAL FLORIANO PEIXOTO, 913 - ZONA COMERCIAL - NE10868</t>
  </si>
  <si>
    <t>58400165</t>
  </si>
  <si>
    <t>-7.217864400000001 , -35.88087480000001</t>
  </si>
  <si>
    <t>NE10868</t>
  </si>
  <si>
    <t>40432544007745</t>
  </si>
  <si>
    <t>8302</t>
  </si>
  <si>
    <t>CLARO - RUA BARAO DO RIO BRANCO, 1411 - NE47053</t>
  </si>
  <si>
    <t>RUA BARÃO DO RIO BRANCO</t>
  </si>
  <si>
    <t>1411</t>
  </si>
  <si>
    <t>60025060</t>
  </si>
  <si>
    <t>-3.7306819 , -38.52951239999999</t>
  </si>
  <si>
    <t>NE47053</t>
  </si>
  <si>
    <t>40432544053690</t>
  </si>
  <si>
    <t>8512</t>
  </si>
  <si>
    <t>CLARO - AVENIDA DAS AMERICAS, 7777 - SHOPPING RIO DESIGN - RJES244980</t>
  </si>
  <si>
    <t>7777</t>
  </si>
  <si>
    <t>22793081</t>
  </si>
  <si>
    <t>-23.0013713,-43.3865876</t>
  </si>
  <si>
    <t>RJES244980</t>
  </si>
  <si>
    <t>40432544095857</t>
  </si>
  <si>
    <t>2144</t>
  </si>
  <si>
    <t>Shopping Rio Design</t>
  </si>
  <si>
    <t>LOJAS COLOMBO - RUA GETULIO VARGAS, 84 - SUL232490</t>
  </si>
  <si>
    <t>RUA GETULIO VARGAS</t>
  </si>
  <si>
    <t>88160128</t>
  </si>
  <si>
    <t>-27.4963895 , -48.6560168</t>
  </si>
  <si>
    <t>SUL232490</t>
  </si>
  <si>
    <t>89848543050867</t>
  </si>
  <si>
    <t>COLOMBO - RUA JOSE MARIA DA LUZ, 2717 - ZONA COMERCIAL - SUL19295</t>
  </si>
  <si>
    <t>RUA JOSÉ MARIA DA LUZ</t>
  </si>
  <si>
    <t>2717</t>
  </si>
  <si>
    <t>-27.6461263 , -48.6662076</t>
  </si>
  <si>
    <t>SUL19295</t>
  </si>
  <si>
    <t>89848543072836</t>
  </si>
  <si>
    <t>COLOMBO - SANTA CATARINA, 1305 - ZONA COMERCIAL - SUL19971</t>
  </si>
  <si>
    <t>SANTA CATARINA</t>
  </si>
  <si>
    <t>FLORESTA</t>
  </si>
  <si>
    <t>89211307</t>
  </si>
  <si>
    <t>-26.3344299 , -48.8473221</t>
  </si>
  <si>
    <t>SUL19971</t>
  </si>
  <si>
    <t>89848543020100</t>
  </si>
  <si>
    <t>COLOMBO - RUA XV DE NOVEMBRO, 7535 - SUL290210</t>
  </si>
  <si>
    <t>7535</t>
  </si>
  <si>
    <t>89237001</t>
  </si>
  <si>
    <t>-26.2869066,-48.910896</t>
  </si>
  <si>
    <t>SUL290210</t>
  </si>
  <si>
    <t>89848543085229</t>
  </si>
  <si>
    <t>ELETROZEMA - PRACA NOSSA SENHORA APARECIDA, 26 - SPI239420</t>
  </si>
  <si>
    <t>-21.0220859, -47.7679542</t>
  </si>
  <si>
    <t>SPI239420</t>
  </si>
  <si>
    <t>26404731002997</t>
  </si>
  <si>
    <t>JARDINÓPOLIS</t>
  </si>
  <si>
    <t>HAVAN - RUA SALIMA SALUM, 355 - SUL232700</t>
  </si>
  <si>
    <t>RUA SALIMA SALUM</t>
  </si>
  <si>
    <t>88160142</t>
  </si>
  <si>
    <t>-27.5024427 , -48.6519147</t>
  </si>
  <si>
    <t>SUL232700</t>
  </si>
  <si>
    <t>79379491012432</t>
  </si>
  <si>
    <t>129 - BIGUACU</t>
  </si>
  <si>
    <t>HAVAN - RUA ELIANE MOTA, 1787 - ZONA COMERCIAL - SUL42550</t>
  </si>
  <si>
    <t>RUA ELIANE MOTA</t>
  </si>
  <si>
    <t>88110840</t>
  </si>
  <si>
    <t>-27.5653226 , -48.6156325</t>
  </si>
  <si>
    <t>SUL42550</t>
  </si>
  <si>
    <t>IMPERIO - RUA PADRE LEMOS, 203 - NE238460</t>
  </si>
  <si>
    <t>-8.024993799999999, -34.9181626</t>
  </si>
  <si>
    <t>NE238460</t>
  </si>
  <si>
    <t>27936211002564</t>
  </si>
  <si>
    <t>IMPERIO - AVENIDA MURILO SILVA, 150 - NE250840</t>
  </si>
  <si>
    <t>AVENIDA MURILO SILVA</t>
  </si>
  <si>
    <t>CAJA</t>
  </si>
  <si>
    <t>55813820</t>
  </si>
  <si>
    <t>-7.8469685,-35.2576869</t>
  </si>
  <si>
    <t>NE250840</t>
  </si>
  <si>
    <t>27936211002130</t>
  </si>
  <si>
    <t>KOERICH - RUA ADÃO MANOEL DA SILVA, 548 - SHOPPING IDEAL - SUL19864</t>
  </si>
  <si>
    <t>RUA ADÃO MANOEL DA SILVA</t>
  </si>
  <si>
    <t>AREIAS</t>
  </si>
  <si>
    <t>88113260</t>
  </si>
  <si>
    <t>-27.5564982 , -48.622173</t>
  </si>
  <si>
    <t>SUL19864</t>
  </si>
  <si>
    <t>86184074010022</t>
  </si>
  <si>
    <t>Shopping Ideal</t>
  </si>
  <si>
    <t>KOERICH - AVENIDA GETULIO VARGAS, 98 - ZONA COMERCIAL - SUL40044</t>
  </si>
  <si>
    <t>-27.496567 , -48.655834</t>
  </si>
  <si>
    <t>SUL40044</t>
  </si>
  <si>
    <t>86184074010294</t>
  </si>
  <si>
    <t>LE BISCUIT - RODOVIA BA 526, 305 - SALVADOR NORTE SHOPPING - NE272040</t>
  </si>
  <si>
    <t>NE272040</t>
  </si>
  <si>
    <t>16233289001712</t>
  </si>
  <si>
    <t>LOJAS AMERICANAS - RUA WINSTON CHURCHILL, 2567 - ZONA COMERCIAL - SUL39661</t>
  </si>
  <si>
    <t>RUA WINSTON CHURCHILL</t>
  </si>
  <si>
    <t>2567</t>
  </si>
  <si>
    <t>-25.5190682 , -49.29527359999999</t>
  </si>
  <si>
    <t>SUL39661</t>
  </si>
  <si>
    <t>776574010461</t>
  </si>
  <si>
    <t>L642</t>
  </si>
  <si>
    <t>LOJAS AMERICANAS - RODOVIA RIO SANTOS, S/N - SHOPPING PATIO MIX ITAGUAI - RJES228680</t>
  </si>
  <si>
    <t>RODOVIA RIO SANTOS</t>
  </si>
  <si>
    <t>LOJA 1041</t>
  </si>
  <si>
    <t>VILA IBIRAPITANGA</t>
  </si>
  <si>
    <t>23812101</t>
  </si>
  <si>
    <t>-22.8673198 , -43.7490721</t>
  </si>
  <si>
    <t>RJES228680</t>
  </si>
  <si>
    <t>776574079585</t>
  </si>
  <si>
    <t>L369</t>
  </si>
  <si>
    <t>Shopping Patio Mix Itaguai</t>
  </si>
  <si>
    <t>LOJAS AMERICANAS - AVENIDA SENADOR CARLOS JEREISSATI, 82 - NORTH SHOPPING MARACANAU - NE42096</t>
  </si>
  <si>
    <t>NE42096</t>
  </si>
  <si>
    <t>776574166712</t>
  </si>
  <si>
    <t>L270</t>
  </si>
  <si>
    <t>LOJAS AMERICANAS - RUA CARAPINIMA, 2200 - SHOPPING BENFICA - NE5598</t>
  </si>
  <si>
    <t>ILHAS 1 E 2</t>
  </si>
  <si>
    <t>NE5598</t>
  </si>
  <si>
    <t>776574102153</t>
  </si>
  <si>
    <t>L199</t>
  </si>
  <si>
    <t>LOJAS AMERICANAS - AVENIDA EUSEBIO DE QUEIROZ, 1890 - SHOPPING EUSEBIO - NE277850</t>
  </si>
  <si>
    <t>LUC 04 CE040</t>
  </si>
  <si>
    <t>NE277850</t>
  </si>
  <si>
    <t>776574101777</t>
  </si>
  <si>
    <t>LOJAS AMERICANAS - AVENIDA JOAO CESAR DE OLIVEIRA, 1275 - BIG SHOPPING - MGCO10460</t>
  </si>
  <si>
    <t>LOJA ANCORA B 02</t>
  </si>
  <si>
    <t>MGCO10460</t>
  </si>
  <si>
    <t>776574085631</t>
  </si>
  <si>
    <t>LOJAS AMERICANAS - AVENIDA JOSE MUNIA, 4775 - SHOPPING PLAZA AVENIDA - SPI6619</t>
  </si>
  <si>
    <t>LOJA A12,PISO 1</t>
  </si>
  <si>
    <t>SPI6619</t>
  </si>
  <si>
    <t>776574067811</t>
  </si>
  <si>
    <t>L297</t>
  </si>
  <si>
    <t>LOJAS AMERICANAS - AVENIDA BRASIL, 3171 - SUL11677</t>
  </si>
  <si>
    <t>3171</t>
  </si>
  <si>
    <t>-23.4214112 , -51.9326859</t>
  </si>
  <si>
    <t>SUL11677</t>
  </si>
  <si>
    <t>776574010623</t>
  </si>
  <si>
    <t>LOJAS AMERICANAS - PRACA DA BANDEIRA, 98 - SPI240170</t>
  </si>
  <si>
    <t>74115030</t>
  </si>
  <si>
    <t>-23.0060864, -46.8391712</t>
  </si>
  <si>
    <t>SPI240170</t>
  </si>
  <si>
    <t>776574029723</t>
  </si>
  <si>
    <t>5062</t>
  </si>
  <si>
    <t>LOJAS AMERICANAS - RODOVIA ARMANDO CALIL, 6300 - SUL45923</t>
  </si>
  <si>
    <t>6300</t>
  </si>
  <si>
    <t>INGLESES DO RIO VERMELHO</t>
  </si>
  <si>
    <t>88058001</t>
  </si>
  <si>
    <t>-27.4379209 , -48.3985457</t>
  </si>
  <si>
    <t>SUL45923</t>
  </si>
  <si>
    <t>776574054914</t>
  </si>
  <si>
    <t>L694</t>
  </si>
  <si>
    <t>LOJAS AMERICANAS - RUA BERNARDO VIEIRA DE MELO, 42 - NE250860</t>
  </si>
  <si>
    <t>-7.8447337,-35.2574514</t>
  </si>
  <si>
    <t>NE250860</t>
  </si>
  <si>
    <t>776574008483</t>
  </si>
  <si>
    <t>L601</t>
  </si>
  <si>
    <t>LOJAS AMERICANAS - AVENIDA PRESIDENTE KENNEDY, 1994 - NE250920</t>
  </si>
  <si>
    <t>1994</t>
  </si>
  <si>
    <t>53260640</t>
  </si>
  <si>
    <t>-8.0130953,-34.8740461</t>
  </si>
  <si>
    <t>NE250920</t>
  </si>
  <si>
    <t>776574108194</t>
  </si>
  <si>
    <t>LOJAS AMERICANAS - PRAIA DE BOTAFOGO, 400 - BOTAFOGO PRAIA SHOPPING - RJES6123</t>
  </si>
  <si>
    <t>RJES6123</t>
  </si>
  <si>
    <t>776574089386</t>
  </si>
  <si>
    <t>L135</t>
  </si>
  <si>
    <t>LOJAS AMERICANAS - AVENIDA DAS AMERICAS, 7777 - SHOPPING RIO DESIGN - RJES21102</t>
  </si>
  <si>
    <t>-23.001429 , -43.3860163</t>
  </si>
  <si>
    <t>RJES21102</t>
  </si>
  <si>
    <t>776574089890</t>
  </si>
  <si>
    <t>L534</t>
  </si>
  <si>
    <t>LOJAS AMERICANAS - ESTRADA FRANCISCO DA CRUZ NUNES, 6501 - SHOPPING ITAIPU MULTICENTER - RJES11844</t>
  </si>
  <si>
    <t>-22.94163839781698, -43.05686139835144</t>
  </si>
  <si>
    <t>RJES11844</t>
  </si>
  <si>
    <t>776574080753</t>
  </si>
  <si>
    <t>L879</t>
  </si>
  <si>
    <t>LOJAS CEM - RUA ANTONIO LUIZ SUTTI, 255 - ZONA COMERCIAL - SPI42440</t>
  </si>
  <si>
    <t>RUA ANTONIO LUIZ SUTTI</t>
  </si>
  <si>
    <t>Várzea Paulista</t>
  </si>
  <si>
    <t>13220445</t>
  </si>
  <si>
    <t>-23.2128279, -46.844158</t>
  </si>
  <si>
    <t>SPI42440</t>
  </si>
  <si>
    <t>56642960006493</t>
  </si>
  <si>
    <t>VARZEP</t>
  </si>
  <si>
    <t>LOJAS CEM - RUA CAMPOS SALLES, 255 - ZONA COMERCIAL - SPI39723</t>
  </si>
  <si>
    <t>RUA CAMPOS SALLES</t>
  </si>
  <si>
    <t>13250000</t>
  </si>
  <si>
    <t>-23.003274 , -46.8411408</t>
  </si>
  <si>
    <t>SPI39723</t>
  </si>
  <si>
    <t>56642960007627</t>
  </si>
  <si>
    <t>ITATIB</t>
  </si>
  <si>
    <t>LOJAS CEM - RUA DOUTOR ANTONIO TEDESCO, 280 - ZONA COMERCIAL - SPI19369</t>
  </si>
  <si>
    <t>RUA DOUTOR ANTONIO TEDESCO</t>
  </si>
  <si>
    <t>18680100</t>
  </si>
  <si>
    <t>-22.5974953 , -48.7996452</t>
  </si>
  <si>
    <t>SPI19369</t>
  </si>
  <si>
    <t>56642960004369</t>
  </si>
  <si>
    <t>LENÇOP</t>
  </si>
  <si>
    <t>LOJAS GUAIBIM - AVENIDA GETULIO VARGAS, 72 - ZONA COMERCIAL - NE64714</t>
  </si>
  <si>
    <t>-12.7007705 , -38.3247442</t>
  </si>
  <si>
    <t>NE64714</t>
  </si>
  <si>
    <t>13850516007260</t>
  </si>
  <si>
    <t>L28</t>
  </si>
  <si>
    <t>MAGAZINE LUIZA - RUA MAJOR TELLES, 102 - ZONA COMERCIAL - SPC11102</t>
  </si>
  <si>
    <t>Rua Major Telles</t>
  </si>
  <si>
    <t>-23.717433 , -46.85072599999999</t>
  </si>
  <si>
    <t>SPC11102</t>
  </si>
  <si>
    <t>47960950117584</t>
  </si>
  <si>
    <t>MAGAZINE LUIZA - RUA PROFESSOR DUILIO CALDERARI, 1843 - ZONA COMERCIAL - SUL10997</t>
  </si>
  <si>
    <t>1843</t>
  </si>
  <si>
    <t>LOJA 9</t>
  </si>
  <si>
    <t>-25.363388649292617 , -49.09726624681953</t>
  </si>
  <si>
    <t>SUL10997</t>
  </si>
  <si>
    <t>47960950063042</t>
  </si>
  <si>
    <t>672</t>
  </si>
  <si>
    <t>MAGAZINE LUIZA - AVENIDA CONSUL ASSAF TRAD, 4796 - SHOPPING BOSQUE DOS IPES - MGCO78859</t>
  </si>
  <si>
    <t>79035900</t>
  </si>
  <si>
    <t>-20.3976671 , -54.5588309</t>
  </si>
  <si>
    <t>MGCO78859</t>
  </si>
  <si>
    <t>47960950059525</t>
  </si>
  <si>
    <t>MAGAZINE LUIZA - RUA AMERICO DEOLINDO GARLA, 224 - SHOPPING LONDRINA NORTE - SUL9150</t>
  </si>
  <si>
    <t>LUC 44</t>
  </si>
  <si>
    <t>SUL9150</t>
  </si>
  <si>
    <t>47960950088380</t>
  </si>
  <si>
    <t>MAGAZINE LUIZA - ALVARES MACHADO, 692 - ZONA COMERCIAL - SPI7682</t>
  </si>
  <si>
    <t>SPI7682</t>
  </si>
  <si>
    <t>47960950015820</t>
  </si>
  <si>
    <t>MAGAZINE LUIZA - AMANDO DE BARROS, 527 - ZONA COMERCIAL - SPI8763</t>
  </si>
  <si>
    <t>-22.8856687 , -48.4403864</t>
  </si>
  <si>
    <t>SPI8763</t>
  </si>
  <si>
    <t>47960950064529</t>
  </si>
  <si>
    <t>906</t>
  </si>
  <si>
    <t>MAGAZINE LUIZA - RUA ANAPIO GOMES, 1676 - ZONA COMERCIAL - SUL64243</t>
  </si>
  <si>
    <t>RUA ANAPIO GOMES</t>
  </si>
  <si>
    <t>1676</t>
  </si>
  <si>
    <t>94010010</t>
  </si>
  <si>
    <t>-29.943241 , -50.994637</t>
  </si>
  <si>
    <t>SUL64243</t>
  </si>
  <si>
    <t>47960950032910</t>
  </si>
  <si>
    <t>434</t>
  </si>
  <si>
    <t>MAGAZINE LUIZA - RUA SETE DE SETEMBRO, 123 - ZONA COMERCIAL - SPI78172</t>
  </si>
  <si>
    <t>Lins</t>
  </si>
  <si>
    <t>16400025</t>
  </si>
  <si>
    <t>-21.672421 , -49.751793</t>
  </si>
  <si>
    <t>SPI78172</t>
  </si>
  <si>
    <t>47960950015315</t>
  </si>
  <si>
    <t>MAGAZINE LUIZA - SENADOR POMPEU, 1122 - ZONA COMERCIAL - NE5615</t>
  </si>
  <si>
    <t>60025002</t>
  </si>
  <si>
    <t>-3.728474 , -38.530113</t>
  </si>
  <si>
    <t>NE5615</t>
  </si>
  <si>
    <t>47960950084988</t>
  </si>
  <si>
    <t>MAGAZINE LUIZA - RUA SIQUEIRA CAMPOS, 535 - NE240080</t>
  </si>
  <si>
    <t>535</t>
  </si>
  <si>
    <t>-7.941110399999999, -34.88080679999999</t>
  </si>
  <si>
    <t>NE240080</t>
  </si>
  <si>
    <t>47960950164230</t>
  </si>
  <si>
    <t>MAGAZINE LUIZA - RUA CORONEL CORREIA, 1844 - NE244970</t>
  </si>
  <si>
    <t>RUA CORONEL CORREIA</t>
  </si>
  <si>
    <t>1844</t>
  </si>
  <si>
    <t>CAUCAIA</t>
  </si>
  <si>
    <t>61600004</t>
  </si>
  <si>
    <t>-3.735311,-38.6604685</t>
  </si>
  <si>
    <t>NE244970</t>
  </si>
  <si>
    <t>47960950085100</t>
  </si>
  <si>
    <t>MAGAZINE LUIZA - RUA SAO PAULO, 1593 - SPI247150</t>
  </si>
  <si>
    <t>SÃO JOAQUIM DA BARRA</t>
  </si>
  <si>
    <t>14600000</t>
  </si>
  <si>
    <t>-20.5827694,-47.8653849</t>
  </si>
  <si>
    <t>SPI247150</t>
  </si>
  <si>
    <t>47960950005433</t>
  </si>
  <si>
    <t>MAGAZINE LUIZA - RUA JOAQUIM ROSA, 80 - ZONA COMERCIAL - SPI39774</t>
  </si>
  <si>
    <t>JOAQUIM ROSA</t>
  </si>
  <si>
    <t>-20.8907245 , -47.5857859</t>
  </si>
  <si>
    <t>SPI39774</t>
  </si>
  <si>
    <t>47960950003813</t>
  </si>
  <si>
    <t>MAGAZINE LUIZA - AVENIDA MACIEL MONTEIRO, 278 - ZONA COMERCIAL - SPC6344</t>
  </si>
  <si>
    <t>278</t>
  </si>
  <si>
    <t>-23.538216 , -46.490444</t>
  </si>
  <si>
    <t>SPC6344</t>
  </si>
  <si>
    <t>47960950054728</t>
  </si>
  <si>
    <t>MAGAZINE LUIZA - RUA PADRE VEIGAS DE MENEZES, 440 - ZONA COMERCIAL - SPC11355</t>
  </si>
  <si>
    <t>RUA PADRE VIEGAS DE MENEZES</t>
  </si>
  <si>
    <t>8220510</t>
  </si>
  <si>
    <t>-23.535063 , -46.45512</t>
  </si>
  <si>
    <t>SPC11355</t>
  </si>
  <si>
    <t>47960950050900</t>
  </si>
  <si>
    <t>541</t>
  </si>
  <si>
    <t>MAGAZINE LUIZA - RUA MARTINHO FRANCISCO, 90 - NE241820</t>
  </si>
  <si>
    <t>RUA MARTINHO FRANCISCO</t>
  </si>
  <si>
    <t>Caja</t>
  </si>
  <si>
    <t>55813451</t>
  </si>
  <si>
    <t>-7.847059799999999, -35.2558212</t>
  </si>
  <si>
    <t>NE241820</t>
  </si>
  <si>
    <t>47960950087499</t>
  </si>
  <si>
    <t>849</t>
  </si>
  <si>
    <t>MAGAZINE LUIZA - AVENIDA CENTENARIO, 2992 - SHOPPING BARRA SALVADOR - NE20542</t>
  </si>
  <si>
    <t>2992</t>
  </si>
  <si>
    <t>CHAMECHAME</t>
  </si>
  <si>
    <t>40155150</t>
  </si>
  <si>
    <t>-13.0066907, -38.52440259999999</t>
  </si>
  <si>
    <t>NE20542</t>
  </si>
  <si>
    <t>47960950076616</t>
  </si>
  <si>
    <t>Shopping Barra Salvador</t>
  </si>
  <si>
    <t>MATHEUS SUPERMERCADO - ESTRADA DE RIBAMAR, MA 201, KM 05 98 - SHOPPING PATIO NORTH - NE42101</t>
  </si>
  <si>
    <t>NE42101</t>
  </si>
  <si>
    <t>MILENA MOVEIS - RUA PADRE LEMOS, 130 - NE238430</t>
  </si>
  <si>
    <t>-8.025576299999999, -34.9177356</t>
  </si>
  <si>
    <t>NE238430</t>
  </si>
  <si>
    <t>296549004405</t>
  </si>
  <si>
    <t>RIACHUELO - AVENIDA CONSUL ASSAF TRAFEM, 4796 - SHOPPING BOSQUE DOS IPES - MGCO46761</t>
  </si>
  <si>
    <t>LOJA 143</t>
  </si>
  <si>
    <t>79062200</t>
  </si>
  <si>
    <t>-20.397589 , -54.558758</t>
  </si>
  <si>
    <t>MGCO46761</t>
  </si>
  <si>
    <t>33200056018277</t>
  </si>
  <si>
    <t>L178</t>
  </si>
  <si>
    <t>RIACHUELO - ESTRADA DO PORTELA, 222 - SHOPPING MADUREIRA - RJES47535</t>
  </si>
  <si>
    <t>LOJA 101/201</t>
  </si>
  <si>
    <t>RJES47535</t>
  </si>
  <si>
    <t>33200056033900</t>
  </si>
  <si>
    <t>L157</t>
  </si>
  <si>
    <t>RIACHUELO - RUA GENERAL DE DIVISAO PEDRO RODRIGUES DA SILVA, S/N - SPC79510</t>
  </si>
  <si>
    <t>LOJA 2046 B</t>
  </si>
  <si>
    <t>SPC79510</t>
  </si>
  <si>
    <t>33200056008808</t>
  </si>
  <si>
    <t>L013</t>
  </si>
  <si>
    <t>RIACHUELO - AVENIDA WASHINGTON SOARES, 4335 - SHOPPING VIA SUL - NE243620</t>
  </si>
  <si>
    <t>LAGOA SAPIRANGA</t>
  </si>
  <si>
    <t>NE243620</t>
  </si>
  <si>
    <t>33200056006422</t>
  </si>
  <si>
    <t>L142</t>
  </si>
  <si>
    <t>RIACHUELO - AVENIDA GUILHERME SCHELL, 6750 - CANOAS SHOPPING - SUL46130</t>
  </si>
  <si>
    <t>LOJA A87 A A89</t>
  </si>
  <si>
    <t>SUL46130</t>
  </si>
  <si>
    <t>33200056008980</t>
  </si>
  <si>
    <t>L026</t>
  </si>
  <si>
    <t>RIACHUELO - RUA SETE DE SETEMBRO, 1213 - SHOPPING NEUMARKT - SUL46660</t>
  </si>
  <si>
    <t>SUL46660</t>
  </si>
  <si>
    <t>33200056008123</t>
  </si>
  <si>
    <t>L048</t>
  </si>
  <si>
    <t>RIACHUELO - RUA CONSELHEIRO JOAO ALFREDO, 321 - ZONA COMERCIAL - N42465</t>
  </si>
  <si>
    <t>RUA CONSELHEIRO JOAO ALFREDO</t>
  </si>
  <si>
    <t>66019060</t>
  </si>
  <si>
    <t>-1.4517297 , -48.50102529999999</t>
  </si>
  <si>
    <t>N42465</t>
  </si>
  <si>
    <t>33200056027500</t>
  </si>
  <si>
    <t>L140</t>
  </si>
  <si>
    <t>RIACHUELO - RUA DOM PEDRO, 49 - ZONA COMERCIAL - SPC49175</t>
  </si>
  <si>
    <t>-23.470021 , -46.530199</t>
  </si>
  <si>
    <t>SPC49175</t>
  </si>
  <si>
    <t>33200056020840</t>
  </si>
  <si>
    <t>RIACHUELO - AVENIDA GETULIO VARGAS, 268 - JARAGUA DO SUL PARK SHOPPING - SUL270650</t>
  </si>
  <si>
    <t>SUL270650</t>
  </si>
  <si>
    <t>33200056039193</t>
  </si>
  <si>
    <t>RIACHUELO - AVENIDA VICENTE DE CARVALHO, 909 - SHOPPING CARIOCA - RJES47292</t>
  </si>
  <si>
    <t>RJES47292</t>
  </si>
  <si>
    <t>33200056004055</t>
  </si>
  <si>
    <t>RIACHUELO - AREA ESPECIAL 01 QNM 34, 325 - SHOPPING JK - MGCO46029</t>
  </si>
  <si>
    <t>MGCO46029</t>
  </si>
  <si>
    <t>33200056032695</t>
  </si>
  <si>
    <t>L223</t>
  </si>
  <si>
    <t>RIACHUELO - AVENIDA NOEL NUTELS, 1762 - SAMAUMA SHOPPING - N47384</t>
  </si>
  <si>
    <t>CIDADENOVA</t>
  </si>
  <si>
    <t>N47384</t>
  </si>
  <si>
    <t>33200056015502</t>
  </si>
  <si>
    <t>L202</t>
  </si>
  <si>
    <t>TELE RIO - AVENIDA VICENTE DE CARVALHO, 909 - SHOPPING CARIOCA - RJES275160</t>
  </si>
  <si>
    <t>RJES275160</t>
  </si>
  <si>
    <t>33086695004546</t>
  </si>
  <si>
    <t>MANNA CELULARES - AVENIDA GENERAL DAVID SARNOFF, 5160 - SHOPPING ITAU POWER - MGCO7462</t>
  </si>
  <si>
    <t>LOJA 12 E 13</t>
  </si>
  <si>
    <t>MGCO7462</t>
  </si>
  <si>
    <t>08017682000157</t>
  </si>
  <si>
    <t>STILLO CELULAR - RUA COPAIBA, 1 - DF PLAZA SHOPPING - MGCO257740</t>
  </si>
  <si>
    <t>MGCO257740</t>
  </si>
  <si>
    <t>6218118000258</t>
  </si>
  <si>
    <t>MAGNATA/RAGAR (TIM) - AVENIDA AYRTON SENNA, 3000 - SHOPPING VIA PARQUE - RJES263280</t>
  </si>
  <si>
    <t>22775904</t>
  </si>
  <si>
    <t>RJES263280</t>
  </si>
  <si>
    <t>5999455001158</t>
  </si>
  <si>
    <t>TIM - RUA SAO PAULO, 743 - SHOPPING AVENIDA CENTER - SUL7362</t>
  </si>
  <si>
    <t>SUL7362</t>
  </si>
  <si>
    <t>04206050014130</t>
  </si>
  <si>
    <t>Shopping Avenida Center</t>
  </si>
  <si>
    <t>TV LAR - AVENIDA NOEL NUTELS, 1762 - SHOPPING SAMAUMA - N42352</t>
  </si>
  <si>
    <t>N42352</t>
  </si>
  <si>
    <t>4561957001482</t>
  </si>
  <si>
    <t>TV LAR</t>
  </si>
  <si>
    <t>CELULAR STATION - RUA BARAO DE SAO FRANCISCO, 236 - SHOPPING IGUATEMI - RJES9059</t>
  </si>
  <si>
    <t>RUA BARAO DE SAO FRANCISCO</t>
  </si>
  <si>
    <t>ANDARAÍ</t>
  </si>
  <si>
    <t>20560904</t>
  </si>
  <si>
    <t>-22.9199479 , -43.2501956</t>
  </si>
  <si>
    <t>RJES9059</t>
  </si>
  <si>
    <t>2714643000556</t>
  </si>
  <si>
    <t>Shopping Iguatemi - Rj</t>
  </si>
  <si>
    <t>CELULAR STATION - ESTRADA DO PORTELA, 222 (1 PISO) - SHOPPING MADUREIRA - RJES9086</t>
  </si>
  <si>
    <t>306 A</t>
  </si>
  <si>
    <t>RJES9086</t>
  </si>
  <si>
    <t>2714643004896</t>
  </si>
  <si>
    <t>WORLD CELL (VIVO) - AVENIDA NERO MACEDO, 400 - SHOPPING CIDADE JARDIM GOIANIA - MGCO259670</t>
  </si>
  <si>
    <t>QUIOSQUE 15 A</t>
  </si>
  <si>
    <t>MGCO259670</t>
  </si>
  <si>
    <t>5199395001784</t>
  </si>
  <si>
    <t>COMMCENTER - RUA ANDORRA, 500 - SHOPPING JARDIM ORIENTE - SPI276020</t>
  </si>
  <si>
    <t>LOJAS 294</t>
  </si>
  <si>
    <t>SPI276020</t>
  </si>
  <si>
    <t>5828732020385</t>
  </si>
  <si>
    <t>COMMCENTER - RODOVIA RAPOSO TAVARES KM 14,5, S/N - SHOPPING RAPOSO - SPC20118</t>
  </si>
  <si>
    <t>-23.588150446236146 , -46.75104144121093</t>
  </si>
  <si>
    <t>SPC20118</t>
  </si>
  <si>
    <t>CELULAR STATION - AVENIDA DAS AMERICAS, 7777 - SHOPPING RIO DESIGN - RJES10087</t>
  </si>
  <si>
    <t>RJES10087</t>
  </si>
  <si>
    <t>2714643002338</t>
  </si>
  <si>
    <t>FMO (VIVO) - ESTRADA DO CAMPO LIMPO, 459 - SHOPPING CAMPO LIMPO - SPC10970</t>
  </si>
  <si>
    <t>CAMPOLIMPO</t>
  </si>
  <si>
    <t>-23.6495485 , -46.7573709</t>
  </si>
  <si>
    <t>SPC10970</t>
  </si>
  <si>
    <t>39321744003754</t>
  </si>
  <si>
    <t>4 REDES TELECOM (VIVO) - AVENIDA SENADOR CARLOS JEREISSATI, 100 - NORTH SHOPPING MARACANAU - NE270980</t>
  </si>
  <si>
    <t>JEREISSATI</t>
  </si>
  <si>
    <t>NE270980</t>
  </si>
  <si>
    <t>7041040009853</t>
  </si>
  <si>
    <t>COMMCENTER - AVENIDA MARECHAL DEODORO DA FONSECA, 320 - SUL21997</t>
  </si>
  <si>
    <t>-26.4841996 , -49.0830677</t>
  </si>
  <si>
    <t>SUL21997</t>
  </si>
  <si>
    <t>00308055002883</t>
  </si>
  <si>
    <t>COMMCENTER - RUA QUINZE DE NOVEMBRO, 112 - SPI267240</t>
  </si>
  <si>
    <t>-23.1816575,-45.8874231</t>
  </si>
  <si>
    <t>SPI267240</t>
  </si>
  <si>
    <t>5828732020890</t>
  </si>
  <si>
    <t>VIVO - RODOVIA BA 526, 305 - SALVADOR NORTE SHOPPING - NE20606</t>
  </si>
  <si>
    <t>NE20606</t>
  </si>
  <si>
    <t>2558157095015</t>
  </si>
  <si>
    <t>LOJA SSA NORTE SHOP BA</t>
  </si>
  <si>
    <t>VIVO - AVENIDA DEPUTADO ODON BEZERRA, 184 - SHOPPING TAMBIA - NE10910</t>
  </si>
  <si>
    <t>NE10910</t>
  </si>
  <si>
    <t>2558157090803</t>
  </si>
  <si>
    <t>LOJA SHOPPING TAMBIA PB</t>
  </si>
  <si>
    <t>BEMOL - AVENIDA GENERAL RODRIGO OTAVIO, 3555 - SHOPPING STUDIO 5 - N18889</t>
  </si>
  <si>
    <t>AVENIDA GENERAL RODRIGO OTAVIO</t>
  </si>
  <si>
    <t>2134</t>
  </si>
  <si>
    <t>LOJA 61</t>
  </si>
  <si>
    <t>DISTRITO INDUSTRIAL</t>
  </si>
  <si>
    <t>69000000</t>
  </si>
  <si>
    <t>-3.124451 , -59.983395</t>
  </si>
  <si>
    <t>N18889</t>
  </si>
  <si>
    <t>04565289000490</t>
  </si>
  <si>
    <t>Studio 5</t>
  </si>
  <si>
    <t>Shopping Studio 5</t>
  </si>
  <si>
    <t>LOJAS BERLANDA - AVENIDA MARECHAL DEODORO DA FONSECA, 136 - SUL21991</t>
  </si>
  <si>
    <t>-26.4825787 , -49.0830839</t>
  </si>
  <si>
    <t>SUL21991</t>
  </si>
  <si>
    <t>CARREFOUR - AVENIDA PARANA, 1250 - ZONA COMERCIAL - SUL11351</t>
  </si>
  <si>
    <t>CABRAL</t>
  </si>
  <si>
    <t>80035130</t>
  </si>
  <si>
    <t>-25.401892 , -49.248142</t>
  </si>
  <si>
    <t>SUL11351</t>
  </si>
  <si>
    <t>45543915099021</t>
  </si>
  <si>
    <t>BCA</t>
  </si>
  <si>
    <t>CARREFOUR - JOSE BONIFACIO, 1315 - ZONA COMERCIAL - NE5944</t>
  </si>
  <si>
    <t>TORRE</t>
  </si>
  <si>
    <t>50710000</t>
  </si>
  <si>
    <t>-8.040789 , -34.910343</t>
  </si>
  <si>
    <t>NE5944</t>
  </si>
  <si>
    <t>45543915006112</t>
  </si>
  <si>
    <t>REC</t>
  </si>
  <si>
    <t>CASA &amp; VIDEO - RUA JOSE DE ALVARENGA, 95 - ZONA COMERCIAL - RJES110770</t>
  </si>
  <si>
    <t>-22.78902358733466 , -43.31199346627045</t>
  </si>
  <si>
    <t>RJES110770</t>
  </si>
  <si>
    <t>CASAS BAHIA - RUA MARIO RIBEIRO, 860 - ZONA COMERCIAL - SPC9018</t>
  </si>
  <si>
    <t>RUA MARIO RIBEIRO</t>
  </si>
  <si>
    <t>840</t>
  </si>
  <si>
    <t>860</t>
  </si>
  <si>
    <t>11410192</t>
  </si>
  <si>
    <t>-23.996614 , -46.258602</t>
  </si>
  <si>
    <t>SPC9018</t>
  </si>
  <si>
    <t>33041260092000</t>
  </si>
  <si>
    <t>1262</t>
  </si>
  <si>
    <t>CASAS BAHIA - RUA FLORIANO PEIXOTO, 867 - ZONA COMERCIAL - SPI18447</t>
  </si>
  <si>
    <t>RUA FLORIANO PEIXOTO</t>
  </si>
  <si>
    <t>867</t>
  </si>
  <si>
    <t>13300005</t>
  </si>
  <si>
    <t>-23.263294 , -47.298943</t>
  </si>
  <si>
    <t>SPI18447</t>
  </si>
  <si>
    <t>33041260126346</t>
  </si>
  <si>
    <t>CASAS BAHIA - RUA RUI BARBOSA, 514 - ZONA COMERCIAL - SPI20742</t>
  </si>
  <si>
    <t>536 E 540</t>
  </si>
  <si>
    <t>Assis</t>
  </si>
  <si>
    <t>19814000</t>
  </si>
  <si>
    <t>-22.661612 , -50.41544</t>
  </si>
  <si>
    <t>SPI20742</t>
  </si>
  <si>
    <t>33041260126508</t>
  </si>
  <si>
    <t>1258</t>
  </si>
  <si>
    <t>CASAS BAHIA - PRACA DOUTOR GAMA, 516 - SPI258950</t>
  </si>
  <si>
    <t>PRACA DOUTOR GAMA</t>
  </si>
  <si>
    <t>RUA RUI BARBOSA, 193 E 205</t>
  </si>
  <si>
    <t>Birigui</t>
  </si>
  <si>
    <t>16203005</t>
  </si>
  <si>
    <t>-21.2879145,-50.3418085</t>
  </si>
  <si>
    <t>SPI258950</t>
  </si>
  <si>
    <t>33041260109921</t>
  </si>
  <si>
    <t>CASAS BAHIA - PRACA RUI BARBOSA, 173 - SPI232130</t>
  </si>
  <si>
    <t>-20.7387389 , -48.9142618</t>
  </si>
  <si>
    <t>SPI232130</t>
  </si>
  <si>
    <t>33041260123088</t>
  </si>
  <si>
    <t>1379</t>
  </si>
  <si>
    <t>CASAS BAHIA - RUA SAO JOSE, 435 - SUL254610</t>
  </si>
  <si>
    <t>RUA SAO JOSE</t>
  </si>
  <si>
    <t>92704380</t>
  </si>
  <si>
    <t>-30.1082981,-51.3194097</t>
  </si>
  <si>
    <t>SUL254610</t>
  </si>
  <si>
    <t>33041260200252</t>
  </si>
  <si>
    <t>2430</t>
  </si>
  <si>
    <t>CASAS BAHIA - PRACA GENTIL FERREIRA, 1692 - ZONA COMERCIAL - NE11057</t>
  </si>
  <si>
    <t>PRACA GENTIL FERREIRA</t>
  </si>
  <si>
    <t>1692</t>
  </si>
  <si>
    <t>ALECRIM</t>
  </si>
  <si>
    <t>59015000</t>
  </si>
  <si>
    <t>-5.7954826 , -35.2191957</t>
  </si>
  <si>
    <t>NE11057</t>
  </si>
  <si>
    <t>CASAS BAHIA - RUA ITINGUCU, 1879 - ZONA COMERCIAL - SPC11213</t>
  </si>
  <si>
    <t>RUA ITINGUCU</t>
  </si>
  <si>
    <t>1879</t>
  </si>
  <si>
    <t>VILA RE</t>
  </si>
  <si>
    <t>3658011</t>
  </si>
  <si>
    <t>-23.5288541 , -46.4978762</t>
  </si>
  <si>
    <t>SPC11213</t>
  </si>
  <si>
    <t>33041260117517</t>
  </si>
  <si>
    <t>1527</t>
  </si>
  <si>
    <t>CASAS BAHIA - AVENIDA PRESIDENTE KENNEDY, 1965 - NE250910</t>
  </si>
  <si>
    <t>1965</t>
  </si>
  <si>
    <t>-8.0136316,-34.8739897</t>
  </si>
  <si>
    <t>NE250910</t>
  </si>
  <si>
    <t>33041260172020</t>
  </si>
  <si>
    <t>2068</t>
  </si>
  <si>
    <t>CASAS BAHIA - AVENIDA GOMES DE MATOS, 827 - NE254520</t>
  </si>
  <si>
    <t>AVENIDA GOMES DE MATOS</t>
  </si>
  <si>
    <t>827</t>
  </si>
  <si>
    <t>60410357</t>
  </si>
  <si>
    <t>-3.7604699,-38.545191</t>
  </si>
  <si>
    <t>NE254520</t>
  </si>
  <si>
    <t>33041260199220</t>
  </si>
  <si>
    <t>2377</t>
  </si>
  <si>
    <t>CASAS BAHIA - AVENIDA DOM ALMEIDA LUSTOSA, 2897 - NE282170</t>
  </si>
  <si>
    <t>AVENIDA DOM ALMEIDA LUSTOSA</t>
  </si>
  <si>
    <t>2897</t>
  </si>
  <si>
    <t>PQ GUADALAJARA</t>
  </si>
  <si>
    <t>Caucaia</t>
  </si>
  <si>
    <t>61650000</t>
  </si>
  <si>
    <t>-3.7666979,-38.6237045</t>
  </si>
  <si>
    <t>NE282170</t>
  </si>
  <si>
    <t>33041260187485</t>
  </si>
  <si>
    <t>2259</t>
  </si>
  <si>
    <t>CASAS BAHIA - RUA ADHERBAL DA COSTA MOREIRA, 573 - SPI286590</t>
  </si>
  <si>
    <t>RUA ADHERBAL DA COSTA MOREIRA</t>
  </si>
  <si>
    <t>Campo Limpo Paulista</t>
  </si>
  <si>
    <t>13231190</t>
  </si>
  <si>
    <t>-23.2023843,-46.7866986</t>
  </si>
  <si>
    <t>SPI286590</t>
  </si>
  <si>
    <t>33041260170248</t>
  </si>
  <si>
    <t>2097</t>
  </si>
  <si>
    <t>HS - RUA AMAZONAS, 3404 - SPI42481</t>
  </si>
  <si>
    <t>3404</t>
  </si>
  <si>
    <t>-20.4224552 , -49.97428720000001</t>
  </si>
  <si>
    <t>SPI42481</t>
  </si>
  <si>
    <t>05923253000908</t>
  </si>
  <si>
    <t>HS - RUA BARAO DO RIO BRANCO, 1305 - ZONA COMERCIAL - SPI45340</t>
  </si>
  <si>
    <t>-21.1388235 , -47.9886539</t>
  </si>
  <si>
    <t>SPI45340</t>
  </si>
  <si>
    <t>CLARO RP - AVENIDA PARANA, 102 - SUL272760</t>
  </si>
  <si>
    <t>-23.3112552,-51.1631326</t>
  </si>
  <si>
    <t>SUL272760</t>
  </si>
  <si>
    <t>5949641006818</t>
  </si>
  <si>
    <t>HS - RUA AMANDO DE BARROS, 567 - ZONA COMERCIAL - SPI8767</t>
  </si>
  <si>
    <t>RUA AMANDO DE BARROS</t>
  </si>
  <si>
    <t>SPI8767</t>
  </si>
  <si>
    <t>CLARO - AVENIDA TREZE DE MAIO, 33 - ZONA COMERCIAL - RJES7367</t>
  </si>
  <si>
    <t>AVENIDA 13 DE MAIO</t>
  </si>
  <si>
    <t>20031007</t>
  </si>
  <si>
    <t>-22.9089743 , -43.1775478</t>
  </si>
  <si>
    <t>RJES7367</t>
  </si>
  <si>
    <t>40432544006501</t>
  </si>
  <si>
    <t>2102</t>
  </si>
  <si>
    <t>CLARO - AVENIDA LUIZ EDUARDO TOLEDO PRADO, 900 - SHOPPING IGUATEMI RIBEIRAO PRETO - SPI47140</t>
  </si>
  <si>
    <t>SPI47140</t>
  </si>
  <si>
    <t>40432544051990</t>
  </si>
  <si>
    <t>1963</t>
  </si>
  <si>
    <t>COLOMBO - AVENIDA BRASIL, 629 - SUL264630</t>
  </si>
  <si>
    <t>Portão</t>
  </si>
  <si>
    <t>93180000</t>
  </si>
  <si>
    <t>-29.6969456,-51.2375377</t>
  </si>
  <si>
    <t>SUL264630</t>
  </si>
  <si>
    <t>89848543051677</t>
  </si>
  <si>
    <t>LOJAS COLOMBO - AVENIDA PARANA, 197 - ZONA COMERCIAL - SUL39795</t>
  </si>
  <si>
    <t>-23.313680074089657 , -51.16286873743439</t>
  </si>
  <si>
    <t>SUL39795</t>
  </si>
  <si>
    <t>89848543039979</t>
  </si>
  <si>
    <t>COLOMBO - WINSTON CHURCHILL, 2491 - ZONA COMERCIAL - SUL19895</t>
  </si>
  <si>
    <t>WINSTON CHURCHILL</t>
  </si>
  <si>
    <t>2491</t>
  </si>
  <si>
    <t>-25.5183036 , -49.29527359999999</t>
  </si>
  <si>
    <t>SUL19895</t>
  </si>
  <si>
    <t>89848543026052</t>
  </si>
  <si>
    <t>ELETROZEMA - RUA XV DE NOVEMBRO, 324 - ZONA COMERCIAL - SPI64808</t>
  </si>
  <si>
    <t>324</t>
  </si>
  <si>
    <t>-21.3405198 , -47.7327497</t>
  </si>
  <si>
    <t>SPI64808</t>
  </si>
  <si>
    <t>26404731008251</t>
  </si>
  <si>
    <t>CRAVINHOS</t>
  </si>
  <si>
    <t>GAZIN - AVENIDA MARECHAL RONDON, 1156 - MGCO288980</t>
  </si>
  <si>
    <t>-16.470317,-54.6303593</t>
  </si>
  <si>
    <t>MGCO288980</t>
  </si>
  <si>
    <t>77941490002107</t>
  </si>
  <si>
    <t>10029</t>
  </si>
  <si>
    <t>HAVAN - AVENIDA CONSTABILE ROMANO, 170 - ZONA COMERICAL - SPI42160</t>
  </si>
  <si>
    <t>AVENIDA COSTABILE ROMANO</t>
  </si>
  <si>
    <t>SUB SETOR LESTE 3</t>
  </si>
  <si>
    <t>14096030</t>
  </si>
  <si>
    <t>-21.195351 , -47.796516</t>
  </si>
  <si>
    <t>SPI42160</t>
  </si>
  <si>
    <t>79379491005657</t>
  </si>
  <si>
    <t>56 - RIBEIRAO PRETO</t>
  </si>
  <si>
    <t>HAVAN - AVENIDA CARLOS KUNTZ BUSCH, 800 - SHOPPING CENTER LIMEIRA - SPI242810</t>
  </si>
  <si>
    <t>LIMEIRA</t>
  </si>
  <si>
    <t>SPI242810</t>
  </si>
  <si>
    <t>79379491005223</t>
  </si>
  <si>
    <t>48 - LIMEIRA</t>
  </si>
  <si>
    <t>HAVAN - AVENIDA FARROUPILHA, 4707 - SUL290280</t>
  </si>
  <si>
    <t>4707</t>
  </si>
  <si>
    <t>92020476</t>
  </si>
  <si>
    <t>-29.9127073,-51.1667124</t>
  </si>
  <si>
    <t>SUL290280</t>
  </si>
  <si>
    <t>79379491019798</t>
  </si>
  <si>
    <t>IMPERIO - AVENIDA DOUTOR FRANCISCO CORREIA, 420 - NE240160</t>
  </si>
  <si>
    <t>-7.9976188, -35.0384292</t>
  </si>
  <si>
    <t>NE240160</t>
  </si>
  <si>
    <t>27936211003021</t>
  </si>
  <si>
    <t>KOERICH - CONSELHEIRO MAFRA, 92 - ZONA COMERCIAL - SUL19963</t>
  </si>
  <si>
    <t>-27.597603 , -48.551449</t>
  </si>
  <si>
    <t>SUL19963</t>
  </si>
  <si>
    <t>86184074000493</t>
  </si>
  <si>
    <t>KOERICH - DAS NACOES, 460 - ZONA COMERCIAL - SUL19962</t>
  </si>
  <si>
    <t>DAS NACOES</t>
  </si>
  <si>
    <t>CANASVIEIRAS</t>
  </si>
  <si>
    <t>-27.4302543 , -48.4581429</t>
  </si>
  <si>
    <t>SUL19962</t>
  </si>
  <si>
    <t>86184074008559</t>
  </si>
  <si>
    <t>KOERICH - RUA VEREADOR ARTHUR MANOEL MARIANO, 1140 - ZONA COMERCIAL - SUL44749</t>
  </si>
  <si>
    <t>RUA VEREADOR ARTHUR MANOEL MARIANO</t>
  </si>
  <si>
    <t>FORQUILHINHA</t>
  </si>
  <si>
    <t>88106501</t>
  </si>
  <si>
    <t>-27.5987339 , -48.6421055</t>
  </si>
  <si>
    <t>SUL44749</t>
  </si>
  <si>
    <t>86184074007404</t>
  </si>
  <si>
    <t>KOERICH - RUA PROFESSOR ADOLFO MEDEIROS DOS SANTOS, S/N - SUL241870</t>
  </si>
  <si>
    <t>RUA PROFESSOR ADOLFO MEDEIROS DOS SANTOS</t>
  </si>
  <si>
    <t>s/n</t>
  </si>
  <si>
    <t>Canasvieiras</t>
  </si>
  <si>
    <t>88054240</t>
  </si>
  <si>
    <t>-27.4337047, -48.458627</t>
  </si>
  <si>
    <t>SUL241870</t>
  </si>
  <si>
    <t>86184074014524</t>
  </si>
  <si>
    <t>LEBES - VISCONDE DE PELOTAS, 696 - SUL11497</t>
  </si>
  <si>
    <t>VISCONDE DE PELOTAS, 696</t>
  </si>
  <si>
    <t>1895</t>
  </si>
  <si>
    <t>LOJA TERREO</t>
  </si>
  <si>
    <t>95010003</t>
  </si>
  <si>
    <t>-29.1677078, -51.1808081</t>
  </si>
  <si>
    <t>SUL11497</t>
  </si>
  <si>
    <t>96662168010447</t>
  </si>
  <si>
    <t>696</t>
  </si>
  <si>
    <t>LEBES - RUA ROMULO NORO, 535 - SUL252470</t>
  </si>
  <si>
    <t>RUA ROMULO NORO</t>
  </si>
  <si>
    <t>-29.2296663,-51.34923</t>
  </si>
  <si>
    <t>SUL252470</t>
  </si>
  <si>
    <t>96662168009007</t>
  </si>
  <si>
    <t>LEBES - AVENIDA JUCA BATISTA, 750 - ZONA COMERCIAL - SUL11043</t>
  </si>
  <si>
    <t>AVENIDA JUCA BATISTA</t>
  </si>
  <si>
    <t>91770000</t>
  </si>
  <si>
    <t>-30.1399364 , -51.21958739999999</t>
  </si>
  <si>
    <t>SUL11043</t>
  </si>
  <si>
    <t>96662168017026</t>
  </si>
  <si>
    <t>LOJAS AMERICANAS - AVENIDA MONTEIRO LOBATO, 47 - SPC45419</t>
  </si>
  <si>
    <t>AVENIDA MONTEIRO LOBATO</t>
  </si>
  <si>
    <t>51 E 55</t>
  </si>
  <si>
    <t>7112000</t>
  </si>
  <si>
    <t>-23.469778 , -46.523201</t>
  </si>
  <si>
    <t>SPC45419</t>
  </si>
  <si>
    <t>776574037157</t>
  </si>
  <si>
    <t>L564</t>
  </si>
  <si>
    <t>LOJAS AMERICANAS - PRACA SANTISSIMO SALVADOR, 10 - ZONA COMERCIAL - RJES22116</t>
  </si>
  <si>
    <t>PRACA SANTISSIMO SALVADOR</t>
  </si>
  <si>
    <t>LOJA 14</t>
  </si>
  <si>
    <t>-21.755222 , -41.323565</t>
  </si>
  <si>
    <t>RJES22116</t>
  </si>
  <si>
    <t>776574078694</t>
  </si>
  <si>
    <t>L701</t>
  </si>
  <si>
    <t>LOJAS AMERICANAS - RUA URSULA PAULINO 1461 LOJA 01 E 02 , 1461 - MGCO78165</t>
  </si>
  <si>
    <t>BETÂNIA</t>
  </si>
  <si>
    <t>30580353</t>
  </si>
  <si>
    <t>-19.9601165 , -43.9890925</t>
  </si>
  <si>
    <t>MGCO78165</t>
  </si>
  <si>
    <t>776574133709</t>
  </si>
  <si>
    <t>L707</t>
  </si>
  <si>
    <t>LOJAS AMERICANAS - WASHINGTON SOARES, 3690 - ZONA COMERCIAL - NE5625</t>
  </si>
  <si>
    <t>WASHINGTON SOARES</t>
  </si>
  <si>
    <t>3690</t>
  </si>
  <si>
    <t>AGUAFRIA</t>
  </si>
  <si>
    <t>60830641</t>
  </si>
  <si>
    <t>-3.7880774 , -38.4807092</t>
  </si>
  <si>
    <t>NE5625</t>
  </si>
  <si>
    <t>776574123827</t>
  </si>
  <si>
    <t>L275</t>
  </si>
  <si>
    <t>LOJAS AMERICANAS - AVENIDA GETULIO VARGAS, 268 - JARAGUA DO SUL PARK SHOPPING - SUL11617</t>
  </si>
  <si>
    <t>SUL11617</t>
  </si>
  <si>
    <t>776574131331</t>
  </si>
  <si>
    <t>L228</t>
  </si>
  <si>
    <t>LOJAS AMERICANAS - RODOVIA PE - 015 KM 16,5, 242 - PAULISTA NORTH WAY SHOPPING - NE45379</t>
  </si>
  <si>
    <t>LOJA: ANCORA 7</t>
  </si>
  <si>
    <t>NE45379</t>
  </si>
  <si>
    <t>776574129434</t>
  </si>
  <si>
    <t>LOJAS AMERICANAS - AVENIDA CENTENARIO, 2992 - SHOPPING BARRA SALVADOR - NE7730</t>
  </si>
  <si>
    <t>64 PISO 3</t>
  </si>
  <si>
    <t>CHAME-CHAME</t>
  </si>
  <si>
    <t>-13.006757 , -38.524643</t>
  </si>
  <si>
    <t>NE7730</t>
  </si>
  <si>
    <t>776574135914</t>
  </si>
  <si>
    <t>L174</t>
  </si>
  <si>
    <t>LOJAS AMERICANAS - AVENIDA DELMIRO GOUVEIA, 400 - SHOPPING RIOMAR ARACAJU - NE82859</t>
  </si>
  <si>
    <t>NE82859</t>
  </si>
  <si>
    <t>776574149974</t>
  </si>
  <si>
    <t>1319</t>
  </si>
  <si>
    <t>LOJAS AMERICANAS - AVENIDA MAESTRO PAULO E SILVA, 400 - SHOPPING ILHA PLAZA - RJES6943</t>
  </si>
  <si>
    <t>LOJA 157</t>
  </si>
  <si>
    <t>21920440</t>
  </si>
  <si>
    <t>RJES6943</t>
  </si>
  <si>
    <t>776574121379</t>
  </si>
  <si>
    <t>LOJAS AMERICANAS - RUA BARAO DE SAO FRANCISCO, 236 - SHOPPING IGUATEMI - RJES6934</t>
  </si>
  <si>
    <t>LOJA A 1 E 2 PISO</t>
  </si>
  <si>
    <t>-22.919327 , -43.250187</t>
  </si>
  <si>
    <t>RJES6934</t>
  </si>
  <si>
    <t>776574089203</t>
  </si>
  <si>
    <t>L121</t>
  </si>
  <si>
    <t>LOJAS AMERICANAS - RUA ITAPERA, 500 - SHOPPING VIA BRASIL - RJES6066</t>
  </si>
  <si>
    <t>101 B</t>
  </si>
  <si>
    <t>RJES6066</t>
  </si>
  <si>
    <t>776574121700</t>
  </si>
  <si>
    <t>L449</t>
  </si>
  <si>
    <t>LOJAS AMERICANAS - JOAO PESSOA, 35 - SPC21888</t>
  </si>
  <si>
    <t>-23.934328 , -46.329502</t>
  </si>
  <si>
    <t>SPC21888</t>
  </si>
  <si>
    <t>776574028913</t>
  </si>
  <si>
    <t>LOJAS AMERICANAS - PRACA CONSELHEIRO RODRIGUES ALVES, 254 - SPI11229</t>
  </si>
  <si>
    <t>12500020</t>
  </si>
  <si>
    <t>-22.8164395 , -45.1929415</t>
  </si>
  <si>
    <t>SPI11229</t>
  </si>
  <si>
    <t>776574037076</t>
  </si>
  <si>
    <t>L563</t>
  </si>
  <si>
    <t>LOJAS AMERICANAS - RUA MACIEL MONTEIRO, 422 - ZONA COMERCIAL - SPC10050</t>
  </si>
  <si>
    <t>422</t>
  </si>
  <si>
    <t>-23.539503 , -46.490851</t>
  </si>
  <si>
    <t>SPC10050</t>
  </si>
  <si>
    <t>776574024098</t>
  </si>
  <si>
    <t>L593</t>
  </si>
  <si>
    <t>LOJAS AMERICANAS - AVENIDA JOSE BONIFACIO, 2593 - ZONA COMERCIAL - N45484</t>
  </si>
  <si>
    <t>AVENIDA JOSE BONIFACIO</t>
  </si>
  <si>
    <t>2593</t>
  </si>
  <si>
    <t>66065112</t>
  </si>
  <si>
    <t>-1.4697142 , -48.4683944</t>
  </si>
  <si>
    <t>N45484</t>
  </si>
  <si>
    <t>776574153653</t>
  </si>
  <si>
    <t>LOJAS AMERICANAS - RUA PROFESSOR DUILIO CALDERARI, 1904 - SUL288430</t>
  </si>
  <si>
    <t>83430974</t>
  </si>
  <si>
    <t>-25.3640079,-49.101216</t>
  </si>
  <si>
    <t>SUL288430</t>
  </si>
  <si>
    <t>776574141809</t>
  </si>
  <si>
    <t>5322</t>
  </si>
  <si>
    <t>LOJAS AMERICANAS - AVENIDA SAO VICENTE DE PAULA, 101 - SHOPPING JUREMA - NE278020</t>
  </si>
  <si>
    <t>AVENIDA SAO VICENTE DE PAULA</t>
  </si>
  <si>
    <t>ARATURI (JUREMA)</t>
  </si>
  <si>
    <t>61655000</t>
  </si>
  <si>
    <t>-3.7745808,-38.6307195</t>
  </si>
  <si>
    <t>NE278020</t>
  </si>
  <si>
    <t>00776574014378</t>
  </si>
  <si>
    <t>Shopping Jurema</t>
  </si>
  <si>
    <t>LOJAS CEM - 15 DE NOVEMBRO, 44 - ZONA COMERCIAL - SPI20996</t>
  </si>
  <si>
    <t>Valinhos</t>
  </si>
  <si>
    <t>13270130</t>
  </si>
  <si>
    <t>-22.969112 , -46.996273</t>
  </si>
  <si>
    <t>SPI20996</t>
  </si>
  <si>
    <t>56642960006817</t>
  </si>
  <si>
    <t>VALIN</t>
  </si>
  <si>
    <t>LOJAS CEM - AVENIDA FLORIANO PEIXOTO, 585 - ZONA COMERCIAL - SPI8766</t>
  </si>
  <si>
    <t>AVENIDA FLORIANO PEIXOTO</t>
  </si>
  <si>
    <t>18600240</t>
  </si>
  <si>
    <t>-22.8804408 , -48.4413329</t>
  </si>
  <si>
    <t>SPI8766</t>
  </si>
  <si>
    <t>56642960003982</t>
  </si>
  <si>
    <t>BOTUC</t>
  </si>
  <si>
    <t>LOJAS CEM - ESTRADA DA RIBEIRA, 137 - ZONA COMERCIAL - SUL18630</t>
  </si>
  <si>
    <t>-25.363927495901773 , -49.18606640548783</t>
  </si>
  <si>
    <t>SUL18630</t>
  </si>
  <si>
    <t>56642960010415</t>
  </si>
  <si>
    <t>COLOBO</t>
  </si>
  <si>
    <t>LOJAS CEM - RUA PRESIDENTE CARLOS CAVALCANTI, 165 - ZONA COMERCIAL - SUL18628</t>
  </si>
  <si>
    <t>-25.593082 , -49.408787</t>
  </si>
  <si>
    <t>SUL18628</t>
  </si>
  <si>
    <t>56642960014321</t>
  </si>
  <si>
    <t>ARAUCA</t>
  </si>
  <si>
    <t>LOJAS CEM - RUA SANTOS DUMONT, 240 - ZONA COMERCIAL - SPI42325</t>
  </si>
  <si>
    <t>Vinhedo</t>
  </si>
  <si>
    <t>13280000</t>
  </si>
  <si>
    <t>-23.028824 , -46.975346</t>
  </si>
  <si>
    <t>SPI42325</t>
  </si>
  <si>
    <t>56642960013007</t>
  </si>
  <si>
    <t>VINHED</t>
  </si>
  <si>
    <t>LOJAS CEM - AVENIDA ADHERBAL DA COSTA MOREIRA, 644 - ZONA COMERCIAL - SPI42441</t>
  </si>
  <si>
    <t>AVENIDA ADHERBAL DA COSTA MOREIRA</t>
  </si>
  <si>
    <t>644</t>
  </si>
  <si>
    <t>-23.201934 , -46.7835907</t>
  </si>
  <si>
    <t>SPI42441</t>
  </si>
  <si>
    <t>56642960008518</t>
  </si>
  <si>
    <t>CLIMPO</t>
  </si>
  <si>
    <t>LOJAS CEM - AVENIDA PROFESSOR IZORAIDA MARQUES PERES, 183 - ZONA COMERCIAL - SPI40028</t>
  </si>
  <si>
    <t>18048110</t>
  </si>
  <si>
    <t>-23.531795 , -47.465188</t>
  </si>
  <si>
    <t>SPI40028</t>
  </si>
  <si>
    <t>56642960022693</t>
  </si>
  <si>
    <t>SORLIM</t>
  </si>
  <si>
    <t>LOJAS CEM - AVENIDA WINSTON CHURCHILL, 2415 - ZONA COMERCIAL - SUL18631</t>
  </si>
  <si>
    <t>AVENIDA WINSTON CHURCHIL</t>
  </si>
  <si>
    <t>2415</t>
  </si>
  <si>
    <t>-25.517651 , -49.295528</t>
  </si>
  <si>
    <t>SUL18631</t>
  </si>
  <si>
    <t>56642960010920</t>
  </si>
  <si>
    <t>PRINHO</t>
  </si>
  <si>
    <t>LOJAS CEM - RUA HORACIO LEONARDI, 134 - SPI241890</t>
  </si>
  <si>
    <t>RUA HORACIO LEONARDI</t>
  </si>
  <si>
    <t>Barão Geraldo</t>
  </si>
  <si>
    <t>13084105</t>
  </si>
  <si>
    <t>-22.8290822, -47.0794682</t>
  </si>
  <si>
    <t>SPI241890</t>
  </si>
  <si>
    <t>56642960029000</t>
  </si>
  <si>
    <t>CAMGER</t>
  </si>
  <si>
    <t>LOJAS CEM - RUA ANTONIO BUENO DE MORAES, 384 - SPI242340</t>
  </si>
  <si>
    <t>RUA ANTONIO BUENO DE MORAES</t>
  </si>
  <si>
    <t>VILA APARECIDA</t>
  </si>
  <si>
    <t>CONCHAL</t>
  </si>
  <si>
    <t>13835000</t>
  </si>
  <si>
    <t>-22.3420955,-47.1675204</t>
  </si>
  <si>
    <t>SPI242340</t>
  </si>
  <si>
    <t>56642960024203</t>
  </si>
  <si>
    <t>CONCHA</t>
  </si>
  <si>
    <t>LOJAS CEM - AVENIDA DOM PEDRO, 911 - SPI256520</t>
  </si>
  <si>
    <t>AVENIDA DOM PEDRO</t>
  </si>
  <si>
    <t>14055620</t>
  </si>
  <si>
    <t>-21.1550846,-47.8215983</t>
  </si>
  <si>
    <t>SPI256520</t>
  </si>
  <si>
    <t>56642960029604</t>
  </si>
  <si>
    <t>RIBIPI</t>
  </si>
  <si>
    <t>LOJAS CEM - RUA POTIGUARAS, 330 - SPI286580</t>
  </si>
  <si>
    <t>RUA POTIGUARAS</t>
  </si>
  <si>
    <t>Tupã</t>
  </si>
  <si>
    <t>17601080</t>
  </si>
  <si>
    <t>-21.9305175,-50.5162277</t>
  </si>
  <si>
    <t>SPI286580</t>
  </si>
  <si>
    <t>56642960031250</t>
  </si>
  <si>
    <t>LOJAS QUERO QUERO - RUA VINTE DE SETEMBRO, 1810 - SUL88521</t>
  </si>
  <si>
    <t>RUA VINTE DE SETEMBRO</t>
  </si>
  <si>
    <t>95020450</t>
  </si>
  <si>
    <t>-29.16514459999999 , -51.1780655</t>
  </si>
  <si>
    <t>SUL88521</t>
  </si>
  <si>
    <t>96418264033495</t>
  </si>
  <si>
    <t>MAGAZINE LUIZA - AVENIDA AMAZONAS, 1132 - MGCO288890</t>
  </si>
  <si>
    <t>78700050</t>
  </si>
  <si>
    <t>-16.4702517,-54.6318343</t>
  </si>
  <si>
    <t>MGCO288890</t>
  </si>
  <si>
    <t>47960950118807</t>
  </si>
  <si>
    <t>MAGAZINE LUIZA - AVENIDA BRASIL, 495 - SUL264610</t>
  </si>
  <si>
    <t>495</t>
  </si>
  <si>
    <t>-29.6962716,-51.2365496</t>
  </si>
  <si>
    <t>SUL264610</t>
  </si>
  <si>
    <t>47960950132389</t>
  </si>
  <si>
    <t>MAGAZINE LUIZA - PRACA DA BANDEIRA, 77 - ZONA COMERCIAL - SPI39727</t>
  </si>
  <si>
    <t>-23.0054526, -46.8390666</t>
  </si>
  <si>
    <t>SPI39727</t>
  </si>
  <si>
    <t>47960950018250</t>
  </si>
  <si>
    <t>MAGAZINE LUIZA - RUA 14 DE JULHO, 2119 - ZONA COMERCIAL - MGCO5854</t>
  </si>
  <si>
    <t>2119</t>
  </si>
  <si>
    <t>-20.462111 , -54.617451</t>
  </si>
  <si>
    <t>MGCO5854</t>
  </si>
  <si>
    <t>47960950011670</t>
  </si>
  <si>
    <t>MAGAZINE LUIZA - RUA SAO JOSE, 584 - ZONA COMERCIAL - SUL23059</t>
  </si>
  <si>
    <t>92500000</t>
  </si>
  <si>
    <t>-30.108383 , -51.317192</t>
  </si>
  <si>
    <t>SUL23059</t>
  </si>
  <si>
    <t>47960950030039</t>
  </si>
  <si>
    <t>MAGAZINE LUIZA - AVENIDA ARAPONGAS, 318 - ZONA COMERCIAL - SUL11544</t>
  </si>
  <si>
    <t>AVENIDA ARAPONGAS</t>
  </si>
  <si>
    <t>318</t>
  </si>
  <si>
    <t>Arapongas</t>
  </si>
  <si>
    <t>86701000</t>
  </si>
  <si>
    <t>-23.413328 , -51.432533</t>
  </si>
  <si>
    <t>SUL11544</t>
  </si>
  <si>
    <t>47960950017440</t>
  </si>
  <si>
    <t>MAGAZINE LUIZA - RUA COMENDADOR GUIMARAES, 44 - ZONA COMERCIAL - SPI42293</t>
  </si>
  <si>
    <t>RUA COMENDADOR GUIMARAES</t>
  </si>
  <si>
    <t>Amparo</t>
  </si>
  <si>
    <t>13900470</t>
  </si>
  <si>
    <t>-22.7014841 , -46.7682172</t>
  </si>
  <si>
    <t>SPI42293</t>
  </si>
  <si>
    <t>47960950018179</t>
  </si>
  <si>
    <t>MAGAZINE LUIZA - AVENIDA MARCOLINO MARTINS CABRAL, 963 - SUL243720</t>
  </si>
  <si>
    <t>AVENIDA MARCOLINO MARTINS CABRAL</t>
  </si>
  <si>
    <t>963</t>
  </si>
  <si>
    <t>TUBARÃO</t>
  </si>
  <si>
    <t>88701001</t>
  </si>
  <si>
    <t>-28.4821993,-49.0097933</t>
  </si>
  <si>
    <t>SUL243720</t>
  </si>
  <si>
    <t>47960950036312</t>
  </si>
  <si>
    <t>MAGAZINE LUIZA - PRACA GENTIL FERREIRA, S/N - ZONA COMERCIAL - NE11056</t>
  </si>
  <si>
    <t>NE11056</t>
  </si>
  <si>
    <t>47960950083400</t>
  </si>
  <si>
    <t>706</t>
  </si>
  <si>
    <t>MAGAZINE LUIZA - RUA MANOEL PORTO FILHO, 1444 - ZONA COMERCIAL - SUL44750</t>
  </si>
  <si>
    <t>RUA MANOEL PORTO FILHO</t>
  </si>
  <si>
    <t>88106840</t>
  </si>
  <si>
    <t>-27.597076,-48.6443611</t>
  </si>
  <si>
    <t>SUL44750</t>
  </si>
  <si>
    <t>47960950040697</t>
  </si>
  <si>
    <t>MAGAZINE LUIZA - RUA 15 DE NOVEMBRO, 508 - ZONA COMERCIAL - SPI19578</t>
  </si>
  <si>
    <t>VILAMAMEDINA</t>
  </si>
  <si>
    <t>18681038</t>
  </si>
  <si>
    <t>-22.5974952 , -48.7976075</t>
  </si>
  <si>
    <t>SPI19578</t>
  </si>
  <si>
    <t>47960950065258</t>
  </si>
  <si>
    <t>936</t>
  </si>
  <si>
    <t>MAGAZINE LUIZA - RUA MOGI MIRIM, 921 - SPI242350</t>
  </si>
  <si>
    <t>RUA MOGI MIRIM</t>
  </si>
  <si>
    <t>DESMEMBRAMENTO JOSE CITELLI</t>
  </si>
  <si>
    <t>-22.3411752,-47.1674141</t>
  </si>
  <si>
    <t>SPI242350</t>
  </si>
  <si>
    <t>47960950132540</t>
  </si>
  <si>
    <t>1514</t>
  </si>
  <si>
    <t>MAGAZINE LUIZA - AVENIDA JOAO PESSOA, 192 - N254850</t>
  </si>
  <si>
    <t>AVENIDA JOAO PESSOA</t>
  </si>
  <si>
    <t>JOÃO PAULO</t>
  </si>
  <si>
    <t>65040000</t>
  </si>
  <si>
    <t>-2.54466,-44.2742506</t>
  </si>
  <si>
    <t>N254850</t>
  </si>
  <si>
    <t>47960950108240</t>
  </si>
  <si>
    <t>MAGAZINE LUIZA - DOM ALMEIDA LUSTOSA, 3170 - NE279150</t>
  </si>
  <si>
    <t>DOM ALMEIDA LUSTOSA</t>
  </si>
  <si>
    <t>3170</t>
  </si>
  <si>
    <t>PARQUE GUADALAJARA - JUREMA</t>
  </si>
  <si>
    <t>-3.76846,-38.6255157</t>
  </si>
  <si>
    <t>NE279150</t>
  </si>
  <si>
    <t>47960950093707</t>
  </si>
  <si>
    <t>MAGAZINE LUIZA - PRACA 03 COHAB I, 6 - N280940</t>
  </si>
  <si>
    <t>PRACA 03 COHAB I</t>
  </si>
  <si>
    <t>COHAB ANIL</t>
  </si>
  <si>
    <t>65050840</t>
  </si>
  <si>
    <t>-2.5389514,-44.2231053</t>
  </si>
  <si>
    <t>N280940</t>
  </si>
  <si>
    <t>47960950131145</t>
  </si>
  <si>
    <t>1329</t>
  </si>
  <si>
    <t>MILENA MOVEIS - AVENIDA MURILO SILVA, 124 - NE250850</t>
  </si>
  <si>
    <t>-7.846739,-35.257767</t>
  </si>
  <si>
    <t>NE250850</t>
  </si>
  <si>
    <t>296549004758</t>
  </si>
  <si>
    <t>MULTILOJA - RUA IZAAC FERREIRA DA CRUZ, 3300 - ZONA COMERCIAL - SUL19904</t>
  </si>
  <si>
    <t>LOJA.</t>
  </si>
  <si>
    <t>-25.535429 , -49.270599</t>
  </si>
  <si>
    <t>SUL19904</t>
  </si>
  <si>
    <t>02869763000441</t>
  </si>
  <si>
    <t>NAGEM - RUA DOUTOR JOAO SANTOS FILHO, 255 - SHOPPING PLAZA CASA FORTE - NE39533</t>
  </si>
  <si>
    <t>19 E 25</t>
  </si>
  <si>
    <t>NE39533</t>
  </si>
  <si>
    <t>24073694002280</t>
  </si>
  <si>
    <t>LJ NG REC SH PLAZA</t>
  </si>
  <si>
    <t>RIACHUELO - AVENIDA 24 DE OUTUBRO, 1686 - ZONA COMERCIAL - MGCO47398</t>
  </si>
  <si>
    <t>74003010</t>
  </si>
  <si>
    <t>-16.66867161381911 , -49.29222014380241</t>
  </si>
  <si>
    <t>MGCO47398</t>
  </si>
  <si>
    <t>L039</t>
  </si>
  <si>
    <t>RIACHUELO - AVENIDA ANHANGUERA, 14404 - PORTAL SHOPPING - MGCO82810</t>
  </si>
  <si>
    <t>-16.6545456 , -49.3289954</t>
  </si>
  <si>
    <t>MGCO82810</t>
  </si>
  <si>
    <t>33200056014989</t>
  </si>
  <si>
    <t>L189</t>
  </si>
  <si>
    <t>RIACHUELO - RODOVIA BR 040 KM 12 GLEBA F, S/N - SHOPPING SUL - MGCO46651</t>
  </si>
  <si>
    <t>MGCO46651</t>
  </si>
  <si>
    <t>33200056009952</t>
  </si>
  <si>
    <t>RIACHUELO - AVENIDA CARLOS JEREISSATI, 100 - NORTH SHOPPING MARACANAU - NE46648</t>
  </si>
  <si>
    <t>AVENIDA CARLOS JEREISSATI</t>
  </si>
  <si>
    <t>-3.8797027 , -38.6216529</t>
  </si>
  <si>
    <t>NE46648</t>
  </si>
  <si>
    <t>33200056037573</t>
  </si>
  <si>
    <t>RIACHUELO - AVENIDA ARQUITETO JOSE HENRIQUE BENTO RODRIGUES, 3760 - SHOPPING VIA NORTE - N47391</t>
  </si>
  <si>
    <t>AVENIDA ARQUITETO JOSÉ HENRIQUE</t>
  </si>
  <si>
    <t>MONTEDASOLIVEIRAS</t>
  </si>
  <si>
    <t>-2.9992892 , -60.0024618</t>
  </si>
  <si>
    <t>N47391</t>
  </si>
  <si>
    <t>33200056036500</t>
  </si>
  <si>
    <t>L259</t>
  </si>
  <si>
    <t>BATTI MALDONADO - AVENIDA TUIUTI, 710 - SHOPPING CIDADE MARINGA - SUL232420</t>
  </si>
  <si>
    <t>SALA 37</t>
  </si>
  <si>
    <t>VILA MORANGUEIRA</t>
  </si>
  <si>
    <t>SUL232420</t>
  </si>
  <si>
    <t>DULCOM/DPI (TIM) - SIQUEIRA CAMPOS, 1545 - SHOPPING PRUDENTE PARQUE - SPI20820</t>
  </si>
  <si>
    <t>QUIOSQUE 28</t>
  </si>
  <si>
    <t>SPI20820</t>
  </si>
  <si>
    <t>12254865000325</t>
  </si>
  <si>
    <t>TIM JD - AVENIDA FARROUPILHA, 4545 - PARK SHOPPING CANOAS - SUL229560</t>
  </si>
  <si>
    <t>LOJA LUC 2006</t>
  </si>
  <si>
    <t>-29.915197 , -51.1649284</t>
  </si>
  <si>
    <t>SUL229560</t>
  </si>
  <si>
    <t>13552977000406</t>
  </si>
  <si>
    <t>FACELL - AVENIDA FREI CIRILO, 3840 - GRAND SHOPPING - NE239950</t>
  </si>
  <si>
    <t>-3.8180754, -38.4973158</t>
  </si>
  <si>
    <t>NE239950</t>
  </si>
  <si>
    <t>08143291001312</t>
  </si>
  <si>
    <t>VIVERE CELULARES - RUA CORONEL CLAUDIO, 285 - ZONA COMERCIAL - SUL11575</t>
  </si>
  <si>
    <t>Rua Coronel Claudio</t>
  </si>
  <si>
    <t>loja 2</t>
  </si>
  <si>
    <t>84010280</t>
  </si>
  <si>
    <t>-25.0942841, -50.15884800000001</t>
  </si>
  <si>
    <t>SUL11575</t>
  </si>
  <si>
    <t>05323673000520</t>
  </si>
  <si>
    <t>MAGNATA/RAGAR (TIM) - PRAIA DE BOTAFOGO, 400 - BOTAFOGO PRAIA SHOPPING - RJES63633</t>
  </si>
  <si>
    <t>-22.947461 , -43.1834672</t>
  </si>
  <si>
    <t>RJES63633</t>
  </si>
  <si>
    <t>5999455000771</t>
  </si>
  <si>
    <t>MAGNATA - BOTAFOGO - SAP (27864)</t>
  </si>
  <si>
    <t>JMX (TIM) - AVENIDA AMAZONAS, 709 - MGCO257120</t>
  </si>
  <si>
    <t>32600055</t>
  </si>
  <si>
    <t>-19.9664523,-44.2012373</t>
  </si>
  <si>
    <t>MGCO257120</t>
  </si>
  <si>
    <t>3372209001499</t>
  </si>
  <si>
    <t>TIM - AVENIDA 13 DE MAIO, 41 - RJES7552</t>
  </si>
  <si>
    <t>-22.9088683 , -43.1776612</t>
  </si>
  <si>
    <t>RJES7552</t>
  </si>
  <si>
    <t>2421421006233</t>
  </si>
  <si>
    <t>C218</t>
  </si>
  <si>
    <t>TIM - AVENIDA BARAO DE STUDART, 2550 - SHOPPING BARAO - NE7165</t>
  </si>
  <si>
    <t>AVENIDA BARAO DE STUDART</t>
  </si>
  <si>
    <t>2575</t>
  </si>
  <si>
    <t>SALA 6</t>
  </si>
  <si>
    <t>DIONIZIO TORRES</t>
  </si>
  <si>
    <t>60120002</t>
  </si>
  <si>
    <t>-3.746190599999999, -38.5100215</t>
  </si>
  <si>
    <t>NE7165</t>
  </si>
  <si>
    <t>2421421008015</t>
  </si>
  <si>
    <t>C166</t>
  </si>
  <si>
    <t>Shopping Barao</t>
  </si>
  <si>
    <t>CELULAR STATION - PRAIA DE BOTAFOGO, 400 - BOTAFOGO PRAIA SHOPPING - RJES10170</t>
  </si>
  <si>
    <t>LOJA 113</t>
  </si>
  <si>
    <t>RJES10170</t>
  </si>
  <si>
    <t>2714643000475</t>
  </si>
  <si>
    <t>CELULAR STATION - RUA MARQUES DE SAO VICENTE, 52 - SHOPPING GAVEA - RJES269660</t>
  </si>
  <si>
    <t>RJES269660</t>
  </si>
  <si>
    <t>2714643002680</t>
  </si>
  <si>
    <t>COMMCENTER - ALFREDO SCHURIG, 59 - ZONA COMERCIAL - SPI20873</t>
  </si>
  <si>
    <t>ALFREDO SCHURIG</t>
  </si>
  <si>
    <t>-23.3058748 , -45.9690948</t>
  </si>
  <si>
    <t>SPI20873</t>
  </si>
  <si>
    <t>5828732021195</t>
  </si>
  <si>
    <t>COMMCENTER - RUA GENERAL DIVISAO PEDRO RODRIGUES DA SILVA, 400 - SHOPPING PARQUE BARUERI - SPC10651</t>
  </si>
  <si>
    <t>NOVAALDEINHA</t>
  </si>
  <si>
    <t>-23.5164069 , -46.85565649999999</t>
  </si>
  <si>
    <t>SPC10651</t>
  </si>
  <si>
    <t>5828732015039</t>
  </si>
  <si>
    <t>COMMCENTER - PRAIA DE BOTAFOGO, 400 - BOTAFOGO PRAIA SHOPPING - RJES6112</t>
  </si>
  <si>
    <t>-22.947461, -43.1834672</t>
  </si>
  <si>
    <t>RJES6112</t>
  </si>
  <si>
    <t>5828732007362</t>
  </si>
  <si>
    <t>GRANCELL (VIVO) - RUA 9 DE JULHO, 558 - ZONA COMERCIAL - SPI10718</t>
  </si>
  <si>
    <t>SPI10718</t>
  </si>
  <si>
    <t>4452037001000</t>
  </si>
  <si>
    <t>CELULAR STATION - RUA DIAS DA CRUZ, 74 - RJES275210</t>
  </si>
  <si>
    <t>20720012</t>
  </si>
  <si>
    <t>-22.9016127,-43.2804991</t>
  </si>
  <si>
    <t>RJES275210</t>
  </si>
  <si>
    <t>2714643004209</t>
  </si>
  <si>
    <t>VIVO - RUA MARECHAL DEODORO DA FONSECA, 701 - ZONA COMERCIAL - SUL10089</t>
  </si>
  <si>
    <t>-26.4876394 , -49.0826011</t>
  </si>
  <si>
    <t>SUL10089</t>
  </si>
  <si>
    <t>VIVO - AVENIDA SETE DE SETEMBRO, 2775 - SHOPPING ESTACAO - SUL5969</t>
  </si>
  <si>
    <t>TERREO Q17</t>
  </si>
  <si>
    <t>80230903</t>
  </si>
  <si>
    <t>SUL5969</t>
  </si>
  <si>
    <t>2558157083513</t>
  </si>
  <si>
    <t>LOJA SHOPPING ESTACAO II PR</t>
  </si>
  <si>
    <t>VIVO - RUA JOAQUIM ANTUNES, 162 - SPC286760</t>
  </si>
  <si>
    <t>RUA JOAQUIM ANTUNES</t>
  </si>
  <si>
    <t>5415000</t>
  </si>
  <si>
    <t>-23.5666066,-46.6820134</t>
  </si>
  <si>
    <t>SPC286760</t>
  </si>
  <si>
    <t>2558157089473</t>
  </si>
  <si>
    <t>CASA VIVO</t>
  </si>
  <si>
    <t>ZENIR - AVENIDA FREI CIRILO, 3840 - GRAND SHOPPING - NE110650</t>
  </si>
  <si>
    <t>NE110650</t>
  </si>
  <si>
    <t>41426966005301</t>
  </si>
  <si>
    <t>ZENIR</t>
  </si>
  <si>
    <t>ARMAZEM PARAIBA - RUA PRACA ARISTISDES LOBO, 154 - ZONA COMERCIAL - NE10923</t>
  </si>
  <si>
    <t>RUA PRACA ARISTISDES LOBO</t>
  </si>
  <si>
    <t>58010320</t>
  </si>
  <si>
    <t>-7.119547000000001 , -34.885094</t>
  </si>
  <si>
    <t>NE10923</t>
  </si>
  <si>
    <t>8995631004197</t>
  </si>
  <si>
    <t>CARREFOUR - AVENIDA ENGENHEIRO FRANCISCO DE PAULA SOUZA, 3900 - SPI20884</t>
  </si>
  <si>
    <t>AVENIDA ENGENHEIRO FRANCISCO DE PAULA SOUZA</t>
  </si>
  <si>
    <t>JARDIM VONZUBEM</t>
  </si>
  <si>
    <t>13044370</t>
  </si>
  <si>
    <t>-22.948796 , -47.0261613</t>
  </si>
  <si>
    <t>SPI20884</t>
  </si>
  <si>
    <t>45543915003369</t>
  </si>
  <si>
    <t>CPV</t>
  </si>
  <si>
    <t>CASA &amp; VIDEO - AVENIDA MAESTRO PAULO E SILVA, 400 - SHOPPING ILHA PLAZA - RJES6947</t>
  </si>
  <si>
    <t>JARDIM CARIOCA</t>
  </si>
  <si>
    <t>-22.8041121 , -43.20465189999999</t>
  </si>
  <si>
    <t>RJES6947</t>
  </si>
  <si>
    <t>ILHA PLAZA SHOPPING</t>
  </si>
  <si>
    <t>CASAS BAHIA - AVENIDA LEOPOLDINO DE OLIVEIRA, 3579 - ZONA COMERCIAL - MGCO82805</t>
  </si>
  <si>
    <t>AVENIDA LEOPOLDINO DE OLIVEIRA</t>
  </si>
  <si>
    <t>3579</t>
  </si>
  <si>
    <t>3589,1,2,3º ANDAR</t>
  </si>
  <si>
    <t>Uberaba</t>
  </si>
  <si>
    <t>38010000</t>
  </si>
  <si>
    <t>-19.748299 , -47.935707</t>
  </si>
  <si>
    <t>MGCO82805</t>
  </si>
  <si>
    <t>33041260130025</t>
  </si>
  <si>
    <t>1152</t>
  </si>
  <si>
    <t>CASAS BAHIA - RUA SETE DE SETEMBRO, 124 - ZONA COMERCIAL - SPI78173</t>
  </si>
  <si>
    <t>130 E 138</t>
  </si>
  <si>
    <t>-21.67238 , -49.751881</t>
  </si>
  <si>
    <t>SPI78173</t>
  </si>
  <si>
    <t>33041260114097</t>
  </si>
  <si>
    <t>CASAS BAHIA - RUA 15 DE NOVEMBRO, 149 - ZONA COMERCIAL - SPI6596</t>
  </si>
  <si>
    <t>664</t>
  </si>
  <si>
    <t>12020000</t>
  </si>
  <si>
    <t>-23.02474 , -45.556759</t>
  </si>
  <si>
    <t>SPI6596</t>
  </si>
  <si>
    <t>33041260028840</t>
  </si>
  <si>
    <t>CASAS BAHIA - RUA RUI BARBOSA, 609 - SPI232670</t>
  </si>
  <si>
    <t>609</t>
  </si>
  <si>
    <t>Artur Nogueira</t>
  </si>
  <si>
    <t>13160000</t>
  </si>
  <si>
    <t>-22.5742391 , -47.1692499</t>
  </si>
  <si>
    <t>SPI232670</t>
  </si>
  <si>
    <t>33041260168774</t>
  </si>
  <si>
    <t>2082</t>
  </si>
  <si>
    <t>CASAS BAHIA - RUA DOUTOR PEDRO LUIZ, 266 - ZONA COMERCIAL - MGCO45647</t>
  </si>
  <si>
    <t>RUA DOUTOR PEDRO LUIZ</t>
  </si>
  <si>
    <t>Sete Lagoas</t>
  </si>
  <si>
    <t>35700004</t>
  </si>
  <si>
    <t>-19.4594773 , -44.2438551</t>
  </si>
  <si>
    <t>MGCO45647</t>
  </si>
  <si>
    <t>1349</t>
  </si>
  <si>
    <t>CASAS BAHIA - AVENIDA TAMOIOS, 576 - SPI243440</t>
  </si>
  <si>
    <t>AVENIDA TAMOIOS</t>
  </si>
  <si>
    <t>TUPÃ</t>
  </si>
  <si>
    <t>17601000</t>
  </si>
  <si>
    <t>-21.9280054,-50.5140102</t>
  </si>
  <si>
    <t>SPI243440</t>
  </si>
  <si>
    <t>33041260137318</t>
  </si>
  <si>
    <t>1452</t>
  </si>
  <si>
    <t>CASAS BAHIA - PRACA CORNELIO PROCOPIO, 152 - SPI243610</t>
  </si>
  <si>
    <t>PRACA CORNELIO PROCOPIO</t>
  </si>
  <si>
    <t>PORTO FERREIRA</t>
  </si>
  <si>
    <t>13660000</t>
  </si>
  <si>
    <t>-21.8534017,-47.4822358</t>
  </si>
  <si>
    <t>SPI243610</t>
  </si>
  <si>
    <t>33041260166305</t>
  </si>
  <si>
    <t>2051</t>
  </si>
  <si>
    <t>CASAS BAHIA - RUA SAO PAULO, 1717 - SPI247160</t>
  </si>
  <si>
    <t>-20.5831628,-47.866012</t>
  </si>
  <si>
    <t>SPI247160</t>
  </si>
  <si>
    <t>33041260168006</t>
  </si>
  <si>
    <t>2057</t>
  </si>
  <si>
    <t>CASAS BAHIA - RUA MESTRE CAETANO, 33 - MGCO248230</t>
  </si>
  <si>
    <t>RUA MESTRE CAETANO</t>
  </si>
  <si>
    <t>SABARÁ</t>
  </si>
  <si>
    <t>34505320</t>
  </si>
  <si>
    <t>-19.8910645,-43.8112871</t>
  </si>
  <si>
    <t>MGCO248230</t>
  </si>
  <si>
    <t>33041260145308</t>
  </si>
  <si>
    <t>CASAS BAHIA - AVENIDA AMAZONAS, 1321 - MGCO288910</t>
  </si>
  <si>
    <t>-16.4687769,-54.63075</t>
  </si>
  <si>
    <t>MGCO288910</t>
  </si>
  <si>
    <t>33041260113104</t>
  </si>
  <si>
    <t>CASAS BAHIA - RUA DUQUE DE CAXIAS, 1478 - SPI239150</t>
  </si>
  <si>
    <t>1478</t>
  </si>
  <si>
    <t>Pirassununga</t>
  </si>
  <si>
    <t>13630095</t>
  </si>
  <si>
    <t>-21.9978101, -47.4275765</t>
  </si>
  <si>
    <t>SPI239150</t>
  </si>
  <si>
    <t>33041260118084</t>
  </si>
  <si>
    <t>CASAS BAHIA - AVENIDA FRANCISCO JALLES, 2240 - SPI239240</t>
  </si>
  <si>
    <t>AVENIDA FRANCISCO JALLES</t>
  </si>
  <si>
    <t>2240</t>
  </si>
  <si>
    <t>Jales</t>
  </si>
  <si>
    <t>15700026</t>
  </si>
  <si>
    <t>-20.2709528, -50.54673140000001</t>
  </si>
  <si>
    <t>SPI239240</t>
  </si>
  <si>
    <t>33041260127156</t>
  </si>
  <si>
    <t>1583</t>
  </si>
  <si>
    <t>CASAS BAHIA - RUA CORONEL EUGENIO MOTTA, 273 - SPI239580</t>
  </si>
  <si>
    <t>RUA CORONEL EUGENIO MOTTA</t>
  </si>
  <si>
    <t>Boituva</t>
  </si>
  <si>
    <t>18550000</t>
  </si>
  <si>
    <t>-23.2838709, -47.6727632</t>
  </si>
  <si>
    <t>SPI239580</t>
  </si>
  <si>
    <t>33041260150808</t>
  </si>
  <si>
    <t>1785</t>
  </si>
  <si>
    <t>CASAS BAHIA - AVENIDA MARCELINO PIRES, 1545 - MGCO271290</t>
  </si>
  <si>
    <t>JARDIM AMERICA</t>
  </si>
  <si>
    <t>79801002</t>
  </si>
  <si>
    <t>-22.2277529,-54.8153486</t>
  </si>
  <si>
    <t>MGCO271290</t>
  </si>
  <si>
    <t>33041260095955</t>
  </si>
  <si>
    <t>1479</t>
  </si>
  <si>
    <t>CASAS BAHIA - RUA XV DE NOVEMBRO, 138 - N281420</t>
  </si>
  <si>
    <t>-1.4526391,-48.5049495</t>
  </si>
  <si>
    <t>N281420</t>
  </si>
  <si>
    <t>33041260187728</t>
  </si>
  <si>
    <t>2247</t>
  </si>
  <si>
    <t>SELF TELECOM (CLARO) - RODOVIA PE - 015 KM 16,5, 242 - PAULISTA NORTH WAY SHOPPING - NE241660</t>
  </si>
  <si>
    <t>RODOVIA PE - 015 KM 16,5</t>
  </si>
  <si>
    <t>242</t>
  </si>
  <si>
    <t>L2011 PISO L2</t>
  </si>
  <si>
    <t>-7.9383233, -34.8775792</t>
  </si>
  <si>
    <t>NE241660</t>
  </si>
  <si>
    <t>40908723000299</t>
  </si>
  <si>
    <t>MEIOS E METAS - RODOVIA FERNAO DIAS KM 492, 601 - SHOPPING METROPOLITAN - MGCO20648</t>
  </si>
  <si>
    <t>MGCO20648</t>
  </si>
  <si>
    <t>07603073000974</t>
  </si>
  <si>
    <t>SERIDO TELECOMUNICACOES (CLARO) - AVENIDA ENGENHEIRO ROBERTO FREIRE, 3132 - PRAIA SHOPPING - NE264000</t>
  </si>
  <si>
    <t>AVENIDA ENGENHEIRO ROBERTO FREIRE</t>
  </si>
  <si>
    <t>3132</t>
  </si>
  <si>
    <t>CAPIM MACIO</t>
  </si>
  <si>
    <t>59082400</t>
  </si>
  <si>
    <t>-5.8663775, -35.1855173</t>
  </si>
  <si>
    <t>NE264000</t>
  </si>
  <si>
    <t>38165292000195</t>
  </si>
  <si>
    <t>Praia Shopping</t>
  </si>
  <si>
    <t>CELL NET - AVENIDA DA IGUALDADE, S/N - MGCO241950</t>
  </si>
  <si>
    <t>R. 22-C</t>
  </si>
  <si>
    <t>536</t>
  </si>
  <si>
    <t>720</t>
  </si>
  <si>
    <t>-16.7711493, -49.3390543</t>
  </si>
  <si>
    <t>MGCO241950</t>
  </si>
  <si>
    <t>4601016001425</t>
  </si>
  <si>
    <t>CLARO - AVENIDA IPIRANGA, 5200 - SHOPPING BOURBON IPIRANGA - SUL7564</t>
  </si>
  <si>
    <t>ANDAR 3 SUC 206</t>
  </si>
  <si>
    <t>SUL7564</t>
  </si>
  <si>
    <t>40432544051485</t>
  </si>
  <si>
    <t>5141</t>
  </si>
  <si>
    <t>CLARO - RUA BARAO DE SAO FRANCISCO, 236 - SHOPPING IGUATEMI - RJES6699</t>
  </si>
  <si>
    <t>RJES6699</t>
  </si>
  <si>
    <t>40432544005882</t>
  </si>
  <si>
    <t>2110</t>
  </si>
  <si>
    <t>CLARO - AVENIDA JULIO JOSE DE CAMPOS , 325, SUC 101 E 102 - RONDON PLAZA SHOPPING - MGCO47344</t>
  </si>
  <si>
    <t>AVENIDA JULIO JOSE DE CAMPOS , 325</t>
  </si>
  <si>
    <t>SAGRADA FAMILIA</t>
  </si>
  <si>
    <t>78735330</t>
  </si>
  <si>
    <t>-16.4726018 , -54.6086191</t>
  </si>
  <si>
    <t>MGCO47344</t>
  </si>
  <si>
    <t>40432544045590</t>
  </si>
  <si>
    <t>6505</t>
  </si>
  <si>
    <t>Rondon Plaza Shopping</t>
  </si>
  <si>
    <t>CLARO - AVENIDA WASHINGTON SOARES, 4335 - SHOPPING VIA SUL - NE5578</t>
  </si>
  <si>
    <t>60811905</t>
  </si>
  <si>
    <t>-3.7941284 , -38.4796124</t>
  </si>
  <si>
    <t>NE5578</t>
  </si>
  <si>
    <t>40432544026456</t>
  </si>
  <si>
    <t>8505</t>
  </si>
  <si>
    <t>CLARO - AVENIDA ASSIS BRASIL, 164 - SHOPPING BOURBON ASSIS BRASIL - SUL7565</t>
  </si>
  <si>
    <t>91010000</t>
  </si>
  <si>
    <t>-30.007988 , -51.184227</t>
  </si>
  <si>
    <t>SUL7565</t>
  </si>
  <si>
    <t>40432544009527</t>
  </si>
  <si>
    <t>Shopping Bourbon Assis Brasil</t>
  </si>
  <si>
    <t>COLOMBO - AVENIDA BRASIL, 3472 - SUL266190</t>
  </si>
  <si>
    <t>3472</t>
  </si>
  <si>
    <t>87013935</t>
  </si>
  <si>
    <t>-23.4206237,-51.9362684</t>
  </si>
  <si>
    <t>SUL266190</t>
  </si>
  <si>
    <t>89848543072917</t>
  </si>
  <si>
    <t>COLOMBO - RUA SAO JOSE, 600 - ZONA COMERICAL - SUL23057</t>
  </si>
  <si>
    <t>-30.10817 , -51.318954</t>
  </si>
  <si>
    <t>SUL23057</t>
  </si>
  <si>
    <t>89848543007180</t>
  </si>
  <si>
    <t>COLOMBO - RODOVIA ARMANDO CALIL BULOS, 5999 - SUL263720</t>
  </si>
  <si>
    <t>5999</t>
  </si>
  <si>
    <t>-27.4373659,-48.4037134</t>
  </si>
  <si>
    <t>SUL263720</t>
  </si>
  <si>
    <t>89848543072593</t>
  </si>
  <si>
    <t>COLOMBO - AVENIDA PRESIDENTE GETULIO VARGAS, 2194 - SUL276120</t>
  </si>
  <si>
    <t>2194</t>
  </si>
  <si>
    <t>-29.9989905,-51.0804119</t>
  </si>
  <si>
    <t>SUL276120</t>
  </si>
  <si>
    <t>89848543040551</t>
  </si>
  <si>
    <t>COLOMBO - AVENIDA IRAI, 467 - SUL288160</t>
  </si>
  <si>
    <t>AVENIDA IRAI</t>
  </si>
  <si>
    <t>83321007</t>
  </si>
  <si>
    <t>-25.4485185,-49.1895588</t>
  </si>
  <si>
    <t>SUL288160</t>
  </si>
  <si>
    <t>89848543088830</t>
  </si>
  <si>
    <t>COLOMBO - RUA ITALIA, 334 - ZONA COMERCIAL - SUL18789</t>
  </si>
  <si>
    <t>RUA ITALIA</t>
  </si>
  <si>
    <t>NACOES</t>
  </si>
  <si>
    <t>83823020</t>
  </si>
  <si>
    <t>-25.6527524 , -49.3086456</t>
  </si>
  <si>
    <t>SUL18789</t>
  </si>
  <si>
    <t>CYBELAR - RUA MOGI MIRIM, 840 - SPI242360</t>
  </si>
  <si>
    <t>-22.3402499,-47.1683213</t>
  </si>
  <si>
    <t>SPI242360</t>
  </si>
  <si>
    <t>72456809000133</t>
  </si>
  <si>
    <t>CYBELAR</t>
  </si>
  <si>
    <t>G. BARBOSA - ALAMEDA EUVALDO LUZ, 92 - SHOPPING BELA VISTA - NE236520</t>
  </si>
  <si>
    <t>PERNAMBUÉS</t>
  </si>
  <si>
    <t>-12.9700702 , -38.4741809</t>
  </si>
  <si>
    <t>NE236520</t>
  </si>
  <si>
    <t>39346861043219</t>
  </si>
  <si>
    <t>GAZIN - AVENIDA AMAZONAS, 1077 - MGCO288970</t>
  </si>
  <si>
    <t>-16.4702403,-54.6324069</t>
  </si>
  <si>
    <t>MGCO288970</t>
  </si>
  <si>
    <t>77941490010975</t>
  </si>
  <si>
    <t>10100</t>
  </si>
  <si>
    <t>HAVAN - RODOVIA BR 101, 4500 - SUL229890</t>
  </si>
  <si>
    <t>PASSA VINTE</t>
  </si>
  <si>
    <t>88132011</t>
  </si>
  <si>
    <t>-27.660340575552507 , -48.678622251373326</t>
  </si>
  <si>
    <t>SUL229890</t>
  </si>
  <si>
    <t>79379491015539</t>
  </si>
  <si>
    <t>137 - PALHOCA 2</t>
  </si>
  <si>
    <t>INFO STORE - AVENIDA TORQUATO TAPAJOS, 1720 - N291180</t>
  </si>
  <si>
    <t>FLORES</t>
  </si>
  <si>
    <t>69058830</t>
  </si>
  <si>
    <t>-3.055747,-60.0273567</t>
  </si>
  <si>
    <t>N291180</t>
  </si>
  <si>
    <t>2337524004004</t>
  </si>
  <si>
    <t>KOERICH - AVENIDA CONSUL CARLOS RENAUX, 100 - ZONA COMERCIAL - SUL90844</t>
  </si>
  <si>
    <t>-27.097618 , -48.91597</t>
  </si>
  <si>
    <t>SUL90844</t>
  </si>
  <si>
    <t>86184074005452</t>
  </si>
  <si>
    <t>KOERICH - AVENIDA SANTA CATARINA, 1285 - ZONA COMERCIAL - SUL18528</t>
  </si>
  <si>
    <t>89226000</t>
  </si>
  <si>
    <t>-26.3341664 , -48.8471684</t>
  </si>
  <si>
    <t>SUL18528</t>
  </si>
  <si>
    <t>86184074006262</t>
  </si>
  <si>
    <t>KOERICH - RUA XV DE NOVEMBRO, 7127 - SUL290200</t>
  </si>
  <si>
    <t>7127</t>
  </si>
  <si>
    <t>89237003</t>
  </si>
  <si>
    <t>-26.2872594,-48.9093122</t>
  </si>
  <si>
    <t>SUL290200</t>
  </si>
  <si>
    <t>86184074013471</t>
  </si>
  <si>
    <t>LEBES  - AVENIDA JOAO ANTONIO DA SILVEIRA, 2043 - ZONA COMERCIAL - SUL11042</t>
  </si>
  <si>
    <t>AVENIDA JOAO ANTONIO DA SILVEIRA</t>
  </si>
  <si>
    <t>RESTINGA</t>
  </si>
  <si>
    <t>91790400</t>
  </si>
  <si>
    <t>-30.1551792, -51.1397109</t>
  </si>
  <si>
    <t>SUL11042</t>
  </si>
  <si>
    <t>96662168019401</t>
  </si>
  <si>
    <t>LEBES - RUA SAO JOSE, 597 - SUL23058</t>
  </si>
  <si>
    <t>-30.108107 , -51.318901</t>
  </si>
  <si>
    <t>SUL23058</t>
  </si>
  <si>
    <t>96662168003157</t>
  </si>
  <si>
    <t>LOJAS AMERICANAS - VISCONDE DE TAUNAU, 235 - SUL11356</t>
  </si>
  <si>
    <t>RUA VISCONDE DE TAUNAU</t>
  </si>
  <si>
    <t>89201908</t>
  </si>
  <si>
    <t>-26.3036717 , -48.84910559999999</t>
  </si>
  <si>
    <t>SUL11356</t>
  </si>
  <si>
    <t>776574159260</t>
  </si>
  <si>
    <t>L172</t>
  </si>
  <si>
    <t>LOJAS AMERICANAS - AVENIDA ABILIO DE MACHADO, 1664 - MGCO10436</t>
  </si>
  <si>
    <t>-19.903086 , -44.003093</t>
  </si>
  <si>
    <t>MGCO10436</t>
  </si>
  <si>
    <t>776574118904</t>
  </si>
  <si>
    <t>1006</t>
  </si>
  <si>
    <t>LOJAS AMERICANAS - AVENIDA SEVERINO BEZERRA CABRAL, 1050 - PARTAGE SHOPPING CAMPINA GRANDE - NE10887</t>
  </si>
  <si>
    <t>AVENIDA PREFEITO SEVERINO BEZERRA CABRAL</t>
  </si>
  <si>
    <t>58104170</t>
  </si>
  <si>
    <t>-7.235115 , -35.870585</t>
  </si>
  <si>
    <t>NE10887</t>
  </si>
  <si>
    <t>776574105764</t>
  </si>
  <si>
    <t>LOJAS AMERICANAS - AVENIDA BRASILIA, 146 - SHOPPING 3 AMERICAS - MGCO45803</t>
  </si>
  <si>
    <t>LOJA 309</t>
  </si>
  <si>
    <t>MGCO45803</t>
  </si>
  <si>
    <t>776574076640</t>
  </si>
  <si>
    <t>LOJAS AMERICANAS - AVENIDA DO CONTORNO, 6061 - SHOPPING PATIO SAVASSI - MGCO20661</t>
  </si>
  <si>
    <t>LJ 115, 116, 117</t>
  </si>
  <si>
    <t>30110110</t>
  </si>
  <si>
    <t>MGCO20661</t>
  </si>
  <si>
    <t>776574118742</t>
  </si>
  <si>
    <t>LOJAS AMERICANAS - RUA AMADOR BUENO, 229 - SHOPPING MAIS - SPC19577</t>
  </si>
  <si>
    <t>LOJA 10-306</t>
  </si>
  <si>
    <t>-23.652733 , -46.710621</t>
  </si>
  <si>
    <t>SPC19577</t>
  </si>
  <si>
    <t>776574095190</t>
  </si>
  <si>
    <t>L588</t>
  </si>
  <si>
    <t>LOJAS AMERICANAS - AVENIDA LIBERDADE, S/N - NE249420</t>
  </si>
  <si>
    <t>58305003</t>
  </si>
  <si>
    <t>-7.1249619,-34.9277982</t>
  </si>
  <si>
    <t>NE249420</t>
  </si>
  <si>
    <t>776574105683</t>
  </si>
  <si>
    <t>LOJAS AMERICANAS - RUA 15 DE NOVEMBRO, 744 - SPI39653</t>
  </si>
  <si>
    <t>18680030</t>
  </si>
  <si>
    <t>-22.5967682 , -48.7996199</t>
  </si>
  <si>
    <t>SPI39653</t>
  </si>
  <si>
    <t>776574027437</t>
  </si>
  <si>
    <t>LOJAS AMERICANAS - AVENIDA 31 DE MARCO, 747 - ZONA COMERCIAL - SPI19574</t>
  </si>
  <si>
    <t>-23.5452155 , -47.4478524</t>
  </si>
  <si>
    <t>SPI19574</t>
  </si>
  <si>
    <t>776574049163</t>
  </si>
  <si>
    <t>L569</t>
  </si>
  <si>
    <t>LOJAS AMERICANAS - RUA SAO BENEDITO, 53 - SPI245610</t>
  </si>
  <si>
    <t>RUA SAO BENEDITO</t>
  </si>
  <si>
    <t>11660100</t>
  </si>
  <si>
    <t>-23.6240206,-45.4135362</t>
  </si>
  <si>
    <t>SPI245610</t>
  </si>
  <si>
    <t>776574036851</t>
  </si>
  <si>
    <t>L322</t>
  </si>
  <si>
    <t>LOJAS AMERICANAS - AVENIDA BENJAMIN PINTOS DIAS, 1130 - RJES40713</t>
  </si>
  <si>
    <t>-22.7663057, -43.4001919</t>
  </si>
  <si>
    <t>RJES40713</t>
  </si>
  <si>
    <t>776574021820</t>
  </si>
  <si>
    <t>LOJAS AMERICANAS - AVENIDA EDSON DA MOTA CORREIA, 620 - IANDE SHOPPING CAUCAIA - NE252360</t>
  </si>
  <si>
    <t>AVENIDA EDSON DA MOTA CORREIA</t>
  </si>
  <si>
    <t>61600040</t>
  </si>
  <si>
    <t>-3.7340476,-38.6580976</t>
  </si>
  <si>
    <t>NE252360</t>
  </si>
  <si>
    <t>776574101505</t>
  </si>
  <si>
    <t>L484</t>
  </si>
  <si>
    <t>Iande Shopping Caucaia</t>
  </si>
  <si>
    <t>LOJAS CEM - RODOVIA REGIS BITTENCOURT, 51 - ZONA COMERCIAL - SPC20224</t>
  </si>
  <si>
    <t>SPC20224</t>
  </si>
  <si>
    <t>56642960014917</t>
  </si>
  <si>
    <t>TABOÃO</t>
  </si>
  <si>
    <t>LOJAS CEM - RUA SAO PAULO, 1270 - SPI241010</t>
  </si>
  <si>
    <t>Lojas Cem F174</t>
  </si>
  <si>
    <t>São Joaquim da Barra</t>
  </si>
  <si>
    <t>-20.5803856, -47.8602086</t>
  </si>
  <si>
    <t>SPI241010</t>
  </si>
  <si>
    <t>56642960017690</t>
  </si>
  <si>
    <t>SJBARR</t>
  </si>
  <si>
    <t>LOJAS CEM - RUA XV DE NOVEMBRO, 756 - ZONA COMERCIAL - SPI45854</t>
  </si>
  <si>
    <t>756</t>
  </si>
  <si>
    <t>Pedreira</t>
  </si>
  <si>
    <t>13920000</t>
  </si>
  <si>
    <t>-22.7431846 , -46.902957</t>
  </si>
  <si>
    <t>SPI45854</t>
  </si>
  <si>
    <t>56642960016456</t>
  </si>
  <si>
    <t>PEDREI</t>
  </si>
  <si>
    <t>LOJAS CEM - AVENIDA SETE DE SETEMBRO, 1500 - ZONA COMERCIAL - SPI45868</t>
  </si>
  <si>
    <t>13160078</t>
  </si>
  <si>
    <t>-22.57426970167943, -47.17029729551151</t>
  </si>
  <si>
    <t>SPI45868</t>
  </si>
  <si>
    <t>56642960014089</t>
  </si>
  <si>
    <t>ANOGUE</t>
  </si>
  <si>
    <t>LOJAS CEM - PRACA CORNELIO PROCOPIO, 21 - SPI231921</t>
  </si>
  <si>
    <t>Porto Ferreira</t>
  </si>
  <si>
    <t>-21.853463, -47.4793643</t>
  </si>
  <si>
    <t>SPI231921</t>
  </si>
  <si>
    <t>56642960015484</t>
  </si>
  <si>
    <t>PFERRE</t>
  </si>
  <si>
    <t>LOJAS CEM - AVENIDA EMILIO BOSCO, 1001 - MATAO - SPI89608</t>
  </si>
  <si>
    <t>AVENIDA EMILIO BOSCO</t>
  </si>
  <si>
    <t>MATÃO</t>
  </si>
  <si>
    <t>13180000</t>
  </si>
  <si>
    <t>-22.8327104 , -47.166353</t>
  </si>
  <si>
    <t>SPI89608</t>
  </si>
  <si>
    <t>56642960024980</t>
  </si>
  <si>
    <t>SUMMAT</t>
  </si>
  <si>
    <t>MAGAZINE LUIZA - RUA PRESIDENTE CASTELO BRANCO, 539 - MGCO288900</t>
  </si>
  <si>
    <t>Q 22 L 7</t>
  </si>
  <si>
    <t>-16.4397819,-54.6266526</t>
  </si>
  <si>
    <t>MGCO288900</t>
  </si>
  <si>
    <t>47960950124955</t>
  </si>
  <si>
    <t>MAGAZINE LUIZA - AVENIDA 7 DE SETEMBRO, 100 - ZONA COMERCIAL - SPI20968</t>
  </si>
  <si>
    <t>87550000</t>
  </si>
  <si>
    <t>-22.968266, -46.995025</t>
  </si>
  <si>
    <t>SPI20968</t>
  </si>
  <si>
    <t>47960950019060</t>
  </si>
  <si>
    <t>MAGAZINE LUIZA - RUA PRESIDENTE CARLOS CAVALCANTE, 201 - ZONA COMERCIAL - SUL19557</t>
  </si>
  <si>
    <t>-25.593021 , -49.408794</t>
  </si>
  <si>
    <t>SUL19557</t>
  </si>
  <si>
    <t>47960950048590</t>
  </si>
  <si>
    <t>MAGAZINE LUIZA - RUA SANTOS DUMONT, 291 - ZONA COMERCIAL - SPI42323</t>
  </si>
  <si>
    <t>-23.02898 , -46.975536</t>
  </si>
  <si>
    <t>SPI42323</t>
  </si>
  <si>
    <t>47960950018764</t>
  </si>
  <si>
    <t>MAGAZINE LUIZA - RUA ANTONIO PEDRO, 207 - ZONA COMERCIAL - SPI45853</t>
  </si>
  <si>
    <t>RUA ANTONIO PEDRO</t>
  </si>
  <si>
    <t>-22.7439891 , -46.9016627</t>
  </si>
  <si>
    <t>SPI45853</t>
  </si>
  <si>
    <t>47960950043955</t>
  </si>
  <si>
    <t>267</t>
  </si>
  <si>
    <t>MAGAZINE LUIZA - RUA DUQUE DE CAXIAS, 1530 - SPI45867</t>
  </si>
  <si>
    <t>-22.5734925 , -47.1707474</t>
  </si>
  <si>
    <t>SPI45867</t>
  </si>
  <si>
    <t>47960950096137</t>
  </si>
  <si>
    <t>636</t>
  </si>
  <si>
    <t>MAGAZINE LUIZA - RUA COMENDADOR ANTONIO ALVES, 507 - MGCO242410</t>
  </si>
  <si>
    <t>RUA COMENDADOR ANTONIO ALVES</t>
  </si>
  <si>
    <t>PEDRO LEOPOLDO</t>
  </si>
  <si>
    <t>33600000</t>
  </si>
  <si>
    <t>-19.6197503,-44.0445895</t>
  </si>
  <si>
    <t>MGCO242410</t>
  </si>
  <si>
    <t>47960950092654</t>
  </si>
  <si>
    <t>MAGAZINE LUIZA - RUA CORONEL JOAO PROCOPIO, 287 - SPI243600</t>
  </si>
  <si>
    <t>RUA CORONEL JOAO PROCOPIO</t>
  </si>
  <si>
    <t>13660037</t>
  </si>
  <si>
    <t>-21.8545209,-47.4810219</t>
  </si>
  <si>
    <t>SPI243600</t>
  </si>
  <si>
    <t>47960950005786</t>
  </si>
  <si>
    <t>MAGAZINE LUIZA - PRACA MARIO FURTADO, 1 - SPI257830</t>
  </si>
  <si>
    <t>PRACA MARIO FURTADO</t>
  </si>
  <si>
    <t>Orlândia</t>
  </si>
  <si>
    <t>14620000</t>
  </si>
  <si>
    <t>-20.7221567,-47.8870894</t>
  </si>
  <si>
    <t>SPI257830</t>
  </si>
  <si>
    <t>47960950007134</t>
  </si>
  <si>
    <t>MAGAZINE LUIZA - AVENIDA TAMOIOS, 818 - SPI277810</t>
  </si>
  <si>
    <t>818</t>
  </si>
  <si>
    <t>-21.9295635,-50.5138516</t>
  </si>
  <si>
    <t>SPI277810</t>
  </si>
  <si>
    <t>47960950020076</t>
  </si>
  <si>
    <t>MAGAZINE LUIZA - RUA PRINCESA ISABEL, 405 - SPI278770</t>
  </si>
  <si>
    <t>RUA PRINCESA ISABEL</t>
  </si>
  <si>
    <t>Presidente Venceslau</t>
  </si>
  <si>
    <t>19400000</t>
  </si>
  <si>
    <t>-21.8726139,-51.8502256</t>
  </si>
  <si>
    <t>SPI278770</t>
  </si>
  <si>
    <t>47960950020661</t>
  </si>
  <si>
    <t>MAGAZINE LUIZA - RUA DOUTOR PEDRO LUIZ, 235 - MGCO288560</t>
  </si>
  <si>
    <t>-19.4597813,-44.2448658</t>
  </si>
  <si>
    <t>MGCO288560</t>
  </si>
  <si>
    <t>47960950098504</t>
  </si>
  <si>
    <t>MAGAZINE LUIZA - AVENIDA GETULIO VARGAS, 228 - ZONA COMERCIAL - SUL10704</t>
  </si>
  <si>
    <t>-26.4805565 , -49.0836463</t>
  </si>
  <si>
    <t>SUL10704</t>
  </si>
  <si>
    <t>47960950034530</t>
  </si>
  <si>
    <t>MAGAZINE LUIZA - RUA JOSE BONIFACIO, 435 - SPI239160</t>
  </si>
  <si>
    <t>13630000</t>
  </si>
  <si>
    <t>-21.9974624, -47.4270013</t>
  </si>
  <si>
    <t>SPI239160</t>
  </si>
  <si>
    <t>47960950001950</t>
  </si>
  <si>
    <t>MAGAZINE LUIZA - AVENIDA FRANCISCO JALLES, 2336 - SPI239250</t>
  </si>
  <si>
    <t>2336</t>
  </si>
  <si>
    <t>-20.2702944, -50.5473702</t>
  </si>
  <si>
    <t>SPI239250</t>
  </si>
  <si>
    <t>47960950017369</t>
  </si>
  <si>
    <t>MAGAZINE LUIZA - AVENIDA EPTACIO PESSOA, 2737 - ZONA COMERCIAL - NE22965</t>
  </si>
  <si>
    <t>AVENIDA EPTACIO PESSOA</t>
  </si>
  <si>
    <t>2737</t>
  </si>
  <si>
    <t>PEDROGONDIM</t>
  </si>
  <si>
    <t>58030002</t>
  </si>
  <si>
    <t>-7.119066399999999 , -34.8458347</t>
  </si>
  <si>
    <t>NE22965</t>
  </si>
  <si>
    <t>47960950078155</t>
  </si>
  <si>
    <t>769</t>
  </si>
  <si>
    <t>MAGAZINE LUIZA - RUA DA CONCORDIA, 188 - ZONA COMERCIAL - NE9245</t>
  </si>
  <si>
    <t>RUA DA CONCORDIA</t>
  </si>
  <si>
    <t>50020050</t>
  </si>
  <si>
    <t>-8.065243 , -34.881458</t>
  </si>
  <si>
    <t>NE9245</t>
  </si>
  <si>
    <t>47960950079631</t>
  </si>
  <si>
    <t>708</t>
  </si>
  <si>
    <t>MAGAZINE LUIZA - RUA DIAS DA CRUZ, 155 - RJES230390</t>
  </si>
  <si>
    <t>-22.9027639 , -43.2814202</t>
  </si>
  <si>
    <t>RJES230390</t>
  </si>
  <si>
    <t>47960950136880</t>
  </si>
  <si>
    <t>1628</t>
  </si>
  <si>
    <t>MAGAZINE LUIZA - SENADOR CARLOS JEREISSATI, 100 - SHOPPING NORTH SHOPPING MARACANAU - NE21905</t>
  </si>
  <si>
    <t>SENADOR CARLOS JEREISSATI</t>
  </si>
  <si>
    <t>NE21905</t>
  </si>
  <si>
    <t>MILENA MOVEIS - AVENIDA GOVERNADOR AGAMENON MAGALHAES, 153 - SHOPPING TACARUNA - NE11550</t>
  </si>
  <si>
    <t>-8.038558803991446 , -34.87185928552247</t>
  </si>
  <si>
    <t>NE11550</t>
  </si>
  <si>
    <t>NAGEM - AVENIDA ADJAR DA SILVA CASE, 800 - SHOPPING CENTER CARUARU - NE79751</t>
  </si>
  <si>
    <t>MUC 1200</t>
  </si>
  <si>
    <t>55024715</t>
  </si>
  <si>
    <t>NE79751</t>
  </si>
  <si>
    <t>24073694003413</t>
  </si>
  <si>
    <t>LJ NG CAR SH CARUARU</t>
  </si>
  <si>
    <t>PONTO FRIO - AVENIDA ERMILO VASCONCELLOS COSTA, 96 - ZONA COMERCIAL - MGCO41624</t>
  </si>
  <si>
    <t>AVENIDA ERMILO VASCONCELLOS COSTA</t>
  </si>
  <si>
    <t>35700642</t>
  </si>
  <si>
    <t>-19.4609989 , -44.2441051</t>
  </si>
  <si>
    <t>MGCO41624</t>
  </si>
  <si>
    <t>33041260020270</t>
  </si>
  <si>
    <t>PONTO FRIO - RUA COMENDADOR ANTONIO ALVES, 613 - MGCO242440</t>
  </si>
  <si>
    <t>-19.6204239,-44.0440357</t>
  </si>
  <si>
    <t>MGCO242440</t>
  </si>
  <si>
    <t>33041260054841</t>
  </si>
  <si>
    <t>RIACHUELO - AVENIDA BARRETO DE MENEZES, 800 - SHOPPING GUARARAPES - NE44807</t>
  </si>
  <si>
    <t>NE44807</t>
  </si>
  <si>
    <t>33200056025648</t>
  </si>
  <si>
    <t>RIACHUELO - AVENIDA FERNANDO MACHADO, 4000 - SHOPPING PATIO CHAPECÓ - SUL80513</t>
  </si>
  <si>
    <t>LOJAS 28, 29 E 30</t>
  </si>
  <si>
    <t>SUL80513</t>
  </si>
  <si>
    <t>33200056026377</t>
  </si>
  <si>
    <t>RIACHUELO - ALAMEDA SANTA LUZIA QUADRA 00, 06B-2 - AGUAS LINDAS SHOPPING - MGCO236310</t>
  </si>
  <si>
    <t>-15.7358491 , -48.2740358</t>
  </si>
  <si>
    <t>MGCO236310</t>
  </si>
  <si>
    <t>33200056016061</t>
  </si>
  <si>
    <t>L191</t>
  </si>
  <si>
    <t>RIACHUELO - AVENIDA ADIAR DA SILVA CASE, 800 - SHOPPING CARUARU - NE11179</t>
  </si>
  <si>
    <t>NE11179</t>
  </si>
  <si>
    <t>33200056009600</t>
  </si>
  <si>
    <t>RIACHUELO - AVENIDA SEVERINO BEZERRA CABRAL, 1050 - PARTAGE SHOPPING CAMPINA GRANDE - NE43042</t>
  </si>
  <si>
    <t>58410900</t>
  </si>
  <si>
    <t>-7.235445599999999 , -35.8701328</t>
  </si>
  <si>
    <t>NE43042</t>
  </si>
  <si>
    <t>33200056035368</t>
  </si>
  <si>
    <t>RIACHUELO - RUA CARAPINIMA, 2200 - SHOPPING BENFICA - NE47412</t>
  </si>
  <si>
    <t>RUA CARAPINIMA</t>
  </si>
  <si>
    <t>-3.7389806 , -38.5401669</t>
  </si>
  <si>
    <t>NE47412</t>
  </si>
  <si>
    <t>33200056040442</t>
  </si>
  <si>
    <t>L314</t>
  </si>
  <si>
    <t>RIACHUELO - RUA DOUTOR SILVIO BASTOS TAVARES, 316 - SHOPPING PARTAGE CAMPOS - RJES48028</t>
  </si>
  <si>
    <t>PARQUELEOPOLDINA</t>
  </si>
  <si>
    <t>RJES48028</t>
  </si>
  <si>
    <t>33200056010292</t>
  </si>
  <si>
    <t>L124</t>
  </si>
  <si>
    <t>IMAGEM TELECOM - RUA DOM PEDRO II, 178 - POLI SHOPPING - SPC274850</t>
  </si>
  <si>
    <t>7011003</t>
  </si>
  <si>
    <t>-23.470446 , -46.52874</t>
  </si>
  <si>
    <t>SPC274850</t>
  </si>
  <si>
    <t>11057917000734</t>
  </si>
  <si>
    <t>FACELL - RUA CARAPINIMA, 2200 - SHOPPING BENFICA - NE7889</t>
  </si>
  <si>
    <t>LOJA 243 E 244 ARCO</t>
  </si>
  <si>
    <t>NE7889</t>
  </si>
  <si>
    <t>08143291000340</t>
  </si>
  <si>
    <t>FORT TELECOM - AVENIDA WASHINGTON SOARES, 4335 - SHOPPING VIA SUL - NE46661</t>
  </si>
  <si>
    <t>-3.7946075, -38.4795714</t>
  </si>
  <si>
    <t>NE46661</t>
  </si>
  <si>
    <t>8143291000260</t>
  </si>
  <si>
    <t>FORT TELECOM - FORTALEZA - SHOPPING IGUATEMI FORTALEZA - SAP (9932)</t>
  </si>
  <si>
    <t>ALEGRIA (TIM) - RUA DO GIRIQUITI, 48 - SHOPPING BOA VISTA - NE6893</t>
  </si>
  <si>
    <t>NE6893</t>
  </si>
  <si>
    <t>21683365005105</t>
  </si>
  <si>
    <t>ALEGRIA TELECOM - SHOPPING BOA VISTA  - SAP (42856)</t>
  </si>
  <si>
    <t>ALEGRIA (TIM) - RODOVIA PE - 015 KM 16,5, 242 - PAULISTA NORTH WAY SHOPPING - NE246400</t>
  </si>
  <si>
    <t>PAULISTA</t>
  </si>
  <si>
    <t>NE246400</t>
  </si>
  <si>
    <t>21683365004982</t>
  </si>
  <si>
    <t>ALEGRIA TELECOM - SHOPPING NORTH WAY - SAP (42862)</t>
  </si>
  <si>
    <t>ALEGRIA (TIM) - AVENIDA CRISTIANO MACHADO, 11833, LOJA 2 - SHOPPING ESTACAO BH - MGCO274990</t>
  </si>
  <si>
    <t>11833, LOJA 2</t>
  </si>
  <si>
    <t>MGCO274990</t>
  </si>
  <si>
    <t>21683365006098</t>
  </si>
  <si>
    <t>ALEGRIA TELECOM SHOP ESTACAO BH 2 - SAP (43261)</t>
  </si>
  <si>
    <t>TIM AA - AVENIDA 29 DE ABRIL, 125 - ZONA COMERCIAL - SUL62957</t>
  </si>
  <si>
    <t>AVENIDA 29 DE ABRIL, 125</t>
  </si>
  <si>
    <t>Guaratuba</t>
  </si>
  <si>
    <t>83289000</t>
  </si>
  <si>
    <t>-25.874626 , -48.575165</t>
  </si>
  <si>
    <t>SUL62957</t>
  </si>
  <si>
    <t>TIM - AVENIDA 24 DE OUTUBRO, 1216 - MGCO11537</t>
  </si>
  <si>
    <t>LOTE 9 QUADRA 48</t>
  </si>
  <si>
    <t>-16.669594 , -49.28928</t>
  </si>
  <si>
    <t>MGCO11537</t>
  </si>
  <si>
    <t>04206050034913</t>
  </si>
  <si>
    <t>C292</t>
  </si>
  <si>
    <t>TIM - AVENIDA GETULIO VARGAS, 1446 - SHOPPING AMERICANAS - SUL232880</t>
  </si>
  <si>
    <t>1446</t>
  </si>
  <si>
    <t>ANITA GARIBALDE</t>
  </si>
  <si>
    <t>89202002</t>
  </si>
  <si>
    <t>-26.3207353 , -48.8460911</t>
  </si>
  <si>
    <t>SUL232880</t>
  </si>
  <si>
    <t>10569072000450</t>
  </si>
  <si>
    <t>Shopping Americanas</t>
  </si>
  <si>
    <t>4 REDES TELECOM (VIVO) - AVENIDA EDSON DA MOTA CORREIA, 620 - IANDE SHOPPING CAUCAIA - NE257130</t>
  </si>
  <si>
    <t>NE257130</t>
  </si>
  <si>
    <t>2558157124481</t>
  </si>
  <si>
    <t>FUTURA - AVENIDA AFONSO VAZ DE MELO, 640 - SHOPPING VIA SHOPPING - MGCO20671</t>
  </si>
  <si>
    <t>QUIOSQUE 213</t>
  </si>
  <si>
    <t>MGCO20671</t>
  </si>
  <si>
    <t>07538340000543</t>
  </si>
  <si>
    <t>IDEAL (VIVO) - RUA EDUARDO DE MORAIS, S/N - SHOPPING PATTEO OLINDA - NE257770</t>
  </si>
  <si>
    <t>53130150</t>
  </si>
  <si>
    <t>NE257770</t>
  </si>
  <si>
    <t>8182334006257</t>
  </si>
  <si>
    <t>FUTURA - AVENIDA JOAO CESAR DE OLIVEIRA, 1275 - BIG SHOPPING - MGCO11107</t>
  </si>
  <si>
    <t>MGCO11107</t>
  </si>
  <si>
    <t>07538340001787</t>
  </si>
  <si>
    <t>GRANCELL (VIVO) - AVENIDA RIO NEGRO, 1100 - SHOPPING FRANCA - SPI258010</t>
  </si>
  <si>
    <t>JARDIM ROSELÂNDIA</t>
  </si>
  <si>
    <t>14406005</t>
  </si>
  <si>
    <t>SPI258010</t>
  </si>
  <si>
    <t>4452037002236</t>
  </si>
  <si>
    <t>4 REDES TELECOM (VIVO) - AVENIDA WASHINGTON SOARES, 4335 - SHOPPING VIA SUL - NE259020</t>
  </si>
  <si>
    <t>NE259020</t>
  </si>
  <si>
    <t>7041040010436</t>
  </si>
  <si>
    <t>4 REDES TELECOM (VIVO) - AVENIDA PRESIDENTE ERNESTO GEISEL, 2300 - SHOPPING NORTE SUL PLAZA - MGCO286510</t>
  </si>
  <si>
    <t>79005471</t>
  </si>
  <si>
    <t>MGCO286510</t>
  </si>
  <si>
    <t>7041040002506</t>
  </si>
  <si>
    <t>COMMCENTER - AVENIDA GETULIO VARGAS, 268 - JARAGUA DO SUL PARK SHOPPING - SUL270550</t>
  </si>
  <si>
    <t>89215970</t>
  </si>
  <si>
    <t>SUL270550</t>
  </si>
  <si>
    <t>308055004150</t>
  </si>
  <si>
    <t>COMMCENTER - AVENIDA MARECHAL DEODORO DA FONSECA, 320 - SUL271350</t>
  </si>
  <si>
    <t>89251702</t>
  </si>
  <si>
    <t>-26.4841948,-49.0856426</t>
  </si>
  <si>
    <t>SUL271350</t>
  </si>
  <si>
    <t>308055002883</t>
  </si>
  <si>
    <t>VIVO - AVENIDA COMENDADOR GUSTAVO PAIVA, 5945 - MACEIO PARK SHOPPING - NE260470</t>
  </si>
  <si>
    <t>LOJA 1043</t>
  </si>
  <si>
    <t>-9.6273054,-35.6999897</t>
  </si>
  <si>
    <t>NE260470</t>
  </si>
  <si>
    <t>2558157057199</t>
  </si>
  <si>
    <t>LOJA PARQUE MACEIO AL</t>
  </si>
  <si>
    <t>VIVO - AVENIDA MAESTRO PAULO E SILVA, 400 - SHOPPING ILHA PLAZA - RJES7218</t>
  </si>
  <si>
    <t>RJES7218</t>
  </si>
  <si>
    <t>2558157023375</t>
  </si>
  <si>
    <t>LOJA ILHA PLAZA RJ</t>
  </si>
  <si>
    <t>VIVO - AVENIDA 24 DE OUTUBRO, 321 - ZONA COMERCIAL - MGCO5739</t>
  </si>
  <si>
    <t>-16.6724389 , -49.2822688</t>
  </si>
  <si>
    <t>MGCO5739</t>
  </si>
  <si>
    <t>2558157029497</t>
  </si>
  <si>
    <t>LOJA CAMPINAS GO</t>
  </si>
  <si>
    <t>VIVO - AVENIDA JULIO JOSE DE CAMPOS, 325 - RONDON PLAZA SHOPPING - MGCO289610</t>
  </si>
  <si>
    <t>AVENIDA JULIO JOSE DE CAMPOS</t>
  </si>
  <si>
    <t>78740485</t>
  </si>
  <si>
    <t>-16.4723747,-54.6108475</t>
  </si>
  <si>
    <t>MGCO289610</t>
  </si>
  <si>
    <t>2558157027605</t>
  </si>
  <si>
    <t>LOJA SHOPPING RONDONOPOLIS MT</t>
  </si>
  <si>
    <t>VIVO - AVENIDA NOSSA SENHORA DE LOURDES, 63 - SHOPPING JARDIM DAS AMERICAS - SUL289840</t>
  </si>
  <si>
    <t>JARDIM DAS AMÉRICAS</t>
  </si>
  <si>
    <t>SUL289840</t>
  </si>
  <si>
    <t>2558157093900</t>
  </si>
  <si>
    <t>LOJA JARDIM AMERICAS PR</t>
  </si>
  <si>
    <t>BERLANDA - AVENIDA LUIZ CAMOES, 439 - ZONA COMERCIAL - SUL64694</t>
  </si>
  <si>
    <t>AVENIDA LUIZ CAMOES, 439</t>
  </si>
  <si>
    <t>CORAL</t>
  </si>
  <si>
    <t>88533000</t>
  </si>
  <si>
    <t>-27.8067098 , -50.30482749999999</t>
  </si>
  <si>
    <t>SUL64694</t>
  </si>
  <si>
    <t>CARREFOUR - AVENIDA BRIGADEIRO LIMA SILVA, 1363 - RJES233190</t>
  </si>
  <si>
    <t>AVENIDA BRIGADEIRO LIMA SILVA</t>
  </si>
  <si>
    <t>JARDIM VINTE E CINCO DE AGOSTO</t>
  </si>
  <si>
    <t>25071180</t>
  </si>
  <si>
    <t>-22.7932554 , -43.3006377</t>
  </si>
  <si>
    <t>RJES233190</t>
  </si>
  <si>
    <t>45543915026571</t>
  </si>
  <si>
    <t>DDC</t>
  </si>
  <si>
    <t>CASA &amp; VIDEO - RUA BARAO DE SAO FRANCISCO, 236 - SHOPPING IGUATEMI - RJES6933</t>
  </si>
  <si>
    <t>LOJA NO 200 D - 2O P</t>
  </si>
  <si>
    <t>RJES6933</t>
  </si>
  <si>
    <t>11114284004401</t>
  </si>
  <si>
    <t>IGUATEMI SHOPPING</t>
  </si>
  <si>
    <t>CASA &amp; VIDEO - AVENIDA GENERAL DAVID SARNOFF, 5160 - ITAU POWER SHOPPING - MGCO253290</t>
  </si>
  <si>
    <t>MGCO253290</t>
  </si>
  <si>
    <t>11114284032286</t>
  </si>
  <si>
    <t>DUPLICIDADE CASAS BAHIA - RUA 14 DE JULHO, 1951 - ZONA COMERCIAL - MGCO5849</t>
  </si>
  <si>
    <t>1074 A 1089</t>
  </si>
  <si>
    <t>-20.463562 , -54.617188</t>
  </si>
  <si>
    <t>MGCO5849</t>
  </si>
  <si>
    <t>33041260095360</t>
  </si>
  <si>
    <t>pdv correto MGCO10267</t>
  </si>
  <si>
    <t>CASAS BAHIA - RUA 7 DE SETEMBRO, 110 - ZONA COMERCIAL - SPI20897</t>
  </si>
  <si>
    <t>13270100</t>
  </si>
  <si>
    <t>-22.969126 , -46.995644</t>
  </si>
  <si>
    <t>SPI20897</t>
  </si>
  <si>
    <t>33041260090481</t>
  </si>
  <si>
    <t>CASAS BAHIA - RUA BARAO DO RIO BRANCO, 12 - MGCO44998</t>
  </si>
  <si>
    <t>Lagoa Santa</t>
  </si>
  <si>
    <t>33400000</t>
  </si>
  <si>
    <t>-19.6275221 , -43.8925018</t>
  </si>
  <si>
    <t>MGCO44998</t>
  </si>
  <si>
    <t>33041260148900</t>
  </si>
  <si>
    <t>1779</t>
  </si>
  <si>
    <t>CASAS BAHIA - RUA CAMPOS SALES, 578 - SPI230510</t>
  </si>
  <si>
    <t>-23.5887256 , -48.0495659</t>
  </si>
  <si>
    <t>SPI230510</t>
  </si>
  <si>
    <t>33041260124050</t>
  </si>
  <si>
    <t>1277</t>
  </si>
  <si>
    <t>CASAS BAHIA - RUA SANTOS DUMONT, 145 - ZONA COMERCIAL - SPI11004</t>
  </si>
  <si>
    <t>13280073</t>
  </si>
  <si>
    <t>-23.028109 , -46.974129</t>
  </si>
  <si>
    <t>SPI11004</t>
  </si>
  <si>
    <t>33041260174901</t>
  </si>
  <si>
    <t>CASAS BAHIA - AVENIDA RIO BRANCO, 683 - NE11055</t>
  </si>
  <si>
    <t>59025002</t>
  </si>
  <si>
    <t>-5.787273000000001 , -35.2071405</t>
  </si>
  <si>
    <t>NE11055</t>
  </si>
  <si>
    <t>33041260137208</t>
  </si>
  <si>
    <t>1693</t>
  </si>
  <si>
    <t>CASAS BAHIA - PRACA DOUTOR ARNOLFO DE AZEVEDO, 144 - SPI239750</t>
  </si>
  <si>
    <t>PRACA DOUTOR ARNOLFO DE AZEVEDO</t>
  </si>
  <si>
    <t>LORENA</t>
  </si>
  <si>
    <t>12600210</t>
  </si>
  <si>
    <t>-22.7311443, -45.12280699999999</t>
  </si>
  <si>
    <t>SPI239750</t>
  </si>
  <si>
    <t>33041250123754</t>
  </si>
  <si>
    <t>1094</t>
  </si>
  <si>
    <t>CASAS BAHIA - RUA ARAUJO LEITE, 77 - SPI244910</t>
  </si>
  <si>
    <t>-23.7126236,-47.4195654</t>
  </si>
  <si>
    <t>SPI244910</t>
  </si>
  <si>
    <t>33041260179385</t>
  </si>
  <si>
    <t>2099</t>
  </si>
  <si>
    <t>CASAS BAHIA - RUA ALTINO ARANTES, 210 - SPI254950</t>
  </si>
  <si>
    <t>18540000</t>
  </si>
  <si>
    <t>-23.2150447,-47.528254</t>
  </si>
  <si>
    <t>SPI254950</t>
  </si>
  <si>
    <t>33041260193370</t>
  </si>
  <si>
    <t>2345</t>
  </si>
  <si>
    <t>CASAS BAHIA - AVENIDA NOVE DE JULHO, 979 - SPI255940</t>
  </si>
  <si>
    <t>979</t>
  </si>
  <si>
    <t>José Bonifácio</t>
  </si>
  <si>
    <t>15200000</t>
  </si>
  <si>
    <t>-21.0564221,-49.687866</t>
  </si>
  <si>
    <t>SPI255940</t>
  </si>
  <si>
    <t>33041260180472</t>
  </si>
  <si>
    <t>2142</t>
  </si>
  <si>
    <t>CASAS BAHIA - AVENIDA PRESIDENTE VARGAS, 343 - SPI256460</t>
  </si>
  <si>
    <t>Dracena</t>
  </si>
  <si>
    <t>17900000</t>
  </si>
  <si>
    <t>-21.4885522,-51.5333882</t>
  </si>
  <si>
    <t>SPI256460</t>
  </si>
  <si>
    <t>33041260125102</t>
  </si>
  <si>
    <t>CASAS BAHIA - RUA CANDIDO BUENO, 898 - SPI259630</t>
  </si>
  <si>
    <t>RUA CANDIDO BUENO</t>
  </si>
  <si>
    <t>Jaguariúna</t>
  </si>
  <si>
    <t>13910033</t>
  </si>
  <si>
    <t>-22.7069588,-46.9881187</t>
  </si>
  <si>
    <t>SPI259630</t>
  </si>
  <si>
    <t>33041260171210</t>
  </si>
  <si>
    <t>2086</t>
  </si>
  <si>
    <t>CASAS BAHIA - RUA BRASIL, 1806 - SPI263210</t>
  </si>
  <si>
    <t>1806</t>
  </si>
  <si>
    <t>Fernandópolis</t>
  </si>
  <si>
    <t>15600064</t>
  </si>
  <si>
    <t>-20.2825891,-50.2520951</t>
  </si>
  <si>
    <t>SPI263210</t>
  </si>
  <si>
    <t>33041260127237</t>
  </si>
  <si>
    <t>CASAS BAHIA - PRACA NOBREGA, 180 - SPI263730</t>
  </si>
  <si>
    <t>PRACA NOBREGA</t>
  </si>
  <si>
    <t>Ubatuba</t>
  </si>
  <si>
    <t>11690153</t>
  </si>
  <si>
    <t>-23.4334325,-45.0750389</t>
  </si>
  <si>
    <t>SPI263730</t>
  </si>
  <si>
    <t>33041260124483</t>
  </si>
  <si>
    <t>CASAS BAHIA - RUA PRINCESA ISABEL, 360 - SPI278780</t>
  </si>
  <si>
    <t>-21.8730189, -51.84579489999999</t>
  </si>
  <si>
    <t>SPI278780</t>
  </si>
  <si>
    <t>33041260179890</t>
  </si>
  <si>
    <t>2169</t>
  </si>
  <si>
    <t>CASAS BAHIA - RUA RUI BARBOSA, 865 - ZONA COMERCIAL - SPI39781</t>
  </si>
  <si>
    <t>RUI BARBOSA</t>
  </si>
  <si>
    <t>Jaboticabal</t>
  </si>
  <si>
    <t>14870160</t>
  </si>
  <si>
    <t>-21.2555282 , -48.3204734</t>
  </si>
  <si>
    <t>SPI39781</t>
  </si>
  <si>
    <t>1508</t>
  </si>
  <si>
    <t>CASAS BAHIA - RUA 9 DE JULHO, 144 - ZONA COMERCIAL - SPI19288</t>
  </si>
  <si>
    <t>-23.206752 , -47.2930636</t>
  </si>
  <si>
    <t>SPI19288</t>
  </si>
  <si>
    <t>CASAS BAHIA - RUA DA PAZ, 283 - ZONA COMERCIAL - NE42285</t>
  </si>
  <si>
    <t>RUA DA PAZ</t>
  </si>
  <si>
    <t>AFOGADOS</t>
  </si>
  <si>
    <t>50770000</t>
  </si>
  <si>
    <t>-8.0804296 , -34.905086</t>
  </si>
  <si>
    <t>NE42285</t>
  </si>
  <si>
    <t>33041260136570</t>
  </si>
  <si>
    <t>1711</t>
  </si>
  <si>
    <t>CASAS BAHIA - AVENIDA DUQUE DE CAXIAS, 880 - NE269830</t>
  </si>
  <si>
    <t>AVENIDA DUQUE DE CAXIAS</t>
  </si>
  <si>
    <t>ABREU E LIMA</t>
  </si>
  <si>
    <t>Abreu e Lima</t>
  </si>
  <si>
    <t>53510050</t>
  </si>
  <si>
    <t>-7.9043366,-34.9023986</t>
  </si>
  <si>
    <t>NE269830</t>
  </si>
  <si>
    <t>33041260149478</t>
  </si>
  <si>
    <t>1781</t>
  </si>
  <si>
    <t>CASAS BAHIA - RUA SANTO ANTONIO, 153 - N270090</t>
  </si>
  <si>
    <t>66010095</t>
  </si>
  <si>
    <t>-1.4506167,-48.4997539</t>
  </si>
  <si>
    <t>N270090</t>
  </si>
  <si>
    <t>33041260206536</t>
  </si>
  <si>
    <t>2280</t>
  </si>
  <si>
    <t>CASAS BAHIA - RUA DOUTOR MELO FREIRE, S/N (LOJA 2) - SHOPPING METRO TATUAPE - SPC20245</t>
  </si>
  <si>
    <t>-23.541768700000016 , -46.576591383605944</t>
  </si>
  <si>
    <t>SPC20245</t>
  </si>
  <si>
    <t>CLARO RP - PRACA DOUTOR NEREU RAMOS, 364 - SHOPPING DELLA - SUL289800</t>
  </si>
  <si>
    <t>SUL289800</t>
  </si>
  <si>
    <t>5949641013865</t>
  </si>
  <si>
    <t>GAMAS - AVENIDA JOAO CESAR DE OLIVEIRA, 1274 - BIG SHOPPING - MGCO87620</t>
  </si>
  <si>
    <t>LOJA 414</t>
  </si>
  <si>
    <t>MGCO87620</t>
  </si>
  <si>
    <t>07603073001431</t>
  </si>
  <si>
    <t>FAJULUTI GAVEA - AVENIDA MAESTRO PAULO E SILVA, 400 - SHOPPING ILHA PLAZA - RJES256550</t>
  </si>
  <si>
    <t>PAV L2</t>
  </si>
  <si>
    <t>ILHA PLAZA</t>
  </si>
  <si>
    <t>RJES256550</t>
  </si>
  <si>
    <t>26117255001528</t>
  </si>
  <si>
    <t>CSW (CLARO) - RUA CORONEL APARICIO BORGES, 250 - SHOPPING BOURBON TERESOPOLIS - SUL286440</t>
  </si>
  <si>
    <t>RUA CORONEL APARICIO BORGES</t>
  </si>
  <si>
    <t>LOJA 208</t>
  </si>
  <si>
    <t>90680570</t>
  </si>
  <si>
    <t>-30.0754741,-51.2076411</t>
  </si>
  <si>
    <t>SUL286440</t>
  </si>
  <si>
    <t>42739885000438</t>
  </si>
  <si>
    <t>Shopping Bourbon Teresopolis</t>
  </si>
  <si>
    <t>CLARO RP - RUA FLORIANO PEIXOTO, 615 - SPI259080</t>
  </si>
  <si>
    <t>615</t>
  </si>
  <si>
    <t>QUADRA 42</t>
  </si>
  <si>
    <t>-20.992812,-47.6611529</t>
  </si>
  <si>
    <t>SPI259080</t>
  </si>
  <si>
    <t>5949641003711</t>
  </si>
  <si>
    <t>HS - RUA CARLOS PEREIRA DA SILVA, 6000 - SHOPPING PRACA NOVA ARACATUBA - SPI234030</t>
  </si>
  <si>
    <t>RUA CARLOS PEREIRA DA SILVA</t>
  </si>
  <si>
    <t>JARDIM GUANABARA</t>
  </si>
  <si>
    <t>16026037</t>
  </si>
  <si>
    <t>-21.2119798 , -50.46993699999999</t>
  </si>
  <si>
    <t>SPI234030</t>
  </si>
  <si>
    <t>05923253000665</t>
  </si>
  <si>
    <t>Shopping Praca Nova Aracatuba</t>
  </si>
  <si>
    <t>CLEAR TELECOM - RODOVIA BA 526, 305 - SALVADOR NORTE SHOPPING - NE9262</t>
  </si>
  <si>
    <t>NE9262</t>
  </si>
  <si>
    <t>23199256000680</t>
  </si>
  <si>
    <t>PRIME TELECOM (CLARO) - AVENIDA CARAPINIMA, 2200 - SHOPPING BENFICA - NE21232</t>
  </si>
  <si>
    <t>NE21232</t>
  </si>
  <si>
    <t>36768551000732</t>
  </si>
  <si>
    <t>CLARO RP - AVENIDA INTERVENTOR MANOEL RIBAS, 1048 - SUL272440</t>
  </si>
  <si>
    <t>AVENIDA INTERVENTOR MANOEL RIBAS</t>
  </si>
  <si>
    <t>86600105</t>
  </si>
  <si>
    <t>-23.3110747,-51.3679516</t>
  </si>
  <si>
    <t>SUL272440</t>
  </si>
  <si>
    <t>5949641012460</t>
  </si>
  <si>
    <t>CONVERGE TELECOM (CLARO) - AVENIDA TAMOIOS, 1062 - SPI277800</t>
  </si>
  <si>
    <t>17600005</t>
  </si>
  <si>
    <t>-21.9309389,-50.5183258</t>
  </si>
  <si>
    <t>SPI277800</t>
  </si>
  <si>
    <t>18194895000370</t>
  </si>
  <si>
    <t>CLARO - RUA DO GIRIQUITI, 48 - SHOPPING BOA VISTA - NE6882</t>
  </si>
  <si>
    <t>LOJAS 9,10 E 11 E</t>
  </si>
  <si>
    <t>NE6882</t>
  </si>
  <si>
    <t>40432544010371</t>
  </si>
  <si>
    <t>8104</t>
  </si>
  <si>
    <t>COLOMBO - AVENIDA LUIZ DE CAMOES, 439 - SUL276640</t>
  </si>
  <si>
    <t>AVENIDA LUIZ DE CAMOES</t>
  </si>
  <si>
    <t>BAIRRO CORAL</t>
  </si>
  <si>
    <t>88523005</t>
  </si>
  <si>
    <t>-27.8068026,-50.3050873</t>
  </si>
  <si>
    <t>SUL276640</t>
  </si>
  <si>
    <t>89848543073212</t>
  </si>
  <si>
    <t>COLOMBO - RUA PRESIDENTE NEREU RAMOS, 205 - SUL276630</t>
  </si>
  <si>
    <t>-27.8146513,-50.32767</t>
  </si>
  <si>
    <t>SUL276630</t>
  </si>
  <si>
    <t>89848543071350</t>
  </si>
  <si>
    <t>LOJAS COLOMBO - AVENIDA DA CAVALHADA, 2980 - ZONA COMERCIAL - SUL39943</t>
  </si>
  <si>
    <t>2980</t>
  </si>
  <si>
    <t>91740000</t>
  </si>
  <si>
    <t>-30.1023929 , -51.230624</t>
  </si>
  <si>
    <t>SUL39943</t>
  </si>
  <si>
    <t>89848543939538</t>
  </si>
  <si>
    <t>LOJAS COLOMBO - HERCILIO LUZ, 401 - ZONA COMERCIAL - SUL10787</t>
  </si>
  <si>
    <t>88801300</t>
  </si>
  <si>
    <t>-26.905983 , -48.658503</t>
  </si>
  <si>
    <t>SUL10787</t>
  </si>
  <si>
    <t>89848543023541</t>
  </si>
  <si>
    <t>CYBELAR - PRACA CORONEL ESMEDIO, 29 - SPI249330</t>
  </si>
  <si>
    <t>PRACA CORONEL ESMEDIO</t>
  </si>
  <si>
    <t>PORTO FELIZ</t>
  </si>
  <si>
    <t>-23.2121686,-47.5274829</t>
  </si>
  <si>
    <t>SPI249330</t>
  </si>
  <si>
    <t>72456809001709</t>
  </si>
  <si>
    <t>ELETROZEMA - PRACA MARIO FURTADO, 172 - SPI257840</t>
  </si>
  <si>
    <t>-20.7208256,-47.8874374</t>
  </si>
  <si>
    <t>SPI257840</t>
  </si>
  <si>
    <t>26404731005236</t>
  </si>
  <si>
    <t>ORLÂNDIA</t>
  </si>
  <si>
    <t>ELETROZEMA - AVENIDA MANGALO, 205 - MGCO258860</t>
  </si>
  <si>
    <t>-16.6283304,-49.3294502</t>
  </si>
  <si>
    <t>MGCO258860</t>
  </si>
  <si>
    <t>26404731026314</t>
  </si>
  <si>
    <t>FUJIOKA - SHD PROJECAO, N LJS 13,15,17,18,19 E 20 - ZONA COMERCIAL - MGCO19022</t>
  </si>
  <si>
    <t>OUTROS SHD PROJECAO</t>
  </si>
  <si>
    <t>LOJA 13, 15, 17, 18, 19 E 20 PAVIMENTO SEMI ENTERRADO</t>
  </si>
  <si>
    <t>MGCO19022</t>
  </si>
  <si>
    <t>01008713006014</t>
  </si>
  <si>
    <t>G BARBOSA - AVENIDA MINISTRO GERALDO BARRETO SOBRAL, 215 - SHOPPING JARDINS - NE20713</t>
  </si>
  <si>
    <t>LOJA 6 / 10</t>
  </si>
  <si>
    <t>NE20713</t>
  </si>
  <si>
    <t>39346861004078</t>
  </si>
  <si>
    <t>G BARBOSA - AVENIDA ANTONIO CARLOS MAGALHAES, 4479 - ZONA COMERCIAL - NE20492</t>
  </si>
  <si>
    <t>AVENIDA ANTONIO CARLOS MAGALHAES</t>
  </si>
  <si>
    <t>4479</t>
  </si>
  <si>
    <t>LOJA 31</t>
  </si>
  <si>
    <t>BROTAS</t>
  </si>
  <si>
    <t>40280000</t>
  </si>
  <si>
    <t>-12.980286 , -38.470285</t>
  </si>
  <si>
    <t>NE20492</t>
  </si>
  <si>
    <t>39346861005988</t>
  </si>
  <si>
    <t>G BARBOSA - RUA ARTHUR DE AZEVEDO MACHADO, 3443 - ZONA COMERCIAL - NE20493</t>
  </si>
  <si>
    <t>RUA ARTHUR DE AZEVEDO MACHADO</t>
  </si>
  <si>
    <t>3443</t>
  </si>
  <si>
    <t>COSTA AZUL</t>
  </si>
  <si>
    <t>41760000</t>
  </si>
  <si>
    <t>-12.991773 , -38.448616</t>
  </si>
  <si>
    <t>NE20493</t>
  </si>
  <si>
    <t>39346861007840</t>
  </si>
  <si>
    <t>GAZIN - AVENIDA MARCELINO PIRES, 1562 - MGCO287370</t>
  </si>
  <si>
    <t>78008000</t>
  </si>
  <si>
    <t>-22.2282965,-54.8163705</t>
  </si>
  <si>
    <t>MGCO287370</t>
  </si>
  <si>
    <t>77941490034483</t>
  </si>
  <si>
    <t>HAVAN - RODOVIA BR 282, KM 216, S/N - SUL276870</t>
  </si>
  <si>
    <t>RODOVIA BR 282, KM 216</t>
  </si>
  <si>
    <t>GUARUJÁ</t>
  </si>
  <si>
    <t>88524900</t>
  </si>
  <si>
    <t>-27.7931342,-50.2862474</t>
  </si>
  <si>
    <t>SUL276870</t>
  </si>
  <si>
    <t>79379491011118</t>
  </si>
  <si>
    <t>HAVAN - RUA CORREIA PINTO, 166 - SUL276620</t>
  </si>
  <si>
    <t>RUA CORREIA PINTO</t>
  </si>
  <si>
    <t>88502201</t>
  </si>
  <si>
    <t>-27.8138651,-50.3262203</t>
  </si>
  <si>
    <t>SUL276620</t>
  </si>
  <si>
    <t>79379491001821</t>
  </si>
  <si>
    <t>HAVAN - AVENIDA DANIEL DE LA TOUCHE, 2 - N255700</t>
  </si>
  <si>
    <t>-2.4989824,-44.2403306</t>
  </si>
  <si>
    <t>N255700</t>
  </si>
  <si>
    <t>79379491017310</t>
  </si>
  <si>
    <t>187 - SAO LUIS</t>
  </si>
  <si>
    <t>KOERICH - AVENIDA LUIZ DE CAMOES, 420 - SUL276660</t>
  </si>
  <si>
    <t>88523000</t>
  </si>
  <si>
    <t>-27.8066017,-50.3046566</t>
  </si>
  <si>
    <t>SUL276660</t>
  </si>
  <si>
    <t>86184074016659</t>
  </si>
  <si>
    <t>KOERICH - RUA HERCILIO LUZ, 459 - ZONA COMERCIAL - SUL10794</t>
  </si>
  <si>
    <t>-26.906107 , -48.659039</t>
  </si>
  <si>
    <t>SUL10794</t>
  </si>
  <si>
    <t>86184074008630</t>
  </si>
  <si>
    <t>KOERICH - CONSELHEIRO JOAO ZANETTE, 30 - ZONA COMERCIAL - SUL19851</t>
  </si>
  <si>
    <t>CONSELHEIRO JOAO ZANETTE</t>
  </si>
  <si>
    <t>-28.6788782 , -49.3692994</t>
  </si>
  <si>
    <t>SUL19851</t>
  </si>
  <si>
    <t>LE BISCUIT - AVENIDA PROFESSOR CARLOS CUNHA, 1000 - SHOPPING SÃO LUÍS - N286750</t>
  </si>
  <si>
    <t>JARACATI</t>
  </si>
  <si>
    <t>N286750</t>
  </si>
  <si>
    <t>16233389007087</t>
  </si>
  <si>
    <t>LOJAS AMERICANAS - PRACA JOAO PESSOA, 168 - SPC23027</t>
  </si>
  <si>
    <t>174, 184 E 196</t>
  </si>
  <si>
    <t>-23.536449 , -46.309357</t>
  </si>
  <si>
    <t>SPC23027</t>
  </si>
  <si>
    <t>776574029219</t>
  </si>
  <si>
    <t>L493</t>
  </si>
  <si>
    <t>LOJAS AMERICANAS - RUA CARLOS BOTELHO, 400 - SPI42408</t>
  </si>
  <si>
    <t>AVENIDA CARLOS BOTELHO</t>
  </si>
  <si>
    <t>Nova Odessa</t>
  </si>
  <si>
    <t>13460000</t>
  </si>
  <si>
    <t>-22.778564 , -47.29179</t>
  </si>
  <si>
    <t>SPI42408</t>
  </si>
  <si>
    <t>776574027860</t>
  </si>
  <si>
    <t>LOJAS AMERICANAS - RUA SAO JOSE, 355 - SUL39929</t>
  </si>
  <si>
    <t>-30.108326 , -51.316377</t>
  </si>
  <si>
    <t>SUL39929</t>
  </si>
  <si>
    <t>776574021234</t>
  </si>
  <si>
    <t>LOJAS AMERICANAS - VISCONDE DO URUGUAI, 503 - RJES6056</t>
  </si>
  <si>
    <t>RUA VISCONDE DE URUGUAI</t>
  </si>
  <si>
    <t>24030077</t>
  </si>
  <si>
    <t>-22.892433 , -43.122234</t>
  </si>
  <si>
    <t>RJES6056</t>
  </si>
  <si>
    <t>776574034999</t>
  </si>
  <si>
    <t>L003</t>
  </si>
  <si>
    <t>LOJAS AMERICANAS - AVENIDA BRASIL, 2190 - NE42380</t>
  </si>
  <si>
    <t>2190</t>
  </si>
  <si>
    <t>A LOJA 01</t>
  </si>
  <si>
    <t>ALTO SAO MIGUEL</t>
  </si>
  <si>
    <t>53565040</t>
  </si>
  <si>
    <t>-7.906286 , -34.902366</t>
  </si>
  <si>
    <t>NE42380</t>
  </si>
  <si>
    <t>776574052970</t>
  </si>
  <si>
    <t>L712</t>
  </si>
  <si>
    <t>LOJAS AMERICANAS - AVENIDA VICTOR FERREIRA DO AMARAL, 2633 - SUL228200</t>
  </si>
  <si>
    <t>LJ 1183 AN LJ 01</t>
  </si>
  <si>
    <t>SUL228200</t>
  </si>
  <si>
    <t>776574170159</t>
  </si>
  <si>
    <t>1469</t>
  </si>
  <si>
    <t>LOJAS AMERICANAS - RUA CARDOSO RIBEIRO, 970 - OURINHOS PLAZA SHOPPING - SPI257600</t>
  </si>
  <si>
    <t>SALAO L07 PISO 01</t>
  </si>
  <si>
    <t>SPI257600</t>
  </si>
  <si>
    <t>776574063409</t>
  </si>
  <si>
    <t>1450</t>
  </si>
  <si>
    <t>LOJAS AMERICANAS - JACY TEIXEIRA DE CAMARGO, 1621 - SHOPPING CAMPINAS - SPI11661</t>
  </si>
  <si>
    <t>SCP 00601 TERREO</t>
  </si>
  <si>
    <t>SPI11661</t>
  </si>
  <si>
    <t>776574057778</t>
  </si>
  <si>
    <t>LOJAS AMERICANAS - AVENIDA AMAZONAS, 415 - MGCO45646</t>
  </si>
  <si>
    <t>-19.965613 , -44.196871</t>
  </si>
  <si>
    <t>MGCO45646</t>
  </si>
  <si>
    <t>776574043041</t>
  </si>
  <si>
    <t>LOJAS AMERICANAS - SHD PROJECAO, S/N - MGCO40402</t>
  </si>
  <si>
    <t>OUTROS SETOR DE HOTEIS E DIVERSOES PROJECAO 1 ANDAR</t>
  </si>
  <si>
    <t>-15.618459 , -47.653319</t>
  </si>
  <si>
    <t>MGCO40402</t>
  </si>
  <si>
    <t>776574008998</t>
  </si>
  <si>
    <t>L381</t>
  </si>
  <si>
    <t>LOJAS AMERICANAS - AVENIDA COMENDADOR TELES, 2425 - RJES11813</t>
  </si>
  <si>
    <t>AVENIDA COMENDADOR TELES</t>
  </si>
  <si>
    <t>2425</t>
  </si>
  <si>
    <t>25561161</t>
  </si>
  <si>
    <t>-22.7758808, -43.3594205</t>
  </si>
  <si>
    <t>RJES11813</t>
  </si>
  <si>
    <t>776574035960</t>
  </si>
  <si>
    <t>LOJAS CEM - AVENIDA JOAO PESSOA, 139 - ZONA COMERCIAL - SPI42434</t>
  </si>
  <si>
    <t>-22.778118 , -47.29261</t>
  </si>
  <si>
    <t>SPI42434</t>
  </si>
  <si>
    <t>56642960008780</t>
  </si>
  <si>
    <t>NOVAOD</t>
  </si>
  <si>
    <t>LOJAS CEM - RUA 12 DE NOVEMBRO, 295 - ZONA COMERCIAL - SPI20735</t>
  </si>
  <si>
    <t>RUA DOZE DE NOVEMBRO</t>
  </si>
  <si>
    <t>13465490</t>
  </si>
  <si>
    <t>-22.737856 , -47.331684</t>
  </si>
  <si>
    <t>SPI20735</t>
  </si>
  <si>
    <t>56642960000967</t>
  </si>
  <si>
    <t>AMERIC</t>
  </si>
  <si>
    <t>LOJAS CEM - RUA SETE DE SETEMBRO, 161 - ZONA COMERCIAL - SPI78171</t>
  </si>
  <si>
    <t>-21.672625 , -49.751404</t>
  </si>
  <si>
    <t>SPI78171</t>
  </si>
  <si>
    <t>56642960024718</t>
  </si>
  <si>
    <t>LINS</t>
  </si>
  <si>
    <t>LOJAS CEM - RUA CANDIDO BUENO, 800 - ZONA COMERCIAL - SPI42820</t>
  </si>
  <si>
    <t>-22.7072434515056 , -46.98674387234618</t>
  </si>
  <si>
    <t>SPI42820</t>
  </si>
  <si>
    <t>56642960006302</t>
  </si>
  <si>
    <t>JAGUAR</t>
  </si>
  <si>
    <t>LOJAS CEM - PRACA MARECHAL DEODORO DA FONSECA, 187 - SPI235950</t>
  </si>
  <si>
    <t>PRACA MARECHAL DEODORO DA FONSECA</t>
  </si>
  <si>
    <t>-21.0522697 , -49.6866961</t>
  </si>
  <si>
    <t>SPI235950</t>
  </si>
  <si>
    <t>56642960023746</t>
  </si>
  <si>
    <t>JBONIF</t>
  </si>
  <si>
    <t>LOJAS CEM - RUA SARGENTO WILSON ABEL OLIVEIRA, 200 - SPI247510</t>
  </si>
  <si>
    <t>RUA SARGENTO WILSON ABEL OLIVEIRA</t>
  </si>
  <si>
    <t>GARÇA</t>
  </si>
  <si>
    <t>17400000</t>
  </si>
  <si>
    <t>-22.2102046,-49.6578612</t>
  </si>
  <si>
    <t>SPI247510</t>
  </si>
  <si>
    <t>56642960027571</t>
  </si>
  <si>
    <t>GARCA</t>
  </si>
  <si>
    <t>LOJAS CEM - RUA BENTO DA CRUZ, 432 - SPI249010</t>
  </si>
  <si>
    <t>RUA BENTO DA CRUZ</t>
  </si>
  <si>
    <t>BIRIGUI</t>
  </si>
  <si>
    <t>16200053</t>
  </si>
  <si>
    <t>-21.2903112,-50.343502</t>
  </si>
  <si>
    <t>SPI249010</t>
  </si>
  <si>
    <t>56642960027148</t>
  </si>
  <si>
    <t>BIRIGI</t>
  </si>
  <si>
    <t>LOJAS CEM - AVENIDA RUI BARBOSA, 525 - SPI258920</t>
  </si>
  <si>
    <t>-22.6613722, -50.4153542</t>
  </si>
  <si>
    <t>SPI258920</t>
  </si>
  <si>
    <t>56642960029787</t>
  </si>
  <si>
    <t>ASSIS</t>
  </si>
  <si>
    <t>LOJAS CEM - RUA JOSE BONIFACIO, 425 - SPI267470</t>
  </si>
  <si>
    <t>13630010</t>
  </si>
  <si>
    <t>-21.997254,-47.427514</t>
  </si>
  <si>
    <t>SPI267470</t>
  </si>
  <si>
    <t>56642960002587</t>
  </si>
  <si>
    <t>PIRASU</t>
  </si>
  <si>
    <t>LOJAS CEM - RUA TIRADENTES, 522 - SPI288110</t>
  </si>
  <si>
    <t>17900177</t>
  </si>
  <si>
    <t>-21.4890042,-51.5332101</t>
  </si>
  <si>
    <t>SPI288110</t>
  </si>
  <si>
    <t>56642960031501</t>
  </si>
  <si>
    <t>F312</t>
  </si>
  <si>
    <t>LOJAS CEM - RUA RUI BARBOSA, 700 - ZONA COMERCIAL - SPI39778</t>
  </si>
  <si>
    <t>14870000</t>
  </si>
  <si>
    <t>-21.255921 , -48.3191444</t>
  </si>
  <si>
    <t>SPI39778</t>
  </si>
  <si>
    <t>56642960005179</t>
  </si>
  <si>
    <t>JABOTI</t>
  </si>
  <si>
    <t>LOJAS CEM - RUA BARAO DA BOCAINA, 95 - SPI241610</t>
  </si>
  <si>
    <t>RUA BARAO DA BOCAINA</t>
  </si>
  <si>
    <t>Lorena</t>
  </si>
  <si>
    <t>12600000</t>
  </si>
  <si>
    <t>-22.7298384, -45.12261549999999</t>
  </si>
  <si>
    <t>SPI241610</t>
  </si>
  <si>
    <t>56642960005411</t>
  </si>
  <si>
    <t>LOJAS CEM - AVENIDA IRAI, 493 - ZONA COMERCIAL - SUL18634</t>
  </si>
  <si>
    <t>WEISSOPOLIS</t>
  </si>
  <si>
    <t>83321000</t>
  </si>
  <si>
    <t>-25.448577397256017 , -49.184721242883285</t>
  </si>
  <si>
    <t>SUL18634</t>
  </si>
  <si>
    <t>56642960019986</t>
  </si>
  <si>
    <t>PINHAI</t>
  </si>
  <si>
    <t>LOJAS CEM - AVENIDA DOS TRABALHADORES, 3550 - SPI248460</t>
  </si>
  <si>
    <t>AVENIDA DOS TRABALHADORES</t>
  </si>
  <si>
    <t>3550</t>
  </si>
  <si>
    <t>JARDIM ALMIRA</t>
  </si>
  <si>
    <t>13487040</t>
  </si>
  <si>
    <t>-22.357924,-46.938925</t>
  </si>
  <si>
    <t>SPI248460</t>
  </si>
  <si>
    <t>56642960022502</t>
  </si>
  <si>
    <t>MGGALM</t>
  </si>
  <si>
    <t>LOJAS CEM - RUA PEDRO VILAS BOAS, 870 - SPI251130</t>
  </si>
  <si>
    <t>RUA PEDRO VILAS BOAS</t>
  </si>
  <si>
    <t>870</t>
  </si>
  <si>
    <t>JARDIM AMANDA 2</t>
  </si>
  <si>
    <t>13188172</t>
  </si>
  <si>
    <t>-22.9034698,-47.246345</t>
  </si>
  <si>
    <t>SPI251130</t>
  </si>
  <si>
    <t>56642960020216</t>
  </si>
  <si>
    <t>HORTAM</t>
  </si>
  <si>
    <t>LOJAS CEM - RUA VIRGILIO DA SILVA FAGUNDES, 300 - SPI259940</t>
  </si>
  <si>
    <t>RUA VIRGILIO DA SILVA FAGUNDES</t>
  </si>
  <si>
    <t>SANTA TEREZINHA</t>
  </si>
  <si>
    <t>13411083</t>
  </si>
  <si>
    <t>-22.6782947,-47.6828953</t>
  </si>
  <si>
    <t>SPI259940</t>
  </si>
  <si>
    <t>56642960020720</t>
  </si>
  <si>
    <t>PITERE</t>
  </si>
  <si>
    <t>LOJAS CEM - AVENIDA CAPITAO JOSE ANTONIO DE OLIVEIRA, 505 - SPI286500</t>
  </si>
  <si>
    <t>AVENIDA CAPITAO JOSE ANTONIO DE OLIVEIRA</t>
  </si>
  <si>
    <t>505</t>
  </si>
  <si>
    <t>Adamantina</t>
  </si>
  <si>
    <t>17800015</t>
  </si>
  <si>
    <t>-21.6877291,-51.0801785</t>
  </si>
  <si>
    <t>SPI286500</t>
  </si>
  <si>
    <t>56642960031170</t>
  </si>
  <si>
    <t>MAGAZINE LUIZA - RUA BARAO DO RIO BRANCO, 44 - MGCO44996</t>
  </si>
  <si>
    <t>-19.6275327 , -43.8929493</t>
  </si>
  <si>
    <t>MGCO44996</t>
  </si>
  <si>
    <t>47960950049309</t>
  </si>
  <si>
    <t>394</t>
  </si>
  <si>
    <t>MAGAZINE LUIZA - RUA 9 DE JULHO, 709 - ZONA COMERCIAL - SPI19290</t>
  </si>
  <si>
    <t>13320005</t>
  </si>
  <si>
    <t>-23.2023633 , -47.29019830000001</t>
  </si>
  <si>
    <t>SPI19290</t>
  </si>
  <si>
    <t>47960950014343</t>
  </si>
  <si>
    <t>MAGAZINE LUIZA - RUA BRASIL, 1884 - ZONA COMERCIAL - SPI40178</t>
  </si>
  <si>
    <t>1884</t>
  </si>
  <si>
    <t>15600000</t>
  </si>
  <si>
    <t>-20.2827905, -50.2493766</t>
  </si>
  <si>
    <t>SPI40178</t>
  </si>
  <si>
    <t>47960950043793</t>
  </si>
  <si>
    <t>MAGAZINE LUIZA - RUA CAMPOS SALES, 475 - SPI230420</t>
  </si>
  <si>
    <t>-23.588692 , -48.05055369999999</t>
  </si>
  <si>
    <t>SPI230420</t>
  </si>
  <si>
    <t>47960950026350</t>
  </si>
  <si>
    <t>MAGAZINE LUIZA - RUA CARLOS BOTELHO, 380 - ZONA COMERCIAL - SPI42406</t>
  </si>
  <si>
    <t>-22.778385 , -47.291878</t>
  </si>
  <si>
    <t>SPI42406</t>
  </si>
  <si>
    <t>47960950046385</t>
  </si>
  <si>
    <t>MAGAZINE LUIZA - AVENIDA DUQUE DE CAXIAS, 856 - ZONA COMERCIAL - NE10855</t>
  </si>
  <si>
    <t>856</t>
  </si>
  <si>
    <t>-7.904605399999999, -34.9014314</t>
  </si>
  <si>
    <t>NE10855</t>
  </si>
  <si>
    <t>47960950081610</t>
  </si>
  <si>
    <t>883</t>
  </si>
  <si>
    <t>MAGAZINE LUIZA - RUA ARAUJO LEITE, 189 - SPI244850</t>
  </si>
  <si>
    <t>-23.7131701,-47.4173264</t>
  </si>
  <si>
    <t>SPI244850</t>
  </si>
  <si>
    <t>47960950119013</t>
  </si>
  <si>
    <t>MAGAZINE LUIZA - AVENIDA NOVE DE JULHO, 654 - SPI255920</t>
  </si>
  <si>
    <t>654</t>
  </si>
  <si>
    <t>-21.0544846,-49.6899036</t>
  </si>
  <si>
    <t>SPI255920</t>
  </si>
  <si>
    <t>47960950046628</t>
  </si>
  <si>
    <t>MAGAZINE LUIZA - AVENIDA PRESIDENTE VARGAS, 446 - SPI256450</t>
  </si>
  <si>
    <t>-21.4878825,-51.5343923</t>
  </si>
  <si>
    <t>SPI256450</t>
  </si>
  <si>
    <t>47960950020742</t>
  </si>
  <si>
    <t>MAGAZINE LUIZA - RUA BENTO DA CRUZ, 564 - SPI278450</t>
  </si>
  <si>
    <t>16200108</t>
  </si>
  <si>
    <t>-21.2903948,-50.3450485</t>
  </si>
  <si>
    <t>SPI278450</t>
  </si>
  <si>
    <t>47960950017288</t>
  </si>
  <si>
    <t>MAGAZINE LUIZA - AVENIDA BAYER FILHO, 1665 - SUL278570</t>
  </si>
  <si>
    <t>AVENIDA BAYER FILHO</t>
  </si>
  <si>
    <t>Tijucas</t>
  </si>
  <si>
    <t>88200000</t>
  </si>
  <si>
    <t>-27.2404969,-48.6359308</t>
  </si>
  <si>
    <t>SUL278570</t>
  </si>
  <si>
    <t>47960950041669</t>
  </si>
  <si>
    <t>MAGAZINE LUIZA - AVENIDA MARCELINO PIRES, 1666 - MGCO287380</t>
  </si>
  <si>
    <t>1666</t>
  </si>
  <si>
    <t>-22.2276159,-54.8152566</t>
  </si>
  <si>
    <t>MGCO287380</t>
  </si>
  <si>
    <t>47960950015900</t>
  </si>
  <si>
    <t>MAGAZINE LUIZA - RUI BARBOSA, 434 - ZONA COMERCIAL - SPI20741</t>
  </si>
  <si>
    <t>-22.6616652 , -50.4169628</t>
  </si>
  <si>
    <t>SPI20741</t>
  </si>
  <si>
    <t>47960950017792</t>
  </si>
  <si>
    <t>MAGAZINE LUIZA - RUA RUI BARBOSA, 819 - ZONA COMERCIAL - SPI39776</t>
  </si>
  <si>
    <t>-21.255799 , -48.3200593</t>
  </si>
  <si>
    <t>SPI39776</t>
  </si>
  <si>
    <t>47960950005514</t>
  </si>
  <si>
    <t>MAGAZINE LUIZA - PRACA DOUTOR ARNOLFO DE AZEVEDO, 147 - SPI238860</t>
  </si>
  <si>
    <t>-22.7307129, -45.1231427</t>
  </si>
  <si>
    <t>SPI238860</t>
  </si>
  <si>
    <t>47960950090287</t>
  </si>
  <si>
    <t>485</t>
  </si>
  <si>
    <t>MAGAZINE LUIZA - RUA ALTINO ARANTES, 120 - SPI239610</t>
  </si>
  <si>
    <t>-23.2142126, -47.5257002</t>
  </si>
  <si>
    <t>SPI239610</t>
  </si>
  <si>
    <t>47960950047519</t>
  </si>
  <si>
    <t>MAGAZINE LUIZA - RUA PRUDENTE DE MORAES, 559 - SPI240760</t>
  </si>
  <si>
    <t>RUA PRUDENTE DE MORAES</t>
  </si>
  <si>
    <t>559</t>
  </si>
  <si>
    <t>Taquaritinga</t>
  </si>
  <si>
    <t>15900053</t>
  </si>
  <si>
    <t>-21.4091068, -48.503369</t>
  </si>
  <si>
    <t>SPI240760</t>
  </si>
  <si>
    <t>47960950005271</t>
  </si>
  <si>
    <t>MAGAZINE LUIZA - AVENIDA LUIZ CAMOES, 321 - ZONA COMERCIAL - SUL64695</t>
  </si>
  <si>
    <t>AVENIDA LUIZ CAMOES, 321</t>
  </si>
  <si>
    <t>-27.8077663 , -50.3047419</t>
  </si>
  <si>
    <t>SUL64695</t>
  </si>
  <si>
    <t>47960950038870</t>
  </si>
  <si>
    <t>309</t>
  </si>
  <si>
    <t>MAGAZINE LUIZA - AVENIDA COMENDADOR TELES, 2401 - RJES263580</t>
  </si>
  <si>
    <t>2401</t>
  </si>
  <si>
    <t>25561160</t>
  </si>
  <si>
    <t>-22.7759305,-43.361767</t>
  </si>
  <si>
    <t>RJES263580</t>
  </si>
  <si>
    <t>47960950168065</t>
  </si>
  <si>
    <t>MAGAZINE LUIZA - AVENIDA JERONIMO DE ALBUQUERQUE MARANHAO, 50 - N280170</t>
  </si>
  <si>
    <t>AVENIDA JERONIMO DE ALBUQUERQUE MARANHAO</t>
  </si>
  <si>
    <t>COHAB ANIL III</t>
  </si>
  <si>
    <t>65050175</t>
  </si>
  <si>
    <t>-2.5390269,-44.2231048</t>
  </si>
  <si>
    <t>N280170</t>
  </si>
  <si>
    <t>47960950108674</t>
  </si>
  <si>
    <t>1225</t>
  </si>
  <si>
    <t>MATHEUS SUPERMERCADO - RODOVIA MA 53, ESTRADA DE RIBAMAR, 79 - N271220</t>
  </si>
  <si>
    <t>RODOVIA MA 53, ESTRADA DE RIBAMAR</t>
  </si>
  <si>
    <t>65015560</t>
  </si>
  <si>
    <t>-2.552192,-44.1777547</t>
  </si>
  <si>
    <t>N271220</t>
  </si>
  <si>
    <t>3995515001210</t>
  </si>
  <si>
    <t>MATHEUS SUPERMERCADO - AVENIDA GUAJAJARAS, 3505 - N271250</t>
  </si>
  <si>
    <t>3505</t>
  </si>
  <si>
    <t>-2.5650234,-44.2316017</t>
  </si>
  <si>
    <t>N271250</t>
  </si>
  <si>
    <t>3995515002100</t>
  </si>
  <si>
    <t>MERCADO MOVEIS - RUA MARECHAL DEODORO, 243 - SUL243730</t>
  </si>
  <si>
    <t>-25.4313691,-49.2701899</t>
  </si>
  <si>
    <t>SUL243730</t>
  </si>
  <si>
    <t>77500049026285</t>
  </si>
  <si>
    <t>MERCADO MÓVEIS</t>
  </si>
  <si>
    <t>MERCADO MOVEIS - RUA 15 DE NOVEMBRO, 1817 - ZONA COMERCIAL - SUL9935</t>
  </si>
  <si>
    <t>1817</t>
  </si>
  <si>
    <t>-25.537708 , -49.20081</t>
  </si>
  <si>
    <t>SUL9935</t>
  </si>
  <si>
    <t>77500049008546</t>
  </si>
  <si>
    <t>NAGEM - ROD PE 15, KM165, 242 - SHOPPING PAULISTA - NE62949</t>
  </si>
  <si>
    <t>MEGA LOJA 02 L1016</t>
  </si>
  <si>
    <t>NE62949</t>
  </si>
  <si>
    <t>24073694009373</t>
  </si>
  <si>
    <t>NAGEM - AVENIDA MINISTRO GERAL BARRETO SOBRAL, 215 - SHOPPING JARDINS - NE45386</t>
  </si>
  <si>
    <t>LOJAS E11 / E12</t>
  </si>
  <si>
    <t>NE45386</t>
  </si>
  <si>
    <t>24073694001712</t>
  </si>
  <si>
    <t>LJ NG AJU SH JARDINS</t>
  </si>
  <si>
    <t>NOVO MUNDO - SAMAMBAIA NORTE, 414 - ZONA COMERCIAL - MGCO11111</t>
  </si>
  <si>
    <t>BAIRRO DE SAMAMBAIA</t>
  </si>
  <si>
    <t>72320586</t>
  </si>
  <si>
    <t>-15.8590683 , -48.0722528</t>
  </si>
  <si>
    <t>MGCO11111</t>
  </si>
  <si>
    <t>00153408000000</t>
  </si>
  <si>
    <t>PONTO FRIO - PRACA CORONEL ARISTIDES, 80 - MGCO22675</t>
  </si>
  <si>
    <t>PRACA CORONEL ARISTIDES</t>
  </si>
  <si>
    <t>Nova Lima</t>
  </si>
  <si>
    <t>34000000</t>
  </si>
  <si>
    <t>-19.9930076 , -43.8487273</t>
  </si>
  <si>
    <t>MGCO22675</t>
  </si>
  <si>
    <t>33041260036606</t>
  </si>
  <si>
    <t>RIACHUELO - AVENIDA JOAO DURVAL CARNEIRO, 5665 - SHOPPING BOULEVARD FEIRA DE SANTANA - NE45077</t>
  </si>
  <si>
    <t>LOJAS 110/111/257</t>
  </si>
  <si>
    <t>NE45077</t>
  </si>
  <si>
    <t>33200056004560</t>
  </si>
  <si>
    <t>RIACHUELO - AVENIDA CENTENARIO, 555 - SHOPPING GRAVATAI - SUL63193</t>
  </si>
  <si>
    <t>LOJA 126/127</t>
  </si>
  <si>
    <t>PASSO DAS PEDRAS</t>
  </si>
  <si>
    <t>94035240</t>
  </si>
  <si>
    <t>-29.951202 , -50.995794</t>
  </si>
  <si>
    <t>SUL63193</t>
  </si>
  <si>
    <t>33200056018609</t>
  </si>
  <si>
    <t>Shopping Gravataí</t>
  </si>
  <si>
    <t>RIACHUELO - RUA MARECHAL DEODORO, 919 - ZONA COMERCIAL - SPC46045</t>
  </si>
  <si>
    <t>919</t>
  </si>
  <si>
    <t>-23.70587 , -46.551135</t>
  </si>
  <si>
    <t>SPC46045</t>
  </si>
  <si>
    <t>33200056001200</t>
  </si>
  <si>
    <t>L002</t>
  </si>
  <si>
    <t>RIACHUELO - AVENIDA MINISTRO GERALDO BARRETO SOBRAL, 23 - SHOPPING JARDINS - NE45079</t>
  </si>
  <si>
    <t>-10.9430822, -37.0584798</t>
  </si>
  <si>
    <t>NE45079</t>
  </si>
  <si>
    <t>44716055000178</t>
  </si>
  <si>
    <t>RIACHUELO - AVENIDA ELDES SCHERRER SOUZA, 2162 - SHOPPING MONTSERRAT - RJES265820</t>
  </si>
  <si>
    <t>AVENIDA ELDES SCHERRER SOUZA</t>
  </si>
  <si>
    <t>2162</t>
  </si>
  <si>
    <t>COLINA DE LARANJEIRAS</t>
  </si>
  <si>
    <t>29167080</t>
  </si>
  <si>
    <t>-20.1929762 , -40.2662514</t>
  </si>
  <si>
    <t>RJES265820</t>
  </si>
  <si>
    <t>33200056020417</t>
  </si>
  <si>
    <t>Shopping Montserrat</t>
  </si>
  <si>
    <t>SIPOLATTI - AVENIDA EWERSON DE ABREU SODRE, 11 - ZONA COMERCIAL - RJES18485</t>
  </si>
  <si>
    <t>AVENIDA EWERSON DE ABREU SODRE</t>
  </si>
  <si>
    <t>29215010</t>
  </si>
  <si>
    <t>-20.6588598, -40.4970668</t>
  </si>
  <si>
    <t>RJES18485</t>
  </si>
  <si>
    <t>30689848002184</t>
  </si>
  <si>
    <t>MAGNATA/RAGAR (TIM) - RUA BARAO DE SAO FRANCISCO, 236 - SHOPPING IGUATEMI - RJ - RJES275370</t>
  </si>
  <si>
    <t>LOJAS 285/286</t>
  </si>
  <si>
    <t>RJES275370</t>
  </si>
  <si>
    <t>5999455000852</t>
  </si>
  <si>
    <t>LOJAS LEMAR (TIM) - AVENIDA ARAPONGAS, 427 - SUL272360</t>
  </si>
  <si>
    <t>JARDIM DO SOL</t>
  </si>
  <si>
    <t>86705400</t>
  </si>
  <si>
    <t>-23.4126018,-51.4340592</t>
  </si>
  <si>
    <t>SUL272360</t>
  </si>
  <si>
    <t>20654202000911</t>
  </si>
  <si>
    <t>FACELL - AVENIDA CENTENARIO, 2992 - SHOPPING BARRA SALVADOR - NE237050</t>
  </si>
  <si>
    <t>40140902</t>
  </si>
  <si>
    <t>-13.0067432, -38.5243095</t>
  </si>
  <si>
    <t>NE237050</t>
  </si>
  <si>
    <t>7366109002210</t>
  </si>
  <si>
    <t>FACELL LTDA - SALVADOR - BARRA - SAP (39176)</t>
  </si>
  <si>
    <t>IMAGEM TELECOM - RUA MANOEL DE NOBREGA, 712 - SHOPPING PRACA DA MOCA - SPC235700</t>
  </si>
  <si>
    <t>RUA MANOEL DE NOBREGA</t>
  </si>
  <si>
    <t>SPC235700</t>
  </si>
  <si>
    <t>11057917000149</t>
  </si>
  <si>
    <t>IMAGEM - SHOPPING PRAÇA DA MOÇA - SAP (18557)</t>
  </si>
  <si>
    <t>S.W.A.T MOBILE (TIM) - RUA SAO MIGUEL, 176 - SAO MIGUEL CENTER - NE264280</t>
  </si>
  <si>
    <t>RUA SAO MIGUEL</t>
  </si>
  <si>
    <t>50850275</t>
  </si>
  <si>
    <t>-8.0790607,-34.9092699</t>
  </si>
  <si>
    <t>NE264280</t>
  </si>
  <si>
    <t>45342567000265</t>
  </si>
  <si>
    <t>Sao Miguel Center</t>
  </si>
  <si>
    <t>TELEMIL - RUA SAO JOSE DOS PINHAIS, 55 - SUL272490</t>
  </si>
  <si>
    <t>RUA SAO JOSE DOS PINHAIS</t>
  </si>
  <si>
    <t>SÍTIO CERCADO</t>
  </si>
  <si>
    <t>81910010</t>
  </si>
  <si>
    <t>-25.5359716,-49.270101</t>
  </si>
  <si>
    <t>SUL272490</t>
  </si>
  <si>
    <t>31758836000183</t>
  </si>
  <si>
    <t>JMX (TIM) - AVENIDA VISCONDE DE IBITURUNA, 90 - MGCO275870</t>
  </si>
  <si>
    <t>-19.9734012,-44.0212512</t>
  </si>
  <si>
    <t>MGCO275870</t>
  </si>
  <si>
    <t>3372209001570</t>
  </si>
  <si>
    <t>IANK CELL - AVENIDA GETULIO VARGAS, 1446 - SHOPPING AMERICANAS - SUL7952</t>
  </si>
  <si>
    <t>ANITAGARIBALDI</t>
  </si>
  <si>
    <t>89202972</t>
  </si>
  <si>
    <t>-26.3207698 , -48.8461698</t>
  </si>
  <si>
    <t>SUL7952</t>
  </si>
  <si>
    <t>TIM - RUA 15 DE JANEIRO, 320 - SUL6692</t>
  </si>
  <si>
    <t>320 A</t>
  </si>
  <si>
    <t>92025370</t>
  </si>
  <si>
    <t>-29.9187872, -51.1801105</t>
  </si>
  <si>
    <t>SUL6692</t>
  </si>
  <si>
    <t>02421421015739</t>
  </si>
  <si>
    <t>C258</t>
  </si>
  <si>
    <t>NÃO REATIVAR - LOJA FECHADA TIM - RODOVIA RAPOSO TAVARES KM 14,5, S/N - SHOPPING RAPOSO - SPC7827</t>
  </si>
  <si>
    <t>SPC7827</t>
  </si>
  <si>
    <t>TIM AA - AVENIDA LIMEIRA, 722 - SHOPPING PIRACICABA - SPI45634</t>
  </si>
  <si>
    <t>VILAAREIO</t>
  </si>
  <si>
    <t>SPI45634</t>
  </si>
  <si>
    <t>TIM - RUA EMILIO DE VASCONCELOS, 23 - ZONA COMERCIAL - MGCO20993</t>
  </si>
  <si>
    <t>RUA EMILIO DE VASCONCELOS</t>
  </si>
  <si>
    <t>35700009</t>
  </si>
  <si>
    <t>-19.4665988 , -44.2486373</t>
  </si>
  <si>
    <t>MGCO20993</t>
  </si>
  <si>
    <t>TV LAR - AVENIDA MARGARITA, 1359 - SHOPPING NOVA CIDADE - N290220</t>
  </si>
  <si>
    <t>N290220</t>
  </si>
  <si>
    <t>4561957003507</t>
  </si>
  <si>
    <t>LEVYCOM (VIVO) - AVENIDA DOUTOR ARTUR COSTA FILHO, 937 - CARAGUA PRAIA SHOPPING - SPI240690</t>
  </si>
  <si>
    <t>AVENIDA DOUTOR ARTUR COSTA FILHO</t>
  </si>
  <si>
    <t>937</t>
  </si>
  <si>
    <t>LOJA 13A</t>
  </si>
  <si>
    <t>11660905</t>
  </si>
  <si>
    <t>-23.6241226, -45.41056409999999</t>
  </si>
  <si>
    <t>SPI240690</t>
  </si>
  <si>
    <t>12585409001097</t>
  </si>
  <si>
    <t>Caragua Praia Shopping</t>
  </si>
  <si>
    <t>IDEAL (VIVO) - AVENIDA MENINO MARCELO, 3800 - MACEIO PATIO SHOPPING - NE261980</t>
  </si>
  <si>
    <t>NE261980</t>
  </si>
  <si>
    <t>22129881000188</t>
  </si>
  <si>
    <t>COMMCENTER - AVENIDA JUCA BATISTA, 4255 - SUL243640</t>
  </si>
  <si>
    <t>4255</t>
  </si>
  <si>
    <t>LOJA 2A 2B</t>
  </si>
  <si>
    <t>91755000</t>
  </si>
  <si>
    <t>-30.1591843,-51.1949708</t>
  </si>
  <si>
    <t>SUL243640</t>
  </si>
  <si>
    <t>308055002611</t>
  </si>
  <si>
    <t>COMMCENTER - VISCONDE DO RIO BRANCO, 300 - ZONA COMERCIAL - SPI6598</t>
  </si>
  <si>
    <t>-23.025476 , -45.555687</t>
  </si>
  <si>
    <t>SPI6598</t>
  </si>
  <si>
    <t>02558157008902</t>
  </si>
  <si>
    <t>IDEAL (VIVO) - RUA SAO MIGUEL, 176 - SAO MIGUEL CENTER - NE264270</t>
  </si>
  <si>
    <t>NE264270</t>
  </si>
  <si>
    <t>8182334004807</t>
  </si>
  <si>
    <t>4 REDES TELECOM (VIVO) - RUA CORONEL ANTONIO BOTELHO DE SOUZA, 254 - MARANGUAPE SHOPPING MALL - NE291220</t>
  </si>
  <si>
    <t>NE291220</t>
  </si>
  <si>
    <t>7041040010355</t>
  </si>
  <si>
    <t>COMMCENTER - AVENIDA INDEPENDENCIA, 581 - ZONA COMERCIAL - SUL6239</t>
  </si>
  <si>
    <t>-29.7648088 , -51.14626879999999</t>
  </si>
  <si>
    <t>SUL6239</t>
  </si>
  <si>
    <t>308055000830</t>
  </si>
  <si>
    <t>TONINHO CELULARES (VIVO) - AVENIDA MARECHAL DEODORO DA FONSECA, 320 - SUL248370</t>
  </si>
  <si>
    <t>JARAGUÁ DO SUL</t>
  </si>
  <si>
    <t>-26.4842049,-49.0834101</t>
  </si>
  <si>
    <t>SUL248370</t>
  </si>
  <si>
    <t>24965379001457</t>
  </si>
  <si>
    <t>VIVO CRONOLOGICA - RUA LUIZ CAMILO DE CAMARGO, 508 - SPI245080</t>
  </si>
  <si>
    <t>LOTEAMENTO REMANSO CAMPINEIRO</t>
  </si>
  <si>
    <t>HORTOLÂNDIA</t>
  </si>
  <si>
    <t>-22.8644777,-47.218033</t>
  </si>
  <si>
    <t>SPI245080</t>
  </si>
  <si>
    <t>3685001002078</t>
  </si>
  <si>
    <t>CELULAR STATION - RUA VISCONDE DE PIRAJA, 443 - RJES263070</t>
  </si>
  <si>
    <t>22410003</t>
  </si>
  <si>
    <t>-22.9843101,-43.2106081</t>
  </si>
  <si>
    <t>RJES263070</t>
  </si>
  <si>
    <t>2714643000980</t>
  </si>
  <si>
    <t>CELULAR HOUSE (VIVO) - RUA QUINZE DE NOVEMBRO, 6993 - SUL291320</t>
  </si>
  <si>
    <t>6993</t>
  </si>
  <si>
    <t>89237000</t>
  </si>
  <si>
    <t>-26.2874988,-48.9050421</t>
  </si>
  <si>
    <t>SUL291320</t>
  </si>
  <si>
    <t>308055004584</t>
  </si>
  <si>
    <t>VIVO - RUA PRESIDENTE CARLOS CAVALCANTI, 250 - SUL232360</t>
  </si>
  <si>
    <t>-25.5917359, -49.40933709999999</t>
  </si>
  <si>
    <t>SUL232360</t>
  </si>
  <si>
    <t>VIVO - RUA SAO PAULO, 120 - SHOPPING MARINGA PARK CENTER - SUL5970</t>
  </si>
  <si>
    <t>SUL5970</t>
  </si>
  <si>
    <t>2558157018029</t>
  </si>
  <si>
    <t>LOJA ASPEN PR</t>
  </si>
  <si>
    <t>VIVO - AVENIDA PARANA, 203 - ZONA COMERCIAL - SUL5979</t>
  </si>
  <si>
    <t>-23.310934 , -51.16114</t>
  </si>
  <si>
    <t>SUL5979</t>
  </si>
  <si>
    <t>2558157018371</t>
  </si>
  <si>
    <t>LOJA LONDRINA PR</t>
  </si>
  <si>
    <t>VIVO - AVENIDA SANTOS DUMONT, 4360 - PARQUE SHOPPING BAHIA - NE289050</t>
  </si>
  <si>
    <t>1002 - L1</t>
  </si>
  <si>
    <t>NE289050</t>
  </si>
  <si>
    <t>2558157093748</t>
  </si>
  <si>
    <t>LOJA PARQUE BAHIA BA</t>
  </si>
  <si>
    <t>VIVO - RUA LASSANCE CUNHA, 4 - ZONA COMERCIAL - MGCO20999</t>
  </si>
  <si>
    <t>RUA LASSANCE CUNHA</t>
  </si>
  <si>
    <t>35700006</t>
  </si>
  <si>
    <t>-19.4605468 , -44.2445326</t>
  </si>
  <si>
    <t>MGCO20999</t>
  </si>
  <si>
    <t>2558157047983</t>
  </si>
  <si>
    <t>LOJA SETE LAGOAS MG</t>
  </si>
  <si>
    <t>BENOIT - PRESIDENTE NEREU RAMOS, 233 - ZONA COMERCIAL - SUL64555</t>
  </si>
  <si>
    <t>PRESIDENTE NEREU RAMOS, 233</t>
  </si>
  <si>
    <t>88052170</t>
  </si>
  <si>
    <t>-27.8143715 , -50.3273075</t>
  </si>
  <si>
    <t>SUL64555</t>
  </si>
  <si>
    <t>87296026014671</t>
  </si>
  <si>
    <t>BERLANDA - RODOVIA BR 282, KM 216, S/N - LAGES GARDEN SHOPPING - SUL276850</t>
  </si>
  <si>
    <t>-27.7926621, -50.28337</t>
  </si>
  <si>
    <t>SUL276850</t>
  </si>
  <si>
    <t>9313141026286</t>
  </si>
  <si>
    <t>Lages Garden Shopping</t>
  </si>
  <si>
    <t>BERLANDA - RUA NEREU RAMOS, 288 - ZONA COMERCIAL - SUL64552</t>
  </si>
  <si>
    <t>RUA NEREU RAMOS, 288</t>
  </si>
  <si>
    <t>-27.8138092 , -50.32729200000001</t>
  </si>
  <si>
    <t>SUL64552</t>
  </si>
  <si>
    <t>CARREFOUR - AVENIDA SENADOR SALGADO FILHO, 1800 - ZONA COMERCIAL - SUL11505</t>
  </si>
  <si>
    <t>RS 040</t>
  </si>
  <si>
    <t>SANTA CECILIA</t>
  </si>
  <si>
    <t>94475000</t>
  </si>
  <si>
    <t>-30.081478 , -51.098335</t>
  </si>
  <si>
    <t>SUL11505</t>
  </si>
  <si>
    <t>45543915099293</t>
  </si>
  <si>
    <t>BVA</t>
  </si>
  <si>
    <t>CARREFOUR - AVENIDA BRASIL, 505 (LOJA 1) - BRASIL PARK SHOPPING - MGCO19236</t>
  </si>
  <si>
    <t>Anápolis</t>
  </si>
  <si>
    <t>75113570</t>
  </si>
  <si>
    <t>-16.324211 , -48.948944</t>
  </si>
  <si>
    <t>MGCO19236</t>
  </si>
  <si>
    <t>45543915035058</t>
  </si>
  <si>
    <t>GOP</t>
  </si>
  <si>
    <t>Brasil Park Shopping</t>
  </si>
  <si>
    <t>CARREFOUR - AVENIDA BRASIL, 3660 - ZONA COMERCIAL - SUL11107</t>
  </si>
  <si>
    <t>3660</t>
  </si>
  <si>
    <t>88330000</t>
  </si>
  <si>
    <t>-27.003954 , -48.621532</t>
  </si>
  <si>
    <t>SUL11107</t>
  </si>
  <si>
    <t>93209765029280</t>
  </si>
  <si>
    <t>BBO</t>
  </si>
  <si>
    <t>CASA &amp; VIDEO - AVENIDA PREFEITO JORGE JULIO COSTA DOS SANTOS, 200 - RJES257340</t>
  </si>
  <si>
    <t>AVENIDA PREFEITO JORGE JULIO COSTA DOS SANTOS</t>
  </si>
  <si>
    <t>26130971</t>
  </si>
  <si>
    <t>-22.7738709,-43.4002702</t>
  </si>
  <si>
    <t>RJES257340</t>
  </si>
  <si>
    <t>11114284030909</t>
  </si>
  <si>
    <t>BELFORD ROXO CARREFOUR</t>
  </si>
  <si>
    <t>CASA &amp; VIDEO - RODOVIA FERNAO DIAS - BR 381, 601 - PARTAGE SHOPPING BETIM - MGCO271200</t>
  </si>
  <si>
    <t>RODOVIA FERNAO DIAS - BR 381</t>
  </si>
  <si>
    <t>29300190</t>
  </si>
  <si>
    <t>-19.962522, -44.160472</t>
  </si>
  <si>
    <t>MGCO271200</t>
  </si>
  <si>
    <t>11114284037750</t>
  </si>
  <si>
    <t>Partage Shopping Betim</t>
  </si>
  <si>
    <t>CASA &amp; VIDEO - AVENIDA 18 DO FORTE, S/N - ZONA COMERCIAL - RJES6738</t>
  </si>
  <si>
    <t>AVENIDA 18 DO FORTE</t>
  </si>
  <si>
    <t>24460005</t>
  </si>
  <si>
    <t>-22.8187036 , -43.04264209999999</t>
  </si>
  <si>
    <t>RJES6738</t>
  </si>
  <si>
    <t>CASAS BAHIA - RUA DO IMPERADOR, 168 - ZONA COMERCIAL - RJES11795</t>
  </si>
  <si>
    <t>RUA DO IMPERADOR</t>
  </si>
  <si>
    <t>170,174,178,184,198,</t>
  </si>
  <si>
    <t>Petrópolis</t>
  </si>
  <si>
    <t>25620000</t>
  </si>
  <si>
    <t>-22.507912 , -43.171478</t>
  </si>
  <si>
    <t>RJES11795</t>
  </si>
  <si>
    <t>33041260082462</t>
  </si>
  <si>
    <t>1384</t>
  </si>
  <si>
    <t>CASAS BAHIA - RUA DO IMPERADOR, 496 - ZONA COMERCIAL - RJES11794</t>
  </si>
  <si>
    <t>512 E 516</t>
  </si>
  <si>
    <t>-22.509539 , -43.174751</t>
  </si>
  <si>
    <t>RJES11794</t>
  </si>
  <si>
    <t>33041260082381</t>
  </si>
  <si>
    <t>1187</t>
  </si>
  <si>
    <t>CASAS BAHIA - RUA DOUTOR SIQUEIRA, 416 - ZONA COMERCIAL - RJES11696</t>
  </si>
  <si>
    <t>RUA DOUTOR SIQUEIRA</t>
  </si>
  <si>
    <t>PC.NILO PECANHA,117</t>
  </si>
  <si>
    <t>Magé</t>
  </si>
  <si>
    <t>25900000</t>
  </si>
  <si>
    <t>-22.655779 , -43.038998</t>
  </si>
  <si>
    <t>RJES11696</t>
  </si>
  <si>
    <t>33041260080923</t>
  </si>
  <si>
    <t>CASAS BAHIA - RUA GOIAS, 861 - ZONA COMERCIAL - MGCO19225</t>
  </si>
  <si>
    <t>AVENIDA GOIAS</t>
  </si>
  <si>
    <t>881</t>
  </si>
  <si>
    <t>75025090</t>
  </si>
  <si>
    <t>-16.328499 , -48.956535</t>
  </si>
  <si>
    <t>MGCO19225</t>
  </si>
  <si>
    <t>33041260108100</t>
  </si>
  <si>
    <t>CASAS BAHIA - AVENIDA ANTONIO PIRES PIMENTEL, 532 - ZONA COMERCIAL - SPI64751</t>
  </si>
  <si>
    <t>AVENIDA ANTONIO PIRES PIMENTEL</t>
  </si>
  <si>
    <t>12900011</t>
  </si>
  <si>
    <t>-22.953365 , -46.540077</t>
  </si>
  <si>
    <t>SPI64751</t>
  </si>
  <si>
    <t>33041260004909</t>
  </si>
  <si>
    <t>CASAS BAHIA - RUA CONDE DE PARNAIBA, 20 - SPI232660</t>
  </si>
  <si>
    <t>RUA CONDE DE PARNAIBA</t>
  </si>
  <si>
    <t>Mogi Mirim</t>
  </si>
  <si>
    <t>13800140</t>
  </si>
  <si>
    <t>-22.4340797 , -46.9573742</t>
  </si>
  <si>
    <t>SPI232660</t>
  </si>
  <si>
    <t>33041260098547</t>
  </si>
  <si>
    <t>CASAS BAHIA - AVENIDA GUARDAMOR LOBO VIANA, 325 - ZONA COMERCIAL - SPC22124</t>
  </si>
  <si>
    <t>AVENIDA GUARDAMOR LOBO VIANA</t>
  </si>
  <si>
    <t>São Sebastião</t>
  </si>
  <si>
    <t>11600000</t>
  </si>
  <si>
    <t>-23.8013071 , -45.4030796</t>
  </si>
  <si>
    <t>SPC22124</t>
  </si>
  <si>
    <t>33041260124807</t>
  </si>
  <si>
    <t>1328</t>
  </si>
  <si>
    <t>CASAS BAHIA - RUA TREZE DE MAIO, 150 - ZONA COMERCIAL - SPI42292</t>
  </si>
  <si>
    <t>13900005</t>
  </si>
  <si>
    <t>-22.7018763 , -46.767329</t>
  </si>
  <si>
    <t>SPI42292</t>
  </si>
  <si>
    <t>33041260099780</t>
  </si>
  <si>
    <t>CASAS BAHIA - RUA 9 DE JULHO, 1049 - SPI242790</t>
  </si>
  <si>
    <t>MIRANDÓPOLIS</t>
  </si>
  <si>
    <t>16800000</t>
  </si>
  <si>
    <t>-21.1301596, -51.1036607</t>
  </si>
  <si>
    <t>SPI242790</t>
  </si>
  <si>
    <t>33041260180120</t>
  </si>
  <si>
    <t>2172</t>
  </si>
  <si>
    <t>CASAS BAHIA - AVENIDA PRESIDENTE JOAO PESSOA, 145/153 - NE243390</t>
  </si>
  <si>
    <t>AVENIDA PRESIDENTE JOAO PESSOA</t>
  </si>
  <si>
    <t>145/153</t>
  </si>
  <si>
    <t>-7.2175646,-35.8890744</t>
  </si>
  <si>
    <t>NE243390</t>
  </si>
  <si>
    <t>33041260137038</t>
  </si>
  <si>
    <t>1705</t>
  </si>
  <si>
    <t>CASAS BAHIA - AVENIDA 29 DE AGOSTO, 169 - SPI248870</t>
  </si>
  <si>
    <t>AVENIDA 29 DE AGOSTO</t>
  </si>
  <si>
    <t>LEME</t>
  </si>
  <si>
    <t>13610210</t>
  </si>
  <si>
    <t>-22.1838226,-47.3868322</t>
  </si>
  <si>
    <t>SPI248870</t>
  </si>
  <si>
    <t>33041260093901</t>
  </si>
  <si>
    <t>1228</t>
  </si>
  <si>
    <t>CASAS BAHIA - RUA MAJOR POMPEU, 364 - SPI249760</t>
  </si>
  <si>
    <t>RUA MAJOR POMPEU</t>
  </si>
  <si>
    <t>BARRA BONITA</t>
  </si>
  <si>
    <t>17340000</t>
  </si>
  <si>
    <t>-22.496938,-48.5623649</t>
  </si>
  <si>
    <t>SPI249760</t>
  </si>
  <si>
    <t>33041260179202</t>
  </si>
  <si>
    <t>2161</t>
  </si>
  <si>
    <t>CASAS BAHIA - AVENIDA ENGENHEIRO ROBERTO FREIRE, 2923 - ZONA COMERCIAL - NE21288</t>
  </si>
  <si>
    <t>2923</t>
  </si>
  <si>
    <t>-5.8510596, -35.2044949</t>
  </si>
  <si>
    <t>NE21288</t>
  </si>
  <si>
    <t>1712</t>
  </si>
  <si>
    <t>CASAS BAHIA - AVENIDA RIO BRANCO, 565 - SPI248900</t>
  </si>
  <si>
    <t>JARDIM ADAMANTINA</t>
  </si>
  <si>
    <t>ADAMANTINA</t>
  </si>
  <si>
    <t>17800000</t>
  </si>
  <si>
    <t>-21.6865014,-51.075935</t>
  </si>
  <si>
    <t>SPI248900</t>
  </si>
  <si>
    <t>33041260166216</t>
  </si>
  <si>
    <t>2080</t>
  </si>
  <si>
    <t>CASAS BAHIA - RUA VISCONDE DO PORTO SEGURO, 159 - MGCO260490</t>
  </si>
  <si>
    <t>RUA VISCONDE DO PORTO SEGURO</t>
  </si>
  <si>
    <t>VISCONDE DO PORTO</t>
  </si>
  <si>
    <t>Formosa</t>
  </si>
  <si>
    <t>75000000</t>
  </si>
  <si>
    <t>-15.5494018,-47.3406287</t>
  </si>
  <si>
    <t>MGCO260490</t>
  </si>
  <si>
    <t>33041260053101</t>
  </si>
  <si>
    <t>1919</t>
  </si>
  <si>
    <t>CASAS BAHIA - AVENIDA SEVERINO BEZERRA CABRAL, 1050 - PARTAGE SHOPPING CAMPINA GRANDE - NE256490</t>
  </si>
  <si>
    <t>CATOLÉ</t>
  </si>
  <si>
    <t>NE256490</t>
  </si>
  <si>
    <t>33041260203278</t>
  </si>
  <si>
    <t>2426</t>
  </si>
  <si>
    <t>CASAS BAHIA - AVENIDA OTAVIO CAMPELO RIBEIRO, 2801 - SHOPPING SETE LAGOS - MGCO41555</t>
  </si>
  <si>
    <t>AVENIDA OTAVIO CAMPELO RIBEIRO</t>
  </si>
  <si>
    <t>2801</t>
  </si>
  <si>
    <t>35702153</t>
  </si>
  <si>
    <t>-19.4738282 , -44.27140109999999</t>
  </si>
  <si>
    <t>MGCO41555</t>
  </si>
  <si>
    <t>33041260072238</t>
  </si>
  <si>
    <t>Shopping Sete Lagoas</t>
  </si>
  <si>
    <t>(NÃO REATIVAR - CÓD CORRETO SPI8598) CASAS BAHIA - RUA BARAO DO RIO BRANCO, 1566 - ZONA COMERCIAL - SPI80101</t>
  </si>
  <si>
    <t>1566</t>
  </si>
  <si>
    <t>-21.1405822 , -47.986903</t>
  </si>
  <si>
    <t>SPI80101</t>
  </si>
  <si>
    <t>PONTO CERTO - AVENIDA ABILIO AUGUSTO TAVORA, 111 - SHOPPING NOVA IGUACU - RJES233750</t>
  </si>
  <si>
    <t>LOJA 4115</t>
  </si>
  <si>
    <t>26260046</t>
  </si>
  <si>
    <t>-22.763337014276654 , -43.46511865252509</t>
  </si>
  <si>
    <t>RJES233750</t>
  </si>
  <si>
    <t>05142929004328</t>
  </si>
  <si>
    <t>TELECEL (CLARO) - AVENIDA SENADOR FILINTO MULLER, 43 - VARZEA GRANDE SHOPPING - MGCO273650</t>
  </si>
  <si>
    <t>LOJA 62 PISO 01</t>
  </si>
  <si>
    <t>JARDIM AEROPORTO</t>
  </si>
  <si>
    <t>78110001</t>
  </si>
  <si>
    <t>-15.6527908,-56.1250289</t>
  </si>
  <si>
    <t>MGCO273650</t>
  </si>
  <si>
    <t>3555618003040</t>
  </si>
  <si>
    <t>DIN COMERCIO (CLARO) - AVENIDA SAO LUIS REI DA FRANCA, 8 - SHOPPING ANIL - NE10929</t>
  </si>
  <si>
    <t>-2.5338163, -44.22479430000001</t>
  </si>
  <si>
    <t>NE10929</t>
  </si>
  <si>
    <t>26592902000158</t>
  </si>
  <si>
    <t>G MOBILE - AVENIDA RAUL LOPES, 1000 - SHOPPING TERESINA - NE256440</t>
  </si>
  <si>
    <t>NOIVIS</t>
  </si>
  <si>
    <t>64048890</t>
  </si>
  <si>
    <t>NE256440</t>
  </si>
  <si>
    <t>45218769000208</t>
  </si>
  <si>
    <t>CLARO RP - AVENIDA CRISTIANO MACHADO, 11833 - SHOPPING ESTACAO BH - MGCO288590</t>
  </si>
  <si>
    <t>MGCO288590</t>
  </si>
  <si>
    <t>5949641008435</t>
  </si>
  <si>
    <t>CLARO RP - RUA IZABEL A. REDENTORA, 1434 - 1° PISO - SHOPPING SAO JOSE - SUL47026</t>
  </si>
  <si>
    <t>RUA IZABEL A. REDENTORA, 1434</t>
  </si>
  <si>
    <t>-25.538221 , -49.20440329999997</t>
  </si>
  <si>
    <t>SUL47026</t>
  </si>
  <si>
    <t>8949641005846</t>
  </si>
  <si>
    <t>HS - RUA TREZE DE MAIO, 70 - SPI258940</t>
  </si>
  <si>
    <t>12281600</t>
  </si>
  <si>
    <t>-23.1002943,-45.7074379</t>
  </si>
  <si>
    <t>SPI258940</t>
  </si>
  <si>
    <t>5923253004814</t>
  </si>
  <si>
    <t>CLARO RP - RUA XV DE NOVEMBRO, 268 - SUL274380</t>
  </si>
  <si>
    <t>-25.4311413,-49.2717209</t>
  </si>
  <si>
    <t>SUL274380</t>
  </si>
  <si>
    <t>5949641007032</t>
  </si>
  <si>
    <t>HARCOS TELECOM (CLARO) - RUA DUQUE DE CAXIAS, 3 - NE261990</t>
  </si>
  <si>
    <t>55004300</t>
  </si>
  <si>
    <t>-8.2854235,-35.9706438</t>
  </si>
  <si>
    <t>NE261990</t>
  </si>
  <si>
    <t>6371307001319</t>
  </si>
  <si>
    <t>CLARO AA - MARECHAL DEODORO, 289 - ZONA COMERCIAL - SUL10090</t>
  </si>
  <si>
    <t>MARECHAL DEODORO</t>
  </si>
  <si>
    <t>15900000</t>
  </si>
  <si>
    <t>-26.483953 , -49.0825901</t>
  </si>
  <si>
    <t>SUL10090</t>
  </si>
  <si>
    <t>CLARO AA - MARECHAL FLORIANO, 59 - ZONA COMERCIAL - SUL10091</t>
  </si>
  <si>
    <t>MARECHAL FLORIANO</t>
  </si>
  <si>
    <t>89251150</t>
  </si>
  <si>
    <t>-26.4809264 , -49.082078</t>
  </si>
  <si>
    <t>SUL10091</t>
  </si>
  <si>
    <t>HS - RUA BOULEVARD BRAGUINHA, S/N - ZONA COMERCIAL - SPI6601</t>
  </si>
  <si>
    <t>RUA BOULEVARD BRAGUINHA</t>
  </si>
  <si>
    <t>-23.4989283 , -47.456469</t>
  </si>
  <si>
    <t>SPI6601</t>
  </si>
  <si>
    <t>CLARO - RUA 14 DE JULHO, 2319 - MGCO47338</t>
  </si>
  <si>
    <t>-20.460173 , -54.617992</t>
  </si>
  <si>
    <t>MGCO47338</t>
  </si>
  <si>
    <t>40432544045914</t>
  </si>
  <si>
    <t>67A8</t>
  </si>
  <si>
    <t>CLARO - AVENIDA CENTENARIO, 2992 - SHOPPING BARRA SALVADOR - NE7715</t>
  </si>
  <si>
    <t>-13.00641, -38.5244607</t>
  </si>
  <si>
    <t>NE7715</t>
  </si>
  <si>
    <t>40432544008040</t>
  </si>
  <si>
    <t>7102</t>
  </si>
  <si>
    <t>CLARO - ESTRADA DE RIBAMAR, MA 201, KM 05, 98 - SHOPPING PATIO NORTH - N246080</t>
  </si>
  <si>
    <t>65110003</t>
  </si>
  <si>
    <t>N246080</t>
  </si>
  <si>
    <t>26592902001395</t>
  </si>
  <si>
    <t>COLOMBO - AVENIDA CENTENARIO, 555 - SHOPPING GRAVATAI - SUL39936</t>
  </si>
  <si>
    <t>LOJA 121 E 122</t>
  </si>
  <si>
    <t>SUL39936</t>
  </si>
  <si>
    <t>89848543066607</t>
  </si>
  <si>
    <t>COLOMBO - RUA BENJAMIN CONSTANT, 126 - ZONA COMERCIAL - SUL11156</t>
  </si>
  <si>
    <t>Rio Grande</t>
  </si>
  <si>
    <t>96200090</t>
  </si>
  <si>
    <t>-32.0321697 , -52.0932851</t>
  </si>
  <si>
    <t>SUL11156</t>
  </si>
  <si>
    <t>89848543015956</t>
  </si>
  <si>
    <t>COLOMBO - RUA TIRADENTES, 154 - ZONA COMERCIAL - SUL6252</t>
  </si>
  <si>
    <t>-29.919125 , -51.179767</t>
  </si>
  <si>
    <t>SUL6252</t>
  </si>
  <si>
    <t>89848543004326</t>
  </si>
  <si>
    <t>COLOMBO - RUA CORREA PINTO, 157 - ZONA COMERCIAL - SUL64547</t>
  </si>
  <si>
    <t>RUA CORREA PINTO, 157</t>
  </si>
  <si>
    <t>-27.8135369 , -50.325943</t>
  </si>
  <si>
    <t>SUL64547</t>
  </si>
  <si>
    <t>89848543018890</t>
  </si>
  <si>
    <t>COLOMBO - RUA MARECHAL FLORIANO PEIXOTO, 48 - ZONA COMERCIAL - SUL18475</t>
  </si>
  <si>
    <t>RUA MARECHAL FLORIANO PEIXOTO</t>
  </si>
  <si>
    <t>Bento Gonçalves</t>
  </si>
  <si>
    <t>95700000</t>
  </si>
  <si>
    <t>-29.16884569999999 , -51.5173587</t>
  </si>
  <si>
    <t>SUL18475</t>
  </si>
  <si>
    <t>89848543066003</t>
  </si>
  <si>
    <t>458</t>
  </si>
  <si>
    <t>COLOMBO - AVENIDA 29 DE ABRIL, 406 - SUL290990</t>
  </si>
  <si>
    <t>AVENIDA 29 DE ABRIL</t>
  </si>
  <si>
    <t>406</t>
  </si>
  <si>
    <t>83280000</t>
  </si>
  <si>
    <t>-25.8768561,-48.5759217</t>
  </si>
  <si>
    <t>SUL290990</t>
  </si>
  <si>
    <t>89848543073808</t>
  </si>
  <si>
    <t>LOJAS COLOMBO - AVENIDA BRASIL, 3252 - ZONA COMERCIAL - SUL11682</t>
  </si>
  <si>
    <t>3252</t>
  </si>
  <si>
    <t>-23.420619, -51.9336725</t>
  </si>
  <si>
    <t>SUL11682</t>
  </si>
  <si>
    <t>89848543026990</t>
  </si>
  <si>
    <t>LOJAS COLOMBO - AVENIDA LIBERDADE, 1454 - ZONA COMERCIAL - SUL9127</t>
  </si>
  <si>
    <t>1454</t>
  </si>
  <si>
    <t>SANTA ISABEL</t>
  </si>
  <si>
    <t>94480500</t>
  </si>
  <si>
    <t>-30.0687848 , -51.1068155</t>
  </si>
  <si>
    <t>SUL9127</t>
  </si>
  <si>
    <t>89848543060315</t>
  </si>
  <si>
    <t>COLOMBO - AVENIDA LIBERDADE, 1758 - SUL241680</t>
  </si>
  <si>
    <t>1758</t>
  </si>
  <si>
    <t>-30.0659478, -51.10740149999999</t>
  </si>
  <si>
    <t>SUL241680</t>
  </si>
  <si>
    <t>89848543070035</t>
  </si>
  <si>
    <t>COLOMBO - AVENIDA NEREU RAMOS, 2910 - SUL265010</t>
  </si>
  <si>
    <t>AVENIDA NEREU RAMOS</t>
  </si>
  <si>
    <t>2910</t>
  </si>
  <si>
    <t>MEIA PRAIA</t>
  </si>
  <si>
    <t>Itapema</t>
  </si>
  <si>
    <t>88220000</t>
  </si>
  <si>
    <t>-27.1183965,-48.6119536</t>
  </si>
  <si>
    <t>SUL265010</t>
  </si>
  <si>
    <t>89848543072402</t>
  </si>
  <si>
    <t>728</t>
  </si>
  <si>
    <t>COLOMBO - RUA BARTOLOMEU DE GUSMAO, 169 - SUL265080</t>
  </si>
  <si>
    <t>RUA BARTOLOMEU DE GUSMAO</t>
  </si>
  <si>
    <t>CANUDOS</t>
  </si>
  <si>
    <t>93542000</t>
  </si>
  <si>
    <t>-29.677486,-51.0999341</t>
  </si>
  <si>
    <t>SUL265080</t>
  </si>
  <si>
    <t>89848543018114</t>
  </si>
  <si>
    <t>341</t>
  </si>
  <si>
    <t>COLOMBO - RUA 15 DE NOVEMBRO, 412 - ZONA COMERCIAL - SUL18973</t>
  </si>
  <si>
    <t>83203010</t>
  </si>
  <si>
    <t>-25.5202419 , -48.5063553</t>
  </si>
  <si>
    <t>SUL18973</t>
  </si>
  <si>
    <t>ELETROZEMA - RUA DOUTOR ARY TEIXEIRA, 261 - MGCO242600</t>
  </si>
  <si>
    <t>RUA DOUTOR ARY TEIXEIRA</t>
  </si>
  <si>
    <t>-19.6915491,-43.9217986</t>
  </si>
  <si>
    <t>MGCO242600</t>
  </si>
  <si>
    <t>26404731059247</t>
  </si>
  <si>
    <t>FUJIOKA - AVENIDA BRASIL, 330 - ZONA COMERCIAL - MGCO19234</t>
  </si>
  <si>
    <t>AVENIDA BRASIL NORTE</t>
  </si>
  <si>
    <t>75024100</t>
  </si>
  <si>
    <t>-16.3304337 , -48.9506898</t>
  </si>
  <si>
    <t>MGCO19234</t>
  </si>
  <si>
    <t>1008713009463</t>
  </si>
  <si>
    <t>AV. BRASIL ATACADO</t>
  </si>
  <si>
    <t>FUJIOKA - AVENIDA ENGENHEIRO PORTELA, 186 - ZONA COMERCIAL - MGCO19228</t>
  </si>
  <si>
    <t>RUA ENGENHEIRO PORTELA</t>
  </si>
  <si>
    <t>-16.326347 , -48.956615</t>
  </si>
  <si>
    <t>MGCO19228</t>
  </si>
  <si>
    <t>01008713000911</t>
  </si>
  <si>
    <t>ANAPOLIS</t>
  </si>
  <si>
    <t>GAZIN - RUA BARAO DO RIO BRANCO, 501 - MGCO288950</t>
  </si>
  <si>
    <t>501</t>
  </si>
  <si>
    <t>78700180</t>
  </si>
  <si>
    <t>-16.4698016,-54.6308581</t>
  </si>
  <si>
    <t>MGCO288950</t>
  </si>
  <si>
    <t>77941490017554</t>
  </si>
  <si>
    <t>10170</t>
  </si>
  <si>
    <t>HAVAN - ALAMEDA SANTA MARIA, S/N - ZONA COMERCIAL - MGCO42858</t>
  </si>
  <si>
    <t>ALAMEDA SANTA MARIA</t>
  </si>
  <si>
    <t>72874101</t>
  </si>
  <si>
    <t>-16.0965614, -47.9813085</t>
  </si>
  <si>
    <t>MGCO42858</t>
  </si>
  <si>
    <t>79379491007781</t>
  </si>
  <si>
    <t>74 - VALPARAISO DE GOIAS</t>
  </si>
  <si>
    <t>HAVAN - AVENIDA SENADOR SALGADO FILHO, 7277 - SUL229530</t>
  </si>
  <si>
    <t>7277</t>
  </si>
  <si>
    <t>PRETO FORRO</t>
  </si>
  <si>
    <t>94435000</t>
  </si>
  <si>
    <t>-30.0852234 , -51.0552773</t>
  </si>
  <si>
    <t>SUL229530</t>
  </si>
  <si>
    <t>79379491014486</t>
  </si>
  <si>
    <t>151 - VIAMAO</t>
  </si>
  <si>
    <t>HAVAN - AVENIDA JUCELINO KUBITSCHEK, 3465 - ZONA COMERCIAL - MGCO42854</t>
  </si>
  <si>
    <t>AVENIDA JUCELINO KUBITSCHEK</t>
  </si>
  <si>
    <t>3465</t>
  </si>
  <si>
    <t>JARDIM ELDORADO</t>
  </si>
  <si>
    <t>75051800</t>
  </si>
  <si>
    <t>-16.3510018 , -48.9337969</t>
  </si>
  <si>
    <t>MGCO42854</t>
  </si>
  <si>
    <t>79379491006114</t>
  </si>
  <si>
    <t>63 - ANAPOLIS</t>
  </si>
  <si>
    <t>HAVAN - RUA ROQUE VERNALHA, 586 - ZONA COMERCIAL - SUL18777</t>
  </si>
  <si>
    <t>RUA ROQUE VERNALHA</t>
  </si>
  <si>
    <t>ITIBERE</t>
  </si>
  <si>
    <t>83206350</t>
  </si>
  <si>
    <t>-25.528135 , -48.5223757</t>
  </si>
  <si>
    <t>SUL18777</t>
  </si>
  <si>
    <t>79379491003956</t>
  </si>
  <si>
    <t>38 - PARANAGUA</t>
  </si>
  <si>
    <t>IMPERIO - AVENIDA LINEU MACHADO, 419 - NORTH SHOPPING JOQUEI - NE278470</t>
  </si>
  <si>
    <t>NE278470</t>
  </si>
  <si>
    <t>27936211006128</t>
  </si>
  <si>
    <t>IMPERIO - RUA DA PAZ, 320 - NE237660</t>
  </si>
  <si>
    <t>Afogados</t>
  </si>
  <si>
    <t>-8.0799983, -34.9056246</t>
  </si>
  <si>
    <t>NE237660</t>
  </si>
  <si>
    <t>27936211001592</t>
  </si>
  <si>
    <t>J MAHFUZ - RUA AMAZONAS, 3471 - ZONA COMERCIAL - SPI40181</t>
  </si>
  <si>
    <t>3471</t>
  </si>
  <si>
    <t>-20.4219186 , -49.9747266</t>
  </si>
  <si>
    <t>SPI40181</t>
  </si>
  <si>
    <t>54289998004385</t>
  </si>
  <si>
    <t>035</t>
  </si>
  <si>
    <t>J MAHFUZ - RUA BRASIL, 2026 - ZONA COMERCIAL - SPI40182</t>
  </si>
  <si>
    <t>-20.2834042 , -50.248146</t>
  </si>
  <si>
    <t>SPI40182</t>
  </si>
  <si>
    <t>027</t>
  </si>
  <si>
    <t>KOERICH - RUA PRESIDENTE NEREU RAMOS, 106 - SUL276610</t>
  </si>
  <si>
    <t>-27.8156459,-50.3272503</t>
  </si>
  <si>
    <t>SUL276610</t>
  </si>
  <si>
    <t>86184074016578</t>
  </si>
  <si>
    <t>KOERICH - RODOVIA JOAO GUALBERTO SOARES, 578 - ZONA COMERCIAL - SUL11380</t>
  </si>
  <si>
    <t>RODOVIA JOÃO GUALBERTO SOARES</t>
  </si>
  <si>
    <t>-27.4446926 , -48.4033209</t>
  </si>
  <si>
    <t>SUL11380</t>
  </si>
  <si>
    <t>86184074010960</t>
  </si>
  <si>
    <t>KOERICH - RODOVIA SC-405, 2507 - ZONA COMERCIAL - SUL42558</t>
  </si>
  <si>
    <t>RODOVIA SC-405</t>
  </si>
  <si>
    <t>2507</t>
  </si>
  <si>
    <t>RIO TAVARES</t>
  </si>
  <si>
    <t>88048000</t>
  </si>
  <si>
    <t>-27.6584059 , -48.5040722</t>
  </si>
  <si>
    <t>SUL42558</t>
  </si>
  <si>
    <t>86184074008206</t>
  </si>
  <si>
    <t>LE BISCUIT - AVENIDA BEZERRA DE MENEZES, 2450 - NORTH SHOPPING FORTALEZA - NE288570</t>
  </si>
  <si>
    <t>PRES KENNEDY</t>
  </si>
  <si>
    <t>NE288570</t>
  </si>
  <si>
    <t>16233389009535</t>
  </si>
  <si>
    <t>LEBES - RUA BARAO DO RIO BRANCO, 316 - ZONA COMERCIAL - SUL18826</t>
  </si>
  <si>
    <t>-29.1664395 , -51.5184189</t>
  </si>
  <si>
    <t>SUL18826</t>
  </si>
  <si>
    <t>96662168008701</t>
  </si>
  <si>
    <t>LEBES - RUA BARTOLOMEU DE GUSMAO, 180 - SUL265070</t>
  </si>
  <si>
    <t>93546000</t>
  </si>
  <si>
    <t>-29.6776007,-51.0991694</t>
  </si>
  <si>
    <t>SUL265070</t>
  </si>
  <si>
    <t>96662168015597</t>
  </si>
  <si>
    <t>LOJAS AMERICANAS - RUA XV DE NOVEMBRO, 2423 - SUL39789</t>
  </si>
  <si>
    <t>RUA XV DE NOVEMBRO,</t>
  </si>
  <si>
    <t>2423</t>
  </si>
  <si>
    <t>-25.4586506 , -49.5312213</t>
  </si>
  <si>
    <t>SUL39789</t>
  </si>
  <si>
    <t>776574017806</t>
  </si>
  <si>
    <t>L668</t>
  </si>
  <si>
    <t>LOJAS AMERICANAS - AVENIDA SETE DE SETEMBRO, 2775 - SHOPPING ESTACAO - SUL6000</t>
  </si>
  <si>
    <t>LOJA 2076, 2 ANDAR</t>
  </si>
  <si>
    <t>SUL6000</t>
  </si>
  <si>
    <t>776574158299</t>
  </si>
  <si>
    <t>LOJAS AMERICANAS - AVENIDA MARIO MELO, 482 - SHOPPING IGARASSU - NE45669</t>
  </si>
  <si>
    <t>AVENIDA MARIO MELO</t>
  </si>
  <si>
    <t>Igarassu</t>
  </si>
  <si>
    <t>53610595</t>
  </si>
  <si>
    <t>-7.8295796 , -34.9098328</t>
  </si>
  <si>
    <t>NE45669</t>
  </si>
  <si>
    <t>776574107546</t>
  </si>
  <si>
    <t>1314</t>
  </si>
  <si>
    <t>Shopping Igarassu</t>
  </si>
  <si>
    <t>LOJAS AMERICANAS - RUA MOACIR JOSE LEITE, 100 - SHOPPING PATIO DIVINOPOLIS - MGCO11082</t>
  </si>
  <si>
    <t>RUA MOACIR JOSE LEITE</t>
  </si>
  <si>
    <t>LOJA 182, 183, 184</t>
  </si>
  <si>
    <t>SANTA CLARA</t>
  </si>
  <si>
    <t>35500119</t>
  </si>
  <si>
    <t>-20.127544 , -44.881886</t>
  </si>
  <si>
    <t>MGCO11082</t>
  </si>
  <si>
    <t>776574085984</t>
  </si>
  <si>
    <t>L274</t>
  </si>
  <si>
    <t>Shopping Patio Divinopolis</t>
  </si>
  <si>
    <t>LOJAS AMERICANAS - SIQUEIRA CAMPOS, 1545 - SHOPPING PRUDENTE PARQUE - SPI20819</t>
  </si>
  <si>
    <t>SIQUEIRA CAMPOS</t>
  </si>
  <si>
    <t>-22.1312299 , -51.3898753</t>
  </si>
  <si>
    <t>SPI20819</t>
  </si>
  <si>
    <t>776574064715</t>
  </si>
  <si>
    <t>L210</t>
  </si>
  <si>
    <t>LOJAS AMERICANAS - AVENIDA 9 DE JULHO, 3333 - SHOPPING JUNDIAI - SPI44742</t>
  </si>
  <si>
    <t>LOJAS N 129/130</t>
  </si>
  <si>
    <t>SPI44742</t>
  </si>
  <si>
    <t>776574132907</t>
  </si>
  <si>
    <t>LOJAS AMERICANAS - AVENIDA DJALMA BATISTA, 1661 - SHOPPING MILLENIUM CENTER - N18885</t>
  </si>
  <si>
    <t>1661</t>
  </si>
  <si>
    <t>LOJA 256/ 257</t>
  </si>
  <si>
    <t>-3.101137 , -60.025089</t>
  </si>
  <si>
    <t>N18885</t>
  </si>
  <si>
    <t>776574150123</t>
  </si>
  <si>
    <t>L340</t>
  </si>
  <si>
    <t>Shopping Millenium Center</t>
  </si>
  <si>
    <t>LOJAS AMERICANAS - AVENIDA AFONSO VAZ DE MELO, 640 - SHOPPING VIA SHOPPING - MGCO20672</t>
  </si>
  <si>
    <t>LOJA 246/247</t>
  </si>
  <si>
    <t>MGCO20672</t>
  </si>
  <si>
    <t>776574110920</t>
  </si>
  <si>
    <t>L268</t>
  </si>
  <si>
    <t>LOJAS AMERICANAS - AVENIDA PREFEITO JORGE JULIO COSTA DOS SANTOS, 200 - RJES110740</t>
  </si>
  <si>
    <t>26574460</t>
  </si>
  <si>
    <t>-22.7753005 , -43.397287</t>
  </si>
  <si>
    <t>RJES110740</t>
  </si>
  <si>
    <t>776574077965</t>
  </si>
  <si>
    <t>LOJAS AMERICANAS - EBANO PEREIRA, 225 - SUL6002</t>
  </si>
  <si>
    <t>RUA EBANO PEREIRA</t>
  </si>
  <si>
    <t>80410240</t>
  </si>
  <si>
    <t>-25.431463 , -49.273857</t>
  </si>
  <si>
    <t>SUL6002</t>
  </si>
  <si>
    <t>776574018012</t>
  </si>
  <si>
    <t>LOJAS AMERICANAS - RUA CORONEL TEOFILO LEME, S/N - SPI82902</t>
  </si>
  <si>
    <t>12900002</t>
  </si>
  <si>
    <t>-22.954042 , -46.540759</t>
  </si>
  <si>
    <t>SPI82902</t>
  </si>
  <si>
    <t>776574025817</t>
  </si>
  <si>
    <t>LOJAS AMERICANAS - RUA DO IMPERADOR, 428 - RJES11792</t>
  </si>
  <si>
    <t>-22.509108 , -43.173836</t>
  </si>
  <si>
    <t>RJES11792</t>
  </si>
  <si>
    <t>776574035294</t>
  </si>
  <si>
    <t>L018</t>
  </si>
  <si>
    <t>LOJAS AMERICANAS - RUA PADRE ANTONIO DE SA, 103 - NE40440</t>
  </si>
  <si>
    <t>RUA PADRE ANTONIO DE SA</t>
  </si>
  <si>
    <t>40411010</t>
  </si>
  <si>
    <t>-12.944504 , -38.500752</t>
  </si>
  <si>
    <t>NE40440</t>
  </si>
  <si>
    <t>776574136481</t>
  </si>
  <si>
    <t>L489</t>
  </si>
  <si>
    <t>LOJAS AMERICANAS - AVENIDA SETE DE SETEMBRO, 443 - SPI242690</t>
  </si>
  <si>
    <t>13170000</t>
  </si>
  <si>
    <t>-22.8240513,-47.2696533</t>
  </si>
  <si>
    <t>SPI242690</t>
  </si>
  <si>
    <t>776574030063</t>
  </si>
  <si>
    <t>L567</t>
  </si>
  <si>
    <t>LOJAS AMERICANAS - AVENIDA DONA MARIA ALVES, 345 - SPI273890</t>
  </si>
  <si>
    <t>AVENIDA DONA MARIA ALVES</t>
  </si>
  <si>
    <t>11690156</t>
  </si>
  <si>
    <t>-23.4354214,-45.0730011</t>
  </si>
  <si>
    <t>SPI273890</t>
  </si>
  <si>
    <t>776574038200</t>
  </si>
  <si>
    <t>L214</t>
  </si>
  <si>
    <t>LOJAS AMERICANAS - AVENIDA GETULIO VARGAS, 279 - N272980</t>
  </si>
  <si>
    <t>65020300</t>
  </si>
  <si>
    <t>-2.5453972, -44.2699793</t>
  </si>
  <si>
    <t>N272980</t>
  </si>
  <si>
    <t>LOJAS AMERICANAS - AVENIDA TEIXEIRA E SOUZA, 956 - ZONA COMERCIAL - RJES41628</t>
  </si>
  <si>
    <t>956</t>
  </si>
  <si>
    <t>JARDIM CAIÇARA I</t>
  </si>
  <si>
    <t>-22.8841711 , -42.0268883</t>
  </si>
  <si>
    <t>RJES41628</t>
  </si>
  <si>
    <t>776574021900</t>
  </si>
  <si>
    <t>L470</t>
  </si>
  <si>
    <t>LOJAS AMERICANAS - AVENIDA ATAULFO DE PAIVA, 204 - ZONA COMERCIAL - RJES21114</t>
  </si>
  <si>
    <t>AVENIDA ATAULFO DE PAIVA</t>
  </si>
  <si>
    <t>22440033</t>
  </si>
  <si>
    <t>-22.9833731, -43.2180252</t>
  </si>
  <si>
    <t>RJES21114</t>
  </si>
  <si>
    <t>99999999999962</t>
  </si>
  <si>
    <t>5140</t>
  </si>
  <si>
    <t>LOJAS AMERICANAS - AVENIDA RIO BRANCO, 551 - SPI248880</t>
  </si>
  <si>
    <t>-21.6884062,-51.073654</t>
  </si>
  <si>
    <t>SPI248880</t>
  </si>
  <si>
    <t>776574025140</t>
  </si>
  <si>
    <t>5015</t>
  </si>
  <si>
    <t>LOJAS AMERICANAS - AVENIDA JOAO PESSOA, 279 - N273930</t>
  </si>
  <si>
    <t>-2.543974,-44.2737572</t>
  </si>
  <si>
    <t>N273930</t>
  </si>
  <si>
    <t>776574012596</t>
  </si>
  <si>
    <t>LOJAS AMERICANAS - AVENIDA JUSCELINO KUBITSCHEK DE OLIVEIRA, 261 - SHOPPING BURITI GUARA - SPI246870</t>
  </si>
  <si>
    <t>CAMPO DO GALVAO</t>
  </si>
  <si>
    <t>GUARATINGUETÁ</t>
  </si>
  <si>
    <t>-22.8125976 , -45.1975704</t>
  </si>
  <si>
    <t>SPI246870</t>
  </si>
  <si>
    <t>776574059126</t>
  </si>
  <si>
    <t>L261</t>
  </si>
  <si>
    <t>Shopping Buriti Guara</t>
  </si>
  <si>
    <t>LOJAS AMERICANAS - AVENIDA CENTENARIO, 555 - SHOPPING GRAVATAI - SUL11456</t>
  </si>
  <si>
    <t>SUL11456</t>
  </si>
  <si>
    <t>776574162210</t>
  </si>
  <si>
    <t>LOJAS AMERICANAS - AVENIDA CRISTOVAO COLOMBO, 545 - SHOPPING TOTAL - SUL7016</t>
  </si>
  <si>
    <t>90560003</t>
  </si>
  <si>
    <t>-30.0262208 , -51.21201600000001</t>
  </si>
  <si>
    <t>SUL7016</t>
  </si>
  <si>
    <t>776574163535</t>
  </si>
  <si>
    <t>LOJAS AMERICANAS - AVENIDA ELDES SCHERRER SOUZA, 2162 - SHOPPING MONTSERRAT - RJES42383</t>
  </si>
  <si>
    <t>COLINA DAS LARANJEIRAS</t>
  </si>
  <si>
    <t>RJES42383</t>
  </si>
  <si>
    <t>776574112035</t>
  </si>
  <si>
    <t>LOJAS AMERICANAS - AVENIDA OTAVIO CAMPELO RIBEIRO, 214 - SHOPPING SETE LAGOAS - MGCO41551</t>
  </si>
  <si>
    <t>-19.473875 , -44.271147</t>
  </si>
  <si>
    <t>MGCO41551</t>
  </si>
  <si>
    <t>776574135086</t>
  </si>
  <si>
    <t>LOJAS AMERICANAS - AVENIDA DOS HOLANDESES, 200 - GOLDEN SHOPPING CALHAU - N258450</t>
  </si>
  <si>
    <t>AVENIDA DOS HOLANDESES</t>
  </si>
  <si>
    <t>CALHAU</t>
  </si>
  <si>
    <t>65071380</t>
  </si>
  <si>
    <t>-2.4911548,-44.2648398</t>
  </si>
  <si>
    <t>N258450</t>
  </si>
  <si>
    <t>776574149036</t>
  </si>
  <si>
    <t>Golden Shopping Calhau</t>
  </si>
  <si>
    <t>LOJAS CEM - AVENIDA 11, 392 - SPI260580</t>
  </si>
  <si>
    <t>AVENIDA 11</t>
  </si>
  <si>
    <t>Guaíra</t>
  </si>
  <si>
    <t>14790000</t>
  </si>
  <si>
    <t>-20.3202459,-48.3124855</t>
  </si>
  <si>
    <t>SPI260580</t>
  </si>
  <si>
    <t>56642960021964</t>
  </si>
  <si>
    <t>GUAIRA</t>
  </si>
  <si>
    <t>LOJAS CEM - RUA BARAO DO RIO BRANCO, 543 - SPI267750</t>
  </si>
  <si>
    <t>Aparecida</t>
  </si>
  <si>
    <t>12570000</t>
  </si>
  <si>
    <t>-22.8397468, -45.2266425</t>
  </si>
  <si>
    <t>SPI267750</t>
  </si>
  <si>
    <t>56642960017428</t>
  </si>
  <si>
    <t>APARNO</t>
  </si>
  <si>
    <t>LOJAS CEM - AVENIDA FRANCISCO DE PAULA LEITE, 1144 - ZONA COMERCIAL - SPI18392</t>
  </si>
  <si>
    <t>AVENIDA FRANCISCO DE PAULA LEITE</t>
  </si>
  <si>
    <t>13345000</t>
  </si>
  <si>
    <t>-23.1006205 , -47.2164913</t>
  </si>
  <si>
    <t>SPI18392</t>
  </si>
  <si>
    <t>56642960017266</t>
  </si>
  <si>
    <t>INDSOL</t>
  </si>
  <si>
    <t>LOJAS CEM - RUA CONDE DE PARNAIBA, 400 - SPI232500</t>
  </si>
  <si>
    <t>-22.4352509 , -46.9545935</t>
  </si>
  <si>
    <t>SPI232500</t>
  </si>
  <si>
    <t>56642960004792</t>
  </si>
  <si>
    <t>MGMIRI</t>
  </si>
  <si>
    <t>LOJAS CEM - RUA ANANIAS COSTA FREITAS, 414 - ZONA COMERCIAL - SPI44816</t>
  </si>
  <si>
    <t>RUA ANANIAS DA COSTA FREITAS</t>
  </si>
  <si>
    <t>Pontal</t>
  </si>
  <si>
    <t>14180000</t>
  </si>
  <si>
    <t>-21.025087 , -48.037933</t>
  </si>
  <si>
    <t>SPI44816</t>
  </si>
  <si>
    <t>56642960020801</t>
  </si>
  <si>
    <t>PONTAL</t>
  </si>
  <si>
    <t>LOJAS CEM - PRACA MANOEL LEME, 244 - SPI246730</t>
  </si>
  <si>
    <t>PRACA MANOEL LEME</t>
  </si>
  <si>
    <t>244</t>
  </si>
  <si>
    <t>Leme</t>
  </si>
  <si>
    <t>13610139</t>
  </si>
  <si>
    <t>-22.182544,-47.3857582</t>
  </si>
  <si>
    <t>SPI246730</t>
  </si>
  <si>
    <t>56642960001777</t>
  </si>
  <si>
    <t>LOJAS CEM - RUA HANS STADEN, 497 - SPI246770</t>
  </si>
  <si>
    <t>RUA HANS STADEN</t>
  </si>
  <si>
    <t>11690021</t>
  </si>
  <si>
    <t>-23.4343672,-45.07576</t>
  </si>
  <si>
    <t>SPI246770</t>
  </si>
  <si>
    <t>56642960009913</t>
  </si>
  <si>
    <t>UBATUB</t>
  </si>
  <si>
    <t>LOJAS CEM - RUA SETE DE SETEMBRO, 707 - SPI265930</t>
  </si>
  <si>
    <t>707</t>
  </si>
  <si>
    <t>Paraguaçu Paulista</t>
  </si>
  <si>
    <t>19700013</t>
  </si>
  <si>
    <t>-22.4152249,-50.5791188</t>
  </si>
  <si>
    <t>SPI265930</t>
  </si>
  <si>
    <t>56642960026257</t>
  </si>
  <si>
    <t>PARAGP</t>
  </si>
  <si>
    <t>LOJAS CEM - RUA JOAQUIM PEREIRA BARBOSA, 210 - SPC267680</t>
  </si>
  <si>
    <t>RUA JOAQUIM PEREIRA BARBOSA</t>
  </si>
  <si>
    <t>Cajamar</t>
  </si>
  <si>
    <t>7750000</t>
  </si>
  <si>
    <t>-23.3343733,-46.8415242</t>
  </si>
  <si>
    <t>SPC267680</t>
  </si>
  <si>
    <t>56642960014836</t>
  </si>
  <si>
    <t>CAJAMA</t>
  </si>
  <si>
    <t>LOJAS CEM - RUA DA PAINEIRA, 15 - SPI267690</t>
  </si>
  <si>
    <t>RUA DA PAINEIRA</t>
  </si>
  <si>
    <t>Cerquilho</t>
  </si>
  <si>
    <t>18520041</t>
  </si>
  <si>
    <t>-23.1648418, -47.7425819</t>
  </si>
  <si>
    <t>SPI267690</t>
  </si>
  <si>
    <t>56642960015646</t>
  </si>
  <si>
    <t>CERQUI</t>
  </si>
  <si>
    <t>LOJAS CEM - RUA PROFESSOR TOLEDO, 22 - SPI268070</t>
  </si>
  <si>
    <t>RUA PROFESSOR TOLEDO</t>
  </si>
  <si>
    <t>Araçoiaba da Serra</t>
  </si>
  <si>
    <t>18190000</t>
  </si>
  <si>
    <t>-23.5052024,-47.6152109</t>
  </si>
  <si>
    <t>SPI268070</t>
  </si>
  <si>
    <t>56642960023908</t>
  </si>
  <si>
    <t>ARACSE</t>
  </si>
  <si>
    <t>LOJAS CEM - AVENIDA ARIO BARNABE, 1441 - SPI237970</t>
  </si>
  <si>
    <t>AVENIDA ARIO BARNABE</t>
  </si>
  <si>
    <t>JARDIM MORADA DO SOL</t>
  </si>
  <si>
    <t>13348500</t>
  </si>
  <si>
    <t>-23.116482, -47.2383333</t>
  </si>
  <si>
    <t>SPI237970</t>
  </si>
  <si>
    <t>56642960028624</t>
  </si>
  <si>
    <t>INDARI</t>
  </si>
  <si>
    <t>LOJAS CEM - AVENIDA JOSE MARIA MARQUES DE OLIVEIRA, 759 - SPI262920</t>
  </si>
  <si>
    <t>AVENIDA JOSE MARIA MARQUES DE OLIVEIRA</t>
  </si>
  <si>
    <t>VILA NORMA</t>
  </si>
  <si>
    <t>13327300</t>
  </si>
  <si>
    <t>-23.1797911,-47.3139949</t>
  </si>
  <si>
    <t>SPI262920</t>
  </si>
  <si>
    <t>56642960020135</t>
  </si>
  <si>
    <t>SALMAR</t>
  </si>
  <si>
    <t>LOJAS CEM - AVENIDA MIRASSOLANDIA, 1717 - SPI265770</t>
  </si>
  <si>
    <t>AVENIDA MIRASSOLANDIA</t>
  </si>
  <si>
    <t>CONJUNTO HABITACIONAL COSTA DO SOL</t>
  </si>
  <si>
    <t>15045000</t>
  </si>
  <si>
    <t>-20.7801915,-49.4038855</t>
  </si>
  <si>
    <t>SPI265770</t>
  </si>
  <si>
    <t>56642960030440</t>
  </si>
  <si>
    <t>SJRPMI</t>
  </si>
  <si>
    <t>LOJAS CEM - RUA AMADEU JORGE TERESANI, 98 - SPI268050</t>
  </si>
  <si>
    <t>RUA AMADEU JORGE TERESANI</t>
  </si>
  <si>
    <t>JD. AMALIA</t>
  </si>
  <si>
    <t>Engenheiro Coelho</t>
  </si>
  <si>
    <t>13445260</t>
  </si>
  <si>
    <t>-22.4899448, -47.21130429999999</t>
  </si>
  <si>
    <t>SPI268050</t>
  </si>
  <si>
    <t>56642960023312</t>
  </si>
  <si>
    <t>ENGECO</t>
  </si>
  <si>
    <t>LOJAS CEM - AVENIDA RIO DAS PEDRAS, 2401 - SPI268190</t>
  </si>
  <si>
    <t>BAIRRO PIRACICAMIRIM</t>
  </si>
  <si>
    <t>13425380</t>
  </si>
  <si>
    <t>-22.7578944,-47.6141787</t>
  </si>
  <si>
    <t>SPI268190</t>
  </si>
  <si>
    <t>56642960026176</t>
  </si>
  <si>
    <t>PIRALV</t>
  </si>
  <si>
    <t>LOJAS CEM - RUA JOAQUIM ROSA, 64 - ZONA COMERCIAL - SPI39772</t>
  </si>
  <si>
    <t>RUA JOAQUIM ROSA</t>
  </si>
  <si>
    <t>-20.8906471 , -47.5860169</t>
  </si>
  <si>
    <t>SPI39772</t>
  </si>
  <si>
    <t>MAGAZINE LUIZA - RUA BARAO DO RIO BRANCO, 243 - SPI274480</t>
  </si>
  <si>
    <t>12570065</t>
  </si>
  <si>
    <t>-22.8418519,-45.2314981</t>
  </si>
  <si>
    <t>SPI274480</t>
  </si>
  <si>
    <t>47960950180197</t>
  </si>
  <si>
    <t>1512</t>
  </si>
  <si>
    <t>MAGAZINE LUIZA - AVENIDA DORIVAL CANDIDO LUZ DE OLIVEIRA, 5371 - ZONA COMERCIAL - SUL39937</t>
  </si>
  <si>
    <t>AVENIDA DORIVAL CANDIDO LUZ DE OLIVEIRA</t>
  </si>
  <si>
    <t>5371</t>
  </si>
  <si>
    <t>-29.9340671 , -51.0481551</t>
  </si>
  <si>
    <t>SUL39937</t>
  </si>
  <si>
    <t>47960950028808</t>
  </si>
  <si>
    <t>MAGAZINE LUIZA - AVENIDA ESTER, 437 - SPI232590</t>
  </si>
  <si>
    <t>AVENIDA ESTER</t>
  </si>
  <si>
    <t>437</t>
  </si>
  <si>
    <t>-22.6445131 , -47.1972579</t>
  </si>
  <si>
    <t>SPI232590</t>
  </si>
  <si>
    <t>47960950099233</t>
  </si>
  <si>
    <t>MAGAZINE LUIZA - AVENIDA FLORIANO PEIXOTO, 1406 - ZONA COMERCIAL - MGCO10546</t>
  </si>
  <si>
    <t>38400100</t>
  </si>
  <si>
    <t>-18.91204 , -48.271106</t>
  </si>
  <si>
    <t>MGCO10546</t>
  </si>
  <si>
    <t>47960950002094</t>
  </si>
  <si>
    <t>MAGAZINE LUIZA - RUA ALFREDO ENGLEER, 198 - ZONA COMERCIAL - SPI42819</t>
  </si>
  <si>
    <t>RUA ALFREDO ENGLEER</t>
  </si>
  <si>
    <t>13820000</t>
  </si>
  <si>
    <t>-22.7077148 , -46.9856345</t>
  </si>
  <si>
    <t>SPI42819</t>
  </si>
  <si>
    <t>47960950019655</t>
  </si>
  <si>
    <t>MAGAZINE LUIZA - RUA CAPITAO CAMBOIM - ZONA COMERCIAL - SUL22055</t>
  </si>
  <si>
    <t>RUA CAPITAO CAMBOIM</t>
  </si>
  <si>
    <t>Sapucaia do Sul</t>
  </si>
  <si>
    <t>93220070</t>
  </si>
  <si>
    <t>-29.824287 , -51.148384</t>
  </si>
  <si>
    <t>SUL22055</t>
  </si>
  <si>
    <t>47960950033992</t>
  </si>
  <si>
    <t>MAGAZINE LUIZA - RUA CONDE DE PARNAIBA, 35 - SPI232600</t>
  </si>
  <si>
    <t>-22.4338931 , -46.9571342</t>
  </si>
  <si>
    <t>SPI232600</t>
  </si>
  <si>
    <t>47960950006677</t>
  </si>
  <si>
    <t>MAGAZINE LUIZA - RUA SAO PEDRO, 191 - MGCO228870</t>
  </si>
  <si>
    <t>RUA SAO PEDRO</t>
  </si>
  <si>
    <t>Sabará</t>
  </si>
  <si>
    <t>34505120</t>
  </si>
  <si>
    <t>-19.891282 , -43.811777</t>
  </si>
  <si>
    <t>MGCO228870</t>
  </si>
  <si>
    <t>47960950131579</t>
  </si>
  <si>
    <t>MAGAZINE LUIZA - RUA GENERAL SAMPAIO, 1272 - ZONA COMERCIAL - NE39981</t>
  </si>
  <si>
    <t>-3.7296128 , -38.5321089</t>
  </si>
  <si>
    <t>NE39981</t>
  </si>
  <si>
    <t>47960950092140</t>
  </si>
  <si>
    <t>734</t>
  </si>
  <si>
    <t>MAGAZINE LUIZA - RUA 9 DE JULHO, 1059 - SPI242780</t>
  </si>
  <si>
    <t>1059</t>
  </si>
  <si>
    <t>-21.1302573,-51.1057536</t>
  </si>
  <si>
    <t>SPI242780</t>
  </si>
  <si>
    <t>47960950059959</t>
  </si>
  <si>
    <t>MAGAZINE LUIZA - RUA CORONEL CORREIA, 2102 - NE244960</t>
  </si>
  <si>
    <t>-3.7353181,-38.6616111</t>
  </si>
  <si>
    <t>NE244960</t>
  </si>
  <si>
    <t>47960950092905</t>
  </si>
  <si>
    <t>MAGAZINE LUIZA - AVENIDA 29 DE AGOSTO, 445 - SPI248920</t>
  </si>
  <si>
    <t>-22.1848217,-47.3890301</t>
  </si>
  <si>
    <t>SPI248920</t>
  </si>
  <si>
    <t>47960950005867</t>
  </si>
  <si>
    <t>MAGAZINE LUIZA - RUA MAJOR POMPEU, 367 - SPI249770</t>
  </si>
  <si>
    <t>367</t>
  </si>
  <si>
    <t>-22.4976183,-48.5605271</t>
  </si>
  <si>
    <t>SPI249770</t>
  </si>
  <si>
    <t>47960950017601</t>
  </si>
  <si>
    <t>MAGAZINE LUIZA - PRACA NOBREGA, 136 - SPI263740</t>
  </si>
  <si>
    <t>-23.4332997,-45.076738</t>
  </si>
  <si>
    <t>SPI263740</t>
  </si>
  <si>
    <t>47960950020823</t>
  </si>
  <si>
    <t>MAGAZINE LUIZA - AVENIDA PARAGUACU, 97 - SPI265940</t>
  </si>
  <si>
    <t>AVENIDA PARAGUACU</t>
  </si>
  <si>
    <t>19700049</t>
  </si>
  <si>
    <t>-22.4144483,-50.5771422</t>
  </si>
  <si>
    <t>SPI265940</t>
  </si>
  <si>
    <t>47960950020238</t>
  </si>
  <si>
    <t>MAGAZINE LUIZA - AVENIDA 29 DE ABRIL, 377 - SUL290760</t>
  </si>
  <si>
    <t>-25.8754085,-48.5767394</t>
  </si>
  <si>
    <t>SUL290760</t>
  </si>
  <si>
    <t>47960950180510</t>
  </si>
  <si>
    <t>MAGAZINE LUIZA - RUA MARECHAL DEODORO, 204 - ZONA COMERCIAL - SUL18818</t>
  </si>
  <si>
    <t>-29.1656118 , -51.5176154</t>
  </si>
  <si>
    <t>SUL18818</t>
  </si>
  <si>
    <t>47960950027674</t>
  </si>
  <si>
    <t>MAGAZINE LUIZA - RUA PROFESSOR JOAO CANDIDO FERREIRA, 333 - ZONA COMERCIAL - SUL18986</t>
  </si>
  <si>
    <t>RUA PROFESSOR JOAO CANDIDO FERREIRA</t>
  </si>
  <si>
    <t>Apucarana</t>
  </si>
  <si>
    <t>-23.5522206 , -51.4589841</t>
  </si>
  <si>
    <t>SUL18986</t>
  </si>
  <si>
    <t>47960950007720</t>
  </si>
  <si>
    <t>MAGAZINE LUIZA - RUA PREFEITO JOSE KEHRIG, 5404 - SUL246460</t>
  </si>
  <si>
    <t>RUA PREFEITO JOSE KEHRIG</t>
  </si>
  <si>
    <t>5404</t>
  </si>
  <si>
    <t>SANTO AMARO DA IMPERATRIZ</t>
  </si>
  <si>
    <t>-27.6861418,-48.779203</t>
  </si>
  <si>
    <t>SUL246460</t>
  </si>
  <si>
    <t>47960950040506</t>
  </si>
  <si>
    <t>MAGAZINE LUIZA - AVENIDA NEREU RAMOS, 2995 - ZONA COMERCIAL - SUL18830</t>
  </si>
  <si>
    <t>2995</t>
  </si>
  <si>
    <t>-27.1187788 , -48.6078438</t>
  </si>
  <si>
    <t>SUL18830</t>
  </si>
  <si>
    <t>47960950040930</t>
  </si>
  <si>
    <t>MAGAZINE LUIZA - AVENIDA ABRAHAOO BRICKMAN, 991 - ZONA COMERCIAL - SPI10724</t>
  </si>
  <si>
    <t>AVENIDA ABRAHAO BRICKMANN</t>
  </si>
  <si>
    <t>JARDIM PORTINARI</t>
  </si>
  <si>
    <t>14407010</t>
  </si>
  <si>
    <t>-20.49902 , -47.416637</t>
  </si>
  <si>
    <t>SPI10724</t>
  </si>
  <si>
    <t>47960950013371</t>
  </si>
  <si>
    <t>MAGAZINE LUIZA - AVENIDA DAS AMOREIRAS, 1421 - ZONA COMERCIAL - SPI6578</t>
  </si>
  <si>
    <t>AVENIDA DAS AMOREIRAS</t>
  </si>
  <si>
    <t>1421</t>
  </si>
  <si>
    <t>SÃO BERNARDO</t>
  </si>
  <si>
    <t>13030405</t>
  </si>
  <si>
    <t>-22.9208435, -47.075601</t>
  </si>
  <si>
    <t>SPI6578</t>
  </si>
  <si>
    <t>47960950019302</t>
  </si>
  <si>
    <t>MAGAZINE LUIZA - AVENIDA ENGENHEIRO ROBERTO FREIRE, 2923 - ZONA COMERCIAL - NE42377</t>
  </si>
  <si>
    <t>-5.8503758 , -35.2050366</t>
  </si>
  <si>
    <t>NE42377</t>
  </si>
  <si>
    <t>47960950083078</t>
  </si>
  <si>
    <t>MAGAZINE LUIZA - AVENIDA LIBERDADE, 1553 - ZONA COMERCIAL - SUL9125</t>
  </si>
  <si>
    <t>SANTAISABEL</t>
  </si>
  <si>
    <t>-30.0677308 , -51.1065681</t>
  </si>
  <si>
    <t>SUL9125</t>
  </si>
  <si>
    <t>47960950032759</t>
  </si>
  <si>
    <t>MAGAZINE LUIZA - AVENIDA REPUBLICA ARGENTINA, 4067 - ZONA COMERCIAL - SUL5993</t>
  </si>
  <si>
    <t>4067</t>
  </si>
  <si>
    <t>-25.481775 , -49.292641</t>
  </si>
  <si>
    <t>SUL5993</t>
  </si>
  <si>
    <t>47960950070685</t>
  </si>
  <si>
    <t>MAGAZINE LUIZA - ENGENHEIRO PORTELA, 509 - ZONA COMERCIAL - MGCO87238</t>
  </si>
  <si>
    <t>ENGENHEIRO PORTELA</t>
  </si>
  <si>
    <t>-16.3294175 , -48.95677329999999</t>
  </si>
  <si>
    <t>MGCO87238</t>
  </si>
  <si>
    <t>47960950109727</t>
  </si>
  <si>
    <t>1037</t>
  </si>
  <si>
    <t>MAGAZINE LUIZA - RUA BARTOLOMEU DE GUSMAO, 166 - SUL265060</t>
  </si>
  <si>
    <t>-29.6774663,-51.0991708</t>
  </si>
  <si>
    <t>SUL265060</t>
  </si>
  <si>
    <t>47960950091410</t>
  </si>
  <si>
    <t>992</t>
  </si>
  <si>
    <t>MAGAZINE LUIZA - AVENIDA JOSE DA SILVA PACHECO, 1298 - SUL291010</t>
  </si>
  <si>
    <t>AVENIDA JOSE DA SILVA PACHECO</t>
  </si>
  <si>
    <t>Itapoá</t>
  </si>
  <si>
    <t>89249000</t>
  </si>
  <si>
    <t>-26.0715035,-48.6193319</t>
  </si>
  <si>
    <t>SUL291010</t>
  </si>
  <si>
    <t>47960950170558</t>
  </si>
  <si>
    <t>MAGAZINE LUIZA - AVENIDA OTAVIO CAMPELO RIBEIRO, 2801 - SHOPPING SETE LAGOAS - MGCO20664</t>
  </si>
  <si>
    <t>-19.4737499 , -44.2714396</t>
  </si>
  <si>
    <t>MGCO20664</t>
  </si>
  <si>
    <t>47960950056771</t>
  </si>
  <si>
    <t>MASTER ELETRONICA - RUA PADRE LEMOS, 198 - NE238440</t>
  </si>
  <si>
    <t>-8.024899399999999, -34.9176456</t>
  </si>
  <si>
    <t>NE238440</t>
  </si>
  <si>
    <t>40841728005634</t>
  </si>
  <si>
    <t>MASTER ELETRONICA</t>
  </si>
  <si>
    <t>MERCADO MOVEIS - AVENIDA GETULIO VARGAS, 981 - ZONA COMERCIAL - SUL18533</t>
  </si>
  <si>
    <t>997</t>
  </si>
  <si>
    <t>-25.447342 , -49.065842</t>
  </si>
  <si>
    <t>SUL18533</t>
  </si>
  <si>
    <t>77500049004206</t>
  </si>
  <si>
    <t>MERCADO MOVEIS - RUA DUILIO CALDERARI, 1888 - ZONA COMERCIAL - SUL18567</t>
  </si>
  <si>
    <t>1888</t>
  </si>
  <si>
    <t>-25.364092 , -49.100864</t>
  </si>
  <si>
    <t>SUL18567</t>
  </si>
  <si>
    <t>77500049003668</t>
  </si>
  <si>
    <t>MILENA MOVEIS - ESTRADA DOS REMEDIOS, 93 - NE237680</t>
  </si>
  <si>
    <t>ESTRADA DOS REMEDIOS, 93</t>
  </si>
  <si>
    <t>50770120</t>
  </si>
  <si>
    <t>-8.0793868, -34.9070896</t>
  </si>
  <si>
    <t>NE237680</t>
  </si>
  <si>
    <t>296549000680</t>
  </si>
  <si>
    <t>MILENA MOVEIS - AVENIDA DOUTOR BELMINO CORREIA, 491 - NE246920</t>
  </si>
  <si>
    <t>491</t>
  </si>
  <si>
    <t>-8.0206699,-34.9818436</t>
  </si>
  <si>
    <t>NE246920</t>
  </si>
  <si>
    <t>296549001309</t>
  </si>
  <si>
    <t>MULTILOJA - RUA 15 DE NOVEMBRO, 1546 - ZONA COMERCIAL - SUL39801</t>
  </si>
  <si>
    <t>RUA 15 DE COVEMBRO</t>
  </si>
  <si>
    <t>-25.5364849 , -49.2048847</t>
  </si>
  <si>
    <t>SUL39801</t>
  </si>
  <si>
    <t>02869763000794</t>
  </si>
  <si>
    <t>MULTILOJA - AVENIDA 29 DE ABRIL, 1300 - ZONA COMERCIAL - SUL62955</t>
  </si>
  <si>
    <t>AVENIDA 29 DE ABRIL, 1300</t>
  </si>
  <si>
    <t>-25.8732243 , -48.5761987</t>
  </si>
  <si>
    <t>SUL62955</t>
  </si>
  <si>
    <t>PONTO FRIO - RUA TREZE DE MAIO, 165 - ZONA COMERCIAL - SPI42294</t>
  </si>
  <si>
    <t>-22.7022603 , -46.76714</t>
  </si>
  <si>
    <t>SPI42294</t>
  </si>
  <si>
    <t>33041260004828</t>
  </si>
  <si>
    <t>PONTO FRIO - AVENIDA ENGENHEIRO PORTELA, 204 - ZONA COMERCIAL - MGCO19229</t>
  </si>
  <si>
    <t>-16.326586 , -48.956638</t>
  </si>
  <si>
    <t>MGCO19229</t>
  </si>
  <si>
    <t>33041260000245</t>
  </si>
  <si>
    <t>RIACHUELO - AVENIDA CONDE DA BOA VISTA, 691 - ZONA COMERCIAL - NE42472</t>
  </si>
  <si>
    <t>AVENIDA CONDE DA BOA VISTA</t>
  </si>
  <si>
    <t>691</t>
  </si>
  <si>
    <t>50060004</t>
  </si>
  <si>
    <t>-8.0593558 , -34.8872508</t>
  </si>
  <si>
    <t>NE42472</t>
  </si>
  <si>
    <t>33200056035600</t>
  </si>
  <si>
    <t>L103</t>
  </si>
  <si>
    <t>RIACHUELO - AVENIDA FARROUPILHA, 4545 - PARK SHOPPING CANOAS - SUL80278</t>
  </si>
  <si>
    <t>LOJA 3052</t>
  </si>
  <si>
    <t>SUL80278</t>
  </si>
  <si>
    <t>33200056045088</t>
  </si>
  <si>
    <t>L352</t>
  </si>
  <si>
    <t>RIACHUELO - RUA TUPIS, 337 - SHOPPING CIDADE - MGCO64399</t>
  </si>
  <si>
    <t>LOJAS G48 A 55</t>
  </si>
  <si>
    <t>MGCO64399</t>
  </si>
  <si>
    <t>33200056034558</t>
  </si>
  <si>
    <t>RIACHUELO - RUA JOAO PESSOA, 254 - ZONA COMERCIAL - NE42464</t>
  </si>
  <si>
    <t>59025500</t>
  </si>
  <si>
    <t>-5.787616799999999 , -35.2052084</t>
  </si>
  <si>
    <t>NE42464</t>
  </si>
  <si>
    <t>33200056021901</t>
  </si>
  <si>
    <t>L083</t>
  </si>
  <si>
    <t>RIACHUELO - RUA AMADOR BUENO, 101 - ZONA COMERCIAL - SPC48493</t>
  </si>
  <si>
    <t>11013151</t>
  </si>
  <si>
    <t>-23.9353664 , -46.3290775</t>
  </si>
  <si>
    <t>SPC48493</t>
  </si>
  <si>
    <t>33200056019400</t>
  </si>
  <si>
    <t>L004</t>
  </si>
  <si>
    <t>RIACHUELO - AVENIDA DOUTOR JOAO MEDEIROS FILHO, 2395 - PARTAGE NORTE SHOPPING - NE82854</t>
  </si>
  <si>
    <t>AVENIDA DOUTOR JOÃO MEDEIROS FILHO</t>
  </si>
  <si>
    <t>-5.757941651145226, -35.24682904702418</t>
  </si>
  <si>
    <t>NE82854</t>
  </si>
  <si>
    <t>33200056045401</t>
  </si>
  <si>
    <t>RIACHUELO - RUA EDUARDO DE MORAIS, S/N - SHOPPING PATTEO OLINDA - NE239400</t>
  </si>
  <si>
    <t>NE239400</t>
  </si>
  <si>
    <t>33200056034396</t>
  </si>
  <si>
    <t>L355</t>
  </si>
  <si>
    <t>RIACHUELO - RODOVIA BR 282, KM 216, S/N - LAGES GARDEN SHOPPING - SUL276860</t>
  </si>
  <si>
    <t>SUL276860</t>
  </si>
  <si>
    <t>33200056038383</t>
  </si>
  <si>
    <t>RIACHUELO - RUA MANOEL HONORATO DA COSTA, 555 - SHOPPING CAMARA - NE239700</t>
  </si>
  <si>
    <t>-8.0160961, -34.9768173</t>
  </si>
  <si>
    <t>NE239700</t>
  </si>
  <si>
    <t>33200056036259</t>
  </si>
  <si>
    <t>L294</t>
  </si>
  <si>
    <t>RIACHUELO - RUA HENRIQUE TERRA, 1700 - SHOPPING PARK LAGOS - RJES270530</t>
  </si>
  <si>
    <t>RJES270530</t>
  </si>
  <si>
    <t>33200056016576</t>
  </si>
  <si>
    <t>L205</t>
  </si>
  <si>
    <t>RIACHUELO - AVENIDA GENERAL DAVID SARNOFF, 5160 - SHOPPING ITAU POWER - MGCO48397</t>
  </si>
  <si>
    <t>MGCO48397</t>
  </si>
  <si>
    <t>40713741000134</t>
  </si>
  <si>
    <t>RIACHUELO - AVENIDA AFONSO VAZ DE MELO, 640 - SHOPPING VIA SHOPPING - MGCO266170</t>
  </si>
  <si>
    <t>MGCO266170</t>
  </si>
  <si>
    <t>33200056054826</t>
  </si>
  <si>
    <t>FACELL - AVENIDA ALMIRANTE ALEXANDRINO DE ALENCAR, 1125 - ZONA COMERCIAL - NE6216</t>
  </si>
  <si>
    <t>AVENIDA ALMIRANTE ALEXANDRINO DE ALENCAR</t>
  </si>
  <si>
    <t>LAGOA SECA</t>
  </si>
  <si>
    <t>59022350</t>
  </si>
  <si>
    <t>-5.8058852 , -35.2064412</t>
  </si>
  <si>
    <t>NE6216</t>
  </si>
  <si>
    <t>7366109001672</t>
  </si>
  <si>
    <t>FACELL LTDA - NATAL - ALEXANDRINO - SAP (32705)</t>
  </si>
  <si>
    <t>F.M.M. ROCHA - AVENIDA SANTA BARBARA, 777 - SHOPPING TIVOLI - SPI244730</t>
  </si>
  <si>
    <t>SANTA BÁRBARA D'OESTE</t>
  </si>
  <si>
    <t>13456625</t>
  </si>
  <si>
    <t>SPI244730</t>
  </si>
  <si>
    <t>11378319001496</t>
  </si>
  <si>
    <t>ROCHA TELECOM - SHOPPING TIVOLI - SAP (31875)</t>
  </si>
  <si>
    <t>SETE LAN (TIM) - AVENIDA MAESTRO PAULO E SILVA, 400 - SHOPPING ILHA PLAZA - RJES255800</t>
  </si>
  <si>
    <t>RJES255800</t>
  </si>
  <si>
    <t>8312444000689</t>
  </si>
  <si>
    <t>MANNA CELULARES - AVENIDA JOAO CESAR DE OLIVEIRA, 1275 - BIG SHOPPING - MGCO265980</t>
  </si>
  <si>
    <t>MGCO265980</t>
  </si>
  <si>
    <t>8017682000904</t>
  </si>
  <si>
    <t>POSITIVA (TIM) - AVENIDA ABELARDO BUENO, 1300 - SHOPPING METROPOLITANO - RJES274470</t>
  </si>
  <si>
    <t>RJES274470</t>
  </si>
  <si>
    <t>43914836001003</t>
  </si>
  <si>
    <t>DULCOM/DPI (TIM) - RUA 15 DE NOVEMBRO, 1612 - ZONA COMERCIAL - SUL7913</t>
  </si>
  <si>
    <t>-25.537218 , -49.202579</t>
  </si>
  <si>
    <t>SUL7913</t>
  </si>
  <si>
    <t>2356946001001</t>
  </si>
  <si>
    <t>LEADERCELL (TIM) - RUA CORONEL JORDAO, N° 51 - ZONA COMERCIAL - SPI11008</t>
  </si>
  <si>
    <t>RUA CORONEL JORDAO</t>
  </si>
  <si>
    <t>12010060</t>
  </si>
  <si>
    <t>-23.0271914 , -45.5546625</t>
  </si>
  <si>
    <t>SPI11008</t>
  </si>
  <si>
    <t>03162250000000</t>
  </si>
  <si>
    <t>JMX (TIM) - AVENIDA AFONSO PENA, 554 - ZONA COMERCIAL - MGCO10543</t>
  </si>
  <si>
    <t>-18.9184242, -48.2780527</t>
  </si>
  <si>
    <t>MGCO10543</t>
  </si>
  <si>
    <t>3372209001812</t>
  </si>
  <si>
    <t>TIM AA CLUB CELL - RUA FARIA SOBRINHO, 736 - ZONA COMERCIAL - SUL79767</t>
  </si>
  <si>
    <t>RUA FARIA SOBRINHO</t>
  </si>
  <si>
    <t>CENTROHISTRICO</t>
  </si>
  <si>
    <t>83203000</t>
  </si>
  <si>
    <t>-25.5204906 , -48.507268</t>
  </si>
  <si>
    <t>SUL79767</t>
  </si>
  <si>
    <t>TIM - RUA MOACIR JOSE LEITE, 100 - SHOPPING PATIO DIVINOPOLIS - MGCO11079</t>
  </si>
  <si>
    <t>JARDIMAMERICA</t>
  </si>
  <si>
    <t>-20.1275339 , -44.8818224</t>
  </si>
  <si>
    <t>MGCO11079</t>
  </si>
  <si>
    <t>11018267000122</t>
  </si>
  <si>
    <t>TIM - RUA 14 DE JULHO, S/N - ZONA COMERCIAL - MGCO5831</t>
  </si>
  <si>
    <t>RUA 14 DE JULHO</t>
  </si>
  <si>
    <t>-20.4638572, -54.6172494</t>
  </si>
  <si>
    <t>MGCO5831</t>
  </si>
  <si>
    <t>04206050031493</t>
  </si>
  <si>
    <t>TIM - RUA PRESIDENTE NEREU RAMOS, 234 - ZONA COMERCIA - SUL64696</t>
  </si>
  <si>
    <t>RUA PRESIDENTE NEREU RAMOS, 234</t>
  </si>
  <si>
    <t>-27.8142195 , -50.3270639</t>
  </si>
  <si>
    <t>SUL64696</t>
  </si>
  <si>
    <t>2421421010001</t>
  </si>
  <si>
    <t>C290</t>
  </si>
  <si>
    <t>CAMARA TELECOM (VIVO) - RODOVIA PE - 015 KM 16,5, 242 - PAULISTA NORTH WAY SHOPPING - NE253500</t>
  </si>
  <si>
    <t>QUIOSQUE 1013</t>
  </si>
  <si>
    <t>NE253500</t>
  </si>
  <si>
    <t>32954394000294</t>
  </si>
  <si>
    <t>COMMCENTER - AVENIDA JOHN BOYD DUNLOP, 350 - SHOPPING UNIMART - SPI239430</t>
  </si>
  <si>
    <t>Lj 1054</t>
  </si>
  <si>
    <t>JARDIM AURELIA</t>
  </si>
  <si>
    <t>13033000</t>
  </si>
  <si>
    <t>-22.9092015, -47.0948685</t>
  </si>
  <si>
    <t>SPI239430</t>
  </si>
  <si>
    <t>3418924005836</t>
  </si>
  <si>
    <t>Shopping Unimart</t>
  </si>
  <si>
    <t>WORLD CELL (VIVO) - AVENIDA DAS ARAUCARIAS, S/N - SHOPPING AGUAS CLARAS - MGCO271900</t>
  </si>
  <si>
    <t>71900100</t>
  </si>
  <si>
    <t>MGCO271900</t>
  </si>
  <si>
    <t>5199395000460</t>
  </si>
  <si>
    <t>ALEA ELETRO (VIVO) - AVENIDA CRISTOVAO COLOMBO, 545 - SHOPPING TOTAL - SUL6294</t>
  </si>
  <si>
    <t>SUL6294</t>
  </si>
  <si>
    <t>93720464004302</t>
  </si>
  <si>
    <t>COMMCENTER - AVENIDA PRESIDENTE JUSCELINO KUBITSCHEK DE OLIVEIRA, 5000 - SHOPPING IGUATEMI - SPI45139</t>
  </si>
  <si>
    <t>IGUATEMI</t>
  </si>
  <si>
    <t>15093340</t>
  </si>
  <si>
    <t>-20.8664543, -49.4144121</t>
  </si>
  <si>
    <t>SPI45139</t>
  </si>
  <si>
    <t>03418924005917</t>
  </si>
  <si>
    <t>VIVO D&amp;C - AVENIDA CARAPINIMA, 2200 - SHOPPING BENFICA - NE21251</t>
  </si>
  <si>
    <t>NE21251</t>
  </si>
  <si>
    <t>20414767000336</t>
  </si>
  <si>
    <t>CELULAR STATION - AVENIDA DAS AMERICAS, 3900 - SHOPPING VILLAGE MALL - RJES275110</t>
  </si>
  <si>
    <t>-22.9993356,-43.3541238</t>
  </si>
  <si>
    <t>RJES275110</t>
  </si>
  <si>
    <t>2714643002419</t>
  </si>
  <si>
    <t>Shopping Village Mall</t>
  </si>
  <si>
    <t>CELULAR STATION - AVENIDA RIO BRANCO, 156 - SHOPPING AVENIDA CENTRAL - RJES8578</t>
  </si>
  <si>
    <t>-22.906943 , -43.177496</t>
  </si>
  <si>
    <t>RJES8578</t>
  </si>
  <si>
    <t>2714643000122</t>
  </si>
  <si>
    <t>COMMCENTER - RUA SAMUEL HEUSI, 234 - ITAJAI SHOPPING - SUL10776</t>
  </si>
  <si>
    <t>RUA SAMUEL HEUSI</t>
  </si>
  <si>
    <t>88301320</t>
  </si>
  <si>
    <t>-26.9036158 , -48.6603901</t>
  </si>
  <si>
    <t>SUL10776</t>
  </si>
  <si>
    <t>308055004908</t>
  </si>
  <si>
    <t>Itajai Shopping</t>
  </si>
  <si>
    <t>IDEAL (VIVO) - RODOVIA PE - 015 KM 16,5, 242 - PAULISTA NORTH WAY SHOPPING - NE275920</t>
  </si>
  <si>
    <t>NE275920</t>
  </si>
  <si>
    <t>8182334006508</t>
  </si>
  <si>
    <t>CONEXAO - RUA RIO DE JANEIRO, 345 - ZONA COMERCIAL - MGCO10465</t>
  </si>
  <si>
    <t>Poços de Caldas</t>
  </si>
  <si>
    <t>37701011</t>
  </si>
  <si>
    <t>-21.787664 , -46.565575</t>
  </si>
  <si>
    <t>MGCO10465</t>
  </si>
  <si>
    <t>03231720000580</t>
  </si>
  <si>
    <t>COMPMASTER - RUA PRESIDENTE NEREU RAMOS, 221 - ZONA COMERCIAL - SUL64553</t>
  </si>
  <si>
    <t>RUA PRESIDENTE NEREU RAMOS, 221</t>
  </si>
  <si>
    <t>-27.8144497 , -50.3273593</t>
  </si>
  <si>
    <t>SUL64553</t>
  </si>
  <si>
    <t>2170211004780</t>
  </si>
  <si>
    <t>ALEA ELETRO (VIVO) - RUA SAO JOSE, 352 - ZONA COMERCIAL - SUL39930</t>
  </si>
  <si>
    <t>-30.1086453 , -51.3163637</t>
  </si>
  <si>
    <t>SUL39930</t>
  </si>
  <si>
    <t>93720464004736</t>
  </si>
  <si>
    <t>COMERCIAL MOVEIS BRASILIA (VIVO) - RODOVIA ARMANDO CALIL BULOS, 6540 - SUL255880</t>
  </si>
  <si>
    <t>6540</t>
  </si>
  <si>
    <t>PRAIA DOS INGLESES</t>
  </si>
  <si>
    <t>-27.4373721,-48.3970569</t>
  </si>
  <si>
    <t>SUL255880</t>
  </si>
  <si>
    <t>78614278005709</t>
  </si>
  <si>
    <t>COMMCENTER - RUA ULISSES CABRAL, 122 - ZONA COMERCIAL - SUL22051</t>
  </si>
  <si>
    <t>RUA ULISSES CABRAL</t>
  </si>
  <si>
    <t>93220000</t>
  </si>
  <si>
    <t>-29.8238103 , -51.1479009</t>
  </si>
  <si>
    <t>SUL22051</t>
  </si>
  <si>
    <t>COMMCENTER - RUA 13 DE MAIO, 248 - ZONA COMERCIAL - SPI6643</t>
  </si>
  <si>
    <t>-22.5646875 , -47.4040072</t>
  </si>
  <si>
    <t>SPI6643</t>
  </si>
  <si>
    <t>VIVO - AVENIDA 136, S/N - QUADRA F44 - LOTE 22/24 LOJA B - ZONA COMERCIAL - MGCO7178</t>
  </si>
  <si>
    <t>AVENIDA 136</t>
  </si>
  <si>
    <t>LOTE 22/24 LOJA B</t>
  </si>
  <si>
    <t>Av. 136, 722 - Quadra 245, Lote 10E</t>
  </si>
  <si>
    <t>74180040</t>
  </si>
  <si>
    <t>-16.6980793, -49.2566228</t>
  </si>
  <si>
    <t>MGCO7178</t>
  </si>
  <si>
    <t>2558157030401</t>
  </si>
  <si>
    <t>LOJA MARISTA GO</t>
  </si>
  <si>
    <t>VIVO - RUA LEONARDO FRANCISCHELLI, 266 - SUL260660</t>
  </si>
  <si>
    <t>RUA LEONARDO FRANCISCHELLI</t>
  </si>
  <si>
    <t>-25.3644599,-49.1038883</t>
  </si>
  <si>
    <t>SUL260660</t>
  </si>
  <si>
    <t>2558157093667</t>
  </si>
  <si>
    <t>LOJA CAMPINA GRANDE DO SUL PR</t>
  </si>
  <si>
    <t>VIVO - AVENIDA CENTENARIO, 2992 - SHOPPING BARRA SALVADOR - NE7157</t>
  </si>
  <si>
    <t>LOJA 364 B 3º PISO</t>
  </si>
  <si>
    <t>NE7157</t>
  </si>
  <si>
    <t>2558157072236</t>
  </si>
  <si>
    <t>LOJA SHOPPING BARRA BA</t>
  </si>
  <si>
    <t>VIVO - RUA 9 DE JULHO, 1283 - ZONA COMERCIAL - SPI6541</t>
  </si>
  <si>
    <t>-22.2180679 , -49.9495669</t>
  </si>
  <si>
    <t>SPI6541</t>
  </si>
  <si>
    <t>2558157033761</t>
  </si>
  <si>
    <t>LOJA MARILIA SP</t>
  </si>
  <si>
    <t>LOJAS AMERICANAS - AVENIDA BRASILIA, 2228 - MGCO20933</t>
  </si>
  <si>
    <t>2228</t>
  </si>
  <si>
    <t>33105440</t>
  </si>
  <si>
    <t>-19.786596 , -43.927345</t>
  </si>
  <si>
    <t>MGCO20933</t>
  </si>
  <si>
    <t>776574042908</t>
  </si>
  <si>
    <t>L579</t>
  </si>
  <si>
    <t>TIM - RUA ALEXANDRE MARTINS, 80 - SHOPPING PRAIAMAR - SPC7292</t>
  </si>
  <si>
    <t>LOJA 167</t>
  </si>
  <si>
    <t>SPC7292</t>
  </si>
  <si>
    <t>2421421030029</t>
  </si>
  <si>
    <t>TIM - AVENIDA DAS NACOES UNIDAS, 4777 - SHOPPING VILLA LOBOS - SPC7745</t>
  </si>
  <si>
    <t>SPC7745</t>
  </si>
  <si>
    <t>2421421029950</t>
  </si>
  <si>
    <t>COMMCENTER - AVENIDA BRIGADEIRO FARIA LIMA, 2232 - SHOPPING IGUATEMI SAO PAULO - SPC21910</t>
  </si>
  <si>
    <t>JARDIMPAULISTANO</t>
  </si>
  <si>
    <t>SPC21910</t>
  </si>
  <si>
    <t>5828732015381</t>
  </si>
  <si>
    <t>CLARO - AVENIDA JOHN BOYD DUNLOP, 3900 - SHOPPING PARQUE DAS BANDEIRAS - SPI6561</t>
  </si>
  <si>
    <t>LOJAS 3096 E 3097</t>
  </si>
  <si>
    <t>SPI6561</t>
  </si>
  <si>
    <t>40432544049235</t>
  </si>
  <si>
    <t>MAGAZINE LUIZA - AVENIDA ZACARIAS DE ASSUNCAO, 119 - N280540</t>
  </si>
  <si>
    <t>-1.3497754,-48.3654947</t>
  </si>
  <si>
    <t>N280540</t>
  </si>
  <si>
    <t>47960950127709</t>
  </si>
  <si>
    <t>MAGAZINE LUIZA - RUA AUGUSTA, 2073 - SHOPPING CONJUNTO NACIONAL - SPC256356</t>
  </si>
  <si>
    <t>2073</t>
  </si>
  <si>
    <t>Consolação</t>
  </si>
  <si>
    <t>01311300</t>
  </si>
  <si>
    <t>-23.55879, -46.6601667</t>
  </si>
  <si>
    <t>SPC256356</t>
  </si>
  <si>
    <t>SELF TELECOM (CLARO) - RODOVIA BR 316, KM 1, S/N - SHOPPING CASTANHEIRA - N47309</t>
  </si>
  <si>
    <t>LOJA 8</t>
  </si>
  <si>
    <t>-1.4025287 , -48.4335275</t>
  </si>
  <si>
    <t>N47309</t>
  </si>
  <si>
    <t>48124947000130</t>
  </si>
  <si>
    <t>HAVAN - AVENIDA NOSSA SENHORA APARECIDA, 134 - ZONA COMERCIAL - SUL18787</t>
  </si>
  <si>
    <t>AVENIDA NOSSA SENHORA APARECIDA</t>
  </si>
  <si>
    <t>83829018</t>
  </si>
  <si>
    <t>-25.6533154 , -49.3141944</t>
  </si>
  <si>
    <t>SUL18787</t>
  </si>
  <si>
    <t>79379491013838</t>
  </si>
  <si>
    <t>145 - FAZENDA RIO GRANDE</t>
  </si>
  <si>
    <t>LE BISCUIT - RODOVIA AUGUSTO MONTE NEGRO, 4300 - PARQUE SHOPPING BELEM - N19695</t>
  </si>
  <si>
    <t>N19695</t>
  </si>
  <si>
    <t>16233389004495</t>
  </si>
  <si>
    <t>TIM - AVENIDA JUSCELINO KUBITSCHEK DE OLIVEIRA, 5308 - SHOPPING BONSUCESSO - SPC23029</t>
  </si>
  <si>
    <t>JARDIMALBERTINA</t>
  </si>
  <si>
    <t>SPC23029</t>
  </si>
  <si>
    <t>BECKER - AVENIDA BARAO DE RIO BRANCO, 544 - SUL291360</t>
  </si>
  <si>
    <t>544</t>
  </si>
  <si>
    <t>-29.3363073,-49.7346197</t>
  </si>
  <si>
    <t>SUL291360</t>
  </si>
  <si>
    <t>4415928023643</t>
  </si>
  <si>
    <t>CASAS BAHIA - RUA GOVERNADOR THEOTONIO FERREIRA DE ARAUJO, 62 - RJES292340</t>
  </si>
  <si>
    <t>RUA GOVERNADOR THEOTONIO FERREIRA DE ARAUJO</t>
  </si>
  <si>
    <t>28010190</t>
  </si>
  <si>
    <t>-21.757114,-41.3273249</t>
  </si>
  <si>
    <t>RJES292340</t>
  </si>
  <si>
    <t>33041260079321</t>
  </si>
  <si>
    <t>CASAS BAHIA - AVENIDA DA IGUALDADE, S/N - ZONA COMERCIAL - MGCO20074</t>
  </si>
  <si>
    <t>-16.7687006 , -49.3418289</t>
  </si>
  <si>
    <t>MGCO20074</t>
  </si>
  <si>
    <t>1301</t>
  </si>
  <si>
    <t>COLOMBO - RUA BARAO DO RIO BRANCO, 608 - SUL276600</t>
  </si>
  <si>
    <t>-29.3356729,-49.7339196</t>
  </si>
  <si>
    <t>SUL276600</t>
  </si>
  <si>
    <t>89848543938132</t>
  </si>
  <si>
    <t>LEBES - RUA BARAO DO RIO BRANCO, 620 - SUL276590</t>
  </si>
  <si>
    <t>-29.3360838,-49.7333054</t>
  </si>
  <si>
    <t>SUL276590</t>
  </si>
  <si>
    <t>96662168011842</t>
  </si>
  <si>
    <t>LOJAS AMERICANAS - AVENIDA BARAO DO RIO BRANCO, 342 - SUL286670</t>
  </si>
  <si>
    <t>-29.3374529,-49.7330163</t>
  </si>
  <si>
    <t>SUL286670</t>
  </si>
  <si>
    <t>776574020181</t>
  </si>
  <si>
    <t>5248</t>
  </si>
  <si>
    <t>LEBES - RUA INDEPENDENCIA, 618 - ZONA COMERCIAL - SUL49293</t>
  </si>
  <si>
    <t>-29.765048 , -51.14595</t>
  </si>
  <si>
    <t>SUL49293</t>
  </si>
  <si>
    <t>96662168017379</t>
  </si>
  <si>
    <t>TELE RIO - RUA JOSE DE ALVARENGA, 426 - RJES292310</t>
  </si>
  <si>
    <t>25015000</t>
  </si>
  <si>
    <t>-22.787462,-43.3142758</t>
  </si>
  <si>
    <t>RJES292310</t>
  </si>
  <si>
    <t>33086695000206</t>
  </si>
  <si>
    <t>VIVO - AVENIDA MAGALHAES DE CASTRO, 12000 - SHOPPING CIDADE JARDIM - SPC6356</t>
  </si>
  <si>
    <t>SPC6356</t>
  </si>
  <si>
    <t>2558157007841</t>
  </si>
  <si>
    <t>LOJA SHOPPING CIDADE JARDIM SP</t>
  </si>
  <si>
    <t>CASAS BAHIA - RUA 12 DE OUTUBRO, 432 - ZONA COMERCIAL - SPC20258</t>
  </si>
  <si>
    <t>436,446,448,450 E452</t>
  </si>
  <si>
    <t>-23.521849 , -46.705021</t>
  </si>
  <si>
    <t>SPC20258</t>
  </si>
  <si>
    <t>33041260106230</t>
  </si>
  <si>
    <t>1043</t>
  </si>
  <si>
    <t>HAVAN - RUA GENERAL MARIO TOURINHO, 2290 - ZONA COMERCIAL - SUL18766</t>
  </si>
  <si>
    <t>RUA GENERAL MARIO TOURINHO</t>
  </si>
  <si>
    <t>2290</t>
  </si>
  <si>
    <t>BIGORRILHO</t>
  </si>
  <si>
    <t>80740000</t>
  </si>
  <si>
    <t>-25.433378 , -49.311398</t>
  </si>
  <si>
    <t>SUL18766</t>
  </si>
  <si>
    <t>79379491000507</t>
  </si>
  <si>
    <t>3 - BARIGUI</t>
  </si>
  <si>
    <t>MAGAZINE LUIZA - RUA GENERAL GLICERIO, 297 - ZONA COMERCIAL - SPC7652</t>
  </si>
  <si>
    <t>-23.655146 , -46.526665</t>
  </si>
  <si>
    <t>SPC7652</t>
  </si>
  <si>
    <t>47960950067463</t>
  </si>
  <si>
    <t>C&amp;A - AVENIDA AMERICO BUAIZ, 200 - SHOPPING VITORIA - RJES5723</t>
  </si>
  <si>
    <t>RJES5723</t>
  </si>
  <si>
    <t>45242914006219</t>
  </si>
  <si>
    <t>VSH</t>
  </si>
  <si>
    <t>C&amp;A</t>
  </si>
  <si>
    <t>CLARO RP - AVENIDA AYRTON SENNA DA SILVA, 400 - AURORA SHOPPING - SUL261460</t>
  </si>
  <si>
    <t>GLEBA FAZENDA PALHANO</t>
  </si>
  <si>
    <t>86050460</t>
  </si>
  <si>
    <t>-23.3290657,-51.1778891</t>
  </si>
  <si>
    <t>SUL261460</t>
  </si>
  <si>
    <t>5949641006060</t>
  </si>
  <si>
    <t>Aurora Shopping</t>
  </si>
  <si>
    <t>FOTO NASCIMENTO - AVENIDA MARGARITA, 1359 - SHOPPING NOVA CIDADE - N248970</t>
  </si>
  <si>
    <t>DB SUPERMERCADO</t>
  </si>
  <si>
    <t>N248970</t>
  </si>
  <si>
    <t>4356309001575</t>
  </si>
  <si>
    <t>LOJAS AMERICANAS - AVENIDA ENGENHEIRO FERNANDO GUILHOM - ZONA COMERCIAL - N64233</t>
  </si>
  <si>
    <t>AVENIDA ENGENHEIRO FERNANDO GUILHOM</t>
  </si>
  <si>
    <t>Marituba</t>
  </si>
  <si>
    <t>67200000</t>
  </si>
  <si>
    <t>-1.3659519, -48.3385713</t>
  </si>
  <si>
    <t>N64233</t>
  </si>
  <si>
    <t>LOJAS AMERICANAS - AVENIDA BARAO DO RIO BRANCO, 375 - ZONA COMERCIAL - N64699</t>
  </si>
  <si>
    <t>AVENIDA BARAO DO RIO BRANCO, 375</t>
  </si>
  <si>
    <t>68005000</t>
  </si>
  <si>
    <t>-2.4210745, -54.7144673</t>
  </si>
  <si>
    <t>N64699</t>
  </si>
  <si>
    <t>776574042231</t>
  </si>
  <si>
    <t>PONTO FRIO - RUA ANTONIO AGU, 155 - ZONA COMERCIAL - SPC11278</t>
  </si>
  <si>
    <t>SPC11278</t>
  </si>
  <si>
    <t>33041260033925</t>
  </si>
  <si>
    <t>RIACHUELO - AVENIDA PIRACEMA, 669 - SHOPPING TAMBORE - SPC49174</t>
  </si>
  <si>
    <t>LOJAS 425 A 428</t>
  </si>
  <si>
    <t>SPC49174</t>
  </si>
  <si>
    <t>33200056006007</t>
  </si>
  <si>
    <t>L099</t>
  </si>
  <si>
    <t>IMAGEM TELECOM - RUA GENERAL FRANCISCO GLICERIO, 247 - SPC274830</t>
  </si>
  <si>
    <t>86740000</t>
  </si>
  <si>
    <t>-23.5368589,-46.3105162</t>
  </si>
  <si>
    <t>SPC274830</t>
  </si>
  <si>
    <t>11057917001382</t>
  </si>
  <si>
    <t>VIVO - RUA ALVARES DE AZEVEDO, 99 - SHOPPINHO SANTO ANDRE - SPC292360</t>
  </si>
  <si>
    <t>9020140</t>
  </si>
  <si>
    <t>-23.6577323,-46.5287007</t>
  </si>
  <si>
    <t>SPC292360</t>
  </si>
  <si>
    <t>2558157204248</t>
  </si>
  <si>
    <t>Shoppinho Santo Andre</t>
  </si>
  <si>
    <t>CASAS BAHIA - RUA CARLOS PEREIRA DA SILVA, 6000 - SHOPPING PRACA NOVA ARACATUBA - SPI244920</t>
  </si>
  <si>
    <t>GUANABARA</t>
  </si>
  <si>
    <t>16026035</t>
  </si>
  <si>
    <t>-21.2121947,-50.4720926</t>
  </si>
  <si>
    <t>SPI244920</t>
  </si>
  <si>
    <t>33041260160285</t>
  </si>
  <si>
    <t>LOJAS AMERICANAS - AVENIDA JOHN BOYD DUNLOP, 3900 - SHOPPING PARQUE DAS BANDEIRAS - SPI20805</t>
  </si>
  <si>
    <t>SPI20805</t>
  </si>
  <si>
    <t>776574057506</t>
  </si>
  <si>
    <t>RIACHUELO - AVENIDA PROFESSOR CARLOS CUNHA, 1000 - SHOPPING SAO LUIS - NE47386</t>
  </si>
  <si>
    <t>ANCORA 2</t>
  </si>
  <si>
    <t>NE47386</t>
  </si>
  <si>
    <t>33200056028906</t>
  </si>
  <si>
    <t>RIACHUELO - RUA MARECHAL DEODORO, 12  - SPI85837</t>
  </si>
  <si>
    <t>-21.2058931 , -50.43965859999999</t>
  </si>
  <si>
    <t>SPI85837</t>
  </si>
  <si>
    <t>33200056005965</t>
  </si>
  <si>
    <t>RIACHUELO - AVENIDA DOUTOR OLIVIO LIRA , 353 - SHOPPING PRAIA DA COSTA - RJES80621</t>
  </si>
  <si>
    <t>RJES80621</t>
  </si>
  <si>
    <t>33200056006503</t>
  </si>
  <si>
    <t>L030</t>
  </si>
  <si>
    <t>ALEGRIA (TIM) - RUA FREI GASPAR, 365 - SHOPPING BRISAMAR - SPC234160</t>
  </si>
  <si>
    <t>LOJA 233</t>
  </si>
  <si>
    <t>SPC234160</t>
  </si>
  <si>
    <t>21683365002424</t>
  </si>
  <si>
    <t>ALEGRIA - BRISA MAR - SAP (37834)</t>
  </si>
  <si>
    <t>GAZIN - AVENIDA BORGES LEAL, 2495 - N289190</t>
  </si>
  <si>
    <t>AVENIDA BORGES LEAL</t>
  </si>
  <si>
    <t>2495</t>
  </si>
  <si>
    <t>68040075</t>
  </si>
  <si>
    <t>-2.4299116,-54.7268437</t>
  </si>
  <si>
    <t>N289190</t>
  </si>
  <si>
    <t>77941490024410</t>
  </si>
  <si>
    <t>10242</t>
  </si>
  <si>
    <t>RIACHUELO - AVENIDA VEREADOR NARCISIO YAGUE GUIMARAES, 1001 - SHOPPING MOGI DAS CRUZES - SPC49232</t>
  </si>
  <si>
    <t>LOJA 1A</t>
  </si>
  <si>
    <t>SPC49232</t>
  </si>
  <si>
    <t>33200056026610</t>
  </si>
  <si>
    <t>RIACHUELO - AVENIDA ANDROMEDA, 227 - SHOPPING VALE SUL - SPI238910</t>
  </si>
  <si>
    <t>Jardim Satélite</t>
  </si>
  <si>
    <t>-23.2166661, -45.8921911</t>
  </si>
  <si>
    <t>SPI238910</t>
  </si>
  <si>
    <t>33200056027004</t>
  </si>
  <si>
    <t>COMERCIAL MOVEIS BRASILIA (VIVO) - RUA MARANHAO, 240 - SHOPPING ROYAL PLAZA - SUL9154</t>
  </si>
  <si>
    <t>RUA MATO GROSSO</t>
  </si>
  <si>
    <t>86010180</t>
  </si>
  <si>
    <t>-23.3113679 , -51.15674749999999</t>
  </si>
  <si>
    <t>SUL9154</t>
  </si>
  <si>
    <t>78614278002351</t>
  </si>
  <si>
    <t>Royal Plaza Shopping</t>
  </si>
  <si>
    <t>C&amp;A - AVENIDA JUSCELINO KUBITSCHEK DE OLIVEIRA, 5308 - SHOPPING BONSUCESSO - SPC10056</t>
  </si>
  <si>
    <t>LOJA ANCORA C</t>
  </si>
  <si>
    <t>SPC10056</t>
  </si>
  <si>
    <t>45242914022680</t>
  </si>
  <si>
    <t>GBS</t>
  </si>
  <si>
    <t>CASAS BAHIA - LARGO DE SANTO ANTONIO, 17 - ZONA COMERCIAL - RJES11730</t>
  </si>
  <si>
    <t>PRACA SANTO ANTONIO</t>
  </si>
  <si>
    <t>FILIAL 57</t>
  </si>
  <si>
    <t>28922120</t>
  </si>
  <si>
    <t>-22.878683 , -42.019875</t>
  </si>
  <si>
    <t>RJES11730</t>
  </si>
  <si>
    <t>33041260019507</t>
  </si>
  <si>
    <t>CASAS BAHIA - QUADRA 55, S/N - MGCO292330</t>
  </si>
  <si>
    <t>QUADRA 55</t>
  </si>
  <si>
    <t>LOTE 8</t>
  </si>
  <si>
    <t>Santo Antônio do Descoberto</t>
  </si>
  <si>
    <t>72900332</t>
  </si>
  <si>
    <t>-15.9450492,-48.2645724</t>
  </si>
  <si>
    <t>MGCO292330</t>
  </si>
  <si>
    <t>33041260205998</t>
  </si>
  <si>
    <t>2494</t>
  </si>
  <si>
    <t>CLARO RP - AVENIDA LEDIO JOAO MARTINS, 250 - SUL273410</t>
  </si>
  <si>
    <t>AVENIDA LEDIO JOAO MARTINS</t>
  </si>
  <si>
    <t>KOBRASOL</t>
  </si>
  <si>
    <t>88101280</t>
  </si>
  <si>
    <t>-27.5992177,-48.6149122</t>
  </si>
  <si>
    <t>SUL273410</t>
  </si>
  <si>
    <t>5949641009671</t>
  </si>
  <si>
    <t>GAZIN - TRAVESSA PROFESSOR ANTONIO CARVALHO, 105 - N289110</t>
  </si>
  <si>
    <t>TRAVESSA PROFESSOR ANTONIO CARVALHO</t>
  </si>
  <si>
    <t>105</t>
  </si>
  <si>
    <t>68040470</t>
  </si>
  <si>
    <t>-2.4198405,-54.7319098</t>
  </si>
  <si>
    <t>N289110</t>
  </si>
  <si>
    <t>77941490027860</t>
  </si>
  <si>
    <t>10276</t>
  </si>
  <si>
    <t>HAVAN - RUA 15 DE NOVEMBRO, 1050 - ZONA COMERCIAL - SUL19212</t>
  </si>
  <si>
    <t>89010003</t>
  </si>
  <si>
    <t>-26.918718 , -49.066036</t>
  </si>
  <si>
    <t>SUL19212</t>
  </si>
  <si>
    <t>79379491001660</t>
  </si>
  <si>
    <t>14 - CASTELO</t>
  </si>
  <si>
    <t>LOJAS AMERICANAS  - AVENIDA NOSSA SENHORA DE FATIMA, 833 - ZONA COMERCIAL - SPC87545</t>
  </si>
  <si>
    <t>AVENIDA NOSSA SENHORA DE FÁTIMA</t>
  </si>
  <si>
    <t>LJS 22 A27</t>
  </si>
  <si>
    <t>VILA MONTE SERRAT</t>
  </si>
  <si>
    <t>-23.608342 , -46.921183</t>
  </si>
  <si>
    <t>SPC87545</t>
  </si>
  <si>
    <t>776574133113</t>
  </si>
  <si>
    <t>5036</t>
  </si>
  <si>
    <t>MAGAZINE LUIZA - AVENIDA BRASIL, 317 - ZONA COMERCIAL - SPI10725</t>
  </si>
  <si>
    <t>-20.527077 , -47.388844</t>
  </si>
  <si>
    <t>SPI10725</t>
  </si>
  <si>
    <t>47960950000474</t>
  </si>
  <si>
    <t>MAGAZINE LUIZA - AVENIDA JOSE HERCULANO, 1086 - SHOPPING SERRAMAR - SPI240720</t>
  </si>
  <si>
    <t>AVENIDA JOSE HERCULANO</t>
  </si>
  <si>
    <t>Jardim Britania</t>
  </si>
  <si>
    <t>11666000</t>
  </si>
  <si>
    <t>-23.6541991, -45.4379782</t>
  </si>
  <si>
    <t>SPI240720</t>
  </si>
  <si>
    <t>47960950060299</t>
  </si>
  <si>
    <t>Shopping Serramar</t>
  </si>
  <si>
    <t>MERCADO MOVEIS - AVENIDA PARANA, 431 - ZONA COMERCIAL - SUL19875</t>
  </si>
  <si>
    <t>-23.3107683 , -51.1613044</t>
  </si>
  <si>
    <t>SUL19875</t>
  </si>
  <si>
    <t>RIACHUELO - AVENIDA ROTARY, 624 - SAO BERNARDO PLAZA SHOPPING - SPC64392</t>
  </si>
  <si>
    <t>LOJA 2047 PISO 2</t>
  </si>
  <si>
    <t>SPC64392</t>
  </si>
  <si>
    <t>33200056012821</t>
  </si>
  <si>
    <t>L171</t>
  </si>
  <si>
    <t>MASTERCELL TIM - RUA 15 DE NOVEMBRO, 828 - ZONA COMERCIAL - SUL11540</t>
  </si>
  <si>
    <t>828</t>
  </si>
  <si>
    <t>-26.9201531 , -49.0648327</t>
  </si>
  <si>
    <t>SUL11540</t>
  </si>
  <si>
    <t>02455036001167</t>
  </si>
  <si>
    <t>CELULAR STATION - AVENIDA VISCONDE DO RIO BRANCO, 360 - SHOPPING BAY MARKET - RJES292300</t>
  </si>
  <si>
    <t>RJES292300</t>
  </si>
  <si>
    <t>2714643005000</t>
  </si>
  <si>
    <t>COMERCIAL MOVEIS BRASILIA (VIVO) - RUA EMERSON FERRARI, 28 - SUL273430</t>
  </si>
  <si>
    <t>RUA EMERSON FERRARI</t>
  </si>
  <si>
    <t>SALA 02</t>
  </si>
  <si>
    <t>81102060</t>
  </si>
  <si>
    <t>-27.5990397,-48.6155608</t>
  </si>
  <si>
    <t>SUL273430</t>
  </si>
  <si>
    <t>78614278005881</t>
  </si>
  <si>
    <t>VIVO - RUA 15 DE NOVEMBRO, 788 - SUL19211</t>
  </si>
  <si>
    <t>702</t>
  </si>
  <si>
    <t>89010002</t>
  </si>
  <si>
    <t>-26.919340601019485 , -49.0655003184276</t>
  </si>
  <si>
    <t>SUL19211</t>
  </si>
  <si>
    <t>2558157042329</t>
  </si>
  <si>
    <t>LOJA BLUMENAU SC</t>
  </si>
  <si>
    <t>VIVO - AVENIDA 22 DE MAIO, 5632 - RJES290630</t>
  </si>
  <si>
    <t>5632</t>
  </si>
  <si>
    <t>LOTE 08</t>
  </si>
  <si>
    <t>-22.7472767,-42.8628469</t>
  </si>
  <si>
    <t>RJES290630</t>
  </si>
  <si>
    <t>2558157094396</t>
  </si>
  <si>
    <t>LOJA ITABORAI RJ</t>
  </si>
  <si>
    <t>CASA &amp; VIDEO - RUA CONDE DE BONFIM, 422 - ZONA COMERCIAL - RJES6940</t>
  </si>
  <si>
    <t>LOJA L</t>
  </si>
  <si>
    <t>-22.9251951, -43.2346116</t>
  </si>
  <si>
    <t>RJES6940</t>
  </si>
  <si>
    <t>11114284003693</t>
  </si>
  <si>
    <t>TIJUCA 3 - CONDE DE BONFIM</t>
  </si>
  <si>
    <t>CASAS BAHIA - AVENIDA CENTENARIO, 2992 - SHOPPING BARRA SALVADOR - NE7410</t>
  </si>
  <si>
    <t>LOJA 101/3 L1</t>
  </si>
  <si>
    <t>40140972</t>
  </si>
  <si>
    <t>NE7410</t>
  </si>
  <si>
    <t>33041260139081</t>
  </si>
  <si>
    <t>1543</t>
  </si>
  <si>
    <t>CLARO - RUA RAUL VEIGA, 389, LOJA 09, 10, 34 - SHOPPING IPANEMA MALL - RJES47282</t>
  </si>
  <si>
    <t>RUA RAUL VEIGA, 389</t>
  </si>
  <si>
    <t>389</t>
  </si>
  <si>
    <t>28907090</t>
  </si>
  <si>
    <t>-22.8795863 , -42.01759659999999</t>
  </si>
  <si>
    <t>RJES47282</t>
  </si>
  <si>
    <t>40432544049154</t>
  </si>
  <si>
    <t>Shopping Ipanema Mall</t>
  </si>
  <si>
    <t>LOJAS AMERICANAS - AVENIDA MARECHAL FLORIANO PEIXOTO, 4984 - SHOPPING CIDADE CURITIBA - SUL82910</t>
  </si>
  <si>
    <t>4984</t>
  </si>
  <si>
    <t>LOJA LT 150</t>
  </si>
  <si>
    <t>81630000</t>
  </si>
  <si>
    <t>-25.472766, -49.2519466</t>
  </si>
  <si>
    <t>SUL82910</t>
  </si>
  <si>
    <t>776574170310</t>
  </si>
  <si>
    <t>5039</t>
  </si>
  <si>
    <t>Shopping Cidade Curitiba</t>
  </si>
  <si>
    <t>LOJAS AMERICANAS - CSB 02 LOTES 01 A 04 - ALAMEDA SHOPPING - MGCO11288</t>
  </si>
  <si>
    <t>CSB 02 LOTES 01 A 04</t>
  </si>
  <si>
    <t>LOTES 01 A 04</t>
  </si>
  <si>
    <t>70015525</t>
  </si>
  <si>
    <t>-15.8368626,-48.05677</t>
  </si>
  <si>
    <t>MGCO11288</t>
  </si>
  <si>
    <t>776574073200</t>
  </si>
  <si>
    <t>L265</t>
  </si>
  <si>
    <t>Alameda Shopping</t>
  </si>
  <si>
    <t>LOJAS CEM - AVENIDA RIO BRANCO, 1615 - SPI245650</t>
  </si>
  <si>
    <t>11665600</t>
  </si>
  <si>
    <t>-23.6363984,-45.4310899</t>
  </si>
  <si>
    <t>SPI245650</t>
  </si>
  <si>
    <t>56642960022421</t>
  </si>
  <si>
    <t>CARAIN</t>
  </si>
  <si>
    <t>MAGAZINE LUIZA - PRACA DAS NACOES, 236 - RJES292730</t>
  </si>
  <si>
    <t>PRACA DAS NACOES</t>
  </si>
  <si>
    <t>21041040</t>
  </si>
  <si>
    <t>-22.8661991, -43.25523219999999</t>
  </si>
  <si>
    <t>RJES292730</t>
  </si>
  <si>
    <t>47960950172925</t>
  </si>
  <si>
    <t>1617</t>
  </si>
  <si>
    <t>NOVO MUNDO - RODOVIA, BR040 - SHOPPING SUL - MGCO11282</t>
  </si>
  <si>
    <t>RODOVIA</t>
  </si>
  <si>
    <t>BR040</t>
  </si>
  <si>
    <t>QUIOSQUE 26</t>
  </si>
  <si>
    <t>-16.0787485, -47.9842818</t>
  </si>
  <si>
    <t>MGCO11282</t>
  </si>
  <si>
    <t>01534080022601</t>
  </si>
  <si>
    <t>RIACHUELO - RODOVIA REGIS BITTENCOURT KM 271, 2643 - SHOPPING TABOAO DA SERRA - SPC49449</t>
  </si>
  <si>
    <t>SPC49449</t>
  </si>
  <si>
    <t>33200056000572</t>
  </si>
  <si>
    <t>RIACHUELO - RODOVIA SC 401, 3116 - FLORIPA SHOPPING - SUL46659</t>
  </si>
  <si>
    <t>L114 E 217 P L1 E L2</t>
  </si>
  <si>
    <t>SUL46659</t>
  </si>
  <si>
    <t>33200056002605</t>
  </si>
  <si>
    <t>L053</t>
  </si>
  <si>
    <t>AQUILON JUFAP (TIM) - AVENIDA RAIMUNDO PEREIRA DE MAGALHAES, 11001 - SHOPPING CANTAREIRA - SPC292450</t>
  </si>
  <si>
    <t>SPC292450</t>
  </si>
  <si>
    <t>81214819006194</t>
  </si>
  <si>
    <t>JUFAP SHOP CANTAREIRA - SAP (44755)</t>
  </si>
  <si>
    <t>F.M.M. ROCHA - AVENIDA DOUTOR AFONSO VERGUEIRO, 823 - SHOPPING PATIO CIANE - SPI10585</t>
  </si>
  <si>
    <t>AVENIDA AFONSO VERGUEIRO</t>
  </si>
  <si>
    <t>18035900</t>
  </si>
  <si>
    <t>-23.4963889, -47.46</t>
  </si>
  <si>
    <t>SPI10585</t>
  </si>
  <si>
    <t>11378319000686</t>
  </si>
  <si>
    <t>ROCHA TELECOM - SHOPPING PATIO CIANÊ - SAP (28617)</t>
  </si>
  <si>
    <t>STILLO CELULAR - CSB 02 LOTES 01 A 04, S/N - ALAMEDA SHOPPING - MGCO258670</t>
  </si>
  <si>
    <t>72015901</t>
  </si>
  <si>
    <t>MGCO258670</t>
  </si>
  <si>
    <t>12159617000133</t>
  </si>
  <si>
    <t>POSITIVA (TIM) - AVENIDA NILO PECANHA, 190 - RJES267230</t>
  </si>
  <si>
    <t>-22.7867979, -43.3118391</t>
  </si>
  <si>
    <t>RJES267230</t>
  </si>
  <si>
    <t>43914836001267</t>
  </si>
  <si>
    <t>FMO (VIVO) - RUA 7 DE SETEMBRO, 555 - SHOPPING SUZANO - SPC8791</t>
  </si>
  <si>
    <t>SPC8791</t>
  </si>
  <si>
    <t>39321744004726</t>
  </si>
  <si>
    <t>TOP CELULARES (VIVO) - AVENIDA RECANTO DAS EMAS, S/N - MGCO267310</t>
  </si>
  <si>
    <t>QUADRA 205, LOTE 04 LOJA 4</t>
  </si>
  <si>
    <t>72610500</t>
  </si>
  <si>
    <t>-15.9044625, -48.0676719</t>
  </si>
  <si>
    <t>MGCO267310</t>
  </si>
  <si>
    <t>15372727000258</t>
  </si>
  <si>
    <t>WORLD CELL (VIVO) - CSB 02, S/N - ALAMEDA SHOPPING - MGCO5638</t>
  </si>
  <si>
    <t>CSB 02</t>
  </si>
  <si>
    <t>TAGUATINGASUL</t>
  </si>
  <si>
    <t>-15.8350401 , -48.05660959999999</t>
  </si>
  <si>
    <t>MGCO5638</t>
  </si>
  <si>
    <t>5199395001008</t>
  </si>
  <si>
    <t>CASA &amp; VIDEO - AVENIDA BRASILIA, 2149 - MGCO234601</t>
  </si>
  <si>
    <t>AVENIDA BRASÍLIA</t>
  </si>
  <si>
    <t>DUQUESA</t>
  </si>
  <si>
    <t>-19.786663 , -43.92801</t>
  </si>
  <si>
    <t>MGCO234601</t>
  </si>
  <si>
    <t>11114284016329</t>
  </si>
  <si>
    <t>CASAS BAHIA - AVENIDA MARECHAL CASTELO BRANCO, 911 - SHOPPING RIO POTY - NE85134</t>
  </si>
  <si>
    <t>AVENIDA MARECHAL CASTELO BRANCO</t>
  </si>
  <si>
    <t>LUC 301 A/B/H</t>
  </si>
  <si>
    <t>PORENQUANTO</t>
  </si>
  <si>
    <t>64003087</t>
  </si>
  <si>
    <t>-5.077033 , -42.80134</t>
  </si>
  <si>
    <t>NE85134</t>
  </si>
  <si>
    <t>33041260158973</t>
  </si>
  <si>
    <t>1864</t>
  </si>
  <si>
    <t>Shopping Rio Poty</t>
  </si>
  <si>
    <t>CASAS BAHIA - RUA JOSE BONIFACIO, 799 - ZONA COMERCIAL - SPC11248</t>
  </si>
  <si>
    <t>799</t>
  </si>
  <si>
    <t>SERRARIA</t>
  </si>
  <si>
    <t>9980150</t>
  </si>
  <si>
    <t>-23.6997974 , -46.611684</t>
  </si>
  <si>
    <t>SPC11248</t>
  </si>
  <si>
    <t>GAMAS - AVENIDA BRASILIA, 1614 - MGCO287270</t>
  </si>
  <si>
    <t>BAIRRO DUQUESA</t>
  </si>
  <si>
    <t>-19.7910051,-43.9335445</t>
  </si>
  <si>
    <t>MGCO287270</t>
  </si>
  <si>
    <t>7603073000702</t>
  </si>
  <si>
    <t>CLARO - AVENIDA JOSE LOUREIRO DA SILVA, 1545 - SUL19389</t>
  </si>
  <si>
    <t>AVENIDA JOSE LOUREIRO DA SILVA</t>
  </si>
  <si>
    <t>94010001</t>
  </si>
  <si>
    <t>-29.9416736, -50.99411</t>
  </si>
  <si>
    <t>SUL19389</t>
  </si>
  <si>
    <t>40432544040793</t>
  </si>
  <si>
    <t>5132</t>
  </si>
  <si>
    <t>ELETROMOVEIS MARTINELLO - AVENIDA FERNANDO CORREA DA COSTA, 2390 - MGCO254790</t>
  </si>
  <si>
    <t>AVENIDA FERNANDO CORREA DA COSTA</t>
  </si>
  <si>
    <t>2390</t>
  </si>
  <si>
    <t>JARDIM PETRÓPOLIS</t>
  </si>
  <si>
    <t>78070000</t>
  </si>
  <si>
    <t>-15.6164004,-56.0714028</t>
  </si>
  <si>
    <t>MGCO254790</t>
  </si>
  <si>
    <t>32951535008038</t>
  </si>
  <si>
    <t>F79</t>
  </si>
  <si>
    <t>LEBES - AVENIDA PRESIDENTE VARGAS, 1600 - ZONA COMERCIAL - SUL83152</t>
  </si>
  <si>
    <t>93260002</t>
  </si>
  <si>
    <t>-29.845016 , -51.173809</t>
  </si>
  <si>
    <t>SUL83152</t>
  </si>
  <si>
    <t>96662168007900</t>
  </si>
  <si>
    <t>LOJAS AMERICANAS - AVENIDA MARECHAL CASTELO BRANCO, 911 - SHOPPING RIO POTY - NE85132</t>
  </si>
  <si>
    <t>SUC 304 F</t>
  </si>
  <si>
    <t>64000810</t>
  </si>
  <si>
    <t>NE85132</t>
  </si>
  <si>
    <t>776574157055</t>
  </si>
  <si>
    <t>LOJAS CEM - AVENIDA ITAVUVU, 409 - ZONA COMERCIAL - SPI20950</t>
  </si>
  <si>
    <t>-23.480753 , -47.473671</t>
  </si>
  <si>
    <t>SPI20950</t>
  </si>
  <si>
    <t>56642960019390</t>
  </si>
  <si>
    <t>SORIVU</t>
  </si>
  <si>
    <t>MAGAZINE LUIZA - RUA FLORIANO PEIXOTO, 1015 - SPI260510</t>
  </si>
  <si>
    <t>13300055</t>
  </si>
  <si>
    <t>-23.2640176,-47.3023499</t>
  </si>
  <si>
    <t>SPI260510</t>
  </si>
  <si>
    <t>47960950047861</t>
  </si>
  <si>
    <t>477</t>
  </si>
  <si>
    <t>NOVO MUNDO - RUA DO COMERCIO, 297 - ZONA COMERCIAL - MGCO19988</t>
  </si>
  <si>
    <t>RUA COMERCIO</t>
  </si>
  <si>
    <t>AREACENTRAL</t>
  </si>
  <si>
    <t>-16.2547332 , -47.9536364</t>
  </si>
  <si>
    <t>MGCO19988</t>
  </si>
  <si>
    <t>01534080008102</t>
  </si>
  <si>
    <t>NOVO MUNDO - QUADRA 482, RUA 43, LOTE 34, PARQUE ESTRELA DALVA, S/N - MGCO258790</t>
  </si>
  <si>
    <t>QUADRA 482, RUA 43, LOTE 34, PARQUE ESTRELA DALVA</t>
  </si>
  <si>
    <t>-16.0533363,-48.0316007</t>
  </si>
  <si>
    <t>MGCO258790</t>
  </si>
  <si>
    <t>1534080023250</t>
  </si>
  <si>
    <t>PONTO FRIO - AVENIDA JOSE LOUREIRO DA SILVA, 1534 - ZONA COMERCIAL - SUL19938</t>
  </si>
  <si>
    <t>1534</t>
  </si>
  <si>
    <t>94010000</t>
  </si>
  <si>
    <t>-29.940826 , -50.994488</t>
  </si>
  <si>
    <t>SUL19938</t>
  </si>
  <si>
    <t>33041260043211</t>
  </si>
  <si>
    <t>RIACHUELO - RODOVIA RAPOSOS TAVARES, 23500 - SHOPPING GRANJA VIANA - SPC9736</t>
  </si>
  <si>
    <t>RODOVIA RAPOSOS TAVARES</t>
  </si>
  <si>
    <t>PAVIM</t>
  </si>
  <si>
    <t>-23.592098 , -46.832799</t>
  </si>
  <si>
    <t>SPC9736</t>
  </si>
  <si>
    <t>33200056026539</t>
  </si>
  <si>
    <t>L234</t>
  </si>
  <si>
    <t>IANK CELL - AVENIDA GETULIO VARGAS, 268 - JARAGUA DO SUL PARK SHOPPING - SUL10088</t>
  </si>
  <si>
    <t>-26.4793648 , -49.084712</t>
  </si>
  <si>
    <t>SUL10088</t>
  </si>
  <si>
    <t>08640305000846</t>
  </si>
  <si>
    <t>ALEGRIA (TIM) - RUA ALEXANDRE MARTINS, 80 - SHOPPING PRAIAMAR - SPC234050</t>
  </si>
  <si>
    <t>LOJA 167 TERREO</t>
  </si>
  <si>
    <t>11025202</t>
  </si>
  <si>
    <t>-23.9765819 , -46.3101659</t>
  </si>
  <si>
    <t>SPC234050</t>
  </si>
  <si>
    <t>21683365002181</t>
  </si>
  <si>
    <t>ALEGRIA - PRAIAMAR - SAP (37835)</t>
  </si>
  <si>
    <t>TELECEL - TRAVESSA PADRE EUTIQUIO, 1078 - SHOPPING PATIO BELEM - N40048</t>
  </si>
  <si>
    <t>BATISTACAMPOS</t>
  </si>
  <si>
    <t>-1.4579842 , -48.4953617</t>
  </si>
  <si>
    <t>N40048</t>
  </si>
  <si>
    <t>11775328000600</t>
  </si>
  <si>
    <t>TELECEL PÁTIO BELÉM 3 PISO - SAP (29836)</t>
  </si>
  <si>
    <t>COMERCIAL MOVEIS BRASILIA (VIVO) - BR 116, 16303 - PARK SHOPPING BOULEVARD CURITIBA - SUL253690</t>
  </si>
  <si>
    <t>BR 116</t>
  </si>
  <si>
    <t>16303</t>
  </si>
  <si>
    <t>81690300</t>
  </si>
  <si>
    <t>-25.4975, -49.27563800000001</t>
  </si>
  <si>
    <t>SUL253690</t>
  </si>
  <si>
    <t>78614278014520</t>
  </si>
  <si>
    <t>Park Shopping Boulevard Curitiba</t>
  </si>
  <si>
    <t>COMERCIAL MOVEIS BRASILIA (VIVO) - AVENIDA AYRTON SENNA DA SILVA, 400 - AURORA SHOPPING - SUL261470</t>
  </si>
  <si>
    <t>SUL261470</t>
  </si>
  <si>
    <t>78614278005377</t>
  </si>
  <si>
    <t>ALEA ELETRO (VIVO) - RUA JOSE LOUREIRO DA SILVA, 1398 - ZONA COMERCIAL - SUL10991</t>
  </si>
  <si>
    <t>-29.941986 , -50.994148</t>
  </si>
  <si>
    <t>SUL10991</t>
  </si>
  <si>
    <t>308055002530</t>
  </si>
  <si>
    <t>VIVO AA - AVENIDA 29 DE ABRIL, 112 - ZONA COMERCIAL - SUL62956</t>
  </si>
  <si>
    <t>-25.874766 , -48.575042</t>
  </si>
  <si>
    <t>SUL62956</t>
  </si>
  <si>
    <t>VIVO - AC SHIS QI 5 BLOCO H, S/N - MGCO232340</t>
  </si>
  <si>
    <t>AC SHIS QI 5 BLOCO H</t>
  </si>
  <si>
    <t>GILBERTO SALOMAO LOJAS 5 E 6</t>
  </si>
  <si>
    <t>LAGO SUL</t>
  </si>
  <si>
    <t>71615580</t>
  </si>
  <si>
    <t>-15.8540415 , -47.8988818</t>
  </si>
  <si>
    <t>MGCO232340</t>
  </si>
  <si>
    <t>2558157041438</t>
  </si>
  <si>
    <t>LOJA LAGO SUL DF</t>
  </si>
  <si>
    <t>VIVO - RUA OSCAR FREIRE, 849 - SPC292270</t>
  </si>
  <si>
    <t>CERQUEIRA CESAR</t>
  </si>
  <si>
    <t>-23.5635534,-46.6714531</t>
  </si>
  <si>
    <t>SPC292270</t>
  </si>
  <si>
    <t>2558157150997</t>
  </si>
  <si>
    <t>LOJA OSCAR FREIRE SP</t>
  </si>
  <si>
    <t>ARMAZEM PARAIBA - RUA SANTO ELIAS, 260 - ZONA COMERCIAL - NE23267</t>
  </si>
  <si>
    <t>-7.117461 , -34.880883</t>
  </si>
  <si>
    <t>NE23267</t>
  </si>
  <si>
    <t>08995631003115</t>
  </si>
  <si>
    <t>CASAS BAHIA - AVENIDA SAO PAULO, 1360 - SPC230220</t>
  </si>
  <si>
    <t>Mongaguá</t>
  </si>
  <si>
    <t>11730000</t>
  </si>
  <si>
    <t>-24.0932993 , -46.617479</t>
  </si>
  <si>
    <t>SPC230220</t>
  </si>
  <si>
    <t>33041260180049</t>
  </si>
  <si>
    <t>2171</t>
  </si>
  <si>
    <t>CASAS BAHIA - RUA UM, 450 - SPI257810</t>
  </si>
  <si>
    <t>RUA UM</t>
  </si>
  <si>
    <t>-20.7222755,-47.8890292</t>
  </si>
  <si>
    <t>SPI257810</t>
  </si>
  <si>
    <t>33041260201577</t>
  </si>
  <si>
    <t>2437</t>
  </si>
  <si>
    <t>CASAS BAHIA - RUA BARAO DE IGARAPE MIRI, 151 - N281430</t>
  </si>
  <si>
    <t>RUA BARAO DE IGARAPE MIRI</t>
  </si>
  <si>
    <t>66075048</t>
  </si>
  <si>
    <t>-1.4675034,-48.4720569</t>
  </si>
  <si>
    <t>N281430</t>
  </si>
  <si>
    <t>33041260187809</t>
  </si>
  <si>
    <t>2248</t>
  </si>
  <si>
    <t>CASAS BAHIA - AVENIDA MARCOLINO MARTINS CABRAL, 2525 - FAROL SHOPPING - SUL242310</t>
  </si>
  <si>
    <t>2525</t>
  </si>
  <si>
    <t>AEROPORTO</t>
  </si>
  <si>
    <t>88705003</t>
  </si>
  <si>
    <t>-28.474499 , -48.9952922</t>
  </si>
  <si>
    <t>SUL242310</t>
  </si>
  <si>
    <t>33041260128128</t>
  </si>
  <si>
    <t>1505</t>
  </si>
  <si>
    <t>Farol Shopping</t>
  </si>
  <si>
    <t>CLEAR TELECOM - RODOVIA BA 526, 305 - SALVADOR NORTE SHOPPING - NE263440</t>
  </si>
  <si>
    <t>NE263440</t>
  </si>
  <si>
    <t>23199256000922</t>
  </si>
  <si>
    <t>LOJAS COLOMBO - AVENIDA MARECHAL DEODORO DA FONSECA, 367 - SUL21990</t>
  </si>
  <si>
    <t>-26.484577 , -49.082691</t>
  </si>
  <si>
    <t>SUL21990</t>
  </si>
  <si>
    <t>89848543024432</t>
  </si>
  <si>
    <t>LOJAS COLOMBO - AVENIDA PRESIDENTE VARGAS , 1969 - ZONA COMERCIAL - SUL80550</t>
  </si>
  <si>
    <t>-29.848246 , -51.175472</t>
  </si>
  <si>
    <t>SUL80550</t>
  </si>
  <si>
    <t>89848543027458</t>
  </si>
  <si>
    <t>GAZIN - AVENIDA JATUARANA, 4877 - N250380</t>
  </si>
  <si>
    <t>AVENIDA JATUARANA</t>
  </si>
  <si>
    <t>4877</t>
  </si>
  <si>
    <t>76807441</t>
  </si>
  <si>
    <t>-8.7908119,-63.8844735</t>
  </si>
  <si>
    <t>N250380</t>
  </si>
  <si>
    <t>77941490007915</t>
  </si>
  <si>
    <t>10240</t>
  </si>
  <si>
    <t>HAVAN - AVENIDA MARCOLINO MARTINS CABRAL, 2525 - FAROL SHOPPING - SUL241460</t>
  </si>
  <si>
    <t>Tubarão</t>
  </si>
  <si>
    <t>-28.4738973, -48.995279</t>
  </si>
  <si>
    <t>SUL241460</t>
  </si>
  <si>
    <t>79379491001902</t>
  </si>
  <si>
    <t>18 - TUBARAO</t>
  </si>
  <si>
    <t>INFO STORE - AVENIDA GENERAL RODRIGO OTAVIO, 3555 - SHOPPING STUDIO 5 - N18887</t>
  </si>
  <si>
    <t>N18887</t>
  </si>
  <si>
    <t>02337524000289</t>
  </si>
  <si>
    <t>KOERICH - AVENIDA MARECHAL DEODORO DA FONSECA, 136 - SUL227210</t>
  </si>
  <si>
    <t>SUL227210</t>
  </si>
  <si>
    <t>86184074004995</t>
  </si>
  <si>
    <t>KOERICH - AVENIDA MARECHAL DEODORO DA FONSECA, 353 - SUL271360</t>
  </si>
  <si>
    <t>89251701</t>
  </si>
  <si>
    <t>-26.4844833,-49.087196</t>
  </si>
  <si>
    <t>SUL271360</t>
  </si>
  <si>
    <t>86184074003832</t>
  </si>
  <si>
    <t>LOJAS AMERICANAS - RUA GUSTAVO MACIEL, 1230 - ZONA COMERCIAL - SPI19496</t>
  </si>
  <si>
    <t>RUA GUSTAVO MACIEL</t>
  </si>
  <si>
    <t>-22.3248741 , -49.0705509</t>
  </si>
  <si>
    <t>SPI19496</t>
  </si>
  <si>
    <t>776574056534</t>
  </si>
  <si>
    <t>L394</t>
  </si>
  <si>
    <t>LOJAS AMERICANAS - RUA PRESIDENTE CARLOS CAVALCANTI , 249 - SUL90432</t>
  </si>
  <si>
    <t>-25.5920362 , -49.40989279999999</t>
  </si>
  <si>
    <t>SUL90432</t>
  </si>
  <si>
    <t>776574017636</t>
  </si>
  <si>
    <t>L705</t>
  </si>
  <si>
    <t>LOJAS AMERICANAS - AVENIDA GIOVANNI BATISTA PIRELLI, 155 - SHOPPING ATRIUM - SPC10039</t>
  </si>
  <si>
    <t>RUA GIOVANNI BATTISTA PIRELLI</t>
  </si>
  <si>
    <t>9111310</t>
  </si>
  <si>
    <t>-23.663816 , -46.507675</t>
  </si>
  <si>
    <t>SPC10039</t>
  </si>
  <si>
    <t>776574151871</t>
  </si>
  <si>
    <t>Shopping Atrium</t>
  </si>
  <si>
    <t>LOJAS CEM - AVENIDA DOUTOR GETULIO VARGAS, 255 - SPC255780</t>
  </si>
  <si>
    <t>AVENIDA DOUTOR GETULIO VARGAS</t>
  </si>
  <si>
    <t>-24.0931437,-46.6195326</t>
  </si>
  <si>
    <t>SPC255780</t>
  </si>
  <si>
    <t>56642960015131</t>
  </si>
  <si>
    <t>MONGAG</t>
  </si>
  <si>
    <t>LOJAS CEM - AVENIDA LUIZ OSORIO, 747 - SPI260050</t>
  </si>
  <si>
    <t>AVENIDA LUIZ OSORIO</t>
  </si>
  <si>
    <t>Penápolis</t>
  </si>
  <si>
    <t>16300013</t>
  </si>
  <si>
    <t>-21.4184569,-50.0777085</t>
  </si>
  <si>
    <t>SPI260050</t>
  </si>
  <si>
    <t>56642960023827</t>
  </si>
  <si>
    <t>PENAP</t>
  </si>
  <si>
    <t>MAGAZINE LUIZA - RUA JOSE HADADD, 1390 - RJES244830</t>
  </si>
  <si>
    <t>RUA JOSE HADADD</t>
  </si>
  <si>
    <t>LOTE 74 LOJA B</t>
  </si>
  <si>
    <t>26130067</t>
  </si>
  <si>
    <t>-22.7646855, -43.39955459999999</t>
  </si>
  <si>
    <t>RJES244830</t>
  </si>
  <si>
    <t>47960950173220</t>
  </si>
  <si>
    <t>1602</t>
  </si>
  <si>
    <t>MERCADO MOVEIS - AVENIDA MARECHAL DEODORO DA FONSECA, 180 - ZONA COMERCIAL - SUL21993</t>
  </si>
  <si>
    <t>-26.482899 , -49.082752</t>
  </si>
  <si>
    <t>SUL21993</t>
  </si>
  <si>
    <t>77500049013388</t>
  </si>
  <si>
    <t>TELECEL - RODOVIA AUGUSTO MONTENEGRO, 4300 - PARQUE SHOPPING BELEM - N253480</t>
  </si>
  <si>
    <t>N253480</t>
  </si>
  <si>
    <t>11775328002573</t>
  </si>
  <si>
    <t>TELECEL PARQUE SHOPPING - SAP (42056)</t>
  </si>
  <si>
    <t>DULCOM/DPI (TIM) - RUA SETE DE SETEMBRO, 247 - SPI291400</t>
  </si>
  <si>
    <t>12210260</t>
  </si>
  <si>
    <t>-23.1819676,-45.8868295</t>
  </si>
  <si>
    <t>SPI291400</t>
  </si>
  <si>
    <t>2356946004299</t>
  </si>
  <si>
    <t>IANK CELL - RUA QUINZE DE NOVEMBRO, 7115 - SUL291310</t>
  </si>
  <si>
    <t>7115</t>
  </si>
  <si>
    <t>-26.2873202,-48.9067413</t>
  </si>
  <si>
    <t>SUL291310</t>
  </si>
  <si>
    <t>8640305001737</t>
  </si>
  <si>
    <t>MINAS TELECOM (VIVO) - AVENIDA BRASILIA, 1614 - MGCO246370</t>
  </si>
  <si>
    <t>SANTA LUZIA</t>
  </si>
  <si>
    <t>33105513</t>
  </si>
  <si>
    <t>-19.7904756,-43.9309157</t>
  </si>
  <si>
    <t>MGCO246370</t>
  </si>
  <si>
    <t>9719752002206</t>
  </si>
  <si>
    <t>VIVO - ESTRADA FRANCISCO DA CRUZ NUNES, 6501 - SHOPPING ITAIPU MULTICENTER - RJES287800</t>
  </si>
  <si>
    <t>LOJA 120</t>
  </si>
  <si>
    <t>RJES287800</t>
  </si>
  <si>
    <t>2558157094639</t>
  </si>
  <si>
    <t>LOJA SHOP ITAIPU RJ</t>
  </si>
  <si>
    <t>VIVO - AVENIDA MARECHAL FLORIANO PEIXOTO, 4984 - SHOPPING CIDADE CURITIBA - SUL288200</t>
  </si>
  <si>
    <t>-25.4727565 , -49.2522949</t>
  </si>
  <si>
    <t>SUL288200</t>
  </si>
  <si>
    <t>2558157095287</t>
  </si>
  <si>
    <t>LOJA SHOPING CIDADE PR</t>
  </si>
  <si>
    <t>BERLANDA - RUA 15 DE NOVEMBRO, 459 - SUL269800</t>
  </si>
  <si>
    <t>-26.9224968,-49.0618526</t>
  </si>
  <si>
    <t>SUL269800</t>
  </si>
  <si>
    <t>9313141026014</t>
  </si>
  <si>
    <t>BERLANDA - AVENIDA GETULIO VARGAS, 173 - SUL290800</t>
  </si>
  <si>
    <t>Araranguá</t>
  </si>
  <si>
    <t>88900037</t>
  </si>
  <si>
    <t>-28.934978,-49.4865795</t>
  </si>
  <si>
    <t>SUL290800</t>
  </si>
  <si>
    <t>9313141014865</t>
  </si>
  <si>
    <t>CASA &amp; VIDEO - RUA CARDOSO DE MORAIS, 595 - ZONA COMERCIAL - RJES21069</t>
  </si>
  <si>
    <t>RUA CARDOSO DE MORAES</t>
  </si>
  <si>
    <t>20230011</t>
  </si>
  <si>
    <t>-22.8658233 , -43.2549267</t>
  </si>
  <si>
    <t>RJES21069</t>
  </si>
  <si>
    <t>CASAS BAHIA - AVENIDA SANTA BEATRIZ DA SILVA, 1501 - SHOPPING UBERABA - MGCO20677</t>
  </si>
  <si>
    <t>AVENIDA SANTA BEATRIZ DA SILVA</t>
  </si>
  <si>
    <t>SUC 157</t>
  </si>
  <si>
    <t>38020433</t>
  </si>
  <si>
    <t>-19.767321 , -47.952217</t>
  </si>
  <si>
    <t>MGCO20677</t>
  </si>
  <si>
    <t>33041260132079</t>
  </si>
  <si>
    <t>1568</t>
  </si>
  <si>
    <t>Shopping Uberaba</t>
  </si>
  <si>
    <t>CASAS BAHIA - RUA DA LIBERDADE, 310 - ZONA COMERCIAL - NE20504</t>
  </si>
  <si>
    <t>RUA DA LIBERDADE</t>
  </si>
  <si>
    <t>40375016</t>
  </si>
  <si>
    <t>-12.947397, -38.4928001</t>
  </si>
  <si>
    <t>NE20504</t>
  </si>
  <si>
    <t>33041260141736</t>
  </si>
  <si>
    <t>CASAS BAHIA - AVENIDA LUIZ OSORIO, 524 - SPI262870</t>
  </si>
  <si>
    <t>524</t>
  </si>
  <si>
    <t>16300000</t>
  </si>
  <si>
    <t>-21.4189736,-50.08029</t>
  </si>
  <si>
    <t>SPI262870</t>
  </si>
  <si>
    <t>33041260110008</t>
  </si>
  <si>
    <t>CASAS BAHIA - QD 3 MR 12 - Q3 MR LOTE 13 SETOR LESTE PLANALTINA, S/N - MGCO254830</t>
  </si>
  <si>
    <t>QD 3 MR 12 - Q3 MR LOTE 13 SETOR LESTE PLANALTINA</t>
  </si>
  <si>
    <t>SETOR NORTE</t>
  </si>
  <si>
    <t>Planaltina</t>
  </si>
  <si>
    <t>73751203</t>
  </si>
  <si>
    <t>-15.4553735,-47.6147996</t>
  </si>
  <si>
    <t>MGCO254830</t>
  </si>
  <si>
    <t>33041260202549</t>
  </si>
  <si>
    <t>CASAS BAHIA - RUA PROFESSOR JOAO CANDIDO FERREIRA, 355 - SUL272270</t>
  </si>
  <si>
    <t>CENTRO APUCARANA</t>
  </si>
  <si>
    <t>86800100</t>
  </si>
  <si>
    <t>-23.5523722,-51.461559</t>
  </si>
  <si>
    <t>SUL272270</t>
  </si>
  <si>
    <t>33041260187213</t>
  </si>
  <si>
    <t>2253</t>
  </si>
  <si>
    <t>CLARO RP - AVENIDA DOUTOR AFONSO VERGUEIRO, 823 - SHOPPING PATIO CIANA - SPI262350</t>
  </si>
  <si>
    <t>LOJA 109</t>
  </si>
  <si>
    <t>SPI262350</t>
  </si>
  <si>
    <t>PHONE SHOP (CLARO) - AVENIDA GETULIO VARGAS, 33 - SUL290770</t>
  </si>
  <si>
    <t>88900035</t>
  </si>
  <si>
    <t>-28.9345196,-49.4873391</t>
  </si>
  <si>
    <t>SUL290770</t>
  </si>
  <si>
    <t>17684351000161</t>
  </si>
  <si>
    <t>CLARO RP - RUA RUI BARBOSA, 832 - SPI259040</t>
  </si>
  <si>
    <t>832</t>
  </si>
  <si>
    <t>14870300</t>
  </si>
  <si>
    <t>-21.2554991,-48.3221312</t>
  </si>
  <si>
    <t>SPI259040</t>
  </si>
  <si>
    <t>5949641000453</t>
  </si>
  <si>
    <t>COLOMBO - AVENIDA PARANA, 460 - SUL291290</t>
  </si>
  <si>
    <t>SL1</t>
  </si>
  <si>
    <t>Garuva</t>
  </si>
  <si>
    <t>89248000</t>
  </si>
  <si>
    <t>-26.0297843,-48.8589102</t>
  </si>
  <si>
    <t>SUL291290</t>
  </si>
  <si>
    <t>89848543087353</t>
  </si>
  <si>
    <t>LOJAS COLOMBO - AVENIDA MARECHAL FLORIANO PEIXOTO, 5715 - ZONA COMERCIAL - SUL19896</t>
  </si>
  <si>
    <t>5689</t>
  </si>
  <si>
    <t>-25.477853 , -49.248815</t>
  </si>
  <si>
    <t>SUL19896</t>
  </si>
  <si>
    <t>89848543068219</t>
  </si>
  <si>
    <t>COLOMBO - RUA IRIRIU, 3550 - SUL291170</t>
  </si>
  <si>
    <t>RUA IRIRIU</t>
  </si>
  <si>
    <t>IRIRIÚ</t>
  </si>
  <si>
    <t>89227020</t>
  </si>
  <si>
    <t>-26.2710719,-48.8171384</t>
  </si>
  <si>
    <t>SUL291170</t>
  </si>
  <si>
    <t>89848543074022</t>
  </si>
  <si>
    <t>COLOMBO - AVENIDA LONDRINA, 644 - SUL288510</t>
  </si>
  <si>
    <t>-23.4414793,-51.8754004</t>
  </si>
  <si>
    <t>SUL288510</t>
  </si>
  <si>
    <t>89848543084508</t>
  </si>
  <si>
    <t>COLOMBO - AVENIDA SETE DE SETEMBRO, 1527 - SUL290810</t>
  </si>
  <si>
    <t>88900013</t>
  </si>
  <si>
    <t>-28.936542,-49.4901245</t>
  </si>
  <si>
    <t>SUL290810</t>
  </si>
  <si>
    <t>89848543072674</t>
  </si>
  <si>
    <t>HAVAN - RUA PEDRO DRUSZCZ, 700 - ZONA COMERCIAL - SUL18762</t>
  </si>
  <si>
    <t>RUA PEDRO DRUSZCZ</t>
  </si>
  <si>
    <t>83702080</t>
  </si>
  <si>
    <t>-25.595078 , -49.40450999999999</t>
  </si>
  <si>
    <t>SUL18762</t>
  </si>
  <si>
    <t>79379491004332</t>
  </si>
  <si>
    <t>43 - ARAUCARIA</t>
  </si>
  <si>
    <t>HAVAN - AVENIDA PREFEITO WALDEMAR GRUBBA, 1800 - SUL227220</t>
  </si>
  <si>
    <t>AVENIDA PREFEITO WALDEMAR GRUBBA</t>
  </si>
  <si>
    <t>VILA LALAU</t>
  </si>
  <si>
    <t>89256501</t>
  </si>
  <si>
    <t>-26.4800278 , -49.0642225</t>
  </si>
  <si>
    <t>SUL227220</t>
  </si>
  <si>
    <t>79379491007277</t>
  </si>
  <si>
    <t>75 - JARAGUA DO SUL</t>
  </si>
  <si>
    <t>HAVAN - AVENIDA PRESIDENTE JUSCELINO KUBITSCHECK, 1600 - SPI232070</t>
  </si>
  <si>
    <t>AVENIDA PRESIDENTE JUSCELINO KUBITSCHECK</t>
  </si>
  <si>
    <t>MONTE CASTELO</t>
  </si>
  <si>
    <t>12215380</t>
  </si>
  <si>
    <t>-23.1813537 , -45.8681826</t>
  </si>
  <si>
    <t>SPI232070</t>
  </si>
  <si>
    <t>79379491006700</t>
  </si>
  <si>
    <t>67 - SAO JOSE DOS CAMPOS</t>
  </si>
  <si>
    <t>J MAHFUZ - RUA RUI BARBOSA, 789 - ZONA COMERCIAL - SPI39777</t>
  </si>
  <si>
    <t>-21.2559302 , -48.3198219</t>
  </si>
  <si>
    <t>SPI39777</t>
  </si>
  <si>
    <t>037</t>
  </si>
  <si>
    <t>KOERICH - RUA IRIRIU, 3550 - SUL291190</t>
  </si>
  <si>
    <t>89227017</t>
  </si>
  <si>
    <t>-26.2708402,-48.8145403</t>
  </si>
  <si>
    <t>SUL291190</t>
  </si>
  <si>
    <t>86184074010456</t>
  </si>
  <si>
    <t>KOERICH - AVENIDA SETE DE SETEMBRO, 1505 - SUL290820</t>
  </si>
  <si>
    <t>88900000</t>
  </si>
  <si>
    <t>-28.9365325,-49.4901352</t>
  </si>
  <si>
    <t>SUL290820</t>
  </si>
  <si>
    <t>86184074011185</t>
  </si>
  <si>
    <t>KOERICH - AVENIDA PARANA, 564 - SUL291280</t>
  </si>
  <si>
    <t>-26.0299687,-48.860066</t>
  </si>
  <si>
    <t>SUL291280</t>
  </si>
  <si>
    <t>86184074005029</t>
  </si>
  <si>
    <t>KOERICH - AVENIDA MARECHAL DEODORO, 28 - SUL22142</t>
  </si>
  <si>
    <t>-26.481541 , -49.08268</t>
  </si>
  <si>
    <t>SUL22142</t>
  </si>
  <si>
    <t>LOJAS AMERICANAS - RUA 7 DE SETEMBRO, 287 - NE6905</t>
  </si>
  <si>
    <t>50050030</t>
  </si>
  <si>
    <t>-8.060589 , -34.88335</t>
  </si>
  <si>
    <t>NE6905</t>
  </si>
  <si>
    <t>776574007916</t>
  </si>
  <si>
    <t>L037</t>
  </si>
  <si>
    <t>LOJAS AMERICANAS - RUA DOUTOR PEDRO LUIZ, 255 - ZONA COMERCIAL - MGCO64400</t>
  </si>
  <si>
    <t>RUA DOUTOR PEDRO LUIZ, 255</t>
  </si>
  <si>
    <t>-19.4594192 , -44.2442839</t>
  </si>
  <si>
    <t>MGCO64400</t>
  </si>
  <si>
    <t>776574134942</t>
  </si>
  <si>
    <t>L374</t>
  </si>
  <si>
    <t>LOJAS AMERICANAS - AVENIDA SAO PAULO, 2114 - SPI270140</t>
  </si>
  <si>
    <t>-24.0967358,-46.6270654</t>
  </si>
  <si>
    <t>SPI270140</t>
  </si>
  <si>
    <t>776574132818</t>
  </si>
  <si>
    <t>LOJAS AMERICANAS - AVENIDA BEBERIBE, 4645 - NE278210</t>
  </si>
  <si>
    <t>AVENIDA BEBERIBE</t>
  </si>
  <si>
    <t>4645</t>
  </si>
  <si>
    <t>BEBERIBE</t>
  </si>
  <si>
    <t>52130325</t>
  </si>
  <si>
    <t>-8.0034839,-34.9003192</t>
  </si>
  <si>
    <t>NE278210</t>
  </si>
  <si>
    <t>00776574007754</t>
  </si>
  <si>
    <t>1004</t>
  </si>
  <si>
    <t>LOJAS CEM - RUA XV DE NOVEMBRO, 760 - SPI246740</t>
  </si>
  <si>
    <t>Capivari</t>
  </si>
  <si>
    <t>13360000</t>
  </si>
  <si>
    <t>-22.997689,-47.5061032</t>
  </si>
  <si>
    <t>SPI246740</t>
  </si>
  <si>
    <t>56642960001939</t>
  </si>
  <si>
    <t>CAPIV</t>
  </si>
  <si>
    <t>LOJAS CEM - RUA LUIS CAMILO DE CAMARGO, 475 - ZONA COMERCIAL - SPI20851</t>
  </si>
  <si>
    <t>RUA LUIS CAMILO DE CAMARGO</t>
  </si>
  <si>
    <t>13184000</t>
  </si>
  <si>
    <t>-22.8643163, -47.216779</t>
  </si>
  <si>
    <t>SPI20851</t>
  </si>
  <si>
    <t>56642960008356</t>
  </si>
  <si>
    <t>HORTOL</t>
  </si>
  <si>
    <t>LOJAS CEM - PRACA ELPIDIO MARCELLO, 300 - SPI248380</t>
  </si>
  <si>
    <t>PRACA ELPIDIO MARCELLO</t>
  </si>
  <si>
    <t>SALTO DE PIRAPORA</t>
  </si>
  <si>
    <t>18160000</t>
  </si>
  <si>
    <t>-23.6522741,-47.5753016</t>
  </si>
  <si>
    <t>SPI248380</t>
  </si>
  <si>
    <t>56642960017347</t>
  </si>
  <si>
    <t>SALPIR</t>
  </si>
  <si>
    <t>LOJAS CEM - AVENIDA INDEPENDENCIA, 4970 - ZONA COMERCIAL - SPI19164</t>
  </si>
  <si>
    <t>4970</t>
  </si>
  <si>
    <t>EDEN</t>
  </si>
  <si>
    <t>18103000</t>
  </si>
  <si>
    <t>-23.4214034 , -47.4114662</t>
  </si>
  <si>
    <t>SPI19164</t>
  </si>
  <si>
    <t>56642960020054</t>
  </si>
  <si>
    <t>SOREDE</t>
  </si>
  <si>
    <t>LOJAS GUAIBIM - AVENIDA 7 DE SETEMBRO, 500 - NE244620</t>
  </si>
  <si>
    <t>-12.9820969,-38.5172387</t>
  </si>
  <si>
    <t>NE244620</t>
  </si>
  <si>
    <t>13850516006531</t>
  </si>
  <si>
    <t>L46</t>
  </si>
  <si>
    <t>LOJAS GUAIBIM - AVENIDA JEQUITAIA, 310 - NE249780</t>
  </si>
  <si>
    <t>AVENIDA JEQUITAIA</t>
  </si>
  <si>
    <t>CALÇADA</t>
  </si>
  <si>
    <t>40460120</t>
  </si>
  <si>
    <t>-12.9466995,-38.5015154</t>
  </si>
  <si>
    <t>NE249780</t>
  </si>
  <si>
    <t>13850516006701</t>
  </si>
  <si>
    <t>L47</t>
  </si>
  <si>
    <t>LOJAS MM - AVENIDA MARECHAL DEODORO, 180 - ZONA COMERCIAL - SUL22144</t>
  </si>
  <si>
    <t>-26.4828113 , -49.0828993</t>
  </si>
  <si>
    <t>SUL22144</t>
  </si>
  <si>
    <t>LOJAS MM</t>
  </si>
  <si>
    <t>MAGAZINE LUIZA - AVENIDA DEPUTADO ODON BEZERRA, 184 - SHOPPING TAMBIA - NE10908</t>
  </si>
  <si>
    <t>LJ 39 40</t>
  </si>
  <si>
    <t>NE10908</t>
  </si>
  <si>
    <t>47960950078074</t>
  </si>
  <si>
    <t>766</t>
  </si>
  <si>
    <t>MAGAZINE LUIZA - AVENIDA SENADOR CARLOS JEREISSATI, 85 - NORTH SHOPPING MARACANAU - NE42097</t>
  </si>
  <si>
    <t>NE42097</t>
  </si>
  <si>
    <t>47960950085526</t>
  </si>
  <si>
    <t>MAGAZINE LUIZA - RUA XV DE NOVEMBRO, 831 - SPI247220</t>
  </si>
  <si>
    <t>CAPIVARI</t>
  </si>
  <si>
    <t>-22.9970157,-47.5065107</t>
  </si>
  <si>
    <t>SPI247220</t>
  </si>
  <si>
    <t>47960950046202</t>
  </si>
  <si>
    <t>MAGAZINE LUIZA - PRACA DOUTOR FERNANDO ARENS, 249 - SPC230210</t>
  </si>
  <si>
    <t>PRACA DOUTOR FERNANDO ARENS</t>
  </si>
  <si>
    <t>-24.0933711 , -46.62026179999999</t>
  </si>
  <si>
    <t>SPC230210</t>
  </si>
  <si>
    <t>47960950118475</t>
  </si>
  <si>
    <t>1064</t>
  </si>
  <si>
    <t>MAGAZINE LUIZA - RUA AMANDO DE BARROS, 444 - SPI233590</t>
  </si>
  <si>
    <t>-22.8850002 , -48.44074759999999</t>
  </si>
  <si>
    <t>SPI233590</t>
  </si>
  <si>
    <t>47960950020157</t>
  </si>
  <si>
    <t>MAGAZINE LUIZA - RUA MARECHAL DEODORO, 286 - SUL10092</t>
  </si>
  <si>
    <t>286</t>
  </si>
  <si>
    <t>-26.483831 , -49.082748</t>
  </si>
  <si>
    <t>SUL10092</t>
  </si>
  <si>
    <t>47960950036150</t>
  </si>
  <si>
    <t>MAGAZINE LUIZA - AVENIDA BENTO DA CRUZ, 549 - SPI259660</t>
  </si>
  <si>
    <t>AVENIDA BENTO DA CRUZ</t>
  </si>
  <si>
    <t>549</t>
  </si>
  <si>
    <t>16300011</t>
  </si>
  <si>
    <t>-21.4178772,-50.0810371</t>
  </si>
  <si>
    <t>SPI259660</t>
  </si>
  <si>
    <t>47960950015749</t>
  </si>
  <si>
    <t>MAGAZINE LUIZA - AVENIDA GETULIO VARGAS, 140 - SUL290790</t>
  </si>
  <si>
    <t>-28.9352625,-49.486914</t>
  </si>
  <si>
    <t>SUL290790</t>
  </si>
  <si>
    <t>47960950037041</t>
  </si>
  <si>
    <t>349</t>
  </si>
  <si>
    <t>MAGAZINE LUIZA - RUA CORONEL EUGENIO MOTTA, 133 - SPI239600</t>
  </si>
  <si>
    <t>-23.284368, -47.6740605</t>
  </si>
  <si>
    <t>SPI239600</t>
  </si>
  <si>
    <t>47960950045141</t>
  </si>
  <si>
    <t>MAGAZINE LUIZA - RUA EMILIO JOHNSSON, 610 - ZONA COMERCIAL - SUL19553</t>
  </si>
  <si>
    <t>RUA EMILIO JOHNSSON</t>
  </si>
  <si>
    <t>VILASANTATEREZINHA</t>
  </si>
  <si>
    <t>Almirante Tamandaré</t>
  </si>
  <si>
    <t>83501000</t>
  </si>
  <si>
    <t>-25.3114708 , -49.29814570000001</t>
  </si>
  <si>
    <t>SUL19553</t>
  </si>
  <si>
    <t>47960950071142</t>
  </si>
  <si>
    <t>901</t>
  </si>
  <si>
    <t>NOVO MUNDO - RUA FLORENTINO CHAVES, 92 - MGCO253000</t>
  </si>
  <si>
    <t>74710400</t>
  </si>
  <si>
    <t>-16.2541508,-47.9537874</t>
  </si>
  <si>
    <t>MGCO253000</t>
  </si>
  <si>
    <t>153408000102</t>
  </si>
  <si>
    <t>RIACHUELO - MARCELINO PIRES, 1909 - MGCO271270</t>
  </si>
  <si>
    <t>MARCELINO PIRES</t>
  </si>
  <si>
    <t>5038000</t>
  </si>
  <si>
    <t>-22.2275656, -54.8103694</t>
  </si>
  <si>
    <t>MGCO271270</t>
  </si>
  <si>
    <t>33200056015928</t>
  </si>
  <si>
    <t>L072</t>
  </si>
  <si>
    <t>RIACHUELO - AVENIDA MARECHAL CASTELO BRANCO, 911 - SHOPPING RIO POTY - NE271970</t>
  </si>
  <si>
    <t>NE271970</t>
  </si>
  <si>
    <t>33200056038545</t>
  </si>
  <si>
    <t>RIACHUELO - AVENIDA MARECHAL FONTENELLE , 3545 - PARQUE SHOPPING SULACAP - RJES64724</t>
  </si>
  <si>
    <t>JARDIMSULACAP</t>
  </si>
  <si>
    <t>-22.8860618 , -43.4027446</t>
  </si>
  <si>
    <t>RJES64724</t>
  </si>
  <si>
    <t>33200056017629</t>
  </si>
  <si>
    <t>RIACHUELO - AVENIDA MARCOLINO MARTINS CABRAL, 2525 - FAROL SHOPPING - SUL241470</t>
  </si>
  <si>
    <t>Aeroporto</t>
  </si>
  <si>
    <t>-28.4745932, -48.9948771</t>
  </si>
  <si>
    <t>SUL241470</t>
  </si>
  <si>
    <t>33200056041848</t>
  </si>
  <si>
    <t>L307</t>
  </si>
  <si>
    <t>DULCOM/DPI (TIM) - RUA DO PRINCIPE, 238 - ZONA COMERCIAL - SUL7956</t>
  </si>
  <si>
    <t>-26.3013428 , -48.84558209999999</t>
  </si>
  <si>
    <t>SUL7956</t>
  </si>
  <si>
    <t>02356946000897</t>
  </si>
  <si>
    <t>ALEGRIA (TIM) - AVENIDA AYRTON SENNA DA SILVA, 1511 - SHOPPING LITORAL PLAZA - SPC234150</t>
  </si>
  <si>
    <t>SPC234150</t>
  </si>
  <si>
    <t>21683365002262</t>
  </si>
  <si>
    <t>ALEGRIA - LITORAL PLAZA - SAP (37825)</t>
  </si>
  <si>
    <t>ALEGRIA (TIM) - AVENIDA JOAO CESAR DE OLIVEIRA, 1275 - BIG SHOPPING - MGCO20623</t>
  </si>
  <si>
    <t>LOJA 254</t>
  </si>
  <si>
    <t>MGCO20623</t>
  </si>
  <si>
    <t>60806001000664</t>
  </si>
  <si>
    <t>BEM MAIS BIG - SAP (44463)</t>
  </si>
  <si>
    <t>TELECEL - SDN CNB CONJUNTO A T119, S/N (LOJA 2) - SHOPPING CONJUNTO NACIONAL - MGCO292410</t>
  </si>
  <si>
    <t>S/N (LOJA 2)</t>
  </si>
  <si>
    <t>MGCO292410</t>
  </si>
  <si>
    <t>11775328001500</t>
  </si>
  <si>
    <t>TELECEL - SHOPPING CONJUNTO NACIONAL 2 - SAP (39924)</t>
  </si>
  <si>
    <t>AQUILON JUFAP (TIM) - AVENIDA PARADA PINTO, 2262 - SHOPPING ANDORINHA - SPC292430</t>
  </si>
  <si>
    <t>SPC292430</t>
  </si>
  <si>
    <t>81214819002954</t>
  </si>
  <si>
    <t>JUFAP SHOP ANDORINHA - SAP (37979)</t>
  </si>
  <si>
    <t>LOJAS LEMAR (TIM) - RUA OSORIO RIBAS DE PAULA, 135 - SHOPPING CENTRO NORTE - SUL18992</t>
  </si>
  <si>
    <t>RUA OSORIO RIBAS DE PAULA</t>
  </si>
  <si>
    <t>86800140</t>
  </si>
  <si>
    <t>-23.5519188 , -51.46435169999999</t>
  </si>
  <si>
    <t>SUL18992</t>
  </si>
  <si>
    <t>20654202001306</t>
  </si>
  <si>
    <t>Shopping Centro Norte</t>
  </si>
  <si>
    <t>TIM - Q SHIS QI 5 CONJUNTO 16, S/N - CENTRO COMERCIAL GILBERTO SALOMAO - MGCO292370</t>
  </si>
  <si>
    <t>Q SHIS QI 5 CONJUNTO 16</t>
  </si>
  <si>
    <t>SETOR DE HABITACOES INDIVIDUAIS SUL</t>
  </si>
  <si>
    <t>71615560</t>
  </si>
  <si>
    <t>-15.8463544,-47.8955065</t>
  </si>
  <si>
    <t>MGCO292370</t>
  </si>
  <si>
    <t>2421421029870</t>
  </si>
  <si>
    <t>Centro Comercial Gilberto Salomao</t>
  </si>
  <si>
    <t>TIM - AVENIDA FERREIRA VIANA, 1526 - SHOPPING PELOTAS - SUL10797</t>
  </si>
  <si>
    <t>SUL10797</t>
  </si>
  <si>
    <t>02421421017863</t>
  </si>
  <si>
    <t>C276</t>
  </si>
  <si>
    <t>COMMCENTER - AVENIDA DOUTOR AFONSO VERGUEIRO, 823 - SHOPPING PÁTIO CIANÊ - SPI246070</t>
  </si>
  <si>
    <t>SOROCABA</t>
  </si>
  <si>
    <t>SPI246070</t>
  </si>
  <si>
    <t>5828732011637</t>
  </si>
  <si>
    <t>VIVO - AVENIDA GOVERNADOR VALADARES, 293A - ZONA COMERCIAL - MGCO7196</t>
  </si>
  <si>
    <t>293A</t>
  </si>
  <si>
    <t>35065055</t>
  </si>
  <si>
    <t>-19.967872 , -44.1992524</t>
  </si>
  <si>
    <t>MGCO7196</t>
  </si>
  <si>
    <t>ARMAZEM PARAIBA - AVENIDA PRESIDENTE EPITACIO PESSOA, 1400 - NE255590</t>
  </si>
  <si>
    <t>AVENIDA PRESIDENTE EPITACIO PESSOA</t>
  </si>
  <si>
    <t>58040000</t>
  </si>
  <si>
    <t>-7.1200145,-34.8600329</t>
  </si>
  <si>
    <t>NE255590</t>
  </si>
  <si>
    <t>8995631006998</t>
  </si>
  <si>
    <t>BERLANDA - AVENIDA ARGOLO, 41 - SUL291210</t>
  </si>
  <si>
    <t>AVENIDA ARGOLO</t>
  </si>
  <si>
    <t>São Bento do Sul</t>
  </si>
  <si>
    <t>89280064</t>
  </si>
  <si>
    <t>-26.2471732,-49.3884789</t>
  </si>
  <si>
    <t>SUL291210</t>
  </si>
  <si>
    <t>9313141000139</t>
  </si>
  <si>
    <t>CARREFOUR - DOMIGOS FERREIRA, 4456 - ZONA COMERCIAL - NE5924</t>
  </si>
  <si>
    <t>RUA ANTONIO FALCAO</t>
  </si>
  <si>
    <t>FRANCISCO CUNHA 919</t>
  </si>
  <si>
    <t>51020041</t>
  </si>
  <si>
    <t>-8.115792001816281, -34.896304326700864</t>
  </si>
  <si>
    <t>NE5924</t>
  </si>
  <si>
    <t>45543915041880</t>
  </si>
  <si>
    <t>CARREFOUR - AVENIDA PRESIDENTE KENNEDY, 635 - ZONA COMERCIAL - SPC11535</t>
  </si>
  <si>
    <t>635</t>
  </si>
  <si>
    <t>REMANSO</t>
  </si>
  <si>
    <t>9910550</t>
  </si>
  <si>
    <t>-23.685054 , -46.632301</t>
  </si>
  <si>
    <t>SPC11535</t>
  </si>
  <si>
    <t>45543915010578</t>
  </si>
  <si>
    <t>DMA</t>
  </si>
  <si>
    <t>CARREFOUR - AVENIDA GUSTAVO PAIVA, 2650 - ZONA COMERCIAL - NE10859</t>
  </si>
  <si>
    <t>AVENIDA GUSTAVO PAIVA</t>
  </si>
  <si>
    <t>2650</t>
  </si>
  <si>
    <t>-9.650437199999999 , -35.7170453</t>
  </si>
  <si>
    <t>NE10859</t>
  </si>
  <si>
    <t>13004510014481</t>
  </si>
  <si>
    <t>BMJ</t>
  </si>
  <si>
    <t>CASAS BAHIA - RODOVIA AMARAL PEIXOTO, S/N - ZONA COMERCIAL - RJES18720</t>
  </si>
  <si>
    <t>RODOVIA AMARAL PEIXOTO</t>
  </si>
  <si>
    <t>LOTE 35,179,QUADRA 4</t>
  </si>
  <si>
    <t>BAL. REMANSO</t>
  </si>
  <si>
    <t>Rio das Ostras</t>
  </si>
  <si>
    <t>28890000</t>
  </si>
  <si>
    <t>-22.5272744 , -41.9464095</t>
  </si>
  <si>
    <t>RJES18720</t>
  </si>
  <si>
    <t>33041260082705</t>
  </si>
  <si>
    <t>CASAS BAHIA - AVENIDA SEVERINO BALLESTEROS RODRIGUES, 850 - SHOPPING CONTAGEM - MGCO10514</t>
  </si>
  <si>
    <t>AVENIDA SEVERINO BALLESTEROS RODRIGUES</t>
  </si>
  <si>
    <t>850</t>
  </si>
  <si>
    <t>LUC 130 PISO L1</t>
  </si>
  <si>
    <t>RESSACA</t>
  </si>
  <si>
    <t>32110005</t>
  </si>
  <si>
    <t>-19.881002 , -44.03828</t>
  </si>
  <si>
    <t>MGCO10514</t>
  </si>
  <si>
    <t>33041260145138</t>
  </si>
  <si>
    <t>Shopping Contagem</t>
  </si>
  <si>
    <t>CASAS BAHIA - AVENIDA MARIO MELO, S/N - SHOPPING IGARASSU - NE87332</t>
  </si>
  <si>
    <t>53610600</t>
  </si>
  <si>
    <t>-7.8298835 , -34.9098688</t>
  </si>
  <si>
    <t>NE87332</t>
  </si>
  <si>
    <t>33041260172100</t>
  </si>
  <si>
    <t>2076</t>
  </si>
  <si>
    <t>CASAS BAHIA - RUA 15 DE NOVEMBRO, 152 - ZONA COMERCIAL - SPI10625</t>
  </si>
  <si>
    <t>-23.181982 , -45.88727</t>
  </si>
  <si>
    <t>SPI10625</t>
  </si>
  <si>
    <t>33041260029065</t>
  </si>
  <si>
    <t>CASAS BAHIA - AVENIDA DO RIO NOVO, 1657 - ZONA COMERCIAL - RJES64539</t>
  </si>
  <si>
    <t>AVENIDA CONDESSA DO RIO NOVO</t>
  </si>
  <si>
    <t>Três Rios</t>
  </si>
  <si>
    <t>25803000</t>
  </si>
  <si>
    <t>-22.118277 , -43.209538</t>
  </si>
  <si>
    <t>RJES64539</t>
  </si>
  <si>
    <t>33041260088584</t>
  </si>
  <si>
    <t>1435</t>
  </si>
  <si>
    <t>CASAS BAHIA - AVENIDA RUI BARBOSA, 598 - ZONA COMERCIAL - RJES19183</t>
  </si>
  <si>
    <t>Macaé</t>
  </si>
  <si>
    <t>27910362</t>
  </si>
  <si>
    <t>-22.374865 , -41.777557</t>
  </si>
  <si>
    <t>RJES19183</t>
  </si>
  <si>
    <t>33041260080761</t>
  </si>
  <si>
    <t>CASAS BAHIA - PRACA TIRADENTES, 356 - ZONA COMERCIAL - SUL19807</t>
  </si>
  <si>
    <t>PRACA TIRADENTES</t>
  </si>
  <si>
    <t>356</t>
  </si>
  <si>
    <t>80020100</t>
  </si>
  <si>
    <t>-25.43002007486428 , -49.27256205040828</t>
  </si>
  <si>
    <t>SUL19807</t>
  </si>
  <si>
    <t>33041260091291</t>
  </si>
  <si>
    <t>1267</t>
  </si>
  <si>
    <t>CASAS BAHIA - RUA JOSE MARIA TAITSON, 313 - ZONA COMERCIAL - MGCO41574</t>
  </si>
  <si>
    <t>RUA JOSE MARIA TAITSON</t>
  </si>
  <si>
    <t>Ibirité</t>
  </si>
  <si>
    <t>32400000</t>
  </si>
  <si>
    <t>-20.0218511 , -44.0586302</t>
  </si>
  <si>
    <t>MGCO41574</t>
  </si>
  <si>
    <t>1740</t>
  </si>
  <si>
    <t>CASAS BAHIA - RUA CARLOS FERRARI, 446 - SPI244380</t>
  </si>
  <si>
    <t>RUA CARLOS FERRARI</t>
  </si>
  <si>
    <t>-22.2116871,-49.6551603</t>
  </si>
  <si>
    <t>SPI244380</t>
  </si>
  <si>
    <t>33041260180200</t>
  </si>
  <si>
    <t>2168</t>
  </si>
  <si>
    <t>CASAS BAHIA - RUA PAES LEME, 997 - SPI247530</t>
  </si>
  <si>
    <t>RUA PAES LEME</t>
  </si>
  <si>
    <t>ANDRADINA</t>
  </si>
  <si>
    <t>16901010</t>
  </si>
  <si>
    <t>-20.8986061,-51.3832998</t>
  </si>
  <si>
    <t>SPI247530</t>
  </si>
  <si>
    <t>33041260110180</t>
  </si>
  <si>
    <t>CASAS BAHIA - RUA SILVINO DIAS BATISTA, 123 - SPI248410</t>
  </si>
  <si>
    <t>RUA SILVINO DIAS BATISTA</t>
  </si>
  <si>
    <t>-23.6503699,-47.5748862</t>
  </si>
  <si>
    <t>SPI248410</t>
  </si>
  <si>
    <t>33041260176793</t>
  </si>
  <si>
    <t>CASAS BAHIA - RUA MARECHAL RONDON, 1499 - MGCO272290</t>
  </si>
  <si>
    <t>-20.4596895,-54.6174433</t>
  </si>
  <si>
    <t>MGCO272290</t>
  </si>
  <si>
    <t>CASAS BAHIA - AVENIDA BRIGADEIRO EVERALDO BREVES, 165 - NE282080</t>
  </si>
  <si>
    <t>AVENIDA BRIGADEIRO EVERALDO BREVES</t>
  </si>
  <si>
    <t>Parnamirim</t>
  </si>
  <si>
    <t>59140200</t>
  </si>
  <si>
    <t>-5.9184052,-35.2637951</t>
  </si>
  <si>
    <t>NE282080</t>
  </si>
  <si>
    <t>33041260137542</t>
  </si>
  <si>
    <t>CASAS BAHIA - RUA TREZE DE MAIO, 287 - NE282330</t>
  </si>
  <si>
    <t>Candeias</t>
  </si>
  <si>
    <t>43805000</t>
  </si>
  <si>
    <t>-12.6718356,-38.5444027</t>
  </si>
  <si>
    <t>NE282330</t>
  </si>
  <si>
    <t>33041260139677</t>
  </si>
  <si>
    <t>CASAS BAHIA - RUA 15 DE NOVEMBRO, 267 - SPI286690</t>
  </si>
  <si>
    <t>São Manuel</t>
  </si>
  <si>
    <t>18650000</t>
  </si>
  <si>
    <t>-22.7299002,-48.5723905</t>
  </si>
  <si>
    <t>SPI286690</t>
  </si>
  <si>
    <t>33041260177099</t>
  </si>
  <si>
    <t>CASAS BAHIA - AVENIDA PREFEITO JONAS BANKS LEITE, 435 - SPI290660</t>
  </si>
  <si>
    <t>AVENIDA PREFEITO JONAS BANKS LEITE</t>
  </si>
  <si>
    <t>Registro</t>
  </si>
  <si>
    <t>11900000</t>
  </si>
  <si>
    <t>-24.4905006,-47.8440925</t>
  </si>
  <si>
    <t>SPI290660</t>
  </si>
  <si>
    <t>33041260093588</t>
  </si>
  <si>
    <t>CASAS BAHIA - AVENIDA PREFEITO JONAS BANKS LEITE, 593 - SPI290670</t>
  </si>
  <si>
    <t>-24.4911429,-47.8445214</t>
  </si>
  <si>
    <t>SPI290670</t>
  </si>
  <si>
    <t>33041260071509</t>
  </si>
  <si>
    <t>CASAS BAHIA - AVENIDA ARGOLO, 33 - SUL291200</t>
  </si>
  <si>
    <t>89280061</t>
  </si>
  <si>
    <t>-26.2472382,-49.386104</t>
  </si>
  <si>
    <t>SUL291200</t>
  </si>
  <si>
    <t>33041260207770</t>
  </si>
  <si>
    <t>2456</t>
  </si>
  <si>
    <t>CASAS BAHIA - AVENIDA DOUTOR JANUARIO MARAGLIA, 1460 - SPI12002</t>
  </si>
  <si>
    <t>AVENIDA DOUTOR JANUARIO MARAGLIA</t>
  </si>
  <si>
    <t>ABERNÉSSIA</t>
  </si>
  <si>
    <t>Campos do Jordão</t>
  </si>
  <si>
    <t>-22.7373652, -45.5909331</t>
  </si>
  <si>
    <t>SPI12002</t>
  </si>
  <si>
    <t>1369</t>
  </si>
  <si>
    <t>CASAS BAHIA - AVENIDA RUI BARBOSA, 274 - ZONA COMERCIAL - NE64718</t>
  </si>
  <si>
    <t>PARQUE HILDETE ROCHA</t>
  </si>
  <si>
    <t>Simões Filho</t>
  </si>
  <si>
    <t>43700000</t>
  </si>
  <si>
    <t>-12.7868 , -38.3999712</t>
  </si>
  <si>
    <t>NE64718</t>
  </si>
  <si>
    <t>33041260140330</t>
  </si>
  <si>
    <t>CASAS BAHIA - AVENIDA MARIANA AMALIA, 345 - NE249250</t>
  </si>
  <si>
    <t>AVENIDA MARIANA AMALIA</t>
  </si>
  <si>
    <t>MATRIZ</t>
  </si>
  <si>
    <t>VITORIA DE SANTO ANTAO</t>
  </si>
  <si>
    <t>55602010</t>
  </si>
  <si>
    <t>-8.1198027,-35.2977143</t>
  </si>
  <si>
    <t>NE249250</t>
  </si>
  <si>
    <t>33041260190001</t>
  </si>
  <si>
    <t>2283</t>
  </si>
  <si>
    <t>CASAS BAHIA - DUZENTOS E TRES, 36 - N249730</t>
  </si>
  <si>
    <t>DUZENTOS E TRES</t>
  </si>
  <si>
    <t>65058181</t>
  </si>
  <si>
    <t>-2.5739134,-44.203458</t>
  </si>
  <si>
    <t>N249730</t>
  </si>
  <si>
    <t>33041260185270</t>
  </si>
  <si>
    <t>2203</t>
  </si>
  <si>
    <t>CASAS BAHIA - ESTRADA DE RIBAMAR KM 08, 33 - N281290</t>
  </si>
  <si>
    <t>ESTRADA DE RIBAMAR KM 08</t>
  </si>
  <si>
    <t>TIJUPA QUEIMADO</t>
  </si>
  <si>
    <t>-2.550135,-44.173808</t>
  </si>
  <si>
    <t>N281290</t>
  </si>
  <si>
    <t>33041260183650</t>
  </si>
  <si>
    <t>2210</t>
  </si>
  <si>
    <t>CASAS BAHIA - RODOVIA BR 316, 6130 - N287600</t>
  </si>
  <si>
    <t>6130</t>
  </si>
  <si>
    <t>-1.4033856,-48.4353933</t>
  </si>
  <si>
    <t>N287600</t>
  </si>
  <si>
    <t>33041260189771</t>
  </si>
  <si>
    <t>2273</t>
  </si>
  <si>
    <t>CASAS BAHIA - AVENIDA EXPEDITO GARCIA, 143 - ZONA COMERCIAL - RJES9894</t>
  </si>
  <si>
    <t>143</t>
  </si>
  <si>
    <t>-20.342955446788864 , -40.38502436397096</t>
  </si>
  <si>
    <t>RJES9894</t>
  </si>
  <si>
    <t>CASAS BAHIA - RUA RUI BARBOSA, 1008 - ZONA COMERCIAL - SPI64809</t>
  </si>
  <si>
    <t>Matão</t>
  </si>
  <si>
    <t>15990080</t>
  </si>
  <si>
    <t>-21.6036066 , -48.36463149999999</t>
  </si>
  <si>
    <t>SPI64809</t>
  </si>
  <si>
    <t>CASAS BAHIA - AMANDO DE BARROS, 567 - ZONA COMERCIAL - SPI8762</t>
  </si>
  <si>
    <t>SPI8762</t>
  </si>
  <si>
    <t>CLARO CELL - AVENIDA PRESIDENTE KENNEDY, 1500 - NOVO SHOPPING RIBEIRAO - SPI7112</t>
  </si>
  <si>
    <t>SPI7112</t>
  </si>
  <si>
    <t>07053025000100</t>
  </si>
  <si>
    <t>MEIOS E METAS - AVENIDA CRISTIANO MACHADO, 11833 - SHOPPING ESTACAO - MGCO90027</t>
  </si>
  <si>
    <t>MGCO90027</t>
  </si>
  <si>
    <t>07603073000389</t>
  </si>
  <si>
    <t>HS - RUA ALCIDES MELLO RAMALHO, 650 - SHOPPING PATIO PINDA - SPI253240</t>
  </si>
  <si>
    <t>RUA ALCIDES MELLO RAMALHO</t>
  </si>
  <si>
    <t>650</t>
  </si>
  <si>
    <t>LOJA 30A</t>
  </si>
  <si>
    <t>SOCORRO</t>
  </si>
  <si>
    <t>17012430</t>
  </si>
  <si>
    <t>-22.9468901,-45.4833772</t>
  </si>
  <si>
    <t>SPI253240</t>
  </si>
  <si>
    <t>5923253004490</t>
  </si>
  <si>
    <t>Shopping Patio Pinda</t>
  </si>
  <si>
    <t>CLARO RP - RUA AMERICO DEOLINDO GARLA, 224 - LONDRINA NORTE SHOPPING - SUL257620</t>
  </si>
  <si>
    <t>LOJA 90</t>
  </si>
  <si>
    <t>PACAEMBU</t>
  </si>
  <si>
    <t>SUL257620</t>
  </si>
  <si>
    <t>5949641005765</t>
  </si>
  <si>
    <t>CLARO RP - RODOVIA SC-401, 3116 - FLORIPA SHOPPING - SUL287340</t>
  </si>
  <si>
    <t>SUL287340</t>
  </si>
  <si>
    <t>594964100017565</t>
  </si>
  <si>
    <t>VERSATIL TELECOM (CLARO) - RUA BARAO DO RIO BRANCO, 11 - MGCO265590</t>
  </si>
  <si>
    <t>33230091</t>
  </si>
  <si>
    <t>-19.6279187,-43.8968089</t>
  </si>
  <si>
    <t>MGCO265590</t>
  </si>
  <si>
    <t>35898719000176</t>
  </si>
  <si>
    <t>CONNECT CELL (CLARO) - AVENIDA GOVERNADOR FLAVIO RIBEIRO COUTINHO, 115 - MAG SHOPPING - NE10900</t>
  </si>
  <si>
    <t>AVENIDA GOVERNADOR FLAVIO RIBEIRO COUTINHO</t>
  </si>
  <si>
    <t>-7.0975024 , -34.8339449</t>
  </si>
  <si>
    <t>NE10900</t>
  </si>
  <si>
    <t>13985813000472</t>
  </si>
  <si>
    <t>Mag Shopping</t>
  </si>
  <si>
    <t>CLEAR TELECOM - AVENIDA LUIZ VIANA FILHO, 8544 - SHOPPING PARALELA - NE263170</t>
  </si>
  <si>
    <t>NE263170</t>
  </si>
  <si>
    <t>23199256000175</t>
  </si>
  <si>
    <t>CLARO RP - AVENIDA ATILIO PEDRO PAGANI, 270 - SHOPPING VIACATARINA - SUL270030</t>
  </si>
  <si>
    <t>PAGANI</t>
  </si>
  <si>
    <t>-27.64205,-48.6739574</t>
  </si>
  <si>
    <t>SUL270030</t>
  </si>
  <si>
    <t>5949641006141</t>
  </si>
  <si>
    <t>CLARO RP - RUA URSULA PAULINO, 1321 - CENTRAL PARK SHOPPING - MGCO278480</t>
  </si>
  <si>
    <t>ESTRELA DO ORIENTE</t>
  </si>
  <si>
    <t>-19.9595393,-43.9869182</t>
  </si>
  <si>
    <t>MGCO278480</t>
  </si>
  <si>
    <t>5949641013601</t>
  </si>
  <si>
    <t>Central Park Shopping</t>
  </si>
  <si>
    <t>CLARO TOTAL - RUA SAO MIGUEL, 176 - SAO MIGUEL CENTER - NE289750</t>
  </si>
  <si>
    <t>50850000</t>
  </si>
  <si>
    <t>NE289750</t>
  </si>
  <si>
    <t>59968962000181</t>
  </si>
  <si>
    <t>PONTO CELULAR - AVENIDA SEVERINO BEZERRA CABRAL, 1050 - PARTAGE SHOPPING CAMPINA GRANDE - NE290700</t>
  </si>
  <si>
    <t>NE290700</t>
  </si>
  <si>
    <t>3006494002234</t>
  </si>
  <si>
    <t>SELF TELECOM (CLARO) - TRAVESSA PADRE EUTIQUIO, 1078 - SHOPPING PATIO BELEM - N238830</t>
  </si>
  <si>
    <t>Batista Campos</t>
  </si>
  <si>
    <t>-1.4578538, -48.49465379999999</t>
  </si>
  <si>
    <t>N238830</t>
  </si>
  <si>
    <t>SELF TELECOM (CLARO) - AVENIDA MARIO MELO, S/N - SHOPPING IGARASSU - NE291070</t>
  </si>
  <si>
    <t>53610050</t>
  </si>
  <si>
    <t>NE291070</t>
  </si>
  <si>
    <t>40908723000108</t>
  </si>
  <si>
    <t>HS - RUA VICENTE DE PAULA LIMA, 1137 - ZONA COMERCIAL - SPI80082</t>
  </si>
  <si>
    <t>RUA VICENTE DE PAULA LIMA</t>
  </si>
  <si>
    <t>-21.2125045, -47.5967971</t>
  </si>
  <si>
    <t>SPI80082</t>
  </si>
  <si>
    <t>HS - AVENIDA DEZENOVE, 935 - ZONA COMERCIAL - SPI64813</t>
  </si>
  <si>
    <t>935</t>
  </si>
  <si>
    <t>-20.559519 , -48.569828</t>
  </si>
  <si>
    <t>SPI64813</t>
  </si>
  <si>
    <t>05923253001980</t>
  </si>
  <si>
    <t>CONVERGE TELECOM (CLARO) - RUA CARLOS FERRARI, 136 - SPI248190</t>
  </si>
  <si>
    <t>-22.2113935,-49.6570882</t>
  </si>
  <si>
    <t>SPI248190</t>
  </si>
  <si>
    <t>18194895000299</t>
  </si>
  <si>
    <t>CELULAR.COM - RUA RUI BARBOSA, 1029 - SPI249350</t>
  </si>
  <si>
    <t>15990030</t>
  </si>
  <si>
    <t>-21.6033664,-48.3663767</t>
  </si>
  <si>
    <t>SPI249350</t>
  </si>
  <si>
    <t>594964100372</t>
  </si>
  <si>
    <t>HS - RUA SAO PAULO, 2023 - SPI263200</t>
  </si>
  <si>
    <t>15603027</t>
  </si>
  <si>
    <t>-20.2824878, -50.2474494</t>
  </si>
  <si>
    <t>SPI263200</t>
  </si>
  <si>
    <t>5923253004300</t>
  </si>
  <si>
    <t>JPM (CLARO) - RUA DOUTOR RODRIGUES DE AZEVEDO, 79 - SPI265600</t>
  </si>
  <si>
    <t>RUA DOUTOR RODRIGUES DE AZEVEDO</t>
  </si>
  <si>
    <t>12600005</t>
  </si>
  <si>
    <t>-22.732092,-45.1247308</t>
  </si>
  <si>
    <t>SPI265600</t>
  </si>
  <si>
    <t>24217016000208</t>
  </si>
  <si>
    <t>ADESIENE NUNES (CLARO) - RUA LARA CAMPOS, 459 - SPI275930</t>
  </si>
  <si>
    <t>RUA LARA CAMPOS</t>
  </si>
  <si>
    <t>Tietê</t>
  </si>
  <si>
    <t>18530000</t>
  </si>
  <si>
    <t>-23.1030773,-47.7179477</t>
  </si>
  <si>
    <t>SPI275930</t>
  </si>
  <si>
    <t>7001184000587</t>
  </si>
  <si>
    <t>BERTRAN TELECOMUNICACOES (CLARO) - AVENIDA FREI ORESTES GIRADI, 963 - SPI259500</t>
  </si>
  <si>
    <t>AVENIDA FREI ORESTES GIRADI</t>
  </si>
  <si>
    <t>ABERNESSIA</t>
  </si>
  <si>
    <t>12460000</t>
  </si>
  <si>
    <t>-22.7403734,-45.594373</t>
  </si>
  <si>
    <t>SPI259500</t>
  </si>
  <si>
    <t>23166752000475</t>
  </si>
  <si>
    <t>CLARO RP - AVENIDA DOM PEDRO I, 784 - SPI259800</t>
  </si>
  <si>
    <t>784</t>
  </si>
  <si>
    <t>-21.1555998,-47.8218707</t>
  </si>
  <si>
    <t>SPI259800</t>
  </si>
  <si>
    <t>5949641001263</t>
  </si>
  <si>
    <t>CELL NET - QUADRA 04 MC LOTE 09, S/N - MGCO292320</t>
  </si>
  <si>
    <t>QUADRA 04 MC LOTE 09</t>
  </si>
  <si>
    <t>SETOR LESTE</t>
  </si>
  <si>
    <t>72752020</t>
  </si>
  <si>
    <t>-15.4544079,-57.364651</t>
  </si>
  <si>
    <t>MGCO292320</t>
  </si>
  <si>
    <t>4601016000615</t>
  </si>
  <si>
    <t>AGR TELECOM - AVENIDA CRISTIANO MACHADO, 11833 - SHOPPING ESTACAO BH - MGCO5778</t>
  </si>
  <si>
    <t>MGCO5778</t>
  </si>
  <si>
    <t>CLARO - AVENIDA HENRIQUE HOLANDA, 3000 - VITORIA PARK SHOPPING - NE250800</t>
  </si>
  <si>
    <t>AVENIDA HENRIQUE HOLANDA</t>
  </si>
  <si>
    <t>LOJA 1046</t>
  </si>
  <si>
    <t>REDENÇÃO</t>
  </si>
  <si>
    <t>Vitoria De Santo Antao</t>
  </si>
  <si>
    <t>55612901</t>
  </si>
  <si>
    <t>-8.1176589,-35.2754525</t>
  </si>
  <si>
    <t>NE250800</t>
  </si>
  <si>
    <t>24073694007249</t>
  </si>
  <si>
    <t>Vitoria Park Shopping</t>
  </si>
  <si>
    <t>CLARO - AVENIDA JULIO DE CASTILHOS, 1838 - ZONA COMERCIAL - SUL7004</t>
  </si>
  <si>
    <t>SALA 4,TERREO</t>
  </si>
  <si>
    <t>-29.16803 , -51.185295</t>
  </si>
  <si>
    <t>SUL7004</t>
  </si>
  <si>
    <t>CLARO - AVENIDA DOS ANDRADAS, 3000 - SHOPPING BOULEVARD - MGCO6846</t>
  </si>
  <si>
    <t>LOJA 1032,NIVEL 1</t>
  </si>
  <si>
    <t>MGCO6846</t>
  </si>
  <si>
    <t>40432544030720</t>
  </si>
  <si>
    <t>CLARO - RUA DO PRINCIPE, 267 - SUL46684</t>
  </si>
  <si>
    <t>-26.3014428 , -48.845179400000006</t>
  </si>
  <si>
    <t>SUL46684</t>
  </si>
  <si>
    <t>40432544025646</t>
  </si>
  <si>
    <t>4807</t>
  </si>
  <si>
    <t>LOJAS COLOMBO - AVENIDA DOUTOR FLORES, 119 - ZONA COMERCIAL - SUL7574</t>
  </si>
  <si>
    <t>-30.028977 , -51.224669</t>
  </si>
  <si>
    <t>SUL7574</t>
  </si>
  <si>
    <t>89848543033695</t>
  </si>
  <si>
    <t>DAROM - AVENIDA EXPEDICIONARIOS, 66 - ZONA COMERCIAL - SUL11556</t>
  </si>
  <si>
    <t>AVENIDA EXPEDICIONARIOS</t>
  </si>
  <si>
    <t>86600000</t>
  </si>
  <si>
    <t>-23.3114255 , -51.3686422</t>
  </si>
  <si>
    <t>SUL11556</t>
  </si>
  <si>
    <t>DAROM</t>
  </si>
  <si>
    <t>ELETROZEMA - RUA COMENDADOR ANTONIO ALVES, 582 - MGCO242450</t>
  </si>
  <si>
    <t>-19.6204365,-44.0424952</t>
  </si>
  <si>
    <t>MGCO242450</t>
  </si>
  <si>
    <t>26404731059590</t>
  </si>
  <si>
    <t>FOTO NASCIMENTO - AVENIDA GENERAL RODRIGO OTAVIO, 3555 - SHOPPING STUDIO 5 - N18888</t>
  </si>
  <si>
    <t>JAPIIN</t>
  </si>
  <si>
    <t>69077000</t>
  </si>
  <si>
    <t>-3.1244871 , -59.98324079999999</t>
  </si>
  <si>
    <t>N18888</t>
  </si>
  <si>
    <t>4536309000501</t>
  </si>
  <si>
    <t>HAVAN - AVENIDA AYRTON SENNA DA SILVA, 1511 - SPC7997</t>
  </si>
  <si>
    <t>SPC7997</t>
  </si>
  <si>
    <t>79379491010650</t>
  </si>
  <si>
    <t>103 - PRAIA GRANDE</t>
  </si>
  <si>
    <t>HAVAN - RUA NICOLAU ASSIS, 969 - ZONA COMERCIAL - SPI42176</t>
  </si>
  <si>
    <t>RUA NICOLAU ASSIS</t>
  </si>
  <si>
    <t>969</t>
  </si>
  <si>
    <t>JARDIM PANORAMA</t>
  </si>
  <si>
    <t>17011102</t>
  </si>
  <si>
    <t>-22.338689 , -49.049865</t>
  </si>
  <si>
    <t>SPI42176</t>
  </si>
  <si>
    <t>79379491006203</t>
  </si>
  <si>
    <t>61 - BAURU</t>
  </si>
  <si>
    <t>HAVAN - AVENIDA QUATORZE DE DEZEMBRO, 1449 - SPI261190</t>
  </si>
  <si>
    <t>1449</t>
  </si>
  <si>
    <t>VILA MAFALDA</t>
  </si>
  <si>
    <t>13206105</t>
  </si>
  <si>
    <t>-23.2183284,-46.875522</t>
  </si>
  <si>
    <t>SPI261190</t>
  </si>
  <si>
    <t>79379491006890</t>
  </si>
  <si>
    <t>68 - JUNDIAI</t>
  </si>
  <si>
    <t>IMPERIO - AVENIDA BARRETO DE MENEZES, 800 - SHOPPING GUARARAPES - NE89518</t>
  </si>
  <si>
    <t>LJ 205</t>
  </si>
  <si>
    <t>NE89518</t>
  </si>
  <si>
    <t>27936211000863</t>
  </si>
  <si>
    <t>IMPERIO - RUA DA PALMA, 251 - NE241030</t>
  </si>
  <si>
    <t>-8.0650409, -34.8805879</t>
  </si>
  <si>
    <t>NE241030</t>
  </si>
  <si>
    <t>27936211002998</t>
  </si>
  <si>
    <t>J.MAHFUZ - RUA SETE DE SETEMBRO, 133 - ZONA COMERCIAL - SPI79505</t>
  </si>
  <si>
    <t>-21.6724018 , -49.7514325</t>
  </si>
  <si>
    <t>SPI79505</t>
  </si>
  <si>
    <t>KOERICH - AVENIDA GETULIO VARGAS, 112 - SUL290780</t>
  </si>
  <si>
    <t>-28.9350213,-49.4872123</t>
  </si>
  <si>
    <t>SUL290780</t>
  </si>
  <si>
    <t>86184074014109</t>
  </si>
  <si>
    <t>KOERICH - RUA FATIMA, 2082 - SUL291330</t>
  </si>
  <si>
    <t>RUA FATIMA</t>
  </si>
  <si>
    <t>FÁTIMA</t>
  </si>
  <si>
    <t>89229102</t>
  </si>
  <si>
    <t>-26.3225658,-48.8215473</t>
  </si>
  <si>
    <t>SUL291330</t>
  </si>
  <si>
    <t>86184074008982</t>
  </si>
  <si>
    <t>LASER ELETRO - RUA PADRE LEMOS, 30 - ZONA COMERCIAL - NE19101</t>
  </si>
  <si>
    <t>-8.0264688 , -34.917722</t>
  </si>
  <si>
    <t>NE19101</t>
  </si>
  <si>
    <t>LASER ELETRO</t>
  </si>
  <si>
    <t>LEBES - SALDANHA DA GAMA, 936 - ZONA COMERCIAL - SUL6268</t>
  </si>
  <si>
    <t>SALDANHA DA GAMA</t>
  </si>
  <si>
    <t>-29.7682966 , -51.1480939</t>
  </si>
  <si>
    <t>SUL6268</t>
  </si>
  <si>
    <t>96662168005109</t>
  </si>
  <si>
    <t>LOJAS AMERICANAS - RUA ANTONIO CARLOS, 88 - ZONA COMERCIAL - SPI87502</t>
  </si>
  <si>
    <t>RUA ANTONIO CARLOS</t>
  </si>
  <si>
    <t>13270005</t>
  </si>
  <si>
    <t>-22.9699261 , -46.9953307</t>
  </si>
  <si>
    <t>SPI87502</t>
  </si>
  <si>
    <t>776574038390</t>
  </si>
  <si>
    <t>L940</t>
  </si>
  <si>
    <t>LOJAS AMERICANAS - RUA VICENTE DE PAULA LIMA, 407 - ZONA COMERCIAL - SPI80665</t>
  </si>
  <si>
    <t>407</t>
  </si>
  <si>
    <t>SPI80665</t>
  </si>
  <si>
    <t>776574069008</t>
  </si>
  <si>
    <t>5013</t>
  </si>
  <si>
    <t>LOJAS AMERICANAS - RODOVIA AMARAL PEIXOTO, 4340 - RJES18724</t>
  </si>
  <si>
    <t>AVENIDA CASIMIRO DE ABREU</t>
  </si>
  <si>
    <t>4340</t>
  </si>
  <si>
    <t>Lote 21-A, Quadra 3</t>
  </si>
  <si>
    <t>BALNEARIO REMANSO</t>
  </si>
  <si>
    <t>-22.5277277 , -41.9472768</t>
  </si>
  <si>
    <t>RJES18724</t>
  </si>
  <si>
    <t>776574078856</t>
  </si>
  <si>
    <t>L662</t>
  </si>
  <si>
    <t>LOJAS AMERICANAS - AVENIDA LUIZ EDUARDO TOLEDO, 900 - SHOPPING IGUATEMI RIBEIRAO PRETO - SPI8602</t>
  </si>
  <si>
    <t>LOJA 2071</t>
  </si>
  <si>
    <t>SPI8602</t>
  </si>
  <si>
    <t>776574065282</t>
  </si>
  <si>
    <t>LOJAS AMERICANAS - AVENIDA TUIUTI, 710 - SHOPPING CIDADE MARINGA - SUL11673</t>
  </si>
  <si>
    <t>LOJA ANCORA 44/45</t>
  </si>
  <si>
    <t>-23.422655 , -51.906835</t>
  </si>
  <si>
    <t>SUL11673</t>
  </si>
  <si>
    <t>776574144158</t>
  </si>
  <si>
    <t>LOJAS AMERICANAS - RUA EMILIO JOHNSON, 755 - SUL22651</t>
  </si>
  <si>
    <t>RUA EMILIO JOHNSON</t>
  </si>
  <si>
    <t>-25.3097429 , -49.2974921</t>
  </si>
  <si>
    <t>SUL22651</t>
  </si>
  <si>
    <t>776574141647</t>
  </si>
  <si>
    <t>L681</t>
  </si>
  <si>
    <t>LOJAS AMERICANAS - AVENIDA FREI ORESTE GIRARDI, 1319 - SPI251820</t>
  </si>
  <si>
    <t>AVENIDA FREI ORESTE GIRARDI</t>
  </si>
  <si>
    <t>-22.7379723,-45.5942351</t>
  </si>
  <si>
    <t>SPI251820</t>
  </si>
  <si>
    <t>776574057930</t>
  </si>
  <si>
    <t>L581</t>
  </si>
  <si>
    <t>LOJAS AMERICANAS - RUA DOUTOR RODRIGUES DE AZEVEDO, 291 - SPI238850</t>
  </si>
  <si>
    <t>-22.7329302, -45.1204459</t>
  </si>
  <si>
    <t>SPI238850</t>
  </si>
  <si>
    <t>776574029642</t>
  </si>
  <si>
    <t>L614</t>
  </si>
  <si>
    <t>LOJAS AMERICANAS - SHIS QI 05 BLOCO H, S/N - SHOPPING GILBERTO SALOMAO - MGCO20055</t>
  </si>
  <si>
    <t>SHIS QI 05 BLOCO H</t>
  </si>
  <si>
    <t>LAGOSUL</t>
  </si>
  <si>
    <t>-15.8460641, -47.8947758</t>
  </si>
  <si>
    <t>MGCO20055</t>
  </si>
  <si>
    <t>776574073463</t>
  </si>
  <si>
    <t>L689</t>
  </si>
  <si>
    <t>LOJAS AMERICANAS - AVENIDA BRASIL, 4131 - SUL11676</t>
  </si>
  <si>
    <t>4131</t>
  </si>
  <si>
    <t>ZONA 1</t>
  </si>
  <si>
    <t>-23.421061 , -51.942299</t>
  </si>
  <si>
    <t>SUL11676</t>
  </si>
  <si>
    <t>776574144239</t>
  </si>
  <si>
    <t>L930</t>
  </si>
  <si>
    <t>LOJAS AMERICANAS - RUA SAO MIGUEL, 82 - NE237710</t>
  </si>
  <si>
    <t>50770720</t>
  </si>
  <si>
    <t>-8.079955199999999, -34.9073697</t>
  </si>
  <si>
    <t>NE237710</t>
  </si>
  <si>
    <t>776574008211</t>
  </si>
  <si>
    <t>1097</t>
  </si>
  <si>
    <t>LOJAS AMERICANAS - AVENIDA HILTON SOUTO MAIOR, 3901 - MANGABEIRA SHOPPING - NE39735</t>
  </si>
  <si>
    <t>NE39735</t>
  </si>
  <si>
    <t>776574124718</t>
  </si>
  <si>
    <t>LOJAS AMERICANAS - RODOVIA BR 282, KM 216,  - LAGES GARDEN SHOPPING - SUL64533</t>
  </si>
  <si>
    <t>GUARUJA</t>
  </si>
  <si>
    <t>88521130</t>
  </si>
  <si>
    <t>SUL64533</t>
  </si>
  <si>
    <t>776574131170</t>
  </si>
  <si>
    <t>LOJAS AMERICANAS - RUA ALCIDES MELLO RAMALHO, 650 - SHOPPING PATIO PINDA - SPI253260</t>
  </si>
  <si>
    <t>12421705</t>
  </si>
  <si>
    <t>SPI253260</t>
  </si>
  <si>
    <t>776574064049</t>
  </si>
  <si>
    <t>L491</t>
  </si>
  <si>
    <t>LOJAS AMERICANAS - AVENIDA HENRIQUE HOLANDA, 3000 - VITORIA PARK SHOPPING - NE250500</t>
  </si>
  <si>
    <t>-8.1160142, -35.2707964</t>
  </si>
  <si>
    <t>NE250500</t>
  </si>
  <si>
    <t>776574110172</t>
  </si>
  <si>
    <t>LOJAS AMERICANAS - AVENIDA MARCOLINO MARTINS CABRAL, 2525 - FAROL SHOPPING - SUL242330</t>
  </si>
  <si>
    <t>SUL242330</t>
  </si>
  <si>
    <t>776574160862</t>
  </si>
  <si>
    <t>L241</t>
  </si>
  <si>
    <t>LOJAS CEM - RUA JOAO PESSOA, 1085 -  ZONA COMERCIAL - SPI64810</t>
  </si>
  <si>
    <t>15990020</t>
  </si>
  <si>
    <t>-21.6022245 , -48.3640906</t>
  </si>
  <si>
    <t>SPI64810</t>
  </si>
  <si>
    <t>56642960015808</t>
  </si>
  <si>
    <t>LOJAS CEM - AVENIDA PREFEITO JONAS BANKS LEITE, 685 - SPI267530</t>
  </si>
  <si>
    <t>685</t>
  </si>
  <si>
    <t>-24.4924699,-47.8454781</t>
  </si>
  <si>
    <t>SPI267530</t>
  </si>
  <si>
    <t>56642960005845</t>
  </si>
  <si>
    <t>REGIST</t>
  </si>
  <si>
    <t>LOJAS CEM - AVENIDA IRMAS CINTRA, 400 - SPI267540</t>
  </si>
  <si>
    <t>AVENIDA IRMAS CINTRA</t>
  </si>
  <si>
    <t>18650049</t>
  </si>
  <si>
    <t>-22.7325327, -48.57142750000001</t>
  </si>
  <si>
    <t>SPI267540</t>
  </si>
  <si>
    <t>56642960006221</t>
  </si>
  <si>
    <t>SMANOE</t>
  </si>
  <si>
    <t>LOJAS CEM - RUA CORONEL EUGENIO MOTTA, 457 - SPI267730</t>
  </si>
  <si>
    <t>18550103</t>
  </si>
  <si>
    <t>-23.2835478, -47.6709305</t>
  </si>
  <si>
    <t>SPI267730</t>
  </si>
  <si>
    <t>56642960016880</t>
  </si>
  <si>
    <t>BOITUV</t>
  </si>
  <si>
    <t>LOJAS CEM - RUA LARA CAMPOS, 382 - SPI268330</t>
  </si>
  <si>
    <t>-23.1026079,-47.715867</t>
  </si>
  <si>
    <t>SPI268330</t>
  </si>
  <si>
    <t>56642960028209</t>
  </si>
  <si>
    <t>TIETE</t>
  </si>
  <si>
    <t>LOJAS CEM - AVENIDA CECILIA MEIRELLES, 170 - SPI268100</t>
  </si>
  <si>
    <t>AVENIDA CECILIA MEIRELLES</t>
  </si>
  <si>
    <t>JARDIM NOSSA SENHORA APARECIDA</t>
  </si>
  <si>
    <t>13474470</t>
  </si>
  <si>
    <t>-22.704991,-47.2986021</t>
  </si>
  <si>
    <t>SPI268100</t>
  </si>
  <si>
    <t>56642960024807</t>
  </si>
  <si>
    <t>AMEZAN</t>
  </si>
  <si>
    <t>LOJAS CEM - AVENIDA PRINCESA ISABEL, 1449 - SPI268320</t>
  </si>
  <si>
    <t>BAIRRO PEREQUE</t>
  </si>
  <si>
    <t>Ilhabela</t>
  </si>
  <si>
    <t>11630000</t>
  </si>
  <si>
    <t>-23.8167807,-45.3668126</t>
  </si>
  <si>
    <t>SPI268320</t>
  </si>
  <si>
    <t>56642960028110</t>
  </si>
  <si>
    <t>ILHABE</t>
  </si>
  <si>
    <t>LOJAS CEM - AVENIDA DE CELLO, 1579 - SPI268460</t>
  </si>
  <si>
    <t>AVENIDA DE CELLO</t>
  </si>
  <si>
    <t>CIDADE JARDIM I</t>
  </si>
  <si>
    <t>13466550</t>
  </si>
  <si>
    <t>-22.757847,-47.3378744</t>
  </si>
  <si>
    <t>SPI268460</t>
  </si>
  <si>
    <t>56642960030360</t>
  </si>
  <si>
    <t>AMEJAR</t>
  </si>
  <si>
    <t>LOJAS CEM - AVENIDA DOM PEDRO II, 187 - SPI292390</t>
  </si>
  <si>
    <t>JARDIM ARENTES</t>
  </si>
  <si>
    <t>19400011</t>
  </si>
  <si>
    <t>-21.8734664,-51.8467433</t>
  </si>
  <si>
    <t>SPI292390</t>
  </si>
  <si>
    <t>56642960031684</t>
  </si>
  <si>
    <t>MAGAZINE LUIZA - AVENIDA QUINZE DE NOVEMBRO, 926 - SPI229650</t>
  </si>
  <si>
    <t>15990000</t>
  </si>
  <si>
    <t>-21.6027592 , -48.3648734</t>
  </si>
  <si>
    <t>SPI229650</t>
  </si>
  <si>
    <t>47961000000000</t>
  </si>
  <si>
    <t>MAGAZINE LUIZA - RUA BARAO DO RIO RANCO, 1273 - ZONA COMERCIAL - SPI10750</t>
  </si>
  <si>
    <t>-21.13876 , -47.988945</t>
  </si>
  <si>
    <t>SPI10750</t>
  </si>
  <si>
    <t>MAGAZINE LUIZA - RUA PRACA ARISTISDES LOBO, 54 - ZONA COMERCIAL - NE10922</t>
  </si>
  <si>
    <t>-7.119191499999999 , -34.8859263</t>
  </si>
  <si>
    <t>NE10922</t>
  </si>
  <si>
    <t>47960950077850</t>
  </si>
  <si>
    <t>MAGAZINE LUIZA - RUA CARLOS FERRARI, 241 - SPI244350</t>
  </si>
  <si>
    <t>241</t>
  </si>
  <si>
    <t>-22.2114769,-49.6580668</t>
  </si>
  <si>
    <t>SPI244350</t>
  </si>
  <si>
    <t>47960950016206</t>
  </si>
  <si>
    <t>MAGAZINE LUIZA - RUA PREFEITO JOAO CLEOFAS DE OLIVEIRA, 134 - NE249380</t>
  </si>
  <si>
    <t>RUA PREFEITO JOAO CLEOFAS DE OLIVEIRA</t>
  </si>
  <si>
    <t>55602125</t>
  </si>
  <si>
    <t>-8.1183402,-35.2977706</t>
  </si>
  <si>
    <t>NE249380</t>
  </si>
  <si>
    <t>47960950078902</t>
  </si>
  <si>
    <t>810</t>
  </si>
  <si>
    <t>MAGAZINE LUIZA - PRACA ELIAS GARCIA, 145 - SPI275940</t>
  </si>
  <si>
    <t>PRACA ELIAS GARCIA</t>
  </si>
  <si>
    <t>-23.1008736,-47.7178959</t>
  </si>
  <si>
    <t>SPI275940</t>
  </si>
  <si>
    <t>47960950121425</t>
  </si>
  <si>
    <t>MAGAZINE LUIZA - RUA CORONEL JOAQUIM FLORIANO, 233 - SPI286700</t>
  </si>
  <si>
    <t>RUA CORONEL JOAQUIM FLORIANO</t>
  </si>
  <si>
    <t>18650009</t>
  </si>
  <si>
    <t>-22.7306389,-48.5718743</t>
  </si>
  <si>
    <t>SPI286700</t>
  </si>
  <si>
    <t>47960950025973</t>
  </si>
  <si>
    <t>MAGAZINE LUIZA - AVENIDA PREFEITO JONAS BANKS LEITE, 432 - SPI290680</t>
  </si>
  <si>
    <t>-24.4903329,-47.8446435</t>
  </si>
  <si>
    <t>SPI290680</t>
  </si>
  <si>
    <t>47960950099403</t>
  </si>
  <si>
    <t>MAGAZINE LUIZA - RUA SAO PAULO, 824 - MGCO239350</t>
  </si>
  <si>
    <t>30170905</t>
  </si>
  <si>
    <t>-19.9207375, -43.940591</t>
  </si>
  <si>
    <t>MGCO239350</t>
  </si>
  <si>
    <t>47960950150360</t>
  </si>
  <si>
    <t>MAGAZINE LUIZA - QD 3, MC LOTE 5, S/N - MGCO254870</t>
  </si>
  <si>
    <t>QD 3, MC LOTE 5</t>
  </si>
  <si>
    <t>-15.4535946,-47.6115892</t>
  </si>
  <si>
    <t>MGCO254870</t>
  </si>
  <si>
    <t>47960950112353</t>
  </si>
  <si>
    <t>MAGAZINE LUIZA - RUA TEODORO SAMPAIO, 2625 - ZONA COMERCIAL - SPC6504</t>
  </si>
  <si>
    <t>2625</t>
  </si>
  <si>
    <t>-23.566462 , -46.69228</t>
  </si>
  <si>
    <t>SPC6504</t>
  </si>
  <si>
    <t>47960950050579</t>
  </si>
  <si>
    <t>MAGAZINE LUIZA - RUA DIAS DA CRUZ, 88 - RJES241930</t>
  </si>
  <si>
    <t>Méier</t>
  </si>
  <si>
    <t>-22.9017262, -43.280365</t>
  </si>
  <si>
    <t>RJES241930</t>
  </si>
  <si>
    <t>47960950176246</t>
  </si>
  <si>
    <t>MAGAZINE LUIZA - AVENIDA ATILIO PEDRO PAGANI, 270 - SUL228400</t>
  </si>
  <si>
    <t>-27.6420671 , -48.6716962</t>
  </si>
  <si>
    <t>SUL228400</t>
  </si>
  <si>
    <t>MERCADO MOVEIS - RUA AUGUSTO RIBAS, 876 - ZONA COMERCIAL - SUL11571</t>
  </si>
  <si>
    <t>RUA AUGUSTO RIBAS</t>
  </si>
  <si>
    <t>876</t>
  </si>
  <si>
    <t>-25.0941391 , -50.1602117</t>
  </si>
  <si>
    <t>SUL11571</t>
  </si>
  <si>
    <t>77500049001703</t>
  </si>
  <si>
    <t>MERCADO MOVEIS - RUA ARGOLO, 200 - SUL291240</t>
  </si>
  <si>
    <t>RUA ARGOLO</t>
  </si>
  <si>
    <t>-26.2465401,-49.3874709</t>
  </si>
  <si>
    <t>SUL291240</t>
  </si>
  <si>
    <t>77500049014600</t>
  </si>
  <si>
    <t>MERCADO MOVEIS - RUA JACARANDA, 465 - ZONA COMERCIAL - SUL18792</t>
  </si>
  <si>
    <t>-25.6496363 , -49.3113331</t>
  </si>
  <si>
    <t>SUL18792</t>
  </si>
  <si>
    <t>77500049003234</t>
  </si>
  <si>
    <t>MILENA MOVEIS - RUA DA PALMA, 302 - ZONA COMERCIAL - NE47462</t>
  </si>
  <si>
    <t>SANTOANTNIO</t>
  </si>
  <si>
    <t>-8.0657014 , -34.88071530000001</t>
  </si>
  <si>
    <t>NE47462</t>
  </si>
  <si>
    <t>00296549001066</t>
  </si>
  <si>
    <t>MULTILOJA - RUA EMILIO JOHNSSON, 750 - ZONA COMERCIAL - SUL19552</t>
  </si>
  <si>
    <t>-25.3103339 , -49.29744789999999</t>
  </si>
  <si>
    <t>SUL19552</t>
  </si>
  <si>
    <t>02869763002304</t>
  </si>
  <si>
    <t>NOVO MUNDO - AVENIDA RIO VERDE, S/N - SHOPPING BURITI - MGCO20085</t>
  </si>
  <si>
    <t>LUC 153</t>
  </si>
  <si>
    <t>-16.74112038033179 , -49.27699683946657</t>
  </si>
  <si>
    <t>MGCO20085</t>
  </si>
  <si>
    <t>01534080008536</t>
  </si>
  <si>
    <t>NOVO MUNDO - QD 3 MC LOTES 07/08, S/N - MGCO254880</t>
  </si>
  <si>
    <t>QD 3 MC LOTES 07/08</t>
  </si>
  <si>
    <t>-15.4533273,-47.6111133</t>
  </si>
  <si>
    <t>MGCO254880</t>
  </si>
  <si>
    <t>1534080013530</t>
  </si>
  <si>
    <t>PAPEL &amp; CIA DIGITAL - AVENIDA TANCREDO NEVES, 3133 - SHOPPING SALVADOR - NE20593</t>
  </si>
  <si>
    <t>SL 1107</t>
  </si>
  <si>
    <t>NE20593</t>
  </si>
  <si>
    <t>07014198000616</t>
  </si>
  <si>
    <t>PONTO FRIO - AVENIDA RUI BARBOSA, 443 - ZONA COMERCIAL - RJES19182</t>
  </si>
  <si>
    <t>455 A,457 E 459 LJS</t>
  </si>
  <si>
    <t>27910361</t>
  </si>
  <si>
    <t>-22.373528 , -41.777828</t>
  </si>
  <si>
    <t>RJES19182</t>
  </si>
  <si>
    <t>33041260011956</t>
  </si>
  <si>
    <t>PONTO FRIO - RODOVIA AMARAL PEIXOTO, 4545 - ZONA COMERCIAL - RJES18722</t>
  </si>
  <si>
    <t>FILIAL 652</t>
  </si>
  <si>
    <t>-22.526975 , -41.945242</t>
  </si>
  <si>
    <t>RJES18722</t>
  </si>
  <si>
    <t>33041260066858</t>
  </si>
  <si>
    <t>PONTO FRIO - RUA TUPIS, 337 - SHOPPING CIDADE - MGCO5823</t>
  </si>
  <si>
    <t>LOJAS T 35,67 E 68</t>
  </si>
  <si>
    <t>MGCO5823</t>
  </si>
  <si>
    <t>33041260055228</t>
  </si>
  <si>
    <t>PONTO FRIO - AVENIDA DOS ANDRADAS, 3000 - SHOPPING BOULEVARD - MGCO5794</t>
  </si>
  <si>
    <t>1º PISO,SALA 1040</t>
  </si>
  <si>
    <t>MGCO5794</t>
  </si>
  <si>
    <t>33041260072661</t>
  </si>
  <si>
    <t>PONTO FRIO - AVENIDA ABILIO DE MACHADO, 1740 - ZONA COMERCIAL - MGCO20609</t>
  </si>
  <si>
    <t>-19.902378 , -44.003784</t>
  </si>
  <si>
    <t>MGCO20609</t>
  </si>
  <si>
    <t>33041260049848</t>
  </si>
  <si>
    <t>PONTO FRIO - BARAO DE RIO BRANCO, 1566 - ZONA COMERCIAL - SPI22080</t>
  </si>
  <si>
    <t>BARAO DE RIO BRANCO</t>
  </si>
  <si>
    <t>SPI22080</t>
  </si>
  <si>
    <t>RIACHUELO - AVENIDA SEVERINO BALESTEROS RODRIGUES, 850 - SHOPPING CONTAGEM - MGCO48472</t>
  </si>
  <si>
    <t>LOJA 1034 PAVMTO 1</t>
  </si>
  <si>
    <t>MGCO48472</t>
  </si>
  <si>
    <t>33200056024919</t>
  </si>
  <si>
    <t>RIACHUELO - AVENIDA THEODORO VICTORELLI, 150 - BOULEVARD LONDRINA SHOPPING - SUL47508</t>
  </si>
  <si>
    <t>LUC LSU08 L215</t>
  </si>
  <si>
    <t>SUL47508</t>
  </si>
  <si>
    <t>33200056016908</t>
  </si>
  <si>
    <t>L201</t>
  </si>
  <si>
    <t>RIACHUELO - AVENIDA ROLF WIEST, 333 - GARTEN SHOPPING - SUL244440</t>
  </si>
  <si>
    <t>JOINVILLE</t>
  </si>
  <si>
    <t>SUL244440</t>
  </si>
  <si>
    <t>33200056038200</t>
  </si>
  <si>
    <t>L273</t>
  </si>
  <si>
    <t>RIACHUELO - RUA CAPITAO PACHECO CHAVES, 313 - MOOCA PLAZA SHOPPING - SPC79758</t>
  </si>
  <si>
    <t>SPC79758</t>
  </si>
  <si>
    <t>33200056008204</t>
  </si>
  <si>
    <t>L009</t>
  </si>
  <si>
    <t>RIACHUELO - AVENIDA JOSE HERCULANO, 1086 - SHOPPING SERRAMAR - SPI240730</t>
  </si>
  <si>
    <t>JARDIM BRITÂNIA</t>
  </si>
  <si>
    <t>-23.6543002, -45.4364011</t>
  </si>
  <si>
    <t>SPI240730</t>
  </si>
  <si>
    <t>33200056011264</t>
  </si>
  <si>
    <t>RIACHUELO - RUA PORTAO DA PIEDADE, 155 - SHOPPING PIEDADE - NE48477</t>
  </si>
  <si>
    <t>NE48477</t>
  </si>
  <si>
    <t>33200056001463</t>
  </si>
  <si>
    <t>RIACHUELO - AVENIDA HENRIQUE HOLANDA, 30000 - VITORIA PARK SHOPPING - NE250830</t>
  </si>
  <si>
    <t>30000</t>
  </si>
  <si>
    <t>55612025</t>
  </si>
  <si>
    <t>NE250830</t>
  </si>
  <si>
    <t>33200056025133</t>
  </si>
  <si>
    <t>L221</t>
  </si>
  <si>
    <t>RIACHUELO - AVENIDA SANTA BEATRIZ DA SILVA, 1501 - SHOPPING CENTER UBERABA - MGCO79557</t>
  </si>
  <si>
    <t>SOBENEDITO</t>
  </si>
  <si>
    <t>38020971</t>
  </si>
  <si>
    <t>-19.7667483 , -47.9529035</t>
  </si>
  <si>
    <t>MGCO79557</t>
  </si>
  <si>
    <t>33200056010101</t>
  </si>
  <si>
    <t>TALKLINE TELECOM (TIM) - AVENIDA DANIEL DE LA TOUCHE, 987 - SHOPPING DA ILHA - N291340</t>
  </si>
  <si>
    <t>3° PISO</t>
  </si>
  <si>
    <t>N291340</t>
  </si>
  <si>
    <t>44944217000559</t>
  </si>
  <si>
    <t>DULCOM/DPI (TIM) - RUA PRESIDENTE CARLOS CAVALCANTE, 250 - SUL288420</t>
  </si>
  <si>
    <t>RUA PRESIDENTE CARLOS CAVALCANTE</t>
  </si>
  <si>
    <t>LOJA 4</t>
  </si>
  <si>
    <t>-25.5918756,-49.4094971</t>
  </si>
  <si>
    <t>SUL288420</t>
  </si>
  <si>
    <t>2356946001435</t>
  </si>
  <si>
    <t>IMAGEM TELECOM - RUA JOAO PESSOA, 13 CENTRO - SPI165233</t>
  </si>
  <si>
    <t>Rua João Pessoa</t>
  </si>
  <si>
    <t>-23.9351508, -46.3262678</t>
  </si>
  <si>
    <t>SPI165233</t>
  </si>
  <si>
    <t>IANK CELL - RUA ATILIO PEDRO PAGANI, 270 - SHOPPING VIACATARINA - SUL7030</t>
  </si>
  <si>
    <t>-27.6423473 , -48.6723398</t>
  </si>
  <si>
    <t>SUL7030</t>
  </si>
  <si>
    <t>8640306000250</t>
  </si>
  <si>
    <t>FACELL - RUA COSTA PINTO, 20 - SHOPPING RIVIERA - NE265490</t>
  </si>
  <si>
    <t>RUA COSTA PINTO</t>
  </si>
  <si>
    <t>42800040</t>
  </si>
  <si>
    <t>-12.6998242,-38.3269151</t>
  </si>
  <si>
    <t>NE265490</t>
  </si>
  <si>
    <t>7366109002130</t>
  </si>
  <si>
    <t>Shopping Riviera</t>
  </si>
  <si>
    <t>BATTI MALDONADO - AVENIDA BRASIL, 3253 - ZONA COMERCIAL - SUL7495</t>
  </si>
  <si>
    <t>3253</t>
  </si>
  <si>
    <t>-23.421055 , -51.933678</t>
  </si>
  <si>
    <t>SUL7495</t>
  </si>
  <si>
    <t>03028805000646</t>
  </si>
  <si>
    <t>RC CELULARES (TIM) - AVENIDA MARIANA AMALIA, 252 - NE289810</t>
  </si>
  <si>
    <t>55600010</t>
  </si>
  <si>
    <t>-8.1191871,-35.2988323</t>
  </si>
  <si>
    <t>NE289810</t>
  </si>
  <si>
    <t>54025644000163</t>
  </si>
  <si>
    <t>DULCOM/DPI (TIM) - RUA PRUDENTE DE MORAES, 115 - SPI291300</t>
  </si>
  <si>
    <t>12281640</t>
  </si>
  <si>
    <t>-23.1019708,-45.7084461</t>
  </si>
  <si>
    <t>SPI291300</t>
  </si>
  <si>
    <t>2356946004108</t>
  </si>
  <si>
    <t>TIM AA - RUA EMILIO JOHNSSON, 531 - ZONA COMERCIAL - SUL19554</t>
  </si>
  <si>
    <t>-25.3116446 , -49.2988985</t>
  </si>
  <si>
    <t>SUL19554</t>
  </si>
  <si>
    <t>28036255000123</t>
  </si>
  <si>
    <t>LEADERCELL (TIM) - RUA DOUTOR RODRIGUES DE AZEVEDO, 79 - SPI238920</t>
  </si>
  <si>
    <t>-22.7323125, -45.1225969</t>
  </si>
  <si>
    <t>SPI238920</t>
  </si>
  <si>
    <t>TIM - RUA 7 DE SETEMBRO, 211 - ZONA COMERCIAL - SPI18809</t>
  </si>
  <si>
    <t>-22.8227638 , -47.2656854</t>
  </si>
  <si>
    <t>SPI18809</t>
  </si>
  <si>
    <t>CAMARA TELECOM (VIVO) - AVENIDA MARIO MELO, S/N - SHOPPING IGARASSU - NE290230</t>
  </si>
  <si>
    <t>53610605</t>
  </si>
  <si>
    <t>NE290230</t>
  </si>
  <si>
    <t>32954394000537</t>
  </si>
  <si>
    <t>MOVEIS BRASILIA (VIVO) - AVENIDA SAO PAULO, 743 - SHOPPING AVENIDA CENTER - SUL62685</t>
  </si>
  <si>
    <t>87013929</t>
  </si>
  <si>
    <t>-23.4226333 , -51.9323516</t>
  </si>
  <si>
    <t>SUL62685</t>
  </si>
  <si>
    <t>78614278004133</t>
  </si>
  <si>
    <t>VIVO FUTURA - RUA URSULA PAULINO, 1321 - CENTRAL PARK SHOPPING - MGCO270020</t>
  </si>
  <si>
    <t>MGCO270020</t>
  </si>
  <si>
    <t>7538340002678</t>
  </si>
  <si>
    <t>COMMCENTER - PRACA DA BANDEIRA, 35 - SPI21375</t>
  </si>
  <si>
    <t>12281510</t>
  </si>
  <si>
    <t>-23.1010011 , -45.7059362</t>
  </si>
  <si>
    <t>SPI21375</t>
  </si>
  <si>
    <t>5828732021519</t>
  </si>
  <si>
    <t>COMMCENTER - RUA RUI BARBOSA, 606 - SPI259490</t>
  </si>
  <si>
    <t>606</t>
  </si>
  <si>
    <t>-21.2566756,-48.3203208</t>
  </si>
  <si>
    <t>SPI259490</t>
  </si>
  <si>
    <t>5828732012951</t>
  </si>
  <si>
    <t>TATUI TELECOM (VIVO) - RUA ALTINO ARANTES, 156 B - SPI264240</t>
  </si>
  <si>
    <t>156 B</t>
  </si>
  <si>
    <t>-23.2146548,-47.530024</t>
  </si>
  <si>
    <t>SPI264240</t>
  </si>
  <si>
    <t>10357605000600</t>
  </si>
  <si>
    <t>TATUI TELECOM (VIVO) - RUA LARA CAMPOS, 467 - SPI275970</t>
  </si>
  <si>
    <t>-23.1030981,-47.7201931</t>
  </si>
  <si>
    <t>SPI275970</t>
  </si>
  <si>
    <t>10357605000783</t>
  </si>
  <si>
    <t>LEVYCOM (VIVO) - AVENIDA DOUTOR JANUARIO MARAGLIA, 876 - SPI12001</t>
  </si>
  <si>
    <t>FRACALANZA</t>
  </si>
  <si>
    <t>-22.7412898, -45.5945582</t>
  </si>
  <si>
    <t>SPI12001</t>
  </si>
  <si>
    <t>VIVO - AVENIDA LUIZ EDUARDO TOLEDO PRADO, 900 - SHOPPING IGUATEMI RIBEIRAO PRETO - SPI39767</t>
  </si>
  <si>
    <t>SPI39767</t>
  </si>
  <si>
    <t>2558157057008</t>
  </si>
  <si>
    <t>LOJA SHOPPING RIBEIRAO PRETO IGUATEMI SP</t>
  </si>
  <si>
    <t>VIVO - AVENIDA LUIZ VIANA FILHO, 8544 - SHOPPING PARALELA - NE289070</t>
  </si>
  <si>
    <t>LOJA G101, L1</t>
  </si>
  <si>
    <t>NE289070</t>
  </si>
  <si>
    <t>2558157094558</t>
  </si>
  <si>
    <t>LOJA SHOPPING PARALELA BA</t>
  </si>
  <si>
    <t>VIVO - AVENIDA GOVERNADOR ROBERTO SILVEIRA, 540 - TOP SHOPPING - RJES7217</t>
  </si>
  <si>
    <t>LOJAS 136 E 137</t>
  </si>
  <si>
    <t>-22.753383069124382 , -43.454129271163936</t>
  </si>
  <si>
    <t>RJES7217</t>
  </si>
  <si>
    <t>2558157039883</t>
  </si>
  <si>
    <t>VIVO - AVENIDA NOSSA SENHORA DE LOURDES, 63 - SHOPPING JARDIM DAS AMERICAS - SUL5985</t>
  </si>
  <si>
    <t>JARDIMDASAMERICAS</t>
  </si>
  <si>
    <t>SUL5985</t>
  </si>
  <si>
    <t>93720464002105</t>
  </si>
  <si>
    <t>VIVO - AVENIDA SEVERINO BEZERRA CABRAL, 1050 - PARTAGE SHOPPING CAMPINA GRANDE - NE46766</t>
  </si>
  <si>
    <t>58410185</t>
  </si>
  <si>
    <t>NE46766</t>
  </si>
  <si>
    <t>2558157052472</t>
  </si>
  <si>
    <t>LOJA SHOPPING PARTAGE CAMPINA GRANDE PB</t>
  </si>
  <si>
    <t>Visibilidade</t>
  </si>
  <si>
    <t>Regional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</si>
</sst>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165" fontId="0" fillId="4" borderId="0" xfId="0" applyNumberFormat="1" applyFill="1"/>
    <xf numFmtId="0" fontId="0" fillId="4" borderId="0" xfId="0" applyFill="1"/>
  </cellXfs>
  <cellStyles count="1">
    <cellStyle name="Normal" xfId="0" builtinId="0"/>
  </cellStyles>
  <dxfs count="9">
    <dxf>
      <numFmt numFmtId="164" formatCode="yyyy\-mm\-dd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[$-F400]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fabio/Downloads/Productme%20projeto/Base%20de%20Aparelhos%20-%20Teste%20Motorola.xlsx" TargetMode="External"/><Relationship Id="rId1" Type="http://schemas.openxmlformats.org/officeDocument/2006/relationships/externalLinkPath" Target="Base%20de%20Aparelhos%20-%20Teste%20Motorol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"/>
      <sheetName val="AParelhos_&amp;_LOJAS"/>
    </sheetNames>
    <sheetDataSet>
      <sheetData sheetId="0"/>
      <sheetData sheetId="1">
        <row r="1">
          <cell r="C1" t="str">
            <v>Cód</v>
          </cell>
          <cell r="D1" t="str">
            <v>Loja</v>
          </cell>
          <cell r="E1" t="str">
            <v>Bandeira</v>
          </cell>
          <cell r="F1" t="str">
            <v>Tipo</v>
          </cell>
          <cell r="G1" t="str">
            <v>Endereço</v>
          </cell>
          <cell r="H1" t="str">
            <v>Aparelho</v>
          </cell>
          <cell r="I1" t="str">
            <v>Versão</v>
          </cell>
        </row>
        <row r="2">
          <cell r="C2" t="str">
            <v>Signature512_SPC7613</v>
          </cell>
          <cell r="D2" t="str">
            <v>CASAS BAHIA - AVENIDA INTERLAGOS, 2255 - SHOPPING INTERLAGOS - SPC7613</v>
          </cell>
          <cell r="E2" t="str">
            <v>CASAS BAHIA</v>
          </cell>
          <cell r="F2" t="str">
            <v>SHOPPING</v>
          </cell>
          <cell r="G2" t="str">
            <v>AVENIDA INTERLAGOS, 2255</v>
          </cell>
          <cell r="H2" t="str">
            <v>Signature</v>
          </cell>
          <cell r="I2" t="str">
            <v>512 GB</v>
          </cell>
        </row>
        <row r="3">
          <cell r="C3" t="str">
            <v>Signature512_SPC7612</v>
          </cell>
          <cell r="D3" t="str">
            <v>PONTO FRIO - AVENIDA INTERLAGOS, 2255 - SHOPPING INTERLAGOS - SPC7612</v>
          </cell>
          <cell r="E3" t="str">
            <v xml:space="preserve">PONTO FRIO </v>
          </cell>
          <cell r="F3" t="str">
            <v>SHOPPING</v>
          </cell>
          <cell r="G3" t="str">
            <v>AVENIDA INTERLAGOS, 2255</v>
          </cell>
          <cell r="H3" t="str">
            <v>Signature</v>
          </cell>
          <cell r="I3" t="str">
            <v>512 GB</v>
          </cell>
        </row>
        <row r="4">
          <cell r="C4" t="str">
            <v>Signature512_SPC7614</v>
          </cell>
          <cell r="D4" t="str">
            <v>LOJAS AMERICANAS - AVENIDA INTERLAGOS, 2255 - SHOPPING INTERLAGOS - SPC7614</v>
          </cell>
          <cell r="E4" t="str">
            <v>LOJAS AMERICANAS</v>
          </cell>
          <cell r="F4" t="str">
            <v>SHOPPING</v>
          </cell>
          <cell r="G4" t="str">
            <v>AVENIDA INTERLAGOS, 2255</v>
          </cell>
          <cell r="H4" t="str">
            <v>Signature</v>
          </cell>
          <cell r="I4" t="str">
            <v>512 GB</v>
          </cell>
        </row>
        <row r="5">
          <cell r="C5" t="str">
            <v>Signature512_SPC11232</v>
          </cell>
          <cell r="D5" t="str">
            <v>CASAS BAHIA - PRACA FLORIANO PEIXOTO, 38 - ZONA COMERCIAL - SPC11232</v>
          </cell>
          <cell r="E5" t="str">
            <v>CASAS BAHIA</v>
          </cell>
          <cell r="F5" t="str">
            <v>RUA</v>
          </cell>
          <cell r="G5" t="str">
            <v>PRACA FLORIANO PEIXOTO, 38</v>
          </cell>
          <cell r="H5" t="str">
            <v>Signature</v>
          </cell>
          <cell r="I5" t="str">
            <v>512 GB</v>
          </cell>
        </row>
        <row r="6">
          <cell r="C6" t="str">
            <v>Signature512_SPC287350</v>
          </cell>
          <cell r="D6" t="str">
            <v>CASAS BAHIA - AVENIDA NACOES UNIDAS, 12995 - SPC287350</v>
          </cell>
          <cell r="E6" t="str">
            <v>CASAS BAHIA</v>
          </cell>
          <cell r="F6" t="str">
            <v>RUA</v>
          </cell>
          <cell r="G6" t="str">
            <v>AVENIDA NACOES UNIDAS, 12995</v>
          </cell>
          <cell r="H6" t="str">
            <v>Signature</v>
          </cell>
          <cell r="I6" t="str">
            <v>512 GB</v>
          </cell>
        </row>
        <row r="7">
          <cell r="C7" t="str">
            <v>Signature512_SPC252260</v>
          </cell>
          <cell r="D7" t="str">
            <v>CASAS BAHIA - AVENIDA EMBAIXADOR MACEDO SOARES, 9175 - SPC252260</v>
          </cell>
          <cell r="E7" t="str">
            <v>CASAS BAHIA</v>
          </cell>
          <cell r="F7" t="str">
            <v>RUA</v>
          </cell>
          <cell r="G7" t="str">
            <v>AVENIDA EMBAIXADOR MACEDO SOARES, 9175</v>
          </cell>
          <cell r="H7" t="str">
            <v>Signature</v>
          </cell>
          <cell r="I7" t="str">
            <v>512 GB</v>
          </cell>
        </row>
        <row r="8">
          <cell r="C8" t="str">
            <v>Signature512_SPC22892</v>
          </cell>
          <cell r="D8" t="str">
            <v>CASAS BAHIA - AVENIDA ARICANDUVA, 5555 (LOJA 2) - SHOPPING ARICANDUVA - SPC22892</v>
          </cell>
          <cell r="E8" t="str">
            <v>CASAS BAHIA</v>
          </cell>
          <cell r="F8" t="str">
            <v>SHOPPING</v>
          </cell>
          <cell r="G8" t="str">
            <v>AVENIDA ARICANDUVA, 5555 (LOJA 2)</v>
          </cell>
          <cell r="H8" t="str">
            <v>Signature</v>
          </cell>
          <cell r="I8" t="str">
            <v>512 GB</v>
          </cell>
        </row>
        <row r="9">
          <cell r="C9" t="str">
            <v>Signature512_SPC7610</v>
          </cell>
          <cell r="D9" t="str">
            <v>CASAS BAHIA - AVENIDA ARICANDUVA, 5555 (LOJA 1) - SHOPPING ARICANDUVA - SPC7610</v>
          </cell>
          <cell r="E9" t="str">
            <v>CASAS BAHIA</v>
          </cell>
          <cell r="F9" t="str">
            <v>SHOPPING</v>
          </cell>
          <cell r="G9" t="str">
            <v>AVENIDA ARICANDUVA, 5555 (LOJA 1)</v>
          </cell>
          <cell r="H9" t="str">
            <v>Signature</v>
          </cell>
          <cell r="I9" t="str">
            <v>512 GB</v>
          </cell>
        </row>
        <row r="10">
          <cell r="C10" t="str">
            <v>Signature512_SPC8803</v>
          </cell>
          <cell r="D10" t="str">
            <v>PONTO FRIO - AVENIDA ARICANDUVA, 5555 (LOJA 2) - SHOPPING ARICANDUVA - SPC8803</v>
          </cell>
          <cell r="E10" t="str">
            <v xml:space="preserve">PONTO FRIO </v>
          </cell>
          <cell r="F10" t="str">
            <v>SHOPPING</v>
          </cell>
          <cell r="G10" t="str">
            <v>AVENIDA ARICANDUVA, 5555 (LOJA 2)</v>
          </cell>
          <cell r="H10" t="str">
            <v>Signature</v>
          </cell>
          <cell r="I10" t="str">
            <v>512 GB</v>
          </cell>
        </row>
        <row r="11">
          <cell r="C11" t="str">
            <v>Signature512_SPC6374</v>
          </cell>
          <cell r="D11" t="str">
            <v>MAGAZINE LUIZA - AVENIDA ARICANDUVA, 5555 - SHOPPING ARICANDUVA - SPC6374</v>
          </cell>
          <cell r="E11" t="str">
            <v>MAGAZINE LUIZA</v>
          </cell>
          <cell r="F11" t="str">
            <v>SHOPPING</v>
          </cell>
          <cell r="G11" t="str">
            <v>AVENIDA ARICANDUVA, 5555</v>
          </cell>
          <cell r="H11" t="str">
            <v>Signature</v>
          </cell>
          <cell r="I11" t="str">
            <v>512 GB</v>
          </cell>
        </row>
        <row r="12">
          <cell r="C12" t="str">
            <v>Signature512_SPC7759</v>
          </cell>
          <cell r="D12" t="str">
            <v>CASAS BAHIA - AVENIDA JOSE PINHEIRO BORGES, S/N - SHOPPING METRO ITAQUERA - SPC7759</v>
          </cell>
          <cell r="E12" t="str">
            <v>CASAS BAHIA</v>
          </cell>
          <cell r="F12" t="str">
            <v>SHOPPING</v>
          </cell>
          <cell r="G12" t="str">
            <v>AVENIDA JOSE PINHEIRO BORGES, S/N</v>
          </cell>
          <cell r="H12" t="str">
            <v>Signature</v>
          </cell>
          <cell r="I12" t="str">
            <v>512 GB</v>
          </cell>
        </row>
        <row r="13">
          <cell r="C13" t="str">
            <v>Signature512_SPC9927</v>
          </cell>
          <cell r="D13" t="str">
            <v>CASAS BAHIA - RODOVIA REGIS BITTENCOURT KM 271, 2643 - SHOPPING TABOAO DA SERRA - SPC9927</v>
          </cell>
          <cell r="E13" t="str">
            <v>CASAS BAHIA</v>
          </cell>
          <cell r="F13" t="str">
            <v>SHOPPING</v>
          </cell>
          <cell r="G13" t="str">
            <v>RODOVIA REGIS BITTENCOURT KM 271, 2643</v>
          </cell>
          <cell r="H13" t="str">
            <v>Signature</v>
          </cell>
          <cell r="I13" t="str">
            <v>512 GB</v>
          </cell>
        </row>
        <row r="14">
          <cell r="C14" t="str">
            <v>Signature512_SPC10966</v>
          </cell>
          <cell r="D14" t="str">
            <v>CASAS BAHIA - ESTRADA DO CAMPO LIMPO, 459 - SHOPPING CAMPO LIMPO - SPC10966</v>
          </cell>
          <cell r="E14" t="str">
            <v>CASAS BAHIA</v>
          </cell>
          <cell r="F14" t="str">
            <v>SHOPPING</v>
          </cell>
          <cell r="G14" t="str">
            <v>ESTRADA DO CAMPO LIMPO, 459</v>
          </cell>
          <cell r="H14" t="str">
            <v>Signature</v>
          </cell>
          <cell r="I14" t="str">
            <v>512 GB</v>
          </cell>
        </row>
        <row r="15">
          <cell r="C15" t="str">
            <v>Signature512_SPC11008</v>
          </cell>
          <cell r="D15" t="str">
            <v>CASAS BAHIA - LARGO 13 DE MAIO, 308 - ZONA COMERCIAL - SPC11008</v>
          </cell>
          <cell r="E15" t="str">
            <v>CASAS BAHIA</v>
          </cell>
          <cell r="F15" t="str">
            <v>RUA</v>
          </cell>
          <cell r="G15" t="str">
            <v>LARGO 13 DE MAIO, 308</v>
          </cell>
          <cell r="H15" t="str">
            <v>Signature</v>
          </cell>
          <cell r="I15" t="str">
            <v>512 GB</v>
          </cell>
        </row>
        <row r="16">
          <cell r="C16" t="str">
            <v>Signature512_SPC7621</v>
          </cell>
          <cell r="D16" t="str">
            <v>PONTO FRIO - RUA CAPITAO TIAGO LUZ, 146 - ZONA COMERCIAL - SPC7621</v>
          </cell>
          <cell r="E16" t="str">
            <v xml:space="preserve">PONTO FRIO </v>
          </cell>
          <cell r="F16" t="str">
            <v>RUA</v>
          </cell>
          <cell r="G16" t="str">
            <v>RUA CAPITAO TIAGO LUZ, 146</v>
          </cell>
          <cell r="H16" t="str">
            <v>Signature</v>
          </cell>
          <cell r="I16" t="str">
            <v>512 GB</v>
          </cell>
        </row>
        <row r="17">
          <cell r="C17" t="str">
            <v>Signature512_SPC6352</v>
          </cell>
          <cell r="D17" t="str">
            <v>CASAS BAHIA - RUA TENENTE AVELAR PIRES DE AZEVEDO, 81 - SHOPPING OSASCO PLAZA - SPC6352</v>
          </cell>
          <cell r="E17" t="str">
            <v>CASAS BAHIA</v>
          </cell>
          <cell r="F17" t="str">
            <v>SHOPPING</v>
          </cell>
          <cell r="G17" t="str">
            <v>RUA TENENTE AVELAR PIRES DE AZEVEDO, 81</v>
          </cell>
          <cell r="H17" t="str">
            <v>Signature</v>
          </cell>
          <cell r="I17" t="str">
            <v>512 GB</v>
          </cell>
        </row>
        <row r="18">
          <cell r="C18" t="str">
            <v>Signature512_SPC6445</v>
          </cell>
          <cell r="D18" t="str">
            <v>CASAS BAHIA - AVENIDA PIRACEMA, 669 - SHOPPING TAMBORE - SPC6445</v>
          </cell>
          <cell r="E18" t="str">
            <v>CASAS BAHIA</v>
          </cell>
          <cell r="F18" t="str">
            <v>SHOPPING</v>
          </cell>
          <cell r="G18" t="str">
            <v>AVENIDA PIRACEMA, 669</v>
          </cell>
          <cell r="H18" t="str">
            <v>Signature</v>
          </cell>
          <cell r="I18" t="str">
            <v>512 GB</v>
          </cell>
        </row>
        <row r="19">
          <cell r="C19" t="str">
            <v>Signature512_SPC6397</v>
          </cell>
          <cell r="D19" t="str">
            <v>CASAS BAHIA - AVENIDA DOS AUTONOMISTAS, 1400 - SHOPPING UNIAO - SPC6397</v>
          </cell>
          <cell r="E19" t="str">
            <v>CASAS BAHIA</v>
          </cell>
          <cell r="F19" t="str">
            <v>SHOPPING</v>
          </cell>
          <cell r="G19" t="str">
            <v>AVENIDA DOS AUTONOMISTAS, 1400</v>
          </cell>
          <cell r="H19" t="str">
            <v>Signature</v>
          </cell>
          <cell r="I19" t="str">
            <v>512 GB</v>
          </cell>
        </row>
        <row r="20">
          <cell r="C20" t="str">
            <v>Signature512_SPC11278</v>
          </cell>
          <cell r="D20" t="str">
            <v>PONTO FRIO - RUA ANTONIO AGU, 155 - ZONA COMERCIAL - SPC11278</v>
          </cell>
          <cell r="E20" t="str">
            <v xml:space="preserve">PONTO FRIO </v>
          </cell>
          <cell r="F20" t="str">
            <v>RUA</v>
          </cell>
          <cell r="G20" t="str">
            <v>RUA ANTONIO AGU, 155</v>
          </cell>
          <cell r="H20" t="str">
            <v>Signature</v>
          </cell>
          <cell r="I20" t="str">
            <v>512 GB</v>
          </cell>
        </row>
        <row r="21">
          <cell r="C21" t="str">
            <v>Signature512_SPC7644</v>
          </cell>
          <cell r="D21" t="str">
            <v>CASAS BAHIA - TRAVESSA CASALBUONO, 120 - SHOPPING CENTER NORTE - SPC7644</v>
          </cell>
          <cell r="E21" t="str">
            <v>CASAS BAHIA</v>
          </cell>
          <cell r="F21" t="str">
            <v>SHOPPING</v>
          </cell>
          <cell r="G21" t="str">
            <v>TRAVESSA CASALBUONO, 120</v>
          </cell>
          <cell r="H21" t="str">
            <v>Signature</v>
          </cell>
          <cell r="I21" t="str">
            <v>512 GB</v>
          </cell>
        </row>
        <row r="22">
          <cell r="C22" t="str">
            <v>Signature512_SPC8440</v>
          </cell>
          <cell r="D22" t="str">
            <v>MAGAZINE LUIZA - RUA AMAZONAS DA SILVA, 27 - ZONA COMERCIAL - SPC8440</v>
          </cell>
          <cell r="E22" t="str">
            <v>MAGAZINE LUIZA</v>
          </cell>
          <cell r="F22" t="str">
            <v>RUA</v>
          </cell>
          <cell r="G22" t="str">
            <v>RUA AMAZONAS DA SILVA, 27</v>
          </cell>
          <cell r="H22" t="str">
            <v>Signature</v>
          </cell>
          <cell r="I22" t="str">
            <v>512 GB</v>
          </cell>
        </row>
        <row r="23">
          <cell r="C23" t="str">
            <v>Signature512_SPC7607</v>
          </cell>
          <cell r="D23" t="str">
            <v>CASAS BAHIA - RODOVIA PRESIDENTE DUTRA KM 230, S/N - SHOPPING INTERNACIONAL GUARULHOS - SPC7607</v>
          </cell>
          <cell r="E23" t="str">
            <v>CASAS BAHIA</v>
          </cell>
          <cell r="F23" t="str">
            <v>SHOPPING</v>
          </cell>
          <cell r="G23" t="str">
            <v>RODOVIA PRESIDENTE DUTRA KM 230, S/N</v>
          </cell>
          <cell r="H23" t="str">
            <v>Signature</v>
          </cell>
          <cell r="I23" t="str">
            <v>512 GB</v>
          </cell>
        </row>
        <row r="24">
          <cell r="C24" t="str">
            <v>Signature512_SPC11273</v>
          </cell>
          <cell r="D24" t="str">
            <v>CASAS BAHIA - AVENIDA JUSCELINO KUBITSCHEK DE OLIVEIRA, 5308 - SHOPPING BONSUCESSO - SPC11273</v>
          </cell>
          <cell r="E24" t="str">
            <v>CASAS BAHIA</v>
          </cell>
          <cell r="F24" t="str">
            <v>SHOPPING</v>
          </cell>
          <cell r="G24" t="str">
            <v>AVENIDA JUSCELINO KUBITSCHEK DE OLIVEIRA, 5308</v>
          </cell>
          <cell r="H24" t="str">
            <v>Signature</v>
          </cell>
          <cell r="I24" t="str">
            <v>512 GB</v>
          </cell>
        </row>
        <row r="25">
          <cell r="C25" t="str">
            <v>Signature512_SPC11005</v>
          </cell>
          <cell r="D25" t="str">
            <v>CASAS BAHIA - AVENIDA INDUSTRIAL, 600 - SHOPPING GRAND PLAZA - SPC11005</v>
          </cell>
          <cell r="E25" t="str">
            <v>CASAS BAHIA</v>
          </cell>
          <cell r="F25" t="str">
            <v>SHOPPING</v>
          </cell>
          <cell r="G25" t="str">
            <v>AVENIDA INDUSTRIAL, 600</v>
          </cell>
          <cell r="H25" t="str">
            <v>Signature</v>
          </cell>
          <cell r="I25" t="str">
            <v>512 GB</v>
          </cell>
        </row>
        <row r="26">
          <cell r="C26" t="str">
            <v>Signature512_SPC8715</v>
          </cell>
          <cell r="D26" t="str">
            <v>CASAS BAHIA - AVENIDA GOVERNADOR MARIO COVAS JUNIOR, 1 - SHOPPING MAUA - SPC8715</v>
          </cell>
          <cell r="E26" t="str">
            <v>CASAS BAHIA</v>
          </cell>
          <cell r="F26" t="str">
            <v>SHOPPING</v>
          </cell>
          <cell r="G26" t="str">
            <v>AVENIDA GOVERNADOR MARIO COVAS JUNIOR, 1</v>
          </cell>
          <cell r="H26" t="str">
            <v>Signature</v>
          </cell>
          <cell r="I26" t="str">
            <v>512 GB</v>
          </cell>
        </row>
        <row r="27">
          <cell r="C27" t="str">
            <v>Signature512_SPC11374</v>
          </cell>
          <cell r="D27" t="str">
            <v>CASAS BAHIA - AVENIDA PEREIRA BARRETO, 42 - SHOPPING ABC - SPC11374</v>
          </cell>
          <cell r="E27" t="str">
            <v>CASAS BAHIA</v>
          </cell>
          <cell r="F27" t="str">
            <v>SHOPPING</v>
          </cell>
          <cell r="G27" t="str">
            <v>AVENIDA PEREIRA BARRETO, 42</v>
          </cell>
          <cell r="H27" t="str">
            <v>Signature</v>
          </cell>
          <cell r="I27" t="str">
            <v>512 GB</v>
          </cell>
        </row>
        <row r="28">
          <cell r="C28" t="str">
            <v>Signature512_SPC6700</v>
          </cell>
          <cell r="D28" t="str">
            <v>CASAS BAHIA - RUA MARECHAL DEODORO, 987 - ZONA COMERCIAL - SPC6700</v>
          </cell>
          <cell r="E28" t="str">
            <v>CASAS BAHIA</v>
          </cell>
          <cell r="F28" t="str">
            <v>RUA</v>
          </cell>
          <cell r="G28" t="str">
            <v>RUA MARECHAL DEODORO, 987</v>
          </cell>
          <cell r="H28" t="str">
            <v>Signature</v>
          </cell>
          <cell r="I28" t="str">
            <v>512 GB</v>
          </cell>
        </row>
        <row r="29">
          <cell r="C29" t="str">
            <v>Signature512_SPC7069</v>
          </cell>
          <cell r="D29" t="str">
            <v>CASAS BAHIA - RUA DOMINGOS DE MORAIS, 2564 - SHOPPING METRO SANTA CRUZ - SPC7069</v>
          </cell>
          <cell r="E29" t="str">
            <v>CASAS BAHIA</v>
          </cell>
          <cell r="F29" t="str">
            <v>SHOPPING</v>
          </cell>
          <cell r="G29" t="str">
            <v>RUA DOMINGOS DE MORAIS, 2564</v>
          </cell>
          <cell r="H29" t="str">
            <v>Signature</v>
          </cell>
          <cell r="I29" t="str">
            <v>512 GB</v>
          </cell>
        </row>
        <row r="30">
          <cell r="C30" t="str">
            <v>Signature512_SPC6505</v>
          </cell>
          <cell r="D30" t="str">
            <v>CASAS BAHIA - RUA TEODORO SAMPAIO, 2522 - ZONA COMERCIAL - SPC6505</v>
          </cell>
          <cell r="E30" t="str">
            <v>CASAS BAHIA</v>
          </cell>
          <cell r="F30" t="str">
            <v>RUA</v>
          </cell>
          <cell r="G30" t="str">
            <v>RUA TEODORO SAMPAIO, 2522</v>
          </cell>
          <cell r="H30" t="str">
            <v>Signature</v>
          </cell>
          <cell r="I30" t="str">
            <v>512 GB</v>
          </cell>
        </row>
        <row r="31">
          <cell r="C31" t="str">
            <v>Signature512_SPC234770</v>
          </cell>
          <cell r="D31" t="str">
            <v>CASAS BAHIA - ESTRADA DA COLINA, 1048 - SPC234770</v>
          </cell>
          <cell r="E31" t="str">
            <v>CASAS BAHIA</v>
          </cell>
          <cell r="F31" t="str">
            <v>RUA</v>
          </cell>
          <cell r="G31" t="str">
            <v>ESTRADA DA COLINA, 1048</v>
          </cell>
          <cell r="H31" t="str">
            <v>Signature</v>
          </cell>
          <cell r="I31" t="str">
            <v>512 GB</v>
          </cell>
        </row>
        <row r="32">
          <cell r="C32" t="str">
            <v>Edge70512_SPC7613</v>
          </cell>
          <cell r="D32" t="str">
            <v>CASAS BAHIA - AVENIDA INTERLAGOS, 2255 - SHOPPING INTERLAGOS - SPC7613</v>
          </cell>
          <cell r="E32" t="str">
            <v>CASAS BAHIA</v>
          </cell>
          <cell r="F32" t="str">
            <v>SHOPPING</v>
          </cell>
          <cell r="G32" t="str">
            <v>AVENIDA INTERLAGOS, 2255</v>
          </cell>
          <cell r="H32" t="str">
            <v>Edge 70</v>
          </cell>
          <cell r="I32" t="str">
            <v>512 GB</v>
          </cell>
        </row>
        <row r="33">
          <cell r="C33" t="str">
            <v>Edge70512_SPC7612</v>
          </cell>
          <cell r="D33" t="str">
            <v>PONTO FRIO - AVENIDA INTERLAGOS, 2255 - SHOPPING INTERLAGOS - SPC7612</v>
          </cell>
          <cell r="E33" t="str">
            <v xml:space="preserve">PONTO FRIO </v>
          </cell>
          <cell r="F33" t="str">
            <v>SHOPPING</v>
          </cell>
          <cell r="G33" t="str">
            <v>AVENIDA INTERLAGOS, 2255</v>
          </cell>
          <cell r="H33" t="str">
            <v>Edge 70</v>
          </cell>
          <cell r="I33" t="str">
            <v>512 GB</v>
          </cell>
        </row>
        <row r="34">
          <cell r="C34" t="str">
            <v>Edge70512_SPC7614</v>
          </cell>
          <cell r="D34" t="str">
            <v>LOJAS AMERICANAS - AVENIDA INTERLAGOS, 2255 - SHOPPING INTERLAGOS - SPC7614</v>
          </cell>
          <cell r="E34" t="str">
            <v>LOJAS AMERICANAS</v>
          </cell>
          <cell r="F34" t="str">
            <v>SHOPPING</v>
          </cell>
          <cell r="G34" t="str">
            <v>AVENIDA INTERLAGOS, 2255</v>
          </cell>
          <cell r="H34" t="str">
            <v>Edge 70</v>
          </cell>
          <cell r="I34" t="str">
            <v>512 GB</v>
          </cell>
        </row>
        <row r="35">
          <cell r="C35" t="str">
            <v>Edge70512_SPC11232</v>
          </cell>
          <cell r="D35" t="str">
            <v>CASAS BAHIA - PRACA FLORIANO PEIXOTO, 38 - ZONA COMERCIAL - SPC11232</v>
          </cell>
          <cell r="E35" t="str">
            <v>CASAS BAHIA</v>
          </cell>
          <cell r="F35" t="str">
            <v>RUA</v>
          </cell>
          <cell r="G35" t="str">
            <v>PRACA FLORIANO PEIXOTO, 38</v>
          </cell>
          <cell r="H35" t="str">
            <v>Edge 70</v>
          </cell>
          <cell r="I35" t="str">
            <v>512 GB</v>
          </cell>
        </row>
        <row r="36">
          <cell r="C36" t="str">
            <v>Edge70512_SPC287350</v>
          </cell>
          <cell r="D36" t="str">
            <v>CASAS BAHIA - AVENIDA NACOES UNIDAS, 12995 - SPC287350</v>
          </cell>
          <cell r="E36" t="str">
            <v>CASAS BAHIA</v>
          </cell>
          <cell r="F36" t="str">
            <v>RUA</v>
          </cell>
          <cell r="G36" t="str">
            <v>AVENIDA NACOES UNIDAS, 12995</v>
          </cell>
          <cell r="H36" t="str">
            <v>Edge 70</v>
          </cell>
          <cell r="I36" t="str">
            <v>512 GB</v>
          </cell>
        </row>
        <row r="37">
          <cell r="C37" t="str">
            <v>Edge70512_SPC252260</v>
          </cell>
          <cell r="D37" t="str">
            <v>CASAS BAHIA - AVENIDA EMBAIXADOR MACEDO SOARES, 9175 - SPC252260</v>
          </cell>
          <cell r="E37" t="str">
            <v>CASAS BAHIA</v>
          </cell>
          <cell r="F37" t="str">
            <v>RUA</v>
          </cell>
          <cell r="G37" t="str">
            <v>AVENIDA EMBAIXADOR MACEDO SOARES, 9175</v>
          </cell>
          <cell r="H37" t="str">
            <v>Edge 70</v>
          </cell>
          <cell r="I37" t="str">
            <v>512 GB</v>
          </cell>
        </row>
        <row r="38">
          <cell r="C38" t="str">
            <v>Edge70512_SPC22892</v>
          </cell>
          <cell r="D38" t="str">
            <v>CASAS BAHIA - AVENIDA ARICANDUVA, 5555 (LOJA 2) - SHOPPING ARICANDUVA - SPC22892</v>
          </cell>
          <cell r="E38" t="str">
            <v>CASAS BAHIA</v>
          </cell>
          <cell r="F38" t="str">
            <v>SHOPPING</v>
          </cell>
          <cell r="G38" t="str">
            <v>AVENIDA ARICANDUVA, 5555 (LOJA 2)</v>
          </cell>
          <cell r="H38" t="str">
            <v>Edge 70</v>
          </cell>
          <cell r="I38" t="str">
            <v>512 GB</v>
          </cell>
        </row>
        <row r="39">
          <cell r="C39" t="str">
            <v>Edge70512_SPC7610</v>
          </cell>
          <cell r="D39" t="str">
            <v>CASAS BAHIA - AVENIDA ARICANDUVA, 5555 (LOJA 1) - SHOPPING ARICANDUVA - SPC7610</v>
          </cell>
          <cell r="E39" t="str">
            <v>CASAS BAHIA</v>
          </cell>
          <cell r="F39" t="str">
            <v>SHOPPING</v>
          </cell>
          <cell r="G39" t="str">
            <v>AVENIDA ARICANDUVA, 5555 (LOJA 1)</v>
          </cell>
          <cell r="H39" t="str">
            <v>Edge 70</v>
          </cell>
          <cell r="I39" t="str">
            <v>512 GB</v>
          </cell>
        </row>
        <row r="40">
          <cell r="C40" t="str">
            <v>Edge70512_SPC8803</v>
          </cell>
          <cell r="D40" t="str">
            <v>PONTO FRIO - AVENIDA ARICANDUVA, 5555 (LOJA 2) - SHOPPING ARICANDUVA - SPC8803</v>
          </cell>
          <cell r="E40" t="str">
            <v xml:space="preserve">PONTO FRIO </v>
          </cell>
          <cell r="F40" t="str">
            <v>SHOPPING</v>
          </cell>
          <cell r="G40" t="str">
            <v>AVENIDA ARICANDUVA, 5555 (LOJA 2)</v>
          </cell>
          <cell r="H40" t="str">
            <v>Edge 70</v>
          </cell>
          <cell r="I40" t="str">
            <v>512 GB</v>
          </cell>
        </row>
        <row r="41">
          <cell r="C41" t="str">
            <v>Edge70512_SPC6374</v>
          </cell>
          <cell r="D41" t="str">
            <v>MAGAZINE LUIZA - AVENIDA ARICANDUVA, 5555 - SHOPPING ARICANDUVA - SPC6374</v>
          </cell>
          <cell r="E41" t="str">
            <v>MAGAZINE LUIZA</v>
          </cell>
          <cell r="F41" t="str">
            <v>SHOPPING</v>
          </cell>
          <cell r="G41" t="str">
            <v>AVENIDA ARICANDUVA, 5555</v>
          </cell>
          <cell r="H41" t="str">
            <v>Edge 70</v>
          </cell>
          <cell r="I41" t="str">
            <v>512 GB</v>
          </cell>
        </row>
        <row r="42">
          <cell r="C42" t="str">
            <v>Edge70512_SPC7759</v>
          </cell>
          <cell r="D42" t="str">
            <v>CASAS BAHIA - AVENIDA JOSE PINHEIRO BORGES, S/N - SHOPPING METRO ITAQUERA - SPC7759</v>
          </cell>
          <cell r="E42" t="str">
            <v>CASAS BAHIA</v>
          </cell>
          <cell r="F42" t="str">
            <v>SHOPPING</v>
          </cell>
          <cell r="G42" t="str">
            <v>AVENIDA JOSE PINHEIRO BORGES, S/N</v>
          </cell>
          <cell r="H42" t="str">
            <v>Edge 70</v>
          </cell>
          <cell r="I42" t="str">
            <v>512 GB</v>
          </cell>
        </row>
        <row r="43">
          <cell r="C43" t="str">
            <v>Edge70512_SPC9927</v>
          </cell>
          <cell r="D43" t="str">
            <v>CASAS BAHIA - RODOVIA REGIS BITTENCOURT KM 271, 2643 - SHOPPING TABOAO DA SERRA - SPC9927</v>
          </cell>
          <cell r="E43" t="str">
            <v>CASAS BAHIA</v>
          </cell>
          <cell r="F43" t="str">
            <v>SHOPPING</v>
          </cell>
          <cell r="G43" t="str">
            <v>RODOVIA REGIS BITTENCOURT KM 271, 2643</v>
          </cell>
          <cell r="H43" t="str">
            <v>Edge 70</v>
          </cell>
          <cell r="I43" t="str">
            <v>512 GB</v>
          </cell>
        </row>
        <row r="44">
          <cell r="C44" t="str">
            <v>Edge70512_SPC10966</v>
          </cell>
          <cell r="D44" t="str">
            <v>CASAS BAHIA - ESTRADA DO CAMPO LIMPO, 459 - SHOPPING CAMPO LIMPO - SPC10966</v>
          </cell>
          <cell r="E44" t="str">
            <v>CASAS BAHIA</v>
          </cell>
          <cell r="F44" t="str">
            <v>SHOPPING</v>
          </cell>
          <cell r="G44" t="str">
            <v>ESTRADA DO CAMPO LIMPO, 459</v>
          </cell>
          <cell r="H44" t="str">
            <v>Edge 70</v>
          </cell>
          <cell r="I44" t="str">
            <v>512 GB</v>
          </cell>
        </row>
        <row r="45">
          <cell r="C45" t="str">
            <v>Edge70512_SPC11008</v>
          </cell>
          <cell r="D45" t="str">
            <v>CASAS BAHIA - LARGO 13 DE MAIO, 308 - ZONA COMERCIAL - SPC11008</v>
          </cell>
          <cell r="E45" t="str">
            <v>CASAS BAHIA</v>
          </cell>
          <cell r="F45" t="str">
            <v>RUA</v>
          </cell>
          <cell r="G45" t="str">
            <v>LARGO 13 DE MAIO, 308</v>
          </cell>
          <cell r="H45" t="str">
            <v>Edge 70</v>
          </cell>
          <cell r="I45" t="str">
            <v>512 GB</v>
          </cell>
        </row>
        <row r="46">
          <cell r="C46" t="str">
            <v>Edge70512_SPC7621</v>
          </cell>
          <cell r="D46" t="str">
            <v>PONTO FRIO - RUA CAPITAO TIAGO LUZ, 146 - ZONA COMERCIAL - SPC7621</v>
          </cell>
          <cell r="E46" t="str">
            <v xml:space="preserve">PONTO FRIO </v>
          </cell>
          <cell r="F46" t="str">
            <v>RUA</v>
          </cell>
          <cell r="G46" t="str">
            <v>RUA CAPITAO TIAGO LUZ, 146</v>
          </cell>
          <cell r="H46" t="str">
            <v>Edge 70</v>
          </cell>
          <cell r="I46" t="str">
            <v>512 GB</v>
          </cell>
        </row>
        <row r="47">
          <cell r="C47" t="str">
            <v>Edge70512_SPC6352</v>
          </cell>
          <cell r="D47" t="str">
            <v>CASAS BAHIA - RUA TENENTE AVELAR PIRES DE AZEVEDO, 81 - SHOPPING OSASCO PLAZA - SPC6352</v>
          </cell>
          <cell r="E47" t="str">
            <v>CASAS BAHIA</v>
          </cell>
          <cell r="F47" t="str">
            <v>SHOPPING</v>
          </cell>
          <cell r="G47" t="str">
            <v>RUA TENENTE AVELAR PIRES DE AZEVEDO, 81</v>
          </cell>
          <cell r="H47" t="str">
            <v>Edge 70</v>
          </cell>
          <cell r="I47" t="str">
            <v>512 GB</v>
          </cell>
        </row>
        <row r="48">
          <cell r="C48" t="str">
            <v>Edge70512_SPC6445</v>
          </cell>
          <cell r="D48" t="str">
            <v>CASAS BAHIA - AVENIDA PIRACEMA, 669 - SHOPPING TAMBORE - SPC6445</v>
          </cell>
          <cell r="E48" t="str">
            <v>CASAS BAHIA</v>
          </cell>
          <cell r="F48" t="str">
            <v>SHOPPING</v>
          </cell>
          <cell r="G48" t="str">
            <v>AVENIDA PIRACEMA, 669</v>
          </cell>
          <cell r="H48" t="str">
            <v>Edge 70</v>
          </cell>
          <cell r="I48" t="str">
            <v>512 GB</v>
          </cell>
        </row>
        <row r="49">
          <cell r="C49" t="str">
            <v>Edge70512_SPC6397</v>
          </cell>
          <cell r="D49" t="str">
            <v>CASAS BAHIA - AVENIDA DOS AUTONOMISTAS, 1400 - SHOPPING UNIAO - SPC6397</v>
          </cell>
          <cell r="E49" t="str">
            <v>CASAS BAHIA</v>
          </cell>
          <cell r="F49" t="str">
            <v>SHOPPING</v>
          </cell>
          <cell r="G49" t="str">
            <v>AVENIDA DOS AUTONOMISTAS, 1400</v>
          </cell>
          <cell r="H49" t="str">
            <v>Edge 70</v>
          </cell>
          <cell r="I49" t="str">
            <v>512 GB</v>
          </cell>
        </row>
        <row r="50">
          <cell r="C50" t="str">
            <v>Edge70512_SPC11278</v>
          </cell>
          <cell r="D50" t="str">
            <v>PONTO FRIO - RUA ANTONIO AGU, 155 - ZONA COMERCIAL - SPC11278</v>
          </cell>
          <cell r="E50" t="str">
            <v xml:space="preserve">PONTO FRIO </v>
          </cell>
          <cell r="F50" t="str">
            <v>RUA</v>
          </cell>
          <cell r="G50" t="str">
            <v>RUA ANTONIO AGU, 155</v>
          </cell>
          <cell r="H50" t="str">
            <v>Edge 70</v>
          </cell>
          <cell r="I50" t="str">
            <v>512 GB</v>
          </cell>
        </row>
        <row r="51">
          <cell r="C51" t="str">
            <v>Edge70512_SPC7644</v>
          </cell>
          <cell r="D51" t="str">
            <v>CASAS BAHIA - TRAVESSA CASALBUONO, 120 - SHOPPING CENTER NORTE - SPC7644</v>
          </cell>
          <cell r="E51" t="str">
            <v>CASAS BAHIA</v>
          </cell>
          <cell r="F51" t="str">
            <v>SHOPPING</v>
          </cell>
          <cell r="G51" t="str">
            <v>TRAVESSA CASALBUONO, 120</v>
          </cell>
          <cell r="H51" t="str">
            <v>Edge 70</v>
          </cell>
          <cell r="I51" t="str">
            <v>512 GB</v>
          </cell>
        </row>
        <row r="52">
          <cell r="C52" t="str">
            <v>Edge70512_SPC8440</v>
          </cell>
          <cell r="D52" t="str">
            <v>MAGAZINE LUIZA - RUA AMAZONAS DA SILVA, 27 - ZONA COMERCIAL - SPC8440</v>
          </cell>
          <cell r="E52" t="str">
            <v>MAGAZINE LUIZA</v>
          </cell>
          <cell r="F52" t="str">
            <v>RUA</v>
          </cell>
          <cell r="G52" t="str">
            <v>RUA AMAZONAS DA SILVA, 27</v>
          </cell>
          <cell r="H52" t="str">
            <v>Edge 70</v>
          </cell>
          <cell r="I52" t="str">
            <v>512 GB</v>
          </cell>
        </row>
        <row r="53">
          <cell r="C53" t="str">
            <v>Edge70512_SPC7607</v>
          </cell>
          <cell r="D53" t="str">
            <v>CASAS BAHIA - RODOVIA PRESIDENTE DUTRA KM 230, S/N - SHOPPING INTERNACIONAL GUARULHOS - SPC7607</v>
          </cell>
          <cell r="E53" t="str">
            <v>CASAS BAHIA</v>
          </cell>
          <cell r="F53" t="str">
            <v>SHOPPING</v>
          </cell>
          <cell r="G53" t="str">
            <v>RODOVIA PRESIDENTE DUTRA KM 230, S/N</v>
          </cell>
          <cell r="H53" t="str">
            <v>Edge 70</v>
          </cell>
          <cell r="I53" t="str">
            <v>512 GB</v>
          </cell>
        </row>
        <row r="54">
          <cell r="C54" t="str">
            <v>Edge70512_SPC11273</v>
          </cell>
          <cell r="D54" t="str">
            <v>CASAS BAHIA - AVENIDA JUSCELINO KUBITSCHEK DE OLIVEIRA, 5308 - SHOPPING BONSUCESSO - SPC11273</v>
          </cell>
          <cell r="E54" t="str">
            <v>CASAS BAHIA</v>
          </cell>
          <cell r="F54" t="str">
            <v>SHOPPING</v>
          </cell>
          <cell r="G54" t="str">
            <v>AVENIDA JUSCELINO KUBITSCHEK DE OLIVEIRA, 5308</v>
          </cell>
          <cell r="H54" t="str">
            <v>Edge 70</v>
          </cell>
          <cell r="I54" t="str">
            <v>512 GB</v>
          </cell>
        </row>
        <row r="55">
          <cell r="C55" t="str">
            <v>Edge70512_SPC11005</v>
          </cell>
          <cell r="D55" t="str">
            <v>CASAS BAHIA - AVENIDA INDUSTRIAL, 600 - SHOPPING GRAND PLAZA - SPC11005</v>
          </cell>
          <cell r="E55" t="str">
            <v>CASAS BAHIA</v>
          </cell>
          <cell r="F55" t="str">
            <v>SHOPPING</v>
          </cell>
          <cell r="G55" t="str">
            <v>AVENIDA INDUSTRIAL, 600</v>
          </cell>
          <cell r="H55" t="str">
            <v>Edge 70</v>
          </cell>
          <cell r="I55" t="str">
            <v>512 GB</v>
          </cell>
        </row>
        <row r="56">
          <cell r="C56" t="str">
            <v>Edge70512_SPC8715</v>
          </cell>
          <cell r="D56" t="str">
            <v>CASAS BAHIA - AVENIDA GOVERNADOR MARIO COVAS JUNIOR, 1 - SHOPPING MAUA - SPC8715</v>
          </cell>
          <cell r="E56" t="str">
            <v>CASAS BAHIA</v>
          </cell>
          <cell r="F56" t="str">
            <v>SHOPPING</v>
          </cell>
          <cell r="G56" t="str">
            <v>AVENIDA GOVERNADOR MARIO COVAS JUNIOR, 1</v>
          </cell>
          <cell r="H56" t="str">
            <v>Edge 70</v>
          </cell>
          <cell r="I56" t="str">
            <v>512 GB</v>
          </cell>
        </row>
        <row r="57">
          <cell r="C57" t="str">
            <v>Edge70512_SPC11374</v>
          </cell>
          <cell r="D57" t="str">
            <v>CASAS BAHIA - AVENIDA PEREIRA BARRETO, 42 - SHOPPING ABC - SPC11374</v>
          </cell>
          <cell r="E57" t="str">
            <v>CASAS BAHIA</v>
          </cell>
          <cell r="F57" t="str">
            <v>SHOPPING</v>
          </cell>
          <cell r="G57" t="str">
            <v>AVENIDA PEREIRA BARRETO, 42</v>
          </cell>
          <cell r="H57" t="str">
            <v>Edge 70</v>
          </cell>
          <cell r="I57" t="str">
            <v>512 GB</v>
          </cell>
        </row>
        <row r="58">
          <cell r="C58" t="str">
            <v>Edge70512_SPC6700</v>
          </cell>
          <cell r="D58" t="str">
            <v>CASAS BAHIA - RUA MARECHAL DEODORO, 987 - ZONA COMERCIAL - SPC6700</v>
          </cell>
          <cell r="E58" t="str">
            <v>CASAS BAHIA</v>
          </cell>
          <cell r="F58" t="str">
            <v>RUA</v>
          </cell>
          <cell r="G58" t="str">
            <v>RUA MARECHAL DEODORO, 987</v>
          </cell>
          <cell r="H58" t="str">
            <v>Edge 70</v>
          </cell>
          <cell r="I58" t="str">
            <v>512 GB</v>
          </cell>
        </row>
        <row r="59">
          <cell r="C59" t="str">
            <v>Edge70512_SPC7069</v>
          </cell>
          <cell r="D59" t="str">
            <v>CASAS BAHIA - RUA DOMINGOS DE MORAIS, 2564 - SHOPPING METRO SANTA CRUZ - SPC7069</v>
          </cell>
          <cell r="E59" t="str">
            <v>CASAS BAHIA</v>
          </cell>
          <cell r="F59" t="str">
            <v>SHOPPING</v>
          </cell>
          <cell r="G59" t="str">
            <v>RUA DOMINGOS DE MORAIS, 2564</v>
          </cell>
          <cell r="H59" t="str">
            <v>Edge 70</v>
          </cell>
          <cell r="I59" t="str">
            <v>512 GB</v>
          </cell>
        </row>
        <row r="60">
          <cell r="C60" t="str">
            <v>Edge70512_SPC6505</v>
          </cell>
          <cell r="D60" t="str">
            <v>CASAS BAHIA - RUA TEODORO SAMPAIO, 2522 - ZONA COMERCIAL - SPC6505</v>
          </cell>
          <cell r="E60" t="str">
            <v>CASAS BAHIA</v>
          </cell>
          <cell r="F60" t="str">
            <v>RUA</v>
          </cell>
          <cell r="G60" t="str">
            <v>RUA TEODORO SAMPAIO, 2522</v>
          </cell>
          <cell r="H60" t="str">
            <v>Edge 70</v>
          </cell>
          <cell r="I60" t="str">
            <v>512 GB</v>
          </cell>
        </row>
        <row r="61">
          <cell r="C61" t="str">
            <v>Edge70512_SPC234770</v>
          </cell>
          <cell r="D61" t="str">
            <v>CASAS BAHIA - ESTRADA DA COLINA, 1048 - SPC234770</v>
          </cell>
          <cell r="E61" t="str">
            <v>CASAS BAHIA</v>
          </cell>
          <cell r="F61" t="str">
            <v>RUA</v>
          </cell>
          <cell r="G61" t="str">
            <v>ESTRADA DA COLINA, 1048</v>
          </cell>
          <cell r="H61" t="str">
            <v>Edge 70</v>
          </cell>
          <cell r="I61" t="str">
            <v>512 GB</v>
          </cell>
        </row>
        <row r="62">
          <cell r="C62" t="str">
            <v>Edge70256_SPC7613</v>
          </cell>
          <cell r="D62" t="str">
            <v>CASAS BAHIA - AVENIDA INTERLAGOS, 2255 - SHOPPING INTERLAGOS - SPC7613</v>
          </cell>
          <cell r="E62" t="str">
            <v>CASAS BAHIA</v>
          </cell>
          <cell r="F62" t="str">
            <v>SHOPPING</v>
          </cell>
          <cell r="G62" t="str">
            <v>AVENIDA INTERLAGOS, 2255</v>
          </cell>
          <cell r="H62" t="str">
            <v>Edge 70</v>
          </cell>
          <cell r="I62" t="str">
            <v>256 GB</v>
          </cell>
        </row>
        <row r="63">
          <cell r="C63" t="str">
            <v>Edge70256_SPC7612</v>
          </cell>
          <cell r="D63" t="str">
            <v>PONTO FRIO - AVENIDA INTERLAGOS, 2255 - SHOPPING INTERLAGOS - SPC7612</v>
          </cell>
          <cell r="E63" t="str">
            <v xml:space="preserve">PONTO FRIO </v>
          </cell>
          <cell r="F63" t="str">
            <v>SHOPPING</v>
          </cell>
          <cell r="G63" t="str">
            <v>AVENIDA INTERLAGOS, 2255</v>
          </cell>
          <cell r="H63" t="str">
            <v>Edge 70</v>
          </cell>
          <cell r="I63" t="str">
            <v>256 GB</v>
          </cell>
        </row>
        <row r="64">
          <cell r="C64" t="str">
            <v>Edge70256_SPC7614</v>
          </cell>
          <cell r="D64" t="str">
            <v>LOJAS AMERICANAS - AVENIDA INTERLAGOS, 2255 - SHOPPING INTERLAGOS - SPC7614</v>
          </cell>
          <cell r="E64" t="str">
            <v>LOJAS AMERICANAS</v>
          </cell>
          <cell r="F64" t="str">
            <v>SHOPPING</v>
          </cell>
          <cell r="G64" t="str">
            <v>AVENIDA INTERLAGOS, 2255</v>
          </cell>
          <cell r="H64" t="str">
            <v>Edge 70</v>
          </cell>
          <cell r="I64" t="str">
            <v>256 GB</v>
          </cell>
        </row>
        <row r="65">
          <cell r="C65" t="str">
            <v>Edge70256_SPC11232</v>
          </cell>
          <cell r="D65" t="str">
            <v>CASAS BAHIA - PRACA FLORIANO PEIXOTO, 38 - ZONA COMERCIAL - SPC11232</v>
          </cell>
          <cell r="E65" t="str">
            <v>CASAS BAHIA</v>
          </cell>
          <cell r="F65" t="str">
            <v>RUA</v>
          </cell>
          <cell r="G65" t="str">
            <v>PRACA FLORIANO PEIXOTO, 38</v>
          </cell>
          <cell r="H65" t="str">
            <v>Edge 70</v>
          </cell>
          <cell r="I65" t="str">
            <v>256 GB</v>
          </cell>
        </row>
        <row r="66">
          <cell r="C66" t="str">
            <v>Edge70256_SPC287350</v>
          </cell>
          <cell r="D66" t="str">
            <v>CASAS BAHIA - AVENIDA NACOES UNIDAS, 12995 - SPC287350</v>
          </cell>
          <cell r="E66" t="str">
            <v>CASAS BAHIA</v>
          </cell>
          <cell r="F66" t="str">
            <v>RUA</v>
          </cell>
          <cell r="G66" t="str">
            <v>AVENIDA NACOES UNIDAS, 12995</v>
          </cell>
          <cell r="H66" t="str">
            <v>Edge 70</v>
          </cell>
          <cell r="I66" t="str">
            <v>256 GB</v>
          </cell>
        </row>
        <row r="67">
          <cell r="C67" t="str">
            <v>Edge70256_SPC252260</v>
          </cell>
          <cell r="D67" t="str">
            <v>CASAS BAHIA - AVENIDA EMBAIXADOR MACEDO SOARES, 9175 - SPC252260</v>
          </cell>
          <cell r="E67" t="str">
            <v>CASAS BAHIA</v>
          </cell>
          <cell r="F67" t="str">
            <v>RUA</v>
          </cell>
          <cell r="G67" t="str">
            <v>AVENIDA EMBAIXADOR MACEDO SOARES, 9175</v>
          </cell>
          <cell r="H67" t="str">
            <v>Edge 70</v>
          </cell>
          <cell r="I67" t="str">
            <v>256 GB</v>
          </cell>
        </row>
        <row r="68">
          <cell r="C68" t="str">
            <v>Edge70256_SPC22892</v>
          </cell>
          <cell r="D68" t="str">
            <v>CASAS BAHIA - AVENIDA ARICANDUVA, 5555 (LOJA 2) - SHOPPING ARICANDUVA - SPC22892</v>
          </cell>
          <cell r="E68" t="str">
            <v>CASAS BAHIA</v>
          </cell>
          <cell r="F68" t="str">
            <v>SHOPPING</v>
          </cell>
          <cell r="G68" t="str">
            <v>AVENIDA ARICANDUVA, 5555 (LOJA 2)</v>
          </cell>
          <cell r="H68" t="str">
            <v>Edge 70</v>
          </cell>
          <cell r="I68" t="str">
            <v>256 GB</v>
          </cell>
        </row>
        <row r="69">
          <cell r="C69" t="str">
            <v>Edge70256_SPC7610</v>
          </cell>
          <cell r="D69" t="str">
            <v>CASAS BAHIA - AVENIDA ARICANDUVA, 5555 (LOJA 1) - SHOPPING ARICANDUVA - SPC7610</v>
          </cell>
          <cell r="E69" t="str">
            <v>CASAS BAHIA</v>
          </cell>
          <cell r="F69" t="str">
            <v>SHOPPING</v>
          </cell>
          <cell r="G69" t="str">
            <v>AVENIDA ARICANDUVA, 5555 (LOJA 1)</v>
          </cell>
          <cell r="H69" t="str">
            <v>Edge 70</v>
          </cell>
          <cell r="I69" t="str">
            <v>256 GB</v>
          </cell>
        </row>
        <row r="70">
          <cell r="C70" t="str">
            <v>Edge70256_SPC8803</v>
          </cell>
          <cell r="D70" t="str">
            <v>PONTO FRIO - AVENIDA ARICANDUVA, 5555 (LOJA 2) - SHOPPING ARICANDUVA - SPC8803</v>
          </cell>
          <cell r="E70" t="str">
            <v xml:space="preserve">PONTO FRIO </v>
          </cell>
          <cell r="F70" t="str">
            <v>SHOPPING</v>
          </cell>
          <cell r="G70" t="str">
            <v>AVENIDA ARICANDUVA, 5555 (LOJA 2)</v>
          </cell>
          <cell r="H70" t="str">
            <v>Edge 70</v>
          </cell>
          <cell r="I70" t="str">
            <v>256 GB</v>
          </cell>
        </row>
        <row r="71">
          <cell r="C71" t="str">
            <v>Edge70256_SPC6374</v>
          </cell>
          <cell r="D71" t="str">
            <v>MAGAZINE LUIZA - AVENIDA ARICANDUVA, 5555 - SHOPPING ARICANDUVA - SPC6374</v>
          </cell>
          <cell r="E71" t="str">
            <v>MAGAZINE LUIZA</v>
          </cell>
          <cell r="F71" t="str">
            <v>SHOPPING</v>
          </cell>
          <cell r="G71" t="str">
            <v>AVENIDA ARICANDUVA, 5555</v>
          </cell>
          <cell r="H71" t="str">
            <v>Edge 70</v>
          </cell>
          <cell r="I71" t="str">
            <v>256 GB</v>
          </cell>
        </row>
        <row r="72">
          <cell r="C72" t="str">
            <v>Edge70256_SPC7759</v>
          </cell>
          <cell r="D72" t="str">
            <v>CASAS BAHIA - AVENIDA JOSE PINHEIRO BORGES, S/N - SHOPPING METRO ITAQUERA - SPC7759</v>
          </cell>
          <cell r="E72" t="str">
            <v>CASAS BAHIA</v>
          </cell>
          <cell r="F72" t="str">
            <v>SHOPPING</v>
          </cell>
          <cell r="G72" t="str">
            <v>AVENIDA JOSE PINHEIRO BORGES, S/N</v>
          </cell>
          <cell r="H72" t="str">
            <v>Edge 70</v>
          </cell>
          <cell r="I72" t="str">
            <v>256 GB</v>
          </cell>
        </row>
        <row r="73">
          <cell r="C73" t="str">
            <v>Edge70256_SPC9927</v>
          </cell>
          <cell r="D73" t="str">
            <v>CASAS BAHIA - RODOVIA REGIS BITTENCOURT KM 271, 2643 - SHOPPING TABOAO DA SERRA - SPC9927</v>
          </cell>
          <cell r="E73" t="str">
            <v>CASAS BAHIA</v>
          </cell>
          <cell r="F73" t="str">
            <v>SHOPPING</v>
          </cell>
          <cell r="G73" t="str">
            <v>RODOVIA REGIS BITTENCOURT KM 271, 2643</v>
          </cell>
          <cell r="H73" t="str">
            <v>Edge 70</v>
          </cell>
          <cell r="I73" t="str">
            <v>256 GB</v>
          </cell>
        </row>
        <row r="74">
          <cell r="C74" t="str">
            <v>Edge70256_SPC10966</v>
          </cell>
          <cell r="D74" t="str">
            <v>CASAS BAHIA - ESTRADA DO CAMPO LIMPO, 459 - SHOPPING CAMPO LIMPO - SPC10966</v>
          </cell>
          <cell r="E74" t="str">
            <v>CASAS BAHIA</v>
          </cell>
          <cell r="F74" t="str">
            <v>SHOPPING</v>
          </cell>
          <cell r="G74" t="str">
            <v>ESTRADA DO CAMPO LIMPO, 459</v>
          </cell>
          <cell r="H74" t="str">
            <v>Edge 70</v>
          </cell>
          <cell r="I74" t="str">
            <v>256 GB</v>
          </cell>
        </row>
        <row r="75">
          <cell r="C75" t="str">
            <v>Edge70256_SPC11008</v>
          </cell>
          <cell r="D75" t="str">
            <v>CASAS BAHIA - LARGO 13 DE MAIO, 308 - ZONA COMERCIAL - SPC11008</v>
          </cell>
          <cell r="E75" t="str">
            <v>CASAS BAHIA</v>
          </cell>
          <cell r="F75" t="str">
            <v>RUA</v>
          </cell>
          <cell r="G75" t="str">
            <v>LARGO 13 DE MAIO, 308</v>
          </cell>
          <cell r="H75" t="str">
            <v>Edge 70</v>
          </cell>
          <cell r="I75" t="str">
            <v>256 GB</v>
          </cell>
        </row>
        <row r="76">
          <cell r="C76" t="str">
            <v>Edge70256_SPC7621</v>
          </cell>
          <cell r="D76" t="str">
            <v>PONTO FRIO - RUA CAPITAO TIAGO LUZ, 146 - ZONA COMERCIAL - SPC7621</v>
          </cell>
          <cell r="E76" t="str">
            <v xml:space="preserve">PONTO FRIO </v>
          </cell>
          <cell r="F76" t="str">
            <v>RUA</v>
          </cell>
          <cell r="G76" t="str">
            <v>RUA CAPITAO TIAGO LUZ, 146</v>
          </cell>
          <cell r="H76" t="str">
            <v>Edge 70</v>
          </cell>
          <cell r="I76" t="str">
            <v>256 GB</v>
          </cell>
        </row>
        <row r="77">
          <cell r="C77" t="str">
            <v>Edge70256_SPC6352</v>
          </cell>
          <cell r="D77" t="str">
            <v>CASAS BAHIA - RUA TENENTE AVELAR PIRES DE AZEVEDO, 81 - SHOPPING OSASCO PLAZA - SPC6352</v>
          </cell>
          <cell r="E77" t="str">
            <v>CASAS BAHIA</v>
          </cell>
          <cell r="F77" t="str">
            <v>SHOPPING</v>
          </cell>
          <cell r="G77" t="str">
            <v>RUA TENENTE AVELAR PIRES DE AZEVEDO, 81</v>
          </cell>
          <cell r="H77" t="str">
            <v>Edge 70</v>
          </cell>
          <cell r="I77" t="str">
            <v>256 GB</v>
          </cell>
        </row>
        <row r="78">
          <cell r="C78" t="str">
            <v>Edge70256_SPC6445</v>
          </cell>
          <cell r="D78" t="str">
            <v>CASAS BAHIA - AVENIDA PIRACEMA, 669 - SHOPPING TAMBORE - SPC6445</v>
          </cell>
          <cell r="E78" t="str">
            <v>CASAS BAHIA</v>
          </cell>
          <cell r="F78" t="str">
            <v>SHOPPING</v>
          </cell>
          <cell r="G78" t="str">
            <v>AVENIDA PIRACEMA, 669</v>
          </cell>
          <cell r="H78" t="str">
            <v>Edge 70</v>
          </cell>
          <cell r="I78" t="str">
            <v>256 GB</v>
          </cell>
        </row>
        <row r="79">
          <cell r="C79" t="str">
            <v>Edge70256_SPC6397</v>
          </cell>
          <cell r="D79" t="str">
            <v>CASAS BAHIA - AVENIDA DOS AUTONOMISTAS, 1400 - SHOPPING UNIAO - SPC6397</v>
          </cell>
          <cell r="E79" t="str">
            <v>CASAS BAHIA</v>
          </cell>
          <cell r="F79" t="str">
            <v>SHOPPING</v>
          </cell>
          <cell r="G79" t="str">
            <v>AVENIDA DOS AUTONOMISTAS, 1400</v>
          </cell>
          <cell r="H79" t="str">
            <v>Edge 70</v>
          </cell>
          <cell r="I79" t="str">
            <v>256 GB</v>
          </cell>
        </row>
        <row r="80">
          <cell r="C80" t="str">
            <v>Edge70256_SPC11278</v>
          </cell>
          <cell r="D80" t="str">
            <v>PONTO FRIO - RUA ANTONIO AGU, 155 - ZONA COMERCIAL - SPC11278</v>
          </cell>
          <cell r="E80" t="str">
            <v xml:space="preserve">PONTO FRIO </v>
          </cell>
          <cell r="F80" t="str">
            <v>RUA</v>
          </cell>
          <cell r="G80" t="str">
            <v>RUA ANTONIO AGU, 155</v>
          </cell>
          <cell r="H80" t="str">
            <v>Edge 70</v>
          </cell>
          <cell r="I80" t="str">
            <v>256 GB</v>
          </cell>
        </row>
        <row r="81">
          <cell r="C81" t="str">
            <v>Edge70256_SPC7644</v>
          </cell>
          <cell r="D81" t="str">
            <v>CASAS BAHIA - TRAVESSA CASALBUONO, 120 - SHOPPING CENTER NORTE - SPC7644</v>
          </cell>
          <cell r="E81" t="str">
            <v>CASAS BAHIA</v>
          </cell>
          <cell r="F81" t="str">
            <v>SHOPPING</v>
          </cell>
          <cell r="G81" t="str">
            <v>TRAVESSA CASALBUONO, 120</v>
          </cell>
          <cell r="H81" t="str">
            <v>Edge 70</v>
          </cell>
          <cell r="I81" t="str">
            <v>256 GB</v>
          </cell>
        </row>
        <row r="82">
          <cell r="C82" t="str">
            <v>Edge70256_SPC8440</v>
          </cell>
          <cell r="D82" t="str">
            <v>MAGAZINE LUIZA - RUA AMAZONAS DA SILVA, 27 - ZONA COMERCIAL - SPC8440</v>
          </cell>
          <cell r="E82" t="str">
            <v>MAGAZINE LUIZA</v>
          </cell>
          <cell r="F82" t="str">
            <v>RUA</v>
          </cell>
          <cell r="G82" t="str">
            <v>RUA AMAZONAS DA SILVA, 27</v>
          </cell>
          <cell r="H82" t="str">
            <v>Edge 70</v>
          </cell>
          <cell r="I82" t="str">
            <v>256 GB</v>
          </cell>
        </row>
        <row r="83">
          <cell r="C83" t="str">
            <v>Edge70256_SPC7607</v>
          </cell>
          <cell r="D83" t="str">
            <v>CASAS BAHIA - RODOVIA PRESIDENTE DUTRA KM 230, S/N - SHOPPING INTERNACIONAL GUARULHOS - SPC7607</v>
          </cell>
          <cell r="E83" t="str">
            <v>CASAS BAHIA</v>
          </cell>
          <cell r="F83" t="str">
            <v>SHOPPING</v>
          </cell>
          <cell r="G83" t="str">
            <v>RODOVIA PRESIDENTE DUTRA KM 230, S/N</v>
          </cell>
          <cell r="H83" t="str">
            <v>Edge 70</v>
          </cell>
          <cell r="I83" t="str">
            <v>256 GB</v>
          </cell>
        </row>
        <row r="84">
          <cell r="C84" t="str">
            <v>Edge70256_SPC11273</v>
          </cell>
          <cell r="D84" t="str">
            <v>CASAS BAHIA - AVENIDA JUSCELINO KUBITSCHEK DE OLIVEIRA, 5308 - SHOPPING BONSUCESSO - SPC11273</v>
          </cell>
          <cell r="E84" t="str">
            <v>CASAS BAHIA</v>
          </cell>
          <cell r="F84" t="str">
            <v>SHOPPING</v>
          </cell>
          <cell r="G84" t="str">
            <v>AVENIDA JUSCELINO KUBITSCHEK DE OLIVEIRA, 5308</v>
          </cell>
          <cell r="H84" t="str">
            <v>Edge 70</v>
          </cell>
          <cell r="I84" t="str">
            <v>256 GB</v>
          </cell>
        </row>
        <row r="85">
          <cell r="C85" t="str">
            <v>Edge70256_SPC11005</v>
          </cell>
          <cell r="D85" t="str">
            <v>CASAS BAHIA - AVENIDA INDUSTRIAL, 600 - SHOPPING GRAND PLAZA - SPC11005</v>
          </cell>
          <cell r="E85" t="str">
            <v>CASAS BAHIA</v>
          </cell>
          <cell r="F85" t="str">
            <v>SHOPPING</v>
          </cell>
          <cell r="G85" t="str">
            <v>AVENIDA INDUSTRIAL, 600</v>
          </cell>
          <cell r="H85" t="str">
            <v>Edge 70</v>
          </cell>
          <cell r="I85" t="str">
            <v>256 GB</v>
          </cell>
        </row>
        <row r="86">
          <cell r="C86" t="str">
            <v>Edge70256_SPC8715</v>
          </cell>
          <cell r="D86" t="str">
            <v>CASAS BAHIA - AVENIDA GOVERNADOR MARIO COVAS JUNIOR, 1 - SHOPPING MAUA - SPC8715</v>
          </cell>
          <cell r="E86" t="str">
            <v>CASAS BAHIA</v>
          </cell>
          <cell r="F86" t="str">
            <v>SHOPPING</v>
          </cell>
          <cell r="G86" t="str">
            <v>AVENIDA GOVERNADOR MARIO COVAS JUNIOR, 1</v>
          </cell>
          <cell r="H86" t="str">
            <v>Edge 70</v>
          </cell>
          <cell r="I86" t="str">
            <v>256 GB</v>
          </cell>
        </row>
        <row r="87">
          <cell r="C87" t="str">
            <v>Edge70256_SPC11374</v>
          </cell>
          <cell r="D87" t="str">
            <v>CASAS BAHIA - AVENIDA PEREIRA BARRETO, 42 - SHOPPING ABC - SPC11374</v>
          </cell>
          <cell r="E87" t="str">
            <v>CASAS BAHIA</v>
          </cell>
          <cell r="F87" t="str">
            <v>SHOPPING</v>
          </cell>
          <cell r="G87" t="str">
            <v>AVENIDA PEREIRA BARRETO, 42</v>
          </cell>
          <cell r="H87" t="str">
            <v>Edge 70</v>
          </cell>
          <cell r="I87" t="str">
            <v>256 GB</v>
          </cell>
        </row>
        <row r="88">
          <cell r="C88" t="str">
            <v>Edge70256_SPC6700</v>
          </cell>
          <cell r="D88" t="str">
            <v>CASAS BAHIA - RUA MARECHAL DEODORO, 987 - ZONA COMERCIAL - SPC6700</v>
          </cell>
          <cell r="E88" t="str">
            <v>CASAS BAHIA</v>
          </cell>
          <cell r="F88" t="str">
            <v>RUA</v>
          </cell>
          <cell r="G88" t="str">
            <v>RUA MARECHAL DEODORO, 987</v>
          </cell>
          <cell r="H88" t="str">
            <v>Edge 70</v>
          </cell>
          <cell r="I88" t="str">
            <v>256 GB</v>
          </cell>
        </row>
        <row r="89">
          <cell r="C89" t="str">
            <v>Edge70256_SPC7069</v>
          </cell>
          <cell r="D89" t="str">
            <v>CASAS BAHIA - RUA DOMINGOS DE MORAIS, 2564 - SHOPPING METRO SANTA CRUZ - SPC7069</v>
          </cell>
          <cell r="E89" t="str">
            <v>CASAS BAHIA</v>
          </cell>
          <cell r="F89" t="str">
            <v>SHOPPING</v>
          </cell>
          <cell r="G89" t="str">
            <v>RUA DOMINGOS DE MORAIS, 2564</v>
          </cell>
          <cell r="H89" t="str">
            <v>Edge 70</v>
          </cell>
          <cell r="I89" t="str">
            <v>256 GB</v>
          </cell>
        </row>
        <row r="90">
          <cell r="C90" t="str">
            <v>Edge70256_SPC6505</v>
          </cell>
          <cell r="D90" t="str">
            <v>CASAS BAHIA - RUA TEODORO SAMPAIO, 2522 - ZONA COMERCIAL - SPC6505</v>
          </cell>
          <cell r="E90" t="str">
            <v>CASAS BAHIA</v>
          </cell>
          <cell r="F90" t="str">
            <v>RUA</v>
          </cell>
          <cell r="G90" t="str">
            <v>RUA TEODORO SAMPAIO, 2522</v>
          </cell>
          <cell r="H90" t="str">
            <v>Edge 70</v>
          </cell>
          <cell r="I90" t="str">
            <v>256 GB</v>
          </cell>
        </row>
        <row r="91">
          <cell r="C91" t="str">
            <v>Edge70256_SPC234770</v>
          </cell>
          <cell r="D91" t="str">
            <v>CASAS BAHIA - ESTRADA DA COLINA, 1048 - SPC234770</v>
          </cell>
          <cell r="E91" t="str">
            <v>CASAS BAHIA</v>
          </cell>
          <cell r="F91" t="str">
            <v>RUA</v>
          </cell>
          <cell r="G91" t="str">
            <v>ESTRADA DA COLINA, 1048</v>
          </cell>
          <cell r="H91" t="str">
            <v>Edge 70</v>
          </cell>
          <cell r="I91" t="str">
            <v>256 GB</v>
          </cell>
        </row>
        <row r="92">
          <cell r="C92" t="str">
            <v>Edge70Fusion+256_SPC7613</v>
          </cell>
          <cell r="D92" t="str">
            <v>CASAS BAHIA - AVENIDA INTERLAGOS, 2255 - SHOPPING INTERLAGOS - SPC7613</v>
          </cell>
          <cell r="E92" t="str">
            <v>CASAS BAHIA</v>
          </cell>
          <cell r="F92" t="str">
            <v>SHOPPING</v>
          </cell>
          <cell r="G92" t="str">
            <v>AVENIDA INTERLAGOS, 2255</v>
          </cell>
          <cell r="H92" t="str">
            <v>Edge 70 Fusion +</v>
          </cell>
          <cell r="I92" t="str">
            <v>256 GB</v>
          </cell>
        </row>
        <row r="93">
          <cell r="C93" t="str">
            <v>Edge70Fusion+256_SPC7612</v>
          </cell>
          <cell r="D93" t="str">
            <v>PONTO FRIO - AVENIDA INTERLAGOS, 2255 - SHOPPING INTERLAGOS - SPC7612</v>
          </cell>
          <cell r="E93" t="str">
            <v xml:space="preserve">PONTO FRIO </v>
          </cell>
          <cell r="F93" t="str">
            <v>SHOPPING</v>
          </cell>
          <cell r="G93" t="str">
            <v>AVENIDA INTERLAGOS, 2255</v>
          </cell>
          <cell r="H93" t="str">
            <v>Edge 70 Fusion +</v>
          </cell>
          <cell r="I93" t="str">
            <v>256 GB</v>
          </cell>
        </row>
        <row r="94">
          <cell r="C94" t="str">
            <v>Edge70Fusion+256_SPC7614</v>
          </cell>
          <cell r="D94" t="str">
            <v>LOJAS AMERICANAS - AVENIDA INTERLAGOS, 2255 - SHOPPING INTERLAGOS - SPC7614</v>
          </cell>
          <cell r="E94" t="str">
            <v>LOJAS AMERICANAS</v>
          </cell>
          <cell r="F94" t="str">
            <v>SHOPPING</v>
          </cell>
          <cell r="G94" t="str">
            <v>AVENIDA INTERLAGOS, 2255</v>
          </cell>
          <cell r="H94" t="str">
            <v>Edge 70 Fusion +</v>
          </cell>
          <cell r="I94" t="str">
            <v>256 GB</v>
          </cell>
        </row>
        <row r="95">
          <cell r="C95" t="str">
            <v>Edge70Fusion+256_SPC11232</v>
          </cell>
          <cell r="D95" t="str">
            <v>CASAS BAHIA - PRACA FLORIANO PEIXOTO, 38 - ZONA COMERCIAL - SPC11232</v>
          </cell>
          <cell r="E95" t="str">
            <v>CASAS BAHIA</v>
          </cell>
          <cell r="F95" t="str">
            <v>RUA</v>
          </cell>
          <cell r="G95" t="str">
            <v>PRACA FLORIANO PEIXOTO, 38</v>
          </cell>
          <cell r="H95" t="str">
            <v>Edge 70 Fusion +</v>
          </cell>
          <cell r="I95" t="str">
            <v>256 GB</v>
          </cell>
        </row>
        <row r="96">
          <cell r="C96" t="str">
            <v>Edge70Fusion+256_SPC287350</v>
          </cell>
          <cell r="D96" t="str">
            <v>CASAS BAHIA - AVENIDA NACOES UNIDAS, 12995 - SPC287350</v>
          </cell>
          <cell r="E96" t="str">
            <v>CASAS BAHIA</v>
          </cell>
          <cell r="F96" t="str">
            <v>RUA</v>
          </cell>
          <cell r="G96" t="str">
            <v>AVENIDA NACOES UNIDAS, 12995</v>
          </cell>
          <cell r="H96" t="str">
            <v>Edge 70 Fusion +</v>
          </cell>
          <cell r="I96" t="str">
            <v>256 GB</v>
          </cell>
        </row>
        <row r="97">
          <cell r="C97" t="str">
            <v>Edge70Fusion+256_SPC252260</v>
          </cell>
          <cell r="D97" t="str">
            <v>CASAS BAHIA - AVENIDA EMBAIXADOR MACEDO SOARES, 9175 - SPC252260</v>
          </cell>
          <cell r="E97" t="str">
            <v>CASAS BAHIA</v>
          </cell>
          <cell r="F97" t="str">
            <v>RUA</v>
          </cell>
          <cell r="G97" t="str">
            <v>AVENIDA EMBAIXADOR MACEDO SOARES, 9175</v>
          </cell>
          <cell r="H97" t="str">
            <v>Edge 70 Fusion +</v>
          </cell>
          <cell r="I97" t="str">
            <v>256 GB</v>
          </cell>
        </row>
        <row r="98">
          <cell r="C98" t="str">
            <v>Edge70Fusion+256_SPC22892</v>
          </cell>
          <cell r="D98" t="str">
            <v>CASAS BAHIA - AVENIDA ARICANDUVA, 5555 (LOJA 2) - SHOPPING ARICANDUVA - SPC22892</v>
          </cell>
          <cell r="E98" t="str">
            <v>CASAS BAHIA</v>
          </cell>
          <cell r="F98" t="str">
            <v>SHOPPING</v>
          </cell>
          <cell r="G98" t="str">
            <v>AVENIDA ARICANDUVA, 5555 (LOJA 2)</v>
          </cell>
          <cell r="H98" t="str">
            <v>Edge 70 Fusion +</v>
          </cell>
          <cell r="I98" t="str">
            <v>256 GB</v>
          </cell>
        </row>
        <row r="99">
          <cell r="C99" t="str">
            <v>Edge70Fusion+256_SPC7610</v>
          </cell>
          <cell r="D99" t="str">
            <v>CASAS BAHIA - AVENIDA ARICANDUVA, 5555 (LOJA 1) - SHOPPING ARICANDUVA - SPC7610</v>
          </cell>
          <cell r="E99" t="str">
            <v>CASAS BAHIA</v>
          </cell>
          <cell r="F99" t="str">
            <v>SHOPPING</v>
          </cell>
          <cell r="G99" t="str">
            <v>AVENIDA ARICANDUVA, 5555 (LOJA 1)</v>
          </cell>
          <cell r="H99" t="str">
            <v>Edge 70 Fusion +</v>
          </cell>
          <cell r="I99" t="str">
            <v>256 GB</v>
          </cell>
        </row>
        <row r="100">
          <cell r="C100" t="str">
            <v>Edge70Fusion+256_SPC8803</v>
          </cell>
          <cell r="D100" t="str">
            <v>PONTO FRIO - AVENIDA ARICANDUVA, 5555 (LOJA 2) - SHOPPING ARICANDUVA - SPC8803</v>
          </cell>
          <cell r="E100" t="str">
            <v xml:space="preserve">PONTO FRIO </v>
          </cell>
          <cell r="F100" t="str">
            <v>SHOPPING</v>
          </cell>
          <cell r="G100" t="str">
            <v>AVENIDA ARICANDUVA, 5555 (LOJA 2)</v>
          </cell>
          <cell r="H100" t="str">
            <v>Edge 70 Fusion +</v>
          </cell>
          <cell r="I100" t="str">
            <v>256 GB</v>
          </cell>
        </row>
        <row r="101">
          <cell r="C101" t="str">
            <v>Edge70Fusion+256_SPC6374</v>
          </cell>
          <cell r="D101" t="str">
            <v>MAGAZINE LUIZA - AVENIDA ARICANDUVA, 5555 - SHOPPING ARICANDUVA - SPC6374</v>
          </cell>
          <cell r="E101" t="str">
            <v>MAGAZINE LUIZA</v>
          </cell>
          <cell r="F101" t="str">
            <v>SHOPPING</v>
          </cell>
          <cell r="G101" t="str">
            <v>AVENIDA ARICANDUVA, 5555</v>
          </cell>
          <cell r="H101" t="str">
            <v>Edge 70 Fusion +</v>
          </cell>
          <cell r="I101" t="str">
            <v>256 GB</v>
          </cell>
        </row>
        <row r="102">
          <cell r="C102" t="str">
            <v>Edge70Fusion+256_SPC7759</v>
          </cell>
          <cell r="D102" t="str">
            <v>CASAS BAHIA - AVENIDA JOSE PINHEIRO BORGES, S/N - SHOPPING METRO ITAQUERA - SPC7759</v>
          </cell>
          <cell r="E102" t="str">
            <v>CASAS BAHIA</v>
          </cell>
          <cell r="F102" t="str">
            <v>SHOPPING</v>
          </cell>
          <cell r="G102" t="str">
            <v>AVENIDA JOSE PINHEIRO BORGES, S/N</v>
          </cell>
          <cell r="H102" t="str">
            <v>Edge 70 Fusion +</v>
          </cell>
          <cell r="I102" t="str">
            <v>256 GB</v>
          </cell>
        </row>
        <row r="103">
          <cell r="C103" t="str">
            <v>Edge70Fusion+256_SPC9927</v>
          </cell>
          <cell r="D103" t="str">
            <v>CASAS BAHIA - RODOVIA REGIS BITTENCOURT KM 271, 2643 - SHOPPING TABOAO DA SERRA - SPC9927</v>
          </cell>
          <cell r="E103" t="str">
            <v>CASAS BAHIA</v>
          </cell>
          <cell r="F103" t="str">
            <v>SHOPPING</v>
          </cell>
          <cell r="G103" t="str">
            <v>RODOVIA REGIS BITTENCOURT KM 271, 2643</v>
          </cell>
          <cell r="H103" t="str">
            <v>Edge 70 Fusion +</v>
          </cell>
          <cell r="I103" t="str">
            <v>256 GB</v>
          </cell>
        </row>
        <row r="104">
          <cell r="C104" t="str">
            <v>Edge70Fusion+256_SPC10966</v>
          </cell>
          <cell r="D104" t="str">
            <v>CASAS BAHIA - ESTRADA DO CAMPO LIMPO, 459 - SHOPPING CAMPO LIMPO - SPC10966</v>
          </cell>
          <cell r="E104" t="str">
            <v>CASAS BAHIA</v>
          </cell>
          <cell r="F104" t="str">
            <v>SHOPPING</v>
          </cell>
          <cell r="G104" t="str">
            <v>ESTRADA DO CAMPO LIMPO, 459</v>
          </cell>
          <cell r="H104" t="str">
            <v>Edge 70 Fusion +</v>
          </cell>
          <cell r="I104" t="str">
            <v>256 GB</v>
          </cell>
        </row>
        <row r="105">
          <cell r="C105" t="str">
            <v>Edge70Fusion+256_SPC11008</v>
          </cell>
          <cell r="D105" t="str">
            <v>CASAS BAHIA - LARGO 13 DE MAIO, 308 - ZONA COMERCIAL - SPC11008</v>
          </cell>
          <cell r="E105" t="str">
            <v>CASAS BAHIA</v>
          </cell>
          <cell r="F105" t="str">
            <v>RUA</v>
          </cell>
          <cell r="G105" t="str">
            <v>LARGO 13 DE MAIO, 308</v>
          </cell>
          <cell r="H105" t="str">
            <v>Edge 70 Fusion +</v>
          </cell>
          <cell r="I105" t="str">
            <v>256 GB</v>
          </cell>
        </row>
        <row r="106">
          <cell r="C106" t="str">
            <v>Edge70Fusion+256_SPC7621</v>
          </cell>
          <cell r="D106" t="str">
            <v>PONTO FRIO - RUA CAPITAO TIAGO LUZ, 146 - ZONA COMERCIAL - SPC7621</v>
          </cell>
          <cell r="E106" t="str">
            <v xml:space="preserve">PONTO FRIO </v>
          </cell>
          <cell r="F106" t="str">
            <v>RUA</v>
          </cell>
          <cell r="G106" t="str">
            <v>RUA CAPITAO TIAGO LUZ, 146</v>
          </cell>
          <cell r="H106" t="str">
            <v>Edge 70 Fusion +</v>
          </cell>
          <cell r="I106" t="str">
            <v>256 GB</v>
          </cell>
        </row>
        <row r="107">
          <cell r="C107" t="str">
            <v>Edge70Fusion+256_SPC6352</v>
          </cell>
          <cell r="D107" t="str">
            <v>CASAS BAHIA - RUA TENENTE AVELAR PIRES DE AZEVEDO, 81 - SHOPPING OSASCO PLAZA - SPC6352</v>
          </cell>
          <cell r="E107" t="str">
            <v>CASAS BAHIA</v>
          </cell>
          <cell r="F107" t="str">
            <v>SHOPPING</v>
          </cell>
          <cell r="G107" t="str">
            <v>RUA TENENTE AVELAR PIRES DE AZEVEDO, 81</v>
          </cell>
          <cell r="H107" t="str">
            <v>Edge 70 Fusion +</v>
          </cell>
          <cell r="I107" t="str">
            <v>256 GB</v>
          </cell>
        </row>
        <row r="108">
          <cell r="C108" t="str">
            <v>Edge70Fusion+256_SPC6445</v>
          </cell>
          <cell r="D108" t="str">
            <v>CASAS BAHIA - AVENIDA PIRACEMA, 669 - SHOPPING TAMBORE - SPC6445</v>
          </cell>
          <cell r="E108" t="str">
            <v>CASAS BAHIA</v>
          </cell>
          <cell r="F108" t="str">
            <v>SHOPPING</v>
          </cell>
          <cell r="G108" t="str">
            <v>AVENIDA PIRACEMA, 669</v>
          </cell>
          <cell r="H108" t="str">
            <v>Edge 70 Fusion +</v>
          </cell>
          <cell r="I108" t="str">
            <v>256 GB</v>
          </cell>
        </row>
        <row r="109">
          <cell r="C109" t="str">
            <v>Edge70Fusion+256_SPC6397</v>
          </cell>
          <cell r="D109" t="str">
            <v>CASAS BAHIA - AVENIDA DOS AUTONOMISTAS, 1400 - SHOPPING UNIAO - SPC6397</v>
          </cell>
          <cell r="E109" t="str">
            <v>CASAS BAHIA</v>
          </cell>
          <cell r="F109" t="str">
            <v>SHOPPING</v>
          </cell>
          <cell r="G109" t="str">
            <v>AVENIDA DOS AUTONOMISTAS, 1400</v>
          </cell>
          <cell r="H109" t="str">
            <v>Edge 70 Fusion +</v>
          </cell>
          <cell r="I109" t="str">
            <v>256 GB</v>
          </cell>
        </row>
        <row r="110">
          <cell r="C110" t="str">
            <v>Edge70Fusion+256_SPC11278</v>
          </cell>
          <cell r="D110" t="str">
            <v>PONTO FRIO - RUA ANTONIO AGU, 155 - ZONA COMERCIAL - SPC11278</v>
          </cell>
          <cell r="E110" t="str">
            <v xml:space="preserve">PONTO FRIO </v>
          </cell>
          <cell r="F110" t="str">
            <v>RUA</v>
          </cell>
          <cell r="G110" t="str">
            <v>RUA ANTONIO AGU, 155</v>
          </cell>
          <cell r="H110" t="str">
            <v>Edge 70 Fusion +</v>
          </cell>
          <cell r="I110" t="str">
            <v>256 GB</v>
          </cell>
        </row>
        <row r="111">
          <cell r="C111" t="str">
            <v>Edge70Fusion+256_SPC7644</v>
          </cell>
          <cell r="D111" t="str">
            <v>CASAS BAHIA - TRAVESSA CASALBUONO, 120 - SHOPPING CENTER NORTE - SPC7644</v>
          </cell>
          <cell r="E111" t="str">
            <v>CASAS BAHIA</v>
          </cell>
          <cell r="F111" t="str">
            <v>SHOPPING</v>
          </cell>
          <cell r="G111" t="str">
            <v>TRAVESSA CASALBUONO, 120</v>
          </cell>
          <cell r="H111" t="str">
            <v>Edge 70 Fusion +</v>
          </cell>
          <cell r="I111" t="str">
            <v>256 GB</v>
          </cell>
        </row>
        <row r="112">
          <cell r="C112" t="str">
            <v>Edge70Fusion+256_SPC8440</v>
          </cell>
          <cell r="D112" t="str">
            <v>MAGAZINE LUIZA - RUA AMAZONAS DA SILVA, 27 - ZONA COMERCIAL - SPC8440</v>
          </cell>
          <cell r="E112" t="str">
            <v>MAGAZINE LUIZA</v>
          </cell>
          <cell r="F112" t="str">
            <v>RUA</v>
          </cell>
          <cell r="G112" t="str">
            <v>RUA AMAZONAS DA SILVA, 27</v>
          </cell>
          <cell r="H112" t="str">
            <v>Edge 70 Fusion +</v>
          </cell>
          <cell r="I112" t="str">
            <v>256 GB</v>
          </cell>
        </row>
        <row r="113">
          <cell r="C113" t="str">
            <v>Edge70Fusion+256_SPC7607</v>
          </cell>
          <cell r="D113" t="str">
            <v>CASAS BAHIA - RODOVIA PRESIDENTE DUTRA KM 230, S/N - SHOPPING INTERNACIONAL GUARULHOS - SPC7607</v>
          </cell>
          <cell r="E113" t="str">
            <v>CASAS BAHIA</v>
          </cell>
          <cell r="F113" t="str">
            <v>SHOPPING</v>
          </cell>
          <cell r="G113" t="str">
            <v>RODOVIA PRESIDENTE DUTRA KM 230, S/N</v>
          </cell>
          <cell r="H113" t="str">
            <v>Edge 70 Fusion +</v>
          </cell>
          <cell r="I113" t="str">
            <v>256 GB</v>
          </cell>
        </row>
        <row r="114">
          <cell r="C114" t="str">
            <v>Edge70Fusion+256_SPC11273</v>
          </cell>
          <cell r="D114" t="str">
            <v>CASAS BAHIA - AVENIDA JUSCELINO KUBITSCHEK DE OLIVEIRA, 5308 - SHOPPING BONSUCESSO - SPC11273</v>
          </cell>
          <cell r="E114" t="str">
            <v>CASAS BAHIA</v>
          </cell>
          <cell r="F114" t="str">
            <v>SHOPPING</v>
          </cell>
          <cell r="G114" t="str">
            <v>AVENIDA JUSCELINO KUBITSCHEK DE OLIVEIRA, 5308</v>
          </cell>
          <cell r="H114" t="str">
            <v>Edge 70 Fusion +</v>
          </cell>
          <cell r="I114" t="str">
            <v>256 GB</v>
          </cell>
        </row>
        <row r="115">
          <cell r="C115" t="str">
            <v>Edge70Fusion+256_SPC11005</v>
          </cell>
          <cell r="D115" t="str">
            <v>CASAS BAHIA - AVENIDA INDUSTRIAL, 600 - SHOPPING GRAND PLAZA - SPC11005</v>
          </cell>
          <cell r="E115" t="str">
            <v>CASAS BAHIA</v>
          </cell>
          <cell r="F115" t="str">
            <v>SHOPPING</v>
          </cell>
          <cell r="G115" t="str">
            <v>AVENIDA INDUSTRIAL, 600</v>
          </cell>
          <cell r="H115" t="str">
            <v>Edge 70 Fusion +</v>
          </cell>
          <cell r="I115" t="str">
            <v>256 GB</v>
          </cell>
        </row>
        <row r="116">
          <cell r="C116" t="str">
            <v>Edge70Fusion+256_SPC8715</v>
          </cell>
          <cell r="D116" t="str">
            <v>CASAS BAHIA - AVENIDA GOVERNADOR MARIO COVAS JUNIOR, 1 - SHOPPING MAUA - SPC8715</v>
          </cell>
          <cell r="E116" t="str">
            <v>CASAS BAHIA</v>
          </cell>
          <cell r="F116" t="str">
            <v>SHOPPING</v>
          </cell>
          <cell r="G116" t="str">
            <v>AVENIDA GOVERNADOR MARIO COVAS JUNIOR, 1</v>
          </cell>
          <cell r="H116" t="str">
            <v>Edge 70 Fusion +</v>
          </cell>
          <cell r="I116" t="str">
            <v>256 GB</v>
          </cell>
        </row>
        <row r="117">
          <cell r="C117" t="str">
            <v>Edge70Fusion+256_SPC11374</v>
          </cell>
          <cell r="D117" t="str">
            <v>CASAS BAHIA - AVENIDA PEREIRA BARRETO, 42 - SHOPPING ABC - SPC11374</v>
          </cell>
          <cell r="E117" t="str">
            <v>CASAS BAHIA</v>
          </cell>
          <cell r="F117" t="str">
            <v>SHOPPING</v>
          </cell>
          <cell r="G117" t="str">
            <v>AVENIDA PEREIRA BARRETO, 42</v>
          </cell>
          <cell r="H117" t="str">
            <v>Edge 70 Fusion +</v>
          </cell>
          <cell r="I117" t="str">
            <v>256 GB</v>
          </cell>
        </row>
        <row r="118">
          <cell r="C118" t="str">
            <v>Edge70Fusion+256_SPC6700</v>
          </cell>
          <cell r="D118" t="str">
            <v>CASAS BAHIA - RUA MARECHAL DEODORO, 987 - ZONA COMERCIAL - SPC6700</v>
          </cell>
          <cell r="E118" t="str">
            <v>CASAS BAHIA</v>
          </cell>
          <cell r="F118" t="str">
            <v>RUA</v>
          </cell>
          <cell r="G118" t="str">
            <v>RUA MARECHAL DEODORO, 987</v>
          </cell>
          <cell r="H118" t="str">
            <v>Edge 70 Fusion +</v>
          </cell>
          <cell r="I118" t="str">
            <v>256 GB</v>
          </cell>
        </row>
        <row r="119">
          <cell r="C119" t="str">
            <v>Edge70Fusion+256_SPC7069</v>
          </cell>
          <cell r="D119" t="str">
            <v>CASAS BAHIA - RUA DOMINGOS DE MORAIS, 2564 - SHOPPING METRO SANTA CRUZ - SPC7069</v>
          </cell>
          <cell r="E119" t="str">
            <v>CASAS BAHIA</v>
          </cell>
          <cell r="F119" t="str">
            <v>SHOPPING</v>
          </cell>
          <cell r="G119" t="str">
            <v>RUA DOMINGOS DE MORAIS, 2564</v>
          </cell>
          <cell r="H119" t="str">
            <v>Edge 70 Fusion +</v>
          </cell>
          <cell r="I119" t="str">
            <v>256 GB</v>
          </cell>
        </row>
        <row r="120">
          <cell r="C120" t="str">
            <v>Edge70Fusion+256_SPC6505</v>
          </cell>
          <cell r="D120" t="str">
            <v>CASAS BAHIA - RUA TEODORO SAMPAIO, 2522 - ZONA COMERCIAL - SPC6505</v>
          </cell>
          <cell r="E120" t="str">
            <v>CASAS BAHIA</v>
          </cell>
          <cell r="F120" t="str">
            <v>RUA</v>
          </cell>
          <cell r="G120" t="str">
            <v>RUA TEODORO SAMPAIO, 2522</v>
          </cell>
          <cell r="H120" t="str">
            <v>Edge 70 Fusion +</v>
          </cell>
          <cell r="I120" t="str">
            <v>256 GB</v>
          </cell>
        </row>
        <row r="121">
          <cell r="C121" t="str">
            <v>Edge70Fusion+256_SPC234770</v>
          </cell>
          <cell r="D121" t="str">
            <v>CASAS BAHIA - ESTRADA DA COLINA, 1048 - SPC234770</v>
          </cell>
          <cell r="E121" t="str">
            <v>CASAS BAHIA</v>
          </cell>
          <cell r="F121" t="str">
            <v>RUA</v>
          </cell>
          <cell r="G121" t="str">
            <v>ESTRADA DA COLINA, 1048</v>
          </cell>
          <cell r="H121" t="str">
            <v>Edge 70 Fusion +</v>
          </cell>
          <cell r="I121" t="str">
            <v>256 GB</v>
          </cell>
        </row>
        <row r="122">
          <cell r="C122" t="str">
            <v>Edge70Fusion256_SPC7613</v>
          </cell>
          <cell r="D122" t="str">
            <v>CASAS BAHIA - AVENIDA INTERLAGOS, 2255 - SHOPPING INTERLAGOS - SPC7613</v>
          </cell>
          <cell r="E122" t="str">
            <v>CASAS BAHIA</v>
          </cell>
          <cell r="F122" t="str">
            <v>SHOPPING</v>
          </cell>
          <cell r="G122" t="str">
            <v>AVENIDA INTERLAGOS, 2255</v>
          </cell>
          <cell r="H122" t="str">
            <v xml:space="preserve">Edge 70 Fusion </v>
          </cell>
          <cell r="I122" t="str">
            <v>256 GB</v>
          </cell>
        </row>
        <row r="123">
          <cell r="C123" t="str">
            <v>Edge70Fusion256_SPC7612</v>
          </cell>
          <cell r="D123" t="str">
            <v>PONTO FRIO - AVENIDA INTERLAGOS, 2255 - SHOPPING INTERLAGOS - SPC7612</v>
          </cell>
          <cell r="E123" t="str">
            <v xml:space="preserve">PONTO FRIO </v>
          </cell>
          <cell r="F123" t="str">
            <v>SHOPPING</v>
          </cell>
          <cell r="G123" t="str">
            <v>AVENIDA INTERLAGOS, 2255</v>
          </cell>
          <cell r="H123" t="str">
            <v xml:space="preserve">Edge 70 Fusion </v>
          </cell>
          <cell r="I123" t="str">
            <v>256 GB</v>
          </cell>
        </row>
        <row r="124">
          <cell r="C124" t="str">
            <v>Edge70Fusion256_SPC7614</v>
          </cell>
          <cell r="D124" t="str">
            <v>LOJAS AMERICANAS - AVENIDA INTERLAGOS, 2255 - SHOPPING INTERLAGOS - SPC7614</v>
          </cell>
          <cell r="E124" t="str">
            <v>LOJAS AMERICANAS</v>
          </cell>
          <cell r="F124" t="str">
            <v>SHOPPING</v>
          </cell>
          <cell r="G124" t="str">
            <v>AVENIDA INTERLAGOS, 2255</v>
          </cell>
          <cell r="H124" t="str">
            <v xml:space="preserve">Edge 70 Fusion </v>
          </cell>
          <cell r="I124" t="str">
            <v>256 GB</v>
          </cell>
        </row>
        <row r="125">
          <cell r="C125" t="str">
            <v>Edge70Fusion256_SPC11232</v>
          </cell>
          <cell r="D125" t="str">
            <v>CASAS BAHIA - PRACA FLORIANO PEIXOTO, 38 - ZONA COMERCIAL - SPC11232</v>
          </cell>
          <cell r="E125" t="str">
            <v>CASAS BAHIA</v>
          </cell>
          <cell r="F125" t="str">
            <v>RUA</v>
          </cell>
          <cell r="G125" t="str">
            <v>PRACA FLORIANO PEIXOTO, 38</v>
          </cell>
          <cell r="H125" t="str">
            <v xml:space="preserve">Edge 70 Fusion </v>
          </cell>
          <cell r="I125" t="str">
            <v>256 GB</v>
          </cell>
        </row>
        <row r="126">
          <cell r="C126" t="str">
            <v>Edge70Fusion256_SPC287350</v>
          </cell>
          <cell r="D126" t="str">
            <v>CASAS BAHIA - AVENIDA NACOES UNIDAS, 12995 - SPC287350</v>
          </cell>
          <cell r="E126" t="str">
            <v>CASAS BAHIA</v>
          </cell>
          <cell r="F126" t="str">
            <v>RUA</v>
          </cell>
          <cell r="G126" t="str">
            <v>AVENIDA NACOES UNIDAS, 12995</v>
          </cell>
          <cell r="H126" t="str">
            <v xml:space="preserve">Edge 70 Fusion </v>
          </cell>
          <cell r="I126" t="str">
            <v>256 GB</v>
          </cell>
        </row>
        <row r="127">
          <cell r="C127" t="str">
            <v>Edge70Fusion256_SPC252260</v>
          </cell>
          <cell r="D127" t="str">
            <v>CASAS BAHIA - AVENIDA EMBAIXADOR MACEDO SOARES, 9175 - SPC252260</v>
          </cell>
          <cell r="E127" t="str">
            <v>CASAS BAHIA</v>
          </cell>
          <cell r="F127" t="str">
            <v>RUA</v>
          </cell>
          <cell r="G127" t="str">
            <v>AVENIDA EMBAIXADOR MACEDO SOARES, 9175</v>
          </cell>
          <cell r="H127" t="str">
            <v xml:space="preserve">Edge 70 Fusion </v>
          </cell>
          <cell r="I127" t="str">
            <v>256 GB</v>
          </cell>
        </row>
        <row r="128">
          <cell r="C128" t="str">
            <v>Edge70Fusion256_SPC22892</v>
          </cell>
          <cell r="D128" t="str">
            <v>CASAS BAHIA - AVENIDA ARICANDUVA, 5555 (LOJA 2) - SHOPPING ARICANDUVA - SPC22892</v>
          </cell>
          <cell r="E128" t="str">
            <v>CASAS BAHIA</v>
          </cell>
          <cell r="F128" t="str">
            <v>SHOPPING</v>
          </cell>
          <cell r="G128" t="str">
            <v>AVENIDA ARICANDUVA, 5555 (LOJA 2)</v>
          </cell>
          <cell r="H128" t="str">
            <v xml:space="preserve">Edge 70 Fusion </v>
          </cell>
          <cell r="I128" t="str">
            <v>256 GB</v>
          </cell>
        </row>
        <row r="129">
          <cell r="C129" t="str">
            <v>Edge70Fusion256_SPC7610</v>
          </cell>
          <cell r="D129" t="str">
            <v>CASAS BAHIA - AVENIDA ARICANDUVA, 5555 (LOJA 1) - SHOPPING ARICANDUVA - SPC7610</v>
          </cell>
          <cell r="E129" t="str">
            <v>CASAS BAHIA</v>
          </cell>
          <cell r="F129" t="str">
            <v>SHOPPING</v>
          </cell>
          <cell r="G129" t="str">
            <v>AVENIDA ARICANDUVA, 5555 (LOJA 1)</v>
          </cell>
          <cell r="H129" t="str">
            <v xml:space="preserve">Edge 70 Fusion </v>
          </cell>
          <cell r="I129" t="str">
            <v>256 GB</v>
          </cell>
        </row>
        <row r="130">
          <cell r="C130" t="str">
            <v>Edge70Fusion256_SPC8803</v>
          </cell>
          <cell r="D130" t="str">
            <v>PONTO FRIO - AVENIDA ARICANDUVA, 5555 (LOJA 2) - SHOPPING ARICANDUVA - SPC8803</v>
          </cell>
          <cell r="E130" t="str">
            <v xml:space="preserve">PONTO FRIO </v>
          </cell>
          <cell r="F130" t="str">
            <v>SHOPPING</v>
          </cell>
          <cell r="G130" t="str">
            <v>AVENIDA ARICANDUVA, 5555 (LOJA 2)</v>
          </cell>
          <cell r="H130" t="str">
            <v xml:space="preserve">Edge 70 Fusion </v>
          </cell>
          <cell r="I130" t="str">
            <v>256 GB</v>
          </cell>
        </row>
        <row r="131">
          <cell r="C131" t="str">
            <v>Edge70Fusion256_SPC6374</v>
          </cell>
          <cell r="D131" t="str">
            <v>MAGAZINE LUIZA - AVENIDA ARICANDUVA, 5555 - SHOPPING ARICANDUVA - SPC6374</v>
          </cell>
          <cell r="E131" t="str">
            <v>MAGAZINE LUIZA</v>
          </cell>
          <cell r="F131" t="str">
            <v>SHOPPING</v>
          </cell>
          <cell r="G131" t="str">
            <v>AVENIDA ARICANDUVA, 5555</v>
          </cell>
          <cell r="H131" t="str">
            <v xml:space="preserve">Edge 70 Fusion </v>
          </cell>
          <cell r="I131" t="str">
            <v>256 GB</v>
          </cell>
        </row>
        <row r="132">
          <cell r="C132" t="str">
            <v>Edge70Fusion256_SPC7759</v>
          </cell>
          <cell r="D132" t="str">
            <v>CASAS BAHIA - AVENIDA JOSE PINHEIRO BORGES, S/N - SHOPPING METRO ITAQUERA - SPC7759</v>
          </cell>
          <cell r="E132" t="str">
            <v>CASAS BAHIA</v>
          </cell>
          <cell r="F132" t="str">
            <v>SHOPPING</v>
          </cell>
          <cell r="G132" t="str">
            <v>AVENIDA JOSE PINHEIRO BORGES, S/N</v>
          </cell>
          <cell r="H132" t="str">
            <v xml:space="preserve">Edge 70 Fusion </v>
          </cell>
          <cell r="I132" t="str">
            <v>256 GB</v>
          </cell>
        </row>
        <row r="133">
          <cell r="C133" t="str">
            <v>Edge70Fusion256_SPC9927</v>
          </cell>
          <cell r="D133" t="str">
            <v>CASAS BAHIA - RODOVIA REGIS BITTENCOURT KM 271, 2643 - SHOPPING TABOAO DA SERRA - SPC9927</v>
          </cell>
          <cell r="E133" t="str">
            <v>CASAS BAHIA</v>
          </cell>
          <cell r="F133" t="str">
            <v>SHOPPING</v>
          </cell>
          <cell r="G133" t="str">
            <v>RODOVIA REGIS BITTENCOURT KM 271, 2643</v>
          </cell>
          <cell r="H133" t="str">
            <v xml:space="preserve">Edge 70 Fusion </v>
          </cell>
          <cell r="I133" t="str">
            <v>256 GB</v>
          </cell>
        </row>
        <row r="134">
          <cell r="C134" t="str">
            <v>Edge70Fusion256_SPC10966</v>
          </cell>
          <cell r="D134" t="str">
            <v>CASAS BAHIA - ESTRADA DO CAMPO LIMPO, 459 - SHOPPING CAMPO LIMPO - SPC10966</v>
          </cell>
          <cell r="E134" t="str">
            <v>CASAS BAHIA</v>
          </cell>
          <cell r="F134" t="str">
            <v>SHOPPING</v>
          </cell>
          <cell r="G134" t="str">
            <v>ESTRADA DO CAMPO LIMPO, 459</v>
          </cell>
          <cell r="H134" t="str">
            <v xml:space="preserve">Edge 70 Fusion </v>
          </cell>
          <cell r="I134" t="str">
            <v>256 GB</v>
          </cell>
        </row>
        <row r="135">
          <cell r="C135" t="str">
            <v>Edge70Fusion256_SPC11008</v>
          </cell>
          <cell r="D135" t="str">
            <v>CASAS BAHIA - LARGO 13 DE MAIO, 308 - ZONA COMERCIAL - SPC11008</v>
          </cell>
          <cell r="E135" t="str">
            <v>CASAS BAHIA</v>
          </cell>
          <cell r="F135" t="str">
            <v>RUA</v>
          </cell>
          <cell r="G135" t="str">
            <v>LARGO 13 DE MAIO, 308</v>
          </cell>
          <cell r="H135" t="str">
            <v xml:space="preserve">Edge 70 Fusion </v>
          </cell>
          <cell r="I135" t="str">
            <v>256 GB</v>
          </cell>
        </row>
        <row r="136">
          <cell r="C136" t="str">
            <v>Edge70Fusion256_SPC7621</v>
          </cell>
          <cell r="D136" t="str">
            <v>PONTO FRIO - RUA CAPITAO TIAGO LUZ, 146 - ZONA COMERCIAL - SPC7621</v>
          </cell>
          <cell r="E136" t="str">
            <v xml:space="preserve">PONTO FRIO </v>
          </cell>
          <cell r="F136" t="str">
            <v>RUA</v>
          </cell>
          <cell r="G136" t="str">
            <v>RUA CAPITAO TIAGO LUZ, 146</v>
          </cell>
          <cell r="H136" t="str">
            <v xml:space="preserve">Edge 70 Fusion </v>
          </cell>
          <cell r="I136" t="str">
            <v>256 GB</v>
          </cell>
        </row>
        <row r="137">
          <cell r="C137" t="str">
            <v>Edge70Fusion256_SPC6352</v>
          </cell>
          <cell r="D137" t="str">
            <v>CASAS BAHIA - RUA TENENTE AVELAR PIRES DE AZEVEDO, 81 - SHOPPING OSASCO PLAZA - SPC6352</v>
          </cell>
          <cell r="E137" t="str">
            <v>CASAS BAHIA</v>
          </cell>
          <cell r="F137" t="str">
            <v>SHOPPING</v>
          </cell>
          <cell r="G137" t="str">
            <v>RUA TENENTE AVELAR PIRES DE AZEVEDO, 81</v>
          </cell>
          <cell r="H137" t="str">
            <v xml:space="preserve">Edge 70 Fusion </v>
          </cell>
          <cell r="I137" t="str">
            <v>256 GB</v>
          </cell>
        </row>
        <row r="138">
          <cell r="C138" t="str">
            <v>Edge70Fusion256_SPC6445</v>
          </cell>
          <cell r="D138" t="str">
            <v>CASAS BAHIA - AVENIDA PIRACEMA, 669 - SHOPPING TAMBORE - SPC6445</v>
          </cell>
          <cell r="E138" t="str">
            <v>CASAS BAHIA</v>
          </cell>
          <cell r="F138" t="str">
            <v>SHOPPING</v>
          </cell>
          <cell r="G138" t="str">
            <v>AVENIDA PIRACEMA, 669</v>
          </cell>
          <cell r="H138" t="str">
            <v xml:space="preserve">Edge 70 Fusion </v>
          </cell>
          <cell r="I138" t="str">
            <v>256 GB</v>
          </cell>
        </row>
        <row r="139">
          <cell r="C139" t="str">
            <v>Edge70Fusion256_SPC6397</v>
          </cell>
          <cell r="D139" t="str">
            <v>CASAS BAHIA - AVENIDA DOS AUTONOMISTAS, 1400 - SHOPPING UNIAO - SPC6397</v>
          </cell>
          <cell r="E139" t="str">
            <v>CASAS BAHIA</v>
          </cell>
          <cell r="F139" t="str">
            <v>SHOPPING</v>
          </cell>
          <cell r="G139" t="str">
            <v>AVENIDA DOS AUTONOMISTAS, 1400</v>
          </cell>
          <cell r="H139" t="str">
            <v xml:space="preserve">Edge 70 Fusion </v>
          </cell>
          <cell r="I139" t="str">
            <v>256 GB</v>
          </cell>
        </row>
        <row r="140">
          <cell r="C140" t="str">
            <v>Edge70Fusion256_SPC11278</v>
          </cell>
          <cell r="D140" t="str">
            <v>PONTO FRIO - RUA ANTONIO AGU, 155 - ZONA COMERCIAL - SPC11278</v>
          </cell>
          <cell r="E140" t="str">
            <v xml:space="preserve">PONTO FRIO </v>
          </cell>
          <cell r="F140" t="str">
            <v>RUA</v>
          </cell>
          <cell r="G140" t="str">
            <v>RUA ANTONIO AGU, 155</v>
          </cell>
          <cell r="H140" t="str">
            <v xml:space="preserve">Edge 70 Fusion </v>
          </cell>
          <cell r="I140" t="str">
            <v>256 GB</v>
          </cell>
        </row>
        <row r="141">
          <cell r="C141" t="str">
            <v>Edge70Fusion256_SPC7644</v>
          </cell>
          <cell r="D141" t="str">
            <v>CASAS BAHIA - TRAVESSA CASALBUONO, 120 - SHOPPING CENTER NORTE - SPC7644</v>
          </cell>
          <cell r="E141" t="str">
            <v>CASAS BAHIA</v>
          </cell>
          <cell r="F141" t="str">
            <v>SHOPPING</v>
          </cell>
          <cell r="G141" t="str">
            <v>TRAVESSA CASALBUONO, 120</v>
          </cell>
          <cell r="H141" t="str">
            <v xml:space="preserve">Edge 70 Fusion </v>
          </cell>
          <cell r="I141" t="str">
            <v>256 GB</v>
          </cell>
        </row>
        <row r="142">
          <cell r="C142" t="str">
            <v>Edge70Fusion256_SPC8440</v>
          </cell>
          <cell r="D142" t="str">
            <v>MAGAZINE LUIZA - RUA AMAZONAS DA SILVA, 27 - ZONA COMERCIAL - SPC8440</v>
          </cell>
          <cell r="E142" t="str">
            <v>MAGAZINE LUIZA</v>
          </cell>
          <cell r="F142" t="str">
            <v>RUA</v>
          </cell>
          <cell r="G142" t="str">
            <v>RUA AMAZONAS DA SILVA, 27</v>
          </cell>
          <cell r="H142" t="str">
            <v xml:space="preserve">Edge 70 Fusion </v>
          </cell>
          <cell r="I142" t="str">
            <v>256 GB</v>
          </cell>
        </row>
        <row r="143">
          <cell r="C143" t="str">
            <v>Edge70Fusion256_SPC7607</v>
          </cell>
          <cell r="D143" t="str">
            <v>CASAS BAHIA - RODOVIA PRESIDENTE DUTRA KM 230, S/N - SHOPPING INTERNACIONAL GUARULHOS - SPC7607</v>
          </cell>
          <cell r="E143" t="str">
            <v>CASAS BAHIA</v>
          </cell>
          <cell r="F143" t="str">
            <v>SHOPPING</v>
          </cell>
          <cell r="G143" t="str">
            <v>RODOVIA PRESIDENTE DUTRA KM 230, S/N</v>
          </cell>
          <cell r="H143" t="str">
            <v xml:space="preserve">Edge 70 Fusion </v>
          </cell>
          <cell r="I143" t="str">
            <v>256 GB</v>
          </cell>
        </row>
        <row r="144">
          <cell r="C144" t="str">
            <v>Edge70Fusion256_SPC11273</v>
          </cell>
          <cell r="D144" t="str">
            <v>CASAS BAHIA - AVENIDA JUSCELINO KUBITSCHEK DE OLIVEIRA, 5308 - SHOPPING BONSUCESSO - SPC11273</v>
          </cell>
          <cell r="E144" t="str">
            <v>CASAS BAHIA</v>
          </cell>
          <cell r="F144" t="str">
            <v>SHOPPING</v>
          </cell>
          <cell r="G144" t="str">
            <v>AVENIDA JUSCELINO KUBITSCHEK DE OLIVEIRA, 5308</v>
          </cell>
          <cell r="H144" t="str">
            <v xml:space="preserve">Edge 70 Fusion </v>
          </cell>
          <cell r="I144" t="str">
            <v>256 GB</v>
          </cell>
        </row>
        <row r="145">
          <cell r="C145" t="str">
            <v>Edge70Fusion256_SPC11005</v>
          </cell>
          <cell r="D145" t="str">
            <v>CASAS BAHIA - AVENIDA INDUSTRIAL, 600 - SHOPPING GRAND PLAZA - SPC11005</v>
          </cell>
          <cell r="E145" t="str">
            <v>CASAS BAHIA</v>
          </cell>
          <cell r="F145" t="str">
            <v>SHOPPING</v>
          </cell>
          <cell r="G145" t="str">
            <v>AVENIDA INDUSTRIAL, 600</v>
          </cell>
          <cell r="H145" t="str">
            <v xml:space="preserve">Edge 70 Fusion </v>
          </cell>
          <cell r="I145" t="str">
            <v>256 GB</v>
          </cell>
        </row>
        <row r="146">
          <cell r="C146" t="str">
            <v>Edge70Fusion256_SPC8715</v>
          </cell>
          <cell r="D146" t="str">
            <v>CASAS BAHIA - AVENIDA GOVERNADOR MARIO COVAS JUNIOR, 1 - SHOPPING MAUA - SPC8715</v>
          </cell>
          <cell r="E146" t="str">
            <v>CASAS BAHIA</v>
          </cell>
          <cell r="F146" t="str">
            <v>SHOPPING</v>
          </cell>
          <cell r="G146" t="str">
            <v>AVENIDA GOVERNADOR MARIO COVAS JUNIOR, 1</v>
          </cell>
          <cell r="H146" t="str">
            <v xml:space="preserve">Edge 70 Fusion </v>
          </cell>
          <cell r="I146" t="str">
            <v>256 GB</v>
          </cell>
        </row>
        <row r="147">
          <cell r="C147" t="str">
            <v>Edge70Fusion256_SPC11374</v>
          </cell>
          <cell r="D147" t="str">
            <v>CASAS BAHIA - AVENIDA PEREIRA BARRETO, 42 - SHOPPING ABC - SPC11374</v>
          </cell>
          <cell r="E147" t="str">
            <v>CASAS BAHIA</v>
          </cell>
          <cell r="F147" t="str">
            <v>SHOPPING</v>
          </cell>
          <cell r="G147" t="str">
            <v>AVENIDA PEREIRA BARRETO, 42</v>
          </cell>
          <cell r="H147" t="str">
            <v xml:space="preserve">Edge 70 Fusion </v>
          </cell>
          <cell r="I147" t="str">
            <v>256 GB</v>
          </cell>
        </row>
        <row r="148">
          <cell r="C148" t="str">
            <v>Edge70Fusion256_SPC6700</v>
          </cell>
          <cell r="D148" t="str">
            <v>CASAS BAHIA - RUA MARECHAL DEODORO, 987 - ZONA COMERCIAL - SPC6700</v>
          </cell>
          <cell r="E148" t="str">
            <v>CASAS BAHIA</v>
          </cell>
          <cell r="F148" t="str">
            <v>RUA</v>
          </cell>
          <cell r="G148" t="str">
            <v>RUA MARECHAL DEODORO, 987</v>
          </cell>
          <cell r="H148" t="str">
            <v xml:space="preserve">Edge 70 Fusion </v>
          </cell>
          <cell r="I148" t="str">
            <v>256 GB</v>
          </cell>
        </row>
        <row r="149">
          <cell r="C149" t="str">
            <v>Edge70Fusion256_SPC7069</v>
          </cell>
          <cell r="D149" t="str">
            <v>CASAS BAHIA - RUA DOMINGOS DE MORAIS, 2564 - SHOPPING METRO SANTA CRUZ - SPC7069</v>
          </cell>
          <cell r="E149" t="str">
            <v>CASAS BAHIA</v>
          </cell>
          <cell r="F149" t="str">
            <v>SHOPPING</v>
          </cell>
          <cell r="G149" t="str">
            <v>RUA DOMINGOS DE MORAIS, 2564</v>
          </cell>
          <cell r="H149" t="str">
            <v xml:space="preserve">Edge 70 Fusion </v>
          </cell>
          <cell r="I149" t="str">
            <v>256 GB</v>
          </cell>
        </row>
        <row r="150">
          <cell r="C150" t="str">
            <v>Edge70Fusion256_SPC6505</v>
          </cell>
          <cell r="D150" t="str">
            <v>CASAS BAHIA - RUA TEODORO SAMPAIO, 2522 - ZONA COMERCIAL - SPC6505</v>
          </cell>
          <cell r="E150" t="str">
            <v>CASAS BAHIA</v>
          </cell>
          <cell r="F150" t="str">
            <v>RUA</v>
          </cell>
          <cell r="G150" t="str">
            <v>RUA TEODORO SAMPAIO, 2522</v>
          </cell>
          <cell r="H150" t="str">
            <v xml:space="preserve">Edge 70 Fusion </v>
          </cell>
          <cell r="I150" t="str">
            <v>256 GB</v>
          </cell>
        </row>
        <row r="151">
          <cell r="C151" t="str">
            <v>Edge70Fusion256_SPC234770</v>
          </cell>
          <cell r="D151" t="str">
            <v>CASAS BAHIA - ESTRADA DA COLINA, 1048 - SPC234770</v>
          </cell>
          <cell r="E151" t="str">
            <v>CASAS BAHIA</v>
          </cell>
          <cell r="F151" t="str">
            <v>RUA</v>
          </cell>
          <cell r="G151" t="str">
            <v>ESTRADA DA COLINA, 1048</v>
          </cell>
          <cell r="H151" t="str">
            <v xml:space="preserve">Edge 70 Fusion </v>
          </cell>
          <cell r="I151" t="str">
            <v>256 GB</v>
          </cell>
        </row>
        <row r="152">
          <cell r="C152" t="str">
            <v>Edge60Pro512_SPC7613</v>
          </cell>
          <cell r="D152" t="str">
            <v>CASAS BAHIA - AVENIDA INTERLAGOS, 2255 - SHOPPING INTERLAGOS - SPC7613</v>
          </cell>
          <cell r="E152" t="str">
            <v>CASAS BAHIA</v>
          </cell>
          <cell r="F152" t="str">
            <v>SHOPPING</v>
          </cell>
          <cell r="G152" t="str">
            <v>AVENIDA INTERLAGOS, 2255</v>
          </cell>
          <cell r="H152" t="str">
            <v>Edge 60 Pro</v>
          </cell>
          <cell r="I152" t="str">
            <v>512 GB</v>
          </cell>
        </row>
        <row r="153">
          <cell r="C153" t="str">
            <v>Edge60Pro512_SPC7612</v>
          </cell>
          <cell r="D153" t="str">
            <v>PONTO FRIO - AVENIDA INTERLAGOS, 2255 - SHOPPING INTERLAGOS - SPC7612</v>
          </cell>
          <cell r="E153" t="str">
            <v xml:space="preserve">PONTO FRIO </v>
          </cell>
          <cell r="F153" t="str">
            <v>SHOPPING</v>
          </cell>
          <cell r="G153" t="str">
            <v>AVENIDA INTERLAGOS, 2255</v>
          </cell>
          <cell r="H153" t="str">
            <v>Edge 60 Pro</v>
          </cell>
          <cell r="I153" t="str">
            <v>512 GB</v>
          </cell>
        </row>
        <row r="154">
          <cell r="C154" t="str">
            <v>Edge60Pro512_SPC7614</v>
          </cell>
          <cell r="D154" t="str">
            <v>LOJAS AMERICANAS - AVENIDA INTERLAGOS, 2255 - SHOPPING INTERLAGOS - SPC7614</v>
          </cell>
          <cell r="E154" t="str">
            <v>LOJAS AMERICANAS</v>
          </cell>
          <cell r="F154" t="str">
            <v>SHOPPING</v>
          </cell>
          <cell r="G154" t="str">
            <v>AVENIDA INTERLAGOS, 2255</v>
          </cell>
          <cell r="H154" t="str">
            <v>Edge 60 Pro</v>
          </cell>
          <cell r="I154" t="str">
            <v>512 GB</v>
          </cell>
        </row>
        <row r="155">
          <cell r="C155" t="str">
            <v>Edge60Pro512_SPC11232</v>
          </cell>
          <cell r="D155" t="str">
            <v>CASAS BAHIA - PRACA FLORIANO PEIXOTO, 38 - ZONA COMERCIAL - SPC11232</v>
          </cell>
          <cell r="E155" t="str">
            <v>CASAS BAHIA</v>
          </cell>
          <cell r="F155" t="str">
            <v>RUA</v>
          </cell>
          <cell r="G155" t="str">
            <v>PRACA FLORIANO PEIXOTO, 38</v>
          </cell>
          <cell r="H155" t="str">
            <v>Edge 60 Pro</v>
          </cell>
          <cell r="I155" t="str">
            <v>512 GB</v>
          </cell>
        </row>
        <row r="156">
          <cell r="C156" t="str">
            <v>Edge60Pro512_SPC287350</v>
          </cell>
          <cell r="D156" t="str">
            <v>CASAS BAHIA - AVENIDA NACOES UNIDAS, 12995 - SPC287350</v>
          </cell>
          <cell r="E156" t="str">
            <v>CASAS BAHIA</v>
          </cell>
          <cell r="F156" t="str">
            <v>RUA</v>
          </cell>
          <cell r="G156" t="str">
            <v>AVENIDA NACOES UNIDAS, 12995</v>
          </cell>
          <cell r="H156" t="str">
            <v>Edge 60 Pro</v>
          </cell>
          <cell r="I156" t="str">
            <v>512 GB</v>
          </cell>
        </row>
        <row r="157">
          <cell r="C157" t="str">
            <v>Edge60Pro512_SPC252260</v>
          </cell>
          <cell r="D157" t="str">
            <v>CASAS BAHIA - AVENIDA EMBAIXADOR MACEDO SOARES, 9175 - SPC252260</v>
          </cell>
          <cell r="E157" t="str">
            <v>CASAS BAHIA</v>
          </cell>
          <cell r="F157" t="str">
            <v>RUA</v>
          </cell>
          <cell r="G157" t="str">
            <v>AVENIDA EMBAIXADOR MACEDO SOARES, 9175</v>
          </cell>
          <cell r="H157" t="str">
            <v>Edge 60 Pro</v>
          </cell>
          <cell r="I157" t="str">
            <v>512 GB</v>
          </cell>
        </row>
        <row r="158">
          <cell r="C158" t="str">
            <v>Edge60Pro512_SPC22892</v>
          </cell>
          <cell r="D158" t="str">
            <v>CASAS BAHIA - AVENIDA ARICANDUVA, 5555 (LOJA 2) - SHOPPING ARICANDUVA - SPC22892</v>
          </cell>
          <cell r="E158" t="str">
            <v>CASAS BAHIA</v>
          </cell>
          <cell r="F158" t="str">
            <v>SHOPPING</v>
          </cell>
          <cell r="G158" t="str">
            <v>AVENIDA ARICANDUVA, 5555 (LOJA 2)</v>
          </cell>
          <cell r="H158" t="str">
            <v>Edge 60 Pro</v>
          </cell>
          <cell r="I158" t="str">
            <v>512 GB</v>
          </cell>
        </row>
        <row r="159">
          <cell r="C159" t="str">
            <v>Edge60Pro512_SPC7610</v>
          </cell>
          <cell r="D159" t="str">
            <v>CASAS BAHIA - AVENIDA ARICANDUVA, 5555 (LOJA 1) - SHOPPING ARICANDUVA - SPC7610</v>
          </cell>
          <cell r="E159" t="str">
            <v>CASAS BAHIA</v>
          </cell>
          <cell r="F159" t="str">
            <v>SHOPPING</v>
          </cell>
          <cell r="G159" t="str">
            <v>AVENIDA ARICANDUVA, 5555 (LOJA 1)</v>
          </cell>
          <cell r="H159" t="str">
            <v>Edge 60 Pro</v>
          </cell>
          <cell r="I159" t="str">
            <v>512 GB</v>
          </cell>
        </row>
        <row r="160">
          <cell r="C160" t="str">
            <v>Edge60Pro512_SPC8803</v>
          </cell>
          <cell r="D160" t="str">
            <v>PONTO FRIO - AVENIDA ARICANDUVA, 5555 (LOJA 2) - SHOPPING ARICANDUVA - SPC8803</v>
          </cell>
          <cell r="E160" t="str">
            <v xml:space="preserve">PONTO FRIO </v>
          </cell>
          <cell r="F160" t="str">
            <v>SHOPPING</v>
          </cell>
          <cell r="G160" t="str">
            <v>AVENIDA ARICANDUVA, 5555 (LOJA 2)</v>
          </cell>
          <cell r="H160" t="str">
            <v>Edge 60 Pro</v>
          </cell>
          <cell r="I160" t="str">
            <v>512 GB</v>
          </cell>
        </row>
        <row r="161">
          <cell r="C161" t="str">
            <v>Edge60Pro512_SPC6374</v>
          </cell>
          <cell r="D161" t="str">
            <v>MAGAZINE LUIZA - AVENIDA ARICANDUVA, 5555 - SHOPPING ARICANDUVA - SPC6374</v>
          </cell>
          <cell r="E161" t="str">
            <v>MAGAZINE LUIZA</v>
          </cell>
          <cell r="F161" t="str">
            <v>SHOPPING</v>
          </cell>
          <cell r="G161" t="str">
            <v>AVENIDA ARICANDUVA, 5555</v>
          </cell>
          <cell r="H161" t="str">
            <v>Edge 60 Pro</v>
          </cell>
          <cell r="I161" t="str">
            <v>512 GB</v>
          </cell>
        </row>
        <row r="162">
          <cell r="C162" t="str">
            <v>Edge60Pro512_SPC7759</v>
          </cell>
          <cell r="D162" t="str">
            <v>CASAS BAHIA - AVENIDA JOSE PINHEIRO BORGES, S/N - SHOPPING METRO ITAQUERA - SPC7759</v>
          </cell>
          <cell r="E162" t="str">
            <v>CASAS BAHIA</v>
          </cell>
          <cell r="F162" t="str">
            <v>SHOPPING</v>
          </cell>
          <cell r="G162" t="str">
            <v>AVENIDA JOSE PINHEIRO BORGES, S/N</v>
          </cell>
          <cell r="H162" t="str">
            <v>Edge 60 Pro</v>
          </cell>
          <cell r="I162" t="str">
            <v>512 GB</v>
          </cell>
        </row>
        <row r="163">
          <cell r="C163" t="str">
            <v>Edge60Pro512_SPC9927</v>
          </cell>
          <cell r="D163" t="str">
            <v>CASAS BAHIA - RODOVIA REGIS BITTENCOURT KM 271, 2643 - SHOPPING TABOAO DA SERRA - SPC9927</v>
          </cell>
          <cell r="E163" t="str">
            <v>CASAS BAHIA</v>
          </cell>
          <cell r="F163" t="str">
            <v>SHOPPING</v>
          </cell>
          <cell r="G163" t="str">
            <v>RODOVIA REGIS BITTENCOURT KM 271, 2643</v>
          </cell>
          <cell r="H163" t="str">
            <v>Edge 60 Pro</v>
          </cell>
          <cell r="I163" t="str">
            <v>512 GB</v>
          </cell>
        </row>
        <row r="164">
          <cell r="C164" t="str">
            <v>Edge60Pro512_SPC10966</v>
          </cell>
          <cell r="D164" t="str">
            <v>CASAS BAHIA - ESTRADA DO CAMPO LIMPO, 459 - SHOPPING CAMPO LIMPO - SPC10966</v>
          </cell>
          <cell r="E164" t="str">
            <v>CASAS BAHIA</v>
          </cell>
          <cell r="F164" t="str">
            <v>SHOPPING</v>
          </cell>
          <cell r="G164" t="str">
            <v>ESTRADA DO CAMPO LIMPO, 459</v>
          </cell>
          <cell r="H164" t="str">
            <v>Edge 60 Pro</v>
          </cell>
          <cell r="I164" t="str">
            <v>512 GB</v>
          </cell>
        </row>
        <row r="165">
          <cell r="C165" t="str">
            <v>Edge60Pro512_SPC11008</v>
          </cell>
          <cell r="D165" t="str">
            <v>CASAS BAHIA - LARGO 13 DE MAIO, 308 - ZONA COMERCIAL - SPC11008</v>
          </cell>
          <cell r="E165" t="str">
            <v>CASAS BAHIA</v>
          </cell>
          <cell r="F165" t="str">
            <v>RUA</v>
          </cell>
          <cell r="G165" t="str">
            <v>LARGO 13 DE MAIO, 308</v>
          </cell>
          <cell r="H165" t="str">
            <v>Edge 60 Pro</v>
          </cell>
          <cell r="I165" t="str">
            <v>512 GB</v>
          </cell>
        </row>
        <row r="166">
          <cell r="C166" t="str">
            <v>Edge60Pro512_SPC7621</v>
          </cell>
          <cell r="D166" t="str">
            <v>PONTO FRIO - RUA CAPITAO TIAGO LUZ, 146 - ZONA COMERCIAL - SPC7621</v>
          </cell>
          <cell r="E166" t="str">
            <v xml:space="preserve">PONTO FRIO </v>
          </cell>
          <cell r="F166" t="str">
            <v>RUA</v>
          </cell>
          <cell r="G166" t="str">
            <v>RUA CAPITAO TIAGO LUZ, 146</v>
          </cell>
          <cell r="H166" t="str">
            <v>Edge 60 Pro</v>
          </cell>
          <cell r="I166" t="str">
            <v>512 GB</v>
          </cell>
        </row>
        <row r="167">
          <cell r="C167" t="str">
            <v>Edge60Pro512_SPC6352</v>
          </cell>
          <cell r="D167" t="str">
            <v>CASAS BAHIA - RUA TENENTE AVELAR PIRES DE AZEVEDO, 81 - SHOPPING OSASCO PLAZA - SPC6352</v>
          </cell>
          <cell r="E167" t="str">
            <v>CASAS BAHIA</v>
          </cell>
          <cell r="F167" t="str">
            <v>SHOPPING</v>
          </cell>
          <cell r="G167" t="str">
            <v>RUA TENENTE AVELAR PIRES DE AZEVEDO, 81</v>
          </cell>
          <cell r="H167" t="str">
            <v>Edge 60 Pro</v>
          </cell>
          <cell r="I167" t="str">
            <v>512 GB</v>
          </cell>
        </row>
        <row r="168">
          <cell r="C168" t="str">
            <v>Edge60Pro512_SPC6445</v>
          </cell>
          <cell r="D168" t="str">
            <v>CASAS BAHIA - AVENIDA PIRACEMA, 669 - SHOPPING TAMBORE - SPC6445</v>
          </cell>
          <cell r="E168" t="str">
            <v>CASAS BAHIA</v>
          </cell>
          <cell r="F168" t="str">
            <v>SHOPPING</v>
          </cell>
          <cell r="G168" t="str">
            <v>AVENIDA PIRACEMA, 669</v>
          </cell>
          <cell r="H168" t="str">
            <v>Edge 60 Pro</v>
          </cell>
          <cell r="I168" t="str">
            <v>512 GB</v>
          </cell>
        </row>
        <row r="169">
          <cell r="C169" t="str">
            <v>Edge60Pro512_SPC6397</v>
          </cell>
          <cell r="D169" t="str">
            <v>CASAS BAHIA - AVENIDA DOS AUTONOMISTAS, 1400 - SHOPPING UNIAO - SPC6397</v>
          </cell>
          <cell r="E169" t="str">
            <v>CASAS BAHIA</v>
          </cell>
          <cell r="F169" t="str">
            <v>SHOPPING</v>
          </cell>
          <cell r="G169" t="str">
            <v>AVENIDA DOS AUTONOMISTAS, 1400</v>
          </cell>
          <cell r="H169" t="str">
            <v>Edge 60 Pro</v>
          </cell>
          <cell r="I169" t="str">
            <v>512 GB</v>
          </cell>
        </row>
        <row r="170">
          <cell r="C170" t="str">
            <v>Edge60Pro512_SPC11278</v>
          </cell>
          <cell r="D170" t="str">
            <v>PONTO FRIO - RUA ANTONIO AGU, 155 - ZONA COMERCIAL - SPC11278</v>
          </cell>
          <cell r="E170" t="str">
            <v xml:space="preserve">PONTO FRIO </v>
          </cell>
          <cell r="F170" t="str">
            <v>RUA</v>
          </cell>
          <cell r="G170" t="str">
            <v>RUA ANTONIO AGU, 155</v>
          </cell>
          <cell r="H170" t="str">
            <v>Edge 60 Pro</v>
          </cell>
          <cell r="I170" t="str">
            <v>512 GB</v>
          </cell>
        </row>
        <row r="171">
          <cell r="C171" t="str">
            <v>Edge60Pro512_SPC7644</v>
          </cell>
          <cell r="D171" t="str">
            <v>CASAS BAHIA - TRAVESSA CASALBUONO, 120 - SHOPPING CENTER NORTE - SPC7644</v>
          </cell>
          <cell r="E171" t="str">
            <v>CASAS BAHIA</v>
          </cell>
          <cell r="F171" t="str">
            <v>SHOPPING</v>
          </cell>
          <cell r="G171" t="str">
            <v>TRAVESSA CASALBUONO, 120</v>
          </cell>
          <cell r="H171" t="str">
            <v>Edge 60 Pro</v>
          </cell>
          <cell r="I171" t="str">
            <v>512 GB</v>
          </cell>
        </row>
        <row r="172">
          <cell r="C172" t="str">
            <v>Edge60Pro512_SPC8440</v>
          </cell>
          <cell r="D172" t="str">
            <v>MAGAZINE LUIZA - RUA AMAZONAS DA SILVA, 27 - ZONA COMERCIAL - SPC8440</v>
          </cell>
          <cell r="E172" t="str">
            <v>MAGAZINE LUIZA</v>
          </cell>
          <cell r="F172" t="str">
            <v>RUA</v>
          </cell>
          <cell r="G172" t="str">
            <v>RUA AMAZONAS DA SILVA, 27</v>
          </cell>
          <cell r="H172" t="str">
            <v>Edge 60 Pro</v>
          </cell>
          <cell r="I172" t="str">
            <v>512 GB</v>
          </cell>
        </row>
        <row r="173">
          <cell r="C173" t="str">
            <v>Edge60Pro512_SPC7607</v>
          </cell>
          <cell r="D173" t="str">
            <v>CASAS BAHIA - RODOVIA PRESIDENTE DUTRA KM 230, S/N - SHOPPING INTERNACIONAL GUARULHOS - SPC7607</v>
          </cell>
          <cell r="E173" t="str">
            <v>CASAS BAHIA</v>
          </cell>
          <cell r="F173" t="str">
            <v>SHOPPING</v>
          </cell>
          <cell r="G173" t="str">
            <v>RODOVIA PRESIDENTE DUTRA KM 230, S/N</v>
          </cell>
          <cell r="H173" t="str">
            <v>Edge 60 Pro</v>
          </cell>
          <cell r="I173" t="str">
            <v>512 GB</v>
          </cell>
        </row>
        <row r="174">
          <cell r="C174" t="str">
            <v>Edge60Pro512_SPC11273</v>
          </cell>
          <cell r="D174" t="str">
            <v>CASAS BAHIA - AVENIDA JUSCELINO KUBITSCHEK DE OLIVEIRA, 5308 - SHOPPING BONSUCESSO - SPC11273</v>
          </cell>
          <cell r="E174" t="str">
            <v>CASAS BAHIA</v>
          </cell>
          <cell r="F174" t="str">
            <v>SHOPPING</v>
          </cell>
          <cell r="G174" t="str">
            <v>AVENIDA JUSCELINO KUBITSCHEK DE OLIVEIRA, 5308</v>
          </cell>
          <cell r="H174" t="str">
            <v>Edge 60 Pro</v>
          </cell>
          <cell r="I174" t="str">
            <v>512 GB</v>
          </cell>
        </row>
        <row r="175">
          <cell r="C175" t="str">
            <v>Edge60Pro512_SPC11005</v>
          </cell>
          <cell r="D175" t="str">
            <v>CASAS BAHIA - AVENIDA INDUSTRIAL, 600 - SHOPPING GRAND PLAZA - SPC11005</v>
          </cell>
          <cell r="E175" t="str">
            <v>CASAS BAHIA</v>
          </cell>
          <cell r="F175" t="str">
            <v>SHOPPING</v>
          </cell>
          <cell r="G175" t="str">
            <v>AVENIDA INDUSTRIAL, 600</v>
          </cell>
          <cell r="H175" t="str">
            <v>Edge 60 Pro</v>
          </cell>
          <cell r="I175" t="str">
            <v>512 GB</v>
          </cell>
        </row>
        <row r="176">
          <cell r="C176" t="str">
            <v>Edge60Pro512_SPC8715</v>
          </cell>
          <cell r="D176" t="str">
            <v>CASAS BAHIA - AVENIDA GOVERNADOR MARIO COVAS JUNIOR, 1 - SHOPPING MAUA - SPC8715</v>
          </cell>
          <cell r="E176" t="str">
            <v>CASAS BAHIA</v>
          </cell>
          <cell r="F176" t="str">
            <v>SHOPPING</v>
          </cell>
          <cell r="G176" t="str">
            <v>AVENIDA GOVERNADOR MARIO COVAS JUNIOR, 1</v>
          </cell>
          <cell r="H176" t="str">
            <v>Edge 60 Pro</v>
          </cell>
          <cell r="I176" t="str">
            <v>512 GB</v>
          </cell>
        </row>
        <row r="177">
          <cell r="C177" t="str">
            <v>Edge60Pro512_SPC11374</v>
          </cell>
          <cell r="D177" t="str">
            <v>CASAS BAHIA - AVENIDA PEREIRA BARRETO, 42 - SHOPPING ABC - SPC11374</v>
          </cell>
          <cell r="E177" t="str">
            <v>CASAS BAHIA</v>
          </cell>
          <cell r="F177" t="str">
            <v>SHOPPING</v>
          </cell>
          <cell r="G177" t="str">
            <v>AVENIDA PEREIRA BARRETO, 42</v>
          </cell>
          <cell r="H177" t="str">
            <v>Edge 60 Pro</v>
          </cell>
          <cell r="I177" t="str">
            <v>512 GB</v>
          </cell>
        </row>
        <row r="178">
          <cell r="C178" t="str">
            <v>Edge60Pro512_SPC6700</v>
          </cell>
          <cell r="D178" t="str">
            <v>CASAS BAHIA - RUA MARECHAL DEODORO, 987 - ZONA COMERCIAL - SPC6700</v>
          </cell>
          <cell r="E178" t="str">
            <v>CASAS BAHIA</v>
          </cell>
          <cell r="F178" t="str">
            <v>RUA</v>
          </cell>
          <cell r="G178" t="str">
            <v>RUA MARECHAL DEODORO, 987</v>
          </cell>
          <cell r="H178" t="str">
            <v>Edge 60 Pro</v>
          </cell>
          <cell r="I178" t="str">
            <v>512 GB</v>
          </cell>
        </row>
        <row r="179">
          <cell r="C179" t="str">
            <v>Edge60Pro512_SPC7069</v>
          </cell>
          <cell r="D179" t="str">
            <v>CASAS BAHIA - RUA DOMINGOS DE MORAIS, 2564 - SHOPPING METRO SANTA CRUZ - SPC7069</v>
          </cell>
          <cell r="E179" t="str">
            <v>CASAS BAHIA</v>
          </cell>
          <cell r="F179" t="str">
            <v>SHOPPING</v>
          </cell>
          <cell r="G179" t="str">
            <v>RUA DOMINGOS DE MORAIS, 2564</v>
          </cell>
          <cell r="H179" t="str">
            <v>Edge 60 Pro</v>
          </cell>
          <cell r="I179" t="str">
            <v>512 GB</v>
          </cell>
        </row>
        <row r="180">
          <cell r="C180" t="str">
            <v>Edge60Pro512_SPC6505</v>
          </cell>
          <cell r="D180" t="str">
            <v>CASAS BAHIA - RUA TEODORO SAMPAIO, 2522 - ZONA COMERCIAL - SPC6505</v>
          </cell>
          <cell r="E180" t="str">
            <v>CASAS BAHIA</v>
          </cell>
          <cell r="F180" t="str">
            <v>RUA</v>
          </cell>
          <cell r="G180" t="str">
            <v>RUA TEODORO SAMPAIO, 2522</v>
          </cell>
          <cell r="H180" t="str">
            <v>Edge 60 Pro</v>
          </cell>
          <cell r="I180" t="str">
            <v>512 GB</v>
          </cell>
        </row>
        <row r="181">
          <cell r="C181" t="str">
            <v>Edge60Pro512_SPC234770</v>
          </cell>
          <cell r="D181" t="str">
            <v>CASAS BAHIA - ESTRADA DA COLINA, 1048 - SPC234770</v>
          </cell>
          <cell r="E181" t="str">
            <v>CASAS BAHIA</v>
          </cell>
          <cell r="F181" t="str">
            <v>RUA</v>
          </cell>
          <cell r="G181" t="str">
            <v>ESTRADA DA COLINA, 1048</v>
          </cell>
          <cell r="H181" t="str">
            <v>Edge 60 Pro</v>
          </cell>
          <cell r="I181" t="str">
            <v>512 GB</v>
          </cell>
        </row>
        <row r="182">
          <cell r="C182" t="str">
            <v>Edge60512GB_SPC7613</v>
          </cell>
          <cell r="D182" t="str">
            <v>CASAS BAHIA - AVENIDA INTERLAGOS, 2255 - SHOPPING INTERLAGOS - SPC7613</v>
          </cell>
          <cell r="E182" t="str">
            <v>CASAS BAHIA</v>
          </cell>
          <cell r="F182" t="str">
            <v>SHOPPING</v>
          </cell>
          <cell r="G182" t="str">
            <v>AVENIDA INTERLAGOS, 2255</v>
          </cell>
          <cell r="H182" t="str">
            <v xml:space="preserve">Edge 60 </v>
          </cell>
          <cell r="I182" t="str">
            <v>512GB</v>
          </cell>
        </row>
        <row r="183">
          <cell r="C183" t="str">
            <v>Edge60512GB_SPC7612</v>
          </cell>
          <cell r="D183" t="str">
            <v>PONTO FRIO - AVENIDA INTERLAGOS, 2255 - SHOPPING INTERLAGOS - SPC7612</v>
          </cell>
          <cell r="E183" t="str">
            <v xml:space="preserve">PONTO FRIO </v>
          </cell>
          <cell r="F183" t="str">
            <v>SHOPPING</v>
          </cell>
          <cell r="G183" t="str">
            <v>AVENIDA INTERLAGOS, 2255</v>
          </cell>
          <cell r="H183" t="str">
            <v xml:space="preserve">Edge 60 </v>
          </cell>
          <cell r="I183" t="str">
            <v>512GB</v>
          </cell>
        </row>
        <row r="184">
          <cell r="C184" t="str">
            <v>Edge60512GB_SPC7614</v>
          </cell>
          <cell r="D184" t="str">
            <v>LOJAS AMERICANAS - AVENIDA INTERLAGOS, 2255 - SHOPPING INTERLAGOS - SPC7614</v>
          </cell>
          <cell r="E184" t="str">
            <v>LOJAS AMERICANAS</v>
          </cell>
          <cell r="F184" t="str">
            <v>SHOPPING</v>
          </cell>
          <cell r="G184" t="str">
            <v>AVENIDA INTERLAGOS, 2255</v>
          </cell>
          <cell r="H184" t="str">
            <v xml:space="preserve">Edge 60 </v>
          </cell>
          <cell r="I184" t="str">
            <v>512GB</v>
          </cell>
        </row>
        <row r="185">
          <cell r="C185" t="str">
            <v>Edge60512GB_SPC11232</v>
          </cell>
          <cell r="D185" t="str">
            <v>CASAS BAHIA - PRACA FLORIANO PEIXOTO, 38 - ZONA COMERCIAL - SPC11232</v>
          </cell>
          <cell r="E185" t="str">
            <v>CASAS BAHIA</v>
          </cell>
          <cell r="F185" t="str">
            <v>RUA</v>
          </cell>
          <cell r="G185" t="str">
            <v>PRACA FLORIANO PEIXOTO, 38</v>
          </cell>
          <cell r="H185" t="str">
            <v xml:space="preserve">Edge 60 </v>
          </cell>
          <cell r="I185" t="str">
            <v>512GB</v>
          </cell>
        </row>
        <row r="186">
          <cell r="C186" t="str">
            <v>Edge60512GB_SPC287350</v>
          </cell>
          <cell r="D186" t="str">
            <v>CASAS BAHIA - AVENIDA NACOES UNIDAS, 12995 - SPC287350</v>
          </cell>
          <cell r="E186" t="str">
            <v>CASAS BAHIA</v>
          </cell>
          <cell r="F186" t="str">
            <v>RUA</v>
          </cell>
          <cell r="G186" t="str">
            <v>AVENIDA NACOES UNIDAS, 12995</v>
          </cell>
          <cell r="H186" t="str">
            <v xml:space="preserve">Edge 60 </v>
          </cell>
          <cell r="I186" t="str">
            <v>512GB</v>
          </cell>
        </row>
        <row r="187">
          <cell r="C187" t="str">
            <v>Edge60512GB_SPC252260</v>
          </cell>
          <cell r="D187" t="str">
            <v>CASAS BAHIA - AVENIDA EMBAIXADOR MACEDO SOARES, 9175 - SPC252260</v>
          </cell>
          <cell r="E187" t="str">
            <v>CASAS BAHIA</v>
          </cell>
          <cell r="F187" t="str">
            <v>RUA</v>
          </cell>
          <cell r="G187" t="str">
            <v>AVENIDA EMBAIXADOR MACEDO SOARES, 9175</v>
          </cell>
          <cell r="H187" t="str">
            <v xml:space="preserve">Edge 60 </v>
          </cell>
          <cell r="I187" t="str">
            <v>512GB</v>
          </cell>
        </row>
        <row r="188">
          <cell r="C188" t="str">
            <v>Edge60512GB_SPC22892</v>
          </cell>
          <cell r="D188" t="str">
            <v>CASAS BAHIA - AVENIDA ARICANDUVA, 5555 (LOJA 2) - SHOPPING ARICANDUVA - SPC22892</v>
          </cell>
          <cell r="E188" t="str">
            <v>CASAS BAHIA</v>
          </cell>
          <cell r="F188" t="str">
            <v>SHOPPING</v>
          </cell>
          <cell r="G188" t="str">
            <v>AVENIDA ARICANDUVA, 5555 (LOJA 2)</v>
          </cell>
          <cell r="H188" t="str">
            <v xml:space="preserve">Edge 60 </v>
          </cell>
          <cell r="I188" t="str">
            <v>512GB</v>
          </cell>
        </row>
        <row r="189">
          <cell r="C189" t="str">
            <v>Edge60512GB_SPC7610</v>
          </cell>
          <cell r="D189" t="str">
            <v>CASAS BAHIA - AVENIDA ARICANDUVA, 5555 (LOJA 1) - SHOPPING ARICANDUVA - SPC7610</v>
          </cell>
          <cell r="E189" t="str">
            <v>CASAS BAHIA</v>
          </cell>
          <cell r="F189" t="str">
            <v>SHOPPING</v>
          </cell>
          <cell r="G189" t="str">
            <v>AVENIDA ARICANDUVA, 5555 (LOJA 1)</v>
          </cell>
          <cell r="H189" t="str">
            <v xml:space="preserve">Edge 60 </v>
          </cell>
          <cell r="I189" t="str">
            <v>512GB</v>
          </cell>
        </row>
        <row r="190">
          <cell r="C190" t="str">
            <v>Edge60512GB_SPC8803</v>
          </cell>
          <cell r="D190" t="str">
            <v>PONTO FRIO - AVENIDA ARICANDUVA, 5555 (LOJA 2) - SHOPPING ARICANDUVA - SPC8803</v>
          </cell>
          <cell r="E190" t="str">
            <v xml:space="preserve">PONTO FRIO </v>
          </cell>
          <cell r="F190" t="str">
            <v>SHOPPING</v>
          </cell>
          <cell r="G190" t="str">
            <v>AVENIDA ARICANDUVA, 5555 (LOJA 2)</v>
          </cell>
          <cell r="H190" t="str">
            <v xml:space="preserve">Edge 60 </v>
          </cell>
          <cell r="I190" t="str">
            <v>512GB</v>
          </cell>
        </row>
        <row r="191">
          <cell r="C191" t="str">
            <v>Edge60512GB_SPC6374</v>
          </cell>
          <cell r="D191" t="str">
            <v>MAGAZINE LUIZA - AVENIDA ARICANDUVA, 5555 - SHOPPING ARICANDUVA - SPC6374</v>
          </cell>
          <cell r="E191" t="str">
            <v>MAGAZINE LUIZA</v>
          </cell>
          <cell r="F191" t="str">
            <v>SHOPPING</v>
          </cell>
          <cell r="G191" t="str">
            <v>AVENIDA ARICANDUVA, 5555</v>
          </cell>
          <cell r="H191" t="str">
            <v xml:space="preserve">Edge 60 </v>
          </cell>
          <cell r="I191" t="str">
            <v>512GB</v>
          </cell>
        </row>
        <row r="192">
          <cell r="C192" t="str">
            <v>Edge60512GB_SPC7759</v>
          </cell>
          <cell r="D192" t="str">
            <v>CASAS BAHIA - AVENIDA JOSE PINHEIRO BORGES, S/N - SHOPPING METRO ITAQUERA - SPC7759</v>
          </cell>
          <cell r="E192" t="str">
            <v>CASAS BAHIA</v>
          </cell>
          <cell r="F192" t="str">
            <v>SHOPPING</v>
          </cell>
          <cell r="G192" t="str">
            <v>AVENIDA JOSE PINHEIRO BORGES, S/N</v>
          </cell>
          <cell r="H192" t="str">
            <v xml:space="preserve">Edge 60 </v>
          </cell>
          <cell r="I192" t="str">
            <v>512GB</v>
          </cell>
        </row>
        <row r="193">
          <cell r="C193" t="str">
            <v>Edge60512GB_SPC9927</v>
          </cell>
          <cell r="D193" t="str">
            <v>CASAS BAHIA - RODOVIA REGIS BITTENCOURT KM 271, 2643 - SHOPPING TABOAO DA SERRA - SPC9927</v>
          </cell>
          <cell r="E193" t="str">
            <v>CASAS BAHIA</v>
          </cell>
          <cell r="F193" t="str">
            <v>SHOPPING</v>
          </cell>
          <cell r="G193" t="str">
            <v>RODOVIA REGIS BITTENCOURT KM 271, 2643</v>
          </cell>
          <cell r="H193" t="str">
            <v xml:space="preserve">Edge 60 </v>
          </cell>
          <cell r="I193" t="str">
            <v>512GB</v>
          </cell>
        </row>
        <row r="194">
          <cell r="C194" t="str">
            <v>Edge60512GB_SPC10966</v>
          </cell>
          <cell r="D194" t="str">
            <v>CASAS BAHIA - ESTRADA DO CAMPO LIMPO, 459 - SHOPPING CAMPO LIMPO - SPC10966</v>
          </cell>
          <cell r="E194" t="str">
            <v>CASAS BAHIA</v>
          </cell>
          <cell r="F194" t="str">
            <v>SHOPPING</v>
          </cell>
          <cell r="G194" t="str">
            <v>ESTRADA DO CAMPO LIMPO, 459</v>
          </cell>
          <cell r="H194" t="str">
            <v xml:space="preserve">Edge 60 </v>
          </cell>
          <cell r="I194" t="str">
            <v>512GB</v>
          </cell>
        </row>
        <row r="195">
          <cell r="C195" t="str">
            <v>Edge60512GB_SPC11008</v>
          </cell>
          <cell r="D195" t="str">
            <v>CASAS BAHIA - LARGO 13 DE MAIO, 308 - ZONA COMERCIAL - SPC11008</v>
          </cell>
          <cell r="E195" t="str">
            <v>CASAS BAHIA</v>
          </cell>
          <cell r="F195" t="str">
            <v>RUA</v>
          </cell>
          <cell r="G195" t="str">
            <v>LARGO 13 DE MAIO, 308</v>
          </cell>
          <cell r="H195" t="str">
            <v xml:space="preserve">Edge 60 </v>
          </cell>
          <cell r="I195" t="str">
            <v>512GB</v>
          </cell>
        </row>
        <row r="196">
          <cell r="C196" t="str">
            <v>Edge60512GB_SPC7621</v>
          </cell>
          <cell r="D196" t="str">
            <v>PONTO FRIO - RUA CAPITAO TIAGO LUZ, 146 - ZONA COMERCIAL - SPC7621</v>
          </cell>
          <cell r="E196" t="str">
            <v xml:space="preserve">PONTO FRIO </v>
          </cell>
          <cell r="F196" t="str">
            <v>RUA</v>
          </cell>
          <cell r="G196" t="str">
            <v>RUA CAPITAO TIAGO LUZ, 146</v>
          </cell>
          <cell r="H196" t="str">
            <v xml:space="preserve">Edge 60 </v>
          </cell>
          <cell r="I196" t="str">
            <v>512GB</v>
          </cell>
        </row>
        <row r="197">
          <cell r="C197" t="str">
            <v>Edge60512GB_SPC6352</v>
          </cell>
          <cell r="D197" t="str">
            <v>CASAS BAHIA - RUA TENENTE AVELAR PIRES DE AZEVEDO, 81 - SHOPPING OSASCO PLAZA - SPC6352</v>
          </cell>
          <cell r="E197" t="str">
            <v>CASAS BAHIA</v>
          </cell>
          <cell r="F197" t="str">
            <v>SHOPPING</v>
          </cell>
          <cell r="G197" t="str">
            <v>RUA TENENTE AVELAR PIRES DE AZEVEDO, 81</v>
          </cell>
          <cell r="H197" t="str">
            <v xml:space="preserve">Edge 60 </v>
          </cell>
          <cell r="I197" t="str">
            <v>512GB</v>
          </cell>
        </row>
        <row r="198">
          <cell r="C198" t="str">
            <v>Edge60512GB_SPC6445</v>
          </cell>
          <cell r="D198" t="str">
            <v>CASAS BAHIA - AVENIDA PIRACEMA, 669 - SHOPPING TAMBORE - SPC6445</v>
          </cell>
          <cell r="E198" t="str">
            <v>CASAS BAHIA</v>
          </cell>
          <cell r="F198" t="str">
            <v>SHOPPING</v>
          </cell>
          <cell r="G198" t="str">
            <v>AVENIDA PIRACEMA, 669</v>
          </cell>
          <cell r="H198" t="str">
            <v xml:space="preserve">Edge 60 </v>
          </cell>
          <cell r="I198" t="str">
            <v>512GB</v>
          </cell>
        </row>
        <row r="199">
          <cell r="C199" t="str">
            <v>Edge60512GB_SPC6397</v>
          </cell>
          <cell r="D199" t="str">
            <v>CASAS BAHIA - AVENIDA DOS AUTONOMISTAS, 1400 - SHOPPING UNIAO - SPC6397</v>
          </cell>
          <cell r="E199" t="str">
            <v>CASAS BAHIA</v>
          </cell>
          <cell r="F199" t="str">
            <v>SHOPPING</v>
          </cell>
          <cell r="G199" t="str">
            <v>AVENIDA DOS AUTONOMISTAS, 1400</v>
          </cell>
          <cell r="H199" t="str">
            <v xml:space="preserve">Edge 60 </v>
          </cell>
          <cell r="I199" t="str">
            <v>512GB</v>
          </cell>
        </row>
        <row r="200">
          <cell r="C200" t="str">
            <v>Edge60512GB_SPC11278</v>
          </cell>
          <cell r="D200" t="str">
            <v>PONTO FRIO - RUA ANTONIO AGU, 155 - ZONA COMERCIAL - SPC11278</v>
          </cell>
          <cell r="E200" t="str">
            <v xml:space="preserve">PONTO FRIO </v>
          </cell>
          <cell r="F200" t="str">
            <v>RUA</v>
          </cell>
          <cell r="G200" t="str">
            <v>RUA ANTONIO AGU, 155</v>
          </cell>
          <cell r="H200" t="str">
            <v xml:space="preserve">Edge 60 </v>
          </cell>
          <cell r="I200" t="str">
            <v>512GB</v>
          </cell>
        </row>
        <row r="201">
          <cell r="C201" t="str">
            <v>Edge60512GB_SPC7644</v>
          </cell>
          <cell r="D201" t="str">
            <v>CASAS BAHIA - TRAVESSA CASALBUONO, 120 - SHOPPING CENTER NORTE - SPC7644</v>
          </cell>
          <cell r="E201" t="str">
            <v>CASAS BAHIA</v>
          </cell>
          <cell r="F201" t="str">
            <v>SHOPPING</v>
          </cell>
          <cell r="G201" t="str">
            <v>TRAVESSA CASALBUONO, 120</v>
          </cell>
          <cell r="H201" t="str">
            <v xml:space="preserve">Edge 60 </v>
          </cell>
          <cell r="I201" t="str">
            <v>512GB</v>
          </cell>
        </row>
        <row r="202">
          <cell r="C202" t="str">
            <v>Edge60512GB_SPC8440</v>
          </cell>
          <cell r="D202" t="str">
            <v>MAGAZINE LUIZA - RUA AMAZONAS DA SILVA, 27 - ZONA COMERCIAL - SPC8440</v>
          </cell>
          <cell r="E202" t="str">
            <v>MAGAZINE LUIZA</v>
          </cell>
          <cell r="F202" t="str">
            <v>RUA</v>
          </cell>
          <cell r="G202" t="str">
            <v>RUA AMAZONAS DA SILVA, 27</v>
          </cell>
          <cell r="H202" t="str">
            <v xml:space="preserve">Edge 60 </v>
          </cell>
          <cell r="I202" t="str">
            <v>512GB</v>
          </cell>
        </row>
        <row r="203">
          <cell r="C203" t="str">
            <v>Edge60512GB_SPC7607</v>
          </cell>
          <cell r="D203" t="str">
            <v>CASAS BAHIA - RODOVIA PRESIDENTE DUTRA KM 230, S/N - SHOPPING INTERNACIONAL GUARULHOS - SPC7607</v>
          </cell>
          <cell r="E203" t="str">
            <v>CASAS BAHIA</v>
          </cell>
          <cell r="F203" t="str">
            <v>SHOPPING</v>
          </cell>
          <cell r="G203" t="str">
            <v>RODOVIA PRESIDENTE DUTRA KM 230, S/N</v>
          </cell>
          <cell r="H203" t="str">
            <v xml:space="preserve">Edge 60 </v>
          </cell>
          <cell r="I203" t="str">
            <v>512GB</v>
          </cell>
        </row>
        <row r="204">
          <cell r="C204" t="str">
            <v>Edge60512GB_SPC11273</v>
          </cell>
          <cell r="D204" t="str">
            <v>CASAS BAHIA - AVENIDA JUSCELINO KUBITSCHEK DE OLIVEIRA, 5308 - SHOPPING BONSUCESSO - SPC11273</v>
          </cell>
          <cell r="E204" t="str">
            <v>CASAS BAHIA</v>
          </cell>
          <cell r="F204" t="str">
            <v>SHOPPING</v>
          </cell>
          <cell r="G204" t="str">
            <v>AVENIDA JUSCELINO KUBITSCHEK DE OLIVEIRA, 5308</v>
          </cell>
          <cell r="H204" t="str">
            <v xml:space="preserve">Edge 60 </v>
          </cell>
          <cell r="I204" t="str">
            <v>512GB</v>
          </cell>
        </row>
        <row r="205">
          <cell r="C205" t="str">
            <v>Edge60512GB_SPC11005</v>
          </cell>
          <cell r="D205" t="str">
            <v>CASAS BAHIA - AVENIDA INDUSTRIAL, 600 - SHOPPING GRAND PLAZA - SPC11005</v>
          </cell>
          <cell r="E205" t="str">
            <v>CASAS BAHIA</v>
          </cell>
          <cell r="F205" t="str">
            <v>SHOPPING</v>
          </cell>
          <cell r="G205" t="str">
            <v>AVENIDA INDUSTRIAL, 600</v>
          </cell>
          <cell r="H205" t="str">
            <v xml:space="preserve">Edge 60 </v>
          </cell>
          <cell r="I205" t="str">
            <v>512GB</v>
          </cell>
        </row>
        <row r="206">
          <cell r="C206" t="str">
            <v>Edge60512GB_SPC8715</v>
          </cell>
          <cell r="D206" t="str">
            <v>CASAS BAHIA - AVENIDA GOVERNADOR MARIO COVAS JUNIOR, 1 - SHOPPING MAUA - SPC8715</v>
          </cell>
          <cell r="E206" t="str">
            <v>CASAS BAHIA</v>
          </cell>
          <cell r="F206" t="str">
            <v>SHOPPING</v>
          </cell>
          <cell r="G206" t="str">
            <v>AVENIDA GOVERNADOR MARIO COVAS JUNIOR, 1</v>
          </cell>
          <cell r="H206" t="str">
            <v xml:space="preserve">Edge 60 </v>
          </cell>
          <cell r="I206" t="str">
            <v>512GB</v>
          </cell>
        </row>
        <row r="207">
          <cell r="C207" t="str">
            <v>Edge60512GB_SPC11374</v>
          </cell>
          <cell r="D207" t="str">
            <v>CASAS BAHIA - AVENIDA PEREIRA BARRETO, 42 - SHOPPING ABC - SPC11374</v>
          </cell>
          <cell r="E207" t="str">
            <v>CASAS BAHIA</v>
          </cell>
          <cell r="F207" t="str">
            <v>SHOPPING</v>
          </cell>
          <cell r="G207" t="str">
            <v>AVENIDA PEREIRA BARRETO, 42</v>
          </cell>
          <cell r="H207" t="str">
            <v xml:space="preserve">Edge 60 </v>
          </cell>
          <cell r="I207" t="str">
            <v>512GB</v>
          </cell>
        </row>
        <row r="208">
          <cell r="C208" t="str">
            <v>Edge60512GB_SPC6700</v>
          </cell>
          <cell r="D208" t="str">
            <v>CASAS BAHIA - RUA MARECHAL DEODORO, 987 - ZONA COMERCIAL - SPC6700</v>
          </cell>
          <cell r="E208" t="str">
            <v>CASAS BAHIA</v>
          </cell>
          <cell r="F208" t="str">
            <v>RUA</v>
          </cell>
          <cell r="G208" t="str">
            <v>RUA MARECHAL DEODORO, 987</v>
          </cell>
          <cell r="H208" t="str">
            <v xml:space="preserve">Edge 60 </v>
          </cell>
          <cell r="I208" t="str">
            <v>512GB</v>
          </cell>
        </row>
        <row r="209">
          <cell r="C209" t="str">
            <v>Edge60512GB_SPC7069</v>
          </cell>
          <cell r="D209" t="str">
            <v>CASAS BAHIA - RUA DOMINGOS DE MORAIS, 2564 - SHOPPING METRO SANTA CRUZ - SPC7069</v>
          </cell>
          <cell r="E209" t="str">
            <v>CASAS BAHIA</v>
          </cell>
          <cell r="F209" t="str">
            <v>SHOPPING</v>
          </cell>
          <cell r="G209" t="str">
            <v>RUA DOMINGOS DE MORAIS, 2564</v>
          </cell>
          <cell r="H209" t="str">
            <v xml:space="preserve">Edge 60 </v>
          </cell>
          <cell r="I209" t="str">
            <v>512GB</v>
          </cell>
        </row>
        <row r="210">
          <cell r="C210" t="str">
            <v>Edge60512GB_SPC6505</v>
          </cell>
          <cell r="D210" t="str">
            <v>CASAS BAHIA - RUA TEODORO SAMPAIO, 2522 - ZONA COMERCIAL - SPC6505</v>
          </cell>
          <cell r="E210" t="str">
            <v>CASAS BAHIA</v>
          </cell>
          <cell r="F210" t="str">
            <v>RUA</v>
          </cell>
          <cell r="G210" t="str">
            <v>RUA TEODORO SAMPAIO, 2522</v>
          </cell>
          <cell r="H210" t="str">
            <v xml:space="preserve">Edge 60 </v>
          </cell>
          <cell r="I210" t="str">
            <v>512GB</v>
          </cell>
        </row>
        <row r="211">
          <cell r="C211" t="str">
            <v>Edge60512GB_SPC234770</v>
          </cell>
          <cell r="D211" t="str">
            <v>CASAS BAHIA - ESTRADA DA COLINA, 1048 - SPC234770</v>
          </cell>
          <cell r="E211" t="str">
            <v>CASAS BAHIA</v>
          </cell>
          <cell r="F211" t="str">
            <v>RUA</v>
          </cell>
          <cell r="G211" t="str">
            <v>ESTRADA DA COLINA, 1048</v>
          </cell>
          <cell r="H211" t="str">
            <v xml:space="preserve">Edge 60 </v>
          </cell>
          <cell r="I211" t="str">
            <v>512GB</v>
          </cell>
        </row>
        <row r="212">
          <cell r="C212" t="str">
            <v>Edge60Fusion256_SPC7613</v>
          </cell>
          <cell r="D212" t="str">
            <v>CASAS BAHIA - AVENIDA INTERLAGOS, 2255 - SHOPPING INTERLAGOS - SPC7613</v>
          </cell>
          <cell r="E212" t="str">
            <v>CASAS BAHIA</v>
          </cell>
          <cell r="F212" t="str">
            <v>SHOPPING</v>
          </cell>
          <cell r="G212" t="str">
            <v>AVENIDA INTERLAGOS, 2255</v>
          </cell>
          <cell r="H212" t="str">
            <v xml:space="preserve">Edge 60 Fusion </v>
          </cell>
          <cell r="I212" t="str">
            <v>256 GB</v>
          </cell>
        </row>
        <row r="213">
          <cell r="C213" t="str">
            <v>Edge60Fusion256_SPC7612</v>
          </cell>
          <cell r="D213" t="str">
            <v>PONTO FRIO - AVENIDA INTERLAGOS, 2255 - SHOPPING INTERLAGOS - SPC7612</v>
          </cell>
          <cell r="E213" t="str">
            <v xml:space="preserve">PONTO FRIO </v>
          </cell>
          <cell r="F213" t="str">
            <v>SHOPPING</v>
          </cell>
          <cell r="G213" t="str">
            <v>AVENIDA INTERLAGOS, 2255</v>
          </cell>
          <cell r="H213" t="str">
            <v xml:space="preserve">Edge 60 Fusion </v>
          </cell>
          <cell r="I213" t="str">
            <v>256 GB</v>
          </cell>
        </row>
        <row r="214">
          <cell r="C214" t="str">
            <v>Edge60Fusion256_SPC7614</v>
          </cell>
          <cell r="D214" t="str">
            <v>LOJAS AMERICANAS - AVENIDA INTERLAGOS, 2255 - SHOPPING INTERLAGOS - SPC7614</v>
          </cell>
          <cell r="E214" t="str">
            <v>LOJAS AMERICANAS</v>
          </cell>
          <cell r="F214" t="str">
            <v>SHOPPING</v>
          </cell>
          <cell r="G214" t="str">
            <v>AVENIDA INTERLAGOS, 2255</v>
          </cell>
          <cell r="H214" t="str">
            <v xml:space="preserve">Edge 60 Fusion </v>
          </cell>
          <cell r="I214" t="str">
            <v>256 GB</v>
          </cell>
        </row>
        <row r="215">
          <cell r="C215" t="str">
            <v>Edge60Fusion256_SPC11232</v>
          </cell>
          <cell r="D215" t="str">
            <v>CASAS BAHIA - PRACA FLORIANO PEIXOTO, 38 - ZONA COMERCIAL - SPC11232</v>
          </cell>
          <cell r="E215" t="str">
            <v>CASAS BAHIA</v>
          </cell>
          <cell r="F215" t="str">
            <v>RUA</v>
          </cell>
          <cell r="G215" t="str">
            <v>PRACA FLORIANO PEIXOTO, 38</v>
          </cell>
          <cell r="H215" t="str">
            <v xml:space="preserve">Edge 60 Fusion </v>
          </cell>
          <cell r="I215" t="str">
            <v>256 GB</v>
          </cell>
        </row>
        <row r="216">
          <cell r="C216" t="str">
            <v>Edge60Fusion256_SPC287350</v>
          </cell>
          <cell r="D216" t="str">
            <v>CASAS BAHIA - AVENIDA NACOES UNIDAS, 12995 - SPC287350</v>
          </cell>
          <cell r="E216" t="str">
            <v>CASAS BAHIA</v>
          </cell>
          <cell r="F216" t="str">
            <v>RUA</v>
          </cell>
          <cell r="G216" t="str">
            <v>AVENIDA NACOES UNIDAS, 12995</v>
          </cell>
          <cell r="H216" t="str">
            <v xml:space="preserve">Edge 60 Fusion </v>
          </cell>
          <cell r="I216" t="str">
            <v>256 GB</v>
          </cell>
        </row>
        <row r="217">
          <cell r="C217" t="str">
            <v>Edge60Fusion256_SPC252260</v>
          </cell>
          <cell r="D217" t="str">
            <v>CASAS BAHIA - AVENIDA EMBAIXADOR MACEDO SOARES, 9175 - SPC252260</v>
          </cell>
          <cell r="E217" t="str">
            <v>CASAS BAHIA</v>
          </cell>
          <cell r="F217" t="str">
            <v>RUA</v>
          </cell>
          <cell r="G217" t="str">
            <v>AVENIDA EMBAIXADOR MACEDO SOARES, 9175</v>
          </cell>
          <cell r="H217" t="str">
            <v xml:space="preserve">Edge 60 Fusion </v>
          </cell>
          <cell r="I217" t="str">
            <v>256 GB</v>
          </cell>
        </row>
        <row r="218">
          <cell r="C218" t="str">
            <v>Edge60Fusion256_SPC22892</v>
          </cell>
          <cell r="D218" t="str">
            <v>CASAS BAHIA - AVENIDA ARICANDUVA, 5555 (LOJA 2) - SHOPPING ARICANDUVA - SPC22892</v>
          </cell>
          <cell r="E218" t="str">
            <v>CASAS BAHIA</v>
          </cell>
          <cell r="F218" t="str">
            <v>SHOPPING</v>
          </cell>
          <cell r="G218" t="str">
            <v>AVENIDA ARICANDUVA, 5555 (LOJA 2)</v>
          </cell>
          <cell r="H218" t="str">
            <v xml:space="preserve">Edge 60 Fusion </v>
          </cell>
          <cell r="I218" t="str">
            <v>256 GB</v>
          </cell>
        </row>
        <row r="219">
          <cell r="C219" t="str">
            <v>Edge60Fusion256_SPC7610</v>
          </cell>
          <cell r="D219" t="str">
            <v>CASAS BAHIA - AVENIDA ARICANDUVA, 5555 (LOJA 1) - SHOPPING ARICANDUVA - SPC7610</v>
          </cell>
          <cell r="E219" t="str">
            <v>CASAS BAHIA</v>
          </cell>
          <cell r="F219" t="str">
            <v>SHOPPING</v>
          </cell>
          <cell r="G219" t="str">
            <v>AVENIDA ARICANDUVA, 5555 (LOJA 1)</v>
          </cell>
          <cell r="H219" t="str">
            <v xml:space="preserve">Edge 60 Fusion </v>
          </cell>
          <cell r="I219" t="str">
            <v>256 GB</v>
          </cell>
        </row>
        <row r="220">
          <cell r="C220" t="str">
            <v>Edge60Fusion256_SPC8803</v>
          </cell>
          <cell r="D220" t="str">
            <v>PONTO FRIO - AVENIDA ARICANDUVA, 5555 (LOJA 2) - SHOPPING ARICANDUVA - SPC8803</v>
          </cell>
          <cell r="E220" t="str">
            <v xml:space="preserve">PONTO FRIO </v>
          </cell>
          <cell r="F220" t="str">
            <v>SHOPPING</v>
          </cell>
          <cell r="G220" t="str">
            <v>AVENIDA ARICANDUVA, 5555 (LOJA 2)</v>
          </cell>
          <cell r="H220" t="str">
            <v xml:space="preserve">Edge 60 Fusion </v>
          </cell>
          <cell r="I220" t="str">
            <v>256 GB</v>
          </cell>
        </row>
        <row r="221">
          <cell r="C221" t="str">
            <v>Edge60Fusion256_SPC6374</v>
          </cell>
          <cell r="D221" t="str">
            <v>MAGAZINE LUIZA - AVENIDA ARICANDUVA, 5555 - SHOPPING ARICANDUVA - SPC6374</v>
          </cell>
          <cell r="E221" t="str">
            <v>MAGAZINE LUIZA</v>
          </cell>
          <cell r="F221" t="str">
            <v>SHOPPING</v>
          </cell>
          <cell r="G221" t="str">
            <v>AVENIDA ARICANDUVA, 5555</v>
          </cell>
          <cell r="H221" t="str">
            <v xml:space="preserve">Edge 60 Fusion </v>
          </cell>
          <cell r="I221" t="str">
            <v>256 GB</v>
          </cell>
        </row>
        <row r="222">
          <cell r="C222" t="str">
            <v>Edge60Fusion256_SPC7759</v>
          </cell>
          <cell r="D222" t="str">
            <v>CASAS BAHIA - AVENIDA JOSE PINHEIRO BORGES, S/N - SHOPPING METRO ITAQUERA - SPC7759</v>
          </cell>
          <cell r="E222" t="str">
            <v>CASAS BAHIA</v>
          </cell>
          <cell r="F222" t="str">
            <v>SHOPPING</v>
          </cell>
          <cell r="G222" t="str">
            <v>AVENIDA JOSE PINHEIRO BORGES, S/N</v>
          </cell>
          <cell r="H222" t="str">
            <v xml:space="preserve">Edge 60 Fusion </v>
          </cell>
          <cell r="I222" t="str">
            <v>256 GB</v>
          </cell>
        </row>
        <row r="223">
          <cell r="C223" t="str">
            <v>Edge60Fusion256_SPC9927</v>
          </cell>
          <cell r="D223" t="str">
            <v>CASAS BAHIA - RODOVIA REGIS BITTENCOURT KM 271, 2643 - SHOPPING TABOAO DA SERRA - SPC9927</v>
          </cell>
          <cell r="E223" t="str">
            <v>CASAS BAHIA</v>
          </cell>
          <cell r="F223" t="str">
            <v>SHOPPING</v>
          </cell>
          <cell r="G223" t="str">
            <v>RODOVIA REGIS BITTENCOURT KM 271, 2643</v>
          </cell>
          <cell r="H223" t="str">
            <v xml:space="preserve">Edge 60 Fusion </v>
          </cell>
          <cell r="I223" t="str">
            <v>256 GB</v>
          </cell>
        </row>
        <row r="224">
          <cell r="C224" t="str">
            <v>Edge60Fusion256_SPC10966</v>
          </cell>
          <cell r="D224" t="str">
            <v>CASAS BAHIA - ESTRADA DO CAMPO LIMPO, 459 - SHOPPING CAMPO LIMPO - SPC10966</v>
          </cell>
          <cell r="E224" t="str">
            <v>CASAS BAHIA</v>
          </cell>
          <cell r="F224" t="str">
            <v>SHOPPING</v>
          </cell>
          <cell r="G224" t="str">
            <v>ESTRADA DO CAMPO LIMPO, 459</v>
          </cell>
          <cell r="H224" t="str">
            <v xml:space="preserve">Edge 60 Fusion </v>
          </cell>
          <cell r="I224" t="str">
            <v>256 GB</v>
          </cell>
        </row>
        <row r="225">
          <cell r="C225" t="str">
            <v>Edge60Fusion256_SPC11008</v>
          </cell>
          <cell r="D225" t="str">
            <v>CASAS BAHIA - LARGO 13 DE MAIO, 308 - ZONA COMERCIAL - SPC11008</v>
          </cell>
          <cell r="E225" t="str">
            <v>CASAS BAHIA</v>
          </cell>
          <cell r="F225" t="str">
            <v>RUA</v>
          </cell>
          <cell r="G225" t="str">
            <v>LARGO 13 DE MAIO, 308</v>
          </cell>
          <cell r="H225" t="str">
            <v xml:space="preserve">Edge 60 Fusion </v>
          </cell>
          <cell r="I225" t="str">
            <v>256 GB</v>
          </cell>
        </row>
        <row r="226">
          <cell r="C226" t="str">
            <v>Edge60Fusion256_SPC7621</v>
          </cell>
          <cell r="D226" t="str">
            <v>PONTO FRIO - RUA CAPITAO TIAGO LUZ, 146 - ZONA COMERCIAL - SPC7621</v>
          </cell>
          <cell r="E226" t="str">
            <v xml:space="preserve">PONTO FRIO </v>
          </cell>
          <cell r="F226" t="str">
            <v>RUA</v>
          </cell>
          <cell r="G226" t="str">
            <v>RUA CAPITAO TIAGO LUZ, 146</v>
          </cell>
          <cell r="H226" t="str">
            <v xml:space="preserve">Edge 60 Fusion </v>
          </cell>
          <cell r="I226" t="str">
            <v>256 GB</v>
          </cell>
        </row>
        <row r="227">
          <cell r="C227" t="str">
            <v>Edge60Fusion256_SPC6352</v>
          </cell>
          <cell r="D227" t="str">
            <v>CASAS BAHIA - RUA TENENTE AVELAR PIRES DE AZEVEDO, 81 - SHOPPING OSASCO PLAZA - SPC6352</v>
          </cell>
          <cell r="E227" t="str">
            <v>CASAS BAHIA</v>
          </cell>
          <cell r="F227" t="str">
            <v>SHOPPING</v>
          </cell>
          <cell r="G227" t="str">
            <v>RUA TENENTE AVELAR PIRES DE AZEVEDO, 81</v>
          </cell>
          <cell r="H227" t="str">
            <v xml:space="preserve">Edge 60 Fusion </v>
          </cell>
          <cell r="I227" t="str">
            <v>256 GB</v>
          </cell>
        </row>
        <row r="228">
          <cell r="C228" t="str">
            <v>Edge60Fusion256_SPC6445</v>
          </cell>
          <cell r="D228" t="str">
            <v>CASAS BAHIA - AVENIDA PIRACEMA, 669 - SHOPPING TAMBORE - SPC6445</v>
          </cell>
          <cell r="E228" t="str">
            <v>CASAS BAHIA</v>
          </cell>
          <cell r="F228" t="str">
            <v>SHOPPING</v>
          </cell>
          <cell r="G228" t="str">
            <v>AVENIDA PIRACEMA, 669</v>
          </cell>
          <cell r="H228" t="str">
            <v xml:space="preserve">Edge 60 Fusion </v>
          </cell>
          <cell r="I228" t="str">
            <v>256 GB</v>
          </cell>
        </row>
        <row r="229">
          <cell r="C229" t="str">
            <v>Edge60Fusion256_SPC6397</v>
          </cell>
          <cell r="D229" t="str">
            <v>CASAS BAHIA - AVENIDA DOS AUTONOMISTAS, 1400 - SHOPPING UNIAO - SPC6397</v>
          </cell>
          <cell r="E229" t="str">
            <v>CASAS BAHIA</v>
          </cell>
          <cell r="F229" t="str">
            <v>SHOPPING</v>
          </cell>
          <cell r="G229" t="str">
            <v>AVENIDA DOS AUTONOMISTAS, 1400</v>
          </cell>
          <cell r="H229" t="str">
            <v xml:space="preserve">Edge 60 Fusion </v>
          </cell>
          <cell r="I229" t="str">
            <v>256 GB</v>
          </cell>
        </row>
        <row r="230">
          <cell r="C230" t="str">
            <v>Edge60Fusion256_SPC11278</v>
          </cell>
          <cell r="D230" t="str">
            <v>PONTO FRIO - RUA ANTONIO AGU, 155 - ZONA COMERCIAL - SPC11278</v>
          </cell>
          <cell r="E230" t="str">
            <v xml:space="preserve">PONTO FRIO </v>
          </cell>
          <cell r="F230" t="str">
            <v>RUA</v>
          </cell>
          <cell r="G230" t="str">
            <v>RUA ANTONIO AGU, 155</v>
          </cell>
          <cell r="H230" t="str">
            <v xml:space="preserve">Edge 60 Fusion </v>
          </cell>
          <cell r="I230" t="str">
            <v>256 GB</v>
          </cell>
        </row>
        <row r="231">
          <cell r="C231" t="str">
            <v>Edge60Fusion256_SPC7644</v>
          </cell>
          <cell r="D231" t="str">
            <v>CASAS BAHIA - TRAVESSA CASALBUONO, 120 - SHOPPING CENTER NORTE - SPC7644</v>
          </cell>
          <cell r="E231" t="str">
            <v>CASAS BAHIA</v>
          </cell>
          <cell r="F231" t="str">
            <v>SHOPPING</v>
          </cell>
          <cell r="G231" t="str">
            <v>TRAVESSA CASALBUONO, 120</v>
          </cell>
          <cell r="H231" t="str">
            <v xml:space="preserve">Edge 60 Fusion </v>
          </cell>
          <cell r="I231" t="str">
            <v>256 GB</v>
          </cell>
        </row>
        <row r="232">
          <cell r="C232" t="str">
            <v>Edge60Fusion256_SPC8440</v>
          </cell>
          <cell r="D232" t="str">
            <v>MAGAZINE LUIZA - RUA AMAZONAS DA SILVA, 27 - ZONA COMERCIAL - SPC8440</v>
          </cell>
          <cell r="E232" t="str">
            <v>MAGAZINE LUIZA</v>
          </cell>
          <cell r="F232" t="str">
            <v>RUA</v>
          </cell>
          <cell r="G232" t="str">
            <v>RUA AMAZONAS DA SILVA, 27</v>
          </cell>
          <cell r="H232" t="str">
            <v xml:space="preserve">Edge 60 Fusion </v>
          </cell>
          <cell r="I232" t="str">
            <v>256 GB</v>
          </cell>
        </row>
        <row r="233">
          <cell r="C233" t="str">
            <v>Edge60Fusion256_SPC7607</v>
          </cell>
          <cell r="D233" t="str">
            <v>CASAS BAHIA - RODOVIA PRESIDENTE DUTRA KM 230, S/N - SHOPPING INTERNACIONAL GUARULHOS - SPC7607</v>
          </cell>
          <cell r="E233" t="str">
            <v>CASAS BAHIA</v>
          </cell>
          <cell r="F233" t="str">
            <v>SHOPPING</v>
          </cell>
          <cell r="G233" t="str">
            <v>RODOVIA PRESIDENTE DUTRA KM 230, S/N</v>
          </cell>
          <cell r="H233" t="str">
            <v xml:space="preserve">Edge 60 Fusion </v>
          </cell>
          <cell r="I233" t="str">
            <v>256 GB</v>
          </cell>
        </row>
        <row r="234">
          <cell r="C234" t="str">
            <v>Edge60Fusion256_SPC11273</v>
          </cell>
          <cell r="D234" t="str">
            <v>CASAS BAHIA - AVENIDA JUSCELINO KUBITSCHEK DE OLIVEIRA, 5308 - SHOPPING BONSUCESSO - SPC11273</v>
          </cell>
          <cell r="E234" t="str">
            <v>CASAS BAHIA</v>
          </cell>
          <cell r="F234" t="str">
            <v>SHOPPING</v>
          </cell>
          <cell r="G234" t="str">
            <v>AVENIDA JUSCELINO KUBITSCHEK DE OLIVEIRA, 5308</v>
          </cell>
          <cell r="H234" t="str">
            <v xml:space="preserve">Edge 60 Fusion </v>
          </cell>
          <cell r="I234" t="str">
            <v>256 GB</v>
          </cell>
        </row>
        <row r="235">
          <cell r="C235" t="str">
            <v>Edge60Fusion256_SPC11005</v>
          </cell>
          <cell r="D235" t="str">
            <v>CASAS BAHIA - AVENIDA INDUSTRIAL, 600 - SHOPPING GRAND PLAZA - SPC11005</v>
          </cell>
          <cell r="E235" t="str">
            <v>CASAS BAHIA</v>
          </cell>
          <cell r="F235" t="str">
            <v>SHOPPING</v>
          </cell>
          <cell r="G235" t="str">
            <v>AVENIDA INDUSTRIAL, 600</v>
          </cell>
          <cell r="H235" t="str">
            <v xml:space="preserve">Edge 60 Fusion </v>
          </cell>
          <cell r="I235" t="str">
            <v>256 GB</v>
          </cell>
        </row>
        <row r="236">
          <cell r="C236" t="str">
            <v>Edge60Fusion256_SPC8715</v>
          </cell>
          <cell r="D236" t="str">
            <v>CASAS BAHIA - AVENIDA GOVERNADOR MARIO COVAS JUNIOR, 1 - SHOPPING MAUA - SPC8715</v>
          </cell>
          <cell r="E236" t="str">
            <v>CASAS BAHIA</v>
          </cell>
          <cell r="F236" t="str">
            <v>SHOPPING</v>
          </cell>
          <cell r="G236" t="str">
            <v>AVENIDA GOVERNADOR MARIO COVAS JUNIOR, 1</v>
          </cell>
          <cell r="H236" t="str">
            <v xml:space="preserve">Edge 60 Fusion </v>
          </cell>
          <cell r="I236" t="str">
            <v>256 GB</v>
          </cell>
        </row>
        <row r="237">
          <cell r="C237" t="str">
            <v>Edge60Fusion256_SPC11374</v>
          </cell>
          <cell r="D237" t="str">
            <v>CASAS BAHIA - AVENIDA PEREIRA BARRETO, 42 - SHOPPING ABC - SPC11374</v>
          </cell>
          <cell r="E237" t="str">
            <v>CASAS BAHIA</v>
          </cell>
          <cell r="F237" t="str">
            <v>SHOPPING</v>
          </cell>
          <cell r="G237" t="str">
            <v>AVENIDA PEREIRA BARRETO, 42</v>
          </cell>
          <cell r="H237" t="str">
            <v xml:space="preserve">Edge 60 Fusion </v>
          </cell>
          <cell r="I237" t="str">
            <v>256 GB</v>
          </cell>
        </row>
        <row r="238">
          <cell r="C238" t="str">
            <v>Edge60Fusion256_SPC6700</v>
          </cell>
          <cell r="D238" t="str">
            <v>CASAS BAHIA - RUA MARECHAL DEODORO, 987 - ZONA COMERCIAL - SPC6700</v>
          </cell>
          <cell r="E238" t="str">
            <v>CASAS BAHIA</v>
          </cell>
          <cell r="F238" t="str">
            <v>RUA</v>
          </cell>
          <cell r="G238" t="str">
            <v>RUA MARECHAL DEODORO, 987</v>
          </cell>
          <cell r="H238" t="str">
            <v xml:space="preserve">Edge 60 Fusion </v>
          </cell>
          <cell r="I238" t="str">
            <v>256 GB</v>
          </cell>
        </row>
        <row r="239">
          <cell r="C239" t="str">
            <v>Edge60Fusion256_SPC7069</v>
          </cell>
          <cell r="D239" t="str">
            <v>CASAS BAHIA - RUA DOMINGOS DE MORAIS, 2564 - SHOPPING METRO SANTA CRUZ - SPC7069</v>
          </cell>
          <cell r="E239" t="str">
            <v>CASAS BAHIA</v>
          </cell>
          <cell r="F239" t="str">
            <v>SHOPPING</v>
          </cell>
          <cell r="G239" t="str">
            <v>RUA DOMINGOS DE MORAIS, 2564</v>
          </cell>
          <cell r="H239" t="str">
            <v xml:space="preserve">Edge 60 Fusion </v>
          </cell>
          <cell r="I239" t="str">
            <v>256 GB</v>
          </cell>
        </row>
        <row r="240">
          <cell r="C240" t="str">
            <v>Edge60Fusion256_SPC6505</v>
          </cell>
          <cell r="D240" t="str">
            <v>CASAS BAHIA - RUA TEODORO SAMPAIO, 2522 - ZONA COMERCIAL - SPC6505</v>
          </cell>
          <cell r="E240" t="str">
            <v>CASAS BAHIA</v>
          </cell>
          <cell r="F240" t="str">
            <v>RUA</v>
          </cell>
          <cell r="G240" t="str">
            <v>RUA TEODORO SAMPAIO, 2522</v>
          </cell>
          <cell r="H240" t="str">
            <v xml:space="preserve">Edge 60 Fusion </v>
          </cell>
          <cell r="I240" t="str">
            <v>256 GB</v>
          </cell>
        </row>
        <row r="241">
          <cell r="C241" t="str">
            <v>Edge60Fusion256_SPC234770</v>
          </cell>
          <cell r="D241" t="str">
            <v>CASAS BAHIA - ESTRADA DA COLINA, 1048 - SPC234770</v>
          </cell>
          <cell r="E241" t="str">
            <v>CASAS BAHIA</v>
          </cell>
          <cell r="F241" t="str">
            <v>RUA</v>
          </cell>
          <cell r="G241" t="str">
            <v>ESTRADA DA COLINA, 1048</v>
          </cell>
          <cell r="H241" t="str">
            <v xml:space="preserve">Edge 60 Fusion </v>
          </cell>
          <cell r="I241" t="str">
            <v>256 GB</v>
          </cell>
        </row>
        <row r="242">
          <cell r="C242" t="str">
            <v>Edge60Neo512_SPC7613</v>
          </cell>
          <cell r="D242" t="str">
            <v>CASAS BAHIA - AVENIDA INTERLAGOS, 2255 - SHOPPING INTERLAGOS - SPC7613</v>
          </cell>
          <cell r="E242" t="str">
            <v>CASAS BAHIA</v>
          </cell>
          <cell r="F242" t="str">
            <v>SHOPPING</v>
          </cell>
          <cell r="G242" t="str">
            <v>AVENIDA INTERLAGOS, 2255</v>
          </cell>
          <cell r="H242" t="str">
            <v>Edge 60 Neo</v>
          </cell>
          <cell r="I242" t="str">
            <v>512 GB</v>
          </cell>
        </row>
        <row r="243">
          <cell r="C243" t="str">
            <v>Edge60Neo512_SPC7612</v>
          </cell>
          <cell r="D243" t="str">
            <v>PONTO FRIO - AVENIDA INTERLAGOS, 2255 - SHOPPING INTERLAGOS - SPC7612</v>
          </cell>
          <cell r="E243" t="str">
            <v xml:space="preserve">PONTO FRIO </v>
          </cell>
          <cell r="F243" t="str">
            <v>SHOPPING</v>
          </cell>
          <cell r="G243" t="str">
            <v>AVENIDA INTERLAGOS, 2255</v>
          </cell>
          <cell r="H243" t="str">
            <v>Edge 60 Neo</v>
          </cell>
          <cell r="I243" t="str">
            <v>512 GB</v>
          </cell>
        </row>
        <row r="244">
          <cell r="C244" t="str">
            <v>Edge60Neo512_SPC7614</v>
          </cell>
          <cell r="D244" t="str">
            <v>LOJAS AMERICANAS - AVENIDA INTERLAGOS, 2255 - SHOPPING INTERLAGOS - SPC7614</v>
          </cell>
          <cell r="E244" t="str">
            <v>LOJAS AMERICANAS</v>
          </cell>
          <cell r="F244" t="str">
            <v>SHOPPING</v>
          </cell>
          <cell r="G244" t="str">
            <v>AVENIDA INTERLAGOS, 2255</v>
          </cell>
          <cell r="H244" t="str">
            <v>Edge 60 Neo</v>
          </cell>
          <cell r="I244" t="str">
            <v>512 GB</v>
          </cell>
        </row>
        <row r="245">
          <cell r="C245" t="str">
            <v>Edge60Neo512_SPC11232</v>
          </cell>
          <cell r="D245" t="str">
            <v>CASAS BAHIA - PRACA FLORIANO PEIXOTO, 38 - ZONA COMERCIAL - SPC11232</v>
          </cell>
          <cell r="E245" t="str">
            <v>CASAS BAHIA</v>
          </cell>
          <cell r="F245" t="str">
            <v>RUA</v>
          </cell>
          <cell r="G245" t="str">
            <v>PRACA FLORIANO PEIXOTO, 38</v>
          </cell>
          <cell r="H245" t="str">
            <v>Edge 60 Neo</v>
          </cell>
          <cell r="I245" t="str">
            <v>512 GB</v>
          </cell>
        </row>
        <row r="246">
          <cell r="C246" t="str">
            <v>Edge60Neo512_SPC287350</v>
          </cell>
          <cell r="D246" t="str">
            <v>CASAS BAHIA - AVENIDA NACOES UNIDAS, 12995 - SPC287350</v>
          </cell>
          <cell r="E246" t="str">
            <v>CASAS BAHIA</v>
          </cell>
          <cell r="F246" t="str">
            <v>RUA</v>
          </cell>
          <cell r="G246" t="str">
            <v>AVENIDA NACOES UNIDAS, 12995</v>
          </cell>
          <cell r="H246" t="str">
            <v>Edge 60 Neo</v>
          </cell>
          <cell r="I246" t="str">
            <v>512 GB</v>
          </cell>
        </row>
        <row r="247">
          <cell r="C247" t="str">
            <v>Edge60Neo512_SPC252260</v>
          </cell>
          <cell r="D247" t="str">
            <v>CASAS BAHIA - AVENIDA EMBAIXADOR MACEDO SOARES, 9175 - SPC252260</v>
          </cell>
          <cell r="E247" t="str">
            <v>CASAS BAHIA</v>
          </cell>
          <cell r="F247" t="str">
            <v>RUA</v>
          </cell>
          <cell r="G247" t="str">
            <v>AVENIDA EMBAIXADOR MACEDO SOARES, 9175</v>
          </cell>
          <cell r="H247" t="str">
            <v>Edge 60 Neo</v>
          </cell>
          <cell r="I247" t="str">
            <v>512 GB</v>
          </cell>
        </row>
        <row r="248">
          <cell r="C248" t="str">
            <v>Edge60Neo512_SPC22892</v>
          </cell>
          <cell r="D248" t="str">
            <v>CASAS BAHIA - AVENIDA ARICANDUVA, 5555 (LOJA 2) - SHOPPING ARICANDUVA - SPC22892</v>
          </cell>
          <cell r="E248" t="str">
            <v>CASAS BAHIA</v>
          </cell>
          <cell r="F248" t="str">
            <v>SHOPPING</v>
          </cell>
          <cell r="G248" t="str">
            <v>AVENIDA ARICANDUVA, 5555 (LOJA 2)</v>
          </cell>
          <cell r="H248" t="str">
            <v>Edge 60 Neo</v>
          </cell>
          <cell r="I248" t="str">
            <v>512 GB</v>
          </cell>
        </row>
        <row r="249">
          <cell r="C249" t="str">
            <v>Edge60Neo512_SPC7610</v>
          </cell>
          <cell r="D249" t="str">
            <v>CASAS BAHIA - AVENIDA ARICANDUVA, 5555 (LOJA 1) - SHOPPING ARICANDUVA - SPC7610</v>
          </cell>
          <cell r="E249" t="str">
            <v>CASAS BAHIA</v>
          </cell>
          <cell r="F249" t="str">
            <v>SHOPPING</v>
          </cell>
          <cell r="G249" t="str">
            <v>AVENIDA ARICANDUVA, 5555 (LOJA 1)</v>
          </cell>
          <cell r="H249" t="str">
            <v>Edge 60 Neo</v>
          </cell>
          <cell r="I249" t="str">
            <v>512 GB</v>
          </cell>
        </row>
        <row r="250">
          <cell r="C250" t="str">
            <v>Edge60Neo512_SPC8803</v>
          </cell>
          <cell r="D250" t="str">
            <v>PONTO FRIO - AVENIDA ARICANDUVA, 5555 (LOJA 2) - SHOPPING ARICANDUVA - SPC8803</v>
          </cell>
          <cell r="E250" t="str">
            <v xml:space="preserve">PONTO FRIO </v>
          </cell>
          <cell r="F250" t="str">
            <v>SHOPPING</v>
          </cell>
          <cell r="G250" t="str">
            <v>AVENIDA ARICANDUVA, 5555 (LOJA 2)</v>
          </cell>
          <cell r="H250" t="str">
            <v>Edge 60 Neo</v>
          </cell>
          <cell r="I250" t="str">
            <v>512 GB</v>
          </cell>
        </row>
        <row r="251">
          <cell r="C251" t="str">
            <v>Edge60Neo512_SPC6374</v>
          </cell>
          <cell r="D251" t="str">
            <v>MAGAZINE LUIZA - AVENIDA ARICANDUVA, 5555 - SHOPPING ARICANDUVA - SPC6374</v>
          </cell>
          <cell r="E251" t="str">
            <v>MAGAZINE LUIZA</v>
          </cell>
          <cell r="F251" t="str">
            <v>SHOPPING</v>
          </cell>
          <cell r="G251" t="str">
            <v>AVENIDA ARICANDUVA, 5555</v>
          </cell>
          <cell r="H251" t="str">
            <v>Edge 60 Neo</v>
          </cell>
          <cell r="I251" t="str">
            <v>512 GB</v>
          </cell>
        </row>
        <row r="252">
          <cell r="C252" t="str">
            <v>Edge60Neo512_SPC7759</v>
          </cell>
          <cell r="D252" t="str">
            <v>CASAS BAHIA - AVENIDA JOSE PINHEIRO BORGES, S/N - SHOPPING METRO ITAQUERA - SPC7759</v>
          </cell>
          <cell r="E252" t="str">
            <v>CASAS BAHIA</v>
          </cell>
          <cell r="F252" t="str">
            <v>SHOPPING</v>
          </cell>
          <cell r="G252" t="str">
            <v>AVENIDA JOSE PINHEIRO BORGES, S/N</v>
          </cell>
          <cell r="H252" t="str">
            <v>Edge 60 Neo</v>
          </cell>
          <cell r="I252" t="str">
            <v>512 GB</v>
          </cell>
        </row>
        <row r="253">
          <cell r="C253" t="str">
            <v>Edge60Neo512_SPC9927</v>
          </cell>
          <cell r="D253" t="str">
            <v>CASAS BAHIA - RODOVIA REGIS BITTENCOURT KM 271, 2643 - SHOPPING TABOAO DA SERRA - SPC9927</v>
          </cell>
          <cell r="E253" t="str">
            <v>CASAS BAHIA</v>
          </cell>
          <cell r="F253" t="str">
            <v>SHOPPING</v>
          </cell>
          <cell r="G253" t="str">
            <v>RODOVIA REGIS BITTENCOURT KM 271, 2643</v>
          </cell>
          <cell r="H253" t="str">
            <v>Edge 60 Neo</v>
          </cell>
          <cell r="I253" t="str">
            <v>512 GB</v>
          </cell>
        </row>
        <row r="254">
          <cell r="C254" t="str">
            <v>Edge60Neo512_SPC10966</v>
          </cell>
          <cell r="D254" t="str">
            <v>CASAS BAHIA - ESTRADA DO CAMPO LIMPO, 459 - SHOPPING CAMPO LIMPO - SPC10966</v>
          </cell>
          <cell r="E254" t="str">
            <v>CASAS BAHIA</v>
          </cell>
          <cell r="F254" t="str">
            <v>SHOPPING</v>
          </cell>
          <cell r="G254" t="str">
            <v>ESTRADA DO CAMPO LIMPO, 459</v>
          </cell>
          <cell r="H254" t="str">
            <v>Edge 60 Neo</v>
          </cell>
          <cell r="I254" t="str">
            <v>512 GB</v>
          </cell>
        </row>
        <row r="255">
          <cell r="C255" t="str">
            <v>Edge60Neo512_SPC11008</v>
          </cell>
          <cell r="D255" t="str">
            <v>CASAS BAHIA - LARGO 13 DE MAIO, 308 - ZONA COMERCIAL - SPC11008</v>
          </cell>
          <cell r="E255" t="str">
            <v>CASAS BAHIA</v>
          </cell>
          <cell r="F255" t="str">
            <v>RUA</v>
          </cell>
          <cell r="G255" t="str">
            <v>LARGO 13 DE MAIO, 308</v>
          </cell>
          <cell r="H255" t="str">
            <v>Edge 60 Neo</v>
          </cell>
          <cell r="I255" t="str">
            <v>512 GB</v>
          </cell>
        </row>
        <row r="256">
          <cell r="C256" t="str">
            <v>Edge60Neo512_SPC7621</v>
          </cell>
          <cell r="D256" t="str">
            <v>PONTO FRIO - RUA CAPITAO TIAGO LUZ, 146 - ZONA COMERCIAL - SPC7621</v>
          </cell>
          <cell r="E256" t="str">
            <v xml:space="preserve">PONTO FRIO </v>
          </cell>
          <cell r="F256" t="str">
            <v>RUA</v>
          </cell>
          <cell r="G256" t="str">
            <v>RUA CAPITAO TIAGO LUZ, 146</v>
          </cell>
          <cell r="H256" t="str">
            <v>Edge 60 Neo</v>
          </cell>
          <cell r="I256" t="str">
            <v>512 GB</v>
          </cell>
        </row>
        <row r="257">
          <cell r="C257" t="str">
            <v>Edge60Neo512_SPC6352</v>
          </cell>
          <cell r="D257" t="str">
            <v>CASAS BAHIA - RUA TENENTE AVELAR PIRES DE AZEVEDO, 81 - SHOPPING OSASCO PLAZA - SPC6352</v>
          </cell>
          <cell r="E257" t="str">
            <v>CASAS BAHIA</v>
          </cell>
          <cell r="F257" t="str">
            <v>SHOPPING</v>
          </cell>
          <cell r="G257" t="str">
            <v>RUA TENENTE AVELAR PIRES DE AZEVEDO, 81</v>
          </cell>
          <cell r="H257" t="str">
            <v>Edge 60 Neo</v>
          </cell>
          <cell r="I257" t="str">
            <v>512 GB</v>
          </cell>
        </row>
        <row r="258">
          <cell r="C258" t="str">
            <v>Edge60Neo512_SPC6445</v>
          </cell>
          <cell r="D258" t="str">
            <v>CASAS BAHIA - AVENIDA PIRACEMA, 669 - SHOPPING TAMBORE - SPC6445</v>
          </cell>
          <cell r="E258" t="str">
            <v>CASAS BAHIA</v>
          </cell>
          <cell r="F258" t="str">
            <v>SHOPPING</v>
          </cell>
          <cell r="G258" t="str">
            <v>AVENIDA PIRACEMA, 669</v>
          </cell>
          <cell r="H258" t="str">
            <v>Edge 60 Neo</v>
          </cell>
          <cell r="I258" t="str">
            <v>512 GB</v>
          </cell>
        </row>
        <row r="259">
          <cell r="C259" t="str">
            <v>Edge60Neo512_SPC6397</v>
          </cell>
          <cell r="D259" t="str">
            <v>CASAS BAHIA - AVENIDA DOS AUTONOMISTAS, 1400 - SHOPPING UNIAO - SPC6397</v>
          </cell>
          <cell r="E259" t="str">
            <v>CASAS BAHIA</v>
          </cell>
          <cell r="F259" t="str">
            <v>SHOPPING</v>
          </cell>
          <cell r="G259" t="str">
            <v>AVENIDA DOS AUTONOMISTAS, 1400</v>
          </cell>
          <cell r="H259" t="str">
            <v>Edge 60 Neo</v>
          </cell>
          <cell r="I259" t="str">
            <v>512 GB</v>
          </cell>
        </row>
        <row r="260">
          <cell r="C260" t="str">
            <v>Edge60Neo512_SPC11278</v>
          </cell>
          <cell r="D260" t="str">
            <v>PONTO FRIO - RUA ANTONIO AGU, 155 - ZONA COMERCIAL - SPC11278</v>
          </cell>
          <cell r="E260" t="str">
            <v xml:space="preserve">PONTO FRIO </v>
          </cell>
          <cell r="F260" t="str">
            <v>RUA</v>
          </cell>
          <cell r="G260" t="str">
            <v>RUA ANTONIO AGU, 155</v>
          </cell>
          <cell r="H260" t="str">
            <v>Edge 60 Neo</v>
          </cell>
          <cell r="I260" t="str">
            <v>512 GB</v>
          </cell>
        </row>
        <row r="261">
          <cell r="C261" t="str">
            <v>Edge60Neo512_SPC7644</v>
          </cell>
          <cell r="D261" t="str">
            <v>CASAS BAHIA - TRAVESSA CASALBUONO, 120 - SHOPPING CENTER NORTE - SPC7644</v>
          </cell>
          <cell r="E261" t="str">
            <v>CASAS BAHIA</v>
          </cell>
          <cell r="F261" t="str">
            <v>SHOPPING</v>
          </cell>
          <cell r="G261" t="str">
            <v>TRAVESSA CASALBUONO, 120</v>
          </cell>
          <cell r="H261" t="str">
            <v>Edge 60 Neo</v>
          </cell>
          <cell r="I261" t="str">
            <v>512 GB</v>
          </cell>
        </row>
        <row r="262">
          <cell r="C262" t="str">
            <v>Edge60Neo512_SPC8440</v>
          </cell>
          <cell r="D262" t="str">
            <v>MAGAZINE LUIZA - RUA AMAZONAS DA SILVA, 27 - ZONA COMERCIAL - SPC8440</v>
          </cell>
          <cell r="E262" t="str">
            <v>MAGAZINE LUIZA</v>
          </cell>
          <cell r="F262" t="str">
            <v>RUA</v>
          </cell>
          <cell r="G262" t="str">
            <v>RUA AMAZONAS DA SILVA, 27</v>
          </cell>
          <cell r="H262" t="str">
            <v>Edge 60 Neo</v>
          </cell>
          <cell r="I262" t="str">
            <v>512 GB</v>
          </cell>
        </row>
        <row r="263">
          <cell r="C263" t="str">
            <v>Edge60Neo512_SPC7607</v>
          </cell>
          <cell r="D263" t="str">
            <v>CASAS BAHIA - RODOVIA PRESIDENTE DUTRA KM 230, S/N - SHOPPING INTERNACIONAL GUARULHOS - SPC7607</v>
          </cell>
          <cell r="E263" t="str">
            <v>CASAS BAHIA</v>
          </cell>
          <cell r="F263" t="str">
            <v>SHOPPING</v>
          </cell>
          <cell r="G263" t="str">
            <v>RODOVIA PRESIDENTE DUTRA KM 230, S/N</v>
          </cell>
          <cell r="H263" t="str">
            <v>Edge 60 Neo</v>
          </cell>
          <cell r="I263" t="str">
            <v>512 GB</v>
          </cell>
        </row>
        <row r="264">
          <cell r="C264" t="str">
            <v>Edge60Neo512_SPC11273</v>
          </cell>
          <cell r="D264" t="str">
            <v>CASAS BAHIA - AVENIDA JUSCELINO KUBITSCHEK DE OLIVEIRA, 5308 - SHOPPING BONSUCESSO - SPC11273</v>
          </cell>
          <cell r="E264" t="str">
            <v>CASAS BAHIA</v>
          </cell>
          <cell r="F264" t="str">
            <v>SHOPPING</v>
          </cell>
          <cell r="G264" t="str">
            <v>AVENIDA JUSCELINO KUBITSCHEK DE OLIVEIRA, 5308</v>
          </cell>
          <cell r="H264" t="str">
            <v>Edge 60 Neo</v>
          </cell>
          <cell r="I264" t="str">
            <v>512 GB</v>
          </cell>
        </row>
        <row r="265">
          <cell r="C265" t="str">
            <v>Edge60Neo512_SPC11005</v>
          </cell>
          <cell r="D265" t="str">
            <v>CASAS BAHIA - AVENIDA INDUSTRIAL, 600 - SHOPPING GRAND PLAZA - SPC11005</v>
          </cell>
          <cell r="E265" t="str">
            <v>CASAS BAHIA</v>
          </cell>
          <cell r="F265" t="str">
            <v>SHOPPING</v>
          </cell>
          <cell r="G265" t="str">
            <v>AVENIDA INDUSTRIAL, 600</v>
          </cell>
          <cell r="H265" t="str">
            <v>Edge 60 Neo</v>
          </cell>
          <cell r="I265" t="str">
            <v>512 GB</v>
          </cell>
        </row>
        <row r="266">
          <cell r="C266" t="str">
            <v>Edge60Neo512_SPC8715</v>
          </cell>
          <cell r="D266" t="str">
            <v>CASAS BAHIA - AVENIDA GOVERNADOR MARIO COVAS JUNIOR, 1 - SHOPPING MAUA - SPC8715</v>
          </cell>
          <cell r="E266" t="str">
            <v>CASAS BAHIA</v>
          </cell>
          <cell r="F266" t="str">
            <v>SHOPPING</v>
          </cell>
          <cell r="G266" t="str">
            <v>AVENIDA GOVERNADOR MARIO COVAS JUNIOR, 1</v>
          </cell>
          <cell r="H266" t="str">
            <v>Edge 60 Neo</v>
          </cell>
          <cell r="I266" t="str">
            <v>512 GB</v>
          </cell>
        </row>
        <row r="267">
          <cell r="C267" t="str">
            <v>Edge60Neo512_SPC11374</v>
          </cell>
          <cell r="D267" t="str">
            <v>CASAS BAHIA - AVENIDA PEREIRA BARRETO, 42 - SHOPPING ABC - SPC11374</v>
          </cell>
          <cell r="E267" t="str">
            <v>CASAS BAHIA</v>
          </cell>
          <cell r="F267" t="str">
            <v>SHOPPING</v>
          </cell>
          <cell r="G267" t="str">
            <v>AVENIDA PEREIRA BARRETO, 42</v>
          </cell>
          <cell r="H267" t="str">
            <v>Edge 60 Neo</v>
          </cell>
          <cell r="I267" t="str">
            <v>512 GB</v>
          </cell>
        </row>
        <row r="268">
          <cell r="C268" t="str">
            <v>Edge60Neo512_SPC6700</v>
          </cell>
          <cell r="D268" t="str">
            <v>CASAS BAHIA - RUA MARECHAL DEODORO, 987 - ZONA COMERCIAL - SPC6700</v>
          </cell>
          <cell r="E268" t="str">
            <v>CASAS BAHIA</v>
          </cell>
          <cell r="F268" t="str">
            <v>RUA</v>
          </cell>
          <cell r="G268" t="str">
            <v>RUA MARECHAL DEODORO, 987</v>
          </cell>
          <cell r="H268" t="str">
            <v>Edge 60 Neo</v>
          </cell>
          <cell r="I268" t="str">
            <v>512 GB</v>
          </cell>
        </row>
        <row r="269">
          <cell r="C269" t="str">
            <v>Edge60Neo512_SPC7069</v>
          </cell>
          <cell r="D269" t="str">
            <v>CASAS BAHIA - RUA DOMINGOS DE MORAIS, 2564 - SHOPPING METRO SANTA CRUZ - SPC7069</v>
          </cell>
          <cell r="E269" t="str">
            <v>CASAS BAHIA</v>
          </cell>
          <cell r="F269" t="str">
            <v>SHOPPING</v>
          </cell>
          <cell r="G269" t="str">
            <v>RUA DOMINGOS DE MORAIS, 2564</v>
          </cell>
          <cell r="H269" t="str">
            <v>Edge 60 Neo</v>
          </cell>
          <cell r="I269" t="str">
            <v>512 GB</v>
          </cell>
        </row>
        <row r="270">
          <cell r="C270" t="str">
            <v>Edge60Neo512_SPC6505</v>
          </cell>
          <cell r="D270" t="str">
            <v>CASAS BAHIA - RUA TEODORO SAMPAIO, 2522 - ZONA COMERCIAL - SPC6505</v>
          </cell>
          <cell r="E270" t="str">
            <v>CASAS BAHIA</v>
          </cell>
          <cell r="F270" t="str">
            <v>RUA</v>
          </cell>
          <cell r="G270" t="str">
            <v>RUA TEODORO SAMPAIO, 2522</v>
          </cell>
          <cell r="H270" t="str">
            <v>Edge 60 Neo</v>
          </cell>
          <cell r="I270" t="str">
            <v>512 GB</v>
          </cell>
        </row>
        <row r="271">
          <cell r="C271" t="str">
            <v>Edge60Neo512_SPC234770</v>
          </cell>
          <cell r="D271" t="str">
            <v>CASAS BAHIA - ESTRADA DA COLINA, 1048 - SPC234770</v>
          </cell>
          <cell r="E271" t="str">
            <v>CASAS BAHIA</v>
          </cell>
          <cell r="F271" t="str">
            <v>RUA</v>
          </cell>
          <cell r="G271" t="str">
            <v>ESTRADA DA COLINA, 1048</v>
          </cell>
          <cell r="H271" t="str">
            <v>Edge 60 Neo</v>
          </cell>
          <cell r="I271" t="str">
            <v>512 GB</v>
          </cell>
        </row>
        <row r="272">
          <cell r="C272" t="str">
            <v>Edge60Neo256_SPC7613</v>
          </cell>
          <cell r="D272" t="str">
            <v>CASAS BAHIA - AVENIDA INTERLAGOS, 2255 - SHOPPING INTERLAGOS - SPC7613</v>
          </cell>
          <cell r="E272" t="str">
            <v>CASAS BAHIA</v>
          </cell>
          <cell r="F272" t="str">
            <v>SHOPPING</v>
          </cell>
          <cell r="G272" t="str">
            <v>AVENIDA INTERLAGOS, 2255</v>
          </cell>
          <cell r="H272" t="str">
            <v>Edge 60 Neo</v>
          </cell>
          <cell r="I272" t="str">
            <v>256 GB</v>
          </cell>
        </row>
        <row r="273">
          <cell r="C273" t="str">
            <v>Edge60Neo256_SPC7612</v>
          </cell>
          <cell r="D273" t="str">
            <v>PONTO FRIO - AVENIDA INTERLAGOS, 2255 - SHOPPING INTERLAGOS - SPC7612</v>
          </cell>
          <cell r="E273" t="str">
            <v xml:space="preserve">PONTO FRIO </v>
          </cell>
          <cell r="F273" t="str">
            <v>SHOPPING</v>
          </cell>
          <cell r="G273" t="str">
            <v>AVENIDA INTERLAGOS, 2255</v>
          </cell>
          <cell r="H273" t="str">
            <v>Edge 60 Neo</v>
          </cell>
          <cell r="I273" t="str">
            <v>256 GB</v>
          </cell>
        </row>
        <row r="274">
          <cell r="C274" t="str">
            <v>Edge60Neo256_SPC7614</v>
          </cell>
          <cell r="D274" t="str">
            <v>LOJAS AMERICANAS - AVENIDA INTERLAGOS, 2255 - SHOPPING INTERLAGOS - SPC7614</v>
          </cell>
          <cell r="E274" t="str">
            <v>LOJAS AMERICANAS</v>
          </cell>
          <cell r="F274" t="str">
            <v>SHOPPING</v>
          </cell>
          <cell r="G274" t="str">
            <v>AVENIDA INTERLAGOS, 2255</v>
          </cell>
          <cell r="H274" t="str">
            <v>Edge 60 Neo</v>
          </cell>
          <cell r="I274" t="str">
            <v>256 GB</v>
          </cell>
        </row>
        <row r="275">
          <cell r="C275" t="str">
            <v>Edge60Neo256_SPC11232</v>
          </cell>
          <cell r="D275" t="str">
            <v>CASAS BAHIA - PRACA FLORIANO PEIXOTO, 38 - ZONA COMERCIAL - SPC11232</v>
          </cell>
          <cell r="E275" t="str">
            <v>CASAS BAHIA</v>
          </cell>
          <cell r="F275" t="str">
            <v>RUA</v>
          </cell>
          <cell r="G275" t="str">
            <v>PRACA FLORIANO PEIXOTO, 38</v>
          </cell>
          <cell r="H275" t="str">
            <v>Edge 60 Neo</v>
          </cell>
          <cell r="I275" t="str">
            <v>256 GB</v>
          </cell>
        </row>
        <row r="276">
          <cell r="C276" t="str">
            <v>Edge60Neo256_SPC287350</v>
          </cell>
          <cell r="D276" t="str">
            <v>CASAS BAHIA - AVENIDA NACOES UNIDAS, 12995 - SPC287350</v>
          </cell>
          <cell r="E276" t="str">
            <v>CASAS BAHIA</v>
          </cell>
          <cell r="F276" t="str">
            <v>RUA</v>
          </cell>
          <cell r="G276" t="str">
            <v>AVENIDA NACOES UNIDAS, 12995</v>
          </cell>
          <cell r="H276" t="str">
            <v>Edge 60 Neo</v>
          </cell>
          <cell r="I276" t="str">
            <v>256 GB</v>
          </cell>
        </row>
        <row r="277">
          <cell r="C277" t="str">
            <v>Edge60Neo256_SPC252260</v>
          </cell>
          <cell r="D277" t="str">
            <v>CASAS BAHIA - AVENIDA EMBAIXADOR MACEDO SOARES, 9175 - SPC252260</v>
          </cell>
          <cell r="E277" t="str">
            <v>CASAS BAHIA</v>
          </cell>
          <cell r="F277" t="str">
            <v>RUA</v>
          </cell>
          <cell r="G277" t="str">
            <v>AVENIDA EMBAIXADOR MACEDO SOARES, 9175</v>
          </cell>
          <cell r="H277" t="str">
            <v>Edge 60 Neo</v>
          </cell>
          <cell r="I277" t="str">
            <v>256 GB</v>
          </cell>
        </row>
        <row r="278">
          <cell r="C278" t="str">
            <v>Edge60Neo256_SPC22892</v>
          </cell>
          <cell r="D278" t="str">
            <v>CASAS BAHIA - AVENIDA ARICANDUVA, 5555 (LOJA 2) - SHOPPING ARICANDUVA - SPC22892</v>
          </cell>
          <cell r="E278" t="str">
            <v>CASAS BAHIA</v>
          </cell>
          <cell r="F278" t="str">
            <v>SHOPPING</v>
          </cell>
          <cell r="G278" t="str">
            <v>AVENIDA ARICANDUVA, 5555 (LOJA 2)</v>
          </cell>
          <cell r="H278" t="str">
            <v>Edge 60 Neo</v>
          </cell>
          <cell r="I278" t="str">
            <v>256 GB</v>
          </cell>
        </row>
        <row r="279">
          <cell r="C279" t="str">
            <v>Edge60Neo256_SPC7610</v>
          </cell>
          <cell r="D279" t="str">
            <v>CASAS BAHIA - AVENIDA ARICANDUVA, 5555 (LOJA 1) - SHOPPING ARICANDUVA - SPC7610</v>
          </cell>
          <cell r="E279" t="str">
            <v>CASAS BAHIA</v>
          </cell>
          <cell r="F279" t="str">
            <v>SHOPPING</v>
          </cell>
          <cell r="G279" t="str">
            <v>AVENIDA ARICANDUVA, 5555 (LOJA 1)</v>
          </cell>
          <cell r="H279" t="str">
            <v>Edge 60 Neo</v>
          </cell>
          <cell r="I279" t="str">
            <v>256 GB</v>
          </cell>
        </row>
        <row r="280">
          <cell r="C280" t="str">
            <v>Edge60Neo256_SPC8803</v>
          </cell>
          <cell r="D280" t="str">
            <v>PONTO FRIO - AVENIDA ARICANDUVA, 5555 (LOJA 2) - SHOPPING ARICANDUVA - SPC8803</v>
          </cell>
          <cell r="E280" t="str">
            <v xml:space="preserve">PONTO FRIO </v>
          </cell>
          <cell r="F280" t="str">
            <v>SHOPPING</v>
          </cell>
          <cell r="G280" t="str">
            <v>AVENIDA ARICANDUVA, 5555 (LOJA 2)</v>
          </cell>
          <cell r="H280" t="str">
            <v>Edge 60 Neo</v>
          </cell>
          <cell r="I280" t="str">
            <v>256 GB</v>
          </cell>
        </row>
        <row r="281">
          <cell r="C281" t="str">
            <v>Edge60Neo256_SPC6374</v>
          </cell>
          <cell r="D281" t="str">
            <v>MAGAZINE LUIZA - AVENIDA ARICANDUVA, 5555 - SHOPPING ARICANDUVA - SPC6374</v>
          </cell>
          <cell r="E281" t="str">
            <v>MAGAZINE LUIZA</v>
          </cell>
          <cell r="F281" t="str">
            <v>SHOPPING</v>
          </cell>
          <cell r="G281" t="str">
            <v>AVENIDA ARICANDUVA, 5555</v>
          </cell>
          <cell r="H281" t="str">
            <v>Edge 60 Neo</v>
          </cell>
          <cell r="I281" t="str">
            <v>256 GB</v>
          </cell>
        </row>
        <row r="282">
          <cell r="C282" t="str">
            <v>Edge60Neo256_SPC7759</v>
          </cell>
          <cell r="D282" t="str">
            <v>CASAS BAHIA - AVENIDA JOSE PINHEIRO BORGES, S/N - SHOPPING METRO ITAQUERA - SPC7759</v>
          </cell>
          <cell r="E282" t="str">
            <v>CASAS BAHIA</v>
          </cell>
          <cell r="F282" t="str">
            <v>SHOPPING</v>
          </cell>
          <cell r="G282" t="str">
            <v>AVENIDA JOSE PINHEIRO BORGES, S/N</v>
          </cell>
          <cell r="H282" t="str">
            <v>Edge 60 Neo</v>
          </cell>
          <cell r="I282" t="str">
            <v>256 GB</v>
          </cell>
        </row>
        <row r="283">
          <cell r="C283" t="str">
            <v>Edge60Neo256_SPC9927</v>
          </cell>
          <cell r="D283" t="str">
            <v>CASAS BAHIA - RODOVIA REGIS BITTENCOURT KM 271, 2643 - SHOPPING TABOAO DA SERRA - SPC9927</v>
          </cell>
          <cell r="E283" t="str">
            <v>CASAS BAHIA</v>
          </cell>
          <cell r="F283" t="str">
            <v>SHOPPING</v>
          </cell>
          <cell r="G283" t="str">
            <v>RODOVIA REGIS BITTENCOURT KM 271, 2643</v>
          </cell>
          <cell r="H283" t="str">
            <v>Edge 60 Neo</v>
          </cell>
          <cell r="I283" t="str">
            <v>256 GB</v>
          </cell>
        </row>
        <row r="284">
          <cell r="C284" t="str">
            <v>Edge60Neo256_SPC10966</v>
          </cell>
          <cell r="D284" t="str">
            <v>CASAS BAHIA - ESTRADA DO CAMPO LIMPO, 459 - SHOPPING CAMPO LIMPO - SPC10966</v>
          </cell>
          <cell r="E284" t="str">
            <v>CASAS BAHIA</v>
          </cell>
          <cell r="F284" t="str">
            <v>SHOPPING</v>
          </cell>
          <cell r="G284" t="str">
            <v>ESTRADA DO CAMPO LIMPO, 459</v>
          </cell>
          <cell r="H284" t="str">
            <v>Edge 60 Neo</v>
          </cell>
          <cell r="I284" t="str">
            <v>256 GB</v>
          </cell>
        </row>
        <row r="285">
          <cell r="C285" t="str">
            <v>Edge60Neo256_SPC11008</v>
          </cell>
          <cell r="D285" t="str">
            <v>CASAS BAHIA - LARGO 13 DE MAIO, 308 - ZONA COMERCIAL - SPC11008</v>
          </cell>
          <cell r="E285" t="str">
            <v>CASAS BAHIA</v>
          </cell>
          <cell r="F285" t="str">
            <v>RUA</v>
          </cell>
          <cell r="G285" t="str">
            <v>LARGO 13 DE MAIO, 308</v>
          </cell>
          <cell r="H285" t="str">
            <v>Edge 60 Neo</v>
          </cell>
          <cell r="I285" t="str">
            <v>256 GB</v>
          </cell>
        </row>
        <row r="286">
          <cell r="C286" t="str">
            <v>Edge60Neo256_SPC7621</v>
          </cell>
          <cell r="D286" t="str">
            <v>PONTO FRIO - RUA CAPITAO TIAGO LUZ, 146 - ZONA COMERCIAL - SPC7621</v>
          </cell>
          <cell r="E286" t="str">
            <v xml:space="preserve">PONTO FRIO </v>
          </cell>
          <cell r="F286" t="str">
            <v>RUA</v>
          </cell>
          <cell r="G286" t="str">
            <v>RUA CAPITAO TIAGO LUZ, 146</v>
          </cell>
          <cell r="H286" t="str">
            <v>Edge 60 Neo</v>
          </cell>
          <cell r="I286" t="str">
            <v>256 GB</v>
          </cell>
        </row>
        <row r="287">
          <cell r="C287" t="str">
            <v>Edge60Neo256_SPC6352</v>
          </cell>
          <cell r="D287" t="str">
            <v>CASAS BAHIA - RUA TENENTE AVELAR PIRES DE AZEVEDO, 81 - SHOPPING OSASCO PLAZA - SPC6352</v>
          </cell>
          <cell r="E287" t="str">
            <v>CASAS BAHIA</v>
          </cell>
          <cell r="F287" t="str">
            <v>SHOPPING</v>
          </cell>
          <cell r="G287" t="str">
            <v>RUA TENENTE AVELAR PIRES DE AZEVEDO, 81</v>
          </cell>
          <cell r="H287" t="str">
            <v>Edge 60 Neo</v>
          </cell>
          <cell r="I287" t="str">
            <v>256 GB</v>
          </cell>
        </row>
        <row r="288">
          <cell r="C288" t="str">
            <v>Edge60Neo256_SPC6445</v>
          </cell>
          <cell r="D288" t="str">
            <v>CASAS BAHIA - AVENIDA PIRACEMA, 669 - SHOPPING TAMBORE - SPC6445</v>
          </cell>
          <cell r="E288" t="str">
            <v>CASAS BAHIA</v>
          </cell>
          <cell r="F288" t="str">
            <v>SHOPPING</v>
          </cell>
          <cell r="G288" t="str">
            <v>AVENIDA PIRACEMA, 669</v>
          </cell>
          <cell r="H288" t="str">
            <v>Edge 60 Neo</v>
          </cell>
          <cell r="I288" t="str">
            <v>256 GB</v>
          </cell>
        </row>
        <row r="289">
          <cell r="C289" t="str">
            <v>Edge60Neo256_SPC6397</v>
          </cell>
          <cell r="D289" t="str">
            <v>CASAS BAHIA - AVENIDA DOS AUTONOMISTAS, 1400 - SHOPPING UNIAO - SPC6397</v>
          </cell>
          <cell r="E289" t="str">
            <v>CASAS BAHIA</v>
          </cell>
          <cell r="F289" t="str">
            <v>SHOPPING</v>
          </cell>
          <cell r="G289" t="str">
            <v>AVENIDA DOS AUTONOMISTAS, 1400</v>
          </cell>
          <cell r="H289" t="str">
            <v>Edge 60 Neo</v>
          </cell>
          <cell r="I289" t="str">
            <v>256 GB</v>
          </cell>
        </row>
        <row r="290">
          <cell r="C290" t="str">
            <v>Edge60Neo256_SPC11278</v>
          </cell>
          <cell r="D290" t="str">
            <v>PONTO FRIO - RUA ANTONIO AGU, 155 - ZONA COMERCIAL - SPC11278</v>
          </cell>
          <cell r="E290" t="str">
            <v xml:space="preserve">PONTO FRIO </v>
          </cell>
          <cell r="F290" t="str">
            <v>RUA</v>
          </cell>
          <cell r="G290" t="str">
            <v>RUA ANTONIO AGU, 155</v>
          </cell>
          <cell r="H290" t="str">
            <v>Edge 60 Neo</v>
          </cell>
          <cell r="I290" t="str">
            <v>256 GB</v>
          </cell>
        </row>
        <row r="291">
          <cell r="C291" t="str">
            <v>Edge60Neo256_SPC7644</v>
          </cell>
          <cell r="D291" t="str">
            <v>CASAS BAHIA - TRAVESSA CASALBUONO, 120 - SHOPPING CENTER NORTE - SPC7644</v>
          </cell>
          <cell r="E291" t="str">
            <v>CASAS BAHIA</v>
          </cell>
          <cell r="F291" t="str">
            <v>SHOPPING</v>
          </cell>
          <cell r="G291" t="str">
            <v>TRAVESSA CASALBUONO, 120</v>
          </cell>
          <cell r="H291" t="str">
            <v>Edge 60 Neo</v>
          </cell>
          <cell r="I291" t="str">
            <v>256 GB</v>
          </cell>
        </row>
        <row r="292">
          <cell r="C292" t="str">
            <v>Edge60Neo256_SPC8440</v>
          </cell>
          <cell r="D292" t="str">
            <v>MAGAZINE LUIZA - RUA AMAZONAS DA SILVA, 27 - ZONA COMERCIAL - SPC8440</v>
          </cell>
          <cell r="E292" t="str">
            <v>MAGAZINE LUIZA</v>
          </cell>
          <cell r="F292" t="str">
            <v>RUA</v>
          </cell>
          <cell r="G292" t="str">
            <v>RUA AMAZONAS DA SILVA, 27</v>
          </cell>
          <cell r="H292" t="str">
            <v>Edge 60 Neo</v>
          </cell>
          <cell r="I292" t="str">
            <v>256 GB</v>
          </cell>
        </row>
        <row r="293">
          <cell r="C293" t="str">
            <v>Edge60Neo256_SPC7607</v>
          </cell>
          <cell r="D293" t="str">
            <v>CASAS BAHIA - RODOVIA PRESIDENTE DUTRA KM 230, S/N - SHOPPING INTERNACIONAL GUARULHOS - SPC7607</v>
          </cell>
          <cell r="E293" t="str">
            <v>CASAS BAHIA</v>
          </cell>
          <cell r="F293" t="str">
            <v>SHOPPING</v>
          </cell>
          <cell r="G293" t="str">
            <v>RODOVIA PRESIDENTE DUTRA KM 230, S/N</v>
          </cell>
          <cell r="H293" t="str">
            <v>Edge 60 Neo</v>
          </cell>
          <cell r="I293" t="str">
            <v>256 GB</v>
          </cell>
        </row>
        <row r="294">
          <cell r="C294" t="str">
            <v>Edge60Neo256_SPC11273</v>
          </cell>
          <cell r="D294" t="str">
            <v>CASAS BAHIA - AVENIDA JUSCELINO KUBITSCHEK DE OLIVEIRA, 5308 - SHOPPING BONSUCESSO - SPC11273</v>
          </cell>
          <cell r="E294" t="str">
            <v>CASAS BAHIA</v>
          </cell>
          <cell r="F294" t="str">
            <v>SHOPPING</v>
          </cell>
          <cell r="G294" t="str">
            <v>AVENIDA JUSCELINO KUBITSCHEK DE OLIVEIRA, 5308</v>
          </cell>
          <cell r="H294" t="str">
            <v>Edge 60 Neo</v>
          </cell>
          <cell r="I294" t="str">
            <v>256 GB</v>
          </cell>
        </row>
        <row r="295">
          <cell r="C295" t="str">
            <v>Edge60Neo256_SPC11005</v>
          </cell>
          <cell r="D295" t="str">
            <v>CASAS BAHIA - AVENIDA INDUSTRIAL, 600 - SHOPPING GRAND PLAZA - SPC11005</v>
          </cell>
          <cell r="E295" t="str">
            <v>CASAS BAHIA</v>
          </cell>
          <cell r="F295" t="str">
            <v>SHOPPING</v>
          </cell>
          <cell r="G295" t="str">
            <v>AVENIDA INDUSTRIAL, 600</v>
          </cell>
          <cell r="H295" t="str">
            <v>Edge 60 Neo</v>
          </cell>
          <cell r="I295" t="str">
            <v>256 GB</v>
          </cell>
        </row>
        <row r="296">
          <cell r="C296" t="str">
            <v>Edge60Neo256_SPC8715</v>
          </cell>
          <cell r="D296" t="str">
            <v>CASAS BAHIA - AVENIDA GOVERNADOR MARIO COVAS JUNIOR, 1 - SHOPPING MAUA - SPC8715</v>
          </cell>
          <cell r="E296" t="str">
            <v>CASAS BAHIA</v>
          </cell>
          <cell r="F296" t="str">
            <v>SHOPPING</v>
          </cell>
          <cell r="G296" t="str">
            <v>AVENIDA GOVERNADOR MARIO COVAS JUNIOR, 1</v>
          </cell>
          <cell r="H296" t="str">
            <v>Edge 60 Neo</v>
          </cell>
          <cell r="I296" t="str">
            <v>256 GB</v>
          </cell>
        </row>
        <row r="297">
          <cell r="C297" t="str">
            <v>Edge60Neo256_SPC11374</v>
          </cell>
          <cell r="D297" t="str">
            <v>CASAS BAHIA - AVENIDA PEREIRA BARRETO, 42 - SHOPPING ABC - SPC11374</v>
          </cell>
          <cell r="E297" t="str">
            <v>CASAS BAHIA</v>
          </cell>
          <cell r="F297" t="str">
            <v>SHOPPING</v>
          </cell>
          <cell r="G297" t="str">
            <v>AVENIDA PEREIRA BARRETO, 42</v>
          </cell>
          <cell r="H297" t="str">
            <v>Edge 60 Neo</v>
          </cell>
          <cell r="I297" t="str">
            <v>256 GB</v>
          </cell>
        </row>
        <row r="298">
          <cell r="C298" t="str">
            <v>Edge60Neo256_SPC6700</v>
          </cell>
          <cell r="D298" t="str">
            <v>CASAS BAHIA - RUA MARECHAL DEODORO, 987 - ZONA COMERCIAL - SPC6700</v>
          </cell>
          <cell r="E298" t="str">
            <v>CASAS BAHIA</v>
          </cell>
          <cell r="F298" t="str">
            <v>RUA</v>
          </cell>
          <cell r="G298" t="str">
            <v>RUA MARECHAL DEODORO, 987</v>
          </cell>
          <cell r="H298" t="str">
            <v>Edge 60 Neo</v>
          </cell>
          <cell r="I298" t="str">
            <v>256 GB</v>
          </cell>
        </row>
        <row r="299">
          <cell r="C299" t="str">
            <v>Edge60Neo256_SPC7069</v>
          </cell>
          <cell r="D299" t="str">
            <v>CASAS BAHIA - RUA DOMINGOS DE MORAIS, 2564 - SHOPPING METRO SANTA CRUZ - SPC7069</v>
          </cell>
          <cell r="E299" t="str">
            <v>CASAS BAHIA</v>
          </cell>
          <cell r="F299" t="str">
            <v>SHOPPING</v>
          </cell>
          <cell r="G299" t="str">
            <v>RUA DOMINGOS DE MORAIS, 2564</v>
          </cell>
          <cell r="H299" t="str">
            <v>Edge 60 Neo</v>
          </cell>
          <cell r="I299" t="str">
            <v>256 GB</v>
          </cell>
        </row>
        <row r="300">
          <cell r="C300" t="str">
            <v>Edge60Neo256_SPC6505</v>
          </cell>
          <cell r="D300" t="str">
            <v>CASAS BAHIA - RUA TEODORO SAMPAIO, 2522 - ZONA COMERCIAL - SPC6505</v>
          </cell>
          <cell r="E300" t="str">
            <v>CASAS BAHIA</v>
          </cell>
          <cell r="F300" t="str">
            <v>RUA</v>
          </cell>
          <cell r="G300" t="str">
            <v>RUA TEODORO SAMPAIO, 2522</v>
          </cell>
          <cell r="H300" t="str">
            <v>Edge 60 Neo</v>
          </cell>
          <cell r="I300" t="str">
            <v>256 GB</v>
          </cell>
        </row>
        <row r="301">
          <cell r="C301" t="str">
            <v>Edge60Neo256_SPC234770</v>
          </cell>
          <cell r="D301" t="str">
            <v>CASAS BAHIA - ESTRADA DA COLINA, 1048 - SPC234770</v>
          </cell>
          <cell r="E301" t="str">
            <v>CASAS BAHIA</v>
          </cell>
          <cell r="F301" t="str">
            <v>RUA</v>
          </cell>
          <cell r="G301" t="str">
            <v>ESTRADA DA COLINA, 1048</v>
          </cell>
          <cell r="H301" t="str">
            <v>Edge 60 Neo</v>
          </cell>
          <cell r="I301" t="str">
            <v>256 GB</v>
          </cell>
        </row>
        <row r="302">
          <cell r="C302" t="str">
            <v>Edge50Ultra512_SPC7613</v>
          </cell>
          <cell r="D302" t="str">
            <v>CASAS BAHIA - AVENIDA INTERLAGOS, 2255 - SHOPPING INTERLAGOS - SPC7613</v>
          </cell>
          <cell r="E302" t="str">
            <v>CASAS BAHIA</v>
          </cell>
          <cell r="F302" t="str">
            <v>SHOPPING</v>
          </cell>
          <cell r="G302" t="str">
            <v>AVENIDA INTERLAGOS, 2255</v>
          </cell>
          <cell r="H302" t="str">
            <v>Edge 50 Ultra</v>
          </cell>
          <cell r="I302" t="str">
            <v>512 GB</v>
          </cell>
        </row>
        <row r="303">
          <cell r="C303" t="str">
            <v>Edge50Ultra512_SPC7612</v>
          </cell>
          <cell r="D303" t="str">
            <v>PONTO FRIO - AVENIDA INTERLAGOS, 2255 - SHOPPING INTERLAGOS - SPC7612</v>
          </cell>
          <cell r="E303" t="str">
            <v xml:space="preserve">PONTO FRIO </v>
          </cell>
          <cell r="F303" t="str">
            <v>SHOPPING</v>
          </cell>
          <cell r="G303" t="str">
            <v>AVENIDA INTERLAGOS, 2255</v>
          </cell>
          <cell r="H303" t="str">
            <v>Edge 50 Ultra</v>
          </cell>
          <cell r="I303" t="str">
            <v>512 GB</v>
          </cell>
        </row>
        <row r="304">
          <cell r="C304" t="str">
            <v>Edge50Ultra512_SPC7614</v>
          </cell>
          <cell r="D304" t="str">
            <v>LOJAS AMERICANAS - AVENIDA INTERLAGOS, 2255 - SHOPPING INTERLAGOS - SPC7614</v>
          </cell>
          <cell r="E304" t="str">
            <v>LOJAS AMERICANAS</v>
          </cell>
          <cell r="F304" t="str">
            <v>SHOPPING</v>
          </cell>
          <cell r="G304" t="str">
            <v>AVENIDA INTERLAGOS, 2255</v>
          </cell>
          <cell r="H304" t="str">
            <v>Edge 50 Ultra</v>
          </cell>
          <cell r="I304" t="str">
            <v>512 GB</v>
          </cell>
        </row>
        <row r="305">
          <cell r="C305" t="str">
            <v>Edge50Ultra512_SPC11232</v>
          </cell>
          <cell r="D305" t="str">
            <v>CASAS BAHIA - PRACA FLORIANO PEIXOTO, 38 - ZONA COMERCIAL - SPC11232</v>
          </cell>
          <cell r="E305" t="str">
            <v>CASAS BAHIA</v>
          </cell>
          <cell r="F305" t="str">
            <v>RUA</v>
          </cell>
          <cell r="G305" t="str">
            <v>PRACA FLORIANO PEIXOTO, 38</v>
          </cell>
          <cell r="H305" t="str">
            <v>Edge 50 Ultra</v>
          </cell>
          <cell r="I305" t="str">
            <v>512 GB</v>
          </cell>
        </row>
        <row r="306">
          <cell r="C306" t="str">
            <v>Edge50Ultra512_SPC287350</v>
          </cell>
          <cell r="D306" t="str">
            <v>CASAS BAHIA - AVENIDA NACOES UNIDAS, 12995 - SPC287350</v>
          </cell>
          <cell r="E306" t="str">
            <v>CASAS BAHIA</v>
          </cell>
          <cell r="F306" t="str">
            <v>RUA</v>
          </cell>
          <cell r="G306" t="str">
            <v>AVENIDA NACOES UNIDAS, 12995</v>
          </cell>
          <cell r="H306" t="str">
            <v>Edge 50 Ultra</v>
          </cell>
          <cell r="I306" t="str">
            <v>512 GB</v>
          </cell>
        </row>
        <row r="307">
          <cell r="C307" t="str">
            <v>Edge50Ultra512_SPC252260</v>
          </cell>
          <cell r="D307" t="str">
            <v>CASAS BAHIA - AVENIDA EMBAIXADOR MACEDO SOARES, 9175 - SPC252260</v>
          </cell>
          <cell r="E307" t="str">
            <v>CASAS BAHIA</v>
          </cell>
          <cell r="F307" t="str">
            <v>RUA</v>
          </cell>
          <cell r="G307" t="str">
            <v>AVENIDA EMBAIXADOR MACEDO SOARES, 9175</v>
          </cell>
          <cell r="H307" t="str">
            <v>Edge 50 Ultra</v>
          </cell>
          <cell r="I307" t="str">
            <v>512 GB</v>
          </cell>
        </row>
        <row r="308">
          <cell r="C308" t="str">
            <v>Edge50Ultra512_SPC22892</v>
          </cell>
          <cell r="D308" t="str">
            <v>CASAS BAHIA - AVENIDA ARICANDUVA, 5555 (LOJA 2) - SHOPPING ARICANDUVA - SPC22892</v>
          </cell>
          <cell r="E308" t="str">
            <v>CASAS BAHIA</v>
          </cell>
          <cell r="F308" t="str">
            <v>SHOPPING</v>
          </cell>
          <cell r="G308" t="str">
            <v>AVENIDA ARICANDUVA, 5555 (LOJA 2)</v>
          </cell>
          <cell r="H308" t="str">
            <v>Edge 50 Ultra</v>
          </cell>
          <cell r="I308" t="str">
            <v>512 GB</v>
          </cell>
        </row>
        <row r="309">
          <cell r="C309" t="str">
            <v>Edge50Ultra512_SPC7610</v>
          </cell>
          <cell r="D309" t="str">
            <v>CASAS BAHIA - AVENIDA ARICANDUVA, 5555 (LOJA 1) - SHOPPING ARICANDUVA - SPC7610</v>
          </cell>
          <cell r="E309" t="str">
            <v>CASAS BAHIA</v>
          </cell>
          <cell r="F309" t="str">
            <v>SHOPPING</v>
          </cell>
          <cell r="G309" t="str">
            <v>AVENIDA ARICANDUVA, 5555 (LOJA 1)</v>
          </cell>
          <cell r="H309" t="str">
            <v>Edge 50 Ultra</v>
          </cell>
          <cell r="I309" t="str">
            <v>512 GB</v>
          </cell>
        </row>
        <row r="310">
          <cell r="C310" t="str">
            <v>Edge50Ultra512_SPC8803</v>
          </cell>
          <cell r="D310" t="str">
            <v>PONTO FRIO - AVENIDA ARICANDUVA, 5555 (LOJA 2) - SHOPPING ARICANDUVA - SPC8803</v>
          </cell>
          <cell r="E310" t="str">
            <v xml:space="preserve">PONTO FRIO </v>
          </cell>
          <cell r="F310" t="str">
            <v>SHOPPING</v>
          </cell>
          <cell r="G310" t="str">
            <v>AVENIDA ARICANDUVA, 5555 (LOJA 2)</v>
          </cell>
          <cell r="H310" t="str">
            <v>Edge 50 Ultra</v>
          </cell>
          <cell r="I310" t="str">
            <v>512 GB</v>
          </cell>
        </row>
        <row r="311">
          <cell r="C311" t="str">
            <v>Edge50Ultra512_SPC6374</v>
          </cell>
          <cell r="D311" t="str">
            <v>MAGAZINE LUIZA - AVENIDA ARICANDUVA, 5555 - SHOPPING ARICANDUVA - SPC6374</v>
          </cell>
          <cell r="E311" t="str">
            <v>MAGAZINE LUIZA</v>
          </cell>
          <cell r="F311" t="str">
            <v>SHOPPING</v>
          </cell>
          <cell r="G311" t="str">
            <v>AVENIDA ARICANDUVA, 5555</v>
          </cell>
          <cell r="H311" t="str">
            <v>Edge 50 Ultra</v>
          </cell>
          <cell r="I311" t="str">
            <v>512 GB</v>
          </cell>
        </row>
        <row r="312">
          <cell r="C312" t="str">
            <v>Edge50Ultra512_SPC7759</v>
          </cell>
          <cell r="D312" t="str">
            <v>CASAS BAHIA - AVENIDA JOSE PINHEIRO BORGES, S/N - SHOPPING METRO ITAQUERA - SPC7759</v>
          </cell>
          <cell r="E312" t="str">
            <v>CASAS BAHIA</v>
          </cell>
          <cell r="F312" t="str">
            <v>SHOPPING</v>
          </cell>
          <cell r="G312" t="str">
            <v>AVENIDA JOSE PINHEIRO BORGES, S/N</v>
          </cell>
          <cell r="H312" t="str">
            <v>Edge 50 Ultra</v>
          </cell>
          <cell r="I312" t="str">
            <v>512 GB</v>
          </cell>
        </row>
        <row r="313">
          <cell r="C313" t="str">
            <v>Edge50Ultra512_SPC9927</v>
          </cell>
          <cell r="D313" t="str">
            <v>CASAS BAHIA - RODOVIA REGIS BITTENCOURT KM 271, 2643 - SHOPPING TABOAO DA SERRA - SPC9927</v>
          </cell>
          <cell r="E313" t="str">
            <v>CASAS BAHIA</v>
          </cell>
          <cell r="F313" t="str">
            <v>SHOPPING</v>
          </cell>
          <cell r="G313" t="str">
            <v>RODOVIA REGIS BITTENCOURT KM 271, 2643</v>
          </cell>
          <cell r="H313" t="str">
            <v>Edge 50 Ultra</v>
          </cell>
          <cell r="I313" t="str">
            <v>512 GB</v>
          </cell>
        </row>
        <row r="314">
          <cell r="C314" t="str">
            <v>Edge50Ultra512_SPC10966</v>
          </cell>
          <cell r="D314" t="str">
            <v>CASAS BAHIA - ESTRADA DO CAMPO LIMPO, 459 - SHOPPING CAMPO LIMPO - SPC10966</v>
          </cell>
          <cell r="E314" t="str">
            <v>CASAS BAHIA</v>
          </cell>
          <cell r="F314" t="str">
            <v>SHOPPING</v>
          </cell>
          <cell r="G314" t="str">
            <v>ESTRADA DO CAMPO LIMPO, 459</v>
          </cell>
          <cell r="H314" t="str">
            <v>Edge 50 Ultra</v>
          </cell>
          <cell r="I314" t="str">
            <v>512 GB</v>
          </cell>
        </row>
        <row r="315">
          <cell r="C315" t="str">
            <v>Edge50Ultra512_SPC11008</v>
          </cell>
          <cell r="D315" t="str">
            <v>CASAS BAHIA - LARGO 13 DE MAIO, 308 - ZONA COMERCIAL - SPC11008</v>
          </cell>
          <cell r="E315" t="str">
            <v>CASAS BAHIA</v>
          </cell>
          <cell r="F315" t="str">
            <v>RUA</v>
          </cell>
          <cell r="G315" t="str">
            <v>LARGO 13 DE MAIO, 308</v>
          </cell>
          <cell r="H315" t="str">
            <v>Edge 50 Ultra</v>
          </cell>
          <cell r="I315" t="str">
            <v>512 GB</v>
          </cell>
        </row>
        <row r="316">
          <cell r="C316" t="str">
            <v>Edge50Ultra512_SPC7621</v>
          </cell>
          <cell r="D316" t="str">
            <v>PONTO FRIO - RUA CAPITAO TIAGO LUZ, 146 - ZONA COMERCIAL - SPC7621</v>
          </cell>
          <cell r="E316" t="str">
            <v xml:space="preserve">PONTO FRIO </v>
          </cell>
          <cell r="F316" t="str">
            <v>RUA</v>
          </cell>
          <cell r="G316" t="str">
            <v>RUA CAPITAO TIAGO LUZ, 146</v>
          </cell>
          <cell r="H316" t="str">
            <v>Edge 50 Ultra</v>
          </cell>
          <cell r="I316" t="str">
            <v>512 GB</v>
          </cell>
        </row>
        <row r="317">
          <cell r="C317" t="str">
            <v>Edge50Ultra512_SPC6352</v>
          </cell>
          <cell r="D317" t="str">
            <v>CASAS BAHIA - RUA TENENTE AVELAR PIRES DE AZEVEDO, 81 - SHOPPING OSASCO PLAZA - SPC6352</v>
          </cell>
          <cell r="E317" t="str">
            <v>CASAS BAHIA</v>
          </cell>
          <cell r="F317" t="str">
            <v>SHOPPING</v>
          </cell>
          <cell r="G317" t="str">
            <v>RUA TENENTE AVELAR PIRES DE AZEVEDO, 81</v>
          </cell>
          <cell r="H317" t="str">
            <v>Edge 50 Ultra</v>
          </cell>
          <cell r="I317" t="str">
            <v>512 GB</v>
          </cell>
        </row>
        <row r="318">
          <cell r="C318" t="str">
            <v>Edge50Ultra512_SPC6445</v>
          </cell>
          <cell r="D318" t="str">
            <v>CASAS BAHIA - AVENIDA PIRACEMA, 669 - SHOPPING TAMBORE - SPC6445</v>
          </cell>
          <cell r="E318" t="str">
            <v>CASAS BAHIA</v>
          </cell>
          <cell r="F318" t="str">
            <v>SHOPPING</v>
          </cell>
          <cell r="G318" t="str">
            <v>AVENIDA PIRACEMA, 669</v>
          </cell>
          <cell r="H318" t="str">
            <v>Edge 50 Ultra</v>
          </cell>
          <cell r="I318" t="str">
            <v>512 GB</v>
          </cell>
        </row>
        <row r="319">
          <cell r="C319" t="str">
            <v>Edge50Ultra512_SPC6397</v>
          </cell>
          <cell r="D319" t="str">
            <v>CASAS BAHIA - AVENIDA DOS AUTONOMISTAS, 1400 - SHOPPING UNIAO - SPC6397</v>
          </cell>
          <cell r="E319" t="str">
            <v>CASAS BAHIA</v>
          </cell>
          <cell r="F319" t="str">
            <v>SHOPPING</v>
          </cell>
          <cell r="G319" t="str">
            <v>AVENIDA DOS AUTONOMISTAS, 1400</v>
          </cell>
          <cell r="H319" t="str">
            <v>Edge 50 Ultra</v>
          </cell>
          <cell r="I319" t="str">
            <v>512 GB</v>
          </cell>
        </row>
        <row r="320">
          <cell r="C320" t="str">
            <v>Edge50Ultra512_SPC11278</v>
          </cell>
          <cell r="D320" t="str">
            <v>PONTO FRIO - RUA ANTONIO AGU, 155 - ZONA COMERCIAL - SPC11278</v>
          </cell>
          <cell r="E320" t="str">
            <v xml:space="preserve">PONTO FRIO </v>
          </cell>
          <cell r="F320" t="str">
            <v>RUA</v>
          </cell>
          <cell r="G320" t="str">
            <v>RUA ANTONIO AGU, 155</v>
          </cell>
          <cell r="H320" t="str">
            <v>Edge 50 Ultra</v>
          </cell>
          <cell r="I320" t="str">
            <v>512 GB</v>
          </cell>
        </row>
        <row r="321">
          <cell r="C321" t="str">
            <v>Edge50Ultra512_SPC7644</v>
          </cell>
          <cell r="D321" t="str">
            <v>CASAS BAHIA - TRAVESSA CASALBUONO, 120 - SHOPPING CENTER NORTE - SPC7644</v>
          </cell>
          <cell r="E321" t="str">
            <v>CASAS BAHIA</v>
          </cell>
          <cell r="F321" t="str">
            <v>SHOPPING</v>
          </cell>
          <cell r="G321" t="str">
            <v>TRAVESSA CASALBUONO, 120</v>
          </cell>
          <cell r="H321" t="str">
            <v>Edge 50 Ultra</v>
          </cell>
          <cell r="I321" t="str">
            <v>512 GB</v>
          </cell>
        </row>
        <row r="322">
          <cell r="C322" t="str">
            <v>Edge50Ultra512_SPC8440</v>
          </cell>
          <cell r="D322" t="str">
            <v>MAGAZINE LUIZA - RUA AMAZONAS DA SILVA, 27 - ZONA COMERCIAL - SPC8440</v>
          </cell>
          <cell r="E322" t="str">
            <v>MAGAZINE LUIZA</v>
          </cell>
          <cell r="F322" t="str">
            <v>RUA</v>
          </cell>
          <cell r="G322" t="str">
            <v>RUA AMAZONAS DA SILVA, 27</v>
          </cell>
          <cell r="H322" t="str">
            <v>Edge 50 Ultra</v>
          </cell>
          <cell r="I322" t="str">
            <v>512 GB</v>
          </cell>
        </row>
        <row r="323">
          <cell r="C323" t="str">
            <v>Edge50Ultra512_SPC7607</v>
          </cell>
          <cell r="D323" t="str">
            <v>CASAS BAHIA - RODOVIA PRESIDENTE DUTRA KM 230, S/N - SHOPPING INTERNACIONAL GUARULHOS - SPC7607</v>
          </cell>
          <cell r="E323" t="str">
            <v>CASAS BAHIA</v>
          </cell>
          <cell r="F323" t="str">
            <v>SHOPPING</v>
          </cell>
          <cell r="G323" t="str">
            <v>RODOVIA PRESIDENTE DUTRA KM 230, S/N</v>
          </cell>
          <cell r="H323" t="str">
            <v>Edge 50 Ultra</v>
          </cell>
          <cell r="I323" t="str">
            <v>512 GB</v>
          </cell>
        </row>
        <row r="324">
          <cell r="C324" t="str">
            <v>Edge50Ultra512_SPC11273</v>
          </cell>
          <cell r="D324" t="str">
            <v>CASAS BAHIA - AVENIDA JUSCELINO KUBITSCHEK DE OLIVEIRA, 5308 - SHOPPING BONSUCESSO - SPC11273</v>
          </cell>
          <cell r="E324" t="str">
            <v>CASAS BAHIA</v>
          </cell>
          <cell r="F324" t="str">
            <v>SHOPPING</v>
          </cell>
          <cell r="G324" t="str">
            <v>AVENIDA JUSCELINO KUBITSCHEK DE OLIVEIRA, 5308</v>
          </cell>
          <cell r="H324" t="str">
            <v>Edge 50 Ultra</v>
          </cell>
          <cell r="I324" t="str">
            <v>512 GB</v>
          </cell>
        </row>
        <row r="325">
          <cell r="C325" t="str">
            <v>Edge50Ultra512_SPC11005</v>
          </cell>
          <cell r="D325" t="str">
            <v>CASAS BAHIA - AVENIDA INDUSTRIAL, 600 - SHOPPING GRAND PLAZA - SPC11005</v>
          </cell>
          <cell r="E325" t="str">
            <v>CASAS BAHIA</v>
          </cell>
          <cell r="F325" t="str">
            <v>SHOPPING</v>
          </cell>
          <cell r="G325" t="str">
            <v>AVENIDA INDUSTRIAL, 600</v>
          </cell>
          <cell r="H325" t="str">
            <v>Edge 50 Ultra</v>
          </cell>
          <cell r="I325" t="str">
            <v>512 GB</v>
          </cell>
        </row>
        <row r="326">
          <cell r="C326" t="str">
            <v>Edge50Ultra512_SPC8715</v>
          </cell>
          <cell r="D326" t="str">
            <v>CASAS BAHIA - AVENIDA GOVERNADOR MARIO COVAS JUNIOR, 1 - SHOPPING MAUA - SPC8715</v>
          </cell>
          <cell r="E326" t="str">
            <v>CASAS BAHIA</v>
          </cell>
          <cell r="F326" t="str">
            <v>SHOPPING</v>
          </cell>
          <cell r="G326" t="str">
            <v>AVENIDA GOVERNADOR MARIO COVAS JUNIOR, 1</v>
          </cell>
          <cell r="H326" t="str">
            <v>Edge 50 Ultra</v>
          </cell>
          <cell r="I326" t="str">
            <v>512 GB</v>
          </cell>
        </row>
        <row r="327">
          <cell r="C327" t="str">
            <v>Edge50Ultra512_SPC11374</v>
          </cell>
          <cell r="D327" t="str">
            <v>CASAS BAHIA - AVENIDA PEREIRA BARRETO, 42 - SHOPPING ABC - SPC11374</v>
          </cell>
          <cell r="E327" t="str">
            <v>CASAS BAHIA</v>
          </cell>
          <cell r="F327" t="str">
            <v>SHOPPING</v>
          </cell>
          <cell r="G327" t="str">
            <v>AVENIDA PEREIRA BARRETO, 42</v>
          </cell>
          <cell r="H327" t="str">
            <v>Edge 50 Ultra</v>
          </cell>
          <cell r="I327" t="str">
            <v>512 GB</v>
          </cell>
        </row>
        <row r="328">
          <cell r="C328" t="str">
            <v>Edge50Ultra512_SPC6700</v>
          </cell>
          <cell r="D328" t="str">
            <v>CASAS BAHIA - RUA MARECHAL DEODORO, 987 - ZONA COMERCIAL - SPC6700</v>
          </cell>
          <cell r="E328" t="str">
            <v>CASAS BAHIA</v>
          </cell>
          <cell r="F328" t="str">
            <v>RUA</v>
          </cell>
          <cell r="G328" t="str">
            <v>RUA MARECHAL DEODORO, 987</v>
          </cell>
          <cell r="H328" t="str">
            <v>Edge 50 Ultra</v>
          </cell>
          <cell r="I328" t="str">
            <v>512 GB</v>
          </cell>
        </row>
        <row r="329">
          <cell r="C329" t="str">
            <v>Edge50Ultra512_SPC7069</v>
          </cell>
          <cell r="D329" t="str">
            <v>CASAS BAHIA - RUA DOMINGOS DE MORAIS, 2564 - SHOPPING METRO SANTA CRUZ - SPC7069</v>
          </cell>
          <cell r="E329" t="str">
            <v>CASAS BAHIA</v>
          </cell>
          <cell r="F329" t="str">
            <v>SHOPPING</v>
          </cell>
          <cell r="G329" t="str">
            <v>RUA DOMINGOS DE MORAIS, 2564</v>
          </cell>
          <cell r="H329" t="str">
            <v>Edge 50 Ultra</v>
          </cell>
          <cell r="I329" t="str">
            <v>512 GB</v>
          </cell>
        </row>
        <row r="330">
          <cell r="C330" t="str">
            <v>Edge50Ultra512_SPC6505</v>
          </cell>
          <cell r="D330" t="str">
            <v>CASAS BAHIA - RUA TEODORO SAMPAIO, 2522 - ZONA COMERCIAL - SPC6505</v>
          </cell>
          <cell r="E330" t="str">
            <v>CASAS BAHIA</v>
          </cell>
          <cell r="F330" t="str">
            <v>RUA</v>
          </cell>
          <cell r="G330" t="str">
            <v>RUA TEODORO SAMPAIO, 2522</v>
          </cell>
          <cell r="H330" t="str">
            <v>Edge 50 Ultra</v>
          </cell>
          <cell r="I330" t="str">
            <v>512 GB</v>
          </cell>
        </row>
        <row r="331">
          <cell r="C331" t="str">
            <v>Edge50Ultra512_SPC234770</v>
          </cell>
          <cell r="D331" t="str">
            <v>CASAS BAHIA - ESTRADA DA COLINA, 1048 - SPC234770</v>
          </cell>
          <cell r="E331" t="str">
            <v>CASAS BAHIA</v>
          </cell>
          <cell r="F331" t="str">
            <v>RUA</v>
          </cell>
          <cell r="G331" t="str">
            <v>ESTRADA DA COLINA, 1048</v>
          </cell>
          <cell r="H331" t="str">
            <v>Edge 50 Ultra</v>
          </cell>
          <cell r="I331" t="str">
            <v>512 GB</v>
          </cell>
        </row>
        <row r="332">
          <cell r="C332" t="str">
            <v>Edge50Pro512_SPC7613</v>
          </cell>
          <cell r="D332" t="str">
            <v>CASAS BAHIA - AVENIDA INTERLAGOS, 2255 - SHOPPING INTERLAGOS - SPC7613</v>
          </cell>
          <cell r="E332" t="str">
            <v>CASAS BAHIA</v>
          </cell>
          <cell r="F332" t="str">
            <v>SHOPPING</v>
          </cell>
          <cell r="G332" t="str">
            <v>AVENIDA INTERLAGOS, 2255</v>
          </cell>
          <cell r="H332" t="str">
            <v>Edge 50 Pro</v>
          </cell>
          <cell r="I332" t="str">
            <v>512 GB</v>
          </cell>
        </row>
        <row r="333">
          <cell r="C333" t="str">
            <v>Edge50Pro512_SPC7612</v>
          </cell>
          <cell r="D333" t="str">
            <v>PONTO FRIO - AVENIDA INTERLAGOS, 2255 - SHOPPING INTERLAGOS - SPC7612</v>
          </cell>
          <cell r="E333" t="str">
            <v xml:space="preserve">PONTO FRIO </v>
          </cell>
          <cell r="F333" t="str">
            <v>SHOPPING</v>
          </cell>
          <cell r="G333" t="str">
            <v>AVENIDA INTERLAGOS, 2255</v>
          </cell>
          <cell r="H333" t="str">
            <v>Edge 50 Pro</v>
          </cell>
          <cell r="I333" t="str">
            <v>512 GB</v>
          </cell>
        </row>
        <row r="334">
          <cell r="C334" t="str">
            <v>Edge50Pro512_SPC7614</v>
          </cell>
          <cell r="D334" t="str">
            <v>LOJAS AMERICANAS - AVENIDA INTERLAGOS, 2255 - SHOPPING INTERLAGOS - SPC7614</v>
          </cell>
          <cell r="E334" t="str">
            <v>LOJAS AMERICANAS</v>
          </cell>
          <cell r="F334" t="str">
            <v>SHOPPING</v>
          </cell>
          <cell r="G334" t="str">
            <v>AVENIDA INTERLAGOS, 2255</v>
          </cell>
          <cell r="H334" t="str">
            <v>Edge 50 Pro</v>
          </cell>
          <cell r="I334" t="str">
            <v>512 GB</v>
          </cell>
        </row>
        <row r="335">
          <cell r="C335" t="str">
            <v>Edge50Pro512_SPC11232</v>
          </cell>
          <cell r="D335" t="str">
            <v>CASAS BAHIA - PRACA FLORIANO PEIXOTO, 38 - ZONA COMERCIAL - SPC11232</v>
          </cell>
          <cell r="E335" t="str">
            <v>CASAS BAHIA</v>
          </cell>
          <cell r="F335" t="str">
            <v>RUA</v>
          </cell>
          <cell r="G335" t="str">
            <v>PRACA FLORIANO PEIXOTO, 38</v>
          </cell>
          <cell r="H335" t="str">
            <v>Edge 50 Pro</v>
          </cell>
          <cell r="I335" t="str">
            <v>512 GB</v>
          </cell>
        </row>
        <row r="336">
          <cell r="C336" t="str">
            <v>Edge50Pro512_SPC287350</v>
          </cell>
          <cell r="D336" t="str">
            <v>CASAS BAHIA - AVENIDA NACOES UNIDAS, 12995 - SPC287350</v>
          </cell>
          <cell r="E336" t="str">
            <v>CASAS BAHIA</v>
          </cell>
          <cell r="F336" t="str">
            <v>RUA</v>
          </cell>
          <cell r="G336" t="str">
            <v>AVENIDA NACOES UNIDAS, 12995</v>
          </cell>
          <cell r="H336" t="str">
            <v>Edge 50 Pro</v>
          </cell>
          <cell r="I336" t="str">
            <v>512 GB</v>
          </cell>
        </row>
        <row r="337">
          <cell r="C337" t="str">
            <v>Edge50Pro512_SPC252260</v>
          </cell>
          <cell r="D337" t="str">
            <v>CASAS BAHIA - AVENIDA EMBAIXADOR MACEDO SOARES, 9175 - SPC252260</v>
          </cell>
          <cell r="E337" t="str">
            <v>CASAS BAHIA</v>
          </cell>
          <cell r="F337" t="str">
            <v>RUA</v>
          </cell>
          <cell r="G337" t="str">
            <v>AVENIDA EMBAIXADOR MACEDO SOARES, 9175</v>
          </cell>
          <cell r="H337" t="str">
            <v>Edge 50 Pro</v>
          </cell>
          <cell r="I337" t="str">
            <v>512 GB</v>
          </cell>
        </row>
        <row r="338">
          <cell r="C338" t="str">
            <v>Edge50Pro512_SPC22892</v>
          </cell>
          <cell r="D338" t="str">
            <v>CASAS BAHIA - AVENIDA ARICANDUVA, 5555 (LOJA 2) - SHOPPING ARICANDUVA - SPC22892</v>
          </cell>
          <cell r="E338" t="str">
            <v>CASAS BAHIA</v>
          </cell>
          <cell r="F338" t="str">
            <v>SHOPPING</v>
          </cell>
          <cell r="G338" t="str">
            <v>AVENIDA ARICANDUVA, 5555 (LOJA 2)</v>
          </cell>
          <cell r="H338" t="str">
            <v>Edge 50 Pro</v>
          </cell>
          <cell r="I338" t="str">
            <v>512 GB</v>
          </cell>
        </row>
        <row r="339">
          <cell r="C339" t="str">
            <v>Edge50Pro512_SPC7610</v>
          </cell>
          <cell r="D339" t="str">
            <v>CASAS BAHIA - AVENIDA ARICANDUVA, 5555 (LOJA 1) - SHOPPING ARICANDUVA - SPC7610</v>
          </cell>
          <cell r="E339" t="str">
            <v>CASAS BAHIA</v>
          </cell>
          <cell r="F339" t="str">
            <v>SHOPPING</v>
          </cell>
          <cell r="G339" t="str">
            <v>AVENIDA ARICANDUVA, 5555 (LOJA 1)</v>
          </cell>
          <cell r="H339" t="str">
            <v>Edge 50 Pro</v>
          </cell>
          <cell r="I339" t="str">
            <v>512 GB</v>
          </cell>
        </row>
        <row r="340">
          <cell r="C340" t="str">
            <v>Edge50Pro512_SPC8803</v>
          </cell>
          <cell r="D340" t="str">
            <v>PONTO FRIO - AVENIDA ARICANDUVA, 5555 (LOJA 2) - SHOPPING ARICANDUVA - SPC8803</v>
          </cell>
          <cell r="E340" t="str">
            <v xml:space="preserve">PONTO FRIO </v>
          </cell>
          <cell r="F340" t="str">
            <v>SHOPPING</v>
          </cell>
          <cell r="G340" t="str">
            <v>AVENIDA ARICANDUVA, 5555 (LOJA 2)</v>
          </cell>
          <cell r="H340" t="str">
            <v>Edge 50 Pro</v>
          </cell>
          <cell r="I340" t="str">
            <v>512 GB</v>
          </cell>
        </row>
        <row r="341">
          <cell r="C341" t="str">
            <v>Edge50Pro512_SPC6374</v>
          </cell>
          <cell r="D341" t="str">
            <v>MAGAZINE LUIZA - AVENIDA ARICANDUVA, 5555 - SHOPPING ARICANDUVA - SPC6374</v>
          </cell>
          <cell r="E341" t="str">
            <v>MAGAZINE LUIZA</v>
          </cell>
          <cell r="F341" t="str">
            <v>SHOPPING</v>
          </cell>
          <cell r="G341" t="str">
            <v>AVENIDA ARICANDUVA, 5555</v>
          </cell>
          <cell r="H341" t="str">
            <v>Edge 50 Pro</v>
          </cell>
          <cell r="I341" t="str">
            <v>512 GB</v>
          </cell>
        </row>
        <row r="342">
          <cell r="C342" t="str">
            <v>Edge50Pro512_SPC7759</v>
          </cell>
          <cell r="D342" t="str">
            <v>CASAS BAHIA - AVENIDA JOSE PINHEIRO BORGES, S/N - SHOPPING METRO ITAQUERA - SPC7759</v>
          </cell>
          <cell r="E342" t="str">
            <v>CASAS BAHIA</v>
          </cell>
          <cell r="F342" t="str">
            <v>SHOPPING</v>
          </cell>
          <cell r="G342" t="str">
            <v>AVENIDA JOSE PINHEIRO BORGES, S/N</v>
          </cell>
          <cell r="H342" t="str">
            <v>Edge 50 Pro</v>
          </cell>
          <cell r="I342" t="str">
            <v>512 GB</v>
          </cell>
        </row>
        <row r="343">
          <cell r="C343" t="str">
            <v>Edge50Pro512_SPC9927</v>
          </cell>
          <cell r="D343" t="str">
            <v>CASAS BAHIA - RODOVIA REGIS BITTENCOURT KM 271, 2643 - SHOPPING TABOAO DA SERRA - SPC9927</v>
          </cell>
          <cell r="E343" t="str">
            <v>CASAS BAHIA</v>
          </cell>
          <cell r="F343" t="str">
            <v>SHOPPING</v>
          </cell>
          <cell r="G343" t="str">
            <v>RODOVIA REGIS BITTENCOURT KM 271, 2643</v>
          </cell>
          <cell r="H343" t="str">
            <v>Edge 50 Pro</v>
          </cell>
          <cell r="I343" t="str">
            <v>512 GB</v>
          </cell>
        </row>
        <row r="344">
          <cell r="C344" t="str">
            <v>Edge50Pro512_SPC10966</v>
          </cell>
          <cell r="D344" t="str">
            <v>CASAS BAHIA - ESTRADA DO CAMPO LIMPO, 459 - SHOPPING CAMPO LIMPO - SPC10966</v>
          </cell>
          <cell r="E344" t="str">
            <v>CASAS BAHIA</v>
          </cell>
          <cell r="F344" t="str">
            <v>SHOPPING</v>
          </cell>
          <cell r="G344" t="str">
            <v>ESTRADA DO CAMPO LIMPO, 459</v>
          </cell>
          <cell r="H344" t="str">
            <v>Edge 50 Pro</v>
          </cell>
          <cell r="I344" t="str">
            <v>512 GB</v>
          </cell>
        </row>
        <row r="345">
          <cell r="C345" t="str">
            <v>Edge50Pro512_SPC11008</v>
          </cell>
          <cell r="D345" t="str">
            <v>CASAS BAHIA - LARGO 13 DE MAIO, 308 - ZONA COMERCIAL - SPC11008</v>
          </cell>
          <cell r="E345" t="str">
            <v>CASAS BAHIA</v>
          </cell>
          <cell r="F345" t="str">
            <v>RUA</v>
          </cell>
          <cell r="G345" t="str">
            <v>LARGO 13 DE MAIO, 308</v>
          </cell>
          <cell r="H345" t="str">
            <v>Edge 50 Pro</v>
          </cell>
          <cell r="I345" t="str">
            <v>512 GB</v>
          </cell>
        </row>
        <row r="346">
          <cell r="C346" t="str">
            <v>Edge50Pro512_SPC7621</v>
          </cell>
          <cell r="D346" t="str">
            <v>PONTO FRIO - RUA CAPITAO TIAGO LUZ, 146 - ZONA COMERCIAL - SPC7621</v>
          </cell>
          <cell r="E346" t="str">
            <v xml:space="preserve">PONTO FRIO </v>
          </cell>
          <cell r="F346" t="str">
            <v>RUA</v>
          </cell>
          <cell r="G346" t="str">
            <v>RUA CAPITAO TIAGO LUZ, 146</v>
          </cell>
          <cell r="H346" t="str">
            <v>Edge 50 Pro</v>
          </cell>
          <cell r="I346" t="str">
            <v>512 GB</v>
          </cell>
        </row>
        <row r="347">
          <cell r="C347" t="str">
            <v>Edge50Pro512_SPC6352</v>
          </cell>
          <cell r="D347" t="str">
            <v>CASAS BAHIA - RUA TENENTE AVELAR PIRES DE AZEVEDO, 81 - SHOPPING OSASCO PLAZA - SPC6352</v>
          </cell>
          <cell r="E347" t="str">
            <v>CASAS BAHIA</v>
          </cell>
          <cell r="F347" t="str">
            <v>SHOPPING</v>
          </cell>
          <cell r="G347" t="str">
            <v>RUA TENENTE AVELAR PIRES DE AZEVEDO, 81</v>
          </cell>
          <cell r="H347" t="str">
            <v>Edge 50 Pro</v>
          </cell>
          <cell r="I347" t="str">
            <v>512 GB</v>
          </cell>
        </row>
        <row r="348">
          <cell r="C348" t="str">
            <v>Edge50Pro512_SPC6445</v>
          </cell>
          <cell r="D348" t="str">
            <v>CASAS BAHIA - AVENIDA PIRACEMA, 669 - SHOPPING TAMBORE - SPC6445</v>
          </cell>
          <cell r="E348" t="str">
            <v>CASAS BAHIA</v>
          </cell>
          <cell r="F348" t="str">
            <v>SHOPPING</v>
          </cell>
          <cell r="G348" t="str">
            <v>AVENIDA PIRACEMA, 669</v>
          </cell>
          <cell r="H348" t="str">
            <v>Edge 50 Pro</v>
          </cell>
          <cell r="I348" t="str">
            <v>512 GB</v>
          </cell>
        </row>
        <row r="349">
          <cell r="C349" t="str">
            <v>Edge50Pro512_SPC6397</v>
          </cell>
          <cell r="D349" t="str">
            <v>CASAS BAHIA - AVENIDA DOS AUTONOMISTAS, 1400 - SHOPPING UNIAO - SPC6397</v>
          </cell>
          <cell r="E349" t="str">
            <v>CASAS BAHIA</v>
          </cell>
          <cell r="F349" t="str">
            <v>SHOPPING</v>
          </cell>
          <cell r="G349" t="str">
            <v>AVENIDA DOS AUTONOMISTAS, 1400</v>
          </cell>
          <cell r="H349" t="str">
            <v>Edge 50 Pro</v>
          </cell>
          <cell r="I349" t="str">
            <v>512 GB</v>
          </cell>
        </row>
        <row r="350">
          <cell r="C350" t="str">
            <v>Edge50Pro512_SPC11278</v>
          </cell>
          <cell r="D350" t="str">
            <v>PONTO FRIO - RUA ANTONIO AGU, 155 - ZONA COMERCIAL - SPC11278</v>
          </cell>
          <cell r="E350" t="str">
            <v xml:space="preserve">PONTO FRIO </v>
          </cell>
          <cell r="F350" t="str">
            <v>RUA</v>
          </cell>
          <cell r="G350" t="str">
            <v>RUA ANTONIO AGU, 155</v>
          </cell>
          <cell r="H350" t="str">
            <v>Edge 50 Pro</v>
          </cell>
          <cell r="I350" t="str">
            <v>512 GB</v>
          </cell>
        </row>
        <row r="351">
          <cell r="C351" t="str">
            <v>Edge50Pro512_SPC7644</v>
          </cell>
          <cell r="D351" t="str">
            <v>CASAS BAHIA - TRAVESSA CASALBUONO, 120 - SHOPPING CENTER NORTE - SPC7644</v>
          </cell>
          <cell r="E351" t="str">
            <v>CASAS BAHIA</v>
          </cell>
          <cell r="F351" t="str">
            <v>SHOPPING</v>
          </cell>
          <cell r="G351" t="str">
            <v>TRAVESSA CASALBUONO, 120</v>
          </cell>
          <cell r="H351" t="str">
            <v>Edge 50 Pro</v>
          </cell>
          <cell r="I351" t="str">
            <v>512 GB</v>
          </cell>
        </row>
        <row r="352">
          <cell r="C352" t="str">
            <v>Edge50Pro512_SPC8440</v>
          </cell>
          <cell r="D352" t="str">
            <v>MAGAZINE LUIZA - RUA AMAZONAS DA SILVA, 27 - ZONA COMERCIAL - SPC8440</v>
          </cell>
          <cell r="E352" t="str">
            <v>MAGAZINE LUIZA</v>
          </cell>
          <cell r="F352" t="str">
            <v>RUA</v>
          </cell>
          <cell r="G352" t="str">
            <v>RUA AMAZONAS DA SILVA, 27</v>
          </cell>
          <cell r="H352" t="str">
            <v>Edge 50 Pro</v>
          </cell>
          <cell r="I352" t="str">
            <v>512 GB</v>
          </cell>
        </row>
        <row r="353">
          <cell r="C353" t="str">
            <v>Edge50Pro512_SPC7607</v>
          </cell>
          <cell r="D353" t="str">
            <v>CASAS BAHIA - RODOVIA PRESIDENTE DUTRA KM 230, S/N - SHOPPING INTERNACIONAL GUARULHOS - SPC7607</v>
          </cell>
          <cell r="E353" t="str">
            <v>CASAS BAHIA</v>
          </cell>
          <cell r="F353" t="str">
            <v>SHOPPING</v>
          </cell>
          <cell r="G353" t="str">
            <v>RODOVIA PRESIDENTE DUTRA KM 230, S/N</v>
          </cell>
          <cell r="H353" t="str">
            <v>Edge 50 Pro</v>
          </cell>
          <cell r="I353" t="str">
            <v>512 GB</v>
          </cell>
        </row>
        <row r="354">
          <cell r="C354" t="str">
            <v>Edge50Pro512_SPC11273</v>
          </cell>
          <cell r="D354" t="str">
            <v>CASAS BAHIA - AVENIDA JUSCELINO KUBITSCHEK DE OLIVEIRA, 5308 - SHOPPING BONSUCESSO - SPC11273</v>
          </cell>
          <cell r="E354" t="str">
            <v>CASAS BAHIA</v>
          </cell>
          <cell r="F354" t="str">
            <v>SHOPPING</v>
          </cell>
          <cell r="G354" t="str">
            <v>AVENIDA JUSCELINO KUBITSCHEK DE OLIVEIRA, 5308</v>
          </cell>
          <cell r="H354" t="str">
            <v>Edge 50 Pro</v>
          </cell>
          <cell r="I354" t="str">
            <v>512 GB</v>
          </cell>
        </row>
        <row r="355">
          <cell r="C355" t="str">
            <v>Edge50Pro512_SPC11005</v>
          </cell>
          <cell r="D355" t="str">
            <v>CASAS BAHIA - AVENIDA INDUSTRIAL, 600 - SHOPPING GRAND PLAZA - SPC11005</v>
          </cell>
          <cell r="E355" t="str">
            <v>CASAS BAHIA</v>
          </cell>
          <cell r="F355" t="str">
            <v>SHOPPING</v>
          </cell>
          <cell r="G355" t="str">
            <v>AVENIDA INDUSTRIAL, 600</v>
          </cell>
          <cell r="H355" t="str">
            <v>Edge 50 Pro</v>
          </cell>
          <cell r="I355" t="str">
            <v>512 GB</v>
          </cell>
        </row>
        <row r="356">
          <cell r="C356" t="str">
            <v>Edge50Pro512_SPC8715</v>
          </cell>
          <cell r="D356" t="str">
            <v>CASAS BAHIA - AVENIDA GOVERNADOR MARIO COVAS JUNIOR, 1 - SHOPPING MAUA - SPC8715</v>
          </cell>
          <cell r="E356" t="str">
            <v>CASAS BAHIA</v>
          </cell>
          <cell r="F356" t="str">
            <v>SHOPPING</v>
          </cell>
          <cell r="G356" t="str">
            <v>AVENIDA GOVERNADOR MARIO COVAS JUNIOR, 1</v>
          </cell>
          <cell r="H356" t="str">
            <v>Edge 50 Pro</v>
          </cell>
          <cell r="I356" t="str">
            <v>512 GB</v>
          </cell>
        </row>
        <row r="357">
          <cell r="C357" t="str">
            <v>Edge50Pro512_SPC11374</v>
          </cell>
          <cell r="D357" t="str">
            <v>CASAS BAHIA - AVENIDA PEREIRA BARRETO, 42 - SHOPPING ABC - SPC11374</v>
          </cell>
          <cell r="E357" t="str">
            <v>CASAS BAHIA</v>
          </cell>
          <cell r="F357" t="str">
            <v>SHOPPING</v>
          </cell>
          <cell r="G357" t="str">
            <v>AVENIDA PEREIRA BARRETO, 42</v>
          </cell>
          <cell r="H357" t="str">
            <v>Edge 50 Pro</v>
          </cell>
          <cell r="I357" t="str">
            <v>512 GB</v>
          </cell>
        </row>
        <row r="358">
          <cell r="C358" t="str">
            <v>Edge50Pro512_SPC6700</v>
          </cell>
          <cell r="D358" t="str">
            <v>CASAS BAHIA - RUA MARECHAL DEODORO, 987 - ZONA COMERCIAL - SPC6700</v>
          </cell>
          <cell r="E358" t="str">
            <v>CASAS BAHIA</v>
          </cell>
          <cell r="F358" t="str">
            <v>RUA</v>
          </cell>
          <cell r="G358" t="str">
            <v>RUA MARECHAL DEODORO, 987</v>
          </cell>
          <cell r="H358" t="str">
            <v>Edge 50 Pro</v>
          </cell>
          <cell r="I358" t="str">
            <v>512 GB</v>
          </cell>
        </row>
        <row r="359">
          <cell r="C359" t="str">
            <v>Edge50Pro512_SPC7069</v>
          </cell>
          <cell r="D359" t="str">
            <v>CASAS BAHIA - RUA DOMINGOS DE MORAIS, 2564 - SHOPPING METRO SANTA CRUZ - SPC7069</v>
          </cell>
          <cell r="E359" t="str">
            <v>CASAS BAHIA</v>
          </cell>
          <cell r="F359" t="str">
            <v>SHOPPING</v>
          </cell>
          <cell r="G359" t="str">
            <v>RUA DOMINGOS DE MORAIS, 2564</v>
          </cell>
          <cell r="H359" t="str">
            <v>Edge 50 Pro</v>
          </cell>
          <cell r="I359" t="str">
            <v>512 GB</v>
          </cell>
        </row>
        <row r="360">
          <cell r="C360" t="str">
            <v>Edge50Pro512_SPC6505</v>
          </cell>
          <cell r="D360" t="str">
            <v>CASAS BAHIA - RUA TEODORO SAMPAIO, 2522 - ZONA COMERCIAL - SPC6505</v>
          </cell>
          <cell r="E360" t="str">
            <v>CASAS BAHIA</v>
          </cell>
          <cell r="F360" t="str">
            <v>RUA</v>
          </cell>
          <cell r="G360" t="str">
            <v>RUA TEODORO SAMPAIO, 2522</v>
          </cell>
          <cell r="H360" t="str">
            <v>Edge 50 Pro</v>
          </cell>
          <cell r="I360" t="str">
            <v>512 GB</v>
          </cell>
        </row>
        <row r="361">
          <cell r="C361" t="str">
            <v>Edge50Pro512_SPC234770</v>
          </cell>
          <cell r="D361" t="str">
            <v>CASAS BAHIA - ESTRADA DA COLINA, 1048 - SPC234770</v>
          </cell>
          <cell r="E361" t="str">
            <v>CASAS BAHIA</v>
          </cell>
          <cell r="F361" t="str">
            <v>RUA</v>
          </cell>
          <cell r="G361" t="str">
            <v>ESTRADA DA COLINA, 1048</v>
          </cell>
          <cell r="H361" t="str">
            <v>Edge 50 Pro</v>
          </cell>
          <cell r="I361" t="str">
            <v>512 GB</v>
          </cell>
        </row>
        <row r="362">
          <cell r="C362" t="str">
            <v>Edge50256_SPC7613</v>
          </cell>
          <cell r="D362" t="str">
            <v>CASAS BAHIA - AVENIDA INTERLAGOS, 2255 - SHOPPING INTERLAGOS - SPC7613</v>
          </cell>
          <cell r="E362" t="str">
            <v>CASAS BAHIA</v>
          </cell>
          <cell r="F362" t="str">
            <v>SHOPPING</v>
          </cell>
          <cell r="G362" t="str">
            <v>AVENIDA INTERLAGOS, 2255</v>
          </cell>
          <cell r="H362" t="str">
            <v xml:space="preserve">Edge 50 </v>
          </cell>
          <cell r="I362" t="str">
            <v>256 GB</v>
          </cell>
        </row>
        <row r="363">
          <cell r="C363" t="str">
            <v>Edge50256_SPC7612</v>
          </cell>
          <cell r="D363" t="str">
            <v>PONTO FRIO - AVENIDA INTERLAGOS, 2255 - SHOPPING INTERLAGOS - SPC7612</v>
          </cell>
          <cell r="E363" t="str">
            <v xml:space="preserve">PONTO FRIO </v>
          </cell>
          <cell r="F363" t="str">
            <v>SHOPPING</v>
          </cell>
          <cell r="G363" t="str">
            <v>AVENIDA INTERLAGOS, 2255</v>
          </cell>
          <cell r="H363" t="str">
            <v xml:space="preserve">Edge 50 </v>
          </cell>
          <cell r="I363" t="str">
            <v>256 GB</v>
          </cell>
        </row>
        <row r="364">
          <cell r="C364" t="str">
            <v>Edge50256_SPC7614</v>
          </cell>
          <cell r="D364" t="str">
            <v>LOJAS AMERICANAS - AVENIDA INTERLAGOS, 2255 - SHOPPING INTERLAGOS - SPC7614</v>
          </cell>
          <cell r="E364" t="str">
            <v>LOJAS AMERICANAS</v>
          </cell>
          <cell r="F364" t="str">
            <v>SHOPPING</v>
          </cell>
          <cell r="G364" t="str">
            <v>AVENIDA INTERLAGOS, 2255</v>
          </cell>
          <cell r="H364" t="str">
            <v xml:space="preserve">Edge 50 </v>
          </cell>
          <cell r="I364" t="str">
            <v>256 GB</v>
          </cell>
        </row>
        <row r="365">
          <cell r="C365" t="str">
            <v>Edge50256_SPC11232</v>
          </cell>
          <cell r="D365" t="str">
            <v>CASAS BAHIA - PRACA FLORIANO PEIXOTO, 38 - ZONA COMERCIAL - SPC11232</v>
          </cell>
          <cell r="E365" t="str">
            <v>CASAS BAHIA</v>
          </cell>
          <cell r="F365" t="str">
            <v>RUA</v>
          </cell>
          <cell r="G365" t="str">
            <v>PRACA FLORIANO PEIXOTO, 38</v>
          </cell>
          <cell r="H365" t="str">
            <v xml:space="preserve">Edge 50 </v>
          </cell>
          <cell r="I365" t="str">
            <v>256 GB</v>
          </cell>
        </row>
        <row r="366">
          <cell r="C366" t="str">
            <v>Edge50256_SPC287350</v>
          </cell>
          <cell r="D366" t="str">
            <v>CASAS BAHIA - AVENIDA NACOES UNIDAS, 12995 - SPC287350</v>
          </cell>
          <cell r="E366" t="str">
            <v>CASAS BAHIA</v>
          </cell>
          <cell r="F366" t="str">
            <v>RUA</v>
          </cell>
          <cell r="G366" t="str">
            <v>AVENIDA NACOES UNIDAS, 12995</v>
          </cell>
          <cell r="H366" t="str">
            <v xml:space="preserve">Edge 50 </v>
          </cell>
          <cell r="I366" t="str">
            <v>256 GB</v>
          </cell>
        </row>
        <row r="367">
          <cell r="C367" t="str">
            <v>Edge50256_SPC252260</v>
          </cell>
          <cell r="D367" t="str">
            <v>CASAS BAHIA - AVENIDA EMBAIXADOR MACEDO SOARES, 9175 - SPC252260</v>
          </cell>
          <cell r="E367" t="str">
            <v>CASAS BAHIA</v>
          </cell>
          <cell r="F367" t="str">
            <v>RUA</v>
          </cell>
          <cell r="G367" t="str">
            <v>AVENIDA EMBAIXADOR MACEDO SOARES, 9175</v>
          </cell>
          <cell r="H367" t="str">
            <v xml:space="preserve">Edge 50 </v>
          </cell>
          <cell r="I367" t="str">
            <v>256 GB</v>
          </cell>
        </row>
        <row r="368">
          <cell r="C368" t="str">
            <v>Edge50256_SPC22892</v>
          </cell>
          <cell r="D368" t="str">
            <v>CASAS BAHIA - AVENIDA ARICANDUVA, 5555 (LOJA 2) - SHOPPING ARICANDUVA - SPC22892</v>
          </cell>
          <cell r="E368" t="str">
            <v>CASAS BAHIA</v>
          </cell>
          <cell r="F368" t="str">
            <v>SHOPPING</v>
          </cell>
          <cell r="G368" t="str">
            <v>AVENIDA ARICANDUVA, 5555 (LOJA 2)</v>
          </cell>
          <cell r="H368" t="str">
            <v xml:space="preserve">Edge 50 </v>
          </cell>
          <cell r="I368" t="str">
            <v>256 GB</v>
          </cell>
        </row>
        <row r="369">
          <cell r="C369" t="str">
            <v>Edge50256_SPC7610</v>
          </cell>
          <cell r="D369" t="str">
            <v>CASAS BAHIA - AVENIDA ARICANDUVA, 5555 (LOJA 1) - SHOPPING ARICANDUVA - SPC7610</v>
          </cell>
          <cell r="E369" t="str">
            <v>CASAS BAHIA</v>
          </cell>
          <cell r="F369" t="str">
            <v>SHOPPING</v>
          </cell>
          <cell r="G369" t="str">
            <v>AVENIDA ARICANDUVA, 5555 (LOJA 1)</v>
          </cell>
          <cell r="H369" t="str">
            <v xml:space="preserve">Edge 50 </v>
          </cell>
          <cell r="I369" t="str">
            <v>256 GB</v>
          </cell>
        </row>
        <row r="370">
          <cell r="C370" t="str">
            <v>Edge50256_SPC8803</v>
          </cell>
          <cell r="D370" t="str">
            <v>PONTO FRIO - AVENIDA ARICANDUVA, 5555 (LOJA 2) - SHOPPING ARICANDUVA - SPC8803</v>
          </cell>
          <cell r="E370" t="str">
            <v xml:space="preserve">PONTO FRIO </v>
          </cell>
          <cell r="F370" t="str">
            <v>SHOPPING</v>
          </cell>
          <cell r="G370" t="str">
            <v>AVENIDA ARICANDUVA, 5555 (LOJA 2)</v>
          </cell>
          <cell r="H370" t="str">
            <v xml:space="preserve">Edge 50 </v>
          </cell>
          <cell r="I370" t="str">
            <v>256 GB</v>
          </cell>
        </row>
        <row r="371">
          <cell r="C371" t="str">
            <v>Edge50256_SPC6374</v>
          </cell>
          <cell r="D371" t="str">
            <v>MAGAZINE LUIZA - AVENIDA ARICANDUVA, 5555 - SHOPPING ARICANDUVA - SPC6374</v>
          </cell>
          <cell r="E371" t="str">
            <v>MAGAZINE LUIZA</v>
          </cell>
          <cell r="F371" t="str">
            <v>SHOPPING</v>
          </cell>
          <cell r="G371" t="str">
            <v>AVENIDA ARICANDUVA, 5555</v>
          </cell>
          <cell r="H371" t="str">
            <v xml:space="preserve">Edge 50 </v>
          </cell>
          <cell r="I371" t="str">
            <v>256 GB</v>
          </cell>
        </row>
        <row r="372">
          <cell r="C372" t="str">
            <v>Edge50256_SPC7759</v>
          </cell>
          <cell r="D372" t="str">
            <v>CASAS BAHIA - AVENIDA JOSE PINHEIRO BORGES, S/N - SHOPPING METRO ITAQUERA - SPC7759</v>
          </cell>
          <cell r="E372" t="str">
            <v>CASAS BAHIA</v>
          </cell>
          <cell r="F372" t="str">
            <v>SHOPPING</v>
          </cell>
          <cell r="G372" t="str">
            <v>AVENIDA JOSE PINHEIRO BORGES, S/N</v>
          </cell>
          <cell r="H372" t="str">
            <v xml:space="preserve">Edge 50 </v>
          </cell>
          <cell r="I372" t="str">
            <v>256 GB</v>
          </cell>
        </row>
        <row r="373">
          <cell r="C373" t="str">
            <v>Edge50256_SPC9927</v>
          </cell>
          <cell r="D373" t="str">
            <v>CASAS BAHIA - RODOVIA REGIS BITTENCOURT KM 271, 2643 - SHOPPING TABOAO DA SERRA - SPC9927</v>
          </cell>
          <cell r="E373" t="str">
            <v>CASAS BAHIA</v>
          </cell>
          <cell r="F373" t="str">
            <v>SHOPPING</v>
          </cell>
          <cell r="G373" t="str">
            <v>RODOVIA REGIS BITTENCOURT KM 271, 2643</v>
          </cell>
          <cell r="H373" t="str">
            <v xml:space="preserve">Edge 50 </v>
          </cell>
          <cell r="I373" t="str">
            <v>256 GB</v>
          </cell>
        </row>
        <row r="374">
          <cell r="C374" t="str">
            <v>Edge50256_SPC10966</v>
          </cell>
          <cell r="D374" t="str">
            <v>CASAS BAHIA - ESTRADA DO CAMPO LIMPO, 459 - SHOPPING CAMPO LIMPO - SPC10966</v>
          </cell>
          <cell r="E374" t="str">
            <v>CASAS BAHIA</v>
          </cell>
          <cell r="F374" t="str">
            <v>SHOPPING</v>
          </cell>
          <cell r="G374" t="str">
            <v>ESTRADA DO CAMPO LIMPO, 459</v>
          </cell>
          <cell r="H374" t="str">
            <v xml:space="preserve">Edge 50 </v>
          </cell>
          <cell r="I374" t="str">
            <v>256 GB</v>
          </cell>
        </row>
        <row r="375">
          <cell r="C375" t="str">
            <v>Edge50256_SPC11008</v>
          </cell>
          <cell r="D375" t="str">
            <v>CASAS BAHIA - LARGO 13 DE MAIO, 308 - ZONA COMERCIAL - SPC11008</v>
          </cell>
          <cell r="E375" t="str">
            <v>CASAS BAHIA</v>
          </cell>
          <cell r="F375" t="str">
            <v>RUA</v>
          </cell>
          <cell r="G375" t="str">
            <v>LARGO 13 DE MAIO, 308</v>
          </cell>
          <cell r="H375" t="str">
            <v xml:space="preserve">Edge 50 </v>
          </cell>
          <cell r="I375" t="str">
            <v>256 GB</v>
          </cell>
        </row>
        <row r="376">
          <cell r="C376" t="str">
            <v>Edge50256_SPC7621</v>
          </cell>
          <cell r="D376" t="str">
            <v>PONTO FRIO - RUA CAPITAO TIAGO LUZ, 146 - ZONA COMERCIAL - SPC7621</v>
          </cell>
          <cell r="E376" t="str">
            <v xml:space="preserve">PONTO FRIO </v>
          </cell>
          <cell r="F376" t="str">
            <v>RUA</v>
          </cell>
          <cell r="G376" t="str">
            <v>RUA CAPITAO TIAGO LUZ, 146</v>
          </cell>
          <cell r="H376" t="str">
            <v xml:space="preserve">Edge 50 </v>
          </cell>
          <cell r="I376" t="str">
            <v>256 GB</v>
          </cell>
        </row>
        <row r="377">
          <cell r="C377" t="str">
            <v>Edge50256_SPC6352</v>
          </cell>
          <cell r="D377" t="str">
            <v>CASAS BAHIA - RUA TENENTE AVELAR PIRES DE AZEVEDO, 81 - SHOPPING OSASCO PLAZA - SPC6352</v>
          </cell>
          <cell r="E377" t="str">
            <v>CASAS BAHIA</v>
          </cell>
          <cell r="F377" t="str">
            <v>SHOPPING</v>
          </cell>
          <cell r="G377" t="str">
            <v>RUA TENENTE AVELAR PIRES DE AZEVEDO, 81</v>
          </cell>
          <cell r="H377" t="str">
            <v xml:space="preserve">Edge 50 </v>
          </cell>
          <cell r="I377" t="str">
            <v>256 GB</v>
          </cell>
        </row>
        <row r="378">
          <cell r="C378" t="str">
            <v>Edge50256_SPC6445</v>
          </cell>
          <cell r="D378" t="str">
            <v>CASAS BAHIA - AVENIDA PIRACEMA, 669 - SHOPPING TAMBORE - SPC6445</v>
          </cell>
          <cell r="E378" t="str">
            <v>CASAS BAHIA</v>
          </cell>
          <cell r="F378" t="str">
            <v>SHOPPING</v>
          </cell>
          <cell r="G378" t="str">
            <v>AVENIDA PIRACEMA, 669</v>
          </cell>
          <cell r="H378" t="str">
            <v xml:space="preserve">Edge 50 </v>
          </cell>
          <cell r="I378" t="str">
            <v>256 GB</v>
          </cell>
        </row>
        <row r="379">
          <cell r="C379" t="str">
            <v>Edge50256_SPC6397</v>
          </cell>
          <cell r="D379" t="str">
            <v>CASAS BAHIA - AVENIDA DOS AUTONOMISTAS, 1400 - SHOPPING UNIAO - SPC6397</v>
          </cell>
          <cell r="E379" t="str">
            <v>CASAS BAHIA</v>
          </cell>
          <cell r="F379" t="str">
            <v>SHOPPING</v>
          </cell>
          <cell r="G379" t="str">
            <v>AVENIDA DOS AUTONOMISTAS, 1400</v>
          </cell>
          <cell r="H379" t="str">
            <v xml:space="preserve">Edge 50 </v>
          </cell>
          <cell r="I379" t="str">
            <v>256 GB</v>
          </cell>
        </row>
        <row r="380">
          <cell r="C380" t="str">
            <v>Edge50256_SPC11278</v>
          </cell>
          <cell r="D380" t="str">
            <v>PONTO FRIO - RUA ANTONIO AGU, 155 - ZONA COMERCIAL - SPC11278</v>
          </cell>
          <cell r="E380" t="str">
            <v xml:space="preserve">PONTO FRIO </v>
          </cell>
          <cell r="F380" t="str">
            <v>RUA</v>
          </cell>
          <cell r="G380" t="str">
            <v>RUA ANTONIO AGU, 155</v>
          </cell>
          <cell r="H380" t="str">
            <v xml:space="preserve">Edge 50 </v>
          </cell>
          <cell r="I380" t="str">
            <v>256 GB</v>
          </cell>
        </row>
        <row r="381">
          <cell r="C381" t="str">
            <v>Edge50256_SPC7644</v>
          </cell>
          <cell r="D381" t="str">
            <v>CASAS BAHIA - TRAVESSA CASALBUONO, 120 - SHOPPING CENTER NORTE - SPC7644</v>
          </cell>
          <cell r="E381" t="str">
            <v>CASAS BAHIA</v>
          </cell>
          <cell r="F381" t="str">
            <v>SHOPPING</v>
          </cell>
          <cell r="G381" t="str">
            <v>TRAVESSA CASALBUONO, 120</v>
          </cell>
          <cell r="H381" t="str">
            <v xml:space="preserve">Edge 50 </v>
          </cell>
          <cell r="I381" t="str">
            <v>256 GB</v>
          </cell>
        </row>
        <row r="382">
          <cell r="C382" t="str">
            <v>Edge50256_SPC8440</v>
          </cell>
          <cell r="D382" t="str">
            <v>MAGAZINE LUIZA - RUA AMAZONAS DA SILVA, 27 - ZONA COMERCIAL - SPC8440</v>
          </cell>
          <cell r="E382" t="str">
            <v>MAGAZINE LUIZA</v>
          </cell>
          <cell r="F382" t="str">
            <v>RUA</v>
          </cell>
          <cell r="G382" t="str">
            <v>RUA AMAZONAS DA SILVA, 27</v>
          </cell>
          <cell r="H382" t="str">
            <v xml:space="preserve">Edge 50 </v>
          </cell>
          <cell r="I382" t="str">
            <v>256 GB</v>
          </cell>
        </row>
        <row r="383">
          <cell r="C383" t="str">
            <v>Edge50256_SPC7607</v>
          </cell>
          <cell r="D383" t="str">
            <v>CASAS BAHIA - RODOVIA PRESIDENTE DUTRA KM 230, S/N - SHOPPING INTERNACIONAL GUARULHOS - SPC7607</v>
          </cell>
          <cell r="E383" t="str">
            <v>CASAS BAHIA</v>
          </cell>
          <cell r="F383" t="str">
            <v>SHOPPING</v>
          </cell>
          <cell r="G383" t="str">
            <v>RODOVIA PRESIDENTE DUTRA KM 230, S/N</v>
          </cell>
          <cell r="H383" t="str">
            <v xml:space="preserve">Edge 50 </v>
          </cell>
          <cell r="I383" t="str">
            <v>256 GB</v>
          </cell>
        </row>
        <row r="384">
          <cell r="C384" t="str">
            <v>Edge50256_SPC11273</v>
          </cell>
          <cell r="D384" t="str">
            <v>CASAS BAHIA - AVENIDA JUSCELINO KUBITSCHEK DE OLIVEIRA, 5308 - SHOPPING BONSUCESSO - SPC11273</v>
          </cell>
          <cell r="E384" t="str">
            <v>CASAS BAHIA</v>
          </cell>
          <cell r="F384" t="str">
            <v>SHOPPING</v>
          </cell>
          <cell r="G384" t="str">
            <v>AVENIDA JUSCELINO KUBITSCHEK DE OLIVEIRA, 5308</v>
          </cell>
          <cell r="H384" t="str">
            <v xml:space="preserve">Edge 50 </v>
          </cell>
          <cell r="I384" t="str">
            <v>256 GB</v>
          </cell>
        </row>
        <row r="385">
          <cell r="C385" t="str">
            <v>Edge50256_SPC11005</v>
          </cell>
          <cell r="D385" t="str">
            <v>CASAS BAHIA - AVENIDA INDUSTRIAL, 600 - SHOPPING GRAND PLAZA - SPC11005</v>
          </cell>
          <cell r="E385" t="str">
            <v>CASAS BAHIA</v>
          </cell>
          <cell r="F385" t="str">
            <v>SHOPPING</v>
          </cell>
          <cell r="G385" t="str">
            <v>AVENIDA INDUSTRIAL, 600</v>
          </cell>
          <cell r="H385" t="str">
            <v xml:space="preserve">Edge 50 </v>
          </cell>
          <cell r="I385" t="str">
            <v>256 GB</v>
          </cell>
        </row>
        <row r="386">
          <cell r="C386" t="str">
            <v>Edge50256_SPC8715</v>
          </cell>
          <cell r="D386" t="str">
            <v>CASAS BAHIA - AVENIDA GOVERNADOR MARIO COVAS JUNIOR, 1 - SHOPPING MAUA - SPC8715</v>
          </cell>
          <cell r="E386" t="str">
            <v>CASAS BAHIA</v>
          </cell>
          <cell r="F386" t="str">
            <v>SHOPPING</v>
          </cell>
          <cell r="G386" t="str">
            <v>AVENIDA GOVERNADOR MARIO COVAS JUNIOR, 1</v>
          </cell>
          <cell r="H386" t="str">
            <v xml:space="preserve">Edge 50 </v>
          </cell>
          <cell r="I386" t="str">
            <v>256 GB</v>
          </cell>
        </row>
        <row r="387">
          <cell r="C387" t="str">
            <v>Edge50256_SPC11374</v>
          </cell>
          <cell r="D387" t="str">
            <v>CASAS BAHIA - AVENIDA PEREIRA BARRETO, 42 - SHOPPING ABC - SPC11374</v>
          </cell>
          <cell r="E387" t="str">
            <v>CASAS BAHIA</v>
          </cell>
          <cell r="F387" t="str">
            <v>SHOPPING</v>
          </cell>
          <cell r="G387" t="str">
            <v>AVENIDA PEREIRA BARRETO, 42</v>
          </cell>
          <cell r="H387" t="str">
            <v xml:space="preserve">Edge 50 </v>
          </cell>
          <cell r="I387" t="str">
            <v>256 GB</v>
          </cell>
        </row>
        <row r="388">
          <cell r="C388" t="str">
            <v>Edge50256_SPC6700</v>
          </cell>
          <cell r="D388" t="str">
            <v>CASAS BAHIA - RUA MARECHAL DEODORO, 987 - ZONA COMERCIAL - SPC6700</v>
          </cell>
          <cell r="E388" t="str">
            <v>CASAS BAHIA</v>
          </cell>
          <cell r="F388" t="str">
            <v>RUA</v>
          </cell>
          <cell r="G388" t="str">
            <v>RUA MARECHAL DEODORO, 987</v>
          </cell>
          <cell r="H388" t="str">
            <v xml:space="preserve">Edge 50 </v>
          </cell>
          <cell r="I388" t="str">
            <v>256 GB</v>
          </cell>
        </row>
        <row r="389">
          <cell r="C389" t="str">
            <v>Edge50256_SPC7069</v>
          </cell>
          <cell r="D389" t="str">
            <v>CASAS BAHIA - RUA DOMINGOS DE MORAIS, 2564 - SHOPPING METRO SANTA CRUZ - SPC7069</v>
          </cell>
          <cell r="E389" t="str">
            <v>CASAS BAHIA</v>
          </cell>
          <cell r="F389" t="str">
            <v>SHOPPING</v>
          </cell>
          <cell r="G389" t="str">
            <v>RUA DOMINGOS DE MORAIS, 2564</v>
          </cell>
          <cell r="H389" t="str">
            <v xml:space="preserve">Edge 50 </v>
          </cell>
          <cell r="I389" t="str">
            <v>256 GB</v>
          </cell>
        </row>
        <row r="390">
          <cell r="C390" t="str">
            <v>Edge50256_SPC6505</v>
          </cell>
          <cell r="D390" t="str">
            <v>CASAS BAHIA - RUA TEODORO SAMPAIO, 2522 - ZONA COMERCIAL - SPC6505</v>
          </cell>
          <cell r="E390" t="str">
            <v>CASAS BAHIA</v>
          </cell>
          <cell r="F390" t="str">
            <v>RUA</v>
          </cell>
          <cell r="G390" t="str">
            <v>RUA TEODORO SAMPAIO, 2522</v>
          </cell>
          <cell r="H390" t="str">
            <v xml:space="preserve">Edge 50 </v>
          </cell>
          <cell r="I390" t="str">
            <v>256 GB</v>
          </cell>
        </row>
        <row r="391">
          <cell r="C391" t="str">
            <v>Edge50256_SPC234770</v>
          </cell>
          <cell r="D391" t="str">
            <v>CASAS BAHIA - ESTRADA DA COLINA, 1048 - SPC234770</v>
          </cell>
          <cell r="E391" t="str">
            <v>CASAS BAHIA</v>
          </cell>
          <cell r="F391" t="str">
            <v>RUA</v>
          </cell>
          <cell r="G391" t="str">
            <v>ESTRADA DA COLINA, 1048</v>
          </cell>
          <cell r="H391" t="str">
            <v xml:space="preserve">Edge 50 </v>
          </cell>
          <cell r="I391" t="str">
            <v>256 GB</v>
          </cell>
        </row>
        <row r="392">
          <cell r="C392" t="str">
            <v>Edge50512_SPC7613</v>
          </cell>
          <cell r="D392" t="str">
            <v>CASAS BAHIA - AVENIDA INTERLAGOS, 2255 - SHOPPING INTERLAGOS - SPC7613</v>
          </cell>
          <cell r="E392" t="str">
            <v>CASAS BAHIA</v>
          </cell>
          <cell r="F392" t="str">
            <v>SHOPPING</v>
          </cell>
          <cell r="G392" t="str">
            <v>AVENIDA INTERLAGOS, 2255</v>
          </cell>
          <cell r="H392" t="str">
            <v xml:space="preserve">Edge 50 </v>
          </cell>
          <cell r="I392" t="str">
            <v>512 GB</v>
          </cell>
        </row>
        <row r="393">
          <cell r="C393" t="str">
            <v>Edge50512_SPC7612</v>
          </cell>
          <cell r="D393" t="str">
            <v>PONTO FRIO - AVENIDA INTERLAGOS, 2255 - SHOPPING INTERLAGOS - SPC7612</v>
          </cell>
          <cell r="E393" t="str">
            <v xml:space="preserve">PONTO FRIO </v>
          </cell>
          <cell r="F393" t="str">
            <v>SHOPPING</v>
          </cell>
          <cell r="G393" t="str">
            <v>AVENIDA INTERLAGOS, 2255</v>
          </cell>
          <cell r="H393" t="str">
            <v xml:space="preserve">Edge 50 </v>
          </cell>
          <cell r="I393" t="str">
            <v>512 GB</v>
          </cell>
        </row>
        <row r="394">
          <cell r="C394" t="str">
            <v>Edge50512_SPC7614</v>
          </cell>
          <cell r="D394" t="str">
            <v>LOJAS AMERICANAS - AVENIDA INTERLAGOS, 2255 - SHOPPING INTERLAGOS - SPC7614</v>
          </cell>
          <cell r="E394" t="str">
            <v>LOJAS AMERICANAS</v>
          </cell>
          <cell r="F394" t="str">
            <v>SHOPPING</v>
          </cell>
          <cell r="G394" t="str">
            <v>AVENIDA INTERLAGOS, 2255</v>
          </cell>
          <cell r="H394" t="str">
            <v xml:space="preserve">Edge 50 </v>
          </cell>
          <cell r="I394" t="str">
            <v>512 GB</v>
          </cell>
        </row>
        <row r="395">
          <cell r="C395" t="str">
            <v>Edge50512_SPC11232</v>
          </cell>
          <cell r="D395" t="str">
            <v>CASAS BAHIA - PRACA FLORIANO PEIXOTO, 38 - ZONA COMERCIAL - SPC11232</v>
          </cell>
          <cell r="E395" t="str">
            <v>CASAS BAHIA</v>
          </cell>
          <cell r="F395" t="str">
            <v>RUA</v>
          </cell>
          <cell r="G395" t="str">
            <v>PRACA FLORIANO PEIXOTO, 38</v>
          </cell>
          <cell r="H395" t="str">
            <v xml:space="preserve">Edge 50 </v>
          </cell>
          <cell r="I395" t="str">
            <v>512 GB</v>
          </cell>
        </row>
        <row r="396">
          <cell r="C396" t="str">
            <v>Edge50512_SPC287350</v>
          </cell>
          <cell r="D396" t="str">
            <v>CASAS BAHIA - AVENIDA NACOES UNIDAS, 12995 - SPC287350</v>
          </cell>
          <cell r="E396" t="str">
            <v>CASAS BAHIA</v>
          </cell>
          <cell r="F396" t="str">
            <v>RUA</v>
          </cell>
          <cell r="G396" t="str">
            <v>AVENIDA NACOES UNIDAS, 12995</v>
          </cell>
          <cell r="H396" t="str">
            <v xml:space="preserve">Edge 50 </v>
          </cell>
          <cell r="I396" t="str">
            <v>512 GB</v>
          </cell>
        </row>
        <row r="397">
          <cell r="C397" t="str">
            <v>Edge50512_SPC252260</v>
          </cell>
          <cell r="D397" t="str">
            <v>CASAS BAHIA - AVENIDA EMBAIXADOR MACEDO SOARES, 9175 - SPC252260</v>
          </cell>
          <cell r="E397" t="str">
            <v>CASAS BAHIA</v>
          </cell>
          <cell r="F397" t="str">
            <v>RUA</v>
          </cell>
          <cell r="G397" t="str">
            <v>AVENIDA EMBAIXADOR MACEDO SOARES, 9175</v>
          </cell>
          <cell r="H397" t="str">
            <v xml:space="preserve">Edge 50 </v>
          </cell>
          <cell r="I397" t="str">
            <v>512 GB</v>
          </cell>
        </row>
        <row r="398">
          <cell r="C398" t="str">
            <v>Edge50512_SPC22892</v>
          </cell>
          <cell r="D398" t="str">
            <v>CASAS BAHIA - AVENIDA ARICANDUVA, 5555 (LOJA 2) - SHOPPING ARICANDUVA - SPC22892</v>
          </cell>
          <cell r="E398" t="str">
            <v>CASAS BAHIA</v>
          </cell>
          <cell r="F398" t="str">
            <v>SHOPPING</v>
          </cell>
          <cell r="G398" t="str">
            <v>AVENIDA ARICANDUVA, 5555 (LOJA 2)</v>
          </cell>
          <cell r="H398" t="str">
            <v xml:space="preserve">Edge 50 </v>
          </cell>
          <cell r="I398" t="str">
            <v>512 GB</v>
          </cell>
        </row>
        <row r="399">
          <cell r="C399" t="str">
            <v>Edge50512_SPC7610</v>
          </cell>
          <cell r="D399" t="str">
            <v>CASAS BAHIA - AVENIDA ARICANDUVA, 5555 (LOJA 1) - SHOPPING ARICANDUVA - SPC7610</v>
          </cell>
          <cell r="E399" t="str">
            <v>CASAS BAHIA</v>
          </cell>
          <cell r="F399" t="str">
            <v>SHOPPING</v>
          </cell>
          <cell r="G399" t="str">
            <v>AVENIDA ARICANDUVA, 5555 (LOJA 1)</v>
          </cell>
          <cell r="H399" t="str">
            <v xml:space="preserve">Edge 50 </v>
          </cell>
          <cell r="I399" t="str">
            <v>512 GB</v>
          </cell>
        </row>
        <row r="400">
          <cell r="C400" t="str">
            <v>Edge50512_SPC8803</v>
          </cell>
          <cell r="D400" t="str">
            <v>PONTO FRIO - AVENIDA ARICANDUVA, 5555 (LOJA 2) - SHOPPING ARICANDUVA - SPC8803</v>
          </cell>
          <cell r="E400" t="str">
            <v xml:space="preserve">PONTO FRIO </v>
          </cell>
          <cell r="F400" t="str">
            <v>SHOPPING</v>
          </cell>
          <cell r="G400" t="str">
            <v>AVENIDA ARICANDUVA, 5555 (LOJA 2)</v>
          </cell>
          <cell r="H400" t="str">
            <v xml:space="preserve">Edge 50 </v>
          </cell>
          <cell r="I400" t="str">
            <v>512 GB</v>
          </cell>
        </row>
        <row r="401">
          <cell r="C401" t="str">
            <v>Edge50512_SPC6374</v>
          </cell>
          <cell r="D401" t="str">
            <v>MAGAZINE LUIZA - AVENIDA ARICANDUVA, 5555 - SHOPPING ARICANDUVA - SPC6374</v>
          </cell>
          <cell r="E401" t="str">
            <v>MAGAZINE LUIZA</v>
          </cell>
          <cell r="F401" t="str">
            <v>SHOPPING</v>
          </cell>
          <cell r="G401" t="str">
            <v>AVENIDA ARICANDUVA, 5555</v>
          </cell>
          <cell r="H401" t="str">
            <v xml:space="preserve">Edge 50 </v>
          </cell>
          <cell r="I401" t="str">
            <v>512 GB</v>
          </cell>
        </row>
        <row r="402">
          <cell r="C402" t="str">
            <v>Edge50512_SPC7759</v>
          </cell>
          <cell r="D402" t="str">
            <v>CASAS BAHIA - AVENIDA JOSE PINHEIRO BORGES, S/N - SHOPPING METRO ITAQUERA - SPC7759</v>
          </cell>
          <cell r="E402" t="str">
            <v>CASAS BAHIA</v>
          </cell>
          <cell r="F402" t="str">
            <v>SHOPPING</v>
          </cell>
          <cell r="G402" t="str">
            <v>AVENIDA JOSE PINHEIRO BORGES, S/N</v>
          </cell>
          <cell r="H402" t="str">
            <v xml:space="preserve">Edge 50 </v>
          </cell>
          <cell r="I402" t="str">
            <v>512 GB</v>
          </cell>
        </row>
        <row r="403">
          <cell r="C403" t="str">
            <v>Edge50512_SPC9927</v>
          </cell>
          <cell r="D403" t="str">
            <v>CASAS BAHIA - RODOVIA REGIS BITTENCOURT KM 271, 2643 - SHOPPING TABOAO DA SERRA - SPC9927</v>
          </cell>
          <cell r="E403" t="str">
            <v>CASAS BAHIA</v>
          </cell>
          <cell r="F403" t="str">
            <v>SHOPPING</v>
          </cell>
          <cell r="G403" t="str">
            <v>RODOVIA REGIS BITTENCOURT KM 271, 2643</v>
          </cell>
          <cell r="H403" t="str">
            <v xml:space="preserve">Edge 50 </v>
          </cell>
          <cell r="I403" t="str">
            <v>512 GB</v>
          </cell>
        </row>
        <row r="404">
          <cell r="C404" t="str">
            <v>Edge50512_SPC10966</v>
          </cell>
          <cell r="D404" t="str">
            <v>CASAS BAHIA - ESTRADA DO CAMPO LIMPO, 459 - SHOPPING CAMPO LIMPO - SPC10966</v>
          </cell>
          <cell r="E404" t="str">
            <v>CASAS BAHIA</v>
          </cell>
          <cell r="F404" t="str">
            <v>SHOPPING</v>
          </cell>
          <cell r="G404" t="str">
            <v>ESTRADA DO CAMPO LIMPO, 459</v>
          </cell>
          <cell r="H404" t="str">
            <v xml:space="preserve">Edge 50 </v>
          </cell>
          <cell r="I404" t="str">
            <v>512 GB</v>
          </cell>
        </row>
        <row r="405">
          <cell r="C405" t="str">
            <v>Edge50512_SPC11008</v>
          </cell>
          <cell r="D405" t="str">
            <v>CASAS BAHIA - LARGO 13 DE MAIO, 308 - ZONA COMERCIAL - SPC11008</v>
          </cell>
          <cell r="E405" t="str">
            <v>CASAS BAHIA</v>
          </cell>
          <cell r="F405" t="str">
            <v>RUA</v>
          </cell>
          <cell r="G405" t="str">
            <v>LARGO 13 DE MAIO, 308</v>
          </cell>
          <cell r="H405" t="str">
            <v xml:space="preserve">Edge 50 </v>
          </cell>
          <cell r="I405" t="str">
            <v>512 GB</v>
          </cell>
        </row>
        <row r="406">
          <cell r="C406" t="str">
            <v>Edge50512_SPC7621</v>
          </cell>
          <cell r="D406" t="str">
            <v>PONTO FRIO - RUA CAPITAO TIAGO LUZ, 146 - ZONA COMERCIAL - SPC7621</v>
          </cell>
          <cell r="E406" t="str">
            <v xml:space="preserve">PONTO FRIO </v>
          </cell>
          <cell r="F406" t="str">
            <v>RUA</v>
          </cell>
          <cell r="G406" t="str">
            <v>RUA CAPITAO TIAGO LUZ, 146</v>
          </cell>
          <cell r="H406" t="str">
            <v xml:space="preserve">Edge 50 </v>
          </cell>
          <cell r="I406" t="str">
            <v>512 GB</v>
          </cell>
        </row>
        <row r="407">
          <cell r="C407" t="str">
            <v>Edge50512_SPC6352</v>
          </cell>
          <cell r="D407" t="str">
            <v>CASAS BAHIA - RUA TENENTE AVELAR PIRES DE AZEVEDO, 81 - SHOPPING OSASCO PLAZA - SPC6352</v>
          </cell>
          <cell r="E407" t="str">
            <v>CASAS BAHIA</v>
          </cell>
          <cell r="F407" t="str">
            <v>SHOPPING</v>
          </cell>
          <cell r="G407" t="str">
            <v>RUA TENENTE AVELAR PIRES DE AZEVEDO, 81</v>
          </cell>
          <cell r="H407" t="str">
            <v xml:space="preserve">Edge 50 </v>
          </cell>
          <cell r="I407" t="str">
            <v>512 GB</v>
          </cell>
        </row>
        <row r="408">
          <cell r="C408" t="str">
            <v>Edge50512_SPC6445</v>
          </cell>
          <cell r="D408" t="str">
            <v>CASAS BAHIA - AVENIDA PIRACEMA, 669 - SHOPPING TAMBORE - SPC6445</v>
          </cell>
          <cell r="E408" t="str">
            <v>CASAS BAHIA</v>
          </cell>
          <cell r="F408" t="str">
            <v>SHOPPING</v>
          </cell>
          <cell r="G408" t="str">
            <v>AVENIDA PIRACEMA, 669</v>
          </cell>
          <cell r="H408" t="str">
            <v xml:space="preserve">Edge 50 </v>
          </cell>
          <cell r="I408" t="str">
            <v>512 GB</v>
          </cell>
        </row>
        <row r="409">
          <cell r="C409" t="str">
            <v>Edge50512_SPC6397</v>
          </cell>
          <cell r="D409" t="str">
            <v>CASAS BAHIA - AVENIDA DOS AUTONOMISTAS, 1400 - SHOPPING UNIAO - SPC6397</v>
          </cell>
          <cell r="E409" t="str">
            <v>CASAS BAHIA</v>
          </cell>
          <cell r="F409" t="str">
            <v>SHOPPING</v>
          </cell>
          <cell r="G409" t="str">
            <v>AVENIDA DOS AUTONOMISTAS, 1400</v>
          </cell>
          <cell r="H409" t="str">
            <v xml:space="preserve">Edge 50 </v>
          </cell>
          <cell r="I409" t="str">
            <v>512 GB</v>
          </cell>
        </row>
        <row r="410">
          <cell r="C410" t="str">
            <v>Edge50512_SPC11278</v>
          </cell>
          <cell r="D410" t="str">
            <v>PONTO FRIO - RUA ANTONIO AGU, 155 - ZONA COMERCIAL - SPC11278</v>
          </cell>
          <cell r="E410" t="str">
            <v xml:space="preserve">PONTO FRIO </v>
          </cell>
          <cell r="F410" t="str">
            <v>RUA</v>
          </cell>
          <cell r="G410" t="str">
            <v>RUA ANTONIO AGU, 155</v>
          </cell>
          <cell r="H410" t="str">
            <v xml:space="preserve">Edge 50 </v>
          </cell>
          <cell r="I410" t="str">
            <v>512 GB</v>
          </cell>
        </row>
        <row r="411">
          <cell r="C411" t="str">
            <v>Edge50512_SPC7644</v>
          </cell>
          <cell r="D411" t="str">
            <v>CASAS BAHIA - TRAVESSA CASALBUONO, 120 - SHOPPING CENTER NORTE - SPC7644</v>
          </cell>
          <cell r="E411" t="str">
            <v>CASAS BAHIA</v>
          </cell>
          <cell r="F411" t="str">
            <v>SHOPPING</v>
          </cell>
          <cell r="G411" t="str">
            <v>TRAVESSA CASALBUONO, 120</v>
          </cell>
          <cell r="H411" t="str">
            <v xml:space="preserve">Edge 50 </v>
          </cell>
          <cell r="I411" t="str">
            <v>512 GB</v>
          </cell>
        </row>
        <row r="412">
          <cell r="C412" t="str">
            <v>Edge50512_SPC8440</v>
          </cell>
          <cell r="D412" t="str">
            <v>MAGAZINE LUIZA - RUA AMAZONAS DA SILVA, 27 - ZONA COMERCIAL - SPC8440</v>
          </cell>
          <cell r="E412" t="str">
            <v>MAGAZINE LUIZA</v>
          </cell>
          <cell r="F412" t="str">
            <v>RUA</v>
          </cell>
          <cell r="G412" t="str">
            <v>RUA AMAZONAS DA SILVA, 27</v>
          </cell>
          <cell r="H412" t="str">
            <v xml:space="preserve">Edge 50 </v>
          </cell>
          <cell r="I412" t="str">
            <v>512 GB</v>
          </cell>
        </row>
        <row r="413">
          <cell r="C413" t="str">
            <v>Edge50512_SPC7607</v>
          </cell>
          <cell r="D413" t="str">
            <v>CASAS BAHIA - RODOVIA PRESIDENTE DUTRA KM 230, S/N - SHOPPING INTERNACIONAL GUARULHOS - SPC7607</v>
          </cell>
          <cell r="E413" t="str">
            <v>CASAS BAHIA</v>
          </cell>
          <cell r="F413" t="str">
            <v>SHOPPING</v>
          </cell>
          <cell r="G413" t="str">
            <v>RODOVIA PRESIDENTE DUTRA KM 230, S/N</v>
          </cell>
          <cell r="H413" t="str">
            <v xml:space="preserve">Edge 50 </v>
          </cell>
          <cell r="I413" t="str">
            <v>512 GB</v>
          </cell>
        </row>
        <row r="414">
          <cell r="C414" t="str">
            <v>Edge50512_SPC11273</v>
          </cell>
          <cell r="D414" t="str">
            <v>CASAS BAHIA - AVENIDA JUSCELINO KUBITSCHEK DE OLIVEIRA, 5308 - SHOPPING BONSUCESSO - SPC11273</v>
          </cell>
          <cell r="E414" t="str">
            <v>CASAS BAHIA</v>
          </cell>
          <cell r="F414" t="str">
            <v>SHOPPING</v>
          </cell>
          <cell r="G414" t="str">
            <v>AVENIDA JUSCELINO KUBITSCHEK DE OLIVEIRA, 5308</v>
          </cell>
          <cell r="H414" t="str">
            <v xml:space="preserve">Edge 50 </v>
          </cell>
          <cell r="I414" t="str">
            <v>512 GB</v>
          </cell>
        </row>
        <row r="415">
          <cell r="C415" t="str">
            <v>Edge50512_SPC11005</v>
          </cell>
          <cell r="D415" t="str">
            <v>CASAS BAHIA - AVENIDA INDUSTRIAL, 600 - SHOPPING GRAND PLAZA - SPC11005</v>
          </cell>
          <cell r="E415" t="str">
            <v>CASAS BAHIA</v>
          </cell>
          <cell r="F415" t="str">
            <v>SHOPPING</v>
          </cell>
          <cell r="G415" t="str">
            <v>AVENIDA INDUSTRIAL, 600</v>
          </cell>
          <cell r="H415" t="str">
            <v xml:space="preserve">Edge 50 </v>
          </cell>
          <cell r="I415" t="str">
            <v>512 GB</v>
          </cell>
        </row>
        <row r="416">
          <cell r="C416" t="str">
            <v>Edge50512_SPC8715</v>
          </cell>
          <cell r="D416" t="str">
            <v>CASAS BAHIA - AVENIDA GOVERNADOR MARIO COVAS JUNIOR, 1 - SHOPPING MAUA - SPC8715</v>
          </cell>
          <cell r="E416" t="str">
            <v>CASAS BAHIA</v>
          </cell>
          <cell r="F416" t="str">
            <v>SHOPPING</v>
          </cell>
          <cell r="G416" t="str">
            <v>AVENIDA GOVERNADOR MARIO COVAS JUNIOR, 1</v>
          </cell>
          <cell r="H416" t="str">
            <v xml:space="preserve">Edge 50 </v>
          </cell>
          <cell r="I416" t="str">
            <v>512 GB</v>
          </cell>
        </row>
        <row r="417">
          <cell r="C417" t="str">
            <v>Edge50512_SPC11374</v>
          </cell>
          <cell r="D417" t="str">
            <v>CASAS BAHIA - AVENIDA PEREIRA BARRETO, 42 - SHOPPING ABC - SPC11374</v>
          </cell>
          <cell r="E417" t="str">
            <v>CASAS BAHIA</v>
          </cell>
          <cell r="F417" t="str">
            <v>SHOPPING</v>
          </cell>
          <cell r="G417" t="str">
            <v>AVENIDA PEREIRA BARRETO, 42</v>
          </cell>
          <cell r="H417" t="str">
            <v xml:space="preserve">Edge 50 </v>
          </cell>
          <cell r="I417" t="str">
            <v>512 GB</v>
          </cell>
        </row>
        <row r="418">
          <cell r="C418" t="str">
            <v>Edge50512_SPC6700</v>
          </cell>
          <cell r="D418" t="str">
            <v>CASAS BAHIA - RUA MARECHAL DEODORO, 987 - ZONA COMERCIAL - SPC6700</v>
          </cell>
          <cell r="E418" t="str">
            <v>CASAS BAHIA</v>
          </cell>
          <cell r="F418" t="str">
            <v>RUA</v>
          </cell>
          <cell r="G418" t="str">
            <v>RUA MARECHAL DEODORO, 987</v>
          </cell>
          <cell r="H418" t="str">
            <v xml:space="preserve">Edge 50 </v>
          </cell>
          <cell r="I418" t="str">
            <v>512 GB</v>
          </cell>
        </row>
        <row r="419">
          <cell r="C419" t="str">
            <v>Edge50512_SPC7069</v>
          </cell>
          <cell r="D419" t="str">
            <v>CASAS BAHIA - RUA DOMINGOS DE MORAIS, 2564 - SHOPPING METRO SANTA CRUZ - SPC7069</v>
          </cell>
          <cell r="E419" t="str">
            <v>CASAS BAHIA</v>
          </cell>
          <cell r="F419" t="str">
            <v>SHOPPING</v>
          </cell>
          <cell r="G419" t="str">
            <v>RUA DOMINGOS DE MORAIS, 2564</v>
          </cell>
          <cell r="H419" t="str">
            <v xml:space="preserve">Edge 50 </v>
          </cell>
          <cell r="I419" t="str">
            <v>512 GB</v>
          </cell>
        </row>
        <row r="420">
          <cell r="C420" t="str">
            <v>Edge50512_SPC6505</v>
          </cell>
          <cell r="D420" t="str">
            <v>CASAS BAHIA - RUA TEODORO SAMPAIO, 2522 - ZONA COMERCIAL - SPC6505</v>
          </cell>
          <cell r="E420" t="str">
            <v>CASAS BAHIA</v>
          </cell>
          <cell r="F420" t="str">
            <v>RUA</v>
          </cell>
          <cell r="G420" t="str">
            <v>RUA TEODORO SAMPAIO, 2522</v>
          </cell>
          <cell r="H420" t="str">
            <v xml:space="preserve">Edge 50 </v>
          </cell>
          <cell r="I420" t="str">
            <v>512 GB</v>
          </cell>
        </row>
        <row r="421">
          <cell r="C421" t="str">
            <v>Edge50512_SPC234770</v>
          </cell>
          <cell r="D421" t="str">
            <v>CASAS BAHIA - ESTRADA DA COLINA, 1048 - SPC234770</v>
          </cell>
          <cell r="E421" t="str">
            <v>CASAS BAHIA</v>
          </cell>
          <cell r="F421" t="str">
            <v>RUA</v>
          </cell>
          <cell r="G421" t="str">
            <v>ESTRADA DA COLINA, 1048</v>
          </cell>
          <cell r="H421" t="str">
            <v xml:space="preserve">Edge 50 </v>
          </cell>
          <cell r="I421" t="str">
            <v>512 GB</v>
          </cell>
        </row>
        <row r="422">
          <cell r="C422" t="str">
            <v>Edge50Fusion256_SPC7613</v>
          </cell>
          <cell r="D422" t="str">
            <v>CASAS BAHIA - AVENIDA INTERLAGOS, 2255 - SHOPPING INTERLAGOS - SPC7613</v>
          </cell>
          <cell r="E422" t="str">
            <v>CASAS BAHIA</v>
          </cell>
          <cell r="F422" t="str">
            <v>SHOPPING</v>
          </cell>
          <cell r="G422" t="str">
            <v>AVENIDA INTERLAGOS, 2255</v>
          </cell>
          <cell r="H422" t="str">
            <v>Edge 50 Fusion</v>
          </cell>
          <cell r="I422" t="str">
            <v>256 GB</v>
          </cell>
        </row>
        <row r="423">
          <cell r="C423" t="str">
            <v>Edge50Fusion256_SPC7612</v>
          </cell>
          <cell r="D423" t="str">
            <v>PONTO FRIO - AVENIDA INTERLAGOS, 2255 - SHOPPING INTERLAGOS - SPC7612</v>
          </cell>
          <cell r="E423" t="str">
            <v xml:space="preserve">PONTO FRIO </v>
          </cell>
          <cell r="F423" t="str">
            <v>SHOPPING</v>
          </cell>
          <cell r="G423" t="str">
            <v>AVENIDA INTERLAGOS, 2255</v>
          </cell>
          <cell r="H423" t="str">
            <v>Edge 50 Fusion</v>
          </cell>
          <cell r="I423" t="str">
            <v>256 GB</v>
          </cell>
        </row>
        <row r="424">
          <cell r="C424" t="str">
            <v>Edge50Fusion256_SPC7614</v>
          </cell>
          <cell r="D424" t="str">
            <v>LOJAS AMERICANAS - AVENIDA INTERLAGOS, 2255 - SHOPPING INTERLAGOS - SPC7614</v>
          </cell>
          <cell r="E424" t="str">
            <v>LOJAS AMERICANAS</v>
          </cell>
          <cell r="F424" t="str">
            <v>SHOPPING</v>
          </cell>
          <cell r="G424" t="str">
            <v>AVENIDA INTERLAGOS, 2255</v>
          </cell>
          <cell r="H424" t="str">
            <v>Edge 50 Fusion</v>
          </cell>
          <cell r="I424" t="str">
            <v>256 GB</v>
          </cell>
        </row>
        <row r="425">
          <cell r="C425" t="str">
            <v>Edge50Fusion256_SPC11232</v>
          </cell>
          <cell r="D425" t="str">
            <v>CASAS BAHIA - PRACA FLORIANO PEIXOTO, 38 - ZONA COMERCIAL - SPC11232</v>
          </cell>
          <cell r="E425" t="str">
            <v>CASAS BAHIA</v>
          </cell>
          <cell r="F425" t="str">
            <v>RUA</v>
          </cell>
          <cell r="G425" t="str">
            <v>PRACA FLORIANO PEIXOTO, 38</v>
          </cell>
          <cell r="H425" t="str">
            <v>Edge 50 Fusion</v>
          </cell>
          <cell r="I425" t="str">
            <v>256 GB</v>
          </cell>
        </row>
        <row r="426">
          <cell r="C426" t="str">
            <v>Edge50Fusion256_SPC287350</v>
          </cell>
          <cell r="D426" t="str">
            <v>CASAS BAHIA - AVENIDA NACOES UNIDAS, 12995 - SPC287350</v>
          </cell>
          <cell r="E426" t="str">
            <v>CASAS BAHIA</v>
          </cell>
          <cell r="F426" t="str">
            <v>RUA</v>
          </cell>
          <cell r="G426" t="str">
            <v>AVENIDA NACOES UNIDAS, 12995</v>
          </cell>
          <cell r="H426" t="str">
            <v>Edge 50 Fusion</v>
          </cell>
          <cell r="I426" t="str">
            <v>256 GB</v>
          </cell>
        </row>
        <row r="427">
          <cell r="C427" t="str">
            <v>Edge50Fusion256_SPC252260</v>
          </cell>
          <cell r="D427" t="str">
            <v>CASAS BAHIA - AVENIDA EMBAIXADOR MACEDO SOARES, 9175 - SPC252260</v>
          </cell>
          <cell r="E427" t="str">
            <v>CASAS BAHIA</v>
          </cell>
          <cell r="F427" t="str">
            <v>RUA</v>
          </cell>
          <cell r="G427" t="str">
            <v>AVENIDA EMBAIXADOR MACEDO SOARES, 9175</v>
          </cell>
          <cell r="H427" t="str">
            <v>Edge 50 Fusion</v>
          </cell>
          <cell r="I427" t="str">
            <v>256 GB</v>
          </cell>
        </row>
        <row r="428">
          <cell r="C428" t="str">
            <v>Edge50Fusion256_SPC22892</v>
          </cell>
          <cell r="D428" t="str">
            <v>CASAS BAHIA - AVENIDA ARICANDUVA, 5555 (LOJA 2) - SHOPPING ARICANDUVA - SPC22892</v>
          </cell>
          <cell r="E428" t="str">
            <v>CASAS BAHIA</v>
          </cell>
          <cell r="F428" t="str">
            <v>SHOPPING</v>
          </cell>
          <cell r="G428" t="str">
            <v>AVENIDA ARICANDUVA, 5555 (LOJA 2)</v>
          </cell>
          <cell r="H428" t="str">
            <v>Edge 50 Fusion</v>
          </cell>
          <cell r="I428" t="str">
            <v>256 GB</v>
          </cell>
        </row>
        <row r="429">
          <cell r="C429" t="str">
            <v>Edge50Fusion256_SPC7610</v>
          </cell>
          <cell r="D429" t="str">
            <v>CASAS BAHIA - AVENIDA ARICANDUVA, 5555 (LOJA 1) - SHOPPING ARICANDUVA - SPC7610</v>
          </cell>
          <cell r="E429" t="str">
            <v>CASAS BAHIA</v>
          </cell>
          <cell r="F429" t="str">
            <v>SHOPPING</v>
          </cell>
          <cell r="G429" t="str">
            <v>AVENIDA ARICANDUVA, 5555 (LOJA 1)</v>
          </cell>
          <cell r="H429" t="str">
            <v>Edge 50 Fusion</v>
          </cell>
          <cell r="I429" t="str">
            <v>256 GB</v>
          </cell>
        </row>
        <row r="430">
          <cell r="C430" t="str">
            <v>Edge50Fusion256_SPC8803</v>
          </cell>
          <cell r="D430" t="str">
            <v>PONTO FRIO - AVENIDA ARICANDUVA, 5555 (LOJA 2) - SHOPPING ARICANDUVA - SPC8803</v>
          </cell>
          <cell r="E430" t="str">
            <v xml:space="preserve">PONTO FRIO </v>
          </cell>
          <cell r="F430" t="str">
            <v>SHOPPING</v>
          </cell>
          <cell r="G430" t="str">
            <v>AVENIDA ARICANDUVA, 5555 (LOJA 2)</v>
          </cell>
          <cell r="H430" t="str">
            <v>Edge 50 Fusion</v>
          </cell>
          <cell r="I430" t="str">
            <v>256 GB</v>
          </cell>
        </row>
        <row r="431">
          <cell r="C431" t="str">
            <v>Edge50Fusion256_SPC6374</v>
          </cell>
          <cell r="D431" t="str">
            <v>MAGAZINE LUIZA - AVENIDA ARICANDUVA, 5555 - SHOPPING ARICANDUVA - SPC6374</v>
          </cell>
          <cell r="E431" t="str">
            <v>MAGAZINE LUIZA</v>
          </cell>
          <cell r="F431" t="str">
            <v>SHOPPING</v>
          </cell>
          <cell r="G431" t="str">
            <v>AVENIDA ARICANDUVA, 5555</v>
          </cell>
          <cell r="H431" t="str">
            <v>Edge 50 Fusion</v>
          </cell>
          <cell r="I431" t="str">
            <v>256 GB</v>
          </cell>
        </row>
        <row r="432">
          <cell r="C432" t="str">
            <v>Edge50Fusion256_SPC7759</v>
          </cell>
          <cell r="D432" t="str">
            <v>CASAS BAHIA - AVENIDA JOSE PINHEIRO BORGES, S/N - SHOPPING METRO ITAQUERA - SPC7759</v>
          </cell>
          <cell r="E432" t="str">
            <v>CASAS BAHIA</v>
          </cell>
          <cell r="F432" t="str">
            <v>SHOPPING</v>
          </cell>
          <cell r="G432" t="str">
            <v>AVENIDA JOSE PINHEIRO BORGES, S/N</v>
          </cell>
          <cell r="H432" t="str">
            <v>Edge 50 Fusion</v>
          </cell>
          <cell r="I432" t="str">
            <v>256 GB</v>
          </cell>
        </row>
        <row r="433">
          <cell r="C433" t="str">
            <v>Edge50Fusion256_SPC9927</v>
          </cell>
          <cell r="D433" t="str">
            <v>CASAS BAHIA - RODOVIA REGIS BITTENCOURT KM 271, 2643 - SHOPPING TABOAO DA SERRA - SPC9927</v>
          </cell>
          <cell r="E433" t="str">
            <v>CASAS BAHIA</v>
          </cell>
          <cell r="F433" t="str">
            <v>SHOPPING</v>
          </cell>
          <cell r="G433" t="str">
            <v>RODOVIA REGIS BITTENCOURT KM 271, 2643</v>
          </cell>
          <cell r="H433" t="str">
            <v>Edge 50 Fusion</v>
          </cell>
          <cell r="I433" t="str">
            <v>256 GB</v>
          </cell>
        </row>
        <row r="434">
          <cell r="C434" t="str">
            <v>Edge50Fusion256_SPC10966</v>
          </cell>
          <cell r="D434" t="str">
            <v>CASAS BAHIA - ESTRADA DO CAMPO LIMPO, 459 - SHOPPING CAMPO LIMPO - SPC10966</v>
          </cell>
          <cell r="E434" t="str">
            <v>CASAS BAHIA</v>
          </cell>
          <cell r="F434" t="str">
            <v>SHOPPING</v>
          </cell>
          <cell r="G434" t="str">
            <v>ESTRADA DO CAMPO LIMPO, 459</v>
          </cell>
          <cell r="H434" t="str">
            <v>Edge 50 Fusion</v>
          </cell>
          <cell r="I434" t="str">
            <v>256 GB</v>
          </cell>
        </row>
        <row r="435">
          <cell r="C435" t="str">
            <v>Edge50Fusion256_SPC11008</v>
          </cell>
          <cell r="D435" t="str">
            <v>CASAS BAHIA - LARGO 13 DE MAIO, 308 - ZONA COMERCIAL - SPC11008</v>
          </cell>
          <cell r="E435" t="str">
            <v>CASAS BAHIA</v>
          </cell>
          <cell r="F435" t="str">
            <v>RUA</v>
          </cell>
          <cell r="G435" t="str">
            <v>LARGO 13 DE MAIO, 308</v>
          </cell>
          <cell r="H435" t="str">
            <v>Edge 50 Fusion</v>
          </cell>
          <cell r="I435" t="str">
            <v>256 GB</v>
          </cell>
        </row>
        <row r="436">
          <cell r="C436" t="str">
            <v>Edge50Fusion256_SPC7621</v>
          </cell>
          <cell r="D436" t="str">
            <v>PONTO FRIO - RUA CAPITAO TIAGO LUZ, 146 - ZONA COMERCIAL - SPC7621</v>
          </cell>
          <cell r="E436" t="str">
            <v xml:space="preserve">PONTO FRIO </v>
          </cell>
          <cell r="F436" t="str">
            <v>RUA</v>
          </cell>
          <cell r="G436" t="str">
            <v>RUA CAPITAO TIAGO LUZ, 146</v>
          </cell>
          <cell r="H436" t="str">
            <v>Edge 50 Fusion</v>
          </cell>
          <cell r="I436" t="str">
            <v>256 GB</v>
          </cell>
        </row>
        <row r="437">
          <cell r="C437" t="str">
            <v>Edge50Fusion256_SPC6352</v>
          </cell>
          <cell r="D437" t="str">
            <v>CASAS BAHIA - RUA TENENTE AVELAR PIRES DE AZEVEDO, 81 - SHOPPING OSASCO PLAZA - SPC6352</v>
          </cell>
          <cell r="E437" t="str">
            <v>CASAS BAHIA</v>
          </cell>
          <cell r="F437" t="str">
            <v>SHOPPING</v>
          </cell>
          <cell r="G437" t="str">
            <v>RUA TENENTE AVELAR PIRES DE AZEVEDO, 81</v>
          </cell>
          <cell r="H437" t="str">
            <v>Edge 50 Fusion</v>
          </cell>
          <cell r="I437" t="str">
            <v>256 GB</v>
          </cell>
        </row>
        <row r="438">
          <cell r="C438" t="str">
            <v>Edge50Fusion256_SPC6445</v>
          </cell>
          <cell r="D438" t="str">
            <v>CASAS BAHIA - AVENIDA PIRACEMA, 669 - SHOPPING TAMBORE - SPC6445</v>
          </cell>
          <cell r="E438" t="str">
            <v>CASAS BAHIA</v>
          </cell>
          <cell r="F438" t="str">
            <v>SHOPPING</v>
          </cell>
          <cell r="G438" t="str">
            <v>AVENIDA PIRACEMA, 669</v>
          </cell>
          <cell r="H438" t="str">
            <v>Edge 50 Fusion</v>
          </cell>
          <cell r="I438" t="str">
            <v>256 GB</v>
          </cell>
        </row>
        <row r="439">
          <cell r="C439" t="str">
            <v>Edge50Fusion256_SPC6397</v>
          </cell>
          <cell r="D439" t="str">
            <v>CASAS BAHIA - AVENIDA DOS AUTONOMISTAS, 1400 - SHOPPING UNIAO - SPC6397</v>
          </cell>
          <cell r="E439" t="str">
            <v>CASAS BAHIA</v>
          </cell>
          <cell r="F439" t="str">
            <v>SHOPPING</v>
          </cell>
          <cell r="G439" t="str">
            <v>AVENIDA DOS AUTONOMISTAS, 1400</v>
          </cell>
          <cell r="H439" t="str">
            <v>Edge 50 Fusion</v>
          </cell>
          <cell r="I439" t="str">
            <v>256 GB</v>
          </cell>
        </row>
        <row r="440">
          <cell r="C440" t="str">
            <v>Edge50Fusion256_SPC11278</v>
          </cell>
          <cell r="D440" t="str">
            <v>PONTO FRIO - RUA ANTONIO AGU, 155 - ZONA COMERCIAL - SPC11278</v>
          </cell>
          <cell r="E440" t="str">
            <v xml:space="preserve">PONTO FRIO </v>
          </cell>
          <cell r="F440" t="str">
            <v>RUA</v>
          </cell>
          <cell r="G440" t="str">
            <v>RUA ANTONIO AGU, 155</v>
          </cell>
          <cell r="H440" t="str">
            <v>Edge 50 Fusion</v>
          </cell>
          <cell r="I440" t="str">
            <v>256 GB</v>
          </cell>
        </row>
        <row r="441">
          <cell r="C441" t="str">
            <v>Edge50Fusion256_SPC7644</v>
          </cell>
          <cell r="D441" t="str">
            <v>CASAS BAHIA - TRAVESSA CASALBUONO, 120 - SHOPPING CENTER NORTE - SPC7644</v>
          </cell>
          <cell r="E441" t="str">
            <v>CASAS BAHIA</v>
          </cell>
          <cell r="F441" t="str">
            <v>SHOPPING</v>
          </cell>
          <cell r="G441" t="str">
            <v>TRAVESSA CASALBUONO, 120</v>
          </cell>
          <cell r="H441" t="str">
            <v>Edge 50 Fusion</v>
          </cell>
          <cell r="I441" t="str">
            <v>256 GB</v>
          </cell>
        </row>
        <row r="442">
          <cell r="C442" t="str">
            <v>Edge50Fusion256_SPC8440</v>
          </cell>
          <cell r="D442" t="str">
            <v>MAGAZINE LUIZA - RUA AMAZONAS DA SILVA, 27 - ZONA COMERCIAL - SPC8440</v>
          </cell>
          <cell r="E442" t="str">
            <v>MAGAZINE LUIZA</v>
          </cell>
          <cell r="F442" t="str">
            <v>RUA</v>
          </cell>
          <cell r="G442" t="str">
            <v>RUA AMAZONAS DA SILVA, 27</v>
          </cell>
          <cell r="H442" t="str">
            <v>Edge 50 Fusion</v>
          </cell>
          <cell r="I442" t="str">
            <v>256 GB</v>
          </cell>
        </row>
        <row r="443">
          <cell r="C443" t="str">
            <v>Edge50Fusion256_SPC7607</v>
          </cell>
          <cell r="D443" t="str">
            <v>CASAS BAHIA - RODOVIA PRESIDENTE DUTRA KM 230, S/N - SHOPPING INTERNACIONAL GUARULHOS - SPC7607</v>
          </cell>
          <cell r="E443" t="str">
            <v>CASAS BAHIA</v>
          </cell>
          <cell r="F443" t="str">
            <v>SHOPPING</v>
          </cell>
          <cell r="G443" t="str">
            <v>RODOVIA PRESIDENTE DUTRA KM 230, S/N</v>
          </cell>
          <cell r="H443" t="str">
            <v>Edge 50 Fusion</v>
          </cell>
          <cell r="I443" t="str">
            <v>256 GB</v>
          </cell>
        </row>
        <row r="444">
          <cell r="C444" t="str">
            <v>Edge50Fusion256_SPC11273</v>
          </cell>
          <cell r="D444" t="str">
            <v>CASAS BAHIA - AVENIDA JUSCELINO KUBITSCHEK DE OLIVEIRA, 5308 - SHOPPING BONSUCESSO - SPC11273</v>
          </cell>
          <cell r="E444" t="str">
            <v>CASAS BAHIA</v>
          </cell>
          <cell r="F444" t="str">
            <v>SHOPPING</v>
          </cell>
          <cell r="G444" t="str">
            <v>AVENIDA JUSCELINO KUBITSCHEK DE OLIVEIRA, 5308</v>
          </cell>
          <cell r="H444" t="str">
            <v>Edge 50 Fusion</v>
          </cell>
          <cell r="I444" t="str">
            <v>256 GB</v>
          </cell>
        </row>
        <row r="445">
          <cell r="C445" t="str">
            <v>Edge50Fusion256_SPC11005</v>
          </cell>
          <cell r="D445" t="str">
            <v>CASAS BAHIA - AVENIDA INDUSTRIAL, 600 - SHOPPING GRAND PLAZA - SPC11005</v>
          </cell>
          <cell r="E445" t="str">
            <v>CASAS BAHIA</v>
          </cell>
          <cell r="F445" t="str">
            <v>SHOPPING</v>
          </cell>
          <cell r="G445" t="str">
            <v>AVENIDA INDUSTRIAL, 600</v>
          </cell>
          <cell r="H445" t="str">
            <v>Edge 50 Fusion</v>
          </cell>
          <cell r="I445" t="str">
            <v>256 GB</v>
          </cell>
        </row>
        <row r="446">
          <cell r="C446" t="str">
            <v>Edge50Fusion256_SPC8715</v>
          </cell>
          <cell r="D446" t="str">
            <v>CASAS BAHIA - AVENIDA GOVERNADOR MARIO COVAS JUNIOR, 1 - SHOPPING MAUA - SPC8715</v>
          </cell>
          <cell r="E446" t="str">
            <v>CASAS BAHIA</v>
          </cell>
          <cell r="F446" t="str">
            <v>SHOPPING</v>
          </cell>
          <cell r="G446" t="str">
            <v>AVENIDA GOVERNADOR MARIO COVAS JUNIOR, 1</v>
          </cell>
          <cell r="H446" t="str">
            <v>Edge 50 Fusion</v>
          </cell>
          <cell r="I446" t="str">
            <v>256 GB</v>
          </cell>
        </row>
        <row r="447">
          <cell r="C447" t="str">
            <v>Edge50Fusion256_SPC11374</v>
          </cell>
          <cell r="D447" t="str">
            <v>CASAS BAHIA - AVENIDA PEREIRA BARRETO, 42 - SHOPPING ABC - SPC11374</v>
          </cell>
          <cell r="E447" t="str">
            <v>CASAS BAHIA</v>
          </cell>
          <cell r="F447" t="str">
            <v>SHOPPING</v>
          </cell>
          <cell r="G447" t="str">
            <v>AVENIDA PEREIRA BARRETO, 42</v>
          </cell>
          <cell r="H447" t="str">
            <v>Edge 50 Fusion</v>
          </cell>
          <cell r="I447" t="str">
            <v>256 GB</v>
          </cell>
        </row>
        <row r="448">
          <cell r="C448" t="str">
            <v>Edge50Fusion256_SPC6700</v>
          </cell>
          <cell r="D448" t="str">
            <v>CASAS BAHIA - RUA MARECHAL DEODORO, 987 - ZONA COMERCIAL - SPC6700</v>
          </cell>
          <cell r="E448" t="str">
            <v>CASAS BAHIA</v>
          </cell>
          <cell r="F448" t="str">
            <v>RUA</v>
          </cell>
          <cell r="G448" t="str">
            <v>RUA MARECHAL DEODORO, 987</v>
          </cell>
          <cell r="H448" t="str">
            <v>Edge 50 Fusion</v>
          </cell>
          <cell r="I448" t="str">
            <v>256 GB</v>
          </cell>
        </row>
        <row r="449">
          <cell r="C449" t="str">
            <v>Edge50Fusion256_SPC7069</v>
          </cell>
          <cell r="D449" t="str">
            <v>CASAS BAHIA - RUA DOMINGOS DE MORAIS, 2564 - SHOPPING METRO SANTA CRUZ - SPC7069</v>
          </cell>
          <cell r="E449" t="str">
            <v>CASAS BAHIA</v>
          </cell>
          <cell r="F449" t="str">
            <v>SHOPPING</v>
          </cell>
          <cell r="G449" t="str">
            <v>RUA DOMINGOS DE MORAIS, 2564</v>
          </cell>
          <cell r="H449" t="str">
            <v>Edge 50 Fusion</v>
          </cell>
          <cell r="I449" t="str">
            <v>256 GB</v>
          </cell>
        </row>
        <row r="450">
          <cell r="C450" t="str">
            <v>Edge50Fusion256_SPC6505</v>
          </cell>
          <cell r="D450" t="str">
            <v>CASAS BAHIA - RUA TEODORO SAMPAIO, 2522 - ZONA COMERCIAL - SPC6505</v>
          </cell>
          <cell r="E450" t="str">
            <v>CASAS BAHIA</v>
          </cell>
          <cell r="F450" t="str">
            <v>RUA</v>
          </cell>
          <cell r="G450" t="str">
            <v>RUA TEODORO SAMPAIO, 2522</v>
          </cell>
          <cell r="H450" t="str">
            <v>Edge 50 Fusion</v>
          </cell>
          <cell r="I450" t="str">
            <v>256 GB</v>
          </cell>
        </row>
        <row r="451">
          <cell r="C451" t="str">
            <v>Edge50Fusion256_SPC234770</v>
          </cell>
          <cell r="D451" t="str">
            <v>CASAS BAHIA - ESTRADA DA COLINA, 1048 - SPC234770</v>
          </cell>
          <cell r="E451" t="str">
            <v>CASAS BAHIA</v>
          </cell>
          <cell r="F451" t="str">
            <v>RUA</v>
          </cell>
          <cell r="G451" t="str">
            <v>ESTRADA DA COLINA, 1048</v>
          </cell>
          <cell r="H451" t="str">
            <v>Edge 50 Fusion</v>
          </cell>
          <cell r="I451" t="str">
            <v>256 GB</v>
          </cell>
        </row>
        <row r="452">
          <cell r="C452" t="str">
            <v>Edge50Neo256_SPC7613</v>
          </cell>
          <cell r="D452" t="str">
            <v>CASAS BAHIA - AVENIDA INTERLAGOS, 2255 - SHOPPING INTERLAGOS - SPC7613</v>
          </cell>
          <cell r="E452" t="str">
            <v>CASAS BAHIA</v>
          </cell>
          <cell r="F452" t="str">
            <v>SHOPPING</v>
          </cell>
          <cell r="G452" t="str">
            <v>AVENIDA INTERLAGOS, 2255</v>
          </cell>
          <cell r="H452" t="str">
            <v>Edge 50 Neo</v>
          </cell>
          <cell r="I452" t="str">
            <v>256 GB</v>
          </cell>
        </row>
        <row r="453">
          <cell r="C453" t="str">
            <v>Edge50Neo256_SPC7612</v>
          </cell>
          <cell r="D453" t="str">
            <v>PONTO FRIO - AVENIDA INTERLAGOS, 2255 - SHOPPING INTERLAGOS - SPC7612</v>
          </cell>
          <cell r="E453" t="str">
            <v xml:space="preserve">PONTO FRIO </v>
          </cell>
          <cell r="F453" t="str">
            <v>SHOPPING</v>
          </cell>
          <cell r="G453" t="str">
            <v>AVENIDA INTERLAGOS, 2255</v>
          </cell>
          <cell r="H453" t="str">
            <v>Edge 50 Neo</v>
          </cell>
          <cell r="I453" t="str">
            <v>256 GB</v>
          </cell>
        </row>
        <row r="454">
          <cell r="C454" t="str">
            <v>Edge50Neo256_SPC7614</v>
          </cell>
          <cell r="D454" t="str">
            <v>LOJAS AMERICANAS - AVENIDA INTERLAGOS, 2255 - SHOPPING INTERLAGOS - SPC7614</v>
          </cell>
          <cell r="E454" t="str">
            <v>LOJAS AMERICANAS</v>
          </cell>
          <cell r="F454" t="str">
            <v>SHOPPING</v>
          </cell>
          <cell r="G454" t="str">
            <v>AVENIDA INTERLAGOS, 2255</v>
          </cell>
          <cell r="H454" t="str">
            <v>Edge 50 Neo</v>
          </cell>
          <cell r="I454" t="str">
            <v>256 GB</v>
          </cell>
        </row>
        <row r="455">
          <cell r="C455" t="str">
            <v>Edge50Neo256_SPC11232</v>
          </cell>
          <cell r="D455" t="str">
            <v>CASAS BAHIA - PRACA FLORIANO PEIXOTO, 38 - ZONA COMERCIAL - SPC11232</v>
          </cell>
          <cell r="E455" t="str">
            <v>CASAS BAHIA</v>
          </cell>
          <cell r="F455" t="str">
            <v>RUA</v>
          </cell>
          <cell r="G455" t="str">
            <v>PRACA FLORIANO PEIXOTO, 38</v>
          </cell>
          <cell r="H455" t="str">
            <v>Edge 50 Neo</v>
          </cell>
          <cell r="I455" t="str">
            <v>256 GB</v>
          </cell>
        </row>
        <row r="456">
          <cell r="C456" t="str">
            <v>Edge50Neo256_SPC287350</v>
          </cell>
          <cell r="D456" t="str">
            <v>CASAS BAHIA - AVENIDA NACOES UNIDAS, 12995 - SPC287350</v>
          </cell>
          <cell r="E456" t="str">
            <v>CASAS BAHIA</v>
          </cell>
          <cell r="F456" t="str">
            <v>RUA</v>
          </cell>
          <cell r="G456" t="str">
            <v>AVENIDA NACOES UNIDAS, 12995</v>
          </cell>
          <cell r="H456" t="str">
            <v>Edge 50 Neo</v>
          </cell>
          <cell r="I456" t="str">
            <v>256 GB</v>
          </cell>
        </row>
        <row r="457">
          <cell r="C457" t="str">
            <v>Edge50Neo256_SPC252260</v>
          </cell>
          <cell r="D457" t="str">
            <v>CASAS BAHIA - AVENIDA EMBAIXADOR MACEDO SOARES, 9175 - SPC252260</v>
          </cell>
          <cell r="E457" t="str">
            <v>CASAS BAHIA</v>
          </cell>
          <cell r="F457" t="str">
            <v>RUA</v>
          </cell>
          <cell r="G457" t="str">
            <v>AVENIDA EMBAIXADOR MACEDO SOARES, 9175</v>
          </cell>
          <cell r="H457" t="str">
            <v>Edge 50 Neo</v>
          </cell>
          <cell r="I457" t="str">
            <v>256 GB</v>
          </cell>
        </row>
        <row r="458">
          <cell r="C458" t="str">
            <v>Edge50Neo256_SPC22892</v>
          </cell>
          <cell r="D458" t="str">
            <v>CASAS BAHIA - AVENIDA ARICANDUVA, 5555 (LOJA 2) - SHOPPING ARICANDUVA - SPC22892</v>
          </cell>
          <cell r="E458" t="str">
            <v>CASAS BAHIA</v>
          </cell>
          <cell r="F458" t="str">
            <v>SHOPPING</v>
          </cell>
          <cell r="G458" t="str">
            <v>AVENIDA ARICANDUVA, 5555 (LOJA 2)</v>
          </cell>
          <cell r="H458" t="str">
            <v>Edge 50 Neo</v>
          </cell>
          <cell r="I458" t="str">
            <v>256 GB</v>
          </cell>
        </row>
        <row r="459">
          <cell r="C459" t="str">
            <v>Edge50Neo256_SPC7610</v>
          </cell>
          <cell r="D459" t="str">
            <v>CASAS BAHIA - AVENIDA ARICANDUVA, 5555 (LOJA 1) - SHOPPING ARICANDUVA - SPC7610</v>
          </cell>
          <cell r="E459" t="str">
            <v>CASAS BAHIA</v>
          </cell>
          <cell r="F459" t="str">
            <v>SHOPPING</v>
          </cell>
          <cell r="G459" t="str">
            <v>AVENIDA ARICANDUVA, 5555 (LOJA 1)</v>
          </cell>
          <cell r="H459" t="str">
            <v>Edge 50 Neo</v>
          </cell>
          <cell r="I459" t="str">
            <v>256 GB</v>
          </cell>
        </row>
        <row r="460">
          <cell r="C460" t="str">
            <v>Edge50Neo256_SPC8803</v>
          </cell>
          <cell r="D460" t="str">
            <v>PONTO FRIO - AVENIDA ARICANDUVA, 5555 (LOJA 2) - SHOPPING ARICANDUVA - SPC8803</v>
          </cell>
          <cell r="E460" t="str">
            <v xml:space="preserve">PONTO FRIO </v>
          </cell>
          <cell r="F460" t="str">
            <v>SHOPPING</v>
          </cell>
          <cell r="G460" t="str">
            <v>AVENIDA ARICANDUVA, 5555 (LOJA 2)</v>
          </cell>
          <cell r="H460" t="str">
            <v>Edge 50 Neo</v>
          </cell>
          <cell r="I460" t="str">
            <v>256 GB</v>
          </cell>
        </row>
        <row r="461">
          <cell r="C461" t="str">
            <v>Edge50Neo256_SPC6374</v>
          </cell>
          <cell r="D461" t="str">
            <v>MAGAZINE LUIZA - AVENIDA ARICANDUVA, 5555 - SHOPPING ARICANDUVA - SPC6374</v>
          </cell>
          <cell r="E461" t="str">
            <v>MAGAZINE LUIZA</v>
          </cell>
          <cell r="F461" t="str">
            <v>SHOPPING</v>
          </cell>
          <cell r="G461" t="str">
            <v>AVENIDA ARICANDUVA, 5555</v>
          </cell>
          <cell r="H461" t="str">
            <v>Edge 50 Neo</v>
          </cell>
          <cell r="I461" t="str">
            <v>256 GB</v>
          </cell>
        </row>
        <row r="462">
          <cell r="C462" t="str">
            <v>Edge50Neo256_SPC7759</v>
          </cell>
          <cell r="D462" t="str">
            <v>CASAS BAHIA - AVENIDA JOSE PINHEIRO BORGES, S/N - SHOPPING METRO ITAQUERA - SPC7759</v>
          </cell>
          <cell r="E462" t="str">
            <v>CASAS BAHIA</v>
          </cell>
          <cell r="F462" t="str">
            <v>SHOPPING</v>
          </cell>
          <cell r="G462" t="str">
            <v>AVENIDA JOSE PINHEIRO BORGES, S/N</v>
          </cell>
          <cell r="H462" t="str">
            <v>Edge 50 Neo</v>
          </cell>
          <cell r="I462" t="str">
            <v>256 GB</v>
          </cell>
        </row>
        <row r="463">
          <cell r="C463" t="str">
            <v>Edge50Neo256_SPC9927</v>
          </cell>
          <cell r="D463" t="str">
            <v>CASAS BAHIA - RODOVIA REGIS BITTENCOURT KM 271, 2643 - SHOPPING TABOAO DA SERRA - SPC9927</v>
          </cell>
          <cell r="E463" t="str">
            <v>CASAS BAHIA</v>
          </cell>
          <cell r="F463" t="str">
            <v>SHOPPING</v>
          </cell>
          <cell r="G463" t="str">
            <v>RODOVIA REGIS BITTENCOURT KM 271, 2643</v>
          </cell>
          <cell r="H463" t="str">
            <v>Edge 50 Neo</v>
          </cell>
          <cell r="I463" t="str">
            <v>256 GB</v>
          </cell>
        </row>
        <row r="464">
          <cell r="C464" t="str">
            <v>Edge50Neo256_SPC10966</v>
          </cell>
          <cell r="D464" t="str">
            <v>CASAS BAHIA - ESTRADA DO CAMPO LIMPO, 459 - SHOPPING CAMPO LIMPO - SPC10966</v>
          </cell>
          <cell r="E464" t="str">
            <v>CASAS BAHIA</v>
          </cell>
          <cell r="F464" t="str">
            <v>SHOPPING</v>
          </cell>
          <cell r="G464" t="str">
            <v>ESTRADA DO CAMPO LIMPO, 459</v>
          </cell>
          <cell r="H464" t="str">
            <v>Edge 50 Neo</v>
          </cell>
          <cell r="I464" t="str">
            <v>256 GB</v>
          </cell>
        </row>
        <row r="465">
          <cell r="C465" t="str">
            <v>Edge50Neo256_SPC11008</v>
          </cell>
          <cell r="D465" t="str">
            <v>CASAS BAHIA - LARGO 13 DE MAIO, 308 - ZONA COMERCIAL - SPC11008</v>
          </cell>
          <cell r="E465" t="str">
            <v>CASAS BAHIA</v>
          </cell>
          <cell r="F465" t="str">
            <v>RUA</v>
          </cell>
          <cell r="G465" t="str">
            <v>LARGO 13 DE MAIO, 308</v>
          </cell>
          <cell r="H465" t="str">
            <v>Edge 50 Neo</v>
          </cell>
          <cell r="I465" t="str">
            <v>256 GB</v>
          </cell>
        </row>
        <row r="466">
          <cell r="C466" t="str">
            <v>Edge50Neo256_SPC7621</v>
          </cell>
          <cell r="D466" t="str">
            <v>PONTO FRIO - RUA CAPITAO TIAGO LUZ, 146 - ZONA COMERCIAL - SPC7621</v>
          </cell>
          <cell r="E466" t="str">
            <v xml:space="preserve">PONTO FRIO </v>
          </cell>
          <cell r="F466" t="str">
            <v>RUA</v>
          </cell>
          <cell r="G466" t="str">
            <v>RUA CAPITAO TIAGO LUZ, 146</v>
          </cell>
          <cell r="H466" t="str">
            <v>Edge 50 Neo</v>
          </cell>
          <cell r="I466" t="str">
            <v>256 GB</v>
          </cell>
        </row>
        <row r="467">
          <cell r="C467" t="str">
            <v>Edge50Neo256_SPC6352</v>
          </cell>
          <cell r="D467" t="str">
            <v>CASAS BAHIA - RUA TENENTE AVELAR PIRES DE AZEVEDO, 81 - SHOPPING OSASCO PLAZA - SPC6352</v>
          </cell>
          <cell r="E467" t="str">
            <v>CASAS BAHIA</v>
          </cell>
          <cell r="F467" t="str">
            <v>SHOPPING</v>
          </cell>
          <cell r="G467" t="str">
            <v>RUA TENENTE AVELAR PIRES DE AZEVEDO, 81</v>
          </cell>
          <cell r="H467" t="str">
            <v>Edge 50 Neo</v>
          </cell>
          <cell r="I467" t="str">
            <v>256 GB</v>
          </cell>
        </row>
        <row r="468">
          <cell r="C468" t="str">
            <v>Edge50Neo256_SPC6445</v>
          </cell>
          <cell r="D468" t="str">
            <v>CASAS BAHIA - AVENIDA PIRACEMA, 669 - SHOPPING TAMBORE - SPC6445</v>
          </cell>
          <cell r="E468" t="str">
            <v>CASAS BAHIA</v>
          </cell>
          <cell r="F468" t="str">
            <v>SHOPPING</v>
          </cell>
          <cell r="G468" t="str">
            <v>AVENIDA PIRACEMA, 669</v>
          </cell>
          <cell r="H468" t="str">
            <v>Edge 50 Neo</v>
          </cell>
          <cell r="I468" t="str">
            <v>256 GB</v>
          </cell>
        </row>
        <row r="469">
          <cell r="C469" t="str">
            <v>Edge50Neo256_SPC6397</v>
          </cell>
          <cell r="D469" t="str">
            <v>CASAS BAHIA - AVENIDA DOS AUTONOMISTAS, 1400 - SHOPPING UNIAO - SPC6397</v>
          </cell>
          <cell r="E469" t="str">
            <v>CASAS BAHIA</v>
          </cell>
          <cell r="F469" t="str">
            <v>SHOPPING</v>
          </cell>
          <cell r="G469" t="str">
            <v>AVENIDA DOS AUTONOMISTAS, 1400</v>
          </cell>
          <cell r="H469" t="str">
            <v>Edge 50 Neo</v>
          </cell>
          <cell r="I469" t="str">
            <v>256 GB</v>
          </cell>
        </row>
        <row r="470">
          <cell r="C470" t="str">
            <v>Edge50Neo256_SPC11278</v>
          </cell>
          <cell r="D470" t="str">
            <v>PONTO FRIO - RUA ANTONIO AGU, 155 - ZONA COMERCIAL - SPC11278</v>
          </cell>
          <cell r="E470" t="str">
            <v xml:space="preserve">PONTO FRIO </v>
          </cell>
          <cell r="F470" t="str">
            <v>RUA</v>
          </cell>
          <cell r="G470" t="str">
            <v>RUA ANTONIO AGU, 155</v>
          </cell>
          <cell r="H470" t="str">
            <v>Edge 50 Neo</v>
          </cell>
          <cell r="I470" t="str">
            <v>256 GB</v>
          </cell>
        </row>
        <row r="471">
          <cell r="C471" t="str">
            <v>Edge50Neo256_SPC7644</v>
          </cell>
          <cell r="D471" t="str">
            <v>CASAS BAHIA - TRAVESSA CASALBUONO, 120 - SHOPPING CENTER NORTE - SPC7644</v>
          </cell>
          <cell r="E471" t="str">
            <v>CASAS BAHIA</v>
          </cell>
          <cell r="F471" t="str">
            <v>SHOPPING</v>
          </cell>
          <cell r="G471" t="str">
            <v>TRAVESSA CASALBUONO, 120</v>
          </cell>
          <cell r="H471" t="str">
            <v>Edge 50 Neo</v>
          </cell>
          <cell r="I471" t="str">
            <v>256 GB</v>
          </cell>
        </row>
        <row r="472">
          <cell r="C472" t="str">
            <v>Edge50Neo256_SPC8440</v>
          </cell>
          <cell r="D472" t="str">
            <v>MAGAZINE LUIZA - RUA AMAZONAS DA SILVA, 27 - ZONA COMERCIAL - SPC8440</v>
          </cell>
          <cell r="E472" t="str">
            <v>MAGAZINE LUIZA</v>
          </cell>
          <cell r="F472" t="str">
            <v>RUA</v>
          </cell>
          <cell r="G472" t="str">
            <v>RUA AMAZONAS DA SILVA, 27</v>
          </cell>
          <cell r="H472" t="str">
            <v>Edge 50 Neo</v>
          </cell>
          <cell r="I472" t="str">
            <v>256 GB</v>
          </cell>
        </row>
        <row r="473">
          <cell r="C473" t="str">
            <v>Edge50Neo256_SPC7607</v>
          </cell>
          <cell r="D473" t="str">
            <v>CASAS BAHIA - RODOVIA PRESIDENTE DUTRA KM 230, S/N - SHOPPING INTERNACIONAL GUARULHOS - SPC7607</v>
          </cell>
          <cell r="E473" t="str">
            <v>CASAS BAHIA</v>
          </cell>
          <cell r="F473" t="str">
            <v>SHOPPING</v>
          </cell>
          <cell r="G473" t="str">
            <v>RODOVIA PRESIDENTE DUTRA KM 230, S/N</v>
          </cell>
          <cell r="H473" t="str">
            <v>Edge 50 Neo</v>
          </cell>
          <cell r="I473" t="str">
            <v>256 GB</v>
          </cell>
        </row>
        <row r="474">
          <cell r="C474" t="str">
            <v>Edge50Neo256_SPC11273</v>
          </cell>
          <cell r="D474" t="str">
            <v>CASAS BAHIA - AVENIDA JUSCELINO KUBITSCHEK DE OLIVEIRA, 5308 - SHOPPING BONSUCESSO - SPC11273</v>
          </cell>
          <cell r="E474" t="str">
            <v>CASAS BAHIA</v>
          </cell>
          <cell r="F474" t="str">
            <v>SHOPPING</v>
          </cell>
          <cell r="G474" t="str">
            <v>AVENIDA JUSCELINO KUBITSCHEK DE OLIVEIRA, 5308</v>
          </cell>
          <cell r="H474" t="str">
            <v>Edge 50 Neo</v>
          </cell>
          <cell r="I474" t="str">
            <v>256 GB</v>
          </cell>
        </row>
        <row r="475">
          <cell r="C475" t="str">
            <v>Edge50Neo256_SPC11005</v>
          </cell>
          <cell r="D475" t="str">
            <v>CASAS BAHIA - AVENIDA INDUSTRIAL, 600 - SHOPPING GRAND PLAZA - SPC11005</v>
          </cell>
          <cell r="E475" t="str">
            <v>CASAS BAHIA</v>
          </cell>
          <cell r="F475" t="str">
            <v>SHOPPING</v>
          </cell>
          <cell r="G475" t="str">
            <v>AVENIDA INDUSTRIAL, 600</v>
          </cell>
          <cell r="H475" t="str">
            <v>Edge 50 Neo</v>
          </cell>
          <cell r="I475" t="str">
            <v>256 GB</v>
          </cell>
        </row>
        <row r="476">
          <cell r="C476" t="str">
            <v>Edge50Neo256_SPC8715</v>
          </cell>
          <cell r="D476" t="str">
            <v>CASAS BAHIA - AVENIDA GOVERNADOR MARIO COVAS JUNIOR, 1 - SHOPPING MAUA - SPC8715</v>
          </cell>
          <cell r="E476" t="str">
            <v>CASAS BAHIA</v>
          </cell>
          <cell r="F476" t="str">
            <v>SHOPPING</v>
          </cell>
          <cell r="G476" t="str">
            <v>AVENIDA GOVERNADOR MARIO COVAS JUNIOR, 1</v>
          </cell>
          <cell r="H476" t="str">
            <v>Edge 50 Neo</v>
          </cell>
          <cell r="I476" t="str">
            <v>256 GB</v>
          </cell>
        </row>
        <row r="477">
          <cell r="C477" t="str">
            <v>Edge50Neo256_SPC11374</v>
          </cell>
          <cell r="D477" t="str">
            <v>CASAS BAHIA - AVENIDA PEREIRA BARRETO, 42 - SHOPPING ABC - SPC11374</v>
          </cell>
          <cell r="E477" t="str">
            <v>CASAS BAHIA</v>
          </cell>
          <cell r="F477" t="str">
            <v>SHOPPING</v>
          </cell>
          <cell r="G477" t="str">
            <v>AVENIDA PEREIRA BARRETO, 42</v>
          </cell>
          <cell r="H477" t="str">
            <v>Edge 50 Neo</v>
          </cell>
          <cell r="I477" t="str">
            <v>256 GB</v>
          </cell>
        </row>
        <row r="478">
          <cell r="C478" t="str">
            <v>Edge50Neo256_SPC6700</v>
          </cell>
          <cell r="D478" t="str">
            <v>CASAS BAHIA - RUA MARECHAL DEODORO, 987 - ZONA COMERCIAL - SPC6700</v>
          </cell>
          <cell r="E478" t="str">
            <v>CASAS BAHIA</v>
          </cell>
          <cell r="F478" t="str">
            <v>RUA</v>
          </cell>
          <cell r="G478" t="str">
            <v>RUA MARECHAL DEODORO, 987</v>
          </cell>
          <cell r="H478" t="str">
            <v>Edge 50 Neo</v>
          </cell>
          <cell r="I478" t="str">
            <v>256 GB</v>
          </cell>
        </row>
        <row r="479">
          <cell r="C479" t="str">
            <v>Edge50Neo256_SPC7069</v>
          </cell>
          <cell r="D479" t="str">
            <v>CASAS BAHIA - RUA DOMINGOS DE MORAIS, 2564 - SHOPPING METRO SANTA CRUZ - SPC7069</v>
          </cell>
          <cell r="E479" t="str">
            <v>CASAS BAHIA</v>
          </cell>
          <cell r="F479" t="str">
            <v>SHOPPING</v>
          </cell>
          <cell r="G479" t="str">
            <v>RUA DOMINGOS DE MORAIS, 2564</v>
          </cell>
          <cell r="H479" t="str">
            <v>Edge 50 Neo</v>
          </cell>
          <cell r="I479" t="str">
            <v>256 GB</v>
          </cell>
        </row>
        <row r="480">
          <cell r="C480" t="str">
            <v>Edge50Neo256_SPC6505</v>
          </cell>
          <cell r="D480" t="str">
            <v>CASAS BAHIA - RUA TEODORO SAMPAIO, 2522 - ZONA COMERCIAL - SPC6505</v>
          </cell>
          <cell r="E480" t="str">
            <v>CASAS BAHIA</v>
          </cell>
          <cell r="F480" t="str">
            <v>RUA</v>
          </cell>
          <cell r="G480" t="str">
            <v>RUA TEODORO SAMPAIO, 2522</v>
          </cell>
          <cell r="H480" t="str">
            <v>Edge 50 Neo</v>
          </cell>
          <cell r="I480" t="str">
            <v>256 GB</v>
          </cell>
        </row>
        <row r="481">
          <cell r="C481" t="str">
            <v>Edge50Neo256_SPC234770</v>
          </cell>
          <cell r="D481" t="str">
            <v>CASAS BAHIA - ESTRADA DA COLINA, 1048 - SPC234770</v>
          </cell>
          <cell r="E481" t="str">
            <v>CASAS BAHIA</v>
          </cell>
          <cell r="F481" t="str">
            <v>RUA</v>
          </cell>
          <cell r="G481" t="str">
            <v>ESTRADA DA COLINA, 1048</v>
          </cell>
          <cell r="H481" t="str">
            <v>Edge 50 Neo</v>
          </cell>
          <cell r="I481" t="str">
            <v>256 GB</v>
          </cell>
        </row>
        <row r="482">
          <cell r="C482" t="str">
            <v>Razr60Ultra1TB_SPC7613</v>
          </cell>
          <cell r="D482" t="str">
            <v>CASAS BAHIA - AVENIDA INTERLAGOS, 2255 - SHOPPING INTERLAGOS - SPC7613</v>
          </cell>
          <cell r="E482" t="str">
            <v>CASAS BAHIA</v>
          </cell>
          <cell r="F482" t="str">
            <v>SHOPPING</v>
          </cell>
          <cell r="G482" t="str">
            <v>AVENIDA INTERLAGOS, 2255</v>
          </cell>
          <cell r="H482" t="str">
            <v xml:space="preserve">Razr 60 Ultra </v>
          </cell>
          <cell r="I482" t="str">
            <v>1TB</v>
          </cell>
        </row>
        <row r="483">
          <cell r="C483" t="str">
            <v>Razr60Ultra1TB_SPC7612</v>
          </cell>
          <cell r="D483" t="str">
            <v>PONTO FRIO - AVENIDA INTERLAGOS, 2255 - SHOPPING INTERLAGOS - SPC7612</v>
          </cell>
          <cell r="E483" t="str">
            <v xml:space="preserve">PONTO FRIO </v>
          </cell>
          <cell r="F483" t="str">
            <v>SHOPPING</v>
          </cell>
          <cell r="G483" t="str">
            <v>AVENIDA INTERLAGOS, 2255</v>
          </cell>
          <cell r="H483" t="str">
            <v xml:space="preserve">Razr 60 Ultra </v>
          </cell>
          <cell r="I483" t="str">
            <v>1TB</v>
          </cell>
        </row>
        <row r="484">
          <cell r="C484" t="str">
            <v>Razr60Ultra1TB_SPC7614</v>
          </cell>
          <cell r="D484" t="str">
            <v>LOJAS AMERICANAS - AVENIDA INTERLAGOS, 2255 - SHOPPING INTERLAGOS - SPC7614</v>
          </cell>
          <cell r="E484" t="str">
            <v>LOJAS AMERICANAS</v>
          </cell>
          <cell r="F484" t="str">
            <v>SHOPPING</v>
          </cell>
          <cell r="G484" t="str">
            <v>AVENIDA INTERLAGOS, 2255</v>
          </cell>
          <cell r="H484" t="str">
            <v xml:space="preserve">Razr 60 Ultra </v>
          </cell>
          <cell r="I484" t="str">
            <v>1TB</v>
          </cell>
        </row>
        <row r="485">
          <cell r="C485" t="str">
            <v>Razr60Ultra1TB_SPC11232</v>
          </cell>
          <cell r="D485" t="str">
            <v>CASAS BAHIA - PRACA FLORIANO PEIXOTO, 38 - ZONA COMERCIAL - SPC11232</v>
          </cell>
          <cell r="E485" t="str">
            <v>CASAS BAHIA</v>
          </cell>
          <cell r="F485" t="str">
            <v>RUA</v>
          </cell>
          <cell r="G485" t="str">
            <v>PRACA FLORIANO PEIXOTO, 38</v>
          </cell>
          <cell r="H485" t="str">
            <v xml:space="preserve">Razr 60 Ultra </v>
          </cell>
          <cell r="I485" t="str">
            <v>1TB</v>
          </cell>
        </row>
        <row r="486">
          <cell r="C486" t="str">
            <v>Razr60Ultra1TB_SPC287350</v>
          </cell>
          <cell r="D486" t="str">
            <v>CASAS BAHIA - AVENIDA NACOES UNIDAS, 12995 - SPC287350</v>
          </cell>
          <cell r="E486" t="str">
            <v>CASAS BAHIA</v>
          </cell>
          <cell r="F486" t="str">
            <v>RUA</v>
          </cell>
          <cell r="G486" t="str">
            <v>AVENIDA NACOES UNIDAS, 12995</v>
          </cell>
          <cell r="H486" t="str">
            <v xml:space="preserve">Razr 60 Ultra </v>
          </cell>
          <cell r="I486" t="str">
            <v>1TB</v>
          </cell>
        </row>
        <row r="487">
          <cell r="C487" t="str">
            <v>Razr60Ultra1TB_SPC252260</v>
          </cell>
          <cell r="D487" t="str">
            <v>CASAS BAHIA - AVENIDA EMBAIXADOR MACEDO SOARES, 9175 - SPC252260</v>
          </cell>
          <cell r="E487" t="str">
            <v>CASAS BAHIA</v>
          </cell>
          <cell r="F487" t="str">
            <v>RUA</v>
          </cell>
          <cell r="G487" t="str">
            <v>AVENIDA EMBAIXADOR MACEDO SOARES, 9175</v>
          </cell>
          <cell r="H487" t="str">
            <v xml:space="preserve">Razr 60 Ultra </v>
          </cell>
          <cell r="I487" t="str">
            <v>1TB</v>
          </cell>
        </row>
        <row r="488">
          <cell r="C488" t="str">
            <v>Razr60Ultra1TB_SPC22892</v>
          </cell>
          <cell r="D488" t="str">
            <v>CASAS BAHIA - AVENIDA ARICANDUVA, 5555 (LOJA 2) - SHOPPING ARICANDUVA - SPC22892</v>
          </cell>
          <cell r="E488" t="str">
            <v>CASAS BAHIA</v>
          </cell>
          <cell r="F488" t="str">
            <v>SHOPPING</v>
          </cell>
          <cell r="G488" t="str">
            <v>AVENIDA ARICANDUVA, 5555 (LOJA 2)</v>
          </cell>
          <cell r="H488" t="str">
            <v xml:space="preserve">Razr 60 Ultra </v>
          </cell>
          <cell r="I488" t="str">
            <v>1TB</v>
          </cell>
        </row>
        <row r="489">
          <cell r="C489" t="str">
            <v>Razr60Ultra1TB_SPC7610</v>
          </cell>
          <cell r="D489" t="str">
            <v>CASAS BAHIA - AVENIDA ARICANDUVA, 5555 (LOJA 1) - SHOPPING ARICANDUVA - SPC7610</v>
          </cell>
          <cell r="E489" t="str">
            <v>CASAS BAHIA</v>
          </cell>
          <cell r="F489" t="str">
            <v>SHOPPING</v>
          </cell>
          <cell r="G489" t="str">
            <v>AVENIDA ARICANDUVA, 5555 (LOJA 1)</v>
          </cell>
          <cell r="H489" t="str">
            <v xml:space="preserve">Razr 60 Ultra </v>
          </cell>
          <cell r="I489" t="str">
            <v>1TB</v>
          </cell>
        </row>
        <row r="490">
          <cell r="C490" t="str">
            <v>Razr60Ultra1TB_SPC8803</v>
          </cell>
          <cell r="D490" t="str">
            <v>PONTO FRIO - AVENIDA ARICANDUVA, 5555 (LOJA 2) - SHOPPING ARICANDUVA - SPC8803</v>
          </cell>
          <cell r="E490" t="str">
            <v xml:space="preserve">PONTO FRIO </v>
          </cell>
          <cell r="F490" t="str">
            <v>SHOPPING</v>
          </cell>
          <cell r="G490" t="str">
            <v>AVENIDA ARICANDUVA, 5555 (LOJA 2)</v>
          </cell>
          <cell r="H490" t="str">
            <v xml:space="preserve">Razr 60 Ultra </v>
          </cell>
          <cell r="I490" t="str">
            <v>1TB</v>
          </cell>
        </row>
        <row r="491">
          <cell r="C491" t="str">
            <v>Razr60Ultra1TB_SPC6374</v>
          </cell>
          <cell r="D491" t="str">
            <v>MAGAZINE LUIZA - AVENIDA ARICANDUVA, 5555 - SHOPPING ARICANDUVA - SPC6374</v>
          </cell>
          <cell r="E491" t="str">
            <v>MAGAZINE LUIZA</v>
          </cell>
          <cell r="F491" t="str">
            <v>SHOPPING</v>
          </cell>
          <cell r="G491" t="str">
            <v>AVENIDA ARICANDUVA, 5555</v>
          </cell>
          <cell r="H491" t="str">
            <v xml:space="preserve">Razr 60 Ultra </v>
          </cell>
          <cell r="I491" t="str">
            <v>1TB</v>
          </cell>
        </row>
        <row r="492">
          <cell r="C492" t="str">
            <v>Razr60Ultra1TB_SPC7759</v>
          </cell>
          <cell r="D492" t="str">
            <v>CASAS BAHIA - AVENIDA JOSE PINHEIRO BORGES, S/N - SHOPPING METRO ITAQUERA - SPC7759</v>
          </cell>
          <cell r="E492" t="str">
            <v>CASAS BAHIA</v>
          </cell>
          <cell r="F492" t="str">
            <v>SHOPPING</v>
          </cell>
          <cell r="G492" t="str">
            <v>AVENIDA JOSE PINHEIRO BORGES, S/N</v>
          </cell>
          <cell r="H492" t="str">
            <v xml:space="preserve">Razr 60 Ultra </v>
          </cell>
          <cell r="I492" t="str">
            <v>1TB</v>
          </cell>
        </row>
        <row r="493">
          <cell r="C493" t="str">
            <v>Razr60Ultra1TB_SPC9927</v>
          </cell>
          <cell r="D493" t="str">
            <v>CASAS BAHIA - RODOVIA REGIS BITTENCOURT KM 271, 2643 - SHOPPING TABOAO DA SERRA - SPC9927</v>
          </cell>
          <cell r="E493" t="str">
            <v>CASAS BAHIA</v>
          </cell>
          <cell r="F493" t="str">
            <v>SHOPPING</v>
          </cell>
          <cell r="G493" t="str">
            <v>RODOVIA REGIS BITTENCOURT KM 271, 2643</v>
          </cell>
          <cell r="H493" t="str">
            <v xml:space="preserve">Razr 60 Ultra </v>
          </cell>
          <cell r="I493" t="str">
            <v>1TB</v>
          </cell>
        </row>
        <row r="494">
          <cell r="C494" t="str">
            <v>Razr60Ultra1TB_SPC10966</v>
          </cell>
          <cell r="D494" t="str">
            <v>CASAS BAHIA - ESTRADA DO CAMPO LIMPO, 459 - SHOPPING CAMPO LIMPO - SPC10966</v>
          </cell>
          <cell r="E494" t="str">
            <v>CASAS BAHIA</v>
          </cell>
          <cell r="F494" t="str">
            <v>SHOPPING</v>
          </cell>
          <cell r="G494" t="str">
            <v>ESTRADA DO CAMPO LIMPO, 459</v>
          </cell>
          <cell r="H494" t="str">
            <v xml:space="preserve">Razr 60 Ultra </v>
          </cell>
          <cell r="I494" t="str">
            <v>1TB</v>
          </cell>
        </row>
        <row r="495">
          <cell r="C495" t="str">
            <v>Razr60Ultra1TB_SPC11008</v>
          </cell>
          <cell r="D495" t="str">
            <v>CASAS BAHIA - LARGO 13 DE MAIO, 308 - ZONA COMERCIAL - SPC11008</v>
          </cell>
          <cell r="E495" t="str">
            <v>CASAS BAHIA</v>
          </cell>
          <cell r="F495" t="str">
            <v>RUA</v>
          </cell>
          <cell r="G495" t="str">
            <v>LARGO 13 DE MAIO, 308</v>
          </cell>
          <cell r="H495" t="str">
            <v xml:space="preserve">Razr 60 Ultra </v>
          </cell>
          <cell r="I495" t="str">
            <v>1TB</v>
          </cell>
        </row>
        <row r="496">
          <cell r="C496" t="str">
            <v>Razr60Ultra1TB_SPC7621</v>
          </cell>
          <cell r="D496" t="str">
            <v>PONTO FRIO - RUA CAPITAO TIAGO LUZ, 146 - ZONA COMERCIAL - SPC7621</v>
          </cell>
          <cell r="E496" t="str">
            <v xml:space="preserve">PONTO FRIO </v>
          </cell>
          <cell r="F496" t="str">
            <v>RUA</v>
          </cell>
          <cell r="G496" t="str">
            <v>RUA CAPITAO TIAGO LUZ, 146</v>
          </cell>
          <cell r="H496" t="str">
            <v xml:space="preserve">Razr 60 Ultra </v>
          </cell>
          <cell r="I496" t="str">
            <v>1TB</v>
          </cell>
        </row>
        <row r="497">
          <cell r="C497" t="str">
            <v>Razr60Ultra1TB_SPC6352</v>
          </cell>
          <cell r="D497" t="str">
            <v>CASAS BAHIA - RUA TENENTE AVELAR PIRES DE AZEVEDO, 81 - SHOPPING OSASCO PLAZA - SPC6352</v>
          </cell>
          <cell r="E497" t="str">
            <v>CASAS BAHIA</v>
          </cell>
          <cell r="F497" t="str">
            <v>SHOPPING</v>
          </cell>
          <cell r="G497" t="str">
            <v>RUA TENENTE AVELAR PIRES DE AZEVEDO, 81</v>
          </cell>
          <cell r="H497" t="str">
            <v xml:space="preserve">Razr 60 Ultra </v>
          </cell>
          <cell r="I497" t="str">
            <v>1TB</v>
          </cell>
        </row>
        <row r="498">
          <cell r="C498" t="str">
            <v>Razr60Ultra1TB_SPC6445</v>
          </cell>
          <cell r="D498" t="str">
            <v>CASAS BAHIA - AVENIDA PIRACEMA, 669 - SHOPPING TAMBORE - SPC6445</v>
          </cell>
          <cell r="E498" t="str">
            <v>CASAS BAHIA</v>
          </cell>
          <cell r="F498" t="str">
            <v>SHOPPING</v>
          </cell>
          <cell r="G498" t="str">
            <v>AVENIDA PIRACEMA, 669</v>
          </cell>
          <cell r="H498" t="str">
            <v xml:space="preserve">Razr 60 Ultra </v>
          </cell>
          <cell r="I498" t="str">
            <v>1TB</v>
          </cell>
        </row>
        <row r="499">
          <cell r="C499" t="str">
            <v>Razr60Ultra1TB_SPC6397</v>
          </cell>
          <cell r="D499" t="str">
            <v>CASAS BAHIA - AVENIDA DOS AUTONOMISTAS, 1400 - SHOPPING UNIAO - SPC6397</v>
          </cell>
          <cell r="E499" t="str">
            <v>CASAS BAHIA</v>
          </cell>
          <cell r="F499" t="str">
            <v>SHOPPING</v>
          </cell>
          <cell r="G499" t="str">
            <v>AVENIDA DOS AUTONOMISTAS, 1400</v>
          </cell>
          <cell r="H499" t="str">
            <v xml:space="preserve">Razr 60 Ultra </v>
          </cell>
          <cell r="I499" t="str">
            <v>1TB</v>
          </cell>
        </row>
        <row r="500">
          <cell r="C500" t="str">
            <v>Razr60Ultra1TB_SPC11278</v>
          </cell>
          <cell r="D500" t="str">
            <v>PONTO FRIO - RUA ANTONIO AGU, 155 - ZONA COMERCIAL - SPC11278</v>
          </cell>
          <cell r="E500" t="str">
            <v xml:space="preserve">PONTO FRIO </v>
          </cell>
          <cell r="F500" t="str">
            <v>RUA</v>
          </cell>
          <cell r="G500" t="str">
            <v>RUA ANTONIO AGU, 155</v>
          </cell>
          <cell r="H500" t="str">
            <v xml:space="preserve">Razr 60 Ultra </v>
          </cell>
          <cell r="I500" t="str">
            <v>1TB</v>
          </cell>
        </row>
        <row r="501">
          <cell r="C501" t="str">
            <v>Razr60Ultra1TB_SPC7644</v>
          </cell>
          <cell r="D501" t="str">
            <v>CASAS BAHIA - TRAVESSA CASALBUONO, 120 - SHOPPING CENTER NORTE - SPC7644</v>
          </cell>
          <cell r="E501" t="str">
            <v>CASAS BAHIA</v>
          </cell>
          <cell r="F501" t="str">
            <v>SHOPPING</v>
          </cell>
          <cell r="G501" t="str">
            <v>TRAVESSA CASALBUONO, 120</v>
          </cell>
          <cell r="H501" t="str">
            <v xml:space="preserve">Razr 60 Ultra </v>
          </cell>
          <cell r="I501" t="str">
            <v>1TB</v>
          </cell>
        </row>
        <row r="502">
          <cell r="C502" t="str">
            <v>Razr60Ultra1TB_SPC8440</v>
          </cell>
          <cell r="D502" t="str">
            <v>MAGAZINE LUIZA - RUA AMAZONAS DA SILVA, 27 - ZONA COMERCIAL - SPC8440</v>
          </cell>
          <cell r="E502" t="str">
            <v>MAGAZINE LUIZA</v>
          </cell>
          <cell r="F502" t="str">
            <v>RUA</v>
          </cell>
          <cell r="G502" t="str">
            <v>RUA AMAZONAS DA SILVA, 27</v>
          </cell>
          <cell r="H502" t="str">
            <v xml:space="preserve">Razr 60 Ultra </v>
          </cell>
          <cell r="I502" t="str">
            <v>1TB</v>
          </cell>
        </row>
        <row r="503">
          <cell r="C503" t="str">
            <v>Razr60Ultra1TB_SPC7607</v>
          </cell>
          <cell r="D503" t="str">
            <v>CASAS BAHIA - RODOVIA PRESIDENTE DUTRA KM 230, S/N - SHOPPING INTERNACIONAL GUARULHOS - SPC7607</v>
          </cell>
          <cell r="E503" t="str">
            <v>CASAS BAHIA</v>
          </cell>
          <cell r="F503" t="str">
            <v>SHOPPING</v>
          </cell>
          <cell r="G503" t="str">
            <v>RODOVIA PRESIDENTE DUTRA KM 230, S/N</v>
          </cell>
          <cell r="H503" t="str">
            <v xml:space="preserve">Razr 60 Ultra </v>
          </cell>
          <cell r="I503" t="str">
            <v>1TB</v>
          </cell>
        </row>
        <row r="504">
          <cell r="C504" t="str">
            <v>Razr60Ultra1TB_SPC11273</v>
          </cell>
          <cell r="D504" t="str">
            <v>CASAS BAHIA - AVENIDA JUSCELINO KUBITSCHEK DE OLIVEIRA, 5308 - SHOPPING BONSUCESSO - SPC11273</v>
          </cell>
          <cell r="E504" t="str">
            <v>CASAS BAHIA</v>
          </cell>
          <cell r="F504" t="str">
            <v>SHOPPING</v>
          </cell>
          <cell r="G504" t="str">
            <v>AVENIDA JUSCELINO KUBITSCHEK DE OLIVEIRA, 5308</v>
          </cell>
          <cell r="H504" t="str">
            <v xml:space="preserve">Razr 60 Ultra </v>
          </cell>
          <cell r="I504" t="str">
            <v>1TB</v>
          </cell>
        </row>
        <row r="505">
          <cell r="C505" t="str">
            <v>Razr60Ultra1TB_SPC11005</v>
          </cell>
          <cell r="D505" t="str">
            <v>CASAS BAHIA - AVENIDA INDUSTRIAL, 600 - SHOPPING GRAND PLAZA - SPC11005</v>
          </cell>
          <cell r="E505" t="str">
            <v>CASAS BAHIA</v>
          </cell>
          <cell r="F505" t="str">
            <v>SHOPPING</v>
          </cell>
          <cell r="G505" t="str">
            <v>AVENIDA INDUSTRIAL, 600</v>
          </cell>
          <cell r="H505" t="str">
            <v xml:space="preserve">Razr 60 Ultra </v>
          </cell>
          <cell r="I505" t="str">
            <v>1TB</v>
          </cell>
        </row>
        <row r="506">
          <cell r="C506" t="str">
            <v>Razr60Ultra1TB_SPC8715</v>
          </cell>
          <cell r="D506" t="str">
            <v>CASAS BAHIA - AVENIDA GOVERNADOR MARIO COVAS JUNIOR, 1 - SHOPPING MAUA - SPC8715</v>
          </cell>
          <cell r="E506" t="str">
            <v>CASAS BAHIA</v>
          </cell>
          <cell r="F506" t="str">
            <v>SHOPPING</v>
          </cell>
          <cell r="G506" t="str">
            <v>AVENIDA GOVERNADOR MARIO COVAS JUNIOR, 1</v>
          </cell>
          <cell r="H506" t="str">
            <v xml:space="preserve">Razr 60 Ultra </v>
          </cell>
          <cell r="I506" t="str">
            <v>1TB</v>
          </cell>
        </row>
        <row r="507">
          <cell r="C507" t="str">
            <v>Razr60Ultra1TB_SPC11374</v>
          </cell>
          <cell r="D507" t="str">
            <v>CASAS BAHIA - AVENIDA PEREIRA BARRETO, 42 - SHOPPING ABC - SPC11374</v>
          </cell>
          <cell r="E507" t="str">
            <v>CASAS BAHIA</v>
          </cell>
          <cell r="F507" t="str">
            <v>SHOPPING</v>
          </cell>
          <cell r="G507" t="str">
            <v>AVENIDA PEREIRA BARRETO, 42</v>
          </cell>
          <cell r="H507" t="str">
            <v xml:space="preserve">Razr 60 Ultra </v>
          </cell>
          <cell r="I507" t="str">
            <v>1TB</v>
          </cell>
        </row>
        <row r="508">
          <cell r="C508" t="str">
            <v>Razr60Ultra1TB_SPC6700</v>
          </cell>
          <cell r="D508" t="str">
            <v>CASAS BAHIA - RUA MARECHAL DEODORO, 987 - ZONA COMERCIAL - SPC6700</v>
          </cell>
          <cell r="E508" t="str">
            <v>CASAS BAHIA</v>
          </cell>
          <cell r="F508" t="str">
            <v>RUA</v>
          </cell>
          <cell r="G508" t="str">
            <v>RUA MARECHAL DEODORO, 987</v>
          </cell>
          <cell r="H508" t="str">
            <v xml:space="preserve">Razr 60 Ultra </v>
          </cell>
          <cell r="I508" t="str">
            <v>1TB</v>
          </cell>
        </row>
        <row r="509">
          <cell r="C509" t="str">
            <v>Razr60Ultra1TB_SPC7069</v>
          </cell>
          <cell r="D509" t="str">
            <v>CASAS BAHIA - RUA DOMINGOS DE MORAIS, 2564 - SHOPPING METRO SANTA CRUZ - SPC7069</v>
          </cell>
          <cell r="E509" t="str">
            <v>CASAS BAHIA</v>
          </cell>
          <cell r="F509" t="str">
            <v>SHOPPING</v>
          </cell>
          <cell r="G509" t="str">
            <v>RUA DOMINGOS DE MORAIS, 2564</v>
          </cell>
          <cell r="H509" t="str">
            <v xml:space="preserve">Razr 60 Ultra </v>
          </cell>
          <cell r="I509" t="str">
            <v>1TB</v>
          </cell>
        </row>
        <row r="510">
          <cell r="C510" t="str">
            <v>Razr60Ultra1TB_SPC6505</v>
          </cell>
          <cell r="D510" t="str">
            <v>CASAS BAHIA - RUA TEODORO SAMPAIO, 2522 - ZONA COMERCIAL - SPC6505</v>
          </cell>
          <cell r="E510" t="str">
            <v>CASAS BAHIA</v>
          </cell>
          <cell r="F510" t="str">
            <v>RUA</v>
          </cell>
          <cell r="G510" t="str">
            <v>RUA TEODORO SAMPAIO, 2522</v>
          </cell>
          <cell r="H510" t="str">
            <v xml:space="preserve">Razr 60 Ultra </v>
          </cell>
          <cell r="I510" t="str">
            <v>1TB</v>
          </cell>
        </row>
        <row r="511">
          <cell r="C511" t="str">
            <v>Razr60Ultra1TB_SPC234770</v>
          </cell>
          <cell r="D511" t="str">
            <v>CASAS BAHIA - ESTRADA DA COLINA, 1048 - SPC234770</v>
          </cell>
          <cell r="E511" t="str">
            <v>CASAS BAHIA</v>
          </cell>
          <cell r="F511" t="str">
            <v>RUA</v>
          </cell>
          <cell r="G511" t="str">
            <v>ESTRADA DA COLINA, 1048</v>
          </cell>
          <cell r="H511" t="str">
            <v xml:space="preserve">Razr 60 Ultra </v>
          </cell>
          <cell r="I511" t="str">
            <v>1TB</v>
          </cell>
        </row>
        <row r="512">
          <cell r="C512" t="str">
            <v>Razr60256_SPC7613</v>
          </cell>
          <cell r="D512" t="str">
            <v>CASAS BAHIA - AVENIDA INTERLAGOS, 2255 - SHOPPING INTERLAGOS - SPC7613</v>
          </cell>
          <cell r="E512" t="str">
            <v>CASAS BAHIA</v>
          </cell>
          <cell r="F512" t="str">
            <v>SHOPPING</v>
          </cell>
          <cell r="G512" t="str">
            <v>AVENIDA INTERLAGOS, 2255</v>
          </cell>
          <cell r="H512" t="str">
            <v>Razr 60</v>
          </cell>
          <cell r="I512" t="str">
            <v>256 GB</v>
          </cell>
        </row>
        <row r="513">
          <cell r="C513" t="str">
            <v>Razr60256_SPC7612</v>
          </cell>
          <cell r="D513" t="str">
            <v>PONTO FRIO - AVENIDA INTERLAGOS, 2255 - SHOPPING INTERLAGOS - SPC7612</v>
          </cell>
          <cell r="E513" t="str">
            <v xml:space="preserve">PONTO FRIO </v>
          </cell>
          <cell r="F513" t="str">
            <v>SHOPPING</v>
          </cell>
          <cell r="G513" t="str">
            <v>AVENIDA INTERLAGOS, 2255</v>
          </cell>
          <cell r="H513" t="str">
            <v>Razr 60</v>
          </cell>
          <cell r="I513" t="str">
            <v>256 GB</v>
          </cell>
        </row>
        <row r="514">
          <cell r="C514" t="str">
            <v>Razr60256_SPC7614</v>
          </cell>
          <cell r="D514" t="str">
            <v>LOJAS AMERICANAS - AVENIDA INTERLAGOS, 2255 - SHOPPING INTERLAGOS - SPC7614</v>
          </cell>
          <cell r="E514" t="str">
            <v>LOJAS AMERICANAS</v>
          </cell>
          <cell r="F514" t="str">
            <v>SHOPPING</v>
          </cell>
          <cell r="G514" t="str">
            <v>AVENIDA INTERLAGOS, 2255</v>
          </cell>
          <cell r="H514" t="str">
            <v>Razr 60</v>
          </cell>
          <cell r="I514" t="str">
            <v>256 GB</v>
          </cell>
        </row>
        <row r="515">
          <cell r="C515" t="str">
            <v>Razr60256_SPC11232</v>
          </cell>
          <cell r="D515" t="str">
            <v>CASAS BAHIA - PRACA FLORIANO PEIXOTO, 38 - ZONA COMERCIAL - SPC11232</v>
          </cell>
          <cell r="E515" t="str">
            <v>CASAS BAHIA</v>
          </cell>
          <cell r="F515" t="str">
            <v>RUA</v>
          </cell>
          <cell r="G515" t="str">
            <v>PRACA FLORIANO PEIXOTO, 38</v>
          </cell>
          <cell r="H515" t="str">
            <v>Razr 60</v>
          </cell>
          <cell r="I515" t="str">
            <v>256 GB</v>
          </cell>
        </row>
        <row r="516">
          <cell r="C516" t="str">
            <v>Razr60256_SPC287350</v>
          </cell>
          <cell r="D516" t="str">
            <v>CASAS BAHIA - AVENIDA NACOES UNIDAS, 12995 - SPC287350</v>
          </cell>
          <cell r="E516" t="str">
            <v>CASAS BAHIA</v>
          </cell>
          <cell r="F516" t="str">
            <v>RUA</v>
          </cell>
          <cell r="G516" t="str">
            <v>AVENIDA NACOES UNIDAS, 12995</v>
          </cell>
          <cell r="H516" t="str">
            <v>Razr 60</v>
          </cell>
          <cell r="I516" t="str">
            <v>256 GB</v>
          </cell>
        </row>
        <row r="517">
          <cell r="C517" t="str">
            <v>Razr60256_SPC252260</v>
          </cell>
          <cell r="D517" t="str">
            <v>CASAS BAHIA - AVENIDA EMBAIXADOR MACEDO SOARES, 9175 - SPC252260</v>
          </cell>
          <cell r="E517" t="str">
            <v>CASAS BAHIA</v>
          </cell>
          <cell r="F517" t="str">
            <v>RUA</v>
          </cell>
          <cell r="G517" t="str">
            <v>AVENIDA EMBAIXADOR MACEDO SOARES, 9175</v>
          </cell>
          <cell r="H517" t="str">
            <v>Razr 60</v>
          </cell>
          <cell r="I517" t="str">
            <v>256 GB</v>
          </cell>
        </row>
        <row r="518">
          <cell r="C518" t="str">
            <v>Razr60256_SPC22892</v>
          </cell>
          <cell r="D518" t="str">
            <v>CASAS BAHIA - AVENIDA ARICANDUVA, 5555 (LOJA 2) - SHOPPING ARICANDUVA - SPC22892</v>
          </cell>
          <cell r="E518" t="str">
            <v>CASAS BAHIA</v>
          </cell>
          <cell r="F518" t="str">
            <v>SHOPPING</v>
          </cell>
          <cell r="G518" t="str">
            <v>AVENIDA ARICANDUVA, 5555 (LOJA 2)</v>
          </cell>
          <cell r="H518" t="str">
            <v>Razr 60</v>
          </cell>
          <cell r="I518" t="str">
            <v>256 GB</v>
          </cell>
        </row>
        <row r="519">
          <cell r="C519" t="str">
            <v>Razr60256_SPC7610</v>
          </cell>
          <cell r="D519" t="str">
            <v>CASAS BAHIA - AVENIDA ARICANDUVA, 5555 (LOJA 1) - SHOPPING ARICANDUVA - SPC7610</v>
          </cell>
          <cell r="E519" t="str">
            <v>CASAS BAHIA</v>
          </cell>
          <cell r="F519" t="str">
            <v>SHOPPING</v>
          </cell>
          <cell r="G519" t="str">
            <v>AVENIDA ARICANDUVA, 5555 (LOJA 1)</v>
          </cell>
          <cell r="H519" t="str">
            <v>Razr 60</v>
          </cell>
          <cell r="I519" t="str">
            <v>256 GB</v>
          </cell>
        </row>
        <row r="520">
          <cell r="C520" t="str">
            <v>Razr60256_SPC8803</v>
          </cell>
          <cell r="D520" t="str">
            <v>PONTO FRIO - AVENIDA ARICANDUVA, 5555 (LOJA 2) - SHOPPING ARICANDUVA - SPC8803</v>
          </cell>
          <cell r="E520" t="str">
            <v xml:space="preserve">PONTO FRIO </v>
          </cell>
          <cell r="F520" t="str">
            <v>SHOPPING</v>
          </cell>
          <cell r="G520" t="str">
            <v>AVENIDA ARICANDUVA, 5555 (LOJA 2)</v>
          </cell>
          <cell r="H520" t="str">
            <v>Razr 60</v>
          </cell>
          <cell r="I520" t="str">
            <v>256 GB</v>
          </cell>
        </row>
        <row r="521">
          <cell r="C521" t="str">
            <v>Razr60256_SPC6374</v>
          </cell>
          <cell r="D521" t="str">
            <v>MAGAZINE LUIZA - AVENIDA ARICANDUVA, 5555 - SHOPPING ARICANDUVA - SPC6374</v>
          </cell>
          <cell r="E521" t="str">
            <v>MAGAZINE LUIZA</v>
          </cell>
          <cell r="F521" t="str">
            <v>SHOPPING</v>
          </cell>
          <cell r="G521" t="str">
            <v>AVENIDA ARICANDUVA, 5555</v>
          </cell>
          <cell r="H521" t="str">
            <v>Razr 60</v>
          </cell>
          <cell r="I521" t="str">
            <v>256 GB</v>
          </cell>
        </row>
        <row r="522">
          <cell r="C522" t="str">
            <v>Razr60256_SPC7759</v>
          </cell>
          <cell r="D522" t="str">
            <v>CASAS BAHIA - AVENIDA JOSE PINHEIRO BORGES, S/N - SHOPPING METRO ITAQUERA - SPC7759</v>
          </cell>
          <cell r="E522" t="str">
            <v>CASAS BAHIA</v>
          </cell>
          <cell r="F522" t="str">
            <v>SHOPPING</v>
          </cell>
          <cell r="G522" t="str">
            <v>AVENIDA JOSE PINHEIRO BORGES, S/N</v>
          </cell>
          <cell r="H522" t="str">
            <v>Razr 60</v>
          </cell>
          <cell r="I522" t="str">
            <v>256 GB</v>
          </cell>
        </row>
        <row r="523">
          <cell r="C523" t="str">
            <v>Razr60256_SPC9927</v>
          </cell>
          <cell r="D523" t="str">
            <v>CASAS BAHIA - RODOVIA REGIS BITTENCOURT KM 271, 2643 - SHOPPING TABOAO DA SERRA - SPC9927</v>
          </cell>
          <cell r="E523" t="str">
            <v>CASAS BAHIA</v>
          </cell>
          <cell r="F523" t="str">
            <v>SHOPPING</v>
          </cell>
          <cell r="G523" t="str">
            <v>RODOVIA REGIS BITTENCOURT KM 271, 2643</v>
          </cell>
          <cell r="H523" t="str">
            <v>Razr 60</v>
          </cell>
          <cell r="I523" t="str">
            <v>256 GB</v>
          </cell>
        </row>
        <row r="524">
          <cell r="C524" t="str">
            <v>Razr60256_SPC10966</v>
          </cell>
          <cell r="D524" t="str">
            <v>CASAS BAHIA - ESTRADA DO CAMPO LIMPO, 459 - SHOPPING CAMPO LIMPO - SPC10966</v>
          </cell>
          <cell r="E524" t="str">
            <v>CASAS BAHIA</v>
          </cell>
          <cell r="F524" t="str">
            <v>SHOPPING</v>
          </cell>
          <cell r="G524" t="str">
            <v>ESTRADA DO CAMPO LIMPO, 459</v>
          </cell>
          <cell r="H524" t="str">
            <v>Razr 60</v>
          </cell>
          <cell r="I524" t="str">
            <v>256 GB</v>
          </cell>
        </row>
        <row r="525">
          <cell r="C525" t="str">
            <v>Razr60256_SPC11008</v>
          </cell>
          <cell r="D525" t="str">
            <v>CASAS BAHIA - LARGO 13 DE MAIO, 308 - ZONA COMERCIAL - SPC11008</v>
          </cell>
          <cell r="E525" t="str">
            <v>CASAS BAHIA</v>
          </cell>
          <cell r="F525" t="str">
            <v>RUA</v>
          </cell>
          <cell r="G525" t="str">
            <v>LARGO 13 DE MAIO, 308</v>
          </cell>
          <cell r="H525" t="str">
            <v>Razr 60</v>
          </cell>
          <cell r="I525" t="str">
            <v>256 GB</v>
          </cell>
        </row>
        <row r="526">
          <cell r="C526" t="str">
            <v>Razr60256_SPC7621</v>
          </cell>
          <cell r="D526" t="str">
            <v>PONTO FRIO - RUA CAPITAO TIAGO LUZ, 146 - ZONA COMERCIAL - SPC7621</v>
          </cell>
          <cell r="E526" t="str">
            <v xml:space="preserve">PONTO FRIO </v>
          </cell>
          <cell r="F526" t="str">
            <v>RUA</v>
          </cell>
          <cell r="G526" t="str">
            <v>RUA CAPITAO TIAGO LUZ, 146</v>
          </cell>
          <cell r="H526" t="str">
            <v>Razr 60</v>
          </cell>
          <cell r="I526" t="str">
            <v>256 GB</v>
          </cell>
        </row>
        <row r="527">
          <cell r="C527" t="str">
            <v>Razr60256_SPC6352</v>
          </cell>
          <cell r="D527" t="str">
            <v>CASAS BAHIA - RUA TENENTE AVELAR PIRES DE AZEVEDO, 81 - SHOPPING OSASCO PLAZA - SPC6352</v>
          </cell>
          <cell r="E527" t="str">
            <v>CASAS BAHIA</v>
          </cell>
          <cell r="F527" t="str">
            <v>SHOPPING</v>
          </cell>
          <cell r="G527" t="str">
            <v>RUA TENENTE AVELAR PIRES DE AZEVEDO, 81</v>
          </cell>
          <cell r="H527" t="str">
            <v>Razr 60</v>
          </cell>
          <cell r="I527" t="str">
            <v>256 GB</v>
          </cell>
        </row>
        <row r="528">
          <cell r="C528" t="str">
            <v>Razr60256_SPC6445</v>
          </cell>
          <cell r="D528" t="str">
            <v>CASAS BAHIA - AVENIDA PIRACEMA, 669 - SHOPPING TAMBORE - SPC6445</v>
          </cell>
          <cell r="E528" t="str">
            <v>CASAS BAHIA</v>
          </cell>
          <cell r="F528" t="str">
            <v>SHOPPING</v>
          </cell>
          <cell r="G528" t="str">
            <v>AVENIDA PIRACEMA, 669</v>
          </cell>
          <cell r="H528" t="str">
            <v>Razr 60</v>
          </cell>
          <cell r="I528" t="str">
            <v>256 GB</v>
          </cell>
        </row>
        <row r="529">
          <cell r="C529" t="str">
            <v>Razr60256_SPC6397</v>
          </cell>
          <cell r="D529" t="str">
            <v>CASAS BAHIA - AVENIDA DOS AUTONOMISTAS, 1400 - SHOPPING UNIAO - SPC6397</v>
          </cell>
          <cell r="E529" t="str">
            <v>CASAS BAHIA</v>
          </cell>
          <cell r="F529" t="str">
            <v>SHOPPING</v>
          </cell>
          <cell r="G529" t="str">
            <v>AVENIDA DOS AUTONOMISTAS, 1400</v>
          </cell>
          <cell r="H529" t="str">
            <v>Razr 60</v>
          </cell>
          <cell r="I529" t="str">
            <v>256 GB</v>
          </cell>
        </row>
        <row r="530">
          <cell r="C530" t="str">
            <v>Razr60256_SPC11278</v>
          </cell>
          <cell r="D530" t="str">
            <v>PONTO FRIO - RUA ANTONIO AGU, 155 - ZONA COMERCIAL - SPC11278</v>
          </cell>
          <cell r="E530" t="str">
            <v xml:space="preserve">PONTO FRIO </v>
          </cell>
          <cell r="F530" t="str">
            <v>RUA</v>
          </cell>
          <cell r="G530" t="str">
            <v>RUA ANTONIO AGU, 155</v>
          </cell>
          <cell r="H530" t="str">
            <v>Razr 60</v>
          </cell>
          <cell r="I530" t="str">
            <v>256 GB</v>
          </cell>
        </row>
        <row r="531">
          <cell r="C531" t="str">
            <v>Razr60256_SPC7644</v>
          </cell>
          <cell r="D531" t="str">
            <v>CASAS BAHIA - TRAVESSA CASALBUONO, 120 - SHOPPING CENTER NORTE - SPC7644</v>
          </cell>
          <cell r="E531" t="str">
            <v>CASAS BAHIA</v>
          </cell>
          <cell r="F531" t="str">
            <v>SHOPPING</v>
          </cell>
          <cell r="G531" t="str">
            <v>TRAVESSA CASALBUONO, 120</v>
          </cell>
          <cell r="H531" t="str">
            <v>Razr 60</v>
          </cell>
          <cell r="I531" t="str">
            <v>256 GB</v>
          </cell>
        </row>
        <row r="532">
          <cell r="C532" t="str">
            <v>Razr60256_SPC8440</v>
          </cell>
          <cell r="D532" t="str">
            <v>MAGAZINE LUIZA - RUA AMAZONAS DA SILVA, 27 - ZONA COMERCIAL - SPC8440</v>
          </cell>
          <cell r="E532" t="str">
            <v>MAGAZINE LUIZA</v>
          </cell>
          <cell r="F532" t="str">
            <v>RUA</v>
          </cell>
          <cell r="G532" t="str">
            <v>RUA AMAZONAS DA SILVA, 27</v>
          </cell>
          <cell r="H532" t="str">
            <v>Razr 60</v>
          </cell>
          <cell r="I532" t="str">
            <v>256 GB</v>
          </cell>
        </row>
        <row r="533">
          <cell r="C533" t="str">
            <v>Razr60256_SPC7607</v>
          </cell>
          <cell r="D533" t="str">
            <v>CASAS BAHIA - RODOVIA PRESIDENTE DUTRA KM 230, S/N - SHOPPING INTERNACIONAL GUARULHOS - SPC7607</v>
          </cell>
          <cell r="E533" t="str">
            <v>CASAS BAHIA</v>
          </cell>
          <cell r="F533" t="str">
            <v>SHOPPING</v>
          </cell>
          <cell r="G533" t="str">
            <v>RODOVIA PRESIDENTE DUTRA KM 230, S/N</v>
          </cell>
          <cell r="H533" t="str">
            <v>Razr 60</v>
          </cell>
          <cell r="I533" t="str">
            <v>256 GB</v>
          </cell>
        </row>
        <row r="534">
          <cell r="C534" t="str">
            <v>Razr60256_SPC11273</v>
          </cell>
          <cell r="D534" t="str">
            <v>CASAS BAHIA - AVENIDA JUSCELINO KUBITSCHEK DE OLIVEIRA, 5308 - SHOPPING BONSUCESSO - SPC11273</v>
          </cell>
          <cell r="E534" t="str">
            <v>CASAS BAHIA</v>
          </cell>
          <cell r="F534" t="str">
            <v>SHOPPING</v>
          </cell>
          <cell r="G534" t="str">
            <v>AVENIDA JUSCELINO KUBITSCHEK DE OLIVEIRA, 5308</v>
          </cell>
          <cell r="H534" t="str">
            <v>Razr 60</v>
          </cell>
          <cell r="I534" t="str">
            <v>256 GB</v>
          </cell>
        </row>
        <row r="535">
          <cell r="C535" t="str">
            <v>Razr60256_SPC11005</v>
          </cell>
          <cell r="D535" t="str">
            <v>CASAS BAHIA - AVENIDA INDUSTRIAL, 600 - SHOPPING GRAND PLAZA - SPC11005</v>
          </cell>
          <cell r="E535" t="str">
            <v>CASAS BAHIA</v>
          </cell>
          <cell r="F535" t="str">
            <v>SHOPPING</v>
          </cell>
          <cell r="G535" t="str">
            <v>AVENIDA INDUSTRIAL, 600</v>
          </cell>
          <cell r="H535" t="str">
            <v>Razr 60</v>
          </cell>
          <cell r="I535" t="str">
            <v>256 GB</v>
          </cell>
        </row>
        <row r="536">
          <cell r="C536" t="str">
            <v>Razr60256_SPC8715</v>
          </cell>
          <cell r="D536" t="str">
            <v>CASAS BAHIA - AVENIDA GOVERNADOR MARIO COVAS JUNIOR, 1 - SHOPPING MAUA - SPC8715</v>
          </cell>
          <cell r="E536" t="str">
            <v>CASAS BAHIA</v>
          </cell>
          <cell r="F536" t="str">
            <v>SHOPPING</v>
          </cell>
          <cell r="G536" t="str">
            <v>AVENIDA GOVERNADOR MARIO COVAS JUNIOR, 1</v>
          </cell>
          <cell r="H536" t="str">
            <v>Razr 60</v>
          </cell>
          <cell r="I536" t="str">
            <v>256 GB</v>
          </cell>
        </row>
        <row r="537">
          <cell r="C537" t="str">
            <v>Razr60256_SPC11374</v>
          </cell>
          <cell r="D537" t="str">
            <v>CASAS BAHIA - AVENIDA PEREIRA BARRETO, 42 - SHOPPING ABC - SPC11374</v>
          </cell>
          <cell r="E537" t="str">
            <v>CASAS BAHIA</v>
          </cell>
          <cell r="F537" t="str">
            <v>SHOPPING</v>
          </cell>
          <cell r="G537" t="str">
            <v>AVENIDA PEREIRA BARRETO, 42</v>
          </cell>
          <cell r="H537" t="str">
            <v>Razr 60</v>
          </cell>
          <cell r="I537" t="str">
            <v>256 GB</v>
          </cell>
        </row>
        <row r="538">
          <cell r="C538" t="str">
            <v>Razr60256_SPC6700</v>
          </cell>
          <cell r="D538" t="str">
            <v>CASAS BAHIA - RUA MARECHAL DEODORO, 987 - ZONA COMERCIAL - SPC6700</v>
          </cell>
          <cell r="E538" t="str">
            <v>CASAS BAHIA</v>
          </cell>
          <cell r="F538" t="str">
            <v>RUA</v>
          </cell>
          <cell r="G538" t="str">
            <v>RUA MARECHAL DEODORO, 987</v>
          </cell>
          <cell r="H538" t="str">
            <v>Razr 60</v>
          </cell>
          <cell r="I538" t="str">
            <v>256 GB</v>
          </cell>
        </row>
        <row r="539">
          <cell r="C539" t="str">
            <v>Razr60256_SPC7069</v>
          </cell>
          <cell r="D539" t="str">
            <v>CASAS BAHIA - RUA DOMINGOS DE MORAIS, 2564 - SHOPPING METRO SANTA CRUZ - SPC7069</v>
          </cell>
          <cell r="E539" t="str">
            <v>CASAS BAHIA</v>
          </cell>
          <cell r="F539" t="str">
            <v>SHOPPING</v>
          </cell>
          <cell r="G539" t="str">
            <v>RUA DOMINGOS DE MORAIS, 2564</v>
          </cell>
          <cell r="H539" t="str">
            <v>Razr 60</v>
          </cell>
          <cell r="I539" t="str">
            <v>256 GB</v>
          </cell>
        </row>
        <row r="540">
          <cell r="C540" t="str">
            <v>Razr60256_SPC6505</v>
          </cell>
          <cell r="D540" t="str">
            <v>CASAS BAHIA - RUA TEODORO SAMPAIO, 2522 - ZONA COMERCIAL - SPC6505</v>
          </cell>
          <cell r="E540" t="str">
            <v>CASAS BAHIA</v>
          </cell>
          <cell r="F540" t="str">
            <v>RUA</v>
          </cell>
          <cell r="G540" t="str">
            <v>RUA TEODORO SAMPAIO, 2522</v>
          </cell>
          <cell r="H540" t="str">
            <v>Razr 60</v>
          </cell>
          <cell r="I540" t="str">
            <v>256 GB</v>
          </cell>
        </row>
        <row r="541">
          <cell r="C541" t="str">
            <v>Razr60256_SPC234770</v>
          </cell>
          <cell r="D541" t="str">
            <v>CASAS BAHIA - ESTRADA DA COLINA, 1048 - SPC234770</v>
          </cell>
          <cell r="E541" t="str">
            <v>CASAS BAHIA</v>
          </cell>
          <cell r="F541" t="str">
            <v>RUA</v>
          </cell>
          <cell r="G541" t="str">
            <v>ESTRADA DA COLINA, 1048</v>
          </cell>
          <cell r="H541" t="str">
            <v>Razr 60</v>
          </cell>
          <cell r="I541" t="str">
            <v>256 GB</v>
          </cell>
        </row>
        <row r="542">
          <cell r="C542" t="str">
            <v>Razr50Ultra512_SPC7613</v>
          </cell>
          <cell r="D542" t="str">
            <v>CASAS BAHIA - AVENIDA INTERLAGOS, 2255 - SHOPPING INTERLAGOS - SPC7613</v>
          </cell>
          <cell r="E542" t="str">
            <v>CASAS BAHIA</v>
          </cell>
          <cell r="F542" t="str">
            <v>SHOPPING</v>
          </cell>
          <cell r="G542" t="str">
            <v>AVENIDA INTERLAGOS, 2255</v>
          </cell>
          <cell r="H542" t="str">
            <v>Razr 50 Ultra</v>
          </cell>
          <cell r="I542" t="str">
            <v>512 GB</v>
          </cell>
        </row>
        <row r="543">
          <cell r="C543" t="str">
            <v>Razr50Ultra512_SPC7612</v>
          </cell>
          <cell r="D543" t="str">
            <v>PONTO FRIO - AVENIDA INTERLAGOS, 2255 - SHOPPING INTERLAGOS - SPC7612</v>
          </cell>
          <cell r="E543" t="str">
            <v xml:space="preserve">PONTO FRIO </v>
          </cell>
          <cell r="F543" t="str">
            <v>SHOPPING</v>
          </cell>
          <cell r="G543" t="str">
            <v>AVENIDA INTERLAGOS, 2255</v>
          </cell>
          <cell r="H543" t="str">
            <v>Razr 50 Ultra</v>
          </cell>
          <cell r="I543" t="str">
            <v>512 GB</v>
          </cell>
        </row>
        <row r="544">
          <cell r="C544" t="str">
            <v>Razr50Ultra512_SPC7614</v>
          </cell>
          <cell r="D544" t="str">
            <v>LOJAS AMERICANAS - AVENIDA INTERLAGOS, 2255 - SHOPPING INTERLAGOS - SPC7614</v>
          </cell>
          <cell r="E544" t="str">
            <v>LOJAS AMERICANAS</v>
          </cell>
          <cell r="F544" t="str">
            <v>SHOPPING</v>
          </cell>
          <cell r="G544" t="str">
            <v>AVENIDA INTERLAGOS, 2255</v>
          </cell>
          <cell r="H544" t="str">
            <v>Razr 50 Ultra</v>
          </cell>
          <cell r="I544" t="str">
            <v>512 GB</v>
          </cell>
        </row>
        <row r="545">
          <cell r="C545" t="str">
            <v>Razr50Ultra512_SPC11232</v>
          </cell>
          <cell r="D545" t="str">
            <v>CASAS BAHIA - PRACA FLORIANO PEIXOTO, 38 - ZONA COMERCIAL - SPC11232</v>
          </cell>
          <cell r="E545" t="str">
            <v>CASAS BAHIA</v>
          </cell>
          <cell r="F545" t="str">
            <v>RUA</v>
          </cell>
          <cell r="G545" t="str">
            <v>PRACA FLORIANO PEIXOTO, 38</v>
          </cell>
          <cell r="H545" t="str">
            <v>Razr 50 Ultra</v>
          </cell>
          <cell r="I545" t="str">
            <v>512 GB</v>
          </cell>
        </row>
        <row r="546">
          <cell r="C546" t="str">
            <v>Razr50Ultra512_SPC287350</v>
          </cell>
          <cell r="D546" t="str">
            <v>CASAS BAHIA - AVENIDA NACOES UNIDAS, 12995 - SPC287350</v>
          </cell>
          <cell r="E546" t="str">
            <v>CASAS BAHIA</v>
          </cell>
          <cell r="F546" t="str">
            <v>RUA</v>
          </cell>
          <cell r="G546" t="str">
            <v>AVENIDA NACOES UNIDAS, 12995</v>
          </cell>
          <cell r="H546" t="str">
            <v>Razr 50 Ultra</v>
          </cell>
          <cell r="I546" t="str">
            <v>512 GB</v>
          </cell>
        </row>
        <row r="547">
          <cell r="C547" t="str">
            <v>Razr50Ultra512_SPC252260</v>
          </cell>
          <cell r="D547" t="str">
            <v>CASAS BAHIA - AVENIDA EMBAIXADOR MACEDO SOARES, 9175 - SPC252260</v>
          </cell>
          <cell r="E547" t="str">
            <v>CASAS BAHIA</v>
          </cell>
          <cell r="F547" t="str">
            <v>RUA</v>
          </cell>
          <cell r="G547" t="str">
            <v>AVENIDA EMBAIXADOR MACEDO SOARES, 9175</v>
          </cell>
          <cell r="H547" t="str">
            <v>Razr 50 Ultra</v>
          </cell>
          <cell r="I547" t="str">
            <v>512 GB</v>
          </cell>
        </row>
        <row r="548">
          <cell r="C548" t="str">
            <v>Razr50Ultra512_SPC22892</v>
          </cell>
          <cell r="D548" t="str">
            <v>CASAS BAHIA - AVENIDA ARICANDUVA, 5555 (LOJA 2) - SHOPPING ARICANDUVA - SPC22892</v>
          </cell>
          <cell r="E548" t="str">
            <v>CASAS BAHIA</v>
          </cell>
          <cell r="F548" t="str">
            <v>SHOPPING</v>
          </cell>
          <cell r="G548" t="str">
            <v>AVENIDA ARICANDUVA, 5555 (LOJA 2)</v>
          </cell>
          <cell r="H548" t="str">
            <v>Razr 50 Ultra</v>
          </cell>
          <cell r="I548" t="str">
            <v>512 GB</v>
          </cell>
        </row>
        <row r="549">
          <cell r="C549" t="str">
            <v>Razr50Ultra512_SPC7610</v>
          </cell>
          <cell r="D549" t="str">
            <v>CASAS BAHIA - AVENIDA ARICANDUVA, 5555 (LOJA 1) - SHOPPING ARICANDUVA - SPC7610</v>
          </cell>
          <cell r="E549" t="str">
            <v>CASAS BAHIA</v>
          </cell>
          <cell r="F549" t="str">
            <v>SHOPPING</v>
          </cell>
          <cell r="G549" t="str">
            <v>AVENIDA ARICANDUVA, 5555 (LOJA 1)</v>
          </cell>
          <cell r="H549" t="str">
            <v>Razr 50 Ultra</v>
          </cell>
          <cell r="I549" t="str">
            <v>512 GB</v>
          </cell>
        </row>
        <row r="550">
          <cell r="C550" t="str">
            <v>Razr50Ultra512_SPC8803</v>
          </cell>
          <cell r="D550" t="str">
            <v>PONTO FRIO - AVENIDA ARICANDUVA, 5555 (LOJA 2) - SHOPPING ARICANDUVA - SPC8803</v>
          </cell>
          <cell r="E550" t="str">
            <v xml:space="preserve">PONTO FRIO </v>
          </cell>
          <cell r="F550" t="str">
            <v>SHOPPING</v>
          </cell>
          <cell r="G550" t="str">
            <v>AVENIDA ARICANDUVA, 5555 (LOJA 2)</v>
          </cell>
          <cell r="H550" t="str">
            <v>Razr 50 Ultra</v>
          </cell>
          <cell r="I550" t="str">
            <v>512 GB</v>
          </cell>
        </row>
        <row r="551">
          <cell r="C551" t="str">
            <v>Razr50Ultra512_SPC6374</v>
          </cell>
          <cell r="D551" t="str">
            <v>MAGAZINE LUIZA - AVENIDA ARICANDUVA, 5555 - SHOPPING ARICANDUVA - SPC6374</v>
          </cell>
          <cell r="E551" t="str">
            <v>MAGAZINE LUIZA</v>
          </cell>
          <cell r="F551" t="str">
            <v>SHOPPING</v>
          </cell>
          <cell r="G551" t="str">
            <v>AVENIDA ARICANDUVA, 5555</v>
          </cell>
          <cell r="H551" t="str">
            <v>Razr 50 Ultra</v>
          </cell>
          <cell r="I551" t="str">
            <v>512 GB</v>
          </cell>
        </row>
        <row r="552">
          <cell r="C552" t="str">
            <v>Razr50Ultra512_SPC7759</v>
          </cell>
          <cell r="D552" t="str">
            <v>CASAS BAHIA - AVENIDA JOSE PINHEIRO BORGES, S/N - SHOPPING METRO ITAQUERA - SPC7759</v>
          </cell>
          <cell r="E552" t="str">
            <v>CASAS BAHIA</v>
          </cell>
          <cell r="F552" t="str">
            <v>SHOPPING</v>
          </cell>
          <cell r="G552" t="str">
            <v>AVENIDA JOSE PINHEIRO BORGES, S/N</v>
          </cell>
          <cell r="H552" t="str">
            <v>Razr 50 Ultra</v>
          </cell>
          <cell r="I552" t="str">
            <v>512 GB</v>
          </cell>
        </row>
        <row r="553">
          <cell r="C553" t="str">
            <v>Razr50Ultra512_SPC9927</v>
          </cell>
          <cell r="D553" t="str">
            <v>CASAS BAHIA - RODOVIA REGIS BITTENCOURT KM 271, 2643 - SHOPPING TABOAO DA SERRA - SPC9927</v>
          </cell>
          <cell r="E553" t="str">
            <v>CASAS BAHIA</v>
          </cell>
          <cell r="F553" t="str">
            <v>SHOPPING</v>
          </cell>
          <cell r="G553" t="str">
            <v>RODOVIA REGIS BITTENCOURT KM 271, 2643</v>
          </cell>
          <cell r="H553" t="str">
            <v>Razr 50 Ultra</v>
          </cell>
          <cell r="I553" t="str">
            <v>512 GB</v>
          </cell>
        </row>
        <row r="554">
          <cell r="C554" t="str">
            <v>Razr50Ultra512_SPC10966</v>
          </cell>
          <cell r="D554" t="str">
            <v>CASAS BAHIA - ESTRADA DO CAMPO LIMPO, 459 - SHOPPING CAMPO LIMPO - SPC10966</v>
          </cell>
          <cell r="E554" t="str">
            <v>CASAS BAHIA</v>
          </cell>
          <cell r="F554" t="str">
            <v>SHOPPING</v>
          </cell>
          <cell r="G554" t="str">
            <v>ESTRADA DO CAMPO LIMPO, 459</v>
          </cell>
          <cell r="H554" t="str">
            <v>Razr 50 Ultra</v>
          </cell>
          <cell r="I554" t="str">
            <v>512 GB</v>
          </cell>
        </row>
        <row r="555">
          <cell r="C555" t="str">
            <v>Razr50Ultra512_SPC11008</v>
          </cell>
          <cell r="D555" t="str">
            <v>CASAS BAHIA - LARGO 13 DE MAIO, 308 - ZONA COMERCIAL - SPC11008</v>
          </cell>
          <cell r="E555" t="str">
            <v>CASAS BAHIA</v>
          </cell>
          <cell r="F555" t="str">
            <v>RUA</v>
          </cell>
          <cell r="G555" t="str">
            <v>LARGO 13 DE MAIO, 308</v>
          </cell>
          <cell r="H555" t="str">
            <v>Razr 50 Ultra</v>
          </cell>
          <cell r="I555" t="str">
            <v>512 GB</v>
          </cell>
        </row>
        <row r="556">
          <cell r="C556" t="str">
            <v>Razr50Ultra512_SPC7621</v>
          </cell>
          <cell r="D556" t="str">
            <v>PONTO FRIO - RUA CAPITAO TIAGO LUZ, 146 - ZONA COMERCIAL - SPC7621</v>
          </cell>
          <cell r="E556" t="str">
            <v xml:space="preserve">PONTO FRIO </v>
          </cell>
          <cell r="F556" t="str">
            <v>RUA</v>
          </cell>
          <cell r="G556" t="str">
            <v>RUA CAPITAO TIAGO LUZ, 146</v>
          </cell>
          <cell r="H556" t="str">
            <v>Razr 50 Ultra</v>
          </cell>
          <cell r="I556" t="str">
            <v>512 GB</v>
          </cell>
        </row>
        <row r="557">
          <cell r="C557" t="str">
            <v>Razr50Ultra512_SPC6352</v>
          </cell>
          <cell r="D557" t="str">
            <v>CASAS BAHIA - RUA TENENTE AVELAR PIRES DE AZEVEDO, 81 - SHOPPING OSASCO PLAZA - SPC6352</v>
          </cell>
          <cell r="E557" t="str">
            <v>CASAS BAHIA</v>
          </cell>
          <cell r="F557" t="str">
            <v>SHOPPING</v>
          </cell>
          <cell r="G557" t="str">
            <v>RUA TENENTE AVELAR PIRES DE AZEVEDO, 81</v>
          </cell>
          <cell r="H557" t="str">
            <v>Razr 50 Ultra</v>
          </cell>
          <cell r="I557" t="str">
            <v>512 GB</v>
          </cell>
        </row>
        <row r="558">
          <cell r="C558" t="str">
            <v>Razr50Ultra512_SPC6445</v>
          </cell>
          <cell r="D558" t="str">
            <v>CASAS BAHIA - AVENIDA PIRACEMA, 669 - SHOPPING TAMBORE - SPC6445</v>
          </cell>
          <cell r="E558" t="str">
            <v>CASAS BAHIA</v>
          </cell>
          <cell r="F558" t="str">
            <v>SHOPPING</v>
          </cell>
          <cell r="G558" t="str">
            <v>AVENIDA PIRACEMA, 669</v>
          </cell>
          <cell r="H558" t="str">
            <v>Razr 50 Ultra</v>
          </cell>
          <cell r="I558" t="str">
            <v>512 GB</v>
          </cell>
        </row>
        <row r="559">
          <cell r="C559" t="str">
            <v>Razr50Ultra512_SPC6397</v>
          </cell>
          <cell r="D559" t="str">
            <v>CASAS BAHIA - AVENIDA DOS AUTONOMISTAS, 1400 - SHOPPING UNIAO - SPC6397</v>
          </cell>
          <cell r="E559" t="str">
            <v>CASAS BAHIA</v>
          </cell>
          <cell r="F559" t="str">
            <v>SHOPPING</v>
          </cell>
          <cell r="G559" t="str">
            <v>AVENIDA DOS AUTONOMISTAS, 1400</v>
          </cell>
          <cell r="H559" t="str">
            <v>Razr 50 Ultra</v>
          </cell>
          <cell r="I559" t="str">
            <v>512 GB</v>
          </cell>
        </row>
        <row r="560">
          <cell r="C560" t="str">
            <v>Razr50Ultra512_SPC11278</v>
          </cell>
          <cell r="D560" t="str">
            <v>PONTO FRIO - RUA ANTONIO AGU, 155 - ZONA COMERCIAL - SPC11278</v>
          </cell>
          <cell r="E560" t="str">
            <v xml:space="preserve">PONTO FRIO </v>
          </cell>
          <cell r="F560" t="str">
            <v>RUA</v>
          </cell>
          <cell r="G560" t="str">
            <v>RUA ANTONIO AGU, 155</v>
          </cell>
          <cell r="H560" t="str">
            <v>Razr 50 Ultra</v>
          </cell>
          <cell r="I560" t="str">
            <v>512 GB</v>
          </cell>
        </row>
        <row r="561">
          <cell r="C561" t="str">
            <v>Razr50Ultra512_SPC7644</v>
          </cell>
          <cell r="D561" t="str">
            <v>CASAS BAHIA - TRAVESSA CASALBUONO, 120 - SHOPPING CENTER NORTE - SPC7644</v>
          </cell>
          <cell r="E561" t="str">
            <v>CASAS BAHIA</v>
          </cell>
          <cell r="F561" t="str">
            <v>SHOPPING</v>
          </cell>
          <cell r="G561" t="str">
            <v>TRAVESSA CASALBUONO, 120</v>
          </cell>
          <cell r="H561" t="str">
            <v>Razr 50 Ultra</v>
          </cell>
          <cell r="I561" t="str">
            <v>512 GB</v>
          </cell>
        </row>
        <row r="562">
          <cell r="C562" t="str">
            <v>Razr50Ultra512_SPC8440</v>
          </cell>
          <cell r="D562" t="str">
            <v>MAGAZINE LUIZA - RUA AMAZONAS DA SILVA, 27 - ZONA COMERCIAL - SPC8440</v>
          </cell>
          <cell r="E562" t="str">
            <v>MAGAZINE LUIZA</v>
          </cell>
          <cell r="F562" t="str">
            <v>RUA</v>
          </cell>
          <cell r="G562" t="str">
            <v>RUA AMAZONAS DA SILVA, 27</v>
          </cell>
          <cell r="H562" t="str">
            <v>Razr 50 Ultra</v>
          </cell>
          <cell r="I562" t="str">
            <v>512 GB</v>
          </cell>
        </row>
        <row r="563">
          <cell r="C563" t="str">
            <v>Razr50Ultra512_SPC7607</v>
          </cell>
          <cell r="D563" t="str">
            <v>CASAS BAHIA - RODOVIA PRESIDENTE DUTRA KM 230, S/N - SHOPPING INTERNACIONAL GUARULHOS - SPC7607</v>
          </cell>
          <cell r="E563" t="str">
            <v>CASAS BAHIA</v>
          </cell>
          <cell r="F563" t="str">
            <v>SHOPPING</v>
          </cell>
          <cell r="G563" t="str">
            <v>RODOVIA PRESIDENTE DUTRA KM 230, S/N</v>
          </cell>
          <cell r="H563" t="str">
            <v>Razr 50 Ultra</v>
          </cell>
          <cell r="I563" t="str">
            <v>512 GB</v>
          </cell>
        </row>
        <row r="564">
          <cell r="C564" t="str">
            <v>Razr50Ultra512_SPC11273</v>
          </cell>
          <cell r="D564" t="str">
            <v>CASAS BAHIA - AVENIDA JUSCELINO KUBITSCHEK DE OLIVEIRA, 5308 - SHOPPING BONSUCESSO - SPC11273</v>
          </cell>
          <cell r="E564" t="str">
            <v>CASAS BAHIA</v>
          </cell>
          <cell r="F564" t="str">
            <v>SHOPPING</v>
          </cell>
          <cell r="G564" t="str">
            <v>AVENIDA JUSCELINO KUBITSCHEK DE OLIVEIRA, 5308</v>
          </cell>
          <cell r="H564" t="str">
            <v>Razr 50 Ultra</v>
          </cell>
          <cell r="I564" t="str">
            <v>512 GB</v>
          </cell>
        </row>
        <row r="565">
          <cell r="C565" t="str">
            <v>Razr50Ultra512_SPC11005</v>
          </cell>
          <cell r="D565" t="str">
            <v>CASAS BAHIA - AVENIDA INDUSTRIAL, 600 - SHOPPING GRAND PLAZA - SPC11005</v>
          </cell>
          <cell r="E565" t="str">
            <v>CASAS BAHIA</v>
          </cell>
          <cell r="F565" t="str">
            <v>SHOPPING</v>
          </cell>
          <cell r="G565" t="str">
            <v>AVENIDA INDUSTRIAL, 600</v>
          </cell>
          <cell r="H565" t="str">
            <v>Razr 50 Ultra</v>
          </cell>
          <cell r="I565" t="str">
            <v>512 GB</v>
          </cell>
        </row>
        <row r="566">
          <cell r="C566" t="str">
            <v>Razr50Ultra512_SPC8715</v>
          </cell>
          <cell r="D566" t="str">
            <v>CASAS BAHIA - AVENIDA GOVERNADOR MARIO COVAS JUNIOR, 1 - SHOPPING MAUA - SPC8715</v>
          </cell>
          <cell r="E566" t="str">
            <v>CASAS BAHIA</v>
          </cell>
          <cell r="F566" t="str">
            <v>SHOPPING</v>
          </cell>
          <cell r="G566" t="str">
            <v>AVENIDA GOVERNADOR MARIO COVAS JUNIOR, 1</v>
          </cell>
          <cell r="H566" t="str">
            <v>Razr 50 Ultra</v>
          </cell>
          <cell r="I566" t="str">
            <v>512 GB</v>
          </cell>
        </row>
        <row r="567">
          <cell r="C567" t="str">
            <v>Razr50Ultra512_SPC11374</v>
          </cell>
          <cell r="D567" t="str">
            <v>CASAS BAHIA - AVENIDA PEREIRA BARRETO, 42 - SHOPPING ABC - SPC11374</v>
          </cell>
          <cell r="E567" t="str">
            <v>CASAS BAHIA</v>
          </cell>
          <cell r="F567" t="str">
            <v>SHOPPING</v>
          </cell>
          <cell r="G567" t="str">
            <v>AVENIDA PEREIRA BARRETO, 42</v>
          </cell>
          <cell r="H567" t="str">
            <v>Razr 50 Ultra</v>
          </cell>
          <cell r="I567" t="str">
            <v>512 GB</v>
          </cell>
        </row>
        <row r="568">
          <cell r="C568" t="str">
            <v>Razr50Ultra512_SPC6700</v>
          </cell>
          <cell r="D568" t="str">
            <v>CASAS BAHIA - RUA MARECHAL DEODORO, 987 - ZONA COMERCIAL - SPC6700</v>
          </cell>
          <cell r="E568" t="str">
            <v>CASAS BAHIA</v>
          </cell>
          <cell r="F568" t="str">
            <v>RUA</v>
          </cell>
          <cell r="G568" t="str">
            <v>RUA MARECHAL DEODORO, 987</v>
          </cell>
          <cell r="H568" t="str">
            <v>Razr 50 Ultra</v>
          </cell>
          <cell r="I568" t="str">
            <v>512 GB</v>
          </cell>
        </row>
        <row r="569">
          <cell r="C569" t="str">
            <v>Razr50Ultra512_SPC7069</v>
          </cell>
          <cell r="D569" t="str">
            <v>CASAS BAHIA - RUA DOMINGOS DE MORAIS, 2564 - SHOPPING METRO SANTA CRUZ - SPC7069</v>
          </cell>
          <cell r="E569" t="str">
            <v>CASAS BAHIA</v>
          </cell>
          <cell r="F569" t="str">
            <v>SHOPPING</v>
          </cell>
          <cell r="G569" t="str">
            <v>RUA DOMINGOS DE MORAIS, 2564</v>
          </cell>
          <cell r="H569" t="str">
            <v>Razr 50 Ultra</v>
          </cell>
          <cell r="I569" t="str">
            <v>512 GB</v>
          </cell>
        </row>
        <row r="570">
          <cell r="C570" t="str">
            <v>Razr50Ultra512_SPC6505</v>
          </cell>
          <cell r="D570" t="str">
            <v>CASAS BAHIA - RUA TEODORO SAMPAIO, 2522 - ZONA COMERCIAL - SPC6505</v>
          </cell>
          <cell r="E570" t="str">
            <v>CASAS BAHIA</v>
          </cell>
          <cell r="F570" t="str">
            <v>RUA</v>
          </cell>
          <cell r="G570" t="str">
            <v>RUA TEODORO SAMPAIO, 2522</v>
          </cell>
          <cell r="H570" t="str">
            <v>Razr 50 Ultra</v>
          </cell>
          <cell r="I570" t="str">
            <v>512 GB</v>
          </cell>
        </row>
        <row r="571">
          <cell r="C571" t="str">
            <v>Razr50Ultra512_SPC234770</v>
          </cell>
          <cell r="D571" t="str">
            <v>CASAS BAHIA - ESTRADA DA COLINA, 1048 - SPC234770</v>
          </cell>
          <cell r="E571" t="str">
            <v>CASAS BAHIA</v>
          </cell>
          <cell r="F571" t="str">
            <v>RUA</v>
          </cell>
          <cell r="G571" t="str">
            <v>ESTRADA DA COLINA, 1048</v>
          </cell>
          <cell r="H571" t="str">
            <v>Razr 50 Ultra</v>
          </cell>
          <cell r="I571" t="str">
            <v>512 GB</v>
          </cell>
        </row>
        <row r="572">
          <cell r="C572" t="str">
            <v>Razr50512_SPC7613</v>
          </cell>
          <cell r="D572" t="str">
            <v>CASAS BAHIA - AVENIDA INTERLAGOS, 2255 - SHOPPING INTERLAGOS - SPC7613</v>
          </cell>
          <cell r="E572" t="str">
            <v>CASAS BAHIA</v>
          </cell>
          <cell r="F572" t="str">
            <v>SHOPPING</v>
          </cell>
          <cell r="G572" t="str">
            <v>AVENIDA INTERLAGOS, 2255</v>
          </cell>
          <cell r="H572" t="str">
            <v>Razr 50</v>
          </cell>
          <cell r="I572" t="str">
            <v>512 GB</v>
          </cell>
        </row>
        <row r="573">
          <cell r="C573" t="str">
            <v>Razr50512_SPC7612</v>
          </cell>
          <cell r="D573" t="str">
            <v>PONTO FRIO - AVENIDA INTERLAGOS, 2255 - SHOPPING INTERLAGOS - SPC7612</v>
          </cell>
          <cell r="E573" t="str">
            <v xml:space="preserve">PONTO FRIO </v>
          </cell>
          <cell r="F573" t="str">
            <v>SHOPPING</v>
          </cell>
          <cell r="G573" t="str">
            <v>AVENIDA INTERLAGOS, 2255</v>
          </cell>
          <cell r="H573" t="str">
            <v>Razr 50</v>
          </cell>
          <cell r="I573" t="str">
            <v>512 GB</v>
          </cell>
        </row>
        <row r="574">
          <cell r="C574" t="str">
            <v>Razr50512_SPC7614</v>
          </cell>
          <cell r="D574" t="str">
            <v>LOJAS AMERICANAS - AVENIDA INTERLAGOS, 2255 - SHOPPING INTERLAGOS - SPC7614</v>
          </cell>
          <cell r="E574" t="str">
            <v>LOJAS AMERICANAS</v>
          </cell>
          <cell r="F574" t="str">
            <v>SHOPPING</v>
          </cell>
          <cell r="G574" t="str">
            <v>AVENIDA INTERLAGOS, 2255</v>
          </cell>
          <cell r="H574" t="str">
            <v>Razr 50</v>
          </cell>
          <cell r="I574" t="str">
            <v>512 GB</v>
          </cell>
        </row>
        <row r="575">
          <cell r="C575" t="str">
            <v>Razr50512_SPC11232</v>
          </cell>
          <cell r="D575" t="str">
            <v>CASAS BAHIA - PRACA FLORIANO PEIXOTO, 38 - ZONA COMERCIAL - SPC11232</v>
          </cell>
          <cell r="E575" t="str">
            <v>CASAS BAHIA</v>
          </cell>
          <cell r="F575" t="str">
            <v>RUA</v>
          </cell>
          <cell r="G575" t="str">
            <v>PRACA FLORIANO PEIXOTO, 38</v>
          </cell>
          <cell r="H575" t="str">
            <v>Razr 50</v>
          </cell>
          <cell r="I575" t="str">
            <v>512 GB</v>
          </cell>
        </row>
        <row r="576">
          <cell r="C576" t="str">
            <v>Razr50512_SPC287350</v>
          </cell>
          <cell r="D576" t="str">
            <v>CASAS BAHIA - AVENIDA NACOES UNIDAS, 12995 - SPC287350</v>
          </cell>
          <cell r="E576" t="str">
            <v>CASAS BAHIA</v>
          </cell>
          <cell r="F576" t="str">
            <v>RUA</v>
          </cell>
          <cell r="G576" t="str">
            <v>AVENIDA NACOES UNIDAS, 12995</v>
          </cell>
          <cell r="H576" t="str">
            <v>Razr 50</v>
          </cell>
          <cell r="I576" t="str">
            <v>512 GB</v>
          </cell>
        </row>
        <row r="577">
          <cell r="C577" t="str">
            <v>Razr50512_SPC252260</v>
          </cell>
          <cell r="D577" t="str">
            <v>CASAS BAHIA - AVENIDA EMBAIXADOR MACEDO SOARES, 9175 - SPC252260</v>
          </cell>
          <cell r="E577" t="str">
            <v>CASAS BAHIA</v>
          </cell>
          <cell r="F577" t="str">
            <v>RUA</v>
          </cell>
          <cell r="G577" t="str">
            <v>AVENIDA EMBAIXADOR MACEDO SOARES, 9175</v>
          </cell>
          <cell r="H577" t="str">
            <v>Razr 50</v>
          </cell>
          <cell r="I577" t="str">
            <v>512 GB</v>
          </cell>
        </row>
        <row r="578">
          <cell r="C578" t="str">
            <v>Razr50512_SPC22892</v>
          </cell>
          <cell r="D578" t="str">
            <v>CASAS BAHIA - AVENIDA ARICANDUVA, 5555 (LOJA 2) - SHOPPING ARICANDUVA - SPC22892</v>
          </cell>
          <cell r="E578" t="str">
            <v>CASAS BAHIA</v>
          </cell>
          <cell r="F578" t="str">
            <v>SHOPPING</v>
          </cell>
          <cell r="G578" t="str">
            <v>AVENIDA ARICANDUVA, 5555 (LOJA 2)</v>
          </cell>
          <cell r="H578" t="str">
            <v>Razr 50</v>
          </cell>
          <cell r="I578" t="str">
            <v>512 GB</v>
          </cell>
        </row>
        <row r="579">
          <cell r="C579" t="str">
            <v>Razr50512_SPC7610</v>
          </cell>
          <cell r="D579" t="str">
            <v>CASAS BAHIA - AVENIDA ARICANDUVA, 5555 (LOJA 1) - SHOPPING ARICANDUVA - SPC7610</v>
          </cell>
          <cell r="E579" t="str">
            <v>CASAS BAHIA</v>
          </cell>
          <cell r="F579" t="str">
            <v>SHOPPING</v>
          </cell>
          <cell r="G579" t="str">
            <v>AVENIDA ARICANDUVA, 5555 (LOJA 1)</v>
          </cell>
          <cell r="H579" t="str">
            <v>Razr 50</v>
          </cell>
          <cell r="I579" t="str">
            <v>512 GB</v>
          </cell>
        </row>
        <row r="580">
          <cell r="C580" t="str">
            <v>Razr50512_SPC8803</v>
          </cell>
          <cell r="D580" t="str">
            <v>PONTO FRIO - AVENIDA ARICANDUVA, 5555 (LOJA 2) - SHOPPING ARICANDUVA - SPC8803</v>
          </cell>
          <cell r="E580" t="str">
            <v xml:space="preserve">PONTO FRIO </v>
          </cell>
          <cell r="F580" t="str">
            <v>SHOPPING</v>
          </cell>
          <cell r="G580" t="str">
            <v>AVENIDA ARICANDUVA, 5555 (LOJA 2)</v>
          </cell>
          <cell r="H580" t="str">
            <v>Razr 50</v>
          </cell>
          <cell r="I580" t="str">
            <v>512 GB</v>
          </cell>
        </row>
        <row r="581">
          <cell r="C581" t="str">
            <v>Razr50512_SPC6374</v>
          </cell>
          <cell r="D581" t="str">
            <v>MAGAZINE LUIZA - AVENIDA ARICANDUVA, 5555 - SHOPPING ARICANDUVA - SPC6374</v>
          </cell>
          <cell r="E581" t="str">
            <v>MAGAZINE LUIZA</v>
          </cell>
          <cell r="F581" t="str">
            <v>SHOPPING</v>
          </cell>
          <cell r="G581" t="str">
            <v>AVENIDA ARICANDUVA, 5555</v>
          </cell>
          <cell r="H581" t="str">
            <v>Razr 50</v>
          </cell>
          <cell r="I581" t="str">
            <v>512 GB</v>
          </cell>
        </row>
        <row r="582">
          <cell r="C582" t="str">
            <v>Razr50512_SPC7759</v>
          </cell>
          <cell r="D582" t="str">
            <v>CASAS BAHIA - AVENIDA JOSE PINHEIRO BORGES, S/N - SHOPPING METRO ITAQUERA - SPC7759</v>
          </cell>
          <cell r="E582" t="str">
            <v>CASAS BAHIA</v>
          </cell>
          <cell r="F582" t="str">
            <v>SHOPPING</v>
          </cell>
          <cell r="G582" t="str">
            <v>AVENIDA JOSE PINHEIRO BORGES, S/N</v>
          </cell>
          <cell r="H582" t="str">
            <v>Razr 50</v>
          </cell>
          <cell r="I582" t="str">
            <v>512 GB</v>
          </cell>
        </row>
        <row r="583">
          <cell r="C583" t="str">
            <v>Razr50512_SPC9927</v>
          </cell>
          <cell r="D583" t="str">
            <v>CASAS BAHIA - RODOVIA REGIS BITTENCOURT KM 271, 2643 - SHOPPING TABOAO DA SERRA - SPC9927</v>
          </cell>
          <cell r="E583" t="str">
            <v>CASAS BAHIA</v>
          </cell>
          <cell r="F583" t="str">
            <v>SHOPPING</v>
          </cell>
          <cell r="G583" t="str">
            <v>RODOVIA REGIS BITTENCOURT KM 271, 2643</v>
          </cell>
          <cell r="H583" t="str">
            <v>Razr 50</v>
          </cell>
          <cell r="I583" t="str">
            <v>512 GB</v>
          </cell>
        </row>
        <row r="584">
          <cell r="C584" t="str">
            <v>Razr50512_SPC10966</v>
          </cell>
          <cell r="D584" t="str">
            <v>CASAS BAHIA - ESTRADA DO CAMPO LIMPO, 459 - SHOPPING CAMPO LIMPO - SPC10966</v>
          </cell>
          <cell r="E584" t="str">
            <v>CASAS BAHIA</v>
          </cell>
          <cell r="F584" t="str">
            <v>SHOPPING</v>
          </cell>
          <cell r="G584" t="str">
            <v>ESTRADA DO CAMPO LIMPO, 459</v>
          </cell>
          <cell r="H584" t="str">
            <v>Razr 50</v>
          </cell>
          <cell r="I584" t="str">
            <v>512 GB</v>
          </cell>
        </row>
        <row r="585">
          <cell r="C585" t="str">
            <v>Razr50512_SPC11008</v>
          </cell>
          <cell r="D585" t="str">
            <v>CASAS BAHIA - LARGO 13 DE MAIO, 308 - ZONA COMERCIAL - SPC11008</v>
          </cell>
          <cell r="E585" t="str">
            <v>CASAS BAHIA</v>
          </cell>
          <cell r="F585" t="str">
            <v>RUA</v>
          </cell>
          <cell r="G585" t="str">
            <v>LARGO 13 DE MAIO, 308</v>
          </cell>
          <cell r="H585" t="str">
            <v>Razr 50</v>
          </cell>
          <cell r="I585" t="str">
            <v>512 GB</v>
          </cell>
        </row>
        <row r="586">
          <cell r="C586" t="str">
            <v>Razr50512_SPC7621</v>
          </cell>
          <cell r="D586" t="str">
            <v>PONTO FRIO - RUA CAPITAO TIAGO LUZ, 146 - ZONA COMERCIAL - SPC7621</v>
          </cell>
          <cell r="E586" t="str">
            <v xml:space="preserve">PONTO FRIO </v>
          </cell>
          <cell r="F586" t="str">
            <v>RUA</v>
          </cell>
          <cell r="G586" t="str">
            <v>RUA CAPITAO TIAGO LUZ, 146</v>
          </cell>
          <cell r="H586" t="str">
            <v>Razr 50</v>
          </cell>
          <cell r="I586" t="str">
            <v>512 GB</v>
          </cell>
        </row>
        <row r="587">
          <cell r="C587" t="str">
            <v>Razr50512_SPC6352</v>
          </cell>
          <cell r="D587" t="str">
            <v>CASAS BAHIA - RUA TENENTE AVELAR PIRES DE AZEVEDO, 81 - SHOPPING OSASCO PLAZA - SPC6352</v>
          </cell>
          <cell r="E587" t="str">
            <v>CASAS BAHIA</v>
          </cell>
          <cell r="F587" t="str">
            <v>SHOPPING</v>
          </cell>
          <cell r="G587" t="str">
            <v>RUA TENENTE AVELAR PIRES DE AZEVEDO, 81</v>
          </cell>
          <cell r="H587" t="str">
            <v>Razr 50</v>
          </cell>
          <cell r="I587" t="str">
            <v>512 GB</v>
          </cell>
        </row>
        <row r="588">
          <cell r="C588" t="str">
            <v>Razr50512_SPC6445</v>
          </cell>
          <cell r="D588" t="str">
            <v>CASAS BAHIA - AVENIDA PIRACEMA, 669 - SHOPPING TAMBORE - SPC6445</v>
          </cell>
          <cell r="E588" t="str">
            <v>CASAS BAHIA</v>
          </cell>
          <cell r="F588" t="str">
            <v>SHOPPING</v>
          </cell>
          <cell r="G588" t="str">
            <v>AVENIDA PIRACEMA, 669</v>
          </cell>
          <cell r="H588" t="str">
            <v>Razr 50</v>
          </cell>
          <cell r="I588" t="str">
            <v>512 GB</v>
          </cell>
        </row>
        <row r="589">
          <cell r="C589" t="str">
            <v>Razr50512_SPC6397</v>
          </cell>
          <cell r="D589" t="str">
            <v>CASAS BAHIA - AVENIDA DOS AUTONOMISTAS, 1400 - SHOPPING UNIAO - SPC6397</v>
          </cell>
          <cell r="E589" t="str">
            <v>CASAS BAHIA</v>
          </cell>
          <cell r="F589" t="str">
            <v>SHOPPING</v>
          </cell>
          <cell r="G589" t="str">
            <v>AVENIDA DOS AUTONOMISTAS, 1400</v>
          </cell>
          <cell r="H589" t="str">
            <v>Razr 50</v>
          </cell>
          <cell r="I589" t="str">
            <v>512 GB</v>
          </cell>
        </row>
        <row r="590">
          <cell r="C590" t="str">
            <v>Razr50512_SPC11278</v>
          </cell>
          <cell r="D590" t="str">
            <v>PONTO FRIO - RUA ANTONIO AGU, 155 - ZONA COMERCIAL - SPC11278</v>
          </cell>
          <cell r="E590" t="str">
            <v xml:space="preserve">PONTO FRIO </v>
          </cell>
          <cell r="F590" t="str">
            <v>RUA</v>
          </cell>
          <cell r="G590" t="str">
            <v>RUA ANTONIO AGU, 155</v>
          </cell>
          <cell r="H590" t="str">
            <v>Razr 50</v>
          </cell>
          <cell r="I590" t="str">
            <v>512 GB</v>
          </cell>
        </row>
        <row r="591">
          <cell r="C591" t="str">
            <v>Razr50512_SPC7644</v>
          </cell>
          <cell r="D591" t="str">
            <v>CASAS BAHIA - TRAVESSA CASALBUONO, 120 - SHOPPING CENTER NORTE - SPC7644</v>
          </cell>
          <cell r="E591" t="str">
            <v>CASAS BAHIA</v>
          </cell>
          <cell r="F591" t="str">
            <v>SHOPPING</v>
          </cell>
          <cell r="G591" t="str">
            <v>TRAVESSA CASALBUONO, 120</v>
          </cell>
          <cell r="H591" t="str">
            <v>Razr 50</v>
          </cell>
          <cell r="I591" t="str">
            <v>512 GB</v>
          </cell>
        </row>
        <row r="592">
          <cell r="C592" t="str">
            <v>Razr50512_SPC8440</v>
          </cell>
          <cell r="D592" t="str">
            <v>MAGAZINE LUIZA - RUA AMAZONAS DA SILVA, 27 - ZONA COMERCIAL - SPC8440</v>
          </cell>
          <cell r="E592" t="str">
            <v>MAGAZINE LUIZA</v>
          </cell>
          <cell r="F592" t="str">
            <v>RUA</v>
          </cell>
          <cell r="G592" t="str">
            <v>RUA AMAZONAS DA SILVA, 27</v>
          </cell>
          <cell r="H592" t="str">
            <v>Razr 50</v>
          </cell>
          <cell r="I592" t="str">
            <v>512 GB</v>
          </cell>
        </row>
        <row r="593">
          <cell r="C593" t="str">
            <v>Razr50512_SPC7607</v>
          </cell>
          <cell r="D593" t="str">
            <v>CASAS BAHIA - RODOVIA PRESIDENTE DUTRA KM 230, S/N - SHOPPING INTERNACIONAL GUARULHOS - SPC7607</v>
          </cell>
          <cell r="E593" t="str">
            <v>CASAS BAHIA</v>
          </cell>
          <cell r="F593" t="str">
            <v>SHOPPING</v>
          </cell>
          <cell r="G593" t="str">
            <v>RODOVIA PRESIDENTE DUTRA KM 230, S/N</v>
          </cell>
          <cell r="H593" t="str">
            <v>Razr 50</v>
          </cell>
          <cell r="I593" t="str">
            <v>512 GB</v>
          </cell>
        </row>
        <row r="594">
          <cell r="C594" t="str">
            <v>Razr50512_SPC11273</v>
          </cell>
          <cell r="D594" t="str">
            <v>CASAS BAHIA - AVENIDA JUSCELINO KUBITSCHEK DE OLIVEIRA, 5308 - SHOPPING BONSUCESSO - SPC11273</v>
          </cell>
          <cell r="E594" t="str">
            <v>CASAS BAHIA</v>
          </cell>
          <cell r="F594" t="str">
            <v>SHOPPING</v>
          </cell>
          <cell r="G594" t="str">
            <v>AVENIDA JUSCELINO KUBITSCHEK DE OLIVEIRA, 5308</v>
          </cell>
          <cell r="H594" t="str">
            <v>Razr 50</v>
          </cell>
          <cell r="I594" t="str">
            <v>512 GB</v>
          </cell>
        </row>
        <row r="595">
          <cell r="C595" t="str">
            <v>Razr50512_SPC11005</v>
          </cell>
          <cell r="D595" t="str">
            <v>CASAS BAHIA - AVENIDA INDUSTRIAL, 600 - SHOPPING GRAND PLAZA - SPC11005</v>
          </cell>
          <cell r="E595" t="str">
            <v>CASAS BAHIA</v>
          </cell>
          <cell r="F595" t="str">
            <v>SHOPPING</v>
          </cell>
          <cell r="G595" t="str">
            <v>AVENIDA INDUSTRIAL, 600</v>
          </cell>
          <cell r="H595" t="str">
            <v>Razr 50</v>
          </cell>
          <cell r="I595" t="str">
            <v>512 GB</v>
          </cell>
        </row>
        <row r="596">
          <cell r="C596" t="str">
            <v>Razr50512_SPC8715</v>
          </cell>
          <cell r="D596" t="str">
            <v>CASAS BAHIA - AVENIDA GOVERNADOR MARIO COVAS JUNIOR, 1 - SHOPPING MAUA - SPC8715</v>
          </cell>
          <cell r="E596" t="str">
            <v>CASAS BAHIA</v>
          </cell>
          <cell r="F596" t="str">
            <v>SHOPPING</v>
          </cell>
          <cell r="G596" t="str">
            <v>AVENIDA GOVERNADOR MARIO COVAS JUNIOR, 1</v>
          </cell>
          <cell r="H596" t="str">
            <v>Razr 50</v>
          </cell>
          <cell r="I596" t="str">
            <v>512 GB</v>
          </cell>
        </row>
        <row r="597">
          <cell r="C597" t="str">
            <v>Razr50512_SPC11374</v>
          </cell>
          <cell r="D597" t="str">
            <v>CASAS BAHIA - AVENIDA PEREIRA BARRETO, 42 - SHOPPING ABC - SPC11374</v>
          </cell>
          <cell r="E597" t="str">
            <v>CASAS BAHIA</v>
          </cell>
          <cell r="F597" t="str">
            <v>SHOPPING</v>
          </cell>
          <cell r="G597" t="str">
            <v>AVENIDA PEREIRA BARRETO, 42</v>
          </cell>
          <cell r="H597" t="str">
            <v>Razr 50</v>
          </cell>
          <cell r="I597" t="str">
            <v>512 GB</v>
          </cell>
        </row>
        <row r="598">
          <cell r="C598" t="str">
            <v>Razr50512_SPC6700</v>
          </cell>
          <cell r="D598" t="str">
            <v>CASAS BAHIA - RUA MARECHAL DEODORO, 987 - ZONA COMERCIAL - SPC6700</v>
          </cell>
          <cell r="E598" t="str">
            <v>CASAS BAHIA</v>
          </cell>
          <cell r="F598" t="str">
            <v>RUA</v>
          </cell>
          <cell r="G598" t="str">
            <v>RUA MARECHAL DEODORO, 987</v>
          </cell>
          <cell r="H598" t="str">
            <v>Razr 50</v>
          </cell>
          <cell r="I598" t="str">
            <v>512 GB</v>
          </cell>
        </row>
        <row r="599">
          <cell r="C599" t="str">
            <v>Razr50512_SPC7069</v>
          </cell>
          <cell r="D599" t="str">
            <v>CASAS BAHIA - RUA DOMINGOS DE MORAIS, 2564 - SHOPPING METRO SANTA CRUZ - SPC7069</v>
          </cell>
          <cell r="E599" t="str">
            <v>CASAS BAHIA</v>
          </cell>
          <cell r="F599" t="str">
            <v>SHOPPING</v>
          </cell>
          <cell r="G599" t="str">
            <v>RUA DOMINGOS DE MORAIS, 2564</v>
          </cell>
          <cell r="H599" t="str">
            <v>Razr 50</v>
          </cell>
          <cell r="I599" t="str">
            <v>512 GB</v>
          </cell>
        </row>
        <row r="600">
          <cell r="C600" t="str">
            <v>Razr50512_SPC6505</v>
          </cell>
          <cell r="D600" t="str">
            <v>CASAS BAHIA - RUA TEODORO SAMPAIO, 2522 - ZONA COMERCIAL - SPC6505</v>
          </cell>
          <cell r="E600" t="str">
            <v>CASAS BAHIA</v>
          </cell>
          <cell r="F600" t="str">
            <v>RUA</v>
          </cell>
          <cell r="G600" t="str">
            <v>RUA TEODORO SAMPAIO, 2522</v>
          </cell>
          <cell r="H600" t="str">
            <v>Razr 50</v>
          </cell>
          <cell r="I600" t="str">
            <v>512 GB</v>
          </cell>
        </row>
        <row r="601">
          <cell r="C601" t="str">
            <v>Razr50512_SPC234770</v>
          </cell>
          <cell r="D601" t="str">
            <v>CASAS BAHIA - ESTRADA DA COLINA, 1048 - SPC234770</v>
          </cell>
          <cell r="E601" t="str">
            <v>CASAS BAHIA</v>
          </cell>
          <cell r="F601" t="str">
            <v>RUA</v>
          </cell>
          <cell r="G601" t="str">
            <v>ESTRADA DA COLINA, 1048</v>
          </cell>
          <cell r="H601" t="str">
            <v>Razr 50</v>
          </cell>
          <cell r="I601" t="str">
            <v>512 GB</v>
          </cell>
        </row>
        <row r="602">
          <cell r="C602" t="str">
            <v>G77256_SPC7613</v>
          </cell>
          <cell r="D602" t="str">
            <v>CASAS BAHIA - AVENIDA INTERLAGOS, 2255 - SHOPPING INTERLAGOS - SPC7613</v>
          </cell>
          <cell r="E602" t="str">
            <v>CASAS BAHIA</v>
          </cell>
          <cell r="F602" t="str">
            <v>SHOPPING</v>
          </cell>
          <cell r="G602" t="str">
            <v>AVENIDA INTERLAGOS, 2255</v>
          </cell>
          <cell r="H602" t="str">
            <v>G77</v>
          </cell>
          <cell r="I602" t="str">
            <v>256 GB</v>
          </cell>
        </row>
        <row r="603">
          <cell r="C603" t="str">
            <v>G77256_SPC7612</v>
          </cell>
          <cell r="D603" t="str">
            <v>PONTO FRIO - AVENIDA INTERLAGOS, 2255 - SHOPPING INTERLAGOS - SPC7612</v>
          </cell>
          <cell r="E603" t="str">
            <v xml:space="preserve">PONTO FRIO </v>
          </cell>
          <cell r="F603" t="str">
            <v>SHOPPING</v>
          </cell>
          <cell r="G603" t="str">
            <v>AVENIDA INTERLAGOS, 2255</v>
          </cell>
          <cell r="H603" t="str">
            <v>G77</v>
          </cell>
          <cell r="I603" t="str">
            <v>256 GB</v>
          </cell>
        </row>
        <row r="604">
          <cell r="C604" t="str">
            <v>G77256_SPC7614</v>
          </cell>
          <cell r="D604" t="str">
            <v>LOJAS AMERICANAS - AVENIDA INTERLAGOS, 2255 - SHOPPING INTERLAGOS - SPC7614</v>
          </cell>
          <cell r="E604" t="str">
            <v>LOJAS AMERICANAS</v>
          </cell>
          <cell r="F604" t="str">
            <v>SHOPPING</v>
          </cell>
          <cell r="G604" t="str">
            <v>AVENIDA INTERLAGOS, 2255</v>
          </cell>
          <cell r="H604" t="str">
            <v>G77</v>
          </cell>
          <cell r="I604" t="str">
            <v>256 GB</v>
          </cell>
        </row>
        <row r="605">
          <cell r="C605" t="str">
            <v>G77256_SPC11232</v>
          </cell>
          <cell r="D605" t="str">
            <v>CASAS BAHIA - PRACA FLORIANO PEIXOTO, 38 - ZONA COMERCIAL - SPC11232</v>
          </cell>
          <cell r="E605" t="str">
            <v>CASAS BAHIA</v>
          </cell>
          <cell r="F605" t="str">
            <v>RUA</v>
          </cell>
          <cell r="G605" t="str">
            <v>PRACA FLORIANO PEIXOTO, 38</v>
          </cell>
          <cell r="H605" t="str">
            <v>G77</v>
          </cell>
          <cell r="I605" t="str">
            <v>256 GB</v>
          </cell>
        </row>
        <row r="606">
          <cell r="C606" t="str">
            <v>G77256_SPC287350</v>
          </cell>
          <cell r="D606" t="str">
            <v>CASAS BAHIA - AVENIDA NACOES UNIDAS, 12995 - SPC287350</v>
          </cell>
          <cell r="E606" t="str">
            <v>CASAS BAHIA</v>
          </cell>
          <cell r="F606" t="str">
            <v>RUA</v>
          </cell>
          <cell r="G606" t="str">
            <v>AVENIDA NACOES UNIDAS, 12995</v>
          </cell>
          <cell r="H606" t="str">
            <v>G77</v>
          </cell>
          <cell r="I606" t="str">
            <v>256 GB</v>
          </cell>
        </row>
        <row r="607">
          <cell r="C607" t="str">
            <v>G77256_SPC252260</v>
          </cell>
          <cell r="D607" t="str">
            <v>CASAS BAHIA - AVENIDA EMBAIXADOR MACEDO SOARES, 9175 - SPC252260</v>
          </cell>
          <cell r="E607" t="str">
            <v>CASAS BAHIA</v>
          </cell>
          <cell r="F607" t="str">
            <v>RUA</v>
          </cell>
          <cell r="G607" t="str">
            <v>AVENIDA EMBAIXADOR MACEDO SOARES, 9175</v>
          </cell>
          <cell r="H607" t="str">
            <v>G77</v>
          </cell>
          <cell r="I607" t="str">
            <v>256 GB</v>
          </cell>
        </row>
        <row r="608">
          <cell r="C608" t="str">
            <v>G77256_SPC22892</v>
          </cell>
          <cell r="D608" t="str">
            <v>CASAS BAHIA - AVENIDA ARICANDUVA, 5555 (LOJA 2) - SHOPPING ARICANDUVA - SPC22892</v>
          </cell>
          <cell r="E608" t="str">
            <v>CASAS BAHIA</v>
          </cell>
          <cell r="F608" t="str">
            <v>SHOPPING</v>
          </cell>
          <cell r="G608" t="str">
            <v>AVENIDA ARICANDUVA, 5555 (LOJA 2)</v>
          </cell>
          <cell r="H608" t="str">
            <v>G77</v>
          </cell>
          <cell r="I608" t="str">
            <v>256 GB</v>
          </cell>
        </row>
        <row r="609">
          <cell r="C609" t="str">
            <v>G77256_SPC7610</v>
          </cell>
          <cell r="D609" t="str">
            <v>CASAS BAHIA - AVENIDA ARICANDUVA, 5555 (LOJA 1) - SHOPPING ARICANDUVA - SPC7610</v>
          </cell>
          <cell r="E609" t="str">
            <v>CASAS BAHIA</v>
          </cell>
          <cell r="F609" t="str">
            <v>SHOPPING</v>
          </cell>
          <cell r="G609" t="str">
            <v>AVENIDA ARICANDUVA, 5555 (LOJA 1)</v>
          </cell>
          <cell r="H609" t="str">
            <v>G77</v>
          </cell>
          <cell r="I609" t="str">
            <v>256 GB</v>
          </cell>
        </row>
        <row r="610">
          <cell r="C610" t="str">
            <v>G77256_SPC8803</v>
          </cell>
          <cell r="D610" t="str">
            <v>PONTO FRIO - AVENIDA ARICANDUVA, 5555 (LOJA 2) - SHOPPING ARICANDUVA - SPC8803</v>
          </cell>
          <cell r="E610" t="str">
            <v xml:space="preserve">PONTO FRIO </v>
          </cell>
          <cell r="F610" t="str">
            <v>SHOPPING</v>
          </cell>
          <cell r="G610" t="str">
            <v>AVENIDA ARICANDUVA, 5555 (LOJA 2)</v>
          </cell>
          <cell r="H610" t="str">
            <v>G77</v>
          </cell>
          <cell r="I610" t="str">
            <v>256 GB</v>
          </cell>
        </row>
        <row r="611">
          <cell r="C611" t="str">
            <v>G77256_SPC6374</v>
          </cell>
          <cell r="D611" t="str">
            <v>MAGAZINE LUIZA - AVENIDA ARICANDUVA, 5555 - SHOPPING ARICANDUVA - SPC6374</v>
          </cell>
          <cell r="E611" t="str">
            <v>MAGAZINE LUIZA</v>
          </cell>
          <cell r="F611" t="str">
            <v>SHOPPING</v>
          </cell>
          <cell r="G611" t="str">
            <v>AVENIDA ARICANDUVA, 5555</v>
          </cell>
          <cell r="H611" t="str">
            <v>G77</v>
          </cell>
          <cell r="I611" t="str">
            <v>256 GB</v>
          </cell>
        </row>
        <row r="612">
          <cell r="C612" t="str">
            <v>G77256_SPC7759</v>
          </cell>
          <cell r="D612" t="str">
            <v>CASAS BAHIA - AVENIDA JOSE PINHEIRO BORGES, S/N - SHOPPING METRO ITAQUERA - SPC7759</v>
          </cell>
          <cell r="E612" t="str">
            <v>CASAS BAHIA</v>
          </cell>
          <cell r="F612" t="str">
            <v>SHOPPING</v>
          </cell>
          <cell r="G612" t="str">
            <v>AVENIDA JOSE PINHEIRO BORGES, S/N</v>
          </cell>
          <cell r="H612" t="str">
            <v>G77</v>
          </cell>
          <cell r="I612" t="str">
            <v>256 GB</v>
          </cell>
        </row>
        <row r="613">
          <cell r="C613" t="str">
            <v>G77256_SPC9927</v>
          </cell>
          <cell r="D613" t="str">
            <v>CASAS BAHIA - RODOVIA REGIS BITTENCOURT KM 271, 2643 - SHOPPING TABOAO DA SERRA - SPC9927</v>
          </cell>
          <cell r="E613" t="str">
            <v>CASAS BAHIA</v>
          </cell>
          <cell r="F613" t="str">
            <v>SHOPPING</v>
          </cell>
          <cell r="G613" t="str">
            <v>RODOVIA REGIS BITTENCOURT KM 271, 2643</v>
          </cell>
          <cell r="H613" t="str">
            <v>G77</v>
          </cell>
          <cell r="I613" t="str">
            <v>256 GB</v>
          </cell>
        </row>
        <row r="614">
          <cell r="C614" t="str">
            <v>G77256_SPC10966</v>
          </cell>
          <cell r="D614" t="str">
            <v>CASAS BAHIA - ESTRADA DO CAMPO LIMPO, 459 - SHOPPING CAMPO LIMPO - SPC10966</v>
          </cell>
          <cell r="E614" t="str">
            <v>CASAS BAHIA</v>
          </cell>
          <cell r="F614" t="str">
            <v>SHOPPING</v>
          </cell>
          <cell r="G614" t="str">
            <v>ESTRADA DO CAMPO LIMPO, 459</v>
          </cell>
          <cell r="H614" t="str">
            <v>G77</v>
          </cell>
          <cell r="I614" t="str">
            <v>256 GB</v>
          </cell>
        </row>
        <row r="615">
          <cell r="C615" t="str">
            <v>G77256_SPC11008</v>
          </cell>
          <cell r="D615" t="str">
            <v>CASAS BAHIA - LARGO 13 DE MAIO, 308 - ZONA COMERCIAL - SPC11008</v>
          </cell>
          <cell r="E615" t="str">
            <v>CASAS BAHIA</v>
          </cell>
          <cell r="F615" t="str">
            <v>RUA</v>
          </cell>
          <cell r="G615" t="str">
            <v>LARGO 13 DE MAIO, 308</v>
          </cell>
          <cell r="H615" t="str">
            <v>G77</v>
          </cell>
          <cell r="I615" t="str">
            <v>256 GB</v>
          </cell>
        </row>
        <row r="616">
          <cell r="C616" t="str">
            <v>G77256_SPC7621</v>
          </cell>
          <cell r="D616" t="str">
            <v>PONTO FRIO - RUA CAPITAO TIAGO LUZ, 146 - ZONA COMERCIAL - SPC7621</v>
          </cell>
          <cell r="E616" t="str">
            <v xml:space="preserve">PONTO FRIO </v>
          </cell>
          <cell r="F616" t="str">
            <v>RUA</v>
          </cell>
          <cell r="G616" t="str">
            <v>RUA CAPITAO TIAGO LUZ, 146</v>
          </cell>
          <cell r="H616" t="str">
            <v>G77</v>
          </cell>
          <cell r="I616" t="str">
            <v>256 GB</v>
          </cell>
        </row>
        <row r="617">
          <cell r="C617" t="str">
            <v>G77256_SPC6352</v>
          </cell>
          <cell r="D617" t="str">
            <v>CASAS BAHIA - RUA TENENTE AVELAR PIRES DE AZEVEDO, 81 - SHOPPING OSASCO PLAZA - SPC6352</v>
          </cell>
          <cell r="E617" t="str">
            <v>CASAS BAHIA</v>
          </cell>
          <cell r="F617" t="str">
            <v>SHOPPING</v>
          </cell>
          <cell r="G617" t="str">
            <v>RUA TENENTE AVELAR PIRES DE AZEVEDO, 81</v>
          </cell>
          <cell r="H617" t="str">
            <v>G77</v>
          </cell>
          <cell r="I617" t="str">
            <v>256 GB</v>
          </cell>
        </row>
        <row r="618">
          <cell r="C618" t="str">
            <v>G77256_SPC6445</v>
          </cell>
          <cell r="D618" t="str">
            <v>CASAS BAHIA - AVENIDA PIRACEMA, 669 - SHOPPING TAMBORE - SPC6445</v>
          </cell>
          <cell r="E618" t="str">
            <v>CASAS BAHIA</v>
          </cell>
          <cell r="F618" t="str">
            <v>SHOPPING</v>
          </cell>
          <cell r="G618" t="str">
            <v>AVENIDA PIRACEMA, 669</v>
          </cell>
          <cell r="H618" t="str">
            <v>G77</v>
          </cell>
          <cell r="I618" t="str">
            <v>256 GB</v>
          </cell>
        </row>
        <row r="619">
          <cell r="C619" t="str">
            <v>G77256_SPC6397</v>
          </cell>
          <cell r="D619" t="str">
            <v>CASAS BAHIA - AVENIDA DOS AUTONOMISTAS, 1400 - SHOPPING UNIAO - SPC6397</v>
          </cell>
          <cell r="E619" t="str">
            <v>CASAS BAHIA</v>
          </cell>
          <cell r="F619" t="str">
            <v>SHOPPING</v>
          </cell>
          <cell r="G619" t="str">
            <v>AVENIDA DOS AUTONOMISTAS, 1400</v>
          </cell>
          <cell r="H619" t="str">
            <v>G77</v>
          </cell>
          <cell r="I619" t="str">
            <v>256 GB</v>
          </cell>
        </row>
        <row r="620">
          <cell r="C620" t="str">
            <v>G77256_SPC11278</v>
          </cell>
          <cell r="D620" t="str">
            <v>PONTO FRIO - RUA ANTONIO AGU, 155 - ZONA COMERCIAL - SPC11278</v>
          </cell>
          <cell r="E620" t="str">
            <v xml:space="preserve">PONTO FRIO </v>
          </cell>
          <cell r="F620" t="str">
            <v>RUA</v>
          </cell>
          <cell r="G620" t="str">
            <v>RUA ANTONIO AGU, 155</v>
          </cell>
          <cell r="H620" t="str">
            <v>G77</v>
          </cell>
          <cell r="I620" t="str">
            <v>256 GB</v>
          </cell>
        </row>
        <row r="621">
          <cell r="C621" t="str">
            <v>G77256_SPC7644</v>
          </cell>
          <cell r="D621" t="str">
            <v>CASAS BAHIA - TRAVESSA CASALBUONO, 120 - SHOPPING CENTER NORTE - SPC7644</v>
          </cell>
          <cell r="E621" t="str">
            <v>CASAS BAHIA</v>
          </cell>
          <cell r="F621" t="str">
            <v>SHOPPING</v>
          </cell>
          <cell r="G621" t="str">
            <v>TRAVESSA CASALBUONO, 120</v>
          </cell>
          <cell r="H621" t="str">
            <v>G77</v>
          </cell>
          <cell r="I621" t="str">
            <v>256 GB</v>
          </cell>
        </row>
        <row r="622">
          <cell r="C622" t="str">
            <v>G77256_SPC8440</v>
          </cell>
          <cell r="D622" t="str">
            <v>MAGAZINE LUIZA - RUA AMAZONAS DA SILVA, 27 - ZONA COMERCIAL - SPC8440</v>
          </cell>
          <cell r="E622" t="str">
            <v>MAGAZINE LUIZA</v>
          </cell>
          <cell r="F622" t="str">
            <v>RUA</v>
          </cell>
          <cell r="G622" t="str">
            <v>RUA AMAZONAS DA SILVA, 27</v>
          </cell>
          <cell r="H622" t="str">
            <v>G77</v>
          </cell>
          <cell r="I622" t="str">
            <v>256 GB</v>
          </cell>
        </row>
        <row r="623">
          <cell r="C623" t="str">
            <v>G77256_SPC7607</v>
          </cell>
          <cell r="D623" t="str">
            <v>CASAS BAHIA - RODOVIA PRESIDENTE DUTRA KM 230, S/N - SHOPPING INTERNACIONAL GUARULHOS - SPC7607</v>
          </cell>
          <cell r="E623" t="str">
            <v>CASAS BAHIA</v>
          </cell>
          <cell r="F623" t="str">
            <v>SHOPPING</v>
          </cell>
          <cell r="G623" t="str">
            <v>RODOVIA PRESIDENTE DUTRA KM 230, S/N</v>
          </cell>
          <cell r="H623" t="str">
            <v>G77</v>
          </cell>
          <cell r="I623" t="str">
            <v>256 GB</v>
          </cell>
        </row>
        <row r="624">
          <cell r="C624" t="str">
            <v>G77256_SPC11273</v>
          </cell>
          <cell r="D624" t="str">
            <v>CASAS BAHIA - AVENIDA JUSCELINO KUBITSCHEK DE OLIVEIRA, 5308 - SHOPPING BONSUCESSO - SPC11273</v>
          </cell>
          <cell r="E624" t="str">
            <v>CASAS BAHIA</v>
          </cell>
          <cell r="F624" t="str">
            <v>SHOPPING</v>
          </cell>
          <cell r="G624" t="str">
            <v>AVENIDA JUSCELINO KUBITSCHEK DE OLIVEIRA, 5308</v>
          </cell>
          <cell r="H624" t="str">
            <v>G77</v>
          </cell>
          <cell r="I624" t="str">
            <v>256 GB</v>
          </cell>
        </row>
        <row r="625">
          <cell r="C625" t="str">
            <v>G77256_SPC11005</v>
          </cell>
          <cell r="D625" t="str">
            <v>CASAS BAHIA - AVENIDA INDUSTRIAL, 600 - SHOPPING GRAND PLAZA - SPC11005</v>
          </cell>
          <cell r="E625" t="str">
            <v>CASAS BAHIA</v>
          </cell>
          <cell r="F625" t="str">
            <v>SHOPPING</v>
          </cell>
          <cell r="G625" t="str">
            <v>AVENIDA INDUSTRIAL, 600</v>
          </cell>
          <cell r="H625" t="str">
            <v>G77</v>
          </cell>
          <cell r="I625" t="str">
            <v>256 GB</v>
          </cell>
        </row>
        <row r="626">
          <cell r="C626" t="str">
            <v>G77256_SPC8715</v>
          </cell>
          <cell r="D626" t="str">
            <v>CASAS BAHIA - AVENIDA GOVERNADOR MARIO COVAS JUNIOR, 1 - SHOPPING MAUA - SPC8715</v>
          </cell>
          <cell r="E626" t="str">
            <v>CASAS BAHIA</v>
          </cell>
          <cell r="F626" t="str">
            <v>SHOPPING</v>
          </cell>
          <cell r="G626" t="str">
            <v>AVENIDA GOVERNADOR MARIO COVAS JUNIOR, 1</v>
          </cell>
          <cell r="H626" t="str">
            <v>G77</v>
          </cell>
          <cell r="I626" t="str">
            <v>256 GB</v>
          </cell>
        </row>
        <row r="627">
          <cell r="C627" t="str">
            <v>G77256_SPC11374</v>
          </cell>
          <cell r="D627" t="str">
            <v>CASAS BAHIA - AVENIDA PEREIRA BARRETO, 42 - SHOPPING ABC - SPC11374</v>
          </cell>
          <cell r="E627" t="str">
            <v>CASAS BAHIA</v>
          </cell>
          <cell r="F627" t="str">
            <v>SHOPPING</v>
          </cell>
          <cell r="G627" t="str">
            <v>AVENIDA PEREIRA BARRETO, 42</v>
          </cell>
          <cell r="H627" t="str">
            <v>G77</v>
          </cell>
          <cell r="I627" t="str">
            <v>256 GB</v>
          </cell>
        </row>
        <row r="628">
          <cell r="C628" t="str">
            <v>G77256_SPC6700</v>
          </cell>
          <cell r="D628" t="str">
            <v>CASAS BAHIA - RUA MARECHAL DEODORO, 987 - ZONA COMERCIAL - SPC6700</v>
          </cell>
          <cell r="E628" t="str">
            <v>CASAS BAHIA</v>
          </cell>
          <cell r="F628" t="str">
            <v>RUA</v>
          </cell>
          <cell r="G628" t="str">
            <v>RUA MARECHAL DEODORO, 987</v>
          </cell>
          <cell r="H628" t="str">
            <v>G77</v>
          </cell>
          <cell r="I628" t="str">
            <v>256 GB</v>
          </cell>
        </row>
        <row r="629">
          <cell r="C629" t="str">
            <v>G77256_SPC7069</v>
          </cell>
          <cell r="D629" t="str">
            <v>CASAS BAHIA - RUA DOMINGOS DE MORAIS, 2564 - SHOPPING METRO SANTA CRUZ - SPC7069</v>
          </cell>
          <cell r="E629" t="str">
            <v>CASAS BAHIA</v>
          </cell>
          <cell r="F629" t="str">
            <v>SHOPPING</v>
          </cell>
          <cell r="G629" t="str">
            <v>RUA DOMINGOS DE MORAIS, 2564</v>
          </cell>
          <cell r="H629" t="str">
            <v>G77</v>
          </cell>
          <cell r="I629" t="str">
            <v>256 GB</v>
          </cell>
        </row>
        <row r="630">
          <cell r="C630" t="str">
            <v>G77256_SPC6505</v>
          </cell>
          <cell r="D630" t="str">
            <v>CASAS BAHIA - RUA TEODORO SAMPAIO, 2522 - ZONA COMERCIAL - SPC6505</v>
          </cell>
          <cell r="E630" t="str">
            <v>CASAS BAHIA</v>
          </cell>
          <cell r="F630" t="str">
            <v>RUA</v>
          </cell>
          <cell r="G630" t="str">
            <v>RUA TEODORO SAMPAIO, 2522</v>
          </cell>
          <cell r="H630" t="str">
            <v>G77</v>
          </cell>
          <cell r="I630" t="str">
            <v>256 GB</v>
          </cell>
        </row>
        <row r="631">
          <cell r="C631" t="str">
            <v>G77256_SPC234770</v>
          </cell>
          <cell r="D631" t="str">
            <v>CASAS BAHIA - ESTRADA DA COLINA, 1048 - SPC234770</v>
          </cell>
          <cell r="E631" t="str">
            <v>CASAS BAHIA</v>
          </cell>
          <cell r="F631" t="str">
            <v>RUA</v>
          </cell>
          <cell r="G631" t="str">
            <v>ESTRADA DA COLINA, 1048</v>
          </cell>
          <cell r="H631" t="str">
            <v>G77</v>
          </cell>
          <cell r="I631" t="str">
            <v>256 GB</v>
          </cell>
        </row>
        <row r="632">
          <cell r="C632" t="str">
            <v>G67256_SPC7613</v>
          </cell>
          <cell r="D632" t="str">
            <v>CASAS BAHIA - AVENIDA INTERLAGOS, 2255 - SHOPPING INTERLAGOS - SPC7613</v>
          </cell>
          <cell r="E632" t="str">
            <v>CASAS BAHIA</v>
          </cell>
          <cell r="F632" t="str">
            <v>SHOPPING</v>
          </cell>
          <cell r="G632" t="str">
            <v>AVENIDA INTERLAGOS, 2255</v>
          </cell>
          <cell r="H632" t="str">
            <v>G67</v>
          </cell>
          <cell r="I632" t="str">
            <v>256 GB</v>
          </cell>
        </row>
        <row r="633">
          <cell r="C633" t="str">
            <v>G67256_SPC7612</v>
          </cell>
          <cell r="D633" t="str">
            <v>PONTO FRIO - AVENIDA INTERLAGOS, 2255 - SHOPPING INTERLAGOS - SPC7612</v>
          </cell>
          <cell r="E633" t="str">
            <v xml:space="preserve">PONTO FRIO </v>
          </cell>
          <cell r="F633" t="str">
            <v>SHOPPING</v>
          </cell>
          <cell r="G633" t="str">
            <v>AVENIDA INTERLAGOS, 2255</v>
          </cell>
          <cell r="H633" t="str">
            <v>G67</v>
          </cell>
          <cell r="I633" t="str">
            <v>256 GB</v>
          </cell>
        </row>
        <row r="634">
          <cell r="C634" t="str">
            <v>G67256_SPC7614</v>
          </cell>
          <cell r="D634" t="str">
            <v>LOJAS AMERICANAS - AVENIDA INTERLAGOS, 2255 - SHOPPING INTERLAGOS - SPC7614</v>
          </cell>
          <cell r="E634" t="str">
            <v>LOJAS AMERICANAS</v>
          </cell>
          <cell r="F634" t="str">
            <v>SHOPPING</v>
          </cell>
          <cell r="G634" t="str">
            <v>AVENIDA INTERLAGOS, 2255</v>
          </cell>
          <cell r="H634" t="str">
            <v>G67</v>
          </cell>
          <cell r="I634" t="str">
            <v>256 GB</v>
          </cell>
        </row>
        <row r="635">
          <cell r="C635" t="str">
            <v>G67256_SPC11232</v>
          </cell>
          <cell r="D635" t="str">
            <v>CASAS BAHIA - PRACA FLORIANO PEIXOTO, 38 - ZONA COMERCIAL - SPC11232</v>
          </cell>
          <cell r="E635" t="str">
            <v>CASAS BAHIA</v>
          </cell>
          <cell r="F635" t="str">
            <v>RUA</v>
          </cell>
          <cell r="G635" t="str">
            <v>PRACA FLORIANO PEIXOTO, 38</v>
          </cell>
          <cell r="H635" t="str">
            <v>G67</v>
          </cell>
          <cell r="I635" t="str">
            <v>256 GB</v>
          </cell>
        </row>
        <row r="636">
          <cell r="C636" t="str">
            <v>G67256_SPC287350</v>
          </cell>
          <cell r="D636" t="str">
            <v>CASAS BAHIA - AVENIDA NACOES UNIDAS, 12995 - SPC287350</v>
          </cell>
          <cell r="E636" t="str">
            <v>CASAS BAHIA</v>
          </cell>
          <cell r="F636" t="str">
            <v>RUA</v>
          </cell>
          <cell r="G636" t="str">
            <v>AVENIDA NACOES UNIDAS, 12995</v>
          </cell>
          <cell r="H636" t="str">
            <v>G67</v>
          </cell>
          <cell r="I636" t="str">
            <v>256 GB</v>
          </cell>
        </row>
        <row r="637">
          <cell r="C637" t="str">
            <v>G67256_SPC252260</v>
          </cell>
          <cell r="D637" t="str">
            <v>CASAS BAHIA - AVENIDA EMBAIXADOR MACEDO SOARES, 9175 - SPC252260</v>
          </cell>
          <cell r="E637" t="str">
            <v>CASAS BAHIA</v>
          </cell>
          <cell r="F637" t="str">
            <v>RUA</v>
          </cell>
          <cell r="G637" t="str">
            <v>AVENIDA EMBAIXADOR MACEDO SOARES, 9175</v>
          </cell>
          <cell r="H637" t="str">
            <v>G67</v>
          </cell>
          <cell r="I637" t="str">
            <v>256 GB</v>
          </cell>
        </row>
        <row r="638">
          <cell r="C638" t="str">
            <v>G67256_SPC22892</v>
          </cell>
          <cell r="D638" t="str">
            <v>CASAS BAHIA - AVENIDA ARICANDUVA, 5555 (LOJA 2) - SHOPPING ARICANDUVA - SPC22892</v>
          </cell>
          <cell r="E638" t="str">
            <v>CASAS BAHIA</v>
          </cell>
          <cell r="F638" t="str">
            <v>SHOPPING</v>
          </cell>
          <cell r="G638" t="str">
            <v>AVENIDA ARICANDUVA, 5555 (LOJA 2)</v>
          </cell>
          <cell r="H638" t="str">
            <v>G67</v>
          </cell>
          <cell r="I638" t="str">
            <v>256 GB</v>
          </cell>
        </row>
        <row r="639">
          <cell r="C639" t="str">
            <v>G67256_SPC7610</v>
          </cell>
          <cell r="D639" t="str">
            <v>CASAS BAHIA - AVENIDA ARICANDUVA, 5555 (LOJA 1) - SHOPPING ARICANDUVA - SPC7610</v>
          </cell>
          <cell r="E639" t="str">
            <v>CASAS BAHIA</v>
          </cell>
          <cell r="F639" t="str">
            <v>SHOPPING</v>
          </cell>
          <cell r="G639" t="str">
            <v>AVENIDA ARICANDUVA, 5555 (LOJA 1)</v>
          </cell>
          <cell r="H639" t="str">
            <v>G67</v>
          </cell>
          <cell r="I639" t="str">
            <v>256 GB</v>
          </cell>
        </row>
        <row r="640">
          <cell r="C640" t="str">
            <v>G67256_SPC8803</v>
          </cell>
          <cell r="D640" t="str">
            <v>PONTO FRIO - AVENIDA ARICANDUVA, 5555 (LOJA 2) - SHOPPING ARICANDUVA - SPC8803</v>
          </cell>
          <cell r="E640" t="str">
            <v xml:space="preserve">PONTO FRIO </v>
          </cell>
          <cell r="F640" t="str">
            <v>SHOPPING</v>
          </cell>
          <cell r="G640" t="str">
            <v>AVENIDA ARICANDUVA, 5555 (LOJA 2)</v>
          </cell>
          <cell r="H640" t="str">
            <v>G67</v>
          </cell>
          <cell r="I640" t="str">
            <v>256 GB</v>
          </cell>
        </row>
        <row r="641">
          <cell r="C641" t="str">
            <v>G67256_SPC6374</v>
          </cell>
          <cell r="D641" t="str">
            <v>MAGAZINE LUIZA - AVENIDA ARICANDUVA, 5555 - SHOPPING ARICANDUVA - SPC6374</v>
          </cell>
          <cell r="E641" t="str">
            <v>MAGAZINE LUIZA</v>
          </cell>
          <cell r="F641" t="str">
            <v>SHOPPING</v>
          </cell>
          <cell r="G641" t="str">
            <v>AVENIDA ARICANDUVA, 5555</v>
          </cell>
          <cell r="H641" t="str">
            <v>G67</v>
          </cell>
          <cell r="I641" t="str">
            <v>256 GB</v>
          </cell>
        </row>
        <row r="642">
          <cell r="C642" t="str">
            <v>G67256_SPC7759</v>
          </cell>
          <cell r="D642" t="str">
            <v>CASAS BAHIA - AVENIDA JOSE PINHEIRO BORGES, S/N - SHOPPING METRO ITAQUERA - SPC7759</v>
          </cell>
          <cell r="E642" t="str">
            <v>CASAS BAHIA</v>
          </cell>
          <cell r="F642" t="str">
            <v>SHOPPING</v>
          </cell>
          <cell r="G642" t="str">
            <v>AVENIDA JOSE PINHEIRO BORGES, S/N</v>
          </cell>
          <cell r="H642" t="str">
            <v>G67</v>
          </cell>
          <cell r="I642" t="str">
            <v>256 GB</v>
          </cell>
        </row>
        <row r="643">
          <cell r="C643" t="str">
            <v>G67256_SPC9927</v>
          </cell>
          <cell r="D643" t="str">
            <v>CASAS BAHIA - RODOVIA REGIS BITTENCOURT KM 271, 2643 - SHOPPING TABOAO DA SERRA - SPC9927</v>
          </cell>
          <cell r="E643" t="str">
            <v>CASAS BAHIA</v>
          </cell>
          <cell r="F643" t="str">
            <v>SHOPPING</v>
          </cell>
          <cell r="G643" t="str">
            <v>RODOVIA REGIS BITTENCOURT KM 271, 2643</v>
          </cell>
          <cell r="H643" t="str">
            <v>G67</v>
          </cell>
          <cell r="I643" t="str">
            <v>256 GB</v>
          </cell>
        </row>
        <row r="644">
          <cell r="C644" t="str">
            <v>G67256_SPC10966</v>
          </cell>
          <cell r="D644" t="str">
            <v>CASAS BAHIA - ESTRADA DO CAMPO LIMPO, 459 - SHOPPING CAMPO LIMPO - SPC10966</v>
          </cell>
          <cell r="E644" t="str">
            <v>CASAS BAHIA</v>
          </cell>
          <cell r="F644" t="str">
            <v>SHOPPING</v>
          </cell>
          <cell r="G644" t="str">
            <v>ESTRADA DO CAMPO LIMPO, 459</v>
          </cell>
          <cell r="H644" t="str">
            <v>G67</v>
          </cell>
          <cell r="I644" t="str">
            <v>256 GB</v>
          </cell>
        </row>
        <row r="645">
          <cell r="C645" t="str">
            <v>G67256_SPC11008</v>
          </cell>
          <cell r="D645" t="str">
            <v>CASAS BAHIA - LARGO 13 DE MAIO, 308 - ZONA COMERCIAL - SPC11008</v>
          </cell>
          <cell r="E645" t="str">
            <v>CASAS BAHIA</v>
          </cell>
          <cell r="F645" t="str">
            <v>RUA</v>
          </cell>
          <cell r="G645" t="str">
            <v>LARGO 13 DE MAIO, 308</v>
          </cell>
          <cell r="H645" t="str">
            <v>G67</v>
          </cell>
          <cell r="I645" t="str">
            <v>256 GB</v>
          </cell>
        </row>
        <row r="646">
          <cell r="C646" t="str">
            <v>G67256_SPC7621</v>
          </cell>
          <cell r="D646" t="str">
            <v>PONTO FRIO - RUA CAPITAO TIAGO LUZ, 146 - ZONA COMERCIAL - SPC7621</v>
          </cell>
          <cell r="E646" t="str">
            <v xml:space="preserve">PONTO FRIO </v>
          </cell>
          <cell r="F646" t="str">
            <v>RUA</v>
          </cell>
          <cell r="G646" t="str">
            <v>RUA CAPITAO TIAGO LUZ, 146</v>
          </cell>
          <cell r="H646" t="str">
            <v>G67</v>
          </cell>
          <cell r="I646" t="str">
            <v>256 GB</v>
          </cell>
        </row>
        <row r="647">
          <cell r="C647" t="str">
            <v>G67256_SPC6352</v>
          </cell>
          <cell r="D647" t="str">
            <v>CASAS BAHIA - RUA TENENTE AVELAR PIRES DE AZEVEDO, 81 - SHOPPING OSASCO PLAZA - SPC6352</v>
          </cell>
          <cell r="E647" t="str">
            <v>CASAS BAHIA</v>
          </cell>
          <cell r="F647" t="str">
            <v>SHOPPING</v>
          </cell>
          <cell r="G647" t="str">
            <v>RUA TENENTE AVELAR PIRES DE AZEVEDO, 81</v>
          </cell>
          <cell r="H647" t="str">
            <v>G67</v>
          </cell>
          <cell r="I647" t="str">
            <v>256 GB</v>
          </cell>
        </row>
        <row r="648">
          <cell r="C648" t="str">
            <v>G67256_SPC6445</v>
          </cell>
          <cell r="D648" t="str">
            <v>CASAS BAHIA - AVENIDA PIRACEMA, 669 - SHOPPING TAMBORE - SPC6445</v>
          </cell>
          <cell r="E648" t="str">
            <v>CASAS BAHIA</v>
          </cell>
          <cell r="F648" t="str">
            <v>SHOPPING</v>
          </cell>
          <cell r="G648" t="str">
            <v>AVENIDA PIRACEMA, 669</v>
          </cell>
          <cell r="H648" t="str">
            <v>G67</v>
          </cell>
          <cell r="I648" t="str">
            <v>256 GB</v>
          </cell>
        </row>
        <row r="649">
          <cell r="C649" t="str">
            <v>G67256_SPC6397</v>
          </cell>
          <cell r="D649" t="str">
            <v>CASAS BAHIA - AVENIDA DOS AUTONOMISTAS, 1400 - SHOPPING UNIAO - SPC6397</v>
          </cell>
          <cell r="E649" t="str">
            <v>CASAS BAHIA</v>
          </cell>
          <cell r="F649" t="str">
            <v>SHOPPING</v>
          </cell>
          <cell r="G649" t="str">
            <v>AVENIDA DOS AUTONOMISTAS, 1400</v>
          </cell>
          <cell r="H649" t="str">
            <v>G67</v>
          </cell>
          <cell r="I649" t="str">
            <v>256 GB</v>
          </cell>
        </row>
        <row r="650">
          <cell r="C650" t="str">
            <v>G67256_SPC11278</v>
          </cell>
          <cell r="D650" t="str">
            <v>PONTO FRIO - RUA ANTONIO AGU, 155 - ZONA COMERCIAL - SPC11278</v>
          </cell>
          <cell r="E650" t="str">
            <v xml:space="preserve">PONTO FRIO </v>
          </cell>
          <cell r="F650" t="str">
            <v>RUA</v>
          </cell>
          <cell r="G650" t="str">
            <v>RUA ANTONIO AGU, 155</v>
          </cell>
          <cell r="H650" t="str">
            <v>G67</v>
          </cell>
          <cell r="I650" t="str">
            <v>256 GB</v>
          </cell>
        </row>
        <row r="651">
          <cell r="C651" t="str">
            <v>G67256_SPC7644</v>
          </cell>
          <cell r="D651" t="str">
            <v>CASAS BAHIA - TRAVESSA CASALBUONO, 120 - SHOPPING CENTER NORTE - SPC7644</v>
          </cell>
          <cell r="E651" t="str">
            <v>CASAS BAHIA</v>
          </cell>
          <cell r="F651" t="str">
            <v>SHOPPING</v>
          </cell>
          <cell r="G651" t="str">
            <v>TRAVESSA CASALBUONO, 120</v>
          </cell>
          <cell r="H651" t="str">
            <v>G67</v>
          </cell>
          <cell r="I651" t="str">
            <v>256 GB</v>
          </cell>
        </row>
        <row r="652">
          <cell r="C652" t="str">
            <v>G67256_SPC8440</v>
          </cell>
          <cell r="D652" t="str">
            <v>MAGAZINE LUIZA - RUA AMAZONAS DA SILVA, 27 - ZONA COMERCIAL - SPC8440</v>
          </cell>
          <cell r="E652" t="str">
            <v>MAGAZINE LUIZA</v>
          </cell>
          <cell r="F652" t="str">
            <v>RUA</v>
          </cell>
          <cell r="G652" t="str">
            <v>RUA AMAZONAS DA SILVA, 27</v>
          </cell>
          <cell r="H652" t="str">
            <v>G67</v>
          </cell>
          <cell r="I652" t="str">
            <v>256 GB</v>
          </cell>
        </row>
        <row r="653">
          <cell r="C653" t="str">
            <v>G67256_SPC7607</v>
          </cell>
          <cell r="D653" t="str">
            <v>CASAS BAHIA - RODOVIA PRESIDENTE DUTRA KM 230, S/N - SHOPPING INTERNACIONAL GUARULHOS - SPC7607</v>
          </cell>
          <cell r="E653" t="str">
            <v>CASAS BAHIA</v>
          </cell>
          <cell r="F653" t="str">
            <v>SHOPPING</v>
          </cell>
          <cell r="G653" t="str">
            <v>RODOVIA PRESIDENTE DUTRA KM 230, S/N</v>
          </cell>
          <cell r="H653" t="str">
            <v>G67</v>
          </cell>
          <cell r="I653" t="str">
            <v>256 GB</v>
          </cell>
        </row>
        <row r="654">
          <cell r="C654" t="str">
            <v>G67256_SPC11273</v>
          </cell>
          <cell r="D654" t="str">
            <v>CASAS BAHIA - AVENIDA JUSCELINO KUBITSCHEK DE OLIVEIRA, 5308 - SHOPPING BONSUCESSO - SPC11273</v>
          </cell>
          <cell r="E654" t="str">
            <v>CASAS BAHIA</v>
          </cell>
          <cell r="F654" t="str">
            <v>SHOPPING</v>
          </cell>
          <cell r="G654" t="str">
            <v>AVENIDA JUSCELINO KUBITSCHEK DE OLIVEIRA, 5308</v>
          </cell>
          <cell r="H654" t="str">
            <v>G67</v>
          </cell>
          <cell r="I654" t="str">
            <v>256 GB</v>
          </cell>
        </row>
        <row r="655">
          <cell r="C655" t="str">
            <v>G67256_SPC11005</v>
          </cell>
          <cell r="D655" t="str">
            <v>CASAS BAHIA - AVENIDA INDUSTRIAL, 600 - SHOPPING GRAND PLAZA - SPC11005</v>
          </cell>
          <cell r="E655" t="str">
            <v>CASAS BAHIA</v>
          </cell>
          <cell r="F655" t="str">
            <v>SHOPPING</v>
          </cell>
          <cell r="G655" t="str">
            <v>AVENIDA INDUSTRIAL, 600</v>
          </cell>
          <cell r="H655" t="str">
            <v>G67</v>
          </cell>
          <cell r="I655" t="str">
            <v>256 GB</v>
          </cell>
        </row>
        <row r="656">
          <cell r="C656" t="str">
            <v>G67256_SPC8715</v>
          </cell>
          <cell r="D656" t="str">
            <v>CASAS BAHIA - AVENIDA GOVERNADOR MARIO COVAS JUNIOR, 1 - SHOPPING MAUA - SPC8715</v>
          </cell>
          <cell r="E656" t="str">
            <v>CASAS BAHIA</v>
          </cell>
          <cell r="F656" t="str">
            <v>SHOPPING</v>
          </cell>
          <cell r="G656" t="str">
            <v>AVENIDA GOVERNADOR MARIO COVAS JUNIOR, 1</v>
          </cell>
          <cell r="H656" t="str">
            <v>G67</v>
          </cell>
          <cell r="I656" t="str">
            <v>256 GB</v>
          </cell>
        </row>
        <row r="657">
          <cell r="C657" t="str">
            <v>G67256_SPC11374</v>
          </cell>
          <cell r="D657" t="str">
            <v>CASAS BAHIA - AVENIDA PEREIRA BARRETO, 42 - SHOPPING ABC - SPC11374</v>
          </cell>
          <cell r="E657" t="str">
            <v>CASAS BAHIA</v>
          </cell>
          <cell r="F657" t="str">
            <v>SHOPPING</v>
          </cell>
          <cell r="G657" t="str">
            <v>AVENIDA PEREIRA BARRETO, 42</v>
          </cell>
          <cell r="H657" t="str">
            <v>G67</v>
          </cell>
          <cell r="I657" t="str">
            <v>256 GB</v>
          </cell>
        </row>
        <row r="658">
          <cell r="C658" t="str">
            <v>G67256_SPC6700</v>
          </cell>
          <cell r="D658" t="str">
            <v>CASAS BAHIA - RUA MARECHAL DEODORO, 987 - ZONA COMERCIAL - SPC6700</v>
          </cell>
          <cell r="E658" t="str">
            <v>CASAS BAHIA</v>
          </cell>
          <cell r="F658" t="str">
            <v>RUA</v>
          </cell>
          <cell r="G658" t="str">
            <v>RUA MARECHAL DEODORO, 987</v>
          </cell>
          <cell r="H658" t="str">
            <v>G67</v>
          </cell>
          <cell r="I658" t="str">
            <v>256 GB</v>
          </cell>
        </row>
        <row r="659">
          <cell r="C659" t="str">
            <v>G67256_SPC7069</v>
          </cell>
          <cell r="D659" t="str">
            <v>CASAS BAHIA - RUA DOMINGOS DE MORAIS, 2564 - SHOPPING METRO SANTA CRUZ - SPC7069</v>
          </cell>
          <cell r="E659" t="str">
            <v>CASAS BAHIA</v>
          </cell>
          <cell r="F659" t="str">
            <v>SHOPPING</v>
          </cell>
          <cell r="G659" t="str">
            <v>RUA DOMINGOS DE MORAIS, 2564</v>
          </cell>
          <cell r="H659" t="str">
            <v>G67</v>
          </cell>
          <cell r="I659" t="str">
            <v>256 GB</v>
          </cell>
        </row>
        <row r="660">
          <cell r="C660" t="str">
            <v>G67256_SPC6505</v>
          </cell>
          <cell r="D660" t="str">
            <v>CASAS BAHIA - RUA TEODORO SAMPAIO, 2522 - ZONA COMERCIAL - SPC6505</v>
          </cell>
          <cell r="E660" t="str">
            <v>CASAS BAHIA</v>
          </cell>
          <cell r="F660" t="str">
            <v>RUA</v>
          </cell>
          <cell r="G660" t="str">
            <v>RUA TEODORO SAMPAIO, 2522</v>
          </cell>
          <cell r="H660" t="str">
            <v>G67</v>
          </cell>
          <cell r="I660" t="str">
            <v>256 GB</v>
          </cell>
        </row>
        <row r="661">
          <cell r="C661" t="str">
            <v>G67256_SPC234770</v>
          </cell>
          <cell r="D661" t="str">
            <v>CASAS BAHIA - ESTRADA DA COLINA, 1048 - SPC234770</v>
          </cell>
          <cell r="E661" t="str">
            <v>CASAS BAHIA</v>
          </cell>
          <cell r="F661" t="str">
            <v>RUA</v>
          </cell>
          <cell r="G661" t="str">
            <v>ESTRADA DA COLINA, 1048</v>
          </cell>
          <cell r="H661" t="str">
            <v>G67</v>
          </cell>
          <cell r="I661" t="str">
            <v>256 GB</v>
          </cell>
        </row>
        <row r="662">
          <cell r="C662" t="str">
            <v>G67128_SPC7613</v>
          </cell>
          <cell r="D662" t="str">
            <v>CASAS BAHIA - AVENIDA INTERLAGOS, 2255 - SHOPPING INTERLAGOS - SPC7613</v>
          </cell>
          <cell r="E662" t="str">
            <v>CASAS BAHIA</v>
          </cell>
          <cell r="F662" t="str">
            <v>SHOPPING</v>
          </cell>
          <cell r="G662" t="str">
            <v>AVENIDA INTERLAGOS, 2255</v>
          </cell>
          <cell r="H662" t="str">
            <v>G67</v>
          </cell>
          <cell r="I662" t="str">
            <v>128 GB</v>
          </cell>
        </row>
        <row r="663">
          <cell r="C663" t="str">
            <v>G67128_SPC7612</v>
          </cell>
          <cell r="D663" t="str">
            <v>PONTO FRIO - AVENIDA INTERLAGOS, 2255 - SHOPPING INTERLAGOS - SPC7612</v>
          </cell>
          <cell r="E663" t="str">
            <v xml:space="preserve">PONTO FRIO </v>
          </cell>
          <cell r="F663" t="str">
            <v>SHOPPING</v>
          </cell>
          <cell r="G663" t="str">
            <v>AVENIDA INTERLAGOS, 2255</v>
          </cell>
          <cell r="H663" t="str">
            <v>G67</v>
          </cell>
          <cell r="I663" t="str">
            <v>128 GB</v>
          </cell>
        </row>
        <row r="664">
          <cell r="C664" t="str">
            <v>G67128_SPC7614</v>
          </cell>
          <cell r="D664" t="str">
            <v>LOJAS AMERICANAS - AVENIDA INTERLAGOS, 2255 - SHOPPING INTERLAGOS - SPC7614</v>
          </cell>
          <cell r="E664" t="str">
            <v>LOJAS AMERICANAS</v>
          </cell>
          <cell r="F664" t="str">
            <v>SHOPPING</v>
          </cell>
          <cell r="G664" t="str">
            <v>AVENIDA INTERLAGOS, 2255</v>
          </cell>
          <cell r="H664" t="str">
            <v>G67</v>
          </cell>
          <cell r="I664" t="str">
            <v>128 GB</v>
          </cell>
        </row>
        <row r="665">
          <cell r="C665" t="str">
            <v>G67128_SPC11232</v>
          </cell>
          <cell r="D665" t="str">
            <v>CASAS BAHIA - PRACA FLORIANO PEIXOTO, 38 - ZONA COMERCIAL - SPC11232</v>
          </cell>
          <cell r="E665" t="str">
            <v>CASAS BAHIA</v>
          </cell>
          <cell r="F665" t="str">
            <v>RUA</v>
          </cell>
          <cell r="G665" t="str">
            <v>PRACA FLORIANO PEIXOTO, 38</v>
          </cell>
          <cell r="H665" t="str">
            <v>G67</v>
          </cell>
          <cell r="I665" t="str">
            <v>128 GB</v>
          </cell>
        </row>
        <row r="666">
          <cell r="C666" t="str">
            <v>G67128_SPC287350</v>
          </cell>
          <cell r="D666" t="str">
            <v>CASAS BAHIA - AVENIDA NACOES UNIDAS, 12995 - SPC287350</v>
          </cell>
          <cell r="E666" t="str">
            <v>CASAS BAHIA</v>
          </cell>
          <cell r="F666" t="str">
            <v>RUA</v>
          </cell>
          <cell r="G666" t="str">
            <v>AVENIDA NACOES UNIDAS, 12995</v>
          </cell>
          <cell r="H666" t="str">
            <v>G67</v>
          </cell>
          <cell r="I666" t="str">
            <v>128 GB</v>
          </cell>
        </row>
        <row r="667">
          <cell r="C667" t="str">
            <v>G67128_SPC252260</v>
          </cell>
          <cell r="D667" t="str">
            <v>CASAS BAHIA - AVENIDA EMBAIXADOR MACEDO SOARES, 9175 - SPC252260</v>
          </cell>
          <cell r="E667" t="str">
            <v>CASAS BAHIA</v>
          </cell>
          <cell r="F667" t="str">
            <v>RUA</v>
          </cell>
          <cell r="G667" t="str">
            <v>AVENIDA EMBAIXADOR MACEDO SOARES, 9175</v>
          </cell>
          <cell r="H667" t="str">
            <v>G67</v>
          </cell>
          <cell r="I667" t="str">
            <v>128 GB</v>
          </cell>
        </row>
        <row r="668">
          <cell r="C668" t="str">
            <v>G67128_SPC22892</v>
          </cell>
          <cell r="D668" t="str">
            <v>CASAS BAHIA - AVENIDA ARICANDUVA, 5555 (LOJA 2) - SHOPPING ARICANDUVA - SPC22892</v>
          </cell>
          <cell r="E668" t="str">
            <v>CASAS BAHIA</v>
          </cell>
          <cell r="F668" t="str">
            <v>SHOPPING</v>
          </cell>
          <cell r="G668" t="str">
            <v>AVENIDA ARICANDUVA, 5555 (LOJA 2)</v>
          </cell>
          <cell r="H668" t="str">
            <v>G67</v>
          </cell>
          <cell r="I668" t="str">
            <v>128 GB</v>
          </cell>
        </row>
        <row r="669">
          <cell r="C669" t="str">
            <v>G67128_SPC7610</v>
          </cell>
          <cell r="D669" t="str">
            <v>CASAS BAHIA - AVENIDA ARICANDUVA, 5555 (LOJA 1) - SHOPPING ARICANDUVA - SPC7610</v>
          </cell>
          <cell r="E669" t="str">
            <v>CASAS BAHIA</v>
          </cell>
          <cell r="F669" t="str">
            <v>SHOPPING</v>
          </cell>
          <cell r="G669" t="str">
            <v>AVENIDA ARICANDUVA, 5555 (LOJA 1)</v>
          </cell>
          <cell r="H669" t="str">
            <v>G67</v>
          </cell>
          <cell r="I669" t="str">
            <v>128 GB</v>
          </cell>
        </row>
        <row r="670">
          <cell r="C670" t="str">
            <v>G67128_SPC8803</v>
          </cell>
          <cell r="D670" t="str">
            <v>PONTO FRIO - AVENIDA ARICANDUVA, 5555 (LOJA 2) - SHOPPING ARICANDUVA - SPC8803</v>
          </cell>
          <cell r="E670" t="str">
            <v xml:space="preserve">PONTO FRIO </v>
          </cell>
          <cell r="F670" t="str">
            <v>SHOPPING</v>
          </cell>
          <cell r="G670" t="str">
            <v>AVENIDA ARICANDUVA, 5555 (LOJA 2)</v>
          </cell>
          <cell r="H670" t="str">
            <v>G67</v>
          </cell>
          <cell r="I670" t="str">
            <v>128 GB</v>
          </cell>
        </row>
        <row r="671">
          <cell r="C671" t="str">
            <v>G67128_SPC6374</v>
          </cell>
          <cell r="D671" t="str">
            <v>MAGAZINE LUIZA - AVENIDA ARICANDUVA, 5555 - SHOPPING ARICANDUVA - SPC6374</v>
          </cell>
          <cell r="E671" t="str">
            <v>MAGAZINE LUIZA</v>
          </cell>
          <cell r="F671" t="str">
            <v>SHOPPING</v>
          </cell>
          <cell r="G671" t="str">
            <v>AVENIDA ARICANDUVA, 5555</v>
          </cell>
          <cell r="H671" t="str">
            <v>G67</v>
          </cell>
          <cell r="I671" t="str">
            <v>128 GB</v>
          </cell>
        </row>
        <row r="672">
          <cell r="C672" t="str">
            <v>G67128_SPC7759</v>
          </cell>
          <cell r="D672" t="str">
            <v>CASAS BAHIA - AVENIDA JOSE PINHEIRO BORGES, S/N - SHOPPING METRO ITAQUERA - SPC7759</v>
          </cell>
          <cell r="E672" t="str">
            <v>CASAS BAHIA</v>
          </cell>
          <cell r="F672" t="str">
            <v>SHOPPING</v>
          </cell>
          <cell r="G672" t="str">
            <v>AVENIDA JOSE PINHEIRO BORGES, S/N</v>
          </cell>
          <cell r="H672" t="str">
            <v>G67</v>
          </cell>
          <cell r="I672" t="str">
            <v>128 GB</v>
          </cell>
        </row>
        <row r="673">
          <cell r="C673" t="str">
            <v>G67128_SPC9927</v>
          </cell>
          <cell r="D673" t="str">
            <v>CASAS BAHIA - RODOVIA REGIS BITTENCOURT KM 271, 2643 - SHOPPING TABOAO DA SERRA - SPC9927</v>
          </cell>
          <cell r="E673" t="str">
            <v>CASAS BAHIA</v>
          </cell>
          <cell r="F673" t="str">
            <v>SHOPPING</v>
          </cell>
          <cell r="G673" t="str">
            <v>RODOVIA REGIS BITTENCOURT KM 271, 2643</v>
          </cell>
          <cell r="H673" t="str">
            <v>G67</v>
          </cell>
          <cell r="I673" t="str">
            <v>128 GB</v>
          </cell>
        </row>
        <row r="674">
          <cell r="C674" t="str">
            <v>G67128_SPC10966</v>
          </cell>
          <cell r="D674" t="str">
            <v>CASAS BAHIA - ESTRADA DO CAMPO LIMPO, 459 - SHOPPING CAMPO LIMPO - SPC10966</v>
          </cell>
          <cell r="E674" t="str">
            <v>CASAS BAHIA</v>
          </cell>
          <cell r="F674" t="str">
            <v>SHOPPING</v>
          </cell>
          <cell r="G674" t="str">
            <v>ESTRADA DO CAMPO LIMPO, 459</v>
          </cell>
          <cell r="H674" t="str">
            <v>G67</v>
          </cell>
          <cell r="I674" t="str">
            <v>128 GB</v>
          </cell>
        </row>
        <row r="675">
          <cell r="C675" t="str">
            <v>G67128_SPC11008</v>
          </cell>
          <cell r="D675" t="str">
            <v>CASAS BAHIA - LARGO 13 DE MAIO, 308 - ZONA COMERCIAL - SPC11008</v>
          </cell>
          <cell r="E675" t="str">
            <v>CASAS BAHIA</v>
          </cell>
          <cell r="F675" t="str">
            <v>RUA</v>
          </cell>
          <cell r="G675" t="str">
            <v>LARGO 13 DE MAIO, 308</v>
          </cell>
          <cell r="H675" t="str">
            <v>G67</v>
          </cell>
          <cell r="I675" t="str">
            <v>128 GB</v>
          </cell>
        </row>
        <row r="676">
          <cell r="C676" t="str">
            <v>G67128_SPC7621</v>
          </cell>
          <cell r="D676" t="str">
            <v>PONTO FRIO - RUA CAPITAO TIAGO LUZ, 146 - ZONA COMERCIAL - SPC7621</v>
          </cell>
          <cell r="E676" t="str">
            <v xml:space="preserve">PONTO FRIO </v>
          </cell>
          <cell r="F676" t="str">
            <v>RUA</v>
          </cell>
          <cell r="G676" t="str">
            <v>RUA CAPITAO TIAGO LUZ, 146</v>
          </cell>
          <cell r="H676" t="str">
            <v>G67</v>
          </cell>
          <cell r="I676" t="str">
            <v>128 GB</v>
          </cell>
        </row>
        <row r="677">
          <cell r="C677" t="str">
            <v>G67128_SPC6352</v>
          </cell>
          <cell r="D677" t="str">
            <v>CASAS BAHIA - RUA TENENTE AVELAR PIRES DE AZEVEDO, 81 - SHOPPING OSASCO PLAZA - SPC6352</v>
          </cell>
          <cell r="E677" t="str">
            <v>CASAS BAHIA</v>
          </cell>
          <cell r="F677" t="str">
            <v>SHOPPING</v>
          </cell>
          <cell r="G677" t="str">
            <v>RUA TENENTE AVELAR PIRES DE AZEVEDO, 81</v>
          </cell>
          <cell r="H677" t="str">
            <v>G67</v>
          </cell>
          <cell r="I677" t="str">
            <v>128 GB</v>
          </cell>
        </row>
        <row r="678">
          <cell r="C678" t="str">
            <v>G67128_SPC6445</v>
          </cell>
          <cell r="D678" t="str">
            <v>CASAS BAHIA - AVENIDA PIRACEMA, 669 - SHOPPING TAMBORE - SPC6445</v>
          </cell>
          <cell r="E678" t="str">
            <v>CASAS BAHIA</v>
          </cell>
          <cell r="F678" t="str">
            <v>SHOPPING</v>
          </cell>
          <cell r="G678" t="str">
            <v>AVENIDA PIRACEMA, 669</v>
          </cell>
          <cell r="H678" t="str">
            <v>G67</v>
          </cell>
          <cell r="I678" t="str">
            <v>128 GB</v>
          </cell>
        </row>
        <row r="679">
          <cell r="C679" t="str">
            <v>G67128_SPC6397</v>
          </cell>
          <cell r="D679" t="str">
            <v>CASAS BAHIA - AVENIDA DOS AUTONOMISTAS, 1400 - SHOPPING UNIAO - SPC6397</v>
          </cell>
          <cell r="E679" t="str">
            <v>CASAS BAHIA</v>
          </cell>
          <cell r="F679" t="str">
            <v>SHOPPING</v>
          </cell>
          <cell r="G679" t="str">
            <v>AVENIDA DOS AUTONOMISTAS, 1400</v>
          </cell>
          <cell r="H679" t="str">
            <v>G67</v>
          </cell>
          <cell r="I679" t="str">
            <v>128 GB</v>
          </cell>
        </row>
        <row r="680">
          <cell r="C680" t="str">
            <v>G67128_SPC11278</v>
          </cell>
          <cell r="D680" t="str">
            <v>PONTO FRIO - RUA ANTONIO AGU, 155 - ZONA COMERCIAL - SPC11278</v>
          </cell>
          <cell r="E680" t="str">
            <v xml:space="preserve">PONTO FRIO </v>
          </cell>
          <cell r="F680" t="str">
            <v>RUA</v>
          </cell>
          <cell r="G680" t="str">
            <v>RUA ANTONIO AGU, 155</v>
          </cell>
          <cell r="H680" t="str">
            <v>G67</v>
          </cell>
          <cell r="I680" t="str">
            <v>128 GB</v>
          </cell>
        </row>
        <row r="681">
          <cell r="C681" t="str">
            <v>G67128_SPC7644</v>
          </cell>
          <cell r="D681" t="str">
            <v>CASAS BAHIA - TRAVESSA CASALBUONO, 120 - SHOPPING CENTER NORTE - SPC7644</v>
          </cell>
          <cell r="E681" t="str">
            <v>CASAS BAHIA</v>
          </cell>
          <cell r="F681" t="str">
            <v>SHOPPING</v>
          </cell>
          <cell r="G681" t="str">
            <v>TRAVESSA CASALBUONO, 120</v>
          </cell>
          <cell r="H681" t="str">
            <v>G67</v>
          </cell>
          <cell r="I681" t="str">
            <v>128 GB</v>
          </cell>
        </row>
        <row r="682">
          <cell r="C682" t="str">
            <v>G67128_SPC8440</v>
          </cell>
          <cell r="D682" t="str">
            <v>MAGAZINE LUIZA - RUA AMAZONAS DA SILVA, 27 - ZONA COMERCIAL - SPC8440</v>
          </cell>
          <cell r="E682" t="str">
            <v>MAGAZINE LUIZA</v>
          </cell>
          <cell r="F682" t="str">
            <v>RUA</v>
          </cell>
          <cell r="G682" t="str">
            <v>RUA AMAZONAS DA SILVA, 27</v>
          </cell>
          <cell r="H682" t="str">
            <v>G67</v>
          </cell>
          <cell r="I682" t="str">
            <v>128 GB</v>
          </cell>
        </row>
        <row r="683">
          <cell r="C683" t="str">
            <v>G67128_SPC7607</v>
          </cell>
          <cell r="D683" t="str">
            <v>CASAS BAHIA - RODOVIA PRESIDENTE DUTRA KM 230, S/N - SHOPPING INTERNACIONAL GUARULHOS - SPC7607</v>
          </cell>
          <cell r="E683" t="str">
            <v>CASAS BAHIA</v>
          </cell>
          <cell r="F683" t="str">
            <v>SHOPPING</v>
          </cell>
          <cell r="G683" t="str">
            <v>RODOVIA PRESIDENTE DUTRA KM 230, S/N</v>
          </cell>
          <cell r="H683" t="str">
            <v>G67</v>
          </cell>
          <cell r="I683" t="str">
            <v>128 GB</v>
          </cell>
        </row>
        <row r="684">
          <cell r="C684" t="str">
            <v>G67128_SPC11273</v>
          </cell>
          <cell r="D684" t="str">
            <v>CASAS BAHIA - AVENIDA JUSCELINO KUBITSCHEK DE OLIVEIRA, 5308 - SHOPPING BONSUCESSO - SPC11273</v>
          </cell>
          <cell r="E684" t="str">
            <v>CASAS BAHIA</v>
          </cell>
          <cell r="F684" t="str">
            <v>SHOPPING</v>
          </cell>
          <cell r="G684" t="str">
            <v>AVENIDA JUSCELINO KUBITSCHEK DE OLIVEIRA, 5308</v>
          </cell>
          <cell r="H684" t="str">
            <v>G67</v>
          </cell>
          <cell r="I684" t="str">
            <v>128 GB</v>
          </cell>
        </row>
        <row r="685">
          <cell r="C685" t="str">
            <v>G67128_SPC11005</v>
          </cell>
          <cell r="D685" t="str">
            <v>CASAS BAHIA - AVENIDA INDUSTRIAL, 600 - SHOPPING GRAND PLAZA - SPC11005</v>
          </cell>
          <cell r="E685" t="str">
            <v>CASAS BAHIA</v>
          </cell>
          <cell r="F685" t="str">
            <v>SHOPPING</v>
          </cell>
          <cell r="G685" t="str">
            <v>AVENIDA INDUSTRIAL, 600</v>
          </cell>
          <cell r="H685" t="str">
            <v>G67</v>
          </cell>
          <cell r="I685" t="str">
            <v>128 GB</v>
          </cell>
        </row>
        <row r="686">
          <cell r="C686" t="str">
            <v>G67128_SPC8715</v>
          </cell>
          <cell r="D686" t="str">
            <v>CASAS BAHIA - AVENIDA GOVERNADOR MARIO COVAS JUNIOR, 1 - SHOPPING MAUA - SPC8715</v>
          </cell>
          <cell r="E686" t="str">
            <v>CASAS BAHIA</v>
          </cell>
          <cell r="F686" t="str">
            <v>SHOPPING</v>
          </cell>
          <cell r="G686" t="str">
            <v>AVENIDA GOVERNADOR MARIO COVAS JUNIOR, 1</v>
          </cell>
          <cell r="H686" t="str">
            <v>G67</v>
          </cell>
          <cell r="I686" t="str">
            <v>128 GB</v>
          </cell>
        </row>
        <row r="687">
          <cell r="C687" t="str">
            <v>G67128_SPC11374</v>
          </cell>
          <cell r="D687" t="str">
            <v>CASAS BAHIA - AVENIDA PEREIRA BARRETO, 42 - SHOPPING ABC - SPC11374</v>
          </cell>
          <cell r="E687" t="str">
            <v>CASAS BAHIA</v>
          </cell>
          <cell r="F687" t="str">
            <v>SHOPPING</v>
          </cell>
          <cell r="G687" t="str">
            <v>AVENIDA PEREIRA BARRETO, 42</v>
          </cell>
          <cell r="H687" t="str">
            <v>G67</v>
          </cell>
          <cell r="I687" t="str">
            <v>128 GB</v>
          </cell>
        </row>
        <row r="688">
          <cell r="C688" t="str">
            <v>G67128_SPC6700</v>
          </cell>
          <cell r="D688" t="str">
            <v>CASAS BAHIA - RUA MARECHAL DEODORO, 987 - ZONA COMERCIAL - SPC6700</v>
          </cell>
          <cell r="E688" t="str">
            <v>CASAS BAHIA</v>
          </cell>
          <cell r="F688" t="str">
            <v>RUA</v>
          </cell>
          <cell r="G688" t="str">
            <v>RUA MARECHAL DEODORO, 987</v>
          </cell>
          <cell r="H688" t="str">
            <v>G67</v>
          </cell>
          <cell r="I688" t="str">
            <v>128 GB</v>
          </cell>
        </row>
        <row r="689">
          <cell r="C689" t="str">
            <v>G67128_SPC7069</v>
          </cell>
          <cell r="D689" t="str">
            <v>CASAS BAHIA - RUA DOMINGOS DE MORAIS, 2564 - SHOPPING METRO SANTA CRUZ - SPC7069</v>
          </cell>
          <cell r="E689" t="str">
            <v>CASAS BAHIA</v>
          </cell>
          <cell r="F689" t="str">
            <v>SHOPPING</v>
          </cell>
          <cell r="G689" t="str">
            <v>RUA DOMINGOS DE MORAIS, 2564</v>
          </cell>
          <cell r="H689" t="str">
            <v>G67</v>
          </cell>
          <cell r="I689" t="str">
            <v>128 GB</v>
          </cell>
        </row>
        <row r="690">
          <cell r="C690" t="str">
            <v>G67128_SPC6505</v>
          </cell>
          <cell r="D690" t="str">
            <v>CASAS BAHIA - RUA TEODORO SAMPAIO, 2522 - ZONA COMERCIAL - SPC6505</v>
          </cell>
          <cell r="E690" t="str">
            <v>CASAS BAHIA</v>
          </cell>
          <cell r="F690" t="str">
            <v>RUA</v>
          </cell>
          <cell r="G690" t="str">
            <v>RUA TEODORO SAMPAIO, 2522</v>
          </cell>
          <cell r="H690" t="str">
            <v>G67</v>
          </cell>
          <cell r="I690" t="str">
            <v>128 GB</v>
          </cell>
        </row>
        <row r="691">
          <cell r="C691" t="str">
            <v>G67128_SPC234770</v>
          </cell>
          <cell r="D691" t="str">
            <v>CASAS BAHIA - ESTRADA DA COLINA, 1048 - SPC234770</v>
          </cell>
          <cell r="E691" t="str">
            <v>CASAS BAHIA</v>
          </cell>
          <cell r="F691" t="str">
            <v>RUA</v>
          </cell>
          <cell r="G691" t="str">
            <v>ESTRADA DA COLINA, 1048</v>
          </cell>
          <cell r="H691" t="str">
            <v>G67</v>
          </cell>
          <cell r="I691" t="str">
            <v>128 GB</v>
          </cell>
        </row>
        <row r="692">
          <cell r="C692" t="str">
            <v>G56256_SPC7613</v>
          </cell>
          <cell r="D692" t="str">
            <v>CASAS BAHIA - AVENIDA INTERLAGOS, 2255 - SHOPPING INTERLAGOS - SPC7613</v>
          </cell>
          <cell r="E692" t="str">
            <v>CASAS BAHIA</v>
          </cell>
          <cell r="F692" t="str">
            <v>SHOPPING</v>
          </cell>
          <cell r="G692" t="str">
            <v>AVENIDA INTERLAGOS, 2255</v>
          </cell>
          <cell r="H692" t="str">
            <v>G56</v>
          </cell>
          <cell r="I692" t="str">
            <v>256 GB</v>
          </cell>
        </row>
        <row r="693">
          <cell r="C693" t="str">
            <v>G56256_SPC7612</v>
          </cell>
          <cell r="D693" t="str">
            <v>PONTO FRIO - AVENIDA INTERLAGOS, 2255 - SHOPPING INTERLAGOS - SPC7612</v>
          </cell>
          <cell r="E693" t="str">
            <v xml:space="preserve">PONTO FRIO </v>
          </cell>
          <cell r="F693" t="str">
            <v>SHOPPING</v>
          </cell>
          <cell r="G693" t="str">
            <v>AVENIDA INTERLAGOS, 2255</v>
          </cell>
          <cell r="H693" t="str">
            <v>G56</v>
          </cell>
          <cell r="I693" t="str">
            <v>256 GB</v>
          </cell>
        </row>
        <row r="694">
          <cell r="C694" t="str">
            <v>G56256_SPC7614</v>
          </cell>
          <cell r="D694" t="str">
            <v>LOJAS AMERICANAS - AVENIDA INTERLAGOS, 2255 - SHOPPING INTERLAGOS - SPC7614</v>
          </cell>
          <cell r="E694" t="str">
            <v>LOJAS AMERICANAS</v>
          </cell>
          <cell r="F694" t="str">
            <v>SHOPPING</v>
          </cell>
          <cell r="G694" t="str">
            <v>AVENIDA INTERLAGOS, 2255</v>
          </cell>
          <cell r="H694" t="str">
            <v>G56</v>
          </cell>
          <cell r="I694" t="str">
            <v>256 GB</v>
          </cell>
        </row>
        <row r="695">
          <cell r="C695" t="str">
            <v>G56256_SPC11232</v>
          </cell>
          <cell r="D695" t="str">
            <v>CASAS BAHIA - PRACA FLORIANO PEIXOTO, 38 - ZONA COMERCIAL - SPC11232</v>
          </cell>
          <cell r="E695" t="str">
            <v>CASAS BAHIA</v>
          </cell>
          <cell r="F695" t="str">
            <v>RUA</v>
          </cell>
          <cell r="G695" t="str">
            <v>PRACA FLORIANO PEIXOTO, 38</v>
          </cell>
          <cell r="H695" t="str">
            <v>G56</v>
          </cell>
          <cell r="I695" t="str">
            <v>256 GB</v>
          </cell>
        </row>
        <row r="696">
          <cell r="C696" t="str">
            <v>G56256_SPC287350</v>
          </cell>
          <cell r="D696" t="str">
            <v>CASAS BAHIA - AVENIDA NACOES UNIDAS, 12995 - SPC287350</v>
          </cell>
          <cell r="E696" t="str">
            <v>CASAS BAHIA</v>
          </cell>
          <cell r="F696" t="str">
            <v>RUA</v>
          </cell>
          <cell r="G696" t="str">
            <v>AVENIDA NACOES UNIDAS, 12995</v>
          </cell>
          <cell r="H696" t="str">
            <v>G56</v>
          </cell>
          <cell r="I696" t="str">
            <v>256 GB</v>
          </cell>
        </row>
        <row r="697">
          <cell r="C697" t="str">
            <v>G56256_SPC252260</v>
          </cell>
          <cell r="D697" t="str">
            <v>CASAS BAHIA - AVENIDA EMBAIXADOR MACEDO SOARES, 9175 - SPC252260</v>
          </cell>
          <cell r="E697" t="str">
            <v>CASAS BAHIA</v>
          </cell>
          <cell r="F697" t="str">
            <v>RUA</v>
          </cell>
          <cell r="G697" t="str">
            <v>AVENIDA EMBAIXADOR MACEDO SOARES, 9175</v>
          </cell>
          <cell r="H697" t="str">
            <v>G56</v>
          </cell>
          <cell r="I697" t="str">
            <v>256 GB</v>
          </cell>
        </row>
        <row r="698">
          <cell r="C698" t="str">
            <v>G56256_SPC22892</v>
          </cell>
          <cell r="D698" t="str">
            <v>CASAS BAHIA - AVENIDA ARICANDUVA, 5555 (LOJA 2) - SHOPPING ARICANDUVA - SPC22892</v>
          </cell>
          <cell r="E698" t="str">
            <v>CASAS BAHIA</v>
          </cell>
          <cell r="F698" t="str">
            <v>SHOPPING</v>
          </cell>
          <cell r="G698" t="str">
            <v>AVENIDA ARICANDUVA, 5555 (LOJA 2)</v>
          </cell>
          <cell r="H698" t="str">
            <v>G56</v>
          </cell>
          <cell r="I698" t="str">
            <v>256 GB</v>
          </cell>
        </row>
        <row r="699">
          <cell r="C699" t="str">
            <v>G56256_SPC7610</v>
          </cell>
          <cell r="D699" t="str">
            <v>CASAS BAHIA - AVENIDA ARICANDUVA, 5555 (LOJA 1) - SHOPPING ARICANDUVA - SPC7610</v>
          </cell>
          <cell r="E699" t="str">
            <v>CASAS BAHIA</v>
          </cell>
          <cell r="F699" t="str">
            <v>SHOPPING</v>
          </cell>
          <cell r="G699" t="str">
            <v>AVENIDA ARICANDUVA, 5555 (LOJA 1)</v>
          </cell>
          <cell r="H699" t="str">
            <v>G56</v>
          </cell>
          <cell r="I699" t="str">
            <v>256 GB</v>
          </cell>
        </row>
        <row r="700">
          <cell r="C700" t="str">
            <v>G56256_SPC8803</v>
          </cell>
          <cell r="D700" t="str">
            <v>PONTO FRIO - AVENIDA ARICANDUVA, 5555 (LOJA 2) - SHOPPING ARICANDUVA - SPC8803</v>
          </cell>
          <cell r="E700" t="str">
            <v xml:space="preserve">PONTO FRIO </v>
          </cell>
          <cell r="F700" t="str">
            <v>SHOPPING</v>
          </cell>
          <cell r="G700" t="str">
            <v>AVENIDA ARICANDUVA, 5555 (LOJA 2)</v>
          </cell>
          <cell r="H700" t="str">
            <v>G56</v>
          </cell>
          <cell r="I700" t="str">
            <v>256 GB</v>
          </cell>
        </row>
        <row r="701">
          <cell r="C701" t="str">
            <v>G56256_SPC6374</v>
          </cell>
          <cell r="D701" t="str">
            <v>MAGAZINE LUIZA - AVENIDA ARICANDUVA, 5555 - SHOPPING ARICANDUVA - SPC6374</v>
          </cell>
          <cell r="E701" t="str">
            <v>MAGAZINE LUIZA</v>
          </cell>
          <cell r="F701" t="str">
            <v>SHOPPING</v>
          </cell>
          <cell r="G701" t="str">
            <v>AVENIDA ARICANDUVA, 5555</v>
          </cell>
          <cell r="H701" t="str">
            <v>G56</v>
          </cell>
          <cell r="I701" t="str">
            <v>256 GB</v>
          </cell>
        </row>
        <row r="702">
          <cell r="C702" t="str">
            <v>G56256_SPC7759</v>
          </cell>
          <cell r="D702" t="str">
            <v>CASAS BAHIA - AVENIDA JOSE PINHEIRO BORGES, S/N - SHOPPING METRO ITAQUERA - SPC7759</v>
          </cell>
          <cell r="E702" t="str">
            <v>CASAS BAHIA</v>
          </cell>
          <cell r="F702" t="str">
            <v>SHOPPING</v>
          </cell>
          <cell r="G702" t="str">
            <v>AVENIDA JOSE PINHEIRO BORGES, S/N</v>
          </cell>
          <cell r="H702" t="str">
            <v>G56</v>
          </cell>
          <cell r="I702" t="str">
            <v>256 GB</v>
          </cell>
        </row>
        <row r="703">
          <cell r="C703" t="str">
            <v>G56256_SPC9927</v>
          </cell>
          <cell r="D703" t="str">
            <v>CASAS BAHIA - RODOVIA REGIS BITTENCOURT KM 271, 2643 - SHOPPING TABOAO DA SERRA - SPC9927</v>
          </cell>
          <cell r="E703" t="str">
            <v>CASAS BAHIA</v>
          </cell>
          <cell r="F703" t="str">
            <v>SHOPPING</v>
          </cell>
          <cell r="G703" t="str">
            <v>RODOVIA REGIS BITTENCOURT KM 271, 2643</v>
          </cell>
          <cell r="H703" t="str">
            <v>G56</v>
          </cell>
          <cell r="I703" t="str">
            <v>256 GB</v>
          </cell>
        </row>
        <row r="704">
          <cell r="C704" t="str">
            <v>G56256_SPC10966</v>
          </cell>
          <cell r="D704" t="str">
            <v>CASAS BAHIA - ESTRADA DO CAMPO LIMPO, 459 - SHOPPING CAMPO LIMPO - SPC10966</v>
          </cell>
          <cell r="E704" t="str">
            <v>CASAS BAHIA</v>
          </cell>
          <cell r="F704" t="str">
            <v>SHOPPING</v>
          </cell>
          <cell r="G704" t="str">
            <v>ESTRADA DO CAMPO LIMPO, 459</v>
          </cell>
          <cell r="H704" t="str">
            <v>G56</v>
          </cell>
          <cell r="I704" t="str">
            <v>256 GB</v>
          </cell>
        </row>
        <row r="705">
          <cell r="C705" t="str">
            <v>G56256_SPC11008</v>
          </cell>
          <cell r="D705" t="str">
            <v>CASAS BAHIA - LARGO 13 DE MAIO, 308 - ZONA COMERCIAL - SPC11008</v>
          </cell>
          <cell r="E705" t="str">
            <v>CASAS BAHIA</v>
          </cell>
          <cell r="F705" t="str">
            <v>RUA</v>
          </cell>
          <cell r="G705" t="str">
            <v>LARGO 13 DE MAIO, 308</v>
          </cell>
          <cell r="H705" t="str">
            <v>G56</v>
          </cell>
          <cell r="I705" t="str">
            <v>256 GB</v>
          </cell>
        </row>
        <row r="706">
          <cell r="C706" t="str">
            <v>G56256_SPC7621</v>
          </cell>
          <cell r="D706" t="str">
            <v>PONTO FRIO - RUA CAPITAO TIAGO LUZ, 146 - ZONA COMERCIAL - SPC7621</v>
          </cell>
          <cell r="E706" t="str">
            <v xml:space="preserve">PONTO FRIO </v>
          </cell>
          <cell r="F706" t="str">
            <v>RUA</v>
          </cell>
          <cell r="G706" t="str">
            <v>RUA CAPITAO TIAGO LUZ, 146</v>
          </cell>
          <cell r="H706" t="str">
            <v>G56</v>
          </cell>
          <cell r="I706" t="str">
            <v>256 GB</v>
          </cell>
        </row>
        <row r="707">
          <cell r="C707" t="str">
            <v>G56256_SPC6352</v>
          </cell>
          <cell r="D707" t="str">
            <v>CASAS BAHIA - RUA TENENTE AVELAR PIRES DE AZEVEDO, 81 - SHOPPING OSASCO PLAZA - SPC6352</v>
          </cell>
          <cell r="E707" t="str">
            <v>CASAS BAHIA</v>
          </cell>
          <cell r="F707" t="str">
            <v>SHOPPING</v>
          </cell>
          <cell r="G707" t="str">
            <v>RUA TENENTE AVELAR PIRES DE AZEVEDO, 81</v>
          </cell>
          <cell r="H707" t="str">
            <v>G56</v>
          </cell>
          <cell r="I707" t="str">
            <v>256 GB</v>
          </cell>
        </row>
        <row r="708">
          <cell r="C708" t="str">
            <v>G56256_SPC6445</v>
          </cell>
          <cell r="D708" t="str">
            <v>CASAS BAHIA - AVENIDA PIRACEMA, 669 - SHOPPING TAMBORE - SPC6445</v>
          </cell>
          <cell r="E708" t="str">
            <v>CASAS BAHIA</v>
          </cell>
          <cell r="F708" t="str">
            <v>SHOPPING</v>
          </cell>
          <cell r="G708" t="str">
            <v>AVENIDA PIRACEMA, 669</v>
          </cell>
          <cell r="H708" t="str">
            <v>G56</v>
          </cell>
          <cell r="I708" t="str">
            <v>256 GB</v>
          </cell>
        </row>
        <row r="709">
          <cell r="C709" t="str">
            <v>G56256_SPC6397</v>
          </cell>
          <cell r="D709" t="str">
            <v>CASAS BAHIA - AVENIDA DOS AUTONOMISTAS, 1400 - SHOPPING UNIAO - SPC6397</v>
          </cell>
          <cell r="E709" t="str">
            <v>CASAS BAHIA</v>
          </cell>
          <cell r="F709" t="str">
            <v>SHOPPING</v>
          </cell>
          <cell r="G709" t="str">
            <v>AVENIDA DOS AUTONOMISTAS, 1400</v>
          </cell>
          <cell r="H709" t="str">
            <v>G56</v>
          </cell>
          <cell r="I709" t="str">
            <v>256 GB</v>
          </cell>
        </row>
        <row r="710">
          <cell r="C710" t="str">
            <v>G56256_SPC11278</v>
          </cell>
          <cell r="D710" t="str">
            <v>PONTO FRIO - RUA ANTONIO AGU, 155 - ZONA COMERCIAL - SPC11278</v>
          </cell>
          <cell r="E710" t="str">
            <v xml:space="preserve">PONTO FRIO </v>
          </cell>
          <cell r="F710" t="str">
            <v>RUA</v>
          </cell>
          <cell r="G710" t="str">
            <v>RUA ANTONIO AGU, 155</v>
          </cell>
          <cell r="H710" t="str">
            <v>G56</v>
          </cell>
          <cell r="I710" t="str">
            <v>256 GB</v>
          </cell>
        </row>
        <row r="711">
          <cell r="C711" t="str">
            <v>G56256_SPC7644</v>
          </cell>
          <cell r="D711" t="str">
            <v>CASAS BAHIA - TRAVESSA CASALBUONO, 120 - SHOPPING CENTER NORTE - SPC7644</v>
          </cell>
          <cell r="E711" t="str">
            <v>CASAS BAHIA</v>
          </cell>
          <cell r="F711" t="str">
            <v>SHOPPING</v>
          </cell>
          <cell r="G711" t="str">
            <v>TRAVESSA CASALBUONO, 120</v>
          </cell>
          <cell r="H711" t="str">
            <v>G56</v>
          </cell>
          <cell r="I711" t="str">
            <v>256 GB</v>
          </cell>
        </row>
        <row r="712">
          <cell r="C712" t="str">
            <v>G56256_SPC8440</v>
          </cell>
          <cell r="D712" t="str">
            <v>MAGAZINE LUIZA - RUA AMAZONAS DA SILVA, 27 - ZONA COMERCIAL - SPC8440</v>
          </cell>
          <cell r="E712" t="str">
            <v>MAGAZINE LUIZA</v>
          </cell>
          <cell r="F712" t="str">
            <v>RUA</v>
          </cell>
          <cell r="G712" t="str">
            <v>RUA AMAZONAS DA SILVA, 27</v>
          </cell>
          <cell r="H712" t="str">
            <v>G56</v>
          </cell>
          <cell r="I712" t="str">
            <v>256 GB</v>
          </cell>
        </row>
        <row r="713">
          <cell r="C713" t="str">
            <v>G56256_SPC7607</v>
          </cell>
          <cell r="D713" t="str">
            <v>CASAS BAHIA - RODOVIA PRESIDENTE DUTRA KM 230, S/N - SHOPPING INTERNACIONAL GUARULHOS - SPC7607</v>
          </cell>
          <cell r="E713" t="str">
            <v>CASAS BAHIA</v>
          </cell>
          <cell r="F713" t="str">
            <v>SHOPPING</v>
          </cell>
          <cell r="G713" t="str">
            <v>RODOVIA PRESIDENTE DUTRA KM 230, S/N</v>
          </cell>
          <cell r="H713" t="str">
            <v>G56</v>
          </cell>
          <cell r="I713" t="str">
            <v>256 GB</v>
          </cell>
        </row>
        <row r="714">
          <cell r="C714" t="str">
            <v>G56256_SPC11273</v>
          </cell>
          <cell r="D714" t="str">
            <v>CASAS BAHIA - AVENIDA JUSCELINO KUBITSCHEK DE OLIVEIRA, 5308 - SHOPPING BONSUCESSO - SPC11273</v>
          </cell>
          <cell r="E714" t="str">
            <v>CASAS BAHIA</v>
          </cell>
          <cell r="F714" t="str">
            <v>SHOPPING</v>
          </cell>
          <cell r="G714" t="str">
            <v>AVENIDA JUSCELINO KUBITSCHEK DE OLIVEIRA, 5308</v>
          </cell>
          <cell r="H714" t="str">
            <v>G56</v>
          </cell>
          <cell r="I714" t="str">
            <v>256 GB</v>
          </cell>
        </row>
        <row r="715">
          <cell r="C715" t="str">
            <v>G56256_SPC11005</v>
          </cell>
          <cell r="D715" t="str">
            <v>CASAS BAHIA - AVENIDA INDUSTRIAL, 600 - SHOPPING GRAND PLAZA - SPC11005</v>
          </cell>
          <cell r="E715" t="str">
            <v>CASAS BAHIA</v>
          </cell>
          <cell r="F715" t="str">
            <v>SHOPPING</v>
          </cell>
          <cell r="G715" t="str">
            <v>AVENIDA INDUSTRIAL, 600</v>
          </cell>
          <cell r="H715" t="str">
            <v>G56</v>
          </cell>
          <cell r="I715" t="str">
            <v>256 GB</v>
          </cell>
        </row>
        <row r="716">
          <cell r="C716" t="str">
            <v>G56256_SPC8715</v>
          </cell>
          <cell r="D716" t="str">
            <v>CASAS BAHIA - AVENIDA GOVERNADOR MARIO COVAS JUNIOR, 1 - SHOPPING MAUA - SPC8715</v>
          </cell>
          <cell r="E716" t="str">
            <v>CASAS BAHIA</v>
          </cell>
          <cell r="F716" t="str">
            <v>SHOPPING</v>
          </cell>
          <cell r="G716" t="str">
            <v>AVENIDA GOVERNADOR MARIO COVAS JUNIOR, 1</v>
          </cell>
          <cell r="H716" t="str">
            <v>G56</v>
          </cell>
          <cell r="I716" t="str">
            <v>256 GB</v>
          </cell>
        </row>
        <row r="717">
          <cell r="C717" t="str">
            <v>G56256_SPC11374</v>
          </cell>
          <cell r="D717" t="str">
            <v>CASAS BAHIA - AVENIDA PEREIRA BARRETO, 42 - SHOPPING ABC - SPC11374</v>
          </cell>
          <cell r="E717" t="str">
            <v>CASAS BAHIA</v>
          </cell>
          <cell r="F717" t="str">
            <v>SHOPPING</v>
          </cell>
          <cell r="G717" t="str">
            <v>AVENIDA PEREIRA BARRETO, 42</v>
          </cell>
          <cell r="H717" t="str">
            <v>G56</v>
          </cell>
          <cell r="I717" t="str">
            <v>256 GB</v>
          </cell>
        </row>
        <row r="718">
          <cell r="C718" t="str">
            <v>G56256_SPC6700</v>
          </cell>
          <cell r="D718" t="str">
            <v>CASAS BAHIA - RUA MARECHAL DEODORO, 987 - ZONA COMERCIAL - SPC6700</v>
          </cell>
          <cell r="E718" t="str">
            <v>CASAS BAHIA</v>
          </cell>
          <cell r="F718" t="str">
            <v>RUA</v>
          </cell>
          <cell r="G718" t="str">
            <v>RUA MARECHAL DEODORO, 987</v>
          </cell>
          <cell r="H718" t="str">
            <v>G56</v>
          </cell>
          <cell r="I718" t="str">
            <v>256 GB</v>
          </cell>
        </row>
        <row r="719">
          <cell r="C719" t="str">
            <v>G56256_SPC7069</v>
          </cell>
          <cell r="D719" t="str">
            <v>CASAS BAHIA - RUA DOMINGOS DE MORAIS, 2564 - SHOPPING METRO SANTA CRUZ - SPC7069</v>
          </cell>
          <cell r="E719" t="str">
            <v>CASAS BAHIA</v>
          </cell>
          <cell r="F719" t="str">
            <v>SHOPPING</v>
          </cell>
          <cell r="G719" t="str">
            <v>RUA DOMINGOS DE MORAIS, 2564</v>
          </cell>
          <cell r="H719" t="str">
            <v>G56</v>
          </cell>
          <cell r="I719" t="str">
            <v>256 GB</v>
          </cell>
        </row>
        <row r="720">
          <cell r="C720" t="str">
            <v>G56256_SPC6505</v>
          </cell>
          <cell r="D720" t="str">
            <v>CASAS BAHIA - RUA TEODORO SAMPAIO, 2522 - ZONA COMERCIAL - SPC6505</v>
          </cell>
          <cell r="E720" t="str">
            <v>CASAS BAHIA</v>
          </cell>
          <cell r="F720" t="str">
            <v>RUA</v>
          </cell>
          <cell r="G720" t="str">
            <v>RUA TEODORO SAMPAIO, 2522</v>
          </cell>
          <cell r="H720" t="str">
            <v>G56</v>
          </cell>
          <cell r="I720" t="str">
            <v>256 GB</v>
          </cell>
        </row>
        <row r="721">
          <cell r="C721" t="str">
            <v>G56256_SPC234770</v>
          </cell>
          <cell r="D721" t="str">
            <v>CASAS BAHIA - ESTRADA DA COLINA, 1048 - SPC234770</v>
          </cell>
          <cell r="E721" t="str">
            <v>CASAS BAHIA</v>
          </cell>
          <cell r="F721" t="str">
            <v>RUA</v>
          </cell>
          <cell r="G721" t="str">
            <v>ESTRADA DA COLINA, 1048</v>
          </cell>
          <cell r="H721" t="str">
            <v>G56</v>
          </cell>
          <cell r="I721" t="str">
            <v>256 GB</v>
          </cell>
        </row>
        <row r="722">
          <cell r="C722" t="str">
            <v>G55256_SPC7613</v>
          </cell>
          <cell r="D722" t="str">
            <v>CASAS BAHIA - AVENIDA INTERLAGOS, 2255 - SHOPPING INTERLAGOS - SPC7613</v>
          </cell>
          <cell r="E722" t="str">
            <v>CASAS BAHIA</v>
          </cell>
          <cell r="F722" t="str">
            <v>SHOPPING</v>
          </cell>
          <cell r="G722" t="str">
            <v>AVENIDA INTERLAGOS, 2255</v>
          </cell>
          <cell r="H722" t="str">
            <v>G55</v>
          </cell>
          <cell r="I722" t="str">
            <v>256 GB</v>
          </cell>
        </row>
        <row r="723">
          <cell r="C723" t="str">
            <v>G55256_SPC7612</v>
          </cell>
          <cell r="D723" t="str">
            <v>PONTO FRIO - AVENIDA INTERLAGOS, 2255 - SHOPPING INTERLAGOS - SPC7612</v>
          </cell>
          <cell r="E723" t="str">
            <v xml:space="preserve">PONTO FRIO </v>
          </cell>
          <cell r="F723" t="str">
            <v>SHOPPING</v>
          </cell>
          <cell r="G723" t="str">
            <v>AVENIDA INTERLAGOS, 2255</v>
          </cell>
          <cell r="H723" t="str">
            <v>G55</v>
          </cell>
          <cell r="I723" t="str">
            <v>256 GB</v>
          </cell>
        </row>
        <row r="724">
          <cell r="C724" t="str">
            <v>G55256_SPC7614</v>
          </cell>
          <cell r="D724" t="str">
            <v>LOJAS AMERICANAS - AVENIDA INTERLAGOS, 2255 - SHOPPING INTERLAGOS - SPC7614</v>
          </cell>
          <cell r="E724" t="str">
            <v>LOJAS AMERICANAS</v>
          </cell>
          <cell r="F724" t="str">
            <v>SHOPPING</v>
          </cell>
          <cell r="G724" t="str">
            <v>AVENIDA INTERLAGOS, 2255</v>
          </cell>
          <cell r="H724" t="str">
            <v>G55</v>
          </cell>
          <cell r="I724" t="str">
            <v>256 GB</v>
          </cell>
        </row>
        <row r="725">
          <cell r="C725" t="str">
            <v>G55256_SPC11232</v>
          </cell>
          <cell r="D725" t="str">
            <v>CASAS BAHIA - PRACA FLORIANO PEIXOTO, 38 - ZONA COMERCIAL - SPC11232</v>
          </cell>
          <cell r="E725" t="str">
            <v>CASAS BAHIA</v>
          </cell>
          <cell r="F725" t="str">
            <v>RUA</v>
          </cell>
          <cell r="G725" t="str">
            <v>PRACA FLORIANO PEIXOTO, 38</v>
          </cell>
          <cell r="H725" t="str">
            <v>G55</v>
          </cell>
          <cell r="I725" t="str">
            <v>256 GB</v>
          </cell>
        </row>
        <row r="726">
          <cell r="C726" t="str">
            <v>G55256_SPC287350</v>
          </cell>
          <cell r="D726" t="str">
            <v>CASAS BAHIA - AVENIDA NACOES UNIDAS, 12995 - SPC287350</v>
          </cell>
          <cell r="E726" t="str">
            <v>CASAS BAHIA</v>
          </cell>
          <cell r="F726" t="str">
            <v>RUA</v>
          </cell>
          <cell r="G726" t="str">
            <v>AVENIDA NACOES UNIDAS, 12995</v>
          </cell>
          <cell r="H726" t="str">
            <v>G55</v>
          </cell>
          <cell r="I726" t="str">
            <v>256 GB</v>
          </cell>
        </row>
        <row r="727">
          <cell r="C727" t="str">
            <v>G55256_SPC252260</v>
          </cell>
          <cell r="D727" t="str">
            <v>CASAS BAHIA - AVENIDA EMBAIXADOR MACEDO SOARES, 9175 - SPC252260</v>
          </cell>
          <cell r="E727" t="str">
            <v>CASAS BAHIA</v>
          </cell>
          <cell r="F727" t="str">
            <v>RUA</v>
          </cell>
          <cell r="G727" t="str">
            <v>AVENIDA EMBAIXADOR MACEDO SOARES, 9175</v>
          </cell>
          <cell r="H727" t="str">
            <v>G55</v>
          </cell>
          <cell r="I727" t="str">
            <v>256 GB</v>
          </cell>
        </row>
        <row r="728">
          <cell r="C728" t="str">
            <v>G55256_SPC22892</v>
          </cell>
          <cell r="D728" t="str">
            <v>CASAS BAHIA - AVENIDA ARICANDUVA, 5555 (LOJA 2) - SHOPPING ARICANDUVA - SPC22892</v>
          </cell>
          <cell r="E728" t="str">
            <v>CASAS BAHIA</v>
          </cell>
          <cell r="F728" t="str">
            <v>SHOPPING</v>
          </cell>
          <cell r="G728" t="str">
            <v>AVENIDA ARICANDUVA, 5555 (LOJA 2)</v>
          </cell>
          <cell r="H728" t="str">
            <v>G55</v>
          </cell>
          <cell r="I728" t="str">
            <v>256 GB</v>
          </cell>
        </row>
        <row r="729">
          <cell r="C729" t="str">
            <v>G55256_SPC7610</v>
          </cell>
          <cell r="D729" t="str">
            <v>CASAS BAHIA - AVENIDA ARICANDUVA, 5555 (LOJA 1) - SHOPPING ARICANDUVA - SPC7610</v>
          </cell>
          <cell r="E729" t="str">
            <v>CASAS BAHIA</v>
          </cell>
          <cell r="F729" t="str">
            <v>SHOPPING</v>
          </cell>
          <cell r="G729" t="str">
            <v>AVENIDA ARICANDUVA, 5555 (LOJA 1)</v>
          </cell>
          <cell r="H729" t="str">
            <v>G55</v>
          </cell>
          <cell r="I729" t="str">
            <v>256 GB</v>
          </cell>
        </row>
        <row r="730">
          <cell r="C730" t="str">
            <v>G55256_SPC8803</v>
          </cell>
          <cell r="D730" t="str">
            <v>PONTO FRIO - AVENIDA ARICANDUVA, 5555 (LOJA 2) - SHOPPING ARICANDUVA - SPC8803</v>
          </cell>
          <cell r="E730" t="str">
            <v xml:space="preserve">PONTO FRIO </v>
          </cell>
          <cell r="F730" t="str">
            <v>SHOPPING</v>
          </cell>
          <cell r="G730" t="str">
            <v>AVENIDA ARICANDUVA, 5555 (LOJA 2)</v>
          </cell>
          <cell r="H730" t="str">
            <v>G55</v>
          </cell>
          <cell r="I730" t="str">
            <v>256 GB</v>
          </cell>
        </row>
        <row r="731">
          <cell r="C731" t="str">
            <v>G55256_SPC6374</v>
          </cell>
          <cell r="D731" t="str">
            <v>MAGAZINE LUIZA - AVENIDA ARICANDUVA, 5555 - SHOPPING ARICANDUVA - SPC6374</v>
          </cell>
          <cell r="E731" t="str">
            <v>MAGAZINE LUIZA</v>
          </cell>
          <cell r="F731" t="str">
            <v>SHOPPING</v>
          </cell>
          <cell r="G731" t="str">
            <v>AVENIDA ARICANDUVA, 5555</v>
          </cell>
          <cell r="H731" t="str">
            <v>G55</v>
          </cell>
          <cell r="I731" t="str">
            <v>256 GB</v>
          </cell>
        </row>
        <row r="732">
          <cell r="C732" t="str">
            <v>G55256_SPC7759</v>
          </cell>
          <cell r="D732" t="str">
            <v>CASAS BAHIA - AVENIDA JOSE PINHEIRO BORGES, S/N - SHOPPING METRO ITAQUERA - SPC7759</v>
          </cell>
          <cell r="E732" t="str">
            <v>CASAS BAHIA</v>
          </cell>
          <cell r="F732" t="str">
            <v>SHOPPING</v>
          </cell>
          <cell r="G732" t="str">
            <v>AVENIDA JOSE PINHEIRO BORGES, S/N</v>
          </cell>
          <cell r="H732" t="str">
            <v>G55</v>
          </cell>
          <cell r="I732" t="str">
            <v>256 GB</v>
          </cell>
        </row>
        <row r="733">
          <cell r="C733" t="str">
            <v>G55256_SPC9927</v>
          </cell>
          <cell r="D733" t="str">
            <v>CASAS BAHIA - RODOVIA REGIS BITTENCOURT KM 271, 2643 - SHOPPING TABOAO DA SERRA - SPC9927</v>
          </cell>
          <cell r="E733" t="str">
            <v>CASAS BAHIA</v>
          </cell>
          <cell r="F733" t="str">
            <v>SHOPPING</v>
          </cell>
          <cell r="G733" t="str">
            <v>RODOVIA REGIS BITTENCOURT KM 271, 2643</v>
          </cell>
          <cell r="H733" t="str">
            <v>G55</v>
          </cell>
          <cell r="I733" t="str">
            <v>256 GB</v>
          </cell>
        </row>
        <row r="734">
          <cell r="C734" t="str">
            <v>G55256_SPC10966</v>
          </cell>
          <cell r="D734" t="str">
            <v>CASAS BAHIA - ESTRADA DO CAMPO LIMPO, 459 - SHOPPING CAMPO LIMPO - SPC10966</v>
          </cell>
          <cell r="E734" t="str">
            <v>CASAS BAHIA</v>
          </cell>
          <cell r="F734" t="str">
            <v>SHOPPING</v>
          </cell>
          <cell r="G734" t="str">
            <v>ESTRADA DO CAMPO LIMPO, 459</v>
          </cell>
          <cell r="H734" t="str">
            <v>G55</v>
          </cell>
          <cell r="I734" t="str">
            <v>256 GB</v>
          </cell>
        </row>
        <row r="735">
          <cell r="C735" t="str">
            <v>G55256_SPC11008</v>
          </cell>
          <cell r="D735" t="str">
            <v>CASAS BAHIA - LARGO 13 DE MAIO, 308 - ZONA COMERCIAL - SPC11008</v>
          </cell>
          <cell r="E735" t="str">
            <v>CASAS BAHIA</v>
          </cell>
          <cell r="F735" t="str">
            <v>RUA</v>
          </cell>
          <cell r="G735" t="str">
            <v>LARGO 13 DE MAIO, 308</v>
          </cell>
          <cell r="H735" t="str">
            <v>G55</v>
          </cell>
          <cell r="I735" t="str">
            <v>256 GB</v>
          </cell>
        </row>
        <row r="736">
          <cell r="C736" t="str">
            <v>G55256_SPC7621</v>
          </cell>
          <cell r="D736" t="str">
            <v>PONTO FRIO - RUA CAPITAO TIAGO LUZ, 146 - ZONA COMERCIAL - SPC7621</v>
          </cell>
          <cell r="E736" t="str">
            <v xml:space="preserve">PONTO FRIO </v>
          </cell>
          <cell r="F736" t="str">
            <v>RUA</v>
          </cell>
          <cell r="G736" t="str">
            <v>RUA CAPITAO TIAGO LUZ, 146</v>
          </cell>
          <cell r="H736" t="str">
            <v>G55</v>
          </cell>
          <cell r="I736" t="str">
            <v>256 GB</v>
          </cell>
        </row>
        <row r="737">
          <cell r="C737" t="str">
            <v>G55256_SPC6352</v>
          </cell>
          <cell r="D737" t="str">
            <v>CASAS BAHIA - RUA TENENTE AVELAR PIRES DE AZEVEDO, 81 - SHOPPING OSASCO PLAZA - SPC6352</v>
          </cell>
          <cell r="E737" t="str">
            <v>CASAS BAHIA</v>
          </cell>
          <cell r="F737" t="str">
            <v>SHOPPING</v>
          </cell>
          <cell r="G737" t="str">
            <v>RUA TENENTE AVELAR PIRES DE AZEVEDO, 81</v>
          </cell>
          <cell r="H737" t="str">
            <v>G55</v>
          </cell>
          <cell r="I737" t="str">
            <v>256 GB</v>
          </cell>
        </row>
        <row r="738">
          <cell r="C738" t="str">
            <v>G55256_SPC6445</v>
          </cell>
          <cell r="D738" t="str">
            <v>CASAS BAHIA - AVENIDA PIRACEMA, 669 - SHOPPING TAMBORE - SPC6445</v>
          </cell>
          <cell r="E738" t="str">
            <v>CASAS BAHIA</v>
          </cell>
          <cell r="F738" t="str">
            <v>SHOPPING</v>
          </cell>
          <cell r="G738" t="str">
            <v>AVENIDA PIRACEMA, 669</v>
          </cell>
          <cell r="H738" t="str">
            <v>G55</v>
          </cell>
          <cell r="I738" t="str">
            <v>256 GB</v>
          </cell>
        </row>
        <row r="739">
          <cell r="C739" t="str">
            <v>G55256_SPC6397</v>
          </cell>
          <cell r="D739" t="str">
            <v>CASAS BAHIA - AVENIDA DOS AUTONOMISTAS, 1400 - SHOPPING UNIAO - SPC6397</v>
          </cell>
          <cell r="E739" t="str">
            <v>CASAS BAHIA</v>
          </cell>
          <cell r="F739" t="str">
            <v>SHOPPING</v>
          </cell>
          <cell r="G739" t="str">
            <v>AVENIDA DOS AUTONOMISTAS, 1400</v>
          </cell>
          <cell r="H739" t="str">
            <v>G55</v>
          </cell>
          <cell r="I739" t="str">
            <v>256 GB</v>
          </cell>
        </row>
        <row r="740">
          <cell r="C740" t="str">
            <v>G55256_SPC11278</v>
          </cell>
          <cell r="D740" t="str">
            <v>PONTO FRIO - RUA ANTONIO AGU, 155 - ZONA COMERCIAL - SPC11278</v>
          </cell>
          <cell r="E740" t="str">
            <v xml:space="preserve">PONTO FRIO </v>
          </cell>
          <cell r="F740" t="str">
            <v>RUA</v>
          </cell>
          <cell r="G740" t="str">
            <v>RUA ANTONIO AGU, 155</v>
          </cell>
          <cell r="H740" t="str">
            <v>G55</v>
          </cell>
          <cell r="I740" t="str">
            <v>256 GB</v>
          </cell>
        </row>
        <row r="741">
          <cell r="C741" t="str">
            <v>G55256_SPC7644</v>
          </cell>
          <cell r="D741" t="str">
            <v>CASAS BAHIA - TRAVESSA CASALBUONO, 120 - SHOPPING CENTER NORTE - SPC7644</v>
          </cell>
          <cell r="E741" t="str">
            <v>CASAS BAHIA</v>
          </cell>
          <cell r="F741" t="str">
            <v>SHOPPING</v>
          </cell>
          <cell r="G741" t="str">
            <v>TRAVESSA CASALBUONO, 120</v>
          </cell>
          <cell r="H741" t="str">
            <v>G55</v>
          </cell>
          <cell r="I741" t="str">
            <v>256 GB</v>
          </cell>
        </row>
        <row r="742">
          <cell r="C742" t="str">
            <v>G55256_SPC8440</v>
          </cell>
          <cell r="D742" t="str">
            <v>MAGAZINE LUIZA - RUA AMAZONAS DA SILVA, 27 - ZONA COMERCIAL - SPC8440</v>
          </cell>
          <cell r="E742" t="str">
            <v>MAGAZINE LUIZA</v>
          </cell>
          <cell r="F742" t="str">
            <v>RUA</v>
          </cell>
          <cell r="G742" t="str">
            <v>RUA AMAZONAS DA SILVA, 27</v>
          </cell>
          <cell r="H742" t="str">
            <v>G55</v>
          </cell>
          <cell r="I742" t="str">
            <v>256 GB</v>
          </cell>
        </row>
        <row r="743">
          <cell r="C743" t="str">
            <v>G55256_SPC7607</v>
          </cell>
          <cell r="D743" t="str">
            <v>CASAS BAHIA - RODOVIA PRESIDENTE DUTRA KM 230, S/N - SHOPPING INTERNACIONAL GUARULHOS - SPC7607</v>
          </cell>
          <cell r="E743" t="str">
            <v>CASAS BAHIA</v>
          </cell>
          <cell r="F743" t="str">
            <v>SHOPPING</v>
          </cell>
          <cell r="G743" t="str">
            <v>RODOVIA PRESIDENTE DUTRA KM 230, S/N</v>
          </cell>
          <cell r="H743" t="str">
            <v>G55</v>
          </cell>
          <cell r="I743" t="str">
            <v>256 GB</v>
          </cell>
        </row>
        <row r="744">
          <cell r="C744" t="str">
            <v>G55256_SPC11273</v>
          </cell>
          <cell r="D744" t="str">
            <v>CASAS BAHIA - AVENIDA JUSCELINO KUBITSCHEK DE OLIVEIRA, 5308 - SHOPPING BONSUCESSO - SPC11273</v>
          </cell>
          <cell r="E744" t="str">
            <v>CASAS BAHIA</v>
          </cell>
          <cell r="F744" t="str">
            <v>SHOPPING</v>
          </cell>
          <cell r="G744" t="str">
            <v>AVENIDA JUSCELINO KUBITSCHEK DE OLIVEIRA, 5308</v>
          </cell>
          <cell r="H744" t="str">
            <v>G55</v>
          </cell>
          <cell r="I744" t="str">
            <v>256 GB</v>
          </cell>
        </row>
        <row r="745">
          <cell r="C745" t="str">
            <v>G55256_SPC11005</v>
          </cell>
          <cell r="D745" t="str">
            <v>CASAS BAHIA - AVENIDA INDUSTRIAL, 600 - SHOPPING GRAND PLAZA - SPC11005</v>
          </cell>
          <cell r="E745" t="str">
            <v>CASAS BAHIA</v>
          </cell>
          <cell r="F745" t="str">
            <v>SHOPPING</v>
          </cell>
          <cell r="G745" t="str">
            <v>AVENIDA INDUSTRIAL, 600</v>
          </cell>
          <cell r="H745" t="str">
            <v>G55</v>
          </cell>
          <cell r="I745" t="str">
            <v>256 GB</v>
          </cell>
        </row>
        <row r="746">
          <cell r="C746" t="str">
            <v>G55256_SPC8715</v>
          </cell>
          <cell r="D746" t="str">
            <v>CASAS BAHIA - AVENIDA GOVERNADOR MARIO COVAS JUNIOR, 1 - SHOPPING MAUA - SPC8715</v>
          </cell>
          <cell r="E746" t="str">
            <v>CASAS BAHIA</v>
          </cell>
          <cell r="F746" t="str">
            <v>SHOPPING</v>
          </cell>
          <cell r="G746" t="str">
            <v>AVENIDA GOVERNADOR MARIO COVAS JUNIOR, 1</v>
          </cell>
          <cell r="H746" t="str">
            <v>G55</v>
          </cell>
          <cell r="I746" t="str">
            <v>256 GB</v>
          </cell>
        </row>
        <row r="747">
          <cell r="C747" t="str">
            <v>G55256_SPC11374</v>
          </cell>
          <cell r="D747" t="str">
            <v>CASAS BAHIA - AVENIDA PEREIRA BARRETO, 42 - SHOPPING ABC - SPC11374</v>
          </cell>
          <cell r="E747" t="str">
            <v>CASAS BAHIA</v>
          </cell>
          <cell r="F747" t="str">
            <v>SHOPPING</v>
          </cell>
          <cell r="G747" t="str">
            <v>AVENIDA PEREIRA BARRETO, 42</v>
          </cell>
          <cell r="H747" t="str">
            <v>G55</v>
          </cell>
          <cell r="I747" t="str">
            <v>256 GB</v>
          </cell>
        </row>
        <row r="748">
          <cell r="C748" t="str">
            <v>G55256_SPC6700</v>
          </cell>
          <cell r="D748" t="str">
            <v>CASAS BAHIA - RUA MARECHAL DEODORO, 987 - ZONA COMERCIAL - SPC6700</v>
          </cell>
          <cell r="E748" t="str">
            <v>CASAS BAHIA</v>
          </cell>
          <cell r="F748" t="str">
            <v>RUA</v>
          </cell>
          <cell r="G748" t="str">
            <v>RUA MARECHAL DEODORO, 987</v>
          </cell>
          <cell r="H748" t="str">
            <v>G55</v>
          </cell>
          <cell r="I748" t="str">
            <v>256 GB</v>
          </cell>
        </row>
        <row r="749">
          <cell r="C749" t="str">
            <v>G55256_SPC7069</v>
          </cell>
          <cell r="D749" t="str">
            <v>CASAS BAHIA - RUA DOMINGOS DE MORAIS, 2564 - SHOPPING METRO SANTA CRUZ - SPC7069</v>
          </cell>
          <cell r="E749" t="str">
            <v>CASAS BAHIA</v>
          </cell>
          <cell r="F749" t="str">
            <v>SHOPPING</v>
          </cell>
          <cell r="G749" t="str">
            <v>RUA DOMINGOS DE MORAIS, 2564</v>
          </cell>
          <cell r="H749" t="str">
            <v>G55</v>
          </cell>
          <cell r="I749" t="str">
            <v>256 GB</v>
          </cell>
        </row>
        <row r="750">
          <cell r="C750" t="str">
            <v>G55256_SPC6505</v>
          </cell>
          <cell r="D750" t="str">
            <v>CASAS BAHIA - RUA TEODORO SAMPAIO, 2522 - ZONA COMERCIAL - SPC6505</v>
          </cell>
          <cell r="E750" t="str">
            <v>CASAS BAHIA</v>
          </cell>
          <cell r="F750" t="str">
            <v>RUA</v>
          </cell>
          <cell r="G750" t="str">
            <v>RUA TEODORO SAMPAIO, 2522</v>
          </cell>
          <cell r="H750" t="str">
            <v>G55</v>
          </cell>
          <cell r="I750" t="str">
            <v>256 GB</v>
          </cell>
        </row>
        <row r="751">
          <cell r="C751" t="str">
            <v>G55256_SPC234770</v>
          </cell>
          <cell r="D751" t="str">
            <v>CASAS BAHIA - ESTRADA DA COLINA, 1048 - SPC234770</v>
          </cell>
          <cell r="E751" t="str">
            <v>CASAS BAHIA</v>
          </cell>
          <cell r="F751" t="str">
            <v>RUA</v>
          </cell>
          <cell r="G751" t="str">
            <v>ESTRADA DA COLINA, 1048</v>
          </cell>
          <cell r="H751" t="str">
            <v>G55</v>
          </cell>
          <cell r="I751" t="str">
            <v>256 GB</v>
          </cell>
        </row>
        <row r="752">
          <cell r="C752" t="str">
            <v>G86512_SPC7613</v>
          </cell>
          <cell r="D752" t="str">
            <v>CASAS BAHIA - AVENIDA INTERLAGOS, 2255 - SHOPPING INTERLAGOS - SPC7613</v>
          </cell>
          <cell r="E752" t="str">
            <v>CASAS BAHIA</v>
          </cell>
          <cell r="F752" t="str">
            <v>SHOPPING</v>
          </cell>
          <cell r="G752" t="str">
            <v>AVENIDA INTERLAGOS, 2255</v>
          </cell>
          <cell r="H752" t="str">
            <v>G86</v>
          </cell>
          <cell r="I752" t="str">
            <v>512 GB</v>
          </cell>
        </row>
        <row r="753">
          <cell r="C753" t="str">
            <v>G86512_SPC7612</v>
          </cell>
          <cell r="D753" t="str">
            <v>PONTO FRIO - AVENIDA INTERLAGOS, 2255 - SHOPPING INTERLAGOS - SPC7612</v>
          </cell>
          <cell r="E753" t="str">
            <v xml:space="preserve">PONTO FRIO </v>
          </cell>
          <cell r="F753" t="str">
            <v>SHOPPING</v>
          </cell>
          <cell r="G753" t="str">
            <v>AVENIDA INTERLAGOS, 2255</v>
          </cell>
          <cell r="H753" t="str">
            <v>G86</v>
          </cell>
          <cell r="I753" t="str">
            <v>512 GB</v>
          </cell>
        </row>
        <row r="754">
          <cell r="C754" t="str">
            <v>G86512_SPC7614</v>
          </cell>
          <cell r="D754" t="str">
            <v>LOJAS AMERICANAS - AVENIDA INTERLAGOS, 2255 - SHOPPING INTERLAGOS - SPC7614</v>
          </cell>
          <cell r="E754" t="str">
            <v>LOJAS AMERICANAS</v>
          </cell>
          <cell r="F754" t="str">
            <v>SHOPPING</v>
          </cell>
          <cell r="G754" t="str">
            <v>AVENIDA INTERLAGOS, 2255</v>
          </cell>
          <cell r="H754" t="str">
            <v>G86</v>
          </cell>
          <cell r="I754" t="str">
            <v>512 GB</v>
          </cell>
        </row>
        <row r="755">
          <cell r="C755" t="str">
            <v>G86512_SPC11232</v>
          </cell>
          <cell r="D755" t="str">
            <v>CASAS BAHIA - PRACA FLORIANO PEIXOTO, 38 - ZONA COMERCIAL - SPC11232</v>
          </cell>
          <cell r="E755" t="str">
            <v>CASAS BAHIA</v>
          </cell>
          <cell r="F755" t="str">
            <v>RUA</v>
          </cell>
          <cell r="G755" t="str">
            <v>PRACA FLORIANO PEIXOTO, 38</v>
          </cell>
          <cell r="H755" t="str">
            <v>G86</v>
          </cell>
          <cell r="I755" t="str">
            <v>512 GB</v>
          </cell>
        </row>
        <row r="756">
          <cell r="C756" t="str">
            <v>G86512_SPC287350</v>
          </cell>
          <cell r="D756" t="str">
            <v>CASAS BAHIA - AVENIDA NACOES UNIDAS, 12995 - SPC287350</v>
          </cell>
          <cell r="E756" t="str">
            <v>CASAS BAHIA</v>
          </cell>
          <cell r="F756" t="str">
            <v>RUA</v>
          </cell>
          <cell r="G756" t="str">
            <v>AVENIDA NACOES UNIDAS, 12995</v>
          </cell>
          <cell r="H756" t="str">
            <v>G86</v>
          </cell>
          <cell r="I756" t="str">
            <v>512 GB</v>
          </cell>
        </row>
        <row r="757">
          <cell r="C757" t="str">
            <v>G86512_SPC252260</v>
          </cell>
          <cell r="D757" t="str">
            <v>CASAS BAHIA - AVENIDA EMBAIXADOR MACEDO SOARES, 9175 - SPC252260</v>
          </cell>
          <cell r="E757" t="str">
            <v>CASAS BAHIA</v>
          </cell>
          <cell r="F757" t="str">
            <v>RUA</v>
          </cell>
          <cell r="G757" t="str">
            <v>AVENIDA EMBAIXADOR MACEDO SOARES, 9175</v>
          </cell>
          <cell r="H757" t="str">
            <v>G86</v>
          </cell>
          <cell r="I757" t="str">
            <v>512 GB</v>
          </cell>
        </row>
        <row r="758">
          <cell r="C758" t="str">
            <v>G86512_SPC22892</v>
          </cell>
          <cell r="D758" t="str">
            <v>CASAS BAHIA - AVENIDA ARICANDUVA, 5555 (LOJA 2) - SHOPPING ARICANDUVA - SPC22892</v>
          </cell>
          <cell r="E758" t="str">
            <v>CASAS BAHIA</v>
          </cell>
          <cell r="F758" t="str">
            <v>SHOPPING</v>
          </cell>
          <cell r="G758" t="str">
            <v>AVENIDA ARICANDUVA, 5555 (LOJA 2)</v>
          </cell>
          <cell r="H758" t="str">
            <v>G86</v>
          </cell>
          <cell r="I758" t="str">
            <v>512 GB</v>
          </cell>
        </row>
        <row r="759">
          <cell r="C759" t="str">
            <v>G86512_SPC7610</v>
          </cell>
          <cell r="D759" t="str">
            <v>CASAS BAHIA - AVENIDA ARICANDUVA, 5555 (LOJA 1) - SHOPPING ARICANDUVA - SPC7610</v>
          </cell>
          <cell r="E759" t="str">
            <v>CASAS BAHIA</v>
          </cell>
          <cell r="F759" t="str">
            <v>SHOPPING</v>
          </cell>
          <cell r="G759" t="str">
            <v>AVENIDA ARICANDUVA, 5555 (LOJA 1)</v>
          </cell>
          <cell r="H759" t="str">
            <v>G86</v>
          </cell>
          <cell r="I759" t="str">
            <v>512 GB</v>
          </cell>
        </row>
        <row r="760">
          <cell r="C760" t="str">
            <v>G86512_SPC8803</v>
          </cell>
          <cell r="D760" t="str">
            <v>PONTO FRIO - AVENIDA ARICANDUVA, 5555 (LOJA 2) - SHOPPING ARICANDUVA - SPC8803</v>
          </cell>
          <cell r="E760" t="str">
            <v xml:space="preserve">PONTO FRIO </v>
          </cell>
          <cell r="F760" t="str">
            <v>SHOPPING</v>
          </cell>
          <cell r="G760" t="str">
            <v>AVENIDA ARICANDUVA, 5555 (LOJA 2)</v>
          </cell>
          <cell r="H760" t="str">
            <v>G86</v>
          </cell>
          <cell r="I760" t="str">
            <v>512 GB</v>
          </cell>
        </row>
        <row r="761">
          <cell r="C761" t="str">
            <v>G86512_SPC6374</v>
          </cell>
          <cell r="D761" t="str">
            <v>MAGAZINE LUIZA - AVENIDA ARICANDUVA, 5555 - SHOPPING ARICANDUVA - SPC6374</v>
          </cell>
          <cell r="E761" t="str">
            <v>MAGAZINE LUIZA</v>
          </cell>
          <cell r="F761" t="str">
            <v>SHOPPING</v>
          </cell>
          <cell r="G761" t="str">
            <v>AVENIDA ARICANDUVA, 5555</v>
          </cell>
          <cell r="H761" t="str">
            <v>G86</v>
          </cell>
          <cell r="I761" t="str">
            <v>512 GB</v>
          </cell>
        </row>
        <row r="762">
          <cell r="C762" t="str">
            <v>G86512_SPC7759</v>
          </cell>
          <cell r="D762" t="str">
            <v>CASAS BAHIA - AVENIDA JOSE PINHEIRO BORGES, S/N - SHOPPING METRO ITAQUERA - SPC7759</v>
          </cell>
          <cell r="E762" t="str">
            <v>CASAS BAHIA</v>
          </cell>
          <cell r="F762" t="str">
            <v>SHOPPING</v>
          </cell>
          <cell r="G762" t="str">
            <v>AVENIDA JOSE PINHEIRO BORGES, S/N</v>
          </cell>
          <cell r="H762" t="str">
            <v>G86</v>
          </cell>
          <cell r="I762" t="str">
            <v>512 GB</v>
          </cell>
        </row>
        <row r="763">
          <cell r="C763" t="str">
            <v>G86512_SPC9927</v>
          </cell>
          <cell r="D763" t="str">
            <v>CASAS BAHIA - RODOVIA REGIS BITTENCOURT KM 271, 2643 - SHOPPING TABOAO DA SERRA - SPC9927</v>
          </cell>
          <cell r="E763" t="str">
            <v>CASAS BAHIA</v>
          </cell>
          <cell r="F763" t="str">
            <v>SHOPPING</v>
          </cell>
          <cell r="G763" t="str">
            <v>RODOVIA REGIS BITTENCOURT KM 271, 2643</v>
          </cell>
          <cell r="H763" t="str">
            <v>G86</v>
          </cell>
          <cell r="I763" t="str">
            <v>512 GB</v>
          </cell>
        </row>
        <row r="764">
          <cell r="C764" t="str">
            <v>G86512_SPC10966</v>
          </cell>
          <cell r="D764" t="str">
            <v>CASAS BAHIA - ESTRADA DO CAMPO LIMPO, 459 - SHOPPING CAMPO LIMPO - SPC10966</v>
          </cell>
          <cell r="E764" t="str">
            <v>CASAS BAHIA</v>
          </cell>
          <cell r="F764" t="str">
            <v>SHOPPING</v>
          </cell>
          <cell r="G764" t="str">
            <v>ESTRADA DO CAMPO LIMPO, 459</v>
          </cell>
          <cell r="H764" t="str">
            <v>G86</v>
          </cell>
          <cell r="I764" t="str">
            <v>512 GB</v>
          </cell>
        </row>
        <row r="765">
          <cell r="C765" t="str">
            <v>G86512_SPC11008</v>
          </cell>
          <cell r="D765" t="str">
            <v>CASAS BAHIA - LARGO 13 DE MAIO, 308 - ZONA COMERCIAL - SPC11008</v>
          </cell>
          <cell r="E765" t="str">
            <v>CASAS BAHIA</v>
          </cell>
          <cell r="F765" t="str">
            <v>RUA</v>
          </cell>
          <cell r="G765" t="str">
            <v>LARGO 13 DE MAIO, 308</v>
          </cell>
          <cell r="H765" t="str">
            <v>G86</v>
          </cell>
          <cell r="I765" t="str">
            <v>512 GB</v>
          </cell>
        </row>
        <row r="766">
          <cell r="C766" t="str">
            <v>G86512_SPC7621</v>
          </cell>
          <cell r="D766" t="str">
            <v>PONTO FRIO - RUA CAPITAO TIAGO LUZ, 146 - ZONA COMERCIAL - SPC7621</v>
          </cell>
          <cell r="E766" t="str">
            <v xml:space="preserve">PONTO FRIO </v>
          </cell>
          <cell r="F766" t="str">
            <v>RUA</v>
          </cell>
          <cell r="G766" t="str">
            <v>RUA CAPITAO TIAGO LUZ, 146</v>
          </cell>
          <cell r="H766" t="str">
            <v>G86</v>
          </cell>
          <cell r="I766" t="str">
            <v>512 GB</v>
          </cell>
        </row>
        <row r="767">
          <cell r="C767" t="str">
            <v>G86512_SPC6352</v>
          </cell>
          <cell r="D767" t="str">
            <v>CASAS BAHIA - RUA TENENTE AVELAR PIRES DE AZEVEDO, 81 - SHOPPING OSASCO PLAZA - SPC6352</v>
          </cell>
          <cell r="E767" t="str">
            <v>CASAS BAHIA</v>
          </cell>
          <cell r="F767" t="str">
            <v>SHOPPING</v>
          </cell>
          <cell r="G767" t="str">
            <v>RUA TENENTE AVELAR PIRES DE AZEVEDO, 81</v>
          </cell>
          <cell r="H767" t="str">
            <v>G86</v>
          </cell>
          <cell r="I767" t="str">
            <v>512 GB</v>
          </cell>
        </row>
        <row r="768">
          <cell r="C768" t="str">
            <v>G86512_SPC6445</v>
          </cell>
          <cell r="D768" t="str">
            <v>CASAS BAHIA - AVENIDA PIRACEMA, 669 - SHOPPING TAMBORE - SPC6445</v>
          </cell>
          <cell r="E768" t="str">
            <v>CASAS BAHIA</v>
          </cell>
          <cell r="F768" t="str">
            <v>SHOPPING</v>
          </cell>
          <cell r="G768" t="str">
            <v>AVENIDA PIRACEMA, 669</v>
          </cell>
          <cell r="H768" t="str">
            <v>G86</v>
          </cell>
          <cell r="I768" t="str">
            <v>512 GB</v>
          </cell>
        </row>
        <row r="769">
          <cell r="C769" t="str">
            <v>G86512_SPC6397</v>
          </cell>
          <cell r="D769" t="str">
            <v>CASAS BAHIA - AVENIDA DOS AUTONOMISTAS, 1400 - SHOPPING UNIAO - SPC6397</v>
          </cell>
          <cell r="E769" t="str">
            <v>CASAS BAHIA</v>
          </cell>
          <cell r="F769" t="str">
            <v>SHOPPING</v>
          </cell>
          <cell r="G769" t="str">
            <v>AVENIDA DOS AUTONOMISTAS, 1400</v>
          </cell>
          <cell r="H769" t="str">
            <v>G86</v>
          </cell>
          <cell r="I769" t="str">
            <v>512 GB</v>
          </cell>
        </row>
        <row r="770">
          <cell r="C770" t="str">
            <v>G86512_SPC11278</v>
          </cell>
          <cell r="D770" t="str">
            <v>PONTO FRIO - RUA ANTONIO AGU, 155 - ZONA COMERCIAL - SPC11278</v>
          </cell>
          <cell r="E770" t="str">
            <v xml:space="preserve">PONTO FRIO </v>
          </cell>
          <cell r="F770" t="str">
            <v>RUA</v>
          </cell>
          <cell r="G770" t="str">
            <v>RUA ANTONIO AGU, 155</v>
          </cell>
          <cell r="H770" t="str">
            <v>G86</v>
          </cell>
          <cell r="I770" t="str">
            <v>512 GB</v>
          </cell>
        </row>
        <row r="771">
          <cell r="C771" t="str">
            <v>G86512_SPC7644</v>
          </cell>
          <cell r="D771" t="str">
            <v>CASAS BAHIA - TRAVESSA CASALBUONO, 120 - SHOPPING CENTER NORTE - SPC7644</v>
          </cell>
          <cell r="E771" t="str">
            <v>CASAS BAHIA</v>
          </cell>
          <cell r="F771" t="str">
            <v>SHOPPING</v>
          </cell>
          <cell r="G771" t="str">
            <v>TRAVESSA CASALBUONO, 120</v>
          </cell>
          <cell r="H771" t="str">
            <v>G86</v>
          </cell>
          <cell r="I771" t="str">
            <v>512 GB</v>
          </cell>
        </row>
        <row r="772">
          <cell r="C772" t="str">
            <v>G86512_SPC8440</v>
          </cell>
          <cell r="D772" t="str">
            <v>MAGAZINE LUIZA - RUA AMAZONAS DA SILVA, 27 - ZONA COMERCIAL - SPC8440</v>
          </cell>
          <cell r="E772" t="str">
            <v>MAGAZINE LUIZA</v>
          </cell>
          <cell r="F772" t="str">
            <v>RUA</v>
          </cell>
          <cell r="G772" t="str">
            <v>RUA AMAZONAS DA SILVA, 27</v>
          </cell>
          <cell r="H772" t="str">
            <v>G86</v>
          </cell>
          <cell r="I772" t="str">
            <v>512 GB</v>
          </cell>
        </row>
        <row r="773">
          <cell r="C773" t="str">
            <v>G86512_SPC7607</v>
          </cell>
          <cell r="D773" t="str">
            <v>CASAS BAHIA - RODOVIA PRESIDENTE DUTRA KM 230, S/N - SHOPPING INTERNACIONAL GUARULHOS - SPC7607</v>
          </cell>
          <cell r="E773" t="str">
            <v>CASAS BAHIA</v>
          </cell>
          <cell r="F773" t="str">
            <v>SHOPPING</v>
          </cell>
          <cell r="G773" t="str">
            <v>RODOVIA PRESIDENTE DUTRA KM 230, S/N</v>
          </cell>
          <cell r="H773" t="str">
            <v>G86</v>
          </cell>
          <cell r="I773" t="str">
            <v>512 GB</v>
          </cell>
        </row>
        <row r="774">
          <cell r="C774" t="str">
            <v>G86512_SPC11273</v>
          </cell>
          <cell r="D774" t="str">
            <v>CASAS BAHIA - AVENIDA JUSCELINO KUBITSCHEK DE OLIVEIRA, 5308 - SHOPPING BONSUCESSO - SPC11273</v>
          </cell>
          <cell r="E774" t="str">
            <v>CASAS BAHIA</v>
          </cell>
          <cell r="F774" t="str">
            <v>SHOPPING</v>
          </cell>
          <cell r="G774" t="str">
            <v>AVENIDA JUSCELINO KUBITSCHEK DE OLIVEIRA, 5308</v>
          </cell>
          <cell r="H774" t="str">
            <v>G86</v>
          </cell>
          <cell r="I774" t="str">
            <v>512 GB</v>
          </cell>
        </row>
        <row r="775">
          <cell r="C775" t="str">
            <v>G86512_SPC11005</v>
          </cell>
          <cell r="D775" t="str">
            <v>CASAS BAHIA - AVENIDA INDUSTRIAL, 600 - SHOPPING GRAND PLAZA - SPC11005</v>
          </cell>
          <cell r="E775" t="str">
            <v>CASAS BAHIA</v>
          </cell>
          <cell r="F775" t="str">
            <v>SHOPPING</v>
          </cell>
          <cell r="G775" t="str">
            <v>AVENIDA INDUSTRIAL, 600</v>
          </cell>
          <cell r="H775" t="str">
            <v>G86</v>
          </cell>
          <cell r="I775" t="str">
            <v>512 GB</v>
          </cell>
        </row>
        <row r="776">
          <cell r="C776" t="str">
            <v>G86512_SPC8715</v>
          </cell>
          <cell r="D776" t="str">
            <v>CASAS BAHIA - AVENIDA GOVERNADOR MARIO COVAS JUNIOR, 1 - SHOPPING MAUA - SPC8715</v>
          </cell>
          <cell r="E776" t="str">
            <v>CASAS BAHIA</v>
          </cell>
          <cell r="F776" t="str">
            <v>SHOPPING</v>
          </cell>
          <cell r="G776" t="str">
            <v>AVENIDA GOVERNADOR MARIO COVAS JUNIOR, 1</v>
          </cell>
          <cell r="H776" t="str">
            <v>G86</v>
          </cell>
          <cell r="I776" t="str">
            <v>512 GB</v>
          </cell>
        </row>
        <row r="777">
          <cell r="C777" t="str">
            <v>G86512_SPC11374</v>
          </cell>
          <cell r="D777" t="str">
            <v>CASAS BAHIA - AVENIDA PEREIRA BARRETO, 42 - SHOPPING ABC - SPC11374</v>
          </cell>
          <cell r="E777" t="str">
            <v>CASAS BAHIA</v>
          </cell>
          <cell r="F777" t="str">
            <v>SHOPPING</v>
          </cell>
          <cell r="G777" t="str">
            <v>AVENIDA PEREIRA BARRETO, 42</v>
          </cell>
          <cell r="H777" t="str">
            <v>G86</v>
          </cell>
          <cell r="I777" t="str">
            <v>512 GB</v>
          </cell>
        </row>
        <row r="778">
          <cell r="C778" t="str">
            <v>G86512_SPC6700</v>
          </cell>
          <cell r="D778" t="str">
            <v>CASAS BAHIA - RUA MARECHAL DEODORO, 987 - ZONA COMERCIAL - SPC6700</v>
          </cell>
          <cell r="E778" t="str">
            <v>CASAS BAHIA</v>
          </cell>
          <cell r="F778" t="str">
            <v>RUA</v>
          </cell>
          <cell r="G778" t="str">
            <v>RUA MARECHAL DEODORO, 987</v>
          </cell>
          <cell r="H778" t="str">
            <v>G86</v>
          </cell>
          <cell r="I778" t="str">
            <v>512 GB</v>
          </cell>
        </row>
        <row r="779">
          <cell r="C779" t="str">
            <v>G86512_SPC7069</v>
          </cell>
          <cell r="D779" t="str">
            <v>CASAS BAHIA - RUA DOMINGOS DE MORAIS, 2564 - SHOPPING METRO SANTA CRUZ - SPC7069</v>
          </cell>
          <cell r="E779" t="str">
            <v>CASAS BAHIA</v>
          </cell>
          <cell r="F779" t="str">
            <v>SHOPPING</v>
          </cell>
          <cell r="G779" t="str">
            <v>RUA DOMINGOS DE MORAIS, 2564</v>
          </cell>
          <cell r="H779" t="str">
            <v>G86</v>
          </cell>
          <cell r="I779" t="str">
            <v>512 GB</v>
          </cell>
        </row>
        <row r="780">
          <cell r="C780" t="str">
            <v>G86512_SPC6505</v>
          </cell>
          <cell r="D780" t="str">
            <v>CASAS BAHIA - RUA TEODORO SAMPAIO, 2522 - ZONA COMERCIAL - SPC6505</v>
          </cell>
          <cell r="E780" t="str">
            <v>CASAS BAHIA</v>
          </cell>
          <cell r="F780" t="str">
            <v>RUA</v>
          </cell>
          <cell r="G780" t="str">
            <v>RUA TEODORO SAMPAIO, 2522</v>
          </cell>
          <cell r="H780" t="str">
            <v>G86</v>
          </cell>
          <cell r="I780" t="str">
            <v>512 GB</v>
          </cell>
        </row>
        <row r="781">
          <cell r="C781" t="str">
            <v>G86512_SPC234770</v>
          </cell>
          <cell r="D781" t="str">
            <v>CASAS BAHIA - ESTRADA DA COLINA, 1048 - SPC234770</v>
          </cell>
          <cell r="E781" t="str">
            <v>CASAS BAHIA</v>
          </cell>
          <cell r="F781" t="str">
            <v>RUA</v>
          </cell>
          <cell r="G781" t="str">
            <v>ESTRADA DA COLINA, 1048</v>
          </cell>
          <cell r="H781" t="str">
            <v>G86</v>
          </cell>
          <cell r="I781" t="str">
            <v>512 GB</v>
          </cell>
        </row>
        <row r="782">
          <cell r="C782" t="str">
            <v>G86256_SPC7613</v>
          </cell>
          <cell r="D782" t="str">
            <v>CASAS BAHIA - AVENIDA INTERLAGOS, 2255 - SHOPPING INTERLAGOS - SPC7613</v>
          </cell>
          <cell r="E782" t="str">
            <v>CASAS BAHIA</v>
          </cell>
          <cell r="F782" t="str">
            <v>SHOPPING</v>
          </cell>
          <cell r="G782" t="str">
            <v>AVENIDA INTERLAGOS, 2255</v>
          </cell>
          <cell r="H782" t="str">
            <v>G86</v>
          </cell>
          <cell r="I782" t="str">
            <v>256 GB</v>
          </cell>
        </row>
        <row r="783">
          <cell r="C783" t="str">
            <v>G86256_SPC7612</v>
          </cell>
          <cell r="D783" t="str">
            <v>PONTO FRIO - AVENIDA INTERLAGOS, 2255 - SHOPPING INTERLAGOS - SPC7612</v>
          </cell>
          <cell r="E783" t="str">
            <v xml:space="preserve">PONTO FRIO </v>
          </cell>
          <cell r="F783" t="str">
            <v>SHOPPING</v>
          </cell>
          <cell r="G783" t="str">
            <v>AVENIDA INTERLAGOS, 2255</v>
          </cell>
          <cell r="H783" t="str">
            <v>G86</v>
          </cell>
          <cell r="I783" t="str">
            <v>256 GB</v>
          </cell>
        </row>
        <row r="784">
          <cell r="C784" t="str">
            <v>G86256_SPC7614</v>
          </cell>
          <cell r="D784" t="str">
            <v>LOJAS AMERICANAS - AVENIDA INTERLAGOS, 2255 - SHOPPING INTERLAGOS - SPC7614</v>
          </cell>
          <cell r="E784" t="str">
            <v>LOJAS AMERICANAS</v>
          </cell>
          <cell r="F784" t="str">
            <v>SHOPPING</v>
          </cell>
          <cell r="G784" t="str">
            <v>AVENIDA INTERLAGOS, 2255</v>
          </cell>
          <cell r="H784" t="str">
            <v>G86</v>
          </cell>
          <cell r="I784" t="str">
            <v>256 GB</v>
          </cell>
        </row>
        <row r="785">
          <cell r="C785" t="str">
            <v>G86256_SPC11232</v>
          </cell>
          <cell r="D785" t="str">
            <v>CASAS BAHIA - PRACA FLORIANO PEIXOTO, 38 - ZONA COMERCIAL - SPC11232</v>
          </cell>
          <cell r="E785" t="str">
            <v>CASAS BAHIA</v>
          </cell>
          <cell r="F785" t="str">
            <v>RUA</v>
          </cell>
          <cell r="G785" t="str">
            <v>PRACA FLORIANO PEIXOTO, 38</v>
          </cell>
          <cell r="H785" t="str">
            <v>G86</v>
          </cell>
          <cell r="I785" t="str">
            <v>256 GB</v>
          </cell>
        </row>
        <row r="786">
          <cell r="C786" t="str">
            <v>G86256_SPC287350</v>
          </cell>
          <cell r="D786" t="str">
            <v>CASAS BAHIA - AVENIDA NACOES UNIDAS, 12995 - SPC287350</v>
          </cell>
          <cell r="E786" t="str">
            <v>CASAS BAHIA</v>
          </cell>
          <cell r="F786" t="str">
            <v>RUA</v>
          </cell>
          <cell r="G786" t="str">
            <v>AVENIDA NACOES UNIDAS, 12995</v>
          </cell>
          <cell r="H786" t="str">
            <v>G86</v>
          </cell>
          <cell r="I786" t="str">
            <v>256 GB</v>
          </cell>
        </row>
        <row r="787">
          <cell r="C787" t="str">
            <v>G86256_SPC252260</v>
          </cell>
          <cell r="D787" t="str">
            <v>CASAS BAHIA - AVENIDA EMBAIXADOR MACEDO SOARES, 9175 - SPC252260</v>
          </cell>
          <cell r="E787" t="str">
            <v>CASAS BAHIA</v>
          </cell>
          <cell r="F787" t="str">
            <v>RUA</v>
          </cell>
          <cell r="G787" t="str">
            <v>AVENIDA EMBAIXADOR MACEDO SOARES, 9175</v>
          </cell>
          <cell r="H787" t="str">
            <v>G86</v>
          </cell>
          <cell r="I787" t="str">
            <v>256 GB</v>
          </cell>
        </row>
        <row r="788">
          <cell r="C788" t="str">
            <v>G86256_SPC22892</v>
          </cell>
          <cell r="D788" t="str">
            <v>CASAS BAHIA - AVENIDA ARICANDUVA, 5555 (LOJA 2) - SHOPPING ARICANDUVA - SPC22892</v>
          </cell>
          <cell r="E788" t="str">
            <v>CASAS BAHIA</v>
          </cell>
          <cell r="F788" t="str">
            <v>SHOPPING</v>
          </cell>
          <cell r="G788" t="str">
            <v>AVENIDA ARICANDUVA, 5555 (LOJA 2)</v>
          </cell>
          <cell r="H788" t="str">
            <v>G86</v>
          </cell>
          <cell r="I788" t="str">
            <v>256 GB</v>
          </cell>
        </row>
        <row r="789">
          <cell r="C789" t="str">
            <v>G86256_SPC7610</v>
          </cell>
          <cell r="D789" t="str">
            <v>CASAS BAHIA - AVENIDA ARICANDUVA, 5555 (LOJA 1) - SHOPPING ARICANDUVA - SPC7610</v>
          </cell>
          <cell r="E789" t="str">
            <v>CASAS BAHIA</v>
          </cell>
          <cell r="F789" t="str">
            <v>SHOPPING</v>
          </cell>
          <cell r="G789" t="str">
            <v>AVENIDA ARICANDUVA, 5555 (LOJA 1)</v>
          </cell>
          <cell r="H789" t="str">
            <v>G86</v>
          </cell>
          <cell r="I789" t="str">
            <v>256 GB</v>
          </cell>
        </row>
        <row r="790">
          <cell r="C790" t="str">
            <v>G86256_SPC8803</v>
          </cell>
          <cell r="D790" t="str">
            <v>PONTO FRIO - AVENIDA ARICANDUVA, 5555 (LOJA 2) - SHOPPING ARICANDUVA - SPC8803</v>
          </cell>
          <cell r="E790" t="str">
            <v xml:space="preserve">PONTO FRIO </v>
          </cell>
          <cell r="F790" t="str">
            <v>SHOPPING</v>
          </cell>
          <cell r="G790" t="str">
            <v>AVENIDA ARICANDUVA, 5555 (LOJA 2)</v>
          </cell>
          <cell r="H790" t="str">
            <v>G86</v>
          </cell>
          <cell r="I790" t="str">
            <v>256 GB</v>
          </cell>
        </row>
        <row r="791">
          <cell r="C791" t="str">
            <v>G86256_SPC6374</v>
          </cell>
          <cell r="D791" t="str">
            <v>MAGAZINE LUIZA - AVENIDA ARICANDUVA, 5555 - SHOPPING ARICANDUVA - SPC6374</v>
          </cell>
          <cell r="E791" t="str">
            <v>MAGAZINE LUIZA</v>
          </cell>
          <cell r="F791" t="str">
            <v>SHOPPING</v>
          </cell>
          <cell r="G791" t="str">
            <v>AVENIDA ARICANDUVA, 5555</v>
          </cell>
          <cell r="H791" t="str">
            <v>G86</v>
          </cell>
          <cell r="I791" t="str">
            <v>256 GB</v>
          </cell>
        </row>
        <row r="792">
          <cell r="C792" t="str">
            <v>G86256_SPC7759</v>
          </cell>
          <cell r="D792" t="str">
            <v>CASAS BAHIA - AVENIDA JOSE PINHEIRO BORGES, S/N - SHOPPING METRO ITAQUERA - SPC7759</v>
          </cell>
          <cell r="E792" t="str">
            <v>CASAS BAHIA</v>
          </cell>
          <cell r="F792" t="str">
            <v>SHOPPING</v>
          </cell>
          <cell r="G792" t="str">
            <v>AVENIDA JOSE PINHEIRO BORGES, S/N</v>
          </cell>
          <cell r="H792" t="str">
            <v>G86</v>
          </cell>
          <cell r="I792" t="str">
            <v>256 GB</v>
          </cell>
        </row>
        <row r="793">
          <cell r="C793" t="str">
            <v>G86256_SPC9927</v>
          </cell>
          <cell r="D793" t="str">
            <v>CASAS BAHIA - RODOVIA REGIS BITTENCOURT KM 271, 2643 - SHOPPING TABOAO DA SERRA - SPC9927</v>
          </cell>
          <cell r="E793" t="str">
            <v>CASAS BAHIA</v>
          </cell>
          <cell r="F793" t="str">
            <v>SHOPPING</v>
          </cell>
          <cell r="G793" t="str">
            <v>RODOVIA REGIS BITTENCOURT KM 271, 2643</v>
          </cell>
          <cell r="H793" t="str">
            <v>G86</v>
          </cell>
          <cell r="I793" t="str">
            <v>256 GB</v>
          </cell>
        </row>
        <row r="794">
          <cell r="C794" t="str">
            <v>G86256_SPC10966</v>
          </cell>
          <cell r="D794" t="str">
            <v>CASAS BAHIA - ESTRADA DO CAMPO LIMPO, 459 - SHOPPING CAMPO LIMPO - SPC10966</v>
          </cell>
          <cell r="E794" t="str">
            <v>CASAS BAHIA</v>
          </cell>
          <cell r="F794" t="str">
            <v>SHOPPING</v>
          </cell>
          <cell r="G794" t="str">
            <v>ESTRADA DO CAMPO LIMPO, 459</v>
          </cell>
          <cell r="H794" t="str">
            <v>G86</v>
          </cell>
          <cell r="I794" t="str">
            <v>256 GB</v>
          </cell>
        </row>
        <row r="795">
          <cell r="C795" t="str">
            <v>G86256_SPC11008</v>
          </cell>
          <cell r="D795" t="str">
            <v>CASAS BAHIA - LARGO 13 DE MAIO, 308 - ZONA COMERCIAL - SPC11008</v>
          </cell>
          <cell r="E795" t="str">
            <v>CASAS BAHIA</v>
          </cell>
          <cell r="F795" t="str">
            <v>RUA</v>
          </cell>
          <cell r="G795" t="str">
            <v>LARGO 13 DE MAIO, 308</v>
          </cell>
          <cell r="H795" t="str">
            <v>G86</v>
          </cell>
          <cell r="I795" t="str">
            <v>256 GB</v>
          </cell>
        </row>
        <row r="796">
          <cell r="C796" t="str">
            <v>G86256_SPC7621</v>
          </cell>
          <cell r="D796" t="str">
            <v>PONTO FRIO - RUA CAPITAO TIAGO LUZ, 146 - ZONA COMERCIAL - SPC7621</v>
          </cell>
          <cell r="E796" t="str">
            <v xml:space="preserve">PONTO FRIO </v>
          </cell>
          <cell r="F796" t="str">
            <v>RUA</v>
          </cell>
          <cell r="G796" t="str">
            <v>RUA CAPITAO TIAGO LUZ, 146</v>
          </cell>
          <cell r="H796" t="str">
            <v>G86</v>
          </cell>
          <cell r="I796" t="str">
            <v>256 GB</v>
          </cell>
        </row>
        <row r="797">
          <cell r="C797" t="str">
            <v>G86256_SPC6352</v>
          </cell>
          <cell r="D797" t="str">
            <v>CASAS BAHIA - RUA TENENTE AVELAR PIRES DE AZEVEDO, 81 - SHOPPING OSASCO PLAZA - SPC6352</v>
          </cell>
          <cell r="E797" t="str">
            <v>CASAS BAHIA</v>
          </cell>
          <cell r="F797" t="str">
            <v>SHOPPING</v>
          </cell>
          <cell r="G797" t="str">
            <v>RUA TENENTE AVELAR PIRES DE AZEVEDO, 81</v>
          </cell>
          <cell r="H797" t="str">
            <v>G86</v>
          </cell>
          <cell r="I797" t="str">
            <v>256 GB</v>
          </cell>
        </row>
        <row r="798">
          <cell r="C798" t="str">
            <v>G86256_SPC6445</v>
          </cell>
          <cell r="D798" t="str">
            <v>CASAS BAHIA - AVENIDA PIRACEMA, 669 - SHOPPING TAMBORE - SPC6445</v>
          </cell>
          <cell r="E798" t="str">
            <v>CASAS BAHIA</v>
          </cell>
          <cell r="F798" t="str">
            <v>SHOPPING</v>
          </cell>
          <cell r="G798" t="str">
            <v>AVENIDA PIRACEMA, 669</v>
          </cell>
          <cell r="H798" t="str">
            <v>G86</v>
          </cell>
          <cell r="I798" t="str">
            <v>256 GB</v>
          </cell>
        </row>
        <row r="799">
          <cell r="C799" t="str">
            <v>G86256_SPC6397</v>
          </cell>
          <cell r="D799" t="str">
            <v>CASAS BAHIA - AVENIDA DOS AUTONOMISTAS, 1400 - SHOPPING UNIAO - SPC6397</v>
          </cell>
          <cell r="E799" t="str">
            <v>CASAS BAHIA</v>
          </cell>
          <cell r="F799" t="str">
            <v>SHOPPING</v>
          </cell>
          <cell r="G799" t="str">
            <v>AVENIDA DOS AUTONOMISTAS, 1400</v>
          </cell>
          <cell r="H799" t="str">
            <v>G86</v>
          </cell>
          <cell r="I799" t="str">
            <v>256 GB</v>
          </cell>
        </row>
        <row r="800">
          <cell r="C800" t="str">
            <v>G86256_SPC11278</v>
          </cell>
          <cell r="D800" t="str">
            <v>PONTO FRIO - RUA ANTONIO AGU, 155 - ZONA COMERCIAL - SPC11278</v>
          </cell>
          <cell r="E800" t="str">
            <v xml:space="preserve">PONTO FRIO </v>
          </cell>
          <cell r="F800" t="str">
            <v>RUA</v>
          </cell>
          <cell r="G800" t="str">
            <v>RUA ANTONIO AGU, 155</v>
          </cell>
          <cell r="H800" t="str">
            <v>G86</v>
          </cell>
          <cell r="I800" t="str">
            <v>256 GB</v>
          </cell>
        </row>
        <row r="801">
          <cell r="C801" t="str">
            <v>G86256_SPC7644</v>
          </cell>
          <cell r="D801" t="str">
            <v>CASAS BAHIA - TRAVESSA CASALBUONO, 120 - SHOPPING CENTER NORTE - SPC7644</v>
          </cell>
          <cell r="E801" t="str">
            <v>CASAS BAHIA</v>
          </cell>
          <cell r="F801" t="str">
            <v>SHOPPING</v>
          </cell>
          <cell r="G801" t="str">
            <v>TRAVESSA CASALBUONO, 120</v>
          </cell>
          <cell r="H801" t="str">
            <v>G86</v>
          </cell>
          <cell r="I801" t="str">
            <v>256 GB</v>
          </cell>
        </row>
        <row r="802">
          <cell r="C802" t="str">
            <v>G86256_SPC8440</v>
          </cell>
          <cell r="D802" t="str">
            <v>MAGAZINE LUIZA - RUA AMAZONAS DA SILVA, 27 - ZONA COMERCIAL - SPC8440</v>
          </cell>
          <cell r="E802" t="str">
            <v>MAGAZINE LUIZA</v>
          </cell>
          <cell r="F802" t="str">
            <v>RUA</v>
          </cell>
          <cell r="G802" t="str">
            <v>RUA AMAZONAS DA SILVA, 27</v>
          </cell>
          <cell r="H802" t="str">
            <v>G86</v>
          </cell>
          <cell r="I802" t="str">
            <v>256 GB</v>
          </cell>
        </row>
        <row r="803">
          <cell r="C803" t="str">
            <v>G86256_SPC7607</v>
          </cell>
          <cell r="D803" t="str">
            <v>CASAS BAHIA - RODOVIA PRESIDENTE DUTRA KM 230, S/N - SHOPPING INTERNACIONAL GUARULHOS - SPC7607</v>
          </cell>
          <cell r="E803" t="str">
            <v>CASAS BAHIA</v>
          </cell>
          <cell r="F803" t="str">
            <v>SHOPPING</v>
          </cell>
          <cell r="G803" t="str">
            <v>RODOVIA PRESIDENTE DUTRA KM 230, S/N</v>
          </cell>
          <cell r="H803" t="str">
            <v>G86</v>
          </cell>
          <cell r="I803" t="str">
            <v>256 GB</v>
          </cell>
        </row>
        <row r="804">
          <cell r="C804" t="str">
            <v>G86256_SPC11273</v>
          </cell>
          <cell r="D804" t="str">
            <v>CASAS BAHIA - AVENIDA JUSCELINO KUBITSCHEK DE OLIVEIRA, 5308 - SHOPPING BONSUCESSO - SPC11273</v>
          </cell>
          <cell r="E804" t="str">
            <v>CASAS BAHIA</v>
          </cell>
          <cell r="F804" t="str">
            <v>SHOPPING</v>
          </cell>
          <cell r="G804" t="str">
            <v>AVENIDA JUSCELINO KUBITSCHEK DE OLIVEIRA, 5308</v>
          </cell>
          <cell r="H804" t="str">
            <v>G86</v>
          </cell>
          <cell r="I804" t="str">
            <v>256 GB</v>
          </cell>
        </row>
        <row r="805">
          <cell r="C805" t="str">
            <v>G86256_SPC11005</v>
          </cell>
          <cell r="D805" t="str">
            <v>CASAS BAHIA - AVENIDA INDUSTRIAL, 600 - SHOPPING GRAND PLAZA - SPC11005</v>
          </cell>
          <cell r="E805" t="str">
            <v>CASAS BAHIA</v>
          </cell>
          <cell r="F805" t="str">
            <v>SHOPPING</v>
          </cell>
          <cell r="G805" t="str">
            <v>AVENIDA INDUSTRIAL, 600</v>
          </cell>
          <cell r="H805" t="str">
            <v>G86</v>
          </cell>
          <cell r="I805" t="str">
            <v>256 GB</v>
          </cell>
        </row>
        <row r="806">
          <cell r="C806" t="str">
            <v>G86256_SPC8715</v>
          </cell>
          <cell r="D806" t="str">
            <v>CASAS BAHIA - AVENIDA GOVERNADOR MARIO COVAS JUNIOR, 1 - SHOPPING MAUA - SPC8715</v>
          </cell>
          <cell r="E806" t="str">
            <v>CASAS BAHIA</v>
          </cell>
          <cell r="F806" t="str">
            <v>SHOPPING</v>
          </cell>
          <cell r="G806" t="str">
            <v>AVENIDA GOVERNADOR MARIO COVAS JUNIOR, 1</v>
          </cell>
          <cell r="H806" t="str">
            <v>G86</v>
          </cell>
          <cell r="I806" t="str">
            <v>256 GB</v>
          </cell>
        </row>
        <row r="807">
          <cell r="C807" t="str">
            <v>G86256_SPC11374</v>
          </cell>
          <cell r="D807" t="str">
            <v>CASAS BAHIA - AVENIDA PEREIRA BARRETO, 42 - SHOPPING ABC - SPC11374</v>
          </cell>
          <cell r="E807" t="str">
            <v>CASAS BAHIA</v>
          </cell>
          <cell r="F807" t="str">
            <v>SHOPPING</v>
          </cell>
          <cell r="G807" t="str">
            <v>AVENIDA PEREIRA BARRETO, 42</v>
          </cell>
          <cell r="H807" t="str">
            <v>G86</v>
          </cell>
          <cell r="I807" t="str">
            <v>256 GB</v>
          </cell>
        </row>
        <row r="808">
          <cell r="C808" t="str">
            <v>G86256_SPC6700</v>
          </cell>
          <cell r="D808" t="str">
            <v>CASAS BAHIA - RUA MARECHAL DEODORO, 987 - ZONA COMERCIAL - SPC6700</v>
          </cell>
          <cell r="E808" t="str">
            <v>CASAS BAHIA</v>
          </cell>
          <cell r="F808" t="str">
            <v>RUA</v>
          </cell>
          <cell r="G808" t="str">
            <v>RUA MARECHAL DEODORO, 987</v>
          </cell>
          <cell r="H808" t="str">
            <v>G86</v>
          </cell>
          <cell r="I808" t="str">
            <v>256 GB</v>
          </cell>
        </row>
        <row r="809">
          <cell r="C809" t="str">
            <v>G86256_SPC7069</v>
          </cell>
          <cell r="D809" t="str">
            <v>CASAS BAHIA - RUA DOMINGOS DE MORAIS, 2564 - SHOPPING METRO SANTA CRUZ - SPC7069</v>
          </cell>
          <cell r="E809" t="str">
            <v>CASAS BAHIA</v>
          </cell>
          <cell r="F809" t="str">
            <v>SHOPPING</v>
          </cell>
          <cell r="G809" t="str">
            <v>RUA DOMINGOS DE MORAIS, 2564</v>
          </cell>
          <cell r="H809" t="str">
            <v>G86</v>
          </cell>
          <cell r="I809" t="str">
            <v>256 GB</v>
          </cell>
        </row>
        <row r="810">
          <cell r="C810" t="str">
            <v>G86256_SPC6505</v>
          </cell>
          <cell r="D810" t="str">
            <v>CASAS BAHIA - RUA TEODORO SAMPAIO, 2522 - ZONA COMERCIAL - SPC6505</v>
          </cell>
          <cell r="E810" t="str">
            <v>CASAS BAHIA</v>
          </cell>
          <cell r="F810" t="str">
            <v>RUA</v>
          </cell>
          <cell r="G810" t="str">
            <v>RUA TEODORO SAMPAIO, 2522</v>
          </cell>
          <cell r="H810" t="str">
            <v>G86</v>
          </cell>
          <cell r="I810" t="str">
            <v>256 GB</v>
          </cell>
        </row>
        <row r="811">
          <cell r="C811" t="str">
            <v>G86256_SPC234770</v>
          </cell>
          <cell r="D811" t="str">
            <v>CASAS BAHIA - ESTRADA DA COLINA, 1048 - SPC234770</v>
          </cell>
          <cell r="E811" t="str">
            <v>CASAS BAHIA</v>
          </cell>
          <cell r="F811" t="str">
            <v>RUA</v>
          </cell>
          <cell r="G811" t="str">
            <v>ESTRADA DA COLINA, 1048</v>
          </cell>
          <cell r="H811" t="str">
            <v>G86</v>
          </cell>
          <cell r="I811" t="str">
            <v>256 GB</v>
          </cell>
        </row>
        <row r="812">
          <cell r="C812" t="str">
            <v>G75256_SPC7613</v>
          </cell>
          <cell r="D812" t="str">
            <v>CASAS BAHIA - AVENIDA INTERLAGOS, 2255 - SHOPPING INTERLAGOS - SPC7613</v>
          </cell>
          <cell r="E812" t="str">
            <v>CASAS BAHIA</v>
          </cell>
          <cell r="F812" t="str">
            <v>SHOPPING</v>
          </cell>
          <cell r="G812" t="str">
            <v>AVENIDA INTERLAGOS, 2255</v>
          </cell>
          <cell r="H812" t="str">
            <v>G75</v>
          </cell>
          <cell r="I812" t="str">
            <v>256 GB</v>
          </cell>
        </row>
        <row r="813">
          <cell r="C813" t="str">
            <v>G75256_SPC7612</v>
          </cell>
          <cell r="D813" t="str">
            <v>PONTO FRIO - AVENIDA INTERLAGOS, 2255 - SHOPPING INTERLAGOS - SPC7612</v>
          </cell>
          <cell r="E813" t="str">
            <v xml:space="preserve">PONTO FRIO </v>
          </cell>
          <cell r="F813" t="str">
            <v>SHOPPING</v>
          </cell>
          <cell r="G813" t="str">
            <v>AVENIDA INTERLAGOS, 2255</v>
          </cell>
          <cell r="H813" t="str">
            <v>G75</v>
          </cell>
          <cell r="I813" t="str">
            <v>256 GB</v>
          </cell>
        </row>
        <row r="814">
          <cell r="C814" t="str">
            <v>G75256_SPC7614</v>
          </cell>
          <cell r="D814" t="str">
            <v>LOJAS AMERICANAS - AVENIDA INTERLAGOS, 2255 - SHOPPING INTERLAGOS - SPC7614</v>
          </cell>
          <cell r="E814" t="str">
            <v>LOJAS AMERICANAS</v>
          </cell>
          <cell r="F814" t="str">
            <v>SHOPPING</v>
          </cell>
          <cell r="G814" t="str">
            <v>AVENIDA INTERLAGOS, 2255</v>
          </cell>
          <cell r="H814" t="str">
            <v>G75</v>
          </cell>
          <cell r="I814" t="str">
            <v>256 GB</v>
          </cell>
        </row>
        <row r="815">
          <cell r="C815" t="str">
            <v>G75256_SPC11232</v>
          </cell>
          <cell r="D815" t="str">
            <v>CASAS BAHIA - PRACA FLORIANO PEIXOTO, 38 - ZONA COMERCIAL - SPC11232</v>
          </cell>
          <cell r="E815" t="str">
            <v>CASAS BAHIA</v>
          </cell>
          <cell r="F815" t="str">
            <v>RUA</v>
          </cell>
          <cell r="G815" t="str">
            <v>PRACA FLORIANO PEIXOTO, 38</v>
          </cell>
          <cell r="H815" t="str">
            <v>G75</v>
          </cell>
          <cell r="I815" t="str">
            <v>256 GB</v>
          </cell>
        </row>
        <row r="816">
          <cell r="C816" t="str">
            <v>G75256_SPC287350</v>
          </cell>
          <cell r="D816" t="str">
            <v>CASAS BAHIA - AVENIDA NACOES UNIDAS, 12995 - SPC287350</v>
          </cell>
          <cell r="E816" t="str">
            <v>CASAS BAHIA</v>
          </cell>
          <cell r="F816" t="str">
            <v>RUA</v>
          </cell>
          <cell r="G816" t="str">
            <v>AVENIDA NACOES UNIDAS, 12995</v>
          </cell>
          <cell r="H816" t="str">
            <v>G75</v>
          </cell>
          <cell r="I816" t="str">
            <v>256 GB</v>
          </cell>
        </row>
        <row r="817">
          <cell r="C817" t="str">
            <v>G75256_SPC252260</v>
          </cell>
          <cell r="D817" t="str">
            <v>CASAS BAHIA - AVENIDA EMBAIXADOR MACEDO SOARES, 9175 - SPC252260</v>
          </cell>
          <cell r="E817" t="str">
            <v>CASAS BAHIA</v>
          </cell>
          <cell r="F817" t="str">
            <v>RUA</v>
          </cell>
          <cell r="G817" t="str">
            <v>AVENIDA EMBAIXADOR MACEDO SOARES, 9175</v>
          </cell>
          <cell r="H817" t="str">
            <v>G75</v>
          </cell>
          <cell r="I817" t="str">
            <v>256 GB</v>
          </cell>
        </row>
        <row r="818">
          <cell r="C818" t="str">
            <v>G75256_SPC22892</v>
          </cell>
          <cell r="D818" t="str">
            <v>CASAS BAHIA - AVENIDA ARICANDUVA, 5555 (LOJA 2) - SHOPPING ARICANDUVA - SPC22892</v>
          </cell>
          <cell r="E818" t="str">
            <v>CASAS BAHIA</v>
          </cell>
          <cell r="F818" t="str">
            <v>SHOPPING</v>
          </cell>
          <cell r="G818" t="str">
            <v>AVENIDA ARICANDUVA, 5555 (LOJA 2)</v>
          </cell>
          <cell r="H818" t="str">
            <v>G75</v>
          </cell>
          <cell r="I818" t="str">
            <v>256 GB</v>
          </cell>
        </row>
        <row r="819">
          <cell r="C819" t="str">
            <v>G75256_SPC7610</v>
          </cell>
          <cell r="D819" t="str">
            <v>CASAS BAHIA - AVENIDA ARICANDUVA, 5555 (LOJA 1) - SHOPPING ARICANDUVA - SPC7610</v>
          </cell>
          <cell r="E819" t="str">
            <v>CASAS BAHIA</v>
          </cell>
          <cell r="F819" t="str">
            <v>SHOPPING</v>
          </cell>
          <cell r="G819" t="str">
            <v>AVENIDA ARICANDUVA, 5555 (LOJA 1)</v>
          </cell>
          <cell r="H819" t="str">
            <v>G75</v>
          </cell>
          <cell r="I819" t="str">
            <v>256 GB</v>
          </cell>
        </row>
        <row r="820">
          <cell r="C820" t="str">
            <v>G75256_SPC8803</v>
          </cell>
          <cell r="D820" t="str">
            <v>PONTO FRIO - AVENIDA ARICANDUVA, 5555 (LOJA 2) - SHOPPING ARICANDUVA - SPC8803</v>
          </cell>
          <cell r="E820" t="str">
            <v xml:space="preserve">PONTO FRIO </v>
          </cell>
          <cell r="F820" t="str">
            <v>SHOPPING</v>
          </cell>
          <cell r="G820" t="str">
            <v>AVENIDA ARICANDUVA, 5555 (LOJA 2)</v>
          </cell>
          <cell r="H820" t="str">
            <v>G75</v>
          </cell>
          <cell r="I820" t="str">
            <v>256 GB</v>
          </cell>
        </row>
        <row r="821">
          <cell r="C821" t="str">
            <v>G75256_SPC6374</v>
          </cell>
          <cell r="D821" t="str">
            <v>MAGAZINE LUIZA - AVENIDA ARICANDUVA, 5555 - SHOPPING ARICANDUVA - SPC6374</v>
          </cell>
          <cell r="E821" t="str">
            <v>MAGAZINE LUIZA</v>
          </cell>
          <cell r="F821" t="str">
            <v>SHOPPING</v>
          </cell>
          <cell r="G821" t="str">
            <v>AVENIDA ARICANDUVA, 5555</v>
          </cell>
          <cell r="H821" t="str">
            <v>G75</v>
          </cell>
          <cell r="I821" t="str">
            <v>256 GB</v>
          </cell>
        </row>
        <row r="822">
          <cell r="C822" t="str">
            <v>G75256_SPC7759</v>
          </cell>
          <cell r="D822" t="str">
            <v>CASAS BAHIA - AVENIDA JOSE PINHEIRO BORGES, S/N - SHOPPING METRO ITAQUERA - SPC7759</v>
          </cell>
          <cell r="E822" t="str">
            <v>CASAS BAHIA</v>
          </cell>
          <cell r="F822" t="str">
            <v>SHOPPING</v>
          </cell>
          <cell r="G822" t="str">
            <v>AVENIDA JOSE PINHEIRO BORGES, S/N</v>
          </cell>
          <cell r="H822" t="str">
            <v>G75</v>
          </cell>
          <cell r="I822" t="str">
            <v>256 GB</v>
          </cell>
        </row>
        <row r="823">
          <cell r="C823" t="str">
            <v>G75256_SPC9927</v>
          </cell>
          <cell r="D823" t="str">
            <v>CASAS BAHIA - RODOVIA REGIS BITTENCOURT KM 271, 2643 - SHOPPING TABOAO DA SERRA - SPC9927</v>
          </cell>
          <cell r="E823" t="str">
            <v>CASAS BAHIA</v>
          </cell>
          <cell r="F823" t="str">
            <v>SHOPPING</v>
          </cell>
          <cell r="G823" t="str">
            <v>RODOVIA REGIS BITTENCOURT KM 271, 2643</v>
          </cell>
          <cell r="H823" t="str">
            <v>G75</v>
          </cell>
          <cell r="I823" t="str">
            <v>256 GB</v>
          </cell>
        </row>
        <row r="824">
          <cell r="C824" t="str">
            <v>G75256_SPC10966</v>
          </cell>
          <cell r="D824" t="str">
            <v>CASAS BAHIA - ESTRADA DO CAMPO LIMPO, 459 - SHOPPING CAMPO LIMPO - SPC10966</v>
          </cell>
          <cell r="E824" t="str">
            <v>CASAS BAHIA</v>
          </cell>
          <cell r="F824" t="str">
            <v>SHOPPING</v>
          </cell>
          <cell r="G824" t="str">
            <v>ESTRADA DO CAMPO LIMPO, 459</v>
          </cell>
          <cell r="H824" t="str">
            <v>G75</v>
          </cell>
          <cell r="I824" t="str">
            <v>256 GB</v>
          </cell>
        </row>
        <row r="825">
          <cell r="C825" t="str">
            <v>G75256_SPC11008</v>
          </cell>
          <cell r="D825" t="str">
            <v>CASAS BAHIA - LARGO 13 DE MAIO, 308 - ZONA COMERCIAL - SPC11008</v>
          </cell>
          <cell r="E825" t="str">
            <v>CASAS BAHIA</v>
          </cell>
          <cell r="F825" t="str">
            <v>RUA</v>
          </cell>
          <cell r="G825" t="str">
            <v>LARGO 13 DE MAIO, 308</v>
          </cell>
          <cell r="H825" t="str">
            <v>G75</v>
          </cell>
          <cell r="I825" t="str">
            <v>256 GB</v>
          </cell>
        </row>
        <row r="826">
          <cell r="C826" t="str">
            <v>G75256_SPC7621</v>
          </cell>
          <cell r="D826" t="str">
            <v>PONTO FRIO - RUA CAPITAO TIAGO LUZ, 146 - ZONA COMERCIAL - SPC7621</v>
          </cell>
          <cell r="E826" t="str">
            <v xml:space="preserve">PONTO FRIO </v>
          </cell>
          <cell r="F826" t="str">
            <v>RUA</v>
          </cell>
          <cell r="G826" t="str">
            <v>RUA CAPITAO TIAGO LUZ, 146</v>
          </cell>
          <cell r="H826" t="str">
            <v>G75</v>
          </cell>
          <cell r="I826" t="str">
            <v>256 GB</v>
          </cell>
        </row>
        <row r="827">
          <cell r="C827" t="str">
            <v>G75256_SPC6352</v>
          </cell>
          <cell r="D827" t="str">
            <v>CASAS BAHIA - RUA TENENTE AVELAR PIRES DE AZEVEDO, 81 - SHOPPING OSASCO PLAZA - SPC6352</v>
          </cell>
          <cell r="E827" t="str">
            <v>CASAS BAHIA</v>
          </cell>
          <cell r="F827" t="str">
            <v>SHOPPING</v>
          </cell>
          <cell r="G827" t="str">
            <v>RUA TENENTE AVELAR PIRES DE AZEVEDO, 81</v>
          </cell>
          <cell r="H827" t="str">
            <v>G75</v>
          </cell>
          <cell r="I827" t="str">
            <v>256 GB</v>
          </cell>
        </row>
        <row r="828">
          <cell r="C828" t="str">
            <v>G75256_SPC6445</v>
          </cell>
          <cell r="D828" t="str">
            <v>CASAS BAHIA - AVENIDA PIRACEMA, 669 - SHOPPING TAMBORE - SPC6445</v>
          </cell>
          <cell r="E828" t="str">
            <v>CASAS BAHIA</v>
          </cell>
          <cell r="F828" t="str">
            <v>SHOPPING</v>
          </cell>
          <cell r="G828" t="str">
            <v>AVENIDA PIRACEMA, 669</v>
          </cell>
          <cell r="H828" t="str">
            <v>G75</v>
          </cell>
          <cell r="I828" t="str">
            <v>256 GB</v>
          </cell>
        </row>
        <row r="829">
          <cell r="C829" t="str">
            <v>G75256_SPC6397</v>
          </cell>
          <cell r="D829" t="str">
            <v>CASAS BAHIA - AVENIDA DOS AUTONOMISTAS, 1400 - SHOPPING UNIAO - SPC6397</v>
          </cell>
          <cell r="E829" t="str">
            <v>CASAS BAHIA</v>
          </cell>
          <cell r="F829" t="str">
            <v>SHOPPING</v>
          </cell>
          <cell r="G829" t="str">
            <v>AVENIDA DOS AUTONOMISTAS, 1400</v>
          </cell>
          <cell r="H829" t="str">
            <v>G75</v>
          </cell>
          <cell r="I829" t="str">
            <v>256 GB</v>
          </cell>
        </row>
        <row r="830">
          <cell r="C830" t="str">
            <v>G75256_SPC11278</v>
          </cell>
          <cell r="D830" t="str">
            <v>PONTO FRIO - RUA ANTONIO AGU, 155 - ZONA COMERCIAL - SPC11278</v>
          </cell>
          <cell r="E830" t="str">
            <v xml:space="preserve">PONTO FRIO </v>
          </cell>
          <cell r="F830" t="str">
            <v>RUA</v>
          </cell>
          <cell r="G830" t="str">
            <v>RUA ANTONIO AGU, 155</v>
          </cell>
          <cell r="H830" t="str">
            <v>G75</v>
          </cell>
          <cell r="I830" t="str">
            <v>256 GB</v>
          </cell>
        </row>
        <row r="831">
          <cell r="C831" t="str">
            <v>G75256_SPC7644</v>
          </cell>
          <cell r="D831" t="str">
            <v>CASAS BAHIA - TRAVESSA CASALBUONO, 120 - SHOPPING CENTER NORTE - SPC7644</v>
          </cell>
          <cell r="E831" t="str">
            <v>CASAS BAHIA</v>
          </cell>
          <cell r="F831" t="str">
            <v>SHOPPING</v>
          </cell>
          <cell r="G831" t="str">
            <v>TRAVESSA CASALBUONO, 120</v>
          </cell>
          <cell r="H831" t="str">
            <v>G75</v>
          </cell>
          <cell r="I831" t="str">
            <v>256 GB</v>
          </cell>
        </row>
        <row r="832">
          <cell r="C832" t="str">
            <v>G75256_SPC8440</v>
          </cell>
          <cell r="D832" t="str">
            <v>MAGAZINE LUIZA - RUA AMAZONAS DA SILVA, 27 - ZONA COMERCIAL - SPC8440</v>
          </cell>
          <cell r="E832" t="str">
            <v>MAGAZINE LUIZA</v>
          </cell>
          <cell r="F832" t="str">
            <v>RUA</v>
          </cell>
          <cell r="G832" t="str">
            <v>RUA AMAZONAS DA SILVA, 27</v>
          </cell>
          <cell r="H832" t="str">
            <v>G75</v>
          </cell>
          <cell r="I832" t="str">
            <v>256 GB</v>
          </cell>
        </row>
        <row r="833">
          <cell r="C833" t="str">
            <v>G75256_SPC7607</v>
          </cell>
          <cell r="D833" t="str">
            <v>CASAS BAHIA - RODOVIA PRESIDENTE DUTRA KM 230, S/N - SHOPPING INTERNACIONAL GUARULHOS - SPC7607</v>
          </cell>
          <cell r="E833" t="str">
            <v>CASAS BAHIA</v>
          </cell>
          <cell r="F833" t="str">
            <v>SHOPPING</v>
          </cell>
          <cell r="G833" t="str">
            <v>RODOVIA PRESIDENTE DUTRA KM 230, S/N</v>
          </cell>
          <cell r="H833" t="str">
            <v>G75</v>
          </cell>
          <cell r="I833" t="str">
            <v>256 GB</v>
          </cell>
        </row>
        <row r="834">
          <cell r="C834" t="str">
            <v>G75256_SPC11273</v>
          </cell>
          <cell r="D834" t="str">
            <v>CASAS BAHIA - AVENIDA JUSCELINO KUBITSCHEK DE OLIVEIRA, 5308 - SHOPPING BONSUCESSO - SPC11273</v>
          </cell>
          <cell r="E834" t="str">
            <v>CASAS BAHIA</v>
          </cell>
          <cell r="F834" t="str">
            <v>SHOPPING</v>
          </cell>
          <cell r="G834" t="str">
            <v>AVENIDA JUSCELINO KUBITSCHEK DE OLIVEIRA, 5308</v>
          </cell>
          <cell r="H834" t="str">
            <v>G75</v>
          </cell>
          <cell r="I834" t="str">
            <v>256 GB</v>
          </cell>
        </row>
        <row r="835">
          <cell r="C835" t="str">
            <v>G75256_SPC11005</v>
          </cell>
          <cell r="D835" t="str">
            <v>CASAS BAHIA - AVENIDA INDUSTRIAL, 600 - SHOPPING GRAND PLAZA - SPC11005</v>
          </cell>
          <cell r="E835" t="str">
            <v>CASAS BAHIA</v>
          </cell>
          <cell r="F835" t="str">
            <v>SHOPPING</v>
          </cell>
          <cell r="G835" t="str">
            <v>AVENIDA INDUSTRIAL, 600</v>
          </cell>
          <cell r="H835" t="str">
            <v>G75</v>
          </cell>
          <cell r="I835" t="str">
            <v>256 GB</v>
          </cell>
        </row>
        <row r="836">
          <cell r="C836" t="str">
            <v>G75256_SPC8715</v>
          </cell>
          <cell r="D836" t="str">
            <v>CASAS BAHIA - AVENIDA GOVERNADOR MARIO COVAS JUNIOR, 1 - SHOPPING MAUA - SPC8715</v>
          </cell>
          <cell r="E836" t="str">
            <v>CASAS BAHIA</v>
          </cell>
          <cell r="F836" t="str">
            <v>SHOPPING</v>
          </cell>
          <cell r="G836" t="str">
            <v>AVENIDA GOVERNADOR MARIO COVAS JUNIOR, 1</v>
          </cell>
          <cell r="H836" t="str">
            <v>G75</v>
          </cell>
          <cell r="I836" t="str">
            <v>256 GB</v>
          </cell>
        </row>
        <row r="837">
          <cell r="C837" t="str">
            <v>G75256_SPC11374</v>
          </cell>
          <cell r="D837" t="str">
            <v>CASAS BAHIA - AVENIDA PEREIRA BARRETO, 42 - SHOPPING ABC - SPC11374</v>
          </cell>
          <cell r="E837" t="str">
            <v>CASAS BAHIA</v>
          </cell>
          <cell r="F837" t="str">
            <v>SHOPPING</v>
          </cell>
          <cell r="G837" t="str">
            <v>AVENIDA PEREIRA BARRETO, 42</v>
          </cell>
          <cell r="H837" t="str">
            <v>G75</v>
          </cell>
          <cell r="I837" t="str">
            <v>256 GB</v>
          </cell>
        </row>
        <row r="838">
          <cell r="C838" t="str">
            <v>G75256_SPC6700</v>
          </cell>
          <cell r="D838" t="str">
            <v>CASAS BAHIA - RUA MARECHAL DEODORO, 987 - ZONA COMERCIAL - SPC6700</v>
          </cell>
          <cell r="E838" t="str">
            <v>CASAS BAHIA</v>
          </cell>
          <cell r="F838" t="str">
            <v>RUA</v>
          </cell>
          <cell r="G838" t="str">
            <v>RUA MARECHAL DEODORO, 987</v>
          </cell>
          <cell r="H838" t="str">
            <v>G75</v>
          </cell>
          <cell r="I838" t="str">
            <v>256 GB</v>
          </cell>
        </row>
        <row r="839">
          <cell r="C839" t="str">
            <v>G75256_SPC7069</v>
          </cell>
          <cell r="D839" t="str">
            <v>CASAS BAHIA - RUA DOMINGOS DE MORAIS, 2564 - SHOPPING METRO SANTA CRUZ - SPC7069</v>
          </cell>
          <cell r="E839" t="str">
            <v>CASAS BAHIA</v>
          </cell>
          <cell r="F839" t="str">
            <v>SHOPPING</v>
          </cell>
          <cell r="G839" t="str">
            <v>RUA DOMINGOS DE MORAIS, 2564</v>
          </cell>
          <cell r="H839" t="str">
            <v>G75</v>
          </cell>
          <cell r="I839" t="str">
            <v>256 GB</v>
          </cell>
        </row>
        <row r="840">
          <cell r="C840" t="str">
            <v>G75256_SPC6505</v>
          </cell>
          <cell r="D840" t="str">
            <v>CASAS BAHIA - RUA TEODORO SAMPAIO, 2522 - ZONA COMERCIAL - SPC6505</v>
          </cell>
          <cell r="E840" t="str">
            <v>CASAS BAHIA</v>
          </cell>
          <cell r="F840" t="str">
            <v>RUA</v>
          </cell>
          <cell r="G840" t="str">
            <v>RUA TEODORO SAMPAIO, 2522</v>
          </cell>
          <cell r="H840" t="str">
            <v>G75</v>
          </cell>
          <cell r="I840" t="str">
            <v>256 GB</v>
          </cell>
        </row>
        <row r="841">
          <cell r="C841" t="str">
            <v>G75256_SPC234770</v>
          </cell>
          <cell r="D841" t="str">
            <v>CASAS BAHIA - ESTRADA DA COLINA, 1048 - SPC234770</v>
          </cell>
          <cell r="E841" t="str">
            <v>CASAS BAHIA</v>
          </cell>
          <cell r="F841" t="str">
            <v>RUA</v>
          </cell>
          <cell r="G841" t="str">
            <v>ESTRADA DA COLINA, 1048</v>
          </cell>
          <cell r="H841" t="str">
            <v>G75</v>
          </cell>
          <cell r="I841" t="str">
            <v>256 GB</v>
          </cell>
        </row>
        <row r="842">
          <cell r="C842" t="str">
            <v>G06256_SPC7613</v>
          </cell>
          <cell r="D842" t="str">
            <v>CASAS BAHIA - AVENIDA INTERLAGOS, 2255 - SHOPPING INTERLAGOS - SPC7613</v>
          </cell>
          <cell r="E842" t="str">
            <v>CASAS BAHIA</v>
          </cell>
          <cell r="F842" t="str">
            <v>SHOPPING</v>
          </cell>
          <cell r="G842" t="str">
            <v>AVENIDA INTERLAGOS, 2255</v>
          </cell>
          <cell r="H842" t="str">
            <v>G06</v>
          </cell>
          <cell r="I842" t="str">
            <v>256 GB</v>
          </cell>
        </row>
        <row r="843">
          <cell r="C843" t="str">
            <v>G06256_SPC7612</v>
          </cell>
          <cell r="D843" t="str">
            <v>PONTO FRIO - AVENIDA INTERLAGOS, 2255 - SHOPPING INTERLAGOS - SPC7612</v>
          </cell>
          <cell r="E843" t="str">
            <v xml:space="preserve">PONTO FRIO </v>
          </cell>
          <cell r="F843" t="str">
            <v>SHOPPING</v>
          </cell>
          <cell r="G843" t="str">
            <v>AVENIDA INTERLAGOS, 2255</v>
          </cell>
          <cell r="H843" t="str">
            <v>G06</v>
          </cell>
          <cell r="I843" t="str">
            <v>256 GB</v>
          </cell>
        </row>
        <row r="844">
          <cell r="C844" t="str">
            <v>G06256_SPC7614</v>
          </cell>
          <cell r="D844" t="str">
            <v>LOJAS AMERICANAS - AVENIDA INTERLAGOS, 2255 - SHOPPING INTERLAGOS - SPC7614</v>
          </cell>
          <cell r="E844" t="str">
            <v>LOJAS AMERICANAS</v>
          </cell>
          <cell r="F844" t="str">
            <v>SHOPPING</v>
          </cell>
          <cell r="G844" t="str">
            <v>AVENIDA INTERLAGOS, 2255</v>
          </cell>
          <cell r="H844" t="str">
            <v>G06</v>
          </cell>
          <cell r="I844" t="str">
            <v>256 GB</v>
          </cell>
        </row>
        <row r="845">
          <cell r="C845" t="str">
            <v>G06256_SPC11232</v>
          </cell>
          <cell r="D845" t="str">
            <v>CASAS BAHIA - PRACA FLORIANO PEIXOTO, 38 - ZONA COMERCIAL - SPC11232</v>
          </cell>
          <cell r="E845" t="str">
            <v>CASAS BAHIA</v>
          </cell>
          <cell r="F845" t="str">
            <v>RUA</v>
          </cell>
          <cell r="G845" t="str">
            <v>PRACA FLORIANO PEIXOTO, 38</v>
          </cell>
          <cell r="H845" t="str">
            <v>G06</v>
          </cell>
          <cell r="I845" t="str">
            <v>256 GB</v>
          </cell>
        </row>
        <row r="846">
          <cell r="C846" t="str">
            <v>G06256_SPC287350</v>
          </cell>
          <cell r="D846" t="str">
            <v>CASAS BAHIA - AVENIDA NACOES UNIDAS, 12995 - SPC287350</v>
          </cell>
          <cell r="E846" t="str">
            <v>CASAS BAHIA</v>
          </cell>
          <cell r="F846" t="str">
            <v>RUA</v>
          </cell>
          <cell r="G846" t="str">
            <v>AVENIDA NACOES UNIDAS, 12995</v>
          </cell>
          <cell r="H846" t="str">
            <v>G06</v>
          </cell>
          <cell r="I846" t="str">
            <v>256 GB</v>
          </cell>
        </row>
        <row r="847">
          <cell r="C847" t="str">
            <v>G06256_SPC252260</v>
          </cell>
          <cell r="D847" t="str">
            <v>CASAS BAHIA - AVENIDA EMBAIXADOR MACEDO SOARES, 9175 - SPC252260</v>
          </cell>
          <cell r="E847" t="str">
            <v>CASAS BAHIA</v>
          </cell>
          <cell r="F847" t="str">
            <v>RUA</v>
          </cell>
          <cell r="G847" t="str">
            <v>AVENIDA EMBAIXADOR MACEDO SOARES, 9175</v>
          </cell>
          <cell r="H847" t="str">
            <v>G06</v>
          </cell>
          <cell r="I847" t="str">
            <v>256 GB</v>
          </cell>
        </row>
        <row r="848">
          <cell r="C848" t="str">
            <v>G06256_SPC22892</v>
          </cell>
          <cell r="D848" t="str">
            <v>CASAS BAHIA - AVENIDA ARICANDUVA, 5555 (LOJA 2) - SHOPPING ARICANDUVA - SPC22892</v>
          </cell>
          <cell r="E848" t="str">
            <v>CASAS BAHIA</v>
          </cell>
          <cell r="F848" t="str">
            <v>SHOPPING</v>
          </cell>
          <cell r="G848" t="str">
            <v>AVENIDA ARICANDUVA, 5555 (LOJA 2)</v>
          </cell>
          <cell r="H848" t="str">
            <v>G06</v>
          </cell>
          <cell r="I848" t="str">
            <v>256 GB</v>
          </cell>
        </row>
        <row r="849">
          <cell r="C849" t="str">
            <v>G06256_SPC7610</v>
          </cell>
          <cell r="D849" t="str">
            <v>CASAS BAHIA - AVENIDA ARICANDUVA, 5555 (LOJA 1) - SHOPPING ARICANDUVA - SPC7610</v>
          </cell>
          <cell r="E849" t="str">
            <v>CASAS BAHIA</v>
          </cell>
          <cell r="F849" t="str">
            <v>SHOPPING</v>
          </cell>
          <cell r="G849" t="str">
            <v>AVENIDA ARICANDUVA, 5555 (LOJA 1)</v>
          </cell>
          <cell r="H849" t="str">
            <v>G06</v>
          </cell>
          <cell r="I849" t="str">
            <v>256 GB</v>
          </cell>
        </row>
        <row r="850">
          <cell r="C850" t="str">
            <v>G06256_SPC8803</v>
          </cell>
          <cell r="D850" t="str">
            <v>PONTO FRIO - AVENIDA ARICANDUVA, 5555 (LOJA 2) - SHOPPING ARICANDUVA - SPC8803</v>
          </cell>
          <cell r="E850" t="str">
            <v xml:space="preserve">PONTO FRIO </v>
          </cell>
          <cell r="F850" t="str">
            <v>SHOPPING</v>
          </cell>
          <cell r="G850" t="str">
            <v>AVENIDA ARICANDUVA, 5555 (LOJA 2)</v>
          </cell>
          <cell r="H850" t="str">
            <v>G06</v>
          </cell>
          <cell r="I850" t="str">
            <v>256 GB</v>
          </cell>
        </row>
        <row r="851">
          <cell r="C851" t="str">
            <v>G06256_SPC6374</v>
          </cell>
          <cell r="D851" t="str">
            <v>MAGAZINE LUIZA - AVENIDA ARICANDUVA, 5555 - SHOPPING ARICANDUVA - SPC6374</v>
          </cell>
          <cell r="E851" t="str">
            <v>MAGAZINE LUIZA</v>
          </cell>
          <cell r="F851" t="str">
            <v>SHOPPING</v>
          </cell>
          <cell r="G851" t="str">
            <v>AVENIDA ARICANDUVA, 5555</v>
          </cell>
          <cell r="H851" t="str">
            <v>G06</v>
          </cell>
          <cell r="I851" t="str">
            <v>256 GB</v>
          </cell>
        </row>
        <row r="852">
          <cell r="C852" t="str">
            <v>G06256_SPC7759</v>
          </cell>
          <cell r="D852" t="str">
            <v>CASAS BAHIA - AVENIDA JOSE PINHEIRO BORGES, S/N - SHOPPING METRO ITAQUERA - SPC7759</v>
          </cell>
          <cell r="E852" t="str">
            <v>CASAS BAHIA</v>
          </cell>
          <cell r="F852" t="str">
            <v>SHOPPING</v>
          </cell>
          <cell r="G852" t="str">
            <v>AVENIDA JOSE PINHEIRO BORGES, S/N</v>
          </cell>
          <cell r="H852" t="str">
            <v>G06</v>
          </cell>
          <cell r="I852" t="str">
            <v>256 GB</v>
          </cell>
        </row>
        <row r="853">
          <cell r="C853" t="str">
            <v>G06256_SPC9927</v>
          </cell>
          <cell r="D853" t="str">
            <v>CASAS BAHIA - RODOVIA REGIS BITTENCOURT KM 271, 2643 - SHOPPING TABOAO DA SERRA - SPC9927</v>
          </cell>
          <cell r="E853" t="str">
            <v>CASAS BAHIA</v>
          </cell>
          <cell r="F853" t="str">
            <v>SHOPPING</v>
          </cell>
          <cell r="G853" t="str">
            <v>RODOVIA REGIS BITTENCOURT KM 271, 2643</v>
          </cell>
          <cell r="H853" t="str">
            <v>G06</v>
          </cell>
          <cell r="I853" t="str">
            <v>256 GB</v>
          </cell>
        </row>
        <row r="854">
          <cell r="C854" t="str">
            <v>G06256_SPC10966</v>
          </cell>
          <cell r="D854" t="str">
            <v>CASAS BAHIA - ESTRADA DO CAMPO LIMPO, 459 - SHOPPING CAMPO LIMPO - SPC10966</v>
          </cell>
          <cell r="E854" t="str">
            <v>CASAS BAHIA</v>
          </cell>
          <cell r="F854" t="str">
            <v>SHOPPING</v>
          </cell>
          <cell r="G854" t="str">
            <v>ESTRADA DO CAMPO LIMPO, 459</v>
          </cell>
          <cell r="H854" t="str">
            <v>G06</v>
          </cell>
          <cell r="I854" t="str">
            <v>256 GB</v>
          </cell>
        </row>
        <row r="855">
          <cell r="C855" t="str">
            <v>G06256_SPC11008</v>
          </cell>
          <cell r="D855" t="str">
            <v>CASAS BAHIA - LARGO 13 DE MAIO, 308 - ZONA COMERCIAL - SPC11008</v>
          </cell>
          <cell r="E855" t="str">
            <v>CASAS BAHIA</v>
          </cell>
          <cell r="F855" t="str">
            <v>RUA</v>
          </cell>
          <cell r="G855" t="str">
            <v>LARGO 13 DE MAIO, 308</v>
          </cell>
          <cell r="H855" t="str">
            <v>G06</v>
          </cell>
          <cell r="I855" t="str">
            <v>256 GB</v>
          </cell>
        </row>
        <row r="856">
          <cell r="C856" t="str">
            <v>G06256_SPC7621</v>
          </cell>
          <cell r="D856" t="str">
            <v>PONTO FRIO - RUA CAPITAO TIAGO LUZ, 146 - ZONA COMERCIAL - SPC7621</v>
          </cell>
          <cell r="E856" t="str">
            <v xml:space="preserve">PONTO FRIO </v>
          </cell>
          <cell r="F856" t="str">
            <v>RUA</v>
          </cell>
          <cell r="G856" t="str">
            <v>RUA CAPITAO TIAGO LUZ, 146</v>
          </cell>
          <cell r="H856" t="str">
            <v>G06</v>
          </cell>
          <cell r="I856" t="str">
            <v>256 GB</v>
          </cell>
        </row>
        <row r="857">
          <cell r="C857" t="str">
            <v>G06256_SPC6352</v>
          </cell>
          <cell r="D857" t="str">
            <v>CASAS BAHIA - RUA TENENTE AVELAR PIRES DE AZEVEDO, 81 - SHOPPING OSASCO PLAZA - SPC6352</v>
          </cell>
          <cell r="E857" t="str">
            <v>CASAS BAHIA</v>
          </cell>
          <cell r="F857" t="str">
            <v>SHOPPING</v>
          </cell>
          <cell r="G857" t="str">
            <v>RUA TENENTE AVELAR PIRES DE AZEVEDO, 81</v>
          </cell>
          <cell r="H857" t="str">
            <v>G06</v>
          </cell>
          <cell r="I857" t="str">
            <v>256 GB</v>
          </cell>
        </row>
        <row r="858">
          <cell r="C858" t="str">
            <v>G06256_SPC6445</v>
          </cell>
          <cell r="D858" t="str">
            <v>CASAS BAHIA - AVENIDA PIRACEMA, 669 - SHOPPING TAMBORE - SPC6445</v>
          </cell>
          <cell r="E858" t="str">
            <v>CASAS BAHIA</v>
          </cell>
          <cell r="F858" t="str">
            <v>SHOPPING</v>
          </cell>
          <cell r="G858" t="str">
            <v>AVENIDA PIRACEMA, 669</v>
          </cell>
          <cell r="H858" t="str">
            <v>G06</v>
          </cell>
          <cell r="I858" t="str">
            <v>256 GB</v>
          </cell>
        </row>
        <row r="859">
          <cell r="C859" t="str">
            <v>G06256_SPC6397</v>
          </cell>
          <cell r="D859" t="str">
            <v>CASAS BAHIA - AVENIDA DOS AUTONOMISTAS, 1400 - SHOPPING UNIAO - SPC6397</v>
          </cell>
          <cell r="E859" t="str">
            <v>CASAS BAHIA</v>
          </cell>
          <cell r="F859" t="str">
            <v>SHOPPING</v>
          </cell>
          <cell r="G859" t="str">
            <v>AVENIDA DOS AUTONOMISTAS, 1400</v>
          </cell>
          <cell r="H859" t="str">
            <v>G06</v>
          </cell>
          <cell r="I859" t="str">
            <v>256 GB</v>
          </cell>
        </row>
        <row r="860">
          <cell r="C860" t="str">
            <v>G06256_SPC11278</v>
          </cell>
          <cell r="D860" t="str">
            <v>PONTO FRIO - RUA ANTONIO AGU, 155 - ZONA COMERCIAL - SPC11278</v>
          </cell>
          <cell r="E860" t="str">
            <v xml:space="preserve">PONTO FRIO </v>
          </cell>
          <cell r="F860" t="str">
            <v>RUA</v>
          </cell>
          <cell r="G860" t="str">
            <v>RUA ANTONIO AGU, 155</v>
          </cell>
          <cell r="H860" t="str">
            <v>G06</v>
          </cell>
          <cell r="I860" t="str">
            <v>256 GB</v>
          </cell>
        </row>
        <row r="861">
          <cell r="C861" t="str">
            <v>G06256_SPC7644</v>
          </cell>
          <cell r="D861" t="str">
            <v>CASAS BAHIA - TRAVESSA CASALBUONO, 120 - SHOPPING CENTER NORTE - SPC7644</v>
          </cell>
          <cell r="E861" t="str">
            <v>CASAS BAHIA</v>
          </cell>
          <cell r="F861" t="str">
            <v>SHOPPING</v>
          </cell>
          <cell r="G861" t="str">
            <v>TRAVESSA CASALBUONO, 120</v>
          </cell>
          <cell r="H861" t="str">
            <v>G06</v>
          </cell>
          <cell r="I861" t="str">
            <v>256 GB</v>
          </cell>
        </row>
        <row r="862">
          <cell r="C862" t="str">
            <v>G06256_SPC8440</v>
          </cell>
          <cell r="D862" t="str">
            <v>MAGAZINE LUIZA - RUA AMAZONAS DA SILVA, 27 - ZONA COMERCIAL - SPC8440</v>
          </cell>
          <cell r="E862" t="str">
            <v>MAGAZINE LUIZA</v>
          </cell>
          <cell r="F862" t="str">
            <v>RUA</v>
          </cell>
          <cell r="G862" t="str">
            <v>RUA AMAZONAS DA SILVA, 27</v>
          </cell>
          <cell r="H862" t="str">
            <v>G06</v>
          </cell>
          <cell r="I862" t="str">
            <v>256 GB</v>
          </cell>
        </row>
        <row r="863">
          <cell r="C863" t="str">
            <v>G06256_SPC7607</v>
          </cell>
          <cell r="D863" t="str">
            <v>CASAS BAHIA - RODOVIA PRESIDENTE DUTRA KM 230, S/N - SHOPPING INTERNACIONAL GUARULHOS - SPC7607</v>
          </cell>
          <cell r="E863" t="str">
            <v>CASAS BAHIA</v>
          </cell>
          <cell r="F863" t="str">
            <v>SHOPPING</v>
          </cell>
          <cell r="G863" t="str">
            <v>RODOVIA PRESIDENTE DUTRA KM 230, S/N</v>
          </cell>
          <cell r="H863" t="str">
            <v>G06</v>
          </cell>
          <cell r="I863" t="str">
            <v>256 GB</v>
          </cell>
        </row>
        <row r="864">
          <cell r="C864" t="str">
            <v>G06256_SPC11273</v>
          </cell>
          <cell r="D864" t="str">
            <v>CASAS BAHIA - AVENIDA JUSCELINO KUBITSCHEK DE OLIVEIRA, 5308 - SHOPPING BONSUCESSO - SPC11273</v>
          </cell>
          <cell r="E864" t="str">
            <v>CASAS BAHIA</v>
          </cell>
          <cell r="F864" t="str">
            <v>SHOPPING</v>
          </cell>
          <cell r="G864" t="str">
            <v>AVENIDA JUSCELINO KUBITSCHEK DE OLIVEIRA, 5308</v>
          </cell>
          <cell r="H864" t="str">
            <v>G06</v>
          </cell>
          <cell r="I864" t="str">
            <v>256 GB</v>
          </cell>
        </row>
        <row r="865">
          <cell r="C865" t="str">
            <v>G06256_SPC11005</v>
          </cell>
          <cell r="D865" t="str">
            <v>CASAS BAHIA - AVENIDA INDUSTRIAL, 600 - SHOPPING GRAND PLAZA - SPC11005</v>
          </cell>
          <cell r="E865" t="str">
            <v>CASAS BAHIA</v>
          </cell>
          <cell r="F865" t="str">
            <v>SHOPPING</v>
          </cell>
          <cell r="G865" t="str">
            <v>AVENIDA INDUSTRIAL, 600</v>
          </cell>
          <cell r="H865" t="str">
            <v>G06</v>
          </cell>
          <cell r="I865" t="str">
            <v>256 GB</v>
          </cell>
        </row>
        <row r="866">
          <cell r="C866" t="str">
            <v>G06256_SPC8715</v>
          </cell>
          <cell r="D866" t="str">
            <v>CASAS BAHIA - AVENIDA GOVERNADOR MARIO COVAS JUNIOR, 1 - SHOPPING MAUA - SPC8715</v>
          </cell>
          <cell r="E866" t="str">
            <v>CASAS BAHIA</v>
          </cell>
          <cell r="F866" t="str">
            <v>SHOPPING</v>
          </cell>
          <cell r="G866" t="str">
            <v>AVENIDA GOVERNADOR MARIO COVAS JUNIOR, 1</v>
          </cell>
          <cell r="H866" t="str">
            <v>G06</v>
          </cell>
          <cell r="I866" t="str">
            <v>256 GB</v>
          </cell>
        </row>
        <row r="867">
          <cell r="C867" t="str">
            <v>G06256_SPC11374</v>
          </cell>
          <cell r="D867" t="str">
            <v>CASAS BAHIA - AVENIDA PEREIRA BARRETO, 42 - SHOPPING ABC - SPC11374</v>
          </cell>
          <cell r="E867" t="str">
            <v>CASAS BAHIA</v>
          </cell>
          <cell r="F867" t="str">
            <v>SHOPPING</v>
          </cell>
          <cell r="G867" t="str">
            <v>AVENIDA PEREIRA BARRETO, 42</v>
          </cell>
          <cell r="H867" t="str">
            <v>G06</v>
          </cell>
          <cell r="I867" t="str">
            <v>256 GB</v>
          </cell>
        </row>
        <row r="868">
          <cell r="C868" t="str">
            <v>G06256_SPC6700</v>
          </cell>
          <cell r="D868" t="str">
            <v>CASAS BAHIA - RUA MARECHAL DEODORO, 987 - ZONA COMERCIAL - SPC6700</v>
          </cell>
          <cell r="E868" t="str">
            <v>CASAS BAHIA</v>
          </cell>
          <cell r="F868" t="str">
            <v>RUA</v>
          </cell>
          <cell r="G868" t="str">
            <v>RUA MARECHAL DEODORO, 987</v>
          </cell>
          <cell r="H868" t="str">
            <v>G06</v>
          </cell>
          <cell r="I868" t="str">
            <v>256 GB</v>
          </cell>
        </row>
        <row r="869">
          <cell r="C869" t="str">
            <v>G06256_SPC7069</v>
          </cell>
          <cell r="D869" t="str">
            <v>CASAS BAHIA - RUA DOMINGOS DE MORAIS, 2564 - SHOPPING METRO SANTA CRUZ - SPC7069</v>
          </cell>
          <cell r="E869" t="str">
            <v>CASAS BAHIA</v>
          </cell>
          <cell r="F869" t="str">
            <v>SHOPPING</v>
          </cell>
          <cell r="G869" t="str">
            <v>RUA DOMINGOS DE MORAIS, 2564</v>
          </cell>
          <cell r="H869" t="str">
            <v>G06</v>
          </cell>
          <cell r="I869" t="str">
            <v>256 GB</v>
          </cell>
        </row>
        <row r="870">
          <cell r="C870" t="str">
            <v>G06256_SPC6505</v>
          </cell>
          <cell r="D870" t="str">
            <v>CASAS BAHIA - RUA TEODORO SAMPAIO, 2522 - ZONA COMERCIAL - SPC6505</v>
          </cell>
          <cell r="E870" t="str">
            <v>CASAS BAHIA</v>
          </cell>
          <cell r="F870" t="str">
            <v>RUA</v>
          </cell>
          <cell r="G870" t="str">
            <v>RUA TEODORO SAMPAIO, 2522</v>
          </cell>
          <cell r="H870" t="str">
            <v>G06</v>
          </cell>
          <cell r="I870" t="str">
            <v>256 GB</v>
          </cell>
        </row>
        <row r="871">
          <cell r="C871" t="str">
            <v>G06256_SPC234770</v>
          </cell>
          <cell r="D871" t="str">
            <v>CASAS BAHIA - ESTRADA DA COLINA, 1048 - SPC234770</v>
          </cell>
          <cell r="E871" t="str">
            <v>CASAS BAHIA</v>
          </cell>
          <cell r="F871" t="str">
            <v>RUA</v>
          </cell>
          <cell r="G871" t="str">
            <v>ESTRADA DA COLINA, 1048</v>
          </cell>
          <cell r="H871" t="str">
            <v>G06</v>
          </cell>
          <cell r="I871" t="str">
            <v>256 GB</v>
          </cell>
        </row>
        <row r="872">
          <cell r="C872" t="str">
            <v>G06128_SPC7613</v>
          </cell>
          <cell r="D872" t="str">
            <v>CASAS BAHIA - AVENIDA INTERLAGOS, 2255 - SHOPPING INTERLAGOS - SPC7613</v>
          </cell>
          <cell r="E872" t="str">
            <v>CASAS BAHIA</v>
          </cell>
          <cell r="F872" t="str">
            <v>SHOPPING</v>
          </cell>
          <cell r="G872" t="str">
            <v>AVENIDA INTERLAGOS, 2255</v>
          </cell>
          <cell r="H872" t="str">
            <v>G06</v>
          </cell>
          <cell r="I872" t="str">
            <v>128 GB</v>
          </cell>
        </row>
        <row r="873">
          <cell r="C873" t="str">
            <v>G06128_SPC7612</v>
          </cell>
          <cell r="D873" t="str">
            <v>PONTO FRIO - AVENIDA INTERLAGOS, 2255 - SHOPPING INTERLAGOS - SPC7612</v>
          </cell>
          <cell r="E873" t="str">
            <v xml:space="preserve">PONTO FRIO </v>
          </cell>
          <cell r="F873" t="str">
            <v>SHOPPING</v>
          </cell>
          <cell r="G873" t="str">
            <v>AVENIDA INTERLAGOS, 2255</v>
          </cell>
          <cell r="H873" t="str">
            <v>G06</v>
          </cell>
          <cell r="I873" t="str">
            <v>128 GB</v>
          </cell>
        </row>
        <row r="874">
          <cell r="C874" t="str">
            <v>G06128_SPC7614</v>
          </cell>
          <cell r="D874" t="str">
            <v>LOJAS AMERICANAS - AVENIDA INTERLAGOS, 2255 - SHOPPING INTERLAGOS - SPC7614</v>
          </cell>
          <cell r="E874" t="str">
            <v>LOJAS AMERICANAS</v>
          </cell>
          <cell r="F874" t="str">
            <v>SHOPPING</v>
          </cell>
          <cell r="G874" t="str">
            <v>AVENIDA INTERLAGOS, 2255</v>
          </cell>
          <cell r="H874" t="str">
            <v>G06</v>
          </cell>
          <cell r="I874" t="str">
            <v>128 GB</v>
          </cell>
        </row>
        <row r="875">
          <cell r="C875" t="str">
            <v>G06128_SPC11232</v>
          </cell>
          <cell r="D875" t="str">
            <v>CASAS BAHIA - PRACA FLORIANO PEIXOTO, 38 - ZONA COMERCIAL - SPC11232</v>
          </cell>
          <cell r="E875" t="str">
            <v>CASAS BAHIA</v>
          </cell>
          <cell r="F875" t="str">
            <v>RUA</v>
          </cell>
          <cell r="G875" t="str">
            <v>PRACA FLORIANO PEIXOTO, 38</v>
          </cell>
          <cell r="H875" t="str">
            <v>G06</v>
          </cell>
          <cell r="I875" t="str">
            <v>128 GB</v>
          </cell>
        </row>
        <row r="876">
          <cell r="C876" t="str">
            <v>G06128_SPC287350</v>
          </cell>
          <cell r="D876" t="str">
            <v>CASAS BAHIA - AVENIDA NACOES UNIDAS, 12995 - SPC287350</v>
          </cell>
          <cell r="E876" t="str">
            <v>CASAS BAHIA</v>
          </cell>
          <cell r="F876" t="str">
            <v>RUA</v>
          </cell>
          <cell r="G876" t="str">
            <v>AVENIDA NACOES UNIDAS, 12995</v>
          </cell>
          <cell r="H876" t="str">
            <v>G06</v>
          </cell>
          <cell r="I876" t="str">
            <v>128 GB</v>
          </cell>
        </row>
        <row r="877">
          <cell r="C877" t="str">
            <v>G06128_SPC252260</v>
          </cell>
          <cell r="D877" t="str">
            <v>CASAS BAHIA - AVENIDA EMBAIXADOR MACEDO SOARES, 9175 - SPC252260</v>
          </cell>
          <cell r="E877" t="str">
            <v>CASAS BAHIA</v>
          </cell>
          <cell r="F877" t="str">
            <v>RUA</v>
          </cell>
          <cell r="G877" t="str">
            <v>AVENIDA EMBAIXADOR MACEDO SOARES, 9175</v>
          </cell>
          <cell r="H877" t="str">
            <v>G06</v>
          </cell>
          <cell r="I877" t="str">
            <v>128 GB</v>
          </cell>
        </row>
        <row r="878">
          <cell r="C878" t="str">
            <v>G06128_SPC22892</v>
          </cell>
          <cell r="D878" t="str">
            <v>CASAS BAHIA - AVENIDA ARICANDUVA, 5555 (LOJA 2) - SHOPPING ARICANDUVA - SPC22892</v>
          </cell>
          <cell r="E878" t="str">
            <v>CASAS BAHIA</v>
          </cell>
          <cell r="F878" t="str">
            <v>SHOPPING</v>
          </cell>
          <cell r="G878" t="str">
            <v>AVENIDA ARICANDUVA, 5555 (LOJA 2)</v>
          </cell>
          <cell r="H878" t="str">
            <v>G06</v>
          </cell>
          <cell r="I878" t="str">
            <v>128 GB</v>
          </cell>
        </row>
        <row r="879">
          <cell r="C879" t="str">
            <v>G06128_SPC7610</v>
          </cell>
          <cell r="D879" t="str">
            <v>CASAS BAHIA - AVENIDA ARICANDUVA, 5555 (LOJA 1) - SHOPPING ARICANDUVA - SPC7610</v>
          </cell>
          <cell r="E879" t="str">
            <v>CASAS BAHIA</v>
          </cell>
          <cell r="F879" t="str">
            <v>SHOPPING</v>
          </cell>
          <cell r="G879" t="str">
            <v>AVENIDA ARICANDUVA, 5555 (LOJA 1)</v>
          </cell>
          <cell r="H879" t="str">
            <v>G06</v>
          </cell>
          <cell r="I879" t="str">
            <v>128 GB</v>
          </cell>
        </row>
        <row r="880">
          <cell r="C880" t="str">
            <v>G06128_SPC8803</v>
          </cell>
          <cell r="D880" t="str">
            <v>PONTO FRIO - AVENIDA ARICANDUVA, 5555 (LOJA 2) - SHOPPING ARICANDUVA - SPC8803</v>
          </cell>
          <cell r="E880" t="str">
            <v xml:space="preserve">PONTO FRIO </v>
          </cell>
          <cell r="F880" t="str">
            <v>SHOPPING</v>
          </cell>
          <cell r="G880" t="str">
            <v>AVENIDA ARICANDUVA, 5555 (LOJA 2)</v>
          </cell>
          <cell r="H880" t="str">
            <v>G06</v>
          </cell>
          <cell r="I880" t="str">
            <v>128 GB</v>
          </cell>
        </row>
        <row r="881">
          <cell r="C881" t="str">
            <v>G06128_SPC6374</v>
          </cell>
          <cell r="D881" t="str">
            <v>MAGAZINE LUIZA - AVENIDA ARICANDUVA, 5555 - SHOPPING ARICANDUVA - SPC6374</v>
          </cell>
          <cell r="E881" t="str">
            <v>MAGAZINE LUIZA</v>
          </cell>
          <cell r="F881" t="str">
            <v>SHOPPING</v>
          </cell>
          <cell r="G881" t="str">
            <v>AVENIDA ARICANDUVA, 5555</v>
          </cell>
          <cell r="H881" t="str">
            <v>G06</v>
          </cell>
          <cell r="I881" t="str">
            <v>128 GB</v>
          </cell>
        </row>
        <row r="882">
          <cell r="C882" t="str">
            <v>G06128_SPC7759</v>
          </cell>
          <cell r="D882" t="str">
            <v>CASAS BAHIA - AVENIDA JOSE PINHEIRO BORGES, S/N - SHOPPING METRO ITAQUERA - SPC7759</v>
          </cell>
          <cell r="E882" t="str">
            <v>CASAS BAHIA</v>
          </cell>
          <cell r="F882" t="str">
            <v>SHOPPING</v>
          </cell>
          <cell r="G882" t="str">
            <v>AVENIDA JOSE PINHEIRO BORGES, S/N</v>
          </cell>
          <cell r="H882" t="str">
            <v>G06</v>
          </cell>
          <cell r="I882" t="str">
            <v>128 GB</v>
          </cell>
        </row>
        <row r="883">
          <cell r="C883" t="str">
            <v>G06128_SPC9927</v>
          </cell>
          <cell r="D883" t="str">
            <v>CASAS BAHIA - RODOVIA REGIS BITTENCOURT KM 271, 2643 - SHOPPING TABOAO DA SERRA - SPC9927</v>
          </cell>
          <cell r="E883" t="str">
            <v>CASAS BAHIA</v>
          </cell>
          <cell r="F883" t="str">
            <v>SHOPPING</v>
          </cell>
          <cell r="G883" t="str">
            <v>RODOVIA REGIS BITTENCOURT KM 271, 2643</v>
          </cell>
          <cell r="H883" t="str">
            <v>G06</v>
          </cell>
          <cell r="I883" t="str">
            <v>128 GB</v>
          </cell>
        </row>
        <row r="884">
          <cell r="C884" t="str">
            <v>G06128_SPC10966</v>
          </cell>
          <cell r="D884" t="str">
            <v>CASAS BAHIA - ESTRADA DO CAMPO LIMPO, 459 - SHOPPING CAMPO LIMPO - SPC10966</v>
          </cell>
          <cell r="E884" t="str">
            <v>CASAS BAHIA</v>
          </cell>
          <cell r="F884" t="str">
            <v>SHOPPING</v>
          </cell>
          <cell r="G884" t="str">
            <v>ESTRADA DO CAMPO LIMPO, 459</v>
          </cell>
          <cell r="H884" t="str">
            <v>G06</v>
          </cell>
          <cell r="I884" t="str">
            <v>128 GB</v>
          </cell>
        </row>
        <row r="885">
          <cell r="C885" t="str">
            <v>G06128_SPC11008</v>
          </cell>
          <cell r="D885" t="str">
            <v>CASAS BAHIA - LARGO 13 DE MAIO, 308 - ZONA COMERCIAL - SPC11008</v>
          </cell>
          <cell r="E885" t="str">
            <v>CASAS BAHIA</v>
          </cell>
          <cell r="F885" t="str">
            <v>RUA</v>
          </cell>
          <cell r="G885" t="str">
            <v>LARGO 13 DE MAIO, 308</v>
          </cell>
          <cell r="H885" t="str">
            <v>G06</v>
          </cell>
          <cell r="I885" t="str">
            <v>128 GB</v>
          </cell>
        </row>
        <row r="886">
          <cell r="C886" t="str">
            <v>G06128_SPC7621</v>
          </cell>
          <cell r="D886" t="str">
            <v>PONTO FRIO - RUA CAPITAO TIAGO LUZ, 146 - ZONA COMERCIAL - SPC7621</v>
          </cell>
          <cell r="E886" t="str">
            <v xml:space="preserve">PONTO FRIO </v>
          </cell>
          <cell r="F886" t="str">
            <v>RUA</v>
          </cell>
          <cell r="G886" t="str">
            <v>RUA CAPITAO TIAGO LUZ, 146</v>
          </cell>
          <cell r="H886" t="str">
            <v>G06</v>
          </cell>
          <cell r="I886" t="str">
            <v>128 GB</v>
          </cell>
        </row>
        <row r="887">
          <cell r="C887" t="str">
            <v>G06128_SPC6352</v>
          </cell>
          <cell r="D887" t="str">
            <v>CASAS BAHIA - RUA TENENTE AVELAR PIRES DE AZEVEDO, 81 - SHOPPING OSASCO PLAZA - SPC6352</v>
          </cell>
          <cell r="E887" t="str">
            <v>CASAS BAHIA</v>
          </cell>
          <cell r="F887" t="str">
            <v>SHOPPING</v>
          </cell>
          <cell r="G887" t="str">
            <v>RUA TENENTE AVELAR PIRES DE AZEVEDO, 81</v>
          </cell>
          <cell r="H887" t="str">
            <v>G06</v>
          </cell>
          <cell r="I887" t="str">
            <v>128 GB</v>
          </cell>
        </row>
        <row r="888">
          <cell r="C888" t="str">
            <v>G06128_SPC6445</v>
          </cell>
          <cell r="D888" t="str">
            <v>CASAS BAHIA - AVENIDA PIRACEMA, 669 - SHOPPING TAMBORE - SPC6445</v>
          </cell>
          <cell r="E888" t="str">
            <v>CASAS BAHIA</v>
          </cell>
          <cell r="F888" t="str">
            <v>SHOPPING</v>
          </cell>
          <cell r="G888" t="str">
            <v>AVENIDA PIRACEMA, 669</v>
          </cell>
          <cell r="H888" t="str">
            <v>G06</v>
          </cell>
          <cell r="I888" t="str">
            <v>128 GB</v>
          </cell>
        </row>
        <row r="889">
          <cell r="C889" t="str">
            <v>G06128_SPC6397</v>
          </cell>
          <cell r="D889" t="str">
            <v>CASAS BAHIA - AVENIDA DOS AUTONOMISTAS, 1400 - SHOPPING UNIAO - SPC6397</v>
          </cell>
          <cell r="E889" t="str">
            <v>CASAS BAHIA</v>
          </cell>
          <cell r="F889" t="str">
            <v>SHOPPING</v>
          </cell>
          <cell r="G889" t="str">
            <v>AVENIDA DOS AUTONOMISTAS, 1400</v>
          </cell>
          <cell r="H889" t="str">
            <v>G06</v>
          </cell>
          <cell r="I889" t="str">
            <v>128 GB</v>
          </cell>
        </row>
        <row r="890">
          <cell r="C890" t="str">
            <v>G06128_SPC11278</v>
          </cell>
          <cell r="D890" t="str">
            <v>PONTO FRIO - RUA ANTONIO AGU, 155 - ZONA COMERCIAL - SPC11278</v>
          </cell>
          <cell r="E890" t="str">
            <v xml:space="preserve">PONTO FRIO </v>
          </cell>
          <cell r="F890" t="str">
            <v>RUA</v>
          </cell>
          <cell r="G890" t="str">
            <v>RUA ANTONIO AGU, 155</v>
          </cell>
          <cell r="H890" t="str">
            <v>G06</v>
          </cell>
          <cell r="I890" t="str">
            <v>128 GB</v>
          </cell>
        </row>
        <row r="891">
          <cell r="C891" t="str">
            <v>G06128_SPC7644</v>
          </cell>
          <cell r="D891" t="str">
            <v>CASAS BAHIA - TRAVESSA CASALBUONO, 120 - SHOPPING CENTER NORTE - SPC7644</v>
          </cell>
          <cell r="E891" t="str">
            <v>CASAS BAHIA</v>
          </cell>
          <cell r="F891" t="str">
            <v>SHOPPING</v>
          </cell>
          <cell r="G891" t="str">
            <v>TRAVESSA CASALBUONO, 120</v>
          </cell>
          <cell r="H891" t="str">
            <v>G06</v>
          </cell>
          <cell r="I891" t="str">
            <v>128 GB</v>
          </cell>
        </row>
        <row r="892">
          <cell r="C892" t="str">
            <v>G06128_SPC8440</v>
          </cell>
          <cell r="D892" t="str">
            <v>MAGAZINE LUIZA - RUA AMAZONAS DA SILVA, 27 - ZONA COMERCIAL - SPC8440</v>
          </cell>
          <cell r="E892" t="str">
            <v>MAGAZINE LUIZA</v>
          </cell>
          <cell r="F892" t="str">
            <v>RUA</v>
          </cell>
          <cell r="G892" t="str">
            <v>RUA AMAZONAS DA SILVA, 27</v>
          </cell>
          <cell r="H892" t="str">
            <v>G06</v>
          </cell>
          <cell r="I892" t="str">
            <v>128 GB</v>
          </cell>
        </row>
        <row r="893">
          <cell r="C893" t="str">
            <v>G06128_SPC7607</v>
          </cell>
          <cell r="D893" t="str">
            <v>CASAS BAHIA - RODOVIA PRESIDENTE DUTRA KM 230, S/N - SHOPPING INTERNACIONAL GUARULHOS - SPC7607</v>
          </cell>
          <cell r="E893" t="str">
            <v>CASAS BAHIA</v>
          </cell>
          <cell r="F893" t="str">
            <v>SHOPPING</v>
          </cell>
          <cell r="G893" t="str">
            <v>RODOVIA PRESIDENTE DUTRA KM 230, S/N</v>
          </cell>
          <cell r="H893" t="str">
            <v>G06</v>
          </cell>
          <cell r="I893" t="str">
            <v>128 GB</v>
          </cell>
        </row>
        <row r="894">
          <cell r="C894" t="str">
            <v>G06128_SPC11273</v>
          </cell>
          <cell r="D894" t="str">
            <v>CASAS BAHIA - AVENIDA JUSCELINO KUBITSCHEK DE OLIVEIRA, 5308 - SHOPPING BONSUCESSO - SPC11273</v>
          </cell>
          <cell r="E894" t="str">
            <v>CASAS BAHIA</v>
          </cell>
          <cell r="F894" t="str">
            <v>SHOPPING</v>
          </cell>
          <cell r="G894" t="str">
            <v>AVENIDA JUSCELINO KUBITSCHEK DE OLIVEIRA, 5308</v>
          </cell>
          <cell r="H894" t="str">
            <v>G06</v>
          </cell>
          <cell r="I894" t="str">
            <v>128 GB</v>
          </cell>
        </row>
        <row r="895">
          <cell r="C895" t="str">
            <v>G06128_SPC11005</v>
          </cell>
          <cell r="D895" t="str">
            <v>CASAS BAHIA - AVENIDA INDUSTRIAL, 600 - SHOPPING GRAND PLAZA - SPC11005</v>
          </cell>
          <cell r="E895" t="str">
            <v>CASAS BAHIA</v>
          </cell>
          <cell r="F895" t="str">
            <v>SHOPPING</v>
          </cell>
          <cell r="G895" t="str">
            <v>AVENIDA INDUSTRIAL, 600</v>
          </cell>
          <cell r="H895" t="str">
            <v>G06</v>
          </cell>
          <cell r="I895" t="str">
            <v>128 GB</v>
          </cell>
        </row>
        <row r="896">
          <cell r="C896" t="str">
            <v>G06128_SPC8715</v>
          </cell>
          <cell r="D896" t="str">
            <v>CASAS BAHIA - AVENIDA GOVERNADOR MARIO COVAS JUNIOR, 1 - SHOPPING MAUA - SPC8715</v>
          </cell>
          <cell r="E896" t="str">
            <v>CASAS BAHIA</v>
          </cell>
          <cell r="F896" t="str">
            <v>SHOPPING</v>
          </cell>
          <cell r="G896" t="str">
            <v>AVENIDA GOVERNADOR MARIO COVAS JUNIOR, 1</v>
          </cell>
          <cell r="H896" t="str">
            <v>G06</v>
          </cell>
          <cell r="I896" t="str">
            <v>128 GB</v>
          </cell>
        </row>
        <row r="897">
          <cell r="C897" t="str">
            <v>G06128_SPC11374</v>
          </cell>
          <cell r="D897" t="str">
            <v>CASAS BAHIA - AVENIDA PEREIRA BARRETO, 42 - SHOPPING ABC - SPC11374</v>
          </cell>
          <cell r="E897" t="str">
            <v>CASAS BAHIA</v>
          </cell>
          <cell r="F897" t="str">
            <v>SHOPPING</v>
          </cell>
          <cell r="G897" t="str">
            <v>AVENIDA PEREIRA BARRETO, 42</v>
          </cell>
          <cell r="H897" t="str">
            <v>G06</v>
          </cell>
          <cell r="I897" t="str">
            <v>128 GB</v>
          </cell>
        </row>
        <row r="898">
          <cell r="C898" t="str">
            <v>G06128_SPC6700</v>
          </cell>
          <cell r="D898" t="str">
            <v>CASAS BAHIA - RUA MARECHAL DEODORO, 987 - ZONA COMERCIAL - SPC6700</v>
          </cell>
          <cell r="E898" t="str">
            <v>CASAS BAHIA</v>
          </cell>
          <cell r="F898" t="str">
            <v>RUA</v>
          </cell>
          <cell r="G898" t="str">
            <v>RUA MARECHAL DEODORO, 987</v>
          </cell>
          <cell r="H898" t="str">
            <v>G06</v>
          </cell>
          <cell r="I898" t="str">
            <v>128 GB</v>
          </cell>
        </row>
        <row r="899">
          <cell r="C899" t="str">
            <v>G06128_SPC7069</v>
          </cell>
          <cell r="D899" t="str">
            <v>CASAS BAHIA - RUA DOMINGOS DE MORAIS, 2564 - SHOPPING METRO SANTA CRUZ - SPC7069</v>
          </cell>
          <cell r="E899" t="str">
            <v>CASAS BAHIA</v>
          </cell>
          <cell r="F899" t="str">
            <v>SHOPPING</v>
          </cell>
          <cell r="G899" t="str">
            <v>RUA DOMINGOS DE MORAIS, 2564</v>
          </cell>
          <cell r="H899" t="str">
            <v>G06</v>
          </cell>
          <cell r="I899" t="str">
            <v>128 GB</v>
          </cell>
        </row>
        <row r="900">
          <cell r="C900" t="str">
            <v>G06128_SPC6505</v>
          </cell>
          <cell r="D900" t="str">
            <v>CASAS BAHIA - RUA TEODORO SAMPAIO, 2522 - ZONA COMERCIAL - SPC6505</v>
          </cell>
          <cell r="E900" t="str">
            <v>CASAS BAHIA</v>
          </cell>
          <cell r="F900" t="str">
            <v>RUA</v>
          </cell>
          <cell r="G900" t="str">
            <v>RUA TEODORO SAMPAIO, 2522</v>
          </cell>
          <cell r="H900" t="str">
            <v>G06</v>
          </cell>
          <cell r="I900" t="str">
            <v>128 GB</v>
          </cell>
        </row>
        <row r="901">
          <cell r="C901" t="str">
            <v>G06128_SPC234770</v>
          </cell>
          <cell r="D901" t="str">
            <v>CASAS BAHIA - ESTRADA DA COLINA, 1048 - SPC234770</v>
          </cell>
          <cell r="E901" t="str">
            <v>CASAS BAHIA</v>
          </cell>
          <cell r="F901" t="str">
            <v>RUA</v>
          </cell>
          <cell r="G901" t="str">
            <v>ESTRADA DA COLINA, 1048</v>
          </cell>
          <cell r="H901" t="str">
            <v>G06</v>
          </cell>
          <cell r="I901" t="str">
            <v>128 GB</v>
          </cell>
        </row>
        <row r="902">
          <cell r="C902" t="str">
            <v>G35256_SPC7613</v>
          </cell>
          <cell r="D902" t="str">
            <v>CASAS BAHIA - AVENIDA INTERLAGOS, 2255 - SHOPPING INTERLAGOS - SPC7613</v>
          </cell>
          <cell r="E902" t="str">
            <v>CASAS BAHIA</v>
          </cell>
          <cell r="F902" t="str">
            <v>SHOPPING</v>
          </cell>
          <cell r="G902" t="str">
            <v>AVENIDA INTERLAGOS, 2255</v>
          </cell>
          <cell r="H902" t="str">
            <v>G35</v>
          </cell>
          <cell r="I902" t="str">
            <v>256 GB</v>
          </cell>
        </row>
        <row r="903">
          <cell r="C903" t="str">
            <v>G35256_SPC7612</v>
          </cell>
          <cell r="D903" t="str">
            <v>PONTO FRIO - AVENIDA INTERLAGOS, 2255 - SHOPPING INTERLAGOS - SPC7612</v>
          </cell>
          <cell r="E903" t="str">
            <v xml:space="preserve">PONTO FRIO </v>
          </cell>
          <cell r="F903" t="str">
            <v>SHOPPING</v>
          </cell>
          <cell r="G903" t="str">
            <v>AVENIDA INTERLAGOS, 2255</v>
          </cell>
          <cell r="H903" t="str">
            <v>G35</v>
          </cell>
          <cell r="I903" t="str">
            <v>256 GB</v>
          </cell>
        </row>
        <row r="904">
          <cell r="C904" t="str">
            <v>G35256_SPC7614</v>
          </cell>
          <cell r="D904" t="str">
            <v>LOJAS AMERICANAS - AVENIDA INTERLAGOS, 2255 - SHOPPING INTERLAGOS - SPC7614</v>
          </cell>
          <cell r="E904" t="str">
            <v>LOJAS AMERICANAS</v>
          </cell>
          <cell r="F904" t="str">
            <v>SHOPPING</v>
          </cell>
          <cell r="G904" t="str">
            <v>AVENIDA INTERLAGOS, 2255</v>
          </cell>
          <cell r="H904" t="str">
            <v>G35</v>
          </cell>
          <cell r="I904" t="str">
            <v>256 GB</v>
          </cell>
        </row>
        <row r="905">
          <cell r="C905" t="str">
            <v>G35256_SPC11232</v>
          </cell>
          <cell r="D905" t="str">
            <v>CASAS BAHIA - PRACA FLORIANO PEIXOTO, 38 - ZONA COMERCIAL - SPC11232</v>
          </cell>
          <cell r="E905" t="str">
            <v>CASAS BAHIA</v>
          </cell>
          <cell r="F905" t="str">
            <v>RUA</v>
          </cell>
          <cell r="G905" t="str">
            <v>PRACA FLORIANO PEIXOTO, 38</v>
          </cell>
          <cell r="H905" t="str">
            <v>G35</v>
          </cell>
          <cell r="I905" t="str">
            <v>256 GB</v>
          </cell>
        </row>
        <row r="906">
          <cell r="C906" t="str">
            <v>G35256_SPC287350</v>
          </cell>
          <cell r="D906" t="str">
            <v>CASAS BAHIA - AVENIDA NACOES UNIDAS, 12995 - SPC287350</v>
          </cell>
          <cell r="E906" t="str">
            <v>CASAS BAHIA</v>
          </cell>
          <cell r="F906" t="str">
            <v>RUA</v>
          </cell>
          <cell r="G906" t="str">
            <v>AVENIDA NACOES UNIDAS, 12995</v>
          </cell>
          <cell r="H906" t="str">
            <v>G35</v>
          </cell>
          <cell r="I906" t="str">
            <v>256 GB</v>
          </cell>
        </row>
        <row r="907">
          <cell r="C907" t="str">
            <v>G35256_SPC252260</v>
          </cell>
          <cell r="D907" t="str">
            <v>CASAS BAHIA - AVENIDA EMBAIXADOR MACEDO SOARES, 9175 - SPC252260</v>
          </cell>
          <cell r="E907" t="str">
            <v>CASAS BAHIA</v>
          </cell>
          <cell r="F907" t="str">
            <v>RUA</v>
          </cell>
          <cell r="G907" t="str">
            <v>AVENIDA EMBAIXADOR MACEDO SOARES, 9175</v>
          </cell>
          <cell r="H907" t="str">
            <v>G35</v>
          </cell>
          <cell r="I907" t="str">
            <v>256 GB</v>
          </cell>
        </row>
        <row r="908">
          <cell r="C908" t="str">
            <v>G35256_SPC22892</v>
          </cell>
          <cell r="D908" t="str">
            <v>CASAS BAHIA - AVENIDA ARICANDUVA, 5555 (LOJA 2) - SHOPPING ARICANDUVA - SPC22892</v>
          </cell>
          <cell r="E908" t="str">
            <v>CASAS BAHIA</v>
          </cell>
          <cell r="F908" t="str">
            <v>SHOPPING</v>
          </cell>
          <cell r="G908" t="str">
            <v>AVENIDA ARICANDUVA, 5555 (LOJA 2)</v>
          </cell>
          <cell r="H908" t="str">
            <v>G35</v>
          </cell>
          <cell r="I908" t="str">
            <v>256 GB</v>
          </cell>
        </row>
        <row r="909">
          <cell r="C909" t="str">
            <v>G35256_SPC7610</v>
          </cell>
          <cell r="D909" t="str">
            <v>CASAS BAHIA - AVENIDA ARICANDUVA, 5555 (LOJA 1) - SHOPPING ARICANDUVA - SPC7610</v>
          </cell>
          <cell r="E909" t="str">
            <v>CASAS BAHIA</v>
          </cell>
          <cell r="F909" t="str">
            <v>SHOPPING</v>
          </cell>
          <cell r="G909" t="str">
            <v>AVENIDA ARICANDUVA, 5555 (LOJA 1)</v>
          </cell>
          <cell r="H909" t="str">
            <v>G35</v>
          </cell>
          <cell r="I909" t="str">
            <v>256 GB</v>
          </cell>
        </row>
        <row r="910">
          <cell r="C910" t="str">
            <v>G35256_SPC8803</v>
          </cell>
          <cell r="D910" t="str">
            <v>PONTO FRIO - AVENIDA ARICANDUVA, 5555 (LOJA 2) - SHOPPING ARICANDUVA - SPC8803</v>
          </cell>
          <cell r="E910" t="str">
            <v xml:space="preserve">PONTO FRIO </v>
          </cell>
          <cell r="F910" t="str">
            <v>SHOPPING</v>
          </cell>
          <cell r="G910" t="str">
            <v>AVENIDA ARICANDUVA, 5555 (LOJA 2)</v>
          </cell>
          <cell r="H910" t="str">
            <v>G35</v>
          </cell>
          <cell r="I910" t="str">
            <v>256 GB</v>
          </cell>
        </row>
        <row r="911">
          <cell r="C911" t="str">
            <v>G35256_SPC6374</v>
          </cell>
          <cell r="D911" t="str">
            <v>MAGAZINE LUIZA - AVENIDA ARICANDUVA, 5555 - SHOPPING ARICANDUVA - SPC6374</v>
          </cell>
          <cell r="E911" t="str">
            <v>MAGAZINE LUIZA</v>
          </cell>
          <cell r="F911" t="str">
            <v>SHOPPING</v>
          </cell>
          <cell r="G911" t="str">
            <v>AVENIDA ARICANDUVA, 5555</v>
          </cell>
          <cell r="H911" t="str">
            <v>G35</v>
          </cell>
          <cell r="I911" t="str">
            <v>256 GB</v>
          </cell>
        </row>
        <row r="912">
          <cell r="C912" t="str">
            <v>G35256_SPC7759</v>
          </cell>
          <cell r="D912" t="str">
            <v>CASAS BAHIA - AVENIDA JOSE PINHEIRO BORGES, S/N - SHOPPING METRO ITAQUERA - SPC7759</v>
          </cell>
          <cell r="E912" t="str">
            <v>CASAS BAHIA</v>
          </cell>
          <cell r="F912" t="str">
            <v>SHOPPING</v>
          </cell>
          <cell r="G912" t="str">
            <v>AVENIDA JOSE PINHEIRO BORGES, S/N</v>
          </cell>
          <cell r="H912" t="str">
            <v>G35</v>
          </cell>
          <cell r="I912" t="str">
            <v>256 GB</v>
          </cell>
        </row>
        <row r="913">
          <cell r="C913" t="str">
            <v>G35256_SPC9927</v>
          </cell>
          <cell r="D913" t="str">
            <v>CASAS BAHIA - RODOVIA REGIS BITTENCOURT KM 271, 2643 - SHOPPING TABOAO DA SERRA - SPC9927</v>
          </cell>
          <cell r="E913" t="str">
            <v>CASAS BAHIA</v>
          </cell>
          <cell r="F913" t="str">
            <v>SHOPPING</v>
          </cell>
          <cell r="G913" t="str">
            <v>RODOVIA REGIS BITTENCOURT KM 271, 2643</v>
          </cell>
          <cell r="H913" t="str">
            <v>G35</v>
          </cell>
          <cell r="I913" t="str">
            <v>256 GB</v>
          </cell>
        </row>
        <row r="914">
          <cell r="C914" t="str">
            <v>G35256_SPC10966</v>
          </cell>
          <cell r="D914" t="str">
            <v>CASAS BAHIA - ESTRADA DO CAMPO LIMPO, 459 - SHOPPING CAMPO LIMPO - SPC10966</v>
          </cell>
          <cell r="E914" t="str">
            <v>CASAS BAHIA</v>
          </cell>
          <cell r="F914" t="str">
            <v>SHOPPING</v>
          </cell>
          <cell r="G914" t="str">
            <v>ESTRADA DO CAMPO LIMPO, 459</v>
          </cell>
          <cell r="H914" t="str">
            <v>G35</v>
          </cell>
          <cell r="I914" t="str">
            <v>256 GB</v>
          </cell>
        </row>
        <row r="915">
          <cell r="C915" t="str">
            <v>G35256_SPC11008</v>
          </cell>
          <cell r="D915" t="str">
            <v>CASAS BAHIA - LARGO 13 DE MAIO, 308 - ZONA COMERCIAL - SPC11008</v>
          </cell>
          <cell r="E915" t="str">
            <v>CASAS BAHIA</v>
          </cell>
          <cell r="F915" t="str">
            <v>RUA</v>
          </cell>
          <cell r="G915" t="str">
            <v>LARGO 13 DE MAIO, 308</v>
          </cell>
          <cell r="H915" t="str">
            <v>G35</v>
          </cell>
          <cell r="I915" t="str">
            <v>256 GB</v>
          </cell>
        </row>
        <row r="916">
          <cell r="C916" t="str">
            <v>G35256_SPC7621</v>
          </cell>
          <cell r="D916" t="str">
            <v>PONTO FRIO - RUA CAPITAO TIAGO LUZ, 146 - ZONA COMERCIAL - SPC7621</v>
          </cell>
          <cell r="E916" t="str">
            <v xml:space="preserve">PONTO FRIO </v>
          </cell>
          <cell r="F916" t="str">
            <v>RUA</v>
          </cell>
          <cell r="G916" t="str">
            <v>RUA CAPITAO TIAGO LUZ, 146</v>
          </cell>
          <cell r="H916" t="str">
            <v>G35</v>
          </cell>
          <cell r="I916" t="str">
            <v>256 GB</v>
          </cell>
        </row>
        <row r="917">
          <cell r="C917" t="str">
            <v>G35256_SPC6352</v>
          </cell>
          <cell r="D917" t="str">
            <v>CASAS BAHIA - RUA TENENTE AVELAR PIRES DE AZEVEDO, 81 - SHOPPING OSASCO PLAZA - SPC6352</v>
          </cell>
          <cell r="E917" t="str">
            <v>CASAS BAHIA</v>
          </cell>
          <cell r="F917" t="str">
            <v>SHOPPING</v>
          </cell>
          <cell r="G917" t="str">
            <v>RUA TENENTE AVELAR PIRES DE AZEVEDO, 81</v>
          </cell>
          <cell r="H917" t="str">
            <v>G35</v>
          </cell>
          <cell r="I917" t="str">
            <v>256 GB</v>
          </cell>
        </row>
        <row r="918">
          <cell r="C918" t="str">
            <v>G35256_SPC6445</v>
          </cell>
          <cell r="D918" t="str">
            <v>CASAS BAHIA - AVENIDA PIRACEMA, 669 - SHOPPING TAMBORE - SPC6445</v>
          </cell>
          <cell r="E918" t="str">
            <v>CASAS BAHIA</v>
          </cell>
          <cell r="F918" t="str">
            <v>SHOPPING</v>
          </cell>
          <cell r="G918" t="str">
            <v>AVENIDA PIRACEMA, 669</v>
          </cell>
          <cell r="H918" t="str">
            <v>G35</v>
          </cell>
          <cell r="I918" t="str">
            <v>256 GB</v>
          </cell>
        </row>
        <row r="919">
          <cell r="C919" t="str">
            <v>G35256_SPC6397</v>
          </cell>
          <cell r="D919" t="str">
            <v>CASAS BAHIA - AVENIDA DOS AUTONOMISTAS, 1400 - SHOPPING UNIAO - SPC6397</v>
          </cell>
          <cell r="E919" t="str">
            <v>CASAS BAHIA</v>
          </cell>
          <cell r="F919" t="str">
            <v>SHOPPING</v>
          </cell>
          <cell r="G919" t="str">
            <v>AVENIDA DOS AUTONOMISTAS, 1400</v>
          </cell>
          <cell r="H919" t="str">
            <v>G35</v>
          </cell>
          <cell r="I919" t="str">
            <v>256 GB</v>
          </cell>
        </row>
        <row r="920">
          <cell r="C920" t="str">
            <v>G35256_SPC11278</v>
          </cell>
          <cell r="D920" t="str">
            <v>PONTO FRIO - RUA ANTONIO AGU, 155 - ZONA COMERCIAL - SPC11278</v>
          </cell>
          <cell r="E920" t="str">
            <v xml:space="preserve">PONTO FRIO </v>
          </cell>
          <cell r="F920" t="str">
            <v>RUA</v>
          </cell>
          <cell r="G920" t="str">
            <v>RUA ANTONIO AGU, 155</v>
          </cell>
          <cell r="H920" t="str">
            <v>G35</v>
          </cell>
          <cell r="I920" t="str">
            <v>256 GB</v>
          </cell>
        </row>
        <row r="921">
          <cell r="C921" t="str">
            <v>G35256_SPC7644</v>
          </cell>
          <cell r="D921" t="str">
            <v>CASAS BAHIA - TRAVESSA CASALBUONO, 120 - SHOPPING CENTER NORTE - SPC7644</v>
          </cell>
          <cell r="E921" t="str">
            <v>CASAS BAHIA</v>
          </cell>
          <cell r="F921" t="str">
            <v>SHOPPING</v>
          </cell>
          <cell r="G921" t="str">
            <v>TRAVESSA CASALBUONO, 120</v>
          </cell>
          <cell r="H921" t="str">
            <v>G35</v>
          </cell>
          <cell r="I921" t="str">
            <v>256 GB</v>
          </cell>
        </row>
        <row r="922">
          <cell r="C922" t="str">
            <v>G35256_SPC8440</v>
          </cell>
          <cell r="D922" t="str">
            <v>MAGAZINE LUIZA - RUA AMAZONAS DA SILVA, 27 - ZONA COMERCIAL - SPC8440</v>
          </cell>
          <cell r="E922" t="str">
            <v>MAGAZINE LUIZA</v>
          </cell>
          <cell r="F922" t="str">
            <v>RUA</v>
          </cell>
          <cell r="G922" t="str">
            <v>RUA AMAZONAS DA SILVA, 27</v>
          </cell>
          <cell r="H922" t="str">
            <v>G35</v>
          </cell>
          <cell r="I922" t="str">
            <v>256 GB</v>
          </cell>
        </row>
        <row r="923">
          <cell r="C923" t="str">
            <v>G35256_SPC7607</v>
          </cell>
          <cell r="D923" t="str">
            <v>CASAS BAHIA - RODOVIA PRESIDENTE DUTRA KM 230, S/N - SHOPPING INTERNACIONAL GUARULHOS - SPC7607</v>
          </cell>
          <cell r="E923" t="str">
            <v>CASAS BAHIA</v>
          </cell>
          <cell r="F923" t="str">
            <v>SHOPPING</v>
          </cell>
          <cell r="G923" t="str">
            <v>RODOVIA PRESIDENTE DUTRA KM 230, S/N</v>
          </cell>
          <cell r="H923" t="str">
            <v>G35</v>
          </cell>
          <cell r="I923" t="str">
            <v>256 GB</v>
          </cell>
        </row>
        <row r="924">
          <cell r="C924" t="str">
            <v>G35256_SPC11273</v>
          </cell>
          <cell r="D924" t="str">
            <v>CASAS BAHIA - AVENIDA JUSCELINO KUBITSCHEK DE OLIVEIRA, 5308 - SHOPPING BONSUCESSO - SPC11273</v>
          </cell>
          <cell r="E924" t="str">
            <v>CASAS BAHIA</v>
          </cell>
          <cell r="F924" t="str">
            <v>SHOPPING</v>
          </cell>
          <cell r="G924" t="str">
            <v>AVENIDA JUSCELINO KUBITSCHEK DE OLIVEIRA, 5308</v>
          </cell>
          <cell r="H924" t="str">
            <v>G35</v>
          </cell>
          <cell r="I924" t="str">
            <v>256 GB</v>
          </cell>
        </row>
        <row r="925">
          <cell r="C925" t="str">
            <v>G35256_SPC11005</v>
          </cell>
          <cell r="D925" t="str">
            <v>CASAS BAHIA - AVENIDA INDUSTRIAL, 600 - SHOPPING GRAND PLAZA - SPC11005</v>
          </cell>
          <cell r="E925" t="str">
            <v>CASAS BAHIA</v>
          </cell>
          <cell r="F925" t="str">
            <v>SHOPPING</v>
          </cell>
          <cell r="G925" t="str">
            <v>AVENIDA INDUSTRIAL, 600</v>
          </cell>
          <cell r="H925" t="str">
            <v>G35</v>
          </cell>
          <cell r="I925" t="str">
            <v>256 GB</v>
          </cell>
        </row>
        <row r="926">
          <cell r="C926" t="str">
            <v>G35256_SPC8715</v>
          </cell>
          <cell r="D926" t="str">
            <v>CASAS BAHIA - AVENIDA GOVERNADOR MARIO COVAS JUNIOR, 1 - SHOPPING MAUA - SPC8715</v>
          </cell>
          <cell r="E926" t="str">
            <v>CASAS BAHIA</v>
          </cell>
          <cell r="F926" t="str">
            <v>SHOPPING</v>
          </cell>
          <cell r="G926" t="str">
            <v>AVENIDA GOVERNADOR MARIO COVAS JUNIOR, 1</v>
          </cell>
          <cell r="H926" t="str">
            <v>G35</v>
          </cell>
          <cell r="I926" t="str">
            <v>256 GB</v>
          </cell>
        </row>
        <row r="927">
          <cell r="C927" t="str">
            <v>G35256_SPC11374</v>
          </cell>
          <cell r="D927" t="str">
            <v>CASAS BAHIA - AVENIDA PEREIRA BARRETO, 42 - SHOPPING ABC - SPC11374</v>
          </cell>
          <cell r="E927" t="str">
            <v>CASAS BAHIA</v>
          </cell>
          <cell r="F927" t="str">
            <v>SHOPPING</v>
          </cell>
          <cell r="G927" t="str">
            <v>AVENIDA PEREIRA BARRETO, 42</v>
          </cell>
          <cell r="H927" t="str">
            <v>G35</v>
          </cell>
          <cell r="I927" t="str">
            <v>256 GB</v>
          </cell>
        </row>
        <row r="928">
          <cell r="C928" t="str">
            <v>G35256_SPC6700</v>
          </cell>
          <cell r="D928" t="str">
            <v>CASAS BAHIA - RUA MARECHAL DEODORO, 987 - ZONA COMERCIAL - SPC6700</v>
          </cell>
          <cell r="E928" t="str">
            <v>CASAS BAHIA</v>
          </cell>
          <cell r="F928" t="str">
            <v>RUA</v>
          </cell>
          <cell r="G928" t="str">
            <v>RUA MARECHAL DEODORO, 987</v>
          </cell>
          <cell r="H928" t="str">
            <v>G35</v>
          </cell>
          <cell r="I928" t="str">
            <v>256 GB</v>
          </cell>
        </row>
        <row r="929">
          <cell r="C929" t="str">
            <v>G35256_SPC7069</v>
          </cell>
          <cell r="D929" t="str">
            <v>CASAS BAHIA - RUA DOMINGOS DE MORAIS, 2564 - SHOPPING METRO SANTA CRUZ - SPC7069</v>
          </cell>
          <cell r="E929" t="str">
            <v>CASAS BAHIA</v>
          </cell>
          <cell r="F929" t="str">
            <v>SHOPPING</v>
          </cell>
          <cell r="G929" t="str">
            <v>RUA DOMINGOS DE MORAIS, 2564</v>
          </cell>
          <cell r="H929" t="str">
            <v>G35</v>
          </cell>
          <cell r="I929" t="str">
            <v>256 GB</v>
          </cell>
        </row>
        <row r="930">
          <cell r="C930" t="str">
            <v>G35256_SPC6505</v>
          </cell>
          <cell r="D930" t="str">
            <v>CASAS BAHIA - RUA TEODORO SAMPAIO, 2522 - ZONA COMERCIAL - SPC6505</v>
          </cell>
          <cell r="E930" t="str">
            <v>CASAS BAHIA</v>
          </cell>
          <cell r="F930" t="str">
            <v>RUA</v>
          </cell>
          <cell r="G930" t="str">
            <v>RUA TEODORO SAMPAIO, 2522</v>
          </cell>
          <cell r="H930" t="str">
            <v>G35</v>
          </cell>
          <cell r="I930" t="str">
            <v>256 GB</v>
          </cell>
        </row>
        <row r="931">
          <cell r="C931" t="str">
            <v>G35256_SPC234770</v>
          </cell>
          <cell r="D931" t="str">
            <v>CASAS BAHIA - ESTRADA DA COLINA, 1048 - SPC234770</v>
          </cell>
          <cell r="E931" t="str">
            <v>CASAS BAHIA</v>
          </cell>
          <cell r="F931" t="str">
            <v>RUA</v>
          </cell>
          <cell r="G931" t="str">
            <v>ESTRADA DA COLINA, 1048</v>
          </cell>
          <cell r="H931" t="str">
            <v>G35</v>
          </cell>
          <cell r="I931" t="str">
            <v>256 GB</v>
          </cell>
        </row>
        <row r="932">
          <cell r="C932" t="str">
            <v>G35128_SPC7613</v>
          </cell>
          <cell r="D932" t="str">
            <v>CASAS BAHIA - AVENIDA INTERLAGOS, 2255 - SHOPPING INTERLAGOS - SPC7613</v>
          </cell>
          <cell r="E932" t="str">
            <v>CASAS BAHIA</v>
          </cell>
          <cell r="F932" t="str">
            <v>SHOPPING</v>
          </cell>
          <cell r="G932" t="str">
            <v>AVENIDA INTERLAGOS, 2255</v>
          </cell>
          <cell r="H932" t="str">
            <v>G35</v>
          </cell>
          <cell r="I932" t="str">
            <v>128 GB</v>
          </cell>
        </row>
        <row r="933">
          <cell r="C933" t="str">
            <v>G35128_SPC7612</v>
          </cell>
          <cell r="D933" t="str">
            <v>PONTO FRIO - AVENIDA INTERLAGOS, 2255 - SHOPPING INTERLAGOS - SPC7612</v>
          </cell>
          <cell r="E933" t="str">
            <v xml:space="preserve">PONTO FRIO </v>
          </cell>
          <cell r="F933" t="str">
            <v>SHOPPING</v>
          </cell>
          <cell r="G933" t="str">
            <v>AVENIDA INTERLAGOS, 2255</v>
          </cell>
          <cell r="H933" t="str">
            <v>G35</v>
          </cell>
          <cell r="I933" t="str">
            <v>128 GB</v>
          </cell>
        </row>
        <row r="934">
          <cell r="C934" t="str">
            <v>G35128_SPC7614</v>
          </cell>
          <cell r="D934" t="str">
            <v>LOJAS AMERICANAS - AVENIDA INTERLAGOS, 2255 - SHOPPING INTERLAGOS - SPC7614</v>
          </cell>
          <cell r="E934" t="str">
            <v>LOJAS AMERICANAS</v>
          </cell>
          <cell r="F934" t="str">
            <v>SHOPPING</v>
          </cell>
          <cell r="G934" t="str">
            <v>AVENIDA INTERLAGOS, 2255</v>
          </cell>
          <cell r="H934" t="str">
            <v>G35</v>
          </cell>
          <cell r="I934" t="str">
            <v>128 GB</v>
          </cell>
        </row>
        <row r="935">
          <cell r="C935" t="str">
            <v>G35128_SPC11232</v>
          </cell>
          <cell r="D935" t="str">
            <v>CASAS BAHIA - PRACA FLORIANO PEIXOTO, 38 - ZONA COMERCIAL - SPC11232</v>
          </cell>
          <cell r="E935" t="str">
            <v>CASAS BAHIA</v>
          </cell>
          <cell r="F935" t="str">
            <v>RUA</v>
          </cell>
          <cell r="G935" t="str">
            <v>PRACA FLORIANO PEIXOTO, 38</v>
          </cell>
          <cell r="H935" t="str">
            <v>G35</v>
          </cell>
          <cell r="I935" t="str">
            <v>128 GB</v>
          </cell>
        </row>
        <row r="936">
          <cell r="C936" t="str">
            <v>G35128_SPC287350</v>
          </cell>
          <cell r="D936" t="str">
            <v>CASAS BAHIA - AVENIDA NACOES UNIDAS, 12995 - SPC287350</v>
          </cell>
          <cell r="E936" t="str">
            <v>CASAS BAHIA</v>
          </cell>
          <cell r="F936" t="str">
            <v>RUA</v>
          </cell>
          <cell r="G936" t="str">
            <v>AVENIDA NACOES UNIDAS, 12995</v>
          </cell>
          <cell r="H936" t="str">
            <v>G35</v>
          </cell>
          <cell r="I936" t="str">
            <v>128 GB</v>
          </cell>
        </row>
        <row r="937">
          <cell r="C937" t="str">
            <v>G35128_SPC252260</v>
          </cell>
          <cell r="D937" t="str">
            <v>CASAS BAHIA - AVENIDA EMBAIXADOR MACEDO SOARES, 9175 - SPC252260</v>
          </cell>
          <cell r="E937" t="str">
            <v>CASAS BAHIA</v>
          </cell>
          <cell r="F937" t="str">
            <v>RUA</v>
          </cell>
          <cell r="G937" t="str">
            <v>AVENIDA EMBAIXADOR MACEDO SOARES, 9175</v>
          </cell>
          <cell r="H937" t="str">
            <v>G35</v>
          </cell>
          <cell r="I937" t="str">
            <v>128 GB</v>
          </cell>
        </row>
        <row r="938">
          <cell r="C938" t="str">
            <v>G35128_SPC22892</v>
          </cell>
          <cell r="D938" t="str">
            <v>CASAS BAHIA - AVENIDA ARICANDUVA, 5555 (LOJA 2) - SHOPPING ARICANDUVA - SPC22892</v>
          </cell>
          <cell r="E938" t="str">
            <v>CASAS BAHIA</v>
          </cell>
          <cell r="F938" t="str">
            <v>SHOPPING</v>
          </cell>
          <cell r="G938" t="str">
            <v>AVENIDA ARICANDUVA, 5555 (LOJA 2)</v>
          </cell>
          <cell r="H938" t="str">
            <v>G35</v>
          </cell>
          <cell r="I938" t="str">
            <v>128 GB</v>
          </cell>
        </row>
        <row r="939">
          <cell r="C939" t="str">
            <v>G35128_SPC7610</v>
          </cell>
          <cell r="D939" t="str">
            <v>CASAS BAHIA - AVENIDA ARICANDUVA, 5555 (LOJA 1) - SHOPPING ARICANDUVA - SPC7610</v>
          </cell>
          <cell r="E939" t="str">
            <v>CASAS BAHIA</v>
          </cell>
          <cell r="F939" t="str">
            <v>SHOPPING</v>
          </cell>
          <cell r="G939" t="str">
            <v>AVENIDA ARICANDUVA, 5555 (LOJA 1)</v>
          </cell>
          <cell r="H939" t="str">
            <v>G35</v>
          </cell>
          <cell r="I939" t="str">
            <v>128 GB</v>
          </cell>
        </row>
        <row r="940">
          <cell r="C940" t="str">
            <v>G35128_SPC8803</v>
          </cell>
          <cell r="D940" t="str">
            <v>PONTO FRIO - AVENIDA ARICANDUVA, 5555 (LOJA 2) - SHOPPING ARICANDUVA - SPC8803</v>
          </cell>
          <cell r="E940" t="str">
            <v xml:space="preserve">PONTO FRIO </v>
          </cell>
          <cell r="F940" t="str">
            <v>SHOPPING</v>
          </cell>
          <cell r="G940" t="str">
            <v>AVENIDA ARICANDUVA, 5555 (LOJA 2)</v>
          </cell>
          <cell r="H940" t="str">
            <v>G35</v>
          </cell>
          <cell r="I940" t="str">
            <v>128 GB</v>
          </cell>
        </row>
        <row r="941">
          <cell r="C941" t="str">
            <v>G35128_SPC6374</v>
          </cell>
          <cell r="D941" t="str">
            <v>MAGAZINE LUIZA - AVENIDA ARICANDUVA, 5555 - SHOPPING ARICANDUVA - SPC6374</v>
          </cell>
          <cell r="E941" t="str">
            <v>MAGAZINE LUIZA</v>
          </cell>
          <cell r="F941" t="str">
            <v>SHOPPING</v>
          </cell>
          <cell r="G941" t="str">
            <v>AVENIDA ARICANDUVA, 5555</v>
          </cell>
          <cell r="H941" t="str">
            <v>G35</v>
          </cell>
          <cell r="I941" t="str">
            <v>128 GB</v>
          </cell>
        </row>
        <row r="942">
          <cell r="C942" t="str">
            <v>G35128_SPC7759</v>
          </cell>
          <cell r="D942" t="str">
            <v>CASAS BAHIA - AVENIDA JOSE PINHEIRO BORGES, S/N - SHOPPING METRO ITAQUERA - SPC7759</v>
          </cell>
          <cell r="E942" t="str">
            <v>CASAS BAHIA</v>
          </cell>
          <cell r="F942" t="str">
            <v>SHOPPING</v>
          </cell>
          <cell r="G942" t="str">
            <v>AVENIDA JOSE PINHEIRO BORGES, S/N</v>
          </cell>
          <cell r="H942" t="str">
            <v>G35</v>
          </cell>
          <cell r="I942" t="str">
            <v>128 GB</v>
          </cell>
        </row>
        <row r="943">
          <cell r="C943" t="str">
            <v>G35128_SPC9927</v>
          </cell>
          <cell r="D943" t="str">
            <v>CASAS BAHIA - RODOVIA REGIS BITTENCOURT KM 271, 2643 - SHOPPING TABOAO DA SERRA - SPC9927</v>
          </cell>
          <cell r="E943" t="str">
            <v>CASAS BAHIA</v>
          </cell>
          <cell r="F943" t="str">
            <v>SHOPPING</v>
          </cell>
          <cell r="G943" t="str">
            <v>RODOVIA REGIS BITTENCOURT KM 271, 2643</v>
          </cell>
          <cell r="H943" t="str">
            <v>G35</v>
          </cell>
          <cell r="I943" t="str">
            <v>128 GB</v>
          </cell>
        </row>
        <row r="944">
          <cell r="C944" t="str">
            <v>G35128_SPC10966</v>
          </cell>
          <cell r="D944" t="str">
            <v>CASAS BAHIA - ESTRADA DO CAMPO LIMPO, 459 - SHOPPING CAMPO LIMPO - SPC10966</v>
          </cell>
          <cell r="E944" t="str">
            <v>CASAS BAHIA</v>
          </cell>
          <cell r="F944" t="str">
            <v>SHOPPING</v>
          </cell>
          <cell r="G944" t="str">
            <v>ESTRADA DO CAMPO LIMPO, 459</v>
          </cell>
          <cell r="H944" t="str">
            <v>G35</v>
          </cell>
          <cell r="I944" t="str">
            <v>128 GB</v>
          </cell>
        </row>
        <row r="945">
          <cell r="C945" t="str">
            <v>G35128_SPC11008</v>
          </cell>
          <cell r="D945" t="str">
            <v>CASAS BAHIA - LARGO 13 DE MAIO, 308 - ZONA COMERCIAL - SPC11008</v>
          </cell>
          <cell r="E945" t="str">
            <v>CASAS BAHIA</v>
          </cell>
          <cell r="F945" t="str">
            <v>RUA</v>
          </cell>
          <cell r="G945" t="str">
            <v>LARGO 13 DE MAIO, 308</v>
          </cell>
          <cell r="H945" t="str">
            <v>G35</v>
          </cell>
          <cell r="I945" t="str">
            <v>128 GB</v>
          </cell>
        </row>
        <row r="946">
          <cell r="C946" t="str">
            <v>G35128_SPC7621</v>
          </cell>
          <cell r="D946" t="str">
            <v>PONTO FRIO - RUA CAPITAO TIAGO LUZ, 146 - ZONA COMERCIAL - SPC7621</v>
          </cell>
          <cell r="E946" t="str">
            <v xml:space="preserve">PONTO FRIO </v>
          </cell>
          <cell r="F946" t="str">
            <v>RUA</v>
          </cell>
          <cell r="G946" t="str">
            <v>RUA CAPITAO TIAGO LUZ, 146</v>
          </cell>
          <cell r="H946" t="str">
            <v>G35</v>
          </cell>
          <cell r="I946" t="str">
            <v>128 GB</v>
          </cell>
        </row>
        <row r="947">
          <cell r="C947" t="str">
            <v>G35128_SPC6352</v>
          </cell>
          <cell r="D947" t="str">
            <v>CASAS BAHIA - RUA TENENTE AVELAR PIRES DE AZEVEDO, 81 - SHOPPING OSASCO PLAZA - SPC6352</v>
          </cell>
          <cell r="E947" t="str">
            <v>CASAS BAHIA</v>
          </cell>
          <cell r="F947" t="str">
            <v>SHOPPING</v>
          </cell>
          <cell r="G947" t="str">
            <v>RUA TENENTE AVELAR PIRES DE AZEVEDO, 81</v>
          </cell>
          <cell r="H947" t="str">
            <v>G35</v>
          </cell>
          <cell r="I947" t="str">
            <v>128 GB</v>
          </cell>
        </row>
        <row r="948">
          <cell r="C948" t="str">
            <v>G35128_SPC6445</v>
          </cell>
          <cell r="D948" t="str">
            <v>CASAS BAHIA - AVENIDA PIRACEMA, 669 - SHOPPING TAMBORE - SPC6445</v>
          </cell>
          <cell r="E948" t="str">
            <v>CASAS BAHIA</v>
          </cell>
          <cell r="F948" t="str">
            <v>SHOPPING</v>
          </cell>
          <cell r="G948" t="str">
            <v>AVENIDA PIRACEMA, 669</v>
          </cell>
          <cell r="H948" t="str">
            <v>G35</v>
          </cell>
          <cell r="I948" t="str">
            <v>128 GB</v>
          </cell>
        </row>
        <row r="949">
          <cell r="C949" t="str">
            <v>G35128_SPC6397</v>
          </cell>
          <cell r="D949" t="str">
            <v>CASAS BAHIA - AVENIDA DOS AUTONOMISTAS, 1400 - SHOPPING UNIAO - SPC6397</v>
          </cell>
          <cell r="E949" t="str">
            <v>CASAS BAHIA</v>
          </cell>
          <cell r="F949" t="str">
            <v>SHOPPING</v>
          </cell>
          <cell r="G949" t="str">
            <v>AVENIDA DOS AUTONOMISTAS, 1400</v>
          </cell>
          <cell r="H949" t="str">
            <v>G35</v>
          </cell>
          <cell r="I949" t="str">
            <v>128 GB</v>
          </cell>
        </row>
        <row r="950">
          <cell r="C950" t="str">
            <v>G35128_SPC11278</v>
          </cell>
          <cell r="D950" t="str">
            <v>PONTO FRIO - RUA ANTONIO AGU, 155 - ZONA COMERCIAL - SPC11278</v>
          </cell>
          <cell r="E950" t="str">
            <v xml:space="preserve">PONTO FRIO </v>
          </cell>
          <cell r="F950" t="str">
            <v>RUA</v>
          </cell>
          <cell r="G950" t="str">
            <v>RUA ANTONIO AGU, 155</v>
          </cell>
          <cell r="H950" t="str">
            <v>G35</v>
          </cell>
          <cell r="I950" t="str">
            <v>128 GB</v>
          </cell>
        </row>
        <row r="951">
          <cell r="C951" t="str">
            <v>G35128_SPC7644</v>
          </cell>
          <cell r="D951" t="str">
            <v>CASAS BAHIA - TRAVESSA CASALBUONO, 120 - SHOPPING CENTER NORTE - SPC7644</v>
          </cell>
          <cell r="E951" t="str">
            <v>CASAS BAHIA</v>
          </cell>
          <cell r="F951" t="str">
            <v>SHOPPING</v>
          </cell>
          <cell r="G951" t="str">
            <v>TRAVESSA CASALBUONO, 120</v>
          </cell>
          <cell r="H951" t="str">
            <v>G35</v>
          </cell>
          <cell r="I951" t="str">
            <v>128 GB</v>
          </cell>
        </row>
        <row r="952">
          <cell r="C952" t="str">
            <v>G35128_SPC8440</v>
          </cell>
          <cell r="D952" t="str">
            <v>MAGAZINE LUIZA - RUA AMAZONAS DA SILVA, 27 - ZONA COMERCIAL - SPC8440</v>
          </cell>
          <cell r="E952" t="str">
            <v>MAGAZINE LUIZA</v>
          </cell>
          <cell r="F952" t="str">
            <v>RUA</v>
          </cell>
          <cell r="G952" t="str">
            <v>RUA AMAZONAS DA SILVA, 27</v>
          </cell>
          <cell r="H952" t="str">
            <v>G35</v>
          </cell>
          <cell r="I952" t="str">
            <v>128 GB</v>
          </cell>
        </row>
        <row r="953">
          <cell r="C953" t="str">
            <v>G35128_SPC7607</v>
          </cell>
          <cell r="D953" t="str">
            <v>CASAS BAHIA - RODOVIA PRESIDENTE DUTRA KM 230, S/N - SHOPPING INTERNACIONAL GUARULHOS - SPC7607</v>
          </cell>
          <cell r="E953" t="str">
            <v>CASAS BAHIA</v>
          </cell>
          <cell r="F953" t="str">
            <v>SHOPPING</v>
          </cell>
          <cell r="G953" t="str">
            <v>RODOVIA PRESIDENTE DUTRA KM 230, S/N</v>
          </cell>
          <cell r="H953" t="str">
            <v>G35</v>
          </cell>
          <cell r="I953" t="str">
            <v>128 GB</v>
          </cell>
        </row>
        <row r="954">
          <cell r="C954" t="str">
            <v>G35128_SPC11273</v>
          </cell>
          <cell r="D954" t="str">
            <v>CASAS BAHIA - AVENIDA JUSCELINO KUBITSCHEK DE OLIVEIRA, 5308 - SHOPPING BONSUCESSO - SPC11273</v>
          </cell>
          <cell r="E954" t="str">
            <v>CASAS BAHIA</v>
          </cell>
          <cell r="F954" t="str">
            <v>SHOPPING</v>
          </cell>
          <cell r="G954" t="str">
            <v>AVENIDA JUSCELINO KUBITSCHEK DE OLIVEIRA, 5308</v>
          </cell>
          <cell r="H954" t="str">
            <v>G35</v>
          </cell>
          <cell r="I954" t="str">
            <v>128 GB</v>
          </cell>
        </row>
        <row r="955">
          <cell r="C955" t="str">
            <v>G35128_SPC11005</v>
          </cell>
          <cell r="D955" t="str">
            <v>CASAS BAHIA - AVENIDA INDUSTRIAL, 600 - SHOPPING GRAND PLAZA - SPC11005</v>
          </cell>
          <cell r="E955" t="str">
            <v>CASAS BAHIA</v>
          </cell>
          <cell r="F955" t="str">
            <v>SHOPPING</v>
          </cell>
          <cell r="G955" t="str">
            <v>AVENIDA INDUSTRIAL, 600</v>
          </cell>
          <cell r="H955" t="str">
            <v>G35</v>
          </cell>
          <cell r="I955" t="str">
            <v>128 GB</v>
          </cell>
        </row>
        <row r="956">
          <cell r="C956" t="str">
            <v>G35128_SPC8715</v>
          </cell>
          <cell r="D956" t="str">
            <v>CASAS BAHIA - AVENIDA GOVERNADOR MARIO COVAS JUNIOR, 1 - SHOPPING MAUA - SPC8715</v>
          </cell>
          <cell r="E956" t="str">
            <v>CASAS BAHIA</v>
          </cell>
          <cell r="F956" t="str">
            <v>SHOPPING</v>
          </cell>
          <cell r="G956" t="str">
            <v>AVENIDA GOVERNADOR MARIO COVAS JUNIOR, 1</v>
          </cell>
          <cell r="H956" t="str">
            <v>G35</v>
          </cell>
          <cell r="I956" t="str">
            <v>128 GB</v>
          </cell>
        </row>
        <row r="957">
          <cell r="C957" t="str">
            <v>G35128_SPC11374</v>
          </cell>
          <cell r="D957" t="str">
            <v>CASAS BAHIA - AVENIDA PEREIRA BARRETO, 42 - SHOPPING ABC - SPC11374</v>
          </cell>
          <cell r="E957" t="str">
            <v>CASAS BAHIA</v>
          </cell>
          <cell r="F957" t="str">
            <v>SHOPPING</v>
          </cell>
          <cell r="G957" t="str">
            <v>AVENIDA PEREIRA BARRETO, 42</v>
          </cell>
          <cell r="H957" t="str">
            <v>G35</v>
          </cell>
          <cell r="I957" t="str">
            <v>128 GB</v>
          </cell>
        </row>
        <row r="958">
          <cell r="C958" t="str">
            <v>G35128_SPC6700</v>
          </cell>
          <cell r="D958" t="str">
            <v>CASAS BAHIA - RUA MARECHAL DEODORO, 987 - ZONA COMERCIAL - SPC6700</v>
          </cell>
          <cell r="E958" t="str">
            <v>CASAS BAHIA</v>
          </cell>
          <cell r="F958" t="str">
            <v>RUA</v>
          </cell>
          <cell r="G958" t="str">
            <v>RUA MARECHAL DEODORO, 987</v>
          </cell>
          <cell r="H958" t="str">
            <v>G35</v>
          </cell>
          <cell r="I958" t="str">
            <v>128 GB</v>
          </cell>
        </row>
        <row r="959">
          <cell r="C959" t="str">
            <v>G35128_SPC7069</v>
          </cell>
          <cell r="D959" t="str">
            <v>CASAS BAHIA - RUA DOMINGOS DE MORAIS, 2564 - SHOPPING METRO SANTA CRUZ - SPC7069</v>
          </cell>
          <cell r="E959" t="str">
            <v>CASAS BAHIA</v>
          </cell>
          <cell r="F959" t="str">
            <v>SHOPPING</v>
          </cell>
          <cell r="G959" t="str">
            <v>RUA DOMINGOS DE MORAIS, 2564</v>
          </cell>
          <cell r="H959" t="str">
            <v>G35</v>
          </cell>
          <cell r="I959" t="str">
            <v>128 GB</v>
          </cell>
        </row>
        <row r="960">
          <cell r="C960" t="str">
            <v>G35128_SPC6505</v>
          </cell>
          <cell r="D960" t="str">
            <v>CASAS BAHIA - RUA TEODORO SAMPAIO, 2522 - ZONA COMERCIAL - SPC6505</v>
          </cell>
          <cell r="E960" t="str">
            <v>CASAS BAHIA</v>
          </cell>
          <cell r="F960" t="str">
            <v>RUA</v>
          </cell>
          <cell r="G960" t="str">
            <v>RUA TEODORO SAMPAIO, 2522</v>
          </cell>
          <cell r="H960" t="str">
            <v>G35</v>
          </cell>
          <cell r="I960" t="str">
            <v>128 GB</v>
          </cell>
        </row>
        <row r="961">
          <cell r="C961" t="str">
            <v>G35128_SPC234770</v>
          </cell>
          <cell r="D961" t="str">
            <v>CASAS BAHIA - ESTRADA DA COLINA, 1048 - SPC234770</v>
          </cell>
          <cell r="E961" t="str">
            <v>CASAS BAHIA</v>
          </cell>
          <cell r="F961" t="str">
            <v>RUA</v>
          </cell>
          <cell r="G961" t="str">
            <v>ESTRADA DA COLINA, 1048</v>
          </cell>
          <cell r="H961" t="str">
            <v>G35</v>
          </cell>
          <cell r="I961" t="str">
            <v>128 GB</v>
          </cell>
        </row>
        <row r="962">
          <cell r="C962" t="str">
            <v>G17256_SPC7613</v>
          </cell>
          <cell r="D962" t="str">
            <v>CASAS BAHIA - AVENIDA INTERLAGOS, 2255 - SHOPPING INTERLAGOS - SPC7613</v>
          </cell>
          <cell r="E962" t="str">
            <v>CASAS BAHIA</v>
          </cell>
          <cell r="F962" t="str">
            <v>SHOPPING</v>
          </cell>
          <cell r="G962" t="str">
            <v>AVENIDA INTERLAGOS, 2255</v>
          </cell>
          <cell r="H962" t="str">
            <v>G17</v>
          </cell>
          <cell r="I962" t="str">
            <v>256 GB</v>
          </cell>
        </row>
        <row r="963">
          <cell r="C963" t="str">
            <v>G17256_SPC7612</v>
          </cell>
          <cell r="D963" t="str">
            <v>PONTO FRIO - AVENIDA INTERLAGOS, 2255 - SHOPPING INTERLAGOS - SPC7612</v>
          </cell>
          <cell r="E963" t="str">
            <v xml:space="preserve">PONTO FRIO </v>
          </cell>
          <cell r="F963" t="str">
            <v>SHOPPING</v>
          </cell>
          <cell r="G963" t="str">
            <v>AVENIDA INTERLAGOS, 2255</v>
          </cell>
          <cell r="H963" t="str">
            <v>G17</v>
          </cell>
          <cell r="I963" t="str">
            <v>256 GB</v>
          </cell>
        </row>
        <row r="964">
          <cell r="C964" t="str">
            <v>G17256_SPC7614</v>
          </cell>
          <cell r="D964" t="str">
            <v>LOJAS AMERICANAS - AVENIDA INTERLAGOS, 2255 - SHOPPING INTERLAGOS - SPC7614</v>
          </cell>
          <cell r="E964" t="str">
            <v>LOJAS AMERICANAS</v>
          </cell>
          <cell r="F964" t="str">
            <v>SHOPPING</v>
          </cell>
          <cell r="G964" t="str">
            <v>AVENIDA INTERLAGOS, 2255</v>
          </cell>
          <cell r="H964" t="str">
            <v>G17</v>
          </cell>
          <cell r="I964" t="str">
            <v>256 GB</v>
          </cell>
        </row>
        <row r="965">
          <cell r="C965" t="str">
            <v>G17256_SPC11232</v>
          </cell>
          <cell r="D965" t="str">
            <v>CASAS BAHIA - PRACA FLORIANO PEIXOTO, 38 - ZONA COMERCIAL - SPC11232</v>
          </cell>
          <cell r="E965" t="str">
            <v>CASAS BAHIA</v>
          </cell>
          <cell r="F965" t="str">
            <v>RUA</v>
          </cell>
          <cell r="G965" t="str">
            <v>PRACA FLORIANO PEIXOTO, 38</v>
          </cell>
          <cell r="H965" t="str">
            <v>G17</v>
          </cell>
          <cell r="I965" t="str">
            <v>256 GB</v>
          </cell>
        </row>
        <row r="966">
          <cell r="C966" t="str">
            <v>G17256_SPC287350</v>
          </cell>
          <cell r="D966" t="str">
            <v>CASAS BAHIA - AVENIDA NACOES UNIDAS, 12995 - SPC287350</v>
          </cell>
          <cell r="E966" t="str">
            <v>CASAS BAHIA</v>
          </cell>
          <cell r="F966" t="str">
            <v>RUA</v>
          </cell>
          <cell r="G966" t="str">
            <v>AVENIDA NACOES UNIDAS, 12995</v>
          </cell>
          <cell r="H966" t="str">
            <v>G17</v>
          </cell>
          <cell r="I966" t="str">
            <v>256 GB</v>
          </cell>
        </row>
        <row r="967">
          <cell r="C967" t="str">
            <v>G17256_SPC252260</v>
          </cell>
          <cell r="D967" t="str">
            <v>CASAS BAHIA - AVENIDA EMBAIXADOR MACEDO SOARES, 9175 - SPC252260</v>
          </cell>
          <cell r="E967" t="str">
            <v>CASAS BAHIA</v>
          </cell>
          <cell r="F967" t="str">
            <v>RUA</v>
          </cell>
          <cell r="G967" t="str">
            <v>AVENIDA EMBAIXADOR MACEDO SOARES, 9175</v>
          </cell>
          <cell r="H967" t="str">
            <v>G17</v>
          </cell>
          <cell r="I967" t="str">
            <v>256 GB</v>
          </cell>
        </row>
        <row r="968">
          <cell r="C968" t="str">
            <v>G17256_SPC22892</v>
          </cell>
          <cell r="D968" t="str">
            <v>CASAS BAHIA - AVENIDA ARICANDUVA, 5555 (LOJA 2) - SHOPPING ARICANDUVA - SPC22892</v>
          </cell>
          <cell r="E968" t="str">
            <v>CASAS BAHIA</v>
          </cell>
          <cell r="F968" t="str">
            <v>SHOPPING</v>
          </cell>
          <cell r="G968" t="str">
            <v>AVENIDA ARICANDUVA, 5555 (LOJA 2)</v>
          </cell>
          <cell r="H968" t="str">
            <v>G17</v>
          </cell>
          <cell r="I968" t="str">
            <v>256 GB</v>
          </cell>
        </row>
        <row r="969">
          <cell r="C969" t="str">
            <v>G17256_SPC7610</v>
          </cell>
          <cell r="D969" t="str">
            <v>CASAS BAHIA - AVENIDA ARICANDUVA, 5555 (LOJA 1) - SHOPPING ARICANDUVA - SPC7610</v>
          </cell>
          <cell r="E969" t="str">
            <v>CASAS BAHIA</v>
          </cell>
          <cell r="F969" t="str">
            <v>SHOPPING</v>
          </cell>
          <cell r="G969" t="str">
            <v>AVENIDA ARICANDUVA, 5555 (LOJA 1)</v>
          </cell>
          <cell r="H969" t="str">
            <v>G17</v>
          </cell>
          <cell r="I969" t="str">
            <v>256 GB</v>
          </cell>
        </row>
        <row r="970">
          <cell r="C970" t="str">
            <v>G17256_SPC8803</v>
          </cell>
          <cell r="D970" t="str">
            <v>PONTO FRIO - AVENIDA ARICANDUVA, 5555 (LOJA 2) - SHOPPING ARICANDUVA - SPC8803</v>
          </cell>
          <cell r="E970" t="str">
            <v xml:space="preserve">PONTO FRIO </v>
          </cell>
          <cell r="F970" t="str">
            <v>SHOPPING</v>
          </cell>
          <cell r="G970" t="str">
            <v>AVENIDA ARICANDUVA, 5555 (LOJA 2)</v>
          </cell>
          <cell r="H970" t="str">
            <v>G17</v>
          </cell>
          <cell r="I970" t="str">
            <v>256 GB</v>
          </cell>
        </row>
        <row r="971">
          <cell r="C971" t="str">
            <v>G17256_SPC6374</v>
          </cell>
          <cell r="D971" t="str">
            <v>MAGAZINE LUIZA - AVENIDA ARICANDUVA, 5555 - SHOPPING ARICANDUVA - SPC6374</v>
          </cell>
          <cell r="E971" t="str">
            <v>MAGAZINE LUIZA</v>
          </cell>
          <cell r="F971" t="str">
            <v>SHOPPING</v>
          </cell>
          <cell r="G971" t="str">
            <v>AVENIDA ARICANDUVA, 5555</v>
          </cell>
          <cell r="H971" t="str">
            <v>G17</v>
          </cell>
          <cell r="I971" t="str">
            <v>256 GB</v>
          </cell>
        </row>
        <row r="972">
          <cell r="C972" t="str">
            <v>G17256_SPC7759</v>
          </cell>
          <cell r="D972" t="str">
            <v>CASAS BAHIA - AVENIDA JOSE PINHEIRO BORGES, S/N - SHOPPING METRO ITAQUERA - SPC7759</v>
          </cell>
          <cell r="E972" t="str">
            <v>CASAS BAHIA</v>
          </cell>
          <cell r="F972" t="str">
            <v>SHOPPING</v>
          </cell>
          <cell r="G972" t="str">
            <v>AVENIDA JOSE PINHEIRO BORGES, S/N</v>
          </cell>
          <cell r="H972" t="str">
            <v>G17</v>
          </cell>
          <cell r="I972" t="str">
            <v>256 GB</v>
          </cell>
        </row>
        <row r="973">
          <cell r="C973" t="str">
            <v>G17256_SPC9927</v>
          </cell>
          <cell r="D973" t="str">
            <v>CASAS BAHIA - RODOVIA REGIS BITTENCOURT KM 271, 2643 - SHOPPING TABOAO DA SERRA - SPC9927</v>
          </cell>
          <cell r="E973" t="str">
            <v>CASAS BAHIA</v>
          </cell>
          <cell r="F973" t="str">
            <v>SHOPPING</v>
          </cell>
          <cell r="G973" t="str">
            <v>RODOVIA REGIS BITTENCOURT KM 271, 2643</v>
          </cell>
          <cell r="H973" t="str">
            <v>G17</v>
          </cell>
          <cell r="I973" t="str">
            <v>256 GB</v>
          </cell>
        </row>
        <row r="974">
          <cell r="C974" t="str">
            <v>G17256_SPC10966</v>
          </cell>
          <cell r="D974" t="str">
            <v>CASAS BAHIA - ESTRADA DO CAMPO LIMPO, 459 - SHOPPING CAMPO LIMPO - SPC10966</v>
          </cell>
          <cell r="E974" t="str">
            <v>CASAS BAHIA</v>
          </cell>
          <cell r="F974" t="str">
            <v>SHOPPING</v>
          </cell>
          <cell r="G974" t="str">
            <v>ESTRADA DO CAMPO LIMPO, 459</v>
          </cell>
          <cell r="H974" t="str">
            <v>G17</v>
          </cell>
          <cell r="I974" t="str">
            <v>256 GB</v>
          </cell>
        </row>
        <row r="975">
          <cell r="C975" t="str">
            <v>G17256_SPC11008</v>
          </cell>
          <cell r="D975" t="str">
            <v>CASAS BAHIA - LARGO 13 DE MAIO, 308 - ZONA COMERCIAL - SPC11008</v>
          </cell>
          <cell r="E975" t="str">
            <v>CASAS BAHIA</v>
          </cell>
          <cell r="F975" t="str">
            <v>RUA</v>
          </cell>
          <cell r="G975" t="str">
            <v>LARGO 13 DE MAIO, 308</v>
          </cell>
          <cell r="H975" t="str">
            <v>G17</v>
          </cell>
          <cell r="I975" t="str">
            <v>256 GB</v>
          </cell>
        </row>
        <row r="976">
          <cell r="C976" t="str">
            <v>G17256_SPC7621</v>
          </cell>
          <cell r="D976" t="str">
            <v>PONTO FRIO - RUA CAPITAO TIAGO LUZ, 146 - ZONA COMERCIAL - SPC7621</v>
          </cell>
          <cell r="E976" t="str">
            <v xml:space="preserve">PONTO FRIO </v>
          </cell>
          <cell r="F976" t="str">
            <v>RUA</v>
          </cell>
          <cell r="G976" t="str">
            <v>RUA CAPITAO TIAGO LUZ, 146</v>
          </cell>
          <cell r="H976" t="str">
            <v>G17</v>
          </cell>
          <cell r="I976" t="str">
            <v>256 GB</v>
          </cell>
        </row>
        <row r="977">
          <cell r="C977" t="str">
            <v>G17256_SPC6352</v>
          </cell>
          <cell r="D977" t="str">
            <v>CASAS BAHIA - RUA TENENTE AVELAR PIRES DE AZEVEDO, 81 - SHOPPING OSASCO PLAZA - SPC6352</v>
          </cell>
          <cell r="E977" t="str">
            <v>CASAS BAHIA</v>
          </cell>
          <cell r="F977" t="str">
            <v>SHOPPING</v>
          </cell>
          <cell r="G977" t="str">
            <v>RUA TENENTE AVELAR PIRES DE AZEVEDO, 81</v>
          </cell>
          <cell r="H977" t="str">
            <v>G17</v>
          </cell>
          <cell r="I977" t="str">
            <v>256 GB</v>
          </cell>
        </row>
        <row r="978">
          <cell r="C978" t="str">
            <v>G17256_SPC6445</v>
          </cell>
          <cell r="D978" t="str">
            <v>CASAS BAHIA - AVENIDA PIRACEMA, 669 - SHOPPING TAMBORE - SPC6445</v>
          </cell>
          <cell r="E978" t="str">
            <v>CASAS BAHIA</v>
          </cell>
          <cell r="F978" t="str">
            <v>SHOPPING</v>
          </cell>
          <cell r="G978" t="str">
            <v>AVENIDA PIRACEMA, 669</v>
          </cell>
          <cell r="H978" t="str">
            <v>G17</v>
          </cell>
          <cell r="I978" t="str">
            <v>256 GB</v>
          </cell>
        </row>
        <row r="979">
          <cell r="C979" t="str">
            <v>G17256_SPC6397</v>
          </cell>
          <cell r="D979" t="str">
            <v>CASAS BAHIA - AVENIDA DOS AUTONOMISTAS, 1400 - SHOPPING UNIAO - SPC6397</v>
          </cell>
          <cell r="E979" t="str">
            <v>CASAS BAHIA</v>
          </cell>
          <cell r="F979" t="str">
            <v>SHOPPING</v>
          </cell>
          <cell r="G979" t="str">
            <v>AVENIDA DOS AUTONOMISTAS, 1400</v>
          </cell>
          <cell r="H979" t="str">
            <v>G17</v>
          </cell>
          <cell r="I979" t="str">
            <v>256 GB</v>
          </cell>
        </row>
        <row r="980">
          <cell r="C980" t="str">
            <v>G17256_SPC11278</v>
          </cell>
          <cell r="D980" t="str">
            <v>PONTO FRIO - RUA ANTONIO AGU, 155 - ZONA COMERCIAL - SPC11278</v>
          </cell>
          <cell r="E980" t="str">
            <v xml:space="preserve">PONTO FRIO </v>
          </cell>
          <cell r="F980" t="str">
            <v>RUA</v>
          </cell>
          <cell r="G980" t="str">
            <v>RUA ANTONIO AGU, 155</v>
          </cell>
          <cell r="H980" t="str">
            <v>G17</v>
          </cell>
          <cell r="I980" t="str">
            <v>256 GB</v>
          </cell>
        </row>
        <row r="981">
          <cell r="C981" t="str">
            <v>G17256_SPC7644</v>
          </cell>
          <cell r="D981" t="str">
            <v>CASAS BAHIA - TRAVESSA CASALBUONO, 120 - SHOPPING CENTER NORTE - SPC7644</v>
          </cell>
          <cell r="E981" t="str">
            <v>CASAS BAHIA</v>
          </cell>
          <cell r="F981" t="str">
            <v>SHOPPING</v>
          </cell>
          <cell r="G981" t="str">
            <v>TRAVESSA CASALBUONO, 120</v>
          </cell>
          <cell r="H981" t="str">
            <v>G17</v>
          </cell>
          <cell r="I981" t="str">
            <v>256 GB</v>
          </cell>
        </row>
        <row r="982">
          <cell r="C982" t="str">
            <v>G17256_SPC8440</v>
          </cell>
          <cell r="D982" t="str">
            <v>MAGAZINE LUIZA - RUA AMAZONAS DA SILVA, 27 - ZONA COMERCIAL - SPC8440</v>
          </cell>
          <cell r="E982" t="str">
            <v>MAGAZINE LUIZA</v>
          </cell>
          <cell r="F982" t="str">
            <v>RUA</v>
          </cell>
          <cell r="G982" t="str">
            <v>RUA AMAZONAS DA SILVA, 27</v>
          </cell>
          <cell r="H982" t="str">
            <v>G17</v>
          </cell>
          <cell r="I982" t="str">
            <v>256 GB</v>
          </cell>
        </row>
        <row r="983">
          <cell r="C983" t="str">
            <v>G17256_SPC7607</v>
          </cell>
          <cell r="D983" t="str">
            <v>CASAS BAHIA - RODOVIA PRESIDENTE DUTRA KM 230, S/N - SHOPPING INTERNACIONAL GUARULHOS - SPC7607</v>
          </cell>
          <cell r="E983" t="str">
            <v>CASAS BAHIA</v>
          </cell>
          <cell r="F983" t="str">
            <v>SHOPPING</v>
          </cell>
          <cell r="G983" t="str">
            <v>RODOVIA PRESIDENTE DUTRA KM 230, S/N</v>
          </cell>
          <cell r="H983" t="str">
            <v>G17</v>
          </cell>
          <cell r="I983" t="str">
            <v>256 GB</v>
          </cell>
        </row>
        <row r="984">
          <cell r="C984" t="str">
            <v>G17256_SPC11273</v>
          </cell>
          <cell r="D984" t="str">
            <v>CASAS BAHIA - AVENIDA JUSCELINO KUBITSCHEK DE OLIVEIRA, 5308 - SHOPPING BONSUCESSO - SPC11273</v>
          </cell>
          <cell r="E984" t="str">
            <v>CASAS BAHIA</v>
          </cell>
          <cell r="F984" t="str">
            <v>SHOPPING</v>
          </cell>
          <cell r="G984" t="str">
            <v>AVENIDA JUSCELINO KUBITSCHEK DE OLIVEIRA, 5308</v>
          </cell>
          <cell r="H984" t="str">
            <v>G17</v>
          </cell>
          <cell r="I984" t="str">
            <v>256 GB</v>
          </cell>
        </row>
        <row r="985">
          <cell r="C985" t="str">
            <v>G17256_SPC11005</v>
          </cell>
          <cell r="D985" t="str">
            <v>CASAS BAHIA - AVENIDA INDUSTRIAL, 600 - SHOPPING GRAND PLAZA - SPC11005</v>
          </cell>
          <cell r="E985" t="str">
            <v>CASAS BAHIA</v>
          </cell>
          <cell r="F985" t="str">
            <v>SHOPPING</v>
          </cell>
          <cell r="G985" t="str">
            <v>AVENIDA INDUSTRIAL, 600</v>
          </cell>
          <cell r="H985" t="str">
            <v>G17</v>
          </cell>
          <cell r="I985" t="str">
            <v>256 GB</v>
          </cell>
        </row>
        <row r="986">
          <cell r="C986" t="str">
            <v>G17256_SPC8715</v>
          </cell>
          <cell r="D986" t="str">
            <v>CASAS BAHIA - AVENIDA GOVERNADOR MARIO COVAS JUNIOR, 1 - SHOPPING MAUA - SPC8715</v>
          </cell>
          <cell r="E986" t="str">
            <v>CASAS BAHIA</v>
          </cell>
          <cell r="F986" t="str">
            <v>SHOPPING</v>
          </cell>
          <cell r="G986" t="str">
            <v>AVENIDA GOVERNADOR MARIO COVAS JUNIOR, 1</v>
          </cell>
          <cell r="H986" t="str">
            <v>G17</v>
          </cell>
          <cell r="I986" t="str">
            <v>256 GB</v>
          </cell>
        </row>
        <row r="987">
          <cell r="C987" t="str">
            <v>G17256_SPC11374</v>
          </cell>
          <cell r="D987" t="str">
            <v>CASAS BAHIA - AVENIDA PEREIRA BARRETO, 42 - SHOPPING ABC - SPC11374</v>
          </cell>
          <cell r="E987" t="str">
            <v>CASAS BAHIA</v>
          </cell>
          <cell r="F987" t="str">
            <v>SHOPPING</v>
          </cell>
          <cell r="G987" t="str">
            <v>AVENIDA PEREIRA BARRETO, 42</v>
          </cell>
          <cell r="H987" t="str">
            <v>G17</v>
          </cell>
          <cell r="I987" t="str">
            <v>256 GB</v>
          </cell>
        </row>
        <row r="988">
          <cell r="C988" t="str">
            <v>G17256_SPC6700</v>
          </cell>
          <cell r="D988" t="str">
            <v>CASAS BAHIA - RUA MARECHAL DEODORO, 987 - ZONA COMERCIAL - SPC6700</v>
          </cell>
          <cell r="E988" t="str">
            <v>CASAS BAHIA</v>
          </cell>
          <cell r="F988" t="str">
            <v>RUA</v>
          </cell>
          <cell r="G988" t="str">
            <v>RUA MARECHAL DEODORO, 987</v>
          </cell>
          <cell r="H988" t="str">
            <v>G17</v>
          </cell>
          <cell r="I988" t="str">
            <v>256 GB</v>
          </cell>
        </row>
        <row r="989">
          <cell r="C989" t="str">
            <v>G17256_SPC7069</v>
          </cell>
          <cell r="D989" t="str">
            <v>CASAS BAHIA - RUA DOMINGOS DE MORAIS, 2564 - SHOPPING METRO SANTA CRUZ - SPC7069</v>
          </cell>
          <cell r="E989" t="str">
            <v>CASAS BAHIA</v>
          </cell>
          <cell r="F989" t="str">
            <v>SHOPPING</v>
          </cell>
          <cell r="G989" t="str">
            <v>RUA DOMINGOS DE MORAIS, 2564</v>
          </cell>
          <cell r="H989" t="str">
            <v>G17</v>
          </cell>
          <cell r="I989" t="str">
            <v>256 GB</v>
          </cell>
        </row>
        <row r="990">
          <cell r="C990" t="str">
            <v>G17256_SPC6505</v>
          </cell>
          <cell r="D990" t="str">
            <v>CASAS BAHIA - RUA TEODORO SAMPAIO, 2522 - ZONA COMERCIAL - SPC6505</v>
          </cell>
          <cell r="E990" t="str">
            <v>CASAS BAHIA</v>
          </cell>
          <cell r="F990" t="str">
            <v>RUA</v>
          </cell>
          <cell r="G990" t="str">
            <v>RUA TEODORO SAMPAIO, 2522</v>
          </cell>
          <cell r="H990" t="str">
            <v>G17</v>
          </cell>
          <cell r="I990" t="str">
            <v>256 GB</v>
          </cell>
        </row>
        <row r="991">
          <cell r="C991" t="str">
            <v>G17256_SPC234770</v>
          </cell>
          <cell r="D991" t="str">
            <v>CASAS BAHIA - ESTRADA DA COLINA, 1048 - SPC234770</v>
          </cell>
          <cell r="E991" t="str">
            <v>CASAS BAHIA</v>
          </cell>
          <cell r="F991" t="str">
            <v>RUA</v>
          </cell>
          <cell r="G991" t="str">
            <v>ESTRADA DA COLINA, 1048</v>
          </cell>
          <cell r="H991" t="str">
            <v>G17</v>
          </cell>
          <cell r="I991" t="str">
            <v>256 GB</v>
          </cell>
        </row>
        <row r="992">
          <cell r="C992" t="str">
            <v>G17128_SPC7613</v>
          </cell>
          <cell r="D992" t="str">
            <v>CASAS BAHIA - AVENIDA INTERLAGOS, 2255 - SHOPPING INTERLAGOS - SPC7613</v>
          </cell>
          <cell r="E992" t="str">
            <v>CASAS BAHIA</v>
          </cell>
          <cell r="F992" t="str">
            <v>SHOPPING</v>
          </cell>
          <cell r="G992" t="str">
            <v>AVENIDA INTERLAGOS, 2255</v>
          </cell>
          <cell r="H992" t="str">
            <v>G17</v>
          </cell>
          <cell r="I992" t="str">
            <v>128 GB</v>
          </cell>
        </row>
        <row r="993">
          <cell r="C993" t="str">
            <v>G17128_SPC7612</v>
          </cell>
          <cell r="D993" t="str">
            <v>PONTO FRIO - AVENIDA INTERLAGOS, 2255 - SHOPPING INTERLAGOS - SPC7612</v>
          </cell>
          <cell r="E993" t="str">
            <v xml:space="preserve">PONTO FRIO </v>
          </cell>
          <cell r="F993" t="str">
            <v>SHOPPING</v>
          </cell>
          <cell r="G993" t="str">
            <v>AVENIDA INTERLAGOS, 2255</v>
          </cell>
          <cell r="H993" t="str">
            <v>G17</v>
          </cell>
          <cell r="I993" t="str">
            <v>128 GB</v>
          </cell>
        </row>
        <row r="994">
          <cell r="C994" t="str">
            <v>G17128_SPC7614</v>
          </cell>
          <cell r="D994" t="str">
            <v>LOJAS AMERICANAS - AVENIDA INTERLAGOS, 2255 - SHOPPING INTERLAGOS - SPC7614</v>
          </cell>
          <cell r="E994" t="str">
            <v>LOJAS AMERICANAS</v>
          </cell>
          <cell r="F994" t="str">
            <v>SHOPPING</v>
          </cell>
          <cell r="G994" t="str">
            <v>AVENIDA INTERLAGOS, 2255</v>
          </cell>
          <cell r="H994" t="str">
            <v>G17</v>
          </cell>
          <cell r="I994" t="str">
            <v>128 GB</v>
          </cell>
        </row>
        <row r="995">
          <cell r="C995" t="str">
            <v>G17128_SPC11232</v>
          </cell>
          <cell r="D995" t="str">
            <v>CASAS BAHIA - PRACA FLORIANO PEIXOTO, 38 - ZONA COMERCIAL - SPC11232</v>
          </cell>
          <cell r="E995" t="str">
            <v>CASAS BAHIA</v>
          </cell>
          <cell r="F995" t="str">
            <v>RUA</v>
          </cell>
          <cell r="G995" t="str">
            <v>PRACA FLORIANO PEIXOTO, 38</v>
          </cell>
          <cell r="H995" t="str">
            <v>G17</v>
          </cell>
          <cell r="I995" t="str">
            <v>128 GB</v>
          </cell>
        </row>
        <row r="996">
          <cell r="C996" t="str">
            <v>G17128_SPC287350</v>
          </cell>
          <cell r="D996" t="str">
            <v>CASAS BAHIA - AVENIDA NACOES UNIDAS, 12995 - SPC287350</v>
          </cell>
          <cell r="E996" t="str">
            <v>CASAS BAHIA</v>
          </cell>
          <cell r="F996" t="str">
            <v>RUA</v>
          </cell>
          <cell r="G996" t="str">
            <v>AVENIDA NACOES UNIDAS, 12995</v>
          </cell>
          <cell r="H996" t="str">
            <v>G17</v>
          </cell>
          <cell r="I996" t="str">
            <v>128 GB</v>
          </cell>
        </row>
        <row r="997">
          <cell r="C997" t="str">
            <v>G17128_SPC252260</v>
          </cell>
          <cell r="D997" t="str">
            <v>CASAS BAHIA - AVENIDA EMBAIXADOR MACEDO SOARES, 9175 - SPC252260</v>
          </cell>
          <cell r="E997" t="str">
            <v>CASAS BAHIA</v>
          </cell>
          <cell r="F997" t="str">
            <v>RUA</v>
          </cell>
          <cell r="G997" t="str">
            <v>AVENIDA EMBAIXADOR MACEDO SOARES, 9175</v>
          </cell>
          <cell r="H997" t="str">
            <v>G17</v>
          </cell>
          <cell r="I997" t="str">
            <v>128 GB</v>
          </cell>
        </row>
        <row r="998">
          <cell r="C998" t="str">
            <v>G17128_SPC22892</v>
          </cell>
          <cell r="D998" t="str">
            <v>CASAS BAHIA - AVENIDA ARICANDUVA, 5555 (LOJA 2) - SHOPPING ARICANDUVA - SPC22892</v>
          </cell>
          <cell r="E998" t="str">
            <v>CASAS BAHIA</v>
          </cell>
          <cell r="F998" t="str">
            <v>SHOPPING</v>
          </cell>
          <cell r="G998" t="str">
            <v>AVENIDA ARICANDUVA, 5555 (LOJA 2)</v>
          </cell>
          <cell r="H998" t="str">
            <v>G17</v>
          </cell>
          <cell r="I998" t="str">
            <v>128 GB</v>
          </cell>
        </row>
        <row r="999">
          <cell r="C999" t="str">
            <v>G17128_SPC7610</v>
          </cell>
          <cell r="D999" t="str">
            <v>CASAS BAHIA - AVENIDA ARICANDUVA, 5555 (LOJA 1) - SHOPPING ARICANDUVA - SPC7610</v>
          </cell>
          <cell r="E999" t="str">
            <v>CASAS BAHIA</v>
          </cell>
          <cell r="F999" t="str">
            <v>SHOPPING</v>
          </cell>
          <cell r="G999" t="str">
            <v>AVENIDA ARICANDUVA, 5555 (LOJA 1)</v>
          </cell>
          <cell r="H999" t="str">
            <v>G17</v>
          </cell>
          <cell r="I999" t="str">
            <v>128 GB</v>
          </cell>
        </row>
        <row r="1000">
          <cell r="C1000" t="str">
            <v>G17128_SPC8803</v>
          </cell>
          <cell r="D1000" t="str">
            <v>PONTO FRIO - AVENIDA ARICANDUVA, 5555 (LOJA 2) - SHOPPING ARICANDUVA - SPC8803</v>
          </cell>
          <cell r="E1000" t="str">
            <v xml:space="preserve">PONTO FRIO </v>
          </cell>
          <cell r="F1000" t="str">
            <v>SHOPPING</v>
          </cell>
          <cell r="G1000" t="str">
            <v>AVENIDA ARICANDUVA, 5555 (LOJA 2)</v>
          </cell>
          <cell r="H1000" t="str">
            <v>G17</v>
          </cell>
          <cell r="I1000" t="str">
            <v>128 GB</v>
          </cell>
        </row>
        <row r="1001">
          <cell r="C1001" t="str">
            <v>G17128_SPC6374</v>
          </cell>
          <cell r="D1001" t="str">
            <v>MAGAZINE LUIZA - AVENIDA ARICANDUVA, 5555 - SHOPPING ARICANDUVA - SPC6374</v>
          </cell>
          <cell r="E1001" t="str">
            <v>MAGAZINE LUIZA</v>
          </cell>
          <cell r="F1001" t="str">
            <v>SHOPPING</v>
          </cell>
          <cell r="G1001" t="str">
            <v>AVENIDA ARICANDUVA, 5555</v>
          </cell>
          <cell r="H1001" t="str">
            <v>G17</v>
          </cell>
          <cell r="I1001" t="str">
            <v>128 GB</v>
          </cell>
        </row>
        <row r="1002">
          <cell r="C1002" t="str">
            <v>G17128_SPC7759</v>
          </cell>
          <cell r="D1002" t="str">
            <v>CASAS BAHIA - AVENIDA JOSE PINHEIRO BORGES, S/N - SHOPPING METRO ITAQUERA - SPC7759</v>
          </cell>
          <cell r="E1002" t="str">
            <v>CASAS BAHIA</v>
          </cell>
          <cell r="F1002" t="str">
            <v>SHOPPING</v>
          </cell>
          <cell r="G1002" t="str">
            <v>AVENIDA JOSE PINHEIRO BORGES, S/N</v>
          </cell>
          <cell r="H1002" t="str">
            <v>G17</v>
          </cell>
          <cell r="I1002" t="str">
            <v>128 GB</v>
          </cell>
        </row>
        <row r="1003">
          <cell r="C1003" t="str">
            <v>G17128_SPC9927</v>
          </cell>
          <cell r="D1003" t="str">
            <v>CASAS BAHIA - RODOVIA REGIS BITTENCOURT KM 271, 2643 - SHOPPING TABOAO DA SERRA - SPC9927</v>
          </cell>
          <cell r="E1003" t="str">
            <v>CASAS BAHIA</v>
          </cell>
          <cell r="F1003" t="str">
            <v>SHOPPING</v>
          </cell>
          <cell r="G1003" t="str">
            <v>RODOVIA REGIS BITTENCOURT KM 271, 2643</v>
          </cell>
          <cell r="H1003" t="str">
            <v>G17</v>
          </cell>
          <cell r="I1003" t="str">
            <v>128 GB</v>
          </cell>
        </row>
        <row r="1004">
          <cell r="C1004" t="str">
            <v>G17128_SPC10966</v>
          </cell>
          <cell r="D1004" t="str">
            <v>CASAS BAHIA - ESTRADA DO CAMPO LIMPO, 459 - SHOPPING CAMPO LIMPO - SPC10966</v>
          </cell>
          <cell r="E1004" t="str">
            <v>CASAS BAHIA</v>
          </cell>
          <cell r="F1004" t="str">
            <v>SHOPPING</v>
          </cell>
          <cell r="G1004" t="str">
            <v>ESTRADA DO CAMPO LIMPO, 459</v>
          </cell>
          <cell r="H1004" t="str">
            <v>G17</v>
          </cell>
          <cell r="I1004" t="str">
            <v>128 GB</v>
          </cell>
        </row>
        <row r="1005">
          <cell r="C1005" t="str">
            <v>G17128_SPC11008</v>
          </cell>
          <cell r="D1005" t="str">
            <v>CASAS BAHIA - LARGO 13 DE MAIO, 308 - ZONA COMERCIAL - SPC11008</v>
          </cell>
          <cell r="E1005" t="str">
            <v>CASAS BAHIA</v>
          </cell>
          <cell r="F1005" t="str">
            <v>RUA</v>
          </cell>
          <cell r="G1005" t="str">
            <v>LARGO 13 DE MAIO, 308</v>
          </cell>
          <cell r="H1005" t="str">
            <v>G17</v>
          </cell>
          <cell r="I1005" t="str">
            <v>128 GB</v>
          </cell>
        </row>
        <row r="1006">
          <cell r="C1006" t="str">
            <v>G17128_SPC7621</v>
          </cell>
          <cell r="D1006" t="str">
            <v>PONTO FRIO - RUA CAPITAO TIAGO LUZ, 146 - ZONA COMERCIAL - SPC7621</v>
          </cell>
          <cell r="E1006" t="str">
            <v xml:space="preserve">PONTO FRIO </v>
          </cell>
          <cell r="F1006" t="str">
            <v>RUA</v>
          </cell>
          <cell r="G1006" t="str">
            <v>RUA CAPITAO TIAGO LUZ, 146</v>
          </cell>
          <cell r="H1006" t="str">
            <v>G17</v>
          </cell>
          <cell r="I1006" t="str">
            <v>128 GB</v>
          </cell>
        </row>
        <row r="1007">
          <cell r="C1007" t="str">
            <v>G17128_SPC6352</v>
          </cell>
          <cell r="D1007" t="str">
            <v>CASAS BAHIA - RUA TENENTE AVELAR PIRES DE AZEVEDO, 81 - SHOPPING OSASCO PLAZA - SPC6352</v>
          </cell>
          <cell r="E1007" t="str">
            <v>CASAS BAHIA</v>
          </cell>
          <cell r="F1007" t="str">
            <v>SHOPPING</v>
          </cell>
          <cell r="G1007" t="str">
            <v>RUA TENENTE AVELAR PIRES DE AZEVEDO, 81</v>
          </cell>
          <cell r="H1007" t="str">
            <v>G17</v>
          </cell>
          <cell r="I1007" t="str">
            <v>128 GB</v>
          </cell>
        </row>
        <row r="1008">
          <cell r="C1008" t="str">
            <v>G17128_SPC6445</v>
          </cell>
          <cell r="D1008" t="str">
            <v>CASAS BAHIA - AVENIDA PIRACEMA, 669 - SHOPPING TAMBORE - SPC6445</v>
          </cell>
          <cell r="E1008" t="str">
            <v>CASAS BAHIA</v>
          </cell>
          <cell r="F1008" t="str">
            <v>SHOPPING</v>
          </cell>
          <cell r="G1008" t="str">
            <v>AVENIDA PIRACEMA, 669</v>
          </cell>
          <cell r="H1008" t="str">
            <v>G17</v>
          </cell>
          <cell r="I1008" t="str">
            <v>128 GB</v>
          </cell>
        </row>
        <row r="1009">
          <cell r="C1009" t="str">
            <v>G17128_SPC6397</v>
          </cell>
          <cell r="D1009" t="str">
            <v>CASAS BAHIA - AVENIDA DOS AUTONOMISTAS, 1400 - SHOPPING UNIAO - SPC6397</v>
          </cell>
          <cell r="E1009" t="str">
            <v>CASAS BAHIA</v>
          </cell>
          <cell r="F1009" t="str">
            <v>SHOPPING</v>
          </cell>
          <cell r="G1009" t="str">
            <v>AVENIDA DOS AUTONOMISTAS, 1400</v>
          </cell>
          <cell r="H1009" t="str">
            <v>G17</v>
          </cell>
          <cell r="I1009" t="str">
            <v>128 GB</v>
          </cell>
        </row>
        <row r="1010">
          <cell r="C1010" t="str">
            <v>G17128_SPC11278</v>
          </cell>
          <cell r="D1010" t="str">
            <v>PONTO FRIO - RUA ANTONIO AGU, 155 - ZONA COMERCIAL - SPC11278</v>
          </cell>
          <cell r="E1010" t="str">
            <v xml:space="preserve">PONTO FRIO </v>
          </cell>
          <cell r="F1010" t="str">
            <v>RUA</v>
          </cell>
          <cell r="G1010" t="str">
            <v>RUA ANTONIO AGU, 155</v>
          </cell>
          <cell r="H1010" t="str">
            <v>G17</v>
          </cell>
          <cell r="I1010" t="str">
            <v>128 GB</v>
          </cell>
        </row>
        <row r="1011">
          <cell r="C1011" t="str">
            <v>G17128_SPC7644</v>
          </cell>
          <cell r="D1011" t="str">
            <v>CASAS BAHIA - TRAVESSA CASALBUONO, 120 - SHOPPING CENTER NORTE - SPC7644</v>
          </cell>
          <cell r="E1011" t="str">
            <v>CASAS BAHIA</v>
          </cell>
          <cell r="F1011" t="str">
            <v>SHOPPING</v>
          </cell>
          <cell r="G1011" t="str">
            <v>TRAVESSA CASALBUONO, 120</v>
          </cell>
          <cell r="H1011" t="str">
            <v>G17</v>
          </cell>
          <cell r="I1011" t="str">
            <v>128 GB</v>
          </cell>
        </row>
        <row r="1012">
          <cell r="C1012" t="str">
            <v>G17128_SPC8440</v>
          </cell>
          <cell r="D1012" t="str">
            <v>MAGAZINE LUIZA - RUA AMAZONAS DA SILVA, 27 - ZONA COMERCIAL - SPC8440</v>
          </cell>
          <cell r="E1012" t="str">
            <v>MAGAZINE LUIZA</v>
          </cell>
          <cell r="F1012" t="str">
            <v>RUA</v>
          </cell>
          <cell r="G1012" t="str">
            <v>RUA AMAZONAS DA SILVA, 27</v>
          </cell>
          <cell r="H1012" t="str">
            <v>G17</v>
          </cell>
          <cell r="I1012" t="str">
            <v>128 GB</v>
          </cell>
        </row>
        <row r="1013">
          <cell r="C1013" t="str">
            <v>G17128_SPC7607</v>
          </cell>
          <cell r="D1013" t="str">
            <v>CASAS BAHIA - RODOVIA PRESIDENTE DUTRA KM 230, S/N - SHOPPING INTERNACIONAL GUARULHOS - SPC7607</v>
          </cell>
          <cell r="E1013" t="str">
            <v>CASAS BAHIA</v>
          </cell>
          <cell r="F1013" t="str">
            <v>SHOPPING</v>
          </cell>
          <cell r="G1013" t="str">
            <v>RODOVIA PRESIDENTE DUTRA KM 230, S/N</v>
          </cell>
          <cell r="H1013" t="str">
            <v>G17</v>
          </cell>
          <cell r="I1013" t="str">
            <v>128 GB</v>
          </cell>
        </row>
        <row r="1014">
          <cell r="C1014" t="str">
            <v>G17128_SPC11273</v>
          </cell>
          <cell r="D1014" t="str">
            <v>CASAS BAHIA - AVENIDA JUSCELINO KUBITSCHEK DE OLIVEIRA, 5308 - SHOPPING BONSUCESSO - SPC11273</v>
          </cell>
          <cell r="E1014" t="str">
            <v>CASAS BAHIA</v>
          </cell>
          <cell r="F1014" t="str">
            <v>SHOPPING</v>
          </cell>
          <cell r="G1014" t="str">
            <v>AVENIDA JUSCELINO KUBITSCHEK DE OLIVEIRA, 5308</v>
          </cell>
          <cell r="H1014" t="str">
            <v>G17</v>
          </cell>
          <cell r="I1014" t="str">
            <v>128 GB</v>
          </cell>
        </row>
        <row r="1015">
          <cell r="C1015" t="str">
            <v>G17128_SPC11005</v>
          </cell>
          <cell r="D1015" t="str">
            <v>CASAS BAHIA - AVENIDA INDUSTRIAL, 600 - SHOPPING GRAND PLAZA - SPC11005</v>
          </cell>
          <cell r="E1015" t="str">
            <v>CASAS BAHIA</v>
          </cell>
          <cell r="F1015" t="str">
            <v>SHOPPING</v>
          </cell>
          <cell r="G1015" t="str">
            <v>AVENIDA INDUSTRIAL, 600</v>
          </cell>
          <cell r="H1015" t="str">
            <v>G17</v>
          </cell>
          <cell r="I1015" t="str">
            <v>128 GB</v>
          </cell>
        </row>
        <row r="1016">
          <cell r="C1016" t="str">
            <v>G17128_SPC8715</v>
          </cell>
          <cell r="D1016" t="str">
            <v>CASAS BAHIA - AVENIDA GOVERNADOR MARIO COVAS JUNIOR, 1 - SHOPPING MAUA - SPC8715</v>
          </cell>
          <cell r="E1016" t="str">
            <v>CASAS BAHIA</v>
          </cell>
          <cell r="F1016" t="str">
            <v>SHOPPING</v>
          </cell>
          <cell r="G1016" t="str">
            <v>AVENIDA GOVERNADOR MARIO COVAS JUNIOR, 1</v>
          </cell>
          <cell r="H1016" t="str">
            <v>G17</v>
          </cell>
          <cell r="I1016" t="str">
            <v>128 GB</v>
          </cell>
        </row>
        <row r="1017">
          <cell r="C1017" t="str">
            <v>G17128_SPC11374</v>
          </cell>
          <cell r="D1017" t="str">
            <v>CASAS BAHIA - AVENIDA PEREIRA BARRETO, 42 - SHOPPING ABC - SPC11374</v>
          </cell>
          <cell r="E1017" t="str">
            <v>CASAS BAHIA</v>
          </cell>
          <cell r="F1017" t="str">
            <v>SHOPPING</v>
          </cell>
          <cell r="G1017" t="str">
            <v>AVENIDA PEREIRA BARRETO, 42</v>
          </cell>
          <cell r="H1017" t="str">
            <v>G17</v>
          </cell>
          <cell r="I1017" t="str">
            <v>128 GB</v>
          </cell>
        </row>
        <row r="1018">
          <cell r="C1018" t="str">
            <v>G17128_SPC6700</v>
          </cell>
          <cell r="D1018" t="str">
            <v>CASAS BAHIA - RUA MARECHAL DEODORO, 987 - ZONA COMERCIAL - SPC6700</v>
          </cell>
          <cell r="E1018" t="str">
            <v>CASAS BAHIA</v>
          </cell>
          <cell r="F1018" t="str">
            <v>RUA</v>
          </cell>
          <cell r="G1018" t="str">
            <v>RUA MARECHAL DEODORO, 987</v>
          </cell>
          <cell r="H1018" t="str">
            <v>G17</v>
          </cell>
          <cell r="I1018" t="str">
            <v>128 GB</v>
          </cell>
        </row>
        <row r="1019">
          <cell r="C1019" t="str">
            <v>G17128_SPC7069</v>
          </cell>
          <cell r="D1019" t="str">
            <v>CASAS BAHIA - RUA DOMINGOS DE MORAIS, 2564 - SHOPPING METRO SANTA CRUZ - SPC7069</v>
          </cell>
          <cell r="E1019" t="str">
            <v>CASAS BAHIA</v>
          </cell>
          <cell r="F1019" t="str">
            <v>SHOPPING</v>
          </cell>
          <cell r="G1019" t="str">
            <v>RUA DOMINGOS DE MORAIS, 2564</v>
          </cell>
          <cell r="H1019" t="str">
            <v>G17</v>
          </cell>
          <cell r="I1019" t="str">
            <v>128 GB</v>
          </cell>
        </row>
        <row r="1020">
          <cell r="C1020" t="str">
            <v>G17128_SPC6505</v>
          </cell>
          <cell r="D1020" t="str">
            <v>CASAS BAHIA - RUA TEODORO SAMPAIO, 2522 - ZONA COMERCIAL - SPC6505</v>
          </cell>
          <cell r="E1020" t="str">
            <v>CASAS BAHIA</v>
          </cell>
          <cell r="F1020" t="str">
            <v>RUA</v>
          </cell>
          <cell r="G1020" t="str">
            <v>RUA TEODORO SAMPAIO, 2522</v>
          </cell>
          <cell r="H1020" t="str">
            <v>G17</v>
          </cell>
          <cell r="I1020" t="str">
            <v>128 GB</v>
          </cell>
        </row>
        <row r="1021">
          <cell r="C1021" t="str">
            <v>G17128_SPC234770</v>
          </cell>
          <cell r="D1021" t="str">
            <v>CASAS BAHIA - ESTRADA DA COLINA, 1048 - SPC234770</v>
          </cell>
          <cell r="E1021" t="str">
            <v>CASAS BAHIA</v>
          </cell>
          <cell r="F1021" t="str">
            <v>RUA</v>
          </cell>
          <cell r="G1021" t="str">
            <v>ESTRADA DA COLINA, 1048</v>
          </cell>
          <cell r="H1021" t="str">
            <v>G17</v>
          </cell>
          <cell r="I1021" t="str">
            <v>128 GB</v>
          </cell>
        </row>
        <row r="1022">
          <cell r="C1022" t="str">
            <v>G15256_SPC7613</v>
          </cell>
          <cell r="D1022" t="str">
            <v>CASAS BAHIA - AVENIDA INTERLAGOS, 2255 - SHOPPING INTERLAGOS - SPC7613</v>
          </cell>
          <cell r="E1022" t="str">
            <v>CASAS BAHIA</v>
          </cell>
          <cell r="F1022" t="str">
            <v>SHOPPING</v>
          </cell>
          <cell r="G1022" t="str">
            <v>AVENIDA INTERLAGOS, 2255</v>
          </cell>
          <cell r="H1022" t="str">
            <v>G15</v>
          </cell>
          <cell r="I1022" t="str">
            <v>256 GB</v>
          </cell>
        </row>
        <row r="1023">
          <cell r="C1023" t="str">
            <v>G15256_SPC7612</v>
          </cell>
          <cell r="D1023" t="str">
            <v>PONTO FRIO - AVENIDA INTERLAGOS, 2255 - SHOPPING INTERLAGOS - SPC7612</v>
          </cell>
          <cell r="E1023" t="str">
            <v xml:space="preserve">PONTO FRIO </v>
          </cell>
          <cell r="F1023" t="str">
            <v>SHOPPING</v>
          </cell>
          <cell r="G1023" t="str">
            <v>AVENIDA INTERLAGOS, 2255</v>
          </cell>
          <cell r="H1023" t="str">
            <v>G15</v>
          </cell>
          <cell r="I1023" t="str">
            <v>256 GB</v>
          </cell>
        </row>
        <row r="1024">
          <cell r="C1024" t="str">
            <v>G15256_SPC7614</v>
          </cell>
          <cell r="D1024" t="str">
            <v>LOJAS AMERICANAS - AVENIDA INTERLAGOS, 2255 - SHOPPING INTERLAGOS - SPC7614</v>
          </cell>
          <cell r="E1024" t="str">
            <v>LOJAS AMERICANAS</v>
          </cell>
          <cell r="F1024" t="str">
            <v>SHOPPING</v>
          </cell>
          <cell r="G1024" t="str">
            <v>AVENIDA INTERLAGOS, 2255</v>
          </cell>
          <cell r="H1024" t="str">
            <v>G15</v>
          </cell>
          <cell r="I1024" t="str">
            <v>256 GB</v>
          </cell>
        </row>
        <row r="1025">
          <cell r="C1025" t="str">
            <v>G15256_SPC11232</v>
          </cell>
          <cell r="D1025" t="str">
            <v>CASAS BAHIA - PRACA FLORIANO PEIXOTO, 38 - ZONA COMERCIAL - SPC11232</v>
          </cell>
          <cell r="E1025" t="str">
            <v>CASAS BAHIA</v>
          </cell>
          <cell r="F1025" t="str">
            <v>RUA</v>
          </cell>
          <cell r="G1025" t="str">
            <v>PRACA FLORIANO PEIXOTO, 38</v>
          </cell>
          <cell r="H1025" t="str">
            <v>G15</v>
          </cell>
          <cell r="I1025" t="str">
            <v>256 GB</v>
          </cell>
        </row>
        <row r="1026">
          <cell r="C1026" t="str">
            <v>G15256_SPC287350</v>
          </cell>
          <cell r="D1026" t="str">
            <v>CASAS BAHIA - AVENIDA NACOES UNIDAS, 12995 - SPC287350</v>
          </cell>
          <cell r="E1026" t="str">
            <v>CASAS BAHIA</v>
          </cell>
          <cell r="F1026" t="str">
            <v>RUA</v>
          </cell>
          <cell r="G1026" t="str">
            <v>AVENIDA NACOES UNIDAS, 12995</v>
          </cell>
          <cell r="H1026" t="str">
            <v>G15</v>
          </cell>
          <cell r="I1026" t="str">
            <v>256 GB</v>
          </cell>
        </row>
        <row r="1027">
          <cell r="C1027" t="str">
            <v>G15256_SPC252260</v>
          </cell>
          <cell r="D1027" t="str">
            <v>CASAS BAHIA - AVENIDA EMBAIXADOR MACEDO SOARES, 9175 - SPC252260</v>
          </cell>
          <cell r="E1027" t="str">
            <v>CASAS BAHIA</v>
          </cell>
          <cell r="F1027" t="str">
            <v>RUA</v>
          </cell>
          <cell r="G1027" t="str">
            <v>AVENIDA EMBAIXADOR MACEDO SOARES, 9175</v>
          </cell>
          <cell r="H1027" t="str">
            <v>G15</v>
          </cell>
          <cell r="I1027" t="str">
            <v>256 GB</v>
          </cell>
        </row>
        <row r="1028">
          <cell r="C1028" t="str">
            <v>G15256_SPC22892</v>
          </cell>
          <cell r="D1028" t="str">
            <v>CASAS BAHIA - AVENIDA ARICANDUVA, 5555 (LOJA 2) - SHOPPING ARICANDUVA - SPC22892</v>
          </cell>
          <cell r="E1028" t="str">
            <v>CASAS BAHIA</v>
          </cell>
          <cell r="F1028" t="str">
            <v>SHOPPING</v>
          </cell>
          <cell r="G1028" t="str">
            <v>AVENIDA ARICANDUVA, 5555 (LOJA 2)</v>
          </cell>
          <cell r="H1028" t="str">
            <v>G15</v>
          </cell>
          <cell r="I1028" t="str">
            <v>256 GB</v>
          </cell>
        </row>
        <row r="1029">
          <cell r="C1029" t="str">
            <v>G15256_SPC7610</v>
          </cell>
          <cell r="D1029" t="str">
            <v>CASAS BAHIA - AVENIDA ARICANDUVA, 5555 (LOJA 1) - SHOPPING ARICANDUVA - SPC7610</v>
          </cell>
          <cell r="E1029" t="str">
            <v>CASAS BAHIA</v>
          </cell>
          <cell r="F1029" t="str">
            <v>SHOPPING</v>
          </cell>
          <cell r="G1029" t="str">
            <v>AVENIDA ARICANDUVA, 5555 (LOJA 1)</v>
          </cell>
          <cell r="H1029" t="str">
            <v>G15</v>
          </cell>
          <cell r="I1029" t="str">
            <v>256 GB</v>
          </cell>
        </row>
        <row r="1030">
          <cell r="C1030" t="str">
            <v>G15256_SPC8803</v>
          </cell>
          <cell r="D1030" t="str">
            <v>PONTO FRIO - AVENIDA ARICANDUVA, 5555 (LOJA 2) - SHOPPING ARICANDUVA - SPC8803</v>
          </cell>
          <cell r="E1030" t="str">
            <v xml:space="preserve">PONTO FRIO </v>
          </cell>
          <cell r="F1030" t="str">
            <v>SHOPPING</v>
          </cell>
          <cell r="G1030" t="str">
            <v>AVENIDA ARICANDUVA, 5555 (LOJA 2)</v>
          </cell>
          <cell r="H1030" t="str">
            <v>G15</v>
          </cell>
          <cell r="I1030" t="str">
            <v>256 GB</v>
          </cell>
        </row>
        <row r="1031">
          <cell r="C1031" t="str">
            <v>G15256_SPC6374</v>
          </cell>
          <cell r="D1031" t="str">
            <v>MAGAZINE LUIZA - AVENIDA ARICANDUVA, 5555 - SHOPPING ARICANDUVA - SPC6374</v>
          </cell>
          <cell r="E1031" t="str">
            <v>MAGAZINE LUIZA</v>
          </cell>
          <cell r="F1031" t="str">
            <v>SHOPPING</v>
          </cell>
          <cell r="G1031" t="str">
            <v>AVENIDA ARICANDUVA, 5555</v>
          </cell>
          <cell r="H1031" t="str">
            <v>G15</v>
          </cell>
          <cell r="I1031" t="str">
            <v>256 GB</v>
          </cell>
        </row>
        <row r="1032">
          <cell r="C1032" t="str">
            <v>G15256_SPC7759</v>
          </cell>
          <cell r="D1032" t="str">
            <v>CASAS BAHIA - AVENIDA JOSE PINHEIRO BORGES, S/N - SHOPPING METRO ITAQUERA - SPC7759</v>
          </cell>
          <cell r="E1032" t="str">
            <v>CASAS BAHIA</v>
          </cell>
          <cell r="F1032" t="str">
            <v>SHOPPING</v>
          </cell>
          <cell r="G1032" t="str">
            <v>AVENIDA JOSE PINHEIRO BORGES, S/N</v>
          </cell>
          <cell r="H1032" t="str">
            <v>G15</v>
          </cell>
          <cell r="I1032" t="str">
            <v>256 GB</v>
          </cell>
        </row>
        <row r="1033">
          <cell r="C1033" t="str">
            <v>G15256_SPC9927</v>
          </cell>
          <cell r="D1033" t="str">
            <v>CASAS BAHIA - RODOVIA REGIS BITTENCOURT KM 271, 2643 - SHOPPING TABOAO DA SERRA - SPC9927</v>
          </cell>
          <cell r="E1033" t="str">
            <v>CASAS BAHIA</v>
          </cell>
          <cell r="F1033" t="str">
            <v>SHOPPING</v>
          </cell>
          <cell r="G1033" t="str">
            <v>RODOVIA REGIS BITTENCOURT KM 271, 2643</v>
          </cell>
          <cell r="H1033" t="str">
            <v>G15</v>
          </cell>
          <cell r="I1033" t="str">
            <v>256 GB</v>
          </cell>
        </row>
        <row r="1034">
          <cell r="C1034" t="str">
            <v>G15256_SPC10966</v>
          </cell>
          <cell r="D1034" t="str">
            <v>CASAS BAHIA - ESTRADA DO CAMPO LIMPO, 459 - SHOPPING CAMPO LIMPO - SPC10966</v>
          </cell>
          <cell r="E1034" t="str">
            <v>CASAS BAHIA</v>
          </cell>
          <cell r="F1034" t="str">
            <v>SHOPPING</v>
          </cell>
          <cell r="G1034" t="str">
            <v>ESTRADA DO CAMPO LIMPO, 459</v>
          </cell>
          <cell r="H1034" t="str">
            <v>G15</v>
          </cell>
          <cell r="I1034" t="str">
            <v>256 GB</v>
          </cell>
        </row>
        <row r="1035">
          <cell r="C1035" t="str">
            <v>G15256_SPC11008</v>
          </cell>
          <cell r="D1035" t="str">
            <v>CASAS BAHIA - LARGO 13 DE MAIO, 308 - ZONA COMERCIAL - SPC11008</v>
          </cell>
          <cell r="E1035" t="str">
            <v>CASAS BAHIA</v>
          </cell>
          <cell r="F1035" t="str">
            <v>RUA</v>
          </cell>
          <cell r="G1035" t="str">
            <v>LARGO 13 DE MAIO, 308</v>
          </cell>
          <cell r="H1035" t="str">
            <v>G15</v>
          </cell>
          <cell r="I1035" t="str">
            <v>256 GB</v>
          </cell>
        </row>
        <row r="1036">
          <cell r="C1036" t="str">
            <v>G15256_SPC7621</v>
          </cell>
          <cell r="D1036" t="str">
            <v>PONTO FRIO - RUA CAPITAO TIAGO LUZ, 146 - ZONA COMERCIAL - SPC7621</v>
          </cell>
          <cell r="E1036" t="str">
            <v xml:space="preserve">PONTO FRIO </v>
          </cell>
          <cell r="F1036" t="str">
            <v>RUA</v>
          </cell>
          <cell r="G1036" t="str">
            <v>RUA CAPITAO TIAGO LUZ, 146</v>
          </cell>
          <cell r="H1036" t="str">
            <v>G15</v>
          </cell>
          <cell r="I1036" t="str">
            <v>256 GB</v>
          </cell>
        </row>
        <row r="1037">
          <cell r="C1037" t="str">
            <v>G15256_SPC6352</v>
          </cell>
          <cell r="D1037" t="str">
            <v>CASAS BAHIA - RUA TENENTE AVELAR PIRES DE AZEVEDO, 81 - SHOPPING OSASCO PLAZA - SPC6352</v>
          </cell>
          <cell r="E1037" t="str">
            <v>CASAS BAHIA</v>
          </cell>
          <cell r="F1037" t="str">
            <v>SHOPPING</v>
          </cell>
          <cell r="G1037" t="str">
            <v>RUA TENENTE AVELAR PIRES DE AZEVEDO, 81</v>
          </cell>
          <cell r="H1037" t="str">
            <v>G15</v>
          </cell>
          <cell r="I1037" t="str">
            <v>256 GB</v>
          </cell>
        </row>
        <row r="1038">
          <cell r="C1038" t="str">
            <v>G15256_SPC6445</v>
          </cell>
          <cell r="D1038" t="str">
            <v>CASAS BAHIA - AVENIDA PIRACEMA, 669 - SHOPPING TAMBORE - SPC6445</v>
          </cell>
          <cell r="E1038" t="str">
            <v>CASAS BAHIA</v>
          </cell>
          <cell r="F1038" t="str">
            <v>SHOPPING</v>
          </cell>
          <cell r="G1038" t="str">
            <v>AVENIDA PIRACEMA, 669</v>
          </cell>
          <cell r="H1038" t="str">
            <v>G15</v>
          </cell>
          <cell r="I1038" t="str">
            <v>256 GB</v>
          </cell>
        </row>
        <row r="1039">
          <cell r="C1039" t="str">
            <v>G15256_SPC6397</v>
          </cell>
          <cell r="D1039" t="str">
            <v>CASAS BAHIA - AVENIDA DOS AUTONOMISTAS, 1400 - SHOPPING UNIAO - SPC6397</v>
          </cell>
          <cell r="E1039" t="str">
            <v>CASAS BAHIA</v>
          </cell>
          <cell r="F1039" t="str">
            <v>SHOPPING</v>
          </cell>
          <cell r="G1039" t="str">
            <v>AVENIDA DOS AUTONOMISTAS, 1400</v>
          </cell>
          <cell r="H1039" t="str">
            <v>G15</v>
          </cell>
          <cell r="I1039" t="str">
            <v>256 GB</v>
          </cell>
        </row>
        <row r="1040">
          <cell r="C1040" t="str">
            <v>G15256_SPC11278</v>
          </cell>
          <cell r="D1040" t="str">
            <v>PONTO FRIO - RUA ANTONIO AGU, 155 - ZONA COMERCIAL - SPC11278</v>
          </cell>
          <cell r="E1040" t="str">
            <v xml:space="preserve">PONTO FRIO </v>
          </cell>
          <cell r="F1040" t="str">
            <v>RUA</v>
          </cell>
          <cell r="G1040" t="str">
            <v>RUA ANTONIO AGU, 155</v>
          </cell>
          <cell r="H1040" t="str">
            <v>G15</v>
          </cell>
          <cell r="I1040" t="str">
            <v>256 GB</v>
          </cell>
        </row>
        <row r="1041">
          <cell r="C1041" t="str">
            <v>G15256_SPC7644</v>
          </cell>
          <cell r="D1041" t="str">
            <v>CASAS BAHIA - TRAVESSA CASALBUONO, 120 - SHOPPING CENTER NORTE - SPC7644</v>
          </cell>
          <cell r="E1041" t="str">
            <v>CASAS BAHIA</v>
          </cell>
          <cell r="F1041" t="str">
            <v>SHOPPING</v>
          </cell>
          <cell r="G1041" t="str">
            <v>TRAVESSA CASALBUONO, 120</v>
          </cell>
          <cell r="H1041" t="str">
            <v>G15</v>
          </cell>
          <cell r="I1041" t="str">
            <v>256 GB</v>
          </cell>
        </row>
        <row r="1042">
          <cell r="C1042" t="str">
            <v>G15256_SPC8440</v>
          </cell>
          <cell r="D1042" t="str">
            <v>MAGAZINE LUIZA - RUA AMAZONAS DA SILVA, 27 - ZONA COMERCIAL - SPC8440</v>
          </cell>
          <cell r="E1042" t="str">
            <v>MAGAZINE LUIZA</v>
          </cell>
          <cell r="F1042" t="str">
            <v>RUA</v>
          </cell>
          <cell r="G1042" t="str">
            <v>RUA AMAZONAS DA SILVA, 27</v>
          </cell>
          <cell r="H1042" t="str">
            <v>G15</v>
          </cell>
          <cell r="I1042" t="str">
            <v>256 GB</v>
          </cell>
        </row>
        <row r="1043">
          <cell r="C1043" t="str">
            <v>G15256_SPC7607</v>
          </cell>
          <cell r="D1043" t="str">
            <v>CASAS BAHIA - RODOVIA PRESIDENTE DUTRA KM 230, S/N - SHOPPING INTERNACIONAL GUARULHOS - SPC7607</v>
          </cell>
          <cell r="E1043" t="str">
            <v>CASAS BAHIA</v>
          </cell>
          <cell r="F1043" t="str">
            <v>SHOPPING</v>
          </cell>
          <cell r="G1043" t="str">
            <v>RODOVIA PRESIDENTE DUTRA KM 230, S/N</v>
          </cell>
          <cell r="H1043" t="str">
            <v>G15</v>
          </cell>
          <cell r="I1043" t="str">
            <v>256 GB</v>
          </cell>
        </row>
        <row r="1044">
          <cell r="C1044" t="str">
            <v>G15256_SPC11273</v>
          </cell>
          <cell r="D1044" t="str">
            <v>CASAS BAHIA - AVENIDA JUSCELINO KUBITSCHEK DE OLIVEIRA, 5308 - SHOPPING BONSUCESSO - SPC11273</v>
          </cell>
          <cell r="E1044" t="str">
            <v>CASAS BAHIA</v>
          </cell>
          <cell r="F1044" t="str">
            <v>SHOPPING</v>
          </cell>
          <cell r="G1044" t="str">
            <v>AVENIDA JUSCELINO KUBITSCHEK DE OLIVEIRA, 5308</v>
          </cell>
          <cell r="H1044" t="str">
            <v>G15</v>
          </cell>
          <cell r="I1044" t="str">
            <v>256 GB</v>
          </cell>
        </row>
        <row r="1045">
          <cell r="C1045" t="str">
            <v>G15256_SPC11005</v>
          </cell>
          <cell r="D1045" t="str">
            <v>CASAS BAHIA - AVENIDA INDUSTRIAL, 600 - SHOPPING GRAND PLAZA - SPC11005</v>
          </cell>
          <cell r="E1045" t="str">
            <v>CASAS BAHIA</v>
          </cell>
          <cell r="F1045" t="str">
            <v>SHOPPING</v>
          </cell>
          <cell r="G1045" t="str">
            <v>AVENIDA INDUSTRIAL, 600</v>
          </cell>
          <cell r="H1045" t="str">
            <v>G15</v>
          </cell>
          <cell r="I1045" t="str">
            <v>256 GB</v>
          </cell>
        </row>
        <row r="1046">
          <cell r="C1046" t="str">
            <v>G15256_SPC8715</v>
          </cell>
          <cell r="D1046" t="str">
            <v>CASAS BAHIA - AVENIDA GOVERNADOR MARIO COVAS JUNIOR, 1 - SHOPPING MAUA - SPC8715</v>
          </cell>
          <cell r="E1046" t="str">
            <v>CASAS BAHIA</v>
          </cell>
          <cell r="F1046" t="str">
            <v>SHOPPING</v>
          </cell>
          <cell r="G1046" t="str">
            <v>AVENIDA GOVERNADOR MARIO COVAS JUNIOR, 1</v>
          </cell>
          <cell r="H1046" t="str">
            <v>G15</v>
          </cell>
          <cell r="I1046" t="str">
            <v>256 GB</v>
          </cell>
        </row>
        <row r="1047">
          <cell r="C1047" t="str">
            <v>G15256_SPC11374</v>
          </cell>
          <cell r="D1047" t="str">
            <v>CASAS BAHIA - AVENIDA PEREIRA BARRETO, 42 - SHOPPING ABC - SPC11374</v>
          </cell>
          <cell r="E1047" t="str">
            <v>CASAS BAHIA</v>
          </cell>
          <cell r="F1047" t="str">
            <v>SHOPPING</v>
          </cell>
          <cell r="G1047" t="str">
            <v>AVENIDA PEREIRA BARRETO, 42</v>
          </cell>
          <cell r="H1047" t="str">
            <v>G15</v>
          </cell>
          <cell r="I1047" t="str">
            <v>256 GB</v>
          </cell>
        </row>
        <row r="1048">
          <cell r="C1048" t="str">
            <v>G15256_SPC6700</v>
          </cell>
          <cell r="D1048" t="str">
            <v>CASAS BAHIA - RUA MARECHAL DEODORO, 987 - ZONA COMERCIAL - SPC6700</v>
          </cell>
          <cell r="E1048" t="str">
            <v>CASAS BAHIA</v>
          </cell>
          <cell r="F1048" t="str">
            <v>RUA</v>
          </cell>
          <cell r="G1048" t="str">
            <v>RUA MARECHAL DEODORO, 987</v>
          </cell>
          <cell r="H1048" t="str">
            <v>G15</v>
          </cell>
          <cell r="I1048" t="str">
            <v>256 GB</v>
          </cell>
        </row>
        <row r="1049">
          <cell r="C1049" t="str">
            <v>G15256_SPC7069</v>
          </cell>
          <cell r="D1049" t="str">
            <v>CASAS BAHIA - RUA DOMINGOS DE MORAIS, 2564 - SHOPPING METRO SANTA CRUZ - SPC7069</v>
          </cell>
          <cell r="E1049" t="str">
            <v>CASAS BAHIA</v>
          </cell>
          <cell r="F1049" t="str">
            <v>SHOPPING</v>
          </cell>
          <cell r="G1049" t="str">
            <v>RUA DOMINGOS DE MORAIS, 2564</v>
          </cell>
          <cell r="H1049" t="str">
            <v>G15</v>
          </cell>
          <cell r="I1049" t="str">
            <v>256 GB</v>
          </cell>
        </row>
        <row r="1050">
          <cell r="C1050" t="str">
            <v>G15256_SPC6505</v>
          </cell>
          <cell r="D1050" t="str">
            <v>CASAS BAHIA - RUA TEODORO SAMPAIO, 2522 - ZONA COMERCIAL - SPC6505</v>
          </cell>
          <cell r="E1050" t="str">
            <v>CASAS BAHIA</v>
          </cell>
          <cell r="F1050" t="str">
            <v>RUA</v>
          </cell>
          <cell r="G1050" t="str">
            <v>RUA TEODORO SAMPAIO, 2522</v>
          </cell>
          <cell r="H1050" t="str">
            <v>G15</v>
          </cell>
          <cell r="I1050" t="str">
            <v>256 GB</v>
          </cell>
        </row>
        <row r="1051">
          <cell r="C1051" t="str">
            <v>G15256_SPC234770</v>
          </cell>
          <cell r="D1051" t="str">
            <v>CASAS BAHIA - ESTRADA DA COLINA, 1048 - SPC234770</v>
          </cell>
          <cell r="E1051" t="str">
            <v>CASAS BAHIA</v>
          </cell>
          <cell r="F1051" t="str">
            <v>RUA</v>
          </cell>
          <cell r="G1051" t="str">
            <v>ESTRADA DA COLINA, 1048</v>
          </cell>
          <cell r="H1051" t="str">
            <v>G15</v>
          </cell>
          <cell r="I1051" t="str">
            <v>256 GB</v>
          </cell>
        </row>
        <row r="1052">
          <cell r="C1052" t="str">
            <v>G15128_SPC7613</v>
          </cell>
          <cell r="D1052" t="str">
            <v>CASAS BAHIA - AVENIDA INTERLAGOS, 2255 - SHOPPING INTERLAGOS - SPC7613</v>
          </cell>
          <cell r="E1052" t="str">
            <v>CASAS BAHIA</v>
          </cell>
          <cell r="F1052" t="str">
            <v>SHOPPING</v>
          </cell>
          <cell r="G1052" t="str">
            <v>AVENIDA INTERLAGOS, 2255</v>
          </cell>
          <cell r="H1052" t="str">
            <v>G15</v>
          </cell>
          <cell r="I1052" t="str">
            <v>128 GB</v>
          </cell>
        </row>
        <row r="1053">
          <cell r="C1053" t="str">
            <v>G15128_SPC7612</v>
          </cell>
          <cell r="D1053" t="str">
            <v>PONTO FRIO - AVENIDA INTERLAGOS, 2255 - SHOPPING INTERLAGOS - SPC7612</v>
          </cell>
          <cell r="E1053" t="str">
            <v xml:space="preserve">PONTO FRIO </v>
          </cell>
          <cell r="F1053" t="str">
            <v>SHOPPING</v>
          </cell>
          <cell r="G1053" t="str">
            <v>AVENIDA INTERLAGOS, 2255</v>
          </cell>
          <cell r="H1053" t="str">
            <v>G15</v>
          </cell>
          <cell r="I1053" t="str">
            <v>128 GB</v>
          </cell>
        </row>
        <row r="1054">
          <cell r="C1054" t="str">
            <v>G15128_SPC7614</v>
          </cell>
          <cell r="D1054" t="str">
            <v>LOJAS AMERICANAS - AVENIDA INTERLAGOS, 2255 - SHOPPING INTERLAGOS - SPC7614</v>
          </cell>
          <cell r="E1054" t="str">
            <v>LOJAS AMERICANAS</v>
          </cell>
          <cell r="F1054" t="str">
            <v>SHOPPING</v>
          </cell>
          <cell r="G1054" t="str">
            <v>AVENIDA INTERLAGOS, 2255</v>
          </cell>
          <cell r="H1054" t="str">
            <v>G15</v>
          </cell>
          <cell r="I1054" t="str">
            <v>128 GB</v>
          </cell>
        </row>
        <row r="1055">
          <cell r="C1055" t="str">
            <v>G15128_SPC11232</v>
          </cell>
          <cell r="D1055" t="str">
            <v>CASAS BAHIA - PRACA FLORIANO PEIXOTO, 38 - ZONA COMERCIAL - SPC11232</v>
          </cell>
          <cell r="E1055" t="str">
            <v>CASAS BAHIA</v>
          </cell>
          <cell r="F1055" t="str">
            <v>RUA</v>
          </cell>
          <cell r="G1055" t="str">
            <v>PRACA FLORIANO PEIXOTO, 38</v>
          </cell>
          <cell r="H1055" t="str">
            <v>G15</v>
          </cell>
          <cell r="I1055" t="str">
            <v>128 GB</v>
          </cell>
        </row>
        <row r="1056">
          <cell r="C1056" t="str">
            <v>G15128_SPC287350</v>
          </cell>
          <cell r="D1056" t="str">
            <v>CASAS BAHIA - AVENIDA NACOES UNIDAS, 12995 - SPC287350</v>
          </cell>
          <cell r="E1056" t="str">
            <v>CASAS BAHIA</v>
          </cell>
          <cell r="F1056" t="str">
            <v>RUA</v>
          </cell>
          <cell r="G1056" t="str">
            <v>AVENIDA NACOES UNIDAS, 12995</v>
          </cell>
          <cell r="H1056" t="str">
            <v>G15</v>
          </cell>
          <cell r="I1056" t="str">
            <v>128 GB</v>
          </cell>
        </row>
        <row r="1057">
          <cell r="C1057" t="str">
            <v>G15128_SPC252260</v>
          </cell>
          <cell r="D1057" t="str">
            <v>CASAS BAHIA - AVENIDA EMBAIXADOR MACEDO SOARES, 9175 - SPC252260</v>
          </cell>
          <cell r="E1057" t="str">
            <v>CASAS BAHIA</v>
          </cell>
          <cell r="F1057" t="str">
            <v>RUA</v>
          </cell>
          <cell r="G1057" t="str">
            <v>AVENIDA EMBAIXADOR MACEDO SOARES, 9175</v>
          </cell>
          <cell r="H1057" t="str">
            <v>G15</v>
          </cell>
          <cell r="I1057" t="str">
            <v>128 GB</v>
          </cell>
        </row>
        <row r="1058">
          <cell r="C1058" t="str">
            <v>G15128_SPC22892</v>
          </cell>
          <cell r="D1058" t="str">
            <v>CASAS BAHIA - AVENIDA ARICANDUVA, 5555 (LOJA 2) - SHOPPING ARICANDUVA - SPC22892</v>
          </cell>
          <cell r="E1058" t="str">
            <v>CASAS BAHIA</v>
          </cell>
          <cell r="F1058" t="str">
            <v>SHOPPING</v>
          </cell>
          <cell r="G1058" t="str">
            <v>AVENIDA ARICANDUVA, 5555 (LOJA 2)</v>
          </cell>
          <cell r="H1058" t="str">
            <v>G15</v>
          </cell>
          <cell r="I1058" t="str">
            <v>128 GB</v>
          </cell>
        </row>
        <row r="1059">
          <cell r="C1059" t="str">
            <v>G15128_SPC7610</v>
          </cell>
          <cell r="D1059" t="str">
            <v>CASAS BAHIA - AVENIDA ARICANDUVA, 5555 (LOJA 1) - SHOPPING ARICANDUVA - SPC7610</v>
          </cell>
          <cell r="E1059" t="str">
            <v>CASAS BAHIA</v>
          </cell>
          <cell r="F1059" t="str">
            <v>SHOPPING</v>
          </cell>
          <cell r="G1059" t="str">
            <v>AVENIDA ARICANDUVA, 5555 (LOJA 1)</v>
          </cell>
          <cell r="H1059" t="str">
            <v>G15</v>
          </cell>
          <cell r="I1059" t="str">
            <v>128 GB</v>
          </cell>
        </row>
        <row r="1060">
          <cell r="C1060" t="str">
            <v>G15128_SPC8803</v>
          </cell>
          <cell r="D1060" t="str">
            <v>PONTO FRIO - AVENIDA ARICANDUVA, 5555 (LOJA 2) - SHOPPING ARICANDUVA - SPC8803</v>
          </cell>
          <cell r="E1060" t="str">
            <v xml:space="preserve">PONTO FRIO </v>
          </cell>
          <cell r="F1060" t="str">
            <v>SHOPPING</v>
          </cell>
          <cell r="G1060" t="str">
            <v>AVENIDA ARICANDUVA, 5555 (LOJA 2)</v>
          </cell>
          <cell r="H1060" t="str">
            <v>G15</v>
          </cell>
          <cell r="I1060" t="str">
            <v>128 GB</v>
          </cell>
        </row>
        <row r="1061">
          <cell r="C1061" t="str">
            <v>G15128_SPC6374</v>
          </cell>
          <cell r="D1061" t="str">
            <v>MAGAZINE LUIZA - AVENIDA ARICANDUVA, 5555 - SHOPPING ARICANDUVA - SPC6374</v>
          </cell>
          <cell r="E1061" t="str">
            <v>MAGAZINE LUIZA</v>
          </cell>
          <cell r="F1061" t="str">
            <v>SHOPPING</v>
          </cell>
          <cell r="G1061" t="str">
            <v>AVENIDA ARICANDUVA, 5555</v>
          </cell>
          <cell r="H1061" t="str">
            <v>G15</v>
          </cell>
          <cell r="I1061" t="str">
            <v>128 GB</v>
          </cell>
        </row>
        <row r="1062">
          <cell r="C1062" t="str">
            <v>G15128_SPC7759</v>
          </cell>
          <cell r="D1062" t="str">
            <v>CASAS BAHIA - AVENIDA JOSE PINHEIRO BORGES, S/N - SHOPPING METRO ITAQUERA - SPC7759</v>
          </cell>
          <cell r="E1062" t="str">
            <v>CASAS BAHIA</v>
          </cell>
          <cell r="F1062" t="str">
            <v>SHOPPING</v>
          </cell>
          <cell r="G1062" t="str">
            <v>AVENIDA JOSE PINHEIRO BORGES, S/N</v>
          </cell>
          <cell r="H1062" t="str">
            <v>G15</v>
          </cell>
          <cell r="I1062" t="str">
            <v>128 GB</v>
          </cell>
        </row>
        <row r="1063">
          <cell r="C1063" t="str">
            <v>G15128_SPC9927</v>
          </cell>
          <cell r="D1063" t="str">
            <v>CASAS BAHIA - RODOVIA REGIS BITTENCOURT KM 271, 2643 - SHOPPING TABOAO DA SERRA - SPC9927</v>
          </cell>
          <cell r="E1063" t="str">
            <v>CASAS BAHIA</v>
          </cell>
          <cell r="F1063" t="str">
            <v>SHOPPING</v>
          </cell>
          <cell r="G1063" t="str">
            <v>RODOVIA REGIS BITTENCOURT KM 271, 2643</v>
          </cell>
          <cell r="H1063" t="str">
            <v>G15</v>
          </cell>
          <cell r="I1063" t="str">
            <v>128 GB</v>
          </cell>
        </row>
        <row r="1064">
          <cell r="C1064" t="str">
            <v>G15128_SPC10966</v>
          </cell>
          <cell r="D1064" t="str">
            <v>CASAS BAHIA - ESTRADA DO CAMPO LIMPO, 459 - SHOPPING CAMPO LIMPO - SPC10966</v>
          </cell>
          <cell r="E1064" t="str">
            <v>CASAS BAHIA</v>
          </cell>
          <cell r="F1064" t="str">
            <v>SHOPPING</v>
          </cell>
          <cell r="G1064" t="str">
            <v>ESTRADA DO CAMPO LIMPO, 459</v>
          </cell>
          <cell r="H1064" t="str">
            <v>G15</v>
          </cell>
          <cell r="I1064" t="str">
            <v>128 GB</v>
          </cell>
        </row>
        <row r="1065">
          <cell r="C1065" t="str">
            <v>G15128_SPC11008</v>
          </cell>
          <cell r="D1065" t="str">
            <v>CASAS BAHIA - LARGO 13 DE MAIO, 308 - ZONA COMERCIAL - SPC11008</v>
          </cell>
          <cell r="E1065" t="str">
            <v>CASAS BAHIA</v>
          </cell>
          <cell r="F1065" t="str">
            <v>RUA</v>
          </cell>
          <cell r="G1065" t="str">
            <v>LARGO 13 DE MAIO, 308</v>
          </cell>
          <cell r="H1065" t="str">
            <v>G15</v>
          </cell>
          <cell r="I1065" t="str">
            <v>128 GB</v>
          </cell>
        </row>
        <row r="1066">
          <cell r="C1066" t="str">
            <v>G15128_SPC7621</v>
          </cell>
          <cell r="D1066" t="str">
            <v>PONTO FRIO - RUA CAPITAO TIAGO LUZ, 146 - ZONA COMERCIAL - SPC7621</v>
          </cell>
          <cell r="E1066" t="str">
            <v xml:space="preserve">PONTO FRIO </v>
          </cell>
          <cell r="F1066" t="str">
            <v>RUA</v>
          </cell>
          <cell r="G1066" t="str">
            <v>RUA CAPITAO TIAGO LUZ, 146</v>
          </cell>
          <cell r="H1066" t="str">
            <v>G15</v>
          </cell>
          <cell r="I1066" t="str">
            <v>128 GB</v>
          </cell>
        </row>
        <row r="1067">
          <cell r="C1067" t="str">
            <v>G15128_SPC6352</v>
          </cell>
          <cell r="D1067" t="str">
            <v>CASAS BAHIA - RUA TENENTE AVELAR PIRES DE AZEVEDO, 81 - SHOPPING OSASCO PLAZA - SPC6352</v>
          </cell>
          <cell r="E1067" t="str">
            <v>CASAS BAHIA</v>
          </cell>
          <cell r="F1067" t="str">
            <v>SHOPPING</v>
          </cell>
          <cell r="G1067" t="str">
            <v>RUA TENENTE AVELAR PIRES DE AZEVEDO, 81</v>
          </cell>
          <cell r="H1067" t="str">
            <v>G15</v>
          </cell>
          <cell r="I1067" t="str">
            <v>128 GB</v>
          </cell>
        </row>
        <row r="1068">
          <cell r="C1068" t="str">
            <v>G15128_SPC6445</v>
          </cell>
          <cell r="D1068" t="str">
            <v>CASAS BAHIA - AVENIDA PIRACEMA, 669 - SHOPPING TAMBORE - SPC6445</v>
          </cell>
          <cell r="E1068" t="str">
            <v>CASAS BAHIA</v>
          </cell>
          <cell r="F1068" t="str">
            <v>SHOPPING</v>
          </cell>
          <cell r="G1068" t="str">
            <v>AVENIDA PIRACEMA, 669</v>
          </cell>
          <cell r="H1068" t="str">
            <v>G15</v>
          </cell>
          <cell r="I1068" t="str">
            <v>128 GB</v>
          </cell>
        </row>
        <row r="1069">
          <cell r="C1069" t="str">
            <v>G15128_SPC6397</v>
          </cell>
          <cell r="D1069" t="str">
            <v>CASAS BAHIA - AVENIDA DOS AUTONOMISTAS, 1400 - SHOPPING UNIAO - SPC6397</v>
          </cell>
          <cell r="E1069" t="str">
            <v>CASAS BAHIA</v>
          </cell>
          <cell r="F1069" t="str">
            <v>SHOPPING</v>
          </cell>
          <cell r="G1069" t="str">
            <v>AVENIDA DOS AUTONOMISTAS, 1400</v>
          </cell>
          <cell r="H1069" t="str">
            <v>G15</v>
          </cell>
          <cell r="I1069" t="str">
            <v>128 GB</v>
          </cell>
        </row>
        <row r="1070">
          <cell r="C1070" t="str">
            <v>G15128_SPC11278</v>
          </cell>
          <cell r="D1070" t="str">
            <v>PONTO FRIO - RUA ANTONIO AGU, 155 - ZONA COMERCIAL - SPC11278</v>
          </cell>
          <cell r="E1070" t="str">
            <v xml:space="preserve">PONTO FRIO </v>
          </cell>
          <cell r="F1070" t="str">
            <v>RUA</v>
          </cell>
          <cell r="G1070" t="str">
            <v>RUA ANTONIO AGU, 155</v>
          </cell>
          <cell r="H1070" t="str">
            <v>G15</v>
          </cell>
          <cell r="I1070" t="str">
            <v>128 GB</v>
          </cell>
        </row>
        <row r="1071">
          <cell r="C1071" t="str">
            <v>G15128_SPC7644</v>
          </cell>
          <cell r="D1071" t="str">
            <v>CASAS BAHIA - TRAVESSA CASALBUONO, 120 - SHOPPING CENTER NORTE - SPC7644</v>
          </cell>
          <cell r="E1071" t="str">
            <v>CASAS BAHIA</v>
          </cell>
          <cell r="F1071" t="str">
            <v>SHOPPING</v>
          </cell>
          <cell r="G1071" t="str">
            <v>TRAVESSA CASALBUONO, 120</v>
          </cell>
          <cell r="H1071" t="str">
            <v>G15</v>
          </cell>
          <cell r="I1071" t="str">
            <v>128 GB</v>
          </cell>
        </row>
        <row r="1072">
          <cell r="C1072" t="str">
            <v>G15128_SPC8440</v>
          </cell>
          <cell r="D1072" t="str">
            <v>MAGAZINE LUIZA - RUA AMAZONAS DA SILVA, 27 - ZONA COMERCIAL - SPC8440</v>
          </cell>
          <cell r="E1072" t="str">
            <v>MAGAZINE LUIZA</v>
          </cell>
          <cell r="F1072" t="str">
            <v>RUA</v>
          </cell>
          <cell r="G1072" t="str">
            <v>RUA AMAZONAS DA SILVA, 27</v>
          </cell>
          <cell r="H1072" t="str">
            <v>G15</v>
          </cell>
          <cell r="I1072" t="str">
            <v>128 GB</v>
          </cell>
        </row>
        <row r="1073">
          <cell r="C1073" t="str">
            <v>G15128_SPC7607</v>
          </cell>
          <cell r="D1073" t="str">
            <v>CASAS BAHIA - RODOVIA PRESIDENTE DUTRA KM 230, S/N - SHOPPING INTERNACIONAL GUARULHOS - SPC7607</v>
          </cell>
          <cell r="E1073" t="str">
            <v>CASAS BAHIA</v>
          </cell>
          <cell r="F1073" t="str">
            <v>SHOPPING</v>
          </cell>
          <cell r="G1073" t="str">
            <v>RODOVIA PRESIDENTE DUTRA KM 230, S/N</v>
          </cell>
          <cell r="H1073" t="str">
            <v>G15</v>
          </cell>
          <cell r="I1073" t="str">
            <v>128 GB</v>
          </cell>
        </row>
        <row r="1074">
          <cell r="C1074" t="str">
            <v>G15128_SPC11273</v>
          </cell>
          <cell r="D1074" t="str">
            <v>CASAS BAHIA - AVENIDA JUSCELINO KUBITSCHEK DE OLIVEIRA, 5308 - SHOPPING BONSUCESSO - SPC11273</v>
          </cell>
          <cell r="E1074" t="str">
            <v>CASAS BAHIA</v>
          </cell>
          <cell r="F1074" t="str">
            <v>SHOPPING</v>
          </cell>
          <cell r="G1074" t="str">
            <v>AVENIDA JUSCELINO KUBITSCHEK DE OLIVEIRA, 5308</v>
          </cell>
          <cell r="H1074" t="str">
            <v>G15</v>
          </cell>
          <cell r="I1074" t="str">
            <v>128 GB</v>
          </cell>
        </row>
        <row r="1075">
          <cell r="C1075" t="str">
            <v>G15128_SPC11005</v>
          </cell>
          <cell r="D1075" t="str">
            <v>CASAS BAHIA - AVENIDA INDUSTRIAL, 600 - SHOPPING GRAND PLAZA - SPC11005</v>
          </cell>
          <cell r="E1075" t="str">
            <v>CASAS BAHIA</v>
          </cell>
          <cell r="F1075" t="str">
            <v>SHOPPING</v>
          </cell>
          <cell r="G1075" t="str">
            <v>AVENIDA INDUSTRIAL, 600</v>
          </cell>
          <cell r="H1075" t="str">
            <v>G15</v>
          </cell>
          <cell r="I1075" t="str">
            <v>128 GB</v>
          </cell>
        </row>
        <row r="1076">
          <cell r="C1076" t="str">
            <v>G15128_SPC8715</v>
          </cell>
          <cell r="D1076" t="str">
            <v>CASAS BAHIA - AVENIDA GOVERNADOR MARIO COVAS JUNIOR, 1 - SHOPPING MAUA - SPC8715</v>
          </cell>
          <cell r="E1076" t="str">
            <v>CASAS BAHIA</v>
          </cell>
          <cell r="F1076" t="str">
            <v>SHOPPING</v>
          </cell>
          <cell r="G1076" t="str">
            <v>AVENIDA GOVERNADOR MARIO COVAS JUNIOR, 1</v>
          </cell>
          <cell r="H1076" t="str">
            <v>G15</v>
          </cell>
          <cell r="I1076" t="str">
            <v>128 GB</v>
          </cell>
        </row>
        <row r="1077">
          <cell r="C1077" t="str">
            <v>G15128_SPC11374</v>
          </cell>
          <cell r="D1077" t="str">
            <v>CASAS BAHIA - AVENIDA PEREIRA BARRETO, 42 - SHOPPING ABC - SPC11374</v>
          </cell>
          <cell r="E1077" t="str">
            <v>CASAS BAHIA</v>
          </cell>
          <cell r="F1077" t="str">
            <v>SHOPPING</v>
          </cell>
          <cell r="G1077" t="str">
            <v>AVENIDA PEREIRA BARRETO, 42</v>
          </cell>
          <cell r="H1077" t="str">
            <v>G15</v>
          </cell>
          <cell r="I1077" t="str">
            <v>128 GB</v>
          </cell>
        </row>
        <row r="1078">
          <cell r="C1078" t="str">
            <v>G15128_SPC6700</v>
          </cell>
          <cell r="D1078" t="str">
            <v>CASAS BAHIA - RUA MARECHAL DEODORO, 987 - ZONA COMERCIAL - SPC6700</v>
          </cell>
          <cell r="E1078" t="str">
            <v>CASAS BAHIA</v>
          </cell>
          <cell r="F1078" t="str">
            <v>RUA</v>
          </cell>
          <cell r="G1078" t="str">
            <v>RUA MARECHAL DEODORO, 987</v>
          </cell>
          <cell r="H1078" t="str">
            <v>G15</v>
          </cell>
          <cell r="I1078" t="str">
            <v>128 GB</v>
          </cell>
        </row>
        <row r="1079">
          <cell r="C1079" t="str">
            <v>G15128_SPC7069</v>
          </cell>
          <cell r="D1079" t="str">
            <v>CASAS BAHIA - RUA DOMINGOS DE MORAIS, 2564 - SHOPPING METRO SANTA CRUZ - SPC7069</v>
          </cell>
          <cell r="E1079" t="str">
            <v>CASAS BAHIA</v>
          </cell>
          <cell r="F1079" t="str">
            <v>SHOPPING</v>
          </cell>
          <cell r="G1079" t="str">
            <v>RUA DOMINGOS DE MORAIS, 2564</v>
          </cell>
          <cell r="H1079" t="str">
            <v>G15</v>
          </cell>
          <cell r="I1079" t="str">
            <v>128 GB</v>
          </cell>
        </row>
        <row r="1080">
          <cell r="C1080" t="str">
            <v>G15128_SPC6505</v>
          </cell>
          <cell r="D1080" t="str">
            <v>CASAS BAHIA - RUA TEODORO SAMPAIO, 2522 - ZONA COMERCIAL - SPC6505</v>
          </cell>
          <cell r="E1080" t="str">
            <v>CASAS BAHIA</v>
          </cell>
          <cell r="F1080" t="str">
            <v>RUA</v>
          </cell>
          <cell r="G1080" t="str">
            <v>RUA TEODORO SAMPAIO, 2522</v>
          </cell>
          <cell r="H1080" t="str">
            <v>G15</v>
          </cell>
          <cell r="I1080" t="str">
            <v>128 GB</v>
          </cell>
        </row>
        <row r="1081">
          <cell r="C1081" t="str">
            <v>G15128_SPC234770</v>
          </cell>
          <cell r="D1081" t="str">
            <v>CASAS BAHIA - ESTRADA DA COLINA, 1048 - SPC234770</v>
          </cell>
          <cell r="E1081" t="str">
            <v>CASAS BAHIA</v>
          </cell>
          <cell r="F1081" t="str">
            <v>RUA</v>
          </cell>
          <cell r="G1081" t="str">
            <v>ESTRADA DA COLINA, 1048</v>
          </cell>
          <cell r="H1081" t="str">
            <v>G15</v>
          </cell>
          <cell r="I1081" t="str">
            <v>128 GB</v>
          </cell>
        </row>
        <row r="1082">
          <cell r="C1082" t="str">
            <v>G05256_SPC7613</v>
          </cell>
          <cell r="D1082" t="str">
            <v>CASAS BAHIA - AVENIDA INTERLAGOS, 2255 - SHOPPING INTERLAGOS - SPC7613</v>
          </cell>
          <cell r="E1082" t="str">
            <v>CASAS BAHIA</v>
          </cell>
          <cell r="F1082" t="str">
            <v>SHOPPING</v>
          </cell>
          <cell r="G1082" t="str">
            <v>AVENIDA INTERLAGOS, 2255</v>
          </cell>
          <cell r="H1082" t="str">
            <v>G05</v>
          </cell>
          <cell r="I1082" t="str">
            <v>256 GB</v>
          </cell>
        </row>
        <row r="1083">
          <cell r="C1083" t="str">
            <v>G05256_SPC7612</v>
          </cell>
          <cell r="D1083" t="str">
            <v>PONTO FRIO - AVENIDA INTERLAGOS, 2255 - SHOPPING INTERLAGOS - SPC7612</v>
          </cell>
          <cell r="E1083" t="str">
            <v xml:space="preserve">PONTO FRIO </v>
          </cell>
          <cell r="F1083" t="str">
            <v>SHOPPING</v>
          </cell>
          <cell r="G1083" t="str">
            <v>AVENIDA INTERLAGOS, 2255</v>
          </cell>
          <cell r="H1083" t="str">
            <v>G05</v>
          </cell>
          <cell r="I1083" t="str">
            <v>256 GB</v>
          </cell>
        </row>
        <row r="1084">
          <cell r="C1084" t="str">
            <v>G05256_SPC7614</v>
          </cell>
          <cell r="D1084" t="str">
            <v>LOJAS AMERICANAS - AVENIDA INTERLAGOS, 2255 - SHOPPING INTERLAGOS - SPC7614</v>
          </cell>
          <cell r="E1084" t="str">
            <v>LOJAS AMERICANAS</v>
          </cell>
          <cell r="F1084" t="str">
            <v>SHOPPING</v>
          </cell>
          <cell r="G1084" t="str">
            <v>AVENIDA INTERLAGOS, 2255</v>
          </cell>
          <cell r="H1084" t="str">
            <v>G05</v>
          </cell>
          <cell r="I1084" t="str">
            <v>256 GB</v>
          </cell>
        </row>
        <row r="1085">
          <cell r="C1085" t="str">
            <v>G05256_SPC11232</v>
          </cell>
          <cell r="D1085" t="str">
            <v>CASAS BAHIA - PRACA FLORIANO PEIXOTO, 38 - ZONA COMERCIAL - SPC11232</v>
          </cell>
          <cell r="E1085" t="str">
            <v>CASAS BAHIA</v>
          </cell>
          <cell r="F1085" t="str">
            <v>RUA</v>
          </cell>
          <cell r="G1085" t="str">
            <v>PRACA FLORIANO PEIXOTO, 38</v>
          </cell>
          <cell r="H1085" t="str">
            <v>G05</v>
          </cell>
          <cell r="I1085" t="str">
            <v>256 GB</v>
          </cell>
        </row>
        <row r="1086">
          <cell r="C1086" t="str">
            <v>G05256_SPC287350</v>
          </cell>
          <cell r="D1086" t="str">
            <v>CASAS BAHIA - AVENIDA NACOES UNIDAS, 12995 - SPC287350</v>
          </cell>
          <cell r="E1086" t="str">
            <v>CASAS BAHIA</v>
          </cell>
          <cell r="F1086" t="str">
            <v>RUA</v>
          </cell>
          <cell r="G1086" t="str">
            <v>AVENIDA NACOES UNIDAS, 12995</v>
          </cell>
          <cell r="H1086" t="str">
            <v>G05</v>
          </cell>
          <cell r="I1086" t="str">
            <v>256 GB</v>
          </cell>
        </row>
        <row r="1087">
          <cell r="C1087" t="str">
            <v>G05256_SPC252260</v>
          </cell>
          <cell r="D1087" t="str">
            <v>CASAS BAHIA - AVENIDA EMBAIXADOR MACEDO SOARES, 9175 - SPC252260</v>
          </cell>
          <cell r="E1087" t="str">
            <v>CASAS BAHIA</v>
          </cell>
          <cell r="F1087" t="str">
            <v>RUA</v>
          </cell>
          <cell r="G1087" t="str">
            <v>AVENIDA EMBAIXADOR MACEDO SOARES, 9175</v>
          </cell>
          <cell r="H1087" t="str">
            <v>G05</v>
          </cell>
          <cell r="I1087" t="str">
            <v>256 GB</v>
          </cell>
        </row>
        <row r="1088">
          <cell r="C1088" t="str">
            <v>G05256_SPC22892</v>
          </cell>
          <cell r="D1088" t="str">
            <v>CASAS BAHIA - AVENIDA ARICANDUVA, 5555 (LOJA 2) - SHOPPING ARICANDUVA - SPC22892</v>
          </cell>
          <cell r="E1088" t="str">
            <v>CASAS BAHIA</v>
          </cell>
          <cell r="F1088" t="str">
            <v>SHOPPING</v>
          </cell>
          <cell r="G1088" t="str">
            <v>AVENIDA ARICANDUVA, 5555 (LOJA 2)</v>
          </cell>
          <cell r="H1088" t="str">
            <v>G05</v>
          </cell>
          <cell r="I1088" t="str">
            <v>256 GB</v>
          </cell>
        </row>
        <row r="1089">
          <cell r="C1089" t="str">
            <v>G05256_SPC7610</v>
          </cell>
          <cell r="D1089" t="str">
            <v>CASAS BAHIA - AVENIDA ARICANDUVA, 5555 (LOJA 1) - SHOPPING ARICANDUVA - SPC7610</v>
          </cell>
          <cell r="E1089" t="str">
            <v>CASAS BAHIA</v>
          </cell>
          <cell r="F1089" t="str">
            <v>SHOPPING</v>
          </cell>
          <cell r="G1089" t="str">
            <v>AVENIDA ARICANDUVA, 5555 (LOJA 1)</v>
          </cell>
          <cell r="H1089" t="str">
            <v>G05</v>
          </cell>
          <cell r="I1089" t="str">
            <v>256 GB</v>
          </cell>
        </row>
        <row r="1090">
          <cell r="C1090" t="str">
            <v>G05256_SPC8803</v>
          </cell>
          <cell r="D1090" t="str">
            <v>PONTO FRIO - AVENIDA ARICANDUVA, 5555 (LOJA 2) - SHOPPING ARICANDUVA - SPC8803</v>
          </cell>
          <cell r="E1090" t="str">
            <v xml:space="preserve">PONTO FRIO </v>
          </cell>
          <cell r="F1090" t="str">
            <v>SHOPPING</v>
          </cell>
          <cell r="G1090" t="str">
            <v>AVENIDA ARICANDUVA, 5555 (LOJA 2)</v>
          </cell>
          <cell r="H1090" t="str">
            <v>G05</v>
          </cell>
          <cell r="I1090" t="str">
            <v>256 GB</v>
          </cell>
        </row>
        <row r="1091">
          <cell r="C1091" t="str">
            <v>G05256_SPC6374</v>
          </cell>
          <cell r="D1091" t="str">
            <v>MAGAZINE LUIZA - AVENIDA ARICANDUVA, 5555 - SHOPPING ARICANDUVA - SPC6374</v>
          </cell>
          <cell r="E1091" t="str">
            <v>MAGAZINE LUIZA</v>
          </cell>
          <cell r="F1091" t="str">
            <v>SHOPPING</v>
          </cell>
          <cell r="G1091" t="str">
            <v>AVENIDA ARICANDUVA, 5555</v>
          </cell>
          <cell r="H1091" t="str">
            <v>G05</v>
          </cell>
          <cell r="I1091" t="str">
            <v>256 GB</v>
          </cell>
        </row>
        <row r="1092">
          <cell r="C1092" t="str">
            <v>G05256_SPC7759</v>
          </cell>
          <cell r="D1092" t="str">
            <v>CASAS BAHIA - AVENIDA JOSE PINHEIRO BORGES, S/N - SHOPPING METRO ITAQUERA - SPC7759</v>
          </cell>
          <cell r="E1092" t="str">
            <v>CASAS BAHIA</v>
          </cell>
          <cell r="F1092" t="str">
            <v>SHOPPING</v>
          </cell>
          <cell r="G1092" t="str">
            <v>AVENIDA JOSE PINHEIRO BORGES, S/N</v>
          </cell>
          <cell r="H1092" t="str">
            <v>G05</v>
          </cell>
          <cell r="I1092" t="str">
            <v>256 GB</v>
          </cell>
        </row>
        <row r="1093">
          <cell r="C1093" t="str">
            <v>G05256_SPC9927</v>
          </cell>
          <cell r="D1093" t="str">
            <v>CASAS BAHIA - RODOVIA REGIS BITTENCOURT KM 271, 2643 - SHOPPING TABOAO DA SERRA - SPC9927</v>
          </cell>
          <cell r="E1093" t="str">
            <v>CASAS BAHIA</v>
          </cell>
          <cell r="F1093" t="str">
            <v>SHOPPING</v>
          </cell>
          <cell r="G1093" t="str">
            <v>RODOVIA REGIS BITTENCOURT KM 271, 2643</v>
          </cell>
          <cell r="H1093" t="str">
            <v>G05</v>
          </cell>
          <cell r="I1093" t="str">
            <v>256 GB</v>
          </cell>
        </row>
        <row r="1094">
          <cell r="C1094" t="str">
            <v>G05256_SPC10966</v>
          </cell>
          <cell r="D1094" t="str">
            <v>CASAS BAHIA - ESTRADA DO CAMPO LIMPO, 459 - SHOPPING CAMPO LIMPO - SPC10966</v>
          </cell>
          <cell r="E1094" t="str">
            <v>CASAS BAHIA</v>
          </cell>
          <cell r="F1094" t="str">
            <v>SHOPPING</v>
          </cell>
          <cell r="G1094" t="str">
            <v>ESTRADA DO CAMPO LIMPO, 459</v>
          </cell>
          <cell r="H1094" t="str">
            <v>G05</v>
          </cell>
          <cell r="I1094" t="str">
            <v>256 GB</v>
          </cell>
        </row>
        <row r="1095">
          <cell r="C1095" t="str">
            <v>G05256_SPC11008</v>
          </cell>
          <cell r="D1095" t="str">
            <v>CASAS BAHIA - LARGO 13 DE MAIO, 308 - ZONA COMERCIAL - SPC11008</v>
          </cell>
          <cell r="E1095" t="str">
            <v>CASAS BAHIA</v>
          </cell>
          <cell r="F1095" t="str">
            <v>RUA</v>
          </cell>
          <cell r="G1095" t="str">
            <v>LARGO 13 DE MAIO, 308</v>
          </cell>
          <cell r="H1095" t="str">
            <v>G05</v>
          </cell>
          <cell r="I1095" t="str">
            <v>256 GB</v>
          </cell>
        </row>
        <row r="1096">
          <cell r="C1096" t="str">
            <v>G05256_SPC7621</v>
          </cell>
          <cell r="D1096" t="str">
            <v>PONTO FRIO - RUA CAPITAO TIAGO LUZ, 146 - ZONA COMERCIAL - SPC7621</v>
          </cell>
          <cell r="E1096" t="str">
            <v xml:space="preserve">PONTO FRIO </v>
          </cell>
          <cell r="F1096" t="str">
            <v>RUA</v>
          </cell>
          <cell r="G1096" t="str">
            <v>RUA CAPITAO TIAGO LUZ, 146</v>
          </cell>
          <cell r="H1096" t="str">
            <v>G05</v>
          </cell>
          <cell r="I1096" t="str">
            <v>256 GB</v>
          </cell>
        </row>
        <row r="1097">
          <cell r="C1097" t="str">
            <v>G05256_SPC6352</v>
          </cell>
          <cell r="D1097" t="str">
            <v>CASAS BAHIA - RUA TENENTE AVELAR PIRES DE AZEVEDO, 81 - SHOPPING OSASCO PLAZA - SPC6352</v>
          </cell>
          <cell r="E1097" t="str">
            <v>CASAS BAHIA</v>
          </cell>
          <cell r="F1097" t="str">
            <v>SHOPPING</v>
          </cell>
          <cell r="G1097" t="str">
            <v>RUA TENENTE AVELAR PIRES DE AZEVEDO, 81</v>
          </cell>
          <cell r="H1097" t="str">
            <v>G05</v>
          </cell>
          <cell r="I1097" t="str">
            <v>256 GB</v>
          </cell>
        </row>
        <row r="1098">
          <cell r="C1098" t="str">
            <v>G05256_SPC6445</v>
          </cell>
          <cell r="D1098" t="str">
            <v>CASAS BAHIA - AVENIDA PIRACEMA, 669 - SHOPPING TAMBORE - SPC6445</v>
          </cell>
          <cell r="E1098" t="str">
            <v>CASAS BAHIA</v>
          </cell>
          <cell r="F1098" t="str">
            <v>SHOPPING</v>
          </cell>
          <cell r="G1098" t="str">
            <v>AVENIDA PIRACEMA, 669</v>
          </cell>
          <cell r="H1098" t="str">
            <v>G05</v>
          </cell>
          <cell r="I1098" t="str">
            <v>256 GB</v>
          </cell>
        </row>
        <row r="1099">
          <cell r="C1099" t="str">
            <v>G05256_SPC6397</v>
          </cell>
          <cell r="D1099" t="str">
            <v>CASAS BAHIA - AVENIDA DOS AUTONOMISTAS, 1400 - SHOPPING UNIAO - SPC6397</v>
          </cell>
          <cell r="E1099" t="str">
            <v>CASAS BAHIA</v>
          </cell>
          <cell r="F1099" t="str">
            <v>SHOPPING</v>
          </cell>
          <cell r="G1099" t="str">
            <v>AVENIDA DOS AUTONOMISTAS, 1400</v>
          </cell>
          <cell r="H1099" t="str">
            <v>G05</v>
          </cell>
          <cell r="I1099" t="str">
            <v>256 GB</v>
          </cell>
        </row>
        <row r="1100">
          <cell r="C1100" t="str">
            <v>G05256_SPC11278</v>
          </cell>
          <cell r="D1100" t="str">
            <v>PONTO FRIO - RUA ANTONIO AGU, 155 - ZONA COMERCIAL - SPC11278</v>
          </cell>
          <cell r="E1100" t="str">
            <v xml:space="preserve">PONTO FRIO </v>
          </cell>
          <cell r="F1100" t="str">
            <v>RUA</v>
          </cell>
          <cell r="G1100" t="str">
            <v>RUA ANTONIO AGU, 155</v>
          </cell>
          <cell r="H1100" t="str">
            <v>G05</v>
          </cell>
          <cell r="I1100" t="str">
            <v>256 GB</v>
          </cell>
        </row>
        <row r="1101">
          <cell r="C1101" t="str">
            <v>G05256_SPC7644</v>
          </cell>
          <cell r="D1101" t="str">
            <v>CASAS BAHIA - TRAVESSA CASALBUONO, 120 - SHOPPING CENTER NORTE - SPC7644</v>
          </cell>
          <cell r="E1101" t="str">
            <v>CASAS BAHIA</v>
          </cell>
          <cell r="F1101" t="str">
            <v>SHOPPING</v>
          </cell>
          <cell r="G1101" t="str">
            <v>TRAVESSA CASALBUONO, 120</v>
          </cell>
          <cell r="H1101" t="str">
            <v>G05</v>
          </cell>
          <cell r="I1101" t="str">
            <v>256 GB</v>
          </cell>
        </row>
        <row r="1102">
          <cell r="C1102" t="str">
            <v>G05256_SPC8440</v>
          </cell>
          <cell r="D1102" t="str">
            <v>MAGAZINE LUIZA - RUA AMAZONAS DA SILVA, 27 - ZONA COMERCIAL - SPC8440</v>
          </cell>
          <cell r="E1102" t="str">
            <v>MAGAZINE LUIZA</v>
          </cell>
          <cell r="F1102" t="str">
            <v>RUA</v>
          </cell>
          <cell r="G1102" t="str">
            <v>RUA AMAZONAS DA SILVA, 27</v>
          </cell>
          <cell r="H1102" t="str">
            <v>G05</v>
          </cell>
          <cell r="I1102" t="str">
            <v>256 GB</v>
          </cell>
        </row>
        <row r="1103">
          <cell r="C1103" t="str">
            <v>G05256_SPC7607</v>
          </cell>
          <cell r="D1103" t="str">
            <v>CASAS BAHIA - RODOVIA PRESIDENTE DUTRA KM 230, S/N - SHOPPING INTERNACIONAL GUARULHOS - SPC7607</v>
          </cell>
          <cell r="E1103" t="str">
            <v>CASAS BAHIA</v>
          </cell>
          <cell r="F1103" t="str">
            <v>SHOPPING</v>
          </cell>
          <cell r="G1103" t="str">
            <v>RODOVIA PRESIDENTE DUTRA KM 230, S/N</v>
          </cell>
          <cell r="H1103" t="str">
            <v>G05</v>
          </cell>
          <cell r="I1103" t="str">
            <v>256 GB</v>
          </cell>
        </row>
        <row r="1104">
          <cell r="C1104" t="str">
            <v>G05256_SPC11273</v>
          </cell>
          <cell r="D1104" t="str">
            <v>CASAS BAHIA - AVENIDA JUSCELINO KUBITSCHEK DE OLIVEIRA, 5308 - SHOPPING BONSUCESSO - SPC11273</v>
          </cell>
          <cell r="E1104" t="str">
            <v>CASAS BAHIA</v>
          </cell>
          <cell r="F1104" t="str">
            <v>SHOPPING</v>
          </cell>
          <cell r="G1104" t="str">
            <v>AVENIDA JUSCELINO KUBITSCHEK DE OLIVEIRA, 5308</v>
          </cell>
          <cell r="H1104" t="str">
            <v>G05</v>
          </cell>
          <cell r="I1104" t="str">
            <v>256 GB</v>
          </cell>
        </row>
        <row r="1105">
          <cell r="C1105" t="str">
            <v>G05256_SPC11005</v>
          </cell>
          <cell r="D1105" t="str">
            <v>CASAS BAHIA - AVENIDA INDUSTRIAL, 600 - SHOPPING GRAND PLAZA - SPC11005</v>
          </cell>
          <cell r="E1105" t="str">
            <v>CASAS BAHIA</v>
          </cell>
          <cell r="F1105" t="str">
            <v>SHOPPING</v>
          </cell>
          <cell r="G1105" t="str">
            <v>AVENIDA INDUSTRIAL, 600</v>
          </cell>
          <cell r="H1105" t="str">
            <v>G05</v>
          </cell>
          <cell r="I1105" t="str">
            <v>256 GB</v>
          </cell>
        </row>
        <row r="1106">
          <cell r="C1106" t="str">
            <v>G05256_SPC8715</v>
          </cell>
          <cell r="D1106" t="str">
            <v>CASAS BAHIA - AVENIDA GOVERNADOR MARIO COVAS JUNIOR, 1 - SHOPPING MAUA - SPC8715</v>
          </cell>
          <cell r="E1106" t="str">
            <v>CASAS BAHIA</v>
          </cell>
          <cell r="F1106" t="str">
            <v>SHOPPING</v>
          </cell>
          <cell r="G1106" t="str">
            <v>AVENIDA GOVERNADOR MARIO COVAS JUNIOR, 1</v>
          </cell>
          <cell r="H1106" t="str">
            <v>G05</v>
          </cell>
          <cell r="I1106" t="str">
            <v>256 GB</v>
          </cell>
        </row>
        <row r="1107">
          <cell r="C1107" t="str">
            <v>G05256_SPC11374</v>
          </cell>
          <cell r="D1107" t="str">
            <v>CASAS BAHIA - AVENIDA PEREIRA BARRETO, 42 - SHOPPING ABC - SPC11374</v>
          </cell>
          <cell r="E1107" t="str">
            <v>CASAS BAHIA</v>
          </cell>
          <cell r="F1107" t="str">
            <v>SHOPPING</v>
          </cell>
          <cell r="G1107" t="str">
            <v>AVENIDA PEREIRA BARRETO, 42</v>
          </cell>
          <cell r="H1107" t="str">
            <v>G05</v>
          </cell>
          <cell r="I1107" t="str">
            <v>256 GB</v>
          </cell>
        </row>
        <row r="1108">
          <cell r="C1108" t="str">
            <v>G05256_SPC6700</v>
          </cell>
          <cell r="D1108" t="str">
            <v>CASAS BAHIA - RUA MARECHAL DEODORO, 987 - ZONA COMERCIAL - SPC6700</v>
          </cell>
          <cell r="E1108" t="str">
            <v>CASAS BAHIA</v>
          </cell>
          <cell r="F1108" t="str">
            <v>RUA</v>
          </cell>
          <cell r="G1108" t="str">
            <v>RUA MARECHAL DEODORO, 987</v>
          </cell>
          <cell r="H1108" t="str">
            <v>G05</v>
          </cell>
          <cell r="I1108" t="str">
            <v>256 GB</v>
          </cell>
        </row>
        <row r="1109">
          <cell r="C1109" t="str">
            <v>G05256_SPC7069</v>
          </cell>
          <cell r="D1109" t="str">
            <v>CASAS BAHIA - RUA DOMINGOS DE MORAIS, 2564 - SHOPPING METRO SANTA CRUZ - SPC7069</v>
          </cell>
          <cell r="E1109" t="str">
            <v>CASAS BAHIA</v>
          </cell>
          <cell r="F1109" t="str">
            <v>SHOPPING</v>
          </cell>
          <cell r="G1109" t="str">
            <v>RUA DOMINGOS DE MORAIS, 2564</v>
          </cell>
          <cell r="H1109" t="str">
            <v>G05</v>
          </cell>
          <cell r="I1109" t="str">
            <v>256 GB</v>
          </cell>
        </row>
        <row r="1110">
          <cell r="C1110" t="str">
            <v>G05256_SPC6505</v>
          </cell>
          <cell r="D1110" t="str">
            <v>CASAS BAHIA - RUA TEODORO SAMPAIO, 2522 - ZONA COMERCIAL - SPC6505</v>
          </cell>
          <cell r="E1110" t="str">
            <v>CASAS BAHIA</v>
          </cell>
          <cell r="F1110" t="str">
            <v>RUA</v>
          </cell>
          <cell r="G1110" t="str">
            <v>RUA TEODORO SAMPAIO, 2522</v>
          </cell>
          <cell r="H1110" t="str">
            <v>G05</v>
          </cell>
          <cell r="I1110" t="str">
            <v>256 GB</v>
          </cell>
        </row>
        <row r="1111">
          <cell r="C1111" t="str">
            <v>G05256_SPC234770</v>
          </cell>
          <cell r="D1111" t="str">
            <v>CASAS BAHIA - ESTRADA DA COLINA, 1048 - SPC234770</v>
          </cell>
          <cell r="E1111" t="str">
            <v>CASAS BAHIA</v>
          </cell>
          <cell r="F1111" t="str">
            <v>RUA</v>
          </cell>
          <cell r="G1111" t="str">
            <v>ESTRADA DA COLINA, 1048</v>
          </cell>
          <cell r="H1111" t="str">
            <v>G05</v>
          </cell>
          <cell r="I1111" t="str">
            <v>256 GB</v>
          </cell>
        </row>
        <row r="1112">
          <cell r="C1112" t="str">
            <v>G05128_SPC7613</v>
          </cell>
          <cell r="D1112" t="str">
            <v>CASAS BAHIA - AVENIDA INTERLAGOS, 2255 - SHOPPING INTERLAGOS - SPC7613</v>
          </cell>
          <cell r="E1112" t="str">
            <v>CASAS BAHIA</v>
          </cell>
          <cell r="F1112" t="str">
            <v>SHOPPING</v>
          </cell>
          <cell r="G1112" t="str">
            <v>AVENIDA INTERLAGOS, 2255</v>
          </cell>
          <cell r="H1112" t="str">
            <v>G05</v>
          </cell>
          <cell r="I1112" t="str">
            <v>128 GB</v>
          </cell>
        </row>
        <row r="1113">
          <cell r="C1113" t="str">
            <v>G05128_SPC7612</v>
          </cell>
          <cell r="D1113" t="str">
            <v>PONTO FRIO - AVENIDA INTERLAGOS, 2255 - SHOPPING INTERLAGOS - SPC7612</v>
          </cell>
          <cell r="E1113" t="str">
            <v xml:space="preserve">PONTO FRIO </v>
          </cell>
          <cell r="F1113" t="str">
            <v>SHOPPING</v>
          </cell>
          <cell r="G1113" t="str">
            <v>AVENIDA INTERLAGOS, 2255</v>
          </cell>
          <cell r="H1113" t="str">
            <v>G05</v>
          </cell>
          <cell r="I1113" t="str">
            <v>128 GB</v>
          </cell>
        </row>
        <row r="1114">
          <cell r="C1114" t="str">
            <v>G05128_SPC7614</v>
          </cell>
          <cell r="D1114" t="str">
            <v>LOJAS AMERICANAS - AVENIDA INTERLAGOS, 2255 - SHOPPING INTERLAGOS - SPC7614</v>
          </cell>
          <cell r="E1114" t="str">
            <v>LOJAS AMERICANAS</v>
          </cell>
          <cell r="F1114" t="str">
            <v>SHOPPING</v>
          </cell>
          <cell r="G1114" t="str">
            <v>AVENIDA INTERLAGOS, 2255</v>
          </cell>
          <cell r="H1114" t="str">
            <v>G05</v>
          </cell>
          <cell r="I1114" t="str">
            <v>128 GB</v>
          </cell>
        </row>
        <row r="1115">
          <cell r="C1115" t="str">
            <v>G05128_SPC11232</v>
          </cell>
          <cell r="D1115" t="str">
            <v>CASAS BAHIA - PRACA FLORIANO PEIXOTO, 38 - ZONA COMERCIAL - SPC11232</v>
          </cell>
          <cell r="E1115" t="str">
            <v>CASAS BAHIA</v>
          </cell>
          <cell r="F1115" t="str">
            <v>RUA</v>
          </cell>
          <cell r="G1115" t="str">
            <v>PRACA FLORIANO PEIXOTO, 38</v>
          </cell>
          <cell r="H1115" t="str">
            <v>G05</v>
          </cell>
          <cell r="I1115" t="str">
            <v>128 GB</v>
          </cell>
        </row>
        <row r="1116">
          <cell r="C1116" t="str">
            <v>G05128_SPC287350</v>
          </cell>
          <cell r="D1116" t="str">
            <v>CASAS BAHIA - AVENIDA NACOES UNIDAS, 12995 - SPC287350</v>
          </cell>
          <cell r="E1116" t="str">
            <v>CASAS BAHIA</v>
          </cell>
          <cell r="F1116" t="str">
            <v>RUA</v>
          </cell>
          <cell r="G1116" t="str">
            <v>AVENIDA NACOES UNIDAS, 12995</v>
          </cell>
          <cell r="H1116" t="str">
            <v>G05</v>
          </cell>
          <cell r="I1116" t="str">
            <v>128 GB</v>
          </cell>
        </row>
        <row r="1117">
          <cell r="C1117" t="str">
            <v>G05128_SPC252260</v>
          </cell>
          <cell r="D1117" t="str">
            <v>CASAS BAHIA - AVENIDA EMBAIXADOR MACEDO SOARES, 9175 - SPC252260</v>
          </cell>
          <cell r="E1117" t="str">
            <v>CASAS BAHIA</v>
          </cell>
          <cell r="F1117" t="str">
            <v>RUA</v>
          </cell>
          <cell r="G1117" t="str">
            <v>AVENIDA EMBAIXADOR MACEDO SOARES, 9175</v>
          </cell>
          <cell r="H1117" t="str">
            <v>G05</v>
          </cell>
          <cell r="I1117" t="str">
            <v>128 GB</v>
          </cell>
        </row>
        <row r="1118">
          <cell r="C1118" t="str">
            <v>G05128_SPC22892</v>
          </cell>
          <cell r="D1118" t="str">
            <v>CASAS BAHIA - AVENIDA ARICANDUVA, 5555 (LOJA 2) - SHOPPING ARICANDUVA - SPC22892</v>
          </cell>
          <cell r="E1118" t="str">
            <v>CASAS BAHIA</v>
          </cell>
          <cell r="F1118" t="str">
            <v>SHOPPING</v>
          </cell>
          <cell r="G1118" t="str">
            <v>AVENIDA ARICANDUVA, 5555 (LOJA 2)</v>
          </cell>
          <cell r="H1118" t="str">
            <v>G05</v>
          </cell>
          <cell r="I1118" t="str">
            <v>128 GB</v>
          </cell>
        </row>
        <row r="1119">
          <cell r="C1119" t="str">
            <v>G05128_SPC7610</v>
          </cell>
          <cell r="D1119" t="str">
            <v>CASAS BAHIA - AVENIDA ARICANDUVA, 5555 (LOJA 1) - SHOPPING ARICANDUVA - SPC7610</v>
          </cell>
          <cell r="E1119" t="str">
            <v>CASAS BAHIA</v>
          </cell>
          <cell r="F1119" t="str">
            <v>SHOPPING</v>
          </cell>
          <cell r="G1119" t="str">
            <v>AVENIDA ARICANDUVA, 5555 (LOJA 1)</v>
          </cell>
          <cell r="H1119" t="str">
            <v>G05</v>
          </cell>
          <cell r="I1119" t="str">
            <v>128 GB</v>
          </cell>
        </row>
        <row r="1120">
          <cell r="C1120" t="str">
            <v>G05128_SPC8803</v>
          </cell>
          <cell r="D1120" t="str">
            <v>PONTO FRIO - AVENIDA ARICANDUVA, 5555 (LOJA 2) - SHOPPING ARICANDUVA - SPC8803</v>
          </cell>
          <cell r="E1120" t="str">
            <v xml:space="preserve">PONTO FRIO </v>
          </cell>
          <cell r="F1120" t="str">
            <v>SHOPPING</v>
          </cell>
          <cell r="G1120" t="str">
            <v>AVENIDA ARICANDUVA, 5555 (LOJA 2)</v>
          </cell>
          <cell r="H1120" t="str">
            <v>G05</v>
          </cell>
          <cell r="I1120" t="str">
            <v>128 GB</v>
          </cell>
        </row>
        <row r="1121">
          <cell r="C1121" t="str">
            <v>G05128_SPC6374</v>
          </cell>
          <cell r="D1121" t="str">
            <v>MAGAZINE LUIZA - AVENIDA ARICANDUVA, 5555 - SHOPPING ARICANDUVA - SPC6374</v>
          </cell>
          <cell r="E1121" t="str">
            <v>MAGAZINE LUIZA</v>
          </cell>
          <cell r="F1121" t="str">
            <v>SHOPPING</v>
          </cell>
          <cell r="G1121" t="str">
            <v>AVENIDA ARICANDUVA, 5555</v>
          </cell>
          <cell r="H1121" t="str">
            <v>G05</v>
          </cell>
          <cell r="I1121" t="str">
            <v>128 GB</v>
          </cell>
        </row>
        <row r="1122">
          <cell r="C1122" t="str">
            <v>G05128_SPC7759</v>
          </cell>
          <cell r="D1122" t="str">
            <v>CASAS BAHIA - AVENIDA JOSE PINHEIRO BORGES, S/N - SHOPPING METRO ITAQUERA - SPC7759</v>
          </cell>
          <cell r="E1122" t="str">
            <v>CASAS BAHIA</v>
          </cell>
          <cell r="F1122" t="str">
            <v>SHOPPING</v>
          </cell>
          <cell r="G1122" t="str">
            <v>AVENIDA JOSE PINHEIRO BORGES, S/N</v>
          </cell>
          <cell r="H1122" t="str">
            <v>G05</v>
          </cell>
          <cell r="I1122" t="str">
            <v>128 GB</v>
          </cell>
        </row>
        <row r="1123">
          <cell r="C1123" t="str">
            <v>G05128_SPC9927</v>
          </cell>
          <cell r="D1123" t="str">
            <v>CASAS BAHIA - RODOVIA REGIS BITTENCOURT KM 271, 2643 - SHOPPING TABOAO DA SERRA - SPC9927</v>
          </cell>
          <cell r="E1123" t="str">
            <v>CASAS BAHIA</v>
          </cell>
          <cell r="F1123" t="str">
            <v>SHOPPING</v>
          </cell>
          <cell r="G1123" t="str">
            <v>RODOVIA REGIS BITTENCOURT KM 271, 2643</v>
          </cell>
          <cell r="H1123" t="str">
            <v>G05</v>
          </cell>
          <cell r="I1123" t="str">
            <v>128 GB</v>
          </cell>
        </row>
        <row r="1124">
          <cell r="C1124" t="str">
            <v>G05128_SPC10966</v>
          </cell>
          <cell r="D1124" t="str">
            <v>CASAS BAHIA - ESTRADA DO CAMPO LIMPO, 459 - SHOPPING CAMPO LIMPO - SPC10966</v>
          </cell>
          <cell r="E1124" t="str">
            <v>CASAS BAHIA</v>
          </cell>
          <cell r="F1124" t="str">
            <v>SHOPPING</v>
          </cell>
          <cell r="G1124" t="str">
            <v>ESTRADA DO CAMPO LIMPO, 459</v>
          </cell>
          <cell r="H1124" t="str">
            <v>G05</v>
          </cell>
          <cell r="I1124" t="str">
            <v>128 GB</v>
          </cell>
        </row>
        <row r="1125">
          <cell r="C1125" t="str">
            <v>G05128_SPC11008</v>
          </cell>
          <cell r="D1125" t="str">
            <v>CASAS BAHIA - LARGO 13 DE MAIO, 308 - ZONA COMERCIAL - SPC11008</v>
          </cell>
          <cell r="E1125" t="str">
            <v>CASAS BAHIA</v>
          </cell>
          <cell r="F1125" t="str">
            <v>RUA</v>
          </cell>
          <cell r="G1125" t="str">
            <v>LARGO 13 DE MAIO, 308</v>
          </cell>
          <cell r="H1125" t="str">
            <v>G05</v>
          </cell>
          <cell r="I1125" t="str">
            <v>128 GB</v>
          </cell>
        </row>
        <row r="1126">
          <cell r="C1126" t="str">
            <v>G05128_SPC7621</v>
          </cell>
          <cell r="D1126" t="str">
            <v>PONTO FRIO - RUA CAPITAO TIAGO LUZ, 146 - ZONA COMERCIAL - SPC7621</v>
          </cell>
          <cell r="E1126" t="str">
            <v xml:space="preserve">PONTO FRIO </v>
          </cell>
          <cell r="F1126" t="str">
            <v>RUA</v>
          </cell>
          <cell r="G1126" t="str">
            <v>RUA CAPITAO TIAGO LUZ, 146</v>
          </cell>
          <cell r="H1126" t="str">
            <v>G05</v>
          </cell>
          <cell r="I1126" t="str">
            <v>128 GB</v>
          </cell>
        </row>
        <row r="1127">
          <cell r="C1127" t="str">
            <v>G05128_SPC6352</v>
          </cell>
          <cell r="D1127" t="str">
            <v>CASAS BAHIA - RUA TENENTE AVELAR PIRES DE AZEVEDO, 81 - SHOPPING OSASCO PLAZA - SPC6352</v>
          </cell>
          <cell r="E1127" t="str">
            <v>CASAS BAHIA</v>
          </cell>
          <cell r="F1127" t="str">
            <v>SHOPPING</v>
          </cell>
          <cell r="G1127" t="str">
            <v>RUA TENENTE AVELAR PIRES DE AZEVEDO, 81</v>
          </cell>
          <cell r="H1127" t="str">
            <v>G05</v>
          </cell>
          <cell r="I1127" t="str">
            <v>128 GB</v>
          </cell>
        </row>
        <row r="1128">
          <cell r="C1128" t="str">
            <v>G05128_SPC6445</v>
          </cell>
          <cell r="D1128" t="str">
            <v>CASAS BAHIA - AVENIDA PIRACEMA, 669 - SHOPPING TAMBORE - SPC6445</v>
          </cell>
          <cell r="E1128" t="str">
            <v>CASAS BAHIA</v>
          </cell>
          <cell r="F1128" t="str">
            <v>SHOPPING</v>
          </cell>
          <cell r="G1128" t="str">
            <v>AVENIDA PIRACEMA, 669</v>
          </cell>
          <cell r="H1128" t="str">
            <v>G05</v>
          </cell>
          <cell r="I1128" t="str">
            <v>128 GB</v>
          </cell>
        </row>
        <row r="1129">
          <cell r="C1129" t="str">
            <v>G05128_SPC6397</v>
          </cell>
          <cell r="D1129" t="str">
            <v>CASAS BAHIA - AVENIDA DOS AUTONOMISTAS, 1400 - SHOPPING UNIAO - SPC6397</v>
          </cell>
          <cell r="E1129" t="str">
            <v>CASAS BAHIA</v>
          </cell>
          <cell r="F1129" t="str">
            <v>SHOPPING</v>
          </cell>
          <cell r="G1129" t="str">
            <v>AVENIDA DOS AUTONOMISTAS, 1400</v>
          </cell>
          <cell r="H1129" t="str">
            <v>G05</v>
          </cell>
          <cell r="I1129" t="str">
            <v>128 GB</v>
          </cell>
        </row>
        <row r="1130">
          <cell r="C1130" t="str">
            <v>G05128_SPC11278</v>
          </cell>
          <cell r="D1130" t="str">
            <v>PONTO FRIO - RUA ANTONIO AGU, 155 - ZONA COMERCIAL - SPC11278</v>
          </cell>
          <cell r="E1130" t="str">
            <v xml:space="preserve">PONTO FRIO </v>
          </cell>
          <cell r="F1130" t="str">
            <v>RUA</v>
          </cell>
          <cell r="G1130" t="str">
            <v>RUA ANTONIO AGU, 155</v>
          </cell>
          <cell r="H1130" t="str">
            <v>G05</v>
          </cell>
          <cell r="I1130" t="str">
            <v>128 GB</v>
          </cell>
        </row>
        <row r="1131">
          <cell r="C1131" t="str">
            <v>G05128_SPC7644</v>
          </cell>
          <cell r="D1131" t="str">
            <v>CASAS BAHIA - TRAVESSA CASALBUONO, 120 - SHOPPING CENTER NORTE - SPC7644</v>
          </cell>
          <cell r="E1131" t="str">
            <v>CASAS BAHIA</v>
          </cell>
          <cell r="F1131" t="str">
            <v>SHOPPING</v>
          </cell>
          <cell r="G1131" t="str">
            <v>TRAVESSA CASALBUONO, 120</v>
          </cell>
          <cell r="H1131" t="str">
            <v>G05</v>
          </cell>
          <cell r="I1131" t="str">
            <v>128 GB</v>
          </cell>
        </row>
        <row r="1132">
          <cell r="C1132" t="str">
            <v>G05128_SPC8440</v>
          </cell>
          <cell r="D1132" t="str">
            <v>MAGAZINE LUIZA - RUA AMAZONAS DA SILVA, 27 - ZONA COMERCIAL - SPC8440</v>
          </cell>
          <cell r="E1132" t="str">
            <v>MAGAZINE LUIZA</v>
          </cell>
          <cell r="F1132" t="str">
            <v>RUA</v>
          </cell>
          <cell r="G1132" t="str">
            <v>RUA AMAZONAS DA SILVA, 27</v>
          </cell>
          <cell r="H1132" t="str">
            <v>G05</v>
          </cell>
          <cell r="I1132" t="str">
            <v>128 GB</v>
          </cell>
        </row>
        <row r="1133">
          <cell r="C1133" t="str">
            <v>G05128_SPC7607</v>
          </cell>
          <cell r="D1133" t="str">
            <v>CASAS BAHIA - RODOVIA PRESIDENTE DUTRA KM 230, S/N - SHOPPING INTERNACIONAL GUARULHOS - SPC7607</v>
          </cell>
          <cell r="E1133" t="str">
            <v>CASAS BAHIA</v>
          </cell>
          <cell r="F1133" t="str">
            <v>SHOPPING</v>
          </cell>
          <cell r="G1133" t="str">
            <v>RODOVIA PRESIDENTE DUTRA KM 230, S/N</v>
          </cell>
          <cell r="H1133" t="str">
            <v>G05</v>
          </cell>
          <cell r="I1133" t="str">
            <v>128 GB</v>
          </cell>
        </row>
        <row r="1134">
          <cell r="C1134" t="str">
            <v>G05128_SPC11273</v>
          </cell>
          <cell r="D1134" t="str">
            <v>CASAS BAHIA - AVENIDA JUSCELINO KUBITSCHEK DE OLIVEIRA, 5308 - SHOPPING BONSUCESSO - SPC11273</v>
          </cell>
          <cell r="E1134" t="str">
            <v>CASAS BAHIA</v>
          </cell>
          <cell r="F1134" t="str">
            <v>SHOPPING</v>
          </cell>
          <cell r="G1134" t="str">
            <v>AVENIDA JUSCELINO KUBITSCHEK DE OLIVEIRA, 5308</v>
          </cell>
          <cell r="H1134" t="str">
            <v>G05</v>
          </cell>
          <cell r="I1134" t="str">
            <v>128 GB</v>
          </cell>
        </row>
        <row r="1135">
          <cell r="C1135" t="str">
            <v>G05128_SPC11005</v>
          </cell>
          <cell r="D1135" t="str">
            <v>CASAS BAHIA - AVENIDA INDUSTRIAL, 600 - SHOPPING GRAND PLAZA - SPC11005</v>
          </cell>
          <cell r="E1135" t="str">
            <v>CASAS BAHIA</v>
          </cell>
          <cell r="F1135" t="str">
            <v>SHOPPING</v>
          </cell>
          <cell r="G1135" t="str">
            <v>AVENIDA INDUSTRIAL, 600</v>
          </cell>
          <cell r="H1135" t="str">
            <v>G05</v>
          </cell>
          <cell r="I1135" t="str">
            <v>128 GB</v>
          </cell>
        </row>
        <row r="1136">
          <cell r="C1136" t="str">
            <v>G05128_SPC8715</v>
          </cell>
          <cell r="D1136" t="str">
            <v>CASAS BAHIA - AVENIDA GOVERNADOR MARIO COVAS JUNIOR, 1 - SHOPPING MAUA - SPC8715</v>
          </cell>
          <cell r="E1136" t="str">
            <v>CASAS BAHIA</v>
          </cell>
          <cell r="F1136" t="str">
            <v>SHOPPING</v>
          </cell>
          <cell r="G1136" t="str">
            <v>AVENIDA GOVERNADOR MARIO COVAS JUNIOR, 1</v>
          </cell>
          <cell r="H1136" t="str">
            <v>G05</v>
          </cell>
          <cell r="I1136" t="str">
            <v>128 GB</v>
          </cell>
        </row>
        <row r="1137">
          <cell r="C1137" t="str">
            <v>G05128_SPC11374</v>
          </cell>
          <cell r="D1137" t="str">
            <v>CASAS BAHIA - AVENIDA PEREIRA BARRETO, 42 - SHOPPING ABC - SPC11374</v>
          </cell>
          <cell r="E1137" t="str">
            <v>CASAS BAHIA</v>
          </cell>
          <cell r="F1137" t="str">
            <v>SHOPPING</v>
          </cell>
          <cell r="G1137" t="str">
            <v>AVENIDA PEREIRA BARRETO, 42</v>
          </cell>
          <cell r="H1137" t="str">
            <v>G05</v>
          </cell>
          <cell r="I1137" t="str">
            <v>128 GB</v>
          </cell>
        </row>
        <row r="1138">
          <cell r="C1138" t="str">
            <v>G05128_SPC6700</v>
          </cell>
          <cell r="D1138" t="str">
            <v>CASAS BAHIA - RUA MARECHAL DEODORO, 987 - ZONA COMERCIAL - SPC6700</v>
          </cell>
          <cell r="E1138" t="str">
            <v>CASAS BAHIA</v>
          </cell>
          <cell r="F1138" t="str">
            <v>RUA</v>
          </cell>
          <cell r="G1138" t="str">
            <v>RUA MARECHAL DEODORO, 987</v>
          </cell>
          <cell r="H1138" t="str">
            <v>G05</v>
          </cell>
          <cell r="I1138" t="str">
            <v>128 GB</v>
          </cell>
        </row>
        <row r="1139">
          <cell r="C1139" t="str">
            <v>G05128_SPC7069</v>
          </cell>
          <cell r="D1139" t="str">
            <v>CASAS BAHIA - RUA DOMINGOS DE MORAIS, 2564 - SHOPPING METRO SANTA CRUZ - SPC7069</v>
          </cell>
          <cell r="E1139" t="str">
            <v>CASAS BAHIA</v>
          </cell>
          <cell r="F1139" t="str">
            <v>SHOPPING</v>
          </cell>
          <cell r="G1139" t="str">
            <v>RUA DOMINGOS DE MORAIS, 2564</v>
          </cell>
          <cell r="H1139" t="str">
            <v>G05</v>
          </cell>
          <cell r="I1139" t="str">
            <v>128 GB</v>
          </cell>
        </row>
        <row r="1140">
          <cell r="C1140" t="str">
            <v>G05128_SPC6505</v>
          </cell>
          <cell r="D1140" t="str">
            <v>CASAS BAHIA - RUA TEODORO SAMPAIO, 2522 - ZONA COMERCIAL - SPC6505</v>
          </cell>
          <cell r="E1140" t="str">
            <v>CASAS BAHIA</v>
          </cell>
          <cell r="F1140" t="str">
            <v>RUA</v>
          </cell>
          <cell r="G1140" t="str">
            <v>RUA TEODORO SAMPAIO, 2522</v>
          </cell>
          <cell r="H1140" t="str">
            <v>G05</v>
          </cell>
          <cell r="I1140" t="str">
            <v>128 GB</v>
          </cell>
        </row>
        <row r="1141">
          <cell r="C1141" t="str">
            <v>G05128_SPC234770</v>
          </cell>
          <cell r="D1141" t="str">
            <v>CASAS BAHIA - ESTRADA DA COLINA, 1048 - SPC234770</v>
          </cell>
          <cell r="E1141" t="str">
            <v>CASAS BAHIA</v>
          </cell>
          <cell r="F1141" t="str">
            <v>RUA</v>
          </cell>
          <cell r="G1141" t="str">
            <v>ESTRADA DA COLINA, 1048</v>
          </cell>
          <cell r="H1141" t="str">
            <v>G05</v>
          </cell>
          <cell r="I1141" t="str">
            <v>128 GB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Sheet1" displayName="Table_Sheet1" ref="A1:N222">
  <autoFilter ref="A1:N222" xr:uid="{00000000-000C-0000-FFFF-FFFF00000000}"/>
  <tableColumns count="14">
    <tableColumn id="1" xr3:uid="{00000000-0010-0000-0000-000001000000}" name="Date/Time" totalsRowLabel="Total" dataDxfId="0"/>
    <tableColumn id="9" xr3:uid="{F528A563-3EF3-7B45-9774-B11E5EE9BB6E}" name="Faixa" dataDxfId="8">
      <calculatedColumnFormula>MOD(Table_Sheet1[[#This Row],[Date/Time]],1)</calculatedColumnFormula>
    </tableColumn>
    <tableColumn id="2" xr3:uid="{00000000-0010-0000-0000-000002000000}" name="Store Code"/>
    <tableColumn id="3" xr3:uid="{00000000-0010-0000-0000-000003000000}" name="Store Name"/>
    <tableColumn id="4" xr3:uid="{00000000-0010-0000-0000-000004000000}" name="Device Code"/>
    <tableColumn id="5" xr3:uid="{00000000-0010-0000-0000-000005000000}" name="Device Name"/>
    <tableColumn id="6" xr3:uid="{00000000-0010-0000-0000-000006000000}" name="Sessions"/>
    <tableColumn id="7" xr3:uid="{D1DB0C11-930B-F044-BABB-4B7949E47EB2}" name="Aparelho" dataDxfId="7">
      <calculatedColumnFormula>VLOOKUP(Table_Sheet1[[#This Row],[Device Name]],'[1]AParelhos_&amp;_LOJAS'!$C:$H,6,0)</calculatedColumnFormula>
    </tableColumn>
    <tableColumn id="8" xr3:uid="{D1D8A123-6296-5D48-80AB-B1DE3DD5912D}" name="Tipo" dataDxfId="6">
      <calculatedColumnFormula>VLOOKUP(Table_Sheet1[[#This Row],[Device Name]],'[1]AParelhos_&amp;_LOJAS'!$C:$I,7,0)</calculatedColumnFormula>
    </tableColumn>
    <tableColumn id="10" xr3:uid="{1FA2F765-2BDD-0A41-95CE-7FA2BDD10931}" name="Rede" dataDxfId="5">
      <calculatedColumnFormula>VLOOKUP(Table_Sheet1[[#This Row],[Store Name]],'lojas comp prom'!B:T,19,0)</calculatedColumnFormula>
    </tableColumn>
    <tableColumn id="11" xr3:uid="{813934F7-C159-F045-8D9F-032707E015D8}" name="80/20" dataDxfId="4">
      <calculatedColumnFormula>VLOOKUP(Table_Sheet1[[#This Row],[Store Name]],'lojas comp prom'!B:Z,25,0)</calculatedColumnFormula>
    </tableColumn>
    <tableColumn id="12" xr3:uid="{EF29F529-40A3-4D46-A5A7-E3040BE5D6E3}" name="Shopping" dataDxfId="3">
      <calculatedColumnFormula>VLOOKUP(Table_Sheet1[[#This Row],[Store Name]],'lojas comp prom'!B:S,18,0)</calculatedColumnFormula>
    </tableColumn>
    <tableColumn id="13" xr3:uid="{F031902E-2E8C-8E46-9B17-B1C3482DC14D}" name="Visibilidade" dataDxfId="2">
      <calculatedColumnFormula>VLOOKUP(Table_Sheet1[[#This Row],[Store Name]],'lojas comp prom'!B:AA,26,0)</calculatedColumnFormula>
    </tableColumn>
    <tableColumn id="14" xr3:uid="{60AF8FFA-556E-8749-897E-4ECD46505BFC}" name="Regional" dataDxfId="1">
      <calculatedColumnFormula>VLOOKUP(Table_Sheet1[[#This Row],[Store Name]],'lojas comp prom'!B:L,11,0)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2"/>
  <sheetViews>
    <sheetView tabSelected="1" zoomScale="120" zoomScaleNormal="120" workbookViewId="0">
      <selection activeCell="D7" sqref="D7"/>
    </sheetView>
  </sheetViews>
  <sheetFormatPr baseColWidth="10" defaultColWidth="8.83203125" defaultRowHeight="15" x14ac:dyDescent="0.2"/>
  <cols>
    <col min="1" max="1" width="20" customWidth="1"/>
    <col min="2" max="2" width="8.1640625" style="2" bestFit="1" customWidth="1"/>
    <col min="3" max="3" width="12" customWidth="1"/>
    <col min="4" max="4" width="84.6640625" customWidth="1"/>
    <col min="5" max="5" width="29.6640625" customWidth="1"/>
    <col min="6" max="6" width="20" customWidth="1"/>
    <col min="7" max="7" width="12" customWidth="1"/>
    <col min="8" max="8" width="22.6640625" customWidth="1"/>
    <col min="10" max="10" width="16" bestFit="1" customWidth="1"/>
    <col min="12" max="12" width="16.33203125" bestFit="1" customWidth="1"/>
  </cols>
  <sheetData>
    <row r="1" spans="1:14" x14ac:dyDescent="0.2">
      <c r="A1" t="s">
        <v>0</v>
      </c>
      <c r="B1" s="13" t="s">
        <v>36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14" t="s">
        <v>31</v>
      </c>
      <c r="I1" s="14" t="s">
        <v>32</v>
      </c>
      <c r="J1" s="14" t="s">
        <v>38</v>
      </c>
      <c r="K1" s="14" t="s">
        <v>39</v>
      </c>
      <c r="L1" s="14" t="s">
        <v>40</v>
      </c>
      <c r="M1" s="14" t="s">
        <v>25253</v>
      </c>
      <c r="N1" s="14" t="s">
        <v>25254</v>
      </c>
    </row>
    <row r="2" spans="1:14" x14ac:dyDescent="0.2">
      <c r="A2" s="1">
        <v>46113.416666666672</v>
      </c>
      <c r="B2" s="2">
        <f>MOD(Table_Sheet1[[#This Row],[Date/Time]],1)</f>
        <v>0.41666666667151731</v>
      </c>
      <c r="C2" t="s">
        <v>41</v>
      </c>
      <c r="D2" t="s">
        <v>42</v>
      </c>
      <c r="E2" t="s">
        <v>43</v>
      </c>
      <c r="F2" t="s">
        <v>43</v>
      </c>
      <c r="G2">
        <v>2</v>
      </c>
      <c r="H2" s="3" t="str">
        <f>VLOOKUP(Table_Sheet1[[#This Row],[Device Name]],'[1]AParelhos_&amp;_LOJAS'!$C:$H,6,0)</f>
        <v xml:space="preserve">Edge 60 Fusion </v>
      </c>
      <c r="I2" s="3" t="str">
        <f>VLOOKUP(Table_Sheet1[[#This Row],[Device Name]],'[1]AParelhos_&amp;_LOJAS'!$C:$I,7,0)</f>
        <v>256 GB</v>
      </c>
      <c r="J2" s="3" t="str">
        <f>VLOOKUP(Table_Sheet1[[#This Row],[Store Name]],'lojas comp prom'!B:T,19,0)</f>
        <v>CASAS BAHIA</v>
      </c>
      <c r="K2" s="3">
        <f>VLOOKUP(Table_Sheet1[[#This Row],[Store Name]],'lojas comp prom'!B:Z,25,0)</f>
        <v>80</v>
      </c>
      <c r="L2" s="3" t="str">
        <f>VLOOKUP(Table_Sheet1[[#This Row],[Store Name]],'lojas comp prom'!B:S,18,0)</f>
        <v>Loja De Rua</v>
      </c>
      <c r="M2" s="3">
        <f>VLOOKUP(Table_Sheet1[[#This Row],[Store Name]],'lojas comp prom'!B:AA,26,0)</f>
        <v>0</v>
      </c>
      <c r="N2" s="3" t="str">
        <f>VLOOKUP(Table_Sheet1[[#This Row],[Store Name]],'lojas comp prom'!B:L,11,0)</f>
        <v>SPC</v>
      </c>
    </row>
    <row r="3" spans="1:14" x14ac:dyDescent="0.2">
      <c r="A3" s="1">
        <v>46113.416666666672</v>
      </c>
      <c r="B3" s="2">
        <f>MOD(Table_Sheet1[[#This Row],[Date/Time]],1)</f>
        <v>0.41666666667151731</v>
      </c>
      <c r="C3" t="s">
        <v>41</v>
      </c>
      <c r="D3" t="s">
        <v>42</v>
      </c>
      <c r="E3" t="s">
        <v>45</v>
      </c>
      <c r="F3" t="s">
        <v>45</v>
      </c>
      <c r="G3">
        <v>2</v>
      </c>
      <c r="H3" s="3" t="str">
        <f>VLOOKUP(Table_Sheet1[[#This Row],[Device Name]],'[1]AParelhos_&amp;_LOJAS'!$C:$H,6,0)</f>
        <v>G05</v>
      </c>
      <c r="I3" s="3" t="str">
        <f>VLOOKUP(Table_Sheet1[[#This Row],[Device Name]],'[1]AParelhos_&amp;_LOJAS'!$C:$I,7,0)</f>
        <v>256 GB</v>
      </c>
      <c r="J3" s="3" t="str">
        <f>VLOOKUP(Table_Sheet1[[#This Row],[Store Name]],'lojas comp prom'!B:T,19,0)</f>
        <v>CASAS BAHIA</v>
      </c>
      <c r="K3" s="3">
        <f>VLOOKUP(Table_Sheet1[[#This Row],[Store Name]],'lojas comp prom'!B:Z,25,0)</f>
        <v>80</v>
      </c>
      <c r="L3" s="3" t="str">
        <f>VLOOKUP(Table_Sheet1[[#This Row],[Store Name]],'lojas comp prom'!B:S,18,0)</f>
        <v>Loja De Rua</v>
      </c>
      <c r="M3" s="3">
        <f>VLOOKUP(Table_Sheet1[[#This Row],[Store Name]],'lojas comp prom'!B:AA,26,0)</f>
        <v>0</v>
      </c>
      <c r="N3" s="3" t="str">
        <f>VLOOKUP(Table_Sheet1[[#This Row],[Store Name]],'lojas comp prom'!B:L,11,0)</f>
        <v>SPC</v>
      </c>
    </row>
    <row r="4" spans="1:14" x14ac:dyDescent="0.2">
      <c r="A4" s="1">
        <v>46113.416666666672</v>
      </c>
      <c r="B4" s="2">
        <f>MOD(Table_Sheet1[[#This Row],[Date/Time]],1)</f>
        <v>0.41666666667151731</v>
      </c>
      <c r="C4" t="s">
        <v>41</v>
      </c>
      <c r="D4" t="s">
        <v>42</v>
      </c>
      <c r="E4" t="s">
        <v>46</v>
      </c>
      <c r="F4" t="s">
        <v>46</v>
      </c>
      <c r="G4">
        <v>2</v>
      </c>
      <c r="H4" s="3" t="str">
        <f>VLOOKUP(Table_Sheet1[[#This Row],[Device Name]],'[1]AParelhos_&amp;_LOJAS'!$C:$H,6,0)</f>
        <v>G06</v>
      </c>
      <c r="I4" s="3" t="str">
        <f>VLOOKUP(Table_Sheet1[[#This Row],[Device Name]],'[1]AParelhos_&amp;_LOJAS'!$C:$I,7,0)</f>
        <v>128 GB</v>
      </c>
      <c r="J4" s="3" t="str">
        <f>VLOOKUP(Table_Sheet1[[#This Row],[Store Name]],'lojas comp prom'!B:T,19,0)</f>
        <v>CASAS BAHIA</v>
      </c>
      <c r="K4" s="3">
        <f>VLOOKUP(Table_Sheet1[[#This Row],[Store Name]],'lojas comp prom'!B:Z,25,0)</f>
        <v>80</v>
      </c>
      <c r="L4" s="3" t="str">
        <f>VLOOKUP(Table_Sheet1[[#This Row],[Store Name]],'lojas comp prom'!B:S,18,0)</f>
        <v>Loja De Rua</v>
      </c>
      <c r="M4" s="3">
        <f>VLOOKUP(Table_Sheet1[[#This Row],[Store Name]],'lojas comp prom'!B:AA,26,0)</f>
        <v>0</v>
      </c>
      <c r="N4" s="3" t="str">
        <f>VLOOKUP(Table_Sheet1[[#This Row],[Store Name]],'lojas comp prom'!B:L,11,0)</f>
        <v>SPC</v>
      </c>
    </row>
    <row r="5" spans="1:14" x14ac:dyDescent="0.2">
      <c r="A5" s="1">
        <v>46113.416666666672</v>
      </c>
      <c r="B5" s="2">
        <f>MOD(Table_Sheet1[[#This Row],[Date/Time]],1)</f>
        <v>0.41666666667151731</v>
      </c>
      <c r="C5" t="s">
        <v>41</v>
      </c>
      <c r="D5" t="s">
        <v>42</v>
      </c>
      <c r="E5" t="s">
        <v>47</v>
      </c>
      <c r="F5" t="s">
        <v>47</v>
      </c>
      <c r="G5">
        <v>1</v>
      </c>
      <c r="H5" s="3" t="str">
        <f>VLOOKUP(Table_Sheet1[[#This Row],[Device Name]],'[1]AParelhos_&amp;_LOJAS'!$C:$H,6,0)</f>
        <v>G06</v>
      </c>
      <c r="I5" s="3" t="str">
        <f>VLOOKUP(Table_Sheet1[[#This Row],[Device Name]],'[1]AParelhos_&amp;_LOJAS'!$C:$I,7,0)</f>
        <v>256 GB</v>
      </c>
      <c r="J5" s="3" t="str">
        <f>VLOOKUP(Table_Sheet1[[#This Row],[Store Name]],'lojas comp prom'!B:T,19,0)</f>
        <v>CASAS BAHIA</v>
      </c>
      <c r="K5" s="3">
        <f>VLOOKUP(Table_Sheet1[[#This Row],[Store Name]],'lojas comp prom'!B:Z,25,0)</f>
        <v>80</v>
      </c>
      <c r="L5" s="3" t="str">
        <f>VLOOKUP(Table_Sheet1[[#This Row],[Store Name]],'lojas comp prom'!B:S,18,0)</f>
        <v>Loja De Rua</v>
      </c>
      <c r="M5" s="3">
        <f>VLOOKUP(Table_Sheet1[[#This Row],[Store Name]],'lojas comp prom'!B:AA,26,0)</f>
        <v>0</v>
      </c>
      <c r="N5" s="3" t="str">
        <f>VLOOKUP(Table_Sheet1[[#This Row],[Store Name]],'lojas comp prom'!B:L,11,0)</f>
        <v>SPC</v>
      </c>
    </row>
    <row r="6" spans="1:14" x14ac:dyDescent="0.2">
      <c r="A6" s="1">
        <v>46113.416666666672</v>
      </c>
      <c r="B6" s="2">
        <f>MOD(Table_Sheet1[[#This Row],[Date/Time]],1)</f>
        <v>0.41666666667151731</v>
      </c>
      <c r="C6" t="s">
        <v>41</v>
      </c>
      <c r="D6" t="s">
        <v>42</v>
      </c>
      <c r="E6" t="s">
        <v>49</v>
      </c>
      <c r="F6" t="s">
        <v>49</v>
      </c>
      <c r="G6">
        <v>2</v>
      </c>
      <c r="H6" s="3" t="str">
        <f>VLOOKUP(Table_Sheet1[[#This Row],[Device Name]],'[1]AParelhos_&amp;_LOJAS'!$C:$H,6,0)</f>
        <v>G17</v>
      </c>
      <c r="I6" s="3" t="str">
        <f>VLOOKUP(Table_Sheet1[[#This Row],[Device Name]],'[1]AParelhos_&amp;_LOJAS'!$C:$I,7,0)</f>
        <v>256 GB</v>
      </c>
      <c r="J6" s="3" t="str">
        <f>VLOOKUP(Table_Sheet1[[#This Row],[Store Name]],'lojas comp prom'!B:T,19,0)</f>
        <v>CASAS BAHIA</v>
      </c>
      <c r="K6" s="3">
        <f>VLOOKUP(Table_Sheet1[[#This Row],[Store Name]],'lojas comp prom'!B:Z,25,0)</f>
        <v>80</v>
      </c>
      <c r="L6" s="3" t="str">
        <f>VLOOKUP(Table_Sheet1[[#This Row],[Store Name]],'lojas comp prom'!B:S,18,0)</f>
        <v>Loja De Rua</v>
      </c>
      <c r="M6" s="3">
        <f>VLOOKUP(Table_Sheet1[[#This Row],[Store Name]],'lojas comp prom'!B:AA,26,0)</f>
        <v>0</v>
      </c>
      <c r="N6" s="3" t="str">
        <f>VLOOKUP(Table_Sheet1[[#This Row],[Store Name]],'lojas comp prom'!B:L,11,0)</f>
        <v>SPC</v>
      </c>
    </row>
    <row r="7" spans="1:14" x14ac:dyDescent="0.2">
      <c r="A7" s="1">
        <v>46113.416666666672</v>
      </c>
      <c r="B7" s="2">
        <f>MOD(Table_Sheet1[[#This Row],[Date/Time]],1)</f>
        <v>0.41666666667151731</v>
      </c>
      <c r="C7" t="s">
        <v>53</v>
      </c>
      <c r="D7" t="s">
        <v>54</v>
      </c>
      <c r="E7" t="s">
        <v>63</v>
      </c>
      <c r="F7" t="s">
        <v>63</v>
      </c>
      <c r="G7">
        <v>1</v>
      </c>
      <c r="H7" s="3" t="str">
        <f>VLOOKUP(Table_Sheet1[[#This Row],[Device Name]],'[1]AParelhos_&amp;_LOJAS'!$C:$H,6,0)</f>
        <v>G56</v>
      </c>
      <c r="I7" s="3" t="str">
        <f>VLOOKUP(Table_Sheet1[[#This Row],[Device Name]],'[1]AParelhos_&amp;_LOJAS'!$C:$I,7,0)</f>
        <v>256 GB</v>
      </c>
      <c r="J7" s="3" t="str">
        <f>VLOOKUP(Table_Sheet1[[#This Row],[Store Name]],'lojas comp prom'!B:T,19,0)</f>
        <v>CASAS BAHIA</v>
      </c>
      <c r="K7" s="3">
        <f>VLOOKUP(Table_Sheet1[[#This Row],[Store Name]],'lojas comp prom'!B:Z,25,0)</f>
        <v>80</v>
      </c>
      <c r="L7" s="3" t="str">
        <f>VLOOKUP(Table_Sheet1[[#This Row],[Store Name]],'lojas comp prom'!B:S,18,0)</f>
        <v>Loja De Rua</v>
      </c>
      <c r="M7" s="3">
        <f>VLOOKUP(Table_Sheet1[[#This Row],[Store Name]],'lojas comp prom'!B:AA,26,0)</f>
        <v>0</v>
      </c>
      <c r="N7" s="3" t="str">
        <f>VLOOKUP(Table_Sheet1[[#This Row],[Store Name]],'lojas comp prom'!B:L,11,0)</f>
        <v>SPC</v>
      </c>
    </row>
    <row r="8" spans="1:14" x14ac:dyDescent="0.2">
      <c r="A8" s="1">
        <v>46113.416666666672</v>
      </c>
      <c r="B8" s="2">
        <f>MOD(Table_Sheet1[[#This Row],[Date/Time]],1)</f>
        <v>0.41666666667151731</v>
      </c>
      <c r="C8" t="s">
        <v>8</v>
      </c>
      <c r="D8" t="s">
        <v>9</v>
      </c>
      <c r="E8" t="s">
        <v>10</v>
      </c>
      <c r="F8" t="s">
        <v>10</v>
      </c>
      <c r="G8">
        <v>1</v>
      </c>
      <c r="H8" s="3" t="str">
        <f>VLOOKUP(Table_Sheet1[[#This Row],[Device Name]],'[1]AParelhos_&amp;_LOJAS'!$C:$H,6,0)</f>
        <v>Edge 50 Fusion</v>
      </c>
      <c r="I8" s="3" t="str">
        <f>VLOOKUP(Table_Sheet1[[#This Row],[Device Name]],'[1]AParelhos_&amp;_LOJAS'!$C:$I,7,0)</f>
        <v>256 GB</v>
      </c>
      <c r="J8" s="3" t="str">
        <f>VLOOKUP(Table_Sheet1[[#This Row],[Store Name]],'lojas comp prom'!B:T,19,0)</f>
        <v>PONTO FRIO</v>
      </c>
      <c r="K8" s="3">
        <f>VLOOKUP(Table_Sheet1[[#This Row],[Store Name]],'lojas comp prom'!B:Z,25,0)</f>
        <v>80</v>
      </c>
      <c r="L8" s="3" t="str">
        <f>VLOOKUP(Table_Sheet1[[#This Row],[Store Name]],'lojas comp prom'!B:S,18,0)</f>
        <v>Shopping Interlagos</v>
      </c>
      <c r="M8" s="3">
        <f>VLOOKUP(Table_Sheet1[[#This Row],[Store Name]],'lojas comp prom'!B:AA,26,0)</f>
        <v>0</v>
      </c>
      <c r="N8" s="3" t="str">
        <f>VLOOKUP(Table_Sheet1[[#This Row],[Store Name]],'lojas comp prom'!B:L,11,0)</f>
        <v>SPC</v>
      </c>
    </row>
    <row r="9" spans="1:14" x14ac:dyDescent="0.2">
      <c r="A9" s="1">
        <v>46113.416666666672</v>
      </c>
      <c r="B9" s="2">
        <f>MOD(Table_Sheet1[[#This Row],[Date/Time]],1)</f>
        <v>0.41666666667151731</v>
      </c>
      <c r="C9" t="s">
        <v>8</v>
      </c>
      <c r="D9" t="s">
        <v>9</v>
      </c>
      <c r="E9" t="s">
        <v>17</v>
      </c>
      <c r="F9" t="s">
        <v>17</v>
      </c>
      <c r="G9">
        <v>1</v>
      </c>
      <c r="H9" s="3" t="str">
        <f>VLOOKUP(Table_Sheet1[[#This Row],[Device Name]],'[1]AParelhos_&amp;_LOJAS'!$C:$H,6,0)</f>
        <v xml:space="preserve">Edge 60 Fusion </v>
      </c>
      <c r="I9" s="3" t="str">
        <f>VLOOKUP(Table_Sheet1[[#This Row],[Device Name]],'[1]AParelhos_&amp;_LOJAS'!$C:$I,7,0)</f>
        <v>256 GB</v>
      </c>
      <c r="J9" s="3" t="str">
        <f>VLOOKUP(Table_Sheet1[[#This Row],[Store Name]],'lojas comp prom'!B:T,19,0)</f>
        <v>PONTO FRIO</v>
      </c>
      <c r="K9" s="3">
        <f>VLOOKUP(Table_Sheet1[[#This Row],[Store Name]],'lojas comp prom'!B:Z,25,0)</f>
        <v>80</v>
      </c>
      <c r="L9" s="3" t="str">
        <f>VLOOKUP(Table_Sheet1[[#This Row],[Store Name]],'lojas comp prom'!B:S,18,0)</f>
        <v>Shopping Interlagos</v>
      </c>
      <c r="M9" s="3">
        <f>VLOOKUP(Table_Sheet1[[#This Row],[Store Name]],'lojas comp prom'!B:AA,26,0)</f>
        <v>0</v>
      </c>
      <c r="N9" s="3" t="str">
        <f>VLOOKUP(Table_Sheet1[[#This Row],[Store Name]],'lojas comp prom'!B:L,11,0)</f>
        <v>SPC</v>
      </c>
    </row>
    <row r="10" spans="1:14" x14ac:dyDescent="0.2">
      <c r="A10" s="1">
        <v>46113.416666666672</v>
      </c>
      <c r="B10" s="2">
        <f>MOD(Table_Sheet1[[#This Row],[Date/Time]],1)</f>
        <v>0.41666666667151731</v>
      </c>
      <c r="C10" t="s">
        <v>8</v>
      </c>
      <c r="D10" t="s">
        <v>9</v>
      </c>
      <c r="E10" t="s">
        <v>18</v>
      </c>
      <c r="F10" t="s">
        <v>18</v>
      </c>
      <c r="G10">
        <v>1</v>
      </c>
      <c r="H10" s="3" t="str">
        <f>VLOOKUP(Table_Sheet1[[#This Row],[Device Name]],'[1]AParelhos_&amp;_LOJAS'!$C:$H,6,0)</f>
        <v>G05</v>
      </c>
      <c r="I10" s="3" t="str">
        <f>VLOOKUP(Table_Sheet1[[#This Row],[Device Name]],'[1]AParelhos_&amp;_LOJAS'!$C:$I,7,0)</f>
        <v>256 GB</v>
      </c>
      <c r="J10" s="3" t="str">
        <f>VLOOKUP(Table_Sheet1[[#This Row],[Store Name]],'lojas comp prom'!B:T,19,0)</f>
        <v>PONTO FRIO</v>
      </c>
      <c r="K10" s="3">
        <f>VLOOKUP(Table_Sheet1[[#This Row],[Store Name]],'lojas comp prom'!B:Z,25,0)</f>
        <v>80</v>
      </c>
      <c r="L10" s="3" t="str">
        <f>VLOOKUP(Table_Sheet1[[#This Row],[Store Name]],'lojas comp prom'!B:S,18,0)</f>
        <v>Shopping Interlagos</v>
      </c>
      <c r="M10" s="3">
        <f>VLOOKUP(Table_Sheet1[[#This Row],[Store Name]],'lojas comp prom'!B:AA,26,0)</f>
        <v>0</v>
      </c>
      <c r="N10" s="3" t="str">
        <f>VLOOKUP(Table_Sheet1[[#This Row],[Store Name]],'lojas comp prom'!B:L,11,0)</f>
        <v>SPC</v>
      </c>
    </row>
    <row r="11" spans="1:14" x14ac:dyDescent="0.2">
      <c r="A11" s="1">
        <v>46113.416666666672</v>
      </c>
      <c r="B11" s="2">
        <f>MOD(Table_Sheet1[[#This Row],[Date/Time]],1)</f>
        <v>0.41666666667151731</v>
      </c>
      <c r="C11" t="s">
        <v>8</v>
      </c>
      <c r="D11" t="s">
        <v>9</v>
      </c>
      <c r="E11" t="s">
        <v>11</v>
      </c>
      <c r="F11" t="s">
        <v>11</v>
      </c>
      <c r="G11">
        <v>1</v>
      </c>
      <c r="H11" s="3" t="str">
        <f>VLOOKUP(Table_Sheet1[[#This Row],[Device Name]],'[1]AParelhos_&amp;_LOJAS'!$C:$H,6,0)</f>
        <v>G06</v>
      </c>
      <c r="I11" s="3" t="str">
        <f>VLOOKUP(Table_Sheet1[[#This Row],[Device Name]],'[1]AParelhos_&amp;_LOJAS'!$C:$I,7,0)</f>
        <v>128 GB</v>
      </c>
      <c r="J11" s="3" t="str">
        <f>VLOOKUP(Table_Sheet1[[#This Row],[Store Name]],'lojas comp prom'!B:T,19,0)</f>
        <v>PONTO FRIO</v>
      </c>
      <c r="K11" s="3">
        <f>VLOOKUP(Table_Sheet1[[#This Row],[Store Name]],'lojas comp prom'!B:Z,25,0)</f>
        <v>80</v>
      </c>
      <c r="L11" s="3" t="str">
        <f>VLOOKUP(Table_Sheet1[[#This Row],[Store Name]],'lojas comp prom'!B:S,18,0)</f>
        <v>Shopping Interlagos</v>
      </c>
      <c r="M11" s="3">
        <f>VLOOKUP(Table_Sheet1[[#This Row],[Store Name]],'lojas comp prom'!B:AA,26,0)</f>
        <v>0</v>
      </c>
      <c r="N11" s="3" t="str">
        <f>VLOOKUP(Table_Sheet1[[#This Row],[Store Name]],'lojas comp prom'!B:L,11,0)</f>
        <v>SPC</v>
      </c>
    </row>
    <row r="12" spans="1:14" x14ac:dyDescent="0.2">
      <c r="A12" s="1">
        <v>46113.416666666672</v>
      </c>
      <c r="B12" s="2">
        <f>MOD(Table_Sheet1[[#This Row],[Date/Time]],1)</f>
        <v>0.41666666667151731</v>
      </c>
      <c r="C12" t="s">
        <v>8</v>
      </c>
      <c r="D12" t="s">
        <v>9</v>
      </c>
      <c r="E12" t="s">
        <v>13</v>
      </c>
      <c r="F12" t="s">
        <v>13</v>
      </c>
      <c r="G12">
        <v>1</v>
      </c>
      <c r="H12" s="3" t="str">
        <f>VLOOKUP(Table_Sheet1[[#This Row],[Device Name]],'[1]AParelhos_&amp;_LOJAS'!$C:$H,6,0)</f>
        <v>G17</v>
      </c>
      <c r="I12" s="3" t="str">
        <f>VLOOKUP(Table_Sheet1[[#This Row],[Device Name]],'[1]AParelhos_&amp;_LOJAS'!$C:$I,7,0)</f>
        <v>128 GB</v>
      </c>
      <c r="J12" s="3" t="str">
        <f>VLOOKUP(Table_Sheet1[[#This Row],[Store Name]],'lojas comp prom'!B:T,19,0)</f>
        <v>PONTO FRIO</v>
      </c>
      <c r="K12" s="3">
        <f>VLOOKUP(Table_Sheet1[[#This Row],[Store Name]],'lojas comp prom'!B:Z,25,0)</f>
        <v>80</v>
      </c>
      <c r="L12" s="3" t="str">
        <f>VLOOKUP(Table_Sheet1[[#This Row],[Store Name]],'lojas comp prom'!B:S,18,0)</f>
        <v>Shopping Interlagos</v>
      </c>
      <c r="M12" s="3">
        <f>VLOOKUP(Table_Sheet1[[#This Row],[Store Name]],'lojas comp prom'!B:AA,26,0)</f>
        <v>0</v>
      </c>
      <c r="N12" s="3" t="str">
        <f>VLOOKUP(Table_Sheet1[[#This Row],[Store Name]],'lojas comp prom'!B:L,11,0)</f>
        <v>SPC</v>
      </c>
    </row>
    <row r="13" spans="1:14" x14ac:dyDescent="0.2">
      <c r="A13" s="1">
        <v>46113.416666666672</v>
      </c>
      <c r="B13" s="2">
        <f>MOD(Table_Sheet1[[#This Row],[Date/Time]],1)</f>
        <v>0.41666666667151731</v>
      </c>
      <c r="C13" t="s">
        <v>8</v>
      </c>
      <c r="D13" t="s">
        <v>9</v>
      </c>
      <c r="E13" t="s">
        <v>16</v>
      </c>
      <c r="F13" t="s">
        <v>16</v>
      </c>
      <c r="G13">
        <v>1</v>
      </c>
      <c r="H13" s="3" t="str">
        <f>VLOOKUP(Table_Sheet1[[#This Row],[Device Name]],'[1]AParelhos_&amp;_LOJAS'!$C:$H,6,0)</f>
        <v>Razr 50 Ultra</v>
      </c>
      <c r="I13" s="3" t="str">
        <f>VLOOKUP(Table_Sheet1[[#This Row],[Device Name]],'[1]AParelhos_&amp;_LOJAS'!$C:$I,7,0)</f>
        <v>512 GB</v>
      </c>
      <c r="J13" s="3" t="str">
        <f>VLOOKUP(Table_Sheet1[[#This Row],[Store Name]],'lojas comp prom'!B:T,19,0)</f>
        <v>PONTO FRIO</v>
      </c>
      <c r="K13" s="3">
        <f>VLOOKUP(Table_Sheet1[[#This Row],[Store Name]],'lojas comp prom'!B:Z,25,0)</f>
        <v>80</v>
      </c>
      <c r="L13" s="3" t="str">
        <f>VLOOKUP(Table_Sheet1[[#This Row],[Store Name]],'lojas comp prom'!B:S,18,0)</f>
        <v>Shopping Interlagos</v>
      </c>
      <c r="M13" s="3">
        <f>VLOOKUP(Table_Sheet1[[#This Row],[Store Name]],'lojas comp prom'!B:AA,26,0)</f>
        <v>0</v>
      </c>
      <c r="N13" s="3" t="str">
        <f>VLOOKUP(Table_Sheet1[[#This Row],[Store Name]],'lojas comp prom'!B:L,11,0)</f>
        <v>SPC</v>
      </c>
    </row>
    <row r="14" spans="1:14" x14ac:dyDescent="0.2">
      <c r="A14" s="1">
        <v>46113.416666666672</v>
      </c>
      <c r="B14" s="2">
        <f>MOD(Table_Sheet1[[#This Row],[Date/Time]],1)</f>
        <v>0.41666666667151731</v>
      </c>
      <c r="C14" t="s">
        <v>23</v>
      </c>
      <c r="D14" t="s">
        <v>24</v>
      </c>
      <c r="E14" t="s">
        <v>25</v>
      </c>
      <c r="F14" t="s">
        <v>25</v>
      </c>
      <c r="G14">
        <v>2</v>
      </c>
      <c r="H14" s="3" t="s">
        <v>34</v>
      </c>
      <c r="I14" s="3" t="s">
        <v>35</v>
      </c>
      <c r="J14" s="3" t="str">
        <f>VLOOKUP(Table_Sheet1[[#This Row],[Store Name]],'lojas comp prom'!B:T,19,0)</f>
        <v>LOJAS AMERICANAS</v>
      </c>
      <c r="K14" s="3">
        <f>VLOOKUP(Table_Sheet1[[#This Row],[Store Name]],'lojas comp prom'!B:Z,25,0)</f>
        <v>80</v>
      </c>
      <c r="L14" s="3" t="str">
        <f>VLOOKUP(Table_Sheet1[[#This Row],[Store Name]],'lojas comp prom'!B:S,18,0)</f>
        <v>Shopping Interlagos</v>
      </c>
      <c r="M14" s="3">
        <f>VLOOKUP(Table_Sheet1[[#This Row],[Store Name]],'lojas comp prom'!B:AA,26,0)</f>
        <v>0</v>
      </c>
      <c r="N14" s="3" t="str">
        <f>VLOOKUP(Table_Sheet1[[#This Row],[Store Name]],'lojas comp prom'!B:L,11,0)</f>
        <v>SPC</v>
      </c>
    </row>
    <row r="15" spans="1:14" x14ac:dyDescent="0.2">
      <c r="A15" s="1">
        <v>46113.416666666672</v>
      </c>
      <c r="B15" s="2">
        <f>MOD(Table_Sheet1[[#This Row],[Date/Time]],1)</f>
        <v>0.41666666667151731</v>
      </c>
      <c r="C15" t="s">
        <v>23</v>
      </c>
      <c r="D15" t="s">
        <v>24</v>
      </c>
      <c r="E15" t="s">
        <v>26</v>
      </c>
      <c r="F15" t="s">
        <v>26</v>
      </c>
      <c r="G15">
        <v>1</v>
      </c>
      <c r="H15" s="3" t="str">
        <f>VLOOKUP(Table_Sheet1[[#This Row],[Device Name]],'[1]AParelhos_&amp;_LOJAS'!$C:$H,6,0)</f>
        <v>G35</v>
      </c>
      <c r="I15" s="3" t="str">
        <f>VLOOKUP(Table_Sheet1[[#This Row],[Device Name]],'[1]AParelhos_&amp;_LOJAS'!$C:$I,7,0)</f>
        <v>256 GB</v>
      </c>
      <c r="J15" s="3" t="str">
        <f>VLOOKUP(Table_Sheet1[[#This Row],[Store Name]],'lojas comp prom'!B:T,19,0)</f>
        <v>LOJAS AMERICANAS</v>
      </c>
      <c r="K15" s="3">
        <f>VLOOKUP(Table_Sheet1[[#This Row],[Store Name]],'lojas comp prom'!B:Z,25,0)</f>
        <v>80</v>
      </c>
      <c r="L15" s="3" t="str">
        <f>VLOOKUP(Table_Sheet1[[#This Row],[Store Name]],'lojas comp prom'!B:S,18,0)</f>
        <v>Shopping Interlagos</v>
      </c>
      <c r="M15" s="3">
        <f>VLOOKUP(Table_Sheet1[[#This Row],[Store Name]],'lojas comp prom'!B:AA,26,0)</f>
        <v>0</v>
      </c>
      <c r="N15" s="3" t="str">
        <f>VLOOKUP(Table_Sheet1[[#This Row],[Store Name]],'lojas comp prom'!B:L,11,0)</f>
        <v>SPC</v>
      </c>
    </row>
    <row r="16" spans="1:14" x14ac:dyDescent="0.2">
      <c r="A16" s="1">
        <v>46113.416666666672</v>
      </c>
      <c r="B16" s="2">
        <f>MOD(Table_Sheet1[[#This Row],[Date/Time]],1)</f>
        <v>0.41666666667151731</v>
      </c>
      <c r="C16" t="s">
        <v>23</v>
      </c>
      <c r="D16" t="s">
        <v>24</v>
      </c>
      <c r="E16" t="s">
        <v>30</v>
      </c>
      <c r="F16" t="s">
        <v>30</v>
      </c>
      <c r="G16">
        <v>1</v>
      </c>
      <c r="H16" s="3" t="str">
        <f>VLOOKUP(Table_Sheet1[[#This Row],[Device Name]],'[1]AParelhos_&amp;_LOJAS'!$C:$H,6,0)</f>
        <v>G86</v>
      </c>
      <c r="I16" s="3" t="str">
        <f>VLOOKUP(Table_Sheet1[[#This Row],[Device Name]],'[1]AParelhos_&amp;_LOJAS'!$C:$I,7,0)</f>
        <v>256 GB</v>
      </c>
      <c r="J16" s="3" t="str">
        <f>VLOOKUP(Table_Sheet1[[#This Row],[Store Name]],'lojas comp prom'!B:T,19,0)</f>
        <v>LOJAS AMERICANAS</v>
      </c>
      <c r="K16" s="3">
        <f>VLOOKUP(Table_Sheet1[[#This Row],[Store Name]],'lojas comp prom'!B:Z,25,0)</f>
        <v>80</v>
      </c>
      <c r="L16" s="3" t="str">
        <f>VLOOKUP(Table_Sheet1[[#This Row],[Store Name]],'lojas comp prom'!B:S,18,0)</f>
        <v>Shopping Interlagos</v>
      </c>
      <c r="M16" s="3">
        <f>VLOOKUP(Table_Sheet1[[#This Row],[Store Name]],'lojas comp prom'!B:AA,26,0)</f>
        <v>0</v>
      </c>
      <c r="N16" s="3" t="str">
        <f>VLOOKUP(Table_Sheet1[[#This Row],[Store Name]],'lojas comp prom'!B:L,11,0)</f>
        <v>SPC</v>
      </c>
    </row>
    <row r="17" spans="1:14" x14ac:dyDescent="0.2">
      <c r="A17" s="1">
        <v>46113.458333333328</v>
      </c>
      <c r="B17" s="2">
        <f>MOD(Table_Sheet1[[#This Row],[Date/Time]],1)</f>
        <v>0.45833333332848269</v>
      </c>
      <c r="C17" t="s">
        <v>41</v>
      </c>
      <c r="D17" t="s">
        <v>42</v>
      </c>
      <c r="E17" t="s">
        <v>43</v>
      </c>
      <c r="F17" t="s">
        <v>43</v>
      </c>
      <c r="G17">
        <v>4</v>
      </c>
      <c r="H17" s="3" t="str">
        <f>VLOOKUP(Table_Sheet1[[#This Row],[Device Name]],'[1]AParelhos_&amp;_LOJAS'!$C:$H,6,0)</f>
        <v xml:space="preserve">Edge 60 Fusion </v>
      </c>
      <c r="I17" s="3" t="str">
        <f>VLOOKUP(Table_Sheet1[[#This Row],[Device Name]],'[1]AParelhos_&amp;_LOJAS'!$C:$I,7,0)</f>
        <v>256 GB</v>
      </c>
      <c r="J17" s="3" t="str">
        <f>VLOOKUP(Table_Sheet1[[#This Row],[Store Name]],'lojas comp prom'!B:T,19,0)</f>
        <v>CASAS BAHIA</v>
      </c>
      <c r="K17" s="3">
        <f>VLOOKUP(Table_Sheet1[[#This Row],[Store Name]],'lojas comp prom'!B:Z,25,0)</f>
        <v>80</v>
      </c>
      <c r="L17" s="3" t="str">
        <f>VLOOKUP(Table_Sheet1[[#This Row],[Store Name]],'lojas comp prom'!B:S,18,0)</f>
        <v>Loja De Rua</v>
      </c>
      <c r="M17" s="3">
        <f>VLOOKUP(Table_Sheet1[[#This Row],[Store Name]],'lojas comp prom'!B:AA,26,0)</f>
        <v>0</v>
      </c>
      <c r="N17" s="3" t="str">
        <f>VLOOKUP(Table_Sheet1[[#This Row],[Store Name]],'lojas comp prom'!B:L,11,0)</f>
        <v>SPC</v>
      </c>
    </row>
    <row r="18" spans="1:14" x14ac:dyDescent="0.2">
      <c r="A18" s="1">
        <v>46113.458333333328</v>
      </c>
      <c r="B18" s="2">
        <f>MOD(Table_Sheet1[[#This Row],[Date/Time]],1)</f>
        <v>0.45833333332848269</v>
      </c>
      <c r="C18" t="s">
        <v>41</v>
      </c>
      <c r="D18" t="s">
        <v>42</v>
      </c>
      <c r="E18" t="s">
        <v>47</v>
      </c>
      <c r="F18" t="s">
        <v>47</v>
      </c>
      <c r="G18">
        <v>5</v>
      </c>
      <c r="H18" s="3" t="str">
        <f>VLOOKUP(Table_Sheet1[[#This Row],[Device Name]],'[1]AParelhos_&amp;_LOJAS'!$C:$H,6,0)</f>
        <v>G06</v>
      </c>
      <c r="I18" s="3" t="str">
        <f>VLOOKUP(Table_Sheet1[[#This Row],[Device Name]],'[1]AParelhos_&amp;_LOJAS'!$C:$I,7,0)</f>
        <v>256 GB</v>
      </c>
      <c r="J18" s="3" t="str">
        <f>VLOOKUP(Table_Sheet1[[#This Row],[Store Name]],'lojas comp prom'!B:T,19,0)</f>
        <v>CASAS BAHIA</v>
      </c>
      <c r="K18" s="3">
        <f>VLOOKUP(Table_Sheet1[[#This Row],[Store Name]],'lojas comp prom'!B:Z,25,0)</f>
        <v>80</v>
      </c>
      <c r="L18" s="3" t="str">
        <f>VLOOKUP(Table_Sheet1[[#This Row],[Store Name]],'lojas comp prom'!B:S,18,0)</f>
        <v>Loja De Rua</v>
      </c>
      <c r="M18" s="3">
        <f>VLOOKUP(Table_Sheet1[[#This Row],[Store Name]],'lojas comp prom'!B:AA,26,0)</f>
        <v>0</v>
      </c>
      <c r="N18" s="3" t="str">
        <f>VLOOKUP(Table_Sheet1[[#This Row],[Store Name]],'lojas comp prom'!B:L,11,0)</f>
        <v>SPC</v>
      </c>
    </row>
    <row r="19" spans="1:14" x14ac:dyDescent="0.2">
      <c r="A19" s="1">
        <v>46113.458333333328</v>
      </c>
      <c r="B19" s="2">
        <f>MOD(Table_Sheet1[[#This Row],[Date/Time]],1)</f>
        <v>0.45833333332848269</v>
      </c>
      <c r="C19" t="s">
        <v>41</v>
      </c>
      <c r="D19" t="s">
        <v>42</v>
      </c>
      <c r="E19" t="s">
        <v>51</v>
      </c>
      <c r="F19" t="s">
        <v>51</v>
      </c>
      <c r="G19">
        <v>1</v>
      </c>
      <c r="H19" s="3" t="str">
        <f>VLOOKUP(Table_Sheet1[[#This Row],[Device Name]],'[1]AParelhos_&amp;_LOJAS'!$C:$H,6,0)</f>
        <v>G86</v>
      </c>
      <c r="I19" s="3" t="str">
        <f>VLOOKUP(Table_Sheet1[[#This Row],[Device Name]],'[1]AParelhos_&amp;_LOJAS'!$C:$I,7,0)</f>
        <v>256 GB</v>
      </c>
      <c r="J19" s="3" t="str">
        <f>VLOOKUP(Table_Sheet1[[#This Row],[Store Name]],'lojas comp prom'!B:T,19,0)</f>
        <v>CASAS BAHIA</v>
      </c>
      <c r="K19" s="3">
        <f>VLOOKUP(Table_Sheet1[[#This Row],[Store Name]],'lojas comp prom'!B:Z,25,0)</f>
        <v>80</v>
      </c>
      <c r="L19" s="3" t="str">
        <f>VLOOKUP(Table_Sheet1[[#This Row],[Store Name]],'lojas comp prom'!B:S,18,0)</f>
        <v>Loja De Rua</v>
      </c>
      <c r="M19" s="3">
        <f>VLOOKUP(Table_Sheet1[[#This Row],[Store Name]],'lojas comp prom'!B:AA,26,0)</f>
        <v>0</v>
      </c>
      <c r="N19" s="3" t="str">
        <f>VLOOKUP(Table_Sheet1[[#This Row],[Store Name]],'lojas comp prom'!B:L,11,0)</f>
        <v>SPC</v>
      </c>
    </row>
    <row r="20" spans="1:14" x14ac:dyDescent="0.2">
      <c r="A20" s="1">
        <v>46113.458333333328</v>
      </c>
      <c r="B20" s="2">
        <f>MOD(Table_Sheet1[[#This Row],[Date/Time]],1)</f>
        <v>0.45833333332848269</v>
      </c>
      <c r="C20" t="s">
        <v>41</v>
      </c>
      <c r="D20" t="s">
        <v>42</v>
      </c>
      <c r="E20" t="s">
        <v>52</v>
      </c>
      <c r="F20" t="s">
        <v>52</v>
      </c>
      <c r="G20">
        <v>1</v>
      </c>
      <c r="H20" s="3" t="str">
        <f>VLOOKUP(Table_Sheet1[[#This Row],[Device Name]],'[1]AParelhos_&amp;_LOJAS'!$C:$H,6,0)</f>
        <v>G86</v>
      </c>
      <c r="I20" s="3" t="str">
        <f>VLOOKUP(Table_Sheet1[[#This Row],[Device Name]],'[1]AParelhos_&amp;_LOJAS'!$C:$I,7,0)</f>
        <v>512 GB</v>
      </c>
      <c r="J20" s="3" t="str">
        <f>VLOOKUP(Table_Sheet1[[#This Row],[Store Name]],'lojas comp prom'!B:T,19,0)</f>
        <v>CASAS BAHIA</v>
      </c>
      <c r="K20" s="3">
        <f>VLOOKUP(Table_Sheet1[[#This Row],[Store Name]],'lojas comp prom'!B:Z,25,0)</f>
        <v>80</v>
      </c>
      <c r="L20" s="3" t="str">
        <f>VLOOKUP(Table_Sheet1[[#This Row],[Store Name]],'lojas comp prom'!B:S,18,0)</f>
        <v>Loja De Rua</v>
      </c>
      <c r="M20" s="3">
        <f>VLOOKUP(Table_Sheet1[[#This Row],[Store Name]],'lojas comp prom'!B:AA,26,0)</f>
        <v>0</v>
      </c>
      <c r="N20" s="3" t="str">
        <f>VLOOKUP(Table_Sheet1[[#This Row],[Store Name]],'lojas comp prom'!B:L,11,0)</f>
        <v>SPC</v>
      </c>
    </row>
    <row r="21" spans="1:14" x14ac:dyDescent="0.2">
      <c r="A21" s="1">
        <v>46113.458333333328</v>
      </c>
      <c r="B21" s="2">
        <f>MOD(Table_Sheet1[[#This Row],[Date/Time]],1)</f>
        <v>0.45833333332848269</v>
      </c>
      <c r="C21" t="s">
        <v>73</v>
      </c>
      <c r="D21" t="s">
        <v>74</v>
      </c>
      <c r="E21" t="s">
        <v>75</v>
      </c>
      <c r="F21" t="s">
        <v>75</v>
      </c>
      <c r="G21">
        <v>3</v>
      </c>
      <c r="H21" s="3" t="str">
        <f>VLOOKUP(Table_Sheet1[[#This Row],[Device Name]],'[1]AParelhos_&amp;_LOJAS'!$C:$H,6,0)</f>
        <v>G06</v>
      </c>
      <c r="I21" s="3" t="str">
        <f>VLOOKUP(Table_Sheet1[[#This Row],[Device Name]],'[1]AParelhos_&amp;_LOJAS'!$C:$I,7,0)</f>
        <v>128 GB</v>
      </c>
      <c r="J21" s="3" t="str">
        <f>VLOOKUP(Table_Sheet1[[#This Row],[Store Name]],'lojas comp prom'!B:T,19,0)</f>
        <v>CASAS BAHIA</v>
      </c>
      <c r="K21" s="3">
        <f>VLOOKUP(Table_Sheet1[[#This Row],[Store Name]],'lojas comp prom'!B:Z,25,0)</f>
        <v>80</v>
      </c>
      <c r="L21" s="3" t="str">
        <f>VLOOKUP(Table_Sheet1[[#This Row],[Store Name]],'lojas comp prom'!B:S,18,0)</f>
        <v>Loja De Rua</v>
      </c>
      <c r="M21" s="3">
        <f>VLOOKUP(Table_Sheet1[[#This Row],[Store Name]],'lojas comp prom'!B:AA,26,0)</f>
        <v>0</v>
      </c>
      <c r="N21" s="3" t="str">
        <f>VLOOKUP(Table_Sheet1[[#This Row],[Store Name]],'lojas comp prom'!B:L,11,0)</f>
        <v>SPC</v>
      </c>
    </row>
    <row r="22" spans="1:14" x14ac:dyDescent="0.2">
      <c r="A22" s="1">
        <v>46113.458333333328</v>
      </c>
      <c r="B22" s="2">
        <f>MOD(Table_Sheet1[[#This Row],[Date/Time]],1)</f>
        <v>0.45833333332848269</v>
      </c>
      <c r="C22" t="s">
        <v>73</v>
      </c>
      <c r="D22" t="s">
        <v>74</v>
      </c>
      <c r="E22" t="s">
        <v>76</v>
      </c>
      <c r="F22" t="s">
        <v>76</v>
      </c>
      <c r="G22">
        <v>3</v>
      </c>
      <c r="H22" s="3" t="str">
        <f>VLOOKUP(Table_Sheet1[[#This Row],[Device Name]],'[1]AParelhos_&amp;_LOJAS'!$C:$H,6,0)</f>
        <v>G15</v>
      </c>
      <c r="I22" s="3" t="str">
        <f>VLOOKUP(Table_Sheet1[[#This Row],[Device Name]],'[1]AParelhos_&amp;_LOJAS'!$C:$I,7,0)</f>
        <v>256 GB</v>
      </c>
      <c r="J22" s="3" t="str">
        <f>VLOOKUP(Table_Sheet1[[#This Row],[Store Name]],'lojas comp prom'!B:T,19,0)</f>
        <v>CASAS BAHIA</v>
      </c>
      <c r="K22" s="3">
        <f>VLOOKUP(Table_Sheet1[[#This Row],[Store Name]],'lojas comp prom'!B:Z,25,0)</f>
        <v>80</v>
      </c>
      <c r="L22" s="3" t="str">
        <f>VLOOKUP(Table_Sheet1[[#This Row],[Store Name]],'lojas comp prom'!B:S,18,0)</f>
        <v>Loja De Rua</v>
      </c>
      <c r="M22" s="3">
        <f>VLOOKUP(Table_Sheet1[[#This Row],[Store Name]],'lojas comp prom'!B:AA,26,0)</f>
        <v>0</v>
      </c>
      <c r="N22" s="3" t="str">
        <f>VLOOKUP(Table_Sheet1[[#This Row],[Store Name]],'lojas comp prom'!B:L,11,0)</f>
        <v>SPC</v>
      </c>
    </row>
    <row r="23" spans="1:14" x14ac:dyDescent="0.2">
      <c r="A23" s="1">
        <v>46113.458333333328</v>
      </c>
      <c r="B23" s="2">
        <f>MOD(Table_Sheet1[[#This Row],[Date/Time]],1)</f>
        <v>0.45833333332848269</v>
      </c>
      <c r="C23" t="s">
        <v>73</v>
      </c>
      <c r="D23" t="s">
        <v>74</v>
      </c>
      <c r="E23" t="s">
        <v>77</v>
      </c>
      <c r="F23" t="s">
        <v>77</v>
      </c>
      <c r="G23">
        <v>1</v>
      </c>
      <c r="H23" s="3" t="str">
        <f>VLOOKUP(Table_Sheet1[[#This Row],[Device Name]],'[1]AParelhos_&amp;_LOJAS'!$C:$H,6,0)</f>
        <v>G56</v>
      </c>
      <c r="I23" s="3" t="str">
        <f>VLOOKUP(Table_Sheet1[[#This Row],[Device Name]],'[1]AParelhos_&amp;_LOJAS'!$C:$I,7,0)</f>
        <v>256 GB</v>
      </c>
      <c r="J23" s="3" t="str">
        <f>VLOOKUP(Table_Sheet1[[#This Row],[Store Name]],'lojas comp prom'!B:T,19,0)</f>
        <v>CASAS BAHIA</v>
      </c>
      <c r="K23" s="3">
        <f>VLOOKUP(Table_Sheet1[[#This Row],[Store Name]],'lojas comp prom'!B:Z,25,0)</f>
        <v>80</v>
      </c>
      <c r="L23" s="3" t="str">
        <f>VLOOKUP(Table_Sheet1[[#This Row],[Store Name]],'lojas comp prom'!B:S,18,0)</f>
        <v>Loja De Rua</v>
      </c>
      <c r="M23" s="3">
        <f>VLOOKUP(Table_Sheet1[[#This Row],[Store Name]],'lojas comp prom'!B:AA,26,0)</f>
        <v>0</v>
      </c>
      <c r="N23" s="3" t="str">
        <f>VLOOKUP(Table_Sheet1[[#This Row],[Store Name]],'lojas comp prom'!B:L,11,0)</f>
        <v>SPC</v>
      </c>
    </row>
    <row r="24" spans="1:14" x14ac:dyDescent="0.2">
      <c r="A24" s="1">
        <v>46113.458333333328</v>
      </c>
      <c r="B24" s="2">
        <f>MOD(Table_Sheet1[[#This Row],[Date/Time]],1)</f>
        <v>0.45833333332848269</v>
      </c>
      <c r="C24" t="s">
        <v>73</v>
      </c>
      <c r="D24" t="s">
        <v>74</v>
      </c>
      <c r="E24" t="s">
        <v>78</v>
      </c>
      <c r="F24" t="s">
        <v>78</v>
      </c>
      <c r="G24">
        <v>3</v>
      </c>
      <c r="H24" s="3" t="str">
        <f>VLOOKUP(Table_Sheet1[[#This Row],[Device Name]],'[1]AParelhos_&amp;_LOJAS'!$C:$H,6,0)</f>
        <v>G75</v>
      </c>
      <c r="I24" s="3" t="str">
        <f>VLOOKUP(Table_Sheet1[[#This Row],[Device Name]],'[1]AParelhos_&amp;_LOJAS'!$C:$I,7,0)</f>
        <v>256 GB</v>
      </c>
      <c r="J24" s="3" t="str">
        <f>VLOOKUP(Table_Sheet1[[#This Row],[Store Name]],'lojas comp prom'!B:T,19,0)</f>
        <v>CASAS BAHIA</v>
      </c>
      <c r="K24" s="3">
        <f>VLOOKUP(Table_Sheet1[[#This Row],[Store Name]],'lojas comp prom'!B:Z,25,0)</f>
        <v>80</v>
      </c>
      <c r="L24" s="3" t="str">
        <f>VLOOKUP(Table_Sheet1[[#This Row],[Store Name]],'lojas comp prom'!B:S,18,0)</f>
        <v>Loja De Rua</v>
      </c>
      <c r="M24" s="3">
        <f>VLOOKUP(Table_Sheet1[[#This Row],[Store Name]],'lojas comp prom'!B:AA,26,0)</f>
        <v>0</v>
      </c>
      <c r="N24" s="3" t="str">
        <f>VLOOKUP(Table_Sheet1[[#This Row],[Store Name]],'lojas comp prom'!B:L,11,0)</f>
        <v>SPC</v>
      </c>
    </row>
    <row r="25" spans="1:14" x14ac:dyDescent="0.2">
      <c r="A25" s="1">
        <v>46113.458333333328</v>
      </c>
      <c r="B25" s="2">
        <f>MOD(Table_Sheet1[[#This Row],[Date/Time]],1)</f>
        <v>0.45833333332848269</v>
      </c>
      <c r="C25" t="s">
        <v>73</v>
      </c>
      <c r="D25" t="s">
        <v>74</v>
      </c>
      <c r="E25" t="s">
        <v>79</v>
      </c>
      <c r="F25" t="s">
        <v>79</v>
      </c>
      <c r="G25">
        <v>3</v>
      </c>
      <c r="H25" s="3" t="str">
        <f>VLOOKUP(Table_Sheet1[[#This Row],[Device Name]],'[1]AParelhos_&amp;_LOJAS'!$C:$H,6,0)</f>
        <v>G86</v>
      </c>
      <c r="I25" s="3" t="str">
        <f>VLOOKUP(Table_Sheet1[[#This Row],[Device Name]],'[1]AParelhos_&amp;_LOJAS'!$C:$I,7,0)</f>
        <v>256 GB</v>
      </c>
      <c r="J25" s="3" t="str">
        <f>VLOOKUP(Table_Sheet1[[#This Row],[Store Name]],'lojas comp prom'!B:T,19,0)</f>
        <v>CASAS BAHIA</v>
      </c>
      <c r="K25" s="3">
        <f>VLOOKUP(Table_Sheet1[[#This Row],[Store Name]],'lojas comp prom'!B:Z,25,0)</f>
        <v>80</v>
      </c>
      <c r="L25" s="3" t="str">
        <f>VLOOKUP(Table_Sheet1[[#This Row],[Store Name]],'lojas comp prom'!B:S,18,0)</f>
        <v>Loja De Rua</v>
      </c>
      <c r="M25" s="3">
        <f>VLOOKUP(Table_Sheet1[[#This Row],[Store Name]],'lojas comp prom'!B:AA,26,0)</f>
        <v>0</v>
      </c>
      <c r="N25" s="3" t="str">
        <f>VLOOKUP(Table_Sheet1[[#This Row],[Store Name]],'lojas comp prom'!B:L,11,0)</f>
        <v>SPC</v>
      </c>
    </row>
    <row r="26" spans="1:14" x14ac:dyDescent="0.2">
      <c r="A26" s="1">
        <v>46113.458333333328</v>
      </c>
      <c r="B26" s="2">
        <f>MOD(Table_Sheet1[[#This Row],[Date/Time]],1)</f>
        <v>0.45833333332848269</v>
      </c>
      <c r="C26" t="s">
        <v>53</v>
      </c>
      <c r="D26" t="s">
        <v>54</v>
      </c>
      <c r="E26" t="s">
        <v>57</v>
      </c>
      <c r="F26" t="s">
        <v>57</v>
      </c>
      <c r="G26">
        <v>2</v>
      </c>
      <c r="H26" s="3" t="s">
        <v>34</v>
      </c>
      <c r="I26" s="3" t="s">
        <v>35</v>
      </c>
      <c r="J26" s="3" t="str">
        <f>VLOOKUP(Table_Sheet1[[#This Row],[Store Name]],'lojas comp prom'!B:T,19,0)</f>
        <v>CASAS BAHIA</v>
      </c>
      <c r="K26" s="3">
        <f>VLOOKUP(Table_Sheet1[[#This Row],[Store Name]],'lojas comp prom'!B:Z,25,0)</f>
        <v>80</v>
      </c>
      <c r="L26" s="3" t="str">
        <f>VLOOKUP(Table_Sheet1[[#This Row],[Store Name]],'lojas comp prom'!B:S,18,0)</f>
        <v>Loja De Rua</v>
      </c>
      <c r="M26" s="3">
        <f>VLOOKUP(Table_Sheet1[[#This Row],[Store Name]],'lojas comp prom'!B:AA,26,0)</f>
        <v>0</v>
      </c>
      <c r="N26" s="3" t="str">
        <f>VLOOKUP(Table_Sheet1[[#This Row],[Store Name]],'lojas comp prom'!B:L,11,0)</f>
        <v>SPC</v>
      </c>
    </row>
    <row r="27" spans="1:14" x14ac:dyDescent="0.2">
      <c r="A27" s="1">
        <v>46113.458333333328</v>
      </c>
      <c r="B27" s="2">
        <f>MOD(Table_Sheet1[[#This Row],[Date/Time]],1)</f>
        <v>0.45833333332848269</v>
      </c>
      <c r="C27" t="s">
        <v>23</v>
      </c>
      <c r="D27" t="s">
        <v>24</v>
      </c>
      <c r="E27" t="s">
        <v>28</v>
      </c>
      <c r="F27" t="s">
        <v>28</v>
      </c>
      <c r="G27">
        <v>1</v>
      </c>
      <c r="H27" s="3" t="str">
        <f>VLOOKUP(Table_Sheet1[[#This Row],[Device Name]],'[1]AParelhos_&amp;_LOJAS'!$C:$H,6,0)</f>
        <v>G67</v>
      </c>
      <c r="I27" s="3" t="str">
        <f>VLOOKUP(Table_Sheet1[[#This Row],[Device Name]],'[1]AParelhos_&amp;_LOJAS'!$C:$I,7,0)</f>
        <v>256 GB</v>
      </c>
      <c r="J27" s="3" t="str">
        <f>VLOOKUP(Table_Sheet1[[#This Row],[Store Name]],'lojas comp prom'!B:T,19,0)</f>
        <v>LOJAS AMERICANAS</v>
      </c>
      <c r="K27" s="3">
        <f>VLOOKUP(Table_Sheet1[[#This Row],[Store Name]],'lojas comp prom'!B:Z,25,0)</f>
        <v>80</v>
      </c>
      <c r="L27" s="3" t="str">
        <f>VLOOKUP(Table_Sheet1[[#This Row],[Store Name]],'lojas comp prom'!B:S,18,0)</f>
        <v>Shopping Interlagos</v>
      </c>
      <c r="M27" s="3">
        <f>VLOOKUP(Table_Sheet1[[#This Row],[Store Name]],'lojas comp prom'!B:AA,26,0)</f>
        <v>0</v>
      </c>
      <c r="N27" s="3" t="str">
        <f>VLOOKUP(Table_Sheet1[[#This Row],[Store Name]],'lojas comp prom'!B:L,11,0)</f>
        <v>SPC</v>
      </c>
    </row>
    <row r="28" spans="1:14" x14ac:dyDescent="0.2">
      <c r="A28" s="1">
        <v>46113.458333333328</v>
      </c>
      <c r="B28" s="2">
        <f>MOD(Table_Sheet1[[#This Row],[Date/Time]],1)</f>
        <v>0.45833333332848269</v>
      </c>
      <c r="C28" t="s">
        <v>23</v>
      </c>
      <c r="D28" t="s">
        <v>24</v>
      </c>
      <c r="E28" t="s">
        <v>29</v>
      </c>
      <c r="F28" t="s">
        <v>29</v>
      </c>
      <c r="G28">
        <v>1</v>
      </c>
      <c r="H28" s="3" t="str">
        <f>VLOOKUP(Table_Sheet1[[#This Row],[Device Name]],'[1]AParelhos_&amp;_LOJAS'!$C:$H,6,0)</f>
        <v>G77</v>
      </c>
      <c r="I28" s="3" t="str">
        <f>VLOOKUP(Table_Sheet1[[#This Row],[Device Name]],'[1]AParelhos_&amp;_LOJAS'!$C:$I,7,0)</f>
        <v>256 GB</v>
      </c>
      <c r="J28" s="3" t="str">
        <f>VLOOKUP(Table_Sheet1[[#This Row],[Store Name]],'lojas comp prom'!B:T,19,0)</f>
        <v>LOJAS AMERICANAS</v>
      </c>
      <c r="K28" s="3">
        <f>VLOOKUP(Table_Sheet1[[#This Row],[Store Name]],'lojas comp prom'!B:Z,25,0)</f>
        <v>80</v>
      </c>
      <c r="L28" s="3" t="str">
        <f>VLOOKUP(Table_Sheet1[[#This Row],[Store Name]],'lojas comp prom'!B:S,18,0)</f>
        <v>Shopping Interlagos</v>
      </c>
      <c r="M28" s="3">
        <f>VLOOKUP(Table_Sheet1[[#This Row],[Store Name]],'lojas comp prom'!B:AA,26,0)</f>
        <v>0</v>
      </c>
      <c r="N28" s="3" t="str">
        <f>VLOOKUP(Table_Sheet1[[#This Row],[Store Name]],'lojas comp prom'!B:L,11,0)</f>
        <v>SPC</v>
      </c>
    </row>
    <row r="29" spans="1:14" x14ac:dyDescent="0.2">
      <c r="A29" s="1">
        <v>46113.5</v>
      </c>
      <c r="B29" s="2">
        <f>MOD(Table_Sheet1[[#This Row],[Date/Time]],1)</f>
        <v>0.5</v>
      </c>
      <c r="C29" t="s">
        <v>41</v>
      </c>
      <c r="D29" t="s">
        <v>42</v>
      </c>
      <c r="E29" t="s">
        <v>43</v>
      </c>
      <c r="F29" t="s">
        <v>43</v>
      </c>
      <c r="G29">
        <v>1</v>
      </c>
      <c r="H29" s="3" t="str">
        <f>VLOOKUP(Table_Sheet1[[#This Row],[Device Name]],'[1]AParelhos_&amp;_LOJAS'!$C:$H,6,0)</f>
        <v xml:space="preserve">Edge 60 Fusion </v>
      </c>
      <c r="I29" s="3" t="str">
        <f>VLOOKUP(Table_Sheet1[[#This Row],[Device Name]],'[1]AParelhos_&amp;_LOJAS'!$C:$I,7,0)</f>
        <v>256 GB</v>
      </c>
      <c r="J29" s="3" t="str">
        <f>VLOOKUP(Table_Sheet1[[#This Row],[Store Name]],'lojas comp prom'!B:T,19,0)</f>
        <v>CASAS BAHIA</v>
      </c>
      <c r="K29" s="3">
        <f>VLOOKUP(Table_Sheet1[[#This Row],[Store Name]],'lojas comp prom'!B:Z,25,0)</f>
        <v>80</v>
      </c>
      <c r="L29" s="3" t="str">
        <f>VLOOKUP(Table_Sheet1[[#This Row],[Store Name]],'lojas comp prom'!B:S,18,0)</f>
        <v>Loja De Rua</v>
      </c>
      <c r="M29" s="3">
        <f>VLOOKUP(Table_Sheet1[[#This Row],[Store Name]],'lojas comp prom'!B:AA,26,0)</f>
        <v>0</v>
      </c>
      <c r="N29" s="3" t="str">
        <f>VLOOKUP(Table_Sheet1[[#This Row],[Store Name]],'lojas comp prom'!B:L,11,0)</f>
        <v>SPC</v>
      </c>
    </row>
    <row r="30" spans="1:14" x14ac:dyDescent="0.2">
      <c r="A30" s="1">
        <v>46113.5</v>
      </c>
      <c r="B30" s="2">
        <f>MOD(Table_Sheet1[[#This Row],[Date/Time]],1)</f>
        <v>0.5</v>
      </c>
      <c r="C30" t="s">
        <v>41</v>
      </c>
      <c r="D30" t="s">
        <v>42</v>
      </c>
      <c r="E30" t="s">
        <v>44</v>
      </c>
      <c r="F30" t="s">
        <v>44</v>
      </c>
      <c r="G30">
        <v>2</v>
      </c>
      <c r="H30" s="3" t="s">
        <v>34</v>
      </c>
      <c r="I30" s="3" t="s">
        <v>35</v>
      </c>
      <c r="J30" s="3" t="str">
        <f>VLOOKUP(Table_Sheet1[[#This Row],[Store Name]],'lojas comp prom'!B:T,19,0)</f>
        <v>CASAS BAHIA</v>
      </c>
      <c r="K30" s="3">
        <f>VLOOKUP(Table_Sheet1[[#This Row],[Store Name]],'lojas comp prom'!B:Z,25,0)</f>
        <v>80</v>
      </c>
      <c r="L30" s="3" t="str">
        <f>VLOOKUP(Table_Sheet1[[#This Row],[Store Name]],'lojas comp prom'!B:S,18,0)</f>
        <v>Loja De Rua</v>
      </c>
      <c r="M30" s="3">
        <f>VLOOKUP(Table_Sheet1[[#This Row],[Store Name]],'lojas comp prom'!B:AA,26,0)</f>
        <v>0</v>
      </c>
      <c r="N30" s="3" t="str">
        <f>VLOOKUP(Table_Sheet1[[#This Row],[Store Name]],'lojas comp prom'!B:L,11,0)</f>
        <v>SPC</v>
      </c>
    </row>
    <row r="31" spans="1:14" x14ac:dyDescent="0.2">
      <c r="A31" s="1">
        <v>46113.5</v>
      </c>
      <c r="B31" s="2">
        <f>MOD(Table_Sheet1[[#This Row],[Date/Time]],1)</f>
        <v>0.5</v>
      </c>
      <c r="C31" t="s">
        <v>41</v>
      </c>
      <c r="D31" t="s">
        <v>42</v>
      </c>
      <c r="E31" t="s">
        <v>46</v>
      </c>
      <c r="F31" t="s">
        <v>46</v>
      </c>
      <c r="G31">
        <v>1</v>
      </c>
      <c r="H31" s="3" t="str">
        <f>VLOOKUP(Table_Sheet1[[#This Row],[Device Name]],'[1]AParelhos_&amp;_LOJAS'!$C:$H,6,0)</f>
        <v>G06</v>
      </c>
      <c r="I31" s="3" t="str">
        <f>VLOOKUP(Table_Sheet1[[#This Row],[Device Name]],'[1]AParelhos_&amp;_LOJAS'!$C:$I,7,0)</f>
        <v>128 GB</v>
      </c>
      <c r="J31" s="3" t="str">
        <f>VLOOKUP(Table_Sheet1[[#This Row],[Store Name]],'lojas comp prom'!B:T,19,0)</f>
        <v>CASAS BAHIA</v>
      </c>
      <c r="K31" s="3">
        <f>VLOOKUP(Table_Sheet1[[#This Row],[Store Name]],'lojas comp prom'!B:Z,25,0)</f>
        <v>80</v>
      </c>
      <c r="L31" s="3" t="str">
        <f>VLOOKUP(Table_Sheet1[[#This Row],[Store Name]],'lojas comp prom'!B:S,18,0)</f>
        <v>Loja De Rua</v>
      </c>
      <c r="M31" s="3">
        <f>VLOOKUP(Table_Sheet1[[#This Row],[Store Name]],'lojas comp prom'!B:AA,26,0)</f>
        <v>0</v>
      </c>
      <c r="N31" s="3" t="str">
        <f>VLOOKUP(Table_Sheet1[[#This Row],[Store Name]],'lojas comp prom'!B:L,11,0)</f>
        <v>SPC</v>
      </c>
    </row>
    <row r="32" spans="1:14" x14ac:dyDescent="0.2">
      <c r="A32" s="1">
        <v>46113.5</v>
      </c>
      <c r="B32" s="2">
        <f>MOD(Table_Sheet1[[#This Row],[Date/Time]],1)</f>
        <v>0.5</v>
      </c>
      <c r="C32" t="s">
        <v>41</v>
      </c>
      <c r="D32" t="s">
        <v>42</v>
      </c>
      <c r="E32" t="s">
        <v>47</v>
      </c>
      <c r="F32" t="s">
        <v>47</v>
      </c>
      <c r="G32">
        <v>6</v>
      </c>
      <c r="H32" s="3" t="str">
        <f>VLOOKUP(Table_Sheet1[[#This Row],[Device Name]],'[1]AParelhos_&amp;_LOJAS'!$C:$H,6,0)</f>
        <v>G06</v>
      </c>
      <c r="I32" s="3" t="str">
        <f>VLOOKUP(Table_Sheet1[[#This Row],[Device Name]],'[1]AParelhos_&amp;_LOJAS'!$C:$I,7,0)</f>
        <v>256 GB</v>
      </c>
      <c r="J32" s="3" t="str">
        <f>VLOOKUP(Table_Sheet1[[#This Row],[Store Name]],'lojas comp prom'!B:T,19,0)</f>
        <v>CASAS BAHIA</v>
      </c>
      <c r="K32" s="3">
        <f>VLOOKUP(Table_Sheet1[[#This Row],[Store Name]],'lojas comp prom'!B:Z,25,0)</f>
        <v>80</v>
      </c>
      <c r="L32" s="3" t="str">
        <f>VLOOKUP(Table_Sheet1[[#This Row],[Store Name]],'lojas comp prom'!B:S,18,0)</f>
        <v>Loja De Rua</v>
      </c>
      <c r="M32" s="3">
        <f>VLOOKUP(Table_Sheet1[[#This Row],[Store Name]],'lojas comp prom'!B:AA,26,0)</f>
        <v>0</v>
      </c>
      <c r="N32" s="3" t="str">
        <f>VLOOKUP(Table_Sheet1[[#This Row],[Store Name]],'lojas comp prom'!B:L,11,0)</f>
        <v>SPC</v>
      </c>
    </row>
    <row r="33" spans="1:14" x14ac:dyDescent="0.2">
      <c r="A33" s="1">
        <v>46113.5</v>
      </c>
      <c r="B33" s="2">
        <f>MOD(Table_Sheet1[[#This Row],[Date/Time]],1)</f>
        <v>0.5</v>
      </c>
      <c r="C33" t="s">
        <v>41</v>
      </c>
      <c r="D33" t="s">
        <v>42</v>
      </c>
      <c r="E33" t="s">
        <v>48</v>
      </c>
      <c r="F33" t="s">
        <v>48</v>
      </c>
      <c r="G33">
        <v>1</v>
      </c>
      <c r="H33" s="3" t="str">
        <f>VLOOKUP(Table_Sheet1[[#This Row],[Device Name]],'[1]AParelhos_&amp;_LOJAS'!$C:$H,6,0)</f>
        <v>G17</v>
      </c>
      <c r="I33" s="3" t="str">
        <f>VLOOKUP(Table_Sheet1[[#This Row],[Device Name]],'[1]AParelhos_&amp;_LOJAS'!$C:$I,7,0)</f>
        <v>128 GB</v>
      </c>
      <c r="J33" s="3" t="str">
        <f>VLOOKUP(Table_Sheet1[[#This Row],[Store Name]],'lojas comp prom'!B:T,19,0)</f>
        <v>CASAS BAHIA</v>
      </c>
      <c r="K33" s="3">
        <f>VLOOKUP(Table_Sheet1[[#This Row],[Store Name]],'lojas comp prom'!B:Z,25,0)</f>
        <v>80</v>
      </c>
      <c r="L33" s="3" t="str">
        <f>VLOOKUP(Table_Sheet1[[#This Row],[Store Name]],'lojas comp prom'!B:S,18,0)</f>
        <v>Loja De Rua</v>
      </c>
      <c r="M33" s="3">
        <f>VLOOKUP(Table_Sheet1[[#This Row],[Store Name]],'lojas comp prom'!B:AA,26,0)</f>
        <v>0</v>
      </c>
      <c r="N33" s="3" t="str">
        <f>VLOOKUP(Table_Sheet1[[#This Row],[Store Name]],'lojas comp prom'!B:L,11,0)</f>
        <v>SPC</v>
      </c>
    </row>
    <row r="34" spans="1:14" x14ac:dyDescent="0.2">
      <c r="A34" s="1">
        <v>46113.5</v>
      </c>
      <c r="B34" s="2">
        <f>MOD(Table_Sheet1[[#This Row],[Date/Time]],1)</f>
        <v>0.5</v>
      </c>
      <c r="C34" t="s">
        <v>41</v>
      </c>
      <c r="D34" t="s">
        <v>42</v>
      </c>
      <c r="E34" t="s">
        <v>51</v>
      </c>
      <c r="F34" t="s">
        <v>51</v>
      </c>
      <c r="G34">
        <v>4</v>
      </c>
      <c r="H34" s="3" t="str">
        <f>VLOOKUP(Table_Sheet1[[#This Row],[Device Name]],'[1]AParelhos_&amp;_LOJAS'!$C:$H,6,0)</f>
        <v>G86</v>
      </c>
      <c r="I34" s="3" t="str">
        <f>VLOOKUP(Table_Sheet1[[#This Row],[Device Name]],'[1]AParelhos_&amp;_LOJAS'!$C:$I,7,0)</f>
        <v>256 GB</v>
      </c>
      <c r="J34" s="3" t="str">
        <f>VLOOKUP(Table_Sheet1[[#This Row],[Store Name]],'lojas comp prom'!B:T,19,0)</f>
        <v>CASAS BAHIA</v>
      </c>
      <c r="K34" s="3">
        <f>VLOOKUP(Table_Sheet1[[#This Row],[Store Name]],'lojas comp prom'!B:Z,25,0)</f>
        <v>80</v>
      </c>
      <c r="L34" s="3" t="str">
        <f>VLOOKUP(Table_Sheet1[[#This Row],[Store Name]],'lojas comp prom'!B:S,18,0)</f>
        <v>Loja De Rua</v>
      </c>
      <c r="M34" s="3">
        <f>VLOOKUP(Table_Sheet1[[#This Row],[Store Name]],'lojas comp prom'!B:AA,26,0)</f>
        <v>0</v>
      </c>
      <c r="N34" s="3" t="str">
        <f>VLOOKUP(Table_Sheet1[[#This Row],[Store Name]],'lojas comp prom'!B:L,11,0)</f>
        <v>SPC</v>
      </c>
    </row>
    <row r="35" spans="1:14" x14ac:dyDescent="0.2">
      <c r="A35" s="1">
        <v>46113.5</v>
      </c>
      <c r="B35" s="2">
        <f>MOD(Table_Sheet1[[#This Row],[Date/Time]],1)</f>
        <v>0.5</v>
      </c>
      <c r="C35" t="s">
        <v>41</v>
      </c>
      <c r="D35" t="s">
        <v>42</v>
      </c>
      <c r="E35" t="s">
        <v>52</v>
      </c>
      <c r="F35" t="s">
        <v>52</v>
      </c>
      <c r="G35">
        <v>1</v>
      </c>
      <c r="H35" s="3" t="str">
        <f>VLOOKUP(Table_Sheet1[[#This Row],[Device Name]],'[1]AParelhos_&amp;_LOJAS'!$C:$H,6,0)</f>
        <v>G86</v>
      </c>
      <c r="I35" s="3" t="str">
        <f>VLOOKUP(Table_Sheet1[[#This Row],[Device Name]],'[1]AParelhos_&amp;_LOJAS'!$C:$I,7,0)</f>
        <v>512 GB</v>
      </c>
      <c r="J35" s="3" t="str">
        <f>VLOOKUP(Table_Sheet1[[#This Row],[Store Name]],'lojas comp prom'!B:T,19,0)</f>
        <v>CASAS BAHIA</v>
      </c>
      <c r="K35" s="3">
        <f>VLOOKUP(Table_Sheet1[[#This Row],[Store Name]],'lojas comp prom'!B:Z,25,0)</f>
        <v>80</v>
      </c>
      <c r="L35" s="3" t="str">
        <f>VLOOKUP(Table_Sheet1[[#This Row],[Store Name]],'lojas comp prom'!B:S,18,0)</f>
        <v>Loja De Rua</v>
      </c>
      <c r="M35" s="3">
        <f>VLOOKUP(Table_Sheet1[[#This Row],[Store Name]],'lojas comp prom'!B:AA,26,0)</f>
        <v>0</v>
      </c>
      <c r="N35" s="3" t="str">
        <f>VLOOKUP(Table_Sheet1[[#This Row],[Store Name]],'lojas comp prom'!B:L,11,0)</f>
        <v>SPC</v>
      </c>
    </row>
    <row r="36" spans="1:14" x14ac:dyDescent="0.2">
      <c r="A36" s="1">
        <v>46113.5</v>
      </c>
      <c r="B36" s="2">
        <f>MOD(Table_Sheet1[[#This Row],[Date/Time]],1)</f>
        <v>0.5</v>
      </c>
      <c r="C36" t="s">
        <v>73</v>
      </c>
      <c r="D36" t="s">
        <v>74</v>
      </c>
      <c r="E36" t="s">
        <v>80</v>
      </c>
      <c r="F36" t="s">
        <v>80</v>
      </c>
      <c r="G36">
        <v>3</v>
      </c>
      <c r="H36" s="3" t="s">
        <v>34</v>
      </c>
      <c r="I36" s="3" t="s">
        <v>35</v>
      </c>
      <c r="J36" s="3" t="str">
        <f>VLOOKUP(Table_Sheet1[[#This Row],[Store Name]],'lojas comp prom'!B:T,19,0)</f>
        <v>CASAS BAHIA</v>
      </c>
      <c r="K36" s="3">
        <f>VLOOKUP(Table_Sheet1[[#This Row],[Store Name]],'lojas comp prom'!B:Z,25,0)</f>
        <v>80</v>
      </c>
      <c r="L36" s="3" t="str">
        <f>VLOOKUP(Table_Sheet1[[#This Row],[Store Name]],'lojas comp prom'!B:S,18,0)</f>
        <v>Loja De Rua</v>
      </c>
      <c r="M36" s="3">
        <f>VLOOKUP(Table_Sheet1[[#This Row],[Store Name]],'lojas comp prom'!B:AA,26,0)</f>
        <v>0</v>
      </c>
      <c r="N36" s="3" t="str">
        <f>VLOOKUP(Table_Sheet1[[#This Row],[Store Name]],'lojas comp prom'!B:L,11,0)</f>
        <v>SPC</v>
      </c>
    </row>
    <row r="37" spans="1:14" x14ac:dyDescent="0.2">
      <c r="A37" s="1">
        <v>46113.5</v>
      </c>
      <c r="B37" s="2">
        <f>MOD(Table_Sheet1[[#This Row],[Date/Time]],1)</f>
        <v>0.5</v>
      </c>
      <c r="C37" t="s">
        <v>73</v>
      </c>
      <c r="D37" t="s">
        <v>74</v>
      </c>
      <c r="E37" t="s">
        <v>81</v>
      </c>
      <c r="F37" t="s">
        <v>81</v>
      </c>
      <c r="G37">
        <v>2</v>
      </c>
      <c r="H37" s="3" t="s">
        <v>34</v>
      </c>
      <c r="I37" s="3" t="s">
        <v>35</v>
      </c>
      <c r="J37" s="3" t="str">
        <f>VLOOKUP(Table_Sheet1[[#This Row],[Store Name]],'lojas comp prom'!B:T,19,0)</f>
        <v>CASAS BAHIA</v>
      </c>
      <c r="K37" s="3">
        <f>VLOOKUP(Table_Sheet1[[#This Row],[Store Name]],'lojas comp prom'!B:Z,25,0)</f>
        <v>80</v>
      </c>
      <c r="L37" s="3" t="str">
        <f>VLOOKUP(Table_Sheet1[[#This Row],[Store Name]],'lojas comp prom'!B:S,18,0)</f>
        <v>Loja De Rua</v>
      </c>
      <c r="M37" s="3">
        <f>VLOOKUP(Table_Sheet1[[#This Row],[Store Name]],'lojas comp prom'!B:AA,26,0)</f>
        <v>0</v>
      </c>
      <c r="N37" s="3" t="str">
        <f>VLOOKUP(Table_Sheet1[[#This Row],[Store Name]],'lojas comp prom'!B:L,11,0)</f>
        <v>SPC</v>
      </c>
    </row>
    <row r="38" spans="1:14" x14ac:dyDescent="0.2">
      <c r="A38" s="1">
        <v>46113.5</v>
      </c>
      <c r="B38" s="2">
        <f>MOD(Table_Sheet1[[#This Row],[Date/Time]],1)</f>
        <v>0.5</v>
      </c>
      <c r="C38" t="s">
        <v>73</v>
      </c>
      <c r="D38" t="s">
        <v>74</v>
      </c>
      <c r="E38" t="s">
        <v>82</v>
      </c>
      <c r="F38" t="s">
        <v>82</v>
      </c>
      <c r="G38">
        <v>2</v>
      </c>
      <c r="H38" s="3" t="str">
        <f>VLOOKUP(Table_Sheet1[[#This Row],[Device Name]],'[1]AParelhos_&amp;_LOJAS'!$C:$H,6,0)</f>
        <v>G05</v>
      </c>
      <c r="I38" s="3" t="str">
        <f>VLOOKUP(Table_Sheet1[[#This Row],[Device Name]],'[1]AParelhos_&amp;_LOJAS'!$C:$I,7,0)</f>
        <v>128 GB</v>
      </c>
      <c r="J38" s="3" t="str">
        <f>VLOOKUP(Table_Sheet1[[#This Row],[Store Name]],'lojas comp prom'!B:T,19,0)</f>
        <v>CASAS BAHIA</v>
      </c>
      <c r="K38" s="3">
        <f>VLOOKUP(Table_Sheet1[[#This Row],[Store Name]],'lojas comp prom'!B:Z,25,0)</f>
        <v>80</v>
      </c>
      <c r="L38" s="3" t="str">
        <f>VLOOKUP(Table_Sheet1[[#This Row],[Store Name]],'lojas comp prom'!B:S,18,0)</f>
        <v>Loja De Rua</v>
      </c>
      <c r="M38" s="3">
        <f>VLOOKUP(Table_Sheet1[[#This Row],[Store Name]],'lojas comp prom'!B:AA,26,0)</f>
        <v>0</v>
      </c>
      <c r="N38" s="3" t="str">
        <f>VLOOKUP(Table_Sheet1[[#This Row],[Store Name]],'lojas comp prom'!B:L,11,0)</f>
        <v>SPC</v>
      </c>
    </row>
    <row r="39" spans="1:14" x14ac:dyDescent="0.2">
      <c r="A39" s="1">
        <v>46113.5</v>
      </c>
      <c r="B39" s="2">
        <f>MOD(Table_Sheet1[[#This Row],[Date/Time]],1)</f>
        <v>0.5</v>
      </c>
      <c r="C39" t="s">
        <v>73</v>
      </c>
      <c r="D39" t="s">
        <v>74</v>
      </c>
      <c r="E39" t="s">
        <v>83</v>
      </c>
      <c r="F39" t="s">
        <v>83</v>
      </c>
      <c r="G39">
        <v>10</v>
      </c>
      <c r="H39" s="3" t="str">
        <f>VLOOKUP(Table_Sheet1[[#This Row],[Device Name]],'[1]AParelhos_&amp;_LOJAS'!$C:$H,6,0)</f>
        <v>G05</v>
      </c>
      <c r="I39" s="3" t="str">
        <f>VLOOKUP(Table_Sheet1[[#This Row],[Device Name]],'[1]AParelhos_&amp;_LOJAS'!$C:$I,7,0)</f>
        <v>256 GB</v>
      </c>
      <c r="J39" s="3" t="str">
        <f>VLOOKUP(Table_Sheet1[[#This Row],[Store Name]],'lojas comp prom'!B:T,19,0)</f>
        <v>CASAS BAHIA</v>
      </c>
      <c r="K39" s="3">
        <f>VLOOKUP(Table_Sheet1[[#This Row],[Store Name]],'lojas comp prom'!B:Z,25,0)</f>
        <v>80</v>
      </c>
      <c r="L39" s="3" t="str">
        <f>VLOOKUP(Table_Sheet1[[#This Row],[Store Name]],'lojas comp prom'!B:S,18,0)</f>
        <v>Loja De Rua</v>
      </c>
      <c r="M39" s="3">
        <f>VLOOKUP(Table_Sheet1[[#This Row],[Store Name]],'lojas comp prom'!B:AA,26,0)</f>
        <v>0</v>
      </c>
      <c r="N39" s="3" t="str">
        <f>VLOOKUP(Table_Sheet1[[#This Row],[Store Name]],'lojas comp prom'!B:L,11,0)</f>
        <v>SPC</v>
      </c>
    </row>
    <row r="40" spans="1:14" x14ac:dyDescent="0.2">
      <c r="A40" s="1">
        <v>46113.5</v>
      </c>
      <c r="B40" s="2">
        <f>MOD(Table_Sheet1[[#This Row],[Date/Time]],1)</f>
        <v>0.5</v>
      </c>
      <c r="C40" t="s">
        <v>73</v>
      </c>
      <c r="D40" t="s">
        <v>74</v>
      </c>
      <c r="E40" t="s">
        <v>75</v>
      </c>
      <c r="F40" t="s">
        <v>75</v>
      </c>
      <c r="G40">
        <v>3</v>
      </c>
      <c r="H40" s="3" t="str">
        <f>VLOOKUP(Table_Sheet1[[#This Row],[Device Name]],'[1]AParelhos_&amp;_LOJAS'!$C:$H,6,0)</f>
        <v>G06</v>
      </c>
      <c r="I40" s="3" t="str">
        <f>VLOOKUP(Table_Sheet1[[#This Row],[Device Name]],'[1]AParelhos_&amp;_LOJAS'!$C:$I,7,0)</f>
        <v>128 GB</v>
      </c>
      <c r="J40" s="3" t="str">
        <f>VLOOKUP(Table_Sheet1[[#This Row],[Store Name]],'lojas comp prom'!B:T,19,0)</f>
        <v>CASAS BAHIA</v>
      </c>
      <c r="K40" s="3">
        <f>VLOOKUP(Table_Sheet1[[#This Row],[Store Name]],'lojas comp prom'!B:Z,25,0)</f>
        <v>80</v>
      </c>
      <c r="L40" s="3" t="str">
        <f>VLOOKUP(Table_Sheet1[[#This Row],[Store Name]],'lojas comp prom'!B:S,18,0)</f>
        <v>Loja De Rua</v>
      </c>
      <c r="M40" s="3">
        <f>VLOOKUP(Table_Sheet1[[#This Row],[Store Name]],'lojas comp prom'!B:AA,26,0)</f>
        <v>0</v>
      </c>
      <c r="N40" s="3" t="str">
        <f>VLOOKUP(Table_Sheet1[[#This Row],[Store Name]],'lojas comp prom'!B:L,11,0)</f>
        <v>SPC</v>
      </c>
    </row>
    <row r="41" spans="1:14" x14ac:dyDescent="0.2">
      <c r="A41" s="1">
        <v>46113.5</v>
      </c>
      <c r="B41" s="2">
        <f>MOD(Table_Sheet1[[#This Row],[Date/Time]],1)</f>
        <v>0.5</v>
      </c>
      <c r="C41" t="s">
        <v>73</v>
      </c>
      <c r="D41" t="s">
        <v>74</v>
      </c>
      <c r="E41" t="s">
        <v>84</v>
      </c>
      <c r="F41" t="s">
        <v>84</v>
      </c>
      <c r="G41">
        <v>6</v>
      </c>
      <c r="H41" s="3" t="str">
        <f>VLOOKUP(Table_Sheet1[[#This Row],[Device Name]],'[1]AParelhos_&amp;_LOJAS'!$C:$H,6,0)</f>
        <v>G06</v>
      </c>
      <c r="I41" s="3" t="str">
        <f>VLOOKUP(Table_Sheet1[[#This Row],[Device Name]],'[1]AParelhos_&amp;_LOJAS'!$C:$I,7,0)</f>
        <v>256 GB</v>
      </c>
      <c r="J41" s="3" t="str">
        <f>VLOOKUP(Table_Sheet1[[#This Row],[Store Name]],'lojas comp prom'!B:T,19,0)</f>
        <v>CASAS BAHIA</v>
      </c>
      <c r="K41" s="3">
        <f>VLOOKUP(Table_Sheet1[[#This Row],[Store Name]],'lojas comp prom'!B:Z,25,0)</f>
        <v>80</v>
      </c>
      <c r="L41" s="3" t="str">
        <f>VLOOKUP(Table_Sheet1[[#This Row],[Store Name]],'lojas comp prom'!B:S,18,0)</f>
        <v>Loja De Rua</v>
      </c>
      <c r="M41" s="3">
        <f>VLOOKUP(Table_Sheet1[[#This Row],[Store Name]],'lojas comp prom'!B:AA,26,0)</f>
        <v>0</v>
      </c>
      <c r="N41" s="3" t="str">
        <f>VLOOKUP(Table_Sheet1[[#This Row],[Store Name]],'lojas comp prom'!B:L,11,0)</f>
        <v>SPC</v>
      </c>
    </row>
    <row r="42" spans="1:14" x14ac:dyDescent="0.2">
      <c r="A42" s="1">
        <v>46113.5</v>
      </c>
      <c r="B42" s="2">
        <f>MOD(Table_Sheet1[[#This Row],[Date/Time]],1)</f>
        <v>0.5</v>
      </c>
      <c r="C42" t="s">
        <v>73</v>
      </c>
      <c r="D42" t="s">
        <v>74</v>
      </c>
      <c r="E42" t="s">
        <v>76</v>
      </c>
      <c r="F42" t="s">
        <v>76</v>
      </c>
      <c r="G42">
        <v>3</v>
      </c>
      <c r="H42" s="3" t="str">
        <f>VLOOKUP(Table_Sheet1[[#This Row],[Device Name]],'[1]AParelhos_&amp;_LOJAS'!$C:$H,6,0)</f>
        <v>G15</v>
      </c>
      <c r="I42" s="3" t="str">
        <f>VLOOKUP(Table_Sheet1[[#This Row],[Device Name]],'[1]AParelhos_&amp;_LOJAS'!$C:$I,7,0)</f>
        <v>256 GB</v>
      </c>
      <c r="J42" s="3" t="str">
        <f>VLOOKUP(Table_Sheet1[[#This Row],[Store Name]],'lojas comp prom'!B:T,19,0)</f>
        <v>CASAS BAHIA</v>
      </c>
      <c r="K42" s="3">
        <f>VLOOKUP(Table_Sheet1[[#This Row],[Store Name]],'lojas comp prom'!B:Z,25,0)</f>
        <v>80</v>
      </c>
      <c r="L42" s="3" t="str">
        <f>VLOOKUP(Table_Sheet1[[#This Row],[Store Name]],'lojas comp prom'!B:S,18,0)</f>
        <v>Loja De Rua</v>
      </c>
      <c r="M42" s="3">
        <f>VLOOKUP(Table_Sheet1[[#This Row],[Store Name]],'lojas comp prom'!B:AA,26,0)</f>
        <v>0</v>
      </c>
      <c r="N42" s="3" t="str">
        <f>VLOOKUP(Table_Sheet1[[#This Row],[Store Name]],'lojas comp prom'!B:L,11,0)</f>
        <v>SPC</v>
      </c>
    </row>
    <row r="43" spans="1:14" x14ac:dyDescent="0.2">
      <c r="A43" s="1">
        <v>46113.5</v>
      </c>
      <c r="B43" s="2">
        <f>MOD(Table_Sheet1[[#This Row],[Date/Time]],1)</f>
        <v>0.5</v>
      </c>
      <c r="C43" t="s">
        <v>73</v>
      </c>
      <c r="D43" t="s">
        <v>74</v>
      </c>
      <c r="E43" t="s">
        <v>85</v>
      </c>
      <c r="F43" t="s">
        <v>85</v>
      </c>
      <c r="G43">
        <v>5</v>
      </c>
      <c r="H43" s="3" t="str">
        <f>VLOOKUP(Table_Sheet1[[#This Row],[Device Name]],'[1]AParelhos_&amp;_LOJAS'!$C:$H,6,0)</f>
        <v>G17</v>
      </c>
      <c r="I43" s="3" t="str">
        <f>VLOOKUP(Table_Sheet1[[#This Row],[Device Name]],'[1]AParelhos_&amp;_LOJAS'!$C:$I,7,0)</f>
        <v>256 GB</v>
      </c>
      <c r="J43" s="3" t="str">
        <f>VLOOKUP(Table_Sheet1[[#This Row],[Store Name]],'lojas comp prom'!B:T,19,0)</f>
        <v>CASAS BAHIA</v>
      </c>
      <c r="K43" s="3">
        <f>VLOOKUP(Table_Sheet1[[#This Row],[Store Name]],'lojas comp prom'!B:Z,25,0)</f>
        <v>80</v>
      </c>
      <c r="L43" s="3" t="str">
        <f>VLOOKUP(Table_Sheet1[[#This Row],[Store Name]],'lojas comp prom'!B:S,18,0)</f>
        <v>Loja De Rua</v>
      </c>
      <c r="M43" s="3">
        <f>VLOOKUP(Table_Sheet1[[#This Row],[Store Name]],'lojas comp prom'!B:AA,26,0)</f>
        <v>0</v>
      </c>
      <c r="N43" s="3" t="str">
        <f>VLOOKUP(Table_Sheet1[[#This Row],[Store Name]],'lojas comp prom'!B:L,11,0)</f>
        <v>SPC</v>
      </c>
    </row>
    <row r="44" spans="1:14" x14ac:dyDescent="0.2">
      <c r="A44" s="1">
        <v>46113.5</v>
      </c>
      <c r="B44" s="2">
        <f>MOD(Table_Sheet1[[#This Row],[Date/Time]],1)</f>
        <v>0.5</v>
      </c>
      <c r="C44" t="s">
        <v>73</v>
      </c>
      <c r="D44" t="s">
        <v>74</v>
      </c>
      <c r="E44" t="s">
        <v>77</v>
      </c>
      <c r="F44" t="s">
        <v>77</v>
      </c>
      <c r="G44">
        <v>5</v>
      </c>
      <c r="H44" s="3" t="str">
        <f>VLOOKUP(Table_Sheet1[[#This Row],[Device Name]],'[1]AParelhos_&amp;_LOJAS'!$C:$H,6,0)</f>
        <v>G56</v>
      </c>
      <c r="I44" s="3" t="str">
        <f>VLOOKUP(Table_Sheet1[[#This Row],[Device Name]],'[1]AParelhos_&amp;_LOJAS'!$C:$I,7,0)</f>
        <v>256 GB</v>
      </c>
      <c r="J44" s="3" t="str">
        <f>VLOOKUP(Table_Sheet1[[#This Row],[Store Name]],'lojas comp prom'!B:T,19,0)</f>
        <v>CASAS BAHIA</v>
      </c>
      <c r="K44" s="3">
        <f>VLOOKUP(Table_Sheet1[[#This Row],[Store Name]],'lojas comp prom'!B:Z,25,0)</f>
        <v>80</v>
      </c>
      <c r="L44" s="3" t="str">
        <f>VLOOKUP(Table_Sheet1[[#This Row],[Store Name]],'lojas comp prom'!B:S,18,0)</f>
        <v>Loja De Rua</v>
      </c>
      <c r="M44" s="3">
        <f>VLOOKUP(Table_Sheet1[[#This Row],[Store Name]],'lojas comp prom'!B:AA,26,0)</f>
        <v>0</v>
      </c>
      <c r="N44" s="3" t="str">
        <f>VLOOKUP(Table_Sheet1[[#This Row],[Store Name]],'lojas comp prom'!B:L,11,0)</f>
        <v>SPC</v>
      </c>
    </row>
    <row r="45" spans="1:14" x14ac:dyDescent="0.2">
      <c r="A45" s="1">
        <v>46113.5</v>
      </c>
      <c r="B45" s="2">
        <f>MOD(Table_Sheet1[[#This Row],[Date/Time]],1)</f>
        <v>0.5</v>
      </c>
      <c r="C45" t="s">
        <v>73</v>
      </c>
      <c r="D45" t="s">
        <v>74</v>
      </c>
      <c r="E45" t="s">
        <v>78</v>
      </c>
      <c r="F45" t="s">
        <v>78</v>
      </c>
      <c r="G45">
        <v>5</v>
      </c>
      <c r="H45" s="3" t="str">
        <f>VLOOKUP(Table_Sheet1[[#This Row],[Device Name]],'[1]AParelhos_&amp;_LOJAS'!$C:$H,6,0)</f>
        <v>G75</v>
      </c>
      <c r="I45" s="3" t="str">
        <f>VLOOKUP(Table_Sheet1[[#This Row],[Device Name]],'[1]AParelhos_&amp;_LOJAS'!$C:$I,7,0)</f>
        <v>256 GB</v>
      </c>
      <c r="J45" s="3" t="str">
        <f>VLOOKUP(Table_Sheet1[[#This Row],[Store Name]],'lojas comp prom'!B:T,19,0)</f>
        <v>CASAS BAHIA</v>
      </c>
      <c r="K45" s="3">
        <f>VLOOKUP(Table_Sheet1[[#This Row],[Store Name]],'lojas comp prom'!B:Z,25,0)</f>
        <v>80</v>
      </c>
      <c r="L45" s="3" t="str">
        <f>VLOOKUP(Table_Sheet1[[#This Row],[Store Name]],'lojas comp prom'!B:S,18,0)</f>
        <v>Loja De Rua</v>
      </c>
      <c r="M45" s="3">
        <f>VLOOKUP(Table_Sheet1[[#This Row],[Store Name]],'lojas comp prom'!B:AA,26,0)</f>
        <v>0</v>
      </c>
      <c r="N45" s="3" t="str">
        <f>VLOOKUP(Table_Sheet1[[#This Row],[Store Name]],'lojas comp prom'!B:L,11,0)</f>
        <v>SPC</v>
      </c>
    </row>
    <row r="46" spans="1:14" x14ac:dyDescent="0.2">
      <c r="A46" s="1">
        <v>46113.5</v>
      </c>
      <c r="B46" s="2">
        <f>MOD(Table_Sheet1[[#This Row],[Date/Time]],1)</f>
        <v>0.5</v>
      </c>
      <c r="C46" t="s">
        <v>73</v>
      </c>
      <c r="D46" t="s">
        <v>74</v>
      </c>
      <c r="E46" t="s">
        <v>79</v>
      </c>
      <c r="F46" t="s">
        <v>79</v>
      </c>
      <c r="G46">
        <v>1</v>
      </c>
      <c r="H46" s="3" t="str">
        <f>VLOOKUP(Table_Sheet1[[#This Row],[Device Name]],'[1]AParelhos_&amp;_LOJAS'!$C:$H,6,0)</f>
        <v>G86</v>
      </c>
      <c r="I46" s="3" t="str">
        <f>VLOOKUP(Table_Sheet1[[#This Row],[Device Name]],'[1]AParelhos_&amp;_LOJAS'!$C:$I,7,0)</f>
        <v>256 GB</v>
      </c>
      <c r="J46" s="3" t="str">
        <f>VLOOKUP(Table_Sheet1[[#This Row],[Store Name]],'lojas comp prom'!B:T,19,0)</f>
        <v>CASAS BAHIA</v>
      </c>
      <c r="K46" s="3">
        <f>VLOOKUP(Table_Sheet1[[#This Row],[Store Name]],'lojas comp prom'!B:Z,25,0)</f>
        <v>80</v>
      </c>
      <c r="L46" s="3" t="str">
        <f>VLOOKUP(Table_Sheet1[[#This Row],[Store Name]],'lojas comp prom'!B:S,18,0)</f>
        <v>Loja De Rua</v>
      </c>
      <c r="M46" s="3">
        <f>VLOOKUP(Table_Sheet1[[#This Row],[Store Name]],'lojas comp prom'!B:AA,26,0)</f>
        <v>0</v>
      </c>
      <c r="N46" s="3" t="str">
        <f>VLOOKUP(Table_Sheet1[[#This Row],[Store Name]],'lojas comp prom'!B:L,11,0)</f>
        <v>SPC</v>
      </c>
    </row>
    <row r="47" spans="1:14" x14ac:dyDescent="0.2">
      <c r="A47" s="1">
        <v>46113.5</v>
      </c>
      <c r="B47" s="2">
        <f>MOD(Table_Sheet1[[#This Row],[Date/Time]],1)</f>
        <v>0.5</v>
      </c>
      <c r="C47" t="s">
        <v>73</v>
      </c>
      <c r="D47" t="s">
        <v>74</v>
      </c>
      <c r="E47" t="s">
        <v>86</v>
      </c>
      <c r="F47" t="s">
        <v>86</v>
      </c>
      <c r="G47">
        <v>1</v>
      </c>
      <c r="H47" s="3" t="str">
        <f>VLOOKUP(Table_Sheet1[[#This Row],[Device Name]],'[1]AParelhos_&amp;_LOJAS'!$C:$H,6,0)</f>
        <v>G86</v>
      </c>
      <c r="I47" s="3" t="str">
        <f>VLOOKUP(Table_Sheet1[[#This Row],[Device Name]],'[1]AParelhos_&amp;_LOJAS'!$C:$I,7,0)</f>
        <v>512 GB</v>
      </c>
      <c r="J47" s="3" t="str">
        <f>VLOOKUP(Table_Sheet1[[#This Row],[Store Name]],'lojas comp prom'!B:T,19,0)</f>
        <v>CASAS BAHIA</v>
      </c>
      <c r="K47" s="3">
        <f>VLOOKUP(Table_Sheet1[[#This Row],[Store Name]],'lojas comp prom'!B:Z,25,0)</f>
        <v>80</v>
      </c>
      <c r="L47" s="3" t="str">
        <f>VLOOKUP(Table_Sheet1[[#This Row],[Store Name]],'lojas comp prom'!B:S,18,0)</f>
        <v>Loja De Rua</v>
      </c>
      <c r="M47" s="3">
        <f>VLOOKUP(Table_Sheet1[[#This Row],[Store Name]],'lojas comp prom'!B:AA,26,0)</f>
        <v>0</v>
      </c>
      <c r="N47" s="3" t="str">
        <f>VLOOKUP(Table_Sheet1[[#This Row],[Store Name]],'lojas comp prom'!B:L,11,0)</f>
        <v>SPC</v>
      </c>
    </row>
    <row r="48" spans="1:14" x14ac:dyDescent="0.2">
      <c r="A48" s="1">
        <v>46113.5</v>
      </c>
      <c r="B48" s="2">
        <f>MOD(Table_Sheet1[[#This Row],[Date/Time]],1)</f>
        <v>0.5</v>
      </c>
      <c r="C48" t="s">
        <v>73</v>
      </c>
      <c r="D48" t="s">
        <v>74</v>
      </c>
      <c r="E48" t="s">
        <v>87</v>
      </c>
      <c r="F48" t="s">
        <v>87</v>
      </c>
      <c r="G48">
        <v>4</v>
      </c>
      <c r="H48" s="3" t="str">
        <f>VLOOKUP(Table_Sheet1[[#This Row],[Device Name]],'[1]AParelhos_&amp;_LOJAS'!$C:$H,6,0)</f>
        <v xml:space="preserve">Razr 60 Ultra </v>
      </c>
      <c r="I48" s="3" t="str">
        <f>VLOOKUP(Table_Sheet1[[#This Row],[Device Name]],'[1]AParelhos_&amp;_LOJAS'!$C:$I,7,0)</f>
        <v>1TB</v>
      </c>
      <c r="J48" s="3" t="str">
        <f>VLOOKUP(Table_Sheet1[[#This Row],[Store Name]],'lojas comp prom'!B:T,19,0)</f>
        <v>CASAS BAHIA</v>
      </c>
      <c r="K48" s="3">
        <f>VLOOKUP(Table_Sheet1[[#This Row],[Store Name]],'lojas comp prom'!B:Z,25,0)</f>
        <v>80</v>
      </c>
      <c r="L48" s="3" t="str">
        <f>VLOOKUP(Table_Sheet1[[#This Row],[Store Name]],'lojas comp prom'!B:S,18,0)</f>
        <v>Loja De Rua</v>
      </c>
      <c r="M48" s="3">
        <f>VLOOKUP(Table_Sheet1[[#This Row],[Store Name]],'lojas comp prom'!B:AA,26,0)</f>
        <v>0</v>
      </c>
      <c r="N48" s="3" t="str">
        <f>VLOOKUP(Table_Sheet1[[#This Row],[Store Name]],'lojas comp prom'!B:L,11,0)</f>
        <v>SPC</v>
      </c>
    </row>
    <row r="49" spans="1:14" x14ac:dyDescent="0.2">
      <c r="A49" s="1">
        <v>46113.5</v>
      </c>
      <c r="B49" s="2">
        <f>MOD(Table_Sheet1[[#This Row],[Date/Time]],1)</f>
        <v>0.5</v>
      </c>
      <c r="C49" t="s">
        <v>53</v>
      </c>
      <c r="D49" t="s">
        <v>54</v>
      </c>
      <c r="E49" t="s">
        <v>56</v>
      </c>
      <c r="F49" t="s">
        <v>56</v>
      </c>
      <c r="G49">
        <v>1</v>
      </c>
      <c r="H49" s="3" t="str">
        <f>VLOOKUP(Table_Sheet1[[#This Row],[Device Name]],'[1]AParelhos_&amp;_LOJAS'!$C:$H,6,0)</f>
        <v>Edge 50 Neo</v>
      </c>
      <c r="I49" s="3" t="str">
        <f>VLOOKUP(Table_Sheet1[[#This Row],[Device Name]],'[1]AParelhos_&amp;_LOJAS'!$C:$I,7,0)</f>
        <v>256 GB</v>
      </c>
      <c r="J49" s="3" t="str">
        <f>VLOOKUP(Table_Sheet1[[#This Row],[Store Name]],'lojas comp prom'!B:T,19,0)</f>
        <v>CASAS BAHIA</v>
      </c>
      <c r="K49" s="3">
        <f>VLOOKUP(Table_Sheet1[[#This Row],[Store Name]],'lojas comp prom'!B:Z,25,0)</f>
        <v>80</v>
      </c>
      <c r="L49" s="3" t="str">
        <f>VLOOKUP(Table_Sheet1[[#This Row],[Store Name]],'lojas comp prom'!B:S,18,0)</f>
        <v>Loja De Rua</v>
      </c>
      <c r="M49" s="3">
        <f>VLOOKUP(Table_Sheet1[[#This Row],[Store Name]],'lojas comp prom'!B:AA,26,0)</f>
        <v>0</v>
      </c>
      <c r="N49" s="3" t="str">
        <f>VLOOKUP(Table_Sheet1[[#This Row],[Store Name]],'lojas comp prom'!B:L,11,0)</f>
        <v>SPC</v>
      </c>
    </row>
    <row r="50" spans="1:14" x14ac:dyDescent="0.2">
      <c r="A50" s="1">
        <v>46113.5</v>
      </c>
      <c r="B50" s="2">
        <f>MOD(Table_Sheet1[[#This Row],[Date/Time]],1)</f>
        <v>0.5</v>
      </c>
      <c r="C50" t="s">
        <v>53</v>
      </c>
      <c r="D50" t="s">
        <v>54</v>
      </c>
      <c r="E50" t="s">
        <v>66</v>
      </c>
      <c r="F50" t="s">
        <v>66</v>
      </c>
      <c r="G50">
        <v>1</v>
      </c>
      <c r="H50" s="3" t="str">
        <f>VLOOKUP(Table_Sheet1[[#This Row],[Device Name]],'[1]AParelhos_&amp;_LOJAS'!$C:$H,6,0)</f>
        <v>G06</v>
      </c>
      <c r="I50" s="3" t="str">
        <f>VLOOKUP(Table_Sheet1[[#This Row],[Device Name]],'[1]AParelhos_&amp;_LOJAS'!$C:$I,7,0)</f>
        <v>128 GB</v>
      </c>
      <c r="J50" s="3" t="str">
        <f>VLOOKUP(Table_Sheet1[[#This Row],[Store Name]],'lojas comp prom'!B:T,19,0)</f>
        <v>CASAS BAHIA</v>
      </c>
      <c r="K50" s="3">
        <f>VLOOKUP(Table_Sheet1[[#This Row],[Store Name]],'lojas comp prom'!B:Z,25,0)</f>
        <v>80</v>
      </c>
      <c r="L50" s="3" t="str">
        <f>VLOOKUP(Table_Sheet1[[#This Row],[Store Name]],'lojas comp prom'!B:S,18,0)</f>
        <v>Loja De Rua</v>
      </c>
      <c r="M50" s="3">
        <f>VLOOKUP(Table_Sheet1[[#This Row],[Store Name]],'lojas comp prom'!B:AA,26,0)</f>
        <v>0</v>
      </c>
      <c r="N50" s="3" t="str">
        <f>VLOOKUP(Table_Sheet1[[#This Row],[Store Name]],'lojas comp prom'!B:L,11,0)</f>
        <v>SPC</v>
      </c>
    </row>
    <row r="51" spans="1:14" x14ac:dyDescent="0.2">
      <c r="A51" s="1">
        <v>46113.5</v>
      </c>
      <c r="B51" s="2">
        <f>MOD(Table_Sheet1[[#This Row],[Date/Time]],1)</f>
        <v>0.5</v>
      </c>
      <c r="C51" t="s">
        <v>53</v>
      </c>
      <c r="D51" t="s">
        <v>54</v>
      </c>
      <c r="E51" t="s">
        <v>58</v>
      </c>
      <c r="F51" t="s">
        <v>58</v>
      </c>
      <c r="G51">
        <v>1</v>
      </c>
      <c r="H51" s="3" t="str">
        <f>VLOOKUP(Table_Sheet1[[#This Row],[Device Name]],'[1]AParelhos_&amp;_LOJAS'!$C:$H,6,0)</f>
        <v>G15</v>
      </c>
      <c r="I51" s="3" t="str">
        <f>VLOOKUP(Table_Sheet1[[#This Row],[Device Name]],'[1]AParelhos_&amp;_LOJAS'!$C:$I,7,0)</f>
        <v>256 GB</v>
      </c>
      <c r="J51" s="3" t="str">
        <f>VLOOKUP(Table_Sheet1[[#This Row],[Store Name]],'lojas comp prom'!B:T,19,0)</f>
        <v>CASAS BAHIA</v>
      </c>
      <c r="K51" s="3">
        <f>VLOOKUP(Table_Sheet1[[#This Row],[Store Name]],'lojas comp prom'!B:Z,25,0)</f>
        <v>80</v>
      </c>
      <c r="L51" s="3" t="str">
        <f>VLOOKUP(Table_Sheet1[[#This Row],[Store Name]],'lojas comp prom'!B:S,18,0)</f>
        <v>Loja De Rua</v>
      </c>
      <c r="M51" s="3">
        <f>VLOOKUP(Table_Sheet1[[#This Row],[Store Name]],'lojas comp prom'!B:AA,26,0)</f>
        <v>0</v>
      </c>
      <c r="N51" s="3" t="str">
        <f>VLOOKUP(Table_Sheet1[[#This Row],[Store Name]],'lojas comp prom'!B:L,11,0)</f>
        <v>SPC</v>
      </c>
    </row>
    <row r="52" spans="1:14" x14ac:dyDescent="0.2">
      <c r="A52" s="1">
        <v>46113.5</v>
      </c>
      <c r="B52" s="2">
        <f>MOD(Table_Sheet1[[#This Row],[Date/Time]],1)</f>
        <v>0.5</v>
      </c>
      <c r="C52" t="s">
        <v>53</v>
      </c>
      <c r="D52" t="s">
        <v>54</v>
      </c>
      <c r="E52" t="s">
        <v>58</v>
      </c>
      <c r="F52" t="s">
        <v>59</v>
      </c>
      <c r="G52">
        <v>1</v>
      </c>
      <c r="H52" s="3" t="s">
        <v>37</v>
      </c>
      <c r="I52" s="3" t="s">
        <v>35</v>
      </c>
      <c r="J52" s="3" t="str">
        <f>VLOOKUP(Table_Sheet1[[#This Row],[Store Name]],'lojas comp prom'!B:T,19,0)</f>
        <v>CASAS BAHIA</v>
      </c>
      <c r="K52" s="3">
        <f>VLOOKUP(Table_Sheet1[[#This Row],[Store Name]],'lojas comp prom'!B:Z,25,0)</f>
        <v>80</v>
      </c>
      <c r="L52" s="3" t="str">
        <f>VLOOKUP(Table_Sheet1[[#This Row],[Store Name]],'lojas comp prom'!B:S,18,0)</f>
        <v>Loja De Rua</v>
      </c>
      <c r="M52" s="3">
        <f>VLOOKUP(Table_Sheet1[[#This Row],[Store Name]],'lojas comp prom'!B:AA,26,0)</f>
        <v>0</v>
      </c>
      <c r="N52" s="3" t="str">
        <f>VLOOKUP(Table_Sheet1[[#This Row],[Store Name]],'lojas comp prom'!B:L,11,0)</f>
        <v>SPC</v>
      </c>
    </row>
    <row r="53" spans="1:14" x14ac:dyDescent="0.2">
      <c r="A53" s="1">
        <v>46113.5</v>
      </c>
      <c r="B53" s="2">
        <f>MOD(Table_Sheet1[[#This Row],[Date/Time]],1)</f>
        <v>0.5</v>
      </c>
      <c r="C53" t="s">
        <v>53</v>
      </c>
      <c r="D53" t="s">
        <v>54</v>
      </c>
      <c r="E53" t="s">
        <v>60</v>
      </c>
      <c r="F53" t="s">
        <v>60</v>
      </c>
      <c r="G53">
        <v>1</v>
      </c>
      <c r="H53" s="3" t="str">
        <f>VLOOKUP(Table_Sheet1[[#This Row],[Device Name]],'[1]AParelhos_&amp;_LOJAS'!$C:$H,6,0)</f>
        <v>G17</v>
      </c>
      <c r="I53" s="3" t="str">
        <f>VLOOKUP(Table_Sheet1[[#This Row],[Device Name]],'[1]AParelhos_&amp;_LOJAS'!$C:$I,7,0)</f>
        <v>256 GB</v>
      </c>
      <c r="J53" s="3" t="str">
        <f>VLOOKUP(Table_Sheet1[[#This Row],[Store Name]],'lojas comp prom'!B:T,19,0)</f>
        <v>CASAS BAHIA</v>
      </c>
      <c r="K53" s="3">
        <f>VLOOKUP(Table_Sheet1[[#This Row],[Store Name]],'lojas comp prom'!B:Z,25,0)</f>
        <v>80</v>
      </c>
      <c r="L53" s="3" t="str">
        <f>VLOOKUP(Table_Sheet1[[#This Row],[Store Name]],'lojas comp prom'!B:S,18,0)</f>
        <v>Loja De Rua</v>
      </c>
      <c r="M53" s="3">
        <f>VLOOKUP(Table_Sheet1[[#This Row],[Store Name]],'lojas comp prom'!B:AA,26,0)</f>
        <v>0</v>
      </c>
      <c r="N53" s="3" t="str">
        <f>VLOOKUP(Table_Sheet1[[#This Row],[Store Name]],'lojas comp prom'!B:L,11,0)</f>
        <v>SPC</v>
      </c>
    </row>
    <row r="54" spans="1:14" x14ac:dyDescent="0.2">
      <c r="A54" s="1">
        <v>46113.5</v>
      </c>
      <c r="B54" s="2">
        <f>MOD(Table_Sheet1[[#This Row],[Date/Time]],1)</f>
        <v>0.5</v>
      </c>
      <c r="C54" t="s">
        <v>53</v>
      </c>
      <c r="D54" t="s">
        <v>54</v>
      </c>
      <c r="E54" t="s">
        <v>61</v>
      </c>
      <c r="F54" t="s">
        <v>61</v>
      </c>
      <c r="G54">
        <v>1</v>
      </c>
      <c r="H54" s="3" t="str">
        <f>VLOOKUP(Table_Sheet1[[#This Row],[Device Name]],'[1]AParelhos_&amp;_LOJAS'!$C:$H,6,0)</f>
        <v>G35</v>
      </c>
      <c r="I54" s="3" t="str">
        <f>VLOOKUP(Table_Sheet1[[#This Row],[Device Name]],'[1]AParelhos_&amp;_LOJAS'!$C:$I,7,0)</f>
        <v>256 GB</v>
      </c>
      <c r="J54" s="3" t="str">
        <f>VLOOKUP(Table_Sheet1[[#This Row],[Store Name]],'lojas comp prom'!B:T,19,0)</f>
        <v>CASAS BAHIA</v>
      </c>
      <c r="K54" s="3">
        <f>VLOOKUP(Table_Sheet1[[#This Row],[Store Name]],'lojas comp prom'!B:Z,25,0)</f>
        <v>80</v>
      </c>
      <c r="L54" s="3" t="str">
        <f>VLOOKUP(Table_Sheet1[[#This Row],[Store Name]],'lojas comp prom'!B:S,18,0)</f>
        <v>Loja De Rua</v>
      </c>
      <c r="M54" s="3">
        <f>VLOOKUP(Table_Sheet1[[#This Row],[Store Name]],'lojas comp prom'!B:AA,26,0)</f>
        <v>0</v>
      </c>
      <c r="N54" s="3" t="str">
        <f>VLOOKUP(Table_Sheet1[[#This Row],[Store Name]],'lojas comp prom'!B:L,11,0)</f>
        <v>SPC</v>
      </c>
    </row>
    <row r="55" spans="1:14" x14ac:dyDescent="0.2">
      <c r="A55" s="1">
        <v>46113.5</v>
      </c>
      <c r="B55" s="2">
        <f>MOD(Table_Sheet1[[#This Row],[Date/Time]],1)</f>
        <v>0.5</v>
      </c>
      <c r="C55" t="s">
        <v>53</v>
      </c>
      <c r="D55" t="s">
        <v>54</v>
      </c>
      <c r="E55" t="s">
        <v>62</v>
      </c>
      <c r="F55" t="s">
        <v>62</v>
      </c>
      <c r="G55">
        <v>2</v>
      </c>
      <c r="H55" s="3" t="str">
        <f>VLOOKUP(Table_Sheet1[[#This Row],[Device Name]],'[1]AParelhos_&amp;_LOJAS'!$C:$H,6,0)</f>
        <v>G55</v>
      </c>
      <c r="I55" s="3" t="str">
        <f>VLOOKUP(Table_Sheet1[[#This Row],[Device Name]],'[1]AParelhos_&amp;_LOJAS'!$C:$I,7,0)</f>
        <v>256 GB</v>
      </c>
      <c r="J55" s="3" t="str">
        <f>VLOOKUP(Table_Sheet1[[#This Row],[Store Name]],'lojas comp prom'!B:T,19,0)</f>
        <v>CASAS BAHIA</v>
      </c>
      <c r="K55" s="3">
        <f>VLOOKUP(Table_Sheet1[[#This Row],[Store Name]],'lojas comp prom'!B:Z,25,0)</f>
        <v>80</v>
      </c>
      <c r="L55" s="3" t="str">
        <f>VLOOKUP(Table_Sheet1[[#This Row],[Store Name]],'lojas comp prom'!B:S,18,0)</f>
        <v>Loja De Rua</v>
      </c>
      <c r="M55" s="3">
        <f>VLOOKUP(Table_Sheet1[[#This Row],[Store Name]],'lojas comp prom'!B:AA,26,0)</f>
        <v>0</v>
      </c>
      <c r="N55" s="3" t="str">
        <f>VLOOKUP(Table_Sheet1[[#This Row],[Store Name]],'lojas comp prom'!B:L,11,0)</f>
        <v>SPC</v>
      </c>
    </row>
    <row r="56" spans="1:14" x14ac:dyDescent="0.2">
      <c r="A56" s="1">
        <v>46113.5</v>
      </c>
      <c r="B56" s="2">
        <f>MOD(Table_Sheet1[[#This Row],[Date/Time]],1)</f>
        <v>0.5</v>
      </c>
      <c r="C56" t="s">
        <v>8</v>
      </c>
      <c r="D56" t="s">
        <v>9</v>
      </c>
      <c r="E56" t="s">
        <v>11</v>
      </c>
      <c r="F56" t="s">
        <v>11</v>
      </c>
      <c r="G56">
        <v>7</v>
      </c>
      <c r="H56" s="3" t="str">
        <f>VLOOKUP(Table_Sheet1[[#This Row],[Device Name]],'[1]AParelhos_&amp;_LOJAS'!$C:$H,6,0)</f>
        <v>G06</v>
      </c>
      <c r="I56" s="3" t="str">
        <f>VLOOKUP(Table_Sheet1[[#This Row],[Device Name]],'[1]AParelhos_&amp;_LOJAS'!$C:$I,7,0)</f>
        <v>128 GB</v>
      </c>
      <c r="J56" s="3" t="str">
        <f>VLOOKUP(Table_Sheet1[[#This Row],[Store Name]],'lojas comp prom'!B:T,19,0)</f>
        <v>PONTO FRIO</v>
      </c>
      <c r="K56" s="3">
        <f>VLOOKUP(Table_Sheet1[[#This Row],[Store Name]],'lojas comp prom'!B:Z,25,0)</f>
        <v>80</v>
      </c>
      <c r="L56" s="3" t="str">
        <f>VLOOKUP(Table_Sheet1[[#This Row],[Store Name]],'lojas comp prom'!B:S,18,0)</f>
        <v>Shopping Interlagos</v>
      </c>
      <c r="M56" s="3">
        <f>VLOOKUP(Table_Sheet1[[#This Row],[Store Name]],'lojas comp prom'!B:AA,26,0)</f>
        <v>0</v>
      </c>
      <c r="N56" s="3" t="str">
        <f>VLOOKUP(Table_Sheet1[[#This Row],[Store Name]],'lojas comp prom'!B:L,11,0)</f>
        <v>SPC</v>
      </c>
    </row>
    <row r="57" spans="1:14" x14ac:dyDescent="0.2">
      <c r="A57" s="1">
        <v>46113.5</v>
      </c>
      <c r="B57" s="2">
        <f>MOD(Table_Sheet1[[#This Row],[Date/Time]],1)</f>
        <v>0.5</v>
      </c>
      <c r="C57" t="s">
        <v>8</v>
      </c>
      <c r="D57" t="s">
        <v>9</v>
      </c>
      <c r="E57" t="s">
        <v>13</v>
      </c>
      <c r="F57" t="s">
        <v>13</v>
      </c>
      <c r="G57">
        <v>1</v>
      </c>
      <c r="H57" s="3" t="str">
        <f>VLOOKUP(Table_Sheet1[[#This Row],[Device Name]],'[1]AParelhos_&amp;_LOJAS'!$C:$H,6,0)</f>
        <v>G17</v>
      </c>
      <c r="I57" s="3" t="str">
        <f>VLOOKUP(Table_Sheet1[[#This Row],[Device Name]],'[1]AParelhos_&amp;_LOJAS'!$C:$I,7,0)</f>
        <v>128 GB</v>
      </c>
      <c r="J57" s="3" t="str">
        <f>VLOOKUP(Table_Sheet1[[#This Row],[Store Name]],'lojas comp prom'!B:T,19,0)</f>
        <v>PONTO FRIO</v>
      </c>
      <c r="K57" s="3">
        <f>VLOOKUP(Table_Sheet1[[#This Row],[Store Name]],'lojas comp prom'!B:Z,25,0)</f>
        <v>80</v>
      </c>
      <c r="L57" s="3" t="str">
        <f>VLOOKUP(Table_Sheet1[[#This Row],[Store Name]],'lojas comp prom'!B:S,18,0)</f>
        <v>Shopping Interlagos</v>
      </c>
      <c r="M57" s="3">
        <f>VLOOKUP(Table_Sheet1[[#This Row],[Store Name]],'lojas comp prom'!B:AA,26,0)</f>
        <v>0</v>
      </c>
      <c r="N57" s="3" t="str">
        <f>VLOOKUP(Table_Sheet1[[#This Row],[Store Name]],'lojas comp prom'!B:L,11,0)</f>
        <v>SPC</v>
      </c>
    </row>
    <row r="58" spans="1:14" x14ac:dyDescent="0.2">
      <c r="A58" s="1">
        <v>46113.5</v>
      </c>
      <c r="B58" s="2">
        <f>MOD(Table_Sheet1[[#This Row],[Date/Time]],1)</f>
        <v>0.5</v>
      </c>
      <c r="C58" t="s">
        <v>8</v>
      </c>
      <c r="D58" t="s">
        <v>9</v>
      </c>
      <c r="E58" t="s">
        <v>19</v>
      </c>
      <c r="F58" t="s">
        <v>19</v>
      </c>
      <c r="G58">
        <v>1</v>
      </c>
      <c r="H58" s="3" t="str">
        <f>VLOOKUP(Table_Sheet1[[#This Row],[Device Name]],'[1]AParelhos_&amp;_LOJAS'!$C:$H,6,0)</f>
        <v>G35</v>
      </c>
      <c r="I58" s="3" t="str">
        <f>VLOOKUP(Table_Sheet1[[#This Row],[Device Name]],'[1]AParelhos_&amp;_LOJAS'!$C:$I,7,0)</f>
        <v>256 GB</v>
      </c>
      <c r="J58" s="3" t="str">
        <f>VLOOKUP(Table_Sheet1[[#This Row],[Store Name]],'lojas comp prom'!B:T,19,0)</f>
        <v>PONTO FRIO</v>
      </c>
      <c r="K58" s="3">
        <f>VLOOKUP(Table_Sheet1[[#This Row],[Store Name]],'lojas comp prom'!B:Z,25,0)</f>
        <v>80</v>
      </c>
      <c r="L58" s="3" t="str">
        <f>VLOOKUP(Table_Sheet1[[#This Row],[Store Name]],'lojas comp prom'!B:S,18,0)</f>
        <v>Shopping Interlagos</v>
      </c>
      <c r="M58" s="3">
        <f>VLOOKUP(Table_Sheet1[[#This Row],[Store Name]],'lojas comp prom'!B:AA,26,0)</f>
        <v>0</v>
      </c>
      <c r="N58" s="3" t="str">
        <f>VLOOKUP(Table_Sheet1[[#This Row],[Store Name]],'lojas comp prom'!B:L,11,0)</f>
        <v>SPC</v>
      </c>
    </row>
    <row r="59" spans="1:14" x14ac:dyDescent="0.2">
      <c r="A59" s="1">
        <v>46113.5</v>
      </c>
      <c r="B59" s="2">
        <f>MOD(Table_Sheet1[[#This Row],[Date/Time]],1)</f>
        <v>0.5</v>
      </c>
      <c r="C59" t="s">
        <v>23</v>
      </c>
      <c r="D59" t="s">
        <v>24</v>
      </c>
      <c r="E59" t="s">
        <v>25</v>
      </c>
      <c r="F59" t="s">
        <v>25</v>
      </c>
      <c r="G59">
        <v>2</v>
      </c>
      <c r="H59" s="3" t="s">
        <v>34</v>
      </c>
      <c r="I59" s="3" t="s">
        <v>35</v>
      </c>
      <c r="J59" s="3" t="str">
        <f>VLOOKUP(Table_Sheet1[[#This Row],[Store Name]],'lojas comp prom'!B:T,19,0)</f>
        <v>LOJAS AMERICANAS</v>
      </c>
      <c r="K59" s="3">
        <f>VLOOKUP(Table_Sheet1[[#This Row],[Store Name]],'lojas comp prom'!B:Z,25,0)</f>
        <v>80</v>
      </c>
      <c r="L59" s="3" t="str">
        <f>VLOOKUP(Table_Sheet1[[#This Row],[Store Name]],'lojas comp prom'!B:S,18,0)</f>
        <v>Shopping Interlagos</v>
      </c>
      <c r="M59" s="3">
        <f>VLOOKUP(Table_Sheet1[[#This Row],[Store Name]],'lojas comp prom'!B:AA,26,0)</f>
        <v>0</v>
      </c>
      <c r="N59" s="3" t="str">
        <f>VLOOKUP(Table_Sheet1[[#This Row],[Store Name]],'lojas comp prom'!B:L,11,0)</f>
        <v>SPC</v>
      </c>
    </row>
    <row r="60" spans="1:14" x14ac:dyDescent="0.2">
      <c r="A60" s="1">
        <v>46113.5</v>
      </c>
      <c r="B60" s="2">
        <f>MOD(Table_Sheet1[[#This Row],[Date/Time]],1)</f>
        <v>0.5</v>
      </c>
      <c r="C60" t="s">
        <v>23</v>
      </c>
      <c r="D60" t="s">
        <v>24</v>
      </c>
      <c r="E60" t="s">
        <v>27</v>
      </c>
      <c r="F60" t="s">
        <v>27</v>
      </c>
      <c r="G60">
        <v>6</v>
      </c>
      <c r="H60" s="3" t="str">
        <f>VLOOKUP(Table_Sheet1[[#This Row],[Device Name]],'[1]AParelhos_&amp;_LOJAS'!$C:$H,6,0)</f>
        <v>G56</v>
      </c>
      <c r="I60" s="3" t="str">
        <f>VLOOKUP(Table_Sheet1[[#This Row],[Device Name]],'[1]AParelhos_&amp;_LOJAS'!$C:$I,7,0)</f>
        <v>256 GB</v>
      </c>
      <c r="J60" s="3" t="str">
        <f>VLOOKUP(Table_Sheet1[[#This Row],[Store Name]],'lojas comp prom'!B:T,19,0)</f>
        <v>LOJAS AMERICANAS</v>
      </c>
      <c r="K60" s="3">
        <f>VLOOKUP(Table_Sheet1[[#This Row],[Store Name]],'lojas comp prom'!B:Z,25,0)</f>
        <v>80</v>
      </c>
      <c r="L60" s="3" t="str">
        <f>VLOOKUP(Table_Sheet1[[#This Row],[Store Name]],'lojas comp prom'!B:S,18,0)</f>
        <v>Shopping Interlagos</v>
      </c>
      <c r="M60" s="3">
        <f>VLOOKUP(Table_Sheet1[[#This Row],[Store Name]],'lojas comp prom'!B:AA,26,0)</f>
        <v>0</v>
      </c>
      <c r="N60" s="3" t="str">
        <f>VLOOKUP(Table_Sheet1[[#This Row],[Store Name]],'lojas comp prom'!B:L,11,0)</f>
        <v>SPC</v>
      </c>
    </row>
    <row r="61" spans="1:14" x14ac:dyDescent="0.2">
      <c r="A61" s="1">
        <v>46113.5</v>
      </c>
      <c r="B61" s="2">
        <f>MOD(Table_Sheet1[[#This Row],[Date/Time]],1)</f>
        <v>0.5</v>
      </c>
      <c r="C61" t="s">
        <v>23</v>
      </c>
      <c r="D61" t="s">
        <v>24</v>
      </c>
      <c r="E61" t="s">
        <v>28</v>
      </c>
      <c r="F61" t="s">
        <v>28</v>
      </c>
      <c r="G61">
        <v>4</v>
      </c>
      <c r="H61" s="3" t="str">
        <f>VLOOKUP(Table_Sheet1[[#This Row],[Device Name]],'[1]AParelhos_&amp;_LOJAS'!$C:$H,6,0)</f>
        <v>G67</v>
      </c>
      <c r="I61" s="3" t="str">
        <f>VLOOKUP(Table_Sheet1[[#This Row],[Device Name]],'[1]AParelhos_&amp;_LOJAS'!$C:$I,7,0)</f>
        <v>256 GB</v>
      </c>
      <c r="J61" s="3" t="str">
        <f>VLOOKUP(Table_Sheet1[[#This Row],[Store Name]],'lojas comp prom'!B:T,19,0)</f>
        <v>LOJAS AMERICANAS</v>
      </c>
      <c r="K61" s="3">
        <f>VLOOKUP(Table_Sheet1[[#This Row],[Store Name]],'lojas comp prom'!B:Z,25,0)</f>
        <v>80</v>
      </c>
      <c r="L61" s="3" t="str">
        <f>VLOOKUP(Table_Sheet1[[#This Row],[Store Name]],'lojas comp prom'!B:S,18,0)</f>
        <v>Shopping Interlagos</v>
      </c>
      <c r="M61" s="3">
        <f>VLOOKUP(Table_Sheet1[[#This Row],[Store Name]],'lojas comp prom'!B:AA,26,0)</f>
        <v>0</v>
      </c>
      <c r="N61" s="3" t="str">
        <f>VLOOKUP(Table_Sheet1[[#This Row],[Store Name]],'lojas comp prom'!B:L,11,0)</f>
        <v>SPC</v>
      </c>
    </row>
    <row r="62" spans="1:14" x14ac:dyDescent="0.2">
      <c r="A62" s="1">
        <v>46113.541666666672</v>
      </c>
      <c r="B62" s="2">
        <f>MOD(Table_Sheet1[[#This Row],[Date/Time]],1)</f>
        <v>0.54166666667151731</v>
      </c>
      <c r="C62" t="s">
        <v>41</v>
      </c>
      <c r="D62" t="s">
        <v>42</v>
      </c>
      <c r="E62" t="s">
        <v>43</v>
      </c>
      <c r="F62" t="s">
        <v>43</v>
      </c>
      <c r="G62">
        <v>1</v>
      </c>
      <c r="H62" s="3" t="str">
        <f>VLOOKUP(Table_Sheet1[[#This Row],[Device Name]],'[1]AParelhos_&amp;_LOJAS'!$C:$H,6,0)</f>
        <v xml:space="preserve">Edge 60 Fusion </v>
      </c>
      <c r="I62" s="3" t="str">
        <f>VLOOKUP(Table_Sheet1[[#This Row],[Device Name]],'[1]AParelhos_&amp;_LOJAS'!$C:$I,7,0)</f>
        <v>256 GB</v>
      </c>
      <c r="J62" s="3" t="str">
        <f>VLOOKUP(Table_Sheet1[[#This Row],[Store Name]],'lojas comp prom'!B:T,19,0)</f>
        <v>CASAS BAHIA</v>
      </c>
      <c r="K62" s="3">
        <f>VLOOKUP(Table_Sheet1[[#This Row],[Store Name]],'lojas comp prom'!B:Z,25,0)</f>
        <v>80</v>
      </c>
      <c r="L62" s="3" t="str">
        <f>VLOOKUP(Table_Sheet1[[#This Row],[Store Name]],'lojas comp prom'!B:S,18,0)</f>
        <v>Loja De Rua</v>
      </c>
      <c r="M62" s="3">
        <f>VLOOKUP(Table_Sheet1[[#This Row],[Store Name]],'lojas comp prom'!B:AA,26,0)</f>
        <v>0</v>
      </c>
      <c r="N62" s="3" t="str">
        <f>VLOOKUP(Table_Sheet1[[#This Row],[Store Name]],'lojas comp prom'!B:L,11,0)</f>
        <v>SPC</v>
      </c>
    </row>
    <row r="63" spans="1:14" x14ac:dyDescent="0.2">
      <c r="A63" s="1">
        <v>46113.541666666672</v>
      </c>
      <c r="B63" s="2">
        <f>MOD(Table_Sheet1[[#This Row],[Date/Time]],1)</f>
        <v>0.54166666667151731</v>
      </c>
      <c r="C63" t="s">
        <v>41</v>
      </c>
      <c r="D63" t="s">
        <v>42</v>
      </c>
      <c r="E63" t="s">
        <v>44</v>
      </c>
      <c r="F63" t="s">
        <v>44</v>
      </c>
      <c r="G63">
        <v>1</v>
      </c>
      <c r="H63" s="3" t="s">
        <v>34</v>
      </c>
      <c r="I63" s="3" t="s">
        <v>35</v>
      </c>
      <c r="J63" s="3" t="str">
        <f>VLOOKUP(Table_Sheet1[[#This Row],[Store Name]],'lojas comp prom'!B:T,19,0)</f>
        <v>CASAS BAHIA</v>
      </c>
      <c r="K63" s="3">
        <f>VLOOKUP(Table_Sheet1[[#This Row],[Store Name]],'lojas comp prom'!B:Z,25,0)</f>
        <v>80</v>
      </c>
      <c r="L63" s="3" t="str">
        <f>VLOOKUP(Table_Sheet1[[#This Row],[Store Name]],'lojas comp prom'!B:S,18,0)</f>
        <v>Loja De Rua</v>
      </c>
      <c r="M63" s="3">
        <f>VLOOKUP(Table_Sheet1[[#This Row],[Store Name]],'lojas comp prom'!B:AA,26,0)</f>
        <v>0</v>
      </c>
      <c r="N63" s="3" t="str">
        <f>VLOOKUP(Table_Sheet1[[#This Row],[Store Name]],'lojas comp prom'!B:L,11,0)</f>
        <v>SPC</v>
      </c>
    </row>
    <row r="64" spans="1:14" x14ac:dyDescent="0.2">
      <c r="A64" s="1">
        <v>46113.541666666672</v>
      </c>
      <c r="B64" s="2">
        <f>MOD(Table_Sheet1[[#This Row],[Date/Time]],1)</f>
        <v>0.54166666667151731</v>
      </c>
      <c r="C64" t="s">
        <v>41</v>
      </c>
      <c r="D64" t="s">
        <v>42</v>
      </c>
      <c r="E64" t="s">
        <v>46</v>
      </c>
      <c r="F64" t="s">
        <v>46</v>
      </c>
      <c r="G64">
        <v>2</v>
      </c>
      <c r="H64" s="3" t="str">
        <f>VLOOKUP(Table_Sheet1[[#This Row],[Device Name]],'[1]AParelhos_&amp;_LOJAS'!$C:$H,6,0)</f>
        <v>G06</v>
      </c>
      <c r="I64" s="3" t="str">
        <f>VLOOKUP(Table_Sheet1[[#This Row],[Device Name]],'[1]AParelhos_&amp;_LOJAS'!$C:$I,7,0)</f>
        <v>128 GB</v>
      </c>
      <c r="J64" s="3" t="str">
        <f>VLOOKUP(Table_Sheet1[[#This Row],[Store Name]],'lojas comp prom'!B:T,19,0)</f>
        <v>CASAS BAHIA</v>
      </c>
      <c r="K64" s="3">
        <f>VLOOKUP(Table_Sheet1[[#This Row],[Store Name]],'lojas comp prom'!B:Z,25,0)</f>
        <v>80</v>
      </c>
      <c r="L64" s="3" t="str">
        <f>VLOOKUP(Table_Sheet1[[#This Row],[Store Name]],'lojas comp prom'!B:S,18,0)</f>
        <v>Loja De Rua</v>
      </c>
      <c r="M64" s="3">
        <f>VLOOKUP(Table_Sheet1[[#This Row],[Store Name]],'lojas comp prom'!B:AA,26,0)</f>
        <v>0</v>
      </c>
      <c r="N64" s="3" t="str">
        <f>VLOOKUP(Table_Sheet1[[#This Row],[Store Name]],'lojas comp prom'!B:L,11,0)</f>
        <v>SPC</v>
      </c>
    </row>
    <row r="65" spans="1:14" x14ac:dyDescent="0.2">
      <c r="A65" s="1">
        <v>46113.541666666672</v>
      </c>
      <c r="B65" s="2">
        <f>MOD(Table_Sheet1[[#This Row],[Date/Time]],1)</f>
        <v>0.54166666667151731</v>
      </c>
      <c r="C65" t="s">
        <v>41</v>
      </c>
      <c r="D65" t="s">
        <v>42</v>
      </c>
      <c r="E65" t="s">
        <v>47</v>
      </c>
      <c r="F65" t="s">
        <v>47</v>
      </c>
      <c r="G65">
        <v>2</v>
      </c>
      <c r="H65" s="3" t="str">
        <f>VLOOKUP(Table_Sheet1[[#This Row],[Device Name]],'[1]AParelhos_&amp;_LOJAS'!$C:$H,6,0)</f>
        <v>G06</v>
      </c>
      <c r="I65" s="3" t="str">
        <f>VLOOKUP(Table_Sheet1[[#This Row],[Device Name]],'[1]AParelhos_&amp;_LOJAS'!$C:$I,7,0)</f>
        <v>256 GB</v>
      </c>
      <c r="J65" s="3" t="str">
        <f>VLOOKUP(Table_Sheet1[[#This Row],[Store Name]],'lojas comp prom'!B:T,19,0)</f>
        <v>CASAS BAHIA</v>
      </c>
      <c r="K65" s="3">
        <f>VLOOKUP(Table_Sheet1[[#This Row],[Store Name]],'lojas comp prom'!B:Z,25,0)</f>
        <v>80</v>
      </c>
      <c r="L65" s="3" t="str">
        <f>VLOOKUP(Table_Sheet1[[#This Row],[Store Name]],'lojas comp prom'!B:S,18,0)</f>
        <v>Loja De Rua</v>
      </c>
      <c r="M65" s="3">
        <f>VLOOKUP(Table_Sheet1[[#This Row],[Store Name]],'lojas comp prom'!B:AA,26,0)</f>
        <v>0</v>
      </c>
      <c r="N65" s="3" t="str">
        <f>VLOOKUP(Table_Sheet1[[#This Row],[Store Name]],'lojas comp prom'!B:L,11,0)</f>
        <v>SPC</v>
      </c>
    </row>
    <row r="66" spans="1:14" x14ac:dyDescent="0.2">
      <c r="A66" s="1">
        <v>46113.541666666672</v>
      </c>
      <c r="B66" s="2">
        <f>MOD(Table_Sheet1[[#This Row],[Date/Time]],1)</f>
        <v>0.54166666667151731</v>
      </c>
      <c r="C66" t="s">
        <v>41</v>
      </c>
      <c r="D66" t="s">
        <v>42</v>
      </c>
      <c r="E66" t="s">
        <v>48</v>
      </c>
      <c r="F66" t="s">
        <v>48</v>
      </c>
      <c r="G66">
        <v>1</v>
      </c>
      <c r="H66" s="3" t="str">
        <f>VLOOKUP(Table_Sheet1[[#This Row],[Device Name]],'[1]AParelhos_&amp;_LOJAS'!$C:$H,6,0)</f>
        <v>G17</v>
      </c>
      <c r="I66" s="3" t="str">
        <f>VLOOKUP(Table_Sheet1[[#This Row],[Device Name]],'[1]AParelhos_&amp;_LOJAS'!$C:$I,7,0)</f>
        <v>128 GB</v>
      </c>
      <c r="J66" s="3" t="str">
        <f>VLOOKUP(Table_Sheet1[[#This Row],[Store Name]],'lojas comp prom'!B:T,19,0)</f>
        <v>CASAS BAHIA</v>
      </c>
      <c r="K66" s="3">
        <f>VLOOKUP(Table_Sheet1[[#This Row],[Store Name]],'lojas comp prom'!B:Z,25,0)</f>
        <v>80</v>
      </c>
      <c r="L66" s="3" t="str">
        <f>VLOOKUP(Table_Sheet1[[#This Row],[Store Name]],'lojas comp prom'!B:S,18,0)</f>
        <v>Loja De Rua</v>
      </c>
      <c r="M66" s="3">
        <f>VLOOKUP(Table_Sheet1[[#This Row],[Store Name]],'lojas comp prom'!B:AA,26,0)</f>
        <v>0</v>
      </c>
      <c r="N66" s="3" t="str">
        <f>VLOOKUP(Table_Sheet1[[#This Row],[Store Name]],'lojas comp prom'!B:L,11,0)</f>
        <v>SPC</v>
      </c>
    </row>
    <row r="67" spans="1:14" x14ac:dyDescent="0.2">
      <c r="A67" s="1">
        <v>46113.541666666672</v>
      </c>
      <c r="B67" s="2">
        <f>MOD(Table_Sheet1[[#This Row],[Date/Time]],1)</f>
        <v>0.54166666667151731</v>
      </c>
      <c r="C67" t="s">
        <v>41</v>
      </c>
      <c r="D67" t="s">
        <v>42</v>
      </c>
      <c r="E67" t="s">
        <v>49</v>
      </c>
      <c r="F67" t="s">
        <v>49</v>
      </c>
      <c r="G67">
        <v>1</v>
      </c>
      <c r="H67" s="3" t="str">
        <f>VLOOKUP(Table_Sheet1[[#This Row],[Device Name]],'[1]AParelhos_&amp;_LOJAS'!$C:$H,6,0)</f>
        <v>G17</v>
      </c>
      <c r="I67" s="3" t="str">
        <f>VLOOKUP(Table_Sheet1[[#This Row],[Device Name]],'[1]AParelhos_&amp;_LOJAS'!$C:$I,7,0)</f>
        <v>256 GB</v>
      </c>
      <c r="J67" s="3" t="str">
        <f>VLOOKUP(Table_Sheet1[[#This Row],[Store Name]],'lojas comp prom'!B:T,19,0)</f>
        <v>CASAS BAHIA</v>
      </c>
      <c r="K67" s="3">
        <f>VLOOKUP(Table_Sheet1[[#This Row],[Store Name]],'lojas comp prom'!B:Z,25,0)</f>
        <v>80</v>
      </c>
      <c r="L67" s="3" t="str">
        <f>VLOOKUP(Table_Sheet1[[#This Row],[Store Name]],'lojas comp prom'!B:S,18,0)</f>
        <v>Loja De Rua</v>
      </c>
      <c r="M67" s="3">
        <f>VLOOKUP(Table_Sheet1[[#This Row],[Store Name]],'lojas comp prom'!B:AA,26,0)</f>
        <v>0</v>
      </c>
      <c r="N67" s="3" t="str">
        <f>VLOOKUP(Table_Sheet1[[#This Row],[Store Name]],'lojas comp prom'!B:L,11,0)</f>
        <v>SPC</v>
      </c>
    </row>
    <row r="68" spans="1:14" x14ac:dyDescent="0.2">
      <c r="A68" s="1">
        <v>46113.541666666672</v>
      </c>
      <c r="B68" s="2">
        <f>MOD(Table_Sheet1[[#This Row],[Date/Time]],1)</f>
        <v>0.54166666667151731</v>
      </c>
      <c r="C68" t="s">
        <v>41</v>
      </c>
      <c r="D68" t="s">
        <v>42</v>
      </c>
      <c r="E68" t="s">
        <v>72</v>
      </c>
      <c r="F68" t="s">
        <v>72</v>
      </c>
      <c r="G68">
        <v>1</v>
      </c>
      <c r="H68" s="3" t="str">
        <f>VLOOKUP(Table_Sheet1[[#This Row],[Device Name]],'[1]AParelhos_&amp;_LOJAS'!$C:$H,6,0)</f>
        <v>G35</v>
      </c>
      <c r="I68" s="3" t="str">
        <f>VLOOKUP(Table_Sheet1[[#This Row],[Device Name]],'[1]AParelhos_&amp;_LOJAS'!$C:$I,7,0)</f>
        <v>256 GB</v>
      </c>
      <c r="J68" s="3" t="str">
        <f>VLOOKUP(Table_Sheet1[[#This Row],[Store Name]],'lojas comp prom'!B:T,19,0)</f>
        <v>CASAS BAHIA</v>
      </c>
      <c r="K68" s="3">
        <f>VLOOKUP(Table_Sheet1[[#This Row],[Store Name]],'lojas comp prom'!B:Z,25,0)</f>
        <v>80</v>
      </c>
      <c r="L68" s="3" t="str">
        <f>VLOOKUP(Table_Sheet1[[#This Row],[Store Name]],'lojas comp prom'!B:S,18,0)</f>
        <v>Loja De Rua</v>
      </c>
      <c r="M68" s="3">
        <f>VLOOKUP(Table_Sheet1[[#This Row],[Store Name]],'lojas comp prom'!B:AA,26,0)</f>
        <v>0</v>
      </c>
      <c r="N68" s="3" t="str">
        <f>VLOOKUP(Table_Sheet1[[#This Row],[Store Name]],'lojas comp prom'!B:L,11,0)</f>
        <v>SPC</v>
      </c>
    </row>
    <row r="69" spans="1:14" x14ac:dyDescent="0.2">
      <c r="A69" s="1">
        <v>46113.541666666672</v>
      </c>
      <c r="B69" s="2">
        <f>MOD(Table_Sheet1[[#This Row],[Date/Time]],1)</f>
        <v>0.54166666667151731</v>
      </c>
      <c r="C69" t="s">
        <v>73</v>
      </c>
      <c r="D69" t="s">
        <v>74</v>
      </c>
      <c r="E69" t="s">
        <v>80</v>
      </c>
      <c r="F69" t="s">
        <v>80</v>
      </c>
      <c r="G69">
        <v>4</v>
      </c>
      <c r="H69" s="3" t="s">
        <v>34</v>
      </c>
      <c r="I69" s="3" t="s">
        <v>35</v>
      </c>
      <c r="J69" s="3" t="str">
        <f>VLOOKUP(Table_Sheet1[[#This Row],[Store Name]],'lojas comp prom'!B:T,19,0)</f>
        <v>CASAS BAHIA</v>
      </c>
      <c r="K69" s="3">
        <f>VLOOKUP(Table_Sheet1[[#This Row],[Store Name]],'lojas comp prom'!B:Z,25,0)</f>
        <v>80</v>
      </c>
      <c r="L69" s="3" t="str">
        <f>VLOOKUP(Table_Sheet1[[#This Row],[Store Name]],'lojas comp prom'!B:S,18,0)</f>
        <v>Loja De Rua</v>
      </c>
      <c r="M69" s="3">
        <f>VLOOKUP(Table_Sheet1[[#This Row],[Store Name]],'lojas comp prom'!B:AA,26,0)</f>
        <v>0</v>
      </c>
      <c r="N69" s="3" t="str">
        <f>VLOOKUP(Table_Sheet1[[#This Row],[Store Name]],'lojas comp prom'!B:L,11,0)</f>
        <v>SPC</v>
      </c>
    </row>
    <row r="70" spans="1:14" x14ac:dyDescent="0.2">
      <c r="A70" s="1">
        <v>46113.541666666672</v>
      </c>
      <c r="B70" s="2">
        <f>MOD(Table_Sheet1[[#This Row],[Date/Time]],1)</f>
        <v>0.54166666667151731</v>
      </c>
      <c r="C70" t="s">
        <v>73</v>
      </c>
      <c r="D70" t="s">
        <v>74</v>
      </c>
      <c r="E70" t="s">
        <v>81</v>
      </c>
      <c r="F70" t="s">
        <v>81</v>
      </c>
      <c r="G70">
        <v>2</v>
      </c>
      <c r="H70" s="3" t="s">
        <v>34</v>
      </c>
      <c r="I70" s="3" t="s">
        <v>35</v>
      </c>
      <c r="J70" s="3" t="str">
        <f>VLOOKUP(Table_Sheet1[[#This Row],[Store Name]],'lojas comp prom'!B:T,19,0)</f>
        <v>CASAS BAHIA</v>
      </c>
      <c r="K70" s="3">
        <f>VLOOKUP(Table_Sheet1[[#This Row],[Store Name]],'lojas comp prom'!B:Z,25,0)</f>
        <v>80</v>
      </c>
      <c r="L70" s="3" t="str">
        <f>VLOOKUP(Table_Sheet1[[#This Row],[Store Name]],'lojas comp prom'!B:S,18,0)</f>
        <v>Loja De Rua</v>
      </c>
      <c r="M70" s="3">
        <f>VLOOKUP(Table_Sheet1[[#This Row],[Store Name]],'lojas comp prom'!B:AA,26,0)</f>
        <v>0</v>
      </c>
      <c r="N70" s="3" t="str">
        <f>VLOOKUP(Table_Sheet1[[#This Row],[Store Name]],'lojas comp prom'!B:L,11,0)</f>
        <v>SPC</v>
      </c>
    </row>
    <row r="71" spans="1:14" x14ac:dyDescent="0.2">
      <c r="A71" s="1">
        <v>46113.541666666672</v>
      </c>
      <c r="B71" s="2">
        <f>MOD(Table_Sheet1[[#This Row],[Date/Time]],1)</f>
        <v>0.54166666667151731</v>
      </c>
      <c r="C71" t="s">
        <v>73</v>
      </c>
      <c r="D71" t="s">
        <v>74</v>
      </c>
      <c r="E71" t="s">
        <v>82</v>
      </c>
      <c r="F71" t="s">
        <v>82</v>
      </c>
      <c r="G71">
        <v>1</v>
      </c>
      <c r="H71" s="3" t="str">
        <f>VLOOKUP(Table_Sheet1[[#This Row],[Device Name]],'[1]AParelhos_&amp;_LOJAS'!$C:$H,6,0)</f>
        <v>G05</v>
      </c>
      <c r="I71" s="3" t="str">
        <f>VLOOKUP(Table_Sheet1[[#This Row],[Device Name]],'[1]AParelhos_&amp;_LOJAS'!$C:$I,7,0)</f>
        <v>128 GB</v>
      </c>
      <c r="J71" s="3" t="str">
        <f>VLOOKUP(Table_Sheet1[[#This Row],[Store Name]],'lojas comp prom'!B:T,19,0)</f>
        <v>CASAS BAHIA</v>
      </c>
      <c r="K71" s="3">
        <f>VLOOKUP(Table_Sheet1[[#This Row],[Store Name]],'lojas comp prom'!B:Z,25,0)</f>
        <v>80</v>
      </c>
      <c r="L71" s="3" t="str">
        <f>VLOOKUP(Table_Sheet1[[#This Row],[Store Name]],'lojas comp prom'!B:S,18,0)</f>
        <v>Loja De Rua</v>
      </c>
      <c r="M71" s="3">
        <f>VLOOKUP(Table_Sheet1[[#This Row],[Store Name]],'lojas comp prom'!B:AA,26,0)</f>
        <v>0</v>
      </c>
      <c r="N71" s="3" t="str">
        <f>VLOOKUP(Table_Sheet1[[#This Row],[Store Name]],'lojas comp prom'!B:L,11,0)</f>
        <v>SPC</v>
      </c>
    </row>
    <row r="72" spans="1:14" x14ac:dyDescent="0.2">
      <c r="A72" s="1">
        <v>46113.541666666672</v>
      </c>
      <c r="B72" s="2">
        <f>MOD(Table_Sheet1[[#This Row],[Date/Time]],1)</f>
        <v>0.54166666667151731</v>
      </c>
      <c r="C72" t="s">
        <v>73</v>
      </c>
      <c r="D72" t="s">
        <v>74</v>
      </c>
      <c r="E72" t="s">
        <v>83</v>
      </c>
      <c r="F72" t="s">
        <v>83</v>
      </c>
      <c r="G72">
        <v>2</v>
      </c>
      <c r="H72" s="3" t="str">
        <f>VLOOKUP(Table_Sheet1[[#This Row],[Device Name]],'[1]AParelhos_&amp;_LOJAS'!$C:$H,6,0)</f>
        <v>G05</v>
      </c>
      <c r="I72" s="3" t="str">
        <f>VLOOKUP(Table_Sheet1[[#This Row],[Device Name]],'[1]AParelhos_&amp;_LOJAS'!$C:$I,7,0)</f>
        <v>256 GB</v>
      </c>
      <c r="J72" s="3" t="str">
        <f>VLOOKUP(Table_Sheet1[[#This Row],[Store Name]],'lojas comp prom'!B:T,19,0)</f>
        <v>CASAS BAHIA</v>
      </c>
      <c r="K72" s="3">
        <f>VLOOKUP(Table_Sheet1[[#This Row],[Store Name]],'lojas comp prom'!B:Z,25,0)</f>
        <v>80</v>
      </c>
      <c r="L72" s="3" t="str">
        <f>VLOOKUP(Table_Sheet1[[#This Row],[Store Name]],'lojas comp prom'!B:S,18,0)</f>
        <v>Loja De Rua</v>
      </c>
      <c r="M72" s="3">
        <f>VLOOKUP(Table_Sheet1[[#This Row],[Store Name]],'lojas comp prom'!B:AA,26,0)</f>
        <v>0</v>
      </c>
      <c r="N72" s="3" t="str">
        <f>VLOOKUP(Table_Sheet1[[#This Row],[Store Name]],'lojas comp prom'!B:L,11,0)</f>
        <v>SPC</v>
      </c>
    </row>
    <row r="73" spans="1:14" x14ac:dyDescent="0.2">
      <c r="A73" s="1">
        <v>46113.541666666672</v>
      </c>
      <c r="B73" s="2">
        <f>MOD(Table_Sheet1[[#This Row],[Date/Time]],1)</f>
        <v>0.54166666667151731</v>
      </c>
      <c r="C73" t="s">
        <v>73</v>
      </c>
      <c r="D73" t="s">
        <v>74</v>
      </c>
      <c r="E73" t="s">
        <v>75</v>
      </c>
      <c r="F73" t="s">
        <v>75</v>
      </c>
      <c r="G73">
        <v>3</v>
      </c>
      <c r="H73" s="3" t="str">
        <f>VLOOKUP(Table_Sheet1[[#This Row],[Device Name]],'[1]AParelhos_&amp;_LOJAS'!$C:$H,6,0)</f>
        <v>G06</v>
      </c>
      <c r="I73" s="3" t="str">
        <f>VLOOKUP(Table_Sheet1[[#This Row],[Device Name]],'[1]AParelhos_&amp;_LOJAS'!$C:$I,7,0)</f>
        <v>128 GB</v>
      </c>
      <c r="J73" s="3" t="str">
        <f>VLOOKUP(Table_Sheet1[[#This Row],[Store Name]],'lojas comp prom'!B:T,19,0)</f>
        <v>CASAS BAHIA</v>
      </c>
      <c r="K73" s="3">
        <f>VLOOKUP(Table_Sheet1[[#This Row],[Store Name]],'lojas comp prom'!B:Z,25,0)</f>
        <v>80</v>
      </c>
      <c r="L73" s="3" t="str">
        <f>VLOOKUP(Table_Sheet1[[#This Row],[Store Name]],'lojas comp prom'!B:S,18,0)</f>
        <v>Loja De Rua</v>
      </c>
      <c r="M73" s="3">
        <f>VLOOKUP(Table_Sheet1[[#This Row],[Store Name]],'lojas comp prom'!B:AA,26,0)</f>
        <v>0</v>
      </c>
      <c r="N73" s="3" t="str">
        <f>VLOOKUP(Table_Sheet1[[#This Row],[Store Name]],'lojas comp prom'!B:L,11,0)</f>
        <v>SPC</v>
      </c>
    </row>
    <row r="74" spans="1:14" x14ac:dyDescent="0.2">
      <c r="A74" s="1">
        <v>46113.541666666672</v>
      </c>
      <c r="B74" s="2">
        <f>MOD(Table_Sheet1[[#This Row],[Date/Time]],1)</f>
        <v>0.54166666667151731</v>
      </c>
      <c r="C74" t="s">
        <v>73</v>
      </c>
      <c r="D74" t="s">
        <v>74</v>
      </c>
      <c r="E74" t="s">
        <v>84</v>
      </c>
      <c r="F74" t="s">
        <v>84</v>
      </c>
      <c r="G74">
        <v>1</v>
      </c>
      <c r="H74" s="3" t="str">
        <f>VLOOKUP(Table_Sheet1[[#This Row],[Device Name]],'[1]AParelhos_&amp;_LOJAS'!$C:$H,6,0)</f>
        <v>G06</v>
      </c>
      <c r="I74" s="3" t="str">
        <f>VLOOKUP(Table_Sheet1[[#This Row],[Device Name]],'[1]AParelhos_&amp;_LOJAS'!$C:$I,7,0)</f>
        <v>256 GB</v>
      </c>
      <c r="J74" s="3" t="str">
        <f>VLOOKUP(Table_Sheet1[[#This Row],[Store Name]],'lojas comp prom'!B:T,19,0)</f>
        <v>CASAS BAHIA</v>
      </c>
      <c r="K74" s="3">
        <f>VLOOKUP(Table_Sheet1[[#This Row],[Store Name]],'lojas comp prom'!B:Z,25,0)</f>
        <v>80</v>
      </c>
      <c r="L74" s="3" t="str">
        <f>VLOOKUP(Table_Sheet1[[#This Row],[Store Name]],'lojas comp prom'!B:S,18,0)</f>
        <v>Loja De Rua</v>
      </c>
      <c r="M74" s="3">
        <f>VLOOKUP(Table_Sheet1[[#This Row],[Store Name]],'lojas comp prom'!B:AA,26,0)</f>
        <v>0</v>
      </c>
      <c r="N74" s="3" t="str">
        <f>VLOOKUP(Table_Sheet1[[#This Row],[Store Name]],'lojas comp prom'!B:L,11,0)</f>
        <v>SPC</v>
      </c>
    </row>
    <row r="75" spans="1:14" x14ac:dyDescent="0.2">
      <c r="A75" s="1">
        <v>46113.541666666672</v>
      </c>
      <c r="B75" s="2">
        <f>MOD(Table_Sheet1[[#This Row],[Date/Time]],1)</f>
        <v>0.54166666667151731</v>
      </c>
      <c r="C75" t="s">
        <v>73</v>
      </c>
      <c r="D75" t="s">
        <v>74</v>
      </c>
      <c r="E75" t="s">
        <v>76</v>
      </c>
      <c r="F75" t="s">
        <v>76</v>
      </c>
      <c r="G75">
        <v>1</v>
      </c>
      <c r="H75" s="3" t="str">
        <f>VLOOKUP(Table_Sheet1[[#This Row],[Device Name]],'[1]AParelhos_&amp;_LOJAS'!$C:$H,6,0)</f>
        <v>G15</v>
      </c>
      <c r="I75" s="3" t="str">
        <f>VLOOKUP(Table_Sheet1[[#This Row],[Device Name]],'[1]AParelhos_&amp;_LOJAS'!$C:$I,7,0)</f>
        <v>256 GB</v>
      </c>
      <c r="J75" s="3" t="str">
        <f>VLOOKUP(Table_Sheet1[[#This Row],[Store Name]],'lojas comp prom'!B:T,19,0)</f>
        <v>CASAS BAHIA</v>
      </c>
      <c r="K75" s="3">
        <f>VLOOKUP(Table_Sheet1[[#This Row],[Store Name]],'lojas comp prom'!B:Z,25,0)</f>
        <v>80</v>
      </c>
      <c r="L75" s="3" t="str">
        <f>VLOOKUP(Table_Sheet1[[#This Row],[Store Name]],'lojas comp prom'!B:S,18,0)</f>
        <v>Loja De Rua</v>
      </c>
      <c r="M75" s="3">
        <f>VLOOKUP(Table_Sheet1[[#This Row],[Store Name]],'lojas comp prom'!B:AA,26,0)</f>
        <v>0</v>
      </c>
      <c r="N75" s="3" t="str">
        <f>VLOOKUP(Table_Sheet1[[#This Row],[Store Name]],'lojas comp prom'!B:L,11,0)</f>
        <v>SPC</v>
      </c>
    </row>
    <row r="76" spans="1:14" x14ac:dyDescent="0.2">
      <c r="A76" s="1">
        <v>46113.541666666672</v>
      </c>
      <c r="B76" s="2">
        <f>MOD(Table_Sheet1[[#This Row],[Date/Time]],1)</f>
        <v>0.54166666667151731</v>
      </c>
      <c r="C76" t="s">
        <v>73</v>
      </c>
      <c r="D76" t="s">
        <v>74</v>
      </c>
      <c r="E76" t="s">
        <v>85</v>
      </c>
      <c r="F76" t="s">
        <v>85</v>
      </c>
      <c r="G76">
        <v>1</v>
      </c>
      <c r="H76" s="3" t="str">
        <f>VLOOKUP(Table_Sheet1[[#This Row],[Device Name]],'[1]AParelhos_&amp;_LOJAS'!$C:$H,6,0)</f>
        <v>G17</v>
      </c>
      <c r="I76" s="3" t="str">
        <f>VLOOKUP(Table_Sheet1[[#This Row],[Device Name]],'[1]AParelhos_&amp;_LOJAS'!$C:$I,7,0)</f>
        <v>256 GB</v>
      </c>
      <c r="J76" s="3" t="str">
        <f>VLOOKUP(Table_Sheet1[[#This Row],[Store Name]],'lojas comp prom'!B:T,19,0)</f>
        <v>CASAS BAHIA</v>
      </c>
      <c r="K76" s="3">
        <f>VLOOKUP(Table_Sheet1[[#This Row],[Store Name]],'lojas comp prom'!B:Z,25,0)</f>
        <v>80</v>
      </c>
      <c r="L76" s="3" t="str">
        <f>VLOOKUP(Table_Sheet1[[#This Row],[Store Name]],'lojas comp prom'!B:S,18,0)</f>
        <v>Loja De Rua</v>
      </c>
      <c r="M76" s="3">
        <f>VLOOKUP(Table_Sheet1[[#This Row],[Store Name]],'lojas comp prom'!B:AA,26,0)</f>
        <v>0</v>
      </c>
      <c r="N76" s="3" t="str">
        <f>VLOOKUP(Table_Sheet1[[#This Row],[Store Name]],'lojas comp prom'!B:L,11,0)</f>
        <v>SPC</v>
      </c>
    </row>
    <row r="77" spans="1:14" x14ac:dyDescent="0.2">
      <c r="A77" s="1">
        <v>46113.541666666672</v>
      </c>
      <c r="B77" s="2">
        <f>MOD(Table_Sheet1[[#This Row],[Date/Time]],1)</f>
        <v>0.54166666667151731</v>
      </c>
      <c r="C77" t="s">
        <v>73</v>
      </c>
      <c r="D77" t="s">
        <v>74</v>
      </c>
      <c r="E77" t="s">
        <v>88</v>
      </c>
      <c r="F77" t="s">
        <v>88</v>
      </c>
      <c r="G77">
        <v>2</v>
      </c>
      <c r="H77" s="3" t="str">
        <f>VLOOKUP(Table_Sheet1[[#This Row],[Device Name]],'[1]AParelhos_&amp;_LOJAS'!$C:$H,6,0)</f>
        <v>G35</v>
      </c>
      <c r="I77" s="3" t="str">
        <f>VLOOKUP(Table_Sheet1[[#This Row],[Device Name]],'[1]AParelhos_&amp;_LOJAS'!$C:$I,7,0)</f>
        <v>256 GB</v>
      </c>
      <c r="J77" s="3" t="str">
        <f>VLOOKUP(Table_Sheet1[[#This Row],[Store Name]],'lojas comp prom'!B:T,19,0)</f>
        <v>CASAS BAHIA</v>
      </c>
      <c r="K77" s="3">
        <f>VLOOKUP(Table_Sheet1[[#This Row],[Store Name]],'lojas comp prom'!B:Z,25,0)</f>
        <v>80</v>
      </c>
      <c r="L77" s="3" t="str">
        <f>VLOOKUP(Table_Sheet1[[#This Row],[Store Name]],'lojas comp prom'!B:S,18,0)</f>
        <v>Loja De Rua</v>
      </c>
      <c r="M77" s="3">
        <f>VLOOKUP(Table_Sheet1[[#This Row],[Store Name]],'lojas comp prom'!B:AA,26,0)</f>
        <v>0</v>
      </c>
      <c r="N77" s="3" t="str">
        <f>VLOOKUP(Table_Sheet1[[#This Row],[Store Name]],'lojas comp prom'!B:L,11,0)</f>
        <v>SPC</v>
      </c>
    </row>
    <row r="78" spans="1:14" x14ac:dyDescent="0.2">
      <c r="A78" s="1">
        <v>46113.541666666672</v>
      </c>
      <c r="B78" s="2">
        <f>MOD(Table_Sheet1[[#This Row],[Date/Time]],1)</f>
        <v>0.54166666667151731</v>
      </c>
      <c r="C78" t="s">
        <v>73</v>
      </c>
      <c r="D78" t="s">
        <v>74</v>
      </c>
      <c r="E78" t="s">
        <v>77</v>
      </c>
      <c r="F78" t="s">
        <v>77</v>
      </c>
      <c r="G78">
        <v>1</v>
      </c>
      <c r="H78" s="3" t="str">
        <f>VLOOKUP(Table_Sheet1[[#This Row],[Device Name]],'[1]AParelhos_&amp;_LOJAS'!$C:$H,6,0)</f>
        <v>G56</v>
      </c>
      <c r="I78" s="3" t="str">
        <f>VLOOKUP(Table_Sheet1[[#This Row],[Device Name]],'[1]AParelhos_&amp;_LOJAS'!$C:$I,7,0)</f>
        <v>256 GB</v>
      </c>
      <c r="J78" s="3" t="str">
        <f>VLOOKUP(Table_Sheet1[[#This Row],[Store Name]],'lojas comp prom'!B:T,19,0)</f>
        <v>CASAS BAHIA</v>
      </c>
      <c r="K78" s="3">
        <f>VLOOKUP(Table_Sheet1[[#This Row],[Store Name]],'lojas comp prom'!B:Z,25,0)</f>
        <v>80</v>
      </c>
      <c r="L78" s="3" t="str">
        <f>VLOOKUP(Table_Sheet1[[#This Row],[Store Name]],'lojas comp prom'!B:S,18,0)</f>
        <v>Loja De Rua</v>
      </c>
      <c r="M78" s="3">
        <f>VLOOKUP(Table_Sheet1[[#This Row],[Store Name]],'lojas comp prom'!B:AA,26,0)</f>
        <v>0</v>
      </c>
      <c r="N78" s="3" t="str">
        <f>VLOOKUP(Table_Sheet1[[#This Row],[Store Name]],'lojas comp prom'!B:L,11,0)</f>
        <v>SPC</v>
      </c>
    </row>
    <row r="79" spans="1:14" x14ac:dyDescent="0.2">
      <c r="A79" s="1">
        <v>46113.541666666672</v>
      </c>
      <c r="B79" s="2">
        <f>MOD(Table_Sheet1[[#This Row],[Date/Time]],1)</f>
        <v>0.54166666667151731</v>
      </c>
      <c r="C79" t="s">
        <v>73</v>
      </c>
      <c r="D79" t="s">
        <v>74</v>
      </c>
      <c r="E79" t="s">
        <v>78</v>
      </c>
      <c r="F79" t="s">
        <v>78</v>
      </c>
      <c r="G79">
        <v>1</v>
      </c>
      <c r="H79" s="3" t="str">
        <f>VLOOKUP(Table_Sheet1[[#This Row],[Device Name]],'[1]AParelhos_&amp;_LOJAS'!$C:$H,6,0)</f>
        <v>G75</v>
      </c>
      <c r="I79" s="3" t="str">
        <f>VLOOKUP(Table_Sheet1[[#This Row],[Device Name]],'[1]AParelhos_&amp;_LOJAS'!$C:$I,7,0)</f>
        <v>256 GB</v>
      </c>
      <c r="J79" s="3" t="str">
        <f>VLOOKUP(Table_Sheet1[[#This Row],[Store Name]],'lojas comp prom'!B:T,19,0)</f>
        <v>CASAS BAHIA</v>
      </c>
      <c r="K79" s="3">
        <f>VLOOKUP(Table_Sheet1[[#This Row],[Store Name]],'lojas comp prom'!B:Z,25,0)</f>
        <v>80</v>
      </c>
      <c r="L79" s="3" t="str">
        <f>VLOOKUP(Table_Sheet1[[#This Row],[Store Name]],'lojas comp prom'!B:S,18,0)</f>
        <v>Loja De Rua</v>
      </c>
      <c r="M79" s="3">
        <f>VLOOKUP(Table_Sheet1[[#This Row],[Store Name]],'lojas comp prom'!B:AA,26,0)</f>
        <v>0</v>
      </c>
      <c r="N79" s="3" t="str">
        <f>VLOOKUP(Table_Sheet1[[#This Row],[Store Name]],'lojas comp prom'!B:L,11,0)</f>
        <v>SPC</v>
      </c>
    </row>
    <row r="80" spans="1:14" x14ac:dyDescent="0.2">
      <c r="A80" s="1">
        <v>46113.541666666672</v>
      </c>
      <c r="B80" s="2">
        <f>MOD(Table_Sheet1[[#This Row],[Date/Time]],1)</f>
        <v>0.54166666667151731</v>
      </c>
      <c r="C80" t="s">
        <v>73</v>
      </c>
      <c r="D80" t="s">
        <v>74</v>
      </c>
      <c r="E80" t="s">
        <v>79</v>
      </c>
      <c r="F80" t="s">
        <v>79</v>
      </c>
      <c r="G80">
        <v>1</v>
      </c>
      <c r="H80" s="3" t="str">
        <f>VLOOKUP(Table_Sheet1[[#This Row],[Device Name]],'[1]AParelhos_&amp;_LOJAS'!$C:$H,6,0)</f>
        <v>G86</v>
      </c>
      <c r="I80" s="3" t="str">
        <f>VLOOKUP(Table_Sheet1[[#This Row],[Device Name]],'[1]AParelhos_&amp;_LOJAS'!$C:$I,7,0)</f>
        <v>256 GB</v>
      </c>
      <c r="J80" s="3" t="str">
        <f>VLOOKUP(Table_Sheet1[[#This Row],[Store Name]],'lojas comp prom'!B:T,19,0)</f>
        <v>CASAS BAHIA</v>
      </c>
      <c r="K80" s="3">
        <f>VLOOKUP(Table_Sheet1[[#This Row],[Store Name]],'lojas comp prom'!B:Z,25,0)</f>
        <v>80</v>
      </c>
      <c r="L80" s="3" t="str">
        <f>VLOOKUP(Table_Sheet1[[#This Row],[Store Name]],'lojas comp prom'!B:S,18,0)</f>
        <v>Loja De Rua</v>
      </c>
      <c r="M80" s="3">
        <f>VLOOKUP(Table_Sheet1[[#This Row],[Store Name]],'lojas comp prom'!B:AA,26,0)</f>
        <v>0</v>
      </c>
      <c r="N80" s="3" t="str">
        <f>VLOOKUP(Table_Sheet1[[#This Row],[Store Name]],'lojas comp prom'!B:L,11,0)</f>
        <v>SPC</v>
      </c>
    </row>
    <row r="81" spans="1:14" x14ac:dyDescent="0.2">
      <c r="A81" s="1">
        <v>46113.541666666672</v>
      </c>
      <c r="B81" s="2">
        <f>MOD(Table_Sheet1[[#This Row],[Date/Time]],1)</f>
        <v>0.54166666667151731</v>
      </c>
      <c r="C81" t="s">
        <v>73</v>
      </c>
      <c r="D81" t="s">
        <v>74</v>
      </c>
      <c r="E81" t="s">
        <v>86</v>
      </c>
      <c r="F81" t="s">
        <v>86</v>
      </c>
      <c r="G81">
        <v>7</v>
      </c>
      <c r="H81" s="3" t="str">
        <f>VLOOKUP(Table_Sheet1[[#This Row],[Device Name]],'[1]AParelhos_&amp;_LOJAS'!$C:$H,6,0)</f>
        <v>G86</v>
      </c>
      <c r="I81" s="3" t="str">
        <f>VLOOKUP(Table_Sheet1[[#This Row],[Device Name]],'[1]AParelhos_&amp;_LOJAS'!$C:$I,7,0)</f>
        <v>512 GB</v>
      </c>
      <c r="J81" s="3" t="str">
        <f>VLOOKUP(Table_Sheet1[[#This Row],[Store Name]],'lojas comp prom'!B:T,19,0)</f>
        <v>CASAS BAHIA</v>
      </c>
      <c r="K81" s="3">
        <f>VLOOKUP(Table_Sheet1[[#This Row],[Store Name]],'lojas comp prom'!B:Z,25,0)</f>
        <v>80</v>
      </c>
      <c r="L81" s="3" t="str">
        <f>VLOOKUP(Table_Sheet1[[#This Row],[Store Name]],'lojas comp prom'!B:S,18,0)</f>
        <v>Loja De Rua</v>
      </c>
      <c r="M81" s="3">
        <f>VLOOKUP(Table_Sheet1[[#This Row],[Store Name]],'lojas comp prom'!B:AA,26,0)</f>
        <v>0</v>
      </c>
      <c r="N81" s="3" t="str">
        <f>VLOOKUP(Table_Sheet1[[#This Row],[Store Name]],'lojas comp prom'!B:L,11,0)</f>
        <v>SPC</v>
      </c>
    </row>
    <row r="82" spans="1:14" x14ac:dyDescent="0.2">
      <c r="A82" s="1">
        <v>46113.541666666672</v>
      </c>
      <c r="B82" s="2">
        <f>MOD(Table_Sheet1[[#This Row],[Date/Time]],1)</f>
        <v>0.54166666667151731</v>
      </c>
      <c r="C82" t="s">
        <v>73</v>
      </c>
      <c r="D82" t="s">
        <v>74</v>
      </c>
      <c r="E82" t="s">
        <v>87</v>
      </c>
      <c r="F82" t="s">
        <v>87</v>
      </c>
      <c r="G82">
        <v>1</v>
      </c>
      <c r="H82" s="3" t="str">
        <f>VLOOKUP(Table_Sheet1[[#This Row],[Device Name]],'[1]AParelhos_&amp;_LOJAS'!$C:$H,6,0)</f>
        <v xml:space="preserve">Razr 60 Ultra </v>
      </c>
      <c r="I82" s="3" t="str">
        <f>VLOOKUP(Table_Sheet1[[#This Row],[Device Name]],'[1]AParelhos_&amp;_LOJAS'!$C:$I,7,0)</f>
        <v>1TB</v>
      </c>
      <c r="J82" s="3" t="str">
        <f>VLOOKUP(Table_Sheet1[[#This Row],[Store Name]],'lojas comp prom'!B:T,19,0)</f>
        <v>CASAS BAHIA</v>
      </c>
      <c r="K82" s="3">
        <f>VLOOKUP(Table_Sheet1[[#This Row],[Store Name]],'lojas comp prom'!B:Z,25,0)</f>
        <v>80</v>
      </c>
      <c r="L82" s="3" t="str">
        <f>VLOOKUP(Table_Sheet1[[#This Row],[Store Name]],'lojas comp prom'!B:S,18,0)</f>
        <v>Loja De Rua</v>
      </c>
      <c r="M82" s="3">
        <f>VLOOKUP(Table_Sheet1[[#This Row],[Store Name]],'lojas comp prom'!B:AA,26,0)</f>
        <v>0</v>
      </c>
      <c r="N82" s="3" t="str">
        <f>VLOOKUP(Table_Sheet1[[#This Row],[Store Name]],'lojas comp prom'!B:L,11,0)</f>
        <v>SPC</v>
      </c>
    </row>
    <row r="83" spans="1:14" x14ac:dyDescent="0.2">
      <c r="A83" s="1">
        <v>46113.541666666672</v>
      </c>
      <c r="B83" s="2">
        <f>MOD(Table_Sheet1[[#This Row],[Date/Time]],1)</f>
        <v>0.54166666667151731</v>
      </c>
      <c r="C83" t="s">
        <v>53</v>
      </c>
      <c r="D83" t="s">
        <v>54</v>
      </c>
      <c r="E83" t="s">
        <v>57</v>
      </c>
      <c r="F83" t="s">
        <v>57</v>
      </c>
      <c r="G83">
        <v>1</v>
      </c>
      <c r="H83" s="3" t="s">
        <v>34</v>
      </c>
      <c r="I83" s="3" t="s">
        <v>35</v>
      </c>
      <c r="J83" s="3" t="str">
        <f>VLOOKUP(Table_Sheet1[[#This Row],[Store Name]],'lojas comp prom'!B:T,19,0)</f>
        <v>CASAS BAHIA</v>
      </c>
      <c r="K83" s="3">
        <f>VLOOKUP(Table_Sheet1[[#This Row],[Store Name]],'lojas comp prom'!B:Z,25,0)</f>
        <v>80</v>
      </c>
      <c r="L83" s="3" t="str">
        <f>VLOOKUP(Table_Sheet1[[#This Row],[Store Name]],'lojas comp prom'!B:S,18,0)</f>
        <v>Loja De Rua</v>
      </c>
      <c r="M83" s="3">
        <f>VLOOKUP(Table_Sheet1[[#This Row],[Store Name]],'lojas comp prom'!B:AA,26,0)</f>
        <v>0</v>
      </c>
      <c r="N83" s="3" t="str">
        <f>VLOOKUP(Table_Sheet1[[#This Row],[Store Name]],'lojas comp prom'!B:L,11,0)</f>
        <v>SPC</v>
      </c>
    </row>
    <row r="84" spans="1:14" x14ac:dyDescent="0.2">
      <c r="A84" s="1">
        <v>46113.541666666672</v>
      </c>
      <c r="B84" s="2">
        <f>MOD(Table_Sheet1[[#This Row],[Date/Time]],1)</f>
        <v>0.54166666667151731</v>
      </c>
      <c r="C84" t="s">
        <v>53</v>
      </c>
      <c r="D84" t="s">
        <v>54</v>
      </c>
      <c r="E84" t="s">
        <v>66</v>
      </c>
      <c r="F84" t="s">
        <v>66</v>
      </c>
      <c r="G84">
        <v>1</v>
      </c>
      <c r="H84" s="3" t="str">
        <f>VLOOKUP(Table_Sheet1[[#This Row],[Device Name]],'[1]AParelhos_&amp;_LOJAS'!$C:$H,6,0)</f>
        <v>G06</v>
      </c>
      <c r="I84" s="3" t="str">
        <f>VLOOKUP(Table_Sheet1[[#This Row],[Device Name]],'[1]AParelhos_&amp;_LOJAS'!$C:$I,7,0)</f>
        <v>128 GB</v>
      </c>
      <c r="J84" s="3" t="str">
        <f>VLOOKUP(Table_Sheet1[[#This Row],[Store Name]],'lojas comp prom'!B:T,19,0)</f>
        <v>CASAS BAHIA</v>
      </c>
      <c r="K84" s="3">
        <f>VLOOKUP(Table_Sheet1[[#This Row],[Store Name]],'lojas comp prom'!B:Z,25,0)</f>
        <v>80</v>
      </c>
      <c r="L84" s="3" t="str">
        <f>VLOOKUP(Table_Sheet1[[#This Row],[Store Name]],'lojas comp prom'!B:S,18,0)</f>
        <v>Loja De Rua</v>
      </c>
      <c r="M84" s="3">
        <f>VLOOKUP(Table_Sheet1[[#This Row],[Store Name]],'lojas comp prom'!B:AA,26,0)</f>
        <v>0</v>
      </c>
      <c r="N84" s="3" t="str">
        <f>VLOOKUP(Table_Sheet1[[#This Row],[Store Name]],'lojas comp prom'!B:L,11,0)</f>
        <v>SPC</v>
      </c>
    </row>
    <row r="85" spans="1:14" x14ac:dyDescent="0.2">
      <c r="A85" s="1">
        <v>46113.541666666672</v>
      </c>
      <c r="B85" s="2">
        <f>MOD(Table_Sheet1[[#This Row],[Date/Time]],1)</f>
        <v>0.54166666667151731</v>
      </c>
      <c r="C85" t="s">
        <v>53</v>
      </c>
      <c r="D85" t="s">
        <v>54</v>
      </c>
      <c r="E85" t="s">
        <v>60</v>
      </c>
      <c r="F85" t="s">
        <v>60</v>
      </c>
      <c r="G85">
        <v>2</v>
      </c>
      <c r="H85" s="3" t="str">
        <f>VLOOKUP(Table_Sheet1[[#This Row],[Device Name]],'[1]AParelhos_&amp;_LOJAS'!$C:$H,6,0)</f>
        <v>G17</v>
      </c>
      <c r="I85" s="3" t="str">
        <f>VLOOKUP(Table_Sheet1[[#This Row],[Device Name]],'[1]AParelhos_&amp;_LOJAS'!$C:$I,7,0)</f>
        <v>256 GB</v>
      </c>
      <c r="J85" s="3" t="str">
        <f>VLOOKUP(Table_Sheet1[[#This Row],[Store Name]],'lojas comp prom'!B:T,19,0)</f>
        <v>CASAS BAHIA</v>
      </c>
      <c r="K85" s="3">
        <f>VLOOKUP(Table_Sheet1[[#This Row],[Store Name]],'lojas comp prom'!B:Z,25,0)</f>
        <v>80</v>
      </c>
      <c r="L85" s="3" t="str">
        <f>VLOOKUP(Table_Sheet1[[#This Row],[Store Name]],'lojas comp prom'!B:S,18,0)</f>
        <v>Loja De Rua</v>
      </c>
      <c r="M85" s="3">
        <f>VLOOKUP(Table_Sheet1[[#This Row],[Store Name]],'lojas comp prom'!B:AA,26,0)</f>
        <v>0</v>
      </c>
      <c r="N85" s="3" t="str">
        <f>VLOOKUP(Table_Sheet1[[#This Row],[Store Name]],'lojas comp prom'!B:L,11,0)</f>
        <v>SPC</v>
      </c>
    </row>
    <row r="86" spans="1:14" x14ac:dyDescent="0.2">
      <c r="A86" s="1">
        <v>46113.541666666672</v>
      </c>
      <c r="B86" s="2">
        <f>MOD(Table_Sheet1[[#This Row],[Date/Time]],1)</f>
        <v>0.54166666667151731</v>
      </c>
      <c r="C86" t="s">
        <v>53</v>
      </c>
      <c r="D86" t="s">
        <v>54</v>
      </c>
      <c r="E86" t="s">
        <v>64</v>
      </c>
      <c r="F86" t="s">
        <v>64</v>
      </c>
      <c r="G86">
        <v>1</v>
      </c>
      <c r="H86" s="3" t="str">
        <f>VLOOKUP(Table_Sheet1[[#This Row],[Device Name]],'[1]AParelhos_&amp;_LOJAS'!$C:$H,6,0)</f>
        <v>G75</v>
      </c>
      <c r="I86" s="3" t="str">
        <f>VLOOKUP(Table_Sheet1[[#This Row],[Device Name]],'[1]AParelhos_&amp;_LOJAS'!$C:$I,7,0)</f>
        <v>256 GB</v>
      </c>
      <c r="J86" s="3" t="str">
        <f>VLOOKUP(Table_Sheet1[[#This Row],[Store Name]],'lojas comp prom'!B:T,19,0)</f>
        <v>CASAS BAHIA</v>
      </c>
      <c r="K86" s="3">
        <f>VLOOKUP(Table_Sheet1[[#This Row],[Store Name]],'lojas comp prom'!B:Z,25,0)</f>
        <v>80</v>
      </c>
      <c r="L86" s="3" t="str">
        <f>VLOOKUP(Table_Sheet1[[#This Row],[Store Name]],'lojas comp prom'!B:S,18,0)</f>
        <v>Loja De Rua</v>
      </c>
      <c r="M86" s="3">
        <f>VLOOKUP(Table_Sheet1[[#This Row],[Store Name]],'lojas comp prom'!B:AA,26,0)</f>
        <v>0</v>
      </c>
      <c r="N86" s="3" t="str">
        <f>VLOOKUP(Table_Sheet1[[#This Row],[Store Name]],'lojas comp prom'!B:L,11,0)</f>
        <v>SPC</v>
      </c>
    </row>
    <row r="87" spans="1:14" x14ac:dyDescent="0.2">
      <c r="A87" s="1">
        <v>46113.541666666672</v>
      </c>
      <c r="B87" s="2">
        <f>MOD(Table_Sheet1[[#This Row],[Date/Time]],1)</f>
        <v>0.54166666667151731</v>
      </c>
      <c r="C87" t="s">
        <v>53</v>
      </c>
      <c r="D87" t="s">
        <v>54</v>
      </c>
      <c r="E87" t="s">
        <v>65</v>
      </c>
      <c r="F87" t="s">
        <v>65</v>
      </c>
      <c r="G87">
        <v>2</v>
      </c>
      <c r="H87" s="3" t="str">
        <f>VLOOKUP(Table_Sheet1[[#This Row],[Device Name]],'[1]AParelhos_&amp;_LOJAS'!$C:$H,6,0)</f>
        <v>G86</v>
      </c>
      <c r="I87" s="3" t="str">
        <f>VLOOKUP(Table_Sheet1[[#This Row],[Device Name]],'[1]AParelhos_&amp;_LOJAS'!$C:$I,7,0)</f>
        <v>256 GB</v>
      </c>
      <c r="J87" s="3" t="str">
        <f>VLOOKUP(Table_Sheet1[[#This Row],[Store Name]],'lojas comp prom'!B:T,19,0)</f>
        <v>CASAS BAHIA</v>
      </c>
      <c r="K87" s="3">
        <f>VLOOKUP(Table_Sheet1[[#This Row],[Store Name]],'lojas comp prom'!B:Z,25,0)</f>
        <v>80</v>
      </c>
      <c r="L87" s="3" t="str">
        <f>VLOOKUP(Table_Sheet1[[#This Row],[Store Name]],'lojas comp prom'!B:S,18,0)</f>
        <v>Loja De Rua</v>
      </c>
      <c r="M87" s="3">
        <f>VLOOKUP(Table_Sheet1[[#This Row],[Store Name]],'lojas comp prom'!B:AA,26,0)</f>
        <v>0</v>
      </c>
      <c r="N87" s="3" t="str">
        <f>VLOOKUP(Table_Sheet1[[#This Row],[Store Name]],'lojas comp prom'!B:L,11,0)</f>
        <v>SPC</v>
      </c>
    </row>
    <row r="88" spans="1:14" x14ac:dyDescent="0.2">
      <c r="A88" s="1">
        <v>46113.541666666672</v>
      </c>
      <c r="B88" s="2">
        <f>MOD(Table_Sheet1[[#This Row],[Date/Time]],1)</f>
        <v>0.54166666667151731</v>
      </c>
      <c r="C88" t="s">
        <v>8</v>
      </c>
      <c r="D88" t="s">
        <v>9</v>
      </c>
      <c r="E88" t="s">
        <v>17</v>
      </c>
      <c r="F88" t="s">
        <v>17</v>
      </c>
      <c r="G88">
        <v>2</v>
      </c>
      <c r="H88" s="3" t="str">
        <f>VLOOKUP(Table_Sheet1[[#This Row],[Device Name]],'[1]AParelhos_&amp;_LOJAS'!$C:$H,6,0)</f>
        <v xml:space="preserve">Edge 60 Fusion </v>
      </c>
      <c r="I88" s="3" t="str">
        <f>VLOOKUP(Table_Sheet1[[#This Row],[Device Name]],'[1]AParelhos_&amp;_LOJAS'!$C:$I,7,0)</f>
        <v>256 GB</v>
      </c>
      <c r="J88" s="3" t="str">
        <f>VLOOKUP(Table_Sheet1[[#This Row],[Store Name]],'lojas comp prom'!B:T,19,0)</f>
        <v>PONTO FRIO</v>
      </c>
      <c r="K88" s="3">
        <f>VLOOKUP(Table_Sheet1[[#This Row],[Store Name]],'lojas comp prom'!B:Z,25,0)</f>
        <v>80</v>
      </c>
      <c r="L88" s="3" t="str">
        <f>VLOOKUP(Table_Sheet1[[#This Row],[Store Name]],'lojas comp prom'!B:S,18,0)</f>
        <v>Shopping Interlagos</v>
      </c>
      <c r="M88" s="3">
        <f>VLOOKUP(Table_Sheet1[[#This Row],[Store Name]],'lojas comp prom'!B:AA,26,0)</f>
        <v>0</v>
      </c>
      <c r="N88" s="3" t="str">
        <f>VLOOKUP(Table_Sheet1[[#This Row],[Store Name]],'lojas comp prom'!B:L,11,0)</f>
        <v>SPC</v>
      </c>
    </row>
    <row r="89" spans="1:14" x14ac:dyDescent="0.2">
      <c r="A89" s="1">
        <v>46113.541666666672</v>
      </c>
      <c r="B89" s="2">
        <f>MOD(Table_Sheet1[[#This Row],[Date/Time]],1)</f>
        <v>0.54166666667151731</v>
      </c>
      <c r="C89" t="s">
        <v>8</v>
      </c>
      <c r="D89" t="s">
        <v>9</v>
      </c>
      <c r="E89" t="s">
        <v>11</v>
      </c>
      <c r="F89" t="s">
        <v>11</v>
      </c>
      <c r="G89">
        <v>5</v>
      </c>
      <c r="H89" s="3" t="str">
        <f>VLOOKUP(Table_Sheet1[[#This Row],[Device Name]],'[1]AParelhos_&amp;_LOJAS'!$C:$H,6,0)</f>
        <v>G06</v>
      </c>
      <c r="I89" s="3" t="str">
        <f>VLOOKUP(Table_Sheet1[[#This Row],[Device Name]],'[1]AParelhos_&amp;_LOJAS'!$C:$I,7,0)</f>
        <v>128 GB</v>
      </c>
      <c r="J89" s="3" t="str">
        <f>VLOOKUP(Table_Sheet1[[#This Row],[Store Name]],'lojas comp prom'!B:T,19,0)</f>
        <v>PONTO FRIO</v>
      </c>
      <c r="K89" s="3">
        <f>VLOOKUP(Table_Sheet1[[#This Row],[Store Name]],'lojas comp prom'!B:Z,25,0)</f>
        <v>80</v>
      </c>
      <c r="L89" s="3" t="str">
        <f>VLOOKUP(Table_Sheet1[[#This Row],[Store Name]],'lojas comp prom'!B:S,18,0)</f>
        <v>Shopping Interlagos</v>
      </c>
      <c r="M89" s="3">
        <f>VLOOKUP(Table_Sheet1[[#This Row],[Store Name]],'lojas comp prom'!B:AA,26,0)</f>
        <v>0</v>
      </c>
      <c r="N89" s="3" t="str">
        <f>VLOOKUP(Table_Sheet1[[#This Row],[Store Name]],'lojas comp prom'!B:L,11,0)</f>
        <v>SPC</v>
      </c>
    </row>
    <row r="90" spans="1:14" x14ac:dyDescent="0.2">
      <c r="A90" s="1">
        <v>46113.541666666672</v>
      </c>
      <c r="B90" s="2">
        <f>MOD(Table_Sheet1[[#This Row],[Date/Time]],1)</f>
        <v>0.54166666667151731</v>
      </c>
      <c r="C90" t="s">
        <v>8</v>
      </c>
      <c r="D90" t="s">
        <v>9</v>
      </c>
      <c r="E90" t="s">
        <v>12</v>
      </c>
      <c r="F90" t="s">
        <v>12</v>
      </c>
      <c r="G90">
        <v>1</v>
      </c>
      <c r="H90" s="3" t="str">
        <f>VLOOKUP(Table_Sheet1[[#This Row],[Device Name]],'[1]AParelhos_&amp;_LOJAS'!$C:$H,6,0)</f>
        <v>G15</v>
      </c>
      <c r="I90" s="3" t="str">
        <f>VLOOKUP(Table_Sheet1[[#This Row],[Device Name]],'[1]AParelhos_&amp;_LOJAS'!$C:$I,7,0)</f>
        <v>256 GB</v>
      </c>
      <c r="J90" s="3" t="str">
        <f>VLOOKUP(Table_Sheet1[[#This Row],[Store Name]],'lojas comp prom'!B:T,19,0)</f>
        <v>PONTO FRIO</v>
      </c>
      <c r="K90" s="3">
        <f>VLOOKUP(Table_Sheet1[[#This Row],[Store Name]],'lojas comp prom'!B:Z,25,0)</f>
        <v>80</v>
      </c>
      <c r="L90" s="3" t="str">
        <f>VLOOKUP(Table_Sheet1[[#This Row],[Store Name]],'lojas comp prom'!B:S,18,0)</f>
        <v>Shopping Interlagos</v>
      </c>
      <c r="M90" s="3">
        <f>VLOOKUP(Table_Sheet1[[#This Row],[Store Name]],'lojas comp prom'!B:AA,26,0)</f>
        <v>0</v>
      </c>
      <c r="N90" s="3" t="str">
        <f>VLOOKUP(Table_Sheet1[[#This Row],[Store Name]],'lojas comp prom'!B:L,11,0)</f>
        <v>SPC</v>
      </c>
    </row>
    <row r="91" spans="1:14" x14ac:dyDescent="0.2">
      <c r="A91" s="1">
        <v>46113.541666666672</v>
      </c>
      <c r="B91" s="2">
        <f>MOD(Table_Sheet1[[#This Row],[Date/Time]],1)</f>
        <v>0.54166666667151731</v>
      </c>
      <c r="C91" t="s">
        <v>8</v>
      </c>
      <c r="D91" t="s">
        <v>9</v>
      </c>
      <c r="E91" t="s">
        <v>13</v>
      </c>
      <c r="F91" t="s">
        <v>13</v>
      </c>
      <c r="G91">
        <v>1</v>
      </c>
      <c r="H91" s="3" t="str">
        <f>VLOOKUP(Table_Sheet1[[#This Row],[Device Name]],'[1]AParelhos_&amp;_LOJAS'!$C:$H,6,0)</f>
        <v>G17</v>
      </c>
      <c r="I91" s="3" t="str">
        <f>VLOOKUP(Table_Sheet1[[#This Row],[Device Name]],'[1]AParelhos_&amp;_LOJAS'!$C:$I,7,0)</f>
        <v>128 GB</v>
      </c>
      <c r="J91" s="3" t="str">
        <f>VLOOKUP(Table_Sheet1[[#This Row],[Store Name]],'lojas comp prom'!B:T,19,0)</f>
        <v>PONTO FRIO</v>
      </c>
      <c r="K91" s="3">
        <f>VLOOKUP(Table_Sheet1[[#This Row],[Store Name]],'lojas comp prom'!B:Z,25,0)</f>
        <v>80</v>
      </c>
      <c r="L91" s="3" t="str">
        <f>VLOOKUP(Table_Sheet1[[#This Row],[Store Name]],'lojas comp prom'!B:S,18,0)</f>
        <v>Shopping Interlagos</v>
      </c>
      <c r="M91" s="3">
        <f>VLOOKUP(Table_Sheet1[[#This Row],[Store Name]],'lojas comp prom'!B:AA,26,0)</f>
        <v>0</v>
      </c>
      <c r="N91" s="3" t="str">
        <f>VLOOKUP(Table_Sheet1[[#This Row],[Store Name]],'lojas comp prom'!B:L,11,0)</f>
        <v>SPC</v>
      </c>
    </row>
    <row r="92" spans="1:14" x14ac:dyDescent="0.2">
      <c r="A92" s="1">
        <v>46113.541666666672</v>
      </c>
      <c r="B92" s="2">
        <f>MOD(Table_Sheet1[[#This Row],[Date/Time]],1)</f>
        <v>0.54166666667151731</v>
      </c>
      <c r="C92" t="s">
        <v>8</v>
      </c>
      <c r="D92" t="s">
        <v>9</v>
      </c>
      <c r="E92" t="s">
        <v>19</v>
      </c>
      <c r="F92" t="s">
        <v>19</v>
      </c>
      <c r="G92">
        <v>1</v>
      </c>
      <c r="H92" s="3" t="str">
        <f>VLOOKUP(Table_Sheet1[[#This Row],[Device Name]],'[1]AParelhos_&amp;_LOJAS'!$C:$H,6,0)</f>
        <v>G35</v>
      </c>
      <c r="I92" s="3" t="str">
        <f>VLOOKUP(Table_Sheet1[[#This Row],[Device Name]],'[1]AParelhos_&amp;_LOJAS'!$C:$I,7,0)</f>
        <v>256 GB</v>
      </c>
      <c r="J92" s="3" t="str">
        <f>VLOOKUP(Table_Sheet1[[#This Row],[Store Name]],'lojas comp prom'!B:T,19,0)</f>
        <v>PONTO FRIO</v>
      </c>
      <c r="K92" s="3">
        <f>VLOOKUP(Table_Sheet1[[#This Row],[Store Name]],'lojas comp prom'!B:Z,25,0)</f>
        <v>80</v>
      </c>
      <c r="L92" s="3" t="str">
        <f>VLOOKUP(Table_Sheet1[[#This Row],[Store Name]],'lojas comp prom'!B:S,18,0)</f>
        <v>Shopping Interlagos</v>
      </c>
      <c r="M92" s="3">
        <f>VLOOKUP(Table_Sheet1[[#This Row],[Store Name]],'lojas comp prom'!B:AA,26,0)</f>
        <v>0</v>
      </c>
      <c r="N92" s="3" t="str">
        <f>VLOOKUP(Table_Sheet1[[#This Row],[Store Name]],'lojas comp prom'!B:L,11,0)</f>
        <v>SPC</v>
      </c>
    </row>
    <row r="93" spans="1:14" x14ac:dyDescent="0.2">
      <c r="A93" s="1">
        <v>46113.541666666672</v>
      </c>
      <c r="B93" s="2">
        <f>MOD(Table_Sheet1[[#This Row],[Date/Time]],1)</f>
        <v>0.54166666667151731</v>
      </c>
      <c r="C93" t="s">
        <v>8</v>
      </c>
      <c r="D93" t="s">
        <v>9</v>
      </c>
      <c r="E93" t="s">
        <v>21</v>
      </c>
      <c r="F93" t="s">
        <v>21</v>
      </c>
      <c r="G93">
        <v>2</v>
      </c>
      <c r="H93" s="3" t="str">
        <f>VLOOKUP(Table_Sheet1[[#This Row],[Device Name]],'[1]AParelhos_&amp;_LOJAS'!$C:$H,6,0)</f>
        <v>G55</v>
      </c>
      <c r="I93" s="3" t="str">
        <f>VLOOKUP(Table_Sheet1[[#This Row],[Device Name]],'[1]AParelhos_&amp;_LOJAS'!$C:$I,7,0)</f>
        <v>256 GB</v>
      </c>
      <c r="J93" s="3" t="str">
        <f>VLOOKUP(Table_Sheet1[[#This Row],[Store Name]],'lojas comp prom'!B:T,19,0)</f>
        <v>PONTO FRIO</v>
      </c>
      <c r="K93" s="3">
        <f>VLOOKUP(Table_Sheet1[[#This Row],[Store Name]],'lojas comp prom'!B:Z,25,0)</f>
        <v>80</v>
      </c>
      <c r="L93" s="3" t="str">
        <f>VLOOKUP(Table_Sheet1[[#This Row],[Store Name]],'lojas comp prom'!B:S,18,0)</f>
        <v>Shopping Interlagos</v>
      </c>
      <c r="M93" s="3">
        <f>VLOOKUP(Table_Sheet1[[#This Row],[Store Name]],'lojas comp prom'!B:AA,26,0)</f>
        <v>0</v>
      </c>
      <c r="N93" s="3" t="str">
        <f>VLOOKUP(Table_Sheet1[[#This Row],[Store Name]],'lojas comp prom'!B:L,11,0)</f>
        <v>SPC</v>
      </c>
    </row>
    <row r="94" spans="1:14" x14ac:dyDescent="0.2">
      <c r="A94" s="1">
        <v>46113.541666666672</v>
      </c>
      <c r="B94" s="2">
        <f>MOD(Table_Sheet1[[#This Row],[Date/Time]],1)</f>
        <v>0.54166666667151731</v>
      </c>
      <c r="C94" t="s">
        <v>8</v>
      </c>
      <c r="D94" t="s">
        <v>9</v>
      </c>
      <c r="E94" t="s">
        <v>14</v>
      </c>
      <c r="F94" t="s">
        <v>14</v>
      </c>
      <c r="G94">
        <v>4</v>
      </c>
      <c r="H94" s="3" t="str">
        <f>VLOOKUP(Table_Sheet1[[#This Row],[Device Name]],'[1]AParelhos_&amp;_LOJAS'!$C:$H,6,0)</f>
        <v>G56</v>
      </c>
      <c r="I94" s="3" t="str">
        <f>VLOOKUP(Table_Sheet1[[#This Row],[Device Name]],'[1]AParelhos_&amp;_LOJAS'!$C:$I,7,0)</f>
        <v>256 GB</v>
      </c>
      <c r="J94" s="3" t="str">
        <f>VLOOKUP(Table_Sheet1[[#This Row],[Store Name]],'lojas comp prom'!B:T,19,0)</f>
        <v>PONTO FRIO</v>
      </c>
      <c r="K94" s="3">
        <f>VLOOKUP(Table_Sheet1[[#This Row],[Store Name]],'lojas comp prom'!B:Z,25,0)</f>
        <v>80</v>
      </c>
      <c r="L94" s="3" t="str">
        <f>VLOOKUP(Table_Sheet1[[#This Row],[Store Name]],'lojas comp prom'!B:S,18,0)</f>
        <v>Shopping Interlagos</v>
      </c>
      <c r="M94" s="3">
        <f>VLOOKUP(Table_Sheet1[[#This Row],[Store Name]],'lojas comp prom'!B:AA,26,0)</f>
        <v>0</v>
      </c>
      <c r="N94" s="3" t="str">
        <f>VLOOKUP(Table_Sheet1[[#This Row],[Store Name]],'lojas comp prom'!B:L,11,0)</f>
        <v>SPC</v>
      </c>
    </row>
    <row r="95" spans="1:14" x14ac:dyDescent="0.2">
      <c r="A95" s="1">
        <v>46113.541666666672</v>
      </c>
      <c r="B95" s="2">
        <f>MOD(Table_Sheet1[[#This Row],[Date/Time]],1)</f>
        <v>0.54166666667151731</v>
      </c>
      <c r="C95" t="s">
        <v>8</v>
      </c>
      <c r="D95" t="s">
        <v>9</v>
      </c>
      <c r="E95" t="s">
        <v>22</v>
      </c>
      <c r="F95" t="s">
        <v>22</v>
      </c>
      <c r="G95">
        <v>1</v>
      </c>
      <c r="H95" s="3" t="str">
        <f>VLOOKUP(Table_Sheet1[[#This Row],[Device Name]],'[1]AParelhos_&amp;_LOJAS'!$C:$H,6,0)</f>
        <v>G86</v>
      </c>
      <c r="I95" s="3" t="str">
        <f>VLOOKUP(Table_Sheet1[[#This Row],[Device Name]],'[1]AParelhos_&amp;_LOJAS'!$C:$I,7,0)</f>
        <v>256 GB</v>
      </c>
      <c r="J95" s="3" t="str">
        <f>VLOOKUP(Table_Sheet1[[#This Row],[Store Name]],'lojas comp prom'!B:T,19,0)</f>
        <v>PONTO FRIO</v>
      </c>
      <c r="K95" s="3">
        <f>VLOOKUP(Table_Sheet1[[#This Row],[Store Name]],'lojas comp prom'!B:Z,25,0)</f>
        <v>80</v>
      </c>
      <c r="L95" s="3" t="str">
        <f>VLOOKUP(Table_Sheet1[[#This Row],[Store Name]],'lojas comp prom'!B:S,18,0)</f>
        <v>Shopping Interlagos</v>
      </c>
      <c r="M95" s="3">
        <f>VLOOKUP(Table_Sheet1[[#This Row],[Store Name]],'lojas comp prom'!B:AA,26,0)</f>
        <v>0</v>
      </c>
      <c r="N95" s="3" t="str">
        <f>VLOOKUP(Table_Sheet1[[#This Row],[Store Name]],'lojas comp prom'!B:L,11,0)</f>
        <v>SPC</v>
      </c>
    </row>
    <row r="96" spans="1:14" x14ac:dyDescent="0.2">
      <c r="A96" s="1">
        <v>46113.541666666672</v>
      </c>
      <c r="B96" s="2">
        <f>MOD(Table_Sheet1[[#This Row],[Date/Time]],1)</f>
        <v>0.54166666667151731</v>
      </c>
      <c r="C96" t="s">
        <v>8</v>
      </c>
      <c r="D96" t="s">
        <v>9</v>
      </c>
      <c r="E96" t="s">
        <v>16</v>
      </c>
      <c r="F96" t="s">
        <v>16</v>
      </c>
      <c r="G96">
        <v>1</v>
      </c>
      <c r="H96" s="3" t="str">
        <f>VLOOKUP(Table_Sheet1[[#This Row],[Device Name]],'[1]AParelhos_&amp;_LOJAS'!$C:$H,6,0)</f>
        <v>Razr 50 Ultra</v>
      </c>
      <c r="I96" s="3" t="str">
        <f>VLOOKUP(Table_Sheet1[[#This Row],[Device Name]],'[1]AParelhos_&amp;_LOJAS'!$C:$I,7,0)</f>
        <v>512 GB</v>
      </c>
      <c r="J96" s="3" t="str">
        <f>VLOOKUP(Table_Sheet1[[#This Row],[Store Name]],'lojas comp prom'!B:T,19,0)</f>
        <v>PONTO FRIO</v>
      </c>
      <c r="K96" s="3">
        <f>VLOOKUP(Table_Sheet1[[#This Row],[Store Name]],'lojas comp prom'!B:Z,25,0)</f>
        <v>80</v>
      </c>
      <c r="L96" s="3" t="str">
        <f>VLOOKUP(Table_Sheet1[[#This Row],[Store Name]],'lojas comp prom'!B:S,18,0)</f>
        <v>Shopping Interlagos</v>
      </c>
      <c r="M96" s="3">
        <f>VLOOKUP(Table_Sheet1[[#This Row],[Store Name]],'lojas comp prom'!B:AA,26,0)</f>
        <v>0</v>
      </c>
      <c r="N96" s="3" t="str">
        <f>VLOOKUP(Table_Sheet1[[#This Row],[Store Name]],'lojas comp prom'!B:L,11,0)</f>
        <v>SPC</v>
      </c>
    </row>
    <row r="97" spans="1:14" x14ac:dyDescent="0.2">
      <c r="A97" s="1">
        <v>46113.541666666672</v>
      </c>
      <c r="B97" s="2">
        <f>MOD(Table_Sheet1[[#This Row],[Date/Time]],1)</f>
        <v>0.54166666667151731</v>
      </c>
      <c r="C97" t="s">
        <v>23</v>
      </c>
      <c r="D97" t="s">
        <v>24</v>
      </c>
      <c r="E97" t="s">
        <v>25</v>
      </c>
      <c r="F97" t="s">
        <v>25</v>
      </c>
      <c r="G97">
        <v>3</v>
      </c>
      <c r="H97" s="3" t="s">
        <v>34</v>
      </c>
      <c r="I97" s="3" t="s">
        <v>35</v>
      </c>
      <c r="J97" s="3" t="str">
        <f>VLOOKUP(Table_Sheet1[[#This Row],[Store Name]],'lojas comp prom'!B:T,19,0)</f>
        <v>LOJAS AMERICANAS</v>
      </c>
      <c r="K97" s="3">
        <f>VLOOKUP(Table_Sheet1[[#This Row],[Store Name]],'lojas comp prom'!B:Z,25,0)</f>
        <v>80</v>
      </c>
      <c r="L97" s="3" t="str">
        <f>VLOOKUP(Table_Sheet1[[#This Row],[Store Name]],'lojas comp prom'!B:S,18,0)</f>
        <v>Shopping Interlagos</v>
      </c>
      <c r="M97" s="3">
        <f>VLOOKUP(Table_Sheet1[[#This Row],[Store Name]],'lojas comp prom'!B:AA,26,0)</f>
        <v>0</v>
      </c>
      <c r="N97" s="3" t="str">
        <f>VLOOKUP(Table_Sheet1[[#This Row],[Store Name]],'lojas comp prom'!B:L,11,0)</f>
        <v>SPC</v>
      </c>
    </row>
    <row r="98" spans="1:14" x14ac:dyDescent="0.2">
      <c r="A98" s="1">
        <v>46113.541666666672</v>
      </c>
      <c r="B98" s="2">
        <f>MOD(Table_Sheet1[[#This Row],[Date/Time]],1)</f>
        <v>0.54166666667151731</v>
      </c>
      <c r="C98" t="s">
        <v>23</v>
      </c>
      <c r="D98" t="s">
        <v>24</v>
      </c>
      <c r="E98" t="s">
        <v>26</v>
      </c>
      <c r="F98" t="s">
        <v>26</v>
      </c>
      <c r="G98">
        <v>2</v>
      </c>
      <c r="H98" s="3" t="str">
        <f>VLOOKUP(Table_Sheet1[[#This Row],[Device Name]],'[1]AParelhos_&amp;_LOJAS'!$C:$H,6,0)</f>
        <v>G35</v>
      </c>
      <c r="I98" s="3" t="str">
        <f>VLOOKUP(Table_Sheet1[[#This Row],[Device Name]],'[1]AParelhos_&amp;_LOJAS'!$C:$I,7,0)</f>
        <v>256 GB</v>
      </c>
      <c r="J98" s="3" t="str">
        <f>VLOOKUP(Table_Sheet1[[#This Row],[Store Name]],'lojas comp prom'!B:T,19,0)</f>
        <v>LOJAS AMERICANAS</v>
      </c>
      <c r="K98" s="3">
        <f>VLOOKUP(Table_Sheet1[[#This Row],[Store Name]],'lojas comp prom'!B:Z,25,0)</f>
        <v>80</v>
      </c>
      <c r="L98" s="3" t="str">
        <f>VLOOKUP(Table_Sheet1[[#This Row],[Store Name]],'lojas comp prom'!B:S,18,0)</f>
        <v>Shopping Interlagos</v>
      </c>
      <c r="M98" s="3">
        <f>VLOOKUP(Table_Sheet1[[#This Row],[Store Name]],'lojas comp prom'!B:AA,26,0)</f>
        <v>0</v>
      </c>
      <c r="N98" s="3" t="str">
        <f>VLOOKUP(Table_Sheet1[[#This Row],[Store Name]],'lojas comp prom'!B:L,11,0)</f>
        <v>SPC</v>
      </c>
    </row>
    <row r="99" spans="1:14" x14ac:dyDescent="0.2">
      <c r="A99" s="1">
        <v>46113.541666666672</v>
      </c>
      <c r="B99" s="2">
        <f>MOD(Table_Sheet1[[#This Row],[Date/Time]],1)</f>
        <v>0.54166666667151731</v>
      </c>
      <c r="C99" t="s">
        <v>23</v>
      </c>
      <c r="D99" t="s">
        <v>24</v>
      </c>
      <c r="E99" t="s">
        <v>27</v>
      </c>
      <c r="F99" t="s">
        <v>27</v>
      </c>
      <c r="G99">
        <v>3</v>
      </c>
      <c r="H99" s="3" t="str">
        <f>VLOOKUP(Table_Sheet1[[#This Row],[Device Name]],'[1]AParelhos_&amp;_LOJAS'!$C:$H,6,0)</f>
        <v>G56</v>
      </c>
      <c r="I99" s="3" t="str">
        <f>VLOOKUP(Table_Sheet1[[#This Row],[Device Name]],'[1]AParelhos_&amp;_LOJAS'!$C:$I,7,0)</f>
        <v>256 GB</v>
      </c>
      <c r="J99" s="3" t="str">
        <f>VLOOKUP(Table_Sheet1[[#This Row],[Store Name]],'lojas comp prom'!B:T,19,0)</f>
        <v>LOJAS AMERICANAS</v>
      </c>
      <c r="K99" s="3">
        <f>VLOOKUP(Table_Sheet1[[#This Row],[Store Name]],'lojas comp prom'!B:Z,25,0)</f>
        <v>80</v>
      </c>
      <c r="L99" s="3" t="str">
        <f>VLOOKUP(Table_Sheet1[[#This Row],[Store Name]],'lojas comp prom'!B:S,18,0)</f>
        <v>Shopping Interlagos</v>
      </c>
      <c r="M99" s="3">
        <f>VLOOKUP(Table_Sheet1[[#This Row],[Store Name]],'lojas comp prom'!B:AA,26,0)</f>
        <v>0</v>
      </c>
      <c r="N99" s="3" t="str">
        <f>VLOOKUP(Table_Sheet1[[#This Row],[Store Name]],'lojas comp prom'!B:L,11,0)</f>
        <v>SPC</v>
      </c>
    </row>
    <row r="100" spans="1:14" x14ac:dyDescent="0.2">
      <c r="A100" s="1">
        <v>46113.541666666672</v>
      </c>
      <c r="B100" s="2">
        <f>MOD(Table_Sheet1[[#This Row],[Date/Time]],1)</f>
        <v>0.54166666667151731</v>
      </c>
      <c r="C100" t="s">
        <v>23</v>
      </c>
      <c r="D100" t="s">
        <v>24</v>
      </c>
      <c r="E100" t="s">
        <v>29</v>
      </c>
      <c r="F100" t="s">
        <v>29</v>
      </c>
      <c r="G100">
        <v>3</v>
      </c>
      <c r="H100" s="3" t="str">
        <f>VLOOKUP(Table_Sheet1[[#This Row],[Device Name]],'[1]AParelhos_&amp;_LOJAS'!$C:$H,6,0)</f>
        <v>G77</v>
      </c>
      <c r="I100" s="3" t="str">
        <f>VLOOKUP(Table_Sheet1[[#This Row],[Device Name]],'[1]AParelhos_&amp;_LOJAS'!$C:$I,7,0)</f>
        <v>256 GB</v>
      </c>
      <c r="J100" s="3" t="str">
        <f>VLOOKUP(Table_Sheet1[[#This Row],[Store Name]],'lojas comp prom'!B:T,19,0)</f>
        <v>LOJAS AMERICANAS</v>
      </c>
      <c r="K100" s="3">
        <f>VLOOKUP(Table_Sheet1[[#This Row],[Store Name]],'lojas comp prom'!B:Z,25,0)</f>
        <v>80</v>
      </c>
      <c r="L100" s="3" t="str">
        <f>VLOOKUP(Table_Sheet1[[#This Row],[Store Name]],'lojas comp prom'!B:S,18,0)</f>
        <v>Shopping Interlagos</v>
      </c>
      <c r="M100" s="3">
        <f>VLOOKUP(Table_Sheet1[[#This Row],[Store Name]],'lojas comp prom'!B:AA,26,0)</f>
        <v>0</v>
      </c>
      <c r="N100" s="3" t="str">
        <f>VLOOKUP(Table_Sheet1[[#This Row],[Store Name]],'lojas comp prom'!B:L,11,0)</f>
        <v>SPC</v>
      </c>
    </row>
    <row r="101" spans="1:14" x14ac:dyDescent="0.2">
      <c r="A101" s="1">
        <v>46113.541666666672</v>
      </c>
      <c r="B101" s="2">
        <f>MOD(Table_Sheet1[[#This Row],[Date/Time]],1)</f>
        <v>0.54166666667151731</v>
      </c>
      <c r="C101" t="s">
        <v>23</v>
      </c>
      <c r="D101" t="s">
        <v>24</v>
      </c>
      <c r="E101" t="s">
        <v>30</v>
      </c>
      <c r="F101" t="s">
        <v>30</v>
      </c>
      <c r="G101">
        <v>1</v>
      </c>
      <c r="H101" s="3" t="str">
        <f>VLOOKUP(Table_Sheet1[[#This Row],[Device Name]],'[1]AParelhos_&amp;_LOJAS'!$C:$H,6,0)</f>
        <v>G86</v>
      </c>
      <c r="I101" s="3" t="str">
        <f>VLOOKUP(Table_Sheet1[[#This Row],[Device Name]],'[1]AParelhos_&amp;_LOJAS'!$C:$I,7,0)</f>
        <v>256 GB</v>
      </c>
      <c r="J101" s="3" t="str">
        <f>VLOOKUP(Table_Sheet1[[#This Row],[Store Name]],'lojas comp prom'!B:T,19,0)</f>
        <v>LOJAS AMERICANAS</v>
      </c>
      <c r="K101" s="3">
        <f>VLOOKUP(Table_Sheet1[[#This Row],[Store Name]],'lojas comp prom'!B:Z,25,0)</f>
        <v>80</v>
      </c>
      <c r="L101" s="3" t="str">
        <f>VLOOKUP(Table_Sheet1[[#This Row],[Store Name]],'lojas comp prom'!B:S,18,0)</f>
        <v>Shopping Interlagos</v>
      </c>
      <c r="M101" s="3">
        <f>VLOOKUP(Table_Sheet1[[#This Row],[Store Name]],'lojas comp prom'!B:AA,26,0)</f>
        <v>0</v>
      </c>
      <c r="N101" s="3" t="str">
        <f>VLOOKUP(Table_Sheet1[[#This Row],[Store Name]],'lojas comp prom'!B:L,11,0)</f>
        <v>SPC</v>
      </c>
    </row>
    <row r="102" spans="1:14" x14ac:dyDescent="0.2">
      <c r="A102" s="1">
        <v>46113.583333333328</v>
      </c>
      <c r="B102" s="2">
        <f>MOD(Table_Sheet1[[#This Row],[Date/Time]],1)</f>
        <v>0.58333333332848269</v>
      </c>
      <c r="C102" t="s">
        <v>41</v>
      </c>
      <c r="D102" t="s">
        <v>42</v>
      </c>
      <c r="E102" t="s">
        <v>45</v>
      </c>
      <c r="F102" t="s">
        <v>45</v>
      </c>
      <c r="G102">
        <v>1</v>
      </c>
      <c r="H102" s="3" t="str">
        <f>VLOOKUP(Table_Sheet1[[#This Row],[Device Name]],'[1]AParelhos_&amp;_LOJAS'!$C:$H,6,0)</f>
        <v>G05</v>
      </c>
      <c r="I102" s="3" t="str">
        <f>VLOOKUP(Table_Sheet1[[#This Row],[Device Name]],'[1]AParelhos_&amp;_LOJAS'!$C:$I,7,0)</f>
        <v>256 GB</v>
      </c>
      <c r="J102" s="3" t="str">
        <f>VLOOKUP(Table_Sheet1[[#This Row],[Store Name]],'lojas comp prom'!B:T,19,0)</f>
        <v>CASAS BAHIA</v>
      </c>
      <c r="K102" s="3">
        <f>VLOOKUP(Table_Sheet1[[#This Row],[Store Name]],'lojas comp prom'!B:Z,25,0)</f>
        <v>80</v>
      </c>
      <c r="L102" s="3" t="str">
        <f>VLOOKUP(Table_Sheet1[[#This Row],[Store Name]],'lojas comp prom'!B:S,18,0)</f>
        <v>Loja De Rua</v>
      </c>
      <c r="M102" s="3">
        <f>VLOOKUP(Table_Sheet1[[#This Row],[Store Name]],'lojas comp prom'!B:AA,26,0)</f>
        <v>0</v>
      </c>
      <c r="N102" s="3" t="str">
        <f>VLOOKUP(Table_Sheet1[[#This Row],[Store Name]],'lojas comp prom'!B:L,11,0)</f>
        <v>SPC</v>
      </c>
    </row>
    <row r="103" spans="1:14" x14ac:dyDescent="0.2">
      <c r="A103" s="1">
        <v>46113.583333333328</v>
      </c>
      <c r="B103" s="2">
        <f>MOD(Table_Sheet1[[#This Row],[Date/Time]],1)</f>
        <v>0.58333333332848269</v>
      </c>
      <c r="C103" t="s">
        <v>41</v>
      </c>
      <c r="D103" t="s">
        <v>42</v>
      </c>
      <c r="E103" t="s">
        <v>46</v>
      </c>
      <c r="F103" t="s">
        <v>46</v>
      </c>
      <c r="G103">
        <v>1</v>
      </c>
      <c r="H103" s="3" t="str">
        <f>VLOOKUP(Table_Sheet1[[#This Row],[Device Name]],'[1]AParelhos_&amp;_LOJAS'!$C:$H,6,0)</f>
        <v>G06</v>
      </c>
      <c r="I103" s="3" t="str">
        <f>VLOOKUP(Table_Sheet1[[#This Row],[Device Name]],'[1]AParelhos_&amp;_LOJAS'!$C:$I,7,0)</f>
        <v>128 GB</v>
      </c>
      <c r="J103" s="3" t="str">
        <f>VLOOKUP(Table_Sheet1[[#This Row],[Store Name]],'lojas comp prom'!B:T,19,0)</f>
        <v>CASAS BAHIA</v>
      </c>
      <c r="K103" s="3">
        <f>VLOOKUP(Table_Sheet1[[#This Row],[Store Name]],'lojas comp prom'!B:Z,25,0)</f>
        <v>80</v>
      </c>
      <c r="L103" s="3" t="str">
        <f>VLOOKUP(Table_Sheet1[[#This Row],[Store Name]],'lojas comp prom'!B:S,18,0)</f>
        <v>Loja De Rua</v>
      </c>
      <c r="M103" s="3">
        <f>VLOOKUP(Table_Sheet1[[#This Row],[Store Name]],'lojas comp prom'!B:AA,26,0)</f>
        <v>0</v>
      </c>
      <c r="N103" s="3" t="str">
        <f>VLOOKUP(Table_Sheet1[[#This Row],[Store Name]],'lojas comp prom'!B:L,11,0)</f>
        <v>SPC</v>
      </c>
    </row>
    <row r="104" spans="1:14" x14ac:dyDescent="0.2">
      <c r="A104" s="1">
        <v>46113.583333333328</v>
      </c>
      <c r="B104" s="2">
        <f>MOD(Table_Sheet1[[#This Row],[Date/Time]],1)</f>
        <v>0.58333333332848269</v>
      </c>
      <c r="C104" t="s">
        <v>41</v>
      </c>
      <c r="D104" t="s">
        <v>42</v>
      </c>
      <c r="E104" t="s">
        <v>47</v>
      </c>
      <c r="F104" t="s">
        <v>47</v>
      </c>
      <c r="G104">
        <v>4</v>
      </c>
      <c r="H104" s="3" t="str">
        <f>VLOOKUP(Table_Sheet1[[#This Row],[Device Name]],'[1]AParelhos_&amp;_LOJAS'!$C:$H,6,0)</f>
        <v>G06</v>
      </c>
      <c r="I104" s="3" t="str">
        <f>VLOOKUP(Table_Sheet1[[#This Row],[Device Name]],'[1]AParelhos_&amp;_LOJAS'!$C:$I,7,0)</f>
        <v>256 GB</v>
      </c>
      <c r="J104" s="3" t="str">
        <f>VLOOKUP(Table_Sheet1[[#This Row],[Store Name]],'lojas comp prom'!B:T,19,0)</f>
        <v>CASAS BAHIA</v>
      </c>
      <c r="K104" s="3">
        <f>VLOOKUP(Table_Sheet1[[#This Row],[Store Name]],'lojas comp prom'!B:Z,25,0)</f>
        <v>80</v>
      </c>
      <c r="L104" s="3" t="str">
        <f>VLOOKUP(Table_Sheet1[[#This Row],[Store Name]],'lojas comp prom'!B:S,18,0)</f>
        <v>Loja De Rua</v>
      </c>
      <c r="M104" s="3">
        <f>VLOOKUP(Table_Sheet1[[#This Row],[Store Name]],'lojas comp prom'!B:AA,26,0)</f>
        <v>0</v>
      </c>
      <c r="N104" s="3" t="str">
        <f>VLOOKUP(Table_Sheet1[[#This Row],[Store Name]],'lojas comp prom'!B:L,11,0)</f>
        <v>SPC</v>
      </c>
    </row>
    <row r="105" spans="1:14" x14ac:dyDescent="0.2">
      <c r="A105" s="1">
        <v>46113.583333333328</v>
      </c>
      <c r="B105" s="2">
        <f>MOD(Table_Sheet1[[#This Row],[Date/Time]],1)</f>
        <v>0.58333333332848269</v>
      </c>
      <c r="C105" t="s">
        <v>41</v>
      </c>
      <c r="D105" t="s">
        <v>42</v>
      </c>
      <c r="E105" t="s">
        <v>51</v>
      </c>
      <c r="F105" t="s">
        <v>51</v>
      </c>
      <c r="G105">
        <v>1</v>
      </c>
      <c r="H105" s="3" t="str">
        <f>VLOOKUP(Table_Sheet1[[#This Row],[Device Name]],'[1]AParelhos_&amp;_LOJAS'!$C:$H,6,0)</f>
        <v>G86</v>
      </c>
      <c r="I105" s="3" t="str">
        <f>VLOOKUP(Table_Sheet1[[#This Row],[Device Name]],'[1]AParelhos_&amp;_LOJAS'!$C:$I,7,0)</f>
        <v>256 GB</v>
      </c>
      <c r="J105" s="3" t="str">
        <f>VLOOKUP(Table_Sheet1[[#This Row],[Store Name]],'lojas comp prom'!B:T,19,0)</f>
        <v>CASAS BAHIA</v>
      </c>
      <c r="K105" s="3">
        <f>VLOOKUP(Table_Sheet1[[#This Row],[Store Name]],'lojas comp prom'!B:Z,25,0)</f>
        <v>80</v>
      </c>
      <c r="L105" s="3" t="str">
        <f>VLOOKUP(Table_Sheet1[[#This Row],[Store Name]],'lojas comp prom'!B:S,18,0)</f>
        <v>Loja De Rua</v>
      </c>
      <c r="M105" s="3">
        <f>VLOOKUP(Table_Sheet1[[#This Row],[Store Name]],'lojas comp prom'!B:AA,26,0)</f>
        <v>0</v>
      </c>
      <c r="N105" s="3" t="str">
        <f>VLOOKUP(Table_Sheet1[[#This Row],[Store Name]],'lojas comp prom'!B:L,11,0)</f>
        <v>SPC</v>
      </c>
    </row>
    <row r="106" spans="1:14" x14ac:dyDescent="0.2">
      <c r="A106" s="1">
        <v>46113.583333333328</v>
      </c>
      <c r="B106" s="2">
        <f>MOD(Table_Sheet1[[#This Row],[Date/Time]],1)</f>
        <v>0.58333333332848269</v>
      </c>
      <c r="C106" t="s">
        <v>73</v>
      </c>
      <c r="D106" t="s">
        <v>74</v>
      </c>
      <c r="E106" t="s">
        <v>75</v>
      </c>
      <c r="F106" t="s">
        <v>75</v>
      </c>
      <c r="G106">
        <v>1</v>
      </c>
      <c r="H106" s="3" t="str">
        <f>VLOOKUP(Table_Sheet1[[#This Row],[Device Name]],'[1]AParelhos_&amp;_LOJAS'!$C:$H,6,0)</f>
        <v>G06</v>
      </c>
      <c r="I106" s="3" t="str">
        <f>VLOOKUP(Table_Sheet1[[#This Row],[Device Name]],'[1]AParelhos_&amp;_LOJAS'!$C:$I,7,0)</f>
        <v>128 GB</v>
      </c>
      <c r="J106" s="3" t="str">
        <f>VLOOKUP(Table_Sheet1[[#This Row],[Store Name]],'lojas comp prom'!B:T,19,0)</f>
        <v>CASAS BAHIA</v>
      </c>
      <c r="K106" s="3">
        <f>VLOOKUP(Table_Sheet1[[#This Row],[Store Name]],'lojas comp prom'!B:Z,25,0)</f>
        <v>80</v>
      </c>
      <c r="L106" s="3" t="str">
        <f>VLOOKUP(Table_Sheet1[[#This Row],[Store Name]],'lojas comp prom'!B:S,18,0)</f>
        <v>Loja De Rua</v>
      </c>
      <c r="M106" s="3">
        <f>VLOOKUP(Table_Sheet1[[#This Row],[Store Name]],'lojas comp prom'!B:AA,26,0)</f>
        <v>0</v>
      </c>
      <c r="N106" s="3" t="str">
        <f>VLOOKUP(Table_Sheet1[[#This Row],[Store Name]],'lojas comp prom'!B:L,11,0)</f>
        <v>SPC</v>
      </c>
    </row>
    <row r="107" spans="1:14" x14ac:dyDescent="0.2">
      <c r="A107" s="1">
        <v>46113.583333333328</v>
      </c>
      <c r="B107" s="2">
        <f>MOD(Table_Sheet1[[#This Row],[Date/Time]],1)</f>
        <v>0.58333333332848269</v>
      </c>
      <c r="C107" t="s">
        <v>73</v>
      </c>
      <c r="D107" t="s">
        <v>74</v>
      </c>
      <c r="E107" t="s">
        <v>84</v>
      </c>
      <c r="F107" t="s">
        <v>84</v>
      </c>
      <c r="G107">
        <v>1</v>
      </c>
      <c r="H107" s="3" t="str">
        <f>VLOOKUP(Table_Sheet1[[#This Row],[Device Name]],'[1]AParelhos_&amp;_LOJAS'!$C:$H,6,0)</f>
        <v>G06</v>
      </c>
      <c r="I107" s="3" t="str">
        <f>VLOOKUP(Table_Sheet1[[#This Row],[Device Name]],'[1]AParelhos_&amp;_LOJAS'!$C:$I,7,0)</f>
        <v>256 GB</v>
      </c>
      <c r="J107" s="3" t="str">
        <f>VLOOKUP(Table_Sheet1[[#This Row],[Store Name]],'lojas comp prom'!B:T,19,0)</f>
        <v>CASAS BAHIA</v>
      </c>
      <c r="K107" s="3">
        <f>VLOOKUP(Table_Sheet1[[#This Row],[Store Name]],'lojas comp prom'!B:Z,25,0)</f>
        <v>80</v>
      </c>
      <c r="L107" s="3" t="str">
        <f>VLOOKUP(Table_Sheet1[[#This Row],[Store Name]],'lojas comp prom'!B:S,18,0)</f>
        <v>Loja De Rua</v>
      </c>
      <c r="M107" s="3">
        <f>VLOOKUP(Table_Sheet1[[#This Row],[Store Name]],'lojas comp prom'!B:AA,26,0)</f>
        <v>0</v>
      </c>
      <c r="N107" s="3" t="str">
        <f>VLOOKUP(Table_Sheet1[[#This Row],[Store Name]],'lojas comp prom'!B:L,11,0)</f>
        <v>SPC</v>
      </c>
    </row>
    <row r="108" spans="1:14" x14ac:dyDescent="0.2">
      <c r="A108" s="1">
        <v>46113.583333333328</v>
      </c>
      <c r="B108" s="2">
        <f>MOD(Table_Sheet1[[#This Row],[Date/Time]],1)</f>
        <v>0.58333333332848269</v>
      </c>
      <c r="C108" t="s">
        <v>73</v>
      </c>
      <c r="D108" t="s">
        <v>74</v>
      </c>
      <c r="E108" t="s">
        <v>76</v>
      </c>
      <c r="F108" t="s">
        <v>76</v>
      </c>
      <c r="G108">
        <v>2</v>
      </c>
      <c r="H108" s="3" t="str">
        <f>VLOOKUP(Table_Sheet1[[#This Row],[Device Name]],'[1]AParelhos_&amp;_LOJAS'!$C:$H,6,0)</f>
        <v>G15</v>
      </c>
      <c r="I108" s="3" t="str">
        <f>VLOOKUP(Table_Sheet1[[#This Row],[Device Name]],'[1]AParelhos_&amp;_LOJAS'!$C:$I,7,0)</f>
        <v>256 GB</v>
      </c>
      <c r="J108" s="3" t="str">
        <f>VLOOKUP(Table_Sheet1[[#This Row],[Store Name]],'lojas comp prom'!B:T,19,0)</f>
        <v>CASAS BAHIA</v>
      </c>
      <c r="K108" s="3">
        <f>VLOOKUP(Table_Sheet1[[#This Row],[Store Name]],'lojas comp prom'!B:Z,25,0)</f>
        <v>80</v>
      </c>
      <c r="L108" s="3" t="str">
        <f>VLOOKUP(Table_Sheet1[[#This Row],[Store Name]],'lojas comp prom'!B:S,18,0)</f>
        <v>Loja De Rua</v>
      </c>
      <c r="M108" s="3">
        <f>VLOOKUP(Table_Sheet1[[#This Row],[Store Name]],'lojas comp prom'!B:AA,26,0)</f>
        <v>0</v>
      </c>
      <c r="N108" s="3" t="str">
        <f>VLOOKUP(Table_Sheet1[[#This Row],[Store Name]],'lojas comp prom'!B:L,11,0)</f>
        <v>SPC</v>
      </c>
    </row>
    <row r="109" spans="1:14" x14ac:dyDescent="0.2">
      <c r="A109" s="1">
        <v>46113.583333333328</v>
      </c>
      <c r="B109" s="2">
        <f>MOD(Table_Sheet1[[#This Row],[Date/Time]],1)</f>
        <v>0.58333333332848269</v>
      </c>
      <c r="C109" t="s">
        <v>73</v>
      </c>
      <c r="D109" t="s">
        <v>74</v>
      </c>
      <c r="E109" t="s">
        <v>87</v>
      </c>
      <c r="F109" t="s">
        <v>87</v>
      </c>
      <c r="G109">
        <v>1</v>
      </c>
      <c r="H109" s="3" t="str">
        <f>VLOOKUP(Table_Sheet1[[#This Row],[Device Name]],'[1]AParelhos_&amp;_LOJAS'!$C:$H,6,0)</f>
        <v xml:space="preserve">Razr 60 Ultra </v>
      </c>
      <c r="I109" s="3" t="str">
        <f>VLOOKUP(Table_Sheet1[[#This Row],[Device Name]],'[1]AParelhos_&amp;_LOJAS'!$C:$I,7,0)</f>
        <v>1TB</v>
      </c>
      <c r="J109" s="3" t="str">
        <f>VLOOKUP(Table_Sheet1[[#This Row],[Store Name]],'lojas comp prom'!B:T,19,0)</f>
        <v>CASAS BAHIA</v>
      </c>
      <c r="K109" s="3">
        <f>VLOOKUP(Table_Sheet1[[#This Row],[Store Name]],'lojas comp prom'!B:Z,25,0)</f>
        <v>80</v>
      </c>
      <c r="L109" s="3" t="str">
        <f>VLOOKUP(Table_Sheet1[[#This Row],[Store Name]],'lojas comp prom'!B:S,18,0)</f>
        <v>Loja De Rua</v>
      </c>
      <c r="M109" s="3">
        <f>VLOOKUP(Table_Sheet1[[#This Row],[Store Name]],'lojas comp prom'!B:AA,26,0)</f>
        <v>0</v>
      </c>
      <c r="N109" s="3" t="str">
        <f>VLOOKUP(Table_Sheet1[[#This Row],[Store Name]],'lojas comp prom'!B:L,11,0)</f>
        <v>SPC</v>
      </c>
    </row>
    <row r="110" spans="1:14" x14ac:dyDescent="0.2">
      <c r="A110" s="1">
        <v>46113.583333333328</v>
      </c>
      <c r="B110" s="2">
        <f>MOD(Table_Sheet1[[#This Row],[Date/Time]],1)</f>
        <v>0.58333333332848269</v>
      </c>
      <c r="C110" t="s">
        <v>53</v>
      </c>
      <c r="D110" t="s">
        <v>54</v>
      </c>
      <c r="E110" t="s">
        <v>66</v>
      </c>
      <c r="F110" t="s">
        <v>66</v>
      </c>
      <c r="G110">
        <v>2</v>
      </c>
      <c r="H110" s="3" t="str">
        <f>VLOOKUP(Table_Sheet1[[#This Row],[Device Name]],'[1]AParelhos_&amp;_LOJAS'!$C:$H,6,0)</f>
        <v>G06</v>
      </c>
      <c r="I110" s="3" t="str">
        <f>VLOOKUP(Table_Sheet1[[#This Row],[Device Name]],'[1]AParelhos_&amp;_LOJAS'!$C:$I,7,0)</f>
        <v>128 GB</v>
      </c>
      <c r="J110" s="3" t="str">
        <f>VLOOKUP(Table_Sheet1[[#This Row],[Store Name]],'lojas comp prom'!B:T,19,0)</f>
        <v>CASAS BAHIA</v>
      </c>
      <c r="K110" s="3">
        <f>VLOOKUP(Table_Sheet1[[#This Row],[Store Name]],'lojas comp prom'!B:Z,25,0)</f>
        <v>80</v>
      </c>
      <c r="L110" s="3" t="str">
        <f>VLOOKUP(Table_Sheet1[[#This Row],[Store Name]],'lojas comp prom'!B:S,18,0)</f>
        <v>Loja De Rua</v>
      </c>
      <c r="M110" s="3">
        <f>VLOOKUP(Table_Sheet1[[#This Row],[Store Name]],'lojas comp prom'!B:AA,26,0)</f>
        <v>0</v>
      </c>
      <c r="N110" s="3" t="str">
        <f>VLOOKUP(Table_Sheet1[[#This Row],[Store Name]],'lojas comp prom'!B:L,11,0)</f>
        <v>SPC</v>
      </c>
    </row>
    <row r="111" spans="1:14" x14ac:dyDescent="0.2">
      <c r="A111" s="1">
        <v>46113.583333333328</v>
      </c>
      <c r="B111" s="2">
        <f>MOD(Table_Sheet1[[#This Row],[Date/Time]],1)</f>
        <v>0.58333333332848269</v>
      </c>
      <c r="C111" t="s">
        <v>53</v>
      </c>
      <c r="D111" t="s">
        <v>54</v>
      </c>
      <c r="E111" t="s">
        <v>61</v>
      </c>
      <c r="F111" t="s">
        <v>61</v>
      </c>
      <c r="G111">
        <v>1</v>
      </c>
      <c r="H111" s="3" t="str">
        <f>VLOOKUP(Table_Sheet1[[#This Row],[Device Name]],'[1]AParelhos_&amp;_LOJAS'!$C:$H,6,0)</f>
        <v>G35</v>
      </c>
      <c r="I111" s="3" t="str">
        <f>VLOOKUP(Table_Sheet1[[#This Row],[Device Name]],'[1]AParelhos_&amp;_LOJAS'!$C:$I,7,0)</f>
        <v>256 GB</v>
      </c>
      <c r="J111" s="3" t="str">
        <f>VLOOKUP(Table_Sheet1[[#This Row],[Store Name]],'lojas comp prom'!B:T,19,0)</f>
        <v>CASAS BAHIA</v>
      </c>
      <c r="K111" s="3">
        <f>VLOOKUP(Table_Sheet1[[#This Row],[Store Name]],'lojas comp prom'!B:Z,25,0)</f>
        <v>80</v>
      </c>
      <c r="L111" s="3" t="str">
        <f>VLOOKUP(Table_Sheet1[[#This Row],[Store Name]],'lojas comp prom'!B:S,18,0)</f>
        <v>Loja De Rua</v>
      </c>
      <c r="M111" s="3">
        <f>VLOOKUP(Table_Sheet1[[#This Row],[Store Name]],'lojas comp prom'!B:AA,26,0)</f>
        <v>0</v>
      </c>
      <c r="N111" s="3" t="str">
        <f>VLOOKUP(Table_Sheet1[[#This Row],[Store Name]],'lojas comp prom'!B:L,11,0)</f>
        <v>SPC</v>
      </c>
    </row>
    <row r="112" spans="1:14" x14ac:dyDescent="0.2">
      <c r="A112" s="1">
        <v>46113.583333333328</v>
      </c>
      <c r="B112" s="2">
        <f>MOD(Table_Sheet1[[#This Row],[Date/Time]],1)</f>
        <v>0.58333333332848269</v>
      </c>
      <c r="C112" t="s">
        <v>53</v>
      </c>
      <c r="D112" t="s">
        <v>54</v>
      </c>
      <c r="E112" t="s">
        <v>62</v>
      </c>
      <c r="F112" t="s">
        <v>62</v>
      </c>
      <c r="G112">
        <v>1</v>
      </c>
      <c r="H112" s="3" t="str">
        <f>VLOOKUP(Table_Sheet1[[#This Row],[Device Name]],'[1]AParelhos_&amp;_LOJAS'!$C:$H,6,0)</f>
        <v>G55</v>
      </c>
      <c r="I112" s="3" t="str">
        <f>VLOOKUP(Table_Sheet1[[#This Row],[Device Name]],'[1]AParelhos_&amp;_LOJAS'!$C:$I,7,0)</f>
        <v>256 GB</v>
      </c>
      <c r="J112" s="3" t="str">
        <f>VLOOKUP(Table_Sheet1[[#This Row],[Store Name]],'lojas comp prom'!B:T,19,0)</f>
        <v>CASAS BAHIA</v>
      </c>
      <c r="K112" s="3">
        <f>VLOOKUP(Table_Sheet1[[#This Row],[Store Name]],'lojas comp prom'!B:Z,25,0)</f>
        <v>80</v>
      </c>
      <c r="L112" s="3" t="str">
        <f>VLOOKUP(Table_Sheet1[[#This Row],[Store Name]],'lojas comp prom'!B:S,18,0)</f>
        <v>Loja De Rua</v>
      </c>
      <c r="M112" s="3">
        <f>VLOOKUP(Table_Sheet1[[#This Row],[Store Name]],'lojas comp prom'!B:AA,26,0)</f>
        <v>0</v>
      </c>
      <c r="N112" s="3" t="str">
        <f>VLOOKUP(Table_Sheet1[[#This Row],[Store Name]],'lojas comp prom'!B:L,11,0)</f>
        <v>SPC</v>
      </c>
    </row>
    <row r="113" spans="1:14" x14ac:dyDescent="0.2">
      <c r="A113" s="1">
        <v>46113.583333333328</v>
      </c>
      <c r="B113" s="2">
        <f>MOD(Table_Sheet1[[#This Row],[Date/Time]],1)</f>
        <v>0.58333333332848269</v>
      </c>
      <c r="C113" t="s">
        <v>53</v>
      </c>
      <c r="D113" t="s">
        <v>54</v>
      </c>
      <c r="E113" t="s">
        <v>64</v>
      </c>
      <c r="F113" t="s">
        <v>64</v>
      </c>
      <c r="G113">
        <v>1</v>
      </c>
      <c r="H113" s="3" t="str">
        <f>VLOOKUP(Table_Sheet1[[#This Row],[Device Name]],'[1]AParelhos_&amp;_LOJAS'!$C:$H,6,0)</f>
        <v>G75</v>
      </c>
      <c r="I113" s="3" t="str">
        <f>VLOOKUP(Table_Sheet1[[#This Row],[Device Name]],'[1]AParelhos_&amp;_LOJAS'!$C:$I,7,0)</f>
        <v>256 GB</v>
      </c>
      <c r="J113" s="3" t="str">
        <f>VLOOKUP(Table_Sheet1[[#This Row],[Store Name]],'lojas comp prom'!B:T,19,0)</f>
        <v>CASAS BAHIA</v>
      </c>
      <c r="K113" s="3">
        <f>VLOOKUP(Table_Sheet1[[#This Row],[Store Name]],'lojas comp prom'!B:Z,25,0)</f>
        <v>80</v>
      </c>
      <c r="L113" s="3" t="str">
        <f>VLOOKUP(Table_Sheet1[[#This Row],[Store Name]],'lojas comp prom'!B:S,18,0)</f>
        <v>Loja De Rua</v>
      </c>
      <c r="M113" s="3">
        <f>VLOOKUP(Table_Sheet1[[#This Row],[Store Name]],'lojas comp prom'!B:AA,26,0)</f>
        <v>0</v>
      </c>
      <c r="N113" s="3" t="str">
        <f>VLOOKUP(Table_Sheet1[[#This Row],[Store Name]],'lojas comp prom'!B:L,11,0)</f>
        <v>SPC</v>
      </c>
    </row>
    <row r="114" spans="1:14" x14ac:dyDescent="0.2">
      <c r="A114" s="1">
        <v>46113.583333333328</v>
      </c>
      <c r="B114" s="2">
        <f>MOD(Table_Sheet1[[#This Row],[Date/Time]],1)</f>
        <v>0.58333333332848269</v>
      </c>
      <c r="C114" t="s">
        <v>8</v>
      </c>
      <c r="D114" t="s">
        <v>9</v>
      </c>
      <c r="E114" t="s">
        <v>11</v>
      </c>
      <c r="F114" t="s">
        <v>11</v>
      </c>
      <c r="G114">
        <v>1</v>
      </c>
      <c r="H114" s="3" t="str">
        <f>VLOOKUP(Table_Sheet1[[#This Row],[Device Name]],'[1]AParelhos_&amp;_LOJAS'!$C:$H,6,0)</f>
        <v>G06</v>
      </c>
      <c r="I114" s="3" t="str">
        <f>VLOOKUP(Table_Sheet1[[#This Row],[Device Name]],'[1]AParelhos_&amp;_LOJAS'!$C:$I,7,0)</f>
        <v>128 GB</v>
      </c>
      <c r="J114" s="3" t="str">
        <f>VLOOKUP(Table_Sheet1[[#This Row],[Store Name]],'lojas comp prom'!B:T,19,0)</f>
        <v>PONTO FRIO</v>
      </c>
      <c r="K114" s="3">
        <f>VLOOKUP(Table_Sheet1[[#This Row],[Store Name]],'lojas comp prom'!B:Z,25,0)</f>
        <v>80</v>
      </c>
      <c r="L114" s="3" t="str">
        <f>VLOOKUP(Table_Sheet1[[#This Row],[Store Name]],'lojas comp prom'!B:S,18,0)</f>
        <v>Shopping Interlagos</v>
      </c>
      <c r="M114" s="3">
        <f>VLOOKUP(Table_Sheet1[[#This Row],[Store Name]],'lojas comp prom'!B:AA,26,0)</f>
        <v>0</v>
      </c>
      <c r="N114" s="3" t="str">
        <f>VLOOKUP(Table_Sheet1[[#This Row],[Store Name]],'lojas comp prom'!B:L,11,0)</f>
        <v>SPC</v>
      </c>
    </row>
    <row r="115" spans="1:14" x14ac:dyDescent="0.2">
      <c r="A115" s="1">
        <v>46113.583333333328</v>
      </c>
      <c r="B115" s="2">
        <f>MOD(Table_Sheet1[[#This Row],[Date/Time]],1)</f>
        <v>0.58333333332848269</v>
      </c>
      <c r="C115" t="s">
        <v>8</v>
      </c>
      <c r="D115" t="s">
        <v>9</v>
      </c>
      <c r="E115" t="s">
        <v>14</v>
      </c>
      <c r="F115" t="s">
        <v>14</v>
      </c>
      <c r="G115">
        <v>1</v>
      </c>
      <c r="H115" s="3" t="str">
        <f>VLOOKUP(Table_Sheet1[[#This Row],[Device Name]],'[1]AParelhos_&amp;_LOJAS'!$C:$H,6,0)</f>
        <v>G56</v>
      </c>
      <c r="I115" s="3" t="str">
        <f>VLOOKUP(Table_Sheet1[[#This Row],[Device Name]],'[1]AParelhos_&amp;_LOJAS'!$C:$I,7,0)</f>
        <v>256 GB</v>
      </c>
      <c r="J115" s="3" t="str">
        <f>VLOOKUP(Table_Sheet1[[#This Row],[Store Name]],'lojas comp prom'!B:T,19,0)</f>
        <v>PONTO FRIO</v>
      </c>
      <c r="K115" s="3">
        <f>VLOOKUP(Table_Sheet1[[#This Row],[Store Name]],'lojas comp prom'!B:Z,25,0)</f>
        <v>80</v>
      </c>
      <c r="L115" s="3" t="str">
        <f>VLOOKUP(Table_Sheet1[[#This Row],[Store Name]],'lojas comp prom'!B:S,18,0)</f>
        <v>Shopping Interlagos</v>
      </c>
      <c r="M115" s="3">
        <f>VLOOKUP(Table_Sheet1[[#This Row],[Store Name]],'lojas comp prom'!B:AA,26,0)</f>
        <v>0</v>
      </c>
      <c r="N115" s="3" t="str">
        <f>VLOOKUP(Table_Sheet1[[#This Row],[Store Name]],'lojas comp prom'!B:L,11,0)</f>
        <v>SPC</v>
      </c>
    </row>
    <row r="116" spans="1:14" x14ac:dyDescent="0.2">
      <c r="A116" s="1">
        <v>46113.583333333328</v>
      </c>
      <c r="B116" s="2">
        <f>MOD(Table_Sheet1[[#This Row],[Date/Time]],1)</f>
        <v>0.58333333332848269</v>
      </c>
      <c r="C116" t="s">
        <v>23</v>
      </c>
      <c r="D116" t="s">
        <v>24</v>
      </c>
      <c r="E116" t="s">
        <v>26</v>
      </c>
      <c r="F116" t="s">
        <v>26</v>
      </c>
      <c r="G116">
        <v>3</v>
      </c>
      <c r="H116" s="3" t="str">
        <f>VLOOKUP(Table_Sheet1[[#This Row],[Device Name]],'[1]AParelhos_&amp;_LOJAS'!$C:$H,6,0)</f>
        <v>G35</v>
      </c>
      <c r="I116" s="3" t="str">
        <f>VLOOKUP(Table_Sheet1[[#This Row],[Device Name]],'[1]AParelhos_&amp;_LOJAS'!$C:$I,7,0)</f>
        <v>256 GB</v>
      </c>
      <c r="J116" s="3" t="str">
        <f>VLOOKUP(Table_Sheet1[[#This Row],[Store Name]],'lojas comp prom'!B:T,19,0)</f>
        <v>LOJAS AMERICANAS</v>
      </c>
      <c r="K116" s="3">
        <f>VLOOKUP(Table_Sheet1[[#This Row],[Store Name]],'lojas comp prom'!B:Z,25,0)</f>
        <v>80</v>
      </c>
      <c r="L116" s="3" t="str">
        <f>VLOOKUP(Table_Sheet1[[#This Row],[Store Name]],'lojas comp prom'!B:S,18,0)</f>
        <v>Shopping Interlagos</v>
      </c>
      <c r="M116" s="3">
        <f>VLOOKUP(Table_Sheet1[[#This Row],[Store Name]],'lojas comp prom'!B:AA,26,0)</f>
        <v>0</v>
      </c>
      <c r="N116" s="3" t="str">
        <f>VLOOKUP(Table_Sheet1[[#This Row],[Store Name]],'lojas comp prom'!B:L,11,0)</f>
        <v>SPC</v>
      </c>
    </row>
    <row r="117" spans="1:14" x14ac:dyDescent="0.2">
      <c r="A117" s="1">
        <v>46113.583333333328</v>
      </c>
      <c r="B117" s="2">
        <f>MOD(Table_Sheet1[[#This Row],[Date/Time]],1)</f>
        <v>0.58333333332848269</v>
      </c>
      <c r="C117" t="s">
        <v>23</v>
      </c>
      <c r="D117" t="s">
        <v>24</v>
      </c>
      <c r="E117" t="s">
        <v>27</v>
      </c>
      <c r="F117" t="s">
        <v>27</v>
      </c>
      <c r="G117">
        <v>1</v>
      </c>
      <c r="H117" s="3" t="str">
        <f>VLOOKUP(Table_Sheet1[[#This Row],[Device Name]],'[1]AParelhos_&amp;_LOJAS'!$C:$H,6,0)</f>
        <v>G56</v>
      </c>
      <c r="I117" s="3" t="str">
        <f>VLOOKUP(Table_Sheet1[[#This Row],[Device Name]],'[1]AParelhos_&amp;_LOJAS'!$C:$I,7,0)</f>
        <v>256 GB</v>
      </c>
      <c r="J117" s="3" t="str">
        <f>VLOOKUP(Table_Sheet1[[#This Row],[Store Name]],'lojas comp prom'!B:T,19,0)</f>
        <v>LOJAS AMERICANAS</v>
      </c>
      <c r="K117" s="3">
        <f>VLOOKUP(Table_Sheet1[[#This Row],[Store Name]],'lojas comp prom'!B:Z,25,0)</f>
        <v>80</v>
      </c>
      <c r="L117" s="3" t="str">
        <f>VLOOKUP(Table_Sheet1[[#This Row],[Store Name]],'lojas comp prom'!B:S,18,0)</f>
        <v>Shopping Interlagos</v>
      </c>
      <c r="M117" s="3">
        <f>VLOOKUP(Table_Sheet1[[#This Row],[Store Name]],'lojas comp prom'!B:AA,26,0)</f>
        <v>0</v>
      </c>
      <c r="N117" s="3" t="str">
        <f>VLOOKUP(Table_Sheet1[[#This Row],[Store Name]],'lojas comp prom'!B:L,11,0)</f>
        <v>SPC</v>
      </c>
    </row>
    <row r="118" spans="1:14" x14ac:dyDescent="0.2">
      <c r="A118" s="1">
        <v>46113.583333333328</v>
      </c>
      <c r="B118" s="2">
        <f>MOD(Table_Sheet1[[#This Row],[Date/Time]],1)</f>
        <v>0.58333333332848269</v>
      </c>
      <c r="C118" t="s">
        <v>23</v>
      </c>
      <c r="D118" t="s">
        <v>24</v>
      </c>
      <c r="E118" t="s">
        <v>29</v>
      </c>
      <c r="F118" t="s">
        <v>29</v>
      </c>
      <c r="G118">
        <v>1</v>
      </c>
      <c r="H118" s="3" t="str">
        <f>VLOOKUP(Table_Sheet1[[#This Row],[Device Name]],'[1]AParelhos_&amp;_LOJAS'!$C:$H,6,0)</f>
        <v>G77</v>
      </c>
      <c r="I118" s="3" t="str">
        <f>VLOOKUP(Table_Sheet1[[#This Row],[Device Name]],'[1]AParelhos_&amp;_LOJAS'!$C:$I,7,0)</f>
        <v>256 GB</v>
      </c>
      <c r="J118" s="3" t="str">
        <f>VLOOKUP(Table_Sheet1[[#This Row],[Store Name]],'lojas comp prom'!B:T,19,0)</f>
        <v>LOJAS AMERICANAS</v>
      </c>
      <c r="K118" s="3">
        <f>VLOOKUP(Table_Sheet1[[#This Row],[Store Name]],'lojas comp prom'!B:Z,25,0)</f>
        <v>80</v>
      </c>
      <c r="L118" s="3" t="str">
        <f>VLOOKUP(Table_Sheet1[[#This Row],[Store Name]],'lojas comp prom'!B:S,18,0)</f>
        <v>Shopping Interlagos</v>
      </c>
      <c r="M118" s="3">
        <f>VLOOKUP(Table_Sheet1[[#This Row],[Store Name]],'lojas comp prom'!B:AA,26,0)</f>
        <v>0</v>
      </c>
      <c r="N118" s="3" t="str">
        <f>VLOOKUP(Table_Sheet1[[#This Row],[Store Name]],'lojas comp prom'!B:L,11,0)</f>
        <v>SPC</v>
      </c>
    </row>
    <row r="119" spans="1:14" x14ac:dyDescent="0.2">
      <c r="A119" s="1">
        <v>46113.625</v>
      </c>
      <c r="B119" s="2">
        <f>MOD(Table_Sheet1[[#This Row],[Date/Time]],1)</f>
        <v>0.625</v>
      </c>
      <c r="C119" t="s">
        <v>41</v>
      </c>
      <c r="D119" t="s">
        <v>42</v>
      </c>
      <c r="E119" t="s">
        <v>44</v>
      </c>
      <c r="F119" t="s">
        <v>44</v>
      </c>
      <c r="G119">
        <v>3</v>
      </c>
      <c r="H119" s="3" t="s">
        <v>34</v>
      </c>
      <c r="I119" s="3" t="s">
        <v>35</v>
      </c>
      <c r="J119" s="3" t="str">
        <f>VLOOKUP(Table_Sheet1[[#This Row],[Store Name]],'lojas comp prom'!B:T,19,0)</f>
        <v>CASAS BAHIA</v>
      </c>
      <c r="K119" s="3">
        <f>VLOOKUP(Table_Sheet1[[#This Row],[Store Name]],'lojas comp prom'!B:Z,25,0)</f>
        <v>80</v>
      </c>
      <c r="L119" s="3" t="str">
        <f>VLOOKUP(Table_Sheet1[[#This Row],[Store Name]],'lojas comp prom'!B:S,18,0)</f>
        <v>Loja De Rua</v>
      </c>
      <c r="M119" s="3">
        <f>VLOOKUP(Table_Sheet1[[#This Row],[Store Name]],'lojas comp prom'!B:AA,26,0)</f>
        <v>0</v>
      </c>
      <c r="N119" s="3" t="str">
        <f>VLOOKUP(Table_Sheet1[[#This Row],[Store Name]],'lojas comp prom'!B:L,11,0)</f>
        <v>SPC</v>
      </c>
    </row>
    <row r="120" spans="1:14" x14ac:dyDescent="0.2">
      <c r="A120" s="1">
        <v>46113.625</v>
      </c>
      <c r="B120" s="2">
        <f>MOD(Table_Sheet1[[#This Row],[Date/Time]],1)</f>
        <v>0.625</v>
      </c>
      <c r="C120" t="s">
        <v>41</v>
      </c>
      <c r="D120" t="s">
        <v>42</v>
      </c>
      <c r="E120" t="s">
        <v>45</v>
      </c>
      <c r="F120" t="s">
        <v>45</v>
      </c>
      <c r="G120">
        <v>2</v>
      </c>
      <c r="H120" s="3" t="str">
        <f>VLOOKUP(Table_Sheet1[[#This Row],[Device Name]],'[1]AParelhos_&amp;_LOJAS'!$C:$H,6,0)</f>
        <v>G05</v>
      </c>
      <c r="I120" s="3" t="str">
        <f>VLOOKUP(Table_Sheet1[[#This Row],[Device Name]],'[1]AParelhos_&amp;_LOJAS'!$C:$I,7,0)</f>
        <v>256 GB</v>
      </c>
      <c r="J120" s="3" t="str">
        <f>VLOOKUP(Table_Sheet1[[#This Row],[Store Name]],'lojas comp prom'!B:T,19,0)</f>
        <v>CASAS BAHIA</v>
      </c>
      <c r="K120" s="3">
        <f>VLOOKUP(Table_Sheet1[[#This Row],[Store Name]],'lojas comp prom'!B:Z,25,0)</f>
        <v>80</v>
      </c>
      <c r="L120" s="3" t="str">
        <f>VLOOKUP(Table_Sheet1[[#This Row],[Store Name]],'lojas comp prom'!B:S,18,0)</f>
        <v>Loja De Rua</v>
      </c>
      <c r="M120" s="3">
        <f>VLOOKUP(Table_Sheet1[[#This Row],[Store Name]],'lojas comp prom'!B:AA,26,0)</f>
        <v>0</v>
      </c>
      <c r="N120" s="3" t="str">
        <f>VLOOKUP(Table_Sheet1[[#This Row],[Store Name]],'lojas comp prom'!B:L,11,0)</f>
        <v>SPC</v>
      </c>
    </row>
    <row r="121" spans="1:14" x14ac:dyDescent="0.2">
      <c r="A121" s="1">
        <v>46113.625</v>
      </c>
      <c r="B121" s="2">
        <f>MOD(Table_Sheet1[[#This Row],[Date/Time]],1)</f>
        <v>0.625</v>
      </c>
      <c r="C121" t="s">
        <v>41</v>
      </c>
      <c r="D121" t="s">
        <v>42</v>
      </c>
      <c r="E121" t="s">
        <v>46</v>
      </c>
      <c r="F121" t="s">
        <v>46</v>
      </c>
      <c r="G121">
        <v>3</v>
      </c>
      <c r="H121" s="3" t="str">
        <f>VLOOKUP(Table_Sheet1[[#This Row],[Device Name]],'[1]AParelhos_&amp;_LOJAS'!$C:$H,6,0)</f>
        <v>G06</v>
      </c>
      <c r="I121" s="3" t="str">
        <f>VLOOKUP(Table_Sheet1[[#This Row],[Device Name]],'[1]AParelhos_&amp;_LOJAS'!$C:$I,7,0)</f>
        <v>128 GB</v>
      </c>
      <c r="J121" s="3" t="str">
        <f>VLOOKUP(Table_Sheet1[[#This Row],[Store Name]],'lojas comp prom'!B:T,19,0)</f>
        <v>CASAS BAHIA</v>
      </c>
      <c r="K121" s="3">
        <f>VLOOKUP(Table_Sheet1[[#This Row],[Store Name]],'lojas comp prom'!B:Z,25,0)</f>
        <v>80</v>
      </c>
      <c r="L121" s="3" t="str">
        <f>VLOOKUP(Table_Sheet1[[#This Row],[Store Name]],'lojas comp prom'!B:S,18,0)</f>
        <v>Loja De Rua</v>
      </c>
      <c r="M121" s="3">
        <f>VLOOKUP(Table_Sheet1[[#This Row],[Store Name]],'lojas comp prom'!B:AA,26,0)</f>
        <v>0</v>
      </c>
      <c r="N121" s="3" t="str">
        <f>VLOOKUP(Table_Sheet1[[#This Row],[Store Name]],'lojas comp prom'!B:L,11,0)</f>
        <v>SPC</v>
      </c>
    </row>
    <row r="122" spans="1:14" x14ac:dyDescent="0.2">
      <c r="A122" s="1">
        <v>46113.625</v>
      </c>
      <c r="B122" s="2">
        <f>MOD(Table_Sheet1[[#This Row],[Date/Time]],1)</f>
        <v>0.625</v>
      </c>
      <c r="C122" t="s">
        <v>41</v>
      </c>
      <c r="D122" t="s">
        <v>42</v>
      </c>
      <c r="E122" t="s">
        <v>47</v>
      </c>
      <c r="F122" t="s">
        <v>47</v>
      </c>
      <c r="G122">
        <v>2</v>
      </c>
      <c r="H122" s="3" t="str">
        <f>VLOOKUP(Table_Sheet1[[#This Row],[Device Name]],'[1]AParelhos_&amp;_LOJAS'!$C:$H,6,0)</f>
        <v>G06</v>
      </c>
      <c r="I122" s="3" t="str">
        <f>VLOOKUP(Table_Sheet1[[#This Row],[Device Name]],'[1]AParelhos_&amp;_LOJAS'!$C:$I,7,0)</f>
        <v>256 GB</v>
      </c>
      <c r="J122" s="3" t="str">
        <f>VLOOKUP(Table_Sheet1[[#This Row],[Store Name]],'lojas comp prom'!B:T,19,0)</f>
        <v>CASAS BAHIA</v>
      </c>
      <c r="K122" s="3">
        <f>VLOOKUP(Table_Sheet1[[#This Row],[Store Name]],'lojas comp prom'!B:Z,25,0)</f>
        <v>80</v>
      </c>
      <c r="L122" s="3" t="str">
        <f>VLOOKUP(Table_Sheet1[[#This Row],[Store Name]],'lojas comp prom'!B:S,18,0)</f>
        <v>Loja De Rua</v>
      </c>
      <c r="M122" s="3">
        <f>VLOOKUP(Table_Sheet1[[#This Row],[Store Name]],'lojas comp prom'!B:AA,26,0)</f>
        <v>0</v>
      </c>
      <c r="N122" s="3" t="str">
        <f>VLOOKUP(Table_Sheet1[[#This Row],[Store Name]],'lojas comp prom'!B:L,11,0)</f>
        <v>SPC</v>
      </c>
    </row>
    <row r="123" spans="1:14" x14ac:dyDescent="0.2">
      <c r="A123" s="1">
        <v>46113.625</v>
      </c>
      <c r="B123" s="2">
        <f>MOD(Table_Sheet1[[#This Row],[Date/Time]],1)</f>
        <v>0.625</v>
      </c>
      <c r="C123" t="s">
        <v>41</v>
      </c>
      <c r="D123" t="s">
        <v>42</v>
      </c>
      <c r="E123" t="s">
        <v>51</v>
      </c>
      <c r="F123" t="s">
        <v>51</v>
      </c>
      <c r="G123">
        <v>1</v>
      </c>
      <c r="H123" s="3" t="str">
        <f>VLOOKUP(Table_Sheet1[[#This Row],[Device Name]],'[1]AParelhos_&amp;_LOJAS'!$C:$H,6,0)</f>
        <v>G86</v>
      </c>
      <c r="I123" s="3" t="str">
        <f>VLOOKUP(Table_Sheet1[[#This Row],[Device Name]],'[1]AParelhos_&amp;_LOJAS'!$C:$I,7,0)</f>
        <v>256 GB</v>
      </c>
      <c r="J123" s="3" t="str">
        <f>VLOOKUP(Table_Sheet1[[#This Row],[Store Name]],'lojas comp prom'!B:T,19,0)</f>
        <v>CASAS BAHIA</v>
      </c>
      <c r="K123" s="3">
        <f>VLOOKUP(Table_Sheet1[[#This Row],[Store Name]],'lojas comp prom'!B:Z,25,0)</f>
        <v>80</v>
      </c>
      <c r="L123" s="3" t="str">
        <f>VLOOKUP(Table_Sheet1[[#This Row],[Store Name]],'lojas comp prom'!B:S,18,0)</f>
        <v>Loja De Rua</v>
      </c>
      <c r="M123" s="3">
        <f>VLOOKUP(Table_Sheet1[[#This Row],[Store Name]],'lojas comp prom'!B:AA,26,0)</f>
        <v>0</v>
      </c>
      <c r="N123" s="3" t="str">
        <f>VLOOKUP(Table_Sheet1[[#This Row],[Store Name]],'lojas comp prom'!B:L,11,0)</f>
        <v>SPC</v>
      </c>
    </row>
    <row r="124" spans="1:14" x14ac:dyDescent="0.2">
      <c r="A124" s="1">
        <v>46113.625</v>
      </c>
      <c r="B124" s="2">
        <f>MOD(Table_Sheet1[[#This Row],[Date/Time]],1)</f>
        <v>0.625</v>
      </c>
      <c r="C124" t="s">
        <v>8</v>
      </c>
      <c r="D124" t="s">
        <v>9</v>
      </c>
      <c r="E124" t="s">
        <v>11</v>
      </c>
      <c r="F124" t="s">
        <v>11</v>
      </c>
      <c r="G124">
        <v>5</v>
      </c>
      <c r="H124" s="3" t="str">
        <f>VLOOKUP(Table_Sheet1[[#This Row],[Device Name]],'[1]AParelhos_&amp;_LOJAS'!$C:$H,6,0)</f>
        <v>G06</v>
      </c>
      <c r="I124" s="3" t="str">
        <f>VLOOKUP(Table_Sheet1[[#This Row],[Device Name]],'[1]AParelhos_&amp;_LOJAS'!$C:$I,7,0)</f>
        <v>128 GB</v>
      </c>
      <c r="J124" s="3" t="str">
        <f>VLOOKUP(Table_Sheet1[[#This Row],[Store Name]],'lojas comp prom'!B:T,19,0)</f>
        <v>PONTO FRIO</v>
      </c>
      <c r="K124" s="3">
        <f>VLOOKUP(Table_Sheet1[[#This Row],[Store Name]],'lojas comp prom'!B:Z,25,0)</f>
        <v>80</v>
      </c>
      <c r="L124" s="3" t="str">
        <f>VLOOKUP(Table_Sheet1[[#This Row],[Store Name]],'lojas comp prom'!B:S,18,0)</f>
        <v>Shopping Interlagos</v>
      </c>
      <c r="M124" s="3">
        <f>VLOOKUP(Table_Sheet1[[#This Row],[Store Name]],'lojas comp prom'!B:AA,26,0)</f>
        <v>0</v>
      </c>
      <c r="N124" s="3" t="str">
        <f>VLOOKUP(Table_Sheet1[[#This Row],[Store Name]],'lojas comp prom'!B:L,11,0)</f>
        <v>SPC</v>
      </c>
    </row>
    <row r="125" spans="1:14" x14ac:dyDescent="0.2">
      <c r="A125" s="1">
        <v>46113.625</v>
      </c>
      <c r="B125" s="2">
        <f>MOD(Table_Sheet1[[#This Row],[Date/Time]],1)</f>
        <v>0.625</v>
      </c>
      <c r="C125" t="s">
        <v>8</v>
      </c>
      <c r="D125" t="s">
        <v>9</v>
      </c>
      <c r="E125" t="s">
        <v>13</v>
      </c>
      <c r="F125" t="s">
        <v>13</v>
      </c>
      <c r="G125">
        <v>2</v>
      </c>
      <c r="H125" s="3" t="str">
        <f>VLOOKUP(Table_Sheet1[[#This Row],[Device Name]],'[1]AParelhos_&amp;_LOJAS'!$C:$H,6,0)</f>
        <v>G17</v>
      </c>
      <c r="I125" s="3" t="str">
        <f>VLOOKUP(Table_Sheet1[[#This Row],[Device Name]],'[1]AParelhos_&amp;_LOJAS'!$C:$I,7,0)</f>
        <v>128 GB</v>
      </c>
      <c r="J125" s="3" t="str">
        <f>VLOOKUP(Table_Sheet1[[#This Row],[Store Name]],'lojas comp prom'!B:T,19,0)</f>
        <v>PONTO FRIO</v>
      </c>
      <c r="K125" s="3">
        <f>VLOOKUP(Table_Sheet1[[#This Row],[Store Name]],'lojas comp prom'!B:Z,25,0)</f>
        <v>80</v>
      </c>
      <c r="L125" s="3" t="str">
        <f>VLOOKUP(Table_Sheet1[[#This Row],[Store Name]],'lojas comp prom'!B:S,18,0)</f>
        <v>Shopping Interlagos</v>
      </c>
      <c r="M125" s="3">
        <f>VLOOKUP(Table_Sheet1[[#This Row],[Store Name]],'lojas comp prom'!B:AA,26,0)</f>
        <v>0</v>
      </c>
      <c r="N125" s="3" t="str">
        <f>VLOOKUP(Table_Sheet1[[#This Row],[Store Name]],'lojas comp prom'!B:L,11,0)</f>
        <v>SPC</v>
      </c>
    </row>
    <row r="126" spans="1:14" x14ac:dyDescent="0.2">
      <c r="A126" s="1">
        <v>46113.625</v>
      </c>
      <c r="B126" s="2">
        <f>MOD(Table_Sheet1[[#This Row],[Date/Time]],1)</f>
        <v>0.625</v>
      </c>
      <c r="C126" t="s">
        <v>23</v>
      </c>
      <c r="D126" t="s">
        <v>24</v>
      </c>
      <c r="E126" t="s">
        <v>25</v>
      </c>
      <c r="F126" t="s">
        <v>25</v>
      </c>
      <c r="G126">
        <v>4</v>
      </c>
      <c r="H126" s="3" t="s">
        <v>34</v>
      </c>
      <c r="I126" s="3" t="s">
        <v>35</v>
      </c>
      <c r="J126" s="3" t="str">
        <f>VLOOKUP(Table_Sheet1[[#This Row],[Store Name]],'lojas comp prom'!B:T,19,0)</f>
        <v>LOJAS AMERICANAS</v>
      </c>
      <c r="K126" s="3">
        <f>VLOOKUP(Table_Sheet1[[#This Row],[Store Name]],'lojas comp prom'!B:Z,25,0)</f>
        <v>80</v>
      </c>
      <c r="L126" s="3" t="str">
        <f>VLOOKUP(Table_Sheet1[[#This Row],[Store Name]],'lojas comp prom'!B:S,18,0)</f>
        <v>Shopping Interlagos</v>
      </c>
      <c r="M126" s="3">
        <f>VLOOKUP(Table_Sheet1[[#This Row],[Store Name]],'lojas comp prom'!B:AA,26,0)</f>
        <v>0</v>
      </c>
      <c r="N126" s="3" t="str">
        <f>VLOOKUP(Table_Sheet1[[#This Row],[Store Name]],'lojas comp prom'!B:L,11,0)</f>
        <v>SPC</v>
      </c>
    </row>
    <row r="127" spans="1:14" x14ac:dyDescent="0.2">
      <c r="A127" s="1">
        <v>46113.625</v>
      </c>
      <c r="B127" s="2">
        <f>MOD(Table_Sheet1[[#This Row],[Date/Time]],1)</f>
        <v>0.625</v>
      </c>
      <c r="C127" t="s">
        <v>23</v>
      </c>
      <c r="D127" t="s">
        <v>24</v>
      </c>
      <c r="E127" t="s">
        <v>26</v>
      </c>
      <c r="F127" t="s">
        <v>26</v>
      </c>
      <c r="G127">
        <v>4</v>
      </c>
      <c r="H127" s="3" t="str">
        <f>VLOOKUP(Table_Sheet1[[#This Row],[Device Name]],'[1]AParelhos_&amp;_LOJAS'!$C:$H,6,0)</f>
        <v>G35</v>
      </c>
      <c r="I127" s="3" t="str">
        <f>VLOOKUP(Table_Sheet1[[#This Row],[Device Name]],'[1]AParelhos_&amp;_LOJAS'!$C:$I,7,0)</f>
        <v>256 GB</v>
      </c>
      <c r="J127" s="3" t="str">
        <f>VLOOKUP(Table_Sheet1[[#This Row],[Store Name]],'lojas comp prom'!B:T,19,0)</f>
        <v>LOJAS AMERICANAS</v>
      </c>
      <c r="K127" s="3">
        <f>VLOOKUP(Table_Sheet1[[#This Row],[Store Name]],'lojas comp prom'!B:Z,25,0)</f>
        <v>80</v>
      </c>
      <c r="L127" s="3" t="str">
        <f>VLOOKUP(Table_Sheet1[[#This Row],[Store Name]],'lojas comp prom'!B:S,18,0)</f>
        <v>Shopping Interlagos</v>
      </c>
      <c r="M127" s="3">
        <f>VLOOKUP(Table_Sheet1[[#This Row],[Store Name]],'lojas comp prom'!B:AA,26,0)</f>
        <v>0</v>
      </c>
      <c r="N127" s="3" t="str">
        <f>VLOOKUP(Table_Sheet1[[#This Row],[Store Name]],'lojas comp prom'!B:L,11,0)</f>
        <v>SPC</v>
      </c>
    </row>
    <row r="128" spans="1:14" x14ac:dyDescent="0.2">
      <c r="A128" s="1">
        <v>46113.625</v>
      </c>
      <c r="B128" s="2">
        <f>MOD(Table_Sheet1[[#This Row],[Date/Time]],1)</f>
        <v>0.625</v>
      </c>
      <c r="C128" t="s">
        <v>23</v>
      </c>
      <c r="D128" t="s">
        <v>24</v>
      </c>
      <c r="E128" t="s">
        <v>27</v>
      </c>
      <c r="F128" t="s">
        <v>27</v>
      </c>
      <c r="G128">
        <v>2</v>
      </c>
      <c r="H128" s="3" t="str">
        <f>VLOOKUP(Table_Sheet1[[#This Row],[Device Name]],'[1]AParelhos_&amp;_LOJAS'!$C:$H,6,0)</f>
        <v>G56</v>
      </c>
      <c r="I128" s="3" t="str">
        <f>VLOOKUP(Table_Sheet1[[#This Row],[Device Name]],'[1]AParelhos_&amp;_LOJAS'!$C:$I,7,0)</f>
        <v>256 GB</v>
      </c>
      <c r="J128" s="3" t="str">
        <f>VLOOKUP(Table_Sheet1[[#This Row],[Store Name]],'lojas comp prom'!B:T,19,0)</f>
        <v>LOJAS AMERICANAS</v>
      </c>
      <c r="K128" s="3">
        <f>VLOOKUP(Table_Sheet1[[#This Row],[Store Name]],'lojas comp prom'!B:Z,25,0)</f>
        <v>80</v>
      </c>
      <c r="L128" s="3" t="str">
        <f>VLOOKUP(Table_Sheet1[[#This Row],[Store Name]],'lojas comp prom'!B:S,18,0)</f>
        <v>Shopping Interlagos</v>
      </c>
      <c r="M128" s="3">
        <f>VLOOKUP(Table_Sheet1[[#This Row],[Store Name]],'lojas comp prom'!B:AA,26,0)</f>
        <v>0</v>
      </c>
      <c r="N128" s="3" t="str">
        <f>VLOOKUP(Table_Sheet1[[#This Row],[Store Name]],'lojas comp prom'!B:L,11,0)</f>
        <v>SPC</v>
      </c>
    </row>
    <row r="129" spans="1:14" x14ac:dyDescent="0.2">
      <c r="A129" s="1">
        <v>46113.625</v>
      </c>
      <c r="B129" s="2">
        <f>MOD(Table_Sheet1[[#This Row],[Date/Time]],1)</f>
        <v>0.625</v>
      </c>
      <c r="C129" t="s">
        <v>23</v>
      </c>
      <c r="D129" t="s">
        <v>24</v>
      </c>
      <c r="E129" t="s">
        <v>28</v>
      </c>
      <c r="F129" t="s">
        <v>28</v>
      </c>
      <c r="G129">
        <v>1</v>
      </c>
      <c r="H129" s="3" t="str">
        <f>VLOOKUP(Table_Sheet1[[#This Row],[Device Name]],'[1]AParelhos_&amp;_LOJAS'!$C:$H,6,0)</f>
        <v>G67</v>
      </c>
      <c r="I129" s="3" t="str">
        <f>VLOOKUP(Table_Sheet1[[#This Row],[Device Name]],'[1]AParelhos_&amp;_LOJAS'!$C:$I,7,0)</f>
        <v>256 GB</v>
      </c>
      <c r="J129" s="3" t="str">
        <f>VLOOKUP(Table_Sheet1[[#This Row],[Store Name]],'lojas comp prom'!B:T,19,0)</f>
        <v>LOJAS AMERICANAS</v>
      </c>
      <c r="K129" s="3">
        <f>VLOOKUP(Table_Sheet1[[#This Row],[Store Name]],'lojas comp prom'!B:Z,25,0)</f>
        <v>80</v>
      </c>
      <c r="L129" s="3" t="str">
        <f>VLOOKUP(Table_Sheet1[[#This Row],[Store Name]],'lojas comp prom'!B:S,18,0)</f>
        <v>Shopping Interlagos</v>
      </c>
      <c r="M129" s="3">
        <f>VLOOKUP(Table_Sheet1[[#This Row],[Store Name]],'lojas comp prom'!B:AA,26,0)</f>
        <v>0</v>
      </c>
      <c r="N129" s="3" t="str">
        <f>VLOOKUP(Table_Sheet1[[#This Row],[Store Name]],'lojas comp prom'!B:L,11,0)</f>
        <v>SPC</v>
      </c>
    </row>
    <row r="130" spans="1:14" x14ac:dyDescent="0.2">
      <c r="A130" s="1">
        <v>46113.625</v>
      </c>
      <c r="B130" s="2">
        <f>MOD(Table_Sheet1[[#This Row],[Date/Time]],1)</f>
        <v>0.625</v>
      </c>
      <c r="C130" t="s">
        <v>23</v>
      </c>
      <c r="D130" t="s">
        <v>24</v>
      </c>
      <c r="E130" t="s">
        <v>29</v>
      </c>
      <c r="F130" t="s">
        <v>29</v>
      </c>
      <c r="G130">
        <v>2</v>
      </c>
      <c r="H130" s="3" t="str">
        <f>VLOOKUP(Table_Sheet1[[#This Row],[Device Name]],'[1]AParelhos_&amp;_LOJAS'!$C:$H,6,0)</f>
        <v>G77</v>
      </c>
      <c r="I130" s="3" t="str">
        <f>VLOOKUP(Table_Sheet1[[#This Row],[Device Name]],'[1]AParelhos_&amp;_LOJAS'!$C:$I,7,0)</f>
        <v>256 GB</v>
      </c>
      <c r="J130" s="3" t="str">
        <f>VLOOKUP(Table_Sheet1[[#This Row],[Store Name]],'lojas comp prom'!B:T,19,0)</f>
        <v>LOJAS AMERICANAS</v>
      </c>
      <c r="K130" s="3">
        <f>VLOOKUP(Table_Sheet1[[#This Row],[Store Name]],'lojas comp prom'!B:Z,25,0)</f>
        <v>80</v>
      </c>
      <c r="L130" s="3" t="str">
        <f>VLOOKUP(Table_Sheet1[[#This Row],[Store Name]],'lojas comp prom'!B:S,18,0)</f>
        <v>Shopping Interlagos</v>
      </c>
      <c r="M130" s="3">
        <f>VLOOKUP(Table_Sheet1[[#This Row],[Store Name]],'lojas comp prom'!B:AA,26,0)</f>
        <v>0</v>
      </c>
      <c r="N130" s="3" t="str">
        <f>VLOOKUP(Table_Sheet1[[#This Row],[Store Name]],'lojas comp prom'!B:L,11,0)</f>
        <v>SPC</v>
      </c>
    </row>
    <row r="131" spans="1:14" x14ac:dyDescent="0.2">
      <c r="A131" s="1">
        <v>46113.666666666672</v>
      </c>
      <c r="B131" s="2">
        <f>MOD(Table_Sheet1[[#This Row],[Date/Time]],1)</f>
        <v>0.66666666667151731</v>
      </c>
      <c r="C131" t="s">
        <v>41</v>
      </c>
      <c r="D131" t="s">
        <v>42</v>
      </c>
      <c r="E131" t="s">
        <v>48</v>
      </c>
      <c r="F131" t="s">
        <v>48</v>
      </c>
      <c r="G131">
        <v>1</v>
      </c>
      <c r="H131" s="3" t="str">
        <f>VLOOKUP(Table_Sheet1[[#This Row],[Device Name]],'[1]AParelhos_&amp;_LOJAS'!$C:$H,6,0)</f>
        <v>G17</v>
      </c>
      <c r="I131" s="3" t="str">
        <f>VLOOKUP(Table_Sheet1[[#This Row],[Device Name]],'[1]AParelhos_&amp;_LOJAS'!$C:$I,7,0)</f>
        <v>128 GB</v>
      </c>
      <c r="J131" s="3" t="str">
        <f>VLOOKUP(Table_Sheet1[[#This Row],[Store Name]],'lojas comp prom'!B:T,19,0)</f>
        <v>CASAS BAHIA</v>
      </c>
      <c r="K131" s="3">
        <f>VLOOKUP(Table_Sheet1[[#This Row],[Store Name]],'lojas comp prom'!B:Z,25,0)</f>
        <v>80</v>
      </c>
      <c r="L131" s="3" t="str">
        <f>VLOOKUP(Table_Sheet1[[#This Row],[Store Name]],'lojas comp prom'!B:S,18,0)</f>
        <v>Loja De Rua</v>
      </c>
      <c r="M131" s="3">
        <f>VLOOKUP(Table_Sheet1[[#This Row],[Store Name]],'lojas comp prom'!B:AA,26,0)</f>
        <v>0</v>
      </c>
      <c r="N131" s="3" t="str">
        <f>VLOOKUP(Table_Sheet1[[#This Row],[Store Name]],'lojas comp prom'!B:L,11,0)</f>
        <v>SPC</v>
      </c>
    </row>
    <row r="132" spans="1:14" x14ac:dyDescent="0.2">
      <c r="A132" s="1">
        <v>46113.666666666672</v>
      </c>
      <c r="B132" s="2">
        <f>MOD(Table_Sheet1[[#This Row],[Date/Time]],1)</f>
        <v>0.66666666667151731</v>
      </c>
      <c r="C132" t="s">
        <v>41</v>
      </c>
      <c r="D132" t="s">
        <v>42</v>
      </c>
      <c r="E132" t="s">
        <v>52</v>
      </c>
      <c r="F132" t="s">
        <v>52</v>
      </c>
      <c r="G132">
        <v>6</v>
      </c>
      <c r="H132" s="3" t="str">
        <f>VLOOKUP(Table_Sheet1[[#This Row],[Device Name]],'[1]AParelhos_&amp;_LOJAS'!$C:$H,6,0)</f>
        <v>G86</v>
      </c>
      <c r="I132" s="3" t="str">
        <f>VLOOKUP(Table_Sheet1[[#This Row],[Device Name]],'[1]AParelhos_&amp;_LOJAS'!$C:$I,7,0)</f>
        <v>512 GB</v>
      </c>
      <c r="J132" s="3" t="str">
        <f>VLOOKUP(Table_Sheet1[[#This Row],[Store Name]],'lojas comp prom'!B:T,19,0)</f>
        <v>CASAS BAHIA</v>
      </c>
      <c r="K132" s="3">
        <f>VLOOKUP(Table_Sheet1[[#This Row],[Store Name]],'lojas comp prom'!B:Z,25,0)</f>
        <v>80</v>
      </c>
      <c r="L132" s="3" t="str">
        <f>VLOOKUP(Table_Sheet1[[#This Row],[Store Name]],'lojas comp prom'!B:S,18,0)</f>
        <v>Loja De Rua</v>
      </c>
      <c r="M132" s="3">
        <f>VLOOKUP(Table_Sheet1[[#This Row],[Store Name]],'lojas comp prom'!B:AA,26,0)</f>
        <v>0</v>
      </c>
      <c r="N132" s="3" t="str">
        <f>VLOOKUP(Table_Sheet1[[#This Row],[Store Name]],'lojas comp prom'!B:L,11,0)</f>
        <v>SPC</v>
      </c>
    </row>
    <row r="133" spans="1:14" x14ac:dyDescent="0.2">
      <c r="A133" s="1">
        <v>46113.666666666672</v>
      </c>
      <c r="B133" s="2">
        <f>MOD(Table_Sheet1[[#This Row],[Date/Time]],1)</f>
        <v>0.66666666667151731</v>
      </c>
      <c r="C133" t="s">
        <v>53</v>
      </c>
      <c r="D133" t="s">
        <v>54</v>
      </c>
      <c r="E133" t="s">
        <v>55</v>
      </c>
      <c r="F133" t="s">
        <v>55</v>
      </c>
      <c r="G133">
        <v>1</v>
      </c>
      <c r="H133" s="3" t="str">
        <f>VLOOKUP(Table_Sheet1[[#This Row],[Device Name]],'[1]AParelhos_&amp;_LOJAS'!$C:$H,6,0)</f>
        <v>Edge 50 Fusion</v>
      </c>
      <c r="I133" s="3" t="str">
        <f>VLOOKUP(Table_Sheet1[[#This Row],[Device Name]],'[1]AParelhos_&amp;_LOJAS'!$C:$I,7,0)</f>
        <v>256 GB</v>
      </c>
      <c r="J133" s="3" t="str">
        <f>VLOOKUP(Table_Sheet1[[#This Row],[Store Name]],'lojas comp prom'!B:T,19,0)</f>
        <v>CASAS BAHIA</v>
      </c>
      <c r="K133" s="3">
        <f>VLOOKUP(Table_Sheet1[[#This Row],[Store Name]],'lojas comp prom'!B:Z,25,0)</f>
        <v>80</v>
      </c>
      <c r="L133" s="3" t="str">
        <f>VLOOKUP(Table_Sheet1[[#This Row],[Store Name]],'lojas comp prom'!B:S,18,0)</f>
        <v>Loja De Rua</v>
      </c>
      <c r="M133" s="3">
        <f>VLOOKUP(Table_Sheet1[[#This Row],[Store Name]],'lojas comp prom'!B:AA,26,0)</f>
        <v>0</v>
      </c>
      <c r="N133" s="3" t="str">
        <f>VLOOKUP(Table_Sheet1[[#This Row],[Store Name]],'lojas comp prom'!B:L,11,0)</f>
        <v>SPC</v>
      </c>
    </row>
    <row r="134" spans="1:14" x14ac:dyDescent="0.2">
      <c r="A134" s="1">
        <v>46113.666666666672</v>
      </c>
      <c r="B134" s="2">
        <f>MOD(Table_Sheet1[[#This Row],[Date/Time]],1)</f>
        <v>0.66666666667151731</v>
      </c>
      <c r="C134" t="s">
        <v>53</v>
      </c>
      <c r="D134" t="s">
        <v>54</v>
      </c>
      <c r="E134" t="s">
        <v>56</v>
      </c>
      <c r="F134" t="s">
        <v>56</v>
      </c>
      <c r="G134">
        <v>1</v>
      </c>
      <c r="H134" s="3" t="str">
        <f>VLOOKUP(Table_Sheet1[[#This Row],[Device Name]],'[1]AParelhos_&amp;_LOJAS'!$C:$H,6,0)</f>
        <v>Edge 50 Neo</v>
      </c>
      <c r="I134" s="3" t="str">
        <f>VLOOKUP(Table_Sheet1[[#This Row],[Device Name]],'[1]AParelhos_&amp;_LOJAS'!$C:$I,7,0)</f>
        <v>256 GB</v>
      </c>
      <c r="J134" s="3" t="str">
        <f>VLOOKUP(Table_Sheet1[[#This Row],[Store Name]],'lojas comp prom'!B:T,19,0)</f>
        <v>CASAS BAHIA</v>
      </c>
      <c r="K134" s="3">
        <f>VLOOKUP(Table_Sheet1[[#This Row],[Store Name]],'lojas comp prom'!B:Z,25,0)</f>
        <v>80</v>
      </c>
      <c r="L134" s="3" t="str">
        <f>VLOOKUP(Table_Sheet1[[#This Row],[Store Name]],'lojas comp prom'!B:S,18,0)</f>
        <v>Loja De Rua</v>
      </c>
      <c r="M134" s="3">
        <f>VLOOKUP(Table_Sheet1[[#This Row],[Store Name]],'lojas comp prom'!B:AA,26,0)</f>
        <v>0</v>
      </c>
      <c r="N134" s="3" t="str">
        <f>VLOOKUP(Table_Sheet1[[#This Row],[Store Name]],'lojas comp prom'!B:L,11,0)</f>
        <v>SPC</v>
      </c>
    </row>
    <row r="135" spans="1:14" x14ac:dyDescent="0.2">
      <c r="A135" s="1">
        <v>46113.666666666672</v>
      </c>
      <c r="B135" s="2">
        <f>MOD(Table_Sheet1[[#This Row],[Date/Time]],1)</f>
        <v>0.66666666667151731</v>
      </c>
      <c r="C135" t="s">
        <v>53</v>
      </c>
      <c r="D135" t="s">
        <v>54</v>
      </c>
      <c r="E135" t="s">
        <v>62</v>
      </c>
      <c r="F135" t="s">
        <v>62</v>
      </c>
      <c r="G135">
        <v>1</v>
      </c>
      <c r="H135" s="3" t="str">
        <f>VLOOKUP(Table_Sheet1[[#This Row],[Device Name]],'[1]AParelhos_&amp;_LOJAS'!$C:$H,6,0)</f>
        <v>G55</v>
      </c>
      <c r="I135" s="3" t="str">
        <f>VLOOKUP(Table_Sheet1[[#This Row],[Device Name]],'[1]AParelhos_&amp;_LOJAS'!$C:$I,7,0)</f>
        <v>256 GB</v>
      </c>
      <c r="J135" s="3" t="str">
        <f>VLOOKUP(Table_Sheet1[[#This Row],[Store Name]],'lojas comp prom'!B:T,19,0)</f>
        <v>CASAS BAHIA</v>
      </c>
      <c r="K135" s="3">
        <f>VLOOKUP(Table_Sheet1[[#This Row],[Store Name]],'lojas comp prom'!B:Z,25,0)</f>
        <v>80</v>
      </c>
      <c r="L135" s="3" t="str">
        <f>VLOOKUP(Table_Sheet1[[#This Row],[Store Name]],'lojas comp prom'!B:S,18,0)</f>
        <v>Loja De Rua</v>
      </c>
      <c r="M135" s="3">
        <f>VLOOKUP(Table_Sheet1[[#This Row],[Store Name]],'lojas comp prom'!B:AA,26,0)</f>
        <v>0</v>
      </c>
      <c r="N135" s="3" t="str">
        <f>VLOOKUP(Table_Sheet1[[#This Row],[Store Name]],'lojas comp prom'!B:L,11,0)</f>
        <v>SPC</v>
      </c>
    </row>
    <row r="136" spans="1:14" x14ac:dyDescent="0.2">
      <c r="A136" s="1">
        <v>46113.666666666672</v>
      </c>
      <c r="B136" s="2">
        <f>MOD(Table_Sheet1[[#This Row],[Date/Time]],1)</f>
        <v>0.66666666667151731</v>
      </c>
      <c r="C136" t="s">
        <v>8</v>
      </c>
      <c r="D136" t="s">
        <v>9</v>
      </c>
      <c r="E136" t="s">
        <v>10</v>
      </c>
      <c r="F136" t="s">
        <v>10</v>
      </c>
      <c r="G136">
        <v>3</v>
      </c>
      <c r="H136" s="3" t="str">
        <f>VLOOKUP(Table_Sheet1[[#This Row],[Device Name]],'[1]AParelhos_&amp;_LOJAS'!$C:$H,6,0)</f>
        <v>Edge 50 Fusion</v>
      </c>
      <c r="I136" s="3" t="str">
        <f>VLOOKUP(Table_Sheet1[[#This Row],[Device Name]],'[1]AParelhos_&amp;_LOJAS'!$C:$I,7,0)</f>
        <v>256 GB</v>
      </c>
      <c r="J136" s="3" t="str">
        <f>VLOOKUP(Table_Sheet1[[#This Row],[Store Name]],'lojas comp prom'!B:T,19,0)</f>
        <v>PONTO FRIO</v>
      </c>
      <c r="K136" s="3">
        <f>VLOOKUP(Table_Sheet1[[#This Row],[Store Name]],'lojas comp prom'!B:Z,25,0)</f>
        <v>80</v>
      </c>
      <c r="L136" s="3" t="str">
        <f>VLOOKUP(Table_Sheet1[[#This Row],[Store Name]],'lojas comp prom'!B:S,18,0)</f>
        <v>Shopping Interlagos</v>
      </c>
      <c r="M136" s="3">
        <f>VLOOKUP(Table_Sheet1[[#This Row],[Store Name]],'lojas comp prom'!B:AA,26,0)</f>
        <v>0</v>
      </c>
      <c r="N136" s="3" t="str">
        <f>VLOOKUP(Table_Sheet1[[#This Row],[Store Name]],'lojas comp prom'!B:L,11,0)</f>
        <v>SPC</v>
      </c>
    </row>
    <row r="137" spans="1:14" x14ac:dyDescent="0.2">
      <c r="A137" s="1">
        <v>46113.666666666672</v>
      </c>
      <c r="B137" s="2">
        <f>MOD(Table_Sheet1[[#This Row],[Date/Time]],1)</f>
        <v>0.66666666667151731</v>
      </c>
      <c r="C137" t="s">
        <v>8</v>
      </c>
      <c r="D137" t="s">
        <v>9</v>
      </c>
      <c r="E137" t="s">
        <v>17</v>
      </c>
      <c r="F137" t="s">
        <v>17</v>
      </c>
      <c r="G137">
        <v>1</v>
      </c>
      <c r="H137" s="3" t="str">
        <f>VLOOKUP(Table_Sheet1[[#This Row],[Device Name]],'[1]AParelhos_&amp;_LOJAS'!$C:$H,6,0)</f>
        <v xml:space="preserve">Edge 60 Fusion </v>
      </c>
      <c r="I137" s="3" t="str">
        <f>VLOOKUP(Table_Sheet1[[#This Row],[Device Name]],'[1]AParelhos_&amp;_LOJAS'!$C:$I,7,0)</f>
        <v>256 GB</v>
      </c>
      <c r="J137" s="3" t="str">
        <f>VLOOKUP(Table_Sheet1[[#This Row],[Store Name]],'lojas comp prom'!B:T,19,0)</f>
        <v>PONTO FRIO</v>
      </c>
      <c r="K137" s="3">
        <f>VLOOKUP(Table_Sheet1[[#This Row],[Store Name]],'lojas comp prom'!B:Z,25,0)</f>
        <v>80</v>
      </c>
      <c r="L137" s="3" t="str">
        <f>VLOOKUP(Table_Sheet1[[#This Row],[Store Name]],'lojas comp prom'!B:S,18,0)</f>
        <v>Shopping Interlagos</v>
      </c>
      <c r="M137" s="3">
        <f>VLOOKUP(Table_Sheet1[[#This Row],[Store Name]],'lojas comp prom'!B:AA,26,0)</f>
        <v>0</v>
      </c>
      <c r="N137" s="3" t="str">
        <f>VLOOKUP(Table_Sheet1[[#This Row],[Store Name]],'lojas comp prom'!B:L,11,0)</f>
        <v>SPC</v>
      </c>
    </row>
    <row r="138" spans="1:14" x14ac:dyDescent="0.2">
      <c r="A138" s="1">
        <v>46113.666666666672</v>
      </c>
      <c r="B138" s="2">
        <f>MOD(Table_Sheet1[[#This Row],[Date/Time]],1)</f>
        <v>0.66666666667151731</v>
      </c>
      <c r="C138" t="s">
        <v>8</v>
      </c>
      <c r="D138" t="s">
        <v>9</v>
      </c>
      <c r="E138" t="s">
        <v>11</v>
      </c>
      <c r="F138" t="s">
        <v>11</v>
      </c>
      <c r="G138">
        <v>1</v>
      </c>
      <c r="H138" s="3" t="str">
        <f>VLOOKUP(Table_Sheet1[[#This Row],[Device Name]],'[1]AParelhos_&amp;_LOJAS'!$C:$H,6,0)</f>
        <v>G06</v>
      </c>
      <c r="I138" s="3" t="str">
        <f>VLOOKUP(Table_Sheet1[[#This Row],[Device Name]],'[1]AParelhos_&amp;_LOJAS'!$C:$I,7,0)</f>
        <v>128 GB</v>
      </c>
      <c r="J138" s="3" t="str">
        <f>VLOOKUP(Table_Sheet1[[#This Row],[Store Name]],'lojas comp prom'!B:T,19,0)</f>
        <v>PONTO FRIO</v>
      </c>
      <c r="K138" s="3">
        <f>VLOOKUP(Table_Sheet1[[#This Row],[Store Name]],'lojas comp prom'!B:Z,25,0)</f>
        <v>80</v>
      </c>
      <c r="L138" s="3" t="str">
        <f>VLOOKUP(Table_Sheet1[[#This Row],[Store Name]],'lojas comp prom'!B:S,18,0)</f>
        <v>Shopping Interlagos</v>
      </c>
      <c r="M138" s="3">
        <f>VLOOKUP(Table_Sheet1[[#This Row],[Store Name]],'lojas comp prom'!B:AA,26,0)</f>
        <v>0</v>
      </c>
      <c r="N138" s="3" t="str">
        <f>VLOOKUP(Table_Sheet1[[#This Row],[Store Name]],'lojas comp prom'!B:L,11,0)</f>
        <v>SPC</v>
      </c>
    </row>
    <row r="139" spans="1:14" x14ac:dyDescent="0.2">
      <c r="A139" s="1">
        <v>46113.666666666672</v>
      </c>
      <c r="B139" s="2">
        <f>MOD(Table_Sheet1[[#This Row],[Date/Time]],1)</f>
        <v>0.66666666667151731</v>
      </c>
      <c r="C139" t="s">
        <v>8</v>
      </c>
      <c r="D139" t="s">
        <v>9</v>
      </c>
      <c r="E139" t="s">
        <v>12</v>
      </c>
      <c r="F139" t="s">
        <v>12</v>
      </c>
      <c r="G139">
        <v>6</v>
      </c>
      <c r="H139" s="3" t="str">
        <f>VLOOKUP(Table_Sheet1[[#This Row],[Device Name]],'[1]AParelhos_&amp;_LOJAS'!$C:$H,6,0)</f>
        <v>G15</v>
      </c>
      <c r="I139" s="3" t="str">
        <f>VLOOKUP(Table_Sheet1[[#This Row],[Device Name]],'[1]AParelhos_&amp;_LOJAS'!$C:$I,7,0)</f>
        <v>256 GB</v>
      </c>
      <c r="J139" s="3" t="str">
        <f>VLOOKUP(Table_Sheet1[[#This Row],[Store Name]],'lojas comp prom'!B:T,19,0)</f>
        <v>PONTO FRIO</v>
      </c>
      <c r="K139" s="3">
        <f>VLOOKUP(Table_Sheet1[[#This Row],[Store Name]],'lojas comp prom'!B:Z,25,0)</f>
        <v>80</v>
      </c>
      <c r="L139" s="3" t="str">
        <f>VLOOKUP(Table_Sheet1[[#This Row],[Store Name]],'lojas comp prom'!B:S,18,0)</f>
        <v>Shopping Interlagos</v>
      </c>
      <c r="M139" s="3">
        <f>VLOOKUP(Table_Sheet1[[#This Row],[Store Name]],'lojas comp prom'!B:AA,26,0)</f>
        <v>0</v>
      </c>
      <c r="N139" s="3" t="str">
        <f>VLOOKUP(Table_Sheet1[[#This Row],[Store Name]],'lojas comp prom'!B:L,11,0)</f>
        <v>SPC</v>
      </c>
    </row>
    <row r="140" spans="1:14" x14ac:dyDescent="0.2">
      <c r="A140" s="1">
        <v>46113.666666666672</v>
      </c>
      <c r="B140" s="2">
        <f>MOD(Table_Sheet1[[#This Row],[Date/Time]],1)</f>
        <v>0.66666666667151731</v>
      </c>
      <c r="C140" t="s">
        <v>8</v>
      </c>
      <c r="D140" t="s">
        <v>9</v>
      </c>
      <c r="E140" t="s">
        <v>19</v>
      </c>
      <c r="F140" t="s">
        <v>19</v>
      </c>
      <c r="G140">
        <v>2</v>
      </c>
      <c r="H140" s="3" t="str">
        <f>VLOOKUP(Table_Sheet1[[#This Row],[Device Name]],'[1]AParelhos_&amp;_LOJAS'!$C:$H,6,0)</f>
        <v>G35</v>
      </c>
      <c r="I140" s="3" t="str">
        <f>VLOOKUP(Table_Sheet1[[#This Row],[Device Name]],'[1]AParelhos_&amp;_LOJAS'!$C:$I,7,0)</f>
        <v>256 GB</v>
      </c>
      <c r="J140" s="3" t="str">
        <f>VLOOKUP(Table_Sheet1[[#This Row],[Store Name]],'lojas comp prom'!B:T,19,0)</f>
        <v>PONTO FRIO</v>
      </c>
      <c r="K140" s="3">
        <f>VLOOKUP(Table_Sheet1[[#This Row],[Store Name]],'lojas comp prom'!B:Z,25,0)</f>
        <v>80</v>
      </c>
      <c r="L140" s="3" t="str">
        <f>VLOOKUP(Table_Sheet1[[#This Row],[Store Name]],'lojas comp prom'!B:S,18,0)</f>
        <v>Shopping Interlagos</v>
      </c>
      <c r="M140" s="3">
        <f>VLOOKUP(Table_Sheet1[[#This Row],[Store Name]],'lojas comp prom'!B:AA,26,0)</f>
        <v>0</v>
      </c>
      <c r="N140" s="3" t="str">
        <f>VLOOKUP(Table_Sheet1[[#This Row],[Store Name]],'lojas comp prom'!B:L,11,0)</f>
        <v>SPC</v>
      </c>
    </row>
    <row r="141" spans="1:14" x14ac:dyDescent="0.2">
      <c r="A141" s="1">
        <v>46113.666666666672</v>
      </c>
      <c r="B141" s="2">
        <f>MOD(Table_Sheet1[[#This Row],[Date/Time]],1)</f>
        <v>0.66666666667151731</v>
      </c>
      <c r="C141" t="s">
        <v>8</v>
      </c>
      <c r="D141" t="s">
        <v>9</v>
      </c>
      <c r="E141" t="s">
        <v>20</v>
      </c>
      <c r="F141" t="s">
        <v>20</v>
      </c>
      <c r="G141">
        <v>1</v>
      </c>
      <c r="H141" s="3" t="s">
        <v>33</v>
      </c>
      <c r="I141" s="3" t="s">
        <v>35</v>
      </c>
      <c r="J141" s="3" t="str">
        <f>VLOOKUP(Table_Sheet1[[#This Row],[Store Name]],'lojas comp prom'!B:T,19,0)</f>
        <v>PONTO FRIO</v>
      </c>
      <c r="K141" s="3">
        <f>VLOOKUP(Table_Sheet1[[#This Row],[Store Name]],'lojas comp prom'!B:Z,25,0)</f>
        <v>80</v>
      </c>
      <c r="L141" s="3" t="str">
        <f>VLOOKUP(Table_Sheet1[[#This Row],[Store Name]],'lojas comp prom'!B:S,18,0)</f>
        <v>Shopping Interlagos</v>
      </c>
      <c r="M141" s="3">
        <f>VLOOKUP(Table_Sheet1[[#This Row],[Store Name]],'lojas comp prom'!B:AA,26,0)</f>
        <v>0</v>
      </c>
      <c r="N141" s="3" t="str">
        <f>VLOOKUP(Table_Sheet1[[#This Row],[Store Name]],'lojas comp prom'!B:L,11,0)</f>
        <v>SPC</v>
      </c>
    </row>
    <row r="142" spans="1:14" x14ac:dyDescent="0.2">
      <c r="A142" s="1">
        <v>46113.666666666672</v>
      </c>
      <c r="B142" s="2">
        <f>MOD(Table_Sheet1[[#This Row],[Date/Time]],1)</f>
        <v>0.66666666667151731</v>
      </c>
      <c r="C142" t="s">
        <v>8</v>
      </c>
      <c r="D142" t="s">
        <v>9</v>
      </c>
      <c r="E142" t="s">
        <v>15</v>
      </c>
      <c r="F142" t="s">
        <v>15</v>
      </c>
      <c r="G142">
        <v>2</v>
      </c>
      <c r="H142" s="3" t="str">
        <f>VLOOKUP(Table_Sheet1[[#This Row],[Device Name]],'[1]AParelhos_&amp;_LOJAS'!$C:$H,6,0)</f>
        <v>G75</v>
      </c>
      <c r="I142" s="3" t="str">
        <f>VLOOKUP(Table_Sheet1[[#This Row],[Device Name]],'[1]AParelhos_&amp;_LOJAS'!$C:$I,7,0)</f>
        <v>256 GB</v>
      </c>
      <c r="J142" s="3" t="str">
        <f>VLOOKUP(Table_Sheet1[[#This Row],[Store Name]],'lojas comp prom'!B:T,19,0)</f>
        <v>PONTO FRIO</v>
      </c>
      <c r="K142" s="3">
        <f>VLOOKUP(Table_Sheet1[[#This Row],[Store Name]],'lojas comp prom'!B:Z,25,0)</f>
        <v>80</v>
      </c>
      <c r="L142" s="3" t="str">
        <f>VLOOKUP(Table_Sheet1[[#This Row],[Store Name]],'lojas comp prom'!B:S,18,0)</f>
        <v>Shopping Interlagos</v>
      </c>
      <c r="M142" s="3">
        <f>VLOOKUP(Table_Sheet1[[#This Row],[Store Name]],'lojas comp prom'!B:AA,26,0)</f>
        <v>0</v>
      </c>
      <c r="N142" s="3" t="str">
        <f>VLOOKUP(Table_Sheet1[[#This Row],[Store Name]],'lojas comp prom'!B:L,11,0)</f>
        <v>SPC</v>
      </c>
    </row>
    <row r="143" spans="1:14" x14ac:dyDescent="0.2">
      <c r="A143" s="1">
        <v>46113.666666666672</v>
      </c>
      <c r="B143" s="2">
        <f>MOD(Table_Sheet1[[#This Row],[Date/Time]],1)</f>
        <v>0.66666666667151731</v>
      </c>
      <c r="C143" t="s">
        <v>23</v>
      </c>
      <c r="D143" t="s">
        <v>24</v>
      </c>
      <c r="E143" t="s">
        <v>25</v>
      </c>
      <c r="F143" t="s">
        <v>25</v>
      </c>
      <c r="G143">
        <v>2</v>
      </c>
      <c r="H143" s="3" t="s">
        <v>34</v>
      </c>
      <c r="I143" s="3" t="s">
        <v>35</v>
      </c>
      <c r="J143" s="3" t="str">
        <f>VLOOKUP(Table_Sheet1[[#This Row],[Store Name]],'lojas comp prom'!B:T,19,0)</f>
        <v>LOJAS AMERICANAS</v>
      </c>
      <c r="K143" s="3">
        <f>VLOOKUP(Table_Sheet1[[#This Row],[Store Name]],'lojas comp prom'!B:Z,25,0)</f>
        <v>80</v>
      </c>
      <c r="L143" s="3" t="str">
        <f>VLOOKUP(Table_Sheet1[[#This Row],[Store Name]],'lojas comp prom'!B:S,18,0)</f>
        <v>Shopping Interlagos</v>
      </c>
      <c r="M143" s="3">
        <f>VLOOKUP(Table_Sheet1[[#This Row],[Store Name]],'lojas comp prom'!B:AA,26,0)</f>
        <v>0</v>
      </c>
      <c r="N143" s="3" t="str">
        <f>VLOOKUP(Table_Sheet1[[#This Row],[Store Name]],'lojas comp prom'!B:L,11,0)</f>
        <v>SPC</v>
      </c>
    </row>
    <row r="144" spans="1:14" x14ac:dyDescent="0.2">
      <c r="A144" s="1">
        <v>46113.666666666672</v>
      </c>
      <c r="B144" s="2">
        <f>MOD(Table_Sheet1[[#This Row],[Date/Time]],1)</f>
        <v>0.66666666667151731</v>
      </c>
      <c r="C144" t="s">
        <v>23</v>
      </c>
      <c r="D144" t="s">
        <v>24</v>
      </c>
      <c r="E144" t="s">
        <v>26</v>
      </c>
      <c r="F144" t="s">
        <v>26</v>
      </c>
      <c r="G144">
        <v>1</v>
      </c>
      <c r="H144" s="3" t="str">
        <f>VLOOKUP(Table_Sheet1[[#This Row],[Device Name]],'[1]AParelhos_&amp;_LOJAS'!$C:$H,6,0)</f>
        <v>G35</v>
      </c>
      <c r="I144" s="3" t="str">
        <f>VLOOKUP(Table_Sheet1[[#This Row],[Device Name]],'[1]AParelhos_&amp;_LOJAS'!$C:$I,7,0)</f>
        <v>256 GB</v>
      </c>
      <c r="J144" s="3" t="str">
        <f>VLOOKUP(Table_Sheet1[[#This Row],[Store Name]],'lojas comp prom'!B:T,19,0)</f>
        <v>LOJAS AMERICANAS</v>
      </c>
      <c r="K144" s="3">
        <f>VLOOKUP(Table_Sheet1[[#This Row],[Store Name]],'lojas comp prom'!B:Z,25,0)</f>
        <v>80</v>
      </c>
      <c r="L144" s="3" t="str">
        <f>VLOOKUP(Table_Sheet1[[#This Row],[Store Name]],'lojas comp prom'!B:S,18,0)</f>
        <v>Shopping Interlagos</v>
      </c>
      <c r="M144" s="3">
        <f>VLOOKUP(Table_Sheet1[[#This Row],[Store Name]],'lojas comp prom'!B:AA,26,0)</f>
        <v>0</v>
      </c>
      <c r="N144" s="3" t="str">
        <f>VLOOKUP(Table_Sheet1[[#This Row],[Store Name]],'lojas comp prom'!B:L,11,0)</f>
        <v>SPC</v>
      </c>
    </row>
    <row r="145" spans="1:14" x14ac:dyDescent="0.2">
      <c r="A145" s="1">
        <v>46113.666666666672</v>
      </c>
      <c r="B145" s="2">
        <f>MOD(Table_Sheet1[[#This Row],[Date/Time]],1)</f>
        <v>0.66666666667151731</v>
      </c>
      <c r="C145" t="s">
        <v>23</v>
      </c>
      <c r="D145" t="s">
        <v>24</v>
      </c>
      <c r="E145" t="s">
        <v>27</v>
      </c>
      <c r="F145" t="s">
        <v>27</v>
      </c>
      <c r="G145">
        <v>1</v>
      </c>
      <c r="H145" s="3" t="str">
        <f>VLOOKUP(Table_Sheet1[[#This Row],[Device Name]],'[1]AParelhos_&amp;_LOJAS'!$C:$H,6,0)</f>
        <v>G56</v>
      </c>
      <c r="I145" s="3" t="str">
        <f>VLOOKUP(Table_Sheet1[[#This Row],[Device Name]],'[1]AParelhos_&amp;_LOJAS'!$C:$I,7,0)</f>
        <v>256 GB</v>
      </c>
      <c r="J145" s="3" t="str">
        <f>VLOOKUP(Table_Sheet1[[#This Row],[Store Name]],'lojas comp prom'!B:T,19,0)</f>
        <v>LOJAS AMERICANAS</v>
      </c>
      <c r="K145" s="3">
        <f>VLOOKUP(Table_Sheet1[[#This Row],[Store Name]],'lojas comp prom'!B:Z,25,0)</f>
        <v>80</v>
      </c>
      <c r="L145" s="3" t="str">
        <f>VLOOKUP(Table_Sheet1[[#This Row],[Store Name]],'lojas comp prom'!B:S,18,0)</f>
        <v>Shopping Interlagos</v>
      </c>
      <c r="M145" s="3">
        <f>VLOOKUP(Table_Sheet1[[#This Row],[Store Name]],'lojas comp prom'!B:AA,26,0)</f>
        <v>0</v>
      </c>
      <c r="N145" s="3" t="str">
        <f>VLOOKUP(Table_Sheet1[[#This Row],[Store Name]],'lojas comp prom'!B:L,11,0)</f>
        <v>SPC</v>
      </c>
    </row>
    <row r="146" spans="1:14" x14ac:dyDescent="0.2">
      <c r="A146" s="1">
        <v>46113.666666666672</v>
      </c>
      <c r="B146" s="2">
        <f>MOD(Table_Sheet1[[#This Row],[Date/Time]],1)</f>
        <v>0.66666666667151731</v>
      </c>
      <c r="C146" t="s">
        <v>23</v>
      </c>
      <c r="D146" t="s">
        <v>24</v>
      </c>
      <c r="E146" t="s">
        <v>28</v>
      </c>
      <c r="F146" t="s">
        <v>28</v>
      </c>
      <c r="G146">
        <v>1</v>
      </c>
      <c r="H146" s="3" t="str">
        <f>VLOOKUP(Table_Sheet1[[#This Row],[Device Name]],'[1]AParelhos_&amp;_LOJAS'!$C:$H,6,0)</f>
        <v>G67</v>
      </c>
      <c r="I146" s="3" t="str">
        <f>VLOOKUP(Table_Sheet1[[#This Row],[Device Name]],'[1]AParelhos_&amp;_LOJAS'!$C:$I,7,0)</f>
        <v>256 GB</v>
      </c>
      <c r="J146" s="3" t="str">
        <f>VLOOKUP(Table_Sheet1[[#This Row],[Store Name]],'lojas comp prom'!B:T,19,0)</f>
        <v>LOJAS AMERICANAS</v>
      </c>
      <c r="K146" s="3">
        <f>VLOOKUP(Table_Sheet1[[#This Row],[Store Name]],'lojas comp prom'!B:Z,25,0)</f>
        <v>80</v>
      </c>
      <c r="L146" s="3" t="str">
        <f>VLOOKUP(Table_Sheet1[[#This Row],[Store Name]],'lojas comp prom'!B:S,18,0)</f>
        <v>Shopping Interlagos</v>
      </c>
      <c r="M146" s="3">
        <f>VLOOKUP(Table_Sheet1[[#This Row],[Store Name]],'lojas comp prom'!B:AA,26,0)</f>
        <v>0</v>
      </c>
      <c r="N146" s="3" t="str">
        <f>VLOOKUP(Table_Sheet1[[#This Row],[Store Name]],'lojas comp prom'!B:L,11,0)</f>
        <v>SPC</v>
      </c>
    </row>
    <row r="147" spans="1:14" x14ac:dyDescent="0.2">
      <c r="A147" s="1">
        <v>46113.666666666672</v>
      </c>
      <c r="B147" s="2">
        <f>MOD(Table_Sheet1[[#This Row],[Date/Time]],1)</f>
        <v>0.66666666667151731</v>
      </c>
      <c r="C147" t="s">
        <v>23</v>
      </c>
      <c r="D147" t="s">
        <v>24</v>
      </c>
      <c r="E147" t="s">
        <v>30</v>
      </c>
      <c r="F147" t="s">
        <v>30</v>
      </c>
      <c r="G147">
        <v>2</v>
      </c>
      <c r="H147" s="3" t="str">
        <f>VLOOKUP(Table_Sheet1[[#This Row],[Device Name]],'[1]AParelhos_&amp;_LOJAS'!$C:$H,6,0)</f>
        <v>G86</v>
      </c>
      <c r="I147" s="3" t="str">
        <f>VLOOKUP(Table_Sheet1[[#This Row],[Device Name]],'[1]AParelhos_&amp;_LOJAS'!$C:$I,7,0)</f>
        <v>256 GB</v>
      </c>
      <c r="J147" s="3" t="str">
        <f>VLOOKUP(Table_Sheet1[[#This Row],[Store Name]],'lojas comp prom'!B:T,19,0)</f>
        <v>LOJAS AMERICANAS</v>
      </c>
      <c r="K147" s="3">
        <f>VLOOKUP(Table_Sheet1[[#This Row],[Store Name]],'lojas comp prom'!B:Z,25,0)</f>
        <v>80</v>
      </c>
      <c r="L147" s="3" t="str">
        <f>VLOOKUP(Table_Sheet1[[#This Row],[Store Name]],'lojas comp prom'!B:S,18,0)</f>
        <v>Shopping Interlagos</v>
      </c>
      <c r="M147" s="3">
        <f>VLOOKUP(Table_Sheet1[[#This Row],[Store Name]],'lojas comp prom'!B:AA,26,0)</f>
        <v>0</v>
      </c>
      <c r="N147" s="3" t="str">
        <f>VLOOKUP(Table_Sheet1[[#This Row],[Store Name]],'lojas comp prom'!B:L,11,0)</f>
        <v>SPC</v>
      </c>
    </row>
    <row r="148" spans="1:14" x14ac:dyDescent="0.2">
      <c r="A148" s="1">
        <v>46113.708333333328</v>
      </c>
      <c r="B148" s="2">
        <f>MOD(Table_Sheet1[[#This Row],[Date/Time]],1)</f>
        <v>0.70833333332848269</v>
      </c>
      <c r="C148" t="s">
        <v>41</v>
      </c>
      <c r="D148" t="s">
        <v>42</v>
      </c>
      <c r="E148" t="s">
        <v>43</v>
      </c>
      <c r="F148" t="s">
        <v>43</v>
      </c>
      <c r="G148">
        <v>2</v>
      </c>
      <c r="H148" s="3" t="str">
        <f>VLOOKUP(Table_Sheet1[[#This Row],[Device Name]],'[1]AParelhos_&amp;_LOJAS'!$C:$H,6,0)</f>
        <v xml:space="preserve">Edge 60 Fusion </v>
      </c>
      <c r="I148" s="3" t="str">
        <f>VLOOKUP(Table_Sheet1[[#This Row],[Device Name]],'[1]AParelhos_&amp;_LOJAS'!$C:$I,7,0)</f>
        <v>256 GB</v>
      </c>
      <c r="J148" s="3" t="str">
        <f>VLOOKUP(Table_Sheet1[[#This Row],[Store Name]],'lojas comp prom'!B:T,19,0)</f>
        <v>CASAS BAHIA</v>
      </c>
      <c r="K148" s="3">
        <f>VLOOKUP(Table_Sheet1[[#This Row],[Store Name]],'lojas comp prom'!B:Z,25,0)</f>
        <v>80</v>
      </c>
      <c r="L148" s="3" t="str">
        <f>VLOOKUP(Table_Sheet1[[#This Row],[Store Name]],'lojas comp prom'!B:S,18,0)</f>
        <v>Loja De Rua</v>
      </c>
      <c r="M148" s="3">
        <f>VLOOKUP(Table_Sheet1[[#This Row],[Store Name]],'lojas comp prom'!B:AA,26,0)</f>
        <v>0</v>
      </c>
      <c r="N148" s="3" t="str">
        <f>VLOOKUP(Table_Sheet1[[#This Row],[Store Name]],'lojas comp prom'!B:L,11,0)</f>
        <v>SPC</v>
      </c>
    </row>
    <row r="149" spans="1:14" x14ac:dyDescent="0.2">
      <c r="A149" s="1">
        <v>46113.708333333328</v>
      </c>
      <c r="B149" s="2">
        <f>MOD(Table_Sheet1[[#This Row],[Date/Time]],1)</f>
        <v>0.70833333332848269</v>
      </c>
      <c r="C149" t="s">
        <v>41</v>
      </c>
      <c r="D149" t="s">
        <v>42</v>
      </c>
      <c r="E149" t="s">
        <v>45</v>
      </c>
      <c r="F149" t="s">
        <v>45</v>
      </c>
      <c r="G149">
        <v>6</v>
      </c>
      <c r="H149" s="3" t="str">
        <f>VLOOKUP(Table_Sheet1[[#This Row],[Device Name]],'[1]AParelhos_&amp;_LOJAS'!$C:$H,6,0)</f>
        <v>G05</v>
      </c>
      <c r="I149" s="3" t="str">
        <f>VLOOKUP(Table_Sheet1[[#This Row],[Device Name]],'[1]AParelhos_&amp;_LOJAS'!$C:$I,7,0)</f>
        <v>256 GB</v>
      </c>
      <c r="J149" s="3" t="str">
        <f>VLOOKUP(Table_Sheet1[[#This Row],[Store Name]],'lojas comp prom'!B:T,19,0)</f>
        <v>CASAS BAHIA</v>
      </c>
      <c r="K149" s="3">
        <f>VLOOKUP(Table_Sheet1[[#This Row],[Store Name]],'lojas comp prom'!B:Z,25,0)</f>
        <v>80</v>
      </c>
      <c r="L149" s="3" t="str">
        <f>VLOOKUP(Table_Sheet1[[#This Row],[Store Name]],'lojas comp prom'!B:S,18,0)</f>
        <v>Loja De Rua</v>
      </c>
      <c r="M149" s="3">
        <f>VLOOKUP(Table_Sheet1[[#This Row],[Store Name]],'lojas comp prom'!B:AA,26,0)</f>
        <v>0</v>
      </c>
      <c r="N149" s="3" t="str">
        <f>VLOOKUP(Table_Sheet1[[#This Row],[Store Name]],'lojas comp prom'!B:L,11,0)</f>
        <v>SPC</v>
      </c>
    </row>
    <row r="150" spans="1:14" x14ac:dyDescent="0.2">
      <c r="A150" s="1">
        <v>46113.708333333328</v>
      </c>
      <c r="B150" s="2">
        <f>MOD(Table_Sheet1[[#This Row],[Date/Time]],1)</f>
        <v>0.70833333332848269</v>
      </c>
      <c r="C150" t="s">
        <v>41</v>
      </c>
      <c r="D150" t="s">
        <v>42</v>
      </c>
      <c r="E150" t="s">
        <v>46</v>
      </c>
      <c r="F150" t="s">
        <v>46</v>
      </c>
      <c r="G150">
        <v>3</v>
      </c>
      <c r="H150" s="3" t="str">
        <f>VLOOKUP(Table_Sheet1[[#This Row],[Device Name]],'[1]AParelhos_&amp;_LOJAS'!$C:$H,6,0)</f>
        <v>G06</v>
      </c>
      <c r="I150" s="3" t="str">
        <f>VLOOKUP(Table_Sheet1[[#This Row],[Device Name]],'[1]AParelhos_&amp;_LOJAS'!$C:$I,7,0)</f>
        <v>128 GB</v>
      </c>
      <c r="J150" s="3" t="str">
        <f>VLOOKUP(Table_Sheet1[[#This Row],[Store Name]],'lojas comp prom'!B:T,19,0)</f>
        <v>CASAS BAHIA</v>
      </c>
      <c r="K150" s="3">
        <f>VLOOKUP(Table_Sheet1[[#This Row],[Store Name]],'lojas comp prom'!B:Z,25,0)</f>
        <v>80</v>
      </c>
      <c r="L150" s="3" t="str">
        <f>VLOOKUP(Table_Sheet1[[#This Row],[Store Name]],'lojas comp prom'!B:S,18,0)</f>
        <v>Loja De Rua</v>
      </c>
      <c r="M150" s="3">
        <f>VLOOKUP(Table_Sheet1[[#This Row],[Store Name]],'lojas comp prom'!B:AA,26,0)</f>
        <v>0</v>
      </c>
      <c r="N150" s="3" t="str">
        <f>VLOOKUP(Table_Sheet1[[#This Row],[Store Name]],'lojas comp prom'!B:L,11,0)</f>
        <v>SPC</v>
      </c>
    </row>
    <row r="151" spans="1:14" x14ac:dyDescent="0.2">
      <c r="A151" s="1">
        <v>46113.708333333328</v>
      </c>
      <c r="B151" s="2">
        <f>MOD(Table_Sheet1[[#This Row],[Date/Time]],1)</f>
        <v>0.70833333332848269</v>
      </c>
      <c r="C151" t="s">
        <v>41</v>
      </c>
      <c r="D151" t="s">
        <v>42</v>
      </c>
      <c r="E151" t="s">
        <v>47</v>
      </c>
      <c r="F151" t="s">
        <v>47</v>
      </c>
      <c r="G151">
        <v>3</v>
      </c>
      <c r="H151" s="3" t="str">
        <f>VLOOKUP(Table_Sheet1[[#This Row],[Device Name]],'[1]AParelhos_&amp;_LOJAS'!$C:$H,6,0)</f>
        <v>G06</v>
      </c>
      <c r="I151" s="3" t="str">
        <f>VLOOKUP(Table_Sheet1[[#This Row],[Device Name]],'[1]AParelhos_&amp;_LOJAS'!$C:$I,7,0)</f>
        <v>256 GB</v>
      </c>
      <c r="J151" s="3" t="str">
        <f>VLOOKUP(Table_Sheet1[[#This Row],[Store Name]],'lojas comp prom'!B:T,19,0)</f>
        <v>CASAS BAHIA</v>
      </c>
      <c r="K151" s="3">
        <f>VLOOKUP(Table_Sheet1[[#This Row],[Store Name]],'lojas comp prom'!B:Z,25,0)</f>
        <v>80</v>
      </c>
      <c r="L151" s="3" t="str">
        <f>VLOOKUP(Table_Sheet1[[#This Row],[Store Name]],'lojas comp prom'!B:S,18,0)</f>
        <v>Loja De Rua</v>
      </c>
      <c r="M151" s="3">
        <f>VLOOKUP(Table_Sheet1[[#This Row],[Store Name]],'lojas comp prom'!B:AA,26,0)</f>
        <v>0</v>
      </c>
      <c r="N151" s="3" t="str">
        <f>VLOOKUP(Table_Sheet1[[#This Row],[Store Name]],'lojas comp prom'!B:L,11,0)</f>
        <v>SPC</v>
      </c>
    </row>
    <row r="152" spans="1:14" x14ac:dyDescent="0.2">
      <c r="A152" s="1">
        <v>46113.708333333328</v>
      </c>
      <c r="B152" s="2">
        <f>MOD(Table_Sheet1[[#This Row],[Date/Time]],1)</f>
        <v>0.70833333332848269</v>
      </c>
      <c r="C152" t="s">
        <v>41</v>
      </c>
      <c r="D152" t="s">
        <v>42</v>
      </c>
      <c r="E152" t="s">
        <v>48</v>
      </c>
      <c r="F152" t="s">
        <v>48</v>
      </c>
      <c r="G152">
        <v>5</v>
      </c>
      <c r="H152" s="3" t="str">
        <f>VLOOKUP(Table_Sheet1[[#This Row],[Device Name]],'[1]AParelhos_&amp;_LOJAS'!$C:$H,6,0)</f>
        <v>G17</v>
      </c>
      <c r="I152" s="3" t="str">
        <f>VLOOKUP(Table_Sheet1[[#This Row],[Device Name]],'[1]AParelhos_&amp;_LOJAS'!$C:$I,7,0)</f>
        <v>128 GB</v>
      </c>
      <c r="J152" s="3" t="str">
        <f>VLOOKUP(Table_Sheet1[[#This Row],[Store Name]],'lojas comp prom'!B:T,19,0)</f>
        <v>CASAS BAHIA</v>
      </c>
      <c r="K152" s="3">
        <f>VLOOKUP(Table_Sheet1[[#This Row],[Store Name]],'lojas comp prom'!B:Z,25,0)</f>
        <v>80</v>
      </c>
      <c r="L152" s="3" t="str">
        <f>VLOOKUP(Table_Sheet1[[#This Row],[Store Name]],'lojas comp prom'!B:S,18,0)</f>
        <v>Loja De Rua</v>
      </c>
      <c r="M152" s="3">
        <f>VLOOKUP(Table_Sheet1[[#This Row],[Store Name]],'lojas comp prom'!B:AA,26,0)</f>
        <v>0</v>
      </c>
      <c r="N152" s="3" t="str">
        <f>VLOOKUP(Table_Sheet1[[#This Row],[Store Name]],'lojas comp prom'!B:L,11,0)</f>
        <v>SPC</v>
      </c>
    </row>
    <row r="153" spans="1:14" x14ac:dyDescent="0.2">
      <c r="A153" s="1">
        <v>46113.708333333328</v>
      </c>
      <c r="B153" s="2">
        <f>MOD(Table_Sheet1[[#This Row],[Date/Time]],1)</f>
        <v>0.70833333332848269</v>
      </c>
      <c r="C153" t="s">
        <v>41</v>
      </c>
      <c r="D153" t="s">
        <v>42</v>
      </c>
      <c r="E153" t="s">
        <v>50</v>
      </c>
      <c r="F153" t="s">
        <v>50</v>
      </c>
      <c r="G153">
        <v>3</v>
      </c>
      <c r="H153" s="3" t="str">
        <f>VLOOKUP(Table_Sheet1[[#This Row],[Device Name]],'[1]AParelhos_&amp;_LOJAS'!$C:$H,6,0)</f>
        <v>G56</v>
      </c>
      <c r="I153" s="3" t="str">
        <f>VLOOKUP(Table_Sheet1[[#This Row],[Device Name]],'[1]AParelhos_&amp;_LOJAS'!$C:$I,7,0)</f>
        <v>256 GB</v>
      </c>
      <c r="J153" s="3" t="str">
        <f>VLOOKUP(Table_Sheet1[[#This Row],[Store Name]],'lojas comp prom'!B:T,19,0)</f>
        <v>CASAS BAHIA</v>
      </c>
      <c r="K153" s="3">
        <f>VLOOKUP(Table_Sheet1[[#This Row],[Store Name]],'lojas comp prom'!B:Z,25,0)</f>
        <v>80</v>
      </c>
      <c r="L153" s="3" t="str">
        <f>VLOOKUP(Table_Sheet1[[#This Row],[Store Name]],'lojas comp prom'!B:S,18,0)</f>
        <v>Loja De Rua</v>
      </c>
      <c r="M153" s="3">
        <f>VLOOKUP(Table_Sheet1[[#This Row],[Store Name]],'lojas comp prom'!B:AA,26,0)</f>
        <v>0</v>
      </c>
      <c r="N153" s="3" t="str">
        <f>VLOOKUP(Table_Sheet1[[#This Row],[Store Name]],'lojas comp prom'!B:L,11,0)</f>
        <v>SPC</v>
      </c>
    </row>
    <row r="154" spans="1:14" x14ac:dyDescent="0.2">
      <c r="A154" s="1">
        <v>46113.708333333328</v>
      </c>
      <c r="B154" s="2">
        <f>MOD(Table_Sheet1[[#This Row],[Date/Time]],1)</f>
        <v>0.70833333332848269</v>
      </c>
      <c r="C154" t="s">
        <v>41</v>
      </c>
      <c r="D154" t="s">
        <v>42</v>
      </c>
      <c r="E154" t="s">
        <v>51</v>
      </c>
      <c r="F154" t="s">
        <v>51</v>
      </c>
      <c r="G154">
        <v>4</v>
      </c>
      <c r="H154" s="3" t="str">
        <f>VLOOKUP(Table_Sheet1[[#This Row],[Device Name]],'[1]AParelhos_&amp;_LOJAS'!$C:$H,6,0)</f>
        <v>G86</v>
      </c>
      <c r="I154" s="3" t="str">
        <f>VLOOKUP(Table_Sheet1[[#This Row],[Device Name]],'[1]AParelhos_&amp;_LOJAS'!$C:$I,7,0)</f>
        <v>256 GB</v>
      </c>
      <c r="J154" s="3" t="str">
        <f>VLOOKUP(Table_Sheet1[[#This Row],[Store Name]],'lojas comp prom'!B:T,19,0)</f>
        <v>CASAS BAHIA</v>
      </c>
      <c r="K154" s="3">
        <f>VLOOKUP(Table_Sheet1[[#This Row],[Store Name]],'lojas comp prom'!B:Z,25,0)</f>
        <v>80</v>
      </c>
      <c r="L154" s="3" t="str">
        <f>VLOOKUP(Table_Sheet1[[#This Row],[Store Name]],'lojas comp prom'!B:S,18,0)</f>
        <v>Loja De Rua</v>
      </c>
      <c r="M154" s="3">
        <f>VLOOKUP(Table_Sheet1[[#This Row],[Store Name]],'lojas comp prom'!B:AA,26,0)</f>
        <v>0</v>
      </c>
      <c r="N154" s="3" t="str">
        <f>VLOOKUP(Table_Sheet1[[#This Row],[Store Name]],'lojas comp prom'!B:L,11,0)</f>
        <v>SPC</v>
      </c>
    </row>
    <row r="155" spans="1:14" x14ac:dyDescent="0.2">
      <c r="A155" s="1">
        <v>46113.708333333328</v>
      </c>
      <c r="B155" s="2">
        <f>MOD(Table_Sheet1[[#This Row],[Date/Time]],1)</f>
        <v>0.70833333332848269</v>
      </c>
      <c r="C155" t="s">
        <v>41</v>
      </c>
      <c r="D155" t="s">
        <v>42</v>
      </c>
      <c r="E155" t="s">
        <v>52</v>
      </c>
      <c r="F155" t="s">
        <v>52</v>
      </c>
      <c r="G155">
        <v>4</v>
      </c>
      <c r="H155" s="3" t="str">
        <f>VLOOKUP(Table_Sheet1[[#This Row],[Device Name]],'[1]AParelhos_&amp;_LOJAS'!$C:$H,6,0)</f>
        <v>G86</v>
      </c>
      <c r="I155" s="3" t="str">
        <f>VLOOKUP(Table_Sheet1[[#This Row],[Device Name]],'[1]AParelhos_&amp;_LOJAS'!$C:$I,7,0)</f>
        <v>512 GB</v>
      </c>
      <c r="J155" s="3" t="str">
        <f>VLOOKUP(Table_Sheet1[[#This Row],[Store Name]],'lojas comp prom'!B:T,19,0)</f>
        <v>CASAS BAHIA</v>
      </c>
      <c r="K155" s="3">
        <f>VLOOKUP(Table_Sheet1[[#This Row],[Store Name]],'lojas comp prom'!B:Z,25,0)</f>
        <v>80</v>
      </c>
      <c r="L155" s="3" t="str">
        <f>VLOOKUP(Table_Sheet1[[#This Row],[Store Name]],'lojas comp prom'!B:S,18,0)</f>
        <v>Loja De Rua</v>
      </c>
      <c r="M155" s="3">
        <f>VLOOKUP(Table_Sheet1[[#This Row],[Store Name]],'lojas comp prom'!B:AA,26,0)</f>
        <v>0</v>
      </c>
      <c r="N155" s="3" t="str">
        <f>VLOOKUP(Table_Sheet1[[#This Row],[Store Name]],'lojas comp prom'!B:L,11,0)</f>
        <v>SPC</v>
      </c>
    </row>
    <row r="156" spans="1:14" x14ac:dyDescent="0.2">
      <c r="A156" s="1">
        <v>46113.708333333328</v>
      </c>
      <c r="B156" s="2">
        <f>MOD(Table_Sheet1[[#This Row],[Date/Time]],1)</f>
        <v>0.70833333332848269</v>
      </c>
      <c r="C156" t="s">
        <v>8</v>
      </c>
      <c r="D156" t="s">
        <v>9</v>
      </c>
      <c r="E156" t="s">
        <v>17</v>
      </c>
      <c r="F156" t="s">
        <v>17</v>
      </c>
      <c r="G156">
        <v>3</v>
      </c>
      <c r="H156" s="3" t="str">
        <f>VLOOKUP(Table_Sheet1[[#This Row],[Device Name]],'[1]AParelhos_&amp;_LOJAS'!$C:$H,6,0)</f>
        <v xml:space="preserve">Edge 60 Fusion </v>
      </c>
      <c r="I156" s="3" t="str">
        <f>VLOOKUP(Table_Sheet1[[#This Row],[Device Name]],'[1]AParelhos_&amp;_LOJAS'!$C:$I,7,0)</f>
        <v>256 GB</v>
      </c>
      <c r="J156" s="3" t="str">
        <f>VLOOKUP(Table_Sheet1[[#This Row],[Store Name]],'lojas comp prom'!B:T,19,0)</f>
        <v>PONTO FRIO</v>
      </c>
      <c r="K156" s="3">
        <f>VLOOKUP(Table_Sheet1[[#This Row],[Store Name]],'lojas comp prom'!B:Z,25,0)</f>
        <v>80</v>
      </c>
      <c r="L156" s="3" t="str">
        <f>VLOOKUP(Table_Sheet1[[#This Row],[Store Name]],'lojas comp prom'!B:S,18,0)</f>
        <v>Shopping Interlagos</v>
      </c>
      <c r="M156" s="3">
        <f>VLOOKUP(Table_Sheet1[[#This Row],[Store Name]],'lojas comp prom'!B:AA,26,0)</f>
        <v>0</v>
      </c>
      <c r="N156" s="3" t="str">
        <f>VLOOKUP(Table_Sheet1[[#This Row],[Store Name]],'lojas comp prom'!B:L,11,0)</f>
        <v>SPC</v>
      </c>
    </row>
    <row r="157" spans="1:14" x14ac:dyDescent="0.2">
      <c r="A157" s="1">
        <v>46113.708333333328</v>
      </c>
      <c r="B157" s="2">
        <f>MOD(Table_Sheet1[[#This Row],[Date/Time]],1)</f>
        <v>0.70833333332848269</v>
      </c>
      <c r="C157" t="s">
        <v>8</v>
      </c>
      <c r="D157" t="s">
        <v>9</v>
      </c>
      <c r="E157" t="s">
        <v>11</v>
      </c>
      <c r="F157" t="s">
        <v>11</v>
      </c>
      <c r="G157">
        <v>4</v>
      </c>
      <c r="H157" s="3" t="str">
        <f>VLOOKUP(Table_Sheet1[[#This Row],[Device Name]],'[1]AParelhos_&amp;_LOJAS'!$C:$H,6,0)</f>
        <v>G06</v>
      </c>
      <c r="I157" s="3" t="str">
        <f>VLOOKUP(Table_Sheet1[[#This Row],[Device Name]],'[1]AParelhos_&amp;_LOJAS'!$C:$I,7,0)</f>
        <v>128 GB</v>
      </c>
      <c r="J157" s="3" t="str">
        <f>VLOOKUP(Table_Sheet1[[#This Row],[Store Name]],'lojas comp prom'!B:T,19,0)</f>
        <v>PONTO FRIO</v>
      </c>
      <c r="K157" s="3">
        <f>VLOOKUP(Table_Sheet1[[#This Row],[Store Name]],'lojas comp prom'!B:Z,25,0)</f>
        <v>80</v>
      </c>
      <c r="L157" s="3" t="str">
        <f>VLOOKUP(Table_Sheet1[[#This Row],[Store Name]],'lojas comp prom'!B:S,18,0)</f>
        <v>Shopping Interlagos</v>
      </c>
      <c r="M157" s="3">
        <f>VLOOKUP(Table_Sheet1[[#This Row],[Store Name]],'lojas comp prom'!B:AA,26,0)</f>
        <v>0</v>
      </c>
      <c r="N157" s="3" t="str">
        <f>VLOOKUP(Table_Sheet1[[#This Row],[Store Name]],'lojas comp prom'!B:L,11,0)</f>
        <v>SPC</v>
      </c>
    </row>
    <row r="158" spans="1:14" x14ac:dyDescent="0.2">
      <c r="A158" s="1">
        <v>46113.708333333328</v>
      </c>
      <c r="B158" s="2">
        <f>MOD(Table_Sheet1[[#This Row],[Date/Time]],1)</f>
        <v>0.70833333332848269</v>
      </c>
      <c r="C158" t="s">
        <v>8</v>
      </c>
      <c r="D158" t="s">
        <v>9</v>
      </c>
      <c r="E158" t="s">
        <v>12</v>
      </c>
      <c r="F158" t="s">
        <v>12</v>
      </c>
      <c r="G158">
        <v>1</v>
      </c>
      <c r="H158" s="3" t="str">
        <f>VLOOKUP(Table_Sheet1[[#This Row],[Device Name]],'[1]AParelhos_&amp;_LOJAS'!$C:$H,6,0)</f>
        <v>G15</v>
      </c>
      <c r="I158" s="3" t="str">
        <f>VLOOKUP(Table_Sheet1[[#This Row],[Device Name]],'[1]AParelhos_&amp;_LOJAS'!$C:$I,7,0)</f>
        <v>256 GB</v>
      </c>
      <c r="J158" s="3" t="str">
        <f>VLOOKUP(Table_Sheet1[[#This Row],[Store Name]],'lojas comp prom'!B:T,19,0)</f>
        <v>PONTO FRIO</v>
      </c>
      <c r="K158" s="3">
        <f>VLOOKUP(Table_Sheet1[[#This Row],[Store Name]],'lojas comp prom'!B:Z,25,0)</f>
        <v>80</v>
      </c>
      <c r="L158" s="3" t="str">
        <f>VLOOKUP(Table_Sheet1[[#This Row],[Store Name]],'lojas comp prom'!B:S,18,0)</f>
        <v>Shopping Interlagos</v>
      </c>
      <c r="M158" s="3">
        <f>VLOOKUP(Table_Sheet1[[#This Row],[Store Name]],'lojas comp prom'!B:AA,26,0)</f>
        <v>0</v>
      </c>
      <c r="N158" s="3" t="str">
        <f>VLOOKUP(Table_Sheet1[[#This Row],[Store Name]],'lojas comp prom'!B:L,11,0)</f>
        <v>SPC</v>
      </c>
    </row>
    <row r="159" spans="1:14" x14ac:dyDescent="0.2">
      <c r="A159" s="1">
        <v>46113.708333333328</v>
      </c>
      <c r="B159" s="2">
        <f>MOD(Table_Sheet1[[#This Row],[Date/Time]],1)</f>
        <v>0.70833333332848269</v>
      </c>
      <c r="C159" t="s">
        <v>8</v>
      </c>
      <c r="D159" t="s">
        <v>9</v>
      </c>
      <c r="E159" t="s">
        <v>13</v>
      </c>
      <c r="F159" t="s">
        <v>13</v>
      </c>
      <c r="G159">
        <v>2</v>
      </c>
      <c r="H159" s="3" t="str">
        <f>VLOOKUP(Table_Sheet1[[#This Row],[Device Name]],'[1]AParelhos_&amp;_LOJAS'!$C:$H,6,0)</f>
        <v>G17</v>
      </c>
      <c r="I159" s="3" t="str">
        <f>VLOOKUP(Table_Sheet1[[#This Row],[Device Name]],'[1]AParelhos_&amp;_LOJAS'!$C:$I,7,0)</f>
        <v>128 GB</v>
      </c>
      <c r="J159" s="3" t="str">
        <f>VLOOKUP(Table_Sheet1[[#This Row],[Store Name]],'lojas comp prom'!B:T,19,0)</f>
        <v>PONTO FRIO</v>
      </c>
      <c r="K159" s="3">
        <f>VLOOKUP(Table_Sheet1[[#This Row],[Store Name]],'lojas comp prom'!B:Z,25,0)</f>
        <v>80</v>
      </c>
      <c r="L159" s="3" t="str">
        <f>VLOOKUP(Table_Sheet1[[#This Row],[Store Name]],'lojas comp prom'!B:S,18,0)</f>
        <v>Shopping Interlagos</v>
      </c>
      <c r="M159" s="3">
        <f>VLOOKUP(Table_Sheet1[[#This Row],[Store Name]],'lojas comp prom'!B:AA,26,0)</f>
        <v>0</v>
      </c>
      <c r="N159" s="3" t="str">
        <f>VLOOKUP(Table_Sheet1[[#This Row],[Store Name]],'lojas comp prom'!B:L,11,0)</f>
        <v>SPC</v>
      </c>
    </row>
    <row r="160" spans="1:14" x14ac:dyDescent="0.2">
      <c r="A160" s="1">
        <v>46113.708333333328</v>
      </c>
      <c r="B160" s="2">
        <f>MOD(Table_Sheet1[[#This Row],[Date/Time]],1)</f>
        <v>0.70833333332848269</v>
      </c>
      <c r="C160" t="s">
        <v>8</v>
      </c>
      <c r="D160" t="s">
        <v>9</v>
      </c>
      <c r="E160" t="s">
        <v>20</v>
      </c>
      <c r="F160" t="s">
        <v>20</v>
      </c>
      <c r="G160">
        <v>1</v>
      </c>
      <c r="H160" s="3" t="s">
        <v>33</v>
      </c>
      <c r="I160" s="3" t="s">
        <v>35</v>
      </c>
      <c r="J160" s="3" t="str">
        <f>VLOOKUP(Table_Sheet1[[#This Row],[Store Name]],'lojas comp prom'!B:T,19,0)</f>
        <v>PONTO FRIO</v>
      </c>
      <c r="K160" s="3">
        <f>VLOOKUP(Table_Sheet1[[#This Row],[Store Name]],'lojas comp prom'!B:Z,25,0)</f>
        <v>80</v>
      </c>
      <c r="L160" s="3" t="str">
        <f>VLOOKUP(Table_Sheet1[[#This Row],[Store Name]],'lojas comp prom'!B:S,18,0)</f>
        <v>Shopping Interlagos</v>
      </c>
      <c r="M160" s="3">
        <f>VLOOKUP(Table_Sheet1[[#This Row],[Store Name]],'lojas comp prom'!B:AA,26,0)</f>
        <v>0</v>
      </c>
      <c r="N160" s="3" t="str">
        <f>VLOOKUP(Table_Sheet1[[#This Row],[Store Name]],'lojas comp prom'!B:L,11,0)</f>
        <v>SPC</v>
      </c>
    </row>
    <row r="161" spans="1:14" x14ac:dyDescent="0.2">
      <c r="A161" s="1">
        <v>46113.708333333328</v>
      </c>
      <c r="B161" s="2">
        <f>MOD(Table_Sheet1[[#This Row],[Date/Time]],1)</f>
        <v>0.70833333332848269</v>
      </c>
      <c r="C161" t="s">
        <v>8</v>
      </c>
      <c r="D161" t="s">
        <v>9</v>
      </c>
      <c r="E161" t="s">
        <v>21</v>
      </c>
      <c r="F161" t="s">
        <v>21</v>
      </c>
      <c r="G161">
        <v>3</v>
      </c>
      <c r="H161" s="3" t="str">
        <f>VLOOKUP(Table_Sheet1[[#This Row],[Device Name]],'[1]AParelhos_&amp;_LOJAS'!$C:$H,6,0)</f>
        <v>G55</v>
      </c>
      <c r="I161" s="3" t="str">
        <f>VLOOKUP(Table_Sheet1[[#This Row],[Device Name]],'[1]AParelhos_&amp;_LOJAS'!$C:$I,7,0)</f>
        <v>256 GB</v>
      </c>
      <c r="J161" s="3" t="str">
        <f>VLOOKUP(Table_Sheet1[[#This Row],[Store Name]],'lojas comp prom'!B:T,19,0)</f>
        <v>PONTO FRIO</v>
      </c>
      <c r="K161" s="3">
        <f>VLOOKUP(Table_Sheet1[[#This Row],[Store Name]],'lojas comp prom'!B:Z,25,0)</f>
        <v>80</v>
      </c>
      <c r="L161" s="3" t="str">
        <f>VLOOKUP(Table_Sheet1[[#This Row],[Store Name]],'lojas comp prom'!B:S,18,0)</f>
        <v>Shopping Interlagos</v>
      </c>
      <c r="M161" s="3">
        <f>VLOOKUP(Table_Sheet1[[#This Row],[Store Name]],'lojas comp prom'!B:AA,26,0)</f>
        <v>0</v>
      </c>
      <c r="N161" s="3" t="str">
        <f>VLOOKUP(Table_Sheet1[[#This Row],[Store Name]],'lojas comp prom'!B:L,11,0)</f>
        <v>SPC</v>
      </c>
    </row>
    <row r="162" spans="1:14" x14ac:dyDescent="0.2">
      <c r="A162" s="1">
        <v>46113.708333333328</v>
      </c>
      <c r="B162" s="2">
        <f>MOD(Table_Sheet1[[#This Row],[Date/Time]],1)</f>
        <v>0.70833333332848269</v>
      </c>
      <c r="C162" t="s">
        <v>8</v>
      </c>
      <c r="D162" t="s">
        <v>9</v>
      </c>
      <c r="E162" t="s">
        <v>14</v>
      </c>
      <c r="F162" t="s">
        <v>14</v>
      </c>
      <c r="G162">
        <v>5</v>
      </c>
      <c r="H162" s="3" t="str">
        <f>VLOOKUP(Table_Sheet1[[#This Row],[Device Name]],'[1]AParelhos_&amp;_LOJAS'!$C:$H,6,0)</f>
        <v>G56</v>
      </c>
      <c r="I162" s="3" t="str">
        <f>VLOOKUP(Table_Sheet1[[#This Row],[Device Name]],'[1]AParelhos_&amp;_LOJAS'!$C:$I,7,0)</f>
        <v>256 GB</v>
      </c>
      <c r="J162" s="3" t="str">
        <f>VLOOKUP(Table_Sheet1[[#This Row],[Store Name]],'lojas comp prom'!B:T,19,0)</f>
        <v>PONTO FRIO</v>
      </c>
      <c r="K162" s="3">
        <f>VLOOKUP(Table_Sheet1[[#This Row],[Store Name]],'lojas comp prom'!B:Z,25,0)</f>
        <v>80</v>
      </c>
      <c r="L162" s="3" t="str">
        <f>VLOOKUP(Table_Sheet1[[#This Row],[Store Name]],'lojas comp prom'!B:S,18,0)</f>
        <v>Shopping Interlagos</v>
      </c>
      <c r="M162" s="3">
        <f>VLOOKUP(Table_Sheet1[[#This Row],[Store Name]],'lojas comp prom'!B:AA,26,0)</f>
        <v>0</v>
      </c>
      <c r="N162" s="3" t="str">
        <f>VLOOKUP(Table_Sheet1[[#This Row],[Store Name]],'lojas comp prom'!B:L,11,0)</f>
        <v>SPC</v>
      </c>
    </row>
    <row r="163" spans="1:14" x14ac:dyDescent="0.2">
      <c r="A163" s="1">
        <v>46113.708333333328</v>
      </c>
      <c r="B163" s="2">
        <f>MOD(Table_Sheet1[[#This Row],[Date/Time]],1)</f>
        <v>0.70833333332848269</v>
      </c>
      <c r="C163" t="s">
        <v>8</v>
      </c>
      <c r="D163" t="s">
        <v>9</v>
      </c>
      <c r="E163" t="s">
        <v>15</v>
      </c>
      <c r="F163" t="s">
        <v>15</v>
      </c>
      <c r="G163">
        <v>3</v>
      </c>
      <c r="H163" s="3" t="str">
        <f>VLOOKUP(Table_Sheet1[[#This Row],[Device Name]],'[1]AParelhos_&amp;_LOJAS'!$C:$H,6,0)</f>
        <v>G75</v>
      </c>
      <c r="I163" s="3" t="str">
        <f>VLOOKUP(Table_Sheet1[[#This Row],[Device Name]],'[1]AParelhos_&amp;_LOJAS'!$C:$I,7,0)</f>
        <v>256 GB</v>
      </c>
      <c r="J163" s="3" t="str">
        <f>VLOOKUP(Table_Sheet1[[#This Row],[Store Name]],'lojas comp prom'!B:T,19,0)</f>
        <v>PONTO FRIO</v>
      </c>
      <c r="K163" s="3">
        <f>VLOOKUP(Table_Sheet1[[#This Row],[Store Name]],'lojas comp prom'!B:Z,25,0)</f>
        <v>80</v>
      </c>
      <c r="L163" s="3" t="str">
        <f>VLOOKUP(Table_Sheet1[[#This Row],[Store Name]],'lojas comp prom'!B:S,18,0)</f>
        <v>Shopping Interlagos</v>
      </c>
      <c r="M163" s="3">
        <f>VLOOKUP(Table_Sheet1[[#This Row],[Store Name]],'lojas comp prom'!B:AA,26,0)</f>
        <v>0</v>
      </c>
      <c r="N163" s="3" t="str">
        <f>VLOOKUP(Table_Sheet1[[#This Row],[Store Name]],'lojas comp prom'!B:L,11,0)</f>
        <v>SPC</v>
      </c>
    </row>
    <row r="164" spans="1:14" x14ac:dyDescent="0.2">
      <c r="A164" s="1">
        <v>46113.708333333328</v>
      </c>
      <c r="B164" s="2">
        <f>MOD(Table_Sheet1[[#This Row],[Date/Time]],1)</f>
        <v>0.70833333332848269</v>
      </c>
      <c r="C164" t="s">
        <v>8</v>
      </c>
      <c r="D164" t="s">
        <v>9</v>
      </c>
      <c r="E164" t="s">
        <v>22</v>
      </c>
      <c r="F164" t="s">
        <v>22</v>
      </c>
      <c r="G164">
        <v>2</v>
      </c>
      <c r="H164" s="3" t="str">
        <f>VLOOKUP(Table_Sheet1[[#This Row],[Device Name]],'[1]AParelhos_&amp;_LOJAS'!$C:$H,6,0)</f>
        <v>G86</v>
      </c>
      <c r="I164" s="3" t="str">
        <f>VLOOKUP(Table_Sheet1[[#This Row],[Device Name]],'[1]AParelhos_&amp;_LOJAS'!$C:$I,7,0)</f>
        <v>256 GB</v>
      </c>
      <c r="J164" s="3" t="str">
        <f>VLOOKUP(Table_Sheet1[[#This Row],[Store Name]],'lojas comp prom'!B:T,19,0)</f>
        <v>PONTO FRIO</v>
      </c>
      <c r="K164" s="3">
        <f>VLOOKUP(Table_Sheet1[[#This Row],[Store Name]],'lojas comp prom'!B:Z,25,0)</f>
        <v>80</v>
      </c>
      <c r="L164" s="3" t="str">
        <f>VLOOKUP(Table_Sheet1[[#This Row],[Store Name]],'lojas comp prom'!B:S,18,0)</f>
        <v>Shopping Interlagos</v>
      </c>
      <c r="M164" s="3">
        <f>VLOOKUP(Table_Sheet1[[#This Row],[Store Name]],'lojas comp prom'!B:AA,26,0)</f>
        <v>0</v>
      </c>
      <c r="N164" s="3" t="str">
        <f>VLOOKUP(Table_Sheet1[[#This Row],[Store Name]],'lojas comp prom'!B:L,11,0)</f>
        <v>SPC</v>
      </c>
    </row>
    <row r="165" spans="1:14" x14ac:dyDescent="0.2">
      <c r="A165" s="1">
        <v>46113.708333333328</v>
      </c>
      <c r="B165" s="2">
        <f>MOD(Table_Sheet1[[#This Row],[Date/Time]],1)</f>
        <v>0.70833333332848269</v>
      </c>
      <c r="C165" t="s">
        <v>8</v>
      </c>
      <c r="D165" t="s">
        <v>9</v>
      </c>
      <c r="E165" t="s">
        <v>16</v>
      </c>
      <c r="F165" t="s">
        <v>16</v>
      </c>
      <c r="G165">
        <v>2</v>
      </c>
      <c r="H165" s="3" t="str">
        <f>VLOOKUP(Table_Sheet1[[#This Row],[Device Name]],'[1]AParelhos_&amp;_LOJAS'!$C:$H,6,0)</f>
        <v>Razr 50 Ultra</v>
      </c>
      <c r="I165" s="3" t="str">
        <f>VLOOKUP(Table_Sheet1[[#This Row],[Device Name]],'[1]AParelhos_&amp;_LOJAS'!$C:$I,7,0)</f>
        <v>512 GB</v>
      </c>
      <c r="J165" s="3" t="str">
        <f>VLOOKUP(Table_Sheet1[[#This Row],[Store Name]],'lojas comp prom'!B:T,19,0)</f>
        <v>PONTO FRIO</v>
      </c>
      <c r="K165" s="3">
        <f>VLOOKUP(Table_Sheet1[[#This Row],[Store Name]],'lojas comp prom'!B:Z,25,0)</f>
        <v>80</v>
      </c>
      <c r="L165" s="3" t="str">
        <f>VLOOKUP(Table_Sheet1[[#This Row],[Store Name]],'lojas comp prom'!B:S,18,0)</f>
        <v>Shopping Interlagos</v>
      </c>
      <c r="M165" s="3">
        <f>VLOOKUP(Table_Sheet1[[#This Row],[Store Name]],'lojas comp prom'!B:AA,26,0)</f>
        <v>0</v>
      </c>
      <c r="N165" s="3" t="str">
        <f>VLOOKUP(Table_Sheet1[[#This Row],[Store Name]],'lojas comp prom'!B:L,11,0)</f>
        <v>SPC</v>
      </c>
    </row>
    <row r="166" spans="1:14" x14ac:dyDescent="0.2">
      <c r="A166" s="1">
        <v>46113.708333333328</v>
      </c>
      <c r="B166" s="2">
        <f>MOD(Table_Sheet1[[#This Row],[Date/Time]],1)</f>
        <v>0.70833333332848269</v>
      </c>
      <c r="C166" t="s">
        <v>23</v>
      </c>
      <c r="D166" t="s">
        <v>24</v>
      </c>
      <c r="E166" t="s">
        <v>25</v>
      </c>
      <c r="F166" t="s">
        <v>25</v>
      </c>
      <c r="G166">
        <v>3</v>
      </c>
      <c r="H166" s="3" t="s">
        <v>34</v>
      </c>
      <c r="I166" s="3" t="s">
        <v>35</v>
      </c>
      <c r="J166" s="3" t="str">
        <f>VLOOKUP(Table_Sheet1[[#This Row],[Store Name]],'lojas comp prom'!B:T,19,0)</f>
        <v>LOJAS AMERICANAS</v>
      </c>
      <c r="K166" s="3">
        <f>VLOOKUP(Table_Sheet1[[#This Row],[Store Name]],'lojas comp prom'!B:Z,25,0)</f>
        <v>80</v>
      </c>
      <c r="L166" s="3" t="str">
        <f>VLOOKUP(Table_Sheet1[[#This Row],[Store Name]],'lojas comp prom'!B:S,18,0)</f>
        <v>Shopping Interlagos</v>
      </c>
      <c r="M166" s="3">
        <f>VLOOKUP(Table_Sheet1[[#This Row],[Store Name]],'lojas comp prom'!B:AA,26,0)</f>
        <v>0</v>
      </c>
      <c r="N166" s="3" t="str">
        <f>VLOOKUP(Table_Sheet1[[#This Row],[Store Name]],'lojas comp prom'!B:L,11,0)</f>
        <v>SPC</v>
      </c>
    </row>
    <row r="167" spans="1:14" x14ac:dyDescent="0.2">
      <c r="A167" s="1">
        <v>46113.708333333328</v>
      </c>
      <c r="B167" s="2">
        <f>MOD(Table_Sheet1[[#This Row],[Date/Time]],1)</f>
        <v>0.70833333332848269</v>
      </c>
      <c r="C167" t="s">
        <v>23</v>
      </c>
      <c r="D167" t="s">
        <v>24</v>
      </c>
      <c r="E167" t="s">
        <v>26</v>
      </c>
      <c r="F167" t="s">
        <v>26</v>
      </c>
      <c r="G167">
        <v>3</v>
      </c>
      <c r="H167" s="3" t="str">
        <f>VLOOKUP(Table_Sheet1[[#This Row],[Device Name]],'[1]AParelhos_&amp;_LOJAS'!$C:$H,6,0)</f>
        <v>G35</v>
      </c>
      <c r="I167" s="3" t="str">
        <f>VLOOKUP(Table_Sheet1[[#This Row],[Device Name]],'[1]AParelhos_&amp;_LOJAS'!$C:$I,7,0)</f>
        <v>256 GB</v>
      </c>
      <c r="J167" s="3" t="str">
        <f>VLOOKUP(Table_Sheet1[[#This Row],[Store Name]],'lojas comp prom'!B:T,19,0)</f>
        <v>LOJAS AMERICANAS</v>
      </c>
      <c r="K167" s="3">
        <f>VLOOKUP(Table_Sheet1[[#This Row],[Store Name]],'lojas comp prom'!B:Z,25,0)</f>
        <v>80</v>
      </c>
      <c r="L167" s="3" t="str">
        <f>VLOOKUP(Table_Sheet1[[#This Row],[Store Name]],'lojas comp prom'!B:S,18,0)</f>
        <v>Shopping Interlagos</v>
      </c>
      <c r="M167" s="3">
        <f>VLOOKUP(Table_Sheet1[[#This Row],[Store Name]],'lojas comp prom'!B:AA,26,0)</f>
        <v>0</v>
      </c>
      <c r="N167" s="3" t="str">
        <f>VLOOKUP(Table_Sheet1[[#This Row],[Store Name]],'lojas comp prom'!B:L,11,0)</f>
        <v>SPC</v>
      </c>
    </row>
    <row r="168" spans="1:14" x14ac:dyDescent="0.2">
      <c r="A168" s="1">
        <v>46113.708333333328</v>
      </c>
      <c r="B168" s="2">
        <f>MOD(Table_Sheet1[[#This Row],[Date/Time]],1)</f>
        <v>0.70833333332848269</v>
      </c>
      <c r="C168" t="s">
        <v>23</v>
      </c>
      <c r="D168" t="s">
        <v>24</v>
      </c>
      <c r="E168" t="s">
        <v>27</v>
      </c>
      <c r="F168" t="s">
        <v>27</v>
      </c>
      <c r="G168">
        <v>2</v>
      </c>
      <c r="H168" s="3" t="str">
        <f>VLOOKUP(Table_Sheet1[[#This Row],[Device Name]],'[1]AParelhos_&amp;_LOJAS'!$C:$H,6,0)</f>
        <v>G56</v>
      </c>
      <c r="I168" s="3" t="str">
        <f>VLOOKUP(Table_Sheet1[[#This Row],[Device Name]],'[1]AParelhos_&amp;_LOJAS'!$C:$I,7,0)</f>
        <v>256 GB</v>
      </c>
      <c r="J168" s="3" t="str">
        <f>VLOOKUP(Table_Sheet1[[#This Row],[Store Name]],'lojas comp prom'!B:T,19,0)</f>
        <v>LOJAS AMERICANAS</v>
      </c>
      <c r="K168" s="3">
        <f>VLOOKUP(Table_Sheet1[[#This Row],[Store Name]],'lojas comp prom'!B:Z,25,0)</f>
        <v>80</v>
      </c>
      <c r="L168" s="3" t="str">
        <f>VLOOKUP(Table_Sheet1[[#This Row],[Store Name]],'lojas comp prom'!B:S,18,0)</f>
        <v>Shopping Interlagos</v>
      </c>
      <c r="M168" s="3">
        <f>VLOOKUP(Table_Sheet1[[#This Row],[Store Name]],'lojas comp prom'!B:AA,26,0)</f>
        <v>0</v>
      </c>
      <c r="N168" s="3" t="str">
        <f>VLOOKUP(Table_Sheet1[[#This Row],[Store Name]],'lojas comp prom'!B:L,11,0)</f>
        <v>SPC</v>
      </c>
    </row>
    <row r="169" spans="1:14" x14ac:dyDescent="0.2">
      <c r="A169" s="1">
        <v>46113.708333333328</v>
      </c>
      <c r="B169" s="2">
        <f>MOD(Table_Sheet1[[#This Row],[Date/Time]],1)</f>
        <v>0.70833333332848269</v>
      </c>
      <c r="C169" t="s">
        <v>23</v>
      </c>
      <c r="D169" t="s">
        <v>24</v>
      </c>
      <c r="E169" t="s">
        <v>28</v>
      </c>
      <c r="F169" t="s">
        <v>28</v>
      </c>
      <c r="G169">
        <v>3</v>
      </c>
      <c r="H169" s="3" t="str">
        <f>VLOOKUP(Table_Sheet1[[#This Row],[Device Name]],'[1]AParelhos_&amp;_LOJAS'!$C:$H,6,0)</f>
        <v>G67</v>
      </c>
      <c r="I169" s="3" t="str">
        <f>VLOOKUP(Table_Sheet1[[#This Row],[Device Name]],'[1]AParelhos_&amp;_LOJAS'!$C:$I,7,0)</f>
        <v>256 GB</v>
      </c>
      <c r="J169" s="3" t="str">
        <f>VLOOKUP(Table_Sheet1[[#This Row],[Store Name]],'lojas comp prom'!B:T,19,0)</f>
        <v>LOJAS AMERICANAS</v>
      </c>
      <c r="K169" s="3">
        <f>VLOOKUP(Table_Sheet1[[#This Row],[Store Name]],'lojas comp prom'!B:Z,25,0)</f>
        <v>80</v>
      </c>
      <c r="L169" s="3" t="str">
        <f>VLOOKUP(Table_Sheet1[[#This Row],[Store Name]],'lojas comp prom'!B:S,18,0)</f>
        <v>Shopping Interlagos</v>
      </c>
      <c r="M169" s="3">
        <f>VLOOKUP(Table_Sheet1[[#This Row],[Store Name]],'lojas comp prom'!B:AA,26,0)</f>
        <v>0</v>
      </c>
      <c r="N169" s="3" t="str">
        <f>VLOOKUP(Table_Sheet1[[#This Row],[Store Name]],'lojas comp prom'!B:L,11,0)</f>
        <v>SPC</v>
      </c>
    </row>
    <row r="170" spans="1:14" x14ac:dyDescent="0.2">
      <c r="A170" s="1">
        <v>46113.708333333328</v>
      </c>
      <c r="B170" s="2">
        <f>MOD(Table_Sheet1[[#This Row],[Date/Time]],1)</f>
        <v>0.70833333332848269</v>
      </c>
      <c r="C170" t="s">
        <v>23</v>
      </c>
      <c r="D170" t="s">
        <v>24</v>
      </c>
      <c r="E170" t="s">
        <v>29</v>
      </c>
      <c r="F170" t="s">
        <v>29</v>
      </c>
      <c r="G170">
        <v>3</v>
      </c>
      <c r="H170" s="3" t="str">
        <f>VLOOKUP(Table_Sheet1[[#This Row],[Device Name]],'[1]AParelhos_&amp;_LOJAS'!$C:$H,6,0)</f>
        <v>G77</v>
      </c>
      <c r="I170" s="3" t="str">
        <f>VLOOKUP(Table_Sheet1[[#This Row],[Device Name]],'[1]AParelhos_&amp;_LOJAS'!$C:$I,7,0)</f>
        <v>256 GB</v>
      </c>
      <c r="J170" s="3" t="str">
        <f>VLOOKUP(Table_Sheet1[[#This Row],[Store Name]],'lojas comp prom'!B:T,19,0)</f>
        <v>LOJAS AMERICANAS</v>
      </c>
      <c r="K170" s="3">
        <f>VLOOKUP(Table_Sheet1[[#This Row],[Store Name]],'lojas comp prom'!B:Z,25,0)</f>
        <v>80</v>
      </c>
      <c r="L170" s="3" t="str">
        <f>VLOOKUP(Table_Sheet1[[#This Row],[Store Name]],'lojas comp prom'!B:S,18,0)</f>
        <v>Shopping Interlagos</v>
      </c>
      <c r="M170" s="3">
        <f>VLOOKUP(Table_Sheet1[[#This Row],[Store Name]],'lojas comp prom'!B:AA,26,0)</f>
        <v>0</v>
      </c>
      <c r="N170" s="3" t="str">
        <f>VLOOKUP(Table_Sheet1[[#This Row],[Store Name]],'lojas comp prom'!B:L,11,0)</f>
        <v>SPC</v>
      </c>
    </row>
    <row r="171" spans="1:14" x14ac:dyDescent="0.2">
      <c r="A171" s="1">
        <v>46113.708333333328</v>
      </c>
      <c r="B171" s="2">
        <f>MOD(Table_Sheet1[[#This Row],[Date/Time]],1)</f>
        <v>0.70833333332848269</v>
      </c>
      <c r="C171" t="s">
        <v>23</v>
      </c>
      <c r="D171" t="s">
        <v>24</v>
      </c>
      <c r="E171" t="s">
        <v>30</v>
      </c>
      <c r="F171" t="s">
        <v>30</v>
      </c>
      <c r="G171">
        <v>5</v>
      </c>
      <c r="H171" s="3" t="str">
        <f>VLOOKUP(Table_Sheet1[[#This Row],[Device Name]],'[1]AParelhos_&amp;_LOJAS'!$C:$H,6,0)</f>
        <v>G86</v>
      </c>
      <c r="I171" s="3" t="str">
        <f>VLOOKUP(Table_Sheet1[[#This Row],[Device Name]],'[1]AParelhos_&amp;_LOJAS'!$C:$I,7,0)</f>
        <v>256 GB</v>
      </c>
      <c r="J171" s="3" t="str">
        <f>VLOOKUP(Table_Sheet1[[#This Row],[Store Name]],'lojas comp prom'!B:T,19,0)</f>
        <v>LOJAS AMERICANAS</v>
      </c>
      <c r="K171" s="3">
        <f>VLOOKUP(Table_Sheet1[[#This Row],[Store Name]],'lojas comp prom'!B:Z,25,0)</f>
        <v>80</v>
      </c>
      <c r="L171" s="3" t="str">
        <f>VLOOKUP(Table_Sheet1[[#This Row],[Store Name]],'lojas comp prom'!B:S,18,0)</f>
        <v>Shopping Interlagos</v>
      </c>
      <c r="M171" s="3">
        <f>VLOOKUP(Table_Sheet1[[#This Row],[Store Name]],'lojas comp prom'!B:AA,26,0)</f>
        <v>0</v>
      </c>
      <c r="N171" s="3" t="str">
        <f>VLOOKUP(Table_Sheet1[[#This Row],[Store Name]],'lojas comp prom'!B:L,11,0)</f>
        <v>SPC</v>
      </c>
    </row>
    <row r="172" spans="1:14" x14ac:dyDescent="0.2">
      <c r="A172" s="1">
        <v>46113.75</v>
      </c>
      <c r="B172" s="2">
        <f>MOD(Table_Sheet1[[#This Row],[Date/Time]],1)</f>
        <v>0.75</v>
      </c>
      <c r="C172" t="s">
        <v>41</v>
      </c>
      <c r="D172" t="s">
        <v>42</v>
      </c>
      <c r="E172" t="s">
        <v>44</v>
      </c>
      <c r="F172" t="s">
        <v>44</v>
      </c>
      <c r="G172">
        <v>1</v>
      </c>
      <c r="H172" s="3" t="s">
        <v>34</v>
      </c>
      <c r="I172" s="3" t="s">
        <v>35</v>
      </c>
      <c r="J172" s="3" t="str">
        <f>VLOOKUP(Table_Sheet1[[#This Row],[Store Name]],'lojas comp prom'!B:T,19,0)</f>
        <v>CASAS BAHIA</v>
      </c>
      <c r="K172" s="3">
        <f>VLOOKUP(Table_Sheet1[[#This Row],[Store Name]],'lojas comp prom'!B:Z,25,0)</f>
        <v>80</v>
      </c>
      <c r="L172" s="3" t="str">
        <f>VLOOKUP(Table_Sheet1[[#This Row],[Store Name]],'lojas comp prom'!B:S,18,0)</f>
        <v>Loja De Rua</v>
      </c>
      <c r="M172" s="3">
        <f>VLOOKUP(Table_Sheet1[[#This Row],[Store Name]],'lojas comp prom'!B:AA,26,0)</f>
        <v>0</v>
      </c>
      <c r="N172" s="3" t="str">
        <f>VLOOKUP(Table_Sheet1[[#This Row],[Store Name]],'lojas comp prom'!B:L,11,0)</f>
        <v>SPC</v>
      </c>
    </row>
    <row r="173" spans="1:14" x14ac:dyDescent="0.2">
      <c r="A173" s="1">
        <v>46113.75</v>
      </c>
      <c r="B173" s="2">
        <f>MOD(Table_Sheet1[[#This Row],[Date/Time]],1)</f>
        <v>0.75</v>
      </c>
      <c r="C173" t="s">
        <v>41</v>
      </c>
      <c r="D173" t="s">
        <v>42</v>
      </c>
      <c r="E173" t="s">
        <v>45</v>
      </c>
      <c r="F173" t="s">
        <v>45</v>
      </c>
      <c r="G173">
        <v>1</v>
      </c>
      <c r="H173" s="3" t="str">
        <f>VLOOKUP(Table_Sheet1[[#This Row],[Device Name]],'[1]AParelhos_&amp;_LOJAS'!$C:$H,6,0)</f>
        <v>G05</v>
      </c>
      <c r="I173" s="3" t="str">
        <f>VLOOKUP(Table_Sheet1[[#This Row],[Device Name]],'[1]AParelhos_&amp;_LOJAS'!$C:$I,7,0)</f>
        <v>256 GB</v>
      </c>
      <c r="J173" s="3" t="str">
        <f>VLOOKUP(Table_Sheet1[[#This Row],[Store Name]],'lojas comp prom'!B:T,19,0)</f>
        <v>CASAS BAHIA</v>
      </c>
      <c r="K173" s="3">
        <f>VLOOKUP(Table_Sheet1[[#This Row],[Store Name]],'lojas comp prom'!B:Z,25,0)</f>
        <v>80</v>
      </c>
      <c r="L173" s="3" t="str">
        <f>VLOOKUP(Table_Sheet1[[#This Row],[Store Name]],'lojas comp prom'!B:S,18,0)</f>
        <v>Loja De Rua</v>
      </c>
      <c r="M173" s="3">
        <f>VLOOKUP(Table_Sheet1[[#This Row],[Store Name]],'lojas comp prom'!B:AA,26,0)</f>
        <v>0</v>
      </c>
      <c r="N173" s="3" t="str">
        <f>VLOOKUP(Table_Sheet1[[#This Row],[Store Name]],'lojas comp prom'!B:L,11,0)</f>
        <v>SPC</v>
      </c>
    </row>
    <row r="174" spans="1:14" x14ac:dyDescent="0.2">
      <c r="A174" s="1">
        <v>46113.75</v>
      </c>
      <c r="B174" s="2">
        <f>MOD(Table_Sheet1[[#This Row],[Date/Time]],1)</f>
        <v>0.75</v>
      </c>
      <c r="C174" t="s">
        <v>41</v>
      </c>
      <c r="D174" t="s">
        <v>42</v>
      </c>
      <c r="E174" t="s">
        <v>46</v>
      </c>
      <c r="F174" t="s">
        <v>46</v>
      </c>
      <c r="G174">
        <v>3</v>
      </c>
      <c r="H174" s="3" t="str">
        <f>VLOOKUP(Table_Sheet1[[#This Row],[Device Name]],'[1]AParelhos_&amp;_LOJAS'!$C:$H,6,0)</f>
        <v>G06</v>
      </c>
      <c r="I174" s="3" t="str">
        <f>VLOOKUP(Table_Sheet1[[#This Row],[Device Name]],'[1]AParelhos_&amp;_LOJAS'!$C:$I,7,0)</f>
        <v>128 GB</v>
      </c>
      <c r="J174" s="3" t="str">
        <f>VLOOKUP(Table_Sheet1[[#This Row],[Store Name]],'lojas comp prom'!B:T,19,0)</f>
        <v>CASAS BAHIA</v>
      </c>
      <c r="K174" s="3">
        <f>VLOOKUP(Table_Sheet1[[#This Row],[Store Name]],'lojas comp prom'!B:Z,25,0)</f>
        <v>80</v>
      </c>
      <c r="L174" s="3" t="str">
        <f>VLOOKUP(Table_Sheet1[[#This Row],[Store Name]],'lojas comp prom'!B:S,18,0)</f>
        <v>Loja De Rua</v>
      </c>
      <c r="M174" s="3">
        <f>VLOOKUP(Table_Sheet1[[#This Row],[Store Name]],'lojas comp prom'!B:AA,26,0)</f>
        <v>0</v>
      </c>
      <c r="N174" s="3" t="str">
        <f>VLOOKUP(Table_Sheet1[[#This Row],[Store Name]],'lojas comp prom'!B:L,11,0)</f>
        <v>SPC</v>
      </c>
    </row>
    <row r="175" spans="1:14" x14ac:dyDescent="0.2">
      <c r="A175" s="1">
        <v>46113.75</v>
      </c>
      <c r="B175" s="2">
        <f>MOD(Table_Sheet1[[#This Row],[Date/Time]],1)</f>
        <v>0.75</v>
      </c>
      <c r="C175" t="s">
        <v>41</v>
      </c>
      <c r="D175" t="s">
        <v>42</v>
      </c>
      <c r="E175" t="s">
        <v>47</v>
      </c>
      <c r="F175" t="s">
        <v>47</v>
      </c>
      <c r="G175">
        <v>2</v>
      </c>
      <c r="H175" s="3" t="str">
        <f>VLOOKUP(Table_Sheet1[[#This Row],[Device Name]],'[1]AParelhos_&amp;_LOJAS'!$C:$H,6,0)</f>
        <v>G06</v>
      </c>
      <c r="I175" s="3" t="str">
        <f>VLOOKUP(Table_Sheet1[[#This Row],[Device Name]],'[1]AParelhos_&amp;_LOJAS'!$C:$I,7,0)</f>
        <v>256 GB</v>
      </c>
      <c r="J175" s="3" t="str">
        <f>VLOOKUP(Table_Sheet1[[#This Row],[Store Name]],'lojas comp prom'!B:T,19,0)</f>
        <v>CASAS BAHIA</v>
      </c>
      <c r="K175" s="3">
        <f>VLOOKUP(Table_Sheet1[[#This Row],[Store Name]],'lojas comp prom'!B:Z,25,0)</f>
        <v>80</v>
      </c>
      <c r="L175" s="3" t="str">
        <f>VLOOKUP(Table_Sheet1[[#This Row],[Store Name]],'lojas comp prom'!B:S,18,0)</f>
        <v>Loja De Rua</v>
      </c>
      <c r="M175" s="3">
        <f>VLOOKUP(Table_Sheet1[[#This Row],[Store Name]],'lojas comp prom'!B:AA,26,0)</f>
        <v>0</v>
      </c>
      <c r="N175" s="3" t="str">
        <f>VLOOKUP(Table_Sheet1[[#This Row],[Store Name]],'lojas comp prom'!B:L,11,0)</f>
        <v>SPC</v>
      </c>
    </row>
    <row r="176" spans="1:14" x14ac:dyDescent="0.2">
      <c r="A176" s="1">
        <v>46113.75</v>
      </c>
      <c r="B176" s="2">
        <f>MOD(Table_Sheet1[[#This Row],[Date/Time]],1)</f>
        <v>0.75</v>
      </c>
      <c r="C176" t="s">
        <v>8</v>
      </c>
      <c r="D176" t="s">
        <v>9</v>
      </c>
      <c r="E176" t="s">
        <v>17</v>
      </c>
      <c r="F176" t="s">
        <v>17</v>
      </c>
      <c r="G176">
        <v>1</v>
      </c>
      <c r="H176" s="3" t="str">
        <f>VLOOKUP(Table_Sheet1[[#This Row],[Device Name]],'[1]AParelhos_&amp;_LOJAS'!$C:$H,6,0)</f>
        <v xml:space="preserve">Edge 60 Fusion </v>
      </c>
      <c r="I176" s="3" t="str">
        <f>VLOOKUP(Table_Sheet1[[#This Row],[Device Name]],'[1]AParelhos_&amp;_LOJAS'!$C:$I,7,0)</f>
        <v>256 GB</v>
      </c>
      <c r="J176" s="3" t="str">
        <f>VLOOKUP(Table_Sheet1[[#This Row],[Store Name]],'lojas comp prom'!B:T,19,0)</f>
        <v>PONTO FRIO</v>
      </c>
      <c r="K176" s="3">
        <f>VLOOKUP(Table_Sheet1[[#This Row],[Store Name]],'lojas comp prom'!B:Z,25,0)</f>
        <v>80</v>
      </c>
      <c r="L176" s="3" t="str">
        <f>VLOOKUP(Table_Sheet1[[#This Row],[Store Name]],'lojas comp prom'!B:S,18,0)</f>
        <v>Shopping Interlagos</v>
      </c>
      <c r="M176" s="3">
        <f>VLOOKUP(Table_Sheet1[[#This Row],[Store Name]],'lojas comp prom'!B:AA,26,0)</f>
        <v>0</v>
      </c>
      <c r="N176" s="3" t="str">
        <f>VLOOKUP(Table_Sheet1[[#This Row],[Store Name]],'lojas comp prom'!B:L,11,0)</f>
        <v>SPC</v>
      </c>
    </row>
    <row r="177" spans="1:14" x14ac:dyDescent="0.2">
      <c r="A177" s="1">
        <v>46113.75</v>
      </c>
      <c r="B177" s="2">
        <f>MOD(Table_Sheet1[[#This Row],[Date/Time]],1)</f>
        <v>0.75</v>
      </c>
      <c r="C177" t="s">
        <v>23</v>
      </c>
      <c r="D177" t="s">
        <v>24</v>
      </c>
      <c r="E177" t="s">
        <v>25</v>
      </c>
      <c r="F177" t="s">
        <v>25</v>
      </c>
      <c r="G177">
        <v>4</v>
      </c>
      <c r="H177" s="3" t="s">
        <v>34</v>
      </c>
      <c r="I177" s="3" t="s">
        <v>35</v>
      </c>
      <c r="J177" s="3" t="str">
        <f>VLOOKUP(Table_Sheet1[[#This Row],[Store Name]],'lojas comp prom'!B:T,19,0)</f>
        <v>LOJAS AMERICANAS</v>
      </c>
      <c r="K177" s="3">
        <f>VLOOKUP(Table_Sheet1[[#This Row],[Store Name]],'lojas comp prom'!B:Z,25,0)</f>
        <v>80</v>
      </c>
      <c r="L177" s="3" t="str">
        <f>VLOOKUP(Table_Sheet1[[#This Row],[Store Name]],'lojas comp prom'!B:S,18,0)</f>
        <v>Shopping Interlagos</v>
      </c>
      <c r="M177" s="3">
        <f>VLOOKUP(Table_Sheet1[[#This Row],[Store Name]],'lojas comp prom'!B:AA,26,0)</f>
        <v>0</v>
      </c>
      <c r="N177" s="3" t="str">
        <f>VLOOKUP(Table_Sheet1[[#This Row],[Store Name]],'lojas comp prom'!B:L,11,0)</f>
        <v>SPC</v>
      </c>
    </row>
    <row r="178" spans="1:14" x14ac:dyDescent="0.2">
      <c r="A178" s="1">
        <v>46113.75</v>
      </c>
      <c r="B178" s="2">
        <f>MOD(Table_Sheet1[[#This Row],[Date/Time]],1)</f>
        <v>0.75</v>
      </c>
      <c r="C178" t="s">
        <v>23</v>
      </c>
      <c r="D178" t="s">
        <v>24</v>
      </c>
      <c r="E178" t="s">
        <v>26</v>
      </c>
      <c r="F178" t="s">
        <v>26</v>
      </c>
      <c r="G178">
        <v>3</v>
      </c>
      <c r="H178" s="3" t="str">
        <f>VLOOKUP(Table_Sheet1[[#This Row],[Device Name]],'[1]AParelhos_&amp;_LOJAS'!$C:$H,6,0)</f>
        <v>G35</v>
      </c>
      <c r="I178" s="3" t="str">
        <f>VLOOKUP(Table_Sheet1[[#This Row],[Device Name]],'[1]AParelhos_&amp;_LOJAS'!$C:$I,7,0)</f>
        <v>256 GB</v>
      </c>
      <c r="J178" s="3" t="str">
        <f>VLOOKUP(Table_Sheet1[[#This Row],[Store Name]],'lojas comp prom'!B:T,19,0)</f>
        <v>LOJAS AMERICANAS</v>
      </c>
      <c r="K178" s="3">
        <f>VLOOKUP(Table_Sheet1[[#This Row],[Store Name]],'lojas comp prom'!B:Z,25,0)</f>
        <v>80</v>
      </c>
      <c r="L178" s="3" t="str">
        <f>VLOOKUP(Table_Sheet1[[#This Row],[Store Name]],'lojas comp prom'!B:S,18,0)</f>
        <v>Shopping Interlagos</v>
      </c>
      <c r="M178" s="3">
        <f>VLOOKUP(Table_Sheet1[[#This Row],[Store Name]],'lojas comp prom'!B:AA,26,0)</f>
        <v>0</v>
      </c>
      <c r="N178" s="3" t="str">
        <f>VLOOKUP(Table_Sheet1[[#This Row],[Store Name]],'lojas comp prom'!B:L,11,0)</f>
        <v>SPC</v>
      </c>
    </row>
    <row r="179" spans="1:14" x14ac:dyDescent="0.2">
      <c r="A179" s="1">
        <v>46113.75</v>
      </c>
      <c r="B179" s="2">
        <f>MOD(Table_Sheet1[[#This Row],[Date/Time]],1)</f>
        <v>0.75</v>
      </c>
      <c r="C179" t="s">
        <v>23</v>
      </c>
      <c r="D179" t="s">
        <v>24</v>
      </c>
      <c r="E179" t="s">
        <v>29</v>
      </c>
      <c r="F179" t="s">
        <v>29</v>
      </c>
      <c r="G179">
        <v>1</v>
      </c>
      <c r="H179" s="3" t="str">
        <f>VLOOKUP(Table_Sheet1[[#This Row],[Device Name]],'[1]AParelhos_&amp;_LOJAS'!$C:$H,6,0)</f>
        <v>G77</v>
      </c>
      <c r="I179" s="3" t="str">
        <f>VLOOKUP(Table_Sheet1[[#This Row],[Device Name]],'[1]AParelhos_&amp;_LOJAS'!$C:$I,7,0)</f>
        <v>256 GB</v>
      </c>
      <c r="J179" s="3" t="str">
        <f>VLOOKUP(Table_Sheet1[[#This Row],[Store Name]],'lojas comp prom'!B:T,19,0)</f>
        <v>LOJAS AMERICANAS</v>
      </c>
      <c r="K179" s="3">
        <f>VLOOKUP(Table_Sheet1[[#This Row],[Store Name]],'lojas comp prom'!B:Z,25,0)</f>
        <v>80</v>
      </c>
      <c r="L179" s="3" t="str">
        <f>VLOOKUP(Table_Sheet1[[#This Row],[Store Name]],'lojas comp prom'!B:S,18,0)</f>
        <v>Shopping Interlagos</v>
      </c>
      <c r="M179" s="3">
        <f>VLOOKUP(Table_Sheet1[[#This Row],[Store Name]],'lojas comp prom'!B:AA,26,0)</f>
        <v>0</v>
      </c>
      <c r="N179" s="3" t="str">
        <f>VLOOKUP(Table_Sheet1[[#This Row],[Store Name]],'lojas comp prom'!B:L,11,0)</f>
        <v>SPC</v>
      </c>
    </row>
    <row r="180" spans="1:14" x14ac:dyDescent="0.2">
      <c r="A180" s="1">
        <v>46113.75</v>
      </c>
      <c r="B180" s="2">
        <f>MOD(Table_Sheet1[[#This Row],[Date/Time]],1)</f>
        <v>0.75</v>
      </c>
      <c r="C180" t="s">
        <v>23</v>
      </c>
      <c r="D180" t="s">
        <v>24</v>
      </c>
      <c r="E180" t="s">
        <v>30</v>
      </c>
      <c r="F180" t="s">
        <v>30</v>
      </c>
      <c r="G180">
        <v>1</v>
      </c>
      <c r="H180" s="3" t="str">
        <f>VLOOKUP(Table_Sheet1[[#This Row],[Device Name]],'[1]AParelhos_&amp;_LOJAS'!$C:$H,6,0)</f>
        <v>G86</v>
      </c>
      <c r="I180" s="3" t="str">
        <f>VLOOKUP(Table_Sheet1[[#This Row],[Device Name]],'[1]AParelhos_&amp;_LOJAS'!$C:$I,7,0)</f>
        <v>256 GB</v>
      </c>
      <c r="J180" s="3" t="str">
        <f>VLOOKUP(Table_Sheet1[[#This Row],[Store Name]],'lojas comp prom'!B:T,19,0)</f>
        <v>LOJAS AMERICANAS</v>
      </c>
      <c r="K180" s="3">
        <f>VLOOKUP(Table_Sheet1[[#This Row],[Store Name]],'lojas comp prom'!B:Z,25,0)</f>
        <v>80</v>
      </c>
      <c r="L180" s="3" t="str">
        <f>VLOOKUP(Table_Sheet1[[#This Row],[Store Name]],'lojas comp prom'!B:S,18,0)</f>
        <v>Shopping Interlagos</v>
      </c>
      <c r="M180" s="3">
        <f>VLOOKUP(Table_Sheet1[[#This Row],[Store Name]],'lojas comp prom'!B:AA,26,0)</f>
        <v>0</v>
      </c>
      <c r="N180" s="3" t="str">
        <f>VLOOKUP(Table_Sheet1[[#This Row],[Store Name]],'lojas comp prom'!B:L,11,0)</f>
        <v>SPC</v>
      </c>
    </row>
    <row r="181" spans="1:14" x14ac:dyDescent="0.2">
      <c r="A181" s="1">
        <v>46113.791666666672</v>
      </c>
      <c r="B181" s="2">
        <f>MOD(Table_Sheet1[[#This Row],[Date/Time]],1)</f>
        <v>0.79166666667151731</v>
      </c>
      <c r="C181" t="s">
        <v>41</v>
      </c>
      <c r="D181" t="s">
        <v>42</v>
      </c>
      <c r="E181" t="s">
        <v>43</v>
      </c>
      <c r="F181" t="s">
        <v>43</v>
      </c>
      <c r="G181">
        <v>2</v>
      </c>
      <c r="H181" s="3" t="str">
        <f>VLOOKUP(Table_Sheet1[[#This Row],[Device Name]],'[1]AParelhos_&amp;_LOJAS'!$C:$H,6,0)</f>
        <v xml:space="preserve">Edge 60 Fusion </v>
      </c>
      <c r="I181" s="3" t="str">
        <f>VLOOKUP(Table_Sheet1[[#This Row],[Device Name]],'[1]AParelhos_&amp;_LOJAS'!$C:$I,7,0)</f>
        <v>256 GB</v>
      </c>
      <c r="J181" s="3" t="str">
        <f>VLOOKUP(Table_Sheet1[[#This Row],[Store Name]],'lojas comp prom'!B:T,19,0)</f>
        <v>CASAS BAHIA</v>
      </c>
      <c r="K181" s="3">
        <f>VLOOKUP(Table_Sheet1[[#This Row],[Store Name]],'lojas comp prom'!B:Z,25,0)</f>
        <v>80</v>
      </c>
      <c r="L181" s="3" t="str">
        <f>VLOOKUP(Table_Sheet1[[#This Row],[Store Name]],'lojas comp prom'!B:S,18,0)</f>
        <v>Loja De Rua</v>
      </c>
      <c r="M181" s="3">
        <f>VLOOKUP(Table_Sheet1[[#This Row],[Store Name]],'lojas comp prom'!B:AA,26,0)</f>
        <v>0</v>
      </c>
      <c r="N181" s="3" t="str">
        <f>VLOOKUP(Table_Sheet1[[#This Row],[Store Name]],'lojas comp prom'!B:L,11,0)</f>
        <v>SPC</v>
      </c>
    </row>
    <row r="182" spans="1:14" x14ac:dyDescent="0.2">
      <c r="A182" s="1">
        <v>46113.791666666672</v>
      </c>
      <c r="B182" s="2">
        <f>MOD(Table_Sheet1[[#This Row],[Date/Time]],1)</f>
        <v>0.79166666667151731</v>
      </c>
      <c r="C182" t="s">
        <v>41</v>
      </c>
      <c r="D182" t="s">
        <v>42</v>
      </c>
      <c r="E182" t="s">
        <v>44</v>
      </c>
      <c r="F182" t="s">
        <v>44</v>
      </c>
      <c r="G182">
        <v>1</v>
      </c>
      <c r="H182" s="3" t="s">
        <v>34</v>
      </c>
      <c r="I182" s="3" t="s">
        <v>35</v>
      </c>
      <c r="J182" s="3" t="str">
        <f>VLOOKUP(Table_Sheet1[[#This Row],[Store Name]],'lojas comp prom'!B:T,19,0)</f>
        <v>CASAS BAHIA</v>
      </c>
      <c r="K182" s="3">
        <f>VLOOKUP(Table_Sheet1[[#This Row],[Store Name]],'lojas comp prom'!B:Z,25,0)</f>
        <v>80</v>
      </c>
      <c r="L182" s="3" t="str">
        <f>VLOOKUP(Table_Sheet1[[#This Row],[Store Name]],'lojas comp prom'!B:S,18,0)</f>
        <v>Loja De Rua</v>
      </c>
      <c r="M182" s="3">
        <f>VLOOKUP(Table_Sheet1[[#This Row],[Store Name]],'lojas comp prom'!B:AA,26,0)</f>
        <v>0</v>
      </c>
      <c r="N182" s="3" t="str">
        <f>VLOOKUP(Table_Sheet1[[#This Row],[Store Name]],'lojas comp prom'!B:L,11,0)</f>
        <v>SPC</v>
      </c>
    </row>
    <row r="183" spans="1:14" x14ac:dyDescent="0.2">
      <c r="A183" s="1">
        <v>46113.791666666672</v>
      </c>
      <c r="B183" s="2">
        <f>MOD(Table_Sheet1[[#This Row],[Date/Time]],1)</f>
        <v>0.79166666667151731</v>
      </c>
      <c r="C183" t="s">
        <v>41</v>
      </c>
      <c r="D183" t="s">
        <v>42</v>
      </c>
      <c r="E183" t="s">
        <v>45</v>
      </c>
      <c r="F183" t="s">
        <v>45</v>
      </c>
      <c r="G183">
        <v>2</v>
      </c>
      <c r="H183" s="3" t="str">
        <f>VLOOKUP(Table_Sheet1[[#This Row],[Device Name]],'[1]AParelhos_&amp;_LOJAS'!$C:$H,6,0)</f>
        <v>G05</v>
      </c>
      <c r="I183" s="3" t="str">
        <f>VLOOKUP(Table_Sheet1[[#This Row],[Device Name]],'[1]AParelhos_&amp;_LOJAS'!$C:$I,7,0)</f>
        <v>256 GB</v>
      </c>
      <c r="J183" s="3" t="str">
        <f>VLOOKUP(Table_Sheet1[[#This Row],[Store Name]],'lojas comp prom'!B:T,19,0)</f>
        <v>CASAS BAHIA</v>
      </c>
      <c r="K183" s="3">
        <f>VLOOKUP(Table_Sheet1[[#This Row],[Store Name]],'lojas comp prom'!B:Z,25,0)</f>
        <v>80</v>
      </c>
      <c r="L183" s="3" t="str">
        <f>VLOOKUP(Table_Sheet1[[#This Row],[Store Name]],'lojas comp prom'!B:S,18,0)</f>
        <v>Loja De Rua</v>
      </c>
      <c r="M183" s="3">
        <f>VLOOKUP(Table_Sheet1[[#This Row],[Store Name]],'lojas comp prom'!B:AA,26,0)</f>
        <v>0</v>
      </c>
      <c r="N183" s="3" t="str">
        <f>VLOOKUP(Table_Sheet1[[#This Row],[Store Name]],'lojas comp prom'!B:L,11,0)</f>
        <v>SPC</v>
      </c>
    </row>
    <row r="184" spans="1:14" x14ac:dyDescent="0.2">
      <c r="A184" s="1">
        <v>46113.791666666672</v>
      </c>
      <c r="B184" s="2">
        <f>MOD(Table_Sheet1[[#This Row],[Date/Time]],1)</f>
        <v>0.79166666667151731</v>
      </c>
      <c r="C184" t="s">
        <v>41</v>
      </c>
      <c r="D184" t="s">
        <v>42</v>
      </c>
      <c r="E184" t="s">
        <v>46</v>
      </c>
      <c r="F184" t="s">
        <v>46</v>
      </c>
      <c r="G184">
        <v>3</v>
      </c>
      <c r="H184" s="3" t="str">
        <f>VLOOKUP(Table_Sheet1[[#This Row],[Device Name]],'[1]AParelhos_&amp;_LOJAS'!$C:$H,6,0)</f>
        <v>G06</v>
      </c>
      <c r="I184" s="3" t="str">
        <f>VLOOKUP(Table_Sheet1[[#This Row],[Device Name]],'[1]AParelhos_&amp;_LOJAS'!$C:$I,7,0)</f>
        <v>128 GB</v>
      </c>
      <c r="J184" s="3" t="str">
        <f>VLOOKUP(Table_Sheet1[[#This Row],[Store Name]],'lojas comp prom'!B:T,19,0)</f>
        <v>CASAS BAHIA</v>
      </c>
      <c r="K184" s="3">
        <f>VLOOKUP(Table_Sheet1[[#This Row],[Store Name]],'lojas comp prom'!B:Z,25,0)</f>
        <v>80</v>
      </c>
      <c r="L184" s="3" t="str">
        <f>VLOOKUP(Table_Sheet1[[#This Row],[Store Name]],'lojas comp prom'!B:S,18,0)</f>
        <v>Loja De Rua</v>
      </c>
      <c r="M184" s="3">
        <f>VLOOKUP(Table_Sheet1[[#This Row],[Store Name]],'lojas comp prom'!B:AA,26,0)</f>
        <v>0</v>
      </c>
      <c r="N184" s="3" t="str">
        <f>VLOOKUP(Table_Sheet1[[#This Row],[Store Name]],'lojas comp prom'!B:L,11,0)</f>
        <v>SPC</v>
      </c>
    </row>
    <row r="185" spans="1:14" x14ac:dyDescent="0.2">
      <c r="A185" s="1">
        <v>46113.791666666672</v>
      </c>
      <c r="B185" s="2">
        <f>MOD(Table_Sheet1[[#This Row],[Date/Time]],1)</f>
        <v>0.79166666667151731</v>
      </c>
      <c r="C185" t="s">
        <v>41</v>
      </c>
      <c r="D185" t="s">
        <v>42</v>
      </c>
      <c r="E185" t="s">
        <v>47</v>
      </c>
      <c r="F185" t="s">
        <v>47</v>
      </c>
      <c r="G185">
        <v>1</v>
      </c>
      <c r="H185" s="3" t="str">
        <f>VLOOKUP(Table_Sheet1[[#This Row],[Device Name]],'[1]AParelhos_&amp;_LOJAS'!$C:$H,6,0)</f>
        <v>G06</v>
      </c>
      <c r="I185" s="3" t="str">
        <f>VLOOKUP(Table_Sheet1[[#This Row],[Device Name]],'[1]AParelhos_&amp;_LOJAS'!$C:$I,7,0)</f>
        <v>256 GB</v>
      </c>
      <c r="J185" s="3" t="str">
        <f>VLOOKUP(Table_Sheet1[[#This Row],[Store Name]],'lojas comp prom'!B:T,19,0)</f>
        <v>CASAS BAHIA</v>
      </c>
      <c r="K185" s="3">
        <f>VLOOKUP(Table_Sheet1[[#This Row],[Store Name]],'lojas comp prom'!B:Z,25,0)</f>
        <v>80</v>
      </c>
      <c r="L185" s="3" t="str">
        <f>VLOOKUP(Table_Sheet1[[#This Row],[Store Name]],'lojas comp prom'!B:S,18,0)</f>
        <v>Loja De Rua</v>
      </c>
      <c r="M185" s="3">
        <f>VLOOKUP(Table_Sheet1[[#This Row],[Store Name]],'lojas comp prom'!B:AA,26,0)</f>
        <v>0</v>
      </c>
      <c r="N185" s="3" t="str">
        <f>VLOOKUP(Table_Sheet1[[#This Row],[Store Name]],'lojas comp prom'!B:L,11,0)</f>
        <v>SPC</v>
      </c>
    </row>
    <row r="186" spans="1:14" x14ac:dyDescent="0.2">
      <c r="A186" s="1">
        <v>46113.791666666672</v>
      </c>
      <c r="B186" s="2">
        <f>MOD(Table_Sheet1[[#This Row],[Date/Time]],1)</f>
        <v>0.79166666667151731</v>
      </c>
      <c r="C186" t="s">
        <v>41</v>
      </c>
      <c r="D186" t="s">
        <v>42</v>
      </c>
      <c r="E186" t="s">
        <v>50</v>
      </c>
      <c r="F186" t="s">
        <v>50</v>
      </c>
      <c r="G186">
        <v>2</v>
      </c>
      <c r="H186" s="3" t="str">
        <f>VLOOKUP(Table_Sheet1[[#This Row],[Device Name]],'[1]AParelhos_&amp;_LOJAS'!$C:$H,6,0)</f>
        <v>G56</v>
      </c>
      <c r="I186" s="3" t="str">
        <f>VLOOKUP(Table_Sheet1[[#This Row],[Device Name]],'[1]AParelhos_&amp;_LOJAS'!$C:$I,7,0)</f>
        <v>256 GB</v>
      </c>
      <c r="J186" s="3" t="str">
        <f>VLOOKUP(Table_Sheet1[[#This Row],[Store Name]],'lojas comp prom'!B:T,19,0)</f>
        <v>CASAS BAHIA</v>
      </c>
      <c r="K186" s="3">
        <f>VLOOKUP(Table_Sheet1[[#This Row],[Store Name]],'lojas comp prom'!B:Z,25,0)</f>
        <v>80</v>
      </c>
      <c r="L186" s="3" t="str">
        <f>VLOOKUP(Table_Sheet1[[#This Row],[Store Name]],'lojas comp prom'!B:S,18,0)</f>
        <v>Loja De Rua</v>
      </c>
      <c r="M186" s="3">
        <f>VLOOKUP(Table_Sheet1[[#This Row],[Store Name]],'lojas comp prom'!B:AA,26,0)</f>
        <v>0</v>
      </c>
      <c r="N186" s="3" t="str">
        <f>VLOOKUP(Table_Sheet1[[#This Row],[Store Name]],'lojas comp prom'!B:L,11,0)</f>
        <v>SPC</v>
      </c>
    </row>
    <row r="187" spans="1:14" x14ac:dyDescent="0.2">
      <c r="A187" s="1">
        <v>46113.791666666672</v>
      </c>
      <c r="B187" s="2">
        <f>MOD(Table_Sheet1[[#This Row],[Date/Time]],1)</f>
        <v>0.79166666667151731</v>
      </c>
      <c r="C187" t="s">
        <v>41</v>
      </c>
      <c r="D187" t="s">
        <v>42</v>
      </c>
      <c r="E187" t="s">
        <v>51</v>
      </c>
      <c r="F187" t="s">
        <v>51</v>
      </c>
      <c r="G187">
        <v>2</v>
      </c>
      <c r="H187" s="3" t="str">
        <f>VLOOKUP(Table_Sheet1[[#This Row],[Device Name]],'[1]AParelhos_&amp;_LOJAS'!$C:$H,6,0)</f>
        <v>G86</v>
      </c>
      <c r="I187" s="3" t="str">
        <f>VLOOKUP(Table_Sheet1[[#This Row],[Device Name]],'[1]AParelhos_&amp;_LOJAS'!$C:$I,7,0)</f>
        <v>256 GB</v>
      </c>
      <c r="J187" s="3" t="str">
        <f>VLOOKUP(Table_Sheet1[[#This Row],[Store Name]],'lojas comp prom'!B:T,19,0)</f>
        <v>CASAS BAHIA</v>
      </c>
      <c r="K187" s="3">
        <f>VLOOKUP(Table_Sheet1[[#This Row],[Store Name]],'lojas comp prom'!B:Z,25,0)</f>
        <v>80</v>
      </c>
      <c r="L187" s="3" t="str">
        <f>VLOOKUP(Table_Sheet1[[#This Row],[Store Name]],'lojas comp prom'!B:S,18,0)</f>
        <v>Loja De Rua</v>
      </c>
      <c r="M187" s="3">
        <f>VLOOKUP(Table_Sheet1[[#This Row],[Store Name]],'lojas comp prom'!B:AA,26,0)</f>
        <v>0</v>
      </c>
      <c r="N187" s="3" t="str">
        <f>VLOOKUP(Table_Sheet1[[#This Row],[Store Name]],'lojas comp prom'!B:L,11,0)</f>
        <v>SPC</v>
      </c>
    </row>
    <row r="188" spans="1:14" x14ac:dyDescent="0.2">
      <c r="A188" s="1">
        <v>46113.791666666672</v>
      </c>
      <c r="B188" s="2">
        <f>MOD(Table_Sheet1[[#This Row],[Date/Time]],1)</f>
        <v>0.79166666667151731</v>
      </c>
      <c r="C188" t="s">
        <v>41</v>
      </c>
      <c r="D188" t="s">
        <v>42</v>
      </c>
      <c r="E188" t="s">
        <v>52</v>
      </c>
      <c r="F188" t="s">
        <v>52</v>
      </c>
      <c r="G188">
        <v>1</v>
      </c>
      <c r="H188" s="3" t="str">
        <f>VLOOKUP(Table_Sheet1[[#This Row],[Device Name]],'[1]AParelhos_&amp;_LOJAS'!$C:$H,6,0)</f>
        <v>G86</v>
      </c>
      <c r="I188" s="3" t="str">
        <f>VLOOKUP(Table_Sheet1[[#This Row],[Device Name]],'[1]AParelhos_&amp;_LOJAS'!$C:$I,7,0)</f>
        <v>512 GB</v>
      </c>
      <c r="J188" s="3" t="str">
        <f>VLOOKUP(Table_Sheet1[[#This Row],[Store Name]],'lojas comp prom'!B:T,19,0)</f>
        <v>CASAS BAHIA</v>
      </c>
      <c r="K188" s="3">
        <f>VLOOKUP(Table_Sheet1[[#This Row],[Store Name]],'lojas comp prom'!B:Z,25,0)</f>
        <v>80</v>
      </c>
      <c r="L188" s="3" t="str">
        <f>VLOOKUP(Table_Sheet1[[#This Row],[Store Name]],'lojas comp prom'!B:S,18,0)</f>
        <v>Loja De Rua</v>
      </c>
      <c r="M188" s="3">
        <f>VLOOKUP(Table_Sheet1[[#This Row],[Store Name]],'lojas comp prom'!B:AA,26,0)</f>
        <v>0</v>
      </c>
      <c r="N188" s="3" t="str">
        <f>VLOOKUP(Table_Sheet1[[#This Row],[Store Name]],'lojas comp prom'!B:L,11,0)</f>
        <v>SPC</v>
      </c>
    </row>
    <row r="189" spans="1:14" x14ac:dyDescent="0.2">
      <c r="A189" s="1">
        <v>46113.791666666672</v>
      </c>
      <c r="B189" s="2">
        <f>MOD(Table_Sheet1[[#This Row],[Date/Time]],1)</f>
        <v>0.79166666667151731</v>
      </c>
      <c r="C189" t="s">
        <v>8</v>
      </c>
      <c r="D189" t="s">
        <v>9</v>
      </c>
      <c r="E189" t="s">
        <v>13</v>
      </c>
      <c r="F189" t="s">
        <v>13</v>
      </c>
      <c r="G189">
        <v>1</v>
      </c>
      <c r="H189" s="3" t="str">
        <f>VLOOKUP(Table_Sheet1[[#This Row],[Device Name]],'[1]AParelhos_&amp;_LOJAS'!$C:$H,6,0)</f>
        <v>G17</v>
      </c>
      <c r="I189" s="3" t="str">
        <f>VLOOKUP(Table_Sheet1[[#This Row],[Device Name]],'[1]AParelhos_&amp;_LOJAS'!$C:$I,7,0)</f>
        <v>128 GB</v>
      </c>
      <c r="J189" s="3" t="str">
        <f>VLOOKUP(Table_Sheet1[[#This Row],[Store Name]],'lojas comp prom'!B:T,19,0)</f>
        <v>PONTO FRIO</v>
      </c>
      <c r="K189" s="3">
        <f>VLOOKUP(Table_Sheet1[[#This Row],[Store Name]],'lojas comp prom'!B:Z,25,0)</f>
        <v>80</v>
      </c>
      <c r="L189" s="3" t="str">
        <f>VLOOKUP(Table_Sheet1[[#This Row],[Store Name]],'lojas comp prom'!B:S,18,0)</f>
        <v>Shopping Interlagos</v>
      </c>
      <c r="M189" s="3">
        <f>VLOOKUP(Table_Sheet1[[#This Row],[Store Name]],'lojas comp prom'!B:AA,26,0)</f>
        <v>0</v>
      </c>
      <c r="N189" s="3" t="str">
        <f>VLOOKUP(Table_Sheet1[[#This Row],[Store Name]],'lojas comp prom'!B:L,11,0)</f>
        <v>SPC</v>
      </c>
    </row>
    <row r="190" spans="1:14" x14ac:dyDescent="0.2">
      <c r="A190" s="1">
        <v>46113.791666666672</v>
      </c>
      <c r="B190" s="2">
        <f>MOD(Table_Sheet1[[#This Row],[Date/Time]],1)</f>
        <v>0.79166666667151731</v>
      </c>
      <c r="C190" t="s">
        <v>8</v>
      </c>
      <c r="D190" t="s">
        <v>9</v>
      </c>
      <c r="E190" t="s">
        <v>14</v>
      </c>
      <c r="F190" t="s">
        <v>14</v>
      </c>
      <c r="G190">
        <v>3</v>
      </c>
      <c r="H190" s="3" t="str">
        <f>VLOOKUP(Table_Sheet1[[#This Row],[Device Name]],'[1]AParelhos_&amp;_LOJAS'!$C:$H,6,0)</f>
        <v>G56</v>
      </c>
      <c r="I190" s="3" t="str">
        <f>VLOOKUP(Table_Sheet1[[#This Row],[Device Name]],'[1]AParelhos_&amp;_LOJAS'!$C:$I,7,0)</f>
        <v>256 GB</v>
      </c>
      <c r="J190" s="3" t="str">
        <f>VLOOKUP(Table_Sheet1[[#This Row],[Store Name]],'lojas comp prom'!B:T,19,0)</f>
        <v>PONTO FRIO</v>
      </c>
      <c r="K190" s="3">
        <f>VLOOKUP(Table_Sheet1[[#This Row],[Store Name]],'lojas comp prom'!B:Z,25,0)</f>
        <v>80</v>
      </c>
      <c r="L190" s="3" t="str">
        <f>VLOOKUP(Table_Sheet1[[#This Row],[Store Name]],'lojas comp prom'!B:S,18,0)</f>
        <v>Shopping Interlagos</v>
      </c>
      <c r="M190" s="3">
        <f>VLOOKUP(Table_Sheet1[[#This Row],[Store Name]],'lojas comp prom'!B:AA,26,0)</f>
        <v>0</v>
      </c>
      <c r="N190" s="3" t="str">
        <f>VLOOKUP(Table_Sheet1[[#This Row],[Store Name]],'lojas comp prom'!B:L,11,0)</f>
        <v>SPC</v>
      </c>
    </row>
    <row r="191" spans="1:14" x14ac:dyDescent="0.2">
      <c r="A191" s="1">
        <v>46113.791666666672</v>
      </c>
      <c r="B191" s="2">
        <f>MOD(Table_Sheet1[[#This Row],[Date/Time]],1)</f>
        <v>0.79166666667151731</v>
      </c>
      <c r="C191" t="s">
        <v>23</v>
      </c>
      <c r="D191" t="s">
        <v>24</v>
      </c>
      <c r="E191" t="s">
        <v>25</v>
      </c>
      <c r="F191" t="s">
        <v>25</v>
      </c>
      <c r="G191">
        <v>2</v>
      </c>
      <c r="H191" s="3" t="s">
        <v>34</v>
      </c>
      <c r="I191" s="3" t="s">
        <v>35</v>
      </c>
      <c r="J191" s="3" t="str">
        <f>VLOOKUP(Table_Sheet1[[#This Row],[Store Name]],'lojas comp prom'!B:T,19,0)</f>
        <v>LOJAS AMERICANAS</v>
      </c>
      <c r="K191" s="3">
        <f>VLOOKUP(Table_Sheet1[[#This Row],[Store Name]],'lojas comp prom'!B:Z,25,0)</f>
        <v>80</v>
      </c>
      <c r="L191" s="3" t="str">
        <f>VLOOKUP(Table_Sheet1[[#This Row],[Store Name]],'lojas comp prom'!B:S,18,0)</f>
        <v>Shopping Interlagos</v>
      </c>
      <c r="M191" s="3">
        <f>VLOOKUP(Table_Sheet1[[#This Row],[Store Name]],'lojas comp prom'!B:AA,26,0)</f>
        <v>0</v>
      </c>
      <c r="N191" s="3" t="str">
        <f>VLOOKUP(Table_Sheet1[[#This Row],[Store Name]],'lojas comp prom'!B:L,11,0)</f>
        <v>SPC</v>
      </c>
    </row>
    <row r="192" spans="1:14" x14ac:dyDescent="0.2">
      <c r="A192" s="1">
        <v>46113.791666666672</v>
      </c>
      <c r="B192" s="2">
        <f>MOD(Table_Sheet1[[#This Row],[Date/Time]],1)</f>
        <v>0.79166666667151731</v>
      </c>
      <c r="C192" t="s">
        <v>23</v>
      </c>
      <c r="D192" t="s">
        <v>24</v>
      </c>
      <c r="E192" t="s">
        <v>27</v>
      </c>
      <c r="F192" t="s">
        <v>27</v>
      </c>
      <c r="G192">
        <v>2</v>
      </c>
      <c r="H192" s="3" t="str">
        <f>VLOOKUP(Table_Sheet1[[#This Row],[Device Name]],'[1]AParelhos_&amp;_LOJAS'!$C:$H,6,0)</f>
        <v>G56</v>
      </c>
      <c r="I192" s="3" t="str">
        <f>VLOOKUP(Table_Sheet1[[#This Row],[Device Name]],'[1]AParelhos_&amp;_LOJAS'!$C:$I,7,0)</f>
        <v>256 GB</v>
      </c>
      <c r="J192" s="3" t="str">
        <f>VLOOKUP(Table_Sheet1[[#This Row],[Store Name]],'lojas comp prom'!B:T,19,0)</f>
        <v>LOJAS AMERICANAS</v>
      </c>
      <c r="K192" s="3">
        <f>VLOOKUP(Table_Sheet1[[#This Row],[Store Name]],'lojas comp prom'!B:Z,25,0)</f>
        <v>80</v>
      </c>
      <c r="L192" s="3" t="str">
        <f>VLOOKUP(Table_Sheet1[[#This Row],[Store Name]],'lojas comp prom'!B:S,18,0)</f>
        <v>Shopping Interlagos</v>
      </c>
      <c r="M192" s="3">
        <f>VLOOKUP(Table_Sheet1[[#This Row],[Store Name]],'lojas comp prom'!B:AA,26,0)</f>
        <v>0</v>
      </c>
      <c r="N192" s="3" t="str">
        <f>VLOOKUP(Table_Sheet1[[#This Row],[Store Name]],'lojas comp prom'!B:L,11,0)</f>
        <v>SPC</v>
      </c>
    </row>
    <row r="193" spans="1:14" x14ac:dyDescent="0.2">
      <c r="A193" s="1">
        <v>46113.791666666672</v>
      </c>
      <c r="B193" s="2">
        <f>MOD(Table_Sheet1[[#This Row],[Date/Time]],1)</f>
        <v>0.79166666667151731</v>
      </c>
      <c r="C193" t="s">
        <v>23</v>
      </c>
      <c r="D193" t="s">
        <v>24</v>
      </c>
      <c r="E193" t="s">
        <v>28</v>
      </c>
      <c r="F193" t="s">
        <v>28</v>
      </c>
      <c r="G193">
        <v>5</v>
      </c>
      <c r="H193" s="3" t="str">
        <f>VLOOKUP(Table_Sheet1[[#This Row],[Device Name]],'[1]AParelhos_&amp;_LOJAS'!$C:$H,6,0)</f>
        <v>G67</v>
      </c>
      <c r="I193" s="3" t="str">
        <f>VLOOKUP(Table_Sheet1[[#This Row],[Device Name]],'[1]AParelhos_&amp;_LOJAS'!$C:$I,7,0)</f>
        <v>256 GB</v>
      </c>
      <c r="J193" s="3" t="str">
        <f>VLOOKUP(Table_Sheet1[[#This Row],[Store Name]],'lojas comp prom'!B:T,19,0)</f>
        <v>LOJAS AMERICANAS</v>
      </c>
      <c r="K193" s="3">
        <f>VLOOKUP(Table_Sheet1[[#This Row],[Store Name]],'lojas comp prom'!B:Z,25,0)</f>
        <v>80</v>
      </c>
      <c r="L193" s="3" t="str">
        <f>VLOOKUP(Table_Sheet1[[#This Row],[Store Name]],'lojas comp prom'!B:S,18,0)</f>
        <v>Shopping Interlagos</v>
      </c>
      <c r="M193" s="3">
        <f>VLOOKUP(Table_Sheet1[[#This Row],[Store Name]],'lojas comp prom'!B:AA,26,0)</f>
        <v>0</v>
      </c>
      <c r="N193" s="3" t="str">
        <f>VLOOKUP(Table_Sheet1[[#This Row],[Store Name]],'lojas comp prom'!B:L,11,0)</f>
        <v>SPC</v>
      </c>
    </row>
    <row r="194" spans="1:14" x14ac:dyDescent="0.2">
      <c r="A194" s="1">
        <v>46113.791666666672</v>
      </c>
      <c r="B194" s="2">
        <f>MOD(Table_Sheet1[[#This Row],[Date/Time]],1)</f>
        <v>0.79166666667151731</v>
      </c>
      <c r="C194" t="s">
        <v>23</v>
      </c>
      <c r="D194" t="s">
        <v>24</v>
      </c>
      <c r="E194" t="s">
        <v>29</v>
      </c>
      <c r="F194" t="s">
        <v>29</v>
      </c>
      <c r="G194">
        <v>6</v>
      </c>
      <c r="H194" s="3" t="str">
        <f>VLOOKUP(Table_Sheet1[[#This Row],[Device Name]],'[1]AParelhos_&amp;_LOJAS'!$C:$H,6,0)</f>
        <v>G77</v>
      </c>
      <c r="I194" s="3" t="str">
        <f>VLOOKUP(Table_Sheet1[[#This Row],[Device Name]],'[1]AParelhos_&amp;_LOJAS'!$C:$I,7,0)</f>
        <v>256 GB</v>
      </c>
      <c r="J194" s="3" t="str">
        <f>VLOOKUP(Table_Sheet1[[#This Row],[Store Name]],'lojas comp prom'!B:T,19,0)</f>
        <v>LOJAS AMERICANAS</v>
      </c>
      <c r="K194" s="3">
        <f>VLOOKUP(Table_Sheet1[[#This Row],[Store Name]],'lojas comp prom'!B:Z,25,0)</f>
        <v>80</v>
      </c>
      <c r="L194" s="3" t="str">
        <f>VLOOKUP(Table_Sheet1[[#This Row],[Store Name]],'lojas comp prom'!B:S,18,0)</f>
        <v>Shopping Interlagos</v>
      </c>
      <c r="M194" s="3">
        <f>VLOOKUP(Table_Sheet1[[#This Row],[Store Name]],'lojas comp prom'!B:AA,26,0)</f>
        <v>0</v>
      </c>
      <c r="N194" s="3" t="str">
        <f>VLOOKUP(Table_Sheet1[[#This Row],[Store Name]],'lojas comp prom'!B:L,11,0)</f>
        <v>SPC</v>
      </c>
    </row>
    <row r="195" spans="1:14" x14ac:dyDescent="0.2">
      <c r="A195" s="1">
        <v>46113.791666666672</v>
      </c>
      <c r="B195" s="2">
        <f>MOD(Table_Sheet1[[#This Row],[Date/Time]],1)</f>
        <v>0.79166666667151731</v>
      </c>
      <c r="C195" t="s">
        <v>23</v>
      </c>
      <c r="D195" t="s">
        <v>24</v>
      </c>
      <c r="E195" t="s">
        <v>30</v>
      </c>
      <c r="F195" t="s">
        <v>30</v>
      </c>
      <c r="G195">
        <v>5</v>
      </c>
      <c r="H195" s="3" t="str">
        <f>VLOOKUP(Table_Sheet1[[#This Row],[Device Name]],'[1]AParelhos_&amp;_LOJAS'!$C:$H,6,0)</f>
        <v>G86</v>
      </c>
      <c r="I195" s="3" t="str">
        <f>VLOOKUP(Table_Sheet1[[#This Row],[Device Name]],'[1]AParelhos_&amp;_LOJAS'!$C:$I,7,0)</f>
        <v>256 GB</v>
      </c>
      <c r="J195" s="3" t="str">
        <f>VLOOKUP(Table_Sheet1[[#This Row],[Store Name]],'lojas comp prom'!B:T,19,0)</f>
        <v>LOJAS AMERICANAS</v>
      </c>
      <c r="K195" s="3">
        <f>VLOOKUP(Table_Sheet1[[#This Row],[Store Name]],'lojas comp prom'!B:Z,25,0)</f>
        <v>80</v>
      </c>
      <c r="L195" s="3" t="str">
        <f>VLOOKUP(Table_Sheet1[[#This Row],[Store Name]],'lojas comp prom'!B:S,18,0)</f>
        <v>Shopping Interlagos</v>
      </c>
      <c r="M195" s="3">
        <f>VLOOKUP(Table_Sheet1[[#This Row],[Store Name]],'lojas comp prom'!B:AA,26,0)</f>
        <v>0</v>
      </c>
      <c r="N195" s="3" t="str">
        <f>VLOOKUP(Table_Sheet1[[#This Row],[Store Name]],'lojas comp prom'!B:L,11,0)</f>
        <v>SPC</v>
      </c>
    </row>
    <row r="196" spans="1:14" x14ac:dyDescent="0.2">
      <c r="A196" s="1">
        <v>46113.833333333328</v>
      </c>
      <c r="B196" s="2">
        <f>MOD(Table_Sheet1[[#This Row],[Date/Time]],1)</f>
        <v>0.83333333332848269</v>
      </c>
      <c r="C196" t="s">
        <v>41</v>
      </c>
      <c r="D196" t="s">
        <v>42</v>
      </c>
      <c r="E196" t="s">
        <v>47</v>
      </c>
      <c r="F196" t="s">
        <v>47</v>
      </c>
      <c r="G196">
        <v>3</v>
      </c>
      <c r="H196" s="3" t="str">
        <f>VLOOKUP(Table_Sheet1[[#This Row],[Device Name]],'[1]AParelhos_&amp;_LOJAS'!$C:$H,6,0)</f>
        <v>G06</v>
      </c>
      <c r="I196" s="3" t="str">
        <f>VLOOKUP(Table_Sheet1[[#This Row],[Device Name]],'[1]AParelhos_&amp;_LOJAS'!$C:$I,7,0)</f>
        <v>256 GB</v>
      </c>
      <c r="J196" s="3" t="str">
        <f>VLOOKUP(Table_Sheet1[[#This Row],[Store Name]],'lojas comp prom'!B:T,19,0)</f>
        <v>CASAS BAHIA</v>
      </c>
      <c r="K196" s="3">
        <f>VLOOKUP(Table_Sheet1[[#This Row],[Store Name]],'lojas comp prom'!B:Z,25,0)</f>
        <v>80</v>
      </c>
      <c r="L196" s="3" t="str">
        <f>VLOOKUP(Table_Sheet1[[#This Row],[Store Name]],'lojas comp prom'!B:S,18,0)</f>
        <v>Loja De Rua</v>
      </c>
      <c r="M196" s="3">
        <f>VLOOKUP(Table_Sheet1[[#This Row],[Store Name]],'lojas comp prom'!B:AA,26,0)</f>
        <v>0</v>
      </c>
      <c r="N196" s="3" t="str">
        <f>VLOOKUP(Table_Sheet1[[#This Row],[Store Name]],'lojas comp prom'!B:L,11,0)</f>
        <v>SPC</v>
      </c>
    </row>
    <row r="197" spans="1:14" x14ac:dyDescent="0.2">
      <c r="A197" s="1">
        <v>46113.833333333328</v>
      </c>
      <c r="B197" s="2">
        <f>MOD(Table_Sheet1[[#This Row],[Date/Time]],1)</f>
        <v>0.83333333332848269</v>
      </c>
      <c r="C197" t="s">
        <v>8</v>
      </c>
      <c r="D197" t="s">
        <v>9</v>
      </c>
      <c r="E197" t="s">
        <v>10</v>
      </c>
      <c r="F197" t="s">
        <v>10</v>
      </c>
      <c r="G197">
        <v>3</v>
      </c>
      <c r="H197" s="3" t="str">
        <f>VLOOKUP(Table_Sheet1[[#This Row],[Device Name]],'[1]AParelhos_&amp;_LOJAS'!$C:$H,6,0)</f>
        <v>Edge 50 Fusion</v>
      </c>
      <c r="I197" s="3" t="str">
        <f>VLOOKUP(Table_Sheet1[[#This Row],[Device Name]],'[1]AParelhos_&amp;_LOJAS'!$C:$I,7,0)</f>
        <v>256 GB</v>
      </c>
      <c r="J197" s="3" t="str">
        <f>VLOOKUP(Table_Sheet1[[#This Row],[Store Name]],'lojas comp prom'!B:T,19,0)</f>
        <v>PONTO FRIO</v>
      </c>
      <c r="K197" s="3">
        <f>VLOOKUP(Table_Sheet1[[#This Row],[Store Name]],'lojas comp prom'!B:Z,25,0)</f>
        <v>80</v>
      </c>
      <c r="L197" s="3" t="str">
        <f>VLOOKUP(Table_Sheet1[[#This Row],[Store Name]],'lojas comp prom'!B:S,18,0)</f>
        <v>Shopping Interlagos</v>
      </c>
      <c r="M197" s="3">
        <f>VLOOKUP(Table_Sheet1[[#This Row],[Store Name]],'lojas comp prom'!B:AA,26,0)</f>
        <v>0</v>
      </c>
      <c r="N197" s="3" t="str">
        <f>VLOOKUP(Table_Sheet1[[#This Row],[Store Name]],'lojas comp prom'!B:L,11,0)</f>
        <v>SPC</v>
      </c>
    </row>
    <row r="198" spans="1:14" x14ac:dyDescent="0.2">
      <c r="A198" s="1">
        <v>46113.833333333328</v>
      </c>
      <c r="B198" s="2">
        <f>MOD(Table_Sheet1[[#This Row],[Date/Time]],1)</f>
        <v>0.83333333332848269</v>
      </c>
      <c r="C198" t="s">
        <v>8</v>
      </c>
      <c r="D198" t="s">
        <v>9</v>
      </c>
      <c r="E198" t="s">
        <v>17</v>
      </c>
      <c r="F198" t="s">
        <v>17</v>
      </c>
      <c r="G198">
        <v>1</v>
      </c>
      <c r="H198" s="3" t="str">
        <f>VLOOKUP(Table_Sheet1[[#This Row],[Device Name]],'[1]AParelhos_&amp;_LOJAS'!$C:$H,6,0)</f>
        <v xml:space="preserve">Edge 60 Fusion </v>
      </c>
      <c r="I198" s="3" t="str">
        <f>VLOOKUP(Table_Sheet1[[#This Row],[Device Name]],'[1]AParelhos_&amp;_LOJAS'!$C:$I,7,0)</f>
        <v>256 GB</v>
      </c>
      <c r="J198" s="3" t="str">
        <f>VLOOKUP(Table_Sheet1[[#This Row],[Store Name]],'lojas comp prom'!B:T,19,0)</f>
        <v>PONTO FRIO</v>
      </c>
      <c r="K198" s="3">
        <f>VLOOKUP(Table_Sheet1[[#This Row],[Store Name]],'lojas comp prom'!B:Z,25,0)</f>
        <v>80</v>
      </c>
      <c r="L198" s="3" t="str">
        <f>VLOOKUP(Table_Sheet1[[#This Row],[Store Name]],'lojas comp prom'!B:S,18,0)</f>
        <v>Shopping Interlagos</v>
      </c>
      <c r="M198" s="3">
        <f>VLOOKUP(Table_Sheet1[[#This Row],[Store Name]],'lojas comp prom'!B:AA,26,0)</f>
        <v>0</v>
      </c>
      <c r="N198" s="3" t="str">
        <f>VLOOKUP(Table_Sheet1[[#This Row],[Store Name]],'lojas comp prom'!B:L,11,0)</f>
        <v>SPC</v>
      </c>
    </row>
    <row r="199" spans="1:14" x14ac:dyDescent="0.2">
      <c r="A199" s="1">
        <v>46113.833333333328</v>
      </c>
      <c r="B199" s="2">
        <f>MOD(Table_Sheet1[[#This Row],[Date/Time]],1)</f>
        <v>0.83333333332848269</v>
      </c>
      <c r="C199" t="s">
        <v>8</v>
      </c>
      <c r="D199" t="s">
        <v>9</v>
      </c>
      <c r="E199" t="s">
        <v>11</v>
      </c>
      <c r="F199" t="s">
        <v>11</v>
      </c>
      <c r="G199">
        <v>1</v>
      </c>
      <c r="H199" s="3" t="str">
        <f>VLOOKUP(Table_Sheet1[[#This Row],[Device Name]],'[1]AParelhos_&amp;_LOJAS'!$C:$H,6,0)</f>
        <v>G06</v>
      </c>
      <c r="I199" s="3" t="str">
        <f>VLOOKUP(Table_Sheet1[[#This Row],[Device Name]],'[1]AParelhos_&amp;_LOJAS'!$C:$I,7,0)</f>
        <v>128 GB</v>
      </c>
      <c r="J199" s="3" t="str">
        <f>VLOOKUP(Table_Sheet1[[#This Row],[Store Name]],'lojas comp prom'!B:T,19,0)</f>
        <v>PONTO FRIO</v>
      </c>
      <c r="K199" s="3">
        <f>VLOOKUP(Table_Sheet1[[#This Row],[Store Name]],'lojas comp prom'!B:Z,25,0)</f>
        <v>80</v>
      </c>
      <c r="L199" s="3" t="str">
        <f>VLOOKUP(Table_Sheet1[[#This Row],[Store Name]],'lojas comp prom'!B:S,18,0)</f>
        <v>Shopping Interlagos</v>
      </c>
      <c r="M199" s="3">
        <f>VLOOKUP(Table_Sheet1[[#This Row],[Store Name]],'lojas comp prom'!B:AA,26,0)</f>
        <v>0</v>
      </c>
      <c r="N199" s="3" t="str">
        <f>VLOOKUP(Table_Sheet1[[#This Row],[Store Name]],'lojas comp prom'!B:L,11,0)</f>
        <v>SPC</v>
      </c>
    </row>
    <row r="200" spans="1:14" x14ac:dyDescent="0.2">
      <c r="A200" s="1">
        <v>46113.833333333328</v>
      </c>
      <c r="B200" s="2">
        <f>MOD(Table_Sheet1[[#This Row],[Date/Time]],1)</f>
        <v>0.83333333332848269</v>
      </c>
      <c r="C200" t="s">
        <v>8</v>
      </c>
      <c r="D200" t="s">
        <v>9</v>
      </c>
      <c r="E200" t="s">
        <v>12</v>
      </c>
      <c r="F200" t="s">
        <v>12</v>
      </c>
      <c r="G200">
        <v>9</v>
      </c>
      <c r="H200" s="3" t="str">
        <f>VLOOKUP(Table_Sheet1[[#This Row],[Device Name]],'[1]AParelhos_&amp;_LOJAS'!$C:$H,6,0)</f>
        <v>G15</v>
      </c>
      <c r="I200" s="3" t="str">
        <f>VLOOKUP(Table_Sheet1[[#This Row],[Device Name]],'[1]AParelhos_&amp;_LOJAS'!$C:$I,7,0)</f>
        <v>256 GB</v>
      </c>
      <c r="J200" s="3" t="str">
        <f>VLOOKUP(Table_Sheet1[[#This Row],[Store Name]],'lojas comp prom'!B:T,19,0)</f>
        <v>PONTO FRIO</v>
      </c>
      <c r="K200" s="3">
        <f>VLOOKUP(Table_Sheet1[[#This Row],[Store Name]],'lojas comp prom'!B:Z,25,0)</f>
        <v>80</v>
      </c>
      <c r="L200" s="3" t="str">
        <f>VLOOKUP(Table_Sheet1[[#This Row],[Store Name]],'lojas comp prom'!B:S,18,0)</f>
        <v>Shopping Interlagos</v>
      </c>
      <c r="M200" s="3">
        <f>VLOOKUP(Table_Sheet1[[#This Row],[Store Name]],'lojas comp prom'!B:AA,26,0)</f>
        <v>0</v>
      </c>
      <c r="N200" s="3" t="str">
        <f>VLOOKUP(Table_Sheet1[[#This Row],[Store Name]],'lojas comp prom'!B:L,11,0)</f>
        <v>SPC</v>
      </c>
    </row>
    <row r="201" spans="1:14" x14ac:dyDescent="0.2">
      <c r="A201" s="1">
        <v>46113.833333333328</v>
      </c>
      <c r="B201" s="2">
        <f>MOD(Table_Sheet1[[#This Row],[Date/Time]],1)</f>
        <v>0.83333333332848269</v>
      </c>
      <c r="C201" t="s">
        <v>8</v>
      </c>
      <c r="D201" t="s">
        <v>9</v>
      </c>
      <c r="E201" t="s">
        <v>19</v>
      </c>
      <c r="F201" t="s">
        <v>19</v>
      </c>
      <c r="G201">
        <v>6</v>
      </c>
      <c r="H201" s="3" t="str">
        <f>VLOOKUP(Table_Sheet1[[#This Row],[Device Name]],'[1]AParelhos_&amp;_LOJAS'!$C:$H,6,0)</f>
        <v>G35</v>
      </c>
      <c r="I201" s="3" t="str">
        <f>VLOOKUP(Table_Sheet1[[#This Row],[Device Name]],'[1]AParelhos_&amp;_LOJAS'!$C:$I,7,0)</f>
        <v>256 GB</v>
      </c>
      <c r="J201" s="3" t="str">
        <f>VLOOKUP(Table_Sheet1[[#This Row],[Store Name]],'lojas comp prom'!B:T,19,0)</f>
        <v>PONTO FRIO</v>
      </c>
      <c r="K201" s="3">
        <f>VLOOKUP(Table_Sheet1[[#This Row],[Store Name]],'lojas comp prom'!B:Z,25,0)</f>
        <v>80</v>
      </c>
      <c r="L201" s="3" t="str">
        <f>VLOOKUP(Table_Sheet1[[#This Row],[Store Name]],'lojas comp prom'!B:S,18,0)</f>
        <v>Shopping Interlagos</v>
      </c>
      <c r="M201" s="3">
        <f>VLOOKUP(Table_Sheet1[[#This Row],[Store Name]],'lojas comp prom'!B:AA,26,0)</f>
        <v>0</v>
      </c>
      <c r="N201" s="3" t="str">
        <f>VLOOKUP(Table_Sheet1[[#This Row],[Store Name]],'lojas comp prom'!B:L,11,0)</f>
        <v>SPC</v>
      </c>
    </row>
    <row r="202" spans="1:14" x14ac:dyDescent="0.2">
      <c r="A202" s="1">
        <v>46113.833333333328</v>
      </c>
      <c r="B202" s="2">
        <f>MOD(Table_Sheet1[[#This Row],[Date/Time]],1)</f>
        <v>0.83333333332848269</v>
      </c>
      <c r="C202" t="s">
        <v>8</v>
      </c>
      <c r="D202" t="s">
        <v>9</v>
      </c>
      <c r="E202" t="s">
        <v>20</v>
      </c>
      <c r="F202" t="s">
        <v>20</v>
      </c>
      <c r="G202">
        <v>2</v>
      </c>
      <c r="H202" s="3" t="s">
        <v>33</v>
      </c>
      <c r="I202" s="3" t="s">
        <v>35</v>
      </c>
      <c r="J202" s="3" t="str">
        <f>VLOOKUP(Table_Sheet1[[#This Row],[Store Name]],'lojas comp prom'!B:T,19,0)</f>
        <v>PONTO FRIO</v>
      </c>
      <c r="K202" s="3">
        <f>VLOOKUP(Table_Sheet1[[#This Row],[Store Name]],'lojas comp prom'!B:Z,25,0)</f>
        <v>80</v>
      </c>
      <c r="L202" s="3" t="str">
        <f>VLOOKUP(Table_Sheet1[[#This Row],[Store Name]],'lojas comp prom'!B:S,18,0)</f>
        <v>Shopping Interlagos</v>
      </c>
      <c r="M202" s="3">
        <f>VLOOKUP(Table_Sheet1[[#This Row],[Store Name]],'lojas comp prom'!B:AA,26,0)</f>
        <v>0</v>
      </c>
      <c r="N202" s="3" t="str">
        <f>VLOOKUP(Table_Sheet1[[#This Row],[Store Name]],'lojas comp prom'!B:L,11,0)</f>
        <v>SPC</v>
      </c>
    </row>
    <row r="203" spans="1:14" x14ac:dyDescent="0.2">
      <c r="A203" s="1">
        <v>46113.833333333328</v>
      </c>
      <c r="B203" s="2">
        <f>MOD(Table_Sheet1[[#This Row],[Date/Time]],1)</f>
        <v>0.83333333332848269</v>
      </c>
      <c r="C203" t="s">
        <v>8</v>
      </c>
      <c r="D203" t="s">
        <v>9</v>
      </c>
      <c r="E203" t="s">
        <v>22</v>
      </c>
      <c r="F203" t="s">
        <v>22</v>
      </c>
      <c r="G203">
        <v>1</v>
      </c>
      <c r="H203" s="3" t="str">
        <f>VLOOKUP(Table_Sheet1[[#This Row],[Device Name]],'[1]AParelhos_&amp;_LOJAS'!$C:$H,6,0)</f>
        <v>G86</v>
      </c>
      <c r="I203" s="3" t="str">
        <f>VLOOKUP(Table_Sheet1[[#This Row],[Device Name]],'[1]AParelhos_&amp;_LOJAS'!$C:$I,7,0)</f>
        <v>256 GB</v>
      </c>
      <c r="J203" s="3" t="str">
        <f>VLOOKUP(Table_Sheet1[[#This Row],[Store Name]],'lojas comp prom'!B:T,19,0)</f>
        <v>PONTO FRIO</v>
      </c>
      <c r="K203" s="3">
        <f>VLOOKUP(Table_Sheet1[[#This Row],[Store Name]],'lojas comp prom'!B:Z,25,0)</f>
        <v>80</v>
      </c>
      <c r="L203" s="3" t="str">
        <f>VLOOKUP(Table_Sheet1[[#This Row],[Store Name]],'lojas comp prom'!B:S,18,0)</f>
        <v>Shopping Interlagos</v>
      </c>
      <c r="M203" s="3">
        <f>VLOOKUP(Table_Sheet1[[#This Row],[Store Name]],'lojas comp prom'!B:AA,26,0)</f>
        <v>0</v>
      </c>
      <c r="N203" s="3" t="str">
        <f>VLOOKUP(Table_Sheet1[[#This Row],[Store Name]],'lojas comp prom'!B:L,11,0)</f>
        <v>SPC</v>
      </c>
    </row>
    <row r="204" spans="1:14" x14ac:dyDescent="0.2">
      <c r="A204" s="1">
        <v>46113.833333333328</v>
      </c>
      <c r="B204" s="2">
        <f>MOD(Table_Sheet1[[#This Row],[Date/Time]],1)</f>
        <v>0.83333333332848269</v>
      </c>
      <c r="C204" t="s">
        <v>23</v>
      </c>
      <c r="D204" t="s">
        <v>24</v>
      </c>
      <c r="E204" t="s">
        <v>25</v>
      </c>
      <c r="F204" t="s">
        <v>25</v>
      </c>
      <c r="G204">
        <v>10</v>
      </c>
      <c r="H204" s="3" t="s">
        <v>34</v>
      </c>
      <c r="I204" s="3" t="s">
        <v>35</v>
      </c>
      <c r="J204" s="3" t="str">
        <f>VLOOKUP(Table_Sheet1[[#This Row],[Store Name]],'lojas comp prom'!B:T,19,0)</f>
        <v>LOJAS AMERICANAS</v>
      </c>
      <c r="K204" s="3">
        <f>VLOOKUP(Table_Sheet1[[#This Row],[Store Name]],'lojas comp prom'!B:Z,25,0)</f>
        <v>80</v>
      </c>
      <c r="L204" s="3" t="str">
        <f>VLOOKUP(Table_Sheet1[[#This Row],[Store Name]],'lojas comp prom'!B:S,18,0)</f>
        <v>Shopping Interlagos</v>
      </c>
      <c r="M204" s="3">
        <f>VLOOKUP(Table_Sheet1[[#This Row],[Store Name]],'lojas comp prom'!B:AA,26,0)</f>
        <v>0</v>
      </c>
      <c r="N204" s="3" t="str">
        <f>VLOOKUP(Table_Sheet1[[#This Row],[Store Name]],'lojas comp prom'!B:L,11,0)</f>
        <v>SPC</v>
      </c>
    </row>
    <row r="205" spans="1:14" x14ac:dyDescent="0.2">
      <c r="A205" s="1">
        <v>46113.833333333328</v>
      </c>
      <c r="B205" s="2">
        <f>MOD(Table_Sheet1[[#This Row],[Date/Time]],1)</f>
        <v>0.83333333332848269</v>
      </c>
      <c r="C205" t="s">
        <v>23</v>
      </c>
      <c r="D205" t="s">
        <v>24</v>
      </c>
      <c r="E205" t="s">
        <v>26</v>
      </c>
      <c r="F205" t="s">
        <v>26</v>
      </c>
      <c r="G205">
        <v>4</v>
      </c>
      <c r="H205" s="3" t="str">
        <f>VLOOKUP(Table_Sheet1[[#This Row],[Device Name]],'[1]AParelhos_&amp;_LOJAS'!$C:$H,6,0)</f>
        <v>G35</v>
      </c>
      <c r="I205" s="3" t="str">
        <f>VLOOKUP(Table_Sheet1[[#This Row],[Device Name]],'[1]AParelhos_&amp;_LOJAS'!$C:$I,7,0)</f>
        <v>256 GB</v>
      </c>
      <c r="J205" s="3" t="str">
        <f>VLOOKUP(Table_Sheet1[[#This Row],[Store Name]],'lojas comp prom'!B:T,19,0)</f>
        <v>LOJAS AMERICANAS</v>
      </c>
      <c r="K205" s="3">
        <f>VLOOKUP(Table_Sheet1[[#This Row],[Store Name]],'lojas comp prom'!B:Z,25,0)</f>
        <v>80</v>
      </c>
      <c r="L205" s="3" t="str">
        <f>VLOOKUP(Table_Sheet1[[#This Row],[Store Name]],'lojas comp prom'!B:S,18,0)</f>
        <v>Shopping Interlagos</v>
      </c>
      <c r="M205" s="3">
        <f>VLOOKUP(Table_Sheet1[[#This Row],[Store Name]],'lojas comp prom'!B:AA,26,0)</f>
        <v>0</v>
      </c>
      <c r="N205" s="3" t="str">
        <f>VLOOKUP(Table_Sheet1[[#This Row],[Store Name]],'lojas comp prom'!B:L,11,0)</f>
        <v>SPC</v>
      </c>
    </row>
    <row r="206" spans="1:14" x14ac:dyDescent="0.2">
      <c r="A206" s="1">
        <v>46113.833333333328</v>
      </c>
      <c r="B206" s="2">
        <f>MOD(Table_Sheet1[[#This Row],[Date/Time]],1)</f>
        <v>0.83333333332848269</v>
      </c>
      <c r="C206" t="s">
        <v>23</v>
      </c>
      <c r="D206" t="s">
        <v>24</v>
      </c>
      <c r="E206" t="s">
        <v>27</v>
      </c>
      <c r="F206" t="s">
        <v>27</v>
      </c>
      <c r="G206">
        <v>6</v>
      </c>
      <c r="H206" s="3" t="str">
        <f>VLOOKUP(Table_Sheet1[[#This Row],[Device Name]],'[1]AParelhos_&amp;_LOJAS'!$C:$H,6,0)</f>
        <v>G56</v>
      </c>
      <c r="I206" s="3" t="str">
        <f>VLOOKUP(Table_Sheet1[[#This Row],[Device Name]],'[1]AParelhos_&amp;_LOJAS'!$C:$I,7,0)</f>
        <v>256 GB</v>
      </c>
      <c r="J206" s="3" t="str">
        <f>VLOOKUP(Table_Sheet1[[#This Row],[Store Name]],'lojas comp prom'!B:T,19,0)</f>
        <v>LOJAS AMERICANAS</v>
      </c>
      <c r="K206" s="3">
        <f>VLOOKUP(Table_Sheet1[[#This Row],[Store Name]],'lojas comp prom'!B:Z,25,0)</f>
        <v>80</v>
      </c>
      <c r="L206" s="3" t="str">
        <f>VLOOKUP(Table_Sheet1[[#This Row],[Store Name]],'lojas comp prom'!B:S,18,0)</f>
        <v>Shopping Interlagos</v>
      </c>
      <c r="M206" s="3">
        <f>VLOOKUP(Table_Sheet1[[#This Row],[Store Name]],'lojas comp prom'!B:AA,26,0)</f>
        <v>0</v>
      </c>
      <c r="N206" s="3" t="str">
        <f>VLOOKUP(Table_Sheet1[[#This Row],[Store Name]],'lojas comp prom'!B:L,11,0)</f>
        <v>SPC</v>
      </c>
    </row>
    <row r="207" spans="1:14" x14ac:dyDescent="0.2">
      <c r="A207" s="1">
        <v>46113.833333333328</v>
      </c>
      <c r="B207" s="2">
        <f>MOD(Table_Sheet1[[#This Row],[Date/Time]],1)</f>
        <v>0.83333333332848269</v>
      </c>
      <c r="C207" t="s">
        <v>23</v>
      </c>
      <c r="D207" t="s">
        <v>24</v>
      </c>
      <c r="E207" t="s">
        <v>28</v>
      </c>
      <c r="F207" t="s">
        <v>28</v>
      </c>
      <c r="G207">
        <v>4</v>
      </c>
      <c r="H207" s="3" t="str">
        <f>VLOOKUP(Table_Sheet1[[#This Row],[Device Name]],'[1]AParelhos_&amp;_LOJAS'!$C:$H,6,0)</f>
        <v>G67</v>
      </c>
      <c r="I207" s="3" t="str">
        <f>VLOOKUP(Table_Sheet1[[#This Row],[Device Name]],'[1]AParelhos_&amp;_LOJAS'!$C:$I,7,0)</f>
        <v>256 GB</v>
      </c>
      <c r="J207" s="3" t="str">
        <f>VLOOKUP(Table_Sheet1[[#This Row],[Store Name]],'lojas comp prom'!B:T,19,0)</f>
        <v>LOJAS AMERICANAS</v>
      </c>
      <c r="K207" s="3">
        <f>VLOOKUP(Table_Sheet1[[#This Row],[Store Name]],'lojas comp prom'!B:Z,25,0)</f>
        <v>80</v>
      </c>
      <c r="L207" s="3" t="str">
        <f>VLOOKUP(Table_Sheet1[[#This Row],[Store Name]],'lojas comp prom'!B:S,18,0)</f>
        <v>Shopping Interlagos</v>
      </c>
      <c r="M207" s="3">
        <f>VLOOKUP(Table_Sheet1[[#This Row],[Store Name]],'lojas comp prom'!B:AA,26,0)</f>
        <v>0</v>
      </c>
      <c r="N207" s="3" t="str">
        <f>VLOOKUP(Table_Sheet1[[#This Row],[Store Name]],'lojas comp prom'!B:L,11,0)</f>
        <v>SPC</v>
      </c>
    </row>
    <row r="208" spans="1:14" x14ac:dyDescent="0.2">
      <c r="A208" s="1">
        <v>46113.833333333328</v>
      </c>
      <c r="B208" s="2">
        <f>MOD(Table_Sheet1[[#This Row],[Date/Time]],1)</f>
        <v>0.83333333332848269</v>
      </c>
      <c r="C208" t="s">
        <v>23</v>
      </c>
      <c r="D208" t="s">
        <v>24</v>
      </c>
      <c r="E208" t="s">
        <v>29</v>
      </c>
      <c r="F208" t="s">
        <v>29</v>
      </c>
      <c r="G208">
        <v>1</v>
      </c>
      <c r="H208" s="3" t="str">
        <f>VLOOKUP(Table_Sheet1[[#This Row],[Device Name]],'[1]AParelhos_&amp;_LOJAS'!$C:$H,6,0)</f>
        <v>G77</v>
      </c>
      <c r="I208" s="3" t="str">
        <f>VLOOKUP(Table_Sheet1[[#This Row],[Device Name]],'[1]AParelhos_&amp;_LOJAS'!$C:$I,7,0)</f>
        <v>256 GB</v>
      </c>
      <c r="J208" s="3" t="str">
        <f>VLOOKUP(Table_Sheet1[[#This Row],[Store Name]],'lojas comp prom'!B:T,19,0)</f>
        <v>LOJAS AMERICANAS</v>
      </c>
      <c r="K208" s="3">
        <f>VLOOKUP(Table_Sheet1[[#This Row],[Store Name]],'lojas comp prom'!B:Z,25,0)</f>
        <v>80</v>
      </c>
      <c r="L208" s="3" t="str">
        <f>VLOOKUP(Table_Sheet1[[#This Row],[Store Name]],'lojas comp prom'!B:S,18,0)</f>
        <v>Shopping Interlagos</v>
      </c>
      <c r="M208" s="3">
        <f>VLOOKUP(Table_Sheet1[[#This Row],[Store Name]],'lojas comp prom'!B:AA,26,0)</f>
        <v>0</v>
      </c>
      <c r="N208" s="3" t="str">
        <f>VLOOKUP(Table_Sheet1[[#This Row],[Store Name]],'lojas comp prom'!B:L,11,0)</f>
        <v>SPC</v>
      </c>
    </row>
    <row r="209" spans="1:14" x14ac:dyDescent="0.2">
      <c r="A209" s="1">
        <v>46113.833333333328</v>
      </c>
      <c r="B209" s="2">
        <f>MOD(Table_Sheet1[[#This Row],[Date/Time]],1)</f>
        <v>0.83333333332848269</v>
      </c>
      <c r="C209" t="s">
        <v>23</v>
      </c>
      <c r="D209" t="s">
        <v>24</v>
      </c>
      <c r="E209" t="s">
        <v>30</v>
      </c>
      <c r="F209" t="s">
        <v>30</v>
      </c>
      <c r="G209">
        <v>3</v>
      </c>
      <c r="H209" s="3" t="str">
        <f>VLOOKUP(Table_Sheet1[[#This Row],[Device Name]],'[1]AParelhos_&amp;_LOJAS'!$C:$H,6,0)</f>
        <v>G86</v>
      </c>
      <c r="I209" s="3" t="str">
        <f>VLOOKUP(Table_Sheet1[[#This Row],[Device Name]],'[1]AParelhos_&amp;_LOJAS'!$C:$I,7,0)</f>
        <v>256 GB</v>
      </c>
      <c r="J209" s="3" t="str">
        <f>VLOOKUP(Table_Sheet1[[#This Row],[Store Name]],'lojas comp prom'!B:T,19,0)</f>
        <v>LOJAS AMERICANAS</v>
      </c>
      <c r="K209" s="3">
        <f>VLOOKUP(Table_Sheet1[[#This Row],[Store Name]],'lojas comp prom'!B:Z,25,0)</f>
        <v>80</v>
      </c>
      <c r="L209" s="3" t="str">
        <f>VLOOKUP(Table_Sheet1[[#This Row],[Store Name]],'lojas comp prom'!B:S,18,0)</f>
        <v>Shopping Interlagos</v>
      </c>
      <c r="M209" s="3">
        <f>VLOOKUP(Table_Sheet1[[#This Row],[Store Name]],'lojas comp prom'!B:AA,26,0)</f>
        <v>0</v>
      </c>
      <c r="N209" s="3" t="str">
        <f>VLOOKUP(Table_Sheet1[[#This Row],[Store Name]],'lojas comp prom'!B:L,11,0)</f>
        <v>SPC</v>
      </c>
    </row>
    <row r="210" spans="1:14" x14ac:dyDescent="0.2">
      <c r="A210" s="1">
        <v>46113.875</v>
      </c>
      <c r="B210" s="2">
        <f>MOD(Table_Sheet1[[#This Row],[Date/Time]],1)</f>
        <v>0.875</v>
      </c>
      <c r="C210" t="s">
        <v>8</v>
      </c>
      <c r="D210" t="s">
        <v>9</v>
      </c>
      <c r="E210" t="s">
        <v>18</v>
      </c>
      <c r="F210" t="s">
        <v>18</v>
      </c>
      <c r="G210">
        <v>1</v>
      </c>
      <c r="H210" s="3" t="str">
        <f>VLOOKUP(Table_Sheet1[[#This Row],[Device Name]],'[1]AParelhos_&amp;_LOJAS'!$C:$H,6,0)</f>
        <v>G05</v>
      </c>
      <c r="I210" s="3" t="str">
        <f>VLOOKUP(Table_Sheet1[[#This Row],[Device Name]],'[1]AParelhos_&amp;_LOJAS'!$C:$I,7,0)</f>
        <v>256 GB</v>
      </c>
      <c r="J210" s="3" t="str">
        <f>VLOOKUP(Table_Sheet1[[#This Row],[Store Name]],'lojas comp prom'!B:T,19,0)</f>
        <v>PONTO FRIO</v>
      </c>
      <c r="K210" s="3">
        <f>VLOOKUP(Table_Sheet1[[#This Row],[Store Name]],'lojas comp prom'!B:Z,25,0)</f>
        <v>80</v>
      </c>
      <c r="L210" s="3" t="str">
        <f>VLOOKUP(Table_Sheet1[[#This Row],[Store Name]],'lojas comp prom'!B:S,18,0)</f>
        <v>Shopping Interlagos</v>
      </c>
      <c r="M210" s="3">
        <f>VLOOKUP(Table_Sheet1[[#This Row],[Store Name]],'lojas comp prom'!B:AA,26,0)</f>
        <v>0</v>
      </c>
      <c r="N210" s="3" t="str">
        <f>VLOOKUP(Table_Sheet1[[#This Row],[Store Name]],'lojas comp prom'!B:L,11,0)</f>
        <v>SPC</v>
      </c>
    </row>
    <row r="211" spans="1:14" x14ac:dyDescent="0.2">
      <c r="A211" s="1">
        <v>46113.875</v>
      </c>
      <c r="B211" s="2">
        <f>MOD(Table_Sheet1[[#This Row],[Date/Time]],1)</f>
        <v>0.875</v>
      </c>
      <c r="C211" t="s">
        <v>8</v>
      </c>
      <c r="D211" t="s">
        <v>9</v>
      </c>
      <c r="E211" t="s">
        <v>12</v>
      </c>
      <c r="F211" t="s">
        <v>12</v>
      </c>
      <c r="G211">
        <v>1</v>
      </c>
      <c r="H211" s="3" t="str">
        <f>VLOOKUP(Table_Sheet1[[#This Row],[Device Name]],'[1]AParelhos_&amp;_LOJAS'!$C:$H,6,0)</f>
        <v>G15</v>
      </c>
      <c r="I211" s="3" t="str">
        <f>VLOOKUP(Table_Sheet1[[#This Row],[Device Name]],'[1]AParelhos_&amp;_LOJAS'!$C:$I,7,0)</f>
        <v>256 GB</v>
      </c>
      <c r="J211" s="3" t="str">
        <f>VLOOKUP(Table_Sheet1[[#This Row],[Store Name]],'lojas comp prom'!B:T,19,0)</f>
        <v>PONTO FRIO</v>
      </c>
      <c r="K211" s="3">
        <f>VLOOKUP(Table_Sheet1[[#This Row],[Store Name]],'lojas comp prom'!B:Z,25,0)</f>
        <v>80</v>
      </c>
      <c r="L211" s="3" t="str">
        <f>VLOOKUP(Table_Sheet1[[#This Row],[Store Name]],'lojas comp prom'!B:S,18,0)</f>
        <v>Shopping Interlagos</v>
      </c>
      <c r="M211" s="3">
        <f>VLOOKUP(Table_Sheet1[[#This Row],[Store Name]],'lojas comp prom'!B:AA,26,0)</f>
        <v>0</v>
      </c>
      <c r="N211" s="3" t="str">
        <f>VLOOKUP(Table_Sheet1[[#This Row],[Store Name]],'lojas comp prom'!B:L,11,0)</f>
        <v>SPC</v>
      </c>
    </row>
    <row r="212" spans="1:14" x14ac:dyDescent="0.2">
      <c r="A212" s="1">
        <v>46113.875</v>
      </c>
      <c r="B212" s="2">
        <f>MOD(Table_Sheet1[[#This Row],[Date/Time]],1)</f>
        <v>0.875</v>
      </c>
      <c r="C212" t="s">
        <v>8</v>
      </c>
      <c r="D212" t="s">
        <v>9</v>
      </c>
      <c r="E212" t="s">
        <v>14</v>
      </c>
      <c r="F212" t="s">
        <v>14</v>
      </c>
      <c r="G212">
        <v>2</v>
      </c>
      <c r="H212" s="3" t="str">
        <f>VLOOKUP(Table_Sheet1[[#This Row],[Device Name]],'[1]AParelhos_&amp;_LOJAS'!$C:$H,6,0)</f>
        <v>G56</v>
      </c>
      <c r="I212" s="3" t="str">
        <f>VLOOKUP(Table_Sheet1[[#This Row],[Device Name]],'[1]AParelhos_&amp;_LOJAS'!$C:$I,7,0)</f>
        <v>256 GB</v>
      </c>
      <c r="J212" s="3" t="str">
        <f>VLOOKUP(Table_Sheet1[[#This Row],[Store Name]],'lojas comp prom'!B:T,19,0)</f>
        <v>PONTO FRIO</v>
      </c>
      <c r="K212" s="3">
        <f>VLOOKUP(Table_Sheet1[[#This Row],[Store Name]],'lojas comp prom'!B:Z,25,0)</f>
        <v>80</v>
      </c>
      <c r="L212" s="3" t="str">
        <f>VLOOKUP(Table_Sheet1[[#This Row],[Store Name]],'lojas comp prom'!B:S,18,0)</f>
        <v>Shopping Interlagos</v>
      </c>
      <c r="M212" s="3">
        <f>VLOOKUP(Table_Sheet1[[#This Row],[Store Name]],'lojas comp prom'!B:AA,26,0)</f>
        <v>0</v>
      </c>
      <c r="N212" s="3" t="str">
        <f>VLOOKUP(Table_Sheet1[[#This Row],[Store Name]],'lojas comp prom'!B:L,11,0)</f>
        <v>SPC</v>
      </c>
    </row>
    <row r="213" spans="1:14" x14ac:dyDescent="0.2">
      <c r="A213" s="1">
        <v>46113.875</v>
      </c>
      <c r="B213" s="2">
        <f>MOD(Table_Sheet1[[#This Row],[Date/Time]],1)</f>
        <v>0.875</v>
      </c>
      <c r="C213" t="s">
        <v>8</v>
      </c>
      <c r="D213" t="s">
        <v>9</v>
      </c>
      <c r="E213" t="s">
        <v>15</v>
      </c>
      <c r="F213" t="s">
        <v>15</v>
      </c>
      <c r="G213">
        <v>2</v>
      </c>
      <c r="H213" s="3" t="str">
        <f>VLOOKUP(Table_Sheet1[[#This Row],[Device Name]],'[1]AParelhos_&amp;_LOJAS'!$C:$H,6,0)</f>
        <v>G75</v>
      </c>
      <c r="I213" s="3" t="str">
        <f>VLOOKUP(Table_Sheet1[[#This Row],[Device Name]],'[1]AParelhos_&amp;_LOJAS'!$C:$I,7,0)</f>
        <v>256 GB</v>
      </c>
      <c r="J213" s="3" t="str">
        <f>VLOOKUP(Table_Sheet1[[#This Row],[Store Name]],'lojas comp prom'!B:T,19,0)</f>
        <v>PONTO FRIO</v>
      </c>
      <c r="K213" s="3">
        <f>VLOOKUP(Table_Sheet1[[#This Row],[Store Name]],'lojas comp prom'!B:Z,25,0)</f>
        <v>80</v>
      </c>
      <c r="L213" s="3" t="str">
        <f>VLOOKUP(Table_Sheet1[[#This Row],[Store Name]],'lojas comp prom'!B:S,18,0)</f>
        <v>Shopping Interlagos</v>
      </c>
      <c r="M213" s="3">
        <f>VLOOKUP(Table_Sheet1[[#This Row],[Store Name]],'lojas comp prom'!B:AA,26,0)</f>
        <v>0</v>
      </c>
      <c r="N213" s="3" t="str">
        <f>VLOOKUP(Table_Sheet1[[#This Row],[Store Name]],'lojas comp prom'!B:L,11,0)</f>
        <v>SPC</v>
      </c>
    </row>
    <row r="214" spans="1:14" x14ac:dyDescent="0.2">
      <c r="A214" s="1">
        <v>46113.875</v>
      </c>
      <c r="B214" s="2">
        <f>MOD(Table_Sheet1[[#This Row],[Date/Time]],1)</f>
        <v>0.875</v>
      </c>
      <c r="C214" t="s">
        <v>8</v>
      </c>
      <c r="D214" t="s">
        <v>9</v>
      </c>
      <c r="E214" t="s">
        <v>22</v>
      </c>
      <c r="F214" t="s">
        <v>22</v>
      </c>
      <c r="G214">
        <v>2</v>
      </c>
      <c r="H214" s="3" t="str">
        <f>VLOOKUP(Table_Sheet1[[#This Row],[Device Name]],'[1]AParelhos_&amp;_LOJAS'!$C:$H,6,0)</f>
        <v>G86</v>
      </c>
      <c r="I214" s="3" t="str">
        <f>VLOOKUP(Table_Sheet1[[#This Row],[Device Name]],'[1]AParelhos_&amp;_LOJAS'!$C:$I,7,0)</f>
        <v>256 GB</v>
      </c>
      <c r="J214" s="3" t="str">
        <f>VLOOKUP(Table_Sheet1[[#This Row],[Store Name]],'lojas comp prom'!B:T,19,0)</f>
        <v>PONTO FRIO</v>
      </c>
      <c r="K214" s="3">
        <f>VLOOKUP(Table_Sheet1[[#This Row],[Store Name]],'lojas comp prom'!B:Z,25,0)</f>
        <v>80</v>
      </c>
      <c r="L214" s="3" t="str">
        <f>VLOOKUP(Table_Sheet1[[#This Row],[Store Name]],'lojas comp prom'!B:S,18,0)</f>
        <v>Shopping Interlagos</v>
      </c>
      <c r="M214" s="3">
        <f>VLOOKUP(Table_Sheet1[[#This Row],[Store Name]],'lojas comp prom'!B:AA,26,0)</f>
        <v>0</v>
      </c>
      <c r="N214" s="3" t="str">
        <f>VLOOKUP(Table_Sheet1[[#This Row],[Store Name]],'lojas comp prom'!B:L,11,0)</f>
        <v>SPC</v>
      </c>
    </row>
    <row r="215" spans="1:14" x14ac:dyDescent="0.2">
      <c r="A215" s="1">
        <v>46113.875</v>
      </c>
      <c r="B215" s="2">
        <f>MOD(Table_Sheet1[[#This Row],[Date/Time]],1)</f>
        <v>0.875</v>
      </c>
      <c r="C215" t="s">
        <v>23</v>
      </c>
      <c r="D215" t="s">
        <v>24</v>
      </c>
      <c r="E215" t="s">
        <v>25</v>
      </c>
      <c r="F215" t="s">
        <v>25</v>
      </c>
      <c r="G215">
        <v>3</v>
      </c>
      <c r="H215" s="3" t="s">
        <v>34</v>
      </c>
      <c r="I215" s="3" t="s">
        <v>35</v>
      </c>
      <c r="J215" s="3" t="str">
        <f>VLOOKUP(Table_Sheet1[[#This Row],[Store Name]],'lojas comp prom'!B:T,19,0)</f>
        <v>LOJAS AMERICANAS</v>
      </c>
      <c r="K215" s="3">
        <f>VLOOKUP(Table_Sheet1[[#This Row],[Store Name]],'lojas comp prom'!B:Z,25,0)</f>
        <v>80</v>
      </c>
      <c r="L215" s="3" t="str">
        <f>VLOOKUP(Table_Sheet1[[#This Row],[Store Name]],'lojas comp prom'!B:S,18,0)</f>
        <v>Shopping Interlagos</v>
      </c>
      <c r="M215" s="3">
        <f>VLOOKUP(Table_Sheet1[[#This Row],[Store Name]],'lojas comp prom'!B:AA,26,0)</f>
        <v>0</v>
      </c>
      <c r="N215" s="3" t="str">
        <f>VLOOKUP(Table_Sheet1[[#This Row],[Store Name]],'lojas comp prom'!B:L,11,0)</f>
        <v>SPC</v>
      </c>
    </row>
    <row r="216" spans="1:14" x14ac:dyDescent="0.2">
      <c r="A216" s="1">
        <v>46113.875</v>
      </c>
      <c r="B216" s="2">
        <f>MOD(Table_Sheet1[[#This Row],[Date/Time]],1)</f>
        <v>0.875</v>
      </c>
      <c r="C216" t="s">
        <v>23</v>
      </c>
      <c r="D216" t="s">
        <v>24</v>
      </c>
      <c r="E216" t="s">
        <v>26</v>
      </c>
      <c r="F216" t="s">
        <v>26</v>
      </c>
      <c r="G216">
        <v>3</v>
      </c>
      <c r="H216" s="3" t="str">
        <f>VLOOKUP(Table_Sheet1[[#This Row],[Device Name]],'[1]AParelhos_&amp;_LOJAS'!$C:$H,6,0)</f>
        <v>G35</v>
      </c>
      <c r="I216" s="3" t="str">
        <f>VLOOKUP(Table_Sheet1[[#This Row],[Device Name]],'[1]AParelhos_&amp;_LOJAS'!$C:$I,7,0)</f>
        <v>256 GB</v>
      </c>
      <c r="J216" s="3" t="str">
        <f>VLOOKUP(Table_Sheet1[[#This Row],[Store Name]],'lojas comp prom'!B:T,19,0)</f>
        <v>LOJAS AMERICANAS</v>
      </c>
      <c r="K216" s="3">
        <f>VLOOKUP(Table_Sheet1[[#This Row],[Store Name]],'lojas comp prom'!B:Z,25,0)</f>
        <v>80</v>
      </c>
      <c r="L216" s="3" t="str">
        <f>VLOOKUP(Table_Sheet1[[#This Row],[Store Name]],'lojas comp prom'!B:S,18,0)</f>
        <v>Shopping Interlagos</v>
      </c>
      <c r="M216" s="3">
        <f>VLOOKUP(Table_Sheet1[[#This Row],[Store Name]],'lojas comp prom'!B:AA,26,0)</f>
        <v>0</v>
      </c>
      <c r="N216" s="3" t="str">
        <f>VLOOKUP(Table_Sheet1[[#This Row],[Store Name]],'lojas comp prom'!B:L,11,0)</f>
        <v>SPC</v>
      </c>
    </row>
    <row r="217" spans="1:14" x14ac:dyDescent="0.2">
      <c r="A217" s="1">
        <v>46113.875</v>
      </c>
      <c r="B217" s="2">
        <f>MOD(Table_Sheet1[[#This Row],[Date/Time]],1)</f>
        <v>0.875</v>
      </c>
      <c r="C217" t="s">
        <v>23</v>
      </c>
      <c r="D217" t="s">
        <v>24</v>
      </c>
      <c r="E217" t="s">
        <v>27</v>
      </c>
      <c r="F217" t="s">
        <v>27</v>
      </c>
      <c r="G217">
        <v>2</v>
      </c>
      <c r="H217" s="3" t="str">
        <f>VLOOKUP(Table_Sheet1[[#This Row],[Device Name]],'[1]AParelhos_&amp;_LOJAS'!$C:$H,6,0)</f>
        <v>G56</v>
      </c>
      <c r="I217" s="3" t="str">
        <f>VLOOKUP(Table_Sheet1[[#This Row],[Device Name]],'[1]AParelhos_&amp;_LOJAS'!$C:$I,7,0)</f>
        <v>256 GB</v>
      </c>
      <c r="J217" s="3" t="str">
        <f>VLOOKUP(Table_Sheet1[[#This Row],[Store Name]],'lojas comp prom'!B:T,19,0)</f>
        <v>LOJAS AMERICANAS</v>
      </c>
      <c r="K217" s="3">
        <f>VLOOKUP(Table_Sheet1[[#This Row],[Store Name]],'lojas comp prom'!B:Z,25,0)</f>
        <v>80</v>
      </c>
      <c r="L217" s="3" t="str">
        <f>VLOOKUP(Table_Sheet1[[#This Row],[Store Name]],'lojas comp prom'!B:S,18,0)</f>
        <v>Shopping Interlagos</v>
      </c>
      <c r="M217" s="3">
        <f>VLOOKUP(Table_Sheet1[[#This Row],[Store Name]],'lojas comp prom'!B:AA,26,0)</f>
        <v>0</v>
      </c>
      <c r="N217" s="3" t="str">
        <f>VLOOKUP(Table_Sheet1[[#This Row],[Store Name]],'lojas comp prom'!B:L,11,0)</f>
        <v>SPC</v>
      </c>
    </row>
    <row r="218" spans="1:14" x14ac:dyDescent="0.2">
      <c r="A218" s="1">
        <v>46113.875</v>
      </c>
      <c r="B218" s="2">
        <f>MOD(Table_Sheet1[[#This Row],[Date/Time]],1)</f>
        <v>0.875</v>
      </c>
      <c r="C218" t="s">
        <v>23</v>
      </c>
      <c r="D218" t="s">
        <v>24</v>
      </c>
      <c r="E218" t="s">
        <v>28</v>
      </c>
      <c r="F218" t="s">
        <v>28</v>
      </c>
      <c r="G218">
        <v>1</v>
      </c>
      <c r="H218" s="3" t="str">
        <f>VLOOKUP(Table_Sheet1[[#This Row],[Device Name]],'[1]AParelhos_&amp;_LOJAS'!$C:$H,6,0)</f>
        <v>G67</v>
      </c>
      <c r="I218" s="3" t="str">
        <f>VLOOKUP(Table_Sheet1[[#This Row],[Device Name]],'[1]AParelhos_&amp;_LOJAS'!$C:$I,7,0)</f>
        <v>256 GB</v>
      </c>
      <c r="J218" s="3" t="str">
        <f>VLOOKUP(Table_Sheet1[[#This Row],[Store Name]],'lojas comp prom'!B:T,19,0)</f>
        <v>LOJAS AMERICANAS</v>
      </c>
      <c r="K218" s="3">
        <f>VLOOKUP(Table_Sheet1[[#This Row],[Store Name]],'lojas comp prom'!B:Z,25,0)</f>
        <v>80</v>
      </c>
      <c r="L218" s="3" t="str">
        <f>VLOOKUP(Table_Sheet1[[#This Row],[Store Name]],'lojas comp prom'!B:S,18,0)</f>
        <v>Shopping Interlagos</v>
      </c>
      <c r="M218" s="3">
        <f>VLOOKUP(Table_Sheet1[[#This Row],[Store Name]],'lojas comp prom'!B:AA,26,0)</f>
        <v>0</v>
      </c>
      <c r="N218" s="3" t="str">
        <f>VLOOKUP(Table_Sheet1[[#This Row],[Store Name]],'lojas comp prom'!B:L,11,0)</f>
        <v>SPC</v>
      </c>
    </row>
    <row r="219" spans="1:14" x14ac:dyDescent="0.2">
      <c r="A219" s="1">
        <v>46113.916666666672</v>
      </c>
      <c r="B219" s="2">
        <f>MOD(Table_Sheet1[[#This Row],[Date/Time]],1)</f>
        <v>0.91666666667151731</v>
      </c>
      <c r="C219" t="s">
        <v>23</v>
      </c>
      <c r="D219" t="s">
        <v>24</v>
      </c>
      <c r="E219" t="s">
        <v>25</v>
      </c>
      <c r="F219" t="s">
        <v>25</v>
      </c>
      <c r="G219">
        <v>1</v>
      </c>
      <c r="H219" s="3" t="s">
        <v>34</v>
      </c>
      <c r="I219" s="3" t="s">
        <v>35</v>
      </c>
      <c r="J219" s="3" t="str">
        <f>VLOOKUP(Table_Sheet1[[#This Row],[Store Name]],'lojas comp prom'!B:T,19,0)</f>
        <v>LOJAS AMERICANAS</v>
      </c>
      <c r="K219" s="3">
        <f>VLOOKUP(Table_Sheet1[[#This Row],[Store Name]],'lojas comp prom'!B:Z,25,0)</f>
        <v>80</v>
      </c>
      <c r="L219" s="3" t="str">
        <f>VLOOKUP(Table_Sheet1[[#This Row],[Store Name]],'lojas comp prom'!B:S,18,0)</f>
        <v>Shopping Interlagos</v>
      </c>
      <c r="M219" s="3">
        <f>VLOOKUP(Table_Sheet1[[#This Row],[Store Name]],'lojas comp prom'!B:AA,26,0)</f>
        <v>0</v>
      </c>
      <c r="N219" s="3" t="str">
        <f>VLOOKUP(Table_Sheet1[[#This Row],[Store Name]],'lojas comp prom'!B:L,11,0)</f>
        <v>SPC</v>
      </c>
    </row>
    <row r="220" spans="1:14" x14ac:dyDescent="0.2">
      <c r="A220" s="1">
        <v>46113.916666666672</v>
      </c>
      <c r="B220" s="2">
        <f>MOD(Table_Sheet1[[#This Row],[Date/Time]],1)</f>
        <v>0.91666666667151731</v>
      </c>
      <c r="C220" t="s">
        <v>23</v>
      </c>
      <c r="D220" t="s">
        <v>24</v>
      </c>
      <c r="E220" t="s">
        <v>27</v>
      </c>
      <c r="F220" t="s">
        <v>27</v>
      </c>
      <c r="G220">
        <v>3</v>
      </c>
      <c r="H220" s="3" t="str">
        <f>VLOOKUP(Table_Sheet1[[#This Row],[Device Name]],'[1]AParelhos_&amp;_LOJAS'!$C:$H,6,0)</f>
        <v>G56</v>
      </c>
      <c r="I220" s="3" t="str">
        <f>VLOOKUP(Table_Sheet1[[#This Row],[Device Name]],'[1]AParelhos_&amp;_LOJAS'!$C:$I,7,0)</f>
        <v>256 GB</v>
      </c>
      <c r="J220" s="3" t="str">
        <f>VLOOKUP(Table_Sheet1[[#This Row],[Store Name]],'lojas comp prom'!B:T,19,0)</f>
        <v>LOJAS AMERICANAS</v>
      </c>
      <c r="K220" s="3">
        <f>VLOOKUP(Table_Sheet1[[#This Row],[Store Name]],'lojas comp prom'!B:Z,25,0)</f>
        <v>80</v>
      </c>
      <c r="L220" s="3" t="str">
        <f>VLOOKUP(Table_Sheet1[[#This Row],[Store Name]],'lojas comp prom'!B:S,18,0)</f>
        <v>Shopping Interlagos</v>
      </c>
      <c r="M220" s="3">
        <f>VLOOKUP(Table_Sheet1[[#This Row],[Store Name]],'lojas comp prom'!B:AA,26,0)</f>
        <v>0</v>
      </c>
      <c r="N220" s="3" t="str">
        <f>VLOOKUP(Table_Sheet1[[#This Row],[Store Name]],'lojas comp prom'!B:L,11,0)</f>
        <v>SPC</v>
      </c>
    </row>
    <row r="221" spans="1:14" x14ac:dyDescent="0.2">
      <c r="A221" s="1">
        <v>46113.916666666672</v>
      </c>
      <c r="B221" s="2">
        <f>MOD(Table_Sheet1[[#This Row],[Date/Time]],1)</f>
        <v>0.91666666667151731</v>
      </c>
      <c r="C221" t="s">
        <v>23</v>
      </c>
      <c r="D221" t="s">
        <v>24</v>
      </c>
      <c r="E221" t="s">
        <v>28</v>
      </c>
      <c r="F221" t="s">
        <v>28</v>
      </c>
      <c r="G221">
        <v>1</v>
      </c>
      <c r="H221" s="3" t="str">
        <f>VLOOKUP(Table_Sheet1[[#This Row],[Device Name]],'[1]AParelhos_&amp;_LOJAS'!$C:$H,6,0)</f>
        <v>G67</v>
      </c>
      <c r="I221" s="3" t="str">
        <f>VLOOKUP(Table_Sheet1[[#This Row],[Device Name]],'[1]AParelhos_&amp;_LOJAS'!$C:$I,7,0)</f>
        <v>256 GB</v>
      </c>
      <c r="J221" s="3" t="str">
        <f>VLOOKUP(Table_Sheet1[[#This Row],[Store Name]],'lojas comp prom'!B:T,19,0)</f>
        <v>LOJAS AMERICANAS</v>
      </c>
      <c r="K221" s="3">
        <f>VLOOKUP(Table_Sheet1[[#This Row],[Store Name]],'lojas comp prom'!B:Z,25,0)</f>
        <v>80</v>
      </c>
      <c r="L221" s="3" t="str">
        <f>VLOOKUP(Table_Sheet1[[#This Row],[Store Name]],'lojas comp prom'!B:S,18,0)</f>
        <v>Shopping Interlagos</v>
      </c>
      <c r="M221" s="3">
        <f>VLOOKUP(Table_Sheet1[[#This Row],[Store Name]],'lojas comp prom'!B:AA,26,0)</f>
        <v>0</v>
      </c>
      <c r="N221" s="3" t="str">
        <f>VLOOKUP(Table_Sheet1[[#This Row],[Store Name]],'lojas comp prom'!B:L,11,0)</f>
        <v>SPC</v>
      </c>
    </row>
    <row r="222" spans="1:14" x14ac:dyDescent="0.2">
      <c r="A222" s="1">
        <v>46113.916666666672</v>
      </c>
      <c r="B222" s="2">
        <f>MOD(Table_Sheet1[[#This Row],[Date/Time]],1)</f>
        <v>0.91666666667151731</v>
      </c>
      <c r="C222" t="s">
        <v>23</v>
      </c>
      <c r="D222" t="s">
        <v>24</v>
      </c>
      <c r="E222" t="s">
        <v>29</v>
      </c>
      <c r="F222" t="s">
        <v>29</v>
      </c>
      <c r="G222">
        <v>3</v>
      </c>
      <c r="H222" s="3" t="str">
        <f>VLOOKUP(Table_Sheet1[[#This Row],[Device Name]],'[1]AParelhos_&amp;_LOJAS'!$C:$H,6,0)</f>
        <v>G77</v>
      </c>
      <c r="I222" s="3" t="str">
        <f>VLOOKUP(Table_Sheet1[[#This Row],[Device Name]],'[1]AParelhos_&amp;_LOJAS'!$C:$I,7,0)</f>
        <v>256 GB</v>
      </c>
      <c r="J222" s="3" t="str">
        <f>VLOOKUP(Table_Sheet1[[#This Row],[Store Name]],'lojas comp prom'!B:T,19,0)</f>
        <v>LOJAS AMERICANAS</v>
      </c>
      <c r="K222" s="3">
        <f>VLOOKUP(Table_Sheet1[[#This Row],[Store Name]],'lojas comp prom'!B:Z,25,0)</f>
        <v>80</v>
      </c>
      <c r="L222" s="3" t="str">
        <f>VLOOKUP(Table_Sheet1[[#This Row],[Store Name]],'lojas comp prom'!B:S,18,0)</f>
        <v>Shopping Interlagos</v>
      </c>
      <c r="M222" s="3">
        <f>VLOOKUP(Table_Sheet1[[#This Row],[Store Name]],'lojas comp prom'!B:AA,26,0)</f>
        <v>0</v>
      </c>
      <c r="N222" s="3" t="str">
        <f>VLOOKUP(Table_Sheet1[[#This Row],[Store Name]],'lojas comp prom'!B:L,11,0)</f>
        <v>SPC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A02EB-F84B-DB43-A3A6-02B787D860D7}">
  <dimension ref="A1:AB4099"/>
  <sheetViews>
    <sheetView workbookViewId="0">
      <selection activeCell="F36" sqref="F36"/>
    </sheetView>
  </sheetViews>
  <sheetFormatPr baseColWidth="10" defaultRowHeight="15" x14ac:dyDescent="0.2"/>
  <sheetData>
    <row r="1" spans="1:28" x14ac:dyDescent="0.2">
      <c r="A1" s="4" t="s">
        <v>89</v>
      </c>
      <c r="B1" s="5" t="s">
        <v>90</v>
      </c>
      <c r="C1" s="5" t="s">
        <v>91</v>
      </c>
      <c r="D1" s="5" t="s">
        <v>92</v>
      </c>
      <c r="E1" s="5" t="s">
        <v>93</v>
      </c>
      <c r="F1" s="5" t="s">
        <v>94</v>
      </c>
      <c r="G1" s="5" t="s">
        <v>95</v>
      </c>
      <c r="H1" s="5" t="s">
        <v>96</v>
      </c>
      <c r="I1" s="5" t="s">
        <v>97</v>
      </c>
      <c r="J1" s="5" t="s">
        <v>98</v>
      </c>
      <c r="K1" s="5" t="s">
        <v>99</v>
      </c>
      <c r="L1" s="5" t="s">
        <v>100</v>
      </c>
      <c r="M1" s="5" t="s">
        <v>101</v>
      </c>
      <c r="N1" s="5" t="s">
        <v>102</v>
      </c>
      <c r="O1" s="5" t="s">
        <v>103</v>
      </c>
      <c r="P1" s="5" t="s">
        <v>104</v>
      </c>
      <c r="Q1" s="5" t="s">
        <v>105</v>
      </c>
      <c r="R1" s="5" t="s">
        <v>106</v>
      </c>
      <c r="S1" s="5" t="s">
        <v>107</v>
      </c>
      <c r="T1" s="5" t="s">
        <v>108</v>
      </c>
      <c r="U1" s="5" t="s">
        <v>109</v>
      </c>
      <c r="V1" s="5" t="s">
        <v>110</v>
      </c>
      <c r="W1" s="5" t="s">
        <v>111</v>
      </c>
      <c r="X1" s="5" t="s">
        <v>112</v>
      </c>
      <c r="Y1" s="5" t="s">
        <v>113</v>
      </c>
      <c r="Z1" s="5" t="s">
        <v>39</v>
      </c>
      <c r="AA1" s="5" t="s">
        <v>114</v>
      </c>
      <c r="AB1" s="6" t="s">
        <v>115</v>
      </c>
    </row>
    <row r="2" spans="1:28" x14ac:dyDescent="0.2">
      <c r="A2" s="7">
        <v>21875</v>
      </c>
      <c r="B2" s="8" t="s">
        <v>116</v>
      </c>
      <c r="C2" s="8" t="s">
        <v>117</v>
      </c>
      <c r="D2" s="8" t="s">
        <v>118</v>
      </c>
      <c r="E2" s="8" t="s">
        <v>119</v>
      </c>
      <c r="F2" s="8" t="s">
        <v>120</v>
      </c>
      <c r="G2" s="8" t="s">
        <v>121</v>
      </c>
      <c r="H2" s="8" t="s">
        <v>122</v>
      </c>
      <c r="I2" s="8" t="s">
        <v>123</v>
      </c>
      <c r="J2" s="8" t="s">
        <v>124</v>
      </c>
      <c r="K2" s="8" t="s">
        <v>125</v>
      </c>
      <c r="L2" s="8" t="s">
        <v>126</v>
      </c>
      <c r="M2" s="8" t="s">
        <v>127</v>
      </c>
      <c r="N2" s="8" t="s">
        <v>128</v>
      </c>
      <c r="O2" s="8" t="s">
        <v>129</v>
      </c>
      <c r="P2" s="8" t="s">
        <v>130</v>
      </c>
      <c r="Q2" s="8" t="s">
        <v>131</v>
      </c>
      <c r="R2" s="8"/>
      <c r="S2" s="8" t="s">
        <v>132</v>
      </c>
      <c r="T2" s="8" t="s">
        <v>133</v>
      </c>
      <c r="U2" s="8" t="s">
        <v>134</v>
      </c>
      <c r="V2" s="8" t="s">
        <v>131</v>
      </c>
      <c r="W2" s="8" t="s">
        <v>133</v>
      </c>
      <c r="X2" s="8">
        <v>100</v>
      </c>
      <c r="Y2" s="8" t="s">
        <v>135</v>
      </c>
      <c r="Z2" s="8">
        <v>80</v>
      </c>
      <c r="AA2" s="8">
        <v>1</v>
      </c>
      <c r="AB2" s="9">
        <v>1</v>
      </c>
    </row>
    <row r="3" spans="1:28" x14ac:dyDescent="0.2">
      <c r="A3" s="10">
        <v>21378</v>
      </c>
      <c r="B3" s="11" t="s">
        <v>136</v>
      </c>
      <c r="C3" s="11" t="s">
        <v>137</v>
      </c>
      <c r="D3" s="11" t="s">
        <v>138</v>
      </c>
      <c r="E3" s="11" t="s">
        <v>139</v>
      </c>
      <c r="F3" s="11" t="s">
        <v>140</v>
      </c>
      <c r="G3" s="11" t="s">
        <v>141</v>
      </c>
      <c r="H3" s="11" t="s">
        <v>142</v>
      </c>
      <c r="I3" s="11" t="s">
        <v>143</v>
      </c>
      <c r="J3" s="11" t="s">
        <v>144</v>
      </c>
      <c r="K3" s="11" t="s">
        <v>145</v>
      </c>
      <c r="L3" s="11" t="s">
        <v>146</v>
      </c>
      <c r="M3" s="11" t="s">
        <v>147</v>
      </c>
      <c r="N3" s="11" t="s">
        <v>128</v>
      </c>
      <c r="O3" s="11" t="s">
        <v>148</v>
      </c>
      <c r="P3" s="11" t="s">
        <v>149</v>
      </c>
      <c r="Q3" s="11" t="s">
        <v>150</v>
      </c>
      <c r="R3" s="11"/>
      <c r="S3" s="11" t="s">
        <v>151</v>
      </c>
      <c r="T3" s="11" t="s">
        <v>67</v>
      </c>
      <c r="U3" s="11" t="s">
        <v>150</v>
      </c>
      <c r="V3" s="11" t="s">
        <v>152</v>
      </c>
      <c r="W3" s="11" t="s">
        <v>67</v>
      </c>
      <c r="X3" s="11">
        <v>78</v>
      </c>
      <c r="Y3" s="11" t="s">
        <v>135</v>
      </c>
      <c r="Z3" s="11">
        <v>80</v>
      </c>
      <c r="AA3" s="11">
        <v>0</v>
      </c>
      <c r="AB3" s="12">
        <v>0</v>
      </c>
    </row>
    <row r="4" spans="1:28" x14ac:dyDescent="0.2">
      <c r="A4" s="7">
        <v>23716</v>
      </c>
      <c r="B4" s="8" t="s">
        <v>153</v>
      </c>
      <c r="C4" s="8" t="s">
        <v>154</v>
      </c>
      <c r="D4" s="8" t="s">
        <v>155</v>
      </c>
      <c r="E4" s="8" t="s">
        <v>156</v>
      </c>
      <c r="F4" s="8" t="s">
        <v>157</v>
      </c>
      <c r="G4" s="8" t="s">
        <v>158</v>
      </c>
      <c r="H4" s="8" t="s">
        <v>159</v>
      </c>
      <c r="I4" s="8" t="s">
        <v>160</v>
      </c>
      <c r="J4" s="8" t="s">
        <v>161</v>
      </c>
      <c r="K4" s="8" t="s">
        <v>162</v>
      </c>
      <c r="L4" s="8" t="s">
        <v>163</v>
      </c>
      <c r="M4" s="8" t="s">
        <v>164</v>
      </c>
      <c r="N4" s="8" t="s">
        <v>128</v>
      </c>
      <c r="O4" s="8" t="s">
        <v>165</v>
      </c>
      <c r="P4" s="8" t="s">
        <v>166</v>
      </c>
      <c r="Q4" s="8" t="s">
        <v>150</v>
      </c>
      <c r="R4" s="8"/>
      <c r="S4" s="8" t="s">
        <v>167</v>
      </c>
      <c r="T4" s="8" t="s">
        <v>168</v>
      </c>
      <c r="U4" s="8" t="s">
        <v>150</v>
      </c>
      <c r="V4" s="8" t="s">
        <v>168</v>
      </c>
      <c r="W4" s="8" t="s">
        <v>168</v>
      </c>
      <c r="X4" s="8">
        <v>77</v>
      </c>
      <c r="Y4" s="8" t="s">
        <v>135</v>
      </c>
      <c r="Z4" s="8">
        <v>80</v>
      </c>
      <c r="AA4" s="8">
        <v>1</v>
      </c>
      <c r="AB4" s="9">
        <v>1</v>
      </c>
    </row>
    <row r="5" spans="1:28" x14ac:dyDescent="0.2">
      <c r="A5" s="10">
        <v>23935</v>
      </c>
      <c r="B5" s="11" t="s">
        <v>169</v>
      </c>
      <c r="C5" s="11" t="s">
        <v>170</v>
      </c>
      <c r="D5" s="11" t="s">
        <v>171</v>
      </c>
      <c r="E5" s="11" t="s">
        <v>172</v>
      </c>
      <c r="F5" s="11" t="s">
        <v>173</v>
      </c>
      <c r="G5" s="11" t="s">
        <v>158</v>
      </c>
      <c r="H5" s="11" t="s">
        <v>159</v>
      </c>
      <c r="I5" s="11" t="s">
        <v>174</v>
      </c>
      <c r="J5" s="11" t="s">
        <v>175</v>
      </c>
      <c r="K5" s="11" t="s">
        <v>162</v>
      </c>
      <c r="L5" s="11" t="s">
        <v>163</v>
      </c>
      <c r="M5" s="11" t="s">
        <v>176</v>
      </c>
      <c r="N5" s="11" t="s">
        <v>128</v>
      </c>
      <c r="O5" s="11" t="s">
        <v>177</v>
      </c>
      <c r="P5" s="11" t="s">
        <v>178</v>
      </c>
      <c r="Q5" s="11" t="s">
        <v>150</v>
      </c>
      <c r="R5" s="11"/>
      <c r="S5" s="11" t="s">
        <v>179</v>
      </c>
      <c r="T5" s="11" t="s">
        <v>168</v>
      </c>
      <c r="U5" s="11" t="s">
        <v>150</v>
      </c>
      <c r="V5" s="11" t="s">
        <v>168</v>
      </c>
      <c r="W5" s="11" t="s">
        <v>168</v>
      </c>
      <c r="X5" s="11">
        <v>77</v>
      </c>
      <c r="Y5" s="11" t="s">
        <v>135</v>
      </c>
      <c r="Z5" s="11">
        <v>80</v>
      </c>
      <c r="AA5" s="11">
        <v>1</v>
      </c>
      <c r="AB5" s="12">
        <v>1</v>
      </c>
    </row>
    <row r="6" spans="1:28" x14ac:dyDescent="0.2">
      <c r="A6" s="7">
        <v>21450</v>
      </c>
      <c r="B6" s="8" t="s">
        <v>180</v>
      </c>
      <c r="C6" s="8" t="s">
        <v>154</v>
      </c>
      <c r="D6" s="8" t="s">
        <v>155</v>
      </c>
      <c r="E6" s="8"/>
      <c r="F6" s="8" t="s">
        <v>157</v>
      </c>
      <c r="G6" s="8" t="s">
        <v>158</v>
      </c>
      <c r="H6" s="8" t="s">
        <v>159</v>
      </c>
      <c r="I6" s="8" t="s">
        <v>160</v>
      </c>
      <c r="J6" s="8" t="s">
        <v>181</v>
      </c>
      <c r="K6" s="8" t="s">
        <v>162</v>
      </c>
      <c r="L6" s="8" t="s">
        <v>163</v>
      </c>
      <c r="M6" s="8" t="s">
        <v>182</v>
      </c>
      <c r="N6" s="8" t="s">
        <v>128</v>
      </c>
      <c r="O6" s="8" t="s">
        <v>183</v>
      </c>
      <c r="P6" s="8" t="s">
        <v>184</v>
      </c>
      <c r="Q6" s="8" t="s">
        <v>150</v>
      </c>
      <c r="R6" s="8"/>
      <c r="S6" s="8" t="s">
        <v>167</v>
      </c>
      <c r="T6" s="8" t="s">
        <v>67</v>
      </c>
      <c r="U6" s="8" t="s">
        <v>150</v>
      </c>
      <c r="V6" s="8" t="s">
        <v>152</v>
      </c>
      <c r="W6" s="8" t="s">
        <v>67</v>
      </c>
      <c r="X6" s="8">
        <v>74</v>
      </c>
      <c r="Y6" s="8" t="s">
        <v>135</v>
      </c>
      <c r="Z6" s="8">
        <v>80</v>
      </c>
      <c r="AA6" s="8">
        <v>1</v>
      </c>
      <c r="AB6" s="9">
        <v>1</v>
      </c>
    </row>
    <row r="7" spans="1:28" x14ac:dyDescent="0.2">
      <c r="A7" s="10">
        <v>23741</v>
      </c>
      <c r="B7" s="11" t="s">
        <v>185</v>
      </c>
      <c r="C7" s="11" t="s">
        <v>186</v>
      </c>
      <c r="D7" s="11" t="s">
        <v>187</v>
      </c>
      <c r="E7" s="11" t="s">
        <v>188</v>
      </c>
      <c r="F7" s="11" t="s">
        <v>189</v>
      </c>
      <c r="G7" s="11" t="s">
        <v>190</v>
      </c>
      <c r="H7" s="11" t="s">
        <v>191</v>
      </c>
      <c r="I7" s="11" t="s">
        <v>192</v>
      </c>
      <c r="J7" s="11" t="s">
        <v>193</v>
      </c>
      <c r="K7" s="11" t="s">
        <v>194</v>
      </c>
      <c r="L7" s="11" t="s">
        <v>163</v>
      </c>
      <c r="M7" s="11" t="s">
        <v>195</v>
      </c>
      <c r="N7" s="11" t="s">
        <v>128</v>
      </c>
      <c r="O7" s="11" t="s">
        <v>196</v>
      </c>
      <c r="P7" s="11" t="s">
        <v>197</v>
      </c>
      <c r="Q7" s="11" t="s">
        <v>150</v>
      </c>
      <c r="R7" s="11"/>
      <c r="S7" s="11" t="s">
        <v>198</v>
      </c>
      <c r="T7" s="11" t="s">
        <v>168</v>
      </c>
      <c r="U7" s="11" t="s">
        <v>150</v>
      </c>
      <c r="V7" s="11" t="s">
        <v>168</v>
      </c>
      <c r="W7" s="11" t="s">
        <v>168</v>
      </c>
      <c r="X7" s="11">
        <v>74</v>
      </c>
      <c r="Y7" s="11" t="s">
        <v>135</v>
      </c>
      <c r="Z7" s="11">
        <v>80</v>
      </c>
      <c r="AA7" s="11">
        <v>1</v>
      </c>
      <c r="AB7" s="12">
        <v>1</v>
      </c>
    </row>
    <row r="8" spans="1:28" x14ac:dyDescent="0.2">
      <c r="A8" s="7">
        <v>21284</v>
      </c>
      <c r="B8" s="8" t="s">
        <v>199</v>
      </c>
      <c r="C8" s="8" t="s">
        <v>200</v>
      </c>
      <c r="D8" s="8" t="s">
        <v>201</v>
      </c>
      <c r="E8" s="8" t="s">
        <v>202</v>
      </c>
      <c r="F8" s="8" t="s">
        <v>203</v>
      </c>
      <c r="G8" s="8" t="s">
        <v>141</v>
      </c>
      <c r="H8" s="8" t="s">
        <v>142</v>
      </c>
      <c r="I8" s="8" t="s">
        <v>204</v>
      </c>
      <c r="J8" s="8" t="s">
        <v>205</v>
      </c>
      <c r="K8" s="8" t="s">
        <v>145</v>
      </c>
      <c r="L8" s="8" t="s">
        <v>146</v>
      </c>
      <c r="M8" s="8" t="s">
        <v>206</v>
      </c>
      <c r="N8" s="8" t="s">
        <v>128</v>
      </c>
      <c r="O8" s="8" t="s">
        <v>207</v>
      </c>
      <c r="P8" s="8" t="s">
        <v>208</v>
      </c>
      <c r="Q8" s="8" t="s">
        <v>150</v>
      </c>
      <c r="R8" s="8"/>
      <c r="S8" s="8" t="s">
        <v>209</v>
      </c>
      <c r="T8" s="8" t="s">
        <v>67</v>
      </c>
      <c r="U8" s="8" t="s">
        <v>150</v>
      </c>
      <c r="V8" s="8" t="s">
        <v>152</v>
      </c>
      <c r="W8" s="8" t="s">
        <v>67</v>
      </c>
      <c r="X8" s="8">
        <v>72</v>
      </c>
      <c r="Y8" s="8" t="s">
        <v>135</v>
      </c>
      <c r="Z8" s="8">
        <v>80</v>
      </c>
      <c r="AA8" s="8">
        <v>0</v>
      </c>
      <c r="AB8" s="9">
        <v>0</v>
      </c>
    </row>
    <row r="9" spans="1:28" x14ac:dyDescent="0.2">
      <c r="A9" s="10">
        <v>26350</v>
      </c>
      <c r="B9" s="11" t="s">
        <v>210</v>
      </c>
      <c r="C9" s="11" t="s">
        <v>211</v>
      </c>
      <c r="D9" s="11" t="s">
        <v>212</v>
      </c>
      <c r="E9" s="11"/>
      <c r="F9" s="11" t="s">
        <v>213</v>
      </c>
      <c r="G9" s="11" t="s">
        <v>141</v>
      </c>
      <c r="H9" s="11" t="s">
        <v>142</v>
      </c>
      <c r="I9" s="11" t="s">
        <v>214</v>
      </c>
      <c r="J9" s="11" t="s">
        <v>215</v>
      </c>
      <c r="K9" s="11" t="s">
        <v>216</v>
      </c>
      <c r="L9" s="11" t="s">
        <v>146</v>
      </c>
      <c r="M9" s="11" t="s">
        <v>217</v>
      </c>
      <c r="N9" s="11" t="s">
        <v>128</v>
      </c>
      <c r="O9" s="11" t="s">
        <v>218</v>
      </c>
      <c r="P9" s="11" t="s">
        <v>219</v>
      </c>
      <c r="Q9" s="11" t="s">
        <v>150</v>
      </c>
      <c r="R9" s="11"/>
      <c r="S9" s="11" t="s">
        <v>71</v>
      </c>
      <c r="T9" s="11" t="s">
        <v>67</v>
      </c>
      <c r="U9" s="11" t="s">
        <v>150</v>
      </c>
      <c r="V9" s="11" t="s">
        <v>152</v>
      </c>
      <c r="W9" s="11" t="s">
        <v>67</v>
      </c>
      <c r="X9" s="11">
        <v>72</v>
      </c>
      <c r="Y9" s="11" t="s">
        <v>135</v>
      </c>
      <c r="Z9" s="11">
        <v>80</v>
      </c>
      <c r="AA9" s="11">
        <v>0</v>
      </c>
      <c r="AB9" s="12">
        <v>0</v>
      </c>
    </row>
    <row r="10" spans="1:28" x14ac:dyDescent="0.2">
      <c r="A10" s="7">
        <v>112869</v>
      </c>
      <c r="B10" s="8" t="s">
        <v>220</v>
      </c>
      <c r="C10" s="8" t="s">
        <v>221</v>
      </c>
      <c r="D10" s="8" t="s">
        <v>138</v>
      </c>
      <c r="E10" s="8" t="s">
        <v>222</v>
      </c>
      <c r="F10" s="8" t="s">
        <v>223</v>
      </c>
      <c r="G10" s="8" t="s">
        <v>224</v>
      </c>
      <c r="H10" s="8" t="s">
        <v>225</v>
      </c>
      <c r="I10" s="8" t="s">
        <v>226</v>
      </c>
      <c r="J10" s="8" t="s">
        <v>227</v>
      </c>
      <c r="K10" s="8" t="s">
        <v>228</v>
      </c>
      <c r="L10" s="8" t="s">
        <v>229</v>
      </c>
      <c r="M10" s="8" t="s">
        <v>230</v>
      </c>
      <c r="N10" s="8" t="s">
        <v>128</v>
      </c>
      <c r="O10" s="8" t="s">
        <v>231</v>
      </c>
      <c r="P10" s="8" t="s">
        <v>232</v>
      </c>
      <c r="Q10" s="8" t="s">
        <v>150</v>
      </c>
      <c r="R10" s="8"/>
      <c r="S10" s="8" t="s">
        <v>71</v>
      </c>
      <c r="T10" s="8" t="s">
        <v>168</v>
      </c>
      <c r="U10" s="8" t="s">
        <v>150</v>
      </c>
      <c r="V10" s="8" t="s">
        <v>168</v>
      </c>
      <c r="W10" s="8" t="s">
        <v>168</v>
      </c>
      <c r="X10" s="8">
        <v>72</v>
      </c>
      <c r="Y10" s="8" t="s">
        <v>135</v>
      </c>
      <c r="Z10" s="8">
        <v>80</v>
      </c>
      <c r="AA10" s="8">
        <v>0</v>
      </c>
      <c r="AB10" s="9">
        <v>0</v>
      </c>
    </row>
    <row r="11" spans="1:28" x14ac:dyDescent="0.2">
      <c r="A11" s="10">
        <v>24708</v>
      </c>
      <c r="B11" s="11" t="s">
        <v>233</v>
      </c>
      <c r="C11" s="11" t="s">
        <v>234</v>
      </c>
      <c r="D11" s="11" t="s">
        <v>235</v>
      </c>
      <c r="E11" s="11" t="s">
        <v>236</v>
      </c>
      <c r="F11" s="11" t="s">
        <v>237</v>
      </c>
      <c r="G11" s="11" t="s">
        <v>141</v>
      </c>
      <c r="H11" s="11" t="s">
        <v>142</v>
      </c>
      <c r="I11" s="11" t="s">
        <v>238</v>
      </c>
      <c r="J11" s="11" t="s">
        <v>239</v>
      </c>
      <c r="K11" s="11" t="s">
        <v>216</v>
      </c>
      <c r="L11" s="11" t="s">
        <v>146</v>
      </c>
      <c r="M11" s="11" t="s">
        <v>240</v>
      </c>
      <c r="N11" s="11" t="s">
        <v>128</v>
      </c>
      <c r="O11" s="11" t="s">
        <v>241</v>
      </c>
      <c r="P11" s="11" t="s">
        <v>242</v>
      </c>
      <c r="Q11" s="11" t="s">
        <v>150</v>
      </c>
      <c r="R11" s="11"/>
      <c r="S11" s="11" t="s">
        <v>71</v>
      </c>
      <c r="T11" s="11" t="s">
        <v>69</v>
      </c>
      <c r="U11" s="11" t="s">
        <v>150</v>
      </c>
      <c r="V11" s="11" t="s">
        <v>152</v>
      </c>
      <c r="W11" s="11" t="s">
        <v>69</v>
      </c>
      <c r="X11" s="11">
        <v>72</v>
      </c>
      <c r="Y11" s="11" t="s">
        <v>135</v>
      </c>
      <c r="Z11" s="11">
        <v>80</v>
      </c>
      <c r="AA11" s="11">
        <v>0</v>
      </c>
      <c r="AB11" s="12">
        <v>0</v>
      </c>
    </row>
    <row r="12" spans="1:28" x14ac:dyDescent="0.2">
      <c r="A12" s="7">
        <v>25438</v>
      </c>
      <c r="B12" s="8" t="s">
        <v>243</v>
      </c>
      <c r="C12" s="8" t="s">
        <v>117</v>
      </c>
      <c r="D12" s="8" t="s">
        <v>118</v>
      </c>
      <c r="E12" s="8" t="s">
        <v>244</v>
      </c>
      <c r="F12" s="8" t="s">
        <v>120</v>
      </c>
      <c r="G12" s="8" t="s">
        <v>121</v>
      </c>
      <c r="H12" s="8" t="s">
        <v>122</v>
      </c>
      <c r="I12" s="8" t="s">
        <v>245</v>
      </c>
      <c r="J12" s="8" t="s">
        <v>124</v>
      </c>
      <c r="K12" s="8" t="s">
        <v>125</v>
      </c>
      <c r="L12" s="8" t="s">
        <v>126</v>
      </c>
      <c r="M12" s="8" t="s">
        <v>246</v>
      </c>
      <c r="N12" s="8" t="s">
        <v>128</v>
      </c>
      <c r="O12" s="8" t="s">
        <v>247</v>
      </c>
      <c r="P12" s="8" t="s">
        <v>248</v>
      </c>
      <c r="Q12" s="8" t="s">
        <v>249</v>
      </c>
      <c r="R12" s="8"/>
      <c r="S12" s="8" t="s">
        <v>132</v>
      </c>
      <c r="T12" s="8" t="s">
        <v>250</v>
      </c>
      <c r="U12" s="8" t="s">
        <v>134</v>
      </c>
      <c r="V12" s="8" t="s">
        <v>249</v>
      </c>
      <c r="W12" s="8" t="s">
        <v>250</v>
      </c>
      <c r="X12" s="8">
        <v>72</v>
      </c>
      <c r="Y12" s="8" t="s">
        <v>135</v>
      </c>
      <c r="Z12" s="8">
        <v>20</v>
      </c>
      <c r="AA12" s="8">
        <v>1</v>
      </c>
      <c r="AB12" s="9">
        <v>0</v>
      </c>
    </row>
    <row r="13" spans="1:28" x14ac:dyDescent="0.2">
      <c r="A13" s="10">
        <v>21475</v>
      </c>
      <c r="B13" s="11" t="s">
        <v>251</v>
      </c>
      <c r="C13" s="11" t="s">
        <v>186</v>
      </c>
      <c r="D13" s="11" t="s">
        <v>187</v>
      </c>
      <c r="E13" s="11" t="s">
        <v>252</v>
      </c>
      <c r="F13" s="11" t="s">
        <v>189</v>
      </c>
      <c r="G13" s="11" t="s">
        <v>190</v>
      </c>
      <c r="H13" s="11" t="s">
        <v>191</v>
      </c>
      <c r="I13" s="11" t="s">
        <v>192</v>
      </c>
      <c r="J13" s="11" t="s">
        <v>193</v>
      </c>
      <c r="K13" s="11" t="s">
        <v>194</v>
      </c>
      <c r="L13" s="11" t="s">
        <v>163</v>
      </c>
      <c r="M13" s="11" t="s">
        <v>253</v>
      </c>
      <c r="N13" s="11" t="s">
        <v>128</v>
      </c>
      <c r="O13" s="11" t="s">
        <v>254</v>
      </c>
      <c r="P13" s="11" t="s">
        <v>255</v>
      </c>
      <c r="Q13" s="11" t="s">
        <v>150</v>
      </c>
      <c r="R13" s="11"/>
      <c r="S13" s="11" t="s">
        <v>198</v>
      </c>
      <c r="T13" s="11" t="s">
        <v>67</v>
      </c>
      <c r="U13" s="11" t="s">
        <v>150</v>
      </c>
      <c r="V13" s="11" t="s">
        <v>152</v>
      </c>
      <c r="W13" s="11" t="s">
        <v>67</v>
      </c>
      <c r="X13" s="11">
        <v>71</v>
      </c>
      <c r="Y13" s="11" t="s">
        <v>135</v>
      </c>
      <c r="Z13" s="11">
        <v>80</v>
      </c>
      <c r="AA13" s="11">
        <v>1</v>
      </c>
      <c r="AB13" s="12">
        <v>1</v>
      </c>
    </row>
    <row r="14" spans="1:28" x14ac:dyDescent="0.2">
      <c r="A14" s="7">
        <v>23841</v>
      </c>
      <c r="B14" s="8" t="s">
        <v>256</v>
      </c>
      <c r="C14" s="8" t="s">
        <v>257</v>
      </c>
      <c r="D14" s="8" t="s">
        <v>258</v>
      </c>
      <c r="E14" s="8" t="s">
        <v>259</v>
      </c>
      <c r="F14" s="8" t="s">
        <v>237</v>
      </c>
      <c r="G14" s="8" t="s">
        <v>141</v>
      </c>
      <c r="H14" s="8" t="s">
        <v>142</v>
      </c>
      <c r="I14" s="8" t="s">
        <v>260</v>
      </c>
      <c r="J14" s="8" t="s">
        <v>261</v>
      </c>
      <c r="K14" s="8" t="s">
        <v>216</v>
      </c>
      <c r="L14" s="8" t="s">
        <v>146</v>
      </c>
      <c r="M14" s="8" t="s">
        <v>262</v>
      </c>
      <c r="N14" s="8" t="s">
        <v>128</v>
      </c>
      <c r="O14" s="8" t="s">
        <v>263</v>
      </c>
      <c r="P14" s="8" t="s">
        <v>264</v>
      </c>
      <c r="Q14" s="8" t="s">
        <v>150</v>
      </c>
      <c r="R14" s="8"/>
      <c r="S14" s="8" t="s">
        <v>71</v>
      </c>
      <c r="T14" s="8" t="s">
        <v>168</v>
      </c>
      <c r="U14" s="8" t="s">
        <v>150</v>
      </c>
      <c r="V14" s="8" t="s">
        <v>168</v>
      </c>
      <c r="W14" s="8" t="s">
        <v>168</v>
      </c>
      <c r="X14" s="8">
        <v>71</v>
      </c>
      <c r="Y14" s="8" t="s">
        <v>135</v>
      </c>
      <c r="Z14" s="8">
        <v>80</v>
      </c>
      <c r="AA14" s="8">
        <v>0</v>
      </c>
      <c r="AB14" s="9">
        <v>0</v>
      </c>
    </row>
    <row r="15" spans="1:28" x14ac:dyDescent="0.2">
      <c r="A15" s="10">
        <v>23588</v>
      </c>
      <c r="B15" s="11" t="s">
        <v>265</v>
      </c>
      <c r="C15" s="11" t="s">
        <v>266</v>
      </c>
      <c r="D15" s="11" t="s">
        <v>267</v>
      </c>
      <c r="E15" s="11" t="s">
        <v>268</v>
      </c>
      <c r="F15" s="11" t="s">
        <v>269</v>
      </c>
      <c r="G15" s="11" t="s">
        <v>270</v>
      </c>
      <c r="H15" s="11" t="s">
        <v>271</v>
      </c>
      <c r="I15" s="11" t="s">
        <v>272</v>
      </c>
      <c r="J15" s="11" t="s">
        <v>273</v>
      </c>
      <c r="K15" s="11" t="s">
        <v>274</v>
      </c>
      <c r="L15" s="11" t="s">
        <v>163</v>
      </c>
      <c r="M15" s="11" t="s">
        <v>275</v>
      </c>
      <c r="N15" s="11" t="s">
        <v>128</v>
      </c>
      <c r="O15" s="11" t="s">
        <v>276</v>
      </c>
      <c r="P15" s="11" t="s">
        <v>277</v>
      </c>
      <c r="Q15" s="11" t="s">
        <v>150</v>
      </c>
      <c r="R15" s="11"/>
      <c r="S15" s="11" t="s">
        <v>278</v>
      </c>
      <c r="T15" s="11" t="s">
        <v>168</v>
      </c>
      <c r="U15" s="11" t="s">
        <v>150</v>
      </c>
      <c r="V15" s="11" t="s">
        <v>168</v>
      </c>
      <c r="W15" s="11" t="s">
        <v>168</v>
      </c>
      <c r="X15" s="11">
        <v>71</v>
      </c>
      <c r="Y15" s="11" t="s">
        <v>135</v>
      </c>
      <c r="Z15" s="11">
        <v>80</v>
      </c>
      <c r="AA15" s="11">
        <v>1</v>
      </c>
      <c r="AB15" s="12">
        <v>1</v>
      </c>
    </row>
    <row r="16" spans="1:28" x14ac:dyDescent="0.2">
      <c r="A16" s="7">
        <v>21197</v>
      </c>
      <c r="B16" s="8" t="s">
        <v>279</v>
      </c>
      <c r="C16" s="8" t="s">
        <v>280</v>
      </c>
      <c r="D16" s="8" t="s">
        <v>138</v>
      </c>
      <c r="E16" s="8" t="s">
        <v>281</v>
      </c>
      <c r="F16" s="8" t="s">
        <v>282</v>
      </c>
      <c r="G16" s="8" t="s">
        <v>224</v>
      </c>
      <c r="H16" s="8" t="s">
        <v>225</v>
      </c>
      <c r="I16" s="8" t="s">
        <v>283</v>
      </c>
      <c r="J16" s="8" t="s">
        <v>284</v>
      </c>
      <c r="K16" s="8" t="s">
        <v>228</v>
      </c>
      <c r="L16" s="8" t="s">
        <v>229</v>
      </c>
      <c r="M16" s="8" t="s">
        <v>285</v>
      </c>
      <c r="N16" s="8" t="s">
        <v>128</v>
      </c>
      <c r="O16" s="8" t="s">
        <v>286</v>
      </c>
      <c r="P16" s="8" t="s">
        <v>287</v>
      </c>
      <c r="Q16" s="8" t="s">
        <v>150</v>
      </c>
      <c r="R16" s="8"/>
      <c r="S16" s="8" t="s">
        <v>288</v>
      </c>
      <c r="T16" s="8" t="s">
        <v>289</v>
      </c>
      <c r="U16" s="8" t="s">
        <v>150</v>
      </c>
      <c r="V16" s="8" t="s">
        <v>289</v>
      </c>
      <c r="W16" s="8" t="s">
        <v>289</v>
      </c>
      <c r="X16" s="8">
        <v>70</v>
      </c>
      <c r="Y16" s="8" t="s">
        <v>135</v>
      </c>
      <c r="Z16" s="8">
        <v>80</v>
      </c>
      <c r="AA16" s="8">
        <v>1</v>
      </c>
      <c r="AB16" s="9">
        <v>1</v>
      </c>
    </row>
    <row r="17" spans="1:28" x14ac:dyDescent="0.2">
      <c r="A17" s="10">
        <v>21525</v>
      </c>
      <c r="B17" s="11" t="s">
        <v>42</v>
      </c>
      <c r="C17" s="11" t="s">
        <v>290</v>
      </c>
      <c r="D17" s="11" t="s">
        <v>291</v>
      </c>
      <c r="E17" s="11" t="s">
        <v>292</v>
      </c>
      <c r="F17" s="11" t="s">
        <v>237</v>
      </c>
      <c r="G17" s="11" t="s">
        <v>141</v>
      </c>
      <c r="H17" s="11" t="s">
        <v>142</v>
      </c>
      <c r="I17" s="11" t="s">
        <v>238</v>
      </c>
      <c r="J17" s="11" t="s">
        <v>293</v>
      </c>
      <c r="K17" s="11" t="s">
        <v>216</v>
      </c>
      <c r="L17" s="11" t="s">
        <v>146</v>
      </c>
      <c r="M17" s="11" t="s">
        <v>41</v>
      </c>
      <c r="N17" s="11" t="s">
        <v>128</v>
      </c>
      <c r="O17" s="11" t="s">
        <v>294</v>
      </c>
      <c r="P17" s="11" t="s">
        <v>295</v>
      </c>
      <c r="Q17" s="11" t="s">
        <v>150</v>
      </c>
      <c r="R17" s="11"/>
      <c r="S17" s="11" t="s">
        <v>71</v>
      </c>
      <c r="T17" s="11" t="s">
        <v>67</v>
      </c>
      <c r="U17" s="11" t="s">
        <v>150</v>
      </c>
      <c r="V17" s="11" t="s">
        <v>152</v>
      </c>
      <c r="W17" s="11" t="s">
        <v>67</v>
      </c>
      <c r="X17" s="11">
        <v>70</v>
      </c>
      <c r="Y17" s="11" t="s">
        <v>135</v>
      </c>
      <c r="Z17" s="11">
        <v>80</v>
      </c>
      <c r="AA17" s="11">
        <v>0</v>
      </c>
      <c r="AB17" s="12">
        <v>0</v>
      </c>
    </row>
    <row r="18" spans="1:28" x14ac:dyDescent="0.2">
      <c r="A18" s="7">
        <v>21453</v>
      </c>
      <c r="B18" s="8" t="s">
        <v>296</v>
      </c>
      <c r="C18" s="8" t="s">
        <v>297</v>
      </c>
      <c r="D18" s="8" t="s">
        <v>138</v>
      </c>
      <c r="E18" s="8" t="s">
        <v>298</v>
      </c>
      <c r="F18" s="8" t="s">
        <v>299</v>
      </c>
      <c r="G18" s="8" t="s">
        <v>300</v>
      </c>
      <c r="H18" s="8" t="s">
        <v>301</v>
      </c>
      <c r="I18" s="8" t="s">
        <v>302</v>
      </c>
      <c r="J18" s="8" t="s">
        <v>303</v>
      </c>
      <c r="K18" s="8" t="s">
        <v>304</v>
      </c>
      <c r="L18" s="8" t="s">
        <v>229</v>
      </c>
      <c r="M18" s="8" t="s">
        <v>305</v>
      </c>
      <c r="N18" s="8" t="s">
        <v>128</v>
      </c>
      <c r="O18" s="8" t="s">
        <v>306</v>
      </c>
      <c r="P18" s="8" t="s">
        <v>307</v>
      </c>
      <c r="Q18" s="8" t="s">
        <v>150</v>
      </c>
      <c r="R18" s="8"/>
      <c r="S18" s="8" t="s">
        <v>308</v>
      </c>
      <c r="T18" s="8" t="s">
        <v>67</v>
      </c>
      <c r="U18" s="8" t="s">
        <v>150</v>
      </c>
      <c r="V18" s="8" t="s">
        <v>152</v>
      </c>
      <c r="W18" s="8" t="s">
        <v>67</v>
      </c>
      <c r="X18" s="8">
        <v>70</v>
      </c>
      <c r="Y18" s="8" t="s">
        <v>135</v>
      </c>
      <c r="Z18" s="8">
        <v>80</v>
      </c>
      <c r="AA18" s="8">
        <v>1</v>
      </c>
      <c r="AB18" s="9">
        <v>1</v>
      </c>
    </row>
    <row r="19" spans="1:28" x14ac:dyDescent="0.2">
      <c r="A19" s="10">
        <v>21477</v>
      </c>
      <c r="B19" s="11" t="s">
        <v>309</v>
      </c>
      <c r="C19" s="11" t="s">
        <v>186</v>
      </c>
      <c r="D19" s="11" t="s">
        <v>310</v>
      </c>
      <c r="E19" s="11" t="s">
        <v>311</v>
      </c>
      <c r="F19" s="11" t="s">
        <v>189</v>
      </c>
      <c r="G19" s="11" t="s">
        <v>190</v>
      </c>
      <c r="H19" s="11" t="s">
        <v>191</v>
      </c>
      <c r="I19" s="11" t="s">
        <v>312</v>
      </c>
      <c r="J19" s="11" t="s">
        <v>313</v>
      </c>
      <c r="K19" s="11" t="s">
        <v>194</v>
      </c>
      <c r="L19" s="11" t="s">
        <v>163</v>
      </c>
      <c r="M19" s="11" t="s">
        <v>314</v>
      </c>
      <c r="N19" s="11" t="s">
        <v>128</v>
      </c>
      <c r="O19" s="11" t="s">
        <v>315</v>
      </c>
      <c r="P19" s="11" t="s">
        <v>316</v>
      </c>
      <c r="Q19" s="11" t="s">
        <v>150</v>
      </c>
      <c r="R19" s="11"/>
      <c r="S19" s="11" t="s">
        <v>317</v>
      </c>
      <c r="T19" s="11" t="s">
        <v>67</v>
      </c>
      <c r="U19" s="11" t="s">
        <v>150</v>
      </c>
      <c r="V19" s="11" t="s">
        <v>152</v>
      </c>
      <c r="W19" s="11" t="s">
        <v>67</v>
      </c>
      <c r="X19" s="11">
        <v>70</v>
      </c>
      <c r="Y19" s="11" t="s">
        <v>135</v>
      </c>
      <c r="Z19" s="11">
        <v>80</v>
      </c>
      <c r="AA19" s="11">
        <v>1</v>
      </c>
      <c r="AB19" s="12">
        <v>1</v>
      </c>
    </row>
    <row r="20" spans="1:28" x14ac:dyDescent="0.2">
      <c r="A20" s="7">
        <v>21700</v>
      </c>
      <c r="B20" s="8" t="s">
        <v>318</v>
      </c>
      <c r="C20" s="8" t="s">
        <v>170</v>
      </c>
      <c r="D20" s="8" t="s">
        <v>171</v>
      </c>
      <c r="E20" s="8" t="s">
        <v>319</v>
      </c>
      <c r="F20" s="8" t="s">
        <v>173</v>
      </c>
      <c r="G20" s="8" t="s">
        <v>158</v>
      </c>
      <c r="H20" s="8" t="s">
        <v>159</v>
      </c>
      <c r="I20" s="8" t="s">
        <v>174</v>
      </c>
      <c r="J20" s="8" t="s">
        <v>175</v>
      </c>
      <c r="K20" s="8" t="s">
        <v>162</v>
      </c>
      <c r="L20" s="8" t="s">
        <v>163</v>
      </c>
      <c r="M20" s="8" t="s">
        <v>320</v>
      </c>
      <c r="N20" s="8" t="s">
        <v>128</v>
      </c>
      <c r="O20" s="8" t="s">
        <v>321</v>
      </c>
      <c r="P20" s="8" t="s">
        <v>322</v>
      </c>
      <c r="Q20" s="8" t="s">
        <v>150</v>
      </c>
      <c r="R20" s="8"/>
      <c r="S20" s="8" t="s">
        <v>179</v>
      </c>
      <c r="T20" s="8" t="s">
        <v>67</v>
      </c>
      <c r="U20" s="8" t="s">
        <v>150</v>
      </c>
      <c r="V20" s="8" t="s">
        <v>152</v>
      </c>
      <c r="W20" s="8" t="s">
        <v>67</v>
      </c>
      <c r="X20" s="8">
        <v>70</v>
      </c>
      <c r="Y20" s="8" t="s">
        <v>135</v>
      </c>
      <c r="Z20" s="8">
        <v>80</v>
      </c>
      <c r="AA20" s="8">
        <v>1</v>
      </c>
      <c r="AB20" s="9">
        <v>1</v>
      </c>
    </row>
    <row r="21" spans="1:28" x14ac:dyDescent="0.2">
      <c r="A21" s="10">
        <v>22944</v>
      </c>
      <c r="B21" s="11" t="s">
        <v>323</v>
      </c>
      <c r="C21" s="11" t="s">
        <v>324</v>
      </c>
      <c r="D21" s="11" t="s">
        <v>325</v>
      </c>
      <c r="E21" s="11" t="s">
        <v>326</v>
      </c>
      <c r="F21" s="11" t="s">
        <v>327</v>
      </c>
      <c r="G21" s="11" t="s">
        <v>328</v>
      </c>
      <c r="H21" s="11" t="s">
        <v>329</v>
      </c>
      <c r="I21" s="11" t="s">
        <v>330</v>
      </c>
      <c r="J21" s="11" t="s">
        <v>331</v>
      </c>
      <c r="K21" s="11" t="s">
        <v>332</v>
      </c>
      <c r="L21" s="11" t="s">
        <v>333</v>
      </c>
      <c r="M21" s="11" t="s">
        <v>334</v>
      </c>
      <c r="N21" s="11" t="s">
        <v>128</v>
      </c>
      <c r="O21" s="11" t="s">
        <v>335</v>
      </c>
      <c r="P21" s="11" t="s">
        <v>336</v>
      </c>
      <c r="Q21" s="11" t="s">
        <v>150</v>
      </c>
      <c r="R21" s="11"/>
      <c r="S21" s="11" t="s">
        <v>337</v>
      </c>
      <c r="T21" s="11" t="s">
        <v>70</v>
      </c>
      <c r="U21" s="11" t="s">
        <v>150</v>
      </c>
      <c r="V21" s="11" t="s">
        <v>70</v>
      </c>
      <c r="W21" s="11" t="s">
        <v>70</v>
      </c>
      <c r="X21" s="11">
        <v>70</v>
      </c>
      <c r="Y21" s="11" t="s">
        <v>135</v>
      </c>
      <c r="Z21" s="11">
        <v>80</v>
      </c>
      <c r="AA21" s="11">
        <v>1</v>
      </c>
      <c r="AB21" s="12">
        <v>1</v>
      </c>
    </row>
    <row r="22" spans="1:28" x14ac:dyDescent="0.2">
      <c r="A22" s="7">
        <v>23264</v>
      </c>
      <c r="B22" s="8" t="s">
        <v>338</v>
      </c>
      <c r="C22" s="8" t="s">
        <v>339</v>
      </c>
      <c r="D22" s="8" t="s">
        <v>340</v>
      </c>
      <c r="E22" s="8" t="s">
        <v>341</v>
      </c>
      <c r="F22" s="8" t="s">
        <v>342</v>
      </c>
      <c r="G22" s="8" t="s">
        <v>328</v>
      </c>
      <c r="H22" s="8" t="s">
        <v>329</v>
      </c>
      <c r="I22" s="8" t="s">
        <v>343</v>
      </c>
      <c r="J22" s="8" t="s">
        <v>344</v>
      </c>
      <c r="K22" s="8" t="s">
        <v>332</v>
      </c>
      <c r="L22" s="8" t="s">
        <v>333</v>
      </c>
      <c r="M22" s="8" t="s">
        <v>345</v>
      </c>
      <c r="N22" s="8" t="s">
        <v>128</v>
      </c>
      <c r="O22" s="8" t="s">
        <v>346</v>
      </c>
      <c r="P22" s="8" t="s">
        <v>347</v>
      </c>
      <c r="Q22" s="8" t="s">
        <v>150</v>
      </c>
      <c r="R22" s="8"/>
      <c r="S22" s="8" t="s">
        <v>348</v>
      </c>
      <c r="T22" s="8" t="s">
        <v>70</v>
      </c>
      <c r="U22" s="8" t="s">
        <v>150</v>
      </c>
      <c r="V22" s="8" t="s">
        <v>70</v>
      </c>
      <c r="W22" s="8" t="s">
        <v>70</v>
      </c>
      <c r="X22" s="8">
        <v>70</v>
      </c>
      <c r="Y22" s="8" t="s">
        <v>135</v>
      </c>
      <c r="Z22" s="8">
        <v>80</v>
      </c>
      <c r="AA22" s="8">
        <v>0</v>
      </c>
      <c r="AB22" s="9">
        <v>0</v>
      </c>
    </row>
    <row r="23" spans="1:28" x14ac:dyDescent="0.2">
      <c r="A23" s="10">
        <v>23880</v>
      </c>
      <c r="B23" s="11" t="s">
        <v>349</v>
      </c>
      <c r="C23" s="11" t="s">
        <v>350</v>
      </c>
      <c r="D23" s="11" t="s">
        <v>351</v>
      </c>
      <c r="E23" s="11" t="s">
        <v>352</v>
      </c>
      <c r="F23" s="11" t="s">
        <v>353</v>
      </c>
      <c r="G23" s="11" t="s">
        <v>121</v>
      </c>
      <c r="H23" s="11" t="s">
        <v>122</v>
      </c>
      <c r="I23" s="11" t="s">
        <v>354</v>
      </c>
      <c r="J23" s="11" t="s">
        <v>355</v>
      </c>
      <c r="K23" s="11" t="s">
        <v>125</v>
      </c>
      <c r="L23" s="11" t="s">
        <v>126</v>
      </c>
      <c r="M23" s="11" t="s">
        <v>356</v>
      </c>
      <c r="N23" s="11" t="s">
        <v>128</v>
      </c>
      <c r="O23" s="11" t="s">
        <v>357</v>
      </c>
      <c r="P23" s="11" t="s">
        <v>358</v>
      </c>
      <c r="Q23" s="11" t="s">
        <v>150</v>
      </c>
      <c r="R23" s="11"/>
      <c r="S23" s="11" t="s">
        <v>71</v>
      </c>
      <c r="T23" s="11" t="s">
        <v>168</v>
      </c>
      <c r="U23" s="11" t="s">
        <v>150</v>
      </c>
      <c r="V23" s="11" t="s">
        <v>168</v>
      </c>
      <c r="W23" s="11" t="s">
        <v>168</v>
      </c>
      <c r="X23" s="11">
        <v>70</v>
      </c>
      <c r="Y23" s="11" t="s">
        <v>135</v>
      </c>
      <c r="Z23" s="11">
        <v>80</v>
      </c>
      <c r="AA23" s="11">
        <v>0</v>
      </c>
      <c r="AB23" s="12">
        <v>0</v>
      </c>
    </row>
    <row r="24" spans="1:28" x14ac:dyDescent="0.2">
      <c r="A24" s="7">
        <v>23601</v>
      </c>
      <c r="B24" s="8" t="s">
        <v>359</v>
      </c>
      <c r="C24" s="8" t="s">
        <v>360</v>
      </c>
      <c r="D24" s="8" t="s">
        <v>361</v>
      </c>
      <c r="E24" s="8" t="s">
        <v>362</v>
      </c>
      <c r="F24" s="8" t="s">
        <v>363</v>
      </c>
      <c r="G24" s="8" t="s">
        <v>364</v>
      </c>
      <c r="H24" s="8" t="s">
        <v>365</v>
      </c>
      <c r="I24" s="8" t="s">
        <v>366</v>
      </c>
      <c r="J24" s="8" t="s">
        <v>367</v>
      </c>
      <c r="K24" s="8" t="s">
        <v>162</v>
      </c>
      <c r="L24" s="8" t="s">
        <v>163</v>
      </c>
      <c r="M24" s="8" t="s">
        <v>368</v>
      </c>
      <c r="N24" s="8" t="s">
        <v>128</v>
      </c>
      <c r="O24" s="8" t="s">
        <v>369</v>
      </c>
      <c r="P24" s="8" t="s">
        <v>370</v>
      </c>
      <c r="Q24" s="8" t="s">
        <v>150</v>
      </c>
      <c r="R24" s="8"/>
      <c r="S24" s="8" t="s">
        <v>371</v>
      </c>
      <c r="T24" s="8" t="s">
        <v>168</v>
      </c>
      <c r="U24" s="8" t="s">
        <v>150</v>
      </c>
      <c r="V24" s="8" t="s">
        <v>168</v>
      </c>
      <c r="W24" s="8" t="s">
        <v>168</v>
      </c>
      <c r="X24" s="8">
        <v>70</v>
      </c>
      <c r="Y24" s="8" t="s">
        <v>135</v>
      </c>
      <c r="Z24" s="8">
        <v>80</v>
      </c>
      <c r="AA24" s="8">
        <v>1</v>
      </c>
      <c r="AB24" s="9">
        <v>1</v>
      </c>
    </row>
    <row r="25" spans="1:28" x14ac:dyDescent="0.2">
      <c r="A25" s="10">
        <v>23886</v>
      </c>
      <c r="B25" s="11" t="s">
        <v>372</v>
      </c>
      <c r="C25" s="11" t="s">
        <v>373</v>
      </c>
      <c r="D25" s="11" t="s">
        <v>138</v>
      </c>
      <c r="E25" s="11" t="s">
        <v>374</v>
      </c>
      <c r="F25" s="11" t="s">
        <v>375</v>
      </c>
      <c r="G25" s="11" t="s">
        <v>224</v>
      </c>
      <c r="H25" s="11" t="s">
        <v>225</v>
      </c>
      <c r="I25" s="11" t="s">
        <v>376</v>
      </c>
      <c r="J25" s="11" t="s">
        <v>377</v>
      </c>
      <c r="K25" s="11" t="s">
        <v>228</v>
      </c>
      <c r="L25" s="11" t="s">
        <v>229</v>
      </c>
      <c r="M25" s="11" t="s">
        <v>378</v>
      </c>
      <c r="N25" s="11" t="s">
        <v>128</v>
      </c>
      <c r="O25" s="11" t="s">
        <v>379</v>
      </c>
      <c r="P25" s="11" t="s">
        <v>380</v>
      </c>
      <c r="Q25" s="11" t="s">
        <v>150</v>
      </c>
      <c r="R25" s="11"/>
      <c r="S25" s="11" t="s">
        <v>381</v>
      </c>
      <c r="T25" s="11" t="s">
        <v>168</v>
      </c>
      <c r="U25" s="11" t="s">
        <v>150</v>
      </c>
      <c r="V25" s="11" t="s">
        <v>168</v>
      </c>
      <c r="W25" s="11" t="s">
        <v>168</v>
      </c>
      <c r="X25" s="11">
        <v>70</v>
      </c>
      <c r="Y25" s="11" t="s">
        <v>135</v>
      </c>
      <c r="Z25" s="11">
        <v>80</v>
      </c>
      <c r="AA25" s="11">
        <v>1</v>
      </c>
      <c r="AB25" s="12">
        <v>1</v>
      </c>
    </row>
    <row r="26" spans="1:28" x14ac:dyDescent="0.2">
      <c r="A26" s="7">
        <v>85199</v>
      </c>
      <c r="B26" s="8" t="s">
        <v>382</v>
      </c>
      <c r="C26" s="8" t="s">
        <v>297</v>
      </c>
      <c r="D26" s="8" t="s">
        <v>138</v>
      </c>
      <c r="E26" s="8" t="s">
        <v>383</v>
      </c>
      <c r="F26" s="8" t="s">
        <v>384</v>
      </c>
      <c r="G26" s="8" t="s">
        <v>300</v>
      </c>
      <c r="H26" s="8" t="s">
        <v>301</v>
      </c>
      <c r="I26" s="8" t="s">
        <v>302</v>
      </c>
      <c r="J26" s="8" t="s">
        <v>385</v>
      </c>
      <c r="K26" s="8" t="s">
        <v>304</v>
      </c>
      <c r="L26" s="8" t="s">
        <v>229</v>
      </c>
      <c r="M26" s="8" t="s">
        <v>386</v>
      </c>
      <c r="N26" s="8" t="s">
        <v>128</v>
      </c>
      <c r="O26" s="8" t="s">
        <v>387</v>
      </c>
      <c r="P26" s="8" t="s">
        <v>388</v>
      </c>
      <c r="Q26" s="8" t="s">
        <v>150</v>
      </c>
      <c r="R26" s="8"/>
      <c r="S26" s="8" t="s">
        <v>308</v>
      </c>
      <c r="T26" s="8" t="s">
        <v>168</v>
      </c>
      <c r="U26" s="8" t="s">
        <v>150</v>
      </c>
      <c r="V26" s="8" t="s">
        <v>168</v>
      </c>
      <c r="W26" s="8" t="s">
        <v>168</v>
      </c>
      <c r="X26" s="8">
        <v>70</v>
      </c>
      <c r="Y26" s="8" t="s">
        <v>135</v>
      </c>
      <c r="Z26" s="8">
        <v>80</v>
      </c>
      <c r="AA26" s="8">
        <v>1</v>
      </c>
      <c r="AB26" s="9">
        <v>1</v>
      </c>
    </row>
    <row r="27" spans="1:28" x14ac:dyDescent="0.2">
      <c r="A27" s="10">
        <v>106323</v>
      </c>
      <c r="B27" s="11" t="s">
        <v>389</v>
      </c>
      <c r="C27" s="11" t="s">
        <v>324</v>
      </c>
      <c r="D27" s="11" t="s">
        <v>325</v>
      </c>
      <c r="E27" s="11"/>
      <c r="F27" s="11" t="s">
        <v>327</v>
      </c>
      <c r="G27" s="11" t="s">
        <v>390</v>
      </c>
      <c r="H27" s="11" t="s">
        <v>329</v>
      </c>
      <c r="I27" s="11" t="s">
        <v>391</v>
      </c>
      <c r="J27" s="11" t="s">
        <v>331</v>
      </c>
      <c r="K27" s="11" t="s">
        <v>332</v>
      </c>
      <c r="L27" s="11" t="s">
        <v>333</v>
      </c>
      <c r="M27" s="11" t="s">
        <v>392</v>
      </c>
      <c r="N27" s="11" t="s">
        <v>128</v>
      </c>
      <c r="O27" s="11" t="s">
        <v>393</v>
      </c>
      <c r="P27" s="11" t="s">
        <v>394</v>
      </c>
      <c r="Q27" s="11" t="s">
        <v>150</v>
      </c>
      <c r="R27" s="11"/>
      <c r="S27" s="11" t="s">
        <v>337</v>
      </c>
      <c r="T27" s="11" t="s">
        <v>168</v>
      </c>
      <c r="U27" s="11" t="s">
        <v>150</v>
      </c>
      <c r="V27" s="11" t="s">
        <v>168</v>
      </c>
      <c r="W27" s="11" t="s">
        <v>168</v>
      </c>
      <c r="X27" s="11">
        <v>70</v>
      </c>
      <c r="Y27" s="11" t="s">
        <v>135</v>
      </c>
      <c r="Z27" s="11">
        <v>20</v>
      </c>
      <c r="AA27" s="11">
        <v>1</v>
      </c>
      <c r="AB27" s="12">
        <v>0</v>
      </c>
    </row>
    <row r="28" spans="1:28" x14ac:dyDescent="0.2">
      <c r="A28" s="7">
        <v>21179</v>
      </c>
      <c r="B28" s="8" t="s">
        <v>395</v>
      </c>
      <c r="C28" s="8" t="s">
        <v>396</v>
      </c>
      <c r="D28" s="8" t="s">
        <v>397</v>
      </c>
      <c r="E28" s="8" t="s">
        <v>398</v>
      </c>
      <c r="F28" s="8" t="s">
        <v>399</v>
      </c>
      <c r="G28" s="8" t="s">
        <v>400</v>
      </c>
      <c r="H28" s="8" t="s">
        <v>142</v>
      </c>
      <c r="I28" s="8" t="s">
        <v>401</v>
      </c>
      <c r="J28" s="8" t="s">
        <v>402</v>
      </c>
      <c r="K28" s="8" t="s">
        <v>403</v>
      </c>
      <c r="L28" s="8" t="s">
        <v>146</v>
      </c>
      <c r="M28" s="8" t="s">
        <v>404</v>
      </c>
      <c r="N28" s="8" t="s">
        <v>128</v>
      </c>
      <c r="O28" s="8" t="s">
        <v>405</v>
      </c>
      <c r="P28" s="8" t="s">
        <v>406</v>
      </c>
      <c r="Q28" s="8" t="s">
        <v>150</v>
      </c>
      <c r="R28" s="8"/>
      <c r="S28" s="8" t="s">
        <v>407</v>
      </c>
      <c r="T28" s="8" t="s">
        <v>289</v>
      </c>
      <c r="U28" s="8" t="s">
        <v>150</v>
      </c>
      <c r="V28" s="8" t="s">
        <v>289</v>
      </c>
      <c r="W28" s="8" t="s">
        <v>289</v>
      </c>
      <c r="X28" s="8">
        <v>69</v>
      </c>
      <c r="Y28" s="8" t="s">
        <v>135</v>
      </c>
      <c r="Z28" s="8">
        <v>80</v>
      </c>
      <c r="AA28" s="8">
        <v>0</v>
      </c>
      <c r="AB28" s="9">
        <v>0</v>
      </c>
    </row>
    <row r="29" spans="1:28" x14ac:dyDescent="0.2">
      <c r="A29" s="10">
        <v>23200</v>
      </c>
      <c r="B29" s="11" t="s">
        <v>408</v>
      </c>
      <c r="C29" s="11" t="s">
        <v>409</v>
      </c>
      <c r="D29" s="11" t="s">
        <v>410</v>
      </c>
      <c r="E29" s="11" t="s">
        <v>411</v>
      </c>
      <c r="F29" s="11" t="s">
        <v>353</v>
      </c>
      <c r="G29" s="11" t="s">
        <v>412</v>
      </c>
      <c r="H29" s="11" t="s">
        <v>329</v>
      </c>
      <c r="I29" s="11" t="s">
        <v>413</v>
      </c>
      <c r="J29" s="11" t="s">
        <v>414</v>
      </c>
      <c r="K29" s="11" t="s">
        <v>415</v>
      </c>
      <c r="L29" s="11" t="s">
        <v>333</v>
      </c>
      <c r="M29" s="11" t="s">
        <v>416</v>
      </c>
      <c r="N29" s="11" t="s">
        <v>128</v>
      </c>
      <c r="O29" s="11" t="s">
        <v>417</v>
      </c>
      <c r="P29" s="11" t="s">
        <v>418</v>
      </c>
      <c r="Q29" s="11" t="s">
        <v>150</v>
      </c>
      <c r="R29" s="11"/>
      <c r="S29" s="11" t="s">
        <v>419</v>
      </c>
      <c r="T29" s="11" t="s">
        <v>70</v>
      </c>
      <c r="U29" s="11" t="s">
        <v>150</v>
      </c>
      <c r="V29" s="11" t="s">
        <v>70</v>
      </c>
      <c r="W29" s="11" t="s">
        <v>70</v>
      </c>
      <c r="X29" s="11">
        <v>69</v>
      </c>
      <c r="Y29" s="11" t="s">
        <v>135</v>
      </c>
      <c r="Z29" s="11">
        <v>80</v>
      </c>
      <c r="AA29" s="11">
        <v>1</v>
      </c>
      <c r="AB29" s="12">
        <v>1</v>
      </c>
    </row>
    <row r="30" spans="1:28" x14ac:dyDescent="0.2">
      <c r="A30" s="7">
        <v>23742</v>
      </c>
      <c r="B30" s="8" t="s">
        <v>420</v>
      </c>
      <c r="C30" s="8" t="s">
        <v>186</v>
      </c>
      <c r="D30" s="8" t="s">
        <v>310</v>
      </c>
      <c r="E30" s="8" t="s">
        <v>421</v>
      </c>
      <c r="F30" s="8" t="s">
        <v>189</v>
      </c>
      <c r="G30" s="8" t="s">
        <v>190</v>
      </c>
      <c r="H30" s="8" t="s">
        <v>191</v>
      </c>
      <c r="I30" s="8" t="s">
        <v>312</v>
      </c>
      <c r="J30" s="8" t="s">
        <v>313</v>
      </c>
      <c r="K30" s="8" t="s">
        <v>194</v>
      </c>
      <c r="L30" s="8" t="s">
        <v>163</v>
      </c>
      <c r="M30" s="8" t="s">
        <v>422</v>
      </c>
      <c r="N30" s="8" t="s">
        <v>128</v>
      </c>
      <c r="O30" s="8" t="s">
        <v>423</v>
      </c>
      <c r="P30" s="8" t="s">
        <v>424</v>
      </c>
      <c r="Q30" s="8" t="s">
        <v>150</v>
      </c>
      <c r="R30" s="8"/>
      <c r="S30" s="8" t="s">
        <v>317</v>
      </c>
      <c r="T30" s="8" t="s">
        <v>168</v>
      </c>
      <c r="U30" s="8" t="s">
        <v>150</v>
      </c>
      <c r="V30" s="8" t="s">
        <v>168</v>
      </c>
      <c r="W30" s="8" t="s">
        <v>168</v>
      </c>
      <c r="X30" s="8">
        <v>69</v>
      </c>
      <c r="Y30" s="8" t="s">
        <v>135</v>
      </c>
      <c r="Z30" s="8">
        <v>80</v>
      </c>
      <c r="AA30" s="8">
        <v>1</v>
      </c>
      <c r="AB30" s="9">
        <v>1</v>
      </c>
    </row>
    <row r="31" spans="1:28" x14ac:dyDescent="0.2">
      <c r="A31" s="10">
        <v>109188</v>
      </c>
      <c r="B31" s="11" t="s">
        <v>425</v>
      </c>
      <c r="C31" s="11" t="s">
        <v>426</v>
      </c>
      <c r="D31" s="11" t="s">
        <v>427</v>
      </c>
      <c r="E31" s="11"/>
      <c r="F31" s="11" t="s">
        <v>353</v>
      </c>
      <c r="G31" s="11" t="s">
        <v>428</v>
      </c>
      <c r="H31" s="11" t="s">
        <v>329</v>
      </c>
      <c r="I31" s="11" t="s">
        <v>429</v>
      </c>
      <c r="J31" s="11" t="s">
        <v>430</v>
      </c>
      <c r="K31" s="11" t="s">
        <v>431</v>
      </c>
      <c r="L31" s="11" t="s">
        <v>333</v>
      </c>
      <c r="M31" s="11" t="s">
        <v>432</v>
      </c>
      <c r="N31" s="11" t="s">
        <v>128</v>
      </c>
      <c r="O31" s="11" t="s">
        <v>433</v>
      </c>
      <c r="P31" s="11" t="s">
        <v>434</v>
      </c>
      <c r="Q31" s="11" t="s">
        <v>150</v>
      </c>
      <c r="R31" s="11"/>
      <c r="S31" s="11" t="s">
        <v>71</v>
      </c>
      <c r="T31" s="11" t="s">
        <v>168</v>
      </c>
      <c r="U31" s="11" t="s">
        <v>150</v>
      </c>
      <c r="V31" s="11" t="s">
        <v>168</v>
      </c>
      <c r="W31" s="11" t="s">
        <v>168</v>
      </c>
      <c r="X31" s="11">
        <v>69</v>
      </c>
      <c r="Y31" s="11" t="s">
        <v>135</v>
      </c>
      <c r="Z31" s="11">
        <v>80</v>
      </c>
      <c r="AA31" s="11">
        <v>0</v>
      </c>
      <c r="AB31" s="12">
        <v>0</v>
      </c>
    </row>
    <row r="32" spans="1:28" x14ac:dyDescent="0.2">
      <c r="A32" s="7">
        <v>25475</v>
      </c>
      <c r="B32" s="8" t="s">
        <v>435</v>
      </c>
      <c r="C32" s="8" t="s">
        <v>436</v>
      </c>
      <c r="D32" s="8" t="s">
        <v>437</v>
      </c>
      <c r="E32" s="8" t="s">
        <v>438</v>
      </c>
      <c r="F32" s="8" t="s">
        <v>439</v>
      </c>
      <c r="G32" s="8" t="s">
        <v>141</v>
      </c>
      <c r="H32" s="8" t="s">
        <v>142</v>
      </c>
      <c r="I32" s="8" t="s">
        <v>440</v>
      </c>
      <c r="J32" s="8" t="s">
        <v>441</v>
      </c>
      <c r="K32" s="8" t="s">
        <v>216</v>
      </c>
      <c r="L32" s="8" t="s">
        <v>146</v>
      </c>
      <c r="M32" s="8" t="s">
        <v>442</v>
      </c>
      <c r="N32" s="8" t="s">
        <v>128</v>
      </c>
      <c r="O32" s="8" t="s">
        <v>443</v>
      </c>
      <c r="P32" s="8" t="s">
        <v>444</v>
      </c>
      <c r="Q32" s="8" t="s">
        <v>249</v>
      </c>
      <c r="R32" s="8"/>
      <c r="S32" s="8" t="s">
        <v>445</v>
      </c>
      <c r="T32" s="8" t="s">
        <v>250</v>
      </c>
      <c r="U32" s="8" t="s">
        <v>134</v>
      </c>
      <c r="V32" s="8" t="s">
        <v>249</v>
      </c>
      <c r="W32" s="8" t="s">
        <v>250</v>
      </c>
      <c r="X32" s="8">
        <v>69</v>
      </c>
      <c r="Y32" s="8" t="s">
        <v>135</v>
      </c>
      <c r="Z32" s="8">
        <v>20</v>
      </c>
      <c r="AA32" s="8">
        <v>1</v>
      </c>
      <c r="AB32" s="9">
        <v>0</v>
      </c>
    </row>
    <row r="33" spans="1:28" x14ac:dyDescent="0.2">
      <c r="A33" s="10">
        <v>21120</v>
      </c>
      <c r="B33" s="11" t="s">
        <v>446</v>
      </c>
      <c r="C33" s="11" t="s">
        <v>447</v>
      </c>
      <c r="D33" s="11" t="s">
        <v>448</v>
      </c>
      <c r="E33" s="11"/>
      <c r="F33" s="11" t="s">
        <v>449</v>
      </c>
      <c r="G33" s="11" t="s">
        <v>450</v>
      </c>
      <c r="H33" s="11" t="s">
        <v>301</v>
      </c>
      <c r="I33" s="11" t="s">
        <v>451</v>
      </c>
      <c r="J33" s="11" t="s">
        <v>452</v>
      </c>
      <c r="K33" s="11" t="s">
        <v>304</v>
      </c>
      <c r="L33" s="11" t="s">
        <v>229</v>
      </c>
      <c r="M33" s="11" t="s">
        <v>453</v>
      </c>
      <c r="N33" s="11" t="s">
        <v>128</v>
      </c>
      <c r="O33" s="11" t="s">
        <v>454</v>
      </c>
      <c r="P33" s="11" t="s">
        <v>455</v>
      </c>
      <c r="Q33" s="11" t="s">
        <v>150</v>
      </c>
      <c r="R33" s="11"/>
      <c r="S33" s="11" t="s">
        <v>71</v>
      </c>
      <c r="T33" s="11" t="s">
        <v>289</v>
      </c>
      <c r="U33" s="11" t="s">
        <v>150</v>
      </c>
      <c r="V33" s="11" t="s">
        <v>289</v>
      </c>
      <c r="W33" s="11" t="s">
        <v>289</v>
      </c>
      <c r="X33" s="11">
        <v>68</v>
      </c>
      <c r="Y33" s="11" t="s">
        <v>135</v>
      </c>
      <c r="Z33" s="11">
        <v>80</v>
      </c>
      <c r="AA33" s="11">
        <v>0</v>
      </c>
      <c r="AB33" s="12">
        <v>0</v>
      </c>
    </row>
    <row r="34" spans="1:28" x14ac:dyDescent="0.2">
      <c r="A34" s="7">
        <v>21133</v>
      </c>
      <c r="B34" s="8" t="s">
        <v>456</v>
      </c>
      <c r="C34" s="8" t="s">
        <v>457</v>
      </c>
      <c r="D34" s="8" t="s">
        <v>458</v>
      </c>
      <c r="E34" s="8"/>
      <c r="F34" s="8" t="s">
        <v>459</v>
      </c>
      <c r="G34" s="8" t="s">
        <v>141</v>
      </c>
      <c r="H34" s="8" t="s">
        <v>142</v>
      </c>
      <c r="I34" s="8" t="s">
        <v>460</v>
      </c>
      <c r="J34" s="8" t="s">
        <v>461</v>
      </c>
      <c r="K34" s="8" t="s">
        <v>403</v>
      </c>
      <c r="L34" s="8" t="s">
        <v>146</v>
      </c>
      <c r="M34" s="8" t="s">
        <v>462</v>
      </c>
      <c r="N34" s="8" t="s">
        <v>128</v>
      </c>
      <c r="O34" s="8" t="s">
        <v>463</v>
      </c>
      <c r="P34" s="8" t="s">
        <v>464</v>
      </c>
      <c r="Q34" s="8" t="s">
        <v>150</v>
      </c>
      <c r="R34" s="8"/>
      <c r="S34" s="8" t="s">
        <v>68</v>
      </c>
      <c r="T34" s="8" t="s">
        <v>289</v>
      </c>
      <c r="U34" s="8" t="s">
        <v>150</v>
      </c>
      <c r="V34" s="8" t="s">
        <v>289</v>
      </c>
      <c r="W34" s="8" t="s">
        <v>289</v>
      </c>
      <c r="X34" s="8">
        <v>68</v>
      </c>
      <c r="Y34" s="8" t="s">
        <v>135</v>
      </c>
      <c r="Z34" s="8">
        <v>80</v>
      </c>
      <c r="AA34" s="8">
        <v>0</v>
      </c>
      <c r="AB34" s="9">
        <v>0</v>
      </c>
    </row>
    <row r="35" spans="1:28" x14ac:dyDescent="0.2">
      <c r="A35" s="10">
        <v>21148</v>
      </c>
      <c r="B35" s="11" t="s">
        <v>465</v>
      </c>
      <c r="C35" s="11" t="s">
        <v>466</v>
      </c>
      <c r="D35" s="11" t="s">
        <v>467</v>
      </c>
      <c r="E35" s="11"/>
      <c r="F35" s="11" t="s">
        <v>468</v>
      </c>
      <c r="G35" s="11" t="s">
        <v>469</v>
      </c>
      <c r="H35" s="11" t="s">
        <v>142</v>
      </c>
      <c r="I35" s="11" t="s">
        <v>470</v>
      </c>
      <c r="J35" s="11" t="s">
        <v>471</v>
      </c>
      <c r="K35" s="11" t="s">
        <v>472</v>
      </c>
      <c r="L35" s="11" t="s">
        <v>146</v>
      </c>
      <c r="M35" s="11" t="s">
        <v>473</v>
      </c>
      <c r="N35" s="11" t="s">
        <v>128</v>
      </c>
      <c r="O35" s="11" t="s">
        <v>474</v>
      </c>
      <c r="P35" s="11" t="s">
        <v>475</v>
      </c>
      <c r="Q35" s="11" t="s">
        <v>150</v>
      </c>
      <c r="R35" s="11"/>
      <c r="S35" s="11" t="s">
        <v>476</v>
      </c>
      <c r="T35" s="11" t="s">
        <v>289</v>
      </c>
      <c r="U35" s="11" t="s">
        <v>150</v>
      </c>
      <c r="V35" s="11" t="s">
        <v>289</v>
      </c>
      <c r="W35" s="11" t="s">
        <v>289</v>
      </c>
      <c r="X35" s="11">
        <v>68</v>
      </c>
      <c r="Y35" s="11" t="s">
        <v>135</v>
      </c>
      <c r="Z35" s="11">
        <v>80</v>
      </c>
      <c r="AA35" s="11">
        <v>0</v>
      </c>
      <c r="AB35" s="12">
        <v>0</v>
      </c>
    </row>
    <row r="36" spans="1:28" x14ac:dyDescent="0.2">
      <c r="A36" s="7">
        <v>21362</v>
      </c>
      <c r="B36" s="8" t="s">
        <v>7</v>
      </c>
      <c r="C36" s="8" t="s">
        <v>457</v>
      </c>
      <c r="D36" s="8" t="s">
        <v>477</v>
      </c>
      <c r="E36" s="8" t="s">
        <v>478</v>
      </c>
      <c r="F36" s="8" t="s">
        <v>459</v>
      </c>
      <c r="G36" s="8" t="s">
        <v>141</v>
      </c>
      <c r="H36" s="8" t="s">
        <v>142</v>
      </c>
      <c r="I36" s="8" t="s">
        <v>460</v>
      </c>
      <c r="J36" s="8" t="s">
        <v>479</v>
      </c>
      <c r="K36" s="8" t="s">
        <v>403</v>
      </c>
      <c r="L36" s="8" t="s">
        <v>146</v>
      </c>
      <c r="M36" s="8" t="s">
        <v>6</v>
      </c>
      <c r="N36" s="8" t="s">
        <v>128</v>
      </c>
      <c r="O36" s="8" t="s">
        <v>480</v>
      </c>
      <c r="P36" s="8" t="s">
        <v>481</v>
      </c>
      <c r="Q36" s="8" t="s">
        <v>150</v>
      </c>
      <c r="R36" s="8"/>
      <c r="S36" s="8" t="s">
        <v>68</v>
      </c>
      <c r="T36" s="8" t="s">
        <v>67</v>
      </c>
      <c r="U36" s="8" t="s">
        <v>150</v>
      </c>
      <c r="V36" s="8" t="s">
        <v>152</v>
      </c>
      <c r="W36" s="8" t="s">
        <v>67</v>
      </c>
      <c r="X36" s="8">
        <v>68</v>
      </c>
      <c r="Y36" s="8" t="s">
        <v>135</v>
      </c>
      <c r="Z36" s="8">
        <v>80</v>
      </c>
      <c r="AA36" s="8">
        <v>0</v>
      </c>
      <c r="AB36" s="9">
        <v>0</v>
      </c>
    </row>
    <row r="37" spans="1:28" x14ac:dyDescent="0.2">
      <c r="A37" s="10">
        <v>21285</v>
      </c>
      <c r="B37" s="11" t="s">
        <v>482</v>
      </c>
      <c r="C37" s="11" t="s">
        <v>373</v>
      </c>
      <c r="D37" s="11" t="s">
        <v>138</v>
      </c>
      <c r="E37" s="11" t="s">
        <v>483</v>
      </c>
      <c r="F37" s="11" t="s">
        <v>484</v>
      </c>
      <c r="G37" s="11" t="s">
        <v>224</v>
      </c>
      <c r="H37" s="11" t="s">
        <v>225</v>
      </c>
      <c r="I37" s="11" t="s">
        <v>485</v>
      </c>
      <c r="J37" s="11" t="s">
        <v>486</v>
      </c>
      <c r="K37" s="11" t="s">
        <v>228</v>
      </c>
      <c r="L37" s="11" t="s">
        <v>229</v>
      </c>
      <c r="M37" s="11" t="s">
        <v>487</v>
      </c>
      <c r="N37" s="11" t="s">
        <v>128</v>
      </c>
      <c r="O37" s="11" t="s">
        <v>488</v>
      </c>
      <c r="P37" s="11" t="s">
        <v>489</v>
      </c>
      <c r="Q37" s="11" t="s">
        <v>150</v>
      </c>
      <c r="R37" s="11"/>
      <c r="S37" s="11" t="s">
        <v>381</v>
      </c>
      <c r="T37" s="11" t="s">
        <v>67</v>
      </c>
      <c r="U37" s="11" t="s">
        <v>150</v>
      </c>
      <c r="V37" s="11" t="s">
        <v>152</v>
      </c>
      <c r="W37" s="11" t="s">
        <v>67</v>
      </c>
      <c r="X37" s="11">
        <v>68</v>
      </c>
      <c r="Y37" s="11" t="s">
        <v>135</v>
      </c>
      <c r="Z37" s="11">
        <v>80</v>
      </c>
      <c r="AA37" s="11">
        <v>1</v>
      </c>
      <c r="AB37" s="12">
        <v>1</v>
      </c>
    </row>
    <row r="38" spans="1:28" x14ac:dyDescent="0.2">
      <c r="A38" s="7">
        <v>23086</v>
      </c>
      <c r="B38" s="8" t="s">
        <v>490</v>
      </c>
      <c r="C38" s="8" t="s">
        <v>154</v>
      </c>
      <c r="D38" s="8" t="s">
        <v>155</v>
      </c>
      <c r="E38" s="8" t="s">
        <v>491</v>
      </c>
      <c r="F38" s="8" t="s">
        <v>157</v>
      </c>
      <c r="G38" s="8" t="s">
        <v>158</v>
      </c>
      <c r="H38" s="8" t="s">
        <v>159</v>
      </c>
      <c r="I38" s="8" t="s">
        <v>492</v>
      </c>
      <c r="J38" s="8" t="s">
        <v>161</v>
      </c>
      <c r="K38" s="8" t="s">
        <v>162</v>
      </c>
      <c r="L38" s="8" t="s">
        <v>163</v>
      </c>
      <c r="M38" s="8" t="s">
        <v>493</v>
      </c>
      <c r="N38" s="8" t="s">
        <v>128</v>
      </c>
      <c r="O38" s="8" t="s">
        <v>494</v>
      </c>
      <c r="P38" s="8" t="s">
        <v>495</v>
      </c>
      <c r="Q38" s="8" t="s">
        <v>150</v>
      </c>
      <c r="R38" s="8"/>
      <c r="S38" s="8" t="s">
        <v>167</v>
      </c>
      <c r="T38" s="8" t="s">
        <v>70</v>
      </c>
      <c r="U38" s="8" t="s">
        <v>150</v>
      </c>
      <c r="V38" s="8" t="s">
        <v>70</v>
      </c>
      <c r="W38" s="8" t="s">
        <v>70</v>
      </c>
      <c r="X38" s="8">
        <v>68</v>
      </c>
      <c r="Y38" s="8" t="s">
        <v>135</v>
      </c>
      <c r="Z38" s="8">
        <v>20</v>
      </c>
      <c r="AA38" s="8">
        <v>1</v>
      </c>
      <c r="AB38" s="9">
        <v>0</v>
      </c>
    </row>
    <row r="39" spans="1:28" x14ac:dyDescent="0.2">
      <c r="A39" s="10">
        <v>23315</v>
      </c>
      <c r="B39" s="11" t="s">
        <v>496</v>
      </c>
      <c r="C39" s="11" t="s">
        <v>170</v>
      </c>
      <c r="D39" s="11" t="s">
        <v>171</v>
      </c>
      <c r="E39" s="11" t="s">
        <v>497</v>
      </c>
      <c r="F39" s="11" t="s">
        <v>173</v>
      </c>
      <c r="G39" s="11" t="s">
        <v>158</v>
      </c>
      <c r="H39" s="11" t="s">
        <v>159</v>
      </c>
      <c r="I39" s="11" t="s">
        <v>174</v>
      </c>
      <c r="J39" s="11" t="s">
        <v>175</v>
      </c>
      <c r="K39" s="11" t="s">
        <v>162</v>
      </c>
      <c r="L39" s="11" t="s">
        <v>163</v>
      </c>
      <c r="M39" s="11" t="s">
        <v>498</v>
      </c>
      <c r="N39" s="11" t="s">
        <v>128</v>
      </c>
      <c r="O39" s="11" t="s">
        <v>499</v>
      </c>
      <c r="P39" s="11" t="s">
        <v>500</v>
      </c>
      <c r="Q39" s="11" t="s">
        <v>150</v>
      </c>
      <c r="R39" s="11"/>
      <c r="S39" s="11" t="s">
        <v>179</v>
      </c>
      <c r="T39" s="11" t="s">
        <v>70</v>
      </c>
      <c r="U39" s="11" t="s">
        <v>150</v>
      </c>
      <c r="V39" s="11" t="s">
        <v>70</v>
      </c>
      <c r="W39" s="11" t="s">
        <v>70</v>
      </c>
      <c r="X39" s="11">
        <v>68</v>
      </c>
      <c r="Y39" s="11" t="s">
        <v>135</v>
      </c>
      <c r="Z39" s="11">
        <v>80</v>
      </c>
      <c r="AA39" s="11">
        <v>1</v>
      </c>
      <c r="AB39" s="12">
        <v>1</v>
      </c>
    </row>
    <row r="40" spans="1:28" x14ac:dyDescent="0.2">
      <c r="A40" s="7">
        <v>23578</v>
      </c>
      <c r="B40" s="8" t="s">
        <v>501</v>
      </c>
      <c r="C40" s="8" t="s">
        <v>200</v>
      </c>
      <c r="D40" s="8" t="s">
        <v>201</v>
      </c>
      <c r="E40" s="8" t="s">
        <v>502</v>
      </c>
      <c r="F40" s="8" t="s">
        <v>203</v>
      </c>
      <c r="G40" s="8" t="s">
        <v>141</v>
      </c>
      <c r="H40" s="8" t="s">
        <v>142</v>
      </c>
      <c r="I40" s="8" t="s">
        <v>204</v>
      </c>
      <c r="J40" s="8" t="s">
        <v>205</v>
      </c>
      <c r="K40" s="8" t="s">
        <v>145</v>
      </c>
      <c r="L40" s="8" t="s">
        <v>146</v>
      </c>
      <c r="M40" s="8" t="s">
        <v>503</v>
      </c>
      <c r="N40" s="8" t="s">
        <v>128</v>
      </c>
      <c r="O40" s="8" t="s">
        <v>504</v>
      </c>
      <c r="P40" s="8" t="s">
        <v>505</v>
      </c>
      <c r="Q40" s="8" t="s">
        <v>150</v>
      </c>
      <c r="R40" s="8"/>
      <c r="S40" s="8" t="s">
        <v>209</v>
      </c>
      <c r="T40" s="8" t="s">
        <v>168</v>
      </c>
      <c r="U40" s="8" t="s">
        <v>150</v>
      </c>
      <c r="V40" s="8" t="s">
        <v>168</v>
      </c>
      <c r="W40" s="8" t="s">
        <v>168</v>
      </c>
      <c r="X40" s="8">
        <v>68</v>
      </c>
      <c r="Y40" s="8" t="s">
        <v>135</v>
      </c>
      <c r="Z40" s="8">
        <v>80</v>
      </c>
      <c r="AA40" s="8">
        <v>0</v>
      </c>
      <c r="AB40" s="9">
        <v>0</v>
      </c>
    </row>
    <row r="41" spans="1:28" x14ac:dyDescent="0.2">
      <c r="A41" s="10">
        <v>23664</v>
      </c>
      <c r="B41" s="11" t="s">
        <v>506</v>
      </c>
      <c r="C41" s="11" t="s">
        <v>137</v>
      </c>
      <c r="D41" s="11" t="s">
        <v>138</v>
      </c>
      <c r="E41" s="11" t="s">
        <v>507</v>
      </c>
      <c r="F41" s="11" t="s">
        <v>140</v>
      </c>
      <c r="G41" s="11" t="s">
        <v>141</v>
      </c>
      <c r="H41" s="11" t="s">
        <v>142</v>
      </c>
      <c r="I41" s="11" t="s">
        <v>143</v>
      </c>
      <c r="J41" s="11" t="s">
        <v>144</v>
      </c>
      <c r="K41" s="11" t="s">
        <v>145</v>
      </c>
      <c r="L41" s="11" t="s">
        <v>146</v>
      </c>
      <c r="M41" s="11" t="s">
        <v>508</v>
      </c>
      <c r="N41" s="11" t="s">
        <v>128</v>
      </c>
      <c r="O41" s="11" t="s">
        <v>509</v>
      </c>
      <c r="P41" s="11" t="s">
        <v>510</v>
      </c>
      <c r="Q41" s="11" t="s">
        <v>150</v>
      </c>
      <c r="R41" s="11"/>
      <c r="S41" s="11" t="s">
        <v>151</v>
      </c>
      <c r="T41" s="11" t="s">
        <v>168</v>
      </c>
      <c r="U41" s="11" t="s">
        <v>150</v>
      </c>
      <c r="V41" s="11" t="s">
        <v>168</v>
      </c>
      <c r="W41" s="11" t="s">
        <v>168</v>
      </c>
      <c r="X41" s="11">
        <v>68</v>
      </c>
      <c r="Y41" s="11" t="s">
        <v>135</v>
      </c>
      <c r="Z41" s="11">
        <v>80</v>
      </c>
      <c r="AA41" s="11">
        <v>0</v>
      </c>
      <c r="AB41" s="12">
        <v>0</v>
      </c>
    </row>
    <row r="42" spans="1:28" x14ac:dyDescent="0.2">
      <c r="A42" s="7">
        <v>23660</v>
      </c>
      <c r="B42" s="8" t="s">
        <v>511</v>
      </c>
      <c r="C42" s="8" t="s">
        <v>117</v>
      </c>
      <c r="D42" s="8" t="s">
        <v>118</v>
      </c>
      <c r="E42" s="8" t="s">
        <v>512</v>
      </c>
      <c r="F42" s="8" t="s">
        <v>120</v>
      </c>
      <c r="G42" s="8" t="s">
        <v>121</v>
      </c>
      <c r="H42" s="8" t="s">
        <v>122</v>
      </c>
      <c r="I42" s="8" t="s">
        <v>123</v>
      </c>
      <c r="J42" s="8" t="s">
        <v>124</v>
      </c>
      <c r="K42" s="8" t="s">
        <v>125</v>
      </c>
      <c r="L42" s="8" t="s">
        <v>126</v>
      </c>
      <c r="M42" s="8" t="s">
        <v>513</v>
      </c>
      <c r="N42" s="8" t="s">
        <v>128</v>
      </c>
      <c r="O42" s="8" t="s">
        <v>514</v>
      </c>
      <c r="P42" s="8" t="s">
        <v>515</v>
      </c>
      <c r="Q42" s="8" t="s">
        <v>150</v>
      </c>
      <c r="R42" s="8"/>
      <c r="S42" s="8" t="s">
        <v>132</v>
      </c>
      <c r="T42" s="8" t="s">
        <v>168</v>
      </c>
      <c r="U42" s="8" t="s">
        <v>150</v>
      </c>
      <c r="V42" s="8" t="s">
        <v>168</v>
      </c>
      <c r="W42" s="8" t="s">
        <v>168</v>
      </c>
      <c r="X42" s="8">
        <v>68</v>
      </c>
      <c r="Y42" s="8" t="s">
        <v>135</v>
      </c>
      <c r="Z42" s="8">
        <v>80</v>
      </c>
      <c r="AA42" s="8">
        <v>1</v>
      </c>
      <c r="AB42" s="9">
        <v>1</v>
      </c>
    </row>
    <row r="43" spans="1:28" x14ac:dyDescent="0.2">
      <c r="A43" s="10">
        <v>20768</v>
      </c>
      <c r="B43" s="11" t="s">
        <v>516</v>
      </c>
      <c r="C43" s="11" t="s">
        <v>517</v>
      </c>
      <c r="D43" s="11" t="s">
        <v>518</v>
      </c>
      <c r="E43" s="11" t="s">
        <v>519</v>
      </c>
      <c r="F43" s="11" t="s">
        <v>520</v>
      </c>
      <c r="G43" s="11" t="s">
        <v>521</v>
      </c>
      <c r="H43" s="11" t="s">
        <v>522</v>
      </c>
      <c r="I43" s="11" t="s">
        <v>523</v>
      </c>
      <c r="J43" s="11" t="s">
        <v>524</v>
      </c>
      <c r="K43" s="11" t="s">
        <v>525</v>
      </c>
      <c r="L43" s="11" t="s">
        <v>526</v>
      </c>
      <c r="M43" s="11" t="s">
        <v>527</v>
      </c>
      <c r="N43" s="11" t="s">
        <v>128</v>
      </c>
      <c r="O43" s="11" t="s">
        <v>528</v>
      </c>
      <c r="P43" s="11" t="s">
        <v>529</v>
      </c>
      <c r="Q43" s="11" t="s">
        <v>150</v>
      </c>
      <c r="R43" s="11"/>
      <c r="S43" s="11" t="s">
        <v>530</v>
      </c>
      <c r="T43" s="11" t="s">
        <v>531</v>
      </c>
      <c r="U43" s="11" t="s">
        <v>150</v>
      </c>
      <c r="V43" s="11" t="s">
        <v>531</v>
      </c>
      <c r="W43" s="11" t="s">
        <v>531</v>
      </c>
      <c r="X43" s="11">
        <v>67</v>
      </c>
      <c r="Y43" s="11" t="s">
        <v>135</v>
      </c>
      <c r="Z43" s="11">
        <v>80</v>
      </c>
      <c r="AA43" s="11">
        <v>1</v>
      </c>
      <c r="AB43" s="12">
        <v>1</v>
      </c>
    </row>
    <row r="44" spans="1:28" x14ac:dyDescent="0.2">
      <c r="A44" s="7">
        <v>21348</v>
      </c>
      <c r="B44" s="8" t="s">
        <v>532</v>
      </c>
      <c r="C44" s="8" t="s">
        <v>533</v>
      </c>
      <c r="D44" s="8" t="s">
        <v>534</v>
      </c>
      <c r="E44" s="8" t="s">
        <v>535</v>
      </c>
      <c r="F44" s="8" t="s">
        <v>353</v>
      </c>
      <c r="G44" s="8" t="s">
        <v>536</v>
      </c>
      <c r="H44" s="8" t="s">
        <v>329</v>
      </c>
      <c r="I44" s="8" t="s">
        <v>537</v>
      </c>
      <c r="J44" s="8" t="s">
        <v>538</v>
      </c>
      <c r="K44" s="8" t="s">
        <v>431</v>
      </c>
      <c r="L44" s="8" t="s">
        <v>333</v>
      </c>
      <c r="M44" s="8" t="s">
        <v>539</v>
      </c>
      <c r="N44" s="8" t="s">
        <v>128</v>
      </c>
      <c r="O44" s="8" t="s">
        <v>540</v>
      </c>
      <c r="P44" s="8" t="s">
        <v>541</v>
      </c>
      <c r="Q44" s="8" t="s">
        <v>150</v>
      </c>
      <c r="R44" s="8"/>
      <c r="S44" s="8" t="s">
        <v>71</v>
      </c>
      <c r="T44" s="8" t="s">
        <v>67</v>
      </c>
      <c r="U44" s="8" t="s">
        <v>150</v>
      </c>
      <c r="V44" s="8" t="s">
        <v>152</v>
      </c>
      <c r="W44" s="8" t="s">
        <v>67</v>
      </c>
      <c r="X44" s="8">
        <v>67</v>
      </c>
      <c r="Y44" s="8" t="s">
        <v>135</v>
      </c>
      <c r="Z44" s="8">
        <v>80</v>
      </c>
      <c r="AA44" s="8">
        <v>0</v>
      </c>
      <c r="AB44" s="9">
        <v>0</v>
      </c>
    </row>
    <row r="45" spans="1:28" x14ac:dyDescent="0.2">
      <c r="A45" s="10">
        <v>21409</v>
      </c>
      <c r="B45" s="11" t="s">
        <v>542</v>
      </c>
      <c r="C45" s="11" t="s">
        <v>543</v>
      </c>
      <c r="D45" s="11" t="s">
        <v>544</v>
      </c>
      <c r="E45" s="11" t="s">
        <v>545</v>
      </c>
      <c r="F45" s="11" t="s">
        <v>353</v>
      </c>
      <c r="G45" s="11" t="s">
        <v>428</v>
      </c>
      <c r="H45" s="11" t="s">
        <v>329</v>
      </c>
      <c r="I45" s="11" t="s">
        <v>546</v>
      </c>
      <c r="J45" s="11" t="s">
        <v>547</v>
      </c>
      <c r="K45" s="11" t="s">
        <v>431</v>
      </c>
      <c r="L45" s="11" t="s">
        <v>333</v>
      </c>
      <c r="M45" s="11" t="s">
        <v>548</v>
      </c>
      <c r="N45" s="11" t="s">
        <v>128</v>
      </c>
      <c r="O45" s="11" t="s">
        <v>549</v>
      </c>
      <c r="P45" s="11" t="s">
        <v>550</v>
      </c>
      <c r="Q45" s="11" t="s">
        <v>150</v>
      </c>
      <c r="R45" s="11"/>
      <c r="S45" s="11" t="s">
        <v>71</v>
      </c>
      <c r="T45" s="11" t="s">
        <v>67</v>
      </c>
      <c r="U45" s="11" t="s">
        <v>150</v>
      </c>
      <c r="V45" s="11" t="s">
        <v>152</v>
      </c>
      <c r="W45" s="11" t="s">
        <v>67</v>
      </c>
      <c r="X45" s="11">
        <v>67</v>
      </c>
      <c r="Y45" s="11" t="s">
        <v>135</v>
      </c>
      <c r="Z45" s="11">
        <v>80</v>
      </c>
      <c r="AA45" s="11">
        <v>0</v>
      </c>
      <c r="AB45" s="12">
        <v>0</v>
      </c>
    </row>
    <row r="46" spans="1:28" x14ac:dyDescent="0.2">
      <c r="A46" s="7">
        <v>21320</v>
      </c>
      <c r="B46" s="8" t="s">
        <v>551</v>
      </c>
      <c r="C46" s="8" t="s">
        <v>552</v>
      </c>
      <c r="D46" s="8" t="s">
        <v>553</v>
      </c>
      <c r="E46" s="8" t="s">
        <v>554</v>
      </c>
      <c r="F46" s="8" t="s">
        <v>555</v>
      </c>
      <c r="G46" s="8" t="s">
        <v>556</v>
      </c>
      <c r="H46" s="8" t="s">
        <v>557</v>
      </c>
      <c r="I46" s="8" t="s">
        <v>558</v>
      </c>
      <c r="J46" s="8" t="s">
        <v>559</v>
      </c>
      <c r="K46" s="8" t="s">
        <v>560</v>
      </c>
      <c r="L46" s="8" t="s">
        <v>229</v>
      </c>
      <c r="M46" s="8" t="s">
        <v>561</v>
      </c>
      <c r="N46" s="8" t="s">
        <v>128</v>
      </c>
      <c r="O46" s="8" t="s">
        <v>562</v>
      </c>
      <c r="P46" s="8" t="s">
        <v>563</v>
      </c>
      <c r="Q46" s="8" t="s">
        <v>150</v>
      </c>
      <c r="R46" s="8"/>
      <c r="S46" s="8" t="s">
        <v>564</v>
      </c>
      <c r="T46" s="8" t="s">
        <v>67</v>
      </c>
      <c r="U46" s="8" t="s">
        <v>150</v>
      </c>
      <c r="V46" s="8" t="s">
        <v>152</v>
      </c>
      <c r="W46" s="8" t="s">
        <v>67</v>
      </c>
      <c r="X46" s="8">
        <v>67</v>
      </c>
      <c r="Y46" s="8" t="s">
        <v>135</v>
      </c>
      <c r="Z46" s="8">
        <v>80</v>
      </c>
      <c r="AA46" s="8">
        <v>1</v>
      </c>
      <c r="AB46" s="9">
        <v>1</v>
      </c>
    </row>
    <row r="47" spans="1:28" x14ac:dyDescent="0.2">
      <c r="A47" s="10">
        <v>21329</v>
      </c>
      <c r="B47" s="11" t="s">
        <v>565</v>
      </c>
      <c r="C47" s="11" t="s">
        <v>566</v>
      </c>
      <c r="D47" s="11" t="s">
        <v>567</v>
      </c>
      <c r="E47" s="11" t="s">
        <v>568</v>
      </c>
      <c r="F47" s="11" t="s">
        <v>569</v>
      </c>
      <c r="G47" s="11" t="s">
        <v>328</v>
      </c>
      <c r="H47" s="11" t="s">
        <v>329</v>
      </c>
      <c r="I47" s="11" t="s">
        <v>570</v>
      </c>
      <c r="J47" s="11" t="s">
        <v>571</v>
      </c>
      <c r="K47" s="11" t="s">
        <v>572</v>
      </c>
      <c r="L47" s="11" t="s">
        <v>333</v>
      </c>
      <c r="M47" s="11" t="s">
        <v>573</v>
      </c>
      <c r="N47" s="11" t="s">
        <v>128</v>
      </c>
      <c r="O47" s="11" t="s">
        <v>574</v>
      </c>
      <c r="P47" s="11" t="s">
        <v>575</v>
      </c>
      <c r="Q47" s="11" t="s">
        <v>150</v>
      </c>
      <c r="R47" s="11"/>
      <c r="S47" s="11" t="s">
        <v>576</v>
      </c>
      <c r="T47" s="11" t="s">
        <v>67</v>
      </c>
      <c r="U47" s="11" t="s">
        <v>150</v>
      </c>
      <c r="V47" s="11" t="s">
        <v>152</v>
      </c>
      <c r="W47" s="11" t="s">
        <v>67</v>
      </c>
      <c r="X47" s="11">
        <v>67</v>
      </c>
      <c r="Y47" s="11" t="s">
        <v>135</v>
      </c>
      <c r="Z47" s="11">
        <v>80</v>
      </c>
      <c r="AA47" s="11">
        <v>1</v>
      </c>
      <c r="AB47" s="12">
        <v>1</v>
      </c>
    </row>
    <row r="48" spans="1:28" x14ac:dyDescent="0.2">
      <c r="A48" s="7">
        <v>21747</v>
      </c>
      <c r="B48" s="8" t="s">
        <v>577</v>
      </c>
      <c r="C48" s="8" t="s">
        <v>578</v>
      </c>
      <c r="D48" s="8" t="s">
        <v>579</v>
      </c>
      <c r="E48" s="8" t="s">
        <v>580</v>
      </c>
      <c r="F48" s="8" t="s">
        <v>581</v>
      </c>
      <c r="G48" s="8" t="s">
        <v>141</v>
      </c>
      <c r="H48" s="8" t="s">
        <v>142</v>
      </c>
      <c r="I48" s="8" t="s">
        <v>582</v>
      </c>
      <c r="J48" s="8" t="s">
        <v>583</v>
      </c>
      <c r="K48" s="8" t="s">
        <v>584</v>
      </c>
      <c r="L48" s="8" t="s">
        <v>146</v>
      </c>
      <c r="M48" s="8" t="s">
        <v>585</v>
      </c>
      <c r="N48" s="8" t="s">
        <v>128</v>
      </c>
      <c r="O48" s="8" t="s">
        <v>586</v>
      </c>
      <c r="P48" s="8" t="s">
        <v>587</v>
      </c>
      <c r="Q48" s="8" t="s">
        <v>150</v>
      </c>
      <c r="R48" s="8"/>
      <c r="S48" s="8" t="s">
        <v>588</v>
      </c>
      <c r="T48" s="8" t="s">
        <v>67</v>
      </c>
      <c r="U48" s="8" t="s">
        <v>150</v>
      </c>
      <c r="V48" s="8" t="s">
        <v>152</v>
      </c>
      <c r="W48" s="8" t="s">
        <v>67</v>
      </c>
      <c r="X48" s="8">
        <v>67</v>
      </c>
      <c r="Y48" s="8" t="s">
        <v>135</v>
      </c>
      <c r="Z48" s="8">
        <v>80</v>
      </c>
      <c r="AA48" s="8">
        <v>1</v>
      </c>
      <c r="AB48" s="9">
        <v>1</v>
      </c>
    </row>
    <row r="49" spans="1:28" x14ac:dyDescent="0.2">
      <c r="A49" s="10">
        <v>22998</v>
      </c>
      <c r="B49" s="11" t="s">
        <v>589</v>
      </c>
      <c r="C49" s="11" t="s">
        <v>590</v>
      </c>
      <c r="D49" s="11" t="s">
        <v>591</v>
      </c>
      <c r="E49" s="11" t="s">
        <v>592</v>
      </c>
      <c r="F49" s="11" t="s">
        <v>593</v>
      </c>
      <c r="G49" s="11" t="s">
        <v>141</v>
      </c>
      <c r="H49" s="11" t="s">
        <v>142</v>
      </c>
      <c r="I49" s="11" t="s">
        <v>594</v>
      </c>
      <c r="J49" s="11" t="s">
        <v>595</v>
      </c>
      <c r="K49" s="11" t="s">
        <v>216</v>
      </c>
      <c r="L49" s="11" t="s">
        <v>146</v>
      </c>
      <c r="M49" s="11" t="s">
        <v>596</v>
      </c>
      <c r="N49" s="11" t="s">
        <v>128</v>
      </c>
      <c r="O49" s="11" t="s">
        <v>597</v>
      </c>
      <c r="P49" s="11" t="s">
        <v>598</v>
      </c>
      <c r="Q49" s="11" t="s">
        <v>150</v>
      </c>
      <c r="R49" s="11"/>
      <c r="S49" s="11" t="s">
        <v>599</v>
      </c>
      <c r="T49" s="11" t="s">
        <v>70</v>
      </c>
      <c r="U49" s="11" t="s">
        <v>150</v>
      </c>
      <c r="V49" s="11" t="s">
        <v>70</v>
      </c>
      <c r="W49" s="11" t="s">
        <v>70</v>
      </c>
      <c r="X49" s="11">
        <v>67</v>
      </c>
      <c r="Y49" s="11" t="s">
        <v>135</v>
      </c>
      <c r="Z49" s="11">
        <v>80</v>
      </c>
      <c r="AA49" s="11">
        <v>1</v>
      </c>
      <c r="AB49" s="12">
        <v>1</v>
      </c>
    </row>
    <row r="50" spans="1:28" x14ac:dyDescent="0.2">
      <c r="A50" s="7">
        <v>23774</v>
      </c>
      <c r="B50" s="8" t="s">
        <v>600</v>
      </c>
      <c r="C50" s="8" t="s">
        <v>601</v>
      </c>
      <c r="D50" s="8" t="s">
        <v>602</v>
      </c>
      <c r="E50" s="8" t="s">
        <v>603</v>
      </c>
      <c r="F50" s="8" t="s">
        <v>604</v>
      </c>
      <c r="G50" s="8" t="s">
        <v>450</v>
      </c>
      <c r="H50" s="8" t="s">
        <v>301</v>
      </c>
      <c r="I50" s="8" t="s">
        <v>605</v>
      </c>
      <c r="J50" s="8" t="s">
        <v>606</v>
      </c>
      <c r="K50" s="8" t="s">
        <v>304</v>
      </c>
      <c r="L50" s="8" t="s">
        <v>229</v>
      </c>
      <c r="M50" s="8" t="s">
        <v>607</v>
      </c>
      <c r="N50" s="8" t="s">
        <v>128</v>
      </c>
      <c r="O50" s="8" t="s">
        <v>608</v>
      </c>
      <c r="P50" s="8" t="s">
        <v>609</v>
      </c>
      <c r="Q50" s="8" t="s">
        <v>150</v>
      </c>
      <c r="R50" s="8"/>
      <c r="S50" s="8" t="s">
        <v>71</v>
      </c>
      <c r="T50" s="8" t="s">
        <v>168</v>
      </c>
      <c r="U50" s="8" t="s">
        <v>150</v>
      </c>
      <c r="V50" s="8" t="s">
        <v>168</v>
      </c>
      <c r="W50" s="8" t="s">
        <v>168</v>
      </c>
      <c r="X50" s="8">
        <v>67</v>
      </c>
      <c r="Y50" s="8" t="s">
        <v>135</v>
      </c>
      <c r="Z50" s="8">
        <v>80</v>
      </c>
      <c r="AA50" s="8">
        <v>0</v>
      </c>
      <c r="AB50" s="9">
        <v>0</v>
      </c>
    </row>
    <row r="51" spans="1:28" x14ac:dyDescent="0.2">
      <c r="A51" s="10">
        <v>23749</v>
      </c>
      <c r="B51" s="11" t="s">
        <v>610</v>
      </c>
      <c r="C51" s="11" t="s">
        <v>611</v>
      </c>
      <c r="D51" s="11" t="s">
        <v>612</v>
      </c>
      <c r="E51" s="11" t="s">
        <v>613</v>
      </c>
      <c r="F51" s="11" t="s">
        <v>614</v>
      </c>
      <c r="G51" s="11" t="s">
        <v>615</v>
      </c>
      <c r="H51" s="11" t="s">
        <v>616</v>
      </c>
      <c r="I51" s="11" t="s">
        <v>617</v>
      </c>
      <c r="J51" s="11" t="s">
        <v>618</v>
      </c>
      <c r="K51" s="11" t="s">
        <v>619</v>
      </c>
      <c r="L51" s="11" t="s">
        <v>163</v>
      </c>
      <c r="M51" s="11" t="s">
        <v>620</v>
      </c>
      <c r="N51" s="11" t="s">
        <v>128</v>
      </c>
      <c r="O51" s="11" t="s">
        <v>621</v>
      </c>
      <c r="P51" s="11" t="s">
        <v>622</v>
      </c>
      <c r="Q51" s="11" t="s">
        <v>150</v>
      </c>
      <c r="R51" s="11"/>
      <c r="S51" s="11" t="s">
        <v>623</v>
      </c>
      <c r="T51" s="11" t="s">
        <v>168</v>
      </c>
      <c r="U51" s="11" t="s">
        <v>150</v>
      </c>
      <c r="V51" s="11" t="s">
        <v>168</v>
      </c>
      <c r="W51" s="11" t="s">
        <v>168</v>
      </c>
      <c r="X51" s="11">
        <v>67</v>
      </c>
      <c r="Y51" s="11" t="s">
        <v>135</v>
      </c>
      <c r="Z51" s="11">
        <v>80</v>
      </c>
      <c r="AA51" s="11">
        <v>1</v>
      </c>
      <c r="AB51" s="12">
        <v>1</v>
      </c>
    </row>
    <row r="52" spans="1:28" x14ac:dyDescent="0.2">
      <c r="A52" s="7">
        <v>24626</v>
      </c>
      <c r="B52" s="8" t="s">
        <v>9</v>
      </c>
      <c r="C52" s="8" t="s">
        <v>457</v>
      </c>
      <c r="D52" s="8" t="s">
        <v>477</v>
      </c>
      <c r="E52" s="8" t="s">
        <v>624</v>
      </c>
      <c r="F52" s="8" t="s">
        <v>459</v>
      </c>
      <c r="G52" s="8" t="s">
        <v>141</v>
      </c>
      <c r="H52" s="8" t="s">
        <v>142</v>
      </c>
      <c r="I52" s="8" t="s">
        <v>460</v>
      </c>
      <c r="J52" s="8" t="s">
        <v>479</v>
      </c>
      <c r="K52" s="8" t="s">
        <v>403</v>
      </c>
      <c r="L52" s="8" t="s">
        <v>146</v>
      </c>
      <c r="M52" s="8" t="s">
        <v>8</v>
      </c>
      <c r="N52" s="8" t="s">
        <v>128</v>
      </c>
      <c r="O52" s="8" t="s">
        <v>625</v>
      </c>
      <c r="P52" s="8" t="s">
        <v>197</v>
      </c>
      <c r="Q52" s="8" t="s">
        <v>150</v>
      </c>
      <c r="R52" s="8"/>
      <c r="S52" s="8" t="s">
        <v>68</v>
      </c>
      <c r="T52" s="8" t="s">
        <v>69</v>
      </c>
      <c r="U52" s="8" t="s">
        <v>150</v>
      </c>
      <c r="V52" s="8" t="s">
        <v>152</v>
      </c>
      <c r="W52" s="8" t="s">
        <v>69</v>
      </c>
      <c r="X52" s="8">
        <v>67</v>
      </c>
      <c r="Y52" s="8" t="s">
        <v>135</v>
      </c>
      <c r="Z52" s="8">
        <v>80</v>
      </c>
      <c r="AA52" s="8">
        <v>0</v>
      </c>
      <c r="AB52" s="9">
        <v>0</v>
      </c>
    </row>
    <row r="53" spans="1:28" x14ac:dyDescent="0.2">
      <c r="A53" s="10">
        <v>25469</v>
      </c>
      <c r="B53" s="11" t="s">
        <v>626</v>
      </c>
      <c r="C53" s="11" t="s">
        <v>627</v>
      </c>
      <c r="D53" s="11" t="s">
        <v>628</v>
      </c>
      <c r="E53" s="11" t="s">
        <v>629</v>
      </c>
      <c r="F53" s="11" t="s">
        <v>630</v>
      </c>
      <c r="G53" s="11" t="s">
        <v>141</v>
      </c>
      <c r="H53" s="11" t="s">
        <v>142</v>
      </c>
      <c r="I53" s="11" t="s">
        <v>631</v>
      </c>
      <c r="J53" s="11" t="s">
        <v>632</v>
      </c>
      <c r="K53" s="11" t="s">
        <v>216</v>
      </c>
      <c r="L53" s="11" t="s">
        <v>146</v>
      </c>
      <c r="M53" s="11" t="s">
        <v>633</v>
      </c>
      <c r="N53" s="11" t="s">
        <v>128</v>
      </c>
      <c r="O53" s="11" t="s">
        <v>634</v>
      </c>
      <c r="P53" s="11" t="s">
        <v>635</v>
      </c>
      <c r="Q53" s="11" t="s">
        <v>249</v>
      </c>
      <c r="R53" s="11"/>
      <c r="S53" s="11" t="s">
        <v>636</v>
      </c>
      <c r="T53" s="11" t="s">
        <v>250</v>
      </c>
      <c r="U53" s="11" t="s">
        <v>134</v>
      </c>
      <c r="V53" s="11" t="s">
        <v>249</v>
      </c>
      <c r="W53" s="11" t="s">
        <v>250</v>
      </c>
      <c r="X53" s="11">
        <v>67</v>
      </c>
      <c r="Y53" s="11" t="s">
        <v>135</v>
      </c>
      <c r="Z53" s="11">
        <v>20</v>
      </c>
      <c r="AA53" s="11">
        <v>1</v>
      </c>
      <c r="AB53" s="12">
        <v>0</v>
      </c>
    </row>
    <row r="54" spans="1:28" x14ac:dyDescent="0.2">
      <c r="A54" s="7">
        <v>21211</v>
      </c>
      <c r="B54" s="8" t="s">
        <v>637</v>
      </c>
      <c r="C54" s="8" t="s">
        <v>566</v>
      </c>
      <c r="D54" s="8" t="s">
        <v>567</v>
      </c>
      <c r="E54" s="8" t="s">
        <v>638</v>
      </c>
      <c r="F54" s="8" t="s">
        <v>569</v>
      </c>
      <c r="G54" s="8" t="s">
        <v>328</v>
      </c>
      <c r="H54" s="8" t="s">
        <v>329</v>
      </c>
      <c r="I54" s="8" t="s">
        <v>570</v>
      </c>
      <c r="J54" s="8" t="s">
        <v>571</v>
      </c>
      <c r="K54" s="8" t="s">
        <v>572</v>
      </c>
      <c r="L54" s="8" t="s">
        <v>333</v>
      </c>
      <c r="M54" s="8" t="s">
        <v>639</v>
      </c>
      <c r="N54" s="8" t="s">
        <v>128</v>
      </c>
      <c r="O54" s="8" t="s">
        <v>640</v>
      </c>
      <c r="P54" s="8" t="s">
        <v>641</v>
      </c>
      <c r="Q54" s="8" t="s">
        <v>150</v>
      </c>
      <c r="R54" s="8"/>
      <c r="S54" s="8" t="s">
        <v>576</v>
      </c>
      <c r="T54" s="8" t="s">
        <v>642</v>
      </c>
      <c r="U54" s="8" t="s">
        <v>150</v>
      </c>
      <c r="V54" s="8" t="s">
        <v>642</v>
      </c>
      <c r="W54" s="8" t="s">
        <v>642</v>
      </c>
      <c r="X54" s="8">
        <v>66</v>
      </c>
      <c r="Y54" s="8" t="s">
        <v>135</v>
      </c>
      <c r="Z54" s="8">
        <v>80</v>
      </c>
      <c r="AA54" s="8">
        <v>1</v>
      </c>
      <c r="AB54" s="9">
        <v>1</v>
      </c>
    </row>
    <row r="55" spans="1:28" x14ac:dyDescent="0.2">
      <c r="A55" s="10">
        <v>21361</v>
      </c>
      <c r="B55" s="11" t="s">
        <v>643</v>
      </c>
      <c r="C55" s="11" t="s">
        <v>644</v>
      </c>
      <c r="D55" s="11" t="s">
        <v>645</v>
      </c>
      <c r="E55" s="11" t="s">
        <v>646</v>
      </c>
      <c r="F55" s="11" t="s">
        <v>647</v>
      </c>
      <c r="G55" s="11" t="s">
        <v>648</v>
      </c>
      <c r="H55" s="11" t="s">
        <v>142</v>
      </c>
      <c r="I55" s="11" t="s">
        <v>649</v>
      </c>
      <c r="J55" s="11" t="s">
        <v>650</v>
      </c>
      <c r="K55" s="11" t="s">
        <v>651</v>
      </c>
      <c r="L55" s="11" t="s">
        <v>146</v>
      </c>
      <c r="M55" s="11" t="s">
        <v>652</v>
      </c>
      <c r="N55" s="11" t="s">
        <v>128</v>
      </c>
      <c r="O55" s="11" t="s">
        <v>653</v>
      </c>
      <c r="P55" s="11" t="s">
        <v>654</v>
      </c>
      <c r="Q55" s="11" t="s">
        <v>150</v>
      </c>
      <c r="R55" s="11"/>
      <c r="S55" s="11" t="s">
        <v>655</v>
      </c>
      <c r="T55" s="11" t="s">
        <v>67</v>
      </c>
      <c r="U55" s="11" t="s">
        <v>150</v>
      </c>
      <c r="V55" s="11" t="s">
        <v>152</v>
      </c>
      <c r="W55" s="11" t="s">
        <v>67</v>
      </c>
      <c r="X55" s="11">
        <v>66</v>
      </c>
      <c r="Y55" s="11" t="s">
        <v>135</v>
      </c>
      <c r="Z55" s="11">
        <v>80</v>
      </c>
      <c r="AA55" s="11">
        <v>0</v>
      </c>
      <c r="AB55" s="12">
        <v>0</v>
      </c>
    </row>
    <row r="56" spans="1:28" x14ac:dyDescent="0.2">
      <c r="A56" s="7">
        <v>21429</v>
      </c>
      <c r="B56" s="8" t="s">
        <v>656</v>
      </c>
      <c r="C56" s="8" t="s">
        <v>657</v>
      </c>
      <c r="D56" s="8" t="s">
        <v>658</v>
      </c>
      <c r="E56" s="8" t="s">
        <v>659</v>
      </c>
      <c r="F56" s="8" t="s">
        <v>660</v>
      </c>
      <c r="G56" s="8" t="s">
        <v>556</v>
      </c>
      <c r="H56" s="8" t="s">
        <v>557</v>
      </c>
      <c r="I56" s="8" t="s">
        <v>661</v>
      </c>
      <c r="J56" s="8" t="s">
        <v>662</v>
      </c>
      <c r="K56" s="8" t="s">
        <v>560</v>
      </c>
      <c r="L56" s="8" t="s">
        <v>229</v>
      </c>
      <c r="M56" s="8" t="s">
        <v>663</v>
      </c>
      <c r="N56" s="8" t="s">
        <v>128</v>
      </c>
      <c r="O56" s="8" t="s">
        <v>664</v>
      </c>
      <c r="P56" s="8" t="s">
        <v>665</v>
      </c>
      <c r="Q56" s="8" t="s">
        <v>150</v>
      </c>
      <c r="R56" s="8"/>
      <c r="S56" s="8" t="s">
        <v>666</v>
      </c>
      <c r="T56" s="8" t="s">
        <v>67</v>
      </c>
      <c r="U56" s="8" t="s">
        <v>150</v>
      </c>
      <c r="V56" s="8" t="s">
        <v>152</v>
      </c>
      <c r="W56" s="8" t="s">
        <v>67</v>
      </c>
      <c r="X56" s="8">
        <v>66</v>
      </c>
      <c r="Y56" s="8" t="s">
        <v>135</v>
      </c>
      <c r="Z56" s="8">
        <v>80</v>
      </c>
      <c r="AA56" s="8">
        <v>1</v>
      </c>
      <c r="AB56" s="9">
        <v>1</v>
      </c>
    </row>
    <row r="57" spans="1:28" x14ac:dyDescent="0.2">
      <c r="A57" s="10">
        <v>26189</v>
      </c>
      <c r="B57" s="11" t="s">
        <v>667</v>
      </c>
      <c r="C57" s="11" t="s">
        <v>668</v>
      </c>
      <c r="D57" s="11" t="s">
        <v>669</v>
      </c>
      <c r="E57" s="11"/>
      <c r="F57" s="11"/>
      <c r="G57" s="11" t="s">
        <v>670</v>
      </c>
      <c r="H57" s="11" t="s">
        <v>671</v>
      </c>
      <c r="I57" s="11" t="s">
        <v>672</v>
      </c>
      <c r="J57" s="11" t="s">
        <v>673</v>
      </c>
      <c r="K57" s="11" t="s">
        <v>572</v>
      </c>
      <c r="L57" s="11" t="s">
        <v>333</v>
      </c>
      <c r="M57" s="11" t="s">
        <v>674</v>
      </c>
      <c r="N57" s="11" t="s">
        <v>128</v>
      </c>
      <c r="O57" s="11" t="s">
        <v>675</v>
      </c>
      <c r="P57" s="11" t="s">
        <v>676</v>
      </c>
      <c r="Q57" s="11" t="s">
        <v>150</v>
      </c>
      <c r="R57" s="11"/>
      <c r="S57" s="11" t="s">
        <v>71</v>
      </c>
      <c r="T57" s="11" t="s">
        <v>67</v>
      </c>
      <c r="U57" s="11" t="s">
        <v>150</v>
      </c>
      <c r="V57" s="11" t="s">
        <v>152</v>
      </c>
      <c r="W57" s="11" t="s">
        <v>67</v>
      </c>
      <c r="X57" s="11">
        <v>66</v>
      </c>
      <c r="Y57" s="11" t="s">
        <v>135</v>
      </c>
      <c r="Z57" s="11">
        <v>80</v>
      </c>
      <c r="AA57" s="11">
        <v>0</v>
      </c>
      <c r="AB57" s="12">
        <v>0</v>
      </c>
    </row>
    <row r="58" spans="1:28" x14ac:dyDescent="0.2">
      <c r="A58" s="7">
        <v>21551</v>
      </c>
      <c r="B58" s="8" t="s">
        <v>677</v>
      </c>
      <c r="C58" s="8" t="s">
        <v>396</v>
      </c>
      <c r="D58" s="8" t="s">
        <v>397</v>
      </c>
      <c r="E58" s="8"/>
      <c r="F58" s="8" t="s">
        <v>399</v>
      </c>
      <c r="G58" s="8" t="s">
        <v>400</v>
      </c>
      <c r="H58" s="8" t="s">
        <v>142</v>
      </c>
      <c r="I58" s="8" t="s">
        <v>401</v>
      </c>
      <c r="J58" s="8" t="s">
        <v>402</v>
      </c>
      <c r="K58" s="8" t="s">
        <v>403</v>
      </c>
      <c r="L58" s="8" t="s">
        <v>146</v>
      </c>
      <c r="M58" s="8" t="s">
        <v>678</v>
      </c>
      <c r="N58" s="8" t="s">
        <v>128</v>
      </c>
      <c r="O58" s="8" t="s">
        <v>679</v>
      </c>
      <c r="P58" s="8" t="s">
        <v>680</v>
      </c>
      <c r="Q58" s="8" t="s">
        <v>150</v>
      </c>
      <c r="R58" s="8"/>
      <c r="S58" s="8" t="s">
        <v>407</v>
      </c>
      <c r="T58" s="8" t="s">
        <v>67</v>
      </c>
      <c r="U58" s="8" t="s">
        <v>150</v>
      </c>
      <c r="V58" s="8" t="s">
        <v>152</v>
      </c>
      <c r="W58" s="8" t="s">
        <v>67</v>
      </c>
      <c r="X58" s="8">
        <v>66</v>
      </c>
      <c r="Y58" s="8" t="s">
        <v>135</v>
      </c>
      <c r="Z58" s="8">
        <v>80</v>
      </c>
      <c r="AA58" s="8">
        <v>0</v>
      </c>
      <c r="AB58" s="9">
        <v>0</v>
      </c>
    </row>
    <row r="59" spans="1:28" x14ac:dyDescent="0.2">
      <c r="A59" s="10">
        <v>21933</v>
      </c>
      <c r="B59" s="11" t="s">
        <v>681</v>
      </c>
      <c r="C59" s="11" t="s">
        <v>436</v>
      </c>
      <c r="D59" s="11" t="s">
        <v>437</v>
      </c>
      <c r="E59" s="11" t="s">
        <v>682</v>
      </c>
      <c r="F59" s="11" t="s">
        <v>439</v>
      </c>
      <c r="G59" s="11" t="s">
        <v>141</v>
      </c>
      <c r="H59" s="11" t="s">
        <v>142</v>
      </c>
      <c r="I59" s="11" t="s">
        <v>683</v>
      </c>
      <c r="J59" s="11" t="s">
        <v>441</v>
      </c>
      <c r="K59" s="11" t="s">
        <v>216</v>
      </c>
      <c r="L59" s="11" t="s">
        <v>146</v>
      </c>
      <c r="M59" s="11" t="s">
        <v>684</v>
      </c>
      <c r="N59" s="11" t="s">
        <v>128</v>
      </c>
      <c r="O59" s="11" t="s">
        <v>685</v>
      </c>
      <c r="P59" s="11" t="s">
        <v>686</v>
      </c>
      <c r="Q59" s="11" t="s">
        <v>131</v>
      </c>
      <c r="R59" s="11"/>
      <c r="S59" s="11" t="s">
        <v>445</v>
      </c>
      <c r="T59" s="11" t="s">
        <v>133</v>
      </c>
      <c r="U59" s="11" t="s">
        <v>134</v>
      </c>
      <c r="V59" s="11" t="s">
        <v>131</v>
      </c>
      <c r="W59" s="11" t="s">
        <v>133</v>
      </c>
      <c r="X59" s="11">
        <v>66</v>
      </c>
      <c r="Y59" s="11" t="s">
        <v>135</v>
      </c>
      <c r="Z59" s="11">
        <v>80</v>
      </c>
      <c r="AA59" s="11">
        <v>1</v>
      </c>
      <c r="AB59" s="12">
        <v>1</v>
      </c>
    </row>
    <row r="60" spans="1:28" x14ac:dyDescent="0.2">
      <c r="A60" s="7">
        <v>21898</v>
      </c>
      <c r="B60" s="8" t="s">
        <v>687</v>
      </c>
      <c r="C60" s="8" t="s">
        <v>517</v>
      </c>
      <c r="D60" s="8" t="s">
        <v>518</v>
      </c>
      <c r="E60" s="8" t="s">
        <v>688</v>
      </c>
      <c r="F60" s="8" t="s">
        <v>520</v>
      </c>
      <c r="G60" s="8" t="s">
        <v>521</v>
      </c>
      <c r="H60" s="8" t="s">
        <v>522</v>
      </c>
      <c r="I60" s="8" t="s">
        <v>523</v>
      </c>
      <c r="J60" s="8" t="s">
        <v>524</v>
      </c>
      <c r="K60" s="8" t="s">
        <v>525</v>
      </c>
      <c r="L60" s="8" t="s">
        <v>526</v>
      </c>
      <c r="M60" s="8" t="s">
        <v>689</v>
      </c>
      <c r="N60" s="8" t="s">
        <v>128</v>
      </c>
      <c r="O60" s="8" t="s">
        <v>690</v>
      </c>
      <c r="P60" s="8" t="s">
        <v>691</v>
      </c>
      <c r="Q60" s="8" t="s">
        <v>131</v>
      </c>
      <c r="R60" s="8"/>
      <c r="S60" s="8" t="s">
        <v>530</v>
      </c>
      <c r="T60" s="8" t="s">
        <v>133</v>
      </c>
      <c r="U60" s="8" t="s">
        <v>134</v>
      </c>
      <c r="V60" s="8" t="s">
        <v>131</v>
      </c>
      <c r="W60" s="8" t="s">
        <v>133</v>
      </c>
      <c r="X60" s="8">
        <v>66</v>
      </c>
      <c r="Y60" s="8" t="s">
        <v>135</v>
      </c>
      <c r="Z60" s="8">
        <v>20</v>
      </c>
      <c r="AA60" s="8">
        <v>1</v>
      </c>
      <c r="AB60" s="9">
        <v>0</v>
      </c>
    </row>
    <row r="61" spans="1:28" x14ac:dyDescent="0.2">
      <c r="A61" s="10">
        <v>23108</v>
      </c>
      <c r="B61" s="11" t="s">
        <v>692</v>
      </c>
      <c r="C61" s="11" t="s">
        <v>186</v>
      </c>
      <c r="D61" s="11" t="s">
        <v>187</v>
      </c>
      <c r="E61" s="11" t="s">
        <v>693</v>
      </c>
      <c r="F61" s="11" t="s">
        <v>189</v>
      </c>
      <c r="G61" s="11" t="s">
        <v>190</v>
      </c>
      <c r="H61" s="11" t="s">
        <v>191</v>
      </c>
      <c r="I61" s="11" t="s">
        <v>694</v>
      </c>
      <c r="J61" s="11" t="s">
        <v>695</v>
      </c>
      <c r="K61" s="11" t="s">
        <v>194</v>
      </c>
      <c r="L61" s="11" t="s">
        <v>163</v>
      </c>
      <c r="M61" s="11" t="s">
        <v>696</v>
      </c>
      <c r="N61" s="11" t="s">
        <v>128</v>
      </c>
      <c r="O61" s="11" t="s">
        <v>697</v>
      </c>
      <c r="P61" s="11" t="s">
        <v>698</v>
      </c>
      <c r="Q61" s="11" t="s">
        <v>150</v>
      </c>
      <c r="R61" s="11"/>
      <c r="S61" s="11" t="s">
        <v>198</v>
      </c>
      <c r="T61" s="11" t="s">
        <v>70</v>
      </c>
      <c r="U61" s="11" t="s">
        <v>150</v>
      </c>
      <c r="V61" s="11" t="s">
        <v>70</v>
      </c>
      <c r="W61" s="11" t="s">
        <v>70</v>
      </c>
      <c r="X61" s="11">
        <v>66</v>
      </c>
      <c r="Y61" s="11" t="s">
        <v>135</v>
      </c>
      <c r="Z61" s="11">
        <v>80</v>
      </c>
      <c r="AA61" s="11">
        <v>1</v>
      </c>
      <c r="AB61" s="12">
        <v>1</v>
      </c>
    </row>
    <row r="62" spans="1:28" x14ac:dyDescent="0.2">
      <c r="A62" s="7">
        <v>23851</v>
      </c>
      <c r="B62" s="8" t="s">
        <v>699</v>
      </c>
      <c r="C62" s="8" t="s">
        <v>700</v>
      </c>
      <c r="D62" s="8" t="s">
        <v>701</v>
      </c>
      <c r="E62" s="8" t="s">
        <v>702</v>
      </c>
      <c r="F62" s="8" t="s">
        <v>353</v>
      </c>
      <c r="G62" s="8" t="s">
        <v>703</v>
      </c>
      <c r="H62" s="8" t="s">
        <v>704</v>
      </c>
      <c r="I62" s="8" t="s">
        <v>705</v>
      </c>
      <c r="J62" s="8" t="s">
        <v>706</v>
      </c>
      <c r="K62" s="8" t="s">
        <v>707</v>
      </c>
      <c r="L62" s="8" t="s">
        <v>126</v>
      </c>
      <c r="M62" s="8" t="s">
        <v>708</v>
      </c>
      <c r="N62" s="8" t="s">
        <v>128</v>
      </c>
      <c r="O62" s="8" t="s">
        <v>709</v>
      </c>
      <c r="P62" s="8" t="s">
        <v>710</v>
      </c>
      <c r="Q62" s="8" t="s">
        <v>150</v>
      </c>
      <c r="R62" s="8"/>
      <c r="S62" s="8" t="s">
        <v>71</v>
      </c>
      <c r="T62" s="8" t="s">
        <v>168</v>
      </c>
      <c r="U62" s="8" t="s">
        <v>150</v>
      </c>
      <c r="V62" s="8" t="s">
        <v>168</v>
      </c>
      <c r="W62" s="8" t="s">
        <v>168</v>
      </c>
      <c r="X62" s="8">
        <v>66</v>
      </c>
      <c r="Y62" s="8" t="s">
        <v>135</v>
      </c>
      <c r="Z62" s="8">
        <v>80</v>
      </c>
      <c r="AA62" s="8">
        <v>0</v>
      </c>
      <c r="AB62" s="9">
        <v>0</v>
      </c>
    </row>
    <row r="63" spans="1:28" x14ac:dyDescent="0.2">
      <c r="A63" s="10">
        <v>23855</v>
      </c>
      <c r="B63" s="11" t="s">
        <v>711</v>
      </c>
      <c r="C63" s="11" t="s">
        <v>712</v>
      </c>
      <c r="D63" s="11" t="s">
        <v>713</v>
      </c>
      <c r="E63" s="11"/>
      <c r="F63" s="11" t="s">
        <v>353</v>
      </c>
      <c r="G63" s="11" t="s">
        <v>714</v>
      </c>
      <c r="H63" s="11" t="s">
        <v>142</v>
      </c>
      <c r="I63" s="11" t="s">
        <v>715</v>
      </c>
      <c r="J63" s="11" t="s">
        <v>716</v>
      </c>
      <c r="K63" s="11" t="s">
        <v>717</v>
      </c>
      <c r="L63" s="11" t="s">
        <v>464</v>
      </c>
      <c r="M63" s="11" t="s">
        <v>718</v>
      </c>
      <c r="N63" s="11" t="s">
        <v>128</v>
      </c>
      <c r="O63" s="11" t="s">
        <v>719</v>
      </c>
      <c r="P63" s="11" t="s">
        <v>720</v>
      </c>
      <c r="Q63" s="11" t="s">
        <v>150</v>
      </c>
      <c r="R63" s="11"/>
      <c r="S63" s="11" t="s">
        <v>71</v>
      </c>
      <c r="T63" s="11" t="s">
        <v>168</v>
      </c>
      <c r="U63" s="11" t="s">
        <v>150</v>
      </c>
      <c r="V63" s="11" t="s">
        <v>168</v>
      </c>
      <c r="W63" s="11" t="s">
        <v>168</v>
      </c>
      <c r="X63" s="11">
        <v>66</v>
      </c>
      <c r="Y63" s="11" t="s">
        <v>135</v>
      </c>
      <c r="Z63" s="11">
        <v>80</v>
      </c>
      <c r="AA63" s="11">
        <v>0</v>
      </c>
      <c r="AB63" s="12">
        <v>0</v>
      </c>
    </row>
    <row r="64" spans="1:28" x14ac:dyDescent="0.2">
      <c r="A64" s="7">
        <v>116049</v>
      </c>
      <c r="B64" s="8" t="s">
        <v>721</v>
      </c>
      <c r="C64" s="8" t="s">
        <v>566</v>
      </c>
      <c r="D64" s="8" t="s">
        <v>567</v>
      </c>
      <c r="E64" s="8"/>
      <c r="F64" s="8" t="s">
        <v>722</v>
      </c>
      <c r="G64" s="8" t="s">
        <v>328</v>
      </c>
      <c r="H64" s="8" t="s">
        <v>329</v>
      </c>
      <c r="I64" s="8" t="s">
        <v>570</v>
      </c>
      <c r="J64" s="8" t="s">
        <v>723</v>
      </c>
      <c r="K64" s="8" t="s">
        <v>572</v>
      </c>
      <c r="L64" s="8" t="s">
        <v>333</v>
      </c>
      <c r="M64" s="8" t="s">
        <v>724</v>
      </c>
      <c r="N64" s="8" t="s">
        <v>128</v>
      </c>
      <c r="O64" s="8" t="s">
        <v>725</v>
      </c>
      <c r="P64" s="8" t="s">
        <v>726</v>
      </c>
      <c r="Q64" s="8" t="s">
        <v>150</v>
      </c>
      <c r="R64" s="8"/>
      <c r="S64" s="8" t="s">
        <v>576</v>
      </c>
      <c r="T64" s="8" t="s">
        <v>168</v>
      </c>
      <c r="U64" s="8" t="s">
        <v>150</v>
      </c>
      <c r="V64" s="8" t="s">
        <v>168</v>
      </c>
      <c r="W64" s="8" t="s">
        <v>168</v>
      </c>
      <c r="X64" s="8">
        <v>66</v>
      </c>
      <c r="Y64" s="8" t="s">
        <v>135</v>
      </c>
      <c r="Z64" s="8">
        <v>80</v>
      </c>
      <c r="AA64" s="8">
        <v>1</v>
      </c>
      <c r="AB64" s="9">
        <v>1</v>
      </c>
    </row>
    <row r="65" spans="1:28" x14ac:dyDescent="0.2">
      <c r="A65" s="10">
        <v>24660</v>
      </c>
      <c r="B65" s="11" t="s">
        <v>727</v>
      </c>
      <c r="C65" s="11" t="s">
        <v>297</v>
      </c>
      <c r="D65" s="11" t="s">
        <v>138</v>
      </c>
      <c r="E65" s="11" t="s">
        <v>728</v>
      </c>
      <c r="F65" s="11" t="s">
        <v>299</v>
      </c>
      <c r="G65" s="11" t="s">
        <v>300</v>
      </c>
      <c r="H65" s="11" t="s">
        <v>301</v>
      </c>
      <c r="I65" s="11" t="s">
        <v>302</v>
      </c>
      <c r="J65" s="11" t="s">
        <v>303</v>
      </c>
      <c r="K65" s="11" t="s">
        <v>304</v>
      </c>
      <c r="L65" s="11" t="s">
        <v>229</v>
      </c>
      <c r="M65" s="11" t="s">
        <v>729</v>
      </c>
      <c r="N65" s="11" t="s">
        <v>128</v>
      </c>
      <c r="O65" s="11" t="s">
        <v>730</v>
      </c>
      <c r="P65" s="11" t="s">
        <v>731</v>
      </c>
      <c r="Q65" s="11" t="s">
        <v>150</v>
      </c>
      <c r="R65" s="11"/>
      <c r="S65" s="11" t="s">
        <v>308</v>
      </c>
      <c r="T65" s="11" t="s">
        <v>69</v>
      </c>
      <c r="U65" s="11" t="s">
        <v>150</v>
      </c>
      <c r="V65" s="11" t="s">
        <v>152</v>
      </c>
      <c r="W65" s="11" t="s">
        <v>69</v>
      </c>
      <c r="X65" s="11">
        <v>66</v>
      </c>
      <c r="Y65" s="11" t="s">
        <v>135</v>
      </c>
      <c r="Z65" s="11">
        <v>80</v>
      </c>
      <c r="AA65" s="11">
        <v>1</v>
      </c>
      <c r="AB65" s="12">
        <v>1</v>
      </c>
    </row>
    <row r="66" spans="1:28" x14ac:dyDescent="0.2">
      <c r="A66" s="7">
        <v>25302</v>
      </c>
      <c r="B66" s="8" t="s">
        <v>732</v>
      </c>
      <c r="C66" s="8" t="s">
        <v>733</v>
      </c>
      <c r="D66" s="8" t="s">
        <v>734</v>
      </c>
      <c r="E66" s="8" t="s">
        <v>735</v>
      </c>
      <c r="F66" s="8" t="s">
        <v>282</v>
      </c>
      <c r="G66" s="8" t="s">
        <v>224</v>
      </c>
      <c r="H66" s="8" t="s">
        <v>225</v>
      </c>
      <c r="I66" s="8" t="s">
        <v>283</v>
      </c>
      <c r="J66" s="8" t="s">
        <v>736</v>
      </c>
      <c r="K66" s="8" t="s">
        <v>228</v>
      </c>
      <c r="L66" s="8" t="s">
        <v>229</v>
      </c>
      <c r="M66" s="8" t="s">
        <v>737</v>
      </c>
      <c r="N66" s="8" t="s">
        <v>128</v>
      </c>
      <c r="O66" s="8" t="s">
        <v>738</v>
      </c>
      <c r="P66" s="8" t="s">
        <v>739</v>
      </c>
      <c r="Q66" s="8" t="s">
        <v>740</v>
      </c>
      <c r="R66" s="8"/>
      <c r="S66" s="8" t="s">
        <v>288</v>
      </c>
      <c r="T66" s="8" t="s">
        <v>741</v>
      </c>
      <c r="U66" s="8" t="s">
        <v>134</v>
      </c>
      <c r="V66" s="8" t="s">
        <v>740</v>
      </c>
      <c r="W66" s="8" t="s">
        <v>741</v>
      </c>
      <c r="X66" s="8">
        <v>66</v>
      </c>
      <c r="Y66" s="8" t="s">
        <v>135</v>
      </c>
      <c r="Z66" s="8">
        <v>80</v>
      </c>
      <c r="AA66" s="8">
        <v>1</v>
      </c>
      <c r="AB66" s="9">
        <v>1</v>
      </c>
    </row>
    <row r="67" spans="1:28" x14ac:dyDescent="0.2">
      <c r="A67" s="10">
        <v>25550</v>
      </c>
      <c r="B67" s="11" t="s">
        <v>742</v>
      </c>
      <c r="C67" s="11" t="s">
        <v>743</v>
      </c>
      <c r="D67" s="11" t="s">
        <v>744</v>
      </c>
      <c r="E67" s="11" t="s">
        <v>745</v>
      </c>
      <c r="F67" s="11" t="s">
        <v>746</v>
      </c>
      <c r="G67" s="11" t="s">
        <v>328</v>
      </c>
      <c r="H67" s="11" t="s">
        <v>329</v>
      </c>
      <c r="I67" s="11" t="s">
        <v>747</v>
      </c>
      <c r="J67" s="11" t="s">
        <v>748</v>
      </c>
      <c r="K67" s="11" t="s">
        <v>415</v>
      </c>
      <c r="L67" s="11" t="s">
        <v>333</v>
      </c>
      <c r="M67" s="11" t="s">
        <v>749</v>
      </c>
      <c r="N67" s="11" t="s">
        <v>128</v>
      </c>
      <c r="O67" s="11" t="s">
        <v>750</v>
      </c>
      <c r="P67" s="11" t="s">
        <v>751</v>
      </c>
      <c r="Q67" s="11" t="s">
        <v>249</v>
      </c>
      <c r="R67" s="11"/>
      <c r="S67" s="11" t="s">
        <v>752</v>
      </c>
      <c r="T67" s="11" t="s">
        <v>250</v>
      </c>
      <c r="U67" s="11" t="s">
        <v>134</v>
      </c>
      <c r="V67" s="11" t="s">
        <v>249</v>
      </c>
      <c r="W67" s="11" t="s">
        <v>250</v>
      </c>
      <c r="X67" s="11">
        <v>66</v>
      </c>
      <c r="Y67" s="11" t="s">
        <v>135</v>
      </c>
      <c r="Z67" s="11">
        <v>20</v>
      </c>
      <c r="AA67" s="11">
        <v>1</v>
      </c>
      <c r="AB67" s="12">
        <v>0</v>
      </c>
    </row>
    <row r="68" spans="1:28" x14ac:dyDescent="0.2">
      <c r="A68" s="7">
        <v>20767</v>
      </c>
      <c r="B68" s="8" t="s">
        <v>753</v>
      </c>
      <c r="C68" s="8" t="s">
        <v>754</v>
      </c>
      <c r="D68" s="8" t="s">
        <v>755</v>
      </c>
      <c r="E68" s="8" t="s">
        <v>756</v>
      </c>
      <c r="F68" s="8" t="s">
        <v>757</v>
      </c>
      <c r="G68" s="8" t="s">
        <v>521</v>
      </c>
      <c r="H68" s="8" t="s">
        <v>522</v>
      </c>
      <c r="I68" s="8" t="s">
        <v>758</v>
      </c>
      <c r="J68" s="8" t="s">
        <v>759</v>
      </c>
      <c r="K68" s="8" t="s">
        <v>525</v>
      </c>
      <c r="L68" s="8" t="s">
        <v>526</v>
      </c>
      <c r="M68" s="8" t="s">
        <v>760</v>
      </c>
      <c r="N68" s="8" t="s">
        <v>128</v>
      </c>
      <c r="O68" s="8" t="s">
        <v>761</v>
      </c>
      <c r="P68" s="8" t="s">
        <v>762</v>
      </c>
      <c r="Q68" s="8" t="s">
        <v>150</v>
      </c>
      <c r="R68" s="8"/>
      <c r="S68" s="8" t="s">
        <v>763</v>
      </c>
      <c r="T68" s="8" t="s">
        <v>531</v>
      </c>
      <c r="U68" s="8" t="s">
        <v>150</v>
      </c>
      <c r="V68" s="8" t="s">
        <v>531</v>
      </c>
      <c r="W68" s="8" t="s">
        <v>531</v>
      </c>
      <c r="X68" s="8">
        <v>65</v>
      </c>
      <c r="Y68" s="8" t="s">
        <v>135</v>
      </c>
      <c r="Z68" s="8">
        <v>80</v>
      </c>
      <c r="AA68" s="8">
        <v>0</v>
      </c>
      <c r="AB68" s="9">
        <v>0</v>
      </c>
    </row>
    <row r="69" spans="1:28" x14ac:dyDescent="0.2">
      <c r="A69" s="10">
        <v>20760</v>
      </c>
      <c r="B69" s="11" t="s">
        <v>764</v>
      </c>
      <c r="C69" s="11" t="s">
        <v>765</v>
      </c>
      <c r="D69" s="11" t="s">
        <v>766</v>
      </c>
      <c r="E69" s="11"/>
      <c r="F69" s="11" t="s">
        <v>757</v>
      </c>
      <c r="G69" s="11" t="s">
        <v>521</v>
      </c>
      <c r="H69" s="11" t="s">
        <v>522</v>
      </c>
      <c r="I69" s="11" t="s">
        <v>767</v>
      </c>
      <c r="J69" s="11" t="s">
        <v>768</v>
      </c>
      <c r="K69" s="11" t="s">
        <v>525</v>
      </c>
      <c r="L69" s="11" t="s">
        <v>526</v>
      </c>
      <c r="M69" s="11" t="s">
        <v>769</v>
      </c>
      <c r="N69" s="11" t="s">
        <v>128</v>
      </c>
      <c r="O69" s="11" t="s">
        <v>770</v>
      </c>
      <c r="P69" s="11" t="s">
        <v>771</v>
      </c>
      <c r="Q69" s="11" t="s">
        <v>150</v>
      </c>
      <c r="R69" s="11"/>
      <c r="S69" s="11" t="s">
        <v>71</v>
      </c>
      <c r="T69" s="11" t="s">
        <v>531</v>
      </c>
      <c r="U69" s="11" t="s">
        <v>150</v>
      </c>
      <c r="V69" s="11" t="s">
        <v>531</v>
      </c>
      <c r="W69" s="11" t="s">
        <v>531</v>
      </c>
      <c r="X69" s="11">
        <v>65</v>
      </c>
      <c r="Y69" s="11" t="s">
        <v>135</v>
      </c>
      <c r="Z69" s="11">
        <v>80</v>
      </c>
      <c r="AA69" s="11">
        <v>0</v>
      </c>
      <c r="AB69" s="12">
        <v>0</v>
      </c>
    </row>
    <row r="70" spans="1:28" x14ac:dyDescent="0.2">
      <c r="A70" s="7">
        <v>21562</v>
      </c>
      <c r="B70" s="8" t="s">
        <v>772</v>
      </c>
      <c r="C70" s="8" t="s">
        <v>773</v>
      </c>
      <c r="D70" s="8" t="s">
        <v>774</v>
      </c>
      <c r="E70" s="8" t="s">
        <v>775</v>
      </c>
      <c r="F70" s="8" t="s">
        <v>353</v>
      </c>
      <c r="G70" s="8" t="s">
        <v>776</v>
      </c>
      <c r="H70" s="8" t="s">
        <v>142</v>
      </c>
      <c r="I70" s="8" t="s">
        <v>777</v>
      </c>
      <c r="J70" s="8" t="s">
        <v>778</v>
      </c>
      <c r="K70" s="8" t="s">
        <v>779</v>
      </c>
      <c r="L70" s="8" t="s">
        <v>464</v>
      </c>
      <c r="M70" s="8" t="s">
        <v>780</v>
      </c>
      <c r="N70" s="8" t="s">
        <v>128</v>
      </c>
      <c r="O70" s="8" t="s">
        <v>781</v>
      </c>
      <c r="P70" s="8" t="s">
        <v>782</v>
      </c>
      <c r="Q70" s="8" t="s">
        <v>150</v>
      </c>
      <c r="R70" s="8"/>
      <c r="S70" s="8" t="s">
        <v>71</v>
      </c>
      <c r="T70" s="8" t="s">
        <v>67</v>
      </c>
      <c r="U70" s="8" t="s">
        <v>150</v>
      </c>
      <c r="V70" s="8" t="s">
        <v>152</v>
      </c>
      <c r="W70" s="8" t="s">
        <v>67</v>
      </c>
      <c r="X70" s="8">
        <v>65</v>
      </c>
      <c r="Y70" s="8" t="s">
        <v>135</v>
      </c>
      <c r="Z70" s="8">
        <v>80</v>
      </c>
      <c r="AA70" s="8">
        <v>0</v>
      </c>
      <c r="AB70" s="9">
        <v>0</v>
      </c>
    </row>
    <row r="71" spans="1:28" x14ac:dyDescent="0.2">
      <c r="A71" s="10">
        <v>21283</v>
      </c>
      <c r="B71" s="11" t="s">
        <v>783</v>
      </c>
      <c r="C71" s="11" t="s">
        <v>200</v>
      </c>
      <c r="D71" s="11" t="s">
        <v>201</v>
      </c>
      <c r="E71" s="11" t="s">
        <v>784</v>
      </c>
      <c r="F71" s="11" t="s">
        <v>203</v>
      </c>
      <c r="G71" s="11" t="s">
        <v>141</v>
      </c>
      <c r="H71" s="11" t="s">
        <v>142</v>
      </c>
      <c r="I71" s="11" t="s">
        <v>204</v>
      </c>
      <c r="J71" s="11" t="s">
        <v>205</v>
      </c>
      <c r="K71" s="11" t="s">
        <v>145</v>
      </c>
      <c r="L71" s="11" t="s">
        <v>146</v>
      </c>
      <c r="M71" s="11" t="s">
        <v>785</v>
      </c>
      <c r="N71" s="11" t="s">
        <v>128</v>
      </c>
      <c r="O71" s="11" t="s">
        <v>786</v>
      </c>
      <c r="P71" s="11" t="s">
        <v>787</v>
      </c>
      <c r="Q71" s="11" t="s">
        <v>150</v>
      </c>
      <c r="R71" s="11"/>
      <c r="S71" s="11" t="s">
        <v>209</v>
      </c>
      <c r="T71" s="11" t="s">
        <v>67</v>
      </c>
      <c r="U71" s="11" t="s">
        <v>150</v>
      </c>
      <c r="V71" s="11" t="s">
        <v>152</v>
      </c>
      <c r="W71" s="11" t="s">
        <v>67</v>
      </c>
      <c r="X71" s="11">
        <v>65</v>
      </c>
      <c r="Y71" s="11" t="s">
        <v>135</v>
      </c>
      <c r="Z71" s="11">
        <v>80</v>
      </c>
      <c r="AA71" s="11">
        <v>0</v>
      </c>
      <c r="AB71" s="12">
        <v>0</v>
      </c>
    </row>
    <row r="72" spans="1:28" x14ac:dyDescent="0.2">
      <c r="A72" s="7">
        <v>21319</v>
      </c>
      <c r="B72" s="8" t="s">
        <v>788</v>
      </c>
      <c r="C72" s="8" t="s">
        <v>552</v>
      </c>
      <c r="D72" s="8" t="s">
        <v>789</v>
      </c>
      <c r="E72" s="8" t="s">
        <v>790</v>
      </c>
      <c r="F72" s="8" t="s">
        <v>791</v>
      </c>
      <c r="G72" s="8" t="s">
        <v>556</v>
      </c>
      <c r="H72" s="8" t="s">
        <v>557</v>
      </c>
      <c r="I72" s="8" t="s">
        <v>558</v>
      </c>
      <c r="J72" s="8" t="s">
        <v>792</v>
      </c>
      <c r="K72" s="8" t="s">
        <v>560</v>
      </c>
      <c r="L72" s="8" t="s">
        <v>229</v>
      </c>
      <c r="M72" s="8" t="s">
        <v>793</v>
      </c>
      <c r="N72" s="8" t="s">
        <v>128</v>
      </c>
      <c r="O72" s="8" t="s">
        <v>794</v>
      </c>
      <c r="P72" s="8" t="s">
        <v>795</v>
      </c>
      <c r="Q72" s="8" t="s">
        <v>150</v>
      </c>
      <c r="R72" s="8"/>
      <c r="S72" s="8" t="s">
        <v>796</v>
      </c>
      <c r="T72" s="8" t="s">
        <v>67</v>
      </c>
      <c r="U72" s="8" t="s">
        <v>150</v>
      </c>
      <c r="V72" s="8" t="s">
        <v>152</v>
      </c>
      <c r="W72" s="8" t="s">
        <v>67</v>
      </c>
      <c r="X72" s="8">
        <v>65</v>
      </c>
      <c r="Y72" s="8" t="s">
        <v>135</v>
      </c>
      <c r="Z72" s="8">
        <v>80</v>
      </c>
      <c r="AA72" s="8">
        <v>0</v>
      </c>
      <c r="AB72" s="9">
        <v>0</v>
      </c>
    </row>
    <row r="73" spans="1:28" x14ac:dyDescent="0.2">
      <c r="A73" s="10">
        <v>21347</v>
      </c>
      <c r="B73" s="11" t="s">
        <v>797</v>
      </c>
      <c r="C73" s="11" t="s">
        <v>798</v>
      </c>
      <c r="D73" s="11" t="s">
        <v>799</v>
      </c>
      <c r="E73" s="11" t="s">
        <v>800</v>
      </c>
      <c r="F73" s="11" t="s">
        <v>237</v>
      </c>
      <c r="G73" s="11" t="s">
        <v>158</v>
      </c>
      <c r="H73" s="11" t="s">
        <v>159</v>
      </c>
      <c r="I73" s="11" t="s">
        <v>801</v>
      </c>
      <c r="J73" s="11" t="s">
        <v>802</v>
      </c>
      <c r="K73" s="11" t="s">
        <v>274</v>
      </c>
      <c r="L73" s="11" t="s">
        <v>163</v>
      </c>
      <c r="M73" s="11" t="s">
        <v>803</v>
      </c>
      <c r="N73" s="11" t="s">
        <v>128</v>
      </c>
      <c r="O73" s="11" t="s">
        <v>804</v>
      </c>
      <c r="P73" s="11" t="s">
        <v>805</v>
      </c>
      <c r="Q73" s="11" t="s">
        <v>150</v>
      </c>
      <c r="R73" s="11"/>
      <c r="S73" s="11" t="s">
        <v>806</v>
      </c>
      <c r="T73" s="11" t="s">
        <v>67</v>
      </c>
      <c r="U73" s="11" t="s">
        <v>150</v>
      </c>
      <c r="V73" s="11" t="s">
        <v>152</v>
      </c>
      <c r="W73" s="11" t="s">
        <v>67</v>
      </c>
      <c r="X73" s="11">
        <v>65</v>
      </c>
      <c r="Y73" s="11" t="s">
        <v>135</v>
      </c>
      <c r="Z73" s="11">
        <v>80</v>
      </c>
      <c r="AA73" s="11">
        <v>0</v>
      </c>
      <c r="AB73" s="12">
        <v>0</v>
      </c>
    </row>
    <row r="74" spans="1:28" x14ac:dyDescent="0.2">
      <c r="A74" s="7">
        <v>21500</v>
      </c>
      <c r="B74" s="8" t="s">
        <v>807</v>
      </c>
      <c r="C74" s="8" t="s">
        <v>808</v>
      </c>
      <c r="D74" s="8" t="s">
        <v>809</v>
      </c>
      <c r="E74" s="8" t="s">
        <v>810</v>
      </c>
      <c r="F74" s="8" t="s">
        <v>811</v>
      </c>
      <c r="G74" s="8" t="s">
        <v>141</v>
      </c>
      <c r="H74" s="8" t="s">
        <v>142</v>
      </c>
      <c r="I74" s="8" t="s">
        <v>812</v>
      </c>
      <c r="J74" s="8" t="s">
        <v>813</v>
      </c>
      <c r="K74" s="8" t="s">
        <v>403</v>
      </c>
      <c r="L74" s="8" t="s">
        <v>146</v>
      </c>
      <c r="M74" s="8" t="s">
        <v>814</v>
      </c>
      <c r="N74" s="8" t="s">
        <v>128</v>
      </c>
      <c r="O74" s="8" t="s">
        <v>815</v>
      </c>
      <c r="P74" s="8" t="s">
        <v>816</v>
      </c>
      <c r="Q74" s="8" t="s">
        <v>150</v>
      </c>
      <c r="R74" s="8"/>
      <c r="S74" s="8" t="s">
        <v>817</v>
      </c>
      <c r="T74" s="8" t="s">
        <v>67</v>
      </c>
      <c r="U74" s="8" t="s">
        <v>150</v>
      </c>
      <c r="V74" s="8" t="s">
        <v>152</v>
      </c>
      <c r="W74" s="8" t="s">
        <v>67</v>
      </c>
      <c r="X74" s="8">
        <v>65</v>
      </c>
      <c r="Y74" s="8" t="s">
        <v>135</v>
      </c>
      <c r="Z74" s="8">
        <v>80</v>
      </c>
      <c r="AA74" s="8">
        <v>0</v>
      </c>
      <c r="AB74" s="9">
        <v>0</v>
      </c>
    </row>
    <row r="75" spans="1:28" x14ac:dyDescent="0.2">
      <c r="A75" s="10">
        <v>21425</v>
      </c>
      <c r="B75" s="11" t="s">
        <v>818</v>
      </c>
      <c r="C75" s="11" t="s">
        <v>601</v>
      </c>
      <c r="D75" s="11" t="s">
        <v>602</v>
      </c>
      <c r="E75" s="11" t="s">
        <v>819</v>
      </c>
      <c r="F75" s="11" t="s">
        <v>604</v>
      </c>
      <c r="G75" s="11" t="s">
        <v>450</v>
      </c>
      <c r="H75" s="11" t="s">
        <v>301</v>
      </c>
      <c r="I75" s="11" t="s">
        <v>605</v>
      </c>
      <c r="J75" s="11" t="s">
        <v>606</v>
      </c>
      <c r="K75" s="11" t="s">
        <v>304</v>
      </c>
      <c r="L75" s="11" t="s">
        <v>229</v>
      </c>
      <c r="M75" s="11" t="s">
        <v>820</v>
      </c>
      <c r="N75" s="11" t="s">
        <v>128</v>
      </c>
      <c r="O75" s="11" t="s">
        <v>821</v>
      </c>
      <c r="P75" s="11" t="s">
        <v>822</v>
      </c>
      <c r="Q75" s="11" t="s">
        <v>150</v>
      </c>
      <c r="R75" s="11"/>
      <c r="S75" s="11" t="s">
        <v>823</v>
      </c>
      <c r="T75" s="11" t="s">
        <v>67</v>
      </c>
      <c r="U75" s="11" t="s">
        <v>150</v>
      </c>
      <c r="V75" s="11" t="s">
        <v>152</v>
      </c>
      <c r="W75" s="11" t="s">
        <v>67</v>
      </c>
      <c r="X75" s="11">
        <v>65</v>
      </c>
      <c r="Y75" s="11" t="s">
        <v>135</v>
      </c>
      <c r="Z75" s="11">
        <v>80</v>
      </c>
      <c r="AA75" s="11">
        <v>1</v>
      </c>
      <c r="AB75" s="12">
        <v>1</v>
      </c>
    </row>
    <row r="76" spans="1:28" x14ac:dyDescent="0.2">
      <c r="A76" s="7">
        <v>21625</v>
      </c>
      <c r="B76" s="8" t="s">
        <v>824</v>
      </c>
      <c r="C76" s="8" t="s">
        <v>825</v>
      </c>
      <c r="D76" s="8" t="s">
        <v>826</v>
      </c>
      <c r="E76" s="8" t="s">
        <v>827</v>
      </c>
      <c r="F76" s="8" t="s">
        <v>828</v>
      </c>
      <c r="G76" s="8" t="s">
        <v>615</v>
      </c>
      <c r="H76" s="8" t="s">
        <v>616</v>
      </c>
      <c r="I76" s="8" t="s">
        <v>829</v>
      </c>
      <c r="J76" s="8" t="s">
        <v>830</v>
      </c>
      <c r="K76" s="8" t="s">
        <v>619</v>
      </c>
      <c r="L76" s="8" t="s">
        <v>163</v>
      </c>
      <c r="M76" s="8" t="s">
        <v>831</v>
      </c>
      <c r="N76" s="8" t="s">
        <v>128</v>
      </c>
      <c r="O76" s="8" t="s">
        <v>832</v>
      </c>
      <c r="P76" s="8" t="s">
        <v>833</v>
      </c>
      <c r="Q76" s="8" t="s">
        <v>150</v>
      </c>
      <c r="R76" s="8"/>
      <c r="S76" s="8" t="s">
        <v>834</v>
      </c>
      <c r="T76" s="8" t="s">
        <v>67</v>
      </c>
      <c r="U76" s="8" t="s">
        <v>150</v>
      </c>
      <c r="V76" s="8" t="s">
        <v>152</v>
      </c>
      <c r="W76" s="8" t="s">
        <v>67</v>
      </c>
      <c r="X76" s="8">
        <v>65</v>
      </c>
      <c r="Y76" s="8" t="s">
        <v>135</v>
      </c>
      <c r="Z76" s="8">
        <v>80</v>
      </c>
      <c r="AA76" s="8">
        <v>1</v>
      </c>
      <c r="AB76" s="9">
        <v>1</v>
      </c>
    </row>
    <row r="77" spans="1:28" x14ac:dyDescent="0.2">
      <c r="A77" s="10">
        <v>21985</v>
      </c>
      <c r="B77" s="11" t="s">
        <v>835</v>
      </c>
      <c r="C77" s="11" t="s">
        <v>409</v>
      </c>
      <c r="D77" s="11" t="s">
        <v>410</v>
      </c>
      <c r="E77" s="11" t="s">
        <v>836</v>
      </c>
      <c r="F77" s="11" t="s">
        <v>353</v>
      </c>
      <c r="G77" s="11" t="s">
        <v>412</v>
      </c>
      <c r="H77" s="11" t="s">
        <v>329</v>
      </c>
      <c r="I77" s="11" t="s">
        <v>837</v>
      </c>
      <c r="J77" s="11" t="s">
        <v>414</v>
      </c>
      <c r="K77" s="11" t="s">
        <v>415</v>
      </c>
      <c r="L77" s="11" t="s">
        <v>333</v>
      </c>
      <c r="M77" s="11" t="s">
        <v>838</v>
      </c>
      <c r="N77" s="11" t="s">
        <v>128</v>
      </c>
      <c r="O77" s="11" t="s">
        <v>839</v>
      </c>
      <c r="P77" s="11" t="s">
        <v>840</v>
      </c>
      <c r="Q77" s="11" t="s">
        <v>131</v>
      </c>
      <c r="R77" s="11"/>
      <c r="S77" s="11" t="s">
        <v>419</v>
      </c>
      <c r="T77" s="11" t="s">
        <v>133</v>
      </c>
      <c r="U77" s="11" t="s">
        <v>134</v>
      </c>
      <c r="V77" s="11" t="s">
        <v>131</v>
      </c>
      <c r="W77" s="11" t="s">
        <v>133</v>
      </c>
      <c r="X77" s="11">
        <v>65</v>
      </c>
      <c r="Y77" s="11" t="s">
        <v>135</v>
      </c>
      <c r="Z77" s="11">
        <v>80</v>
      </c>
      <c r="AA77" s="11">
        <v>1</v>
      </c>
      <c r="AB77" s="12">
        <v>1</v>
      </c>
    </row>
    <row r="78" spans="1:28" x14ac:dyDescent="0.2">
      <c r="A78" s="7">
        <v>21919</v>
      </c>
      <c r="B78" s="8" t="s">
        <v>841</v>
      </c>
      <c r="C78" s="8" t="s">
        <v>842</v>
      </c>
      <c r="D78" s="8" t="s">
        <v>843</v>
      </c>
      <c r="E78" s="8" t="s">
        <v>844</v>
      </c>
      <c r="F78" s="8" t="s">
        <v>845</v>
      </c>
      <c r="G78" s="8" t="s">
        <v>846</v>
      </c>
      <c r="H78" s="8" t="s">
        <v>847</v>
      </c>
      <c r="I78" s="8" t="s">
        <v>848</v>
      </c>
      <c r="J78" s="8" t="s">
        <v>849</v>
      </c>
      <c r="K78" s="8" t="s">
        <v>850</v>
      </c>
      <c r="L78" s="8" t="s">
        <v>126</v>
      </c>
      <c r="M78" s="8" t="s">
        <v>851</v>
      </c>
      <c r="N78" s="8" t="s">
        <v>128</v>
      </c>
      <c r="O78" s="8" t="s">
        <v>852</v>
      </c>
      <c r="P78" s="8" t="s">
        <v>853</v>
      </c>
      <c r="Q78" s="8" t="s">
        <v>131</v>
      </c>
      <c r="R78" s="8"/>
      <c r="S78" s="8" t="s">
        <v>854</v>
      </c>
      <c r="T78" s="8" t="s">
        <v>133</v>
      </c>
      <c r="U78" s="8" t="s">
        <v>134</v>
      </c>
      <c r="V78" s="8" t="s">
        <v>131</v>
      </c>
      <c r="W78" s="8" t="s">
        <v>133</v>
      </c>
      <c r="X78" s="8">
        <v>65</v>
      </c>
      <c r="Y78" s="8" t="s">
        <v>135</v>
      </c>
      <c r="Z78" s="8">
        <v>80</v>
      </c>
      <c r="AA78" s="8">
        <v>1</v>
      </c>
      <c r="AB78" s="9">
        <v>1</v>
      </c>
    </row>
    <row r="79" spans="1:28" x14ac:dyDescent="0.2">
      <c r="A79" s="10">
        <v>21831</v>
      </c>
      <c r="B79" s="11" t="s">
        <v>855</v>
      </c>
      <c r="C79" s="11" t="s">
        <v>324</v>
      </c>
      <c r="D79" s="11" t="s">
        <v>325</v>
      </c>
      <c r="E79" s="11" t="s">
        <v>856</v>
      </c>
      <c r="F79" s="11" t="s">
        <v>327</v>
      </c>
      <c r="G79" s="11" t="s">
        <v>328</v>
      </c>
      <c r="H79" s="11" t="s">
        <v>329</v>
      </c>
      <c r="I79" s="11" t="s">
        <v>391</v>
      </c>
      <c r="J79" s="11" t="s">
        <v>331</v>
      </c>
      <c r="K79" s="11" t="s">
        <v>332</v>
      </c>
      <c r="L79" s="11" t="s">
        <v>333</v>
      </c>
      <c r="M79" s="11" t="s">
        <v>857</v>
      </c>
      <c r="N79" s="11" t="s">
        <v>128</v>
      </c>
      <c r="O79" s="11" t="s">
        <v>858</v>
      </c>
      <c r="P79" s="11" t="s">
        <v>859</v>
      </c>
      <c r="Q79" s="11" t="s">
        <v>131</v>
      </c>
      <c r="R79" s="11"/>
      <c r="S79" s="11" t="s">
        <v>337</v>
      </c>
      <c r="T79" s="11" t="s">
        <v>133</v>
      </c>
      <c r="U79" s="11" t="s">
        <v>134</v>
      </c>
      <c r="V79" s="11" t="s">
        <v>131</v>
      </c>
      <c r="W79" s="11" t="s">
        <v>133</v>
      </c>
      <c r="X79" s="11">
        <v>65</v>
      </c>
      <c r="Y79" s="11" t="s">
        <v>135</v>
      </c>
      <c r="Z79" s="11">
        <v>20</v>
      </c>
      <c r="AA79" s="11">
        <v>1</v>
      </c>
      <c r="AB79" s="12">
        <v>0</v>
      </c>
    </row>
    <row r="80" spans="1:28" x14ac:dyDescent="0.2">
      <c r="A80" s="7">
        <v>22507</v>
      </c>
      <c r="B80" s="8" t="s">
        <v>860</v>
      </c>
      <c r="C80" s="8" t="s">
        <v>447</v>
      </c>
      <c r="D80" s="8" t="s">
        <v>861</v>
      </c>
      <c r="E80" s="8" t="s">
        <v>281</v>
      </c>
      <c r="F80" s="8" t="s">
        <v>862</v>
      </c>
      <c r="G80" s="8" t="s">
        <v>450</v>
      </c>
      <c r="H80" s="8" t="s">
        <v>301</v>
      </c>
      <c r="I80" s="8" t="s">
        <v>863</v>
      </c>
      <c r="J80" s="8" t="s">
        <v>864</v>
      </c>
      <c r="K80" s="8" t="s">
        <v>304</v>
      </c>
      <c r="L80" s="8" t="s">
        <v>229</v>
      </c>
      <c r="M80" s="8" t="s">
        <v>865</v>
      </c>
      <c r="N80" s="8" t="s">
        <v>128</v>
      </c>
      <c r="O80" s="8" t="s">
        <v>866</v>
      </c>
      <c r="P80" s="8" t="s">
        <v>867</v>
      </c>
      <c r="Q80" s="8" t="s">
        <v>150</v>
      </c>
      <c r="R80" s="8"/>
      <c r="S80" s="8" t="s">
        <v>868</v>
      </c>
      <c r="T80" s="8" t="s">
        <v>869</v>
      </c>
      <c r="U80" s="8" t="s">
        <v>150</v>
      </c>
      <c r="V80" s="8" t="s">
        <v>869</v>
      </c>
      <c r="W80" s="8" t="s">
        <v>869</v>
      </c>
      <c r="X80" s="8">
        <v>65</v>
      </c>
      <c r="Y80" s="8" t="s">
        <v>135</v>
      </c>
      <c r="Z80" s="8">
        <v>80</v>
      </c>
      <c r="AA80" s="8">
        <v>1</v>
      </c>
      <c r="AB80" s="9">
        <v>1</v>
      </c>
    </row>
    <row r="81" spans="1:28" x14ac:dyDescent="0.2">
      <c r="A81" s="10">
        <v>22902</v>
      </c>
      <c r="B81" s="11" t="s">
        <v>870</v>
      </c>
      <c r="C81" s="11" t="s">
        <v>373</v>
      </c>
      <c r="D81" s="11" t="s">
        <v>138</v>
      </c>
      <c r="E81" s="11" t="s">
        <v>871</v>
      </c>
      <c r="F81" s="11" t="s">
        <v>484</v>
      </c>
      <c r="G81" s="11" t="s">
        <v>224</v>
      </c>
      <c r="H81" s="11" t="s">
        <v>225</v>
      </c>
      <c r="I81" s="11" t="s">
        <v>376</v>
      </c>
      <c r="J81" s="11" t="s">
        <v>486</v>
      </c>
      <c r="K81" s="11" t="s">
        <v>228</v>
      </c>
      <c r="L81" s="11" t="s">
        <v>229</v>
      </c>
      <c r="M81" s="11" t="s">
        <v>872</v>
      </c>
      <c r="N81" s="11" t="s">
        <v>128</v>
      </c>
      <c r="O81" s="11" t="s">
        <v>873</v>
      </c>
      <c r="P81" s="11" t="s">
        <v>874</v>
      </c>
      <c r="Q81" s="11" t="s">
        <v>150</v>
      </c>
      <c r="R81" s="11"/>
      <c r="S81" s="11" t="s">
        <v>381</v>
      </c>
      <c r="T81" s="11" t="s">
        <v>70</v>
      </c>
      <c r="U81" s="11" t="s">
        <v>150</v>
      </c>
      <c r="V81" s="11" t="s">
        <v>70</v>
      </c>
      <c r="W81" s="11" t="s">
        <v>70</v>
      </c>
      <c r="X81" s="11">
        <v>65</v>
      </c>
      <c r="Y81" s="11" t="s">
        <v>135</v>
      </c>
      <c r="Z81" s="11">
        <v>80</v>
      </c>
      <c r="AA81" s="11">
        <v>1</v>
      </c>
      <c r="AB81" s="12">
        <v>1</v>
      </c>
    </row>
    <row r="82" spans="1:28" x14ac:dyDescent="0.2">
      <c r="A82" s="7">
        <v>23362</v>
      </c>
      <c r="B82" s="8" t="s">
        <v>875</v>
      </c>
      <c r="C82" s="8" t="s">
        <v>876</v>
      </c>
      <c r="D82" s="8" t="s">
        <v>138</v>
      </c>
      <c r="E82" s="8" t="s">
        <v>877</v>
      </c>
      <c r="F82" s="8" t="s">
        <v>878</v>
      </c>
      <c r="G82" s="8" t="s">
        <v>224</v>
      </c>
      <c r="H82" s="8" t="s">
        <v>225</v>
      </c>
      <c r="I82" s="8" t="s">
        <v>879</v>
      </c>
      <c r="J82" s="8" t="s">
        <v>880</v>
      </c>
      <c r="K82" s="8" t="s">
        <v>228</v>
      </c>
      <c r="L82" s="8" t="s">
        <v>229</v>
      </c>
      <c r="M82" s="8" t="s">
        <v>881</v>
      </c>
      <c r="N82" s="8" t="s">
        <v>128</v>
      </c>
      <c r="O82" s="8" t="s">
        <v>882</v>
      </c>
      <c r="P82" s="8" t="s">
        <v>883</v>
      </c>
      <c r="Q82" s="8" t="s">
        <v>150</v>
      </c>
      <c r="R82" s="8"/>
      <c r="S82" s="8" t="s">
        <v>884</v>
      </c>
      <c r="T82" s="8" t="s">
        <v>70</v>
      </c>
      <c r="U82" s="8" t="s">
        <v>150</v>
      </c>
      <c r="V82" s="8" t="s">
        <v>70</v>
      </c>
      <c r="W82" s="8" t="s">
        <v>70</v>
      </c>
      <c r="X82" s="8">
        <v>65</v>
      </c>
      <c r="Y82" s="8" t="s">
        <v>135</v>
      </c>
      <c r="Z82" s="8">
        <v>80</v>
      </c>
      <c r="AA82" s="8">
        <v>1</v>
      </c>
      <c r="AB82" s="9">
        <v>1</v>
      </c>
    </row>
    <row r="83" spans="1:28" x14ac:dyDescent="0.2">
      <c r="A83" s="10">
        <v>22931</v>
      </c>
      <c r="B83" s="11" t="s">
        <v>885</v>
      </c>
      <c r="C83" s="11" t="s">
        <v>360</v>
      </c>
      <c r="D83" s="11" t="s">
        <v>361</v>
      </c>
      <c r="E83" s="11" t="s">
        <v>886</v>
      </c>
      <c r="F83" s="11" t="s">
        <v>363</v>
      </c>
      <c r="G83" s="11" t="s">
        <v>364</v>
      </c>
      <c r="H83" s="11" t="s">
        <v>365</v>
      </c>
      <c r="I83" s="11" t="s">
        <v>887</v>
      </c>
      <c r="J83" s="11" t="s">
        <v>367</v>
      </c>
      <c r="K83" s="11" t="s">
        <v>162</v>
      </c>
      <c r="L83" s="11" t="s">
        <v>163</v>
      </c>
      <c r="M83" s="11" t="s">
        <v>888</v>
      </c>
      <c r="N83" s="11" t="s">
        <v>128</v>
      </c>
      <c r="O83" s="11" t="s">
        <v>889</v>
      </c>
      <c r="P83" s="11" t="s">
        <v>890</v>
      </c>
      <c r="Q83" s="11" t="s">
        <v>150</v>
      </c>
      <c r="R83" s="11"/>
      <c r="S83" s="11" t="s">
        <v>371</v>
      </c>
      <c r="T83" s="11" t="s">
        <v>70</v>
      </c>
      <c r="U83" s="11" t="s">
        <v>150</v>
      </c>
      <c r="V83" s="11" t="s">
        <v>70</v>
      </c>
      <c r="W83" s="11" t="s">
        <v>70</v>
      </c>
      <c r="X83" s="11">
        <v>65</v>
      </c>
      <c r="Y83" s="11" t="s">
        <v>135</v>
      </c>
      <c r="Z83" s="11">
        <v>80</v>
      </c>
      <c r="AA83" s="11">
        <v>1</v>
      </c>
      <c r="AB83" s="12">
        <v>1</v>
      </c>
    </row>
    <row r="84" spans="1:28" x14ac:dyDescent="0.2">
      <c r="A84" s="7">
        <v>28635</v>
      </c>
      <c r="B84" s="8" t="s">
        <v>891</v>
      </c>
      <c r="C84" s="8" t="s">
        <v>743</v>
      </c>
      <c r="D84" s="8" t="s">
        <v>744</v>
      </c>
      <c r="E84" s="8" t="s">
        <v>892</v>
      </c>
      <c r="F84" s="8" t="s">
        <v>746</v>
      </c>
      <c r="G84" s="8" t="s">
        <v>328</v>
      </c>
      <c r="H84" s="8" t="s">
        <v>329</v>
      </c>
      <c r="I84" s="8" t="s">
        <v>747</v>
      </c>
      <c r="J84" s="8" t="s">
        <v>748</v>
      </c>
      <c r="K84" s="8" t="s">
        <v>415</v>
      </c>
      <c r="L84" s="8" t="s">
        <v>333</v>
      </c>
      <c r="M84" s="8" t="s">
        <v>893</v>
      </c>
      <c r="N84" s="8" t="s">
        <v>128</v>
      </c>
      <c r="O84" s="8" t="s">
        <v>894</v>
      </c>
      <c r="P84" s="8" t="s">
        <v>895</v>
      </c>
      <c r="Q84" s="8" t="s">
        <v>150</v>
      </c>
      <c r="R84" s="8"/>
      <c r="S84" s="8" t="s">
        <v>752</v>
      </c>
      <c r="T84" s="8" t="s">
        <v>70</v>
      </c>
      <c r="U84" s="8" t="s">
        <v>150</v>
      </c>
      <c r="V84" s="8" t="s">
        <v>70</v>
      </c>
      <c r="W84" s="8" t="s">
        <v>70</v>
      </c>
      <c r="X84" s="8">
        <v>65</v>
      </c>
      <c r="Y84" s="8" t="s">
        <v>135</v>
      </c>
      <c r="Z84" s="8">
        <v>80</v>
      </c>
      <c r="AA84" s="8">
        <v>1</v>
      </c>
      <c r="AB84" s="9">
        <v>1</v>
      </c>
    </row>
    <row r="85" spans="1:28" x14ac:dyDescent="0.2">
      <c r="A85" s="10">
        <v>86740</v>
      </c>
      <c r="B85" s="11" t="s">
        <v>896</v>
      </c>
      <c r="C85" s="11" t="s">
        <v>897</v>
      </c>
      <c r="D85" s="11" t="s">
        <v>118</v>
      </c>
      <c r="E85" s="11"/>
      <c r="F85" s="11"/>
      <c r="G85" s="11" t="s">
        <v>121</v>
      </c>
      <c r="H85" s="11" t="s">
        <v>122</v>
      </c>
      <c r="I85" s="11" t="s">
        <v>123</v>
      </c>
      <c r="J85" s="11" t="s">
        <v>898</v>
      </c>
      <c r="K85" s="11" t="s">
        <v>125</v>
      </c>
      <c r="L85" s="11" t="s">
        <v>126</v>
      </c>
      <c r="M85" s="11" t="s">
        <v>899</v>
      </c>
      <c r="N85" s="11" t="s">
        <v>128</v>
      </c>
      <c r="O85" s="11" t="s">
        <v>900</v>
      </c>
      <c r="P85" s="11" t="s">
        <v>901</v>
      </c>
      <c r="Q85" s="11" t="s">
        <v>150</v>
      </c>
      <c r="R85" s="11"/>
      <c r="S85" s="11" t="s">
        <v>132</v>
      </c>
      <c r="T85" s="11" t="s">
        <v>70</v>
      </c>
      <c r="U85" s="11" t="s">
        <v>150</v>
      </c>
      <c r="V85" s="11" t="s">
        <v>70</v>
      </c>
      <c r="W85" s="11" t="s">
        <v>70</v>
      </c>
      <c r="X85" s="11">
        <v>65</v>
      </c>
      <c r="Y85" s="11" t="s">
        <v>135</v>
      </c>
      <c r="Z85" s="11">
        <v>80</v>
      </c>
      <c r="AA85" s="11">
        <v>1</v>
      </c>
      <c r="AB85" s="12">
        <v>1</v>
      </c>
    </row>
    <row r="86" spans="1:28" x14ac:dyDescent="0.2">
      <c r="A86" s="7">
        <v>23896</v>
      </c>
      <c r="B86" s="8" t="s">
        <v>902</v>
      </c>
      <c r="C86" s="8" t="s">
        <v>903</v>
      </c>
      <c r="D86" s="8" t="s">
        <v>904</v>
      </c>
      <c r="E86" s="8" t="s">
        <v>905</v>
      </c>
      <c r="F86" s="8" t="s">
        <v>906</v>
      </c>
      <c r="G86" s="8" t="s">
        <v>615</v>
      </c>
      <c r="H86" s="8" t="s">
        <v>616</v>
      </c>
      <c r="I86" s="8" t="s">
        <v>907</v>
      </c>
      <c r="J86" s="8" t="s">
        <v>908</v>
      </c>
      <c r="K86" s="8" t="s">
        <v>619</v>
      </c>
      <c r="L86" s="8" t="s">
        <v>163</v>
      </c>
      <c r="M86" s="8" t="s">
        <v>909</v>
      </c>
      <c r="N86" s="8" t="s">
        <v>128</v>
      </c>
      <c r="O86" s="8" t="s">
        <v>910</v>
      </c>
      <c r="P86" s="8" t="s">
        <v>911</v>
      </c>
      <c r="Q86" s="8" t="s">
        <v>150</v>
      </c>
      <c r="R86" s="8"/>
      <c r="S86" s="8" t="s">
        <v>912</v>
      </c>
      <c r="T86" s="8" t="s">
        <v>168</v>
      </c>
      <c r="U86" s="8" t="s">
        <v>150</v>
      </c>
      <c r="V86" s="8" t="s">
        <v>168</v>
      </c>
      <c r="W86" s="8" t="s">
        <v>168</v>
      </c>
      <c r="X86" s="8">
        <v>65</v>
      </c>
      <c r="Y86" s="8" t="s">
        <v>135</v>
      </c>
      <c r="Z86" s="8">
        <v>80</v>
      </c>
      <c r="AA86" s="8">
        <v>0</v>
      </c>
      <c r="AB86" s="9">
        <v>0</v>
      </c>
    </row>
    <row r="87" spans="1:28" x14ac:dyDescent="0.2">
      <c r="A87" s="10">
        <v>23573</v>
      </c>
      <c r="B87" s="11" t="s">
        <v>913</v>
      </c>
      <c r="C87" s="11" t="s">
        <v>914</v>
      </c>
      <c r="D87" s="11" t="s">
        <v>915</v>
      </c>
      <c r="E87" s="11" t="s">
        <v>916</v>
      </c>
      <c r="F87" s="11" t="s">
        <v>917</v>
      </c>
      <c r="G87" s="11" t="s">
        <v>776</v>
      </c>
      <c r="H87" s="11" t="s">
        <v>142</v>
      </c>
      <c r="I87" s="11" t="s">
        <v>918</v>
      </c>
      <c r="J87" s="11" t="s">
        <v>919</v>
      </c>
      <c r="K87" s="11" t="s">
        <v>779</v>
      </c>
      <c r="L87" s="11" t="s">
        <v>464</v>
      </c>
      <c r="M87" s="11" t="s">
        <v>920</v>
      </c>
      <c r="N87" s="11" t="s">
        <v>128</v>
      </c>
      <c r="O87" s="11" t="s">
        <v>921</v>
      </c>
      <c r="P87" s="11" t="s">
        <v>922</v>
      </c>
      <c r="Q87" s="11" t="s">
        <v>150</v>
      </c>
      <c r="R87" s="11"/>
      <c r="S87" s="11" t="s">
        <v>923</v>
      </c>
      <c r="T87" s="11" t="s">
        <v>168</v>
      </c>
      <c r="U87" s="11" t="s">
        <v>150</v>
      </c>
      <c r="V87" s="11" t="s">
        <v>168</v>
      </c>
      <c r="W87" s="11" t="s">
        <v>168</v>
      </c>
      <c r="X87" s="11">
        <v>65</v>
      </c>
      <c r="Y87" s="11" t="s">
        <v>135</v>
      </c>
      <c r="Z87" s="11">
        <v>80</v>
      </c>
      <c r="AA87" s="11">
        <v>1</v>
      </c>
      <c r="AB87" s="12">
        <v>1</v>
      </c>
    </row>
    <row r="88" spans="1:28" x14ac:dyDescent="0.2">
      <c r="A88" s="7">
        <v>106148</v>
      </c>
      <c r="B88" s="8" t="s">
        <v>924</v>
      </c>
      <c r="C88" s="8" t="s">
        <v>533</v>
      </c>
      <c r="D88" s="8" t="s">
        <v>925</v>
      </c>
      <c r="E88" s="8"/>
      <c r="F88" s="8" t="s">
        <v>353</v>
      </c>
      <c r="G88" s="8" t="s">
        <v>536</v>
      </c>
      <c r="H88" s="8" t="s">
        <v>329</v>
      </c>
      <c r="I88" s="8" t="s">
        <v>926</v>
      </c>
      <c r="J88" s="8" t="s">
        <v>927</v>
      </c>
      <c r="K88" s="8" t="s">
        <v>431</v>
      </c>
      <c r="L88" s="8" t="s">
        <v>333</v>
      </c>
      <c r="M88" s="8" t="s">
        <v>928</v>
      </c>
      <c r="N88" s="8" t="s">
        <v>128</v>
      </c>
      <c r="O88" s="8" t="s">
        <v>929</v>
      </c>
      <c r="P88" s="8" t="s">
        <v>930</v>
      </c>
      <c r="Q88" s="8" t="s">
        <v>150</v>
      </c>
      <c r="R88" s="8"/>
      <c r="S88" s="8" t="s">
        <v>71</v>
      </c>
      <c r="T88" s="8" t="s">
        <v>168</v>
      </c>
      <c r="U88" s="8" t="s">
        <v>150</v>
      </c>
      <c r="V88" s="8" t="s">
        <v>168</v>
      </c>
      <c r="W88" s="8" t="s">
        <v>168</v>
      </c>
      <c r="X88" s="8">
        <v>65</v>
      </c>
      <c r="Y88" s="8" t="s">
        <v>135</v>
      </c>
      <c r="Z88" s="8">
        <v>80</v>
      </c>
      <c r="AA88" s="8">
        <v>0</v>
      </c>
      <c r="AB88" s="9">
        <v>0</v>
      </c>
    </row>
    <row r="89" spans="1:28" x14ac:dyDescent="0.2">
      <c r="A89" s="10">
        <v>23863</v>
      </c>
      <c r="B89" s="11" t="s">
        <v>931</v>
      </c>
      <c r="C89" s="11" t="s">
        <v>825</v>
      </c>
      <c r="D89" s="11" t="s">
        <v>826</v>
      </c>
      <c r="E89" s="11"/>
      <c r="F89" s="11" t="s">
        <v>828</v>
      </c>
      <c r="G89" s="11" t="s">
        <v>615</v>
      </c>
      <c r="H89" s="11" t="s">
        <v>616</v>
      </c>
      <c r="I89" s="11" t="s">
        <v>932</v>
      </c>
      <c r="J89" s="11" t="s">
        <v>933</v>
      </c>
      <c r="K89" s="11" t="s">
        <v>619</v>
      </c>
      <c r="L89" s="11" t="s">
        <v>163</v>
      </c>
      <c r="M89" s="11" t="s">
        <v>934</v>
      </c>
      <c r="N89" s="11" t="s">
        <v>128</v>
      </c>
      <c r="O89" s="11" t="s">
        <v>935</v>
      </c>
      <c r="P89" s="11" t="s">
        <v>936</v>
      </c>
      <c r="Q89" s="11" t="s">
        <v>150</v>
      </c>
      <c r="R89" s="11"/>
      <c r="S89" s="11" t="s">
        <v>834</v>
      </c>
      <c r="T89" s="11" t="s">
        <v>168</v>
      </c>
      <c r="U89" s="11" t="s">
        <v>150</v>
      </c>
      <c r="V89" s="11" t="s">
        <v>168</v>
      </c>
      <c r="W89" s="11" t="s">
        <v>168</v>
      </c>
      <c r="X89" s="11">
        <v>65</v>
      </c>
      <c r="Y89" s="11" t="s">
        <v>135</v>
      </c>
      <c r="Z89" s="11">
        <v>80</v>
      </c>
      <c r="AA89" s="11">
        <v>1</v>
      </c>
      <c r="AB89" s="12">
        <v>1</v>
      </c>
    </row>
    <row r="90" spans="1:28" x14ac:dyDescent="0.2">
      <c r="A90" s="7">
        <v>24601</v>
      </c>
      <c r="B90" s="8" t="s">
        <v>937</v>
      </c>
      <c r="C90" s="8" t="s">
        <v>552</v>
      </c>
      <c r="D90" s="8" t="s">
        <v>553</v>
      </c>
      <c r="E90" s="8" t="s">
        <v>938</v>
      </c>
      <c r="F90" s="8" t="s">
        <v>791</v>
      </c>
      <c r="G90" s="8" t="s">
        <v>556</v>
      </c>
      <c r="H90" s="8" t="s">
        <v>557</v>
      </c>
      <c r="I90" s="8" t="s">
        <v>939</v>
      </c>
      <c r="J90" s="8" t="s">
        <v>940</v>
      </c>
      <c r="K90" s="8" t="s">
        <v>560</v>
      </c>
      <c r="L90" s="8" t="s">
        <v>229</v>
      </c>
      <c r="M90" s="8" t="s">
        <v>941</v>
      </c>
      <c r="N90" s="8" t="s">
        <v>128</v>
      </c>
      <c r="O90" s="8" t="s">
        <v>942</v>
      </c>
      <c r="P90" s="8" t="s">
        <v>943</v>
      </c>
      <c r="Q90" s="8" t="s">
        <v>150</v>
      </c>
      <c r="R90" s="8"/>
      <c r="S90" s="8" t="s">
        <v>564</v>
      </c>
      <c r="T90" s="8" t="s">
        <v>69</v>
      </c>
      <c r="U90" s="8" t="s">
        <v>150</v>
      </c>
      <c r="V90" s="8" t="s">
        <v>152</v>
      </c>
      <c r="W90" s="8" t="s">
        <v>69</v>
      </c>
      <c r="X90" s="8">
        <v>65</v>
      </c>
      <c r="Y90" s="8" t="s">
        <v>135</v>
      </c>
      <c r="Z90" s="8">
        <v>80</v>
      </c>
      <c r="AA90" s="8">
        <v>1</v>
      </c>
      <c r="AB90" s="9">
        <v>1</v>
      </c>
    </row>
    <row r="91" spans="1:28" x14ac:dyDescent="0.2">
      <c r="A91" s="10">
        <v>24716</v>
      </c>
      <c r="B91" s="11" t="s">
        <v>944</v>
      </c>
      <c r="C91" s="11" t="s">
        <v>945</v>
      </c>
      <c r="D91" s="11" t="s">
        <v>946</v>
      </c>
      <c r="E91" s="11"/>
      <c r="F91" s="11" t="s">
        <v>353</v>
      </c>
      <c r="G91" s="11" t="s">
        <v>556</v>
      </c>
      <c r="H91" s="11" t="s">
        <v>557</v>
      </c>
      <c r="I91" s="11" t="s">
        <v>947</v>
      </c>
      <c r="J91" s="11" t="s">
        <v>948</v>
      </c>
      <c r="K91" s="11" t="s">
        <v>560</v>
      </c>
      <c r="L91" s="11" t="s">
        <v>229</v>
      </c>
      <c r="M91" s="11" t="s">
        <v>949</v>
      </c>
      <c r="N91" s="11" t="s">
        <v>128</v>
      </c>
      <c r="O91" s="11" t="s">
        <v>950</v>
      </c>
      <c r="P91" s="11" t="s">
        <v>951</v>
      </c>
      <c r="Q91" s="11" t="s">
        <v>150</v>
      </c>
      <c r="R91" s="11"/>
      <c r="S91" s="11" t="s">
        <v>71</v>
      </c>
      <c r="T91" s="11" t="s">
        <v>69</v>
      </c>
      <c r="U91" s="11" t="s">
        <v>150</v>
      </c>
      <c r="V91" s="11" t="s">
        <v>152</v>
      </c>
      <c r="W91" s="11" t="s">
        <v>69</v>
      </c>
      <c r="X91" s="11">
        <v>65</v>
      </c>
      <c r="Y91" s="11" t="s">
        <v>135</v>
      </c>
      <c r="Z91" s="11">
        <v>80</v>
      </c>
      <c r="AA91" s="11">
        <v>0</v>
      </c>
      <c r="AB91" s="12">
        <v>0</v>
      </c>
    </row>
    <row r="92" spans="1:28" x14ac:dyDescent="0.2">
      <c r="A92" s="7">
        <v>21325</v>
      </c>
      <c r="B92" s="8" t="s">
        <v>952</v>
      </c>
      <c r="C92" s="8" t="s">
        <v>953</v>
      </c>
      <c r="D92" s="8" t="s">
        <v>954</v>
      </c>
      <c r="E92" s="8" t="s">
        <v>955</v>
      </c>
      <c r="F92" s="8" t="s">
        <v>956</v>
      </c>
      <c r="G92" s="8" t="s">
        <v>776</v>
      </c>
      <c r="H92" s="8" t="s">
        <v>142</v>
      </c>
      <c r="I92" s="8" t="s">
        <v>957</v>
      </c>
      <c r="J92" s="8" t="s">
        <v>958</v>
      </c>
      <c r="K92" s="8" t="s">
        <v>779</v>
      </c>
      <c r="L92" s="8" t="s">
        <v>464</v>
      </c>
      <c r="M92" s="8" t="s">
        <v>959</v>
      </c>
      <c r="N92" s="8" t="s">
        <v>128</v>
      </c>
      <c r="O92" s="8" t="s">
        <v>960</v>
      </c>
      <c r="P92" s="8" t="s">
        <v>961</v>
      </c>
      <c r="Q92" s="8" t="s">
        <v>150</v>
      </c>
      <c r="R92" s="8"/>
      <c r="S92" s="8" t="s">
        <v>962</v>
      </c>
      <c r="T92" s="8" t="s">
        <v>67</v>
      </c>
      <c r="U92" s="8" t="s">
        <v>150</v>
      </c>
      <c r="V92" s="8" t="s">
        <v>152</v>
      </c>
      <c r="W92" s="8" t="s">
        <v>67</v>
      </c>
      <c r="X92" s="8">
        <v>64</v>
      </c>
      <c r="Y92" s="8" t="s">
        <v>135</v>
      </c>
      <c r="Z92" s="8">
        <v>80</v>
      </c>
      <c r="AA92" s="8">
        <v>0</v>
      </c>
      <c r="AB92" s="9">
        <v>0</v>
      </c>
    </row>
    <row r="93" spans="1:28" x14ac:dyDescent="0.2">
      <c r="A93" s="10">
        <v>21275</v>
      </c>
      <c r="B93" s="11" t="s">
        <v>963</v>
      </c>
      <c r="C93" s="11" t="s">
        <v>914</v>
      </c>
      <c r="D93" s="11" t="s">
        <v>915</v>
      </c>
      <c r="E93" s="11" t="s">
        <v>964</v>
      </c>
      <c r="F93" s="11" t="s">
        <v>917</v>
      </c>
      <c r="G93" s="11" t="s">
        <v>776</v>
      </c>
      <c r="H93" s="11" t="s">
        <v>142</v>
      </c>
      <c r="I93" s="11" t="s">
        <v>918</v>
      </c>
      <c r="J93" s="11" t="s">
        <v>919</v>
      </c>
      <c r="K93" s="11" t="s">
        <v>779</v>
      </c>
      <c r="L93" s="11" t="s">
        <v>464</v>
      </c>
      <c r="M93" s="11" t="s">
        <v>965</v>
      </c>
      <c r="N93" s="11" t="s">
        <v>128</v>
      </c>
      <c r="O93" s="11" t="s">
        <v>966</v>
      </c>
      <c r="P93" s="11" t="s">
        <v>967</v>
      </c>
      <c r="Q93" s="11" t="s">
        <v>150</v>
      </c>
      <c r="R93" s="11"/>
      <c r="S93" s="11" t="s">
        <v>923</v>
      </c>
      <c r="T93" s="11" t="s">
        <v>67</v>
      </c>
      <c r="U93" s="11" t="s">
        <v>150</v>
      </c>
      <c r="V93" s="11" t="s">
        <v>152</v>
      </c>
      <c r="W93" s="11" t="s">
        <v>67</v>
      </c>
      <c r="X93" s="11">
        <v>64</v>
      </c>
      <c r="Y93" s="11" t="s">
        <v>135</v>
      </c>
      <c r="Z93" s="11">
        <v>80</v>
      </c>
      <c r="AA93" s="11">
        <v>1</v>
      </c>
      <c r="AB93" s="12">
        <v>1</v>
      </c>
    </row>
    <row r="94" spans="1:28" x14ac:dyDescent="0.2">
      <c r="A94" s="7">
        <v>21600</v>
      </c>
      <c r="B94" s="8" t="s">
        <v>968</v>
      </c>
      <c r="C94" s="8" t="s">
        <v>969</v>
      </c>
      <c r="D94" s="8" t="s">
        <v>970</v>
      </c>
      <c r="E94" s="8"/>
      <c r="F94" s="8" t="s">
        <v>353</v>
      </c>
      <c r="G94" s="8" t="s">
        <v>971</v>
      </c>
      <c r="H94" s="8" t="s">
        <v>142</v>
      </c>
      <c r="I94" s="8" t="s">
        <v>972</v>
      </c>
      <c r="J94" s="8" t="s">
        <v>973</v>
      </c>
      <c r="K94" s="8" t="s">
        <v>974</v>
      </c>
      <c r="L94" s="8" t="s">
        <v>146</v>
      </c>
      <c r="M94" s="8" t="s">
        <v>975</v>
      </c>
      <c r="N94" s="8" t="s">
        <v>128</v>
      </c>
      <c r="O94" s="8" t="s">
        <v>976</v>
      </c>
      <c r="P94" s="8" t="s">
        <v>977</v>
      </c>
      <c r="Q94" s="8" t="s">
        <v>150</v>
      </c>
      <c r="R94" s="8"/>
      <c r="S94" s="8" t="s">
        <v>71</v>
      </c>
      <c r="T94" s="8" t="s">
        <v>67</v>
      </c>
      <c r="U94" s="8" t="s">
        <v>150</v>
      </c>
      <c r="V94" s="8" t="s">
        <v>152</v>
      </c>
      <c r="W94" s="8" t="s">
        <v>67</v>
      </c>
      <c r="X94" s="8">
        <v>64</v>
      </c>
      <c r="Y94" s="8" t="s">
        <v>135</v>
      </c>
      <c r="Z94" s="8">
        <v>80</v>
      </c>
      <c r="AA94" s="8">
        <v>0</v>
      </c>
      <c r="AB94" s="9">
        <v>0</v>
      </c>
    </row>
    <row r="95" spans="1:28" x14ac:dyDescent="0.2">
      <c r="A95" s="10">
        <v>32122</v>
      </c>
      <c r="B95" s="11" t="s">
        <v>978</v>
      </c>
      <c r="C95" s="11" t="s">
        <v>436</v>
      </c>
      <c r="D95" s="11" t="s">
        <v>437</v>
      </c>
      <c r="E95" s="11"/>
      <c r="F95" s="11" t="s">
        <v>979</v>
      </c>
      <c r="G95" s="11" t="s">
        <v>141</v>
      </c>
      <c r="H95" s="11" t="s">
        <v>142</v>
      </c>
      <c r="I95" s="11" t="s">
        <v>683</v>
      </c>
      <c r="J95" s="11" t="s">
        <v>980</v>
      </c>
      <c r="K95" s="11" t="s">
        <v>216</v>
      </c>
      <c r="L95" s="11" t="s">
        <v>146</v>
      </c>
      <c r="M95" s="11" t="s">
        <v>981</v>
      </c>
      <c r="N95" s="11" t="s">
        <v>128</v>
      </c>
      <c r="O95" s="11" t="s">
        <v>982</v>
      </c>
      <c r="P95" s="11"/>
      <c r="Q95" s="11" t="s">
        <v>131</v>
      </c>
      <c r="R95" s="11"/>
      <c r="S95" s="11" t="s">
        <v>445</v>
      </c>
      <c r="T95" s="11" t="s">
        <v>983</v>
      </c>
      <c r="U95" s="11" t="s">
        <v>134</v>
      </c>
      <c r="V95" s="11" t="s">
        <v>131</v>
      </c>
      <c r="W95" s="11" t="s">
        <v>983</v>
      </c>
      <c r="X95" s="11">
        <v>64</v>
      </c>
      <c r="Y95" s="11" t="s">
        <v>135</v>
      </c>
      <c r="Z95" s="11">
        <v>20</v>
      </c>
      <c r="AA95" s="11">
        <v>1</v>
      </c>
      <c r="AB95" s="12">
        <v>0</v>
      </c>
    </row>
    <row r="96" spans="1:28" x14ac:dyDescent="0.2">
      <c r="A96" s="7">
        <v>21864</v>
      </c>
      <c r="B96" s="8" t="s">
        <v>984</v>
      </c>
      <c r="C96" s="8" t="s">
        <v>985</v>
      </c>
      <c r="D96" s="8" t="s">
        <v>986</v>
      </c>
      <c r="E96" s="8" t="s">
        <v>987</v>
      </c>
      <c r="F96" s="8" t="s">
        <v>988</v>
      </c>
      <c r="G96" s="8" t="s">
        <v>141</v>
      </c>
      <c r="H96" s="8" t="s">
        <v>142</v>
      </c>
      <c r="I96" s="8" t="s">
        <v>989</v>
      </c>
      <c r="J96" s="8" t="s">
        <v>990</v>
      </c>
      <c r="K96" s="8" t="s">
        <v>991</v>
      </c>
      <c r="L96" s="8" t="s">
        <v>146</v>
      </c>
      <c r="M96" s="8" t="s">
        <v>992</v>
      </c>
      <c r="N96" s="8" t="s">
        <v>128</v>
      </c>
      <c r="O96" s="8" t="s">
        <v>993</v>
      </c>
      <c r="P96" s="8" t="s">
        <v>994</v>
      </c>
      <c r="Q96" s="8" t="s">
        <v>131</v>
      </c>
      <c r="R96" s="8"/>
      <c r="S96" s="8" t="s">
        <v>995</v>
      </c>
      <c r="T96" s="8" t="s">
        <v>133</v>
      </c>
      <c r="U96" s="8" t="s">
        <v>134</v>
      </c>
      <c r="V96" s="8" t="s">
        <v>131</v>
      </c>
      <c r="W96" s="8" t="s">
        <v>133</v>
      </c>
      <c r="X96" s="8">
        <v>64</v>
      </c>
      <c r="Y96" s="8" t="s">
        <v>135</v>
      </c>
      <c r="Z96" s="8">
        <v>20</v>
      </c>
      <c r="AA96" s="8">
        <v>1</v>
      </c>
      <c r="AB96" s="9">
        <v>0</v>
      </c>
    </row>
    <row r="97" spans="1:28" x14ac:dyDescent="0.2">
      <c r="A97" s="10">
        <v>21835</v>
      </c>
      <c r="B97" s="11" t="s">
        <v>996</v>
      </c>
      <c r="C97" s="11" t="s">
        <v>997</v>
      </c>
      <c r="D97" s="11" t="s">
        <v>861</v>
      </c>
      <c r="E97" s="11" t="s">
        <v>998</v>
      </c>
      <c r="F97" s="11" t="s">
        <v>449</v>
      </c>
      <c r="G97" s="11" t="s">
        <v>450</v>
      </c>
      <c r="H97" s="11" t="s">
        <v>301</v>
      </c>
      <c r="I97" s="11" t="s">
        <v>863</v>
      </c>
      <c r="J97" s="11" t="s">
        <v>999</v>
      </c>
      <c r="K97" s="11" t="s">
        <v>304</v>
      </c>
      <c r="L97" s="11" t="s">
        <v>229</v>
      </c>
      <c r="M97" s="11" t="s">
        <v>1000</v>
      </c>
      <c r="N97" s="11" t="s">
        <v>128</v>
      </c>
      <c r="O97" s="11" t="s">
        <v>1001</v>
      </c>
      <c r="P97" s="11" t="s">
        <v>1002</v>
      </c>
      <c r="Q97" s="11" t="s">
        <v>131</v>
      </c>
      <c r="R97" s="11"/>
      <c r="S97" s="11" t="s">
        <v>868</v>
      </c>
      <c r="T97" s="11" t="s">
        <v>133</v>
      </c>
      <c r="U97" s="11" t="s">
        <v>134</v>
      </c>
      <c r="V97" s="11" t="s">
        <v>131</v>
      </c>
      <c r="W97" s="11" t="s">
        <v>133</v>
      </c>
      <c r="X97" s="11">
        <v>64</v>
      </c>
      <c r="Y97" s="11" t="s">
        <v>135</v>
      </c>
      <c r="Z97" s="11">
        <v>80</v>
      </c>
      <c r="AA97" s="11">
        <v>1</v>
      </c>
      <c r="AB97" s="12">
        <v>1</v>
      </c>
    </row>
    <row r="98" spans="1:28" x14ac:dyDescent="0.2">
      <c r="A98" s="7">
        <v>21951</v>
      </c>
      <c r="B98" s="8" t="s">
        <v>1003</v>
      </c>
      <c r="C98" s="8" t="s">
        <v>876</v>
      </c>
      <c r="D98" s="8" t="s">
        <v>138</v>
      </c>
      <c r="E98" s="8" t="s">
        <v>1004</v>
      </c>
      <c r="F98" s="8" t="s">
        <v>878</v>
      </c>
      <c r="G98" s="8" t="s">
        <v>224</v>
      </c>
      <c r="H98" s="8" t="s">
        <v>225</v>
      </c>
      <c r="I98" s="8" t="s">
        <v>1005</v>
      </c>
      <c r="J98" s="8" t="s">
        <v>880</v>
      </c>
      <c r="K98" s="8" t="s">
        <v>228</v>
      </c>
      <c r="L98" s="8" t="s">
        <v>229</v>
      </c>
      <c r="M98" s="8" t="s">
        <v>1006</v>
      </c>
      <c r="N98" s="8" t="s">
        <v>128</v>
      </c>
      <c r="O98" s="8" t="s">
        <v>1007</v>
      </c>
      <c r="P98" s="8" t="s">
        <v>1008</v>
      </c>
      <c r="Q98" s="8" t="s">
        <v>131</v>
      </c>
      <c r="R98" s="8"/>
      <c r="S98" s="8" t="s">
        <v>884</v>
      </c>
      <c r="T98" s="8" t="s">
        <v>133</v>
      </c>
      <c r="U98" s="8" t="s">
        <v>134</v>
      </c>
      <c r="V98" s="8" t="s">
        <v>131</v>
      </c>
      <c r="W98" s="8" t="s">
        <v>133</v>
      </c>
      <c r="X98" s="8">
        <v>64</v>
      </c>
      <c r="Y98" s="8" t="s">
        <v>135</v>
      </c>
      <c r="Z98" s="8">
        <v>80</v>
      </c>
      <c r="AA98" s="8">
        <v>1</v>
      </c>
      <c r="AB98" s="9">
        <v>1</v>
      </c>
    </row>
    <row r="99" spans="1:28" x14ac:dyDescent="0.2">
      <c r="A99" s="10">
        <v>22033</v>
      </c>
      <c r="B99" s="11" t="s">
        <v>1009</v>
      </c>
      <c r="C99" s="11" t="s">
        <v>743</v>
      </c>
      <c r="D99" s="11" t="s">
        <v>744</v>
      </c>
      <c r="E99" s="11" t="s">
        <v>1010</v>
      </c>
      <c r="F99" s="11" t="s">
        <v>746</v>
      </c>
      <c r="G99" s="11" t="s">
        <v>328</v>
      </c>
      <c r="H99" s="11" t="s">
        <v>329</v>
      </c>
      <c r="I99" s="11" t="s">
        <v>747</v>
      </c>
      <c r="J99" s="11" t="s">
        <v>748</v>
      </c>
      <c r="K99" s="11" t="s">
        <v>415</v>
      </c>
      <c r="L99" s="11" t="s">
        <v>333</v>
      </c>
      <c r="M99" s="11" t="s">
        <v>1011</v>
      </c>
      <c r="N99" s="11" t="s">
        <v>128</v>
      </c>
      <c r="O99" s="11" t="s">
        <v>1012</v>
      </c>
      <c r="P99" s="11" t="s">
        <v>1013</v>
      </c>
      <c r="Q99" s="11" t="s">
        <v>131</v>
      </c>
      <c r="R99" s="11"/>
      <c r="S99" s="11" t="s">
        <v>752</v>
      </c>
      <c r="T99" s="11" t="s">
        <v>133</v>
      </c>
      <c r="U99" s="11" t="s">
        <v>134</v>
      </c>
      <c r="V99" s="11" t="s">
        <v>131</v>
      </c>
      <c r="W99" s="11" t="s">
        <v>133</v>
      </c>
      <c r="X99" s="11">
        <v>64</v>
      </c>
      <c r="Y99" s="11" t="s">
        <v>135</v>
      </c>
      <c r="Z99" s="11">
        <v>80</v>
      </c>
      <c r="AA99" s="11">
        <v>1</v>
      </c>
      <c r="AB99" s="12">
        <v>1</v>
      </c>
    </row>
    <row r="100" spans="1:28" x14ac:dyDescent="0.2">
      <c r="A100" s="7">
        <v>22537</v>
      </c>
      <c r="B100" s="8" t="s">
        <v>1014</v>
      </c>
      <c r="C100" s="8" t="s">
        <v>876</v>
      </c>
      <c r="D100" s="8" t="s">
        <v>138</v>
      </c>
      <c r="E100" s="8" t="s">
        <v>1015</v>
      </c>
      <c r="F100" s="8" t="s">
        <v>878</v>
      </c>
      <c r="G100" s="8" t="s">
        <v>224</v>
      </c>
      <c r="H100" s="8" t="s">
        <v>225</v>
      </c>
      <c r="I100" s="8" t="s">
        <v>1005</v>
      </c>
      <c r="J100" s="8" t="s">
        <v>880</v>
      </c>
      <c r="K100" s="8" t="s">
        <v>228</v>
      </c>
      <c r="L100" s="8" t="s">
        <v>229</v>
      </c>
      <c r="M100" s="8" t="s">
        <v>1016</v>
      </c>
      <c r="N100" s="8" t="s">
        <v>128</v>
      </c>
      <c r="O100" s="8" t="s">
        <v>1017</v>
      </c>
      <c r="P100" s="8" t="s">
        <v>1018</v>
      </c>
      <c r="Q100" s="8" t="s">
        <v>150</v>
      </c>
      <c r="R100" s="8"/>
      <c r="S100" s="8" t="s">
        <v>884</v>
      </c>
      <c r="T100" s="8" t="s">
        <v>869</v>
      </c>
      <c r="U100" s="8" t="s">
        <v>150</v>
      </c>
      <c r="V100" s="8" t="s">
        <v>869</v>
      </c>
      <c r="W100" s="8" t="s">
        <v>869</v>
      </c>
      <c r="X100" s="8">
        <v>64</v>
      </c>
      <c r="Y100" s="8" t="s">
        <v>135</v>
      </c>
      <c r="Z100" s="8">
        <v>80</v>
      </c>
      <c r="AA100" s="8">
        <v>1</v>
      </c>
      <c r="AB100" s="9">
        <v>1</v>
      </c>
    </row>
    <row r="101" spans="1:28" x14ac:dyDescent="0.2">
      <c r="A101" s="10">
        <v>23357</v>
      </c>
      <c r="B101" s="11" t="s">
        <v>1019</v>
      </c>
      <c r="C101" s="11" t="s">
        <v>280</v>
      </c>
      <c r="D101" s="11" t="s">
        <v>138</v>
      </c>
      <c r="E101" s="11" t="s">
        <v>281</v>
      </c>
      <c r="F101" s="11" t="s">
        <v>282</v>
      </c>
      <c r="G101" s="11" t="s">
        <v>224</v>
      </c>
      <c r="H101" s="11" t="s">
        <v>225</v>
      </c>
      <c r="I101" s="11" t="s">
        <v>283</v>
      </c>
      <c r="J101" s="11" t="s">
        <v>284</v>
      </c>
      <c r="K101" s="11" t="s">
        <v>228</v>
      </c>
      <c r="L101" s="11" t="s">
        <v>229</v>
      </c>
      <c r="M101" s="11" t="s">
        <v>1020</v>
      </c>
      <c r="N101" s="11" t="s">
        <v>128</v>
      </c>
      <c r="O101" s="11" t="s">
        <v>1021</v>
      </c>
      <c r="P101" s="11" t="s">
        <v>1022</v>
      </c>
      <c r="Q101" s="11" t="s">
        <v>150</v>
      </c>
      <c r="R101" s="11"/>
      <c r="S101" s="11" t="s">
        <v>288</v>
      </c>
      <c r="T101" s="11" t="s">
        <v>70</v>
      </c>
      <c r="U101" s="11" t="s">
        <v>150</v>
      </c>
      <c r="V101" s="11" t="s">
        <v>70</v>
      </c>
      <c r="W101" s="11" t="s">
        <v>70</v>
      </c>
      <c r="X101" s="11">
        <v>64</v>
      </c>
      <c r="Y101" s="11" t="s">
        <v>135</v>
      </c>
      <c r="Z101" s="11">
        <v>80</v>
      </c>
      <c r="AA101" s="11">
        <v>1</v>
      </c>
      <c r="AB101" s="12">
        <v>1</v>
      </c>
    </row>
    <row r="102" spans="1:28" x14ac:dyDescent="0.2">
      <c r="A102" s="7">
        <v>23767</v>
      </c>
      <c r="B102" s="8" t="s">
        <v>1023</v>
      </c>
      <c r="C102" s="8" t="s">
        <v>1024</v>
      </c>
      <c r="D102" s="8" t="s">
        <v>1025</v>
      </c>
      <c r="E102" s="8" t="s">
        <v>702</v>
      </c>
      <c r="F102" s="8" t="s">
        <v>353</v>
      </c>
      <c r="G102" s="8" t="s">
        <v>1026</v>
      </c>
      <c r="H102" s="8" t="s">
        <v>142</v>
      </c>
      <c r="I102" s="8" t="s">
        <v>1027</v>
      </c>
      <c r="J102" s="8" t="s">
        <v>1028</v>
      </c>
      <c r="K102" s="8" t="s">
        <v>1029</v>
      </c>
      <c r="L102" s="8" t="s">
        <v>464</v>
      </c>
      <c r="M102" s="8" t="s">
        <v>1030</v>
      </c>
      <c r="N102" s="8" t="s">
        <v>128</v>
      </c>
      <c r="O102" s="8" t="s">
        <v>1031</v>
      </c>
      <c r="P102" s="8" t="s">
        <v>1032</v>
      </c>
      <c r="Q102" s="8" t="s">
        <v>150</v>
      </c>
      <c r="R102" s="8"/>
      <c r="S102" s="8" t="s">
        <v>71</v>
      </c>
      <c r="T102" s="8" t="s">
        <v>168</v>
      </c>
      <c r="U102" s="8" t="s">
        <v>150</v>
      </c>
      <c r="V102" s="8" t="s">
        <v>168</v>
      </c>
      <c r="W102" s="8" t="s">
        <v>168</v>
      </c>
      <c r="X102" s="8">
        <v>64</v>
      </c>
      <c r="Y102" s="8" t="s">
        <v>135</v>
      </c>
      <c r="Z102" s="8">
        <v>80</v>
      </c>
      <c r="AA102" s="8">
        <v>0</v>
      </c>
      <c r="AB102" s="9">
        <v>0</v>
      </c>
    </row>
    <row r="103" spans="1:28" x14ac:dyDescent="0.2">
      <c r="A103" s="10">
        <v>23798</v>
      </c>
      <c r="B103" s="11" t="s">
        <v>1033</v>
      </c>
      <c r="C103" s="11" t="s">
        <v>1034</v>
      </c>
      <c r="D103" s="11" t="s">
        <v>1035</v>
      </c>
      <c r="E103" s="11" t="s">
        <v>1036</v>
      </c>
      <c r="F103" s="11" t="s">
        <v>1037</v>
      </c>
      <c r="G103" s="11" t="s">
        <v>703</v>
      </c>
      <c r="H103" s="11" t="s">
        <v>704</v>
      </c>
      <c r="I103" s="11" t="s">
        <v>1038</v>
      </c>
      <c r="J103" s="11" t="s">
        <v>1039</v>
      </c>
      <c r="K103" s="11" t="s">
        <v>707</v>
      </c>
      <c r="L103" s="11" t="s">
        <v>126</v>
      </c>
      <c r="M103" s="11" t="s">
        <v>1040</v>
      </c>
      <c r="N103" s="11" t="s">
        <v>128</v>
      </c>
      <c r="O103" s="11" t="s">
        <v>1041</v>
      </c>
      <c r="P103" s="11" t="s">
        <v>1042</v>
      </c>
      <c r="Q103" s="11" t="s">
        <v>150</v>
      </c>
      <c r="R103" s="11"/>
      <c r="S103" s="11" t="s">
        <v>1043</v>
      </c>
      <c r="T103" s="11" t="s">
        <v>168</v>
      </c>
      <c r="U103" s="11" t="s">
        <v>150</v>
      </c>
      <c r="V103" s="11" t="s">
        <v>168</v>
      </c>
      <c r="W103" s="11" t="s">
        <v>168</v>
      </c>
      <c r="X103" s="11">
        <v>64</v>
      </c>
      <c r="Y103" s="11" t="s">
        <v>135</v>
      </c>
      <c r="Z103" s="11">
        <v>80</v>
      </c>
      <c r="AA103" s="11">
        <v>0</v>
      </c>
      <c r="AB103" s="12">
        <v>0</v>
      </c>
    </row>
    <row r="104" spans="1:28" x14ac:dyDescent="0.2">
      <c r="A104" s="7">
        <v>23701</v>
      </c>
      <c r="B104" s="8" t="s">
        <v>1044</v>
      </c>
      <c r="C104" s="8" t="s">
        <v>1045</v>
      </c>
      <c r="D104" s="8" t="s">
        <v>1046</v>
      </c>
      <c r="E104" s="8" t="s">
        <v>1047</v>
      </c>
      <c r="F104" s="8" t="s">
        <v>1048</v>
      </c>
      <c r="G104" s="8" t="s">
        <v>121</v>
      </c>
      <c r="H104" s="8" t="s">
        <v>122</v>
      </c>
      <c r="I104" s="8" t="s">
        <v>1049</v>
      </c>
      <c r="J104" s="8" t="s">
        <v>1050</v>
      </c>
      <c r="K104" s="8" t="s">
        <v>1051</v>
      </c>
      <c r="L104" s="8" t="s">
        <v>126</v>
      </c>
      <c r="M104" s="8" t="s">
        <v>1052</v>
      </c>
      <c r="N104" s="8" t="s">
        <v>128</v>
      </c>
      <c r="O104" s="8" t="s">
        <v>1053</v>
      </c>
      <c r="P104" s="8" t="s">
        <v>1054</v>
      </c>
      <c r="Q104" s="8" t="s">
        <v>150</v>
      </c>
      <c r="R104" s="8"/>
      <c r="S104" s="8" t="s">
        <v>1055</v>
      </c>
      <c r="T104" s="8" t="s">
        <v>168</v>
      </c>
      <c r="U104" s="8" t="s">
        <v>150</v>
      </c>
      <c r="V104" s="8" t="s">
        <v>168</v>
      </c>
      <c r="W104" s="8" t="s">
        <v>168</v>
      </c>
      <c r="X104" s="8">
        <v>64</v>
      </c>
      <c r="Y104" s="8" t="s">
        <v>135</v>
      </c>
      <c r="Z104" s="8">
        <v>80</v>
      </c>
      <c r="AA104" s="8">
        <v>1</v>
      </c>
      <c r="AB104" s="9">
        <v>1</v>
      </c>
    </row>
    <row r="105" spans="1:28" x14ac:dyDescent="0.2">
      <c r="A105" s="10">
        <v>23967</v>
      </c>
      <c r="B105" s="11" t="s">
        <v>1056</v>
      </c>
      <c r="C105" s="11" t="s">
        <v>1057</v>
      </c>
      <c r="D105" s="11" t="s">
        <v>138</v>
      </c>
      <c r="E105" s="11" t="s">
        <v>1058</v>
      </c>
      <c r="F105" s="11" t="s">
        <v>878</v>
      </c>
      <c r="G105" s="11" t="s">
        <v>224</v>
      </c>
      <c r="H105" s="11" t="s">
        <v>225</v>
      </c>
      <c r="I105" s="11" t="s">
        <v>1005</v>
      </c>
      <c r="J105" s="11" t="s">
        <v>1059</v>
      </c>
      <c r="K105" s="11" t="s">
        <v>228</v>
      </c>
      <c r="L105" s="11" t="s">
        <v>229</v>
      </c>
      <c r="M105" s="11" t="s">
        <v>1060</v>
      </c>
      <c r="N105" s="11" t="s">
        <v>128</v>
      </c>
      <c r="O105" s="11" t="s">
        <v>1061</v>
      </c>
      <c r="P105" s="11" t="s">
        <v>1062</v>
      </c>
      <c r="Q105" s="11" t="s">
        <v>150</v>
      </c>
      <c r="R105" s="11"/>
      <c r="S105" s="11" t="s">
        <v>884</v>
      </c>
      <c r="T105" s="11" t="s">
        <v>168</v>
      </c>
      <c r="U105" s="11" t="s">
        <v>150</v>
      </c>
      <c r="V105" s="11" t="s">
        <v>168</v>
      </c>
      <c r="W105" s="11" t="s">
        <v>168</v>
      </c>
      <c r="X105" s="11">
        <v>64</v>
      </c>
      <c r="Y105" s="11" t="s">
        <v>135</v>
      </c>
      <c r="Z105" s="11">
        <v>80</v>
      </c>
      <c r="AA105" s="11">
        <v>1</v>
      </c>
      <c r="AB105" s="12">
        <v>1</v>
      </c>
    </row>
    <row r="106" spans="1:28" x14ac:dyDescent="0.2">
      <c r="A106" s="7">
        <v>107616</v>
      </c>
      <c r="B106" s="8" t="s">
        <v>1063</v>
      </c>
      <c r="C106" s="8" t="s">
        <v>578</v>
      </c>
      <c r="D106" s="8" t="s">
        <v>1064</v>
      </c>
      <c r="E106" s="8" t="s">
        <v>1065</v>
      </c>
      <c r="F106" s="8" t="s">
        <v>581</v>
      </c>
      <c r="G106" s="8" t="s">
        <v>141</v>
      </c>
      <c r="H106" s="8" t="s">
        <v>142</v>
      </c>
      <c r="I106" s="8" t="s">
        <v>1066</v>
      </c>
      <c r="J106" s="8" t="s">
        <v>1067</v>
      </c>
      <c r="K106" s="8" t="s">
        <v>584</v>
      </c>
      <c r="L106" s="8" t="s">
        <v>146</v>
      </c>
      <c r="M106" s="8" t="s">
        <v>1068</v>
      </c>
      <c r="N106" s="8" t="s">
        <v>128</v>
      </c>
      <c r="O106" s="8" t="s">
        <v>1069</v>
      </c>
      <c r="P106" s="8" t="s">
        <v>1070</v>
      </c>
      <c r="Q106" s="8" t="s">
        <v>150</v>
      </c>
      <c r="R106" s="8"/>
      <c r="S106" s="8" t="s">
        <v>588</v>
      </c>
      <c r="T106" s="8" t="s">
        <v>168</v>
      </c>
      <c r="U106" s="8" t="s">
        <v>150</v>
      </c>
      <c r="V106" s="8" t="s">
        <v>168</v>
      </c>
      <c r="W106" s="8" t="s">
        <v>168</v>
      </c>
      <c r="X106" s="8">
        <v>64</v>
      </c>
      <c r="Y106" s="8" t="s">
        <v>135</v>
      </c>
      <c r="Z106" s="8">
        <v>20</v>
      </c>
      <c r="AA106" s="8">
        <v>1</v>
      </c>
      <c r="AB106" s="9">
        <v>0</v>
      </c>
    </row>
    <row r="107" spans="1:28" x14ac:dyDescent="0.2">
      <c r="A107" s="10">
        <v>23888</v>
      </c>
      <c r="B107" s="11" t="s">
        <v>1071</v>
      </c>
      <c r="C107" s="11" t="s">
        <v>1072</v>
      </c>
      <c r="D107" s="11" t="s">
        <v>1073</v>
      </c>
      <c r="E107" s="11"/>
      <c r="F107" s="11" t="s">
        <v>353</v>
      </c>
      <c r="G107" s="11" t="s">
        <v>703</v>
      </c>
      <c r="H107" s="11" t="s">
        <v>704</v>
      </c>
      <c r="I107" s="11" t="s">
        <v>1074</v>
      </c>
      <c r="J107" s="11" t="s">
        <v>1075</v>
      </c>
      <c r="K107" s="11" t="s">
        <v>707</v>
      </c>
      <c r="L107" s="11" t="s">
        <v>126</v>
      </c>
      <c r="M107" s="11" t="s">
        <v>1076</v>
      </c>
      <c r="N107" s="11" t="s">
        <v>128</v>
      </c>
      <c r="O107" s="11" t="s">
        <v>1077</v>
      </c>
      <c r="P107" s="11" t="s">
        <v>1078</v>
      </c>
      <c r="Q107" s="11" t="s">
        <v>150</v>
      </c>
      <c r="R107" s="11"/>
      <c r="S107" s="11" t="s">
        <v>71</v>
      </c>
      <c r="T107" s="11" t="s">
        <v>168</v>
      </c>
      <c r="U107" s="11" t="s">
        <v>150</v>
      </c>
      <c r="V107" s="11" t="s">
        <v>168</v>
      </c>
      <c r="W107" s="11" t="s">
        <v>168</v>
      </c>
      <c r="X107" s="11">
        <v>64</v>
      </c>
      <c r="Y107" s="11" t="s">
        <v>135</v>
      </c>
      <c r="Z107" s="11">
        <v>80</v>
      </c>
      <c r="AA107" s="11">
        <v>0</v>
      </c>
      <c r="AB107" s="12">
        <v>0</v>
      </c>
    </row>
    <row r="108" spans="1:28" x14ac:dyDescent="0.2">
      <c r="A108" s="7">
        <v>92920</v>
      </c>
      <c r="B108" s="8" t="s">
        <v>1079</v>
      </c>
      <c r="C108" s="8" t="s">
        <v>842</v>
      </c>
      <c r="D108" s="8" t="s">
        <v>843</v>
      </c>
      <c r="E108" s="8"/>
      <c r="F108" s="8" t="s">
        <v>1080</v>
      </c>
      <c r="G108" s="8" t="s">
        <v>1081</v>
      </c>
      <c r="H108" s="8" t="s">
        <v>847</v>
      </c>
      <c r="I108" s="8" t="s">
        <v>848</v>
      </c>
      <c r="J108" s="8" t="s">
        <v>849</v>
      </c>
      <c r="K108" s="8" t="s">
        <v>850</v>
      </c>
      <c r="L108" s="8" t="s">
        <v>126</v>
      </c>
      <c r="M108" s="8" t="s">
        <v>1082</v>
      </c>
      <c r="N108" s="8" t="s">
        <v>128</v>
      </c>
      <c r="O108" s="8" t="s">
        <v>1083</v>
      </c>
      <c r="P108" s="8" t="s">
        <v>1084</v>
      </c>
      <c r="Q108" s="8" t="s">
        <v>150</v>
      </c>
      <c r="R108" s="8"/>
      <c r="S108" s="8" t="s">
        <v>854</v>
      </c>
      <c r="T108" s="8" t="s">
        <v>168</v>
      </c>
      <c r="U108" s="8" t="s">
        <v>150</v>
      </c>
      <c r="V108" s="8" t="s">
        <v>168</v>
      </c>
      <c r="W108" s="8" t="s">
        <v>168</v>
      </c>
      <c r="X108" s="8">
        <v>64</v>
      </c>
      <c r="Y108" s="8" t="s">
        <v>135</v>
      </c>
      <c r="Z108" s="8">
        <v>20</v>
      </c>
      <c r="AA108" s="8">
        <v>1</v>
      </c>
      <c r="AB108" s="9">
        <v>0</v>
      </c>
    </row>
    <row r="109" spans="1:28" x14ac:dyDescent="0.2">
      <c r="A109" s="10">
        <v>25138</v>
      </c>
      <c r="B109" s="11" t="s">
        <v>1085</v>
      </c>
      <c r="C109" s="11" t="s">
        <v>1086</v>
      </c>
      <c r="D109" s="11" t="s">
        <v>341</v>
      </c>
      <c r="E109" s="11" t="s">
        <v>1087</v>
      </c>
      <c r="F109" s="11" t="s">
        <v>1088</v>
      </c>
      <c r="G109" s="11" t="s">
        <v>846</v>
      </c>
      <c r="H109" s="11" t="s">
        <v>847</v>
      </c>
      <c r="I109" s="11" t="s">
        <v>1089</v>
      </c>
      <c r="J109" s="11" t="s">
        <v>1090</v>
      </c>
      <c r="K109" s="11" t="s">
        <v>1091</v>
      </c>
      <c r="L109" s="11" t="s">
        <v>126</v>
      </c>
      <c r="M109" s="11" t="s">
        <v>1092</v>
      </c>
      <c r="N109" s="11" t="s">
        <v>128</v>
      </c>
      <c r="O109" s="11" t="s">
        <v>1093</v>
      </c>
      <c r="P109" s="11" t="s">
        <v>1094</v>
      </c>
      <c r="Q109" s="11" t="s">
        <v>740</v>
      </c>
      <c r="R109" s="11"/>
      <c r="S109" s="11" t="s">
        <v>1095</v>
      </c>
      <c r="T109" s="11" t="s">
        <v>741</v>
      </c>
      <c r="U109" s="11" t="s">
        <v>134</v>
      </c>
      <c r="V109" s="11" t="s">
        <v>740</v>
      </c>
      <c r="W109" s="11" t="s">
        <v>741</v>
      </c>
      <c r="X109" s="11">
        <v>64</v>
      </c>
      <c r="Y109" s="11" t="s">
        <v>135</v>
      </c>
      <c r="Z109" s="11">
        <v>80</v>
      </c>
      <c r="AA109" s="11">
        <v>1</v>
      </c>
      <c r="AB109" s="12">
        <v>1</v>
      </c>
    </row>
    <row r="110" spans="1:28" x14ac:dyDescent="0.2">
      <c r="A110" s="7">
        <v>25215</v>
      </c>
      <c r="B110" s="8" t="s">
        <v>1096</v>
      </c>
      <c r="C110" s="8" t="s">
        <v>436</v>
      </c>
      <c r="D110" s="8" t="s">
        <v>437</v>
      </c>
      <c r="E110" s="8" t="s">
        <v>1097</v>
      </c>
      <c r="F110" s="8" t="s">
        <v>439</v>
      </c>
      <c r="G110" s="8" t="s">
        <v>141</v>
      </c>
      <c r="H110" s="8" t="s">
        <v>142</v>
      </c>
      <c r="I110" s="8" t="s">
        <v>683</v>
      </c>
      <c r="J110" s="8" t="s">
        <v>441</v>
      </c>
      <c r="K110" s="8" t="s">
        <v>216</v>
      </c>
      <c r="L110" s="8" t="s">
        <v>146</v>
      </c>
      <c r="M110" s="8" t="s">
        <v>1098</v>
      </c>
      <c r="N110" s="8" t="s">
        <v>128</v>
      </c>
      <c r="O110" s="8" t="s">
        <v>1099</v>
      </c>
      <c r="P110" s="8" t="s">
        <v>1100</v>
      </c>
      <c r="Q110" s="8" t="s">
        <v>740</v>
      </c>
      <c r="R110" s="8"/>
      <c r="S110" s="8" t="s">
        <v>445</v>
      </c>
      <c r="T110" s="8" t="s">
        <v>741</v>
      </c>
      <c r="U110" s="8" t="s">
        <v>134</v>
      </c>
      <c r="V110" s="8" t="s">
        <v>740</v>
      </c>
      <c r="W110" s="8" t="s">
        <v>741</v>
      </c>
      <c r="X110" s="8">
        <v>64</v>
      </c>
      <c r="Y110" s="8" t="s">
        <v>135</v>
      </c>
      <c r="Z110" s="8">
        <v>20</v>
      </c>
      <c r="AA110" s="8">
        <v>1</v>
      </c>
      <c r="AB110" s="9">
        <v>0</v>
      </c>
    </row>
    <row r="111" spans="1:28" x14ac:dyDescent="0.2">
      <c r="A111" s="10">
        <v>25492</v>
      </c>
      <c r="B111" s="11" t="s">
        <v>1101</v>
      </c>
      <c r="C111" s="11" t="s">
        <v>611</v>
      </c>
      <c r="D111" s="11" t="s">
        <v>612</v>
      </c>
      <c r="E111" s="11" t="s">
        <v>1102</v>
      </c>
      <c r="F111" s="11" t="s">
        <v>614</v>
      </c>
      <c r="G111" s="11" t="s">
        <v>615</v>
      </c>
      <c r="H111" s="11" t="s">
        <v>616</v>
      </c>
      <c r="I111" s="11" t="s">
        <v>617</v>
      </c>
      <c r="J111" s="11" t="s">
        <v>618</v>
      </c>
      <c r="K111" s="11" t="s">
        <v>619</v>
      </c>
      <c r="L111" s="11" t="s">
        <v>163</v>
      </c>
      <c r="M111" s="11" t="s">
        <v>1103</v>
      </c>
      <c r="N111" s="11" t="s">
        <v>128</v>
      </c>
      <c r="O111" s="11" t="s">
        <v>1104</v>
      </c>
      <c r="P111" s="11" t="s">
        <v>1105</v>
      </c>
      <c r="Q111" s="11" t="s">
        <v>249</v>
      </c>
      <c r="R111" s="11"/>
      <c r="S111" s="11" t="s">
        <v>623</v>
      </c>
      <c r="T111" s="11" t="s">
        <v>250</v>
      </c>
      <c r="U111" s="11" t="s">
        <v>134</v>
      </c>
      <c r="V111" s="11" t="s">
        <v>249</v>
      </c>
      <c r="W111" s="11" t="s">
        <v>250</v>
      </c>
      <c r="X111" s="11">
        <v>64</v>
      </c>
      <c r="Y111" s="11" t="s">
        <v>135</v>
      </c>
      <c r="Z111" s="11">
        <v>20</v>
      </c>
      <c r="AA111" s="11">
        <v>1</v>
      </c>
      <c r="AB111" s="12">
        <v>0</v>
      </c>
    </row>
    <row r="112" spans="1:28" x14ac:dyDescent="0.2">
      <c r="A112" s="7">
        <v>25408</v>
      </c>
      <c r="B112" s="8" t="s">
        <v>1106</v>
      </c>
      <c r="C112" s="8" t="s">
        <v>566</v>
      </c>
      <c r="D112" s="8" t="s">
        <v>567</v>
      </c>
      <c r="E112" s="8" t="s">
        <v>1107</v>
      </c>
      <c r="F112" s="8" t="s">
        <v>569</v>
      </c>
      <c r="G112" s="8" t="s">
        <v>328</v>
      </c>
      <c r="H112" s="8" t="s">
        <v>329</v>
      </c>
      <c r="I112" s="8" t="s">
        <v>570</v>
      </c>
      <c r="J112" s="8" t="s">
        <v>571</v>
      </c>
      <c r="K112" s="8" t="s">
        <v>572</v>
      </c>
      <c r="L112" s="8" t="s">
        <v>333</v>
      </c>
      <c r="M112" s="8" t="s">
        <v>1108</v>
      </c>
      <c r="N112" s="8" t="s">
        <v>128</v>
      </c>
      <c r="O112" s="8" t="s">
        <v>1109</v>
      </c>
      <c r="P112" s="8" t="s">
        <v>1110</v>
      </c>
      <c r="Q112" s="8" t="s">
        <v>249</v>
      </c>
      <c r="R112" s="8"/>
      <c r="S112" s="8" t="s">
        <v>576</v>
      </c>
      <c r="T112" s="8" t="s">
        <v>250</v>
      </c>
      <c r="U112" s="8" t="s">
        <v>134</v>
      </c>
      <c r="V112" s="8" t="s">
        <v>249</v>
      </c>
      <c r="W112" s="8" t="s">
        <v>250</v>
      </c>
      <c r="X112" s="8">
        <v>64</v>
      </c>
      <c r="Y112" s="8" t="s">
        <v>135</v>
      </c>
      <c r="Z112" s="8">
        <v>80</v>
      </c>
      <c r="AA112" s="8">
        <v>1</v>
      </c>
      <c r="AB112" s="9">
        <v>1</v>
      </c>
    </row>
    <row r="113" spans="1:28" x14ac:dyDescent="0.2">
      <c r="A113" s="10">
        <v>21123</v>
      </c>
      <c r="B113" s="11" t="s">
        <v>1111</v>
      </c>
      <c r="C113" s="11" t="s">
        <v>566</v>
      </c>
      <c r="D113" s="11" t="s">
        <v>567</v>
      </c>
      <c r="E113" s="11" t="s">
        <v>1112</v>
      </c>
      <c r="F113" s="11" t="s">
        <v>569</v>
      </c>
      <c r="G113" s="11" t="s">
        <v>328</v>
      </c>
      <c r="H113" s="11" t="s">
        <v>329</v>
      </c>
      <c r="I113" s="11" t="s">
        <v>570</v>
      </c>
      <c r="J113" s="11" t="s">
        <v>571</v>
      </c>
      <c r="K113" s="11" t="s">
        <v>572</v>
      </c>
      <c r="L113" s="11" t="s">
        <v>333</v>
      </c>
      <c r="M113" s="11" t="s">
        <v>1113</v>
      </c>
      <c r="N113" s="11" t="s">
        <v>128</v>
      </c>
      <c r="O113" s="11" t="s">
        <v>1114</v>
      </c>
      <c r="P113" s="11" t="s">
        <v>1115</v>
      </c>
      <c r="Q113" s="11" t="s">
        <v>150</v>
      </c>
      <c r="R113" s="11"/>
      <c r="S113" s="11" t="s">
        <v>576</v>
      </c>
      <c r="T113" s="11" t="s">
        <v>289</v>
      </c>
      <c r="U113" s="11" t="s">
        <v>150</v>
      </c>
      <c r="V113" s="11" t="s">
        <v>289</v>
      </c>
      <c r="W113" s="11" t="s">
        <v>289</v>
      </c>
      <c r="X113" s="11">
        <v>63</v>
      </c>
      <c r="Y113" s="11" t="s">
        <v>135</v>
      </c>
      <c r="Z113" s="11">
        <v>80</v>
      </c>
      <c r="AA113" s="11">
        <v>1</v>
      </c>
      <c r="AB113" s="12">
        <v>1</v>
      </c>
    </row>
    <row r="114" spans="1:28" x14ac:dyDescent="0.2">
      <c r="A114" s="7">
        <v>21535</v>
      </c>
      <c r="B114" s="8" t="s">
        <v>1116</v>
      </c>
      <c r="C114" s="8" t="s">
        <v>1117</v>
      </c>
      <c r="D114" s="8" t="s">
        <v>255</v>
      </c>
      <c r="E114" s="8" t="s">
        <v>1118</v>
      </c>
      <c r="F114" s="8" t="s">
        <v>353</v>
      </c>
      <c r="G114" s="8" t="s">
        <v>428</v>
      </c>
      <c r="H114" s="8" t="s">
        <v>329</v>
      </c>
      <c r="I114" s="8" t="s">
        <v>1119</v>
      </c>
      <c r="J114" s="8" t="s">
        <v>1120</v>
      </c>
      <c r="K114" s="8" t="s">
        <v>431</v>
      </c>
      <c r="L114" s="8" t="s">
        <v>333</v>
      </c>
      <c r="M114" s="8" t="s">
        <v>1121</v>
      </c>
      <c r="N114" s="8" t="s">
        <v>128</v>
      </c>
      <c r="O114" s="8" t="s">
        <v>1122</v>
      </c>
      <c r="P114" s="8" t="s">
        <v>1123</v>
      </c>
      <c r="Q114" s="8" t="s">
        <v>150</v>
      </c>
      <c r="R114" s="8"/>
      <c r="S114" s="8" t="s">
        <v>71</v>
      </c>
      <c r="T114" s="8" t="s">
        <v>67</v>
      </c>
      <c r="U114" s="8" t="s">
        <v>150</v>
      </c>
      <c r="V114" s="8" t="s">
        <v>152</v>
      </c>
      <c r="W114" s="8" t="s">
        <v>67</v>
      </c>
      <c r="X114" s="8">
        <v>63</v>
      </c>
      <c r="Y114" s="8" t="s">
        <v>135</v>
      </c>
      <c r="Z114" s="8">
        <v>80</v>
      </c>
      <c r="AA114" s="8">
        <v>0</v>
      </c>
      <c r="AB114" s="9">
        <v>0</v>
      </c>
    </row>
    <row r="115" spans="1:28" x14ac:dyDescent="0.2">
      <c r="A115" s="10">
        <v>21277</v>
      </c>
      <c r="B115" s="11" t="s">
        <v>1124</v>
      </c>
      <c r="C115" s="11" t="s">
        <v>1125</v>
      </c>
      <c r="D115" s="11" t="s">
        <v>1126</v>
      </c>
      <c r="E115" s="11" t="s">
        <v>1127</v>
      </c>
      <c r="F115" s="11" t="s">
        <v>1128</v>
      </c>
      <c r="G115" s="11" t="s">
        <v>450</v>
      </c>
      <c r="H115" s="11" t="s">
        <v>301</v>
      </c>
      <c r="I115" s="11" t="s">
        <v>1129</v>
      </c>
      <c r="J115" s="11" t="s">
        <v>1130</v>
      </c>
      <c r="K115" s="11" t="s">
        <v>304</v>
      </c>
      <c r="L115" s="11" t="s">
        <v>229</v>
      </c>
      <c r="M115" s="11" t="s">
        <v>1131</v>
      </c>
      <c r="N115" s="11" t="s">
        <v>128</v>
      </c>
      <c r="O115" s="11" t="s">
        <v>1132</v>
      </c>
      <c r="P115" s="11" t="s">
        <v>1133</v>
      </c>
      <c r="Q115" s="11" t="s">
        <v>150</v>
      </c>
      <c r="R115" s="11"/>
      <c r="S115" s="11" t="s">
        <v>1134</v>
      </c>
      <c r="T115" s="11" t="s">
        <v>67</v>
      </c>
      <c r="U115" s="11" t="s">
        <v>150</v>
      </c>
      <c r="V115" s="11" t="s">
        <v>152</v>
      </c>
      <c r="W115" s="11" t="s">
        <v>67</v>
      </c>
      <c r="X115" s="11">
        <v>63</v>
      </c>
      <c r="Y115" s="11" t="s">
        <v>135</v>
      </c>
      <c r="Z115" s="11">
        <v>80</v>
      </c>
      <c r="AA115" s="11">
        <v>0</v>
      </c>
      <c r="AB115" s="12">
        <v>0</v>
      </c>
    </row>
    <row r="116" spans="1:28" x14ac:dyDescent="0.2">
      <c r="A116" s="7">
        <v>21306</v>
      </c>
      <c r="B116" s="8" t="s">
        <v>1135</v>
      </c>
      <c r="C116" s="8" t="s">
        <v>1136</v>
      </c>
      <c r="D116" s="8" t="s">
        <v>1137</v>
      </c>
      <c r="E116" s="8"/>
      <c r="F116" s="8" t="s">
        <v>1138</v>
      </c>
      <c r="G116" s="8" t="s">
        <v>1139</v>
      </c>
      <c r="H116" s="8" t="s">
        <v>557</v>
      </c>
      <c r="I116" s="8" t="s">
        <v>1140</v>
      </c>
      <c r="J116" s="8" t="s">
        <v>1141</v>
      </c>
      <c r="K116" s="8" t="s">
        <v>560</v>
      </c>
      <c r="L116" s="8" t="s">
        <v>229</v>
      </c>
      <c r="M116" s="8" t="s">
        <v>1142</v>
      </c>
      <c r="N116" s="8" t="s">
        <v>128</v>
      </c>
      <c r="O116" s="8" t="s">
        <v>1143</v>
      </c>
      <c r="P116" s="8" t="s">
        <v>1144</v>
      </c>
      <c r="Q116" s="8" t="s">
        <v>150</v>
      </c>
      <c r="R116" s="8"/>
      <c r="S116" s="8" t="s">
        <v>71</v>
      </c>
      <c r="T116" s="8" t="s">
        <v>67</v>
      </c>
      <c r="U116" s="8" t="s">
        <v>150</v>
      </c>
      <c r="V116" s="8" t="s">
        <v>152</v>
      </c>
      <c r="W116" s="8" t="s">
        <v>67</v>
      </c>
      <c r="X116" s="8">
        <v>63</v>
      </c>
      <c r="Y116" s="8" t="s">
        <v>135</v>
      </c>
      <c r="Z116" s="8">
        <v>80</v>
      </c>
      <c r="AA116" s="8">
        <v>0</v>
      </c>
      <c r="AB116" s="9">
        <v>0</v>
      </c>
    </row>
    <row r="117" spans="1:28" x14ac:dyDescent="0.2">
      <c r="A117" s="10">
        <v>21668</v>
      </c>
      <c r="B117" s="11" t="s">
        <v>1145</v>
      </c>
      <c r="C117" s="11" t="s">
        <v>903</v>
      </c>
      <c r="D117" s="11" t="s">
        <v>904</v>
      </c>
      <c r="E117" s="11"/>
      <c r="F117" s="11" t="s">
        <v>906</v>
      </c>
      <c r="G117" s="11" t="s">
        <v>615</v>
      </c>
      <c r="H117" s="11" t="s">
        <v>616</v>
      </c>
      <c r="I117" s="11" t="s">
        <v>907</v>
      </c>
      <c r="J117" s="11" t="s">
        <v>1146</v>
      </c>
      <c r="K117" s="11" t="s">
        <v>619</v>
      </c>
      <c r="L117" s="11" t="s">
        <v>163</v>
      </c>
      <c r="M117" s="11" t="s">
        <v>1147</v>
      </c>
      <c r="N117" s="11" t="s">
        <v>128</v>
      </c>
      <c r="O117" s="11" t="s">
        <v>1148</v>
      </c>
      <c r="P117" s="11" t="s">
        <v>1149</v>
      </c>
      <c r="Q117" s="11" t="s">
        <v>150</v>
      </c>
      <c r="R117" s="11"/>
      <c r="S117" s="11" t="s">
        <v>912</v>
      </c>
      <c r="T117" s="11" t="s">
        <v>67</v>
      </c>
      <c r="U117" s="11" t="s">
        <v>150</v>
      </c>
      <c r="V117" s="11" t="s">
        <v>152</v>
      </c>
      <c r="W117" s="11" t="s">
        <v>67</v>
      </c>
      <c r="X117" s="11">
        <v>63</v>
      </c>
      <c r="Y117" s="11" t="s">
        <v>135</v>
      </c>
      <c r="Z117" s="11">
        <v>80</v>
      </c>
      <c r="AA117" s="11">
        <v>0</v>
      </c>
      <c r="AB117" s="12">
        <v>0</v>
      </c>
    </row>
    <row r="118" spans="1:28" x14ac:dyDescent="0.2">
      <c r="A118" s="7">
        <v>21866</v>
      </c>
      <c r="B118" s="8" t="s">
        <v>1150</v>
      </c>
      <c r="C118" s="8" t="s">
        <v>590</v>
      </c>
      <c r="D118" s="8" t="s">
        <v>591</v>
      </c>
      <c r="E118" s="8" t="s">
        <v>1151</v>
      </c>
      <c r="F118" s="8" t="s">
        <v>593</v>
      </c>
      <c r="G118" s="8" t="s">
        <v>141</v>
      </c>
      <c r="H118" s="8" t="s">
        <v>142</v>
      </c>
      <c r="I118" s="8" t="s">
        <v>1152</v>
      </c>
      <c r="J118" s="8" t="s">
        <v>595</v>
      </c>
      <c r="K118" s="8" t="s">
        <v>216</v>
      </c>
      <c r="L118" s="8" t="s">
        <v>146</v>
      </c>
      <c r="M118" s="8" t="s">
        <v>1153</v>
      </c>
      <c r="N118" s="8" t="s">
        <v>128</v>
      </c>
      <c r="O118" s="8" t="s">
        <v>1154</v>
      </c>
      <c r="P118" s="8" t="s">
        <v>1155</v>
      </c>
      <c r="Q118" s="8" t="s">
        <v>131</v>
      </c>
      <c r="R118" s="8"/>
      <c r="S118" s="8" t="s">
        <v>599</v>
      </c>
      <c r="T118" s="8" t="s">
        <v>133</v>
      </c>
      <c r="U118" s="8" t="s">
        <v>134</v>
      </c>
      <c r="V118" s="8" t="s">
        <v>131</v>
      </c>
      <c r="W118" s="8" t="s">
        <v>133</v>
      </c>
      <c r="X118" s="8">
        <v>63</v>
      </c>
      <c r="Y118" s="8" t="s">
        <v>135</v>
      </c>
      <c r="Z118" s="8">
        <v>20</v>
      </c>
      <c r="AA118" s="8">
        <v>1</v>
      </c>
      <c r="AB118" s="9">
        <v>0</v>
      </c>
    </row>
    <row r="119" spans="1:28" x14ac:dyDescent="0.2">
      <c r="A119" s="10">
        <v>21943</v>
      </c>
      <c r="B119" s="11" t="s">
        <v>1156</v>
      </c>
      <c r="C119" s="11" t="s">
        <v>186</v>
      </c>
      <c r="D119" s="11" t="s">
        <v>310</v>
      </c>
      <c r="E119" s="11" t="s">
        <v>1157</v>
      </c>
      <c r="F119" s="11" t="s">
        <v>189</v>
      </c>
      <c r="G119" s="11" t="s">
        <v>190</v>
      </c>
      <c r="H119" s="11" t="s">
        <v>191</v>
      </c>
      <c r="I119" s="11" t="s">
        <v>312</v>
      </c>
      <c r="J119" s="11" t="s">
        <v>313</v>
      </c>
      <c r="K119" s="11" t="s">
        <v>194</v>
      </c>
      <c r="L119" s="11" t="s">
        <v>163</v>
      </c>
      <c r="M119" s="11" t="s">
        <v>1158</v>
      </c>
      <c r="N119" s="11" t="s">
        <v>128</v>
      </c>
      <c r="O119" s="11" t="s">
        <v>1159</v>
      </c>
      <c r="P119" s="11" t="s">
        <v>1160</v>
      </c>
      <c r="Q119" s="11" t="s">
        <v>131</v>
      </c>
      <c r="R119" s="11"/>
      <c r="S119" s="11" t="s">
        <v>317</v>
      </c>
      <c r="T119" s="11" t="s">
        <v>133</v>
      </c>
      <c r="U119" s="11" t="s">
        <v>134</v>
      </c>
      <c r="V119" s="11" t="s">
        <v>131</v>
      </c>
      <c r="W119" s="11" t="s">
        <v>133</v>
      </c>
      <c r="X119" s="11">
        <v>63</v>
      </c>
      <c r="Y119" s="11" t="s">
        <v>135</v>
      </c>
      <c r="Z119" s="11">
        <v>80</v>
      </c>
      <c r="AA119" s="11">
        <v>1</v>
      </c>
      <c r="AB119" s="12">
        <v>1</v>
      </c>
    </row>
    <row r="120" spans="1:28" x14ac:dyDescent="0.2">
      <c r="A120" s="7">
        <v>22009</v>
      </c>
      <c r="B120" s="8" t="s">
        <v>1161</v>
      </c>
      <c r="C120" s="8" t="s">
        <v>825</v>
      </c>
      <c r="D120" s="8" t="s">
        <v>826</v>
      </c>
      <c r="E120" s="8" t="s">
        <v>1162</v>
      </c>
      <c r="F120" s="8" t="s">
        <v>828</v>
      </c>
      <c r="G120" s="8" t="s">
        <v>615</v>
      </c>
      <c r="H120" s="8" t="s">
        <v>616</v>
      </c>
      <c r="I120" s="8" t="s">
        <v>829</v>
      </c>
      <c r="J120" s="8" t="s">
        <v>830</v>
      </c>
      <c r="K120" s="8" t="s">
        <v>619</v>
      </c>
      <c r="L120" s="8" t="s">
        <v>163</v>
      </c>
      <c r="M120" s="8" t="s">
        <v>1163</v>
      </c>
      <c r="N120" s="8" t="s">
        <v>128</v>
      </c>
      <c r="O120" s="8" t="s">
        <v>1164</v>
      </c>
      <c r="P120" s="8" t="s">
        <v>1165</v>
      </c>
      <c r="Q120" s="8" t="s">
        <v>131</v>
      </c>
      <c r="R120" s="8"/>
      <c r="S120" s="8" t="s">
        <v>834</v>
      </c>
      <c r="T120" s="8" t="s">
        <v>133</v>
      </c>
      <c r="U120" s="8" t="s">
        <v>134</v>
      </c>
      <c r="V120" s="8" t="s">
        <v>131</v>
      </c>
      <c r="W120" s="8" t="s">
        <v>133</v>
      </c>
      <c r="X120" s="8">
        <v>63</v>
      </c>
      <c r="Y120" s="8" t="s">
        <v>135</v>
      </c>
      <c r="Z120" s="8">
        <v>20</v>
      </c>
      <c r="AA120" s="8">
        <v>1</v>
      </c>
      <c r="AB120" s="9">
        <v>0</v>
      </c>
    </row>
    <row r="121" spans="1:28" x14ac:dyDescent="0.2">
      <c r="A121" s="10">
        <v>21791</v>
      </c>
      <c r="B121" s="11" t="s">
        <v>1166</v>
      </c>
      <c r="C121" s="11" t="s">
        <v>373</v>
      </c>
      <c r="D121" s="11" t="s">
        <v>138</v>
      </c>
      <c r="E121" s="11" t="s">
        <v>1167</v>
      </c>
      <c r="F121" s="11" t="s">
        <v>484</v>
      </c>
      <c r="G121" s="11" t="s">
        <v>224</v>
      </c>
      <c r="H121" s="11" t="s">
        <v>225</v>
      </c>
      <c r="I121" s="11" t="s">
        <v>485</v>
      </c>
      <c r="J121" s="11" t="s">
        <v>486</v>
      </c>
      <c r="K121" s="11" t="s">
        <v>228</v>
      </c>
      <c r="L121" s="11" t="s">
        <v>229</v>
      </c>
      <c r="M121" s="11" t="s">
        <v>1168</v>
      </c>
      <c r="N121" s="11" t="s">
        <v>128</v>
      </c>
      <c r="O121" s="11" t="s">
        <v>1169</v>
      </c>
      <c r="P121" s="11" t="s">
        <v>1170</v>
      </c>
      <c r="Q121" s="11" t="s">
        <v>131</v>
      </c>
      <c r="R121" s="11"/>
      <c r="S121" s="11" t="s">
        <v>381</v>
      </c>
      <c r="T121" s="11" t="s">
        <v>133</v>
      </c>
      <c r="U121" s="11" t="s">
        <v>134</v>
      </c>
      <c r="V121" s="11" t="s">
        <v>131</v>
      </c>
      <c r="W121" s="11" t="s">
        <v>133</v>
      </c>
      <c r="X121" s="11">
        <v>63</v>
      </c>
      <c r="Y121" s="11" t="s">
        <v>135</v>
      </c>
      <c r="Z121" s="11">
        <v>80</v>
      </c>
      <c r="AA121" s="11">
        <v>1</v>
      </c>
      <c r="AB121" s="12">
        <v>1</v>
      </c>
    </row>
    <row r="122" spans="1:28" x14ac:dyDescent="0.2">
      <c r="A122" s="7">
        <v>22963</v>
      </c>
      <c r="B122" s="8" t="s">
        <v>1171</v>
      </c>
      <c r="C122" s="8" t="s">
        <v>1172</v>
      </c>
      <c r="D122" s="8" t="s">
        <v>1173</v>
      </c>
      <c r="E122" s="8" t="s">
        <v>1174</v>
      </c>
      <c r="F122" s="8" t="s">
        <v>1175</v>
      </c>
      <c r="G122" s="8" t="s">
        <v>141</v>
      </c>
      <c r="H122" s="8" t="s">
        <v>142</v>
      </c>
      <c r="I122" s="8" t="s">
        <v>1176</v>
      </c>
      <c r="J122" s="8" t="s">
        <v>1177</v>
      </c>
      <c r="K122" s="8" t="s">
        <v>216</v>
      </c>
      <c r="L122" s="8" t="s">
        <v>146</v>
      </c>
      <c r="M122" s="8" t="s">
        <v>1178</v>
      </c>
      <c r="N122" s="8" t="s">
        <v>128</v>
      </c>
      <c r="O122" s="8" t="s">
        <v>1179</v>
      </c>
      <c r="P122" s="8" t="s">
        <v>1180</v>
      </c>
      <c r="Q122" s="8" t="s">
        <v>150</v>
      </c>
      <c r="R122" s="8"/>
      <c r="S122" s="8" t="s">
        <v>1181</v>
      </c>
      <c r="T122" s="8" t="s">
        <v>70</v>
      </c>
      <c r="U122" s="8" t="s">
        <v>150</v>
      </c>
      <c r="V122" s="8" t="s">
        <v>70</v>
      </c>
      <c r="W122" s="8" t="s">
        <v>70</v>
      </c>
      <c r="X122" s="8">
        <v>63</v>
      </c>
      <c r="Y122" s="8" t="s">
        <v>135</v>
      </c>
      <c r="Z122" s="8">
        <v>20</v>
      </c>
      <c r="AA122" s="8">
        <v>1</v>
      </c>
      <c r="AB122" s="9">
        <v>0</v>
      </c>
    </row>
    <row r="123" spans="1:28" x14ac:dyDescent="0.2">
      <c r="A123" s="10">
        <v>23615</v>
      </c>
      <c r="B123" s="11" t="s">
        <v>1182</v>
      </c>
      <c r="C123" s="11" t="s">
        <v>1183</v>
      </c>
      <c r="D123" s="11" t="s">
        <v>904</v>
      </c>
      <c r="E123" s="11" t="s">
        <v>1184</v>
      </c>
      <c r="F123" s="11" t="s">
        <v>1185</v>
      </c>
      <c r="G123" s="11" t="s">
        <v>121</v>
      </c>
      <c r="H123" s="11" t="s">
        <v>122</v>
      </c>
      <c r="I123" s="11" t="s">
        <v>1186</v>
      </c>
      <c r="J123" s="11" t="s">
        <v>1187</v>
      </c>
      <c r="K123" s="11" t="s">
        <v>1051</v>
      </c>
      <c r="L123" s="11" t="s">
        <v>126</v>
      </c>
      <c r="M123" s="11" t="s">
        <v>1188</v>
      </c>
      <c r="N123" s="11" t="s">
        <v>128</v>
      </c>
      <c r="O123" s="11" t="s">
        <v>1189</v>
      </c>
      <c r="P123" s="11" t="s">
        <v>1190</v>
      </c>
      <c r="Q123" s="11" t="s">
        <v>150</v>
      </c>
      <c r="R123" s="11"/>
      <c r="S123" s="11" t="s">
        <v>1191</v>
      </c>
      <c r="T123" s="11" t="s">
        <v>168</v>
      </c>
      <c r="U123" s="11" t="s">
        <v>150</v>
      </c>
      <c r="V123" s="11" t="s">
        <v>168</v>
      </c>
      <c r="W123" s="11" t="s">
        <v>168</v>
      </c>
      <c r="X123" s="11">
        <v>63</v>
      </c>
      <c r="Y123" s="11" t="s">
        <v>135</v>
      </c>
      <c r="Z123" s="11">
        <v>80</v>
      </c>
      <c r="AA123" s="11">
        <v>1</v>
      </c>
      <c r="AB123" s="12">
        <v>1</v>
      </c>
    </row>
    <row r="124" spans="1:28" x14ac:dyDescent="0.2">
      <c r="A124" s="7">
        <v>23641</v>
      </c>
      <c r="B124" s="8" t="s">
        <v>1192</v>
      </c>
      <c r="C124" s="8" t="s">
        <v>1193</v>
      </c>
      <c r="D124" s="8" t="s">
        <v>1064</v>
      </c>
      <c r="E124" s="8" t="s">
        <v>1194</v>
      </c>
      <c r="F124" s="8" t="s">
        <v>1195</v>
      </c>
      <c r="G124" s="8" t="s">
        <v>1196</v>
      </c>
      <c r="H124" s="8" t="s">
        <v>142</v>
      </c>
      <c r="I124" s="8" t="s">
        <v>1197</v>
      </c>
      <c r="J124" s="8" t="s">
        <v>1198</v>
      </c>
      <c r="K124" s="8" t="s">
        <v>1199</v>
      </c>
      <c r="L124" s="8" t="s">
        <v>464</v>
      </c>
      <c r="M124" s="8" t="s">
        <v>1200</v>
      </c>
      <c r="N124" s="8" t="s">
        <v>128</v>
      </c>
      <c r="O124" s="8" t="s">
        <v>1201</v>
      </c>
      <c r="P124" s="8" t="s">
        <v>1202</v>
      </c>
      <c r="Q124" s="8" t="s">
        <v>150</v>
      </c>
      <c r="R124" s="8"/>
      <c r="S124" s="8" t="s">
        <v>1203</v>
      </c>
      <c r="T124" s="8" t="s">
        <v>168</v>
      </c>
      <c r="U124" s="8" t="s">
        <v>150</v>
      </c>
      <c r="V124" s="8" t="s">
        <v>168</v>
      </c>
      <c r="W124" s="8" t="s">
        <v>168</v>
      </c>
      <c r="X124" s="8">
        <v>63</v>
      </c>
      <c r="Y124" s="8" t="s">
        <v>135</v>
      </c>
      <c r="Z124" s="8">
        <v>80</v>
      </c>
      <c r="AA124" s="8">
        <v>1</v>
      </c>
      <c r="AB124" s="9">
        <v>1</v>
      </c>
    </row>
    <row r="125" spans="1:28" x14ac:dyDescent="0.2">
      <c r="A125" s="10">
        <v>23908</v>
      </c>
      <c r="B125" s="11" t="s">
        <v>1204</v>
      </c>
      <c r="C125" s="11" t="s">
        <v>1205</v>
      </c>
      <c r="D125" s="11" t="s">
        <v>1206</v>
      </c>
      <c r="E125" s="11"/>
      <c r="F125" s="11" t="s">
        <v>1207</v>
      </c>
      <c r="G125" s="11" t="s">
        <v>615</v>
      </c>
      <c r="H125" s="11" t="s">
        <v>616</v>
      </c>
      <c r="I125" s="11" t="s">
        <v>1208</v>
      </c>
      <c r="J125" s="11" t="s">
        <v>1209</v>
      </c>
      <c r="K125" s="11" t="s">
        <v>619</v>
      </c>
      <c r="L125" s="11" t="s">
        <v>163</v>
      </c>
      <c r="M125" s="11" t="s">
        <v>1210</v>
      </c>
      <c r="N125" s="11" t="s">
        <v>128</v>
      </c>
      <c r="O125" s="11" t="s">
        <v>1211</v>
      </c>
      <c r="P125" s="11" t="s">
        <v>1212</v>
      </c>
      <c r="Q125" s="11" t="s">
        <v>150</v>
      </c>
      <c r="R125" s="11"/>
      <c r="S125" s="11" t="s">
        <v>71</v>
      </c>
      <c r="T125" s="11" t="s">
        <v>168</v>
      </c>
      <c r="U125" s="11" t="s">
        <v>150</v>
      </c>
      <c r="V125" s="11" t="s">
        <v>168</v>
      </c>
      <c r="W125" s="11" t="s">
        <v>168</v>
      </c>
      <c r="X125" s="11">
        <v>63</v>
      </c>
      <c r="Y125" s="11" t="s">
        <v>135</v>
      </c>
      <c r="Z125" s="11">
        <v>80</v>
      </c>
      <c r="AA125" s="11">
        <v>0</v>
      </c>
      <c r="AB125" s="12">
        <v>0</v>
      </c>
    </row>
    <row r="126" spans="1:28" x14ac:dyDescent="0.2">
      <c r="A126" s="7">
        <v>107044</v>
      </c>
      <c r="B126" s="8" t="s">
        <v>1213</v>
      </c>
      <c r="C126" s="8" t="s">
        <v>1214</v>
      </c>
      <c r="D126" s="8" t="s">
        <v>1215</v>
      </c>
      <c r="E126" s="8"/>
      <c r="F126" s="8" t="s">
        <v>353</v>
      </c>
      <c r="G126" s="8" t="s">
        <v>536</v>
      </c>
      <c r="H126" s="8" t="s">
        <v>329</v>
      </c>
      <c r="I126" s="8" t="s">
        <v>1216</v>
      </c>
      <c r="J126" s="8" t="s">
        <v>1217</v>
      </c>
      <c r="K126" s="8" t="s">
        <v>431</v>
      </c>
      <c r="L126" s="8" t="s">
        <v>333</v>
      </c>
      <c r="M126" s="8" t="s">
        <v>1218</v>
      </c>
      <c r="N126" s="8" t="s">
        <v>128</v>
      </c>
      <c r="O126" s="8" t="s">
        <v>1219</v>
      </c>
      <c r="P126" s="8" t="s">
        <v>1220</v>
      </c>
      <c r="Q126" s="8" t="s">
        <v>150</v>
      </c>
      <c r="R126" s="8"/>
      <c r="S126" s="8" t="s">
        <v>1221</v>
      </c>
      <c r="T126" s="8" t="s">
        <v>168</v>
      </c>
      <c r="U126" s="8" t="s">
        <v>150</v>
      </c>
      <c r="V126" s="8" t="s">
        <v>168</v>
      </c>
      <c r="W126" s="8" t="s">
        <v>168</v>
      </c>
      <c r="X126" s="8">
        <v>63</v>
      </c>
      <c r="Y126" s="8" t="s">
        <v>135</v>
      </c>
      <c r="Z126" s="8">
        <v>80</v>
      </c>
      <c r="AA126" s="8">
        <v>0</v>
      </c>
      <c r="AB126" s="9">
        <v>0</v>
      </c>
    </row>
    <row r="127" spans="1:28" x14ac:dyDescent="0.2">
      <c r="A127" s="10">
        <v>25260</v>
      </c>
      <c r="B127" s="11" t="s">
        <v>1222</v>
      </c>
      <c r="C127" s="11" t="s">
        <v>1223</v>
      </c>
      <c r="D127" s="11" t="s">
        <v>1224</v>
      </c>
      <c r="E127" s="11" t="s">
        <v>1225</v>
      </c>
      <c r="F127" s="11" t="s">
        <v>353</v>
      </c>
      <c r="G127" s="11" t="s">
        <v>703</v>
      </c>
      <c r="H127" s="11" t="s">
        <v>704</v>
      </c>
      <c r="I127" s="11" t="s">
        <v>1226</v>
      </c>
      <c r="J127" s="11" t="s">
        <v>1227</v>
      </c>
      <c r="K127" s="11" t="s">
        <v>707</v>
      </c>
      <c r="L127" s="11" t="s">
        <v>126</v>
      </c>
      <c r="M127" s="11" t="s">
        <v>1228</v>
      </c>
      <c r="N127" s="11" t="s">
        <v>128</v>
      </c>
      <c r="O127" s="11" t="s">
        <v>1229</v>
      </c>
      <c r="P127" s="11" t="s">
        <v>1230</v>
      </c>
      <c r="Q127" s="11" t="s">
        <v>740</v>
      </c>
      <c r="R127" s="11"/>
      <c r="S127" s="11" t="s">
        <v>1231</v>
      </c>
      <c r="T127" s="11" t="s">
        <v>741</v>
      </c>
      <c r="U127" s="11" t="s">
        <v>134</v>
      </c>
      <c r="V127" s="11" t="s">
        <v>740</v>
      </c>
      <c r="W127" s="11" t="s">
        <v>741</v>
      </c>
      <c r="X127" s="11">
        <v>63</v>
      </c>
      <c r="Y127" s="11" t="s">
        <v>135</v>
      </c>
      <c r="Z127" s="11">
        <v>20</v>
      </c>
      <c r="AA127" s="11">
        <v>1</v>
      </c>
      <c r="AB127" s="12">
        <v>0</v>
      </c>
    </row>
    <row r="128" spans="1:28" x14ac:dyDescent="0.2">
      <c r="A128" s="7">
        <v>25264</v>
      </c>
      <c r="B128" s="8" t="s">
        <v>1232</v>
      </c>
      <c r="C128" s="8" t="s">
        <v>825</v>
      </c>
      <c r="D128" s="8" t="s">
        <v>826</v>
      </c>
      <c r="E128" s="8" t="s">
        <v>1233</v>
      </c>
      <c r="F128" s="8" t="s">
        <v>828</v>
      </c>
      <c r="G128" s="8" t="s">
        <v>615</v>
      </c>
      <c r="H128" s="8" t="s">
        <v>616</v>
      </c>
      <c r="I128" s="8" t="s">
        <v>829</v>
      </c>
      <c r="J128" s="8" t="s">
        <v>830</v>
      </c>
      <c r="K128" s="8" t="s">
        <v>619</v>
      </c>
      <c r="L128" s="8" t="s">
        <v>163</v>
      </c>
      <c r="M128" s="8" t="s">
        <v>1234</v>
      </c>
      <c r="N128" s="8" t="s">
        <v>128</v>
      </c>
      <c r="O128" s="8" t="s">
        <v>1235</v>
      </c>
      <c r="P128" s="8" t="s">
        <v>1236</v>
      </c>
      <c r="Q128" s="8" t="s">
        <v>740</v>
      </c>
      <c r="R128" s="8"/>
      <c r="S128" s="8" t="s">
        <v>834</v>
      </c>
      <c r="T128" s="8" t="s">
        <v>741</v>
      </c>
      <c r="U128" s="8" t="s">
        <v>134</v>
      </c>
      <c r="V128" s="8" t="s">
        <v>740</v>
      </c>
      <c r="W128" s="8" t="s">
        <v>741</v>
      </c>
      <c r="X128" s="8">
        <v>63</v>
      </c>
      <c r="Y128" s="8" t="s">
        <v>135</v>
      </c>
      <c r="Z128" s="8">
        <v>20</v>
      </c>
      <c r="AA128" s="8">
        <v>1</v>
      </c>
      <c r="AB128" s="9">
        <v>0</v>
      </c>
    </row>
    <row r="129" spans="1:28" x14ac:dyDescent="0.2">
      <c r="A129" s="10">
        <v>25286</v>
      </c>
      <c r="B129" s="11" t="s">
        <v>1237</v>
      </c>
      <c r="C129" s="11" t="s">
        <v>743</v>
      </c>
      <c r="D129" s="11" t="s">
        <v>744</v>
      </c>
      <c r="E129" s="11" t="s">
        <v>1238</v>
      </c>
      <c r="F129" s="11" t="s">
        <v>746</v>
      </c>
      <c r="G129" s="11" t="s">
        <v>328</v>
      </c>
      <c r="H129" s="11" t="s">
        <v>329</v>
      </c>
      <c r="I129" s="11" t="s">
        <v>747</v>
      </c>
      <c r="J129" s="11" t="s">
        <v>748</v>
      </c>
      <c r="K129" s="11" t="s">
        <v>415</v>
      </c>
      <c r="L129" s="11" t="s">
        <v>333</v>
      </c>
      <c r="M129" s="11" t="s">
        <v>1239</v>
      </c>
      <c r="N129" s="11" t="s">
        <v>128</v>
      </c>
      <c r="O129" s="11" t="s">
        <v>1240</v>
      </c>
      <c r="P129" s="11" t="s">
        <v>1241</v>
      </c>
      <c r="Q129" s="11" t="s">
        <v>740</v>
      </c>
      <c r="R129" s="11"/>
      <c r="S129" s="11" t="s">
        <v>752</v>
      </c>
      <c r="T129" s="11" t="s">
        <v>741</v>
      </c>
      <c r="U129" s="11" t="s">
        <v>134</v>
      </c>
      <c r="V129" s="11" t="s">
        <v>740</v>
      </c>
      <c r="W129" s="11" t="s">
        <v>741</v>
      </c>
      <c r="X129" s="11">
        <v>63</v>
      </c>
      <c r="Y129" s="11" t="s">
        <v>135</v>
      </c>
      <c r="Z129" s="11">
        <v>80</v>
      </c>
      <c r="AA129" s="11">
        <v>1</v>
      </c>
      <c r="AB129" s="12">
        <v>1</v>
      </c>
    </row>
    <row r="130" spans="1:28" x14ac:dyDescent="0.2">
      <c r="A130" s="7">
        <v>25425</v>
      </c>
      <c r="B130" s="8" t="s">
        <v>1242</v>
      </c>
      <c r="C130" s="8" t="s">
        <v>1193</v>
      </c>
      <c r="D130" s="8" t="s">
        <v>1064</v>
      </c>
      <c r="E130" s="8" t="s">
        <v>1243</v>
      </c>
      <c r="F130" s="8" t="s">
        <v>1195</v>
      </c>
      <c r="G130" s="8" t="s">
        <v>1196</v>
      </c>
      <c r="H130" s="8" t="s">
        <v>142</v>
      </c>
      <c r="I130" s="8" t="s">
        <v>1244</v>
      </c>
      <c r="J130" s="8" t="s">
        <v>1198</v>
      </c>
      <c r="K130" s="8" t="s">
        <v>1199</v>
      </c>
      <c r="L130" s="8" t="s">
        <v>464</v>
      </c>
      <c r="M130" s="8" t="s">
        <v>1245</v>
      </c>
      <c r="N130" s="8" t="s">
        <v>128</v>
      </c>
      <c r="O130" s="8" t="s">
        <v>1246</v>
      </c>
      <c r="P130" s="8" t="s">
        <v>1247</v>
      </c>
      <c r="Q130" s="8" t="s">
        <v>249</v>
      </c>
      <c r="R130" s="8"/>
      <c r="S130" s="8" t="s">
        <v>1203</v>
      </c>
      <c r="T130" s="8" t="s">
        <v>250</v>
      </c>
      <c r="U130" s="8" t="s">
        <v>134</v>
      </c>
      <c r="V130" s="8" t="s">
        <v>249</v>
      </c>
      <c r="W130" s="8" t="s">
        <v>250</v>
      </c>
      <c r="X130" s="8">
        <v>63</v>
      </c>
      <c r="Y130" s="8" t="s">
        <v>135</v>
      </c>
      <c r="Z130" s="8">
        <v>20</v>
      </c>
      <c r="AA130" s="8">
        <v>1</v>
      </c>
      <c r="AB130" s="9">
        <v>0</v>
      </c>
    </row>
    <row r="131" spans="1:28" x14ac:dyDescent="0.2">
      <c r="A131" s="10">
        <v>25436</v>
      </c>
      <c r="B131" s="11" t="s">
        <v>1248</v>
      </c>
      <c r="C131" s="11" t="s">
        <v>1249</v>
      </c>
      <c r="D131" s="11" t="s">
        <v>1250</v>
      </c>
      <c r="E131" s="11" t="s">
        <v>1251</v>
      </c>
      <c r="F131" s="11" t="s">
        <v>1252</v>
      </c>
      <c r="G131" s="11" t="s">
        <v>1253</v>
      </c>
      <c r="H131" s="11" t="s">
        <v>142</v>
      </c>
      <c r="I131" s="11" t="s">
        <v>1254</v>
      </c>
      <c r="J131" s="11" t="s">
        <v>1255</v>
      </c>
      <c r="K131" s="11" t="s">
        <v>1199</v>
      </c>
      <c r="L131" s="11" t="s">
        <v>464</v>
      </c>
      <c r="M131" s="11" t="s">
        <v>1256</v>
      </c>
      <c r="N131" s="11" t="s">
        <v>128</v>
      </c>
      <c r="O131" s="11" t="s">
        <v>1257</v>
      </c>
      <c r="P131" s="11" t="s">
        <v>1258</v>
      </c>
      <c r="Q131" s="11" t="s">
        <v>249</v>
      </c>
      <c r="R131" s="11"/>
      <c r="S131" s="11" t="s">
        <v>1259</v>
      </c>
      <c r="T131" s="11" t="s">
        <v>250</v>
      </c>
      <c r="U131" s="11" t="s">
        <v>134</v>
      </c>
      <c r="V131" s="11" t="s">
        <v>249</v>
      </c>
      <c r="W131" s="11" t="s">
        <v>250</v>
      </c>
      <c r="X131" s="11">
        <v>63</v>
      </c>
      <c r="Y131" s="11" t="s">
        <v>135</v>
      </c>
      <c r="Z131" s="11">
        <v>20</v>
      </c>
      <c r="AA131" s="11">
        <v>1</v>
      </c>
      <c r="AB131" s="12">
        <v>0</v>
      </c>
    </row>
    <row r="132" spans="1:28" x14ac:dyDescent="0.2">
      <c r="A132" s="7">
        <v>20769</v>
      </c>
      <c r="B132" s="8" t="s">
        <v>1260</v>
      </c>
      <c r="C132" s="8" t="s">
        <v>1261</v>
      </c>
      <c r="D132" s="8" t="s">
        <v>1262</v>
      </c>
      <c r="E132" s="8" t="s">
        <v>1263</v>
      </c>
      <c r="F132" s="8" t="s">
        <v>757</v>
      </c>
      <c r="G132" s="8" t="s">
        <v>521</v>
      </c>
      <c r="H132" s="8" t="s">
        <v>522</v>
      </c>
      <c r="I132" s="8" t="s">
        <v>1264</v>
      </c>
      <c r="J132" s="8" t="s">
        <v>1265</v>
      </c>
      <c r="K132" s="8" t="s">
        <v>525</v>
      </c>
      <c r="L132" s="8" t="s">
        <v>526</v>
      </c>
      <c r="M132" s="8" t="s">
        <v>1266</v>
      </c>
      <c r="N132" s="8" t="s">
        <v>128</v>
      </c>
      <c r="O132" s="8" t="s">
        <v>1267</v>
      </c>
      <c r="P132" s="8" t="s">
        <v>1268</v>
      </c>
      <c r="Q132" s="8" t="s">
        <v>150</v>
      </c>
      <c r="R132" s="8"/>
      <c r="S132" s="8" t="s">
        <v>1269</v>
      </c>
      <c r="T132" s="8" t="s">
        <v>531</v>
      </c>
      <c r="U132" s="8" t="s">
        <v>150</v>
      </c>
      <c r="V132" s="8" t="s">
        <v>531</v>
      </c>
      <c r="W132" s="8" t="s">
        <v>531</v>
      </c>
      <c r="X132" s="8">
        <v>62</v>
      </c>
      <c r="Y132" s="8" t="s">
        <v>135</v>
      </c>
      <c r="Z132" s="8">
        <v>80</v>
      </c>
      <c r="AA132" s="8">
        <v>0</v>
      </c>
      <c r="AB132" s="9">
        <v>0</v>
      </c>
    </row>
    <row r="133" spans="1:28" x14ac:dyDescent="0.2">
      <c r="A133" s="10">
        <v>21122</v>
      </c>
      <c r="B133" s="11" t="s">
        <v>1270</v>
      </c>
      <c r="C133" s="11" t="s">
        <v>1271</v>
      </c>
      <c r="D133" s="11" t="s">
        <v>1272</v>
      </c>
      <c r="E133" s="11" t="s">
        <v>1273</v>
      </c>
      <c r="F133" s="11" t="s">
        <v>1274</v>
      </c>
      <c r="G133" s="11" t="s">
        <v>521</v>
      </c>
      <c r="H133" s="11" t="s">
        <v>522</v>
      </c>
      <c r="I133" s="11" t="s">
        <v>1275</v>
      </c>
      <c r="J133" s="11" t="s">
        <v>1276</v>
      </c>
      <c r="K133" s="11" t="s">
        <v>525</v>
      </c>
      <c r="L133" s="11" t="s">
        <v>526</v>
      </c>
      <c r="M133" s="11" t="s">
        <v>1277</v>
      </c>
      <c r="N133" s="11" t="s">
        <v>128</v>
      </c>
      <c r="O133" s="11" t="s">
        <v>1278</v>
      </c>
      <c r="P133" s="11" t="s">
        <v>1279</v>
      </c>
      <c r="Q133" s="11" t="s">
        <v>150</v>
      </c>
      <c r="R133" s="11"/>
      <c r="S133" s="11" t="s">
        <v>1280</v>
      </c>
      <c r="T133" s="11" t="s">
        <v>289</v>
      </c>
      <c r="U133" s="11" t="s">
        <v>150</v>
      </c>
      <c r="V133" s="11" t="s">
        <v>289</v>
      </c>
      <c r="W133" s="11" t="s">
        <v>289</v>
      </c>
      <c r="X133" s="11">
        <v>62</v>
      </c>
      <c r="Y133" s="11" t="s">
        <v>135</v>
      </c>
      <c r="Z133" s="11">
        <v>80</v>
      </c>
      <c r="AA133" s="11">
        <v>1</v>
      </c>
      <c r="AB133" s="12">
        <v>1</v>
      </c>
    </row>
    <row r="134" spans="1:28" x14ac:dyDescent="0.2">
      <c r="A134" s="7">
        <v>21183</v>
      </c>
      <c r="B134" s="8" t="s">
        <v>1281</v>
      </c>
      <c r="C134" s="8" t="s">
        <v>1282</v>
      </c>
      <c r="D134" s="8" t="s">
        <v>1283</v>
      </c>
      <c r="E134" s="8" t="s">
        <v>1284</v>
      </c>
      <c r="F134" s="8" t="s">
        <v>1285</v>
      </c>
      <c r="G134" s="8" t="s">
        <v>1286</v>
      </c>
      <c r="H134" s="8" t="s">
        <v>142</v>
      </c>
      <c r="I134" s="8" t="s">
        <v>1287</v>
      </c>
      <c r="J134" s="8" t="s">
        <v>1288</v>
      </c>
      <c r="K134" s="8" t="s">
        <v>717</v>
      </c>
      <c r="L134" s="8" t="s">
        <v>464</v>
      </c>
      <c r="M134" s="8" t="s">
        <v>1289</v>
      </c>
      <c r="N134" s="8" t="s">
        <v>128</v>
      </c>
      <c r="O134" s="8" t="s">
        <v>1290</v>
      </c>
      <c r="P134" s="8" t="s">
        <v>1291</v>
      </c>
      <c r="Q134" s="8" t="s">
        <v>150</v>
      </c>
      <c r="R134" s="8"/>
      <c r="S134" s="8" t="s">
        <v>1292</v>
      </c>
      <c r="T134" s="8" t="s">
        <v>289</v>
      </c>
      <c r="U134" s="8" t="s">
        <v>150</v>
      </c>
      <c r="V134" s="8" t="s">
        <v>289</v>
      </c>
      <c r="W134" s="8" t="s">
        <v>289</v>
      </c>
      <c r="X134" s="8">
        <v>62</v>
      </c>
      <c r="Y134" s="8" t="s">
        <v>135</v>
      </c>
      <c r="Z134" s="8">
        <v>80</v>
      </c>
      <c r="AA134" s="8">
        <v>1</v>
      </c>
      <c r="AB134" s="9">
        <v>1</v>
      </c>
    </row>
    <row r="135" spans="1:28" x14ac:dyDescent="0.2">
      <c r="A135" s="10">
        <v>21134</v>
      </c>
      <c r="B135" s="11" t="s">
        <v>1293</v>
      </c>
      <c r="C135" s="11" t="s">
        <v>1249</v>
      </c>
      <c r="D135" s="11" t="s">
        <v>1250</v>
      </c>
      <c r="E135" s="11"/>
      <c r="F135" s="11" t="s">
        <v>1252</v>
      </c>
      <c r="G135" s="11" t="s">
        <v>1253</v>
      </c>
      <c r="H135" s="11" t="s">
        <v>142</v>
      </c>
      <c r="I135" s="11" t="s">
        <v>1294</v>
      </c>
      <c r="J135" s="11" t="s">
        <v>1255</v>
      </c>
      <c r="K135" s="11" t="s">
        <v>1199</v>
      </c>
      <c r="L135" s="11" t="s">
        <v>464</v>
      </c>
      <c r="M135" s="11" t="s">
        <v>1295</v>
      </c>
      <c r="N135" s="11" t="s">
        <v>128</v>
      </c>
      <c r="O135" s="11" t="s">
        <v>1296</v>
      </c>
      <c r="P135" s="11" t="s">
        <v>1297</v>
      </c>
      <c r="Q135" s="11" t="s">
        <v>150</v>
      </c>
      <c r="R135" s="11"/>
      <c r="S135" s="11" t="s">
        <v>1259</v>
      </c>
      <c r="T135" s="11" t="s">
        <v>289</v>
      </c>
      <c r="U135" s="11" t="s">
        <v>150</v>
      </c>
      <c r="V135" s="11" t="s">
        <v>289</v>
      </c>
      <c r="W135" s="11" t="s">
        <v>289</v>
      </c>
      <c r="X135" s="11">
        <v>62</v>
      </c>
      <c r="Y135" s="11" t="s">
        <v>135</v>
      </c>
      <c r="Z135" s="11">
        <v>80</v>
      </c>
      <c r="AA135" s="11">
        <v>1</v>
      </c>
      <c r="AB135" s="12">
        <v>1</v>
      </c>
    </row>
    <row r="136" spans="1:28" x14ac:dyDescent="0.2">
      <c r="A136" s="7">
        <v>21349</v>
      </c>
      <c r="B136" s="8" t="s">
        <v>1298</v>
      </c>
      <c r="C136" s="8" t="s">
        <v>533</v>
      </c>
      <c r="D136" s="8" t="s">
        <v>1299</v>
      </c>
      <c r="E136" s="8" t="s">
        <v>1300</v>
      </c>
      <c r="F136" s="8" t="s">
        <v>353</v>
      </c>
      <c r="G136" s="8" t="s">
        <v>536</v>
      </c>
      <c r="H136" s="8" t="s">
        <v>329</v>
      </c>
      <c r="I136" s="8" t="s">
        <v>1301</v>
      </c>
      <c r="J136" s="8" t="s">
        <v>1302</v>
      </c>
      <c r="K136" s="8" t="s">
        <v>431</v>
      </c>
      <c r="L136" s="8" t="s">
        <v>333</v>
      </c>
      <c r="M136" s="8" t="s">
        <v>1303</v>
      </c>
      <c r="N136" s="8" t="s">
        <v>128</v>
      </c>
      <c r="O136" s="8" t="s">
        <v>1304</v>
      </c>
      <c r="P136" s="8" t="s">
        <v>1305</v>
      </c>
      <c r="Q136" s="8" t="s">
        <v>150</v>
      </c>
      <c r="R136" s="8"/>
      <c r="S136" s="8" t="s">
        <v>71</v>
      </c>
      <c r="T136" s="8" t="s">
        <v>67</v>
      </c>
      <c r="U136" s="8" t="s">
        <v>150</v>
      </c>
      <c r="V136" s="8" t="s">
        <v>152</v>
      </c>
      <c r="W136" s="8" t="s">
        <v>67</v>
      </c>
      <c r="X136" s="8">
        <v>62</v>
      </c>
      <c r="Y136" s="8" t="s">
        <v>135</v>
      </c>
      <c r="Z136" s="8">
        <v>80</v>
      </c>
      <c r="AA136" s="8">
        <v>0</v>
      </c>
      <c r="AB136" s="9">
        <v>0</v>
      </c>
    </row>
    <row r="137" spans="1:28" x14ac:dyDescent="0.2">
      <c r="A137" s="10">
        <v>21520</v>
      </c>
      <c r="B137" s="11" t="s">
        <v>1306</v>
      </c>
      <c r="C137" s="11" t="s">
        <v>1307</v>
      </c>
      <c r="D137" s="11" t="s">
        <v>291</v>
      </c>
      <c r="E137" s="11" t="s">
        <v>1308</v>
      </c>
      <c r="F137" s="11" t="s">
        <v>353</v>
      </c>
      <c r="G137" s="11" t="s">
        <v>536</v>
      </c>
      <c r="H137" s="11" t="s">
        <v>329</v>
      </c>
      <c r="I137" s="11" t="s">
        <v>1309</v>
      </c>
      <c r="J137" s="11" t="s">
        <v>1310</v>
      </c>
      <c r="K137" s="11" t="s">
        <v>431</v>
      </c>
      <c r="L137" s="11" t="s">
        <v>333</v>
      </c>
      <c r="M137" s="11" t="s">
        <v>1311</v>
      </c>
      <c r="N137" s="11" t="s">
        <v>128</v>
      </c>
      <c r="O137" s="11" t="s">
        <v>1312</v>
      </c>
      <c r="P137" s="11" t="s">
        <v>1313</v>
      </c>
      <c r="Q137" s="11" t="s">
        <v>150</v>
      </c>
      <c r="R137" s="11"/>
      <c r="S137" s="11" t="s">
        <v>71</v>
      </c>
      <c r="T137" s="11" t="s">
        <v>67</v>
      </c>
      <c r="U137" s="11" t="s">
        <v>150</v>
      </c>
      <c r="V137" s="11" t="s">
        <v>152</v>
      </c>
      <c r="W137" s="11" t="s">
        <v>67</v>
      </c>
      <c r="X137" s="11">
        <v>62</v>
      </c>
      <c r="Y137" s="11" t="s">
        <v>135</v>
      </c>
      <c r="Z137" s="11">
        <v>80</v>
      </c>
      <c r="AA137" s="11">
        <v>0</v>
      </c>
      <c r="AB137" s="12">
        <v>0</v>
      </c>
    </row>
    <row r="138" spans="1:28" x14ac:dyDescent="0.2">
      <c r="A138" s="7">
        <v>21617</v>
      </c>
      <c r="B138" s="8" t="s">
        <v>1314</v>
      </c>
      <c r="C138" s="8" t="s">
        <v>945</v>
      </c>
      <c r="D138" s="8" t="s">
        <v>1315</v>
      </c>
      <c r="E138" s="8" t="s">
        <v>1316</v>
      </c>
      <c r="F138" s="8" t="s">
        <v>353</v>
      </c>
      <c r="G138" s="8" t="s">
        <v>556</v>
      </c>
      <c r="H138" s="8" t="s">
        <v>557</v>
      </c>
      <c r="I138" s="8" t="s">
        <v>947</v>
      </c>
      <c r="J138" s="8" t="s">
        <v>1317</v>
      </c>
      <c r="K138" s="8" t="s">
        <v>560</v>
      </c>
      <c r="L138" s="8" t="s">
        <v>229</v>
      </c>
      <c r="M138" s="8" t="s">
        <v>1318</v>
      </c>
      <c r="N138" s="8" t="s">
        <v>128</v>
      </c>
      <c r="O138" s="8" t="s">
        <v>1319</v>
      </c>
      <c r="P138" s="8" t="s">
        <v>1320</v>
      </c>
      <c r="Q138" s="8" t="s">
        <v>150</v>
      </c>
      <c r="R138" s="8"/>
      <c r="S138" s="8" t="s">
        <v>71</v>
      </c>
      <c r="T138" s="8" t="s">
        <v>67</v>
      </c>
      <c r="U138" s="8" t="s">
        <v>150</v>
      </c>
      <c r="V138" s="8" t="s">
        <v>152</v>
      </c>
      <c r="W138" s="8" t="s">
        <v>67</v>
      </c>
      <c r="X138" s="8">
        <v>62</v>
      </c>
      <c r="Y138" s="8" t="s">
        <v>135</v>
      </c>
      <c r="Z138" s="8">
        <v>80</v>
      </c>
      <c r="AA138" s="8">
        <v>0</v>
      </c>
      <c r="AB138" s="9">
        <v>0</v>
      </c>
    </row>
    <row r="139" spans="1:28" x14ac:dyDescent="0.2">
      <c r="A139" s="10">
        <v>21623</v>
      </c>
      <c r="B139" s="11" t="s">
        <v>1321</v>
      </c>
      <c r="C139" s="11" t="s">
        <v>1322</v>
      </c>
      <c r="D139" s="11" t="s">
        <v>1323</v>
      </c>
      <c r="E139" s="11" t="s">
        <v>1324</v>
      </c>
      <c r="F139" s="11" t="s">
        <v>353</v>
      </c>
      <c r="G139" s="11" t="s">
        <v>1325</v>
      </c>
      <c r="H139" s="11" t="s">
        <v>142</v>
      </c>
      <c r="I139" s="11" t="s">
        <v>1326</v>
      </c>
      <c r="J139" s="11" t="s">
        <v>1327</v>
      </c>
      <c r="K139" s="11" t="s">
        <v>974</v>
      </c>
      <c r="L139" s="11" t="s">
        <v>146</v>
      </c>
      <c r="M139" s="11" t="s">
        <v>1328</v>
      </c>
      <c r="N139" s="11" t="s">
        <v>128</v>
      </c>
      <c r="O139" s="11" t="s">
        <v>1329</v>
      </c>
      <c r="P139" s="11" t="s">
        <v>1330</v>
      </c>
      <c r="Q139" s="11" t="s">
        <v>150</v>
      </c>
      <c r="R139" s="11"/>
      <c r="S139" s="11" t="s">
        <v>71</v>
      </c>
      <c r="T139" s="11" t="s">
        <v>67</v>
      </c>
      <c r="U139" s="11" t="s">
        <v>150</v>
      </c>
      <c r="V139" s="11" t="s">
        <v>152</v>
      </c>
      <c r="W139" s="11" t="s">
        <v>67</v>
      </c>
      <c r="X139" s="11">
        <v>62</v>
      </c>
      <c r="Y139" s="11" t="s">
        <v>135</v>
      </c>
      <c r="Z139" s="11">
        <v>80</v>
      </c>
      <c r="AA139" s="11">
        <v>0</v>
      </c>
      <c r="AB139" s="12">
        <v>0</v>
      </c>
    </row>
    <row r="140" spans="1:28" x14ac:dyDescent="0.2">
      <c r="A140" s="7">
        <v>21510</v>
      </c>
      <c r="B140" s="8" t="s">
        <v>1331</v>
      </c>
      <c r="C140" s="8" t="s">
        <v>1332</v>
      </c>
      <c r="D140" s="8" t="s">
        <v>1333</v>
      </c>
      <c r="E140" s="8" t="s">
        <v>1334</v>
      </c>
      <c r="F140" s="8" t="s">
        <v>237</v>
      </c>
      <c r="G140" s="8" t="s">
        <v>141</v>
      </c>
      <c r="H140" s="8" t="s">
        <v>142</v>
      </c>
      <c r="I140" s="8" t="s">
        <v>1335</v>
      </c>
      <c r="J140" s="8" t="s">
        <v>1336</v>
      </c>
      <c r="K140" s="8" t="s">
        <v>216</v>
      </c>
      <c r="L140" s="8" t="s">
        <v>146</v>
      </c>
      <c r="M140" s="8" t="s">
        <v>1337</v>
      </c>
      <c r="N140" s="8" t="s">
        <v>128</v>
      </c>
      <c r="O140" s="8" t="s">
        <v>1338</v>
      </c>
      <c r="P140" s="8" t="s">
        <v>1339</v>
      </c>
      <c r="Q140" s="8" t="s">
        <v>150</v>
      </c>
      <c r="R140" s="8"/>
      <c r="S140" s="8" t="s">
        <v>71</v>
      </c>
      <c r="T140" s="8" t="s">
        <v>67</v>
      </c>
      <c r="U140" s="8" t="s">
        <v>150</v>
      </c>
      <c r="V140" s="8" t="s">
        <v>152</v>
      </c>
      <c r="W140" s="8" t="s">
        <v>67</v>
      </c>
      <c r="X140" s="8">
        <v>62</v>
      </c>
      <c r="Y140" s="8" t="s">
        <v>135</v>
      </c>
      <c r="Z140" s="8">
        <v>80</v>
      </c>
      <c r="AA140" s="8">
        <v>0</v>
      </c>
      <c r="AB140" s="9">
        <v>0</v>
      </c>
    </row>
    <row r="141" spans="1:28" x14ac:dyDescent="0.2">
      <c r="A141" s="10">
        <v>21726</v>
      </c>
      <c r="B141" s="11" t="s">
        <v>1340</v>
      </c>
      <c r="C141" s="11" t="s">
        <v>1341</v>
      </c>
      <c r="D141" s="11" t="s">
        <v>1342</v>
      </c>
      <c r="E141" s="11" t="s">
        <v>1343</v>
      </c>
      <c r="F141" s="11" t="s">
        <v>1344</v>
      </c>
      <c r="G141" s="11" t="s">
        <v>141</v>
      </c>
      <c r="H141" s="11" t="s">
        <v>142</v>
      </c>
      <c r="I141" s="11" t="s">
        <v>1345</v>
      </c>
      <c r="J141" s="11" t="s">
        <v>1346</v>
      </c>
      <c r="K141" s="11" t="s">
        <v>651</v>
      </c>
      <c r="L141" s="11" t="s">
        <v>146</v>
      </c>
      <c r="M141" s="11" t="s">
        <v>1347</v>
      </c>
      <c r="N141" s="11" t="s">
        <v>128</v>
      </c>
      <c r="O141" s="11" t="s">
        <v>1348</v>
      </c>
      <c r="P141" s="11" t="s">
        <v>1349</v>
      </c>
      <c r="Q141" s="11" t="s">
        <v>150</v>
      </c>
      <c r="R141" s="11"/>
      <c r="S141" s="11" t="s">
        <v>71</v>
      </c>
      <c r="T141" s="11" t="s">
        <v>67</v>
      </c>
      <c r="U141" s="11" t="s">
        <v>150</v>
      </c>
      <c r="V141" s="11" t="s">
        <v>152</v>
      </c>
      <c r="W141" s="11" t="s">
        <v>67</v>
      </c>
      <c r="X141" s="11">
        <v>62</v>
      </c>
      <c r="Y141" s="11" t="s">
        <v>135</v>
      </c>
      <c r="Z141" s="11">
        <v>80</v>
      </c>
      <c r="AA141" s="11">
        <v>0</v>
      </c>
      <c r="AB141" s="12">
        <v>0</v>
      </c>
    </row>
    <row r="142" spans="1:28" x14ac:dyDescent="0.2">
      <c r="A142" s="7">
        <v>21742</v>
      </c>
      <c r="B142" s="8" t="s">
        <v>1350</v>
      </c>
      <c r="C142" s="8" t="s">
        <v>876</v>
      </c>
      <c r="D142" s="8"/>
      <c r="E142" s="8" t="s">
        <v>1351</v>
      </c>
      <c r="F142" s="8" t="s">
        <v>878</v>
      </c>
      <c r="G142" s="8" t="s">
        <v>224</v>
      </c>
      <c r="H142" s="8" t="s">
        <v>225</v>
      </c>
      <c r="I142" s="8" t="s">
        <v>1005</v>
      </c>
      <c r="J142" s="8" t="s">
        <v>880</v>
      </c>
      <c r="K142" s="8" t="s">
        <v>228</v>
      </c>
      <c r="L142" s="8" t="s">
        <v>229</v>
      </c>
      <c r="M142" s="8" t="s">
        <v>1352</v>
      </c>
      <c r="N142" s="8" t="s">
        <v>128</v>
      </c>
      <c r="O142" s="8" t="s">
        <v>1353</v>
      </c>
      <c r="P142" s="8" t="s">
        <v>1354</v>
      </c>
      <c r="Q142" s="8" t="s">
        <v>150</v>
      </c>
      <c r="R142" s="8"/>
      <c r="S142" s="8" t="s">
        <v>884</v>
      </c>
      <c r="T142" s="8" t="s">
        <v>67</v>
      </c>
      <c r="U142" s="8" t="s">
        <v>150</v>
      </c>
      <c r="V142" s="8" t="s">
        <v>152</v>
      </c>
      <c r="W142" s="8" t="s">
        <v>67</v>
      </c>
      <c r="X142" s="8">
        <v>62</v>
      </c>
      <c r="Y142" s="8" t="s">
        <v>135</v>
      </c>
      <c r="Z142" s="8">
        <v>80</v>
      </c>
      <c r="AA142" s="8">
        <v>1</v>
      </c>
      <c r="AB142" s="9">
        <v>1</v>
      </c>
    </row>
    <row r="143" spans="1:28" x14ac:dyDescent="0.2">
      <c r="A143" s="10">
        <v>21351</v>
      </c>
      <c r="B143" s="11" t="s">
        <v>1355</v>
      </c>
      <c r="C143" s="11" t="s">
        <v>1214</v>
      </c>
      <c r="D143" s="11" t="s">
        <v>1215</v>
      </c>
      <c r="E143" s="11" t="s">
        <v>1356</v>
      </c>
      <c r="F143" s="11" t="s">
        <v>353</v>
      </c>
      <c r="G143" s="11" t="s">
        <v>536</v>
      </c>
      <c r="H143" s="11" t="s">
        <v>329</v>
      </c>
      <c r="I143" s="11" t="s">
        <v>1216</v>
      </c>
      <c r="J143" s="11" t="s">
        <v>1217</v>
      </c>
      <c r="K143" s="11" t="s">
        <v>431</v>
      </c>
      <c r="L143" s="11" t="s">
        <v>333</v>
      </c>
      <c r="M143" s="11" t="s">
        <v>1357</v>
      </c>
      <c r="N143" s="11" t="s">
        <v>128</v>
      </c>
      <c r="O143" s="11" t="s">
        <v>1358</v>
      </c>
      <c r="P143" s="11" t="s">
        <v>1359</v>
      </c>
      <c r="Q143" s="11" t="s">
        <v>150</v>
      </c>
      <c r="R143" s="11"/>
      <c r="S143" s="11" t="s">
        <v>1221</v>
      </c>
      <c r="T143" s="11" t="s">
        <v>67</v>
      </c>
      <c r="U143" s="11" t="s">
        <v>150</v>
      </c>
      <c r="V143" s="11" t="s">
        <v>152</v>
      </c>
      <c r="W143" s="11" t="s">
        <v>67</v>
      </c>
      <c r="X143" s="11">
        <v>62</v>
      </c>
      <c r="Y143" s="11" t="s">
        <v>135</v>
      </c>
      <c r="Z143" s="11">
        <v>80</v>
      </c>
      <c r="AA143" s="11">
        <v>0</v>
      </c>
      <c r="AB143" s="12">
        <v>0</v>
      </c>
    </row>
    <row r="144" spans="1:28" x14ac:dyDescent="0.2">
      <c r="A144" s="7">
        <v>21698</v>
      </c>
      <c r="B144" s="8" t="s">
        <v>1360</v>
      </c>
      <c r="C144" s="8" t="s">
        <v>1361</v>
      </c>
      <c r="D144" s="8" t="s">
        <v>1362</v>
      </c>
      <c r="E144" s="8" t="s">
        <v>1363</v>
      </c>
      <c r="F144" s="8" t="s">
        <v>353</v>
      </c>
      <c r="G144" s="8" t="s">
        <v>1364</v>
      </c>
      <c r="H144" s="8" t="s">
        <v>329</v>
      </c>
      <c r="I144" s="8" t="s">
        <v>1365</v>
      </c>
      <c r="J144" s="8" t="s">
        <v>1366</v>
      </c>
      <c r="K144" s="8" t="s">
        <v>431</v>
      </c>
      <c r="L144" s="8" t="s">
        <v>333</v>
      </c>
      <c r="M144" s="8" t="s">
        <v>1367</v>
      </c>
      <c r="N144" s="8" t="s">
        <v>128</v>
      </c>
      <c r="O144" s="8" t="s">
        <v>1368</v>
      </c>
      <c r="P144" s="8" t="s">
        <v>1369</v>
      </c>
      <c r="Q144" s="8" t="s">
        <v>150</v>
      </c>
      <c r="R144" s="8"/>
      <c r="S144" s="8" t="s">
        <v>1370</v>
      </c>
      <c r="T144" s="8" t="s">
        <v>67</v>
      </c>
      <c r="U144" s="8" t="s">
        <v>150</v>
      </c>
      <c r="V144" s="8" t="s">
        <v>152</v>
      </c>
      <c r="W144" s="8" t="s">
        <v>67</v>
      </c>
      <c r="X144" s="8">
        <v>62</v>
      </c>
      <c r="Y144" s="8" t="s">
        <v>135</v>
      </c>
      <c r="Z144" s="8">
        <v>80</v>
      </c>
      <c r="AA144" s="8">
        <v>0</v>
      </c>
      <c r="AB144" s="9">
        <v>0</v>
      </c>
    </row>
    <row r="145" spans="1:28" x14ac:dyDescent="0.2">
      <c r="A145" s="10">
        <v>21687</v>
      </c>
      <c r="B145" s="11" t="s">
        <v>1371</v>
      </c>
      <c r="C145" s="11" t="s">
        <v>426</v>
      </c>
      <c r="D145" s="11" t="s">
        <v>1372</v>
      </c>
      <c r="E145" s="11"/>
      <c r="F145" s="11" t="s">
        <v>353</v>
      </c>
      <c r="G145" s="11" t="s">
        <v>428</v>
      </c>
      <c r="H145" s="11" t="s">
        <v>329</v>
      </c>
      <c r="I145" s="11" t="s">
        <v>429</v>
      </c>
      <c r="J145" s="11" t="s">
        <v>1373</v>
      </c>
      <c r="K145" s="11" t="s">
        <v>431</v>
      </c>
      <c r="L145" s="11" t="s">
        <v>333</v>
      </c>
      <c r="M145" s="11" t="s">
        <v>1374</v>
      </c>
      <c r="N145" s="11" t="s">
        <v>128</v>
      </c>
      <c r="O145" s="11" t="s">
        <v>1375</v>
      </c>
      <c r="P145" s="11" t="s">
        <v>1376</v>
      </c>
      <c r="Q145" s="11" t="s">
        <v>150</v>
      </c>
      <c r="R145" s="11"/>
      <c r="S145" s="11" t="s">
        <v>71</v>
      </c>
      <c r="T145" s="11" t="s">
        <v>67</v>
      </c>
      <c r="U145" s="11" t="s">
        <v>150</v>
      </c>
      <c r="V145" s="11" t="s">
        <v>152</v>
      </c>
      <c r="W145" s="11" t="s">
        <v>67</v>
      </c>
      <c r="X145" s="11">
        <v>62</v>
      </c>
      <c r="Y145" s="11" t="s">
        <v>135</v>
      </c>
      <c r="Z145" s="11">
        <v>80</v>
      </c>
      <c r="AA145" s="11">
        <v>0</v>
      </c>
      <c r="AB145" s="12">
        <v>0</v>
      </c>
    </row>
    <row r="146" spans="1:28" x14ac:dyDescent="0.2">
      <c r="A146" s="7">
        <v>21990</v>
      </c>
      <c r="B146" s="8" t="s">
        <v>1377</v>
      </c>
      <c r="C146" s="8" t="s">
        <v>1282</v>
      </c>
      <c r="D146" s="8" t="s">
        <v>1283</v>
      </c>
      <c r="E146" s="8" t="s">
        <v>1378</v>
      </c>
      <c r="F146" s="8" t="s">
        <v>1285</v>
      </c>
      <c r="G146" s="8" t="s">
        <v>1286</v>
      </c>
      <c r="H146" s="8" t="s">
        <v>142</v>
      </c>
      <c r="I146" s="8" t="s">
        <v>1287</v>
      </c>
      <c r="J146" s="8" t="s">
        <v>1379</v>
      </c>
      <c r="K146" s="8" t="s">
        <v>717</v>
      </c>
      <c r="L146" s="8" t="s">
        <v>464</v>
      </c>
      <c r="M146" s="8" t="s">
        <v>1380</v>
      </c>
      <c r="N146" s="8" t="s">
        <v>128</v>
      </c>
      <c r="O146" s="8" t="s">
        <v>1381</v>
      </c>
      <c r="P146" s="8" t="s">
        <v>1382</v>
      </c>
      <c r="Q146" s="8" t="s">
        <v>131</v>
      </c>
      <c r="R146" s="8"/>
      <c r="S146" s="8" t="s">
        <v>1292</v>
      </c>
      <c r="T146" s="8" t="s">
        <v>133</v>
      </c>
      <c r="U146" s="8" t="s">
        <v>134</v>
      </c>
      <c r="V146" s="8" t="s">
        <v>131</v>
      </c>
      <c r="W146" s="8" t="s">
        <v>133</v>
      </c>
      <c r="X146" s="8">
        <v>62</v>
      </c>
      <c r="Y146" s="8" t="s">
        <v>135</v>
      </c>
      <c r="Z146" s="8">
        <v>80</v>
      </c>
      <c r="AA146" s="8">
        <v>1</v>
      </c>
      <c r="AB146" s="9">
        <v>1</v>
      </c>
    </row>
    <row r="147" spans="1:28" x14ac:dyDescent="0.2">
      <c r="A147" s="10">
        <v>21929</v>
      </c>
      <c r="B147" s="11" t="s">
        <v>1383</v>
      </c>
      <c r="C147" s="11" t="s">
        <v>154</v>
      </c>
      <c r="D147" s="11" t="s">
        <v>155</v>
      </c>
      <c r="E147" s="11" t="s">
        <v>1384</v>
      </c>
      <c r="F147" s="11" t="s">
        <v>157</v>
      </c>
      <c r="G147" s="11" t="s">
        <v>158</v>
      </c>
      <c r="H147" s="11" t="s">
        <v>159</v>
      </c>
      <c r="I147" s="11" t="s">
        <v>160</v>
      </c>
      <c r="J147" s="11" t="s">
        <v>181</v>
      </c>
      <c r="K147" s="11" t="s">
        <v>162</v>
      </c>
      <c r="L147" s="11" t="s">
        <v>163</v>
      </c>
      <c r="M147" s="11" t="s">
        <v>1385</v>
      </c>
      <c r="N147" s="11" t="s">
        <v>128</v>
      </c>
      <c r="O147" s="11" t="s">
        <v>1386</v>
      </c>
      <c r="P147" s="11" t="s">
        <v>1387</v>
      </c>
      <c r="Q147" s="11" t="s">
        <v>131</v>
      </c>
      <c r="R147" s="11"/>
      <c r="S147" s="11" t="s">
        <v>167</v>
      </c>
      <c r="T147" s="11" t="s">
        <v>133</v>
      </c>
      <c r="U147" s="11" t="s">
        <v>134</v>
      </c>
      <c r="V147" s="11" t="s">
        <v>131</v>
      </c>
      <c r="W147" s="11" t="s">
        <v>133</v>
      </c>
      <c r="X147" s="11">
        <v>62</v>
      </c>
      <c r="Y147" s="11" t="s">
        <v>135</v>
      </c>
      <c r="Z147" s="11">
        <v>20</v>
      </c>
      <c r="AA147" s="11">
        <v>1</v>
      </c>
      <c r="AB147" s="12">
        <v>0</v>
      </c>
    </row>
    <row r="148" spans="1:28" x14ac:dyDescent="0.2">
      <c r="A148" s="7">
        <v>21949</v>
      </c>
      <c r="B148" s="8" t="s">
        <v>1388</v>
      </c>
      <c r="C148" s="8" t="s">
        <v>611</v>
      </c>
      <c r="D148" s="8" t="s">
        <v>612</v>
      </c>
      <c r="E148" s="8" t="s">
        <v>1389</v>
      </c>
      <c r="F148" s="8" t="s">
        <v>614</v>
      </c>
      <c r="G148" s="8" t="s">
        <v>615</v>
      </c>
      <c r="H148" s="8" t="s">
        <v>616</v>
      </c>
      <c r="I148" s="8" t="s">
        <v>617</v>
      </c>
      <c r="J148" s="8" t="s">
        <v>1390</v>
      </c>
      <c r="K148" s="8" t="s">
        <v>619</v>
      </c>
      <c r="L148" s="8" t="s">
        <v>163</v>
      </c>
      <c r="M148" s="8" t="s">
        <v>1391</v>
      </c>
      <c r="N148" s="8" t="s">
        <v>128</v>
      </c>
      <c r="O148" s="8" t="s">
        <v>1392</v>
      </c>
      <c r="P148" s="8" t="s">
        <v>1393</v>
      </c>
      <c r="Q148" s="8" t="s">
        <v>131</v>
      </c>
      <c r="R148" s="8"/>
      <c r="S148" s="8" t="s">
        <v>623</v>
      </c>
      <c r="T148" s="8" t="s">
        <v>133</v>
      </c>
      <c r="U148" s="8" t="s">
        <v>134</v>
      </c>
      <c r="V148" s="8" t="s">
        <v>131</v>
      </c>
      <c r="W148" s="8" t="s">
        <v>133</v>
      </c>
      <c r="X148" s="8">
        <v>62</v>
      </c>
      <c r="Y148" s="8" t="s">
        <v>135</v>
      </c>
      <c r="Z148" s="8">
        <v>80</v>
      </c>
      <c r="AA148" s="8">
        <v>1</v>
      </c>
      <c r="AB148" s="9">
        <v>1</v>
      </c>
    </row>
    <row r="149" spans="1:28" x14ac:dyDescent="0.2">
      <c r="A149" s="10">
        <v>23047</v>
      </c>
      <c r="B149" s="11" t="s">
        <v>1394</v>
      </c>
      <c r="C149" s="11" t="s">
        <v>543</v>
      </c>
      <c r="D149" s="11" t="s">
        <v>1395</v>
      </c>
      <c r="E149" s="11"/>
      <c r="F149" s="11" t="s">
        <v>353</v>
      </c>
      <c r="G149" s="11" t="s">
        <v>428</v>
      </c>
      <c r="H149" s="11" t="s">
        <v>329</v>
      </c>
      <c r="I149" s="11" t="s">
        <v>1396</v>
      </c>
      <c r="J149" s="11" t="s">
        <v>1397</v>
      </c>
      <c r="K149" s="11" t="s">
        <v>431</v>
      </c>
      <c r="L149" s="11" t="s">
        <v>333</v>
      </c>
      <c r="M149" s="11" t="s">
        <v>1398</v>
      </c>
      <c r="N149" s="11" t="s">
        <v>128</v>
      </c>
      <c r="O149" s="11" t="s">
        <v>1399</v>
      </c>
      <c r="P149" s="11" t="s">
        <v>1400</v>
      </c>
      <c r="Q149" s="11" t="s">
        <v>150</v>
      </c>
      <c r="R149" s="11"/>
      <c r="S149" s="11" t="s">
        <v>71</v>
      </c>
      <c r="T149" s="11" t="s">
        <v>70</v>
      </c>
      <c r="U149" s="11" t="s">
        <v>150</v>
      </c>
      <c r="V149" s="11" t="s">
        <v>70</v>
      </c>
      <c r="W149" s="11" t="s">
        <v>70</v>
      </c>
      <c r="X149" s="11">
        <v>62</v>
      </c>
      <c r="Y149" s="11" t="s">
        <v>135</v>
      </c>
      <c r="Z149" s="11">
        <v>80</v>
      </c>
      <c r="AA149" s="11">
        <v>0</v>
      </c>
      <c r="AB149" s="12">
        <v>0</v>
      </c>
    </row>
    <row r="150" spans="1:28" x14ac:dyDescent="0.2">
      <c r="A150" s="7">
        <v>23146</v>
      </c>
      <c r="B150" s="8" t="s">
        <v>1401</v>
      </c>
      <c r="C150" s="8" t="s">
        <v>533</v>
      </c>
      <c r="D150" s="8" t="s">
        <v>1402</v>
      </c>
      <c r="E150" s="8"/>
      <c r="F150" s="8" t="s">
        <v>353</v>
      </c>
      <c r="G150" s="8" t="s">
        <v>536</v>
      </c>
      <c r="H150" s="8" t="s">
        <v>329</v>
      </c>
      <c r="I150" s="8" t="s">
        <v>926</v>
      </c>
      <c r="J150" s="8" t="s">
        <v>1403</v>
      </c>
      <c r="K150" s="8" t="s">
        <v>431</v>
      </c>
      <c r="L150" s="8" t="s">
        <v>333</v>
      </c>
      <c r="M150" s="8" t="s">
        <v>1404</v>
      </c>
      <c r="N150" s="8" t="s">
        <v>128</v>
      </c>
      <c r="O150" s="8" t="s">
        <v>1405</v>
      </c>
      <c r="P150" s="8" t="s">
        <v>1406</v>
      </c>
      <c r="Q150" s="8" t="s">
        <v>150</v>
      </c>
      <c r="R150" s="8"/>
      <c r="S150" s="8" t="s">
        <v>71</v>
      </c>
      <c r="T150" s="8" t="s">
        <v>70</v>
      </c>
      <c r="U150" s="8" t="s">
        <v>150</v>
      </c>
      <c r="V150" s="8" t="s">
        <v>70</v>
      </c>
      <c r="W150" s="8" t="s">
        <v>70</v>
      </c>
      <c r="X150" s="8">
        <v>62</v>
      </c>
      <c r="Y150" s="8" t="s">
        <v>135</v>
      </c>
      <c r="Z150" s="8">
        <v>80</v>
      </c>
      <c r="AA150" s="8">
        <v>0</v>
      </c>
      <c r="AB150" s="9">
        <v>0</v>
      </c>
    </row>
    <row r="151" spans="1:28" x14ac:dyDescent="0.2">
      <c r="A151" s="10">
        <v>23500</v>
      </c>
      <c r="B151" s="11" t="s">
        <v>1407</v>
      </c>
      <c r="C151" s="11" t="s">
        <v>1408</v>
      </c>
      <c r="D151" s="11" t="s">
        <v>1409</v>
      </c>
      <c r="E151" s="11"/>
      <c r="F151" s="11" t="s">
        <v>353</v>
      </c>
      <c r="G151" s="11" t="s">
        <v>536</v>
      </c>
      <c r="H151" s="11" t="s">
        <v>329</v>
      </c>
      <c r="I151" s="11" t="s">
        <v>1410</v>
      </c>
      <c r="J151" s="11" t="s">
        <v>1411</v>
      </c>
      <c r="K151" s="11" t="s">
        <v>431</v>
      </c>
      <c r="L151" s="11" t="s">
        <v>333</v>
      </c>
      <c r="M151" s="11" t="s">
        <v>1412</v>
      </c>
      <c r="N151" s="11" t="s">
        <v>128</v>
      </c>
      <c r="O151" s="11" t="s">
        <v>1413</v>
      </c>
      <c r="P151" s="11" t="s">
        <v>1414</v>
      </c>
      <c r="Q151" s="11" t="s">
        <v>150</v>
      </c>
      <c r="R151" s="11"/>
      <c r="S151" s="11" t="s">
        <v>71</v>
      </c>
      <c r="T151" s="11" t="s">
        <v>1415</v>
      </c>
      <c r="U151" s="11" t="s">
        <v>150</v>
      </c>
      <c r="V151" s="11" t="s">
        <v>1415</v>
      </c>
      <c r="W151" s="11" t="s">
        <v>1415</v>
      </c>
      <c r="X151" s="11">
        <v>62</v>
      </c>
      <c r="Y151" s="11" t="s">
        <v>135</v>
      </c>
      <c r="Z151" s="11">
        <v>80</v>
      </c>
      <c r="AA151" s="11">
        <v>0</v>
      </c>
      <c r="AB151" s="12">
        <v>0</v>
      </c>
    </row>
    <row r="152" spans="1:28" x14ac:dyDescent="0.2">
      <c r="A152" s="7">
        <v>23789</v>
      </c>
      <c r="B152" s="8" t="s">
        <v>1416</v>
      </c>
      <c r="C152" s="8" t="s">
        <v>1417</v>
      </c>
      <c r="D152" s="8" t="s">
        <v>138</v>
      </c>
      <c r="E152" s="8" t="s">
        <v>1418</v>
      </c>
      <c r="F152" s="8" t="s">
        <v>353</v>
      </c>
      <c r="G152" s="8" t="s">
        <v>1419</v>
      </c>
      <c r="H152" s="8" t="s">
        <v>704</v>
      </c>
      <c r="I152" s="8" t="s">
        <v>1420</v>
      </c>
      <c r="J152" s="8" t="s">
        <v>1421</v>
      </c>
      <c r="K152" s="8" t="s">
        <v>707</v>
      </c>
      <c r="L152" s="8" t="s">
        <v>126</v>
      </c>
      <c r="M152" s="8" t="s">
        <v>1422</v>
      </c>
      <c r="N152" s="8" t="s">
        <v>128</v>
      </c>
      <c r="O152" s="8" t="s">
        <v>1423</v>
      </c>
      <c r="P152" s="8" t="s">
        <v>1424</v>
      </c>
      <c r="Q152" s="8" t="s">
        <v>150</v>
      </c>
      <c r="R152" s="8"/>
      <c r="S152" s="8" t="s">
        <v>1425</v>
      </c>
      <c r="T152" s="8" t="s">
        <v>168</v>
      </c>
      <c r="U152" s="8" t="s">
        <v>150</v>
      </c>
      <c r="V152" s="8" t="s">
        <v>168</v>
      </c>
      <c r="W152" s="8" t="s">
        <v>168</v>
      </c>
      <c r="X152" s="8">
        <v>62</v>
      </c>
      <c r="Y152" s="8" t="s">
        <v>135</v>
      </c>
      <c r="Z152" s="8">
        <v>80</v>
      </c>
      <c r="AA152" s="8">
        <v>1</v>
      </c>
      <c r="AB152" s="9">
        <v>1</v>
      </c>
    </row>
    <row r="153" spans="1:28" x14ac:dyDescent="0.2">
      <c r="A153" s="10">
        <v>23777</v>
      </c>
      <c r="B153" s="11" t="s">
        <v>1426</v>
      </c>
      <c r="C153" s="11" t="s">
        <v>1427</v>
      </c>
      <c r="D153" s="11" t="s">
        <v>1428</v>
      </c>
      <c r="E153" s="11"/>
      <c r="F153" s="11" t="s">
        <v>353</v>
      </c>
      <c r="G153" s="11" t="s">
        <v>1429</v>
      </c>
      <c r="H153" s="11" t="s">
        <v>142</v>
      </c>
      <c r="I153" s="11" t="s">
        <v>1430</v>
      </c>
      <c r="J153" s="11" t="s">
        <v>1431</v>
      </c>
      <c r="K153" s="11" t="s">
        <v>1199</v>
      </c>
      <c r="L153" s="11" t="s">
        <v>464</v>
      </c>
      <c r="M153" s="11" t="s">
        <v>1432</v>
      </c>
      <c r="N153" s="11" t="s">
        <v>128</v>
      </c>
      <c r="O153" s="11" t="s">
        <v>1433</v>
      </c>
      <c r="P153" s="11" t="s">
        <v>1434</v>
      </c>
      <c r="Q153" s="11" t="s">
        <v>150</v>
      </c>
      <c r="R153" s="11"/>
      <c r="S153" s="11" t="s">
        <v>71</v>
      </c>
      <c r="T153" s="11" t="s">
        <v>168</v>
      </c>
      <c r="U153" s="11" t="s">
        <v>150</v>
      </c>
      <c r="V153" s="11" t="s">
        <v>168</v>
      </c>
      <c r="W153" s="11" t="s">
        <v>168</v>
      </c>
      <c r="X153" s="11">
        <v>62</v>
      </c>
      <c r="Y153" s="11" t="s">
        <v>135</v>
      </c>
      <c r="Z153" s="11">
        <v>80</v>
      </c>
      <c r="AA153" s="11">
        <v>0</v>
      </c>
      <c r="AB153" s="12">
        <v>0</v>
      </c>
    </row>
    <row r="154" spans="1:28" x14ac:dyDescent="0.2">
      <c r="A154" s="7">
        <v>23818</v>
      </c>
      <c r="B154" s="8" t="s">
        <v>1435</v>
      </c>
      <c r="C154" s="8" t="s">
        <v>1436</v>
      </c>
      <c r="D154" s="8" t="s">
        <v>1437</v>
      </c>
      <c r="E154" s="8"/>
      <c r="F154" s="8" t="s">
        <v>353</v>
      </c>
      <c r="G154" s="8" t="s">
        <v>1438</v>
      </c>
      <c r="H154" s="8" t="s">
        <v>122</v>
      </c>
      <c r="I154" s="8"/>
      <c r="J154" s="8" t="s">
        <v>1439</v>
      </c>
      <c r="K154" s="8" t="s">
        <v>125</v>
      </c>
      <c r="L154" s="8" t="s">
        <v>126</v>
      </c>
      <c r="M154" s="8" t="s">
        <v>1440</v>
      </c>
      <c r="N154" s="8" t="s">
        <v>128</v>
      </c>
      <c r="O154" s="8" t="s">
        <v>1441</v>
      </c>
      <c r="P154" s="8" t="s">
        <v>1442</v>
      </c>
      <c r="Q154" s="8" t="s">
        <v>150</v>
      </c>
      <c r="R154" s="8"/>
      <c r="S154" s="8" t="s">
        <v>71</v>
      </c>
      <c r="T154" s="8" t="s">
        <v>168</v>
      </c>
      <c r="U154" s="8" t="s">
        <v>150</v>
      </c>
      <c r="V154" s="8" t="s">
        <v>168</v>
      </c>
      <c r="W154" s="8" t="s">
        <v>168</v>
      </c>
      <c r="X154" s="8">
        <v>62</v>
      </c>
      <c r="Y154" s="8" t="s">
        <v>135</v>
      </c>
      <c r="Z154" s="8">
        <v>80</v>
      </c>
      <c r="AA154" s="8">
        <v>0</v>
      </c>
      <c r="AB154" s="9">
        <v>0</v>
      </c>
    </row>
    <row r="155" spans="1:28" x14ac:dyDescent="0.2">
      <c r="A155" s="10">
        <v>23686</v>
      </c>
      <c r="B155" s="11" t="s">
        <v>1443</v>
      </c>
      <c r="C155" s="11" t="s">
        <v>1444</v>
      </c>
      <c r="D155" s="11" t="s">
        <v>1445</v>
      </c>
      <c r="E155" s="11"/>
      <c r="F155" s="11" t="s">
        <v>1446</v>
      </c>
      <c r="G155" s="11" t="s">
        <v>141</v>
      </c>
      <c r="H155" s="11" t="s">
        <v>142</v>
      </c>
      <c r="I155" s="11" t="s">
        <v>1447</v>
      </c>
      <c r="J155" s="11" t="s">
        <v>1448</v>
      </c>
      <c r="K155" s="11" t="s">
        <v>145</v>
      </c>
      <c r="L155" s="11" t="s">
        <v>146</v>
      </c>
      <c r="M155" s="11" t="s">
        <v>1449</v>
      </c>
      <c r="N155" s="11" t="s">
        <v>128</v>
      </c>
      <c r="O155" s="11" t="s">
        <v>1450</v>
      </c>
      <c r="P155" s="11" t="s">
        <v>1451</v>
      </c>
      <c r="Q155" s="11" t="s">
        <v>150</v>
      </c>
      <c r="R155" s="11"/>
      <c r="S155" s="11" t="s">
        <v>71</v>
      </c>
      <c r="T155" s="11" t="s">
        <v>168</v>
      </c>
      <c r="U155" s="11" t="s">
        <v>150</v>
      </c>
      <c r="V155" s="11" t="s">
        <v>168</v>
      </c>
      <c r="W155" s="11" t="s">
        <v>168</v>
      </c>
      <c r="X155" s="11">
        <v>62</v>
      </c>
      <c r="Y155" s="11" t="s">
        <v>135</v>
      </c>
      <c r="Z155" s="11">
        <v>80</v>
      </c>
      <c r="AA155" s="11">
        <v>0</v>
      </c>
      <c r="AB155" s="12">
        <v>0</v>
      </c>
    </row>
    <row r="156" spans="1:28" x14ac:dyDescent="0.2">
      <c r="A156" s="7">
        <v>93572</v>
      </c>
      <c r="B156" s="8" t="s">
        <v>1452</v>
      </c>
      <c r="C156" s="8" t="s">
        <v>1361</v>
      </c>
      <c r="D156" s="8" t="s">
        <v>1362</v>
      </c>
      <c r="E156" s="8"/>
      <c r="F156" s="8" t="s">
        <v>1453</v>
      </c>
      <c r="G156" s="8" t="s">
        <v>1454</v>
      </c>
      <c r="H156" s="8" t="s">
        <v>329</v>
      </c>
      <c r="I156" s="8" t="s">
        <v>1455</v>
      </c>
      <c r="J156" s="8" t="s">
        <v>1456</v>
      </c>
      <c r="K156" s="8" t="s">
        <v>431</v>
      </c>
      <c r="L156" s="8" t="s">
        <v>333</v>
      </c>
      <c r="M156" s="8" t="s">
        <v>1457</v>
      </c>
      <c r="N156" s="8" t="s">
        <v>128</v>
      </c>
      <c r="O156" s="8" t="s">
        <v>1458</v>
      </c>
      <c r="P156" s="8" t="s">
        <v>1459</v>
      </c>
      <c r="Q156" s="8" t="s">
        <v>150</v>
      </c>
      <c r="R156" s="8"/>
      <c r="S156" s="8" t="s">
        <v>1370</v>
      </c>
      <c r="T156" s="8" t="s">
        <v>168</v>
      </c>
      <c r="U156" s="8" t="s">
        <v>150</v>
      </c>
      <c r="V156" s="8" t="s">
        <v>168</v>
      </c>
      <c r="W156" s="8" t="s">
        <v>168</v>
      </c>
      <c r="X156" s="8">
        <v>62</v>
      </c>
      <c r="Y156" s="8" t="s">
        <v>135</v>
      </c>
      <c r="Z156" s="8">
        <v>80</v>
      </c>
      <c r="AA156" s="8">
        <v>0</v>
      </c>
      <c r="AB156" s="9">
        <v>0</v>
      </c>
    </row>
    <row r="157" spans="1:28" x14ac:dyDescent="0.2">
      <c r="A157" s="10">
        <v>24620</v>
      </c>
      <c r="B157" s="11" t="s">
        <v>1460</v>
      </c>
      <c r="C157" s="11" t="s">
        <v>1214</v>
      </c>
      <c r="D157" s="11" t="s">
        <v>1215</v>
      </c>
      <c r="E157" s="11" t="s">
        <v>1461</v>
      </c>
      <c r="F157" s="11" t="s">
        <v>353</v>
      </c>
      <c r="G157" s="11" t="s">
        <v>536</v>
      </c>
      <c r="H157" s="11" t="s">
        <v>329</v>
      </c>
      <c r="I157" s="11" t="s">
        <v>1216</v>
      </c>
      <c r="J157" s="11" t="s">
        <v>1217</v>
      </c>
      <c r="K157" s="11" t="s">
        <v>431</v>
      </c>
      <c r="L157" s="11" t="s">
        <v>333</v>
      </c>
      <c r="M157" s="11" t="s">
        <v>1462</v>
      </c>
      <c r="N157" s="11" t="s">
        <v>128</v>
      </c>
      <c r="O157" s="11" t="s">
        <v>1463</v>
      </c>
      <c r="P157" s="11" t="s">
        <v>1464</v>
      </c>
      <c r="Q157" s="11" t="s">
        <v>150</v>
      </c>
      <c r="R157" s="11"/>
      <c r="S157" s="11" t="s">
        <v>1221</v>
      </c>
      <c r="T157" s="11" t="s">
        <v>69</v>
      </c>
      <c r="U157" s="11" t="s">
        <v>150</v>
      </c>
      <c r="V157" s="11" t="s">
        <v>152</v>
      </c>
      <c r="W157" s="11" t="s">
        <v>69</v>
      </c>
      <c r="X157" s="11">
        <v>62</v>
      </c>
      <c r="Y157" s="11" t="s">
        <v>135</v>
      </c>
      <c r="Z157" s="11">
        <v>80</v>
      </c>
      <c r="AA157" s="11">
        <v>0</v>
      </c>
      <c r="AB157" s="12">
        <v>0</v>
      </c>
    </row>
    <row r="158" spans="1:28" x14ac:dyDescent="0.2">
      <c r="A158" s="7">
        <v>24657</v>
      </c>
      <c r="B158" s="8" t="s">
        <v>1465</v>
      </c>
      <c r="C158" s="8" t="s">
        <v>842</v>
      </c>
      <c r="D158" s="8" t="s">
        <v>843</v>
      </c>
      <c r="E158" s="8" t="s">
        <v>1466</v>
      </c>
      <c r="F158" s="8" t="s">
        <v>845</v>
      </c>
      <c r="G158" s="8" t="s">
        <v>846</v>
      </c>
      <c r="H158" s="8" t="s">
        <v>847</v>
      </c>
      <c r="I158" s="8" t="s">
        <v>848</v>
      </c>
      <c r="J158" s="8" t="s">
        <v>1467</v>
      </c>
      <c r="K158" s="8" t="s">
        <v>850</v>
      </c>
      <c r="L158" s="8" t="s">
        <v>126</v>
      </c>
      <c r="M158" s="8" t="s">
        <v>1468</v>
      </c>
      <c r="N158" s="8" t="s">
        <v>128</v>
      </c>
      <c r="O158" s="8" t="s">
        <v>1469</v>
      </c>
      <c r="P158" s="8" t="s">
        <v>1470</v>
      </c>
      <c r="Q158" s="8" t="s">
        <v>150</v>
      </c>
      <c r="R158" s="8"/>
      <c r="S158" s="8" t="s">
        <v>854</v>
      </c>
      <c r="T158" s="8" t="s">
        <v>69</v>
      </c>
      <c r="U158" s="8" t="s">
        <v>150</v>
      </c>
      <c r="V158" s="8" t="s">
        <v>152</v>
      </c>
      <c r="W158" s="8" t="s">
        <v>69</v>
      </c>
      <c r="X158" s="8">
        <v>62</v>
      </c>
      <c r="Y158" s="8" t="s">
        <v>135</v>
      </c>
      <c r="Z158" s="8">
        <v>20</v>
      </c>
      <c r="AA158" s="8">
        <v>1</v>
      </c>
      <c r="AB158" s="9">
        <v>0</v>
      </c>
    </row>
    <row r="159" spans="1:28" x14ac:dyDescent="0.2">
      <c r="A159" s="10">
        <v>24723</v>
      </c>
      <c r="B159" s="11" t="s">
        <v>1471</v>
      </c>
      <c r="C159" s="11" t="s">
        <v>350</v>
      </c>
      <c r="D159" s="11" t="s">
        <v>1206</v>
      </c>
      <c r="E159" s="11"/>
      <c r="F159" s="11" t="s">
        <v>353</v>
      </c>
      <c r="G159" s="11" t="s">
        <v>121</v>
      </c>
      <c r="H159" s="11" t="s">
        <v>122</v>
      </c>
      <c r="I159" s="11" t="s">
        <v>354</v>
      </c>
      <c r="J159" s="11" t="s">
        <v>1472</v>
      </c>
      <c r="K159" s="11" t="s">
        <v>125</v>
      </c>
      <c r="L159" s="11" t="s">
        <v>126</v>
      </c>
      <c r="M159" s="11" t="s">
        <v>1473</v>
      </c>
      <c r="N159" s="11" t="s">
        <v>128</v>
      </c>
      <c r="O159" s="11" t="s">
        <v>1474</v>
      </c>
      <c r="P159" s="11" t="s">
        <v>1475</v>
      </c>
      <c r="Q159" s="11" t="s">
        <v>150</v>
      </c>
      <c r="R159" s="11"/>
      <c r="S159" s="11" t="s">
        <v>71</v>
      </c>
      <c r="T159" s="11" t="s">
        <v>69</v>
      </c>
      <c r="U159" s="11" t="s">
        <v>150</v>
      </c>
      <c r="V159" s="11" t="s">
        <v>152</v>
      </c>
      <c r="W159" s="11" t="s">
        <v>69</v>
      </c>
      <c r="X159" s="11">
        <v>62</v>
      </c>
      <c r="Y159" s="11" t="s">
        <v>135</v>
      </c>
      <c r="Z159" s="11">
        <v>80</v>
      </c>
      <c r="AA159" s="11">
        <v>0</v>
      </c>
      <c r="AB159" s="12">
        <v>0</v>
      </c>
    </row>
    <row r="160" spans="1:28" x14ac:dyDescent="0.2">
      <c r="A160" s="7">
        <v>24750</v>
      </c>
      <c r="B160" s="8" t="s">
        <v>1476</v>
      </c>
      <c r="C160" s="8" t="s">
        <v>1477</v>
      </c>
      <c r="D160" s="8" t="s">
        <v>1478</v>
      </c>
      <c r="E160" s="8"/>
      <c r="F160" s="8" t="s">
        <v>1479</v>
      </c>
      <c r="G160" s="8" t="s">
        <v>556</v>
      </c>
      <c r="H160" s="8" t="s">
        <v>557</v>
      </c>
      <c r="I160" s="8" t="s">
        <v>1480</v>
      </c>
      <c r="J160" s="8" t="s">
        <v>1481</v>
      </c>
      <c r="K160" s="8" t="s">
        <v>560</v>
      </c>
      <c r="L160" s="8" t="s">
        <v>229</v>
      </c>
      <c r="M160" s="8" t="s">
        <v>1482</v>
      </c>
      <c r="N160" s="8" t="s">
        <v>128</v>
      </c>
      <c r="O160" s="8" t="s">
        <v>1483</v>
      </c>
      <c r="P160" s="8" t="s">
        <v>1484</v>
      </c>
      <c r="Q160" s="8" t="s">
        <v>150</v>
      </c>
      <c r="R160" s="8"/>
      <c r="S160" s="8" t="s">
        <v>71</v>
      </c>
      <c r="T160" s="8" t="s">
        <v>69</v>
      </c>
      <c r="U160" s="8" t="s">
        <v>150</v>
      </c>
      <c r="V160" s="8" t="s">
        <v>152</v>
      </c>
      <c r="W160" s="8" t="s">
        <v>69</v>
      </c>
      <c r="X160" s="8">
        <v>62</v>
      </c>
      <c r="Y160" s="8" t="s">
        <v>135</v>
      </c>
      <c r="Z160" s="8">
        <v>80</v>
      </c>
      <c r="AA160" s="8">
        <v>0</v>
      </c>
      <c r="AB160" s="9">
        <v>0</v>
      </c>
    </row>
    <row r="161" spans="1:28" x14ac:dyDescent="0.2">
      <c r="A161" s="10">
        <v>24769</v>
      </c>
      <c r="B161" s="11" t="s">
        <v>1485</v>
      </c>
      <c r="C161" s="11" t="s">
        <v>1486</v>
      </c>
      <c r="D161" s="11" t="s">
        <v>1464</v>
      </c>
      <c r="E161" s="11"/>
      <c r="F161" s="11" t="s">
        <v>1487</v>
      </c>
      <c r="G161" s="11" t="s">
        <v>1488</v>
      </c>
      <c r="H161" s="11" t="s">
        <v>329</v>
      </c>
      <c r="I161" s="11" t="s">
        <v>1489</v>
      </c>
      <c r="J161" s="11" t="s">
        <v>1490</v>
      </c>
      <c r="K161" s="11" t="s">
        <v>415</v>
      </c>
      <c r="L161" s="11" t="s">
        <v>333</v>
      </c>
      <c r="M161" s="11" t="s">
        <v>1491</v>
      </c>
      <c r="N161" s="11" t="s">
        <v>128</v>
      </c>
      <c r="O161" s="11" t="s">
        <v>1492</v>
      </c>
      <c r="P161" s="11" t="s">
        <v>1493</v>
      </c>
      <c r="Q161" s="11" t="s">
        <v>150</v>
      </c>
      <c r="R161" s="11"/>
      <c r="S161" s="11" t="s">
        <v>71</v>
      </c>
      <c r="T161" s="11" t="s">
        <v>69</v>
      </c>
      <c r="U161" s="11" t="s">
        <v>150</v>
      </c>
      <c r="V161" s="11" t="s">
        <v>152</v>
      </c>
      <c r="W161" s="11" t="s">
        <v>69</v>
      </c>
      <c r="X161" s="11">
        <v>62</v>
      </c>
      <c r="Y161" s="11" t="s">
        <v>135</v>
      </c>
      <c r="Z161" s="11">
        <v>80</v>
      </c>
      <c r="AA161" s="11">
        <v>0</v>
      </c>
      <c r="AB161" s="12">
        <v>0</v>
      </c>
    </row>
    <row r="162" spans="1:28" x14ac:dyDescent="0.2">
      <c r="A162" s="7">
        <v>25255</v>
      </c>
      <c r="B162" s="8" t="s">
        <v>1494</v>
      </c>
      <c r="C162" s="8" t="s">
        <v>409</v>
      </c>
      <c r="D162" s="8" t="s">
        <v>410</v>
      </c>
      <c r="E162" s="8" t="s">
        <v>1495</v>
      </c>
      <c r="F162" s="8" t="s">
        <v>353</v>
      </c>
      <c r="G162" s="8" t="s">
        <v>412</v>
      </c>
      <c r="H162" s="8" t="s">
        <v>329</v>
      </c>
      <c r="I162" s="8" t="s">
        <v>837</v>
      </c>
      <c r="J162" s="8" t="s">
        <v>414</v>
      </c>
      <c r="K162" s="8" t="s">
        <v>415</v>
      </c>
      <c r="L162" s="8" t="s">
        <v>333</v>
      </c>
      <c r="M162" s="8" t="s">
        <v>1496</v>
      </c>
      <c r="N162" s="8" t="s">
        <v>128</v>
      </c>
      <c r="O162" s="8" t="s">
        <v>1497</v>
      </c>
      <c r="P162" s="8" t="s">
        <v>1498</v>
      </c>
      <c r="Q162" s="8" t="s">
        <v>740</v>
      </c>
      <c r="R162" s="8"/>
      <c r="S162" s="8" t="s">
        <v>419</v>
      </c>
      <c r="T162" s="8" t="s">
        <v>741</v>
      </c>
      <c r="U162" s="8" t="s">
        <v>134</v>
      </c>
      <c r="V162" s="8" t="s">
        <v>740</v>
      </c>
      <c r="W162" s="8" t="s">
        <v>741</v>
      </c>
      <c r="X162" s="8">
        <v>62</v>
      </c>
      <c r="Y162" s="8" t="s">
        <v>135</v>
      </c>
      <c r="Z162" s="8">
        <v>80</v>
      </c>
      <c r="AA162" s="8">
        <v>1</v>
      </c>
      <c r="AB162" s="9">
        <v>1</v>
      </c>
    </row>
    <row r="163" spans="1:28" x14ac:dyDescent="0.2">
      <c r="A163" s="10">
        <v>25211</v>
      </c>
      <c r="B163" s="11" t="s">
        <v>1499</v>
      </c>
      <c r="C163" s="11" t="s">
        <v>154</v>
      </c>
      <c r="D163" s="11" t="s">
        <v>155</v>
      </c>
      <c r="E163" s="11" t="s">
        <v>1500</v>
      </c>
      <c r="F163" s="11" t="s">
        <v>157</v>
      </c>
      <c r="G163" s="11" t="s">
        <v>158</v>
      </c>
      <c r="H163" s="11" t="s">
        <v>159</v>
      </c>
      <c r="I163" s="11" t="s">
        <v>160</v>
      </c>
      <c r="J163" s="11" t="s">
        <v>181</v>
      </c>
      <c r="K163" s="11" t="s">
        <v>162</v>
      </c>
      <c r="L163" s="11" t="s">
        <v>163</v>
      </c>
      <c r="M163" s="11" t="s">
        <v>1501</v>
      </c>
      <c r="N163" s="11" t="s">
        <v>128</v>
      </c>
      <c r="O163" s="11" t="s">
        <v>1502</v>
      </c>
      <c r="P163" s="11" t="s">
        <v>1503</v>
      </c>
      <c r="Q163" s="11" t="s">
        <v>740</v>
      </c>
      <c r="R163" s="11"/>
      <c r="S163" s="11" t="s">
        <v>167</v>
      </c>
      <c r="T163" s="11" t="s">
        <v>741</v>
      </c>
      <c r="U163" s="11" t="s">
        <v>134</v>
      </c>
      <c r="V163" s="11" t="s">
        <v>740</v>
      </c>
      <c r="W163" s="11" t="s">
        <v>741</v>
      </c>
      <c r="X163" s="11">
        <v>62</v>
      </c>
      <c r="Y163" s="11" t="s">
        <v>135</v>
      </c>
      <c r="Z163" s="11">
        <v>20</v>
      </c>
      <c r="AA163" s="11">
        <v>1</v>
      </c>
      <c r="AB163" s="12">
        <v>0</v>
      </c>
    </row>
    <row r="164" spans="1:28" x14ac:dyDescent="0.2">
      <c r="A164" s="7">
        <v>25224</v>
      </c>
      <c r="B164" s="8" t="s">
        <v>1504</v>
      </c>
      <c r="C164" s="8" t="s">
        <v>186</v>
      </c>
      <c r="D164" s="8" t="s">
        <v>310</v>
      </c>
      <c r="E164" s="8" t="s">
        <v>1505</v>
      </c>
      <c r="F164" s="8" t="s">
        <v>189</v>
      </c>
      <c r="G164" s="8" t="s">
        <v>190</v>
      </c>
      <c r="H164" s="8" t="s">
        <v>191</v>
      </c>
      <c r="I164" s="8" t="s">
        <v>312</v>
      </c>
      <c r="J164" s="8" t="s">
        <v>313</v>
      </c>
      <c r="K164" s="8" t="s">
        <v>194</v>
      </c>
      <c r="L164" s="8" t="s">
        <v>163</v>
      </c>
      <c r="M164" s="8" t="s">
        <v>1506</v>
      </c>
      <c r="N164" s="8" t="s">
        <v>128</v>
      </c>
      <c r="O164" s="8" t="s">
        <v>1507</v>
      </c>
      <c r="P164" s="8" t="s">
        <v>1508</v>
      </c>
      <c r="Q164" s="8" t="s">
        <v>740</v>
      </c>
      <c r="R164" s="8"/>
      <c r="S164" s="8" t="s">
        <v>317</v>
      </c>
      <c r="T164" s="8" t="s">
        <v>741</v>
      </c>
      <c r="U164" s="8" t="s">
        <v>134</v>
      </c>
      <c r="V164" s="8" t="s">
        <v>740</v>
      </c>
      <c r="W164" s="8" t="s">
        <v>741</v>
      </c>
      <c r="X164" s="8">
        <v>62</v>
      </c>
      <c r="Y164" s="8" t="s">
        <v>135</v>
      </c>
      <c r="Z164" s="8">
        <v>20</v>
      </c>
      <c r="AA164" s="8">
        <v>1</v>
      </c>
      <c r="AB164" s="9">
        <v>0</v>
      </c>
    </row>
    <row r="165" spans="1:28" x14ac:dyDescent="0.2">
      <c r="A165" s="10">
        <v>25289</v>
      </c>
      <c r="B165" s="11" t="s">
        <v>1509</v>
      </c>
      <c r="C165" s="11" t="s">
        <v>170</v>
      </c>
      <c r="D165" s="11" t="s">
        <v>171</v>
      </c>
      <c r="E165" s="11" t="s">
        <v>1510</v>
      </c>
      <c r="F165" s="11" t="s">
        <v>173</v>
      </c>
      <c r="G165" s="11" t="s">
        <v>158</v>
      </c>
      <c r="H165" s="11" t="s">
        <v>159</v>
      </c>
      <c r="I165" s="11" t="s">
        <v>174</v>
      </c>
      <c r="J165" s="11" t="s">
        <v>175</v>
      </c>
      <c r="K165" s="11" t="s">
        <v>162</v>
      </c>
      <c r="L165" s="11" t="s">
        <v>163</v>
      </c>
      <c r="M165" s="11" t="s">
        <v>1511</v>
      </c>
      <c r="N165" s="11" t="s">
        <v>128</v>
      </c>
      <c r="O165" s="11" t="s">
        <v>1512</v>
      </c>
      <c r="P165" s="11" t="s">
        <v>1513</v>
      </c>
      <c r="Q165" s="11" t="s">
        <v>740</v>
      </c>
      <c r="R165" s="11"/>
      <c r="S165" s="11" t="s">
        <v>179</v>
      </c>
      <c r="T165" s="11" t="s">
        <v>741</v>
      </c>
      <c r="U165" s="11" t="s">
        <v>134</v>
      </c>
      <c r="V165" s="11" t="s">
        <v>740</v>
      </c>
      <c r="W165" s="11" t="s">
        <v>741</v>
      </c>
      <c r="X165" s="11">
        <v>62</v>
      </c>
      <c r="Y165" s="11" t="s">
        <v>135</v>
      </c>
      <c r="Z165" s="11">
        <v>80</v>
      </c>
      <c r="AA165" s="11">
        <v>1</v>
      </c>
      <c r="AB165" s="12">
        <v>1</v>
      </c>
    </row>
    <row r="166" spans="1:28" x14ac:dyDescent="0.2">
      <c r="A166" s="7">
        <v>25306</v>
      </c>
      <c r="B166" s="8" t="s">
        <v>1514</v>
      </c>
      <c r="C166" s="8" t="s">
        <v>578</v>
      </c>
      <c r="D166" s="8" t="s">
        <v>579</v>
      </c>
      <c r="E166" s="8" t="s">
        <v>1515</v>
      </c>
      <c r="F166" s="8" t="s">
        <v>581</v>
      </c>
      <c r="G166" s="8" t="s">
        <v>141</v>
      </c>
      <c r="H166" s="8" t="s">
        <v>142</v>
      </c>
      <c r="I166" s="8" t="s">
        <v>582</v>
      </c>
      <c r="J166" s="8" t="s">
        <v>583</v>
      </c>
      <c r="K166" s="8" t="s">
        <v>584</v>
      </c>
      <c r="L166" s="8" t="s">
        <v>146</v>
      </c>
      <c r="M166" s="8" t="s">
        <v>1516</v>
      </c>
      <c r="N166" s="8" t="s">
        <v>128</v>
      </c>
      <c r="O166" s="8" t="s">
        <v>1517</v>
      </c>
      <c r="P166" s="8" t="s">
        <v>1518</v>
      </c>
      <c r="Q166" s="8" t="s">
        <v>740</v>
      </c>
      <c r="R166" s="8"/>
      <c r="S166" s="8" t="s">
        <v>588</v>
      </c>
      <c r="T166" s="8" t="s">
        <v>741</v>
      </c>
      <c r="U166" s="8" t="s">
        <v>134</v>
      </c>
      <c r="V166" s="8" t="s">
        <v>740</v>
      </c>
      <c r="W166" s="8" t="s">
        <v>741</v>
      </c>
      <c r="X166" s="8">
        <v>62</v>
      </c>
      <c r="Y166" s="8" t="s">
        <v>135</v>
      </c>
      <c r="Z166" s="8">
        <v>20</v>
      </c>
      <c r="AA166" s="8">
        <v>1</v>
      </c>
      <c r="AB166" s="9">
        <v>0</v>
      </c>
    </row>
    <row r="167" spans="1:28" x14ac:dyDescent="0.2">
      <c r="A167" s="10">
        <v>22136</v>
      </c>
      <c r="B167" s="11" t="s">
        <v>1519</v>
      </c>
      <c r="C167" s="11" t="s">
        <v>1193</v>
      </c>
      <c r="D167" s="11" t="s">
        <v>1064</v>
      </c>
      <c r="E167" s="11" t="s">
        <v>1520</v>
      </c>
      <c r="F167" s="11" t="s">
        <v>1195</v>
      </c>
      <c r="G167" s="11" t="s">
        <v>1196</v>
      </c>
      <c r="H167" s="11" t="s">
        <v>142</v>
      </c>
      <c r="I167" s="11" t="s">
        <v>1197</v>
      </c>
      <c r="J167" s="11" t="s">
        <v>1198</v>
      </c>
      <c r="K167" s="11" t="s">
        <v>1199</v>
      </c>
      <c r="L167" s="11" t="s">
        <v>464</v>
      </c>
      <c r="M167" s="11" t="s">
        <v>1521</v>
      </c>
      <c r="N167" s="11" t="s">
        <v>128</v>
      </c>
      <c r="O167" s="11" t="s">
        <v>1522</v>
      </c>
      <c r="P167" s="11"/>
      <c r="Q167" s="11" t="s">
        <v>249</v>
      </c>
      <c r="R167" s="11"/>
      <c r="S167" s="11" t="s">
        <v>1203</v>
      </c>
      <c r="T167" s="11" t="s">
        <v>1523</v>
      </c>
      <c r="U167" s="11" t="s">
        <v>134</v>
      </c>
      <c r="V167" s="11" t="s">
        <v>249</v>
      </c>
      <c r="W167" s="11" t="s">
        <v>1523</v>
      </c>
      <c r="X167" s="11">
        <v>62</v>
      </c>
      <c r="Y167" s="11" t="s">
        <v>135</v>
      </c>
      <c r="Z167" s="11">
        <v>20</v>
      </c>
      <c r="AA167" s="11">
        <v>1</v>
      </c>
      <c r="AB167" s="12">
        <v>0</v>
      </c>
    </row>
    <row r="168" spans="1:28" x14ac:dyDescent="0.2">
      <c r="A168" s="7">
        <v>25427</v>
      </c>
      <c r="B168" s="8" t="s">
        <v>1524</v>
      </c>
      <c r="C168" s="8" t="s">
        <v>985</v>
      </c>
      <c r="D168" s="8" t="s">
        <v>986</v>
      </c>
      <c r="E168" s="8" t="s">
        <v>1525</v>
      </c>
      <c r="F168" s="8" t="s">
        <v>988</v>
      </c>
      <c r="G168" s="8" t="s">
        <v>141</v>
      </c>
      <c r="H168" s="8" t="s">
        <v>142</v>
      </c>
      <c r="I168" s="8" t="s">
        <v>989</v>
      </c>
      <c r="J168" s="8" t="s">
        <v>990</v>
      </c>
      <c r="K168" s="8" t="s">
        <v>991</v>
      </c>
      <c r="L168" s="8" t="s">
        <v>146</v>
      </c>
      <c r="M168" s="8" t="s">
        <v>1526</v>
      </c>
      <c r="N168" s="8" t="s">
        <v>128</v>
      </c>
      <c r="O168" s="8" t="s">
        <v>1527</v>
      </c>
      <c r="P168" s="8" t="s">
        <v>1528</v>
      </c>
      <c r="Q168" s="8" t="s">
        <v>249</v>
      </c>
      <c r="R168" s="8"/>
      <c r="S168" s="8" t="s">
        <v>995</v>
      </c>
      <c r="T168" s="8" t="s">
        <v>250</v>
      </c>
      <c r="U168" s="8" t="s">
        <v>134</v>
      </c>
      <c r="V168" s="8" t="s">
        <v>249</v>
      </c>
      <c r="W168" s="8" t="s">
        <v>250</v>
      </c>
      <c r="X168" s="8">
        <v>62</v>
      </c>
      <c r="Y168" s="8" t="s">
        <v>135</v>
      </c>
      <c r="Z168" s="8">
        <v>20</v>
      </c>
      <c r="AA168" s="8">
        <v>1</v>
      </c>
      <c r="AB168" s="9">
        <v>0</v>
      </c>
    </row>
    <row r="169" spans="1:28" x14ac:dyDescent="0.2">
      <c r="A169" s="10">
        <v>25484</v>
      </c>
      <c r="B169" s="11" t="s">
        <v>1529</v>
      </c>
      <c r="C169" s="11" t="s">
        <v>186</v>
      </c>
      <c r="D169" s="11" t="s">
        <v>187</v>
      </c>
      <c r="E169" s="11" t="s">
        <v>1530</v>
      </c>
      <c r="F169" s="11" t="s">
        <v>189</v>
      </c>
      <c r="G169" s="11" t="s">
        <v>190</v>
      </c>
      <c r="H169" s="11" t="s">
        <v>191</v>
      </c>
      <c r="I169" s="11" t="s">
        <v>1531</v>
      </c>
      <c r="J169" s="11" t="s">
        <v>193</v>
      </c>
      <c r="K169" s="11" t="s">
        <v>194</v>
      </c>
      <c r="L169" s="11" t="s">
        <v>163</v>
      </c>
      <c r="M169" s="11" t="s">
        <v>1532</v>
      </c>
      <c r="N169" s="11" t="s">
        <v>128</v>
      </c>
      <c r="O169" s="11" t="s">
        <v>1533</v>
      </c>
      <c r="P169" s="11" t="s">
        <v>1534</v>
      </c>
      <c r="Q169" s="11" t="s">
        <v>249</v>
      </c>
      <c r="R169" s="11"/>
      <c r="S169" s="11" t="s">
        <v>198</v>
      </c>
      <c r="T169" s="11" t="s">
        <v>250</v>
      </c>
      <c r="U169" s="11" t="s">
        <v>134</v>
      </c>
      <c r="V169" s="11" t="s">
        <v>249</v>
      </c>
      <c r="W169" s="11" t="s">
        <v>250</v>
      </c>
      <c r="X169" s="11">
        <v>62</v>
      </c>
      <c r="Y169" s="11" t="s">
        <v>135</v>
      </c>
      <c r="Z169" s="11">
        <v>20</v>
      </c>
      <c r="AA169" s="11">
        <v>1</v>
      </c>
      <c r="AB169" s="12">
        <v>0</v>
      </c>
    </row>
    <row r="170" spans="1:28" x14ac:dyDescent="0.2">
      <c r="A170" s="7">
        <v>25471</v>
      </c>
      <c r="B170" s="8" t="s">
        <v>1535</v>
      </c>
      <c r="C170" s="8" t="s">
        <v>154</v>
      </c>
      <c r="D170" s="8" t="s">
        <v>155</v>
      </c>
      <c r="E170" s="8" t="s">
        <v>1536</v>
      </c>
      <c r="F170" s="8" t="s">
        <v>157</v>
      </c>
      <c r="G170" s="8" t="s">
        <v>158</v>
      </c>
      <c r="H170" s="8" t="s">
        <v>159</v>
      </c>
      <c r="I170" s="8" t="s">
        <v>160</v>
      </c>
      <c r="J170" s="8" t="s">
        <v>161</v>
      </c>
      <c r="K170" s="8" t="s">
        <v>162</v>
      </c>
      <c r="L170" s="8" t="s">
        <v>163</v>
      </c>
      <c r="M170" s="8" t="s">
        <v>1537</v>
      </c>
      <c r="N170" s="8" t="s">
        <v>128</v>
      </c>
      <c r="O170" s="8" t="s">
        <v>1538</v>
      </c>
      <c r="P170" s="8" t="s">
        <v>1539</v>
      </c>
      <c r="Q170" s="8" t="s">
        <v>249</v>
      </c>
      <c r="R170" s="8"/>
      <c r="S170" s="8" t="s">
        <v>167</v>
      </c>
      <c r="T170" s="8" t="s">
        <v>250</v>
      </c>
      <c r="U170" s="8" t="s">
        <v>134</v>
      </c>
      <c r="V170" s="8" t="s">
        <v>249</v>
      </c>
      <c r="W170" s="8" t="s">
        <v>250</v>
      </c>
      <c r="X170" s="8">
        <v>62</v>
      </c>
      <c r="Y170" s="8" t="s">
        <v>135</v>
      </c>
      <c r="Z170" s="8">
        <v>20</v>
      </c>
      <c r="AA170" s="8">
        <v>1</v>
      </c>
      <c r="AB170" s="9">
        <v>0</v>
      </c>
    </row>
    <row r="171" spans="1:28" x14ac:dyDescent="0.2">
      <c r="A171" s="10">
        <v>25556</v>
      </c>
      <c r="B171" s="11" t="s">
        <v>1540</v>
      </c>
      <c r="C171" s="11" t="s">
        <v>170</v>
      </c>
      <c r="D171" s="11" t="s">
        <v>171</v>
      </c>
      <c r="E171" s="11" t="s">
        <v>1541</v>
      </c>
      <c r="F171" s="11" t="s">
        <v>173</v>
      </c>
      <c r="G171" s="11" t="s">
        <v>158</v>
      </c>
      <c r="H171" s="11" t="s">
        <v>159</v>
      </c>
      <c r="I171" s="11" t="s">
        <v>1542</v>
      </c>
      <c r="J171" s="11" t="s">
        <v>175</v>
      </c>
      <c r="K171" s="11" t="s">
        <v>162</v>
      </c>
      <c r="L171" s="11" t="s">
        <v>163</v>
      </c>
      <c r="M171" s="11" t="s">
        <v>1543</v>
      </c>
      <c r="N171" s="11" t="s">
        <v>128</v>
      </c>
      <c r="O171" s="11" t="s">
        <v>1544</v>
      </c>
      <c r="P171" s="11" t="s">
        <v>1545</v>
      </c>
      <c r="Q171" s="11" t="s">
        <v>249</v>
      </c>
      <c r="R171" s="11"/>
      <c r="S171" s="11" t="s">
        <v>179</v>
      </c>
      <c r="T171" s="11" t="s">
        <v>250</v>
      </c>
      <c r="U171" s="11" t="s">
        <v>134</v>
      </c>
      <c r="V171" s="11" t="s">
        <v>249</v>
      </c>
      <c r="W171" s="11" t="s">
        <v>250</v>
      </c>
      <c r="X171" s="11">
        <v>62</v>
      </c>
      <c r="Y171" s="11" t="s">
        <v>135</v>
      </c>
      <c r="Z171" s="11">
        <v>20</v>
      </c>
      <c r="AA171" s="11">
        <v>1</v>
      </c>
      <c r="AB171" s="12">
        <v>0</v>
      </c>
    </row>
    <row r="172" spans="1:28" x14ac:dyDescent="0.2">
      <c r="A172" s="7">
        <v>25450</v>
      </c>
      <c r="B172" s="8" t="s">
        <v>1546</v>
      </c>
      <c r="C172" s="8" t="s">
        <v>517</v>
      </c>
      <c r="D172" s="8" t="s">
        <v>518</v>
      </c>
      <c r="E172" s="8" t="s">
        <v>1547</v>
      </c>
      <c r="F172" s="8" t="s">
        <v>520</v>
      </c>
      <c r="G172" s="8" t="s">
        <v>521</v>
      </c>
      <c r="H172" s="8" t="s">
        <v>522</v>
      </c>
      <c r="I172" s="8" t="s">
        <v>523</v>
      </c>
      <c r="J172" s="8" t="s">
        <v>524</v>
      </c>
      <c r="K172" s="8" t="s">
        <v>525</v>
      </c>
      <c r="L172" s="8" t="s">
        <v>526</v>
      </c>
      <c r="M172" s="8" t="s">
        <v>1548</v>
      </c>
      <c r="N172" s="8" t="s">
        <v>128</v>
      </c>
      <c r="O172" s="8" t="s">
        <v>1549</v>
      </c>
      <c r="P172" s="8" t="s">
        <v>1550</v>
      </c>
      <c r="Q172" s="8" t="s">
        <v>249</v>
      </c>
      <c r="R172" s="8"/>
      <c r="S172" s="8" t="s">
        <v>530</v>
      </c>
      <c r="T172" s="8" t="s">
        <v>250</v>
      </c>
      <c r="U172" s="8" t="s">
        <v>134</v>
      </c>
      <c r="V172" s="8" t="s">
        <v>249</v>
      </c>
      <c r="W172" s="8" t="s">
        <v>250</v>
      </c>
      <c r="X172" s="8">
        <v>62</v>
      </c>
      <c r="Y172" s="8" t="s">
        <v>135</v>
      </c>
      <c r="Z172" s="8">
        <v>20</v>
      </c>
      <c r="AA172" s="8">
        <v>1</v>
      </c>
      <c r="AB172" s="9">
        <v>0</v>
      </c>
    </row>
    <row r="173" spans="1:28" x14ac:dyDescent="0.2">
      <c r="A173" s="10">
        <v>20763</v>
      </c>
      <c r="B173" s="11" t="s">
        <v>1551</v>
      </c>
      <c r="C173" s="11" t="s">
        <v>1271</v>
      </c>
      <c r="D173" s="11" t="s">
        <v>1272</v>
      </c>
      <c r="E173" s="11" t="s">
        <v>438</v>
      </c>
      <c r="F173" s="11" t="s">
        <v>1274</v>
      </c>
      <c r="G173" s="11" t="s">
        <v>521</v>
      </c>
      <c r="H173" s="11" t="s">
        <v>522</v>
      </c>
      <c r="I173" s="11" t="s">
        <v>1275</v>
      </c>
      <c r="J173" s="11" t="s">
        <v>1276</v>
      </c>
      <c r="K173" s="11" t="s">
        <v>525</v>
      </c>
      <c r="L173" s="11" t="s">
        <v>526</v>
      </c>
      <c r="M173" s="11" t="s">
        <v>1552</v>
      </c>
      <c r="N173" s="11" t="s">
        <v>128</v>
      </c>
      <c r="O173" s="11" t="s">
        <v>1553</v>
      </c>
      <c r="P173" s="11" t="s">
        <v>1554</v>
      </c>
      <c r="Q173" s="11" t="s">
        <v>150</v>
      </c>
      <c r="R173" s="11"/>
      <c r="S173" s="11" t="s">
        <v>1280</v>
      </c>
      <c r="T173" s="11" t="s">
        <v>531</v>
      </c>
      <c r="U173" s="11" t="s">
        <v>150</v>
      </c>
      <c r="V173" s="11" t="s">
        <v>531</v>
      </c>
      <c r="W173" s="11" t="s">
        <v>531</v>
      </c>
      <c r="X173" s="11">
        <v>61</v>
      </c>
      <c r="Y173" s="11" t="s">
        <v>135</v>
      </c>
      <c r="Z173" s="11">
        <v>80</v>
      </c>
      <c r="AA173" s="11">
        <v>1</v>
      </c>
      <c r="AB173" s="12">
        <v>1</v>
      </c>
    </row>
    <row r="174" spans="1:28" x14ac:dyDescent="0.2">
      <c r="A174" s="7">
        <v>21580</v>
      </c>
      <c r="B174" s="8" t="s">
        <v>1555</v>
      </c>
      <c r="C174" s="8" t="s">
        <v>1556</v>
      </c>
      <c r="D174" s="8" t="s">
        <v>1557</v>
      </c>
      <c r="E174" s="8" t="s">
        <v>1558</v>
      </c>
      <c r="F174" s="8" t="s">
        <v>353</v>
      </c>
      <c r="G174" s="8" t="s">
        <v>1559</v>
      </c>
      <c r="H174" s="8" t="s">
        <v>557</v>
      </c>
      <c r="I174" s="8" t="s">
        <v>1560</v>
      </c>
      <c r="J174" s="8" t="s">
        <v>1561</v>
      </c>
      <c r="K174" s="8" t="s">
        <v>1562</v>
      </c>
      <c r="L174" s="8" t="s">
        <v>229</v>
      </c>
      <c r="M174" s="8" t="s">
        <v>1563</v>
      </c>
      <c r="N174" s="8" t="s">
        <v>128</v>
      </c>
      <c r="O174" s="8" t="s">
        <v>1564</v>
      </c>
      <c r="P174" s="8" t="s">
        <v>1565</v>
      </c>
      <c r="Q174" s="8" t="s">
        <v>150</v>
      </c>
      <c r="R174" s="8"/>
      <c r="S174" s="8" t="s">
        <v>71</v>
      </c>
      <c r="T174" s="8" t="s">
        <v>67</v>
      </c>
      <c r="U174" s="8" t="s">
        <v>150</v>
      </c>
      <c r="V174" s="8" t="s">
        <v>152</v>
      </c>
      <c r="W174" s="8" t="s">
        <v>67</v>
      </c>
      <c r="X174" s="8">
        <v>61</v>
      </c>
      <c r="Y174" s="8" t="s">
        <v>135</v>
      </c>
      <c r="Z174" s="8">
        <v>80</v>
      </c>
      <c r="AA174" s="8">
        <v>0</v>
      </c>
      <c r="AB174" s="9">
        <v>0</v>
      </c>
    </row>
    <row r="175" spans="1:28" x14ac:dyDescent="0.2">
      <c r="A175" s="10">
        <v>21515</v>
      </c>
      <c r="B175" s="11" t="s">
        <v>1566</v>
      </c>
      <c r="C175" s="11" t="s">
        <v>1567</v>
      </c>
      <c r="D175" s="11" t="s">
        <v>1568</v>
      </c>
      <c r="E175" s="11" t="s">
        <v>1569</v>
      </c>
      <c r="F175" s="11" t="s">
        <v>353</v>
      </c>
      <c r="G175" s="11" t="s">
        <v>714</v>
      </c>
      <c r="H175" s="11" t="s">
        <v>142</v>
      </c>
      <c r="I175" s="11" t="s">
        <v>1570</v>
      </c>
      <c r="J175" s="11" t="s">
        <v>1571</v>
      </c>
      <c r="K175" s="11" t="s">
        <v>717</v>
      </c>
      <c r="L175" s="11" t="s">
        <v>464</v>
      </c>
      <c r="M175" s="11" t="s">
        <v>1572</v>
      </c>
      <c r="N175" s="11" t="s">
        <v>128</v>
      </c>
      <c r="O175" s="11" t="s">
        <v>1573</v>
      </c>
      <c r="P175" s="11" t="s">
        <v>1574</v>
      </c>
      <c r="Q175" s="11" t="s">
        <v>150</v>
      </c>
      <c r="R175" s="11"/>
      <c r="S175" s="11" t="s">
        <v>71</v>
      </c>
      <c r="T175" s="11" t="s">
        <v>67</v>
      </c>
      <c r="U175" s="11" t="s">
        <v>150</v>
      </c>
      <c r="V175" s="11" t="s">
        <v>152</v>
      </c>
      <c r="W175" s="11" t="s">
        <v>67</v>
      </c>
      <c r="X175" s="11">
        <v>61</v>
      </c>
      <c r="Y175" s="11" t="s">
        <v>135</v>
      </c>
      <c r="Z175" s="11">
        <v>80</v>
      </c>
      <c r="AA175" s="11">
        <v>0</v>
      </c>
      <c r="AB175" s="12">
        <v>0</v>
      </c>
    </row>
    <row r="176" spans="1:28" x14ac:dyDescent="0.2">
      <c r="A176" s="7">
        <v>21652</v>
      </c>
      <c r="B176" s="8" t="s">
        <v>1575</v>
      </c>
      <c r="C176" s="8" t="s">
        <v>1576</v>
      </c>
      <c r="D176" s="8" t="s">
        <v>1577</v>
      </c>
      <c r="E176" s="8" t="s">
        <v>1578</v>
      </c>
      <c r="F176" s="8" t="s">
        <v>353</v>
      </c>
      <c r="G176" s="8" t="s">
        <v>1026</v>
      </c>
      <c r="H176" s="8" t="s">
        <v>142</v>
      </c>
      <c r="I176" s="8" t="s">
        <v>1579</v>
      </c>
      <c r="J176" s="8" t="s">
        <v>1580</v>
      </c>
      <c r="K176" s="8" t="s">
        <v>1029</v>
      </c>
      <c r="L176" s="8" t="s">
        <v>464</v>
      </c>
      <c r="M176" s="8" t="s">
        <v>1581</v>
      </c>
      <c r="N176" s="8" t="s">
        <v>128</v>
      </c>
      <c r="O176" s="8" t="s">
        <v>1582</v>
      </c>
      <c r="P176" s="8" t="s">
        <v>1583</v>
      </c>
      <c r="Q176" s="8" t="s">
        <v>150</v>
      </c>
      <c r="R176" s="8"/>
      <c r="S176" s="8" t="s">
        <v>71</v>
      </c>
      <c r="T176" s="8" t="s">
        <v>67</v>
      </c>
      <c r="U176" s="8" t="s">
        <v>150</v>
      </c>
      <c r="V176" s="8" t="s">
        <v>152</v>
      </c>
      <c r="W176" s="8" t="s">
        <v>67</v>
      </c>
      <c r="X176" s="8">
        <v>61</v>
      </c>
      <c r="Y176" s="8" t="s">
        <v>135</v>
      </c>
      <c r="Z176" s="8">
        <v>80</v>
      </c>
      <c r="AA176" s="8">
        <v>0</v>
      </c>
      <c r="AB176" s="9">
        <v>0</v>
      </c>
    </row>
    <row r="177" spans="1:28" x14ac:dyDescent="0.2">
      <c r="A177" s="10">
        <v>21640</v>
      </c>
      <c r="B177" s="11" t="s">
        <v>1584</v>
      </c>
      <c r="C177" s="11" t="s">
        <v>1585</v>
      </c>
      <c r="D177" s="11" t="s">
        <v>1586</v>
      </c>
      <c r="E177" s="11" t="s">
        <v>1587</v>
      </c>
      <c r="F177" s="11" t="s">
        <v>1487</v>
      </c>
      <c r="G177" s="11" t="s">
        <v>1488</v>
      </c>
      <c r="H177" s="11" t="s">
        <v>329</v>
      </c>
      <c r="I177" s="11" t="s">
        <v>1588</v>
      </c>
      <c r="J177" s="11" t="s">
        <v>1589</v>
      </c>
      <c r="K177" s="11" t="s">
        <v>415</v>
      </c>
      <c r="L177" s="11" t="s">
        <v>333</v>
      </c>
      <c r="M177" s="11" t="s">
        <v>1590</v>
      </c>
      <c r="N177" s="11" t="s">
        <v>128</v>
      </c>
      <c r="O177" s="11" t="s">
        <v>1591</v>
      </c>
      <c r="P177" s="11" t="s">
        <v>1592</v>
      </c>
      <c r="Q177" s="11" t="s">
        <v>150</v>
      </c>
      <c r="R177" s="11"/>
      <c r="S177" s="11" t="s">
        <v>71</v>
      </c>
      <c r="T177" s="11" t="s">
        <v>67</v>
      </c>
      <c r="U177" s="11" t="s">
        <v>150</v>
      </c>
      <c r="V177" s="11" t="s">
        <v>152</v>
      </c>
      <c r="W177" s="11" t="s">
        <v>67</v>
      </c>
      <c r="X177" s="11">
        <v>61</v>
      </c>
      <c r="Y177" s="11" t="s">
        <v>135</v>
      </c>
      <c r="Z177" s="11">
        <v>80</v>
      </c>
      <c r="AA177" s="11">
        <v>0</v>
      </c>
      <c r="AB177" s="12">
        <v>0</v>
      </c>
    </row>
    <row r="178" spans="1:28" x14ac:dyDescent="0.2">
      <c r="A178" s="7">
        <v>21701</v>
      </c>
      <c r="B178" s="8" t="s">
        <v>1593</v>
      </c>
      <c r="C178" s="8" t="s">
        <v>1477</v>
      </c>
      <c r="D178" s="8" t="s">
        <v>1594</v>
      </c>
      <c r="E178" s="8" t="s">
        <v>1595</v>
      </c>
      <c r="F178" s="8" t="s">
        <v>1479</v>
      </c>
      <c r="G178" s="8" t="s">
        <v>556</v>
      </c>
      <c r="H178" s="8" t="s">
        <v>557</v>
      </c>
      <c r="I178" s="8" t="s">
        <v>1596</v>
      </c>
      <c r="J178" s="8" t="s">
        <v>1597</v>
      </c>
      <c r="K178" s="8" t="s">
        <v>560</v>
      </c>
      <c r="L178" s="8" t="s">
        <v>229</v>
      </c>
      <c r="M178" s="8" t="s">
        <v>1598</v>
      </c>
      <c r="N178" s="8" t="s">
        <v>128</v>
      </c>
      <c r="O178" s="8" t="s">
        <v>1599</v>
      </c>
      <c r="P178" s="8" t="s">
        <v>1600</v>
      </c>
      <c r="Q178" s="8" t="s">
        <v>150</v>
      </c>
      <c r="R178" s="8"/>
      <c r="S178" s="8" t="s">
        <v>71</v>
      </c>
      <c r="T178" s="8" t="s">
        <v>67</v>
      </c>
      <c r="U178" s="8" t="s">
        <v>150</v>
      </c>
      <c r="V178" s="8" t="s">
        <v>152</v>
      </c>
      <c r="W178" s="8" t="s">
        <v>67</v>
      </c>
      <c r="X178" s="8">
        <v>61</v>
      </c>
      <c r="Y178" s="8" t="s">
        <v>135</v>
      </c>
      <c r="Z178" s="8">
        <v>80</v>
      </c>
      <c r="AA178" s="8">
        <v>0</v>
      </c>
      <c r="AB178" s="9">
        <v>0</v>
      </c>
    </row>
    <row r="179" spans="1:28" x14ac:dyDescent="0.2">
      <c r="A179" s="10">
        <v>21702</v>
      </c>
      <c r="B179" s="11" t="s">
        <v>1601</v>
      </c>
      <c r="C179" s="11" t="s">
        <v>1477</v>
      </c>
      <c r="D179" s="11" t="s">
        <v>1602</v>
      </c>
      <c r="E179" s="11" t="s">
        <v>1603</v>
      </c>
      <c r="F179" s="11" t="s">
        <v>1479</v>
      </c>
      <c r="G179" s="11" t="s">
        <v>556</v>
      </c>
      <c r="H179" s="11" t="s">
        <v>557</v>
      </c>
      <c r="I179" s="11" t="s">
        <v>1604</v>
      </c>
      <c r="J179" s="11" t="s">
        <v>1605</v>
      </c>
      <c r="K179" s="11" t="s">
        <v>560</v>
      </c>
      <c r="L179" s="11" t="s">
        <v>229</v>
      </c>
      <c r="M179" s="11" t="s">
        <v>1606</v>
      </c>
      <c r="N179" s="11" t="s">
        <v>128</v>
      </c>
      <c r="O179" s="11" t="s">
        <v>1607</v>
      </c>
      <c r="P179" s="11" t="s">
        <v>1608</v>
      </c>
      <c r="Q179" s="11" t="s">
        <v>150</v>
      </c>
      <c r="R179" s="11"/>
      <c r="S179" s="11" t="s">
        <v>71</v>
      </c>
      <c r="T179" s="11" t="s">
        <v>67</v>
      </c>
      <c r="U179" s="11" t="s">
        <v>150</v>
      </c>
      <c r="V179" s="11" t="s">
        <v>152</v>
      </c>
      <c r="W179" s="11" t="s">
        <v>67</v>
      </c>
      <c r="X179" s="11">
        <v>61</v>
      </c>
      <c r="Y179" s="11" t="s">
        <v>135</v>
      </c>
      <c r="Z179" s="11">
        <v>80</v>
      </c>
      <c r="AA179" s="11">
        <v>0</v>
      </c>
      <c r="AB179" s="12">
        <v>0</v>
      </c>
    </row>
    <row r="180" spans="1:28" x14ac:dyDescent="0.2">
      <c r="A180" s="7">
        <v>21288</v>
      </c>
      <c r="B180" s="8" t="s">
        <v>1609</v>
      </c>
      <c r="C180" s="8" t="s">
        <v>1610</v>
      </c>
      <c r="D180" s="8" t="s">
        <v>1611</v>
      </c>
      <c r="E180" s="8" t="s">
        <v>1612</v>
      </c>
      <c r="F180" s="8" t="s">
        <v>1613</v>
      </c>
      <c r="G180" s="8" t="s">
        <v>1614</v>
      </c>
      <c r="H180" s="8" t="s">
        <v>142</v>
      </c>
      <c r="I180" s="8" t="s">
        <v>1615</v>
      </c>
      <c r="J180" s="8" t="s">
        <v>1616</v>
      </c>
      <c r="K180" s="8" t="s">
        <v>717</v>
      </c>
      <c r="L180" s="8" t="s">
        <v>464</v>
      </c>
      <c r="M180" s="8" t="s">
        <v>1617</v>
      </c>
      <c r="N180" s="8" t="s">
        <v>128</v>
      </c>
      <c r="O180" s="8" t="s">
        <v>1618</v>
      </c>
      <c r="P180" s="8" t="s">
        <v>1619</v>
      </c>
      <c r="Q180" s="8" t="s">
        <v>150</v>
      </c>
      <c r="R180" s="8"/>
      <c r="S180" s="8" t="s">
        <v>1620</v>
      </c>
      <c r="T180" s="8" t="s">
        <v>67</v>
      </c>
      <c r="U180" s="8" t="s">
        <v>150</v>
      </c>
      <c r="V180" s="8" t="s">
        <v>152</v>
      </c>
      <c r="W180" s="8" t="s">
        <v>67</v>
      </c>
      <c r="X180" s="8">
        <v>61</v>
      </c>
      <c r="Y180" s="8" t="s">
        <v>135</v>
      </c>
      <c r="Z180" s="8">
        <v>80</v>
      </c>
      <c r="AA180" s="8">
        <v>0</v>
      </c>
      <c r="AB180" s="9">
        <v>0</v>
      </c>
    </row>
    <row r="181" spans="1:28" x14ac:dyDescent="0.2">
      <c r="A181" s="10">
        <v>21331</v>
      </c>
      <c r="B181" s="11" t="s">
        <v>1621</v>
      </c>
      <c r="C181" s="11" t="s">
        <v>1622</v>
      </c>
      <c r="D181" s="11" t="s">
        <v>1623</v>
      </c>
      <c r="E181" s="11" t="s">
        <v>1624</v>
      </c>
      <c r="F181" s="11" t="s">
        <v>1625</v>
      </c>
      <c r="G181" s="11" t="s">
        <v>1626</v>
      </c>
      <c r="H181" s="11" t="s">
        <v>142</v>
      </c>
      <c r="I181" s="11" t="s">
        <v>1627</v>
      </c>
      <c r="J181" s="11" t="s">
        <v>1628</v>
      </c>
      <c r="K181" s="11" t="s">
        <v>472</v>
      </c>
      <c r="L181" s="11" t="s">
        <v>146</v>
      </c>
      <c r="M181" s="11" t="s">
        <v>1629</v>
      </c>
      <c r="N181" s="11" t="s">
        <v>128</v>
      </c>
      <c r="O181" s="11" t="s">
        <v>1630</v>
      </c>
      <c r="P181" s="11" t="s">
        <v>1631</v>
      </c>
      <c r="Q181" s="11" t="s">
        <v>150</v>
      </c>
      <c r="R181" s="11"/>
      <c r="S181" s="11" t="s">
        <v>1632</v>
      </c>
      <c r="T181" s="11" t="s">
        <v>67</v>
      </c>
      <c r="U181" s="11" t="s">
        <v>150</v>
      </c>
      <c r="V181" s="11" t="s">
        <v>152</v>
      </c>
      <c r="W181" s="11" t="s">
        <v>67</v>
      </c>
      <c r="X181" s="11">
        <v>61</v>
      </c>
      <c r="Y181" s="11" t="s">
        <v>135</v>
      </c>
      <c r="Z181" s="11">
        <v>80</v>
      </c>
      <c r="AA181" s="11">
        <v>0</v>
      </c>
      <c r="AB181" s="12">
        <v>0</v>
      </c>
    </row>
    <row r="182" spans="1:28" x14ac:dyDescent="0.2">
      <c r="A182" s="7">
        <v>21482</v>
      </c>
      <c r="B182" s="8" t="s">
        <v>1633</v>
      </c>
      <c r="C182" s="8" t="s">
        <v>1634</v>
      </c>
      <c r="D182" s="8" t="s">
        <v>1635</v>
      </c>
      <c r="E182" s="8" t="s">
        <v>1636</v>
      </c>
      <c r="F182" s="8" t="s">
        <v>1637</v>
      </c>
      <c r="G182" s="8" t="s">
        <v>328</v>
      </c>
      <c r="H182" s="8" t="s">
        <v>329</v>
      </c>
      <c r="I182" s="8" t="s">
        <v>1638</v>
      </c>
      <c r="J182" s="8" t="s">
        <v>1639</v>
      </c>
      <c r="K182" s="8" t="s">
        <v>572</v>
      </c>
      <c r="L182" s="8" t="s">
        <v>333</v>
      </c>
      <c r="M182" s="8" t="s">
        <v>1640</v>
      </c>
      <c r="N182" s="8" t="s">
        <v>128</v>
      </c>
      <c r="O182" s="8" t="s">
        <v>1641</v>
      </c>
      <c r="P182" s="8" t="s">
        <v>1642</v>
      </c>
      <c r="Q182" s="8" t="s">
        <v>150</v>
      </c>
      <c r="R182" s="8"/>
      <c r="S182" s="8" t="s">
        <v>1643</v>
      </c>
      <c r="T182" s="8" t="s">
        <v>67</v>
      </c>
      <c r="U182" s="8" t="s">
        <v>150</v>
      </c>
      <c r="V182" s="8" t="s">
        <v>152</v>
      </c>
      <c r="W182" s="8" t="s">
        <v>67</v>
      </c>
      <c r="X182" s="8">
        <v>61</v>
      </c>
      <c r="Y182" s="8" t="s">
        <v>135</v>
      </c>
      <c r="Z182" s="8">
        <v>80</v>
      </c>
      <c r="AA182" s="8">
        <v>0</v>
      </c>
      <c r="AB182" s="9">
        <v>0</v>
      </c>
    </row>
    <row r="183" spans="1:28" x14ac:dyDescent="0.2">
      <c r="A183" s="10">
        <v>21503</v>
      </c>
      <c r="B183" s="11" t="s">
        <v>1644</v>
      </c>
      <c r="C183" s="11" t="s">
        <v>1645</v>
      </c>
      <c r="D183" s="11" t="s">
        <v>1646</v>
      </c>
      <c r="E183" s="11" t="s">
        <v>1647</v>
      </c>
      <c r="F183" s="11" t="s">
        <v>1648</v>
      </c>
      <c r="G183" s="11" t="s">
        <v>328</v>
      </c>
      <c r="H183" s="11" t="s">
        <v>329</v>
      </c>
      <c r="I183" s="11" t="s">
        <v>1649</v>
      </c>
      <c r="J183" s="11" t="s">
        <v>1650</v>
      </c>
      <c r="K183" s="11" t="s">
        <v>572</v>
      </c>
      <c r="L183" s="11" t="s">
        <v>333</v>
      </c>
      <c r="M183" s="11" t="s">
        <v>1651</v>
      </c>
      <c r="N183" s="11" t="s">
        <v>128</v>
      </c>
      <c r="O183" s="11" t="s">
        <v>1652</v>
      </c>
      <c r="P183" s="11" t="s">
        <v>1653</v>
      </c>
      <c r="Q183" s="11" t="s">
        <v>150</v>
      </c>
      <c r="R183" s="11"/>
      <c r="S183" s="11" t="s">
        <v>1654</v>
      </c>
      <c r="T183" s="11" t="s">
        <v>67</v>
      </c>
      <c r="U183" s="11" t="s">
        <v>150</v>
      </c>
      <c r="V183" s="11" t="s">
        <v>152</v>
      </c>
      <c r="W183" s="11" t="s">
        <v>67</v>
      </c>
      <c r="X183" s="11">
        <v>61</v>
      </c>
      <c r="Y183" s="11" t="s">
        <v>135</v>
      </c>
      <c r="Z183" s="11">
        <v>80</v>
      </c>
      <c r="AA183" s="11">
        <v>0</v>
      </c>
      <c r="AB183" s="12">
        <v>0</v>
      </c>
    </row>
    <row r="184" spans="1:28" x14ac:dyDescent="0.2">
      <c r="A184" s="7">
        <v>21637</v>
      </c>
      <c r="B184" s="8" t="s">
        <v>1655</v>
      </c>
      <c r="C184" s="8" t="s">
        <v>1656</v>
      </c>
      <c r="D184" s="8" t="s">
        <v>138</v>
      </c>
      <c r="E184" s="8" t="s">
        <v>1657</v>
      </c>
      <c r="F184" s="8" t="s">
        <v>1658</v>
      </c>
      <c r="G184" s="8" t="s">
        <v>141</v>
      </c>
      <c r="H184" s="8" t="s">
        <v>142</v>
      </c>
      <c r="I184" s="8" t="s">
        <v>1659</v>
      </c>
      <c r="J184" s="8" t="s">
        <v>1660</v>
      </c>
      <c r="K184" s="8" t="s">
        <v>145</v>
      </c>
      <c r="L184" s="8" t="s">
        <v>146</v>
      </c>
      <c r="M184" s="8" t="s">
        <v>1661</v>
      </c>
      <c r="N184" s="8" t="s">
        <v>128</v>
      </c>
      <c r="O184" s="8" t="s">
        <v>1662</v>
      </c>
      <c r="P184" s="8" t="s">
        <v>1663</v>
      </c>
      <c r="Q184" s="8" t="s">
        <v>150</v>
      </c>
      <c r="R184" s="8"/>
      <c r="S184" s="8" t="s">
        <v>1664</v>
      </c>
      <c r="T184" s="8" t="s">
        <v>67</v>
      </c>
      <c r="U184" s="8" t="s">
        <v>150</v>
      </c>
      <c r="V184" s="8" t="s">
        <v>152</v>
      </c>
      <c r="W184" s="8" t="s">
        <v>67</v>
      </c>
      <c r="X184" s="8">
        <v>61</v>
      </c>
      <c r="Y184" s="8" t="s">
        <v>135</v>
      </c>
      <c r="Z184" s="8">
        <v>80</v>
      </c>
      <c r="AA184" s="8">
        <v>0</v>
      </c>
      <c r="AB184" s="9">
        <v>0</v>
      </c>
    </row>
    <row r="185" spans="1:28" x14ac:dyDescent="0.2">
      <c r="A185" s="10">
        <v>21678</v>
      </c>
      <c r="B185" s="11" t="s">
        <v>1665</v>
      </c>
      <c r="C185" s="11" t="s">
        <v>1666</v>
      </c>
      <c r="D185" s="11" t="s">
        <v>1667</v>
      </c>
      <c r="E185" s="11" t="s">
        <v>1668</v>
      </c>
      <c r="F185" s="11" t="s">
        <v>1669</v>
      </c>
      <c r="G185" s="11" t="s">
        <v>1670</v>
      </c>
      <c r="H185" s="11" t="s">
        <v>142</v>
      </c>
      <c r="I185" s="11" t="s">
        <v>1671</v>
      </c>
      <c r="J185" s="11" t="s">
        <v>1672</v>
      </c>
      <c r="K185" s="11" t="s">
        <v>1673</v>
      </c>
      <c r="L185" s="11" t="s">
        <v>464</v>
      </c>
      <c r="M185" s="11" t="s">
        <v>1674</v>
      </c>
      <c r="N185" s="11" t="s">
        <v>128</v>
      </c>
      <c r="O185" s="11" t="s">
        <v>1675</v>
      </c>
      <c r="P185" s="11" t="s">
        <v>1676</v>
      </c>
      <c r="Q185" s="11" t="s">
        <v>150</v>
      </c>
      <c r="R185" s="11"/>
      <c r="S185" s="11" t="s">
        <v>1677</v>
      </c>
      <c r="T185" s="11" t="s">
        <v>67</v>
      </c>
      <c r="U185" s="11" t="s">
        <v>150</v>
      </c>
      <c r="V185" s="11" t="s">
        <v>152</v>
      </c>
      <c r="W185" s="11" t="s">
        <v>67</v>
      </c>
      <c r="X185" s="11">
        <v>61</v>
      </c>
      <c r="Y185" s="11" t="s">
        <v>135</v>
      </c>
      <c r="Z185" s="11">
        <v>80</v>
      </c>
      <c r="AA185" s="11">
        <v>1</v>
      </c>
      <c r="AB185" s="12">
        <v>1</v>
      </c>
    </row>
    <row r="186" spans="1:28" x14ac:dyDescent="0.2">
      <c r="A186" s="7">
        <v>22655</v>
      </c>
      <c r="B186" s="8" t="s">
        <v>1678</v>
      </c>
      <c r="C186" s="8" t="s">
        <v>1249</v>
      </c>
      <c r="D186" s="8" t="s">
        <v>1250</v>
      </c>
      <c r="E186" s="8" t="s">
        <v>1679</v>
      </c>
      <c r="F186" s="8" t="s">
        <v>1252</v>
      </c>
      <c r="G186" s="8" t="s">
        <v>1253</v>
      </c>
      <c r="H186" s="8" t="s">
        <v>142</v>
      </c>
      <c r="I186" s="8" t="s">
        <v>1294</v>
      </c>
      <c r="J186" s="8" t="s">
        <v>1255</v>
      </c>
      <c r="K186" s="8" t="s">
        <v>1199</v>
      </c>
      <c r="L186" s="8" t="s">
        <v>464</v>
      </c>
      <c r="M186" s="8" t="s">
        <v>1680</v>
      </c>
      <c r="N186" s="8" t="s">
        <v>128</v>
      </c>
      <c r="O186" s="8" t="s">
        <v>1681</v>
      </c>
      <c r="P186" s="8"/>
      <c r="Q186" s="8" t="s">
        <v>131</v>
      </c>
      <c r="R186" s="8"/>
      <c r="S186" s="8" t="s">
        <v>1259</v>
      </c>
      <c r="T186" s="8" t="s">
        <v>983</v>
      </c>
      <c r="U186" s="8" t="s">
        <v>134</v>
      </c>
      <c r="V186" s="8" t="s">
        <v>131</v>
      </c>
      <c r="W186" s="8" t="s">
        <v>983</v>
      </c>
      <c r="X186" s="8">
        <v>61</v>
      </c>
      <c r="Y186" s="8" t="s">
        <v>135</v>
      </c>
      <c r="Z186" s="8">
        <v>20</v>
      </c>
      <c r="AA186" s="8">
        <v>1</v>
      </c>
      <c r="AB186" s="9">
        <v>0</v>
      </c>
    </row>
    <row r="187" spans="1:28" x14ac:dyDescent="0.2">
      <c r="A187" s="10">
        <v>22059</v>
      </c>
      <c r="B187" s="11" t="s">
        <v>1682</v>
      </c>
      <c r="C187" s="11" t="s">
        <v>578</v>
      </c>
      <c r="D187" s="11" t="s">
        <v>579</v>
      </c>
      <c r="E187" s="11" t="s">
        <v>1683</v>
      </c>
      <c r="F187" s="11" t="s">
        <v>581</v>
      </c>
      <c r="G187" s="11" t="s">
        <v>141</v>
      </c>
      <c r="H187" s="11" t="s">
        <v>142</v>
      </c>
      <c r="I187" s="11" t="s">
        <v>582</v>
      </c>
      <c r="J187" s="11" t="s">
        <v>583</v>
      </c>
      <c r="K187" s="11" t="s">
        <v>584</v>
      </c>
      <c r="L187" s="11" t="s">
        <v>146</v>
      </c>
      <c r="M187" s="11" t="s">
        <v>1684</v>
      </c>
      <c r="N187" s="11" t="s">
        <v>128</v>
      </c>
      <c r="O187" s="11" t="s">
        <v>1685</v>
      </c>
      <c r="P187" s="11" t="s">
        <v>1686</v>
      </c>
      <c r="Q187" s="11" t="s">
        <v>131</v>
      </c>
      <c r="R187" s="11"/>
      <c r="S187" s="11" t="s">
        <v>588</v>
      </c>
      <c r="T187" s="11" t="s">
        <v>133</v>
      </c>
      <c r="U187" s="11" t="s">
        <v>134</v>
      </c>
      <c r="V187" s="11" t="s">
        <v>131</v>
      </c>
      <c r="W187" s="11" t="s">
        <v>133</v>
      </c>
      <c r="X187" s="11">
        <v>61</v>
      </c>
      <c r="Y187" s="11" t="s">
        <v>135</v>
      </c>
      <c r="Z187" s="11">
        <v>80</v>
      </c>
      <c r="AA187" s="11">
        <v>1</v>
      </c>
      <c r="AB187" s="12">
        <v>1</v>
      </c>
    </row>
    <row r="188" spans="1:28" x14ac:dyDescent="0.2">
      <c r="A188" s="7">
        <v>21867</v>
      </c>
      <c r="B188" s="8" t="s">
        <v>1687</v>
      </c>
      <c r="C188" s="8" t="s">
        <v>1688</v>
      </c>
      <c r="D188" s="8" t="s">
        <v>171</v>
      </c>
      <c r="E188" s="8" t="s">
        <v>1689</v>
      </c>
      <c r="F188" s="8" t="s">
        <v>1690</v>
      </c>
      <c r="G188" s="8" t="s">
        <v>1196</v>
      </c>
      <c r="H188" s="8" t="s">
        <v>142</v>
      </c>
      <c r="I188" s="8" t="s">
        <v>1691</v>
      </c>
      <c r="J188" s="8" t="s">
        <v>1692</v>
      </c>
      <c r="K188" s="8" t="s">
        <v>1199</v>
      </c>
      <c r="L188" s="8" t="s">
        <v>464</v>
      </c>
      <c r="M188" s="8" t="s">
        <v>1693</v>
      </c>
      <c r="N188" s="8" t="s">
        <v>128</v>
      </c>
      <c r="O188" s="8" t="s">
        <v>1694</v>
      </c>
      <c r="P188" s="8" t="s">
        <v>1695</v>
      </c>
      <c r="Q188" s="8" t="s">
        <v>131</v>
      </c>
      <c r="R188" s="8"/>
      <c r="S188" s="8" t="s">
        <v>1696</v>
      </c>
      <c r="T188" s="8" t="s">
        <v>133</v>
      </c>
      <c r="U188" s="8" t="s">
        <v>134</v>
      </c>
      <c r="V188" s="8" t="s">
        <v>131</v>
      </c>
      <c r="W188" s="8" t="s">
        <v>133</v>
      </c>
      <c r="X188" s="8">
        <v>61</v>
      </c>
      <c r="Y188" s="8" t="s">
        <v>135</v>
      </c>
      <c r="Z188" s="8">
        <v>80</v>
      </c>
      <c r="AA188" s="8">
        <v>1</v>
      </c>
      <c r="AB188" s="9">
        <v>1</v>
      </c>
    </row>
    <row r="189" spans="1:28" x14ac:dyDescent="0.2">
      <c r="A189" s="10">
        <v>22053</v>
      </c>
      <c r="B189" s="11" t="s">
        <v>1697</v>
      </c>
      <c r="C189" s="11" t="s">
        <v>733</v>
      </c>
      <c r="D189" s="11" t="s">
        <v>734</v>
      </c>
      <c r="E189" s="11" t="s">
        <v>1698</v>
      </c>
      <c r="F189" s="11" t="s">
        <v>282</v>
      </c>
      <c r="G189" s="11" t="s">
        <v>224</v>
      </c>
      <c r="H189" s="11" t="s">
        <v>225</v>
      </c>
      <c r="I189" s="11" t="s">
        <v>283</v>
      </c>
      <c r="J189" s="11" t="s">
        <v>736</v>
      </c>
      <c r="K189" s="11" t="s">
        <v>228</v>
      </c>
      <c r="L189" s="11" t="s">
        <v>229</v>
      </c>
      <c r="M189" s="11" t="s">
        <v>1699</v>
      </c>
      <c r="N189" s="11" t="s">
        <v>128</v>
      </c>
      <c r="O189" s="11" t="s">
        <v>1700</v>
      </c>
      <c r="P189" s="11" t="s">
        <v>1701</v>
      </c>
      <c r="Q189" s="11" t="s">
        <v>131</v>
      </c>
      <c r="R189" s="11"/>
      <c r="S189" s="11" t="s">
        <v>288</v>
      </c>
      <c r="T189" s="11" t="s">
        <v>133</v>
      </c>
      <c r="U189" s="11" t="s">
        <v>134</v>
      </c>
      <c r="V189" s="11" t="s">
        <v>131</v>
      </c>
      <c r="W189" s="11" t="s">
        <v>133</v>
      </c>
      <c r="X189" s="11">
        <v>61</v>
      </c>
      <c r="Y189" s="11" t="s">
        <v>135</v>
      </c>
      <c r="Z189" s="11">
        <v>20</v>
      </c>
      <c r="AA189" s="11">
        <v>1</v>
      </c>
      <c r="AB189" s="12">
        <v>0</v>
      </c>
    </row>
    <row r="190" spans="1:28" x14ac:dyDescent="0.2">
      <c r="A190" s="7">
        <v>21818</v>
      </c>
      <c r="B190" s="8" t="s">
        <v>1702</v>
      </c>
      <c r="C190" s="8" t="s">
        <v>1703</v>
      </c>
      <c r="D190" s="8" t="s">
        <v>1704</v>
      </c>
      <c r="E190" s="8"/>
      <c r="F190" s="8" t="s">
        <v>1705</v>
      </c>
      <c r="G190" s="8" t="s">
        <v>141</v>
      </c>
      <c r="H190" s="8" t="s">
        <v>142</v>
      </c>
      <c r="I190" s="8" t="s">
        <v>1706</v>
      </c>
      <c r="J190" s="8" t="s">
        <v>1707</v>
      </c>
      <c r="K190" s="8" t="s">
        <v>991</v>
      </c>
      <c r="L190" s="8" t="s">
        <v>146</v>
      </c>
      <c r="M190" s="8" t="s">
        <v>1708</v>
      </c>
      <c r="N190" s="8" t="s">
        <v>128</v>
      </c>
      <c r="O190" s="8" t="s">
        <v>1709</v>
      </c>
      <c r="P190" s="8" t="s">
        <v>1710</v>
      </c>
      <c r="Q190" s="8" t="s">
        <v>131</v>
      </c>
      <c r="R190" s="8"/>
      <c r="S190" s="8" t="s">
        <v>1711</v>
      </c>
      <c r="T190" s="8" t="s">
        <v>133</v>
      </c>
      <c r="U190" s="8" t="s">
        <v>134</v>
      </c>
      <c r="V190" s="8" t="s">
        <v>131</v>
      </c>
      <c r="W190" s="8" t="s">
        <v>133</v>
      </c>
      <c r="X190" s="8">
        <v>61</v>
      </c>
      <c r="Y190" s="8" t="s">
        <v>135</v>
      </c>
      <c r="Z190" s="8">
        <v>20</v>
      </c>
      <c r="AA190" s="8">
        <v>1</v>
      </c>
      <c r="AB190" s="9">
        <v>0</v>
      </c>
    </row>
    <row r="191" spans="1:28" x14ac:dyDescent="0.2">
      <c r="A191" s="10">
        <v>23123</v>
      </c>
      <c r="B191" s="11" t="s">
        <v>1712</v>
      </c>
      <c r="C191" s="11" t="s">
        <v>611</v>
      </c>
      <c r="D191" s="11" t="s">
        <v>612</v>
      </c>
      <c r="E191" s="11" t="s">
        <v>1713</v>
      </c>
      <c r="F191" s="11" t="s">
        <v>614</v>
      </c>
      <c r="G191" s="11" t="s">
        <v>615</v>
      </c>
      <c r="H191" s="11" t="s">
        <v>616</v>
      </c>
      <c r="I191" s="11" t="s">
        <v>617</v>
      </c>
      <c r="J191" s="11" t="s">
        <v>1714</v>
      </c>
      <c r="K191" s="11" t="s">
        <v>619</v>
      </c>
      <c r="L191" s="11" t="s">
        <v>163</v>
      </c>
      <c r="M191" s="11" t="s">
        <v>1715</v>
      </c>
      <c r="N191" s="11" t="s">
        <v>128</v>
      </c>
      <c r="O191" s="11" t="s">
        <v>1716</v>
      </c>
      <c r="P191" s="11" t="s">
        <v>1717</v>
      </c>
      <c r="Q191" s="11" t="s">
        <v>150</v>
      </c>
      <c r="R191" s="11"/>
      <c r="S191" s="11" t="s">
        <v>623</v>
      </c>
      <c r="T191" s="11" t="s">
        <v>70</v>
      </c>
      <c r="U191" s="11" t="s">
        <v>150</v>
      </c>
      <c r="V191" s="11" t="s">
        <v>70</v>
      </c>
      <c r="W191" s="11" t="s">
        <v>70</v>
      </c>
      <c r="X191" s="11">
        <v>61</v>
      </c>
      <c r="Y191" s="11" t="s">
        <v>135</v>
      </c>
      <c r="Z191" s="11">
        <v>80</v>
      </c>
      <c r="AA191" s="11">
        <v>1</v>
      </c>
      <c r="AB191" s="12">
        <v>1</v>
      </c>
    </row>
    <row r="192" spans="1:28" x14ac:dyDescent="0.2">
      <c r="A192" s="7">
        <v>23239</v>
      </c>
      <c r="B192" s="8" t="s">
        <v>1718</v>
      </c>
      <c r="C192" s="8" t="s">
        <v>825</v>
      </c>
      <c r="D192" s="8" t="s">
        <v>826</v>
      </c>
      <c r="E192" s="8" t="s">
        <v>1719</v>
      </c>
      <c r="F192" s="8" t="s">
        <v>828</v>
      </c>
      <c r="G192" s="8" t="s">
        <v>615</v>
      </c>
      <c r="H192" s="8" t="s">
        <v>616</v>
      </c>
      <c r="I192" s="8" t="s">
        <v>932</v>
      </c>
      <c r="J192" s="8" t="s">
        <v>830</v>
      </c>
      <c r="K192" s="8" t="s">
        <v>619</v>
      </c>
      <c r="L192" s="8" t="s">
        <v>163</v>
      </c>
      <c r="M192" s="8" t="s">
        <v>1720</v>
      </c>
      <c r="N192" s="8" t="s">
        <v>128</v>
      </c>
      <c r="O192" s="8" t="s">
        <v>1721</v>
      </c>
      <c r="P192" s="8" t="s">
        <v>1155</v>
      </c>
      <c r="Q192" s="8" t="s">
        <v>150</v>
      </c>
      <c r="R192" s="8"/>
      <c r="S192" s="8" t="s">
        <v>834</v>
      </c>
      <c r="T192" s="8" t="s">
        <v>70</v>
      </c>
      <c r="U192" s="8" t="s">
        <v>150</v>
      </c>
      <c r="V192" s="8" t="s">
        <v>70</v>
      </c>
      <c r="W192" s="8" t="s">
        <v>70</v>
      </c>
      <c r="X192" s="8">
        <v>61</v>
      </c>
      <c r="Y192" s="8" t="s">
        <v>135</v>
      </c>
      <c r="Z192" s="8">
        <v>20</v>
      </c>
      <c r="AA192" s="8">
        <v>1</v>
      </c>
      <c r="AB192" s="9">
        <v>0</v>
      </c>
    </row>
    <row r="193" spans="1:28" x14ac:dyDescent="0.2">
      <c r="A193" s="10">
        <v>23658</v>
      </c>
      <c r="B193" s="11" t="s">
        <v>1722</v>
      </c>
      <c r="C193" s="11" t="s">
        <v>1723</v>
      </c>
      <c r="D193" s="11" t="s">
        <v>1724</v>
      </c>
      <c r="E193" s="11" t="s">
        <v>1725</v>
      </c>
      <c r="F193" s="11" t="s">
        <v>1726</v>
      </c>
      <c r="G193" s="11" t="s">
        <v>1727</v>
      </c>
      <c r="H193" s="11" t="s">
        <v>557</v>
      </c>
      <c r="I193" s="11" t="s">
        <v>1728</v>
      </c>
      <c r="J193" s="11" t="s">
        <v>1729</v>
      </c>
      <c r="K193" s="11" t="s">
        <v>1562</v>
      </c>
      <c r="L193" s="11" t="s">
        <v>229</v>
      </c>
      <c r="M193" s="11" t="s">
        <v>1730</v>
      </c>
      <c r="N193" s="11" t="s">
        <v>128</v>
      </c>
      <c r="O193" s="11" t="s">
        <v>1731</v>
      </c>
      <c r="P193" s="11" t="s">
        <v>1464</v>
      </c>
      <c r="Q193" s="11" t="s">
        <v>150</v>
      </c>
      <c r="R193" s="11"/>
      <c r="S193" s="11" t="s">
        <v>1732</v>
      </c>
      <c r="T193" s="11" t="s">
        <v>168</v>
      </c>
      <c r="U193" s="11" t="s">
        <v>150</v>
      </c>
      <c r="V193" s="11" t="s">
        <v>168</v>
      </c>
      <c r="W193" s="11" t="s">
        <v>168</v>
      </c>
      <c r="X193" s="11">
        <v>61</v>
      </c>
      <c r="Y193" s="11" t="s">
        <v>135</v>
      </c>
      <c r="Z193" s="11">
        <v>80</v>
      </c>
      <c r="AA193" s="11">
        <v>0</v>
      </c>
      <c r="AB193" s="12">
        <v>0</v>
      </c>
    </row>
    <row r="194" spans="1:28" x14ac:dyDescent="0.2">
      <c r="A194" s="7">
        <v>25003</v>
      </c>
      <c r="B194" s="8" t="s">
        <v>1733</v>
      </c>
      <c r="C194" s="8" t="s">
        <v>733</v>
      </c>
      <c r="D194" s="8" t="s">
        <v>734</v>
      </c>
      <c r="E194" s="8" t="s">
        <v>1734</v>
      </c>
      <c r="F194" s="8" t="s">
        <v>282</v>
      </c>
      <c r="G194" s="8" t="s">
        <v>224</v>
      </c>
      <c r="H194" s="8" t="s">
        <v>225</v>
      </c>
      <c r="I194" s="8" t="s">
        <v>283</v>
      </c>
      <c r="J194" s="8" t="s">
        <v>736</v>
      </c>
      <c r="K194" s="8" t="s">
        <v>228</v>
      </c>
      <c r="L194" s="8" t="s">
        <v>229</v>
      </c>
      <c r="M194" s="8" t="s">
        <v>1735</v>
      </c>
      <c r="N194" s="8" t="s">
        <v>128</v>
      </c>
      <c r="O194" s="8" t="s">
        <v>1736</v>
      </c>
      <c r="P194" s="8" t="s">
        <v>1737</v>
      </c>
      <c r="Q194" s="8" t="s">
        <v>150</v>
      </c>
      <c r="R194" s="8"/>
      <c r="S194" s="8" t="s">
        <v>288</v>
      </c>
      <c r="T194" s="8" t="s">
        <v>1738</v>
      </c>
      <c r="U194" s="8" t="s">
        <v>150</v>
      </c>
      <c r="V194" s="8" t="s">
        <v>1738</v>
      </c>
      <c r="W194" s="8" t="s">
        <v>1738</v>
      </c>
      <c r="X194" s="8">
        <v>61</v>
      </c>
      <c r="Y194" s="8" t="s">
        <v>135</v>
      </c>
      <c r="Z194" s="8">
        <v>80</v>
      </c>
      <c r="AA194" s="8">
        <v>1</v>
      </c>
      <c r="AB194" s="9">
        <v>1</v>
      </c>
    </row>
    <row r="195" spans="1:28" x14ac:dyDescent="0.2">
      <c r="A195" s="10">
        <v>22380</v>
      </c>
      <c r="B195" s="11" t="s">
        <v>1739</v>
      </c>
      <c r="C195" s="11" t="s">
        <v>186</v>
      </c>
      <c r="D195" s="11" t="s">
        <v>187</v>
      </c>
      <c r="E195" s="11" t="s">
        <v>1740</v>
      </c>
      <c r="F195" s="11" t="s">
        <v>189</v>
      </c>
      <c r="G195" s="11" t="s">
        <v>190</v>
      </c>
      <c r="H195" s="11" t="s">
        <v>191</v>
      </c>
      <c r="I195" s="11" t="s">
        <v>192</v>
      </c>
      <c r="J195" s="11" t="s">
        <v>1741</v>
      </c>
      <c r="K195" s="11" t="s">
        <v>194</v>
      </c>
      <c r="L195" s="11" t="s">
        <v>163</v>
      </c>
      <c r="M195" s="11" t="s">
        <v>1742</v>
      </c>
      <c r="N195" s="11" t="s">
        <v>128</v>
      </c>
      <c r="O195" s="11" t="s">
        <v>1743</v>
      </c>
      <c r="P195" s="11" t="s">
        <v>1744</v>
      </c>
      <c r="Q195" s="11" t="s">
        <v>740</v>
      </c>
      <c r="R195" s="11"/>
      <c r="S195" s="11" t="s">
        <v>198</v>
      </c>
      <c r="T195" s="11" t="s">
        <v>1745</v>
      </c>
      <c r="U195" s="11" t="s">
        <v>134</v>
      </c>
      <c r="V195" s="11" t="s">
        <v>740</v>
      </c>
      <c r="W195" s="11" t="s">
        <v>1745</v>
      </c>
      <c r="X195" s="11">
        <v>61</v>
      </c>
      <c r="Y195" s="11" t="s">
        <v>135</v>
      </c>
      <c r="Z195" s="11">
        <v>20</v>
      </c>
      <c r="AA195" s="11">
        <v>1</v>
      </c>
      <c r="AB195" s="12">
        <v>0</v>
      </c>
    </row>
    <row r="196" spans="1:28" x14ac:dyDescent="0.2">
      <c r="A196" s="7">
        <v>25171</v>
      </c>
      <c r="B196" s="8" t="s">
        <v>1746</v>
      </c>
      <c r="C196" s="8" t="s">
        <v>1193</v>
      </c>
      <c r="D196" s="8" t="s">
        <v>1064</v>
      </c>
      <c r="E196" s="8" t="s">
        <v>1747</v>
      </c>
      <c r="F196" s="8" t="s">
        <v>1195</v>
      </c>
      <c r="G196" s="8" t="s">
        <v>1196</v>
      </c>
      <c r="H196" s="8" t="s">
        <v>142</v>
      </c>
      <c r="I196" s="8" t="s">
        <v>1197</v>
      </c>
      <c r="J196" s="8" t="s">
        <v>1198</v>
      </c>
      <c r="K196" s="8" t="s">
        <v>1199</v>
      </c>
      <c r="L196" s="8" t="s">
        <v>464</v>
      </c>
      <c r="M196" s="8" t="s">
        <v>1748</v>
      </c>
      <c r="N196" s="8" t="s">
        <v>128</v>
      </c>
      <c r="O196" s="8" t="s">
        <v>1749</v>
      </c>
      <c r="P196" s="8" t="s">
        <v>1750</v>
      </c>
      <c r="Q196" s="8" t="s">
        <v>740</v>
      </c>
      <c r="R196" s="8"/>
      <c r="S196" s="8" t="s">
        <v>1203</v>
      </c>
      <c r="T196" s="8" t="s">
        <v>741</v>
      </c>
      <c r="U196" s="8" t="s">
        <v>134</v>
      </c>
      <c r="V196" s="8" t="s">
        <v>740</v>
      </c>
      <c r="W196" s="8" t="s">
        <v>741</v>
      </c>
      <c r="X196" s="8">
        <v>61</v>
      </c>
      <c r="Y196" s="8" t="s">
        <v>135</v>
      </c>
      <c r="Z196" s="8">
        <v>20</v>
      </c>
      <c r="AA196" s="8">
        <v>1</v>
      </c>
      <c r="AB196" s="9">
        <v>0</v>
      </c>
    </row>
    <row r="197" spans="1:28" x14ac:dyDescent="0.2">
      <c r="A197" s="10">
        <v>114858</v>
      </c>
      <c r="B197" s="11" t="s">
        <v>1751</v>
      </c>
      <c r="C197" s="11" t="s">
        <v>590</v>
      </c>
      <c r="D197" s="11" t="s">
        <v>591</v>
      </c>
      <c r="E197" s="11"/>
      <c r="F197" s="11" t="s">
        <v>1752</v>
      </c>
      <c r="G197" s="11" t="s">
        <v>141</v>
      </c>
      <c r="H197" s="11" t="s">
        <v>142</v>
      </c>
      <c r="I197" s="11" t="s">
        <v>1152</v>
      </c>
      <c r="J197" s="11" t="s">
        <v>595</v>
      </c>
      <c r="K197" s="11" t="s">
        <v>216</v>
      </c>
      <c r="L197" s="11" t="s">
        <v>146</v>
      </c>
      <c r="M197" s="11" t="s">
        <v>1753</v>
      </c>
      <c r="N197" s="11" t="s">
        <v>128</v>
      </c>
      <c r="O197" s="11" t="s">
        <v>1754</v>
      </c>
      <c r="P197" s="11" t="s">
        <v>1755</v>
      </c>
      <c r="Q197" s="11" t="s">
        <v>740</v>
      </c>
      <c r="R197" s="11"/>
      <c r="S197" s="11" t="s">
        <v>599</v>
      </c>
      <c r="T197" s="11" t="s">
        <v>741</v>
      </c>
      <c r="U197" s="11" t="s">
        <v>134</v>
      </c>
      <c r="V197" s="11" t="s">
        <v>740</v>
      </c>
      <c r="W197" s="11" t="s">
        <v>741</v>
      </c>
      <c r="X197" s="11">
        <v>61</v>
      </c>
      <c r="Y197" s="11" t="s">
        <v>135</v>
      </c>
      <c r="Z197" s="11">
        <v>20</v>
      </c>
      <c r="AA197" s="11">
        <v>1</v>
      </c>
      <c r="AB197" s="12">
        <v>0</v>
      </c>
    </row>
    <row r="198" spans="1:28" x14ac:dyDescent="0.2">
      <c r="A198" s="7">
        <v>25575</v>
      </c>
      <c r="B198" s="8" t="s">
        <v>1756</v>
      </c>
      <c r="C198" s="8" t="s">
        <v>733</v>
      </c>
      <c r="D198" s="8" t="s">
        <v>734</v>
      </c>
      <c r="E198" s="8" t="s">
        <v>1757</v>
      </c>
      <c r="F198" s="8" t="s">
        <v>282</v>
      </c>
      <c r="G198" s="8" t="s">
        <v>224</v>
      </c>
      <c r="H198" s="8" t="s">
        <v>225</v>
      </c>
      <c r="I198" s="8" t="s">
        <v>283</v>
      </c>
      <c r="J198" s="8" t="s">
        <v>736</v>
      </c>
      <c r="K198" s="8" t="s">
        <v>228</v>
      </c>
      <c r="L198" s="8" t="s">
        <v>229</v>
      </c>
      <c r="M198" s="8" t="s">
        <v>1758</v>
      </c>
      <c r="N198" s="8" t="s">
        <v>128</v>
      </c>
      <c r="O198" s="8" t="s">
        <v>1759</v>
      </c>
      <c r="P198" s="8" t="s">
        <v>1760</v>
      </c>
      <c r="Q198" s="8" t="s">
        <v>249</v>
      </c>
      <c r="R198" s="8"/>
      <c r="S198" s="8" t="s">
        <v>288</v>
      </c>
      <c r="T198" s="8" t="s">
        <v>250</v>
      </c>
      <c r="U198" s="8" t="s">
        <v>134</v>
      </c>
      <c r="V198" s="8" t="s">
        <v>249</v>
      </c>
      <c r="W198" s="8" t="s">
        <v>250</v>
      </c>
      <c r="X198" s="8">
        <v>61</v>
      </c>
      <c r="Y198" s="8" t="s">
        <v>135</v>
      </c>
      <c r="Z198" s="8">
        <v>80</v>
      </c>
      <c r="AA198" s="8">
        <v>1</v>
      </c>
      <c r="AB198" s="9">
        <v>1</v>
      </c>
    </row>
    <row r="199" spans="1:28" x14ac:dyDescent="0.2">
      <c r="A199" s="10">
        <v>25466</v>
      </c>
      <c r="B199" s="11" t="s">
        <v>1761</v>
      </c>
      <c r="C199" s="11" t="s">
        <v>842</v>
      </c>
      <c r="D199" s="11" t="s">
        <v>843</v>
      </c>
      <c r="E199" s="11" t="s">
        <v>1762</v>
      </c>
      <c r="F199" s="11" t="s">
        <v>845</v>
      </c>
      <c r="G199" s="11" t="s">
        <v>846</v>
      </c>
      <c r="H199" s="11" t="s">
        <v>847</v>
      </c>
      <c r="I199" s="11" t="s">
        <v>848</v>
      </c>
      <c r="J199" s="11" t="s">
        <v>849</v>
      </c>
      <c r="K199" s="11" t="s">
        <v>850</v>
      </c>
      <c r="L199" s="11" t="s">
        <v>126</v>
      </c>
      <c r="M199" s="11" t="s">
        <v>1763</v>
      </c>
      <c r="N199" s="11" t="s">
        <v>128</v>
      </c>
      <c r="O199" s="11" t="s">
        <v>1764</v>
      </c>
      <c r="P199" s="11" t="s">
        <v>1765</v>
      </c>
      <c r="Q199" s="11" t="s">
        <v>249</v>
      </c>
      <c r="R199" s="11"/>
      <c r="S199" s="11" t="s">
        <v>854</v>
      </c>
      <c r="T199" s="11" t="s">
        <v>250</v>
      </c>
      <c r="U199" s="11" t="s">
        <v>134</v>
      </c>
      <c r="V199" s="11" t="s">
        <v>249</v>
      </c>
      <c r="W199" s="11" t="s">
        <v>250</v>
      </c>
      <c r="X199" s="11">
        <v>61</v>
      </c>
      <c r="Y199" s="11" t="s">
        <v>135</v>
      </c>
      <c r="Z199" s="11">
        <v>80</v>
      </c>
      <c r="AA199" s="11">
        <v>1</v>
      </c>
      <c r="AB199" s="12">
        <v>1</v>
      </c>
    </row>
    <row r="200" spans="1:28" x14ac:dyDescent="0.2">
      <c r="A200" s="7">
        <v>25520</v>
      </c>
      <c r="B200" s="8" t="s">
        <v>1766</v>
      </c>
      <c r="C200" s="8" t="s">
        <v>409</v>
      </c>
      <c r="D200" s="8" t="s">
        <v>410</v>
      </c>
      <c r="E200" s="8" t="s">
        <v>1767</v>
      </c>
      <c r="F200" s="8" t="s">
        <v>353</v>
      </c>
      <c r="G200" s="8" t="s">
        <v>412</v>
      </c>
      <c r="H200" s="8" t="s">
        <v>329</v>
      </c>
      <c r="I200" s="8" t="s">
        <v>837</v>
      </c>
      <c r="J200" s="8" t="s">
        <v>414</v>
      </c>
      <c r="K200" s="8" t="s">
        <v>415</v>
      </c>
      <c r="L200" s="8" t="s">
        <v>333</v>
      </c>
      <c r="M200" s="8" t="s">
        <v>1768</v>
      </c>
      <c r="N200" s="8" t="s">
        <v>128</v>
      </c>
      <c r="O200" s="8" t="s">
        <v>1769</v>
      </c>
      <c r="P200" s="8" t="s">
        <v>1770</v>
      </c>
      <c r="Q200" s="8" t="s">
        <v>249</v>
      </c>
      <c r="R200" s="8"/>
      <c r="S200" s="8" t="s">
        <v>419</v>
      </c>
      <c r="T200" s="8" t="s">
        <v>250</v>
      </c>
      <c r="U200" s="8" t="s">
        <v>134</v>
      </c>
      <c r="V200" s="8" t="s">
        <v>249</v>
      </c>
      <c r="W200" s="8" t="s">
        <v>250</v>
      </c>
      <c r="X200" s="8">
        <v>61</v>
      </c>
      <c r="Y200" s="8" t="s">
        <v>135</v>
      </c>
      <c r="Z200" s="8">
        <v>20</v>
      </c>
      <c r="AA200" s="8">
        <v>1</v>
      </c>
      <c r="AB200" s="9">
        <v>0</v>
      </c>
    </row>
    <row r="201" spans="1:28" x14ac:dyDescent="0.2">
      <c r="A201" s="10">
        <v>25529</v>
      </c>
      <c r="B201" s="11" t="s">
        <v>1771</v>
      </c>
      <c r="C201" s="11" t="s">
        <v>1223</v>
      </c>
      <c r="D201" s="11" t="s">
        <v>1224</v>
      </c>
      <c r="E201" s="11" t="s">
        <v>1772</v>
      </c>
      <c r="F201" s="11" t="s">
        <v>353</v>
      </c>
      <c r="G201" s="11" t="s">
        <v>703</v>
      </c>
      <c r="H201" s="11" t="s">
        <v>704</v>
      </c>
      <c r="I201" s="11" t="s">
        <v>1773</v>
      </c>
      <c r="J201" s="11" t="s">
        <v>1227</v>
      </c>
      <c r="K201" s="11" t="s">
        <v>707</v>
      </c>
      <c r="L201" s="11" t="s">
        <v>126</v>
      </c>
      <c r="M201" s="11" t="s">
        <v>1774</v>
      </c>
      <c r="N201" s="11" t="s">
        <v>128</v>
      </c>
      <c r="O201" s="11" t="s">
        <v>1775</v>
      </c>
      <c r="P201" s="11" t="s">
        <v>1776</v>
      </c>
      <c r="Q201" s="11" t="s">
        <v>249</v>
      </c>
      <c r="R201" s="11"/>
      <c r="S201" s="11" t="s">
        <v>1231</v>
      </c>
      <c r="T201" s="11" t="s">
        <v>250</v>
      </c>
      <c r="U201" s="11" t="s">
        <v>134</v>
      </c>
      <c r="V201" s="11" t="s">
        <v>249</v>
      </c>
      <c r="W201" s="11" t="s">
        <v>250</v>
      </c>
      <c r="X201" s="11">
        <v>61</v>
      </c>
      <c r="Y201" s="11" t="s">
        <v>135</v>
      </c>
      <c r="Z201" s="11">
        <v>80</v>
      </c>
      <c r="AA201" s="11">
        <v>1</v>
      </c>
      <c r="AB201" s="12">
        <v>1</v>
      </c>
    </row>
    <row r="202" spans="1:28" x14ac:dyDescent="0.2">
      <c r="A202" s="7">
        <v>21155</v>
      </c>
      <c r="B202" s="8" t="s">
        <v>1777</v>
      </c>
      <c r="C202" s="8" t="s">
        <v>627</v>
      </c>
      <c r="D202" s="8" t="s">
        <v>628</v>
      </c>
      <c r="E202" s="8"/>
      <c r="F202" s="8" t="s">
        <v>630</v>
      </c>
      <c r="G202" s="8" t="s">
        <v>141</v>
      </c>
      <c r="H202" s="8" t="s">
        <v>142</v>
      </c>
      <c r="I202" s="8" t="s">
        <v>631</v>
      </c>
      <c r="J202" s="8" t="s">
        <v>632</v>
      </c>
      <c r="K202" s="8" t="s">
        <v>216</v>
      </c>
      <c r="L202" s="8" t="s">
        <v>146</v>
      </c>
      <c r="M202" s="8" t="s">
        <v>1778</v>
      </c>
      <c r="N202" s="8" t="s">
        <v>128</v>
      </c>
      <c r="O202" s="8" t="s">
        <v>1779</v>
      </c>
      <c r="P202" s="8" t="s">
        <v>1780</v>
      </c>
      <c r="Q202" s="8" t="s">
        <v>150</v>
      </c>
      <c r="R202" s="8"/>
      <c r="S202" s="8" t="s">
        <v>636</v>
      </c>
      <c r="T202" s="8" t="s">
        <v>289</v>
      </c>
      <c r="U202" s="8" t="s">
        <v>150</v>
      </c>
      <c r="V202" s="8" t="s">
        <v>289</v>
      </c>
      <c r="W202" s="8" t="s">
        <v>289</v>
      </c>
      <c r="X202" s="8">
        <v>60</v>
      </c>
      <c r="Y202" s="8" t="s">
        <v>135</v>
      </c>
      <c r="Z202" s="8">
        <v>80</v>
      </c>
      <c r="AA202" s="8">
        <v>1</v>
      </c>
      <c r="AB202" s="9">
        <v>1</v>
      </c>
    </row>
    <row r="203" spans="1:28" x14ac:dyDescent="0.2">
      <c r="A203" s="10">
        <v>21506</v>
      </c>
      <c r="B203" s="11" t="s">
        <v>1781</v>
      </c>
      <c r="C203" s="11" t="s">
        <v>1782</v>
      </c>
      <c r="D203" s="11" t="s">
        <v>258</v>
      </c>
      <c r="E203" s="11" t="s">
        <v>1783</v>
      </c>
      <c r="F203" s="11" t="s">
        <v>353</v>
      </c>
      <c r="G203" s="11" t="s">
        <v>1784</v>
      </c>
      <c r="H203" s="11" t="s">
        <v>329</v>
      </c>
      <c r="I203" s="11" t="s">
        <v>1785</v>
      </c>
      <c r="J203" s="11" t="s">
        <v>1786</v>
      </c>
      <c r="K203" s="11" t="s">
        <v>431</v>
      </c>
      <c r="L203" s="11" t="s">
        <v>333</v>
      </c>
      <c r="M203" s="11" t="s">
        <v>1787</v>
      </c>
      <c r="N203" s="11" t="s">
        <v>128</v>
      </c>
      <c r="O203" s="11" t="s">
        <v>1788</v>
      </c>
      <c r="P203" s="11" t="s">
        <v>1789</v>
      </c>
      <c r="Q203" s="11" t="s">
        <v>150</v>
      </c>
      <c r="R203" s="11"/>
      <c r="S203" s="11" t="s">
        <v>71</v>
      </c>
      <c r="T203" s="11" t="s">
        <v>67</v>
      </c>
      <c r="U203" s="11" t="s">
        <v>150</v>
      </c>
      <c r="V203" s="11" t="s">
        <v>152</v>
      </c>
      <c r="W203" s="11" t="s">
        <v>67</v>
      </c>
      <c r="X203" s="11">
        <v>60</v>
      </c>
      <c r="Y203" s="11" t="s">
        <v>135</v>
      </c>
      <c r="Z203" s="11">
        <v>80</v>
      </c>
      <c r="AA203" s="11">
        <v>0</v>
      </c>
      <c r="AB203" s="12">
        <v>0</v>
      </c>
    </row>
    <row r="204" spans="1:28" x14ac:dyDescent="0.2">
      <c r="A204" s="7">
        <v>21575</v>
      </c>
      <c r="B204" s="8" t="s">
        <v>1790</v>
      </c>
      <c r="C204" s="8" t="s">
        <v>1791</v>
      </c>
      <c r="D204" s="8" t="s">
        <v>1792</v>
      </c>
      <c r="E204" s="8" t="s">
        <v>1793</v>
      </c>
      <c r="F204" s="8" t="s">
        <v>353</v>
      </c>
      <c r="G204" s="8" t="s">
        <v>1794</v>
      </c>
      <c r="H204" s="8" t="s">
        <v>142</v>
      </c>
      <c r="I204" s="8" t="s">
        <v>1795</v>
      </c>
      <c r="J204" s="8" t="s">
        <v>1796</v>
      </c>
      <c r="K204" s="8" t="s">
        <v>779</v>
      </c>
      <c r="L204" s="8" t="s">
        <v>464</v>
      </c>
      <c r="M204" s="8" t="s">
        <v>1797</v>
      </c>
      <c r="N204" s="8" t="s">
        <v>128</v>
      </c>
      <c r="O204" s="8" t="s">
        <v>1798</v>
      </c>
      <c r="P204" s="8" t="s">
        <v>1799</v>
      </c>
      <c r="Q204" s="8" t="s">
        <v>150</v>
      </c>
      <c r="R204" s="8"/>
      <c r="S204" s="8" t="s">
        <v>71</v>
      </c>
      <c r="T204" s="8" t="s">
        <v>67</v>
      </c>
      <c r="U204" s="8" t="s">
        <v>150</v>
      </c>
      <c r="V204" s="8" t="s">
        <v>152</v>
      </c>
      <c r="W204" s="8" t="s">
        <v>67</v>
      </c>
      <c r="X204" s="8">
        <v>60</v>
      </c>
      <c r="Y204" s="8" t="s">
        <v>135</v>
      </c>
      <c r="Z204" s="8">
        <v>80</v>
      </c>
      <c r="AA204" s="8">
        <v>0</v>
      </c>
      <c r="AB204" s="9">
        <v>0</v>
      </c>
    </row>
    <row r="205" spans="1:28" x14ac:dyDescent="0.2">
      <c r="A205" s="10">
        <v>21401</v>
      </c>
      <c r="B205" s="11" t="s">
        <v>1800</v>
      </c>
      <c r="C205" s="11" t="s">
        <v>1444</v>
      </c>
      <c r="D205" s="11" t="s">
        <v>1801</v>
      </c>
      <c r="E205" s="11" t="s">
        <v>1802</v>
      </c>
      <c r="F205" s="11" t="s">
        <v>1446</v>
      </c>
      <c r="G205" s="11" t="s">
        <v>141</v>
      </c>
      <c r="H205" s="11" t="s">
        <v>142</v>
      </c>
      <c r="I205" s="11" t="s">
        <v>1803</v>
      </c>
      <c r="J205" s="11" t="s">
        <v>1804</v>
      </c>
      <c r="K205" s="11" t="s">
        <v>145</v>
      </c>
      <c r="L205" s="11" t="s">
        <v>146</v>
      </c>
      <c r="M205" s="11" t="s">
        <v>1805</v>
      </c>
      <c r="N205" s="11" t="s">
        <v>128</v>
      </c>
      <c r="O205" s="11" t="s">
        <v>1806</v>
      </c>
      <c r="P205" s="11" t="s">
        <v>1807</v>
      </c>
      <c r="Q205" s="11" t="s">
        <v>150</v>
      </c>
      <c r="R205" s="11"/>
      <c r="S205" s="11" t="s">
        <v>71</v>
      </c>
      <c r="T205" s="11" t="s">
        <v>67</v>
      </c>
      <c r="U205" s="11" t="s">
        <v>150</v>
      </c>
      <c r="V205" s="11" t="s">
        <v>152</v>
      </c>
      <c r="W205" s="11" t="s">
        <v>67</v>
      </c>
      <c r="X205" s="11">
        <v>60</v>
      </c>
      <c r="Y205" s="11" t="s">
        <v>135</v>
      </c>
      <c r="Z205" s="11">
        <v>80</v>
      </c>
      <c r="AA205" s="11">
        <v>0</v>
      </c>
      <c r="AB205" s="12">
        <v>0</v>
      </c>
    </row>
    <row r="206" spans="1:28" x14ac:dyDescent="0.2">
      <c r="A206" s="7">
        <v>21549</v>
      </c>
      <c r="B206" s="8" t="s">
        <v>1808</v>
      </c>
      <c r="C206" s="8" t="s">
        <v>1809</v>
      </c>
      <c r="D206" s="8" t="s">
        <v>1810</v>
      </c>
      <c r="E206" s="8" t="s">
        <v>1811</v>
      </c>
      <c r="F206" s="8" t="s">
        <v>1812</v>
      </c>
      <c r="G206" s="8" t="s">
        <v>1813</v>
      </c>
      <c r="H206" s="8" t="s">
        <v>142</v>
      </c>
      <c r="I206" s="8" t="s">
        <v>1814</v>
      </c>
      <c r="J206" s="8" t="s">
        <v>1815</v>
      </c>
      <c r="K206" s="8" t="s">
        <v>974</v>
      </c>
      <c r="L206" s="8" t="s">
        <v>146</v>
      </c>
      <c r="M206" s="8" t="s">
        <v>1816</v>
      </c>
      <c r="N206" s="8" t="s">
        <v>128</v>
      </c>
      <c r="O206" s="8" t="s">
        <v>1817</v>
      </c>
      <c r="P206" s="8" t="s">
        <v>1818</v>
      </c>
      <c r="Q206" s="8" t="s">
        <v>150</v>
      </c>
      <c r="R206" s="8"/>
      <c r="S206" s="8" t="s">
        <v>1819</v>
      </c>
      <c r="T206" s="8" t="s">
        <v>67</v>
      </c>
      <c r="U206" s="8" t="s">
        <v>150</v>
      </c>
      <c r="V206" s="8" t="s">
        <v>152</v>
      </c>
      <c r="W206" s="8" t="s">
        <v>67</v>
      </c>
      <c r="X206" s="8">
        <v>60</v>
      </c>
      <c r="Y206" s="8" t="s">
        <v>135</v>
      </c>
      <c r="Z206" s="8">
        <v>80</v>
      </c>
      <c r="AA206" s="8">
        <v>0</v>
      </c>
      <c r="AB206" s="9">
        <v>0</v>
      </c>
    </row>
    <row r="207" spans="1:28" x14ac:dyDescent="0.2">
      <c r="A207" s="10">
        <v>21486</v>
      </c>
      <c r="B207" s="11" t="s">
        <v>1820</v>
      </c>
      <c r="C207" s="11" t="s">
        <v>611</v>
      </c>
      <c r="D207" s="11" t="s">
        <v>612</v>
      </c>
      <c r="E207" s="11" t="s">
        <v>1821</v>
      </c>
      <c r="F207" s="11" t="s">
        <v>614</v>
      </c>
      <c r="G207" s="11" t="s">
        <v>615</v>
      </c>
      <c r="H207" s="11" t="s">
        <v>616</v>
      </c>
      <c r="I207" s="11" t="s">
        <v>617</v>
      </c>
      <c r="J207" s="11" t="s">
        <v>618</v>
      </c>
      <c r="K207" s="11" t="s">
        <v>619</v>
      </c>
      <c r="L207" s="11" t="s">
        <v>163</v>
      </c>
      <c r="M207" s="11" t="s">
        <v>1822</v>
      </c>
      <c r="N207" s="11" t="s">
        <v>128</v>
      </c>
      <c r="O207" s="11" t="s">
        <v>1823</v>
      </c>
      <c r="P207" s="11" t="s">
        <v>1824</v>
      </c>
      <c r="Q207" s="11" t="s">
        <v>150</v>
      </c>
      <c r="R207" s="11"/>
      <c r="S207" s="11" t="s">
        <v>623</v>
      </c>
      <c r="T207" s="11" t="s">
        <v>67</v>
      </c>
      <c r="U207" s="11" t="s">
        <v>150</v>
      </c>
      <c r="V207" s="11" t="s">
        <v>152</v>
      </c>
      <c r="W207" s="11" t="s">
        <v>67</v>
      </c>
      <c r="X207" s="11">
        <v>60</v>
      </c>
      <c r="Y207" s="11" t="s">
        <v>135</v>
      </c>
      <c r="Z207" s="11">
        <v>80</v>
      </c>
      <c r="AA207" s="11">
        <v>1</v>
      </c>
      <c r="AB207" s="12">
        <v>1</v>
      </c>
    </row>
    <row r="208" spans="1:28" x14ac:dyDescent="0.2">
      <c r="A208" s="7">
        <v>21492</v>
      </c>
      <c r="B208" s="8" t="s">
        <v>1825</v>
      </c>
      <c r="C208" s="8" t="s">
        <v>1826</v>
      </c>
      <c r="D208" s="8" t="s">
        <v>187</v>
      </c>
      <c r="E208" s="8"/>
      <c r="F208" s="8" t="s">
        <v>353</v>
      </c>
      <c r="G208" s="8" t="s">
        <v>703</v>
      </c>
      <c r="H208" s="8" t="s">
        <v>704</v>
      </c>
      <c r="I208" s="8" t="s">
        <v>705</v>
      </c>
      <c r="J208" s="8" t="s">
        <v>1827</v>
      </c>
      <c r="K208" s="8" t="s">
        <v>707</v>
      </c>
      <c r="L208" s="8" t="s">
        <v>126</v>
      </c>
      <c r="M208" s="8" t="s">
        <v>1828</v>
      </c>
      <c r="N208" s="8" t="s">
        <v>128</v>
      </c>
      <c r="O208" s="8" t="s">
        <v>1829</v>
      </c>
      <c r="P208" s="8" t="s">
        <v>1830</v>
      </c>
      <c r="Q208" s="8" t="s">
        <v>150</v>
      </c>
      <c r="R208" s="8"/>
      <c r="S208" s="8" t="s">
        <v>71</v>
      </c>
      <c r="T208" s="8" t="s">
        <v>67</v>
      </c>
      <c r="U208" s="8" t="s">
        <v>150</v>
      </c>
      <c r="V208" s="8" t="s">
        <v>152</v>
      </c>
      <c r="W208" s="8" t="s">
        <v>67</v>
      </c>
      <c r="X208" s="8">
        <v>60</v>
      </c>
      <c r="Y208" s="8" t="s">
        <v>135</v>
      </c>
      <c r="Z208" s="8">
        <v>80</v>
      </c>
      <c r="AA208" s="8">
        <v>0</v>
      </c>
      <c r="AB208" s="9">
        <v>0</v>
      </c>
    </row>
    <row r="209" spans="1:28" x14ac:dyDescent="0.2">
      <c r="A209" s="10">
        <v>21735</v>
      </c>
      <c r="B209" s="11" t="s">
        <v>1831</v>
      </c>
      <c r="C209" s="11" t="s">
        <v>1832</v>
      </c>
      <c r="D209" s="11" t="s">
        <v>579</v>
      </c>
      <c r="E209" s="11"/>
      <c r="F209" s="11" t="s">
        <v>353</v>
      </c>
      <c r="G209" s="11" t="s">
        <v>1833</v>
      </c>
      <c r="H209" s="11" t="s">
        <v>329</v>
      </c>
      <c r="I209" s="11" t="s">
        <v>1834</v>
      </c>
      <c r="J209" s="11" t="s">
        <v>1835</v>
      </c>
      <c r="K209" s="11" t="s">
        <v>431</v>
      </c>
      <c r="L209" s="11" t="s">
        <v>333</v>
      </c>
      <c r="M209" s="11" t="s">
        <v>1836</v>
      </c>
      <c r="N209" s="11" t="s">
        <v>128</v>
      </c>
      <c r="O209" s="11" t="s">
        <v>1837</v>
      </c>
      <c r="P209" s="11" t="s">
        <v>1838</v>
      </c>
      <c r="Q209" s="11" t="s">
        <v>150</v>
      </c>
      <c r="R209" s="11"/>
      <c r="S209" s="11" t="s">
        <v>71</v>
      </c>
      <c r="T209" s="11" t="s">
        <v>67</v>
      </c>
      <c r="U209" s="11" t="s">
        <v>150</v>
      </c>
      <c r="V209" s="11" t="s">
        <v>152</v>
      </c>
      <c r="W209" s="11" t="s">
        <v>67</v>
      </c>
      <c r="X209" s="11">
        <v>60</v>
      </c>
      <c r="Y209" s="11" t="s">
        <v>135</v>
      </c>
      <c r="Z209" s="11">
        <v>80</v>
      </c>
      <c r="AA209" s="11">
        <v>0</v>
      </c>
      <c r="AB209" s="12">
        <v>0</v>
      </c>
    </row>
    <row r="210" spans="1:28" x14ac:dyDescent="0.2">
      <c r="A210" s="7">
        <v>124149</v>
      </c>
      <c r="B210" s="8" t="s">
        <v>1839</v>
      </c>
      <c r="C210" s="8" t="s">
        <v>1840</v>
      </c>
      <c r="D210" s="8" t="s">
        <v>1841</v>
      </c>
      <c r="E210" s="8"/>
      <c r="F210" s="8" t="s">
        <v>353</v>
      </c>
      <c r="G210" s="8" t="s">
        <v>1842</v>
      </c>
      <c r="H210" s="8" t="s">
        <v>1843</v>
      </c>
      <c r="I210" s="8" t="s">
        <v>1844</v>
      </c>
      <c r="J210" s="8" t="s">
        <v>1845</v>
      </c>
      <c r="K210" s="8" t="s">
        <v>1562</v>
      </c>
      <c r="L210" s="8" t="s">
        <v>229</v>
      </c>
      <c r="M210" s="8" t="s">
        <v>1846</v>
      </c>
      <c r="N210" s="8" t="s">
        <v>128</v>
      </c>
      <c r="O210" s="8" t="s">
        <v>1847</v>
      </c>
      <c r="P210" s="8" t="s">
        <v>1459</v>
      </c>
      <c r="Q210" s="8" t="s">
        <v>150</v>
      </c>
      <c r="R210" s="8"/>
      <c r="S210" s="8" t="s">
        <v>71</v>
      </c>
      <c r="T210" s="8" t="s">
        <v>67</v>
      </c>
      <c r="U210" s="8" t="s">
        <v>150</v>
      </c>
      <c r="V210" s="8" t="s">
        <v>152</v>
      </c>
      <c r="W210" s="8" t="s">
        <v>67</v>
      </c>
      <c r="X210" s="8">
        <v>60</v>
      </c>
      <c r="Y210" s="8" t="s">
        <v>135</v>
      </c>
      <c r="Z210" s="8">
        <v>80</v>
      </c>
      <c r="AA210" s="8">
        <v>0</v>
      </c>
      <c r="AB210" s="9">
        <v>0</v>
      </c>
    </row>
    <row r="211" spans="1:28" x14ac:dyDescent="0.2">
      <c r="A211" s="10">
        <v>26228</v>
      </c>
      <c r="B211" s="11" t="s">
        <v>1848</v>
      </c>
      <c r="C211" s="11" t="s">
        <v>1849</v>
      </c>
      <c r="D211" s="11" t="s">
        <v>1850</v>
      </c>
      <c r="E211" s="11"/>
      <c r="F211" s="11" t="s">
        <v>1851</v>
      </c>
      <c r="G211" s="11" t="s">
        <v>1852</v>
      </c>
      <c r="H211" s="11" t="s">
        <v>671</v>
      </c>
      <c r="I211" s="11" t="s">
        <v>1853</v>
      </c>
      <c r="J211" s="11" t="s">
        <v>1854</v>
      </c>
      <c r="K211" s="11" t="s">
        <v>572</v>
      </c>
      <c r="L211" s="11" t="s">
        <v>333</v>
      </c>
      <c r="M211" s="11" t="s">
        <v>1855</v>
      </c>
      <c r="N211" s="11" t="s">
        <v>128</v>
      </c>
      <c r="O211" s="11" t="s">
        <v>1856</v>
      </c>
      <c r="P211" s="11" t="s">
        <v>1857</v>
      </c>
      <c r="Q211" s="11" t="s">
        <v>150</v>
      </c>
      <c r="R211" s="11"/>
      <c r="S211" s="11" t="s">
        <v>1858</v>
      </c>
      <c r="T211" s="11" t="s">
        <v>67</v>
      </c>
      <c r="U211" s="11" t="s">
        <v>150</v>
      </c>
      <c r="V211" s="11" t="s">
        <v>152</v>
      </c>
      <c r="W211" s="11" t="s">
        <v>67</v>
      </c>
      <c r="X211" s="11">
        <v>60</v>
      </c>
      <c r="Y211" s="11" t="s">
        <v>135</v>
      </c>
      <c r="Z211" s="11">
        <v>80</v>
      </c>
      <c r="AA211" s="11">
        <v>0</v>
      </c>
      <c r="AB211" s="12">
        <v>0</v>
      </c>
    </row>
    <row r="212" spans="1:28" x14ac:dyDescent="0.2">
      <c r="A212" s="7">
        <v>112870</v>
      </c>
      <c r="B212" s="8" t="s">
        <v>1859</v>
      </c>
      <c r="C212" s="8" t="s">
        <v>1860</v>
      </c>
      <c r="D212" s="8" t="s">
        <v>138</v>
      </c>
      <c r="E212" s="8"/>
      <c r="F212" s="8" t="s">
        <v>223</v>
      </c>
      <c r="G212" s="8" t="s">
        <v>224</v>
      </c>
      <c r="H212" s="8" t="s">
        <v>225</v>
      </c>
      <c r="I212" s="8" t="s">
        <v>1861</v>
      </c>
      <c r="J212" s="8" t="s">
        <v>1862</v>
      </c>
      <c r="K212" s="8" t="s">
        <v>228</v>
      </c>
      <c r="L212" s="8" t="s">
        <v>229</v>
      </c>
      <c r="M212" s="8" t="s">
        <v>1863</v>
      </c>
      <c r="N212" s="8" t="s">
        <v>128</v>
      </c>
      <c r="O212" s="8" t="s">
        <v>1864</v>
      </c>
      <c r="P212" s="8" t="s">
        <v>1865</v>
      </c>
      <c r="Q212" s="8" t="s">
        <v>150</v>
      </c>
      <c r="R212" s="8"/>
      <c r="S212" s="8" t="s">
        <v>1866</v>
      </c>
      <c r="T212" s="8" t="s">
        <v>67</v>
      </c>
      <c r="U212" s="8" t="s">
        <v>150</v>
      </c>
      <c r="V212" s="8" t="s">
        <v>152</v>
      </c>
      <c r="W212" s="8" t="s">
        <v>67</v>
      </c>
      <c r="X212" s="8">
        <v>60</v>
      </c>
      <c r="Y212" s="8" t="s">
        <v>135</v>
      </c>
      <c r="Z212" s="8">
        <v>80</v>
      </c>
      <c r="AA212" s="8">
        <v>0</v>
      </c>
      <c r="AB212" s="9">
        <v>0</v>
      </c>
    </row>
    <row r="213" spans="1:28" x14ac:dyDescent="0.2">
      <c r="A213" s="10">
        <v>21861</v>
      </c>
      <c r="B213" s="11" t="s">
        <v>1867</v>
      </c>
      <c r="C213" s="11" t="s">
        <v>1193</v>
      </c>
      <c r="D213" s="11" t="s">
        <v>1064</v>
      </c>
      <c r="E213" s="11" t="s">
        <v>1868</v>
      </c>
      <c r="F213" s="11" t="s">
        <v>1195</v>
      </c>
      <c r="G213" s="11" t="s">
        <v>1196</v>
      </c>
      <c r="H213" s="11" t="s">
        <v>142</v>
      </c>
      <c r="I213" s="11" t="s">
        <v>1197</v>
      </c>
      <c r="J213" s="11" t="s">
        <v>1198</v>
      </c>
      <c r="K213" s="11" t="s">
        <v>1199</v>
      </c>
      <c r="L213" s="11" t="s">
        <v>464</v>
      </c>
      <c r="M213" s="11" t="s">
        <v>1869</v>
      </c>
      <c r="N213" s="11" t="s">
        <v>128</v>
      </c>
      <c r="O213" s="11" t="s">
        <v>1870</v>
      </c>
      <c r="P213" s="11"/>
      <c r="Q213" s="11" t="s">
        <v>131</v>
      </c>
      <c r="R213" s="11"/>
      <c r="S213" s="11" t="s">
        <v>1203</v>
      </c>
      <c r="T213" s="11" t="s">
        <v>983</v>
      </c>
      <c r="U213" s="11" t="s">
        <v>134</v>
      </c>
      <c r="V213" s="11" t="s">
        <v>131</v>
      </c>
      <c r="W213" s="11" t="s">
        <v>983</v>
      </c>
      <c r="X213" s="11">
        <v>60</v>
      </c>
      <c r="Y213" s="11" t="s">
        <v>135</v>
      </c>
      <c r="Z213" s="11">
        <v>80</v>
      </c>
      <c r="AA213" s="11">
        <v>1</v>
      </c>
      <c r="AB213" s="12">
        <v>1</v>
      </c>
    </row>
    <row r="214" spans="1:28" x14ac:dyDescent="0.2">
      <c r="A214" s="7">
        <v>22060</v>
      </c>
      <c r="B214" s="8" t="s">
        <v>1871</v>
      </c>
      <c r="C214" s="8" t="s">
        <v>578</v>
      </c>
      <c r="D214" s="8" t="s">
        <v>579</v>
      </c>
      <c r="E214" s="8" t="s">
        <v>1872</v>
      </c>
      <c r="F214" s="8" t="s">
        <v>581</v>
      </c>
      <c r="G214" s="8" t="s">
        <v>141</v>
      </c>
      <c r="H214" s="8" t="s">
        <v>142</v>
      </c>
      <c r="I214" s="8" t="s">
        <v>582</v>
      </c>
      <c r="J214" s="8" t="s">
        <v>583</v>
      </c>
      <c r="K214" s="8" t="s">
        <v>584</v>
      </c>
      <c r="L214" s="8" t="s">
        <v>146</v>
      </c>
      <c r="M214" s="8" t="s">
        <v>1873</v>
      </c>
      <c r="N214" s="8" t="s">
        <v>128</v>
      </c>
      <c r="O214" s="8" t="s">
        <v>1874</v>
      </c>
      <c r="P214" s="8"/>
      <c r="Q214" s="8" t="s">
        <v>131</v>
      </c>
      <c r="R214" s="8"/>
      <c r="S214" s="8" t="s">
        <v>588</v>
      </c>
      <c r="T214" s="8" t="s">
        <v>983</v>
      </c>
      <c r="U214" s="8" t="s">
        <v>134</v>
      </c>
      <c r="V214" s="8" t="s">
        <v>131</v>
      </c>
      <c r="W214" s="8" t="s">
        <v>983</v>
      </c>
      <c r="X214" s="8">
        <v>60</v>
      </c>
      <c r="Y214" s="8" t="s">
        <v>135</v>
      </c>
      <c r="Z214" s="8">
        <v>80</v>
      </c>
      <c r="AA214" s="8">
        <v>1</v>
      </c>
      <c r="AB214" s="9">
        <v>1</v>
      </c>
    </row>
    <row r="215" spans="1:28" x14ac:dyDescent="0.2">
      <c r="A215" s="10">
        <v>21873</v>
      </c>
      <c r="B215" s="11" t="s">
        <v>1875</v>
      </c>
      <c r="C215" s="11" t="s">
        <v>1249</v>
      </c>
      <c r="D215" s="11" t="s">
        <v>1250</v>
      </c>
      <c r="E215" s="11" t="s">
        <v>1876</v>
      </c>
      <c r="F215" s="11" t="s">
        <v>1252</v>
      </c>
      <c r="G215" s="11" t="s">
        <v>1253</v>
      </c>
      <c r="H215" s="11" t="s">
        <v>142</v>
      </c>
      <c r="I215" s="11" t="s">
        <v>1294</v>
      </c>
      <c r="J215" s="11" t="s">
        <v>1255</v>
      </c>
      <c r="K215" s="11" t="s">
        <v>1199</v>
      </c>
      <c r="L215" s="11" t="s">
        <v>464</v>
      </c>
      <c r="M215" s="11" t="s">
        <v>1877</v>
      </c>
      <c r="N215" s="11" t="s">
        <v>128</v>
      </c>
      <c r="O215" s="11" t="s">
        <v>1878</v>
      </c>
      <c r="P215" s="11" t="s">
        <v>1879</v>
      </c>
      <c r="Q215" s="11" t="s">
        <v>131</v>
      </c>
      <c r="R215" s="11"/>
      <c r="S215" s="11" t="s">
        <v>1259</v>
      </c>
      <c r="T215" s="11" t="s">
        <v>133</v>
      </c>
      <c r="U215" s="11" t="s">
        <v>134</v>
      </c>
      <c r="V215" s="11" t="s">
        <v>131</v>
      </c>
      <c r="W215" s="11" t="s">
        <v>133</v>
      </c>
      <c r="X215" s="11">
        <v>60</v>
      </c>
      <c r="Y215" s="11" t="s">
        <v>135</v>
      </c>
      <c r="Z215" s="11">
        <v>80</v>
      </c>
      <c r="AA215" s="11">
        <v>1</v>
      </c>
      <c r="AB215" s="12">
        <v>1</v>
      </c>
    </row>
    <row r="216" spans="1:28" x14ac:dyDescent="0.2">
      <c r="A216" s="7">
        <v>21964</v>
      </c>
      <c r="B216" s="8" t="s">
        <v>1880</v>
      </c>
      <c r="C216" s="8" t="s">
        <v>1417</v>
      </c>
      <c r="D216" s="8" t="s">
        <v>138</v>
      </c>
      <c r="E216" s="8" t="s">
        <v>1881</v>
      </c>
      <c r="F216" s="8" t="s">
        <v>353</v>
      </c>
      <c r="G216" s="8" t="s">
        <v>1419</v>
      </c>
      <c r="H216" s="8" t="s">
        <v>704</v>
      </c>
      <c r="I216" s="8" t="s">
        <v>1420</v>
      </c>
      <c r="J216" s="8" t="s">
        <v>1421</v>
      </c>
      <c r="K216" s="8" t="s">
        <v>707</v>
      </c>
      <c r="L216" s="8" t="s">
        <v>126</v>
      </c>
      <c r="M216" s="8" t="s">
        <v>1882</v>
      </c>
      <c r="N216" s="8" t="s">
        <v>128</v>
      </c>
      <c r="O216" s="8" t="s">
        <v>1883</v>
      </c>
      <c r="P216" s="8" t="s">
        <v>1884</v>
      </c>
      <c r="Q216" s="8" t="s">
        <v>131</v>
      </c>
      <c r="R216" s="8"/>
      <c r="S216" s="8" t="s">
        <v>1425</v>
      </c>
      <c r="T216" s="8" t="s">
        <v>133</v>
      </c>
      <c r="U216" s="8" t="s">
        <v>134</v>
      </c>
      <c r="V216" s="8" t="s">
        <v>131</v>
      </c>
      <c r="W216" s="8" t="s">
        <v>133</v>
      </c>
      <c r="X216" s="8">
        <v>60</v>
      </c>
      <c r="Y216" s="8" t="s">
        <v>135</v>
      </c>
      <c r="Z216" s="8">
        <v>80</v>
      </c>
      <c r="AA216" s="8">
        <v>1</v>
      </c>
      <c r="AB216" s="9">
        <v>1</v>
      </c>
    </row>
    <row r="217" spans="1:28" x14ac:dyDescent="0.2">
      <c r="A217" s="10">
        <v>21998</v>
      </c>
      <c r="B217" s="11" t="s">
        <v>1885</v>
      </c>
      <c r="C217" s="11" t="s">
        <v>1223</v>
      </c>
      <c r="D217" s="11" t="s">
        <v>1224</v>
      </c>
      <c r="E217" s="11" t="s">
        <v>1886</v>
      </c>
      <c r="F217" s="11" t="s">
        <v>353</v>
      </c>
      <c r="G217" s="11" t="s">
        <v>703</v>
      </c>
      <c r="H217" s="11" t="s">
        <v>704</v>
      </c>
      <c r="I217" s="11" t="s">
        <v>1226</v>
      </c>
      <c r="J217" s="11" t="s">
        <v>1227</v>
      </c>
      <c r="K217" s="11" t="s">
        <v>707</v>
      </c>
      <c r="L217" s="11" t="s">
        <v>126</v>
      </c>
      <c r="M217" s="11" t="s">
        <v>1887</v>
      </c>
      <c r="N217" s="11" t="s">
        <v>128</v>
      </c>
      <c r="O217" s="11" t="s">
        <v>1888</v>
      </c>
      <c r="P217" s="11" t="s">
        <v>1889</v>
      </c>
      <c r="Q217" s="11" t="s">
        <v>131</v>
      </c>
      <c r="R217" s="11"/>
      <c r="S217" s="11" t="s">
        <v>1231</v>
      </c>
      <c r="T217" s="11" t="s">
        <v>133</v>
      </c>
      <c r="U217" s="11" t="s">
        <v>134</v>
      </c>
      <c r="V217" s="11" t="s">
        <v>131</v>
      </c>
      <c r="W217" s="11" t="s">
        <v>133</v>
      </c>
      <c r="X217" s="11">
        <v>60</v>
      </c>
      <c r="Y217" s="11" t="s">
        <v>135</v>
      </c>
      <c r="Z217" s="11">
        <v>80</v>
      </c>
      <c r="AA217" s="11">
        <v>1</v>
      </c>
      <c r="AB217" s="12">
        <v>1</v>
      </c>
    </row>
    <row r="218" spans="1:28" x14ac:dyDescent="0.2">
      <c r="A218" s="7">
        <v>22041</v>
      </c>
      <c r="B218" s="8" t="s">
        <v>1890</v>
      </c>
      <c r="C218" s="8" t="s">
        <v>170</v>
      </c>
      <c r="D218" s="8" t="s">
        <v>171</v>
      </c>
      <c r="E218" s="8" t="s">
        <v>1891</v>
      </c>
      <c r="F218" s="8" t="s">
        <v>173</v>
      </c>
      <c r="G218" s="8" t="s">
        <v>158</v>
      </c>
      <c r="H218" s="8" t="s">
        <v>159</v>
      </c>
      <c r="I218" s="8" t="s">
        <v>174</v>
      </c>
      <c r="J218" s="8" t="s">
        <v>175</v>
      </c>
      <c r="K218" s="8" t="s">
        <v>162</v>
      </c>
      <c r="L218" s="8" t="s">
        <v>163</v>
      </c>
      <c r="M218" s="8" t="s">
        <v>1892</v>
      </c>
      <c r="N218" s="8" t="s">
        <v>128</v>
      </c>
      <c r="O218" s="8" t="s">
        <v>1893</v>
      </c>
      <c r="P218" s="8" t="s">
        <v>1894</v>
      </c>
      <c r="Q218" s="8" t="s">
        <v>131</v>
      </c>
      <c r="R218" s="8"/>
      <c r="S218" s="8" t="s">
        <v>179</v>
      </c>
      <c r="T218" s="8" t="s">
        <v>133</v>
      </c>
      <c r="U218" s="8" t="s">
        <v>134</v>
      </c>
      <c r="V218" s="8" t="s">
        <v>131</v>
      </c>
      <c r="W218" s="8" t="s">
        <v>133</v>
      </c>
      <c r="X218" s="8">
        <v>60</v>
      </c>
      <c r="Y218" s="8" t="s">
        <v>135</v>
      </c>
      <c r="Z218" s="8">
        <v>20</v>
      </c>
      <c r="AA218" s="8">
        <v>1</v>
      </c>
      <c r="AB218" s="9">
        <v>0</v>
      </c>
    </row>
    <row r="219" spans="1:28" x14ac:dyDescent="0.2">
      <c r="A219" s="10">
        <v>22492</v>
      </c>
      <c r="B219" s="11" t="s">
        <v>1895</v>
      </c>
      <c r="C219" s="11" t="s">
        <v>1271</v>
      </c>
      <c r="D219" s="11" t="s">
        <v>1272</v>
      </c>
      <c r="E219" s="11" t="s">
        <v>1896</v>
      </c>
      <c r="F219" s="11" t="s">
        <v>1274</v>
      </c>
      <c r="G219" s="11" t="s">
        <v>521</v>
      </c>
      <c r="H219" s="11" t="s">
        <v>522</v>
      </c>
      <c r="I219" s="11" t="s">
        <v>1275</v>
      </c>
      <c r="J219" s="11" t="s">
        <v>1276</v>
      </c>
      <c r="K219" s="11" t="s">
        <v>525</v>
      </c>
      <c r="L219" s="11" t="s">
        <v>526</v>
      </c>
      <c r="M219" s="11" t="s">
        <v>1897</v>
      </c>
      <c r="N219" s="11" t="s">
        <v>128</v>
      </c>
      <c r="O219" s="11" t="s">
        <v>1898</v>
      </c>
      <c r="P219" s="11"/>
      <c r="Q219" s="11" t="s">
        <v>150</v>
      </c>
      <c r="R219" s="11"/>
      <c r="S219" s="11" t="s">
        <v>1280</v>
      </c>
      <c r="T219" s="11" t="s">
        <v>1899</v>
      </c>
      <c r="U219" s="11" t="s">
        <v>150</v>
      </c>
      <c r="V219" s="11" t="s">
        <v>1899</v>
      </c>
      <c r="W219" s="11" t="s">
        <v>1899</v>
      </c>
      <c r="X219" s="11">
        <v>60</v>
      </c>
      <c r="Y219" s="11" t="s">
        <v>135</v>
      </c>
      <c r="Z219" s="11">
        <v>20</v>
      </c>
      <c r="AA219" s="11">
        <v>1</v>
      </c>
      <c r="AB219" s="12">
        <v>0</v>
      </c>
    </row>
    <row r="220" spans="1:28" x14ac:dyDescent="0.2">
      <c r="A220" s="7">
        <v>22536</v>
      </c>
      <c r="B220" s="8" t="s">
        <v>1900</v>
      </c>
      <c r="C220" s="8" t="s">
        <v>733</v>
      </c>
      <c r="D220" s="8" t="s">
        <v>734</v>
      </c>
      <c r="E220" s="8" t="s">
        <v>1901</v>
      </c>
      <c r="F220" s="8" t="s">
        <v>282</v>
      </c>
      <c r="G220" s="8" t="s">
        <v>224</v>
      </c>
      <c r="H220" s="8" t="s">
        <v>225</v>
      </c>
      <c r="I220" s="8" t="s">
        <v>283</v>
      </c>
      <c r="J220" s="8" t="s">
        <v>736</v>
      </c>
      <c r="K220" s="8" t="s">
        <v>228</v>
      </c>
      <c r="L220" s="8" t="s">
        <v>229</v>
      </c>
      <c r="M220" s="8" t="s">
        <v>1902</v>
      </c>
      <c r="N220" s="8" t="s">
        <v>128</v>
      </c>
      <c r="O220" s="8" t="s">
        <v>1903</v>
      </c>
      <c r="P220" s="8" t="s">
        <v>1904</v>
      </c>
      <c r="Q220" s="8" t="s">
        <v>150</v>
      </c>
      <c r="R220" s="8"/>
      <c r="S220" s="8" t="s">
        <v>288</v>
      </c>
      <c r="T220" s="8" t="s">
        <v>869</v>
      </c>
      <c r="U220" s="8" t="s">
        <v>150</v>
      </c>
      <c r="V220" s="8" t="s">
        <v>869</v>
      </c>
      <c r="W220" s="8" t="s">
        <v>869</v>
      </c>
      <c r="X220" s="8">
        <v>60</v>
      </c>
      <c r="Y220" s="8" t="s">
        <v>135</v>
      </c>
      <c r="Z220" s="8">
        <v>80</v>
      </c>
      <c r="AA220" s="8">
        <v>1</v>
      </c>
      <c r="AB220" s="9">
        <v>1</v>
      </c>
    </row>
    <row r="221" spans="1:28" x14ac:dyDescent="0.2">
      <c r="A221" s="10">
        <v>23574</v>
      </c>
      <c r="B221" s="11" t="s">
        <v>1905</v>
      </c>
      <c r="C221" s="11" t="s">
        <v>1125</v>
      </c>
      <c r="D221" s="11" t="s">
        <v>1126</v>
      </c>
      <c r="E221" s="11" t="s">
        <v>1906</v>
      </c>
      <c r="F221" s="11" t="s">
        <v>1128</v>
      </c>
      <c r="G221" s="11" t="s">
        <v>450</v>
      </c>
      <c r="H221" s="11" t="s">
        <v>301</v>
      </c>
      <c r="I221" s="11" t="s">
        <v>1129</v>
      </c>
      <c r="J221" s="11" t="s">
        <v>1130</v>
      </c>
      <c r="K221" s="11" t="s">
        <v>304</v>
      </c>
      <c r="L221" s="11" t="s">
        <v>229</v>
      </c>
      <c r="M221" s="11" t="s">
        <v>1907</v>
      </c>
      <c r="N221" s="11" t="s">
        <v>128</v>
      </c>
      <c r="O221" s="11" t="s">
        <v>1908</v>
      </c>
      <c r="P221" s="11" t="s">
        <v>1909</v>
      </c>
      <c r="Q221" s="11" t="s">
        <v>150</v>
      </c>
      <c r="R221" s="11"/>
      <c r="S221" s="11" t="s">
        <v>1134</v>
      </c>
      <c r="T221" s="11" t="s">
        <v>168</v>
      </c>
      <c r="U221" s="11" t="s">
        <v>150</v>
      </c>
      <c r="V221" s="11" t="s">
        <v>168</v>
      </c>
      <c r="W221" s="11" t="s">
        <v>168</v>
      </c>
      <c r="X221" s="11">
        <v>60</v>
      </c>
      <c r="Y221" s="11" t="s">
        <v>135</v>
      </c>
      <c r="Z221" s="11">
        <v>80</v>
      </c>
      <c r="AA221" s="11">
        <v>0</v>
      </c>
      <c r="AB221" s="12">
        <v>0</v>
      </c>
    </row>
    <row r="222" spans="1:28" x14ac:dyDescent="0.2">
      <c r="A222" s="7">
        <v>23797</v>
      </c>
      <c r="B222" s="8" t="s">
        <v>1910</v>
      </c>
      <c r="C222" s="8" t="s">
        <v>1911</v>
      </c>
      <c r="D222" s="8" t="s">
        <v>1912</v>
      </c>
      <c r="E222" s="8" t="s">
        <v>1913</v>
      </c>
      <c r="F222" s="8" t="s">
        <v>1914</v>
      </c>
      <c r="G222" s="8" t="s">
        <v>1915</v>
      </c>
      <c r="H222" s="8" t="s">
        <v>122</v>
      </c>
      <c r="I222" s="8" t="s">
        <v>1916</v>
      </c>
      <c r="J222" s="8" t="s">
        <v>1917</v>
      </c>
      <c r="K222" s="8" t="s">
        <v>1051</v>
      </c>
      <c r="L222" s="8" t="s">
        <v>126</v>
      </c>
      <c r="M222" s="8" t="s">
        <v>1918</v>
      </c>
      <c r="N222" s="8" t="s">
        <v>128</v>
      </c>
      <c r="O222" s="8" t="s">
        <v>1919</v>
      </c>
      <c r="P222" s="8" t="s">
        <v>1920</v>
      </c>
      <c r="Q222" s="8" t="s">
        <v>150</v>
      </c>
      <c r="R222" s="8"/>
      <c r="S222" s="8" t="s">
        <v>1921</v>
      </c>
      <c r="T222" s="8" t="s">
        <v>168</v>
      </c>
      <c r="U222" s="8" t="s">
        <v>150</v>
      </c>
      <c r="V222" s="8" t="s">
        <v>168</v>
      </c>
      <c r="W222" s="8" t="s">
        <v>168</v>
      </c>
      <c r="X222" s="8">
        <v>60</v>
      </c>
      <c r="Y222" s="8" t="s">
        <v>135</v>
      </c>
      <c r="Z222" s="8">
        <v>80</v>
      </c>
      <c r="AA222" s="8">
        <v>0</v>
      </c>
      <c r="AB222" s="9">
        <v>0</v>
      </c>
    </row>
    <row r="223" spans="1:28" x14ac:dyDescent="0.2">
      <c r="A223" s="10">
        <v>23653</v>
      </c>
      <c r="B223" s="11" t="s">
        <v>1922</v>
      </c>
      <c r="C223" s="11" t="s">
        <v>1249</v>
      </c>
      <c r="D223" s="11" t="s">
        <v>1250</v>
      </c>
      <c r="E223" s="11" t="s">
        <v>1923</v>
      </c>
      <c r="F223" s="11" t="s">
        <v>1252</v>
      </c>
      <c r="G223" s="11" t="s">
        <v>1253</v>
      </c>
      <c r="H223" s="11" t="s">
        <v>142</v>
      </c>
      <c r="I223" s="11" t="s">
        <v>1294</v>
      </c>
      <c r="J223" s="11" t="s">
        <v>1255</v>
      </c>
      <c r="K223" s="11" t="s">
        <v>1199</v>
      </c>
      <c r="L223" s="11" t="s">
        <v>464</v>
      </c>
      <c r="M223" s="11" t="s">
        <v>1924</v>
      </c>
      <c r="N223" s="11" t="s">
        <v>128</v>
      </c>
      <c r="O223" s="11" t="s">
        <v>1925</v>
      </c>
      <c r="P223" s="11" t="s">
        <v>1926</v>
      </c>
      <c r="Q223" s="11" t="s">
        <v>150</v>
      </c>
      <c r="R223" s="11"/>
      <c r="S223" s="11" t="s">
        <v>1259</v>
      </c>
      <c r="T223" s="11" t="s">
        <v>168</v>
      </c>
      <c r="U223" s="11" t="s">
        <v>150</v>
      </c>
      <c r="V223" s="11" t="s">
        <v>168</v>
      </c>
      <c r="W223" s="11" t="s">
        <v>168</v>
      </c>
      <c r="X223" s="11">
        <v>60</v>
      </c>
      <c r="Y223" s="11" t="s">
        <v>135</v>
      </c>
      <c r="Z223" s="11">
        <v>80</v>
      </c>
      <c r="AA223" s="11">
        <v>1</v>
      </c>
      <c r="AB223" s="12">
        <v>1</v>
      </c>
    </row>
    <row r="224" spans="1:28" x14ac:dyDescent="0.2">
      <c r="A224" s="7">
        <v>23571</v>
      </c>
      <c r="B224" s="8" t="s">
        <v>1927</v>
      </c>
      <c r="C224" s="8" t="s">
        <v>1928</v>
      </c>
      <c r="D224" s="8" t="s">
        <v>1929</v>
      </c>
      <c r="E224" s="8"/>
      <c r="F224" s="8" t="s">
        <v>353</v>
      </c>
      <c r="G224" s="8" t="s">
        <v>1727</v>
      </c>
      <c r="H224" s="8" t="s">
        <v>557</v>
      </c>
      <c r="I224" s="8" t="s">
        <v>1930</v>
      </c>
      <c r="J224" s="8" t="s">
        <v>1931</v>
      </c>
      <c r="K224" s="8" t="s">
        <v>1562</v>
      </c>
      <c r="L224" s="8" t="s">
        <v>229</v>
      </c>
      <c r="M224" s="8" t="s">
        <v>1932</v>
      </c>
      <c r="N224" s="8" t="s">
        <v>128</v>
      </c>
      <c r="O224" s="8" t="s">
        <v>1933</v>
      </c>
      <c r="P224" s="8" t="s">
        <v>1934</v>
      </c>
      <c r="Q224" s="8" t="s">
        <v>150</v>
      </c>
      <c r="R224" s="8"/>
      <c r="S224" s="8" t="s">
        <v>71</v>
      </c>
      <c r="T224" s="8" t="s">
        <v>168</v>
      </c>
      <c r="U224" s="8" t="s">
        <v>150</v>
      </c>
      <c r="V224" s="8" t="s">
        <v>168</v>
      </c>
      <c r="W224" s="8" t="s">
        <v>168</v>
      </c>
      <c r="X224" s="8">
        <v>60</v>
      </c>
      <c r="Y224" s="8" t="s">
        <v>135</v>
      </c>
      <c r="Z224" s="8">
        <v>80</v>
      </c>
      <c r="AA224" s="8">
        <v>0</v>
      </c>
      <c r="AB224" s="9">
        <v>0</v>
      </c>
    </row>
    <row r="225" spans="1:28" x14ac:dyDescent="0.2">
      <c r="A225" s="10">
        <v>23971</v>
      </c>
      <c r="B225" s="11" t="s">
        <v>1935</v>
      </c>
      <c r="C225" s="11" t="s">
        <v>1936</v>
      </c>
      <c r="D225" s="11" t="s">
        <v>1054</v>
      </c>
      <c r="E225" s="11"/>
      <c r="F225" s="11" t="s">
        <v>353</v>
      </c>
      <c r="G225" s="11" t="s">
        <v>1937</v>
      </c>
      <c r="H225" s="11" t="s">
        <v>142</v>
      </c>
      <c r="I225" s="11" t="s">
        <v>1938</v>
      </c>
      <c r="J225" s="11" t="s">
        <v>1939</v>
      </c>
      <c r="K225" s="11" t="s">
        <v>1673</v>
      </c>
      <c r="L225" s="11" t="s">
        <v>464</v>
      </c>
      <c r="M225" s="11" t="s">
        <v>1940</v>
      </c>
      <c r="N225" s="11" t="s">
        <v>128</v>
      </c>
      <c r="O225" s="11" t="s">
        <v>1941</v>
      </c>
      <c r="P225" s="11" t="s">
        <v>1942</v>
      </c>
      <c r="Q225" s="11" t="s">
        <v>150</v>
      </c>
      <c r="R225" s="11"/>
      <c r="S225" s="11" t="s">
        <v>71</v>
      </c>
      <c r="T225" s="11" t="s">
        <v>168</v>
      </c>
      <c r="U225" s="11" t="s">
        <v>150</v>
      </c>
      <c r="V225" s="11" t="s">
        <v>168</v>
      </c>
      <c r="W225" s="11" t="s">
        <v>168</v>
      </c>
      <c r="X225" s="11">
        <v>60</v>
      </c>
      <c r="Y225" s="11" t="s">
        <v>135</v>
      </c>
      <c r="Z225" s="11">
        <v>80</v>
      </c>
      <c r="AA225" s="11">
        <v>0</v>
      </c>
      <c r="AB225" s="12">
        <v>0</v>
      </c>
    </row>
    <row r="226" spans="1:28" x14ac:dyDescent="0.2">
      <c r="A226" s="7">
        <v>23936</v>
      </c>
      <c r="B226" s="8" t="s">
        <v>1943</v>
      </c>
      <c r="C226" s="8" t="s">
        <v>1477</v>
      </c>
      <c r="D226" s="8" t="s">
        <v>1944</v>
      </c>
      <c r="E226" s="8"/>
      <c r="F226" s="8" t="s">
        <v>1479</v>
      </c>
      <c r="G226" s="8" t="s">
        <v>556</v>
      </c>
      <c r="H226" s="8" t="s">
        <v>557</v>
      </c>
      <c r="I226" s="8" t="s">
        <v>1604</v>
      </c>
      <c r="J226" s="8" t="s">
        <v>1945</v>
      </c>
      <c r="K226" s="8" t="s">
        <v>560</v>
      </c>
      <c r="L226" s="8" t="s">
        <v>229</v>
      </c>
      <c r="M226" s="8" t="s">
        <v>1946</v>
      </c>
      <c r="N226" s="8" t="s">
        <v>128</v>
      </c>
      <c r="O226" s="8" t="s">
        <v>1947</v>
      </c>
      <c r="P226" s="8" t="s">
        <v>1948</v>
      </c>
      <c r="Q226" s="8" t="s">
        <v>150</v>
      </c>
      <c r="R226" s="8"/>
      <c r="S226" s="8" t="s">
        <v>71</v>
      </c>
      <c r="T226" s="8" t="s">
        <v>168</v>
      </c>
      <c r="U226" s="8" t="s">
        <v>150</v>
      </c>
      <c r="V226" s="8" t="s">
        <v>168</v>
      </c>
      <c r="W226" s="8" t="s">
        <v>168</v>
      </c>
      <c r="X226" s="8">
        <v>60</v>
      </c>
      <c r="Y226" s="8" t="s">
        <v>135</v>
      </c>
      <c r="Z226" s="8">
        <v>80</v>
      </c>
      <c r="AA226" s="8">
        <v>0</v>
      </c>
      <c r="AB226" s="9">
        <v>0</v>
      </c>
    </row>
    <row r="227" spans="1:28" x14ac:dyDescent="0.2">
      <c r="A227" s="10">
        <v>23791</v>
      </c>
      <c r="B227" s="11" t="s">
        <v>1949</v>
      </c>
      <c r="C227" s="11" t="s">
        <v>1950</v>
      </c>
      <c r="D227" s="11"/>
      <c r="E227" s="11"/>
      <c r="F227" s="11" t="s">
        <v>1951</v>
      </c>
      <c r="G227" s="11" t="s">
        <v>1952</v>
      </c>
      <c r="H227" s="11" t="s">
        <v>1953</v>
      </c>
      <c r="I227" s="11" t="s">
        <v>1954</v>
      </c>
      <c r="J227" s="11" t="s">
        <v>1955</v>
      </c>
      <c r="K227" s="11" t="s">
        <v>1956</v>
      </c>
      <c r="L227" s="11" t="s">
        <v>526</v>
      </c>
      <c r="M227" s="11" t="s">
        <v>1957</v>
      </c>
      <c r="N227" s="11" t="s">
        <v>128</v>
      </c>
      <c r="O227" s="11" t="s">
        <v>1958</v>
      </c>
      <c r="P227" s="11" t="s">
        <v>1369</v>
      </c>
      <c r="Q227" s="11" t="s">
        <v>150</v>
      </c>
      <c r="R227" s="11"/>
      <c r="S227" s="11" t="s">
        <v>1959</v>
      </c>
      <c r="T227" s="11" t="s">
        <v>168</v>
      </c>
      <c r="U227" s="11" t="s">
        <v>150</v>
      </c>
      <c r="V227" s="11" t="s">
        <v>168</v>
      </c>
      <c r="W227" s="11" t="s">
        <v>168</v>
      </c>
      <c r="X227" s="11">
        <v>60</v>
      </c>
      <c r="Y227" s="11" t="s">
        <v>135</v>
      </c>
      <c r="Z227" s="11">
        <v>80</v>
      </c>
      <c r="AA227" s="11">
        <v>1</v>
      </c>
      <c r="AB227" s="12">
        <v>1</v>
      </c>
    </row>
    <row r="228" spans="1:28" x14ac:dyDescent="0.2">
      <c r="A228" s="7">
        <v>111075</v>
      </c>
      <c r="B228" s="8" t="s">
        <v>1960</v>
      </c>
      <c r="C228" s="8" t="s">
        <v>1961</v>
      </c>
      <c r="D228" s="8" t="s">
        <v>1962</v>
      </c>
      <c r="E228" s="8"/>
      <c r="F228" s="8" t="s">
        <v>1963</v>
      </c>
      <c r="G228" s="8" t="s">
        <v>328</v>
      </c>
      <c r="H228" s="8" t="s">
        <v>329</v>
      </c>
      <c r="I228" s="8" t="s">
        <v>1964</v>
      </c>
      <c r="J228" s="8" t="s">
        <v>1965</v>
      </c>
      <c r="K228" s="8" t="s">
        <v>572</v>
      </c>
      <c r="L228" s="8" t="s">
        <v>333</v>
      </c>
      <c r="M228" s="8" t="s">
        <v>1966</v>
      </c>
      <c r="N228" s="8" t="s">
        <v>128</v>
      </c>
      <c r="O228" s="8" t="s">
        <v>1967</v>
      </c>
      <c r="P228" s="8" t="s">
        <v>1968</v>
      </c>
      <c r="Q228" s="8" t="s">
        <v>150</v>
      </c>
      <c r="R228" s="8"/>
      <c r="S228" s="8" t="s">
        <v>1969</v>
      </c>
      <c r="T228" s="8" t="s">
        <v>168</v>
      </c>
      <c r="U228" s="8" t="s">
        <v>150</v>
      </c>
      <c r="V228" s="8" t="s">
        <v>168</v>
      </c>
      <c r="W228" s="8" t="s">
        <v>168</v>
      </c>
      <c r="X228" s="8">
        <v>60</v>
      </c>
      <c r="Y228" s="8" t="s">
        <v>135</v>
      </c>
      <c r="Z228" s="8">
        <v>80</v>
      </c>
      <c r="AA228" s="8">
        <v>1</v>
      </c>
      <c r="AB228" s="9">
        <v>1</v>
      </c>
    </row>
    <row r="229" spans="1:28" x14ac:dyDescent="0.2">
      <c r="A229" s="10">
        <v>24610</v>
      </c>
      <c r="B229" s="11" t="s">
        <v>1970</v>
      </c>
      <c r="C229" s="11" t="s">
        <v>566</v>
      </c>
      <c r="D229" s="11" t="s">
        <v>567</v>
      </c>
      <c r="E229" s="11" t="s">
        <v>1971</v>
      </c>
      <c r="F229" s="11" t="s">
        <v>569</v>
      </c>
      <c r="G229" s="11" t="s">
        <v>328</v>
      </c>
      <c r="H229" s="11" t="s">
        <v>329</v>
      </c>
      <c r="I229" s="11" t="s">
        <v>570</v>
      </c>
      <c r="J229" s="11" t="s">
        <v>571</v>
      </c>
      <c r="K229" s="11" t="s">
        <v>572</v>
      </c>
      <c r="L229" s="11" t="s">
        <v>333</v>
      </c>
      <c r="M229" s="11" t="s">
        <v>1972</v>
      </c>
      <c r="N229" s="11" t="s">
        <v>128</v>
      </c>
      <c r="O229" s="11" t="s">
        <v>1973</v>
      </c>
      <c r="P229" s="11" t="s">
        <v>1974</v>
      </c>
      <c r="Q229" s="11" t="s">
        <v>150</v>
      </c>
      <c r="R229" s="11"/>
      <c r="S229" s="11" t="s">
        <v>576</v>
      </c>
      <c r="T229" s="11" t="s">
        <v>69</v>
      </c>
      <c r="U229" s="11" t="s">
        <v>150</v>
      </c>
      <c r="V229" s="11" t="s">
        <v>152</v>
      </c>
      <c r="W229" s="11" t="s">
        <v>69</v>
      </c>
      <c r="X229" s="11">
        <v>60</v>
      </c>
      <c r="Y229" s="11" t="s">
        <v>135</v>
      </c>
      <c r="Z229" s="11">
        <v>80</v>
      </c>
      <c r="AA229" s="11">
        <v>1</v>
      </c>
      <c r="AB229" s="12">
        <v>1</v>
      </c>
    </row>
    <row r="230" spans="1:28" x14ac:dyDescent="0.2">
      <c r="A230" s="7">
        <v>24764</v>
      </c>
      <c r="B230" s="8" t="s">
        <v>1975</v>
      </c>
      <c r="C230" s="8" t="s">
        <v>876</v>
      </c>
      <c r="D230" s="8" t="s">
        <v>138</v>
      </c>
      <c r="E230" s="8" t="s">
        <v>1976</v>
      </c>
      <c r="F230" s="8" t="s">
        <v>878</v>
      </c>
      <c r="G230" s="8" t="s">
        <v>224</v>
      </c>
      <c r="H230" s="8" t="s">
        <v>225</v>
      </c>
      <c r="I230" s="8" t="s">
        <v>1005</v>
      </c>
      <c r="J230" s="8" t="s">
        <v>1977</v>
      </c>
      <c r="K230" s="8" t="s">
        <v>228</v>
      </c>
      <c r="L230" s="8" t="s">
        <v>229</v>
      </c>
      <c r="M230" s="8" t="s">
        <v>1978</v>
      </c>
      <c r="N230" s="8" t="s">
        <v>128</v>
      </c>
      <c r="O230" s="8" t="s">
        <v>1979</v>
      </c>
      <c r="P230" s="8" t="s">
        <v>1980</v>
      </c>
      <c r="Q230" s="8" t="s">
        <v>150</v>
      </c>
      <c r="R230" s="8"/>
      <c r="S230" s="8" t="s">
        <v>884</v>
      </c>
      <c r="T230" s="8" t="s">
        <v>69</v>
      </c>
      <c r="U230" s="8" t="s">
        <v>150</v>
      </c>
      <c r="V230" s="8" t="s">
        <v>152</v>
      </c>
      <c r="W230" s="8" t="s">
        <v>69</v>
      </c>
      <c r="X230" s="8">
        <v>60</v>
      </c>
      <c r="Y230" s="8" t="s">
        <v>135</v>
      </c>
      <c r="Z230" s="8">
        <v>80</v>
      </c>
      <c r="AA230" s="8">
        <v>1</v>
      </c>
      <c r="AB230" s="9">
        <v>1</v>
      </c>
    </row>
    <row r="231" spans="1:28" x14ac:dyDescent="0.2">
      <c r="A231" s="10">
        <v>24694</v>
      </c>
      <c r="B231" s="11" t="s">
        <v>1981</v>
      </c>
      <c r="C231" s="11" t="s">
        <v>1982</v>
      </c>
      <c r="D231" s="11" t="s">
        <v>1983</v>
      </c>
      <c r="E231" s="11" t="s">
        <v>1984</v>
      </c>
      <c r="F231" s="11" t="s">
        <v>1985</v>
      </c>
      <c r="G231" s="11" t="s">
        <v>428</v>
      </c>
      <c r="H231" s="11" t="s">
        <v>329</v>
      </c>
      <c r="I231" s="11" t="s">
        <v>1986</v>
      </c>
      <c r="J231" s="11" t="s">
        <v>1987</v>
      </c>
      <c r="K231" s="11" t="s">
        <v>431</v>
      </c>
      <c r="L231" s="11" t="s">
        <v>333</v>
      </c>
      <c r="M231" s="11" t="s">
        <v>1988</v>
      </c>
      <c r="N231" s="11" t="s">
        <v>128</v>
      </c>
      <c r="O231" s="11" t="s">
        <v>1989</v>
      </c>
      <c r="P231" s="11" t="s">
        <v>1990</v>
      </c>
      <c r="Q231" s="11" t="s">
        <v>150</v>
      </c>
      <c r="R231" s="11"/>
      <c r="S231" s="11" t="s">
        <v>1991</v>
      </c>
      <c r="T231" s="11" t="s">
        <v>69</v>
      </c>
      <c r="U231" s="11" t="s">
        <v>150</v>
      </c>
      <c r="V231" s="11" t="s">
        <v>152</v>
      </c>
      <c r="W231" s="11" t="s">
        <v>69</v>
      </c>
      <c r="X231" s="11">
        <v>60</v>
      </c>
      <c r="Y231" s="11" t="s">
        <v>135</v>
      </c>
      <c r="Z231" s="11">
        <v>80</v>
      </c>
      <c r="AA231" s="11">
        <v>0</v>
      </c>
      <c r="AB231" s="12">
        <v>0</v>
      </c>
    </row>
    <row r="232" spans="1:28" x14ac:dyDescent="0.2">
      <c r="A232" s="7">
        <v>24712</v>
      </c>
      <c r="B232" s="8" t="s">
        <v>1992</v>
      </c>
      <c r="C232" s="8" t="s">
        <v>1993</v>
      </c>
      <c r="D232" s="8" t="s">
        <v>258</v>
      </c>
      <c r="E232" s="8"/>
      <c r="F232" s="8" t="s">
        <v>1994</v>
      </c>
      <c r="G232" s="8" t="s">
        <v>328</v>
      </c>
      <c r="H232" s="8" t="s">
        <v>329</v>
      </c>
      <c r="I232" s="8" t="s">
        <v>1995</v>
      </c>
      <c r="J232" s="8" t="s">
        <v>1996</v>
      </c>
      <c r="K232" s="8" t="s">
        <v>332</v>
      </c>
      <c r="L232" s="8" t="s">
        <v>333</v>
      </c>
      <c r="M232" s="8" t="s">
        <v>1997</v>
      </c>
      <c r="N232" s="8" t="s">
        <v>128</v>
      </c>
      <c r="O232" s="8" t="s">
        <v>1998</v>
      </c>
      <c r="P232" s="8" t="s">
        <v>1999</v>
      </c>
      <c r="Q232" s="8" t="s">
        <v>150</v>
      </c>
      <c r="R232" s="8"/>
      <c r="S232" s="8" t="s">
        <v>71</v>
      </c>
      <c r="T232" s="8" t="s">
        <v>69</v>
      </c>
      <c r="U232" s="8" t="s">
        <v>150</v>
      </c>
      <c r="V232" s="8" t="s">
        <v>152</v>
      </c>
      <c r="W232" s="8" t="s">
        <v>69</v>
      </c>
      <c r="X232" s="8">
        <v>60</v>
      </c>
      <c r="Y232" s="8" t="s">
        <v>135</v>
      </c>
      <c r="Z232" s="8">
        <v>80</v>
      </c>
      <c r="AA232" s="8">
        <v>0</v>
      </c>
      <c r="AB232" s="9">
        <v>0</v>
      </c>
    </row>
    <row r="233" spans="1:28" x14ac:dyDescent="0.2">
      <c r="A233" s="10">
        <v>24752</v>
      </c>
      <c r="B233" s="11" t="s">
        <v>2000</v>
      </c>
      <c r="C233" s="11" t="s">
        <v>1477</v>
      </c>
      <c r="D233" s="11" t="s">
        <v>2001</v>
      </c>
      <c r="E233" s="11"/>
      <c r="F233" s="11" t="s">
        <v>1479</v>
      </c>
      <c r="G233" s="11" t="s">
        <v>556</v>
      </c>
      <c r="H233" s="11" t="s">
        <v>557</v>
      </c>
      <c r="I233" s="11" t="s">
        <v>2002</v>
      </c>
      <c r="J233" s="11" t="s">
        <v>2003</v>
      </c>
      <c r="K233" s="11" t="s">
        <v>560</v>
      </c>
      <c r="L233" s="11" t="s">
        <v>229</v>
      </c>
      <c r="M233" s="11" t="s">
        <v>2004</v>
      </c>
      <c r="N233" s="11" t="s">
        <v>128</v>
      </c>
      <c r="O233" s="11" t="s">
        <v>2005</v>
      </c>
      <c r="P233" s="11" t="s">
        <v>2006</v>
      </c>
      <c r="Q233" s="11" t="s">
        <v>150</v>
      </c>
      <c r="R233" s="11"/>
      <c r="S233" s="11" t="s">
        <v>71</v>
      </c>
      <c r="T233" s="11" t="s">
        <v>69</v>
      </c>
      <c r="U233" s="11" t="s">
        <v>150</v>
      </c>
      <c r="V233" s="11" t="s">
        <v>152</v>
      </c>
      <c r="W233" s="11" t="s">
        <v>69</v>
      </c>
      <c r="X233" s="11">
        <v>60</v>
      </c>
      <c r="Y233" s="11" t="s">
        <v>135</v>
      </c>
      <c r="Z233" s="11">
        <v>80</v>
      </c>
      <c r="AA233" s="11">
        <v>0</v>
      </c>
      <c r="AB233" s="12">
        <v>0</v>
      </c>
    </row>
    <row r="234" spans="1:28" x14ac:dyDescent="0.2">
      <c r="A234" s="7">
        <v>22378</v>
      </c>
      <c r="B234" s="8" t="s">
        <v>2007</v>
      </c>
      <c r="C234" s="8" t="s">
        <v>266</v>
      </c>
      <c r="D234" s="8" t="s">
        <v>267</v>
      </c>
      <c r="E234" s="8" t="s">
        <v>2008</v>
      </c>
      <c r="F234" s="8" t="s">
        <v>269</v>
      </c>
      <c r="G234" s="8" t="s">
        <v>270</v>
      </c>
      <c r="H234" s="8" t="s">
        <v>271</v>
      </c>
      <c r="I234" s="8" t="s">
        <v>272</v>
      </c>
      <c r="J234" s="8" t="s">
        <v>273</v>
      </c>
      <c r="K234" s="8" t="s">
        <v>274</v>
      </c>
      <c r="L234" s="8" t="s">
        <v>163</v>
      </c>
      <c r="M234" s="8" t="s">
        <v>2009</v>
      </c>
      <c r="N234" s="8" t="s">
        <v>128</v>
      </c>
      <c r="O234" s="8" t="s">
        <v>2010</v>
      </c>
      <c r="P234" s="8" t="s">
        <v>2011</v>
      </c>
      <c r="Q234" s="8" t="s">
        <v>740</v>
      </c>
      <c r="R234" s="8"/>
      <c r="S234" s="8" t="s">
        <v>278</v>
      </c>
      <c r="T234" s="8" t="s">
        <v>1745</v>
      </c>
      <c r="U234" s="8" t="s">
        <v>134</v>
      </c>
      <c r="V234" s="8" t="s">
        <v>740</v>
      </c>
      <c r="W234" s="8" t="s">
        <v>1745</v>
      </c>
      <c r="X234" s="8">
        <v>60</v>
      </c>
      <c r="Y234" s="8" t="s">
        <v>135</v>
      </c>
      <c r="Z234" s="8">
        <v>80</v>
      </c>
      <c r="AA234" s="8">
        <v>1</v>
      </c>
      <c r="AB234" s="9">
        <v>1</v>
      </c>
    </row>
    <row r="235" spans="1:28" x14ac:dyDescent="0.2">
      <c r="A235" s="10">
        <v>25172</v>
      </c>
      <c r="B235" s="11" t="s">
        <v>2012</v>
      </c>
      <c r="C235" s="11" t="s">
        <v>985</v>
      </c>
      <c r="D235" s="11" t="s">
        <v>986</v>
      </c>
      <c r="E235" s="11" t="s">
        <v>2013</v>
      </c>
      <c r="F235" s="11" t="s">
        <v>988</v>
      </c>
      <c r="G235" s="11" t="s">
        <v>141</v>
      </c>
      <c r="H235" s="11" t="s">
        <v>142</v>
      </c>
      <c r="I235" s="11" t="s">
        <v>989</v>
      </c>
      <c r="J235" s="11" t="s">
        <v>990</v>
      </c>
      <c r="K235" s="11" t="s">
        <v>991</v>
      </c>
      <c r="L235" s="11" t="s">
        <v>146</v>
      </c>
      <c r="M235" s="11" t="s">
        <v>2014</v>
      </c>
      <c r="N235" s="11" t="s">
        <v>128</v>
      </c>
      <c r="O235" s="11" t="s">
        <v>2015</v>
      </c>
      <c r="P235" s="11" t="s">
        <v>2016</v>
      </c>
      <c r="Q235" s="11" t="s">
        <v>740</v>
      </c>
      <c r="R235" s="11"/>
      <c r="S235" s="11" t="s">
        <v>995</v>
      </c>
      <c r="T235" s="11" t="s">
        <v>741</v>
      </c>
      <c r="U235" s="11" t="s">
        <v>134</v>
      </c>
      <c r="V235" s="11" t="s">
        <v>740</v>
      </c>
      <c r="W235" s="11" t="s">
        <v>741</v>
      </c>
      <c r="X235" s="11">
        <v>60</v>
      </c>
      <c r="Y235" s="11" t="s">
        <v>135</v>
      </c>
      <c r="Z235" s="11">
        <v>20</v>
      </c>
      <c r="AA235" s="11">
        <v>1</v>
      </c>
      <c r="AB235" s="12">
        <v>0</v>
      </c>
    </row>
    <row r="236" spans="1:28" x14ac:dyDescent="0.2">
      <c r="A236" s="7">
        <v>25583</v>
      </c>
      <c r="B236" s="8" t="s">
        <v>2017</v>
      </c>
      <c r="C236" s="8" t="s">
        <v>578</v>
      </c>
      <c r="D236" s="8" t="s">
        <v>579</v>
      </c>
      <c r="E236" s="8" t="s">
        <v>2018</v>
      </c>
      <c r="F236" s="8" t="s">
        <v>581</v>
      </c>
      <c r="G236" s="8" t="s">
        <v>141</v>
      </c>
      <c r="H236" s="8" t="s">
        <v>142</v>
      </c>
      <c r="I236" s="8" t="s">
        <v>2019</v>
      </c>
      <c r="J236" s="8" t="s">
        <v>583</v>
      </c>
      <c r="K236" s="8" t="s">
        <v>584</v>
      </c>
      <c r="L236" s="8" t="s">
        <v>146</v>
      </c>
      <c r="M236" s="8" t="s">
        <v>2020</v>
      </c>
      <c r="N236" s="8" t="s">
        <v>128</v>
      </c>
      <c r="O236" s="8" t="s">
        <v>2021</v>
      </c>
      <c r="P236" s="8" t="s">
        <v>2022</v>
      </c>
      <c r="Q236" s="8" t="s">
        <v>249</v>
      </c>
      <c r="R236" s="8"/>
      <c r="S236" s="8" t="s">
        <v>588</v>
      </c>
      <c r="T236" s="8" t="s">
        <v>250</v>
      </c>
      <c r="U236" s="8" t="s">
        <v>134</v>
      </c>
      <c r="V236" s="8" t="s">
        <v>249</v>
      </c>
      <c r="W236" s="8" t="s">
        <v>250</v>
      </c>
      <c r="X236" s="8">
        <v>60</v>
      </c>
      <c r="Y236" s="8" t="s">
        <v>135</v>
      </c>
      <c r="Z236" s="8">
        <v>20</v>
      </c>
      <c r="AA236" s="8">
        <v>1</v>
      </c>
      <c r="AB236" s="9">
        <v>0</v>
      </c>
    </row>
    <row r="237" spans="1:28" x14ac:dyDescent="0.2">
      <c r="A237" s="10">
        <v>21135</v>
      </c>
      <c r="B237" s="11" t="s">
        <v>2023</v>
      </c>
      <c r="C237" s="11" t="s">
        <v>1723</v>
      </c>
      <c r="D237" s="11" t="s">
        <v>2024</v>
      </c>
      <c r="E237" s="11"/>
      <c r="F237" s="11" t="s">
        <v>2025</v>
      </c>
      <c r="G237" s="11" t="s">
        <v>1727</v>
      </c>
      <c r="H237" s="11" t="s">
        <v>557</v>
      </c>
      <c r="I237" s="11" t="s">
        <v>2026</v>
      </c>
      <c r="J237" s="11" t="s">
        <v>2027</v>
      </c>
      <c r="K237" s="11" t="s">
        <v>1562</v>
      </c>
      <c r="L237" s="11" t="s">
        <v>229</v>
      </c>
      <c r="M237" s="11" t="s">
        <v>2028</v>
      </c>
      <c r="N237" s="11" t="s">
        <v>128</v>
      </c>
      <c r="O237" s="11" t="s">
        <v>2029</v>
      </c>
      <c r="P237" s="11" t="s">
        <v>2030</v>
      </c>
      <c r="Q237" s="11" t="s">
        <v>150</v>
      </c>
      <c r="R237" s="11"/>
      <c r="S237" s="11" t="s">
        <v>71</v>
      </c>
      <c r="T237" s="11" t="s">
        <v>289</v>
      </c>
      <c r="U237" s="11" t="s">
        <v>150</v>
      </c>
      <c r="V237" s="11" t="s">
        <v>289</v>
      </c>
      <c r="W237" s="11" t="s">
        <v>289</v>
      </c>
      <c r="X237" s="11">
        <v>59</v>
      </c>
      <c r="Y237" s="11" t="s">
        <v>135</v>
      </c>
      <c r="Z237" s="11">
        <v>80</v>
      </c>
      <c r="AA237" s="11">
        <v>0</v>
      </c>
      <c r="AB237" s="12">
        <v>0</v>
      </c>
    </row>
    <row r="238" spans="1:28" x14ac:dyDescent="0.2">
      <c r="A238" s="7">
        <v>21649</v>
      </c>
      <c r="B238" s="8" t="s">
        <v>2031</v>
      </c>
      <c r="C238" s="8" t="s">
        <v>2032</v>
      </c>
      <c r="D238" s="8" t="s">
        <v>2033</v>
      </c>
      <c r="E238" s="8" t="s">
        <v>2034</v>
      </c>
      <c r="F238" s="8" t="s">
        <v>353</v>
      </c>
      <c r="G238" s="8" t="s">
        <v>2035</v>
      </c>
      <c r="H238" s="8" t="s">
        <v>142</v>
      </c>
      <c r="I238" s="8" t="s">
        <v>2036</v>
      </c>
      <c r="J238" s="8" t="s">
        <v>2037</v>
      </c>
      <c r="K238" s="8" t="s">
        <v>779</v>
      </c>
      <c r="L238" s="8" t="s">
        <v>464</v>
      </c>
      <c r="M238" s="8" t="s">
        <v>2038</v>
      </c>
      <c r="N238" s="8" t="s">
        <v>128</v>
      </c>
      <c r="O238" s="8" t="s">
        <v>2039</v>
      </c>
      <c r="P238" s="8" t="s">
        <v>2040</v>
      </c>
      <c r="Q238" s="8" t="s">
        <v>150</v>
      </c>
      <c r="R238" s="8"/>
      <c r="S238" s="8" t="s">
        <v>71</v>
      </c>
      <c r="T238" s="8" t="s">
        <v>67</v>
      </c>
      <c r="U238" s="8" t="s">
        <v>150</v>
      </c>
      <c r="V238" s="8" t="s">
        <v>152</v>
      </c>
      <c r="W238" s="8" t="s">
        <v>67</v>
      </c>
      <c r="X238" s="8">
        <v>59</v>
      </c>
      <c r="Y238" s="8" t="s">
        <v>135</v>
      </c>
      <c r="Z238" s="8">
        <v>80</v>
      </c>
      <c r="AA238" s="8">
        <v>0</v>
      </c>
      <c r="AB238" s="9">
        <v>0</v>
      </c>
    </row>
    <row r="239" spans="1:28" x14ac:dyDescent="0.2">
      <c r="A239" s="10">
        <v>21718</v>
      </c>
      <c r="B239" s="11" t="s">
        <v>2041</v>
      </c>
      <c r="C239" s="11" t="s">
        <v>2042</v>
      </c>
      <c r="D239" s="11" t="s">
        <v>2043</v>
      </c>
      <c r="E239" s="11" t="s">
        <v>2044</v>
      </c>
      <c r="F239" s="11" t="s">
        <v>353</v>
      </c>
      <c r="G239" s="11" t="s">
        <v>1026</v>
      </c>
      <c r="H239" s="11" t="s">
        <v>142</v>
      </c>
      <c r="I239" s="11" t="s">
        <v>2045</v>
      </c>
      <c r="J239" s="11" t="s">
        <v>2046</v>
      </c>
      <c r="K239" s="11" t="s">
        <v>1029</v>
      </c>
      <c r="L239" s="11" t="s">
        <v>464</v>
      </c>
      <c r="M239" s="11" t="s">
        <v>2047</v>
      </c>
      <c r="N239" s="11" t="s">
        <v>128</v>
      </c>
      <c r="O239" s="11" t="s">
        <v>2048</v>
      </c>
      <c r="P239" s="11" t="s">
        <v>2049</v>
      </c>
      <c r="Q239" s="11" t="s">
        <v>150</v>
      </c>
      <c r="R239" s="11"/>
      <c r="S239" s="11" t="s">
        <v>71</v>
      </c>
      <c r="T239" s="11" t="s">
        <v>67</v>
      </c>
      <c r="U239" s="11" t="s">
        <v>150</v>
      </c>
      <c r="V239" s="11" t="s">
        <v>152</v>
      </c>
      <c r="W239" s="11" t="s">
        <v>67</v>
      </c>
      <c r="X239" s="11">
        <v>59</v>
      </c>
      <c r="Y239" s="11" t="s">
        <v>135</v>
      </c>
      <c r="Z239" s="11">
        <v>80</v>
      </c>
      <c r="AA239" s="11">
        <v>0</v>
      </c>
      <c r="AB239" s="12">
        <v>0</v>
      </c>
    </row>
    <row r="240" spans="1:28" x14ac:dyDescent="0.2">
      <c r="A240" s="7">
        <v>21707</v>
      </c>
      <c r="B240" s="8" t="s">
        <v>2050</v>
      </c>
      <c r="C240" s="8" t="s">
        <v>2051</v>
      </c>
      <c r="D240" s="8" t="s">
        <v>2052</v>
      </c>
      <c r="E240" s="8" t="s">
        <v>2053</v>
      </c>
      <c r="F240" s="8" t="s">
        <v>353</v>
      </c>
      <c r="G240" s="8" t="s">
        <v>1670</v>
      </c>
      <c r="H240" s="8" t="s">
        <v>142</v>
      </c>
      <c r="I240" s="8" t="s">
        <v>2054</v>
      </c>
      <c r="J240" s="8" t="s">
        <v>2055</v>
      </c>
      <c r="K240" s="8" t="s">
        <v>1673</v>
      </c>
      <c r="L240" s="8" t="s">
        <v>464</v>
      </c>
      <c r="M240" s="8" t="s">
        <v>2056</v>
      </c>
      <c r="N240" s="8" t="s">
        <v>128</v>
      </c>
      <c r="O240" s="8" t="s">
        <v>2057</v>
      </c>
      <c r="P240" s="8" t="s">
        <v>2058</v>
      </c>
      <c r="Q240" s="8" t="s">
        <v>150</v>
      </c>
      <c r="R240" s="8"/>
      <c r="S240" s="8" t="s">
        <v>71</v>
      </c>
      <c r="T240" s="8" t="s">
        <v>67</v>
      </c>
      <c r="U240" s="8" t="s">
        <v>150</v>
      </c>
      <c r="V240" s="8" t="s">
        <v>152</v>
      </c>
      <c r="W240" s="8" t="s">
        <v>67</v>
      </c>
      <c r="X240" s="8">
        <v>59</v>
      </c>
      <c r="Y240" s="8" t="s">
        <v>135</v>
      </c>
      <c r="Z240" s="8">
        <v>80</v>
      </c>
      <c r="AA240" s="8">
        <v>0</v>
      </c>
      <c r="AB240" s="9">
        <v>0</v>
      </c>
    </row>
    <row r="241" spans="1:28" x14ac:dyDescent="0.2">
      <c r="A241" s="10">
        <v>21398</v>
      </c>
      <c r="B241" s="11" t="s">
        <v>2059</v>
      </c>
      <c r="C241" s="11" t="s">
        <v>2060</v>
      </c>
      <c r="D241" s="11" t="s">
        <v>2061</v>
      </c>
      <c r="E241" s="11" t="s">
        <v>2062</v>
      </c>
      <c r="F241" s="11" t="s">
        <v>2063</v>
      </c>
      <c r="G241" s="11" t="s">
        <v>141</v>
      </c>
      <c r="H241" s="11" t="s">
        <v>142</v>
      </c>
      <c r="I241" s="11" t="s">
        <v>2064</v>
      </c>
      <c r="J241" s="11" t="s">
        <v>2065</v>
      </c>
      <c r="K241" s="11" t="s">
        <v>145</v>
      </c>
      <c r="L241" s="11" t="s">
        <v>146</v>
      </c>
      <c r="M241" s="11" t="s">
        <v>2066</v>
      </c>
      <c r="N241" s="11" t="s">
        <v>128</v>
      </c>
      <c r="O241" s="11" t="s">
        <v>2067</v>
      </c>
      <c r="P241" s="11" t="s">
        <v>2068</v>
      </c>
      <c r="Q241" s="11" t="s">
        <v>150</v>
      </c>
      <c r="R241" s="11"/>
      <c r="S241" s="11" t="s">
        <v>71</v>
      </c>
      <c r="T241" s="11" t="s">
        <v>67</v>
      </c>
      <c r="U241" s="11" t="s">
        <v>150</v>
      </c>
      <c r="V241" s="11" t="s">
        <v>152</v>
      </c>
      <c r="W241" s="11" t="s">
        <v>67</v>
      </c>
      <c r="X241" s="11">
        <v>59</v>
      </c>
      <c r="Y241" s="11" t="s">
        <v>135</v>
      </c>
      <c r="Z241" s="11">
        <v>80</v>
      </c>
      <c r="AA241" s="11">
        <v>0</v>
      </c>
      <c r="AB241" s="12">
        <v>0</v>
      </c>
    </row>
    <row r="242" spans="1:28" x14ac:dyDescent="0.2">
      <c r="A242" s="7">
        <v>21584</v>
      </c>
      <c r="B242" s="8" t="s">
        <v>2069</v>
      </c>
      <c r="C242" s="8" t="s">
        <v>2070</v>
      </c>
      <c r="D242" s="8" t="s">
        <v>2071</v>
      </c>
      <c r="E242" s="8" t="s">
        <v>2072</v>
      </c>
      <c r="F242" s="8" t="s">
        <v>2073</v>
      </c>
      <c r="G242" s="8" t="s">
        <v>328</v>
      </c>
      <c r="H242" s="8" t="s">
        <v>329</v>
      </c>
      <c r="I242" s="8" t="s">
        <v>2074</v>
      </c>
      <c r="J242" s="8" t="s">
        <v>2075</v>
      </c>
      <c r="K242" s="8" t="s">
        <v>332</v>
      </c>
      <c r="L242" s="8" t="s">
        <v>333</v>
      </c>
      <c r="M242" s="8" t="s">
        <v>2076</v>
      </c>
      <c r="N242" s="8" t="s">
        <v>128</v>
      </c>
      <c r="O242" s="8" t="s">
        <v>2077</v>
      </c>
      <c r="P242" s="8" t="s">
        <v>2078</v>
      </c>
      <c r="Q242" s="8" t="s">
        <v>150</v>
      </c>
      <c r="R242" s="8"/>
      <c r="S242" s="8" t="s">
        <v>71</v>
      </c>
      <c r="T242" s="8" t="s">
        <v>67</v>
      </c>
      <c r="U242" s="8" t="s">
        <v>150</v>
      </c>
      <c r="V242" s="8" t="s">
        <v>152</v>
      </c>
      <c r="W242" s="8" t="s">
        <v>67</v>
      </c>
      <c r="X242" s="8">
        <v>59</v>
      </c>
      <c r="Y242" s="8" t="s">
        <v>135</v>
      </c>
      <c r="Z242" s="8">
        <v>80</v>
      </c>
      <c r="AA242" s="8">
        <v>0</v>
      </c>
      <c r="AB242" s="9">
        <v>0</v>
      </c>
    </row>
    <row r="243" spans="1:28" x14ac:dyDescent="0.2">
      <c r="A243" s="10">
        <v>21297</v>
      </c>
      <c r="B243" s="11" t="s">
        <v>2079</v>
      </c>
      <c r="C243" s="11" t="s">
        <v>266</v>
      </c>
      <c r="D243" s="11" t="s">
        <v>267</v>
      </c>
      <c r="E243" s="11" t="s">
        <v>2080</v>
      </c>
      <c r="F243" s="11" t="s">
        <v>269</v>
      </c>
      <c r="G243" s="11" t="s">
        <v>270</v>
      </c>
      <c r="H243" s="11" t="s">
        <v>271</v>
      </c>
      <c r="I243" s="11" t="s">
        <v>272</v>
      </c>
      <c r="J243" s="11" t="s">
        <v>273</v>
      </c>
      <c r="K243" s="11" t="s">
        <v>274</v>
      </c>
      <c r="L243" s="11" t="s">
        <v>163</v>
      </c>
      <c r="M243" s="11" t="s">
        <v>2081</v>
      </c>
      <c r="N243" s="11" t="s">
        <v>128</v>
      </c>
      <c r="O243" s="11" t="s">
        <v>2082</v>
      </c>
      <c r="P243" s="11" t="s">
        <v>2083</v>
      </c>
      <c r="Q243" s="11" t="s">
        <v>150</v>
      </c>
      <c r="R243" s="11"/>
      <c r="S243" s="11" t="s">
        <v>278</v>
      </c>
      <c r="T243" s="11" t="s">
        <v>67</v>
      </c>
      <c r="U243" s="11" t="s">
        <v>150</v>
      </c>
      <c r="V243" s="11" t="s">
        <v>152</v>
      </c>
      <c r="W243" s="11" t="s">
        <v>67</v>
      </c>
      <c r="X243" s="11">
        <v>59</v>
      </c>
      <c r="Y243" s="11" t="s">
        <v>135</v>
      </c>
      <c r="Z243" s="11">
        <v>80</v>
      </c>
      <c r="AA243" s="11">
        <v>1</v>
      </c>
      <c r="AB243" s="12">
        <v>1</v>
      </c>
    </row>
    <row r="244" spans="1:28" x14ac:dyDescent="0.2">
      <c r="A244" s="7">
        <v>21366</v>
      </c>
      <c r="B244" s="8" t="s">
        <v>2084</v>
      </c>
      <c r="C244" s="8" t="s">
        <v>1249</v>
      </c>
      <c r="D244" s="8" t="s">
        <v>1250</v>
      </c>
      <c r="E244" s="8" t="s">
        <v>2085</v>
      </c>
      <c r="F244" s="8" t="s">
        <v>1252</v>
      </c>
      <c r="G244" s="8" t="s">
        <v>1253</v>
      </c>
      <c r="H244" s="8" t="s">
        <v>142</v>
      </c>
      <c r="I244" s="8" t="s">
        <v>1294</v>
      </c>
      <c r="J244" s="8" t="s">
        <v>1255</v>
      </c>
      <c r="K244" s="8" t="s">
        <v>1199</v>
      </c>
      <c r="L244" s="8" t="s">
        <v>464</v>
      </c>
      <c r="M244" s="8" t="s">
        <v>2086</v>
      </c>
      <c r="N244" s="8" t="s">
        <v>128</v>
      </c>
      <c r="O244" s="8" t="s">
        <v>2087</v>
      </c>
      <c r="P244" s="8" t="s">
        <v>2088</v>
      </c>
      <c r="Q244" s="8" t="s">
        <v>150</v>
      </c>
      <c r="R244" s="8"/>
      <c r="S244" s="8" t="s">
        <v>1259</v>
      </c>
      <c r="T244" s="8" t="s">
        <v>67</v>
      </c>
      <c r="U244" s="8" t="s">
        <v>150</v>
      </c>
      <c r="V244" s="8" t="s">
        <v>152</v>
      </c>
      <c r="W244" s="8" t="s">
        <v>67</v>
      </c>
      <c r="X244" s="8">
        <v>59</v>
      </c>
      <c r="Y244" s="8" t="s">
        <v>135</v>
      </c>
      <c r="Z244" s="8">
        <v>80</v>
      </c>
      <c r="AA244" s="8">
        <v>1</v>
      </c>
      <c r="AB244" s="9">
        <v>1</v>
      </c>
    </row>
    <row r="245" spans="1:28" x14ac:dyDescent="0.2">
      <c r="A245" s="10">
        <v>21350</v>
      </c>
      <c r="B245" s="11" t="s">
        <v>2089</v>
      </c>
      <c r="C245" s="11" t="s">
        <v>2090</v>
      </c>
      <c r="D245" s="11" t="s">
        <v>2091</v>
      </c>
      <c r="E245" s="11" t="s">
        <v>2092</v>
      </c>
      <c r="F245" s="11" t="s">
        <v>353</v>
      </c>
      <c r="G245" s="11" t="s">
        <v>2093</v>
      </c>
      <c r="H245" s="11" t="s">
        <v>142</v>
      </c>
      <c r="I245" s="11" t="s">
        <v>2094</v>
      </c>
      <c r="J245" s="11" t="s">
        <v>2095</v>
      </c>
      <c r="K245" s="11" t="s">
        <v>651</v>
      </c>
      <c r="L245" s="11" t="s">
        <v>146</v>
      </c>
      <c r="M245" s="11" t="s">
        <v>2096</v>
      </c>
      <c r="N245" s="11" t="s">
        <v>128</v>
      </c>
      <c r="O245" s="11" t="s">
        <v>2097</v>
      </c>
      <c r="P245" s="11" t="s">
        <v>2098</v>
      </c>
      <c r="Q245" s="11" t="s">
        <v>150</v>
      </c>
      <c r="R245" s="11"/>
      <c r="S245" s="11" t="s">
        <v>2099</v>
      </c>
      <c r="T245" s="11" t="s">
        <v>67</v>
      </c>
      <c r="U245" s="11" t="s">
        <v>150</v>
      </c>
      <c r="V245" s="11" t="s">
        <v>152</v>
      </c>
      <c r="W245" s="11" t="s">
        <v>67</v>
      </c>
      <c r="X245" s="11">
        <v>59</v>
      </c>
      <c r="Y245" s="11" t="s">
        <v>135</v>
      </c>
      <c r="Z245" s="11">
        <v>80</v>
      </c>
      <c r="AA245" s="11">
        <v>0</v>
      </c>
      <c r="AB245" s="12">
        <v>0</v>
      </c>
    </row>
    <row r="246" spans="1:28" x14ac:dyDescent="0.2">
      <c r="A246" s="7">
        <v>21727</v>
      </c>
      <c r="B246" s="8" t="s">
        <v>2100</v>
      </c>
      <c r="C246" s="8" t="s">
        <v>2101</v>
      </c>
      <c r="D246" s="8" t="s">
        <v>2102</v>
      </c>
      <c r="E246" s="8"/>
      <c r="F246" s="8" t="s">
        <v>353</v>
      </c>
      <c r="G246" s="8" t="s">
        <v>1626</v>
      </c>
      <c r="H246" s="8" t="s">
        <v>142</v>
      </c>
      <c r="I246" s="8" t="s">
        <v>2103</v>
      </c>
      <c r="J246" s="8" t="s">
        <v>2104</v>
      </c>
      <c r="K246" s="8" t="s">
        <v>472</v>
      </c>
      <c r="L246" s="8" t="s">
        <v>146</v>
      </c>
      <c r="M246" s="8" t="s">
        <v>2105</v>
      </c>
      <c r="N246" s="8" t="s">
        <v>128</v>
      </c>
      <c r="O246" s="8" t="s">
        <v>2106</v>
      </c>
      <c r="P246" s="8" t="s">
        <v>2107</v>
      </c>
      <c r="Q246" s="8" t="s">
        <v>150</v>
      </c>
      <c r="R246" s="8"/>
      <c r="S246" s="8" t="s">
        <v>2108</v>
      </c>
      <c r="T246" s="8" t="s">
        <v>67</v>
      </c>
      <c r="U246" s="8" t="s">
        <v>150</v>
      </c>
      <c r="V246" s="8" t="s">
        <v>152</v>
      </c>
      <c r="W246" s="8" t="s">
        <v>67</v>
      </c>
      <c r="X246" s="8">
        <v>59</v>
      </c>
      <c r="Y246" s="8" t="s">
        <v>135</v>
      </c>
      <c r="Z246" s="8">
        <v>80</v>
      </c>
      <c r="AA246" s="8">
        <v>0</v>
      </c>
      <c r="AB246" s="9">
        <v>0</v>
      </c>
    </row>
    <row r="247" spans="1:28" x14ac:dyDescent="0.2">
      <c r="A247" s="10">
        <v>22259</v>
      </c>
      <c r="B247" s="11" t="s">
        <v>2109</v>
      </c>
      <c r="C247" s="11" t="s">
        <v>590</v>
      </c>
      <c r="D247" s="11" t="s">
        <v>591</v>
      </c>
      <c r="E247" s="11" t="s">
        <v>281</v>
      </c>
      <c r="F247" s="11" t="s">
        <v>593</v>
      </c>
      <c r="G247" s="11" t="s">
        <v>141</v>
      </c>
      <c r="H247" s="11" t="s">
        <v>142</v>
      </c>
      <c r="I247" s="11" t="s">
        <v>1152</v>
      </c>
      <c r="J247" s="11" t="s">
        <v>2110</v>
      </c>
      <c r="K247" s="11" t="s">
        <v>216</v>
      </c>
      <c r="L247" s="11" t="s">
        <v>146</v>
      </c>
      <c r="M247" s="11" t="s">
        <v>2111</v>
      </c>
      <c r="N247" s="11" t="s">
        <v>128</v>
      </c>
      <c r="O247" s="11" t="s">
        <v>2112</v>
      </c>
      <c r="P247" s="11"/>
      <c r="Q247" s="11" t="s">
        <v>131</v>
      </c>
      <c r="R247" s="11"/>
      <c r="S247" s="11" t="s">
        <v>599</v>
      </c>
      <c r="T247" s="11" t="s">
        <v>983</v>
      </c>
      <c r="U247" s="11" t="s">
        <v>134</v>
      </c>
      <c r="V247" s="11" t="s">
        <v>131</v>
      </c>
      <c r="W247" s="11" t="s">
        <v>983</v>
      </c>
      <c r="X247" s="11">
        <v>59</v>
      </c>
      <c r="Y247" s="11" t="s">
        <v>135</v>
      </c>
      <c r="Z247" s="11">
        <v>20</v>
      </c>
      <c r="AA247" s="11">
        <v>1</v>
      </c>
      <c r="AB247" s="12">
        <v>0</v>
      </c>
    </row>
    <row r="248" spans="1:28" x14ac:dyDescent="0.2">
      <c r="A248" s="7">
        <v>22648</v>
      </c>
      <c r="B248" s="8" t="s">
        <v>2113</v>
      </c>
      <c r="C248" s="8" t="s">
        <v>1703</v>
      </c>
      <c r="D248" s="8" t="s">
        <v>2114</v>
      </c>
      <c r="E248" s="8" t="s">
        <v>2115</v>
      </c>
      <c r="F248" s="8" t="s">
        <v>2116</v>
      </c>
      <c r="G248" s="8" t="s">
        <v>2117</v>
      </c>
      <c r="H248" s="8" t="s">
        <v>142</v>
      </c>
      <c r="I248" s="8" t="s">
        <v>2118</v>
      </c>
      <c r="J248" s="8" t="s">
        <v>2119</v>
      </c>
      <c r="K248" s="8" t="s">
        <v>1673</v>
      </c>
      <c r="L248" s="8" t="s">
        <v>464</v>
      </c>
      <c r="M248" s="8" t="s">
        <v>2120</v>
      </c>
      <c r="N248" s="8" t="s">
        <v>128</v>
      </c>
      <c r="O248" s="8" t="s">
        <v>2121</v>
      </c>
      <c r="P248" s="8"/>
      <c r="Q248" s="8" t="s">
        <v>131</v>
      </c>
      <c r="R248" s="8"/>
      <c r="S248" s="8" t="s">
        <v>2122</v>
      </c>
      <c r="T248" s="8" t="s">
        <v>983</v>
      </c>
      <c r="U248" s="8" t="s">
        <v>134</v>
      </c>
      <c r="V248" s="8" t="s">
        <v>131</v>
      </c>
      <c r="W248" s="8" t="s">
        <v>983</v>
      </c>
      <c r="X248" s="8">
        <v>59</v>
      </c>
      <c r="Y248" s="8" t="s">
        <v>135</v>
      </c>
      <c r="Z248" s="8">
        <v>80</v>
      </c>
      <c r="AA248" s="8">
        <v>0</v>
      </c>
      <c r="AB248" s="9">
        <v>0</v>
      </c>
    </row>
    <row r="249" spans="1:28" x14ac:dyDescent="0.2">
      <c r="A249" s="10">
        <v>22668</v>
      </c>
      <c r="B249" s="11" t="s">
        <v>2123</v>
      </c>
      <c r="C249" s="11" t="s">
        <v>1666</v>
      </c>
      <c r="D249" s="11" t="s">
        <v>1667</v>
      </c>
      <c r="E249" s="11" t="s">
        <v>2124</v>
      </c>
      <c r="F249" s="11" t="s">
        <v>1669</v>
      </c>
      <c r="G249" s="11" t="s">
        <v>1670</v>
      </c>
      <c r="H249" s="11" t="s">
        <v>142</v>
      </c>
      <c r="I249" s="11" t="s">
        <v>1671</v>
      </c>
      <c r="J249" s="11" t="s">
        <v>1672</v>
      </c>
      <c r="K249" s="11" t="s">
        <v>1673</v>
      </c>
      <c r="L249" s="11" t="s">
        <v>464</v>
      </c>
      <c r="M249" s="11" t="s">
        <v>2125</v>
      </c>
      <c r="N249" s="11" t="s">
        <v>128</v>
      </c>
      <c r="O249" s="11" t="s">
        <v>2126</v>
      </c>
      <c r="P249" s="11"/>
      <c r="Q249" s="11" t="s">
        <v>131</v>
      </c>
      <c r="R249" s="11"/>
      <c r="S249" s="11" t="s">
        <v>1677</v>
      </c>
      <c r="T249" s="11" t="s">
        <v>983</v>
      </c>
      <c r="U249" s="11" t="s">
        <v>134</v>
      </c>
      <c r="V249" s="11" t="s">
        <v>131</v>
      </c>
      <c r="W249" s="11" t="s">
        <v>983</v>
      </c>
      <c r="X249" s="11">
        <v>59</v>
      </c>
      <c r="Y249" s="11" t="s">
        <v>135</v>
      </c>
      <c r="Z249" s="11">
        <v>80</v>
      </c>
      <c r="AA249" s="11">
        <v>1</v>
      </c>
      <c r="AB249" s="12">
        <v>1</v>
      </c>
    </row>
    <row r="250" spans="1:28" x14ac:dyDescent="0.2">
      <c r="A250" s="7">
        <v>25358</v>
      </c>
      <c r="B250" s="8" t="s">
        <v>2127</v>
      </c>
      <c r="C250" s="8" t="s">
        <v>280</v>
      </c>
      <c r="D250" s="8" t="s">
        <v>138</v>
      </c>
      <c r="E250" s="8" t="s">
        <v>2128</v>
      </c>
      <c r="F250" s="8" t="s">
        <v>282</v>
      </c>
      <c r="G250" s="8" t="s">
        <v>224</v>
      </c>
      <c r="H250" s="8" t="s">
        <v>225</v>
      </c>
      <c r="I250" s="8" t="s">
        <v>283</v>
      </c>
      <c r="J250" s="8" t="s">
        <v>2129</v>
      </c>
      <c r="K250" s="8" t="s">
        <v>228</v>
      </c>
      <c r="L250" s="8" t="s">
        <v>229</v>
      </c>
      <c r="M250" s="8" t="s">
        <v>2130</v>
      </c>
      <c r="N250" s="8" t="s">
        <v>128</v>
      </c>
      <c r="O250" s="8" t="s">
        <v>2131</v>
      </c>
      <c r="P250" s="8"/>
      <c r="Q250" s="8" t="s">
        <v>131</v>
      </c>
      <c r="R250" s="8"/>
      <c r="S250" s="8" t="s">
        <v>288</v>
      </c>
      <c r="T250" s="8" t="s">
        <v>983</v>
      </c>
      <c r="U250" s="8" t="s">
        <v>134</v>
      </c>
      <c r="V250" s="8" t="s">
        <v>131</v>
      </c>
      <c r="W250" s="8" t="s">
        <v>983</v>
      </c>
      <c r="X250" s="8">
        <v>59</v>
      </c>
      <c r="Y250" s="8" t="s">
        <v>135</v>
      </c>
      <c r="Z250" s="8">
        <v>20</v>
      </c>
      <c r="AA250" s="8">
        <v>1</v>
      </c>
      <c r="AB250" s="9">
        <v>0</v>
      </c>
    </row>
    <row r="251" spans="1:28" x14ac:dyDescent="0.2">
      <c r="A251" s="10">
        <v>21968</v>
      </c>
      <c r="B251" s="11" t="s">
        <v>2132</v>
      </c>
      <c r="C251" s="11" t="s">
        <v>2133</v>
      </c>
      <c r="D251" s="11" t="s">
        <v>2134</v>
      </c>
      <c r="E251" s="11" t="s">
        <v>2135</v>
      </c>
      <c r="F251" s="11" t="s">
        <v>2136</v>
      </c>
      <c r="G251" s="11" t="s">
        <v>556</v>
      </c>
      <c r="H251" s="11" t="s">
        <v>557</v>
      </c>
      <c r="I251" s="11" t="s">
        <v>2137</v>
      </c>
      <c r="J251" s="11" t="s">
        <v>2138</v>
      </c>
      <c r="K251" s="11" t="s">
        <v>560</v>
      </c>
      <c r="L251" s="11" t="s">
        <v>229</v>
      </c>
      <c r="M251" s="11" t="s">
        <v>2139</v>
      </c>
      <c r="N251" s="11" t="s">
        <v>128</v>
      </c>
      <c r="O251" s="11" t="s">
        <v>2140</v>
      </c>
      <c r="P251" s="11" t="s">
        <v>2141</v>
      </c>
      <c r="Q251" s="11" t="s">
        <v>131</v>
      </c>
      <c r="R251" s="11"/>
      <c r="S251" s="11" t="s">
        <v>2142</v>
      </c>
      <c r="T251" s="11" t="s">
        <v>133</v>
      </c>
      <c r="U251" s="11" t="s">
        <v>134</v>
      </c>
      <c r="V251" s="11" t="s">
        <v>131</v>
      </c>
      <c r="W251" s="11" t="s">
        <v>133</v>
      </c>
      <c r="X251" s="11">
        <v>59</v>
      </c>
      <c r="Y251" s="11" t="s">
        <v>135</v>
      </c>
      <c r="Z251" s="11">
        <v>20</v>
      </c>
      <c r="AA251" s="11">
        <v>1</v>
      </c>
      <c r="AB251" s="12">
        <v>0</v>
      </c>
    </row>
    <row r="252" spans="1:28" x14ac:dyDescent="0.2">
      <c r="A252" s="7">
        <v>21941</v>
      </c>
      <c r="B252" s="8" t="s">
        <v>2143</v>
      </c>
      <c r="C252" s="8" t="s">
        <v>2144</v>
      </c>
      <c r="D252" s="8" t="s">
        <v>187</v>
      </c>
      <c r="E252" s="8" t="s">
        <v>2145</v>
      </c>
      <c r="F252" s="8" t="s">
        <v>189</v>
      </c>
      <c r="G252" s="8" t="s">
        <v>190</v>
      </c>
      <c r="H252" s="8" t="s">
        <v>191</v>
      </c>
      <c r="I252" s="8" t="s">
        <v>2146</v>
      </c>
      <c r="J252" s="8" t="s">
        <v>2147</v>
      </c>
      <c r="K252" s="8" t="s">
        <v>194</v>
      </c>
      <c r="L252" s="8" t="s">
        <v>163</v>
      </c>
      <c r="M252" s="8" t="s">
        <v>2148</v>
      </c>
      <c r="N252" s="8" t="s">
        <v>128</v>
      </c>
      <c r="O252" s="8" t="s">
        <v>2149</v>
      </c>
      <c r="P252" s="8" t="s">
        <v>2150</v>
      </c>
      <c r="Q252" s="8" t="s">
        <v>131</v>
      </c>
      <c r="R252" s="8"/>
      <c r="S252" s="8" t="s">
        <v>198</v>
      </c>
      <c r="T252" s="8" t="s">
        <v>133</v>
      </c>
      <c r="U252" s="8" t="s">
        <v>134</v>
      </c>
      <c r="V252" s="8" t="s">
        <v>131</v>
      </c>
      <c r="W252" s="8" t="s">
        <v>133</v>
      </c>
      <c r="X252" s="8">
        <v>59</v>
      </c>
      <c r="Y252" s="8" t="s">
        <v>135</v>
      </c>
      <c r="Z252" s="8">
        <v>20</v>
      </c>
      <c r="AA252" s="8">
        <v>1</v>
      </c>
      <c r="AB252" s="9">
        <v>0</v>
      </c>
    </row>
    <row r="253" spans="1:28" x14ac:dyDescent="0.2">
      <c r="A253" s="10">
        <v>21801</v>
      </c>
      <c r="B253" s="11" t="s">
        <v>2151</v>
      </c>
      <c r="C253" s="11" t="s">
        <v>2152</v>
      </c>
      <c r="D253" s="11" t="s">
        <v>2153</v>
      </c>
      <c r="E253" s="11" t="s">
        <v>2154</v>
      </c>
      <c r="F253" s="11" t="s">
        <v>2155</v>
      </c>
      <c r="G253" s="11" t="s">
        <v>328</v>
      </c>
      <c r="H253" s="11" t="s">
        <v>329</v>
      </c>
      <c r="I253" s="11" t="s">
        <v>2156</v>
      </c>
      <c r="J253" s="11" t="s">
        <v>2157</v>
      </c>
      <c r="K253" s="11" t="s">
        <v>415</v>
      </c>
      <c r="L253" s="11" t="s">
        <v>333</v>
      </c>
      <c r="M253" s="11" t="s">
        <v>2158</v>
      </c>
      <c r="N253" s="11" t="s">
        <v>128</v>
      </c>
      <c r="O253" s="11" t="s">
        <v>2159</v>
      </c>
      <c r="P253" s="11" t="s">
        <v>2160</v>
      </c>
      <c r="Q253" s="11" t="s">
        <v>131</v>
      </c>
      <c r="R253" s="11"/>
      <c r="S253" s="11" t="s">
        <v>2161</v>
      </c>
      <c r="T253" s="11" t="s">
        <v>133</v>
      </c>
      <c r="U253" s="11" t="s">
        <v>134</v>
      </c>
      <c r="V253" s="11" t="s">
        <v>131</v>
      </c>
      <c r="W253" s="11" t="s">
        <v>133</v>
      </c>
      <c r="X253" s="11">
        <v>59</v>
      </c>
      <c r="Y253" s="11" t="s">
        <v>135</v>
      </c>
      <c r="Z253" s="11">
        <v>20</v>
      </c>
      <c r="AA253" s="11">
        <v>1</v>
      </c>
      <c r="AB253" s="12">
        <v>0</v>
      </c>
    </row>
    <row r="254" spans="1:28" x14ac:dyDescent="0.2">
      <c r="A254" s="7">
        <v>21856</v>
      </c>
      <c r="B254" s="8" t="s">
        <v>2162</v>
      </c>
      <c r="C254" s="8" t="s">
        <v>2163</v>
      </c>
      <c r="D254" s="8" t="s">
        <v>2164</v>
      </c>
      <c r="E254" s="8"/>
      <c r="F254" s="8" t="s">
        <v>2165</v>
      </c>
      <c r="G254" s="8" t="s">
        <v>2166</v>
      </c>
      <c r="H254" s="8" t="s">
        <v>142</v>
      </c>
      <c r="I254" s="8" t="s">
        <v>1254</v>
      </c>
      <c r="J254" s="8" t="s">
        <v>2167</v>
      </c>
      <c r="K254" s="8" t="s">
        <v>1199</v>
      </c>
      <c r="L254" s="8" t="s">
        <v>464</v>
      </c>
      <c r="M254" s="8" t="s">
        <v>2168</v>
      </c>
      <c r="N254" s="8" t="s">
        <v>128</v>
      </c>
      <c r="O254" s="8" t="s">
        <v>2169</v>
      </c>
      <c r="P254" s="8" t="s">
        <v>2170</v>
      </c>
      <c r="Q254" s="8" t="s">
        <v>131</v>
      </c>
      <c r="R254" s="8"/>
      <c r="S254" s="8" t="s">
        <v>1259</v>
      </c>
      <c r="T254" s="8" t="s">
        <v>133</v>
      </c>
      <c r="U254" s="8" t="s">
        <v>134</v>
      </c>
      <c r="V254" s="8" t="s">
        <v>131</v>
      </c>
      <c r="W254" s="8" t="s">
        <v>133</v>
      </c>
      <c r="X254" s="8">
        <v>59</v>
      </c>
      <c r="Y254" s="8" t="s">
        <v>135</v>
      </c>
      <c r="Z254" s="8">
        <v>80</v>
      </c>
      <c r="AA254" s="8">
        <v>1</v>
      </c>
      <c r="AB254" s="9">
        <v>1</v>
      </c>
    </row>
    <row r="255" spans="1:28" x14ac:dyDescent="0.2">
      <c r="A255" s="10">
        <v>23659</v>
      </c>
      <c r="B255" s="11" t="s">
        <v>2171</v>
      </c>
      <c r="C255" s="11" t="s">
        <v>2172</v>
      </c>
      <c r="D255" s="11" t="s">
        <v>2173</v>
      </c>
      <c r="E255" s="11" t="s">
        <v>2174</v>
      </c>
      <c r="F255" s="11" t="s">
        <v>353</v>
      </c>
      <c r="G255" s="11" t="s">
        <v>2175</v>
      </c>
      <c r="H255" s="11" t="s">
        <v>2176</v>
      </c>
      <c r="I255" s="11" t="s">
        <v>2177</v>
      </c>
      <c r="J255" s="11" t="s">
        <v>2178</v>
      </c>
      <c r="K255" s="11" t="s">
        <v>194</v>
      </c>
      <c r="L255" s="11" t="s">
        <v>163</v>
      </c>
      <c r="M255" s="11" t="s">
        <v>2179</v>
      </c>
      <c r="N255" s="11" t="s">
        <v>128</v>
      </c>
      <c r="O255" s="11" t="s">
        <v>2180</v>
      </c>
      <c r="P255" s="11" t="s">
        <v>2181</v>
      </c>
      <c r="Q255" s="11" t="s">
        <v>150</v>
      </c>
      <c r="R255" s="11"/>
      <c r="S255" s="11" t="s">
        <v>71</v>
      </c>
      <c r="T255" s="11" t="s">
        <v>168</v>
      </c>
      <c r="U255" s="11" t="s">
        <v>150</v>
      </c>
      <c r="V255" s="11" t="s">
        <v>168</v>
      </c>
      <c r="W255" s="11" t="s">
        <v>168</v>
      </c>
      <c r="X255" s="11">
        <v>59</v>
      </c>
      <c r="Y255" s="11" t="s">
        <v>135</v>
      </c>
      <c r="Z255" s="11">
        <v>80</v>
      </c>
      <c r="AA255" s="11">
        <v>0</v>
      </c>
      <c r="AB255" s="12">
        <v>0</v>
      </c>
    </row>
    <row r="256" spans="1:28" x14ac:dyDescent="0.2">
      <c r="A256" s="7">
        <v>23882</v>
      </c>
      <c r="B256" s="8" t="s">
        <v>2182</v>
      </c>
      <c r="C256" s="8" t="s">
        <v>350</v>
      </c>
      <c r="D256" s="8" t="s">
        <v>2183</v>
      </c>
      <c r="E256" s="8"/>
      <c r="F256" s="8" t="s">
        <v>353</v>
      </c>
      <c r="G256" s="8" t="s">
        <v>121</v>
      </c>
      <c r="H256" s="8" t="s">
        <v>122</v>
      </c>
      <c r="I256" s="8" t="s">
        <v>2184</v>
      </c>
      <c r="J256" s="8" t="s">
        <v>2185</v>
      </c>
      <c r="K256" s="8" t="s">
        <v>125</v>
      </c>
      <c r="L256" s="8" t="s">
        <v>126</v>
      </c>
      <c r="M256" s="8" t="s">
        <v>2186</v>
      </c>
      <c r="N256" s="8" t="s">
        <v>128</v>
      </c>
      <c r="O256" s="8" t="s">
        <v>2187</v>
      </c>
      <c r="P256" s="8" t="s">
        <v>2188</v>
      </c>
      <c r="Q256" s="8" t="s">
        <v>150</v>
      </c>
      <c r="R256" s="8"/>
      <c r="S256" s="8" t="s">
        <v>71</v>
      </c>
      <c r="T256" s="8" t="s">
        <v>168</v>
      </c>
      <c r="U256" s="8" t="s">
        <v>150</v>
      </c>
      <c r="V256" s="8" t="s">
        <v>168</v>
      </c>
      <c r="W256" s="8" t="s">
        <v>168</v>
      </c>
      <c r="X256" s="8">
        <v>59</v>
      </c>
      <c r="Y256" s="8" t="s">
        <v>135</v>
      </c>
      <c r="Z256" s="8">
        <v>80</v>
      </c>
      <c r="AA256" s="8">
        <v>0</v>
      </c>
      <c r="AB256" s="9">
        <v>0</v>
      </c>
    </row>
    <row r="257" spans="1:28" x14ac:dyDescent="0.2">
      <c r="A257" s="10">
        <v>28799</v>
      </c>
      <c r="B257" s="11" t="s">
        <v>2189</v>
      </c>
      <c r="C257" s="11" t="s">
        <v>2190</v>
      </c>
      <c r="D257" s="11" t="s">
        <v>2191</v>
      </c>
      <c r="E257" s="11"/>
      <c r="F257" s="11" t="s">
        <v>353</v>
      </c>
      <c r="G257" s="11" t="s">
        <v>2192</v>
      </c>
      <c r="H257" s="11" t="s">
        <v>704</v>
      </c>
      <c r="I257" s="11" t="s">
        <v>2193</v>
      </c>
      <c r="J257" s="11" t="s">
        <v>2194</v>
      </c>
      <c r="K257" s="11" t="s">
        <v>707</v>
      </c>
      <c r="L257" s="11" t="s">
        <v>126</v>
      </c>
      <c r="M257" s="11" t="s">
        <v>2195</v>
      </c>
      <c r="N257" s="11" t="s">
        <v>128</v>
      </c>
      <c r="O257" s="11" t="s">
        <v>2196</v>
      </c>
      <c r="P257" s="11" t="s">
        <v>2197</v>
      </c>
      <c r="Q257" s="11" t="s">
        <v>150</v>
      </c>
      <c r="R257" s="11"/>
      <c r="S257" s="11" t="s">
        <v>71</v>
      </c>
      <c r="T257" s="11" t="s">
        <v>168</v>
      </c>
      <c r="U257" s="11" t="s">
        <v>150</v>
      </c>
      <c r="V257" s="11" t="s">
        <v>168</v>
      </c>
      <c r="W257" s="11" t="s">
        <v>168</v>
      </c>
      <c r="X257" s="11">
        <v>59</v>
      </c>
      <c r="Y257" s="11" t="s">
        <v>135</v>
      </c>
      <c r="Z257" s="11">
        <v>80</v>
      </c>
      <c r="AA257" s="11">
        <v>0</v>
      </c>
      <c r="AB257" s="12">
        <v>0</v>
      </c>
    </row>
    <row r="258" spans="1:28" x14ac:dyDescent="0.2">
      <c r="A258" s="7">
        <v>23764</v>
      </c>
      <c r="B258" s="8" t="s">
        <v>2198</v>
      </c>
      <c r="C258" s="8" t="s">
        <v>2199</v>
      </c>
      <c r="D258" s="8" t="s">
        <v>2200</v>
      </c>
      <c r="E258" s="8"/>
      <c r="F258" s="8" t="s">
        <v>2201</v>
      </c>
      <c r="G258" s="8" t="s">
        <v>141</v>
      </c>
      <c r="H258" s="8" t="s">
        <v>142</v>
      </c>
      <c r="I258" s="8" t="s">
        <v>2202</v>
      </c>
      <c r="J258" s="8" t="s">
        <v>2203</v>
      </c>
      <c r="K258" s="8" t="s">
        <v>216</v>
      </c>
      <c r="L258" s="8" t="s">
        <v>146</v>
      </c>
      <c r="M258" s="8" t="s">
        <v>2204</v>
      </c>
      <c r="N258" s="8" t="s">
        <v>128</v>
      </c>
      <c r="O258" s="8" t="s">
        <v>2205</v>
      </c>
      <c r="P258" s="8" t="s">
        <v>2206</v>
      </c>
      <c r="Q258" s="8" t="s">
        <v>150</v>
      </c>
      <c r="R258" s="8"/>
      <c r="S258" s="8" t="s">
        <v>71</v>
      </c>
      <c r="T258" s="8" t="s">
        <v>168</v>
      </c>
      <c r="U258" s="8" t="s">
        <v>150</v>
      </c>
      <c r="V258" s="8" t="s">
        <v>168</v>
      </c>
      <c r="W258" s="8" t="s">
        <v>168</v>
      </c>
      <c r="X258" s="8">
        <v>59</v>
      </c>
      <c r="Y258" s="8" t="s">
        <v>135</v>
      </c>
      <c r="Z258" s="8">
        <v>80</v>
      </c>
      <c r="AA258" s="8">
        <v>0</v>
      </c>
      <c r="AB258" s="9">
        <v>0</v>
      </c>
    </row>
    <row r="259" spans="1:28" x14ac:dyDescent="0.2">
      <c r="A259" s="10">
        <v>120217</v>
      </c>
      <c r="B259" s="11" t="s">
        <v>2207</v>
      </c>
      <c r="C259" s="11" t="s">
        <v>552</v>
      </c>
      <c r="D259" s="11" t="s">
        <v>789</v>
      </c>
      <c r="E259" s="11"/>
      <c r="F259" s="11" t="s">
        <v>1479</v>
      </c>
      <c r="G259" s="11" t="s">
        <v>556</v>
      </c>
      <c r="H259" s="11" t="s">
        <v>557</v>
      </c>
      <c r="I259" s="11" t="s">
        <v>558</v>
      </c>
      <c r="J259" s="11" t="s">
        <v>2208</v>
      </c>
      <c r="K259" s="11" t="s">
        <v>560</v>
      </c>
      <c r="L259" s="11" t="s">
        <v>229</v>
      </c>
      <c r="M259" s="11" t="s">
        <v>2209</v>
      </c>
      <c r="N259" s="11" t="s">
        <v>128</v>
      </c>
      <c r="O259" s="11" t="s">
        <v>2210</v>
      </c>
      <c r="P259" s="11" t="s">
        <v>2211</v>
      </c>
      <c r="Q259" s="11" t="s">
        <v>150</v>
      </c>
      <c r="R259" s="11"/>
      <c r="S259" s="11" t="s">
        <v>796</v>
      </c>
      <c r="T259" s="11" t="s">
        <v>168</v>
      </c>
      <c r="U259" s="11" t="s">
        <v>150</v>
      </c>
      <c r="V259" s="11" t="s">
        <v>168</v>
      </c>
      <c r="W259" s="11" t="s">
        <v>168</v>
      </c>
      <c r="X259" s="11">
        <v>59</v>
      </c>
      <c r="Y259" s="11" t="s">
        <v>135</v>
      </c>
      <c r="Z259" s="11">
        <v>80</v>
      </c>
      <c r="AA259" s="11">
        <v>0</v>
      </c>
      <c r="AB259" s="12">
        <v>0</v>
      </c>
    </row>
    <row r="260" spans="1:28" x14ac:dyDescent="0.2">
      <c r="A260" s="7">
        <v>25127</v>
      </c>
      <c r="B260" s="8" t="s">
        <v>2212</v>
      </c>
      <c r="C260" s="8" t="s">
        <v>373</v>
      </c>
      <c r="D260" s="8" t="s">
        <v>138</v>
      </c>
      <c r="E260" s="8" t="s">
        <v>2213</v>
      </c>
      <c r="F260" s="8" t="s">
        <v>484</v>
      </c>
      <c r="G260" s="8" t="s">
        <v>224</v>
      </c>
      <c r="H260" s="8" t="s">
        <v>225</v>
      </c>
      <c r="I260" s="8" t="s">
        <v>485</v>
      </c>
      <c r="J260" s="8" t="s">
        <v>486</v>
      </c>
      <c r="K260" s="8" t="s">
        <v>228</v>
      </c>
      <c r="L260" s="8" t="s">
        <v>229</v>
      </c>
      <c r="M260" s="8" t="s">
        <v>2214</v>
      </c>
      <c r="N260" s="8" t="s">
        <v>128</v>
      </c>
      <c r="O260" s="8" t="s">
        <v>2215</v>
      </c>
      <c r="P260" s="8" t="s">
        <v>2216</v>
      </c>
      <c r="Q260" s="8" t="s">
        <v>740</v>
      </c>
      <c r="R260" s="8"/>
      <c r="S260" s="8" t="s">
        <v>381</v>
      </c>
      <c r="T260" s="8" t="s">
        <v>741</v>
      </c>
      <c r="U260" s="8" t="s">
        <v>134</v>
      </c>
      <c r="V260" s="8" t="s">
        <v>740</v>
      </c>
      <c r="W260" s="8" t="s">
        <v>741</v>
      </c>
      <c r="X260" s="8">
        <v>59</v>
      </c>
      <c r="Y260" s="8" t="s">
        <v>135</v>
      </c>
      <c r="Z260" s="8">
        <v>80</v>
      </c>
      <c r="AA260" s="8">
        <v>1</v>
      </c>
      <c r="AB260" s="9">
        <v>1</v>
      </c>
    </row>
    <row r="261" spans="1:28" x14ac:dyDescent="0.2">
      <c r="A261" s="10">
        <v>25147</v>
      </c>
      <c r="B261" s="11" t="s">
        <v>2217</v>
      </c>
      <c r="C261" s="11" t="s">
        <v>997</v>
      </c>
      <c r="D261" s="11" t="s">
        <v>861</v>
      </c>
      <c r="E261" s="11" t="s">
        <v>2218</v>
      </c>
      <c r="F261" s="11" t="s">
        <v>449</v>
      </c>
      <c r="G261" s="11" t="s">
        <v>450</v>
      </c>
      <c r="H261" s="11" t="s">
        <v>301</v>
      </c>
      <c r="I261" s="11" t="s">
        <v>863</v>
      </c>
      <c r="J261" s="11" t="s">
        <v>999</v>
      </c>
      <c r="K261" s="11" t="s">
        <v>304</v>
      </c>
      <c r="L261" s="11" t="s">
        <v>229</v>
      </c>
      <c r="M261" s="11" t="s">
        <v>2219</v>
      </c>
      <c r="N261" s="11" t="s">
        <v>128</v>
      </c>
      <c r="O261" s="11" t="s">
        <v>2220</v>
      </c>
      <c r="P261" s="11" t="s">
        <v>2221</v>
      </c>
      <c r="Q261" s="11" t="s">
        <v>740</v>
      </c>
      <c r="R261" s="11"/>
      <c r="S261" s="11" t="s">
        <v>868</v>
      </c>
      <c r="T261" s="11" t="s">
        <v>741</v>
      </c>
      <c r="U261" s="11" t="s">
        <v>134</v>
      </c>
      <c r="V261" s="11" t="s">
        <v>740</v>
      </c>
      <c r="W261" s="11" t="s">
        <v>741</v>
      </c>
      <c r="X261" s="11">
        <v>59</v>
      </c>
      <c r="Y261" s="11" t="s">
        <v>135</v>
      </c>
      <c r="Z261" s="11">
        <v>80</v>
      </c>
      <c r="AA261" s="11">
        <v>1</v>
      </c>
      <c r="AB261" s="12">
        <v>1</v>
      </c>
    </row>
    <row r="262" spans="1:28" x14ac:dyDescent="0.2">
      <c r="A262" s="7">
        <v>25141</v>
      </c>
      <c r="B262" s="8" t="s">
        <v>2222</v>
      </c>
      <c r="C262" s="8" t="s">
        <v>552</v>
      </c>
      <c r="D262" s="8" t="s">
        <v>553</v>
      </c>
      <c r="E262" s="8" t="s">
        <v>2223</v>
      </c>
      <c r="F262" s="8" t="s">
        <v>791</v>
      </c>
      <c r="G262" s="8" t="s">
        <v>556</v>
      </c>
      <c r="H262" s="8" t="s">
        <v>557</v>
      </c>
      <c r="I262" s="8" t="s">
        <v>939</v>
      </c>
      <c r="J262" s="8" t="s">
        <v>940</v>
      </c>
      <c r="K262" s="8" t="s">
        <v>560</v>
      </c>
      <c r="L262" s="8" t="s">
        <v>229</v>
      </c>
      <c r="M262" s="8" t="s">
        <v>2224</v>
      </c>
      <c r="N262" s="8" t="s">
        <v>128</v>
      </c>
      <c r="O262" s="8" t="s">
        <v>2225</v>
      </c>
      <c r="P262" s="8" t="s">
        <v>2226</v>
      </c>
      <c r="Q262" s="8" t="s">
        <v>740</v>
      </c>
      <c r="R262" s="8"/>
      <c r="S262" s="8" t="s">
        <v>564</v>
      </c>
      <c r="T262" s="8" t="s">
        <v>741</v>
      </c>
      <c r="U262" s="8" t="s">
        <v>134</v>
      </c>
      <c r="V262" s="8" t="s">
        <v>740</v>
      </c>
      <c r="W262" s="8" t="s">
        <v>741</v>
      </c>
      <c r="X262" s="8">
        <v>59</v>
      </c>
      <c r="Y262" s="8" t="s">
        <v>135</v>
      </c>
      <c r="Z262" s="8">
        <v>80</v>
      </c>
      <c r="AA262" s="8">
        <v>1</v>
      </c>
      <c r="AB262" s="9">
        <v>1</v>
      </c>
    </row>
    <row r="263" spans="1:28" x14ac:dyDescent="0.2">
      <c r="A263" s="10">
        <v>25279</v>
      </c>
      <c r="B263" s="11" t="s">
        <v>2227</v>
      </c>
      <c r="C263" s="11" t="s">
        <v>2228</v>
      </c>
      <c r="D263" s="11" t="s">
        <v>2229</v>
      </c>
      <c r="E263" s="11" t="s">
        <v>2230</v>
      </c>
      <c r="F263" s="11" t="s">
        <v>2231</v>
      </c>
      <c r="G263" s="11" t="s">
        <v>1419</v>
      </c>
      <c r="H263" s="11" t="s">
        <v>704</v>
      </c>
      <c r="I263" s="11" t="s">
        <v>2232</v>
      </c>
      <c r="J263" s="11" t="s">
        <v>2233</v>
      </c>
      <c r="K263" s="11" t="s">
        <v>707</v>
      </c>
      <c r="L263" s="11" t="s">
        <v>126</v>
      </c>
      <c r="M263" s="11" t="s">
        <v>2234</v>
      </c>
      <c r="N263" s="11" t="s">
        <v>128</v>
      </c>
      <c r="O263" s="11" t="s">
        <v>2235</v>
      </c>
      <c r="P263" s="11" t="s">
        <v>2236</v>
      </c>
      <c r="Q263" s="11" t="s">
        <v>740</v>
      </c>
      <c r="R263" s="11"/>
      <c r="S263" s="11" t="s">
        <v>2237</v>
      </c>
      <c r="T263" s="11" t="s">
        <v>741</v>
      </c>
      <c r="U263" s="11" t="s">
        <v>134</v>
      </c>
      <c r="V263" s="11" t="s">
        <v>740</v>
      </c>
      <c r="W263" s="11" t="s">
        <v>741</v>
      </c>
      <c r="X263" s="11">
        <v>59</v>
      </c>
      <c r="Y263" s="11" t="s">
        <v>135</v>
      </c>
      <c r="Z263" s="11">
        <v>80</v>
      </c>
      <c r="AA263" s="11">
        <v>1</v>
      </c>
      <c r="AB263" s="12">
        <v>1</v>
      </c>
    </row>
    <row r="264" spans="1:28" x14ac:dyDescent="0.2">
      <c r="A264" s="7">
        <v>25122</v>
      </c>
      <c r="B264" s="8" t="s">
        <v>2238</v>
      </c>
      <c r="C264" s="8" t="s">
        <v>2152</v>
      </c>
      <c r="D264" s="8" t="s">
        <v>2153</v>
      </c>
      <c r="E264" s="8" t="s">
        <v>2239</v>
      </c>
      <c r="F264" s="8" t="s">
        <v>2155</v>
      </c>
      <c r="G264" s="8" t="s">
        <v>328</v>
      </c>
      <c r="H264" s="8" t="s">
        <v>329</v>
      </c>
      <c r="I264" s="8" t="s">
        <v>2156</v>
      </c>
      <c r="J264" s="8" t="s">
        <v>2157</v>
      </c>
      <c r="K264" s="8" t="s">
        <v>415</v>
      </c>
      <c r="L264" s="8" t="s">
        <v>333</v>
      </c>
      <c r="M264" s="8" t="s">
        <v>2240</v>
      </c>
      <c r="N264" s="8" t="s">
        <v>128</v>
      </c>
      <c r="O264" s="8" t="s">
        <v>2241</v>
      </c>
      <c r="P264" s="8" t="s">
        <v>2242</v>
      </c>
      <c r="Q264" s="8" t="s">
        <v>740</v>
      </c>
      <c r="R264" s="8"/>
      <c r="S264" s="8" t="s">
        <v>2161</v>
      </c>
      <c r="T264" s="8" t="s">
        <v>741</v>
      </c>
      <c r="U264" s="8" t="s">
        <v>134</v>
      </c>
      <c r="V264" s="8" t="s">
        <v>740</v>
      </c>
      <c r="W264" s="8" t="s">
        <v>741</v>
      </c>
      <c r="X264" s="8">
        <v>59</v>
      </c>
      <c r="Y264" s="8" t="s">
        <v>135</v>
      </c>
      <c r="Z264" s="8">
        <v>20</v>
      </c>
      <c r="AA264" s="8">
        <v>1</v>
      </c>
      <c r="AB264" s="9">
        <v>0</v>
      </c>
    </row>
    <row r="265" spans="1:28" x14ac:dyDescent="0.2">
      <c r="A265" s="10">
        <v>25143</v>
      </c>
      <c r="B265" s="11" t="s">
        <v>2243</v>
      </c>
      <c r="C265" s="11" t="s">
        <v>324</v>
      </c>
      <c r="D265" s="11" t="s">
        <v>325</v>
      </c>
      <c r="E265" s="11" t="s">
        <v>2244</v>
      </c>
      <c r="F265" s="11" t="s">
        <v>327</v>
      </c>
      <c r="G265" s="11" t="s">
        <v>328</v>
      </c>
      <c r="H265" s="11" t="s">
        <v>329</v>
      </c>
      <c r="I265" s="11" t="s">
        <v>391</v>
      </c>
      <c r="J265" s="11" t="s">
        <v>331</v>
      </c>
      <c r="K265" s="11" t="s">
        <v>332</v>
      </c>
      <c r="L265" s="11" t="s">
        <v>333</v>
      </c>
      <c r="M265" s="11" t="s">
        <v>2245</v>
      </c>
      <c r="N265" s="11" t="s">
        <v>128</v>
      </c>
      <c r="O265" s="11" t="s">
        <v>2246</v>
      </c>
      <c r="P265" s="11" t="s">
        <v>2247</v>
      </c>
      <c r="Q265" s="11" t="s">
        <v>740</v>
      </c>
      <c r="R265" s="11"/>
      <c r="S265" s="11" t="s">
        <v>337</v>
      </c>
      <c r="T265" s="11" t="s">
        <v>741</v>
      </c>
      <c r="U265" s="11" t="s">
        <v>134</v>
      </c>
      <c r="V265" s="11" t="s">
        <v>740</v>
      </c>
      <c r="W265" s="11" t="s">
        <v>741</v>
      </c>
      <c r="X265" s="11">
        <v>59</v>
      </c>
      <c r="Y265" s="11" t="s">
        <v>135</v>
      </c>
      <c r="Z265" s="11">
        <v>20</v>
      </c>
      <c r="AA265" s="11">
        <v>1</v>
      </c>
      <c r="AB265" s="12">
        <v>0</v>
      </c>
    </row>
    <row r="266" spans="1:28" x14ac:dyDescent="0.2">
      <c r="A266" s="7">
        <v>25639</v>
      </c>
      <c r="B266" s="8" t="s">
        <v>2248</v>
      </c>
      <c r="C266" s="8" t="s">
        <v>436</v>
      </c>
      <c r="D266" s="8" t="s">
        <v>437</v>
      </c>
      <c r="E266" s="8" t="s">
        <v>2249</v>
      </c>
      <c r="F266" s="8" t="s">
        <v>439</v>
      </c>
      <c r="G266" s="8" t="s">
        <v>141</v>
      </c>
      <c r="H266" s="8" t="s">
        <v>142</v>
      </c>
      <c r="I266" s="8" t="s">
        <v>683</v>
      </c>
      <c r="J266" s="8" t="s">
        <v>441</v>
      </c>
      <c r="K266" s="8" t="s">
        <v>216</v>
      </c>
      <c r="L266" s="8" t="s">
        <v>146</v>
      </c>
      <c r="M266" s="8" t="s">
        <v>2250</v>
      </c>
      <c r="N266" s="8" t="s">
        <v>128</v>
      </c>
      <c r="O266" s="8" t="s">
        <v>2251</v>
      </c>
      <c r="P266" s="8"/>
      <c r="Q266" s="8" t="s">
        <v>249</v>
      </c>
      <c r="R266" s="8"/>
      <c r="S266" s="8" t="s">
        <v>445</v>
      </c>
      <c r="T266" s="8" t="s">
        <v>1523</v>
      </c>
      <c r="U266" s="8" t="s">
        <v>134</v>
      </c>
      <c r="V266" s="8" t="s">
        <v>249</v>
      </c>
      <c r="W266" s="8" t="s">
        <v>1523</v>
      </c>
      <c r="X266" s="8">
        <v>59</v>
      </c>
      <c r="Y266" s="8" t="s">
        <v>135</v>
      </c>
      <c r="Z266" s="8">
        <v>20</v>
      </c>
      <c r="AA266" s="8">
        <v>1</v>
      </c>
      <c r="AB266" s="9">
        <v>0</v>
      </c>
    </row>
    <row r="267" spans="1:28" x14ac:dyDescent="0.2">
      <c r="A267" s="10">
        <v>25429</v>
      </c>
      <c r="B267" s="11" t="s">
        <v>2252</v>
      </c>
      <c r="C267" s="11" t="s">
        <v>590</v>
      </c>
      <c r="D267" s="11" t="s">
        <v>591</v>
      </c>
      <c r="E267" s="11"/>
      <c r="F267" s="11" t="s">
        <v>593</v>
      </c>
      <c r="G267" s="11" t="s">
        <v>141</v>
      </c>
      <c r="H267" s="11" t="s">
        <v>142</v>
      </c>
      <c r="I267" s="11" t="s">
        <v>594</v>
      </c>
      <c r="J267" s="11" t="s">
        <v>595</v>
      </c>
      <c r="K267" s="11" t="s">
        <v>216</v>
      </c>
      <c r="L267" s="11" t="s">
        <v>146</v>
      </c>
      <c r="M267" s="11" t="s">
        <v>2253</v>
      </c>
      <c r="N267" s="11" t="s">
        <v>128</v>
      </c>
      <c r="O267" s="11" t="s">
        <v>2254</v>
      </c>
      <c r="P267" s="11" t="s">
        <v>2255</v>
      </c>
      <c r="Q267" s="11" t="s">
        <v>249</v>
      </c>
      <c r="R267" s="11"/>
      <c r="S267" s="11" t="s">
        <v>599</v>
      </c>
      <c r="T267" s="11" t="s">
        <v>250</v>
      </c>
      <c r="U267" s="11" t="s">
        <v>134</v>
      </c>
      <c r="V267" s="11" t="s">
        <v>249</v>
      </c>
      <c r="W267" s="11" t="s">
        <v>250</v>
      </c>
      <c r="X267" s="11">
        <v>59</v>
      </c>
      <c r="Y267" s="11" t="s">
        <v>135</v>
      </c>
      <c r="Z267" s="11">
        <v>20</v>
      </c>
      <c r="AA267" s="11">
        <v>1</v>
      </c>
      <c r="AB267" s="12">
        <v>0</v>
      </c>
    </row>
    <row r="268" spans="1:28" x14ac:dyDescent="0.2">
      <c r="A268" s="7">
        <v>20759</v>
      </c>
      <c r="B268" s="8" t="s">
        <v>2256</v>
      </c>
      <c r="C268" s="8" t="s">
        <v>2257</v>
      </c>
      <c r="D268" s="8" t="s">
        <v>922</v>
      </c>
      <c r="E268" s="8" t="s">
        <v>2258</v>
      </c>
      <c r="F268" s="8" t="s">
        <v>2259</v>
      </c>
      <c r="G268" s="8" t="s">
        <v>521</v>
      </c>
      <c r="H268" s="8" t="s">
        <v>522</v>
      </c>
      <c r="I268" s="8" t="s">
        <v>2260</v>
      </c>
      <c r="J268" s="8" t="s">
        <v>2261</v>
      </c>
      <c r="K268" s="8" t="s">
        <v>525</v>
      </c>
      <c r="L268" s="8" t="s">
        <v>526</v>
      </c>
      <c r="M268" s="8" t="s">
        <v>2262</v>
      </c>
      <c r="N268" s="8" t="s">
        <v>128</v>
      </c>
      <c r="O268" s="8" t="s">
        <v>2263</v>
      </c>
      <c r="P268" s="8" t="s">
        <v>2264</v>
      </c>
      <c r="Q268" s="8" t="s">
        <v>150</v>
      </c>
      <c r="R268" s="8"/>
      <c r="S268" s="8" t="s">
        <v>2265</v>
      </c>
      <c r="T268" s="8" t="s">
        <v>531</v>
      </c>
      <c r="U268" s="8" t="s">
        <v>150</v>
      </c>
      <c r="V268" s="8" t="s">
        <v>531</v>
      </c>
      <c r="W268" s="8" t="s">
        <v>531</v>
      </c>
      <c r="X268" s="8">
        <v>58</v>
      </c>
      <c r="Y268" s="8" t="s">
        <v>135</v>
      </c>
      <c r="Z268" s="8">
        <v>80</v>
      </c>
      <c r="AA268" s="8">
        <v>0</v>
      </c>
      <c r="AB268" s="9">
        <v>0</v>
      </c>
    </row>
    <row r="269" spans="1:28" x14ac:dyDescent="0.2">
      <c r="A269" s="10">
        <v>20772</v>
      </c>
      <c r="B269" s="11" t="s">
        <v>2266</v>
      </c>
      <c r="C269" s="11" t="s">
        <v>2267</v>
      </c>
      <c r="D269" s="11" t="s">
        <v>2268</v>
      </c>
      <c r="E269" s="11"/>
      <c r="F269" s="11" t="s">
        <v>2269</v>
      </c>
      <c r="G269" s="11" t="s">
        <v>521</v>
      </c>
      <c r="H269" s="11" t="s">
        <v>522</v>
      </c>
      <c r="I269" s="11" t="s">
        <v>2270</v>
      </c>
      <c r="J269" s="11" t="s">
        <v>2271</v>
      </c>
      <c r="K269" s="11" t="s">
        <v>525</v>
      </c>
      <c r="L269" s="11" t="s">
        <v>526</v>
      </c>
      <c r="M269" s="11" t="s">
        <v>2272</v>
      </c>
      <c r="N269" s="11" t="s">
        <v>128</v>
      </c>
      <c r="O269" s="11" t="s">
        <v>2273</v>
      </c>
      <c r="P269" s="11" t="s">
        <v>2274</v>
      </c>
      <c r="Q269" s="11" t="s">
        <v>150</v>
      </c>
      <c r="R269" s="11"/>
      <c r="S269" s="11" t="s">
        <v>71</v>
      </c>
      <c r="T269" s="11" t="s">
        <v>531</v>
      </c>
      <c r="U269" s="11" t="s">
        <v>150</v>
      </c>
      <c r="V269" s="11" t="s">
        <v>531</v>
      </c>
      <c r="W269" s="11" t="s">
        <v>531</v>
      </c>
      <c r="X269" s="11">
        <v>58</v>
      </c>
      <c r="Y269" s="11" t="s">
        <v>135</v>
      </c>
      <c r="Z269" s="11">
        <v>80</v>
      </c>
      <c r="AA269" s="11">
        <v>0</v>
      </c>
      <c r="AB269" s="12">
        <v>0</v>
      </c>
    </row>
    <row r="270" spans="1:28" x14ac:dyDescent="0.2">
      <c r="A270" s="7">
        <v>21116</v>
      </c>
      <c r="B270" s="8" t="s">
        <v>2275</v>
      </c>
      <c r="C270" s="8" t="s">
        <v>2276</v>
      </c>
      <c r="D270" s="8" t="s">
        <v>2277</v>
      </c>
      <c r="E270" s="8"/>
      <c r="F270" s="8" t="s">
        <v>2278</v>
      </c>
      <c r="G270" s="8" t="s">
        <v>1026</v>
      </c>
      <c r="H270" s="8" t="s">
        <v>142</v>
      </c>
      <c r="I270" s="8" t="s">
        <v>2279</v>
      </c>
      <c r="J270" s="8" t="s">
        <v>2280</v>
      </c>
      <c r="K270" s="8" t="s">
        <v>1029</v>
      </c>
      <c r="L270" s="8" t="s">
        <v>464</v>
      </c>
      <c r="M270" s="8" t="s">
        <v>2281</v>
      </c>
      <c r="N270" s="8" t="s">
        <v>128</v>
      </c>
      <c r="O270" s="8" t="s">
        <v>2282</v>
      </c>
      <c r="P270" s="8" t="s">
        <v>2283</v>
      </c>
      <c r="Q270" s="8" t="s">
        <v>150</v>
      </c>
      <c r="R270" s="8"/>
      <c r="S270" s="8" t="s">
        <v>2284</v>
      </c>
      <c r="T270" s="8" t="s">
        <v>289</v>
      </c>
      <c r="U270" s="8" t="s">
        <v>150</v>
      </c>
      <c r="V270" s="8" t="s">
        <v>289</v>
      </c>
      <c r="W270" s="8" t="s">
        <v>289</v>
      </c>
      <c r="X270" s="8">
        <v>58</v>
      </c>
      <c r="Y270" s="8" t="s">
        <v>135</v>
      </c>
      <c r="Z270" s="8">
        <v>80</v>
      </c>
      <c r="AA270" s="8">
        <v>1</v>
      </c>
      <c r="AB270" s="9">
        <v>1</v>
      </c>
    </row>
    <row r="271" spans="1:28" x14ac:dyDescent="0.2">
      <c r="A271" s="10">
        <v>49694</v>
      </c>
      <c r="B271" s="11" t="s">
        <v>2285</v>
      </c>
      <c r="C271" s="11" t="s">
        <v>945</v>
      </c>
      <c r="D271" s="11" t="s">
        <v>2286</v>
      </c>
      <c r="E271" s="11"/>
      <c r="F271" s="11" t="s">
        <v>353</v>
      </c>
      <c r="G271" s="11" t="s">
        <v>556</v>
      </c>
      <c r="H271" s="11" t="s">
        <v>557</v>
      </c>
      <c r="I271" s="11" t="s">
        <v>947</v>
      </c>
      <c r="J271" s="11" t="s">
        <v>2287</v>
      </c>
      <c r="K271" s="11" t="s">
        <v>560</v>
      </c>
      <c r="L271" s="11" t="s">
        <v>229</v>
      </c>
      <c r="M271" s="11" t="s">
        <v>2288</v>
      </c>
      <c r="N271" s="11" t="s">
        <v>128</v>
      </c>
      <c r="O271" s="11" t="s">
        <v>2289</v>
      </c>
      <c r="P271" s="11"/>
      <c r="Q271" s="11" t="s">
        <v>150</v>
      </c>
      <c r="R271" s="11"/>
      <c r="S271" s="11" t="s">
        <v>71</v>
      </c>
      <c r="T271" s="11" t="s">
        <v>642</v>
      </c>
      <c r="U271" s="11" t="s">
        <v>150</v>
      </c>
      <c r="V271" s="11" t="s">
        <v>642</v>
      </c>
      <c r="W271" s="11" t="s">
        <v>642</v>
      </c>
      <c r="X271" s="11">
        <v>58</v>
      </c>
      <c r="Y271" s="11" t="s">
        <v>135</v>
      </c>
      <c r="Z271" s="11">
        <v>80</v>
      </c>
      <c r="AA271" s="11">
        <v>0</v>
      </c>
      <c r="AB271" s="12">
        <v>0</v>
      </c>
    </row>
    <row r="272" spans="1:28" x14ac:dyDescent="0.2">
      <c r="A272" s="7">
        <v>21597</v>
      </c>
      <c r="B272" s="8" t="s">
        <v>2290</v>
      </c>
      <c r="C272" s="8" t="s">
        <v>2291</v>
      </c>
      <c r="D272" s="8" t="s">
        <v>2292</v>
      </c>
      <c r="E272" s="8" t="s">
        <v>2293</v>
      </c>
      <c r="F272" s="8" t="s">
        <v>353</v>
      </c>
      <c r="G272" s="8" t="s">
        <v>648</v>
      </c>
      <c r="H272" s="8" t="s">
        <v>142</v>
      </c>
      <c r="I272" s="8" t="s">
        <v>2294</v>
      </c>
      <c r="J272" s="8" t="s">
        <v>2295</v>
      </c>
      <c r="K272" s="8" t="s">
        <v>651</v>
      </c>
      <c r="L272" s="8" t="s">
        <v>146</v>
      </c>
      <c r="M272" s="8" t="s">
        <v>2296</v>
      </c>
      <c r="N272" s="8" t="s">
        <v>128</v>
      </c>
      <c r="O272" s="8" t="s">
        <v>2297</v>
      </c>
      <c r="P272" s="8" t="s">
        <v>2298</v>
      </c>
      <c r="Q272" s="8" t="s">
        <v>150</v>
      </c>
      <c r="R272" s="8"/>
      <c r="S272" s="8" t="s">
        <v>71</v>
      </c>
      <c r="T272" s="8" t="s">
        <v>67</v>
      </c>
      <c r="U272" s="8" t="s">
        <v>150</v>
      </c>
      <c r="V272" s="8" t="s">
        <v>152</v>
      </c>
      <c r="W272" s="8" t="s">
        <v>67</v>
      </c>
      <c r="X272" s="8">
        <v>58</v>
      </c>
      <c r="Y272" s="8" t="s">
        <v>135</v>
      </c>
      <c r="Z272" s="8">
        <v>80</v>
      </c>
      <c r="AA272" s="8">
        <v>0</v>
      </c>
      <c r="AB272" s="9">
        <v>0</v>
      </c>
    </row>
    <row r="273" spans="1:28" x14ac:dyDescent="0.2">
      <c r="A273" s="10">
        <v>21571</v>
      </c>
      <c r="B273" s="11" t="s">
        <v>2299</v>
      </c>
      <c r="C273" s="11" t="s">
        <v>2300</v>
      </c>
      <c r="D273" s="11" t="s">
        <v>2301</v>
      </c>
      <c r="E273" s="11" t="s">
        <v>2302</v>
      </c>
      <c r="F273" s="11" t="s">
        <v>353</v>
      </c>
      <c r="G273" s="11" t="s">
        <v>1429</v>
      </c>
      <c r="H273" s="11" t="s">
        <v>142</v>
      </c>
      <c r="I273" s="11" t="s">
        <v>2303</v>
      </c>
      <c r="J273" s="11" t="s">
        <v>2304</v>
      </c>
      <c r="K273" s="11" t="s">
        <v>1199</v>
      </c>
      <c r="L273" s="11" t="s">
        <v>464</v>
      </c>
      <c r="M273" s="11" t="s">
        <v>2305</v>
      </c>
      <c r="N273" s="11" t="s">
        <v>128</v>
      </c>
      <c r="O273" s="11" t="s">
        <v>2306</v>
      </c>
      <c r="P273" s="11" t="s">
        <v>2307</v>
      </c>
      <c r="Q273" s="11" t="s">
        <v>150</v>
      </c>
      <c r="R273" s="11"/>
      <c r="S273" s="11" t="s">
        <v>71</v>
      </c>
      <c r="T273" s="11" t="s">
        <v>67</v>
      </c>
      <c r="U273" s="11" t="s">
        <v>150</v>
      </c>
      <c r="V273" s="11" t="s">
        <v>152</v>
      </c>
      <c r="W273" s="11" t="s">
        <v>67</v>
      </c>
      <c r="X273" s="11">
        <v>58</v>
      </c>
      <c r="Y273" s="11" t="s">
        <v>135</v>
      </c>
      <c r="Z273" s="11">
        <v>80</v>
      </c>
      <c r="AA273" s="11">
        <v>0</v>
      </c>
      <c r="AB273" s="12">
        <v>0</v>
      </c>
    </row>
    <row r="274" spans="1:28" x14ac:dyDescent="0.2">
      <c r="A274" s="7">
        <v>21552</v>
      </c>
      <c r="B274" s="8" t="s">
        <v>2308</v>
      </c>
      <c r="C274" s="8" t="s">
        <v>1034</v>
      </c>
      <c r="D274" s="8" t="s">
        <v>1035</v>
      </c>
      <c r="E274" s="8" t="s">
        <v>2309</v>
      </c>
      <c r="F274" s="8" t="s">
        <v>1037</v>
      </c>
      <c r="G274" s="8" t="s">
        <v>703</v>
      </c>
      <c r="H274" s="8" t="s">
        <v>704</v>
      </c>
      <c r="I274" s="8" t="s">
        <v>1038</v>
      </c>
      <c r="J274" s="8" t="s">
        <v>1039</v>
      </c>
      <c r="K274" s="8" t="s">
        <v>707</v>
      </c>
      <c r="L274" s="8" t="s">
        <v>126</v>
      </c>
      <c r="M274" s="8" t="s">
        <v>2310</v>
      </c>
      <c r="N274" s="8" t="s">
        <v>128</v>
      </c>
      <c r="O274" s="8" t="s">
        <v>2311</v>
      </c>
      <c r="P274" s="8" t="s">
        <v>2312</v>
      </c>
      <c r="Q274" s="8" t="s">
        <v>150</v>
      </c>
      <c r="R274" s="8"/>
      <c r="S274" s="8" t="s">
        <v>1043</v>
      </c>
      <c r="T274" s="8" t="s">
        <v>67</v>
      </c>
      <c r="U274" s="8" t="s">
        <v>150</v>
      </c>
      <c r="V274" s="8" t="s">
        <v>152</v>
      </c>
      <c r="W274" s="8" t="s">
        <v>67</v>
      </c>
      <c r="X274" s="8">
        <v>58</v>
      </c>
      <c r="Y274" s="8" t="s">
        <v>135</v>
      </c>
      <c r="Z274" s="8">
        <v>80</v>
      </c>
      <c r="AA274" s="8">
        <v>0</v>
      </c>
      <c r="AB274" s="9">
        <v>0</v>
      </c>
    </row>
    <row r="275" spans="1:28" x14ac:dyDescent="0.2">
      <c r="A275" s="10">
        <v>21421</v>
      </c>
      <c r="B275" s="11" t="s">
        <v>2313</v>
      </c>
      <c r="C275" s="11" t="s">
        <v>1961</v>
      </c>
      <c r="D275" s="11" t="s">
        <v>1962</v>
      </c>
      <c r="E275" s="11" t="s">
        <v>2314</v>
      </c>
      <c r="F275" s="11" t="s">
        <v>1963</v>
      </c>
      <c r="G275" s="11" t="s">
        <v>328</v>
      </c>
      <c r="H275" s="11" t="s">
        <v>329</v>
      </c>
      <c r="I275" s="11" t="s">
        <v>2315</v>
      </c>
      <c r="J275" s="11" t="s">
        <v>1965</v>
      </c>
      <c r="K275" s="11" t="s">
        <v>572</v>
      </c>
      <c r="L275" s="11" t="s">
        <v>333</v>
      </c>
      <c r="M275" s="11" t="s">
        <v>2316</v>
      </c>
      <c r="N275" s="11" t="s">
        <v>128</v>
      </c>
      <c r="O275" s="11" t="s">
        <v>2317</v>
      </c>
      <c r="P275" s="11" t="s">
        <v>2318</v>
      </c>
      <c r="Q275" s="11" t="s">
        <v>150</v>
      </c>
      <c r="R275" s="11"/>
      <c r="S275" s="11" t="s">
        <v>1969</v>
      </c>
      <c r="T275" s="11" t="s">
        <v>67</v>
      </c>
      <c r="U275" s="11" t="s">
        <v>150</v>
      </c>
      <c r="V275" s="11" t="s">
        <v>152</v>
      </c>
      <c r="W275" s="11" t="s">
        <v>67</v>
      </c>
      <c r="X275" s="11">
        <v>58</v>
      </c>
      <c r="Y275" s="11" t="s">
        <v>135</v>
      </c>
      <c r="Z275" s="11">
        <v>80</v>
      </c>
      <c r="AA275" s="11">
        <v>1</v>
      </c>
      <c r="AB275" s="12">
        <v>1</v>
      </c>
    </row>
    <row r="276" spans="1:28" x14ac:dyDescent="0.2">
      <c r="A276" s="7">
        <v>21819</v>
      </c>
      <c r="B276" s="8" t="s">
        <v>2319</v>
      </c>
      <c r="C276" s="8" t="s">
        <v>1086</v>
      </c>
      <c r="D276" s="8" t="s">
        <v>341</v>
      </c>
      <c r="E276" s="8" t="s">
        <v>2320</v>
      </c>
      <c r="F276" s="8" t="s">
        <v>1088</v>
      </c>
      <c r="G276" s="8" t="s">
        <v>846</v>
      </c>
      <c r="H276" s="8" t="s">
        <v>847</v>
      </c>
      <c r="I276" s="8" t="s">
        <v>1089</v>
      </c>
      <c r="J276" s="8" t="s">
        <v>1090</v>
      </c>
      <c r="K276" s="8" t="s">
        <v>1091</v>
      </c>
      <c r="L276" s="8" t="s">
        <v>126</v>
      </c>
      <c r="M276" s="8" t="s">
        <v>2321</v>
      </c>
      <c r="N276" s="8" t="s">
        <v>128</v>
      </c>
      <c r="O276" s="8" t="s">
        <v>2322</v>
      </c>
      <c r="P276" s="8" t="s">
        <v>2323</v>
      </c>
      <c r="Q276" s="8" t="s">
        <v>131</v>
      </c>
      <c r="R276" s="8"/>
      <c r="S276" s="8" t="s">
        <v>1095</v>
      </c>
      <c r="T276" s="8" t="s">
        <v>133</v>
      </c>
      <c r="U276" s="8" t="s">
        <v>134</v>
      </c>
      <c r="V276" s="8" t="s">
        <v>131</v>
      </c>
      <c r="W276" s="8" t="s">
        <v>133</v>
      </c>
      <c r="X276" s="8">
        <v>58</v>
      </c>
      <c r="Y276" s="8" t="s">
        <v>135</v>
      </c>
      <c r="Z276" s="8">
        <v>80</v>
      </c>
      <c r="AA276" s="8">
        <v>1</v>
      </c>
      <c r="AB276" s="9">
        <v>1</v>
      </c>
    </row>
    <row r="277" spans="1:28" x14ac:dyDescent="0.2">
      <c r="A277" s="10">
        <v>22948</v>
      </c>
      <c r="B277" s="11" t="s">
        <v>2324</v>
      </c>
      <c r="C277" s="11" t="s">
        <v>997</v>
      </c>
      <c r="D277" s="11" t="s">
        <v>861</v>
      </c>
      <c r="E277" s="11" t="s">
        <v>2325</v>
      </c>
      <c r="F277" s="11" t="s">
        <v>449</v>
      </c>
      <c r="G277" s="11" t="s">
        <v>450</v>
      </c>
      <c r="H277" s="11" t="s">
        <v>301</v>
      </c>
      <c r="I277" s="11" t="s">
        <v>451</v>
      </c>
      <c r="J277" s="11" t="s">
        <v>999</v>
      </c>
      <c r="K277" s="11" t="s">
        <v>304</v>
      </c>
      <c r="L277" s="11" t="s">
        <v>229</v>
      </c>
      <c r="M277" s="11" t="s">
        <v>2326</v>
      </c>
      <c r="N277" s="11" t="s">
        <v>128</v>
      </c>
      <c r="O277" s="11" t="s">
        <v>2327</v>
      </c>
      <c r="P277" s="11" t="s">
        <v>2328</v>
      </c>
      <c r="Q277" s="11" t="s">
        <v>150</v>
      </c>
      <c r="R277" s="11"/>
      <c r="S277" s="11" t="s">
        <v>868</v>
      </c>
      <c r="T277" s="11" t="s">
        <v>70</v>
      </c>
      <c r="U277" s="11" t="s">
        <v>150</v>
      </c>
      <c r="V277" s="11" t="s">
        <v>70</v>
      </c>
      <c r="W277" s="11" t="s">
        <v>70</v>
      </c>
      <c r="X277" s="11">
        <v>58</v>
      </c>
      <c r="Y277" s="11" t="s">
        <v>135</v>
      </c>
      <c r="Z277" s="11">
        <v>80</v>
      </c>
      <c r="AA277" s="11">
        <v>1</v>
      </c>
      <c r="AB277" s="12">
        <v>1</v>
      </c>
    </row>
    <row r="278" spans="1:28" x14ac:dyDescent="0.2">
      <c r="A278" s="7">
        <v>23452</v>
      </c>
      <c r="B278" s="8" t="s">
        <v>2329</v>
      </c>
      <c r="C278" s="8" t="s">
        <v>2330</v>
      </c>
      <c r="D278" s="8" t="s">
        <v>2331</v>
      </c>
      <c r="E278" s="8"/>
      <c r="F278" s="8" t="s">
        <v>353</v>
      </c>
      <c r="G278" s="8" t="s">
        <v>2332</v>
      </c>
      <c r="H278" s="8" t="s">
        <v>142</v>
      </c>
      <c r="I278" s="8" t="s">
        <v>2333</v>
      </c>
      <c r="J278" s="8" t="s">
        <v>2334</v>
      </c>
      <c r="K278" s="8" t="s">
        <v>779</v>
      </c>
      <c r="L278" s="8" t="s">
        <v>464</v>
      </c>
      <c r="M278" s="8" t="s">
        <v>2335</v>
      </c>
      <c r="N278" s="8" t="s">
        <v>128</v>
      </c>
      <c r="O278" s="8" t="s">
        <v>2336</v>
      </c>
      <c r="P278" s="8" t="s">
        <v>2337</v>
      </c>
      <c r="Q278" s="8" t="s">
        <v>150</v>
      </c>
      <c r="R278" s="8"/>
      <c r="S278" s="8" t="s">
        <v>71</v>
      </c>
      <c r="T278" s="8" t="s">
        <v>1415</v>
      </c>
      <c r="U278" s="8" t="s">
        <v>150</v>
      </c>
      <c r="V278" s="8" t="s">
        <v>1415</v>
      </c>
      <c r="W278" s="8" t="s">
        <v>1415</v>
      </c>
      <c r="X278" s="8">
        <v>58</v>
      </c>
      <c r="Y278" s="8" t="s">
        <v>135</v>
      </c>
      <c r="Z278" s="8">
        <v>80</v>
      </c>
      <c r="AA278" s="8">
        <v>0</v>
      </c>
      <c r="AB278" s="9">
        <v>0</v>
      </c>
    </row>
    <row r="279" spans="1:28" x14ac:dyDescent="0.2">
      <c r="A279" s="10">
        <v>23633</v>
      </c>
      <c r="B279" s="11" t="s">
        <v>2338</v>
      </c>
      <c r="C279" s="11" t="s">
        <v>2339</v>
      </c>
      <c r="D279" s="11" t="s">
        <v>1330</v>
      </c>
      <c r="E279" s="11" t="s">
        <v>2340</v>
      </c>
      <c r="F279" s="11" t="s">
        <v>353</v>
      </c>
      <c r="G279" s="11" t="s">
        <v>1196</v>
      </c>
      <c r="H279" s="11" t="s">
        <v>142</v>
      </c>
      <c r="I279" s="11" t="s">
        <v>2341</v>
      </c>
      <c r="J279" s="11" t="s">
        <v>2342</v>
      </c>
      <c r="K279" s="11" t="s">
        <v>1199</v>
      </c>
      <c r="L279" s="11" t="s">
        <v>464</v>
      </c>
      <c r="M279" s="11" t="s">
        <v>2343</v>
      </c>
      <c r="N279" s="11" t="s">
        <v>128</v>
      </c>
      <c r="O279" s="11" t="s">
        <v>2344</v>
      </c>
      <c r="P279" s="11" t="s">
        <v>2345</v>
      </c>
      <c r="Q279" s="11" t="s">
        <v>150</v>
      </c>
      <c r="R279" s="11"/>
      <c r="S279" s="11" t="s">
        <v>71</v>
      </c>
      <c r="T279" s="11" t="s">
        <v>168</v>
      </c>
      <c r="U279" s="11" t="s">
        <v>150</v>
      </c>
      <c r="V279" s="11" t="s">
        <v>168</v>
      </c>
      <c r="W279" s="11" t="s">
        <v>168</v>
      </c>
      <c r="X279" s="11">
        <v>58</v>
      </c>
      <c r="Y279" s="11" t="s">
        <v>135</v>
      </c>
      <c r="Z279" s="11">
        <v>80</v>
      </c>
      <c r="AA279" s="11">
        <v>0</v>
      </c>
      <c r="AB279" s="12">
        <v>0</v>
      </c>
    </row>
    <row r="280" spans="1:28" x14ac:dyDescent="0.2">
      <c r="A280" s="7">
        <v>24644</v>
      </c>
      <c r="B280" s="8" t="s">
        <v>2346</v>
      </c>
      <c r="C280" s="8" t="s">
        <v>2347</v>
      </c>
      <c r="D280" s="8" t="s">
        <v>2348</v>
      </c>
      <c r="E280" s="8" t="s">
        <v>2349</v>
      </c>
      <c r="F280" s="8" t="s">
        <v>353</v>
      </c>
      <c r="G280" s="8" t="s">
        <v>1784</v>
      </c>
      <c r="H280" s="8" t="s">
        <v>329</v>
      </c>
      <c r="I280" s="8" t="s">
        <v>1785</v>
      </c>
      <c r="J280" s="8" t="s">
        <v>2350</v>
      </c>
      <c r="K280" s="8" t="s">
        <v>431</v>
      </c>
      <c r="L280" s="8" t="s">
        <v>333</v>
      </c>
      <c r="M280" s="8" t="s">
        <v>2351</v>
      </c>
      <c r="N280" s="8" t="s">
        <v>128</v>
      </c>
      <c r="O280" s="8" t="s">
        <v>2352</v>
      </c>
      <c r="P280" s="8" t="s">
        <v>2353</v>
      </c>
      <c r="Q280" s="8" t="s">
        <v>150</v>
      </c>
      <c r="R280" s="8"/>
      <c r="S280" s="8" t="s">
        <v>71</v>
      </c>
      <c r="T280" s="8" t="s">
        <v>69</v>
      </c>
      <c r="U280" s="8" t="s">
        <v>150</v>
      </c>
      <c r="V280" s="8" t="s">
        <v>152</v>
      </c>
      <c r="W280" s="8" t="s">
        <v>69</v>
      </c>
      <c r="X280" s="8">
        <v>58</v>
      </c>
      <c r="Y280" s="8" t="s">
        <v>135</v>
      </c>
      <c r="Z280" s="8">
        <v>80</v>
      </c>
      <c r="AA280" s="8">
        <v>0</v>
      </c>
      <c r="AB280" s="9">
        <v>0</v>
      </c>
    </row>
    <row r="281" spans="1:28" x14ac:dyDescent="0.2">
      <c r="A281" s="10">
        <v>49722</v>
      </c>
      <c r="B281" s="11" t="s">
        <v>2354</v>
      </c>
      <c r="C281" s="11" t="s">
        <v>578</v>
      </c>
      <c r="D281" s="11" t="s">
        <v>579</v>
      </c>
      <c r="E281" s="11"/>
      <c r="F281" s="11" t="s">
        <v>2355</v>
      </c>
      <c r="G281" s="11" t="s">
        <v>141</v>
      </c>
      <c r="H281" s="11" t="s">
        <v>142</v>
      </c>
      <c r="I281" s="11" t="s">
        <v>2356</v>
      </c>
      <c r="J281" s="11" t="s">
        <v>1067</v>
      </c>
      <c r="K281" s="11" t="s">
        <v>584</v>
      </c>
      <c r="L281" s="11" t="s">
        <v>146</v>
      </c>
      <c r="M281" s="11" t="s">
        <v>2357</v>
      </c>
      <c r="N281" s="11" t="s">
        <v>128</v>
      </c>
      <c r="O281" s="11" t="s">
        <v>2358</v>
      </c>
      <c r="P281" s="11" t="s">
        <v>2359</v>
      </c>
      <c r="Q281" s="11" t="s">
        <v>740</v>
      </c>
      <c r="R281" s="11"/>
      <c r="S281" s="11" t="s">
        <v>588</v>
      </c>
      <c r="T281" s="11" t="s">
        <v>1745</v>
      </c>
      <c r="U281" s="11" t="s">
        <v>134</v>
      </c>
      <c r="V281" s="11" t="s">
        <v>740</v>
      </c>
      <c r="W281" s="11" t="s">
        <v>1745</v>
      </c>
      <c r="X281" s="11">
        <v>58</v>
      </c>
      <c r="Y281" s="11" t="s">
        <v>135</v>
      </c>
      <c r="Z281" s="11">
        <v>20</v>
      </c>
      <c r="AA281" s="11">
        <v>1</v>
      </c>
      <c r="AB281" s="12">
        <v>0</v>
      </c>
    </row>
    <row r="282" spans="1:28" x14ac:dyDescent="0.2">
      <c r="A282" s="7">
        <v>25239</v>
      </c>
      <c r="B282" s="8" t="s">
        <v>2360</v>
      </c>
      <c r="C282" s="8" t="s">
        <v>1417</v>
      </c>
      <c r="D282" s="8" t="s">
        <v>138</v>
      </c>
      <c r="E282" s="8" t="s">
        <v>1881</v>
      </c>
      <c r="F282" s="8" t="s">
        <v>353</v>
      </c>
      <c r="G282" s="8" t="s">
        <v>1419</v>
      </c>
      <c r="H282" s="8" t="s">
        <v>704</v>
      </c>
      <c r="I282" s="8" t="s">
        <v>1420</v>
      </c>
      <c r="J282" s="8" t="s">
        <v>1421</v>
      </c>
      <c r="K282" s="8" t="s">
        <v>707</v>
      </c>
      <c r="L282" s="8" t="s">
        <v>126</v>
      </c>
      <c r="M282" s="8" t="s">
        <v>2361</v>
      </c>
      <c r="N282" s="8" t="s">
        <v>128</v>
      </c>
      <c r="O282" s="8" t="s">
        <v>2362</v>
      </c>
      <c r="P282" s="8" t="s">
        <v>2363</v>
      </c>
      <c r="Q282" s="8" t="s">
        <v>740</v>
      </c>
      <c r="R282" s="8"/>
      <c r="S282" s="8" t="s">
        <v>1425</v>
      </c>
      <c r="T282" s="8" t="s">
        <v>741</v>
      </c>
      <c r="U282" s="8" t="s">
        <v>134</v>
      </c>
      <c r="V282" s="8" t="s">
        <v>740</v>
      </c>
      <c r="W282" s="8" t="s">
        <v>741</v>
      </c>
      <c r="X282" s="8">
        <v>58</v>
      </c>
      <c r="Y282" s="8" t="s">
        <v>135</v>
      </c>
      <c r="Z282" s="8">
        <v>80</v>
      </c>
      <c r="AA282" s="8">
        <v>1</v>
      </c>
      <c r="AB282" s="9">
        <v>1</v>
      </c>
    </row>
    <row r="283" spans="1:28" x14ac:dyDescent="0.2">
      <c r="A283" s="10">
        <v>25179</v>
      </c>
      <c r="B283" s="11" t="s">
        <v>2364</v>
      </c>
      <c r="C283" s="11" t="s">
        <v>1249</v>
      </c>
      <c r="D283" s="11" t="s">
        <v>1250</v>
      </c>
      <c r="E283" s="11" t="s">
        <v>2365</v>
      </c>
      <c r="F283" s="11" t="s">
        <v>1252</v>
      </c>
      <c r="G283" s="11" t="s">
        <v>1253</v>
      </c>
      <c r="H283" s="11" t="s">
        <v>142</v>
      </c>
      <c r="I283" s="11" t="s">
        <v>1294</v>
      </c>
      <c r="J283" s="11" t="s">
        <v>2366</v>
      </c>
      <c r="K283" s="11" t="s">
        <v>1199</v>
      </c>
      <c r="L283" s="11" t="s">
        <v>464</v>
      </c>
      <c r="M283" s="11" t="s">
        <v>2367</v>
      </c>
      <c r="N283" s="11" t="s">
        <v>128</v>
      </c>
      <c r="O283" s="11" t="s">
        <v>2368</v>
      </c>
      <c r="P283" s="11" t="s">
        <v>2369</v>
      </c>
      <c r="Q283" s="11" t="s">
        <v>740</v>
      </c>
      <c r="R283" s="11"/>
      <c r="S283" s="11" t="s">
        <v>1259</v>
      </c>
      <c r="T283" s="11" t="s">
        <v>741</v>
      </c>
      <c r="U283" s="11" t="s">
        <v>134</v>
      </c>
      <c r="V283" s="11" t="s">
        <v>740</v>
      </c>
      <c r="W283" s="11" t="s">
        <v>741</v>
      </c>
      <c r="X283" s="11">
        <v>58</v>
      </c>
      <c r="Y283" s="11" t="s">
        <v>135</v>
      </c>
      <c r="Z283" s="11">
        <v>80</v>
      </c>
      <c r="AA283" s="11">
        <v>1</v>
      </c>
      <c r="AB283" s="12">
        <v>1</v>
      </c>
    </row>
    <row r="284" spans="1:28" x14ac:dyDescent="0.2">
      <c r="A284" s="7">
        <v>25149</v>
      </c>
      <c r="B284" s="8" t="s">
        <v>2370</v>
      </c>
      <c r="C284" s="8" t="s">
        <v>1271</v>
      </c>
      <c r="D284" s="8" t="s">
        <v>1272</v>
      </c>
      <c r="E284" s="8" t="s">
        <v>2371</v>
      </c>
      <c r="F284" s="8" t="s">
        <v>1274</v>
      </c>
      <c r="G284" s="8" t="s">
        <v>521</v>
      </c>
      <c r="H284" s="8" t="s">
        <v>522</v>
      </c>
      <c r="I284" s="8" t="s">
        <v>1275</v>
      </c>
      <c r="J284" s="8" t="s">
        <v>1276</v>
      </c>
      <c r="K284" s="8" t="s">
        <v>525</v>
      </c>
      <c r="L284" s="8" t="s">
        <v>526</v>
      </c>
      <c r="M284" s="8" t="s">
        <v>2372</v>
      </c>
      <c r="N284" s="8" t="s">
        <v>128</v>
      </c>
      <c r="O284" s="8" t="s">
        <v>2373</v>
      </c>
      <c r="P284" s="8" t="s">
        <v>2374</v>
      </c>
      <c r="Q284" s="8" t="s">
        <v>740</v>
      </c>
      <c r="R284" s="8"/>
      <c r="S284" s="8" t="s">
        <v>1280</v>
      </c>
      <c r="T284" s="8" t="s">
        <v>741</v>
      </c>
      <c r="U284" s="8" t="s">
        <v>134</v>
      </c>
      <c r="V284" s="8" t="s">
        <v>740</v>
      </c>
      <c r="W284" s="8" t="s">
        <v>741</v>
      </c>
      <c r="X284" s="8">
        <v>58</v>
      </c>
      <c r="Y284" s="8" t="s">
        <v>135</v>
      </c>
      <c r="Z284" s="8">
        <v>20</v>
      </c>
      <c r="AA284" s="8">
        <v>1</v>
      </c>
      <c r="AB284" s="9">
        <v>0</v>
      </c>
    </row>
    <row r="285" spans="1:28" x14ac:dyDescent="0.2">
      <c r="A285" s="10">
        <v>25223</v>
      </c>
      <c r="B285" s="11" t="s">
        <v>2375</v>
      </c>
      <c r="C285" s="11" t="s">
        <v>186</v>
      </c>
      <c r="D285" s="11" t="s">
        <v>187</v>
      </c>
      <c r="E285" s="11"/>
      <c r="F285" s="11" t="s">
        <v>189</v>
      </c>
      <c r="G285" s="11" t="s">
        <v>190</v>
      </c>
      <c r="H285" s="11" t="s">
        <v>191</v>
      </c>
      <c r="I285" s="11" t="s">
        <v>312</v>
      </c>
      <c r="J285" s="11" t="s">
        <v>2376</v>
      </c>
      <c r="K285" s="11" t="s">
        <v>194</v>
      </c>
      <c r="L285" s="11" t="s">
        <v>163</v>
      </c>
      <c r="M285" s="11" t="s">
        <v>2377</v>
      </c>
      <c r="N285" s="11" t="s">
        <v>128</v>
      </c>
      <c r="O285" s="11" t="s">
        <v>2378</v>
      </c>
      <c r="P285" s="11" t="s">
        <v>2379</v>
      </c>
      <c r="Q285" s="11" t="s">
        <v>740</v>
      </c>
      <c r="R285" s="11"/>
      <c r="S285" s="11" t="s">
        <v>198</v>
      </c>
      <c r="T285" s="11" t="s">
        <v>741</v>
      </c>
      <c r="U285" s="11" t="s">
        <v>134</v>
      </c>
      <c r="V285" s="11" t="s">
        <v>740</v>
      </c>
      <c r="W285" s="11" t="s">
        <v>741</v>
      </c>
      <c r="X285" s="11">
        <v>58</v>
      </c>
      <c r="Y285" s="11" t="s">
        <v>135</v>
      </c>
      <c r="Z285" s="11">
        <v>20</v>
      </c>
      <c r="AA285" s="11">
        <v>1</v>
      </c>
      <c r="AB285" s="12">
        <v>0</v>
      </c>
    </row>
    <row r="286" spans="1:28" x14ac:dyDescent="0.2">
      <c r="A286" s="7">
        <v>22142</v>
      </c>
      <c r="B286" s="8" t="s">
        <v>2380</v>
      </c>
      <c r="C286" s="8" t="s">
        <v>2381</v>
      </c>
      <c r="D286" s="8" t="s">
        <v>1250</v>
      </c>
      <c r="E286" s="8"/>
      <c r="F286" s="8" t="s">
        <v>2382</v>
      </c>
      <c r="G286" s="8" t="s">
        <v>1253</v>
      </c>
      <c r="H286" s="8" t="s">
        <v>142</v>
      </c>
      <c r="I286" s="8" t="s">
        <v>1294</v>
      </c>
      <c r="J286" s="8" t="s">
        <v>2383</v>
      </c>
      <c r="K286" s="8" t="s">
        <v>1199</v>
      </c>
      <c r="L286" s="8" t="s">
        <v>464</v>
      </c>
      <c r="M286" s="8" t="s">
        <v>2384</v>
      </c>
      <c r="N286" s="8" t="s">
        <v>128</v>
      </c>
      <c r="O286" s="8" t="s">
        <v>2385</v>
      </c>
      <c r="P286" s="8"/>
      <c r="Q286" s="8" t="s">
        <v>249</v>
      </c>
      <c r="R286" s="8"/>
      <c r="S286" s="8" t="s">
        <v>1259</v>
      </c>
      <c r="T286" s="8" t="s">
        <v>1523</v>
      </c>
      <c r="U286" s="8" t="s">
        <v>134</v>
      </c>
      <c r="V286" s="8" t="s">
        <v>249</v>
      </c>
      <c r="W286" s="8" t="s">
        <v>1523</v>
      </c>
      <c r="X286" s="8">
        <v>58</v>
      </c>
      <c r="Y286" s="8" t="s">
        <v>135</v>
      </c>
      <c r="Z286" s="8">
        <v>80</v>
      </c>
      <c r="AA286" s="8">
        <v>1</v>
      </c>
      <c r="AB286" s="9">
        <v>1</v>
      </c>
    </row>
    <row r="287" spans="1:28" x14ac:dyDescent="0.2">
      <c r="A287" s="10">
        <v>25377</v>
      </c>
      <c r="B287" s="11" t="s">
        <v>2386</v>
      </c>
      <c r="C287" s="11" t="s">
        <v>373</v>
      </c>
      <c r="D287" s="11" t="s">
        <v>138</v>
      </c>
      <c r="E287" s="11" t="s">
        <v>2387</v>
      </c>
      <c r="F287" s="11" t="s">
        <v>484</v>
      </c>
      <c r="G287" s="11" t="s">
        <v>224</v>
      </c>
      <c r="H287" s="11" t="s">
        <v>225</v>
      </c>
      <c r="I287" s="11" t="s">
        <v>485</v>
      </c>
      <c r="J287" s="11" t="s">
        <v>486</v>
      </c>
      <c r="K287" s="11" t="s">
        <v>228</v>
      </c>
      <c r="L287" s="11" t="s">
        <v>229</v>
      </c>
      <c r="M287" s="11" t="s">
        <v>2388</v>
      </c>
      <c r="N287" s="11" t="s">
        <v>128</v>
      </c>
      <c r="O287" s="11" t="s">
        <v>2389</v>
      </c>
      <c r="P287" s="11" t="s">
        <v>2390</v>
      </c>
      <c r="Q287" s="11" t="s">
        <v>249</v>
      </c>
      <c r="R287" s="11"/>
      <c r="S287" s="11" t="s">
        <v>381</v>
      </c>
      <c r="T287" s="11" t="s">
        <v>250</v>
      </c>
      <c r="U287" s="11" t="s">
        <v>134</v>
      </c>
      <c r="V287" s="11" t="s">
        <v>249</v>
      </c>
      <c r="W287" s="11" t="s">
        <v>250</v>
      </c>
      <c r="X287" s="11">
        <v>58</v>
      </c>
      <c r="Y287" s="11" t="s">
        <v>135</v>
      </c>
      <c r="Z287" s="11">
        <v>80</v>
      </c>
      <c r="AA287" s="11">
        <v>1</v>
      </c>
      <c r="AB287" s="12">
        <v>1</v>
      </c>
    </row>
    <row r="288" spans="1:28" x14ac:dyDescent="0.2">
      <c r="A288" s="7">
        <v>25374</v>
      </c>
      <c r="B288" s="8" t="s">
        <v>2391</v>
      </c>
      <c r="C288" s="8" t="s">
        <v>2152</v>
      </c>
      <c r="D288" s="8" t="s">
        <v>2153</v>
      </c>
      <c r="E288" s="8" t="s">
        <v>2392</v>
      </c>
      <c r="F288" s="8" t="s">
        <v>2155</v>
      </c>
      <c r="G288" s="8" t="s">
        <v>328</v>
      </c>
      <c r="H288" s="8" t="s">
        <v>329</v>
      </c>
      <c r="I288" s="8" t="s">
        <v>2156</v>
      </c>
      <c r="J288" s="8" t="s">
        <v>2157</v>
      </c>
      <c r="K288" s="8" t="s">
        <v>415</v>
      </c>
      <c r="L288" s="8" t="s">
        <v>333</v>
      </c>
      <c r="M288" s="8" t="s">
        <v>2393</v>
      </c>
      <c r="N288" s="8" t="s">
        <v>128</v>
      </c>
      <c r="O288" s="8" t="s">
        <v>2394</v>
      </c>
      <c r="P288" s="8" t="s">
        <v>2395</v>
      </c>
      <c r="Q288" s="8" t="s">
        <v>249</v>
      </c>
      <c r="R288" s="8"/>
      <c r="S288" s="8" t="s">
        <v>2161</v>
      </c>
      <c r="T288" s="8" t="s">
        <v>250</v>
      </c>
      <c r="U288" s="8" t="s">
        <v>134</v>
      </c>
      <c r="V288" s="8" t="s">
        <v>249</v>
      </c>
      <c r="W288" s="8" t="s">
        <v>250</v>
      </c>
      <c r="X288" s="8">
        <v>58</v>
      </c>
      <c r="Y288" s="8" t="s">
        <v>135</v>
      </c>
      <c r="Z288" s="8">
        <v>20</v>
      </c>
      <c r="AA288" s="8">
        <v>1</v>
      </c>
      <c r="AB288" s="9">
        <v>0</v>
      </c>
    </row>
    <row r="289" spans="1:28" x14ac:dyDescent="0.2">
      <c r="A289" s="10">
        <v>25398</v>
      </c>
      <c r="B289" s="11" t="s">
        <v>2396</v>
      </c>
      <c r="C289" s="11" t="s">
        <v>324</v>
      </c>
      <c r="D289" s="11" t="s">
        <v>325</v>
      </c>
      <c r="E289" s="11" t="s">
        <v>2397</v>
      </c>
      <c r="F289" s="11" t="s">
        <v>327</v>
      </c>
      <c r="G289" s="11" t="s">
        <v>328</v>
      </c>
      <c r="H289" s="11" t="s">
        <v>329</v>
      </c>
      <c r="I289" s="11" t="s">
        <v>2398</v>
      </c>
      <c r="J289" s="11" t="s">
        <v>331</v>
      </c>
      <c r="K289" s="11" t="s">
        <v>332</v>
      </c>
      <c r="L289" s="11" t="s">
        <v>333</v>
      </c>
      <c r="M289" s="11" t="s">
        <v>2399</v>
      </c>
      <c r="N289" s="11" t="s">
        <v>128</v>
      </c>
      <c r="O289" s="11" t="s">
        <v>2400</v>
      </c>
      <c r="P289" s="11" t="s">
        <v>2401</v>
      </c>
      <c r="Q289" s="11" t="s">
        <v>249</v>
      </c>
      <c r="R289" s="11"/>
      <c r="S289" s="11" t="s">
        <v>337</v>
      </c>
      <c r="T289" s="11" t="s">
        <v>250</v>
      </c>
      <c r="U289" s="11" t="s">
        <v>134</v>
      </c>
      <c r="V289" s="11" t="s">
        <v>249</v>
      </c>
      <c r="W289" s="11" t="s">
        <v>250</v>
      </c>
      <c r="X289" s="11">
        <v>58</v>
      </c>
      <c r="Y289" s="11" t="s">
        <v>135</v>
      </c>
      <c r="Z289" s="11">
        <v>20</v>
      </c>
      <c r="AA289" s="11">
        <v>1</v>
      </c>
      <c r="AB289" s="12">
        <v>0</v>
      </c>
    </row>
    <row r="290" spans="1:28" x14ac:dyDescent="0.2">
      <c r="A290" s="7">
        <v>21121</v>
      </c>
      <c r="B290" s="8" t="s">
        <v>2402</v>
      </c>
      <c r="C290" s="8" t="s">
        <v>1271</v>
      </c>
      <c r="D290" s="8" t="s">
        <v>2403</v>
      </c>
      <c r="E290" s="8"/>
      <c r="F290" s="8" t="s">
        <v>2404</v>
      </c>
      <c r="G290" s="8" t="s">
        <v>521</v>
      </c>
      <c r="H290" s="8" t="s">
        <v>522</v>
      </c>
      <c r="I290" s="8" t="s">
        <v>1275</v>
      </c>
      <c r="J290" s="8" t="s">
        <v>2405</v>
      </c>
      <c r="K290" s="8" t="s">
        <v>525</v>
      </c>
      <c r="L290" s="8" t="s">
        <v>526</v>
      </c>
      <c r="M290" s="8" t="s">
        <v>2406</v>
      </c>
      <c r="N290" s="8" t="s">
        <v>128</v>
      </c>
      <c r="O290" s="8" t="s">
        <v>2407</v>
      </c>
      <c r="P290" s="8" t="s">
        <v>2408</v>
      </c>
      <c r="Q290" s="8" t="s">
        <v>150</v>
      </c>
      <c r="R290" s="8"/>
      <c r="S290" s="8" t="s">
        <v>71</v>
      </c>
      <c r="T290" s="8" t="s">
        <v>289</v>
      </c>
      <c r="U290" s="8" t="s">
        <v>150</v>
      </c>
      <c r="V290" s="8" t="s">
        <v>289</v>
      </c>
      <c r="W290" s="8" t="s">
        <v>289</v>
      </c>
      <c r="X290" s="8">
        <v>57</v>
      </c>
      <c r="Y290" s="8" t="s">
        <v>135</v>
      </c>
      <c r="Z290" s="8">
        <v>80</v>
      </c>
      <c r="AA290" s="8">
        <v>0</v>
      </c>
      <c r="AB290" s="9">
        <v>0</v>
      </c>
    </row>
    <row r="291" spans="1:28" x14ac:dyDescent="0.2">
      <c r="A291" s="10">
        <v>21291</v>
      </c>
      <c r="B291" s="11" t="s">
        <v>2409</v>
      </c>
      <c r="C291" s="11" t="s">
        <v>2410</v>
      </c>
      <c r="D291" s="11" t="s">
        <v>2411</v>
      </c>
      <c r="E291" s="11" t="s">
        <v>2412</v>
      </c>
      <c r="F291" s="11" t="s">
        <v>353</v>
      </c>
      <c r="G291" s="11" t="s">
        <v>2093</v>
      </c>
      <c r="H291" s="11" t="s">
        <v>142</v>
      </c>
      <c r="I291" s="11" t="s">
        <v>2413</v>
      </c>
      <c r="J291" s="11" t="s">
        <v>2414</v>
      </c>
      <c r="K291" s="11" t="s">
        <v>651</v>
      </c>
      <c r="L291" s="11" t="s">
        <v>146</v>
      </c>
      <c r="M291" s="11" t="s">
        <v>2415</v>
      </c>
      <c r="N291" s="11" t="s">
        <v>128</v>
      </c>
      <c r="O291" s="11" t="s">
        <v>2416</v>
      </c>
      <c r="P291" s="11" t="s">
        <v>2417</v>
      </c>
      <c r="Q291" s="11" t="s">
        <v>150</v>
      </c>
      <c r="R291" s="11"/>
      <c r="S291" s="11" t="s">
        <v>71</v>
      </c>
      <c r="T291" s="11" t="s">
        <v>67</v>
      </c>
      <c r="U291" s="11" t="s">
        <v>150</v>
      </c>
      <c r="V291" s="11" t="s">
        <v>152</v>
      </c>
      <c r="W291" s="11" t="s">
        <v>67</v>
      </c>
      <c r="X291" s="11">
        <v>57</v>
      </c>
      <c r="Y291" s="11" t="s">
        <v>135</v>
      </c>
      <c r="Z291" s="11">
        <v>80</v>
      </c>
      <c r="AA291" s="11">
        <v>0</v>
      </c>
      <c r="AB291" s="12">
        <v>0</v>
      </c>
    </row>
    <row r="292" spans="1:28" x14ac:dyDescent="0.2">
      <c r="A292" s="7">
        <v>21343</v>
      </c>
      <c r="B292" s="8" t="s">
        <v>2418</v>
      </c>
      <c r="C292" s="8" t="s">
        <v>2419</v>
      </c>
      <c r="D292" s="8" t="s">
        <v>2420</v>
      </c>
      <c r="E292" s="8" t="s">
        <v>2421</v>
      </c>
      <c r="F292" s="8" t="s">
        <v>2422</v>
      </c>
      <c r="G292" s="8" t="s">
        <v>2423</v>
      </c>
      <c r="H292" s="8" t="s">
        <v>557</v>
      </c>
      <c r="I292" s="8" t="s">
        <v>2424</v>
      </c>
      <c r="J292" s="8" t="s">
        <v>2425</v>
      </c>
      <c r="K292" s="8" t="s">
        <v>1562</v>
      </c>
      <c r="L292" s="8" t="s">
        <v>229</v>
      </c>
      <c r="M292" s="8" t="s">
        <v>2426</v>
      </c>
      <c r="N292" s="8" t="s">
        <v>128</v>
      </c>
      <c r="O292" s="8" t="s">
        <v>2427</v>
      </c>
      <c r="P292" s="8" t="s">
        <v>2428</v>
      </c>
      <c r="Q292" s="8" t="s">
        <v>150</v>
      </c>
      <c r="R292" s="8"/>
      <c r="S292" s="8" t="s">
        <v>2429</v>
      </c>
      <c r="T292" s="8" t="s">
        <v>67</v>
      </c>
      <c r="U292" s="8" t="s">
        <v>150</v>
      </c>
      <c r="V292" s="8" t="s">
        <v>152</v>
      </c>
      <c r="W292" s="8" t="s">
        <v>67</v>
      </c>
      <c r="X292" s="8">
        <v>57</v>
      </c>
      <c r="Y292" s="8" t="s">
        <v>135</v>
      </c>
      <c r="Z292" s="8">
        <v>80</v>
      </c>
      <c r="AA292" s="8">
        <v>0</v>
      </c>
      <c r="AB292" s="9">
        <v>0</v>
      </c>
    </row>
    <row r="293" spans="1:28" x14ac:dyDescent="0.2">
      <c r="A293" s="10">
        <v>21452</v>
      </c>
      <c r="B293" s="11" t="s">
        <v>2430</v>
      </c>
      <c r="C293" s="11" t="s">
        <v>2431</v>
      </c>
      <c r="D293" s="11" t="s">
        <v>2432</v>
      </c>
      <c r="E293" s="11" t="s">
        <v>2433</v>
      </c>
      <c r="F293" s="11" t="s">
        <v>2434</v>
      </c>
      <c r="G293" s="11" t="s">
        <v>2435</v>
      </c>
      <c r="H293" s="11" t="s">
        <v>142</v>
      </c>
      <c r="I293" s="11" t="s">
        <v>2436</v>
      </c>
      <c r="J293" s="11" t="s">
        <v>2437</v>
      </c>
      <c r="K293" s="11" t="s">
        <v>1029</v>
      </c>
      <c r="L293" s="11" t="s">
        <v>464</v>
      </c>
      <c r="M293" s="11" t="s">
        <v>2438</v>
      </c>
      <c r="N293" s="11" t="s">
        <v>128</v>
      </c>
      <c r="O293" s="11" t="s">
        <v>2439</v>
      </c>
      <c r="P293" s="11" t="s">
        <v>2440</v>
      </c>
      <c r="Q293" s="11" t="s">
        <v>150</v>
      </c>
      <c r="R293" s="11"/>
      <c r="S293" s="11" t="s">
        <v>2441</v>
      </c>
      <c r="T293" s="11" t="s">
        <v>67</v>
      </c>
      <c r="U293" s="11" t="s">
        <v>150</v>
      </c>
      <c r="V293" s="11" t="s">
        <v>152</v>
      </c>
      <c r="W293" s="11" t="s">
        <v>67</v>
      </c>
      <c r="X293" s="11">
        <v>57</v>
      </c>
      <c r="Y293" s="11" t="s">
        <v>135</v>
      </c>
      <c r="Z293" s="11">
        <v>80</v>
      </c>
      <c r="AA293" s="11">
        <v>0</v>
      </c>
      <c r="AB293" s="12">
        <v>0</v>
      </c>
    </row>
    <row r="294" spans="1:28" x14ac:dyDescent="0.2">
      <c r="A294" s="7">
        <v>21267</v>
      </c>
      <c r="B294" s="8" t="s">
        <v>2442</v>
      </c>
      <c r="C294" s="8" t="s">
        <v>1928</v>
      </c>
      <c r="D294" s="8" t="s">
        <v>2443</v>
      </c>
      <c r="E294" s="8"/>
      <c r="F294" s="8" t="s">
        <v>353</v>
      </c>
      <c r="G294" s="8" t="s">
        <v>1727</v>
      </c>
      <c r="H294" s="8" t="s">
        <v>557</v>
      </c>
      <c r="I294" s="8" t="s">
        <v>1930</v>
      </c>
      <c r="J294" s="8" t="s">
        <v>2444</v>
      </c>
      <c r="K294" s="8" t="s">
        <v>1562</v>
      </c>
      <c r="L294" s="8" t="s">
        <v>229</v>
      </c>
      <c r="M294" s="8" t="s">
        <v>2445</v>
      </c>
      <c r="N294" s="8" t="s">
        <v>128</v>
      </c>
      <c r="O294" s="8" t="s">
        <v>2446</v>
      </c>
      <c r="P294" s="8" t="s">
        <v>2447</v>
      </c>
      <c r="Q294" s="8" t="s">
        <v>150</v>
      </c>
      <c r="R294" s="8"/>
      <c r="S294" s="8" t="s">
        <v>71</v>
      </c>
      <c r="T294" s="8" t="s">
        <v>67</v>
      </c>
      <c r="U294" s="8" t="s">
        <v>150</v>
      </c>
      <c r="V294" s="8" t="s">
        <v>152</v>
      </c>
      <c r="W294" s="8" t="s">
        <v>67</v>
      </c>
      <c r="X294" s="8">
        <v>57</v>
      </c>
      <c r="Y294" s="8" t="s">
        <v>135</v>
      </c>
      <c r="Z294" s="8">
        <v>80</v>
      </c>
      <c r="AA294" s="8">
        <v>0</v>
      </c>
      <c r="AB294" s="9">
        <v>0</v>
      </c>
    </row>
    <row r="295" spans="1:28" x14ac:dyDescent="0.2">
      <c r="A295" s="10">
        <v>21725</v>
      </c>
      <c r="B295" s="11" t="s">
        <v>2448</v>
      </c>
      <c r="C295" s="11" t="s">
        <v>1341</v>
      </c>
      <c r="D295" s="11" t="s">
        <v>2449</v>
      </c>
      <c r="E295" s="11"/>
      <c r="F295" s="11" t="s">
        <v>1344</v>
      </c>
      <c r="G295" s="11" t="s">
        <v>141</v>
      </c>
      <c r="H295" s="11" t="s">
        <v>142</v>
      </c>
      <c r="I295" s="11" t="s">
        <v>2450</v>
      </c>
      <c r="J295" s="11" t="s">
        <v>2451</v>
      </c>
      <c r="K295" s="11" t="s">
        <v>651</v>
      </c>
      <c r="L295" s="11" t="s">
        <v>146</v>
      </c>
      <c r="M295" s="11" t="s">
        <v>2452</v>
      </c>
      <c r="N295" s="11" t="s">
        <v>128</v>
      </c>
      <c r="O295" s="11" t="s">
        <v>2453</v>
      </c>
      <c r="P295" s="11" t="s">
        <v>2454</v>
      </c>
      <c r="Q295" s="11" t="s">
        <v>150</v>
      </c>
      <c r="R295" s="11"/>
      <c r="S295" s="11" t="s">
        <v>71</v>
      </c>
      <c r="T295" s="11" t="s">
        <v>67</v>
      </c>
      <c r="U295" s="11" t="s">
        <v>150</v>
      </c>
      <c r="V295" s="11" t="s">
        <v>152</v>
      </c>
      <c r="W295" s="11" t="s">
        <v>67</v>
      </c>
      <c r="X295" s="11">
        <v>57</v>
      </c>
      <c r="Y295" s="11" t="s">
        <v>135</v>
      </c>
      <c r="Z295" s="11">
        <v>80</v>
      </c>
      <c r="AA295" s="11">
        <v>0</v>
      </c>
      <c r="AB295" s="12">
        <v>0</v>
      </c>
    </row>
    <row r="296" spans="1:28" x14ac:dyDescent="0.2">
      <c r="A296" s="7">
        <v>21804</v>
      </c>
      <c r="B296" s="8" t="s">
        <v>2455</v>
      </c>
      <c r="C296" s="8" t="s">
        <v>914</v>
      </c>
      <c r="D296" s="8" t="s">
        <v>915</v>
      </c>
      <c r="E296" s="8" t="s">
        <v>2456</v>
      </c>
      <c r="F296" s="8" t="s">
        <v>917</v>
      </c>
      <c r="G296" s="8" t="s">
        <v>776</v>
      </c>
      <c r="H296" s="8" t="s">
        <v>142</v>
      </c>
      <c r="I296" s="8" t="s">
        <v>918</v>
      </c>
      <c r="J296" s="8" t="s">
        <v>919</v>
      </c>
      <c r="K296" s="8" t="s">
        <v>779</v>
      </c>
      <c r="L296" s="8" t="s">
        <v>464</v>
      </c>
      <c r="M296" s="8" t="s">
        <v>2457</v>
      </c>
      <c r="N296" s="8" t="s">
        <v>128</v>
      </c>
      <c r="O296" s="8" t="s">
        <v>2458</v>
      </c>
      <c r="P296" s="8" t="s">
        <v>2459</v>
      </c>
      <c r="Q296" s="8" t="s">
        <v>131</v>
      </c>
      <c r="R296" s="8"/>
      <c r="S296" s="8" t="s">
        <v>923</v>
      </c>
      <c r="T296" s="8" t="s">
        <v>133</v>
      </c>
      <c r="U296" s="8" t="s">
        <v>134</v>
      </c>
      <c r="V296" s="8" t="s">
        <v>131</v>
      </c>
      <c r="W296" s="8" t="s">
        <v>133</v>
      </c>
      <c r="X296" s="8">
        <v>57</v>
      </c>
      <c r="Y296" s="8" t="s">
        <v>135</v>
      </c>
      <c r="Z296" s="8">
        <v>80</v>
      </c>
      <c r="AA296" s="8">
        <v>1</v>
      </c>
      <c r="AB296" s="9">
        <v>1</v>
      </c>
    </row>
    <row r="297" spans="1:28" x14ac:dyDescent="0.2">
      <c r="A297" s="10">
        <v>21825</v>
      </c>
      <c r="B297" s="11" t="s">
        <v>2460</v>
      </c>
      <c r="C297" s="11" t="s">
        <v>2276</v>
      </c>
      <c r="D297" s="11" t="s">
        <v>2277</v>
      </c>
      <c r="E297" s="11" t="s">
        <v>2461</v>
      </c>
      <c r="F297" s="11" t="s">
        <v>2278</v>
      </c>
      <c r="G297" s="11" t="s">
        <v>1026</v>
      </c>
      <c r="H297" s="11" t="s">
        <v>142</v>
      </c>
      <c r="I297" s="11" t="s">
        <v>2279</v>
      </c>
      <c r="J297" s="11" t="s">
        <v>2280</v>
      </c>
      <c r="K297" s="11" t="s">
        <v>1029</v>
      </c>
      <c r="L297" s="11" t="s">
        <v>464</v>
      </c>
      <c r="M297" s="11" t="s">
        <v>2462</v>
      </c>
      <c r="N297" s="11" t="s">
        <v>128</v>
      </c>
      <c r="O297" s="11" t="s">
        <v>2463</v>
      </c>
      <c r="P297" s="11" t="s">
        <v>2464</v>
      </c>
      <c r="Q297" s="11" t="s">
        <v>131</v>
      </c>
      <c r="R297" s="11"/>
      <c r="S297" s="11" t="s">
        <v>2284</v>
      </c>
      <c r="T297" s="11" t="s">
        <v>133</v>
      </c>
      <c r="U297" s="11" t="s">
        <v>134</v>
      </c>
      <c r="V297" s="11" t="s">
        <v>131</v>
      </c>
      <c r="W297" s="11" t="s">
        <v>133</v>
      </c>
      <c r="X297" s="11">
        <v>57</v>
      </c>
      <c r="Y297" s="11" t="s">
        <v>135</v>
      </c>
      <c r="Z297" s="11">
        <v>80</v>
      </c>
      <c r="AA297" s="11">
        <v>1</v>
      </c>
      <c r="AB297" s="12">
        <v>1</v>
      </c>
    </row>
    <row r="298" spans="1:28" x14ac:dyDescent="0.2">
      <c r="A298" s="7">
        <v>22061</v>
      </c>
      <c r="B298" s="8" t="s">
        <v>2465</v>
      </c>
      <c r="C298" s="8" t="s">
        <v>2466</v>
      </c>
      <c r="D298" s="8" t="s">
        <v>2467</v>
      </c>
      <c r="E298" s="8" t="s">
        <v>2468</v>
      </c>
      <c r="F298" s="8" t="s">
        <v>2469</v>
      </c>
      <c r="G298" s="8" t="s">
        <v>1952</v>
      </c>
      <c r="H298" s="8" t="s">
        <v>1953</v>
      </c>
      <c r="I298" s="8" t="s">
        <v>2470</v>
      </c>
      <c r="J298" s="8" t="s">
        <v>2471</v>
      </c>
      <c r="K298" s="8" t="s">
        <v>1956</v>
      </c>
      <c r="L298" s="8" t="s">
        <v>526</v>
      </c>
      <c r="M298" s="8" t="s">
        <v>2472</v>
      </c>
      <c r="N298" s="8" t="s">
        <v>128</v>
      </c>
      <c r="O298" s="8" t="s">
        <v>2473</v>
      </c>
      <c r="P298" s="8" t="s">
        <v>2474</v>
      </c>
      <c r="Q298" s="8" t="s">
        <v>131</v>
      </c>
      <c r="R298" s="8"/>
      <c r="S298" s="8" t="s">
        <v>2475</v>
      </c>
      <c r="T298" s="8" t="s">
        <v>133</v>
      </c>
      <c r="U298" s="8" t="s">
        <v>134</v>
      </c>
      <c r="V298" s="8" t="s">
        <v>131</v>
      </c>
      <c r="W298" s="8" t="s">
        <v>133</v>
      </c>
      <c r="X298" s="8">
        <v>57</v>
      </c>
      <c r="Y298" s="8" t="s">
        <v>135</v>
      </c>
      <c r="Z298" s="8">
        <v>20</v>
      </c>
      <c r="AA298" s="8">
        <v>1</v>
      </c>
      <c r="AB298" s="9">
        <v>0</v>
      </c>
    </row>
    <row r="299" spans="1:28" x14ac:dyDescent="0.2">
      <c r="A299" s="10">
        <v>22494</v>
      </c>
      <c r="B299" s="11" t="s">
        <v>2476</v>
      </c>
      <c r="C299" s="11" t="s">
        <v>517</v>
      </c>
      <c r="D299" s="11" t="s">
        <v>518</v>
      </c>
      <c r="E299" s="11" t="s">
        <v>2477</v>
      </c>
      <c r="F299" s="11" t="s">
        <v>520</v>
      </c>
      <c r="G299" s="11" t="s">
        <v>521</v>
      </c>
      <c r="H299" s="11" t="s">
        <v>522</v>
      </c>
      <c r="I299" s="11" t="s">
        <v>523</v>
      </c>
      <c r="J299" s="11" t="s">
        <v>524</v>
      </c>
      <c r="K299" s="11" t="s">
        <v>525</v>
      </c>
      <c r="L299" s="11" t="s">
        <v>526</v>
      </c>
      <c r="M299" s="11" t="s">
        <v>2478</v>
      </c>
      <c r="N299" s="11" t="s">
        <v>128</v>
      </c>
      <c r="O299" s="11" t="s">
        <v>2479</v>
      </c>
      <c r="P299" s="11"/>
      <c r="Q299" s="11" t="s">
        <v>150</v>
      </c>
      <c r="R299" s="11"/>
      <c r="S299" s="11" t="s">
        <v>530</v>
      </c>
      <c r="T299" s="11" t="s">
        <v>1899</v>
      </c>
      <c r="U299" s="11" t="s">
        <v>150</v>
      </c>
      <c r="V299" s="11" t="s">
        <v>1899</v>
      </c>
      <c r="W299" s="11" t="s">
        <v>1899</v>
      </c>
      <c r="X299" s="11">
        <v>57</v>
      </c>
      <c r="Y299" s="11" t="s">
        <v>135</v>
      </c>
      <c r="Z299" s="11">
        <v>20</v>
      </c>
      <c r="AA299" s="11">
        <v>1</v>
      </c>
      <c r="AB299" s="12">
        <v>0</v>
      </c>
    </row>
    <row r="300" spans="1:28" x14ac:dyDescent="0.2">
      <c r="A300" s="7">
        <v>23217</v>
      </c>
      <c r="B300" s="8" t="s">
        <v>2480</v>
      </c>
      <c r="C300" s="8" t="s">
        <v>2481</v>
      </c>
      <c r="D300" s="8" t="s">
        <v>2482</v>
      </c>
      <c r="E300" s="8"/>
      <c r="F300" s="8" t="s">
        <v>353</v>
      </c>
      <c r="G300" s="8" t="s">
        <v>615</v>
      </c>
      <c r="H300" s="8" t="s">
        <v>616</v>
      </c>
      <c r="I300" s="8" t="s">
        <v>2483</v>
      </c>
      <c r="J300" s="8" t="s">
        <v>2484</v>
      </c>
      <c r="K300" s="8" t="s">
        <v>619</v>
      </c>
      <c r="L300" s="8" t="s">
        <v>163</v>
      </c>
      <c r="M300" s="8" t="s">
        <v>2485</v>
      </c>
      <c r="N300" s="8" t="s">
        <v>128</v>
      </c>
      <c r="O300" s="8" t="s">
        <v>2486</v>
      </c>
      <c r="P300" s="8" t="s">
        <v>2487</v>
      </c>
      <c r="Q300" s="8" t="s">
        <v>150</v>
      </c>
      <c r="R300" s="8"/>
      <c r="S300" s="8" t="s">
        <v>71</v>
      </c>
      <c r="T300" s="8" t="s">
        <v>70</v>
      </c>
      <c r="U300" s="8" t="s">
        <v>150</v>
      </c>
      <c r="V300" s="8" t="s">
        <v>70</v>
      </c>
      <c r="W300" s="8" t="s">
        <v>70</v>
      </c>
      <c r="X300" s="8">
        <v>57</v>
      </c>
      <c r="Y300" s="8" t="s">
        <v>135</v>
      </c>
      <c r="Z300" s="8">
        <v>80</v>
      </c>
      <c r="AA300" s="8">
        <v>0</v>
      </c>
      <c r="AB300" s="9">
        <v>0</v>
      </c>
    </row>
    <row r="301" spans="1:28" x14ac:dyDescent="0.2">
      <c r="A301" s="10">
        <v>23431</v>
      </c>
      <c r="B301" s="11" t="s">
        <v>2488</v>
      </c>
      <c r="C301" s="11" t="s">
        <v>2489</v>
      </c>
      <c r="D301" s="11" t="s">
        <v>2490</v>
      </c>
      <c r="E301" s="11"/>
      <c r="F301" s="11" t="s">
        <v>353</v>
      </c>
      <c r="G301" s="11" t="s">
        <v>776</v>
      </c>
      <c r="H301" s="11" t="s">
        <v>142</v>
      </c>
      <c r="I301" s="11" t="s">
        <v>2491</v>
      </c>
      <c r="J301" s="11" t="s">
        <v>2492</v>
      </c>
      <c r="K301" s="11" t="s">
        <v>779</v>
      </c>
      <c r="L301" s="11" t="s">
        <v>464</v>
      </c>
      <c r="M301" s="11" t="s">
        <v>2493</v>
      </c>
      <c r="N301" s="11" t="s">
        <v>128</v>
      </c>
      <c r="O301" s="11" t="s">
        <v>2494</v>
      </c>
      <c r="P301" s="11" t="s">
        <v>2495</v>
      </c>
      <c r="Q301" s="11" t="s">
        <v>150</v>
      </c>
      <c r="R301" s="11"/>
      <c r="S301" s="11" t="s">
        <v>71</v>
      </c>
      <c r="T301" s="11" t="s">
        <v>1415</v>
      </c>
      <c r="U301" s="11" t="s">
        <v>150</v>
      </c>
      <c r="V301" s="11" t="s">
        <v>1415</v>
      </c>
      <c r="W301" s="11" t="s">
        <v>1415</v>
      </c>
      <c r="X301" s="11">
        <v>57</v>
      </c>
      <c r="Y301" s="11" t="s">
        <v>135</v>
      </c>
      <c r="Z301" s="11">
        <v>80</v>
      </c>
      <c r="AA301" s="11">
        <v>0</v>
      </c>
      <c r="AB301" s="12">
        <v>0</v>
      </c>
    </row>
    <row r="302" spans="1:28" x14ac:dyDescent="0.2">
      <c r="A302" s="7">
        <v>23894</v>
      </c>
      <c r="B302" s="8" t="s">
        <v>2496</v>
      </c>
      <c r="C302" s="8" t="s">
        <v>2497</v>
      </c>
      <c r="D302" s="8" t="s">
        <v>2498</v>
      </c>
      <c r="E302" s="8" t="s">
        <v>2499</v>
      </c>
      <c r="F302" s="8" t="s">
        <v>353</v>
      </c>
      <c r="G302" s="8" t="s">
        <v>2117</v>
      </c>
      <c r="H302" s="8" t="s">
        <v>142</v>
      </c>
      <c r="I302" s="8" t="s">
        <v>2500</v>
      </c>
      <c r="J302" s="8" t="s">
        <v>2501</v>
      </c>
      <c r="K302" s="8" t="s">
        <v>1673</v>
      </c>
      <c r="L302" s="8" t="s">
        <v>464</v>
      </c>
      <c r="M302" s="8" t="s">
        <v>2502</v>
      </c>
      <c r="N302" s="8" t="s">
        <v>128</v>
      </c>
      <c r="O302" s="8" t="s">
        <v>2503</v>
      </c>
      <c r="P302" s="8" t="s">
        <v>2504</v>
      </c>
      <c r="Q302" s="8" t="s">
        <v>150</v>
      </c>
      <c r="R302" s="8"/>
      <c r="S302" s="8" t="s">
        <v>71</v>
      </c>
      <c r="T302" s="8" t="s">
        <v>168</v>
      </c>
      <c r="U302" s="8" t="s">
        <v>150</v>
      </c>
      <c r="V302" s="8" t="s">
        <v>168</v>
      </c>
      <c r="W302" s="8" t="s">
        <v>168</v>
      </c>
      <c r="X302" s="8">
        <v>57</v>
      </c>
      <c r="Y302" s="8" t="s">
        <v>135</v>
      </c>
      <c r="Z302" s="8">
        <v>80</v>
      </c>
      <c r="AA302" s="8">
        <v>0</v>
      </c>
      <c r="AB302" s="9">
        <v>0</v>
      </c>
    </row>
    <row r="303" spans="1:28" x14ac:dyDescent="0.2">
      <c r="A303" s="10">
        <v>23704</v>
      </c>
      <c r="B303" s="11" t="s">
        <v>2505</v>
      </c>
      <c r="C303" s="11" t="s">
        <v>2506</v>
      </c>
      <c r="D303" s="11" t="s">
        <v>2507</v>
      </c>
      <c r="E303" s="11" t="s">
        <v>2508</v>
      </c>
      <c r="F303" s="11" t="s">
        <v>2509</v>
      </c>
      <c r="G303" s="11" t="s">
        <v>2510</v>
      </c>
      <c r="H303" s="11" t="s">
        <v>2511</v>
      </c>
      <c r="I303" s="11" t="s">
        <v>2512</v>
      </c>
      <c r="J303" s="11" t="s">
        <v>2513</v>
      </c>
      <c r="K303" s="11" t="s">
        <v>1562</v>
      </c>
      <c r="L303" s="11" t="s">
        <v>229</v>
      </c>
      <c r="M303" s="11" t="s">
        <v>2514</v>
      </c>
      <c r="N303" s="11" t="s">
        <v>128</v>
      </c>
      <c r="O303" s="11" t="s">
        <v>2515</v>
      </c>
      <c r="P303" s="11" t="s">
        <v>2516</v>
      </c>
      <c r="Q303" s="11" t="s">
        <v>150</v>
      </c>
      <c r="R303" s="11"/>
      <c r="S303" s="11" t="s">
        <v>2517</v>
      </c>
      <c r="T303" s="11" t="s">
        <v>168</v>
      </c>
      <c r="U303" s="11" t="s">
        <v>150</v>
      </c>
      <c r="V303" s="11" t="s">
        <v>168</v>
      </c>
      <c r="W303" s="11" t="s">
        <v>168</v>
      </c>
      <c r="X303" s="11">
        <v>57</v>
      </c>
      <c r="Y303" s="11" t="s">
        <v>135</v>
      </c>
      <c r="Z303" s="11">
        <v>80</v>
      </c>
      <c r="AA303" s="11">
        <v>0</v>
      </c>
      <c r="AB303" s="12">
        <v>0</v>
      </c>
    </row>
    <row r="304" spans="1:28" x14ac:dyDescent="0.2">
      <c r="A304" s="7">
        <v>107213</v>
      </c>
      <c r="B304" s="8" t="s">
        <v>2518</v>
      </c>
      <c r="C304" s="8" t="s">
        <v>2519</v>
      </c>
      <c r="D304" s="8" t="s">
        <v>2520</v>
      </c>
      <c r="E304" s="8" t="s">
        <v>2521</v>
      </c>
      <c r="F304" s="8" t="s">
        <v>2522</v>
      </c>
      <c r="G304" s="8" t="s">
        <v>364</v>
      </c>
      <c r="H304" s="8" t="s">
        <v>365</v>
      </c>
      <c r="I304" s="8" t="s">
        <v>2523</v>
      </c>
      <c r="J304" s="8" t="s">
        <v>2524</v>
      </c>
      <c r="K304" s="8" t="s">
        <v>162</v>
      </c>
      <c r="L304" s="8" t="s">
        <v>163</v>
      </c>
      <c r="M304" s="8" t="s">
        <v>2525</v>
      </c>
      <c r="N304" s="8" t="s">
        <v>128</v>
      </c>
      <c r="O304" s="8" t="s">
        <v>2526</v>
      </c>
      <c r="P304" s="8" t="s">
        <v>2527</v>
      </c>
      <c r="Q304" s="8" t="s">
        <v>150</v>
      </c>
      <c r="R304" s="8"/>
      <c r="S304" s="8" t="s">
        <v>2528</v>
      </c>
      <c r="T304" s="8" t="s">
        <v>168</v>
      </c>
      <c r="U304" s="8" t="s">
        <v>150</v>
      </c>
      <c r="V304" s="8" t="s">
        <v>168</v>
      </c>
      <c r="W304" s="8" t="s">
        <v>168</v>
      </c>
      <c r="X304" s="8">
        <v>57</v>
      </c>
      <c r="Y304" s="8" t="s">
        <v>135</v>
      </c>
      <c r="Z304" s="8">
        <v>80</v>
      </c>
      <c r="AA304" s="8">
        <v>0</v>
      </c>
      <c r="AB304" s="9">
        <v>0</v>
      </c>
    </row>
    <row r="305" spans="1:28" x14ac:dyDescent="0.2">
      <c r="A305" s="10">
        <v>23607</v>
      </c>
      <c r="B305" s="11" t="s">
        <v>2529</v>
      </c>
      <c r="C305" s="11" t="s">
        <v>552</v>
      </c>
      <c r="D305" s="11" t="s">
        <v>553</v>
      </c>
      <c r="E305" s="11" t="s">
        <v>2530</v>
      </c>
      <c r="F305" s="11" t="s">
        <v>791</v>
      </c>
      <c r="G305" s="11" t="s">
        <v>556</v>
      </c>
      <c r="H305" s="11" t="s">
        <v>557</v>
      </c>
      <c r="I305" s="11" t="s">
        <v>939</v>
      </c>
      <c r="J305" s="11" t="s">
        <v>940</v>
      </c>
      <c r="K305" s="11" t="s">
        <v>560</v>
      </c>
      <c r="L305" s="11" t="s">
        <v>229</v>
      </c>
      <c r="M305" s="11" t="s">
        <v>2531</v>
      </c>
      <c r="N305" s="11" t="s">
        <v>128</v>
      </c>
      <c r="O305" s="11" t="s">
        <v>2532</v>
      </c>
      <c r="P305" s="11" t="s">
        <v>1025</v>
      </c>
      <c r="Q305" s="11" t="s">
        <v>150</v>
      </c>
      <c r="R305" s="11"/>
      <c r="S305" s="11" t="s">
        <v>564</v>
      </c>
      <c r="T305" s="11" t="s">
        <v>168</v>
      </c>
      <c r="U305" s="11" t="s">
        <v>150</v>
      </c>
      <c r="V305" s="11" t="s">
        <v>168</v>
      </c>
      <c r="W305" s="11" t="s">
        <v>168</v>
      </c>
      <c r="X305" s="11">
        <v>57</v>
      </c>
      <c r="Y305" s="11" t="s">
        <v>135</v>
      </c>
      <c r="Z305" s="11">
        <v>80</v>
      </c>
      <c r="AA305" s="11">
        <v>1</v>
      </c>
      <c r="AB305" s="12">
        <v>1</v>
      </c>
    </row>
    <row r="306" spans="1:28" x14ac:dyDescent="0.2">
      <c r="A306" s="7">
        <v>23807</v>
      </c>
      <c r="B306" s="8" t="s">
        <v>2533</v>
      </c>
      <c r="C306" s="8" t="s">
        <v>773</v>
      </c>
      <c r="D306" s="8" t="s">
        <v>2534</v>
      </c>
      <c r="E306" s="8"/>
      <c r="F306" s="8" t="s">
        <v>353</v>
      </c>
      <c r="G306" s="8" t="s">
        <v>2535</v>
      </c>
      <c r="H306" s="8" t="s">
        <v>847</v>
      </c>
      <c r="I306" s="8" t="s">
        <v>2536</v>
      </c>
      <c r="J306" s="8" t="s">
        <v>2537</v>
      </c>
      <c r="K306" s="8" t="s">
        <v>1091</v>
      </c>
      <c r="L306" s="8" t="s">
        <v>126</v>
      </c>
      <c r="M306" s="8" t="s">
        <v>2538</v>
      </c>
      <c r="N306" s="8" t="s">
        <v>128</v>
      </c>
      <c r="O306" s="8" t="s">
        <v>2539</v>
      </c>
      <c r="P306" s="8" t="s">
        <v>1635</v>
      </c>
      <c r="Q306" s="8" t="s">
        <v>150</v>
      </c>
      <c r="R306" s="8"/>
      <c r="S306" s="8" t="s">
        <v>71</v>
      </c>
      <c r="T306" s="8" t="s">
        <v>168</v>
      </c>
      <c r="U306" s="8" t="s">
        <v>150</v>
      </c>
      <c r="V306" s="8" t="s">
        <v>168</v>
      </c>
      <c r="W306" s="8" t="s">
        <v>168</v>
      </c>
      <c r="X306" s="8">
        <v>57</v>
      </c>
      <c r="Y306" s="8" t="s">
        <v>135</v>
      </c>
      <c r="Z306" s="8">
        <v>80</v>
      </c>
      <c r="AA306" s="8">
        <v>0</v>
      </c>
      <c r="AB306" s="9">
        <v>0</v>
      </c>
    </row>
    <row r="307" spans="1:28" x14ac:dyDescent="0.2">
      <c r="A307" s="10">
        <v>23948</v>
      </c>
      <c r="B307" s="11" t="s">
        <v>2540</v>
      </c>
      <c r="C307" s="11" t="s">
        <v>2541</v>
      </c>
      <c r="D307" s="11" t="s">
        <v>2542</v>
      </c>
      <c r="E307" s="11"/>
      <c r="F307" s="11" t="s">
        <v>353</v>
      </c>
      <c r="G307" s="11" t="s">
        <v>556</v>
      </c>
      <c r="H307" s="11" t="s">
        <v>557</v>
      </c>
      <c r="I307" s="11" t="s">
        <v>2543</v>
      </c>
      <c r="J307" s="11" t="s">
        <v>2544</v>
      </c>
      <c r="K307" s="11" t="s">
        <v>560</v>
      </c>
      <c r="L307" s="11" t="s">
        <v>229</v>
      </c>
      <c r="M307" s="11" t="s">
        <v>2545</v>
      </c>
      <c r="N307" s="11" t="s">
        <v>128</v>
      </c>
      <c r="O307" s="11" t="s">
        <v>2546</v>
      </c>
      <c r="P307" s="11" t="s">
        <v>2547</v>
      </c>
      <c r="Q307" s="11" t="s">
        <v>150</v>
      </c>
      <c r="R307" s="11"/>
      <c r="S307" s="11" t="s">
        <v>71</v>
      </c>
      <c r="T307" s="11" t="s">
        <v>168</v>
      </c>
      <c r="U307" s="11" t="s">
        <v>150</v>
      </c>
      <c r="V307" s="11" t="s">
        <v>168</v>
      </c>
      <c r="W307" s="11" t="s">
        <v>168</v>
      </c>
      <c r="X307" s="11">
        <v>57</v>
      </c>
      <c r="Y307" s="11" t="s">
        <v>135</v>
      </c>
      <c r="Z307" s="11">
        <v>80</v>
      </c>
      <c r="AA307" s="11">
        <v>0</v>
      </c>
      <c r="AB307" s="12">
        <v>0</v>
      </c>
    </row>
    <row r="308" spans="1:28" x14ac:dyDescent="0.2">
      <c r="A308" s="7">
        <v>23683</v>
      </c>
      <c r="B308" s="8" t="s">
        <v>2548</v>
      </c>
      <c r="C308" s="8" t="s">
        <v>2060</v>
      </c>
      <c r="D308" s="8" t="s">
        <v>2549</v>
      </c>
      <c r="E308" s="8"/>
      <c r="F308" s="8" t="s">
        <v>2550</v>
      </c>
      <c r="G308" s="8" t="s">
        <v>141</v>
      </c>
      <c r="H308" s="8" t="s">
        <v>142</v>
      </c>
      <c r="I308" s="8" t="s">
        <v>2064</v>
      </c>
      <c r="J308" s="8" t="s">
        <v>2551</v>
      </c>
      <c r="K308" s="8" t="s">
        <v>145</v>
      </c>
      <c r="L308" s="8" t="s">
        <v>146</v>
      </c>
      <c r="M308" s="8" t="s">
        <v>2552</v>
      </c>
      <c r="N308" s="8" t="s">
        <v>128</v>
      </c>
      <c r="O308" s="8" t="s">
        <v>2553</v>
      </c>
      <c r="P308" s="8" t="s">
        <v>2554</v>
      </c>
      <c r="Q308" s="8" t="s">
        <v>150</v>
      </c>
      <c r="R308" s="8"/>
      <c r="S308" s="8" t="s">
        <v>71</v>
      </c>
      <c r="T308" s="8" t="s">
        <v>168</v>
      </c>
      <c r="U308" s="8" t="s">
        <v>150</v>
      </c>
      <c r="V308" s="8" t="s">
        <v>168</v>
      </c>
      <c r="W308" s="8" t="s">
        <v>168</v>
      </c>
      <c r="X308" s="8">
        <v>57</v>
      </c>
      <c r="Y308" s="8" t="s">
        <v>135</v>
      </c>
      <c r="Z308" s="8">
        <v>80</v>
      </c>
      <c r="AA308" s="8">
        <v>0</v>
      </c>
      <c r="AB308" s="9">
        <v>0</v>
      </c>
    </row>
    <row r="309" spans="1:28" x14ac:dyDescent="0.2">
      <c r="A309" s="10">
        <v>86726</v>
      </c>
      <c r="B309" s="11" t="s">
        <v>2555</v>
      </c>
      <c r="C309" s="11" t="s">
        <v>2556</v>
      </c>
      <c r="D309" s="11" t="s">
        <v>2557</v>
      </c>
      <c r="E309" s="11"/>
      <c r="F309" s="11" t="s">
        <v>2558</v>
      </c>
      <c r="G309" s="11" t="s">
        <v>1952</v>
      </c>
      <c r="H309" s="11" t="s">
        <v>1953</v>
      </c>
      <c r="I309" s="11" t="s">
        <v>2559</v>
      </c>
      <c r="J309" s="11" t="s">
        <v>2560</v>
      </c>
      <c r="K309" s="11" t="s">
        <v>1956</v>
      </c>
      <c r="L309" s="11" t="s">
        <v>526</v>
      </c>
      <c r="M309" s="11" t="s">
        <v>2561</v>
      </c>
      <c r="N309" s="11" t="s">
        <v>128</v>
      </c>
      <c r="O309" s="11" t="s">
        <v>2562</v>
      </c>
      <c r="P309" s="11" t="s">
        <v>2563</v>
      </c>
      <c r="Q309" s="11" t="s">
        <v>150</v>
      </c>
      <c r="R309" s="11"/>
      <c r="S309" s="11" t="s">
        <v>2564</v>
      </c>
      <c r="T309" s="11" t="s">
        <v>168</v>
      </c>
      <c r="U309" s="11" t="s">
        <v>150</v>
      </c>
      <c r="V309" s="11" t="s">
        <v>168</v>
      </c>
      <c r="W309" s="11" t="s">
        <v>168</v>
      </c>
      <c r="X309" s="11">
        <v>57</v>
      </c>
      <c r="Y309" s="11" t="s">
        <v>135</v>
      </c>
      <c r="Z309" s="11">
        <v>80</v>
      </c>
      <c r="AA309" s="11">
        <v>1</v>
      </c>
      <c r="AB309" s="12">
        <v>1</v>
      </c>
    </row>
    <row r="310" spans="1:28" x14ac:dyDescent="0.2">
      <c r="A310" s="7">
        <v>92250</v>
      </c>
      <c r="B310" s="8" t="s">
        <v>2565</v>
      </c>
      <c r="C310" s="8" t="s">
        <v>2566</v>
      </c>
      <c r="D310" s="8" t="s">
        <v>2567</v>
      </c>
      <c r="E310" s="8"/>
      <c r="F310" s="8" t="s">
        <v>2568</v>
      </c>
      <c r="G310" s="8" t="s">
        <v>2569</v>
      </c>
      <c r="H310" s="8" t="s">
        <v>329</v>
      </c>
      <c r="I310" s="8" t="s">
        <v>2570</v>
      </c>
      <c r="J310" s="8" t="s">
        <v>2571</v>
      </c>
      <c r="K310" s="8" t="s">
        <v>431</v>
      </c>
      <c r="L310" s="8" t="s">
        <v>333</v>
      </c>
      <c r="M310" s="8" t="s">
        <v>2572</v>
      </c>
      <c r="N310" s="8" t="s">
        <v>128</v>
      </c>
      <c r="O310" s="8" t="s">
        <v>2573</v>
      </c>
      <c r="P310" s="8" t="s">
        <v>2574</v>
      </c>
      <c r="Q310" s="8" t="s">
        <v>150</v>
      </c>
      <c r="R310" s="8"/>
      <c r="S310" s="8" t="s">
        <v>2575</v>
      </c>
      <c r="T310" s="8" t="s">
        <v>168</v>
      </c>
      <c r="U310" s="8" t="s">
        <v>150</v>
      </c>
      <c r="V310" s="8" t="s">
        <v>168</v>
      </c>
      <c r="W310" s="8" t="s">
        <v>168</v>
      </c>
      <c r="X310" s="8">
        <v>57</v>
      </c>
      <c r="Y310" s="8" t="s">
        <v>135</v>
      </c>
      <c r="Z310" s="8">
        <v>80</v>
      </c>
      <c r="AA310" s="8">
        <v>0</v>
      </c>
      <c r="AB310" s="9">
        <v>0</v>
      </c>
    </row>
    <row r="311" spans="1:28" x14ac:dyDescent="0.2">
      <c r="A311" s="10">
        <v>24600</v>
      </c>
      <c r="B311" s="11" t="s">
        <v>2576</v>
      </c>
      <c r="C311" s="11" t="s">
        <v>552</v>
      </c>
      <c r="D311" s="11" t="s">
        <v>789</v>
      </c>
      <c r="E311" s="11" t="s">
        <v>2577</v>
      </c>
      <c r="F311" s="11" t="s">
        <v>1479</v>
      </c>
      <c r="G311" s="11" t="s">
        <v>556</v>
      </c>
      <c r="H311" s="11" t="s">
        <v>557</v>
      </c>
      <c r="I311" s="11" t="s">
        <v>2578</v>
      </c>
      <c r="J311" s="11" t="s">
        <v>2579</v>
      </c>
      <c r="K311" s="11" t="s">
        <v>560</v>
      </c>
      <c r="L311" s="11" t="s">
        <v>229</v>
      </c>
      <c r="M311" s="11" t="s">
        <v>2580</v>
      </c>
      <c r="N311" s="11" t="s">
        <v>128</v>
      </c>
      <c r="O311" s="11" t="s">
        <v>2581</v>
      </c>
      <c r="P311" s="11" t="s">
        <v>2582</v>
      </c>
      <c r="Q311" s="11" t="s">
        <v>150</v>
      </c>
      <c r="R311" s="11"/>
      <c r="S311" s="11" t="s">
        <v>796</v>
      </c>
      <c r="T311" s="11" t="s">
        <v>69</v>
      </c>
      <c r="U311" s="11" t="s">
        <v>150</v>
      </c>
      <c r="V311" s="11" t="s">
        <v>152</v>
      </c>
      <c r="W311" s="11" t="s">
        <v>69</v>
      </c>
      <c r="X311" s="11">
        <v>57</v>
      </c>
      <c r="Y311" s="11" t="s">
        <v>135</v>
      </c>
      <c r="Z311" s="11">
        <v>80</v>
      </c>
      <c r="AA311" s="11">
        <v>0</v>
      </c>
      <c r="AB311" s="12">
        <v>0</v>
      </c>
    </row>
    <row r="312" spans="1:28" x14ac:dyDescent="0.2">
      <c r="A312" s="7">
        <v>24192</v>
      </c>
      <c r="B312" s="8" t="s">
        <v>2583</v>
      </c>
      <c r="C312" s="8" t="s">
        <v>170</v>
      </c>
      <c r="D312" s="8" t="s">
        <v>171</v>
      </c>
      <c r="E312" s="8" t="s">
        <v>1284</v>
      </c>
      <c r="F312" s="8" t="s">
        <v>173</v>
      </c>
      <c r="G312" s="8" t="s">
        <v>158</v>
      </c>
      <c r="H312" s="8" t="s">
        <v>159</v>
      </c>
      <c r="I312" s="8" t="s">
        <v>174</v>
      </c>
      <c r="J312" s="8" t="s">
        <v>175</v>
      </c>
      <c r="K312" s="8" t="s">
        <v>162</v>
      </c>
      <c r="L312" s="8" t="s">
        <v>163</v>
      </c>
      <c r="M312" s="8" t="s">
        <v>2584</v>
      </c>
      <c r="N312" s="8" t="s">
        <v>128</v>
      </c>
      <c r="O312" s="8" t="s">
        <v>2585</v>
      </c>
      <c r="P312" s="8" t="s">
        <v>2586</v>
      </c>
      <c r="Q312" s="8" t="s">
        <v>740</v>
      </c>
      <c r="R312" s="8"/>
      <c r="S312" s="8" t="s">
        <v>179</v>
      </c>
      <c r="T312" s="8" t="s">
        <v>1745</v>
      </c>
      <c r="U312" s="8" t="s">
        <v>134</v>
      </c>
      <c r="V312" s="8" t="s">
        <v>740</v>
      </c>
      <c r="W312" s="8" t="s">
        <v>1745</v>
      </c>
      <c r="X312" s="8">
        <v>57</v>
      </c>
      <c r="Y312" s="8" t="s">
        <v>135</v>
      </c>
      <c r="Z312" s="8">
        <v>20</v>
      </c>
      <c r="AA312" s="8">
        <v>1</v>
      </c>
      <c r="AB312" s="9">
        <v>0</v>
      </c>
    </row>
    <row r="313" spans="1:28" x14ac:dyDescent="0.2">
      <c r="A313" s="10">
        <v>25191</v>
      </c>
      <c r="B313" s="11" t="s">
        <v>2587</v>
      </c>
      <c r="C313" s="11" t="s">
        <v>517</v>
      </c>
      <c r="D313" s="11" t="s">
        <v>518</v>
      </c>
      <c r="E313" s="11" t="s">
        <v>1530</v>
      </c>
      <c r="F313" s="11" t="s">
        <v>520</v>
      </c>
      <c r="G313" s="11" t="s">
        <v>521</v>
      </c>
      <c r="H313" s="11" t="s">
        <v>522</v>
      </c>
      <c r="I313" s="11" t="s">
        <v>523</v>
      </c>
      <c r="J313" s="11" t="s">
        <v>524</v>
      </c>
      <c r="K313" s="11" t="s">
        <v>525</v>
      </c>
      <c r="L313" s="11" t="s">
        <v>526</v>
      </c>
      <c r="M313" s="11" t="s">
        <v>2588</v>
      </c>
      <c r="N313" s="11" t="s">
        <v>128</v>
      </c>
      <c r="O313" s="11" t="s">
        <v>2589</v>
      </c>
      <c r="P313" s="11" t="s">
        <v>2590</v>
      </c>
      <c r="Q313" s="11" t="s">
        <v>740</v>
      </c>
      <c r="R313" s="11"/>
      <c r="S313" s="11" t="s">
        <v>530</v>
      </c>
      <c r="T313" s="11" t="s">
        <v>741</v>
      </c>
      <c r="U313" s="11" t="s">
        <v>134</v>
      </c>
      <c r="V313" s="11" t="s">
        <v>740</v>
      </c>
      <c r="W313" s="11" t="s">
        <v>741</v>
      </c>
      <c r="X313" s="11">
        <v>57</v>
      </c>
      <c r="Y313" s="11" t="s">
        <v>135</v>
      </c>
      <c r="Z313" s="11">
        <v>20</v>
      </c>
      <c r="AA313" s="11">
        <v>1</v>
      </c>
      <c r="AB313" s="12">
        <v>0</v>
      </c>
    </row>
    <row r="314" spans="1:28" x14ac:dyDescent="0.2">
      <c r="A314" s="7">
        <v>25615</v>
      </c>
      <c r="B314" s="8" t="s">
        <v>2591</v>
      </c>
      <c r="C314" s="8" t="s">
        <v>733</v>
      </c>
      <c r="D314" s="8" t="s">
        <v>734</v>
      </c>
      <c r="E314" s="8" t="s">
        <v>2592</v>
      </c>
      <c r="F314" s="8" t="s">
        <v>282</v>
      </c>
      <c r="G314" s="8" t="s">
        <v>224</v>
      </c>
      <c r="H314" s="8" t="s">
        <v>225</v>
      </c>
      <c r="I314" s="8" t="s">
        <v>283</v>
      </c>
      <c r="J314" s="8" t="s">
        <v>736</v>
      </c>
      <c r="K314" s="8" t="s">
        <v>228</v>
      </c>
      <c r="L314" s="8" t="s">
        <v>229</v>
      </c>
      <c r="M314" s="8" t="s">
        <v>2593</v>
      </c>
      <c r="N314" s="8" t="s">
        <v>128</v>
      </c>
      <c r="O314" s="8" t="s">
        <v>2594</v>
      </c>
      <c r="P314" s="8"/>
      <c r="Q314" s="8" t="s">
        <v>249</v>
      </c>
      <c r="R314" s="8"/>
      <c r="S314" s="8" t="s">
        <v>288</v>
      </c>
      <c r="T314" s="8" t="s">
        <v>1523</v>
      </c>
      <c r="U314" s="8" t="s">
        <v>134</v>
      </c>
      <c r="V314" s="8" t="s">
        <v>249</v>
      </c>
      <c r="W314" s="8" t="s">
        <v>1523</v>
      </c>
      <c r="X314" s="8">
        <v>57</v>
      </c>
      <c r="Y314" s="8" t="s">
        <v>135</v>
      </c>
      <c r="Z314" s="8">
        <v>80</v>
      </c>
      <c r="AA314" s="8">
        <v>1</v>
      </c>
      <c r="AB314" s="9">
        <v>1</v>
      </c>
    </row>
    <row r="315" spans="1:28" x14ac:dyDescent="0.2">
      <c r="A315" s="10">
        <v>25395</v>
      </c>
      <c r="B315" s="11" t="s">
        <v>2595</v>
      </c>
      <c r="C315" s="11" t="s">
        <v>552</v>
      </c>
      <c r="D315" s="11" t="s">
        <v>553</v>
      </c>
      <c r="E315" s="11" t="s">
        <v>2596</v>
      </c>
      <c r="F315" s="11" t="s">
        <v>791</v>
      </c>
      <c r="G315" s="11" t="s">
        <v>556</v>
      </c>
      <c r="H315" s="11" t="s">
        <v>557</v>
      </c>
      <c r="I315" s="11" t="s">
        <v>2597</v>
      </c>
      <c r="J315" s="11" t="s">
        <v>940</v>
      </c>
      <c r="K315" s="11" t="s">
        <v>560</v>
      </c>
      <c r="L315" s="11" t="s">
        <v>229</v>
      </c>
      <c r="M315" s="11" t="s">
        <v>2598</v>
      </c>
      <c r="N315" s="11" t="s">
        <v>128</v>
      </c>
      <c r="O315" s="11" t="s">
        <v>2599</v>
      </c>
      <c r="P315" s="11" t="s">
        <v>2600</v>
      </c>
      <c r="Q315" s="11" t="s">
        <v>249</v>
      </c>
      <c r="R315" s="11"/>
      <c r="S315" s="11" t="s">
        <v>564</v>
      </c>
      <c r="T315" s="11" t="s">
        <v>250</v>
      </c>
      <c r="U315" s="11" t="s">
        <v>134</v>
      </c>
      <c r="V315" s="11" t="s">
        <v>249</v>
      </c>
      <c r="W315" s="11" t="s">
        <v>250</v>
      </c>
      <c r="X315" s="11">
        <v>57</v>
      </c>
      <c r="Y315" s="11" t="s">
        <v>135</v>
      </c>
      <c r="Z315" s="11">
        <v>80</v>
      </c>
      <c r="AA315" s="11">
        <v>1</v>
      </c>
      <c r="AB315" s="12">
        <v>1</v>
      </c>
    </row>
    <row r="316" spans="1:28" x14ac:dyDescent="0.2">
      <c r="A316" s="7">
        <v>25462</v>
      </c>
      <c r="B316" s="8" t="s">
        <v>2601</v>
      </c>
      <c r="C316" s="8" t="s">
        <v>657</v>
      </c>
      <c r="D316" s="8" t="s">
        <v>658</v>
      </c>
      <c r="E316" s="8" t="s">
        <v>2602</v>
      </c>
      <c r="F316" s="8" t="s">
        <v>660</v>
      </c>
      <c r="G316" s="8" t="s">
        <v>556</v>
      </c>
      <c r="H316" s="8" t="s">
        <v>557</v>
      </c>
      <c r="I316" s="8" t="s">
        <v>2603</v>
      </c>
      <c r="J316" s="8" t="s">
        <v>662</v>
      </c>
      <c r="K316" s="8" t="s">
        <v>560</v>
      </c>
      <c r="L316" s="8" t="s">
        <v>229</v>
      </c>
      <c r="M316" s="8" t="s">
        <v>2604</v>
      </c>
      <c r="N316" s="8" t="s">
        <v>128</v>
      </c>
      <c r="O316" s="8" t="s">
        <v>2605</v>
      </c>
      <c r="P316" s="8" t="s">
        <v>2606</v>
      </c>
      <c r="Q316" s="8" t="s">
        <v>249</v>
      </c>
      <c r="R316" s="8"/>
      <c r="S316" s="8" t="s">
        <v>666</v>
      </c>
      <c r="T316" s="8" t="s">
        <v>250</v>
      </c>
      <c r="U316" s="8" t="s">
        <v>134</v>
      </c>
      <c r="V316" s="8" t="s">
        <v>249</v>
      </c>
      <c r="W316" s="8" t="s">
        <v>250</v>
      </c>
      <c r="X316" s="8">
        <v>57</v>
      </c>
      <c r="Y316" s="8" t="s">
        <v>135</v>
      </c>
      <c r="Z316" s="8">
        <v>80</v>
      </c>
      <c r="AA316" s="8">
        <v>1</v>
      </c>
      <c r="AB316" s="9">
        <v>1</v>
      </c>
    </row>
    <row r="317" spans="1:28" x14ac:dyDescent="0.2">
      <c r="A317" s="10">
        <v>20764</v>
      </c>
      <c r="B317" s="11" t="s">
        <v>2607</v>
      </c>
      <c r="C317" s="11" t="s">
        <v>2608</v>
      </c>
      <c r="D317" s="11" t="s">
        <v>1442</v>
      </c>
      <c r="E317" s="11"/>
      <c r="F317" s="11" t="s">
        <v>353</v>
      </c>
      <c r="G317" s="11" t="s">
        <v>521</v>
      </c>
      <c r="H317" s="11" t="s">
        <v>522</v>
      </c>
      <c r="I317" s="11" t="s">
        <v>2609</v>
      </c>
      <c r="J317" s="11" t="s">
        <v>2610</v>
      </c>
      <c r="K317" s="11" t="s">
        <v>525</v>
      </c>
      <c r="L317" s="11" t="s">
        <v>526</v>
      </c>
      <c r="M317" s="11" t="s">
        <v>2611</v>
      </c>
      <c r="N317" s="11" t="s">
        <v>128</v>
      </c>
      <c r="O317" s="11" t="s">
        <v>2612</v>
      </c>
      <c r="P317" s="11" t="s">
        <v>2613</v>
      </c>
      <c r="Q317" s="11" t="s">
        <v>150</v>
      </c>
      <c r="R317" s="11"/>
      <c r="S317" s="11" t="s">
        <v>71</v>
      </c>
      <c r="T317" s="11" t="s">
        <v>531</v>
      </c>
      <c r="U317" s="11" t="s">
        <v>150</v>
      </c>
      <c r="V317" s="11" t="s">
        <v>531</v>
      </c>
      <c r="W317" s="11" t="s">
        <v>531</v>
      </c>
      <c r="X317" s="11">
        <v>56</v>
      </c>
      <c r="Y317" s="11" t="s">
        <v>135</v>
      </c>
      <c r="Z317" s="11">
        <v>80</v>
      </c>
      <c r="AA317" s="11">
        <v>0</v>
      </c>
      <c r="AB317" s="12">
        <v>0</v>
      </c>
    </row>
    <row r="318" spans="1:28" x14ac:dyDescent="0.2">
      <c r="A318" s="7">
        <v>21695</v>
      </c>
      <c r="B318" s="8" t="s">
        <v>2614</v>
      </c>
      <c r="C318" s="8" t="s">
        <v>2615</v>
      </c>
      <c r="D318" s="8" t="s">
        <v>2616</v>
      </c>
      <c r="E318" s="8" t="s">
        <v>2617</v>
      </c>
      <c r="F318" s="8" t="s">
        <v>353</v>
      </c>
      <c r="G318" s="8" t="s">
        <v>2618</v>
      </c>
      <c r="H318" s="8" t="s">
        <v>142</v>
      </c>
      <c r="I318" s="8" t="s">
        <v>2619</v>
      </c>
      <c r="J318" s="8" t="s">
        <v>2620</v>
      </c>
      <c r="K318" s="8" t="s">
        <v>651</v>
      </c>
      <c r="L318" s="8" t="s">
        <v>146</v>
      </c>
      <c r="M318" s="8" t="s">
        <v>2621</v>
      </c>
      <c r="N318" s="8" t="s">
        <v>128</v>
      </c>
      <c r="O318" s="8" t="s">
        <v>2622</v>
      </c>
      <c r="P318" s="8" t="s">
        <v>2623</v>
      </c>
      <c r="Q318" s="8" t="s">
        <v>150</v>
      </c>
      <c r="R318" s="8"/>
      <c r="S318" s="8" t="s">
        <v>71</v>
      </c>
      <c r="T318" s="8" t="s">
        <v>67</v>
      </c>
      <c r="U318" s="8" t="s">
        <v>150</v>
      </c>
      <c r="V318" s="8" t="s">
        <v>152</v>
      </c>
      <c r="W318" s="8" t="s">
        <v>67</v>
      </c>
      <c r="X318" s="8">
        <v>56</v>
      </c>
      <c r="Y318" s="8" t="s">
        <v>135</v>
      </c>
      <c r="Z318" s="8">
        <v>80</v>
      </c>
      <c r="AA318" s="8">
        <v>0</v>
      </c>
      <c r="AB318" s="9">
        <v>0</v>
      </c>
    </row>
    <row r="319" spans="1:28" x14ac:dyDescent="0.2">
      <c r="A319" s="10">
        <v>21590</v>
      </c>
      <c r="B319" s="11" t="s">
        <v>2624</v>
      </c>
      <c r="C319" s="11" t="s">
        <v>2330</v>
      </c>
      <c r="D319" s="11" t="s">
        <v>2625</v>
      </c>
      <c r="E319" s="11" t="s">
        <v>2626</v>
      </c>
      <c r="F319" s="11" t="s">
        <v>353</v>
      </c>
      <c r="G319" s="11" t="s">
        <v>2332</v>
      </c>
      <c r="H319" s="11" t="s">
        <v>142</v>
      </c>
      <c r="I319" s="11" t="s">
        <v>2333</v>
      </c>
      <c r="J319" s="11" t="s">
        <v>2627</v>
      </c>
      <c r="K319" s="11" t="s">
        <v>779</v>
      </c>
      <c r="L319" s="11" t="s">
        <v>464</v>
      </c>
      <c r="M319" s="11" t="s">
        <v>2628</v>
      </c>
      <c r="N319" s="11" t="s">
        <v>128</v>
      </c>
      <c r="O319" s="11" t="s">
        <v>2629</v>
      </c>
      <c r="P319" s="11" t="s">
        <v>1611</v>
      </c>
      <c r="Q319" s="11" t="s">
        <v>150</v>
      </c>
      <c r="R319" s="11"/>
      <c r="S319" s="11" t="s">
        <v>71</v>
      </c>
      <c r="T319" s="11" t="s">
        <v>67</v>
      </c>
      <c r="U319" s="11" t="s">
        <v>150</v>
      </c>
      <c r="V319" s="11" t="s">
        <v>152</v>
      </c>
      <c r="W319" s="11" t="s">
        <v>67</v>
      </c>
      <c r="X319" s="11">
        <v>56</v>
      </c>
      <c r="Y319" s="11" t="s">
        <v>135</v>
      </c>
      <c r="Z319" s="11">
        <v>80</v>
      </c>
      <c r="AA319" s="11">
        <v>0</v>
      </c>
      <c r="AB319" s="12">
        <v>0</v>
      </c>
    </row>
    <row r="320" spans="1:28" x14ac:dyDescent="0.2">
      <c r="A320" s="7">
        <v>21404</v>
      </c>
      <c r="B320" s="8" t="s">
        <v>2630</v>
      </c>
      <c r="C320" s="8" t="s">
        <v>2631</v>
      </c>
      <c r="D320" s="8" t="s">
        <v>138</v>
      </c>
      <c r="E320" s="8" t="s">
        <v>2632</v>
      </c>
      <c r="F320" s="8" t="s">
        <v>1648</v>
      </c>
      <c r="G320" s="8" t="s">
        <v>328</v>
      </c>
      <c r="H320" s="8" t="s">
        <v>329</v>
      </c>
      <c r="I320" s="8" t="s">
        <v>2633</v>
      </c>
      <c r="J320" s="8" t="s">
        <v>2634</v>
      </c>
      <c r="K320" s="8" t="s">
        <v>572</v>
      </c>
      <c r="L320" s="8" t="s">
        <v>333</v>
      </c>
      <c r="M320" s="8" t="s">
        <v>2635</v>
      </c>
      <c r="N320" s="8" t="s">
        <v>128</v>
      </c>
      <c r="O320" s="8" t="s">
        <v>2636</v>
      </c>
      <c r="P320" s="8" t="s">
        <v>2637</v>
      </c>
      <c r="Q320" s="8" t="s">
        <v>150</v>
      </c>
      <c r="R320" s="8"/>
      <c r="S320" s="8" t="s">
        <v>71</v>
      </c>
      <c r="T320" s="8" t="s">
        <v>67</v>
      </c>
      <c r="U320" s="8" t="s">
        <v>150</v>
      </c>
      <c r="V320" s="8" t="s">
        <v>152</v>
      </c>
      <c r="W320" s="8" t="s">
        <v>67</v>
      </c>
      <c r="X320" s="8">
        <v>56</v>
      </c>
      <c r="Y320" s="8" t="s">
        <v>135</v>
      </c>
      <c r="Z320" s="8">
        <v>80</v>
      </c>
      <c r="AA320" s="8">
        <v>0</v>
      </c>
      <c r="AB320" s="9">
        <v>0</v>
      </c>
    </row>
    <row r="321" spans="1:28" x14ac:dyDescent="0.2">
      <c r="A321" s="10">
        <v>21560</v>
      </c>
      <c r="B321" s="11" t="s">
        <v>2638</v>
      </c>
      <c r="C321" s="11" t="s">
        <v>2639</v>
      </c>
      <c r="D321" s="11" t="s">
        <v>351</v>
      </c>
      <c r="E321" s="11" t="s">
        <v>2640</v>
      </c>
      <c r="F321" s="11" t="s">
        <v>2641</v>
      </c>
      <c r="G321" s="11" t="s">
        <v>2642</v>
      </c>
      <c r="H321" s="11" t="s">
        <v>329</v>
      </c>
      <c r="I321" s="11" t="s">
        <v>2643</v>
      </c>
      <c r="J321" s="11" t="s">
        <v>2644</v>
      </c>
      <c r="K321" s="11" t="s">
        <v>572</v>
      </c>
      <c r="L321" s="11" t="s">
        <v>333</v>
      </c>
      <c r="M321" s="11" t="s">
        <v>2645</v>
      </c>
      <c r="N321" s="11" t="s">
        <v>128</v>
      </c>
      <c r="O321" s="11" t="s">
        <v>2646</v>
      </c>
      <c r="P321" s="11" t="s">
        <v>2647</v>
      </c>
      <c r="Q321" s="11" t="s">
        <v>150</v>
      </c>
      <c r="R321" s="11"/>
      <c r="S321" s="11" t="s">
        <v>71</v>
      </c>
      <c r="T321" s="11" t="s">
        <v>67</v>
      </c>
      <c r="U321" s="11" t="s">
        <v>150</v>
      </c>
      <c r="V321" s="11" t="s">
        <v>152</v>
      </c>
      <c r="W321" s="11" t="s">
        <v>67</v>
      </c>
      <c r="X321" s="11">
        <v>56</v>
      </c>
      <c r="Y321" s="11" t="s">
        <v>135</v>
      </c>
      <c r="Z321" s="11">
        <v>80</v>
      </c>
      <c r="AA321" s="11">
        <v>0</v>
      </c>
      <c r="AB321" s="12">
        <v>0</v>
      </c>
    </row>
    <row r="322" spans="1:28" x14ac:dyDescent="0.2">
      <c r="A322" s="7">
        <v>21356</v>
      </c>
      <c r="B322" s="8" t="s">
        <v>2648</v>
      </c>
      <c r="C322" s="8" t="s">
        <v>2649</v>
      </c>
      <c r="D322" s="8" t="s">
        <v>861</v>
      </c>
      <c r="E322" s="8" t="s">
        <v>2650</v>
      </c>
      <c r="F322" s="8" t="s">
        <v>2651</v>
      </c>
      <c r="G322" s="8" t="s">
        <v>2652</v>
      </c>
      <c r="H322" s="8" t="s">
        <v>1843</v>
      </c>
      <c r="I322" s="8" t="s">
        <v>2653</v>
      </c>
      <c r="J322" s="8" t="s">
        <v>2654</v>
      </c>
      <c r="K322" s="8" t="s">
        <v>1562</v>
      </c>
      <c r="L322" s="8" t="s">
        <v>229</v>
      </c>
      <c r="M322" s="8" t="s">
        <v>2655</v>
      </c>
      <c r="N322" s="8" t="s">
        <v>128</v>
      </c>
      <c r="O322" s="8" t="s">
        <v>2656</v>
      </c>
      <c r="P322" s="8" t="s">
        <v>2574</v>
      </c>
      <c r="Q322" s="8" t="s">
        <v>150</v>
      </c>
      <c r="R322" s="8"/>
      <c r="S322" s="8" t="s">
        <v>2657</v>
      </c>
      <c r="T322" s="8" t="s">
        <v>67</v>
      </c>
      <c r="U322" s="8" t="s">
        <v>150</v>
      </c>
      <c r="V322" s="8" t="s">
        <v>152</v>
      </c>
      <c r="W322" s="8" t="s">
        <v>67</v>
      </c>
      <c r="X322" s="8">
        <v>56</v>
      </c>
      <c r="Y322" s="8" t="s">
        <v>135</v>
      </c>
      <c r="Z322" s="8">
        <v>80</v>
      </c>
      <c r="AA322" s="8">
        <v>0</v>
      </c>
      <c r="AB322" s="9">
        <v>0</v>
      </c>
    </row>
    <row r="323" spans="1:28" x14ac:dyDescent="0.2">
      <c r="A323" s="10">
        <v>21432</v>
      </c>
      <c r="B323" s="11" t="s">
        <v>2658</v>
      </c>
      <c r="C323" s="11" t="s">
        <v>2506</v>
      </c>
      <c r="D323" s="11" t="s">
        <v>2507</v>
      </c>
      <c r="E323" s="11" t="s">
        <v>2659</v>
      </c>
      <c r="F323" s="11" t="s">
        <v>2509</v>
      </c>
      <c r="G323" s="11" t="s">
        <v>2510</v>
      </c>
      <c r="H323" s="11" t="s">
        <v>2511</v>
      </c>
      <c r="I323" s="11" t="s">
        <v>2512</v>
      </c>
      <c r="J323" s="11" t="s">
        <v>2513</v>
      </c>
      <c r="K323" s="11" t="s">
        <v>1562</v>
      </c>
      <c r="L323" s="11" t="s">
        <v>229</v>
      </c>
      <c r="M323" s="11" t="s">
        <v>2660</v>
      </c>
      <c r="N323" s="11" t="s">
        <v>128</v>
      </c>
      <c r="O323" s="11" t="s">
        <v>2661</v>
      </c>
      <c r="P323" s="11" t="s">
        <v>2662</v>
      </c>
      <c r="Q323" s="11" t="s">
        <v>150</v>
      </c>
      <c r="R323" s="11"/>
      <c r="S323" s="11" t="s">
        <v>2517</v>
      </c>
      <c r="T323" s="11" t="s">
        <v>67</v>
      </c>
      <c r="U323" s="11" t="s">
        <v>150</v>
      </c>
      <c r="V323" s="11" t="s">
        <v>152</v>
      </c>
      <c r="W323" s="11" t="s">
        <v>67</v>
      </c>
      <c r="X323" s="11">
        <v>56</v>
      </c>
      <c r="Y323" s="11" t="s">
        <v>135</v>
      </c>
      <c r="Z323" s="11">
        <v>80</v>
      </c>
      <c r="AA323" s="11">
        <v>0</v>
      </c>
      <c r="AB323" s="12">
        <v>0</v>
      </c>
    </row>
    <row r="324" spans="1:28" x14ac:dyDescent="0.2">
      <c r="A324" s="7">
        <v>21542</v>
      </c>
      <c r="B324" s="8" t="s">
        <v>2663</v>
      </c>
      <c r="C324" s="8" t="s">
        <v>2664</v>
      </c>
      <c r="D324" s="8" t="s">
        <v>2665</v>
      </c>
      <c r="E324" s="8" t="s">
        <v>2666</v>
      </c>
      <c r="F324" s="8" t="s">
        <v>2667</v>
      </c>
      <c r="G324" s="8" t="s">
        <v>190</v>
      </c>
      <c r="H324" s="8" t="s">
        <v>191</v>
      </c>
      <c r="I324" s="8" t="s">
        <v>2668</v>
      </c>
      <c r="J324" s="8" t="s">
        <v>2669</v>
      </c>
      <c r="K324" s="8" t="s">
        <v>194</v>
      </c>
      <c r="L324" s="8" t="s">
        <v>163</v>
      </c>
      <c r="M324" s="8" t="s">
        <v>2670</v>
      </c>
      <c r="N324" s="8" t="s">
        <v>128</v>
      </c>
      <c r="O324" s="8" t="s">
        <v>2671</v>
      </c>
      <c r="P324" s="8" t="s">
        <v>1062</v>
      </c>
      <c r="Q324" s="8" t="s">
        <v>150</v>
      </c>
      <c r="R324" s="8"/>
      <c r="S324" s="8" t="s">
        <v>2672</v>
      </c>
      <c r="T324" s="8" t="s">
        <v>67</v>
      </c>
      <c r="U324" s="8" t="s">
        <v>150</v>
      </c>
      <c r="V324" s="8" t="s">
        <v>152</v>
      </c>
      <c r="W324" s="8" t="s">
        <v>67</v>
      </c>
      <c r="X324" s="8">
        <v>56</v>
      </c>
      <c r="Y324" s="8" t="s">
        <v>135</v>
      </c>
      <c r="Z324" s="8">
        <v>80</v>
      </c>
      <c r="AA324" s="8">
        <v>0</v>
      </c>
      <c r="AB324" s="9">
        <v>0</v>
      </c>
    </row>
    <row r="325" spans="1:28" x14ac:dyDescent="0.2">
      <c r="A325" s="10">
        <v>21723</v>
      </c>
      <c r="B325" s="11" t="s">
        <v>2673</v>
      </c>
      <c r="C325" s="11" t="s">
        <v>2674</v>
      </c>
      <c r="D325" s="11" t="s">
        <v>2675</v>
      </c>
      <c r="E325" s="11"/>
      <c r="F325" s="11" t="s">
        <v>353</v>
      </c>
      <c r="G325" s="11" t="s">
        <v>2676</v>
      </c>
      <c r="H325" s="11" t="s">
        <v>142</v>
      </c>
      <c r="I325" s="11" t="s">
        <v>2677</v>
      </c>
      <c r="J325" s="11" t="s">
        <v>2678</v>
      </c>
      <c r="K325" s="11" t="s">
        <v>779</v>
      </c>
      <c r="L325" s="11" t="s">
        <v>464</v>
      </c>
      <c r="M325" s="11" t="s">
        <v>2679</v>
      </c>
      <c r="N325" s="11" t="s">
        <v>128</v>
      </c>
      <c r="O325" s="11" t="s">
        <v>2680</v>
      </c>
      <c r="P325" s="11" t="s">
        <v>2681</v>
      </c>
      <c r="Q325" s="11" t="s">
        <v>150</v>
      </c>
      <c r="R325" s="11"/>
      <c r="S325" s="11" t="s">
        <v>71</v>
      </c>
      <c r="T325" s="11" t="s">
        <v>67</v>
      </c>
      <c r="U325" s="11" t="s">
        <v>150</v>
      </c>
      <c r="V325" s="11" t="s">
        <v>152</v>
      </c>
      <c r="W325" s="11" t="s">
        <v>67</v>
      </c>
      <c r="X325" s="11">
        <v>56</v>
      </c>
      <c r="Y325" s="11" t="s">
        <v>135</v>
      </c>
      <c r="Z325" s="11">
        <v>80</v>
      </c>
      <c r="AA325" s="11">
        <v>0</v>
      </c>
      <c r="AB325" s="12">
        <v>0</v>
      </c>
    </row>
    <row r="326" spans="1:28" x14ac:dyDescent="0.2">
      <c r="A326" s="7">
        <v>21823</v>
      </c>
      <c r="B326" s="8" t="s">
        <v>2682</v>
      </c>
      <c r="C326" s="8" t="s">
        <v>360</v>
      </c>
      <c r="D326" s="8" t="s">
        <v>361</v>
      </c>
      <c r="E326" s="8" t="s">
        <v>2683</v>
      </c>
      <c r="F326" s="8" t="s">
        <v>363</v>
      </c>
      <c r="G326" s="8" t="s">
        <v>364</v>
      </c>
      <c r="H326" s="8" t="s">
        <v>365</v>
      </c>
      <c r="I326" s="8" t="s">
        <v>366</v>
      </c>
      <c r="J326" s="8" t="s">
        <v>2684</v>
      </c>
      <c r="K326" s="8" t="s">
        <v>162</v>
      </c>
      <c r="L326" s="8" t="s">
        <v>163</v>
      </c>
      <c r="M326" s="8" t="s">
        <v>2685</v>
      </c>
      <c r="N326" s="8" t="s">
        <v>128</v>
      </c>
      <c r="O326" s="8" t="s">
        <v>2686</v>
      </c>
      <c r="P326" s="8" t="s">
        <v>2687</v>
      </c>
      <c r="Q326" s="8" t="s">
        <v>131</v>
      </c>
      <c r="R326" s="8"/>
      <c r="S326" s="8" t="s">
        <v>371</v>
      </c>
      <c r="T326" s="8" t="s">
        <v>133</v>
      </c>
      <c r="U326" s="8" t="s">
        <v>134</v>
      </c>
      <c r="V326" s="8" t="s">
        <v>131</v>
      </c>
      <c r="W326" s="8" t="s">
        <v>133</v>
      </c>
      <c r="X326" s="8">
        <v>56</v>
      </c>
      <c r="Y326" s="8" t="s">
        <v>135</v>
      </c>
      <c r="Z326" s="8">
        <v>20</v>
      </c>
      <c r="AA326" s="8">
        <v>1</v>
      </c>
      <c r="AB326" s="9">
        <v>0</v>
      </c>
    </row>
    <row r="327" spans="1:28" x14ac:dyDescent="0.2">
      <c r="A327" s="10">
        <v>22605</v>
      </c>
      <c r="B327" s="11" t="s">
        <v>2688</v>
      </c>
      <c r="C327" s="11" t="s">
        <v>2689</v>
      </c>
      <c r="D327" s="11" t="s">
        <v>2690</v>
      </c>
      <c r="E327" s="11"/>
      <c r="F327" s="11" t="s">
        <v>353</v>
      </c>
      <c r="G327" s="11" t="s">
        <v>2691</v>
      </c>
      <c r="H327" s="11" t="s">
        <v>704</v>
      </c>
      <c r="I327" s="11" t="s">
        <v>2692</v>
      </c>
      <c r="J327" s="11" t="s">
        <v>2693</v>
      </c>
      <c r="K327" s="11" t="s">
        <v>707</v>
      </c>
      <c r="L327" s="11" t="s">
        <v>126</v>
      </c>
      <c r="M327" s="11" t="s">
        <v>2694</v>
      </c>
      <c r="N327" s="11" t="s">
        <v>128</v>
      </c>
      <c r="O327" s="11" t="s">
        <v>2695</v>
      </c>
      <c r="P327" s="11" t="s">
        <v>2696</v>
      </c>
      <c r="Q327" s="11" t="s">
        <v>150</v>
      </c>
      <c r="R327" s="11"/>
      <c r="S327" s="11" t="s">
        <v>71</v>
      </c>
      <c r="T327" s="11" t="s">
        <v>2697</v>
      </c>
      <c r="U327" s="11" t="s">
        <v>150</v>
      </c>
      <c r="V327" s="11" t="s">
        <v>2697</v>
      </c>
      <c r="W327" s="11" t="s">
        <v>2697</v>
      </c>
      <c r="X327" s="11">
        <v>56</v>
      </c>
      <c r="Y327" s="11" t="s">
        <v>135</v>
      </c>
      <c r="Z327" s="11">
        <v>80</v>
      </c>
      <c r="AA327" s="11">
        <v>0</v>
      </c>
      <c r="AB327" s="12">
        <v>0</v>
      </c>
    </row>
    <row r="328" spans="1:28" x14ac:dyDescent="0.2">
      <c r="A328" s="7">
        <v>22716</v>
      </c>
      <c r="B328" s="8" t="s">
        <v>2698</v>
      </c>
      <c r="C328" s="8" t="s">
        <v>517</v>
      </c>
      <c r="D328" s="8" t="s">
        <v>518</v>
      </c>
      <c r="E328" s="8" t="s">
        <v>2699</v>
      </c>
      <c r="F328" s="8" t="s">
        <v>520</v>
      </c>
      <c r="G328" s="8" t="s">
        <v>521</v>
      </c>
      <c r="H328" s="8" t="s">
        <v>522</v>
      </c>
      <c r="I328" s="8" t="s">
        <v>523</v>
      </c>
      <c r="J328" s="8" t="s">
        <v>524</v>
      </c>
      <c r="K328" s="8" t="s">
        <v>525</v>
      </c>
      <c r="L328" s="8" t="s">
        <v>526</v>
      </c>
      <c r="M328" s="8" t="s">
        <v>2700</v>
      </c>
      <c r="N328" s="8" t="s">
        <v>128</v>
      </c>
      <c r="O328" s="8" t="s">
        <v>2701</v>
      </c>
      <c r="P328" s="8"/>
      <c r="Q328" s="8" t="s">
        <v>150</v>
      </c>
      <c r="R328" s="8"/>
      <c r="S328" s="8" t="s">
        <v>530</v>
      </c>
      <c r="T328" s="8" t="s">
        <v>2702</v>
      </c>
      <c r="U328" s="8" t="s">
        <v>150</v>
      </c>
      <c r="V328" s="8" t="s">
        <v>2702</v>
      </c>
      <c r="W328" s="8" t="s">
        <v>2702</v>
      </c>
      <c r="X328" s="8">
        <v>56</v>
      </c>
      <c r="Y328" s="8" t="s">
        <v>135</v>
      </c>
      <c r="Z328" s="8">
        <v>20</v>
      </c>
      <c r="AA328" s="8">
        <v>1</v>
      </c>
      <c r="AB328" s="9">
        <v>0</v>
      </c>
    </row>
    <row r="329" spans="1:28" x14ac:dyDescent="0.2">
      <c r="A329" s="10">
        <v>23300</v>
      </c>
      <c r="B329" s="11" t="s">
        <v>2703</v>
      </c>
      <c r="C329" s="11" t="s">
        <v>2704</v>
      </c>
      <c r="D329" s="11" t="s">
        <v>2705</v>
      </c>
      <c r="E329" s="11" t="s">
        <v>281</v>
      </c>
      <c r="F329" s="11" t="s">
        <v>1487</v>
      </c>
      <c r="G329" s="11" t="s">
        <v>1488</v>
      </c>
      <c r="H329" s="11" t="s">
        <v>329</v>
      </c>
      <c r="I329" s="11" t="s">
        <v>2706</v>
      </c>
      <c r="J329" s="11" t="s">
        <v>2707</v>
      </c>
      <c r="K329" s="11" t="s">
        <v>415</v>
      </c>
      <c r="L329" s="11" t="s">
        <v>333</v>
      </c>
      <c r="M329" s="11" t="s">
        <v>2708</v>
      </c>
      <c r="N329" s="11" t="s">
        <v>128</v>
      </c>
      <c r="O329" s="11" t="s">
        <v>2709</v>
      </c>
      <c r="P329" s="11" t="s">
        <v>2710</v>
      </c>
      <c r="Q329" s="11" t="s">
        <v>150</v>
      </c>
      <c r="R329" s="11"/>
      <c r="S329" s="11" t="s">
        <v>71</v>
      </c>
      <c r="T329" s="11" t="s">
        <v>70</v>
      </c>
      <c r="U329" s="11" t="s">
        <v>150</v>
      </c>
      <c r="V329" s="11" t="s">
        <v>70</v>
      </c>
      <c r="W329" s="11" t="s">
        <v>70</v>
      </c>
      <c r="X329" s="11">
        <v>56</v>
      </c>
      <c r="Y329" s="11" t="s">
        <v>135</v>
      </c>
      <c r="Z329" s="11">
        <v>80</v>
      </c>
      <c r="AA329" s="11">
        <v>0</v>
      </c>
      <c r="AB329" s="12">
        <v>0</v>
      </c>
    </row>
    <row r="330" spans="1:28" x14ac:dyDescent="0.2">
      <c r="A330" s="7">
        <v>23488</v>
      </c>
      <c r="B330" s="8" t="s">
        <v>2711</v>
      </c>
      <c r="C330" s="8" t="s">
        <v>2051</v>
      </c>
      <c r="D330" s="8" t="s">
        <v>2712</v>
      </c>
      <c r="E330" s="8"/>
      <c r="F330" s="8" t="s">
        <v>353</v>
      </c>
      <c r="G330" s="8" t="s">
        <v>1670</v>
      </c>
      <c r="H330" s="8" t="s">
        <v>142</v>
      </c>
      <c r="I330" s="8" t="s">
        <v>2713</v>
      </c>
      <c r="J330" s="8" t="s">
        <v>2714</v>
      </c>
      <c r="K330" s="8" t="s">
        <v>1673</v>
      </c>
      <c r="L330" s="8" t="s">
        <v>464</v>
      </c>
      <c r="M330" s="8" t="s">
        <v>2715</v>
      </c>
      <c r="N330" s="8" t="s">
        <v>128</v>
      </c>
      <c r="O330" s="8" t="s">
        <v>2716</v>
      </c>
      <c r="P330" s="8" t="s">
        <v>2717</v>
      </c>
      <c r="Q330" s="8" t="s">
        <v>150</v>
      </c>
      <c r="R330" s="8"/>
      <c r="S330" s="8" t="s">
        <v>71</v>
      </c>
      <c r="T330" s="8" t="s">
        <v>1415</v>
      </c>
      <c r="U330" s="8" t="s">
        <v>150</v>
      </c>
      <c r="V330" s="8" t="s">
        <v>1415</v>
      </c>
      <c r="W330" s="8" t="s">
        <v>1415</v>
      </c>
      <c r="X330" s="8">
        <v>56</v>
      </c>
      <c r="Y330" s="8" t="s">
        <v>135</v>
      </c>
      <c r="Z330" s="8">
        <v>80</v>
      </c>
      <c r="AA330" s="8">
        <v>0</v>
      </c>
      <c r="AB330" s="9">
        <v>0</v>
      </c>
    </row>
    <row r="331" spans="1:28" x14ac:dyDescent="0.2">
      <c r="A331" s="10">
        <v>85454</v>
      </c>
      <c r="B331" s="11" t="s">
        <v>2718</v>
      </c>
      <c r="C331" s="11" t="s">
        <v>2719</v>
      </c>
      <c r="D331" s="11" t="s">
        <v>2720</v>
      </c>
      <c r="E331" s="11"/>
      <c r="F331" s="11" t="s">
        <v>342</v>
      </c>
      <c r="G331" s="11" t="s">
        <v>2721</v>
      </c>
      <c r="H331" s="11" t="s">
        <v>329</v>
      </c>
      <c r="I331" s="11" t="s">
        <v>2722</v>
      </c>
      <c r="J331" s="11" t="s">
        <v>2723</v>
      </c>
      <c r="K331" s="11" t="s">
        <v>332</v>
      </c>
      <c r="L331" s="11" t="s">
        <v>333</v>
      </c>
      <c r="M331" s="11" t="s">
        <v>2724</v>
      </c>
      <c r="N331" s="11" t="s">
        <v>128</v>
      </c>
      <c r="O331" s="11" t="s">
        <v>2725</v>
      </c>
      <c r="P331" s="11" t="s">
        <v>2726</v>
      </c>
      <c r="Q331" s="11" t="s">
        <v>150</v>
      </c>
      <c r="R331" s="11"/>
      <c r="S331" s="11" t="s">
        <v>71</v>
      </c>
      <c r="T331" s="11" t="s">
        <v>168</v>
      </c>
      <c r="U331" s="11" t="s">
        <v>150</v>
      </c>
      <c r="V331" s="11" t="s">
        <v>168</v>
      </c>
      <c r="W331" s="11" t="s">
        <v>168</v>
      </c>
      <c r="X331" s="11">
        <v>56</v>
      </c>
      <c r="Y331" s="11" t="s">
        <v>135</v>
      </c>
      <c r="Z331" s="11">
        <v>80</v>
      </c>
      <c r="AA331" s="11">
        <v>0</v>
      </c>
      <c r="AB331" s="12">
        <v>0</v>
      </c>
    </row>
    <row r="332" spans="1:28" x14ac:dyDescent="0.2">
      <c r="A332" s="7">
        <v>24678</v>
      </c>
      <c r="B332" s="8" t="s">
        <v>2727</v>
      </c>
      <c r="C332" s="8" t="s">
        <v>533</v>
      </c>
      <c r="D332" s="8" t="s">
        <v>2728</v>
      </c>
      <c r="E332" s="8" t="s">
        <v>2729</v>
      </c>
      <c r="F332" s="8" t="s">
        <v>353</v>
      </c>
      <c r="G332" s="8" t="s">
        <v>536</v>
      </c>
      <c r="H332" s="8" t="s">
        <v>329</v>
      </c>
      <c r="I332" s="8" t="s">
        <v>926</v>
      </c>
      <c r="J332" s="8" t="s">
        <v>2730</v>
      </c>
      <c r="K332" s="8" t="s">
        <v>431</v>
      </c>
      <c r="L332" s="8" t="s">
        <v>333</v>
      </c>
      <c r="M332" s="8" t="s">
        <v>2731</v>
      </c>
      <c r="N332" s="8" t="s">
        <v>128</v>
      </c>
      <c r="O332" s="8" t="s">
        <v>2732</v>
      </c>
      <c r="P332" s="8" t="s">
        <v>534</v>
      </c>
      <c r="Q332" s="8" t="s">
        <v>150</v>
      </c>
      <c r="R332" s="8"/>
      <c r="S332" s="8" t="s">
        <v>71</v>
      </c>
      <c r="T332" s="8" t="s">
        <v>69</v>
      </c>
      <c r="U332" s="8" t="s">
        <v>150</v>
      </c>
      <c r="V332" s="8" t="s">
        <v>152</v>
      </c>
      <c r="W332" s="8" t="s">
        <v>69</v>
      </c>
      <c r="X332" s="8">
        <v>56</v>
      </c>
      <c r="Y332" s="8" t="s">
        <v>135</v>
      </c>
      <c r="Z332" s="8">
        <v>80</v>
      </c>
      <c r="AA332" s="8">
        <v>0</v>
      </c>
      <c r="AB332" s="9">
        <v>0</v>
      </c>
    </row>
    <row r="333" spans="1:28" x14ac:dyDescent="0.2">
      <c r="A333" s="10">
        <v>25304</v>
      </c>
      <c r="B333" s="11" t="s">
        <v>2733</v>
      </c>
      <c r="C333" s="11" t="s">
        <v>876</v>
      </c>
      <c r="D333" s="11" t="s">
        <v>138</v>
      </c>
      <c r="E333" s="11" t="s">
        <v>2734</v>
      </c>
      <c r="F333" s="11" t="s">
        <v>878</v>
      </c>
      <c r="G333" s="11" t="s">
        <v>224</v>
      </c>
      <c r="H333" s="11" t="s">
        <v>225</v>
      </c>
      <c r="I333" s="11" t="s">
        <v>1005</v>
      </c>
      <c r="J333" s="11" t="s">
        <v>880</v>
      </c>
      <c r="K333" s="11" t="s">
        <v>228</v>
      </c>
      <c r="L333" s="11" t="s">
        <v>229</v>
      </c>
      <c r="M333" s="11" t="s">
        <v>2735</v>
      </c>
      <c r="N333" s="11" t="s">
        <v>128</v>
      </c>
      <c r="O333" s="11" t="s">
        <v>2736</v>
      </c>
      <c r="P333" s="11" t="s">
        <v>2737</v>
      </c>
      <c r="Q333" s="11" t="s">
        <v>740</v>
      </c>
      <c r="R333" s="11"/>
      <c r="S333" s="11" t="s">
        <v>884</v>
      </c>
      <c r="T333" s="11" t="s">
        <v>741</v>
      </c>
      <c r="U333" s="11" t="s">
        <v>134</v>
      </c>
      <c r="V333" s="11" t="s">
        <v>740</v>
      </c>
      <c r="W333" s="11" t="s">
        <v>741</v>
      </c>
      <c r="X333" s="11">
        <v>56</v>
      </c>
      <c r="Y333" s="11" t="s">
        <v>135</v>
      </c>
      <c r="Z333" s="11">
        <v>80</v>
      </c>
      <c r="AA333" s="11">
        <v>1</v>
      </c>
      <c r="AB333" s="12">
        <v>1</v>
      </c>
    </row>
    <row r="334" spans="1:28" x14ac:dyDescent="0.2">
      <c r="A334" s="7">
        <v>116123</v>
      </c>
      <c r="B334" s="8" t="s">
        <v>2738</v>
      </c>
      <c r="C334" s="8" t="s">
        <v>266</v>
      </c>
      <c r="D334" s="8" t="s">
        <v>267</v>
      </c>
      <c r="E334" s="8"/>
      <c r="F334" s="8" t="s">
        <v>269</v>
      </c>
      <c r="G334" s="8" t="s">
        <v>270</v>
      </c>
      <c r="H334" s="8" t="s">
        <v>271</v>
      </c>
      <c r="I334" s="8" t="s">
        <v>272</v>
      </c>
      <c r="J334" s="8" t="s">
        <v>273</v>
      </c>
      <c r="K334" s="8" t="s">
        <v>274</v>
      </c>
      <c r="L334" s="8" t="s">
        <v>163</v>
      </c>
      <c r="M334" s="8" t="s">
        <v>2739</v>
      </c>
      <c r="N334" s="8" t="s">
        <v>128</v>
      </c>
      <c r="O334" s="8" t="s">
        <v>2740</v>
      </c>
      <c r="P334" s="8"/>
      <c r="Q334" s="8" t="s">
        <v>249</v>
      </c>
      <c r="R334" s="8"/>
      <c r="S334" s="8" t="s">
        <v>278</v>
      </c>
      <c r="T334" s="8" t="s">
        <v>1523</v>
      </c>
      <c r="U334" s="8" t="s">
        <v>134</v>
      </c>
      <c r="V334" s="8" t="s">
        <v>249</v>
      </c>
      <c r="W334" s="8" t="s">
        <v>1523</v>
      </c>
      <c r="X334" s="8">
        <v>56</v>
      </c>
      <c r="Y334" s="8" t="s">
        <v>135</v>
      </c>
      <c r="Z334" s="8">
        <v>20</v>
      </c>
      <c r="AA334" s="8">
        <v>1</v>
      </c>
      <c r="AB334" s="9">
        <v>0</v>
      </c>
    </row>
    <row r="335" spans="1:28" x14ac:dyDescent="0.2">
      <c r="A335" s="10">
        <v>25400</v>
      </c>
      <c r="B335" s="11" t="s">
        <v>2741</v>
      </c>
      <c r="C335" s="11" t="s">
        <v>2742</v>
      </c>
      <c r="D335" s="11" t="s">
        <v>2743</v>
      </c>
      <c r="E335" s="11" t="s">
        <v>2744</v>
      </c>
      <c r="F335" s="11" t="s">
        <v>2745</v>
      </c>
      <c r="G335" s="11" t="s">
        <v>141</v>
      </c>
      <c r="H335" s="11" t="s">
        <v>142</v>
      </c>
      <c r="I335" s="11" t="s">
        <v>2746</v>
      </c>
      <c r="J335" s="11" t="s">
        <v>2747</v>
      </c>
      <c r="K335" s="11" t="s">
        <v>991</v>
      </c>
      <c r="L335" s="11" t="s">
        <v>146</v>
      </c>
      <c r="M335" s="11" t="s">
        <v>2748</v>
      </c>
      <c r="N335" s="11" t="s">
        <v>128</v>
      </c>
      <c r="O335" s="11" t="s">
        <v>2749</v>
      </c>
      <c r="P335" s="11" t="s">
        <v>2750</v>
      </c>
      <c r="Q335" s="11" t="s">
        <v>249</v>
      </c>
      <c r="R335" s="11"/>
      <c r="S335" s="11" t="s">
        <v>2751</v>
      </c>
      <c r="T335" s="11" t="s">
        <v>250</v>
      </c>
      <c r="U335" s="11" t="s">
        <v>134</v>
      </c>
      <c r="V335" s="11" t="s">
        <v>249</v>
      </c>
      <c r="W335" s="11" t="s">
        <v>250</v>
      </c>
      <c r="X335" s="11">
        <v>56</v>
      </c>
      <c r="Y335" s="11" t="s">
        <v>135</v>
      </c>
      <c r="Z335" s="11">
        <v>20</v>
      </c>
      <c r="AA335" s="11">
        <v>1</v>
      </c>
      <c r="AB335" s="12">
        <v>0</v>
      </c>
    </row>
    <row r="336" spans="1:28" x14ac:dyDescent="0.2">
      <c r="A336" s="7">
        <v>21645</v>
      </c>
      <c r="B336" s="8" t="s">
        <v>2752</v>
      </c>
      <c r="C336" s="8" t="s">
        <v>350</v>
      </c>
      <c r="D336" s="8" t="s">
        <v>2753</v>
      </c>
      <c r="E336" s="8" t="s">
        <v>2754</v>
      </c>
      <c r="F336" s="8" t="s">
        <v>353</v>
      </c>
      <c r="G336" s="8" t="s">
        <v>121</v>
      </c>
      <c r="H336" s="8" t="s">
        <v>122</v>
      </c>
      <c r="I336" s="8" t="s">
        <v>354</v>
      </c>
      <c r="J336" s="8" t="s">
        <v>2755</v>
      </c>
      <c r="K336" s="8" t="s">
        <v>125</v>
      </c>
      <c r="L336" s="8" t="s">
        <v>126</v>
      </c>
      <c r="M336" s="8" t="s">
        <v>2756</v>
      </c>
      <c r="N336" s="8" t="s">
        <v>128</v>
      </c>
      <c r="O336" s="8" t="s">
        <v>2757</v>
      </c>
      <c r="P336" s="8" t="s">
        <v>2758</v>
      </c>
      <c r="Q336" s="8" t="s">
        <v>150</v>
      </c>
      <c r="R336" s="8"/>
      <c r="S336" s="8" t="s">
        <v>71</v>
      </c>
      <c r="T336" s="8" t="s">
        <v>67</v>
      </c>
      <c r="U336" s="8" t="s">
        <v>150</v>
      </c>
      <c r="V336" s="8" t="s">
        <v>152</v>
      </c>
      <c r="W336" s="8" t="s">
        <v>67</v>
      </c>
      <c r="X336" s="8">
        <v>55</v>
      </c>
      <c r="Y336" s="8" t="s">
        <v>135</v>
      </c>
      <c r="Z336" s="8">
        <v>80</v>
      </c>
      <c r="AA336" s="8">
        <v>0</v>
      </c>
      <c r="AB336" s="9">
        <v>0</v>
      </c>
    </row>
    <row r="337" spans="1:28" x14ac:dyDescent="0.2">
      <c r="A337" s="10">
        <v>21266</v>
      </c>
      <c r="B337" s="11" t="s">
        <v>2759</v>
      </c>
      <c r="C337" s="11" t="s">
        <v>1928</v>
      </c>
      <c r="D337" s="11" t="s">
        <v>2760</v>
      </c>
      <c r="E337" s="11" t="s">
        <v>2761</v>
      </c>
      <c r="F337" s="11" t="s">
        <v>353</v>
      </c>
      <c r="G337" s="11" t="s">
        <v>1727</v>
      </c>
      <c r="H337" s="11" t="s">
        <v>557</v>
      </c>
      <c r="I337" s="11" t="s">
        <v>1930</v>
      </c>
      <c r="J337" s="11" t="s">
        <v>2762</v>
      </c>
      <c r="K337" s="11" t="s">
        <v>1562</v>
      </c>
      <c r="L337" s="11" t="s">
        <v>229</v>
      </c>
      <c r="M337" s="11" t="s">
        <v>2763</v>
      </c>
      <c r="N337" s="11" t="s">
        <v>128</v>
      </c>
      <c r="O337" s="11" t="s">
        <v>2764</v>
      </c>
      <c r="P337" s="11" t="s">
        <v>2765</v>
      </c>
      <c r="Q337" s="11" t="s">
        <v>150</v>
      </c>
      <c r="R337" s="11"/>
      <c r="S337" s="11" t="s">
        <v>71</v>
      </c>
      <c r="T337" s="11" t="s">
        <v>67</v>
      </c>
      <c r="U337" s="11" t="s">
        <v>150</v>
      </c>
      <c r="V337" s="11" t="s">
        <v>152</v>
      </c>
      <c r="W337" s="11" t="s">
        <v>67</v>
      </c>
      <c r="X337" s="11">
        <v>55</v>
      </c>
      <c r="Y337" s="11" t="s">
        <v>135</v>
      </c>
      <c r="Z337" s="11">
        <v>80</v>
      </c>
      <c r="AA337" s="11">
        <v>0</v>
      </c>
      <c r="AB337" s="12">
        <v>0</v>
      </c>
    </row>
    <row r="338" spans="1:28" x14ac:dyDescent="0.2">
      <c r="A338" s="7">
        <v>21589</v>
      </c>
      <c r="B338" s="8" t="s">
        <v>2766</v>
      </c>
      <c r="C338" s="8" t="s">
        <v>2330</v>
      </c>
      <c r="D338" s="8" t="s">
        <v>2767</v>
      </c>
      <c r="E338" s="8" t="s">
        <v>2768</v>
      </c>
      <c r="F338" s="8" t="s">
        <v>353</v>
      </c>
      <c r="G338" s="8" t="s">
        <v>2332</v>
      </c>
      <c r="H338" s="8" t="s">
        <v>142</v>
      </c>
      <c r="I338" s="8" t="s">
        <v>2769</v>
      </c>
      <c r="J338" s="8" t="s">
        <v>2770</v>
      </c>
      <c r="K338" s="8" t="s">
        <v>779</v>
      </c>
      <c r="L338" s="8" t="s">
        <v>464</v>
      </c>
      <c r="M338" s="8" t="s">
        <v>2771</v>
      </c>
      <c r="N338" s="8" t="s">
        <v>128</v>
      </c>
      <c r="O338" s="8" t="s">
        <v>2772</v>
      </c>
      <c r="P338" s="8" t="s">
        <v>2773</v>
      </c>
      <c r="Q338" s="8" t="s">
        <v>150</v>
      </c>
      <c r="R338" s="8"/>
      <c r="S338" s="8" t="s">
        <v>71</v>
      </c>
      <c r="T338" s="8" t="s">
        <v>67</v>
      </c>
      <c r="U338" s="8" t="s">
        <v>150</v>
      </c>
      <c r="V338" s="8" t="s">
        <v>152</v>
      </c>
      <c r="W338" s="8" t="s">
        <v>67</v>
      </c>
      <c r="X338" s="8">
        <v>55</v>
      </c>
      <c r="Y338" s="8" t="s">
        <v>135</v>
      </c>
      <c r="Z338" s="8">
        <v>80</v>
      </c>
      <c r="AA338" s="8">
        <v>0</v>
      </c>
      <c r="AB338" s="9">
        <v>0</v>
      </c>
    </row>
    <row r="339" spans="1:28" x14ac:dyDescent="0.2">
      <c r="A339" s="10">
        <v>21294</v>
      </c>
      <c r="B339" s="11" t="s">
        <v>2774</v>
      </c>
      <c r="C339" s="11" t="s">
        <v>2775</v>
      </c>
      <c r="D339" s="11" t="s">
        <v>2776</v>
      </c>
      <c r="E339" s="11" t="s">
        <v>2777</v>
      </c>
      <c r="F339" s="11" t="s">
        <v>2778</v>
      </c>
      <c r="G339" s="11" t="s">
        <v>141</v>
      </c>
      <c r="H339" s="11" t="s">
        <v>142</v>
      </c>
      <c r="I339" s="11" t="s">
        <v>2779</v>
      </c>
      <c r="J339" s="11" t="s">
        <v>2780</v>
      </c>
      <c r="K339" s="11" t="s">
        <v>403</v>
      </c>
      <c r="L339" s="11" t="s">
        <v>146</v>
      </c>
      <c r="M339" s="11" t="s">
        <v>2781</v>
      </c>
      <c r="N339" s="11" t="s">
        <v>128</v>
      </c>
      <c r="O339" s="11" t="s">
        <v>2782</v>
      </c>
      <c r="P339" s="11" t="s">
        <v>2783</v>
      </c>
      <c r="Q339" s="11" t="s">
        <v>150</v>
      </c>
      <c r="R339" s="11"/>
      <c r="S339" s="11" t="s">
        <v>71</v>
      </c>
      <c r="T339" s="11" t="s">
        <v>67</v>
      </c>
      <c r="U339" s="11" t="s">
        <v>150</v>
      </c>
      <c r="V339" s="11" t="s">
        <v>152</v>
      </c>
      <c r="W339" s="11" t="s">
        <v>67</v>
      </c>
      <c r="X339" s="11">
        <v>55</v>
      </c>
      <c r="Y339" s="11" t="s">
        <v>135</v>
      </c>
      <c r="Z339" s="11">
        <v>80</v>
      </c>
      <c r="AA339" s="11">
        <v>0</v>
      </c>
      <c r="AB339" s="12">
        <v>0</v>
      </c>
    </row>
    <row r="340" spans="1:28" x14ac:dyDescent="0.2">
      <c r="A340" s="7">
        <v>21394</v>
      </c>
      <c r="B340" s="8" t="s">
        <v>2784</v>
      </c>
      <c r="C340" s="8" t="s">
        <v>2785</v>
      </c>
      <c r="D340" s="8" t="s">
        <v>2786</v>
      </c>
      <c r="E340" s="8" t="s">
        <v>2787</v>
      </c>
      <c r="F340" s="8" t="s">
        <v>2788</v>
      </c>
      <c r="G340" s="8" t="s">
        <v>1286</v>
      </c>
      <c r="H340" s="8" t="s">
        <v>142</v>
      </c>
      <c r="I340" s="8" t="s">
        <v>2789</v>
      </c>
      <c r="J340" s="8" t="s">
        <v>2790</v>
      </c>
      <c r="K340" s="8" t="s">
        <v>717</v>
      </c>
      <c r="L340" s="8" t="s">
        <v>464</v>
      </c>
      <c r="M340" s="8" t="s">
        <v>2791</v>
      </c>
      <c r="N340" s="8" t="s">
        <v>128</v>
      </c>
      <c r="O340" s="8" t="s">
        <v>2792</v>
      </c>
      <c r="P340" s="8" t="s">
        <v>2793</v>
      </c>
      <c r="Q340" s="8" t="s">
        <v>150</v>
      </c>
      <c r="R340" s="8"/>
      <c r="S340" s="8" t="s">
        <v>71</v>
      </c>
      <c r="T340" s="8" t="s">
        <v>67</v>
      </c>
      <c r="U340" s="8" t="s">
        <v>150</v>
      </c>
      <c r="V340" s="8" t="s">
        <v>152</v>
      </c>
      <c r="W340" s="8" t="s">
        <v>67</v>
      </c>
      <c r="X340" s="8">
        <v>55</v>
      </c>
      <c r="Y340" s="8" t="s">
        <v>135</v>
      </c>
      <c r="Z340" s="8">
        <v>80</v>
      </c>
      <c r="AA340" s="8">
        <v>0</v>
      </c>
      <c r="AB340" s="9">
        <v>0</v>
      </c>
    </row>
    <row r="341" spans="1:28" x14ac:dyDescent="0.2">
      <c r="A341" s="10">
        <v>24573</v>
      </c>
      <c r="B341" s="11" t="s">
        <v>2794</v>
      </c>
      <c r="C341" s="11" t="s">
        <v>409</v>
      </c>
      <c r="D341" s="11" t="s">
        <v>410</v>
      </c>
      <c r="E341" s="11" t="s">
        <v>2795</v>
      </c>
      <c r="F341" s="11" t="s">
        <v>353</v>
      </c>
      <c r="G341" s="11" t="s">
        <v>412</v>
      </c>
      <c r="H341" s="11" t="s">
        <v>329</v>
      </c>
      <c r="I341" s="11" t="s">
        <v>837</v>
      </c>
      <c r="J341" s="11" t="s">
        <v>414</v>
      </c>
      <c r="K341" s="11" t="s">
        <v>415</v>
      </c>
      <c r="L341" s="11" t="s">
        <v>333</v>
      </c>
      <c r="M341" s="11" t="s">
        <v>2796</v>
      </c>
      <c r="N341" s="11" t="s">
        <v>128</v>
      </c>
      <c r="O341" s="11" t="s">
        <v>2797</v>
      </c>
      <c r="P341" s="11"/>
      <c r="Q341" s="11" t="s">
        <v>131</v>
      </c>
      <c r="R341" s="11"/>
      <c r="S341" s="11" t="s">
        <v>419</v>
      </c>
      <c r="T341" s="11" t="s">
        <v>983</v>
      </c>
      <c r="U341" s="11" t="s">
        <v>134</v>
      </c>
      <c r="V341" s="11" t="s">
        <v>131</v>
      </c>
      <c r="W341" s="11" t="s">
        <v>983</v>
      </c>
      <c r="X341" s="11">
        <v>55</v>
      </c>
      <c r="Y341" s="11" t="s">
        <v>135</v>
      </c>
      <c r="Z341" s="11">
        <v>80</v>
      </c>
      <c r="AA341" s="11">
        <v>1</v>
      </c>
      <c r="AB341" s="12">
        <v>1</v>
      </c>
    </row>
    <row r="342" spans="1:28" x14ac:dyDescent="0.2">
      <c r="A342" s="7">
        <v>21833</v>
      </c>
      <c r="B342" s="8" t="s">
        <v>2798</v>
      </c>
      <c r="C342" s="8" t="s">
        <v>2742</v>
      </c>
      <c r="D342" s="8" t="s">
        <v>2743</v>
      </c>
      <c r="E342" s="8" t="s">
        <v>2799</v>
      </c>
      <c r="F342" s="8" t="s">
        <v>2745</v>
      </c>
      <c r="G342" s="8" t="s">
        <v>141</v>
      </c>
      <c r="H342" s="8" t="s">
        <v>142</v>
      </c>
      <c r="I342" s="8" t="s">
        <v>2746</v>
      </c>
      <c r="J342" s="8" t="s">
        <v>2747</v>
      </c>
      <c r="K342" s="8" t="s">
        <v>991</v>
      </c>
      <c r="L342" s="8" t="s">
        <v>146</v>
      </c>
      <c r="M342" s="8" t="s">
        <v>2800</v>
      </c>
      <c r="N342" s="8" t="s">
        <v>128</v>
      </c>
      <c r="O342" s="8" t="s">
        <v>2801</v>
      </c>
      <c r="P342" s="8" t="s">
        <v>2802</v>
      </c>
      <c r="Q342" s="8" t="s">
        <v>131</v>
      </c>
      <c r="R342" s="8"/>
      <c r="S342" s="8" t="s">
        <v>2751</v>
      </c>
      <c r="T342" s="8" t="s">
        <v>133</v>
      </c>
      <c r="U342" s="8" t="s">
        <v>134</v>
      </c>
      <c r="V342" s="8" t="s">
        <v>131</v>
      </c>
      <c r="W342" s="8" t="s">
        <v>133</v>
      </c>
      <c r="X342" s="8">
        <v>55</v>
      </c>
      <c r="Y342" s="8" t="s">
        <v>135</v>
      </c>
      <c r="Z342" s="8">
        <v>20</v>
      </c>
      <c r="AA342" s="8">
        <v>1</v>
      </c>
      <c r="AB342" s="9">
        <v>0</v>
      </c>
    </row>
    <row r="343" spans="1:28" x14ac:dyDescent="0.2">
      <c r="A343" s="10">
        <v>21892</v>
      </c>
      <c r="B343" s="11" t="s">
        <v>2803</v>
      </c>
      <c r="C343" s="11" t="s">
        <v>2804</v>
      </c>
      <c r="D343" s="11" t="s">
        <v>2805</v>
      </c>
      <c r="E343" s="11" t="s">
        <v>2806</v>
      </c>
      <c r="F343" s="11" t="s">
        <v>2025</v>
      </c>
      <c r="G343" s="11" t="s">
        <v>703</v>
      </c>
      <c r="H343" s="11" t="s">
        <v>704</v>
      </c>
      <c r="I343" s="11" t="s">
        <v>2807</v>
      </c>
      <c r="J343" s="11" t="s">
        <v>2808</v>
      </c>
      <c r="K343" s="11" t="s">
        <v>707</v>
      </c>
      <c r="L343" s="11" t="s">
        <v>126</v>
      </c>
      <c r="M343" s="11" t="s">
        <v>2809</v>
      </c>
      <c r="N343" s="11" t="s">
        <v>128</v>
      </c>
      <c r="O343" s="11" t="s">
        <v>2810</v>
      </c>
      <c r="P343" s="11" t="s">
        <v>2811</v>
      </c>
      <c r="Q343" s="11" t="s">
        <v>131</v>
      </c>
      <c r="R343" s="11"/>
      <c r="S343" s="11" t="s">
        <v>2812</v>
      </c>
      <c r="T343" s="11" t="s">
        <v>133</v>
      </c>
      <c r="U343" s="11" t="s">
        <v>134</v>
      </c>
      <c r="V343" s="11" t="s">
        <v>131</v>
      </c>
      <c r="W343" s="11" t="s">
        <v>133</v>
      </c>
      <c r="X343" s="11">
        <v>55</v>
      </c>
      <c r="Y343" s="11" t="s">
        <v>135</v>
      </c>
      <c r="Z343" s="11">
        <v>80</v>
      </c>
      <c r="AA343" s="11">
        <v>1</v>
      </c>
      <c r="AB343" s="12">
        <v>1</v>
      </c>
    </row>
    <row r="344" spans="1:28" x14ac:dyDescent="0.2">
      <c r="A344" s="7">
        <v>22787</v>
      </c>
      <c r="B344" s="8" t="s">
        <v>2813</v>
      </c>
      <c r="C344" s="8" t="s">
        <v>1223</v>
      </c>
      <c r="D344" s="8" t="s">
        <v>1224</v>
      </c>
      <c r="E344" s="8" t="s">
        <v>2814</v>
      </c>
      <c r="F344" s="8" t="s">
        <v>353</v>
      </c>
      <c r="G344" s="8" t="s">
        <v>703</v>
      </c>
      <c r="H344" s="8" t="s">
        <v>704</v>
      </c>
      <c r="I344" s="8" t="s">
        <v>1226</v>
      </c>
      <c r="J344" s="8" t="s">
        <v>1227</v>
      </c>
      <c r="K344" s="8" t="s">
        <v>707</v>
      </c>
      <c r="L344" s="8" t="s">
        <v>126</v>
      </c>
      <c r="M344" s="8" t="s">
        <v>2815</v>
      </c>
      <c r="N344" s="8" t="s">
        <v>128</v>
      </c>
      <c r="O344" s="8" t="s">
        <v>2816</v>
      </c>
      <c r="P344" s="8"/>
      <c r="Q344" s="8" t="s">
        <v>150</v>
      </c>
      <c r="R344" s="8"/>
      <c r="S344" s="8" t="s">
        <v>1231</v>
      </c>
      <c r="T344" s="8" t="s">
        <v>2817</v>
      </c>
      <c r="U344" s="8" t="s">
        <v>150</v>
      </c>
      <c r="V344" s="8" t="s">
        <v>2817</v>
      </c>
      <c r="W344" s="8" t="s">
        <v>2817</v>
      </c>
      <c r="X344" s="8">
        <v>55</v>
      </c>
      <c r="Y344" s="8" t="s">
        <v>135</v>
      </c>
      <c r="Z344" s="8">
        <v>20</v>
      </c>
      <c r="AA344" s="8">
        <v>1</v>
      </c>
      <c r="AB344" s="9">
        <v>0</v>
      </c>
    </row>
    <row r="345" spans="1:28" x14ac:dyDescent="0.2">
      <c r="A345" s="10">
        <v>22911</v>
      </c>
      <c r="B345" s="11" t="s">
        <v>2818</v>
      </c>
      <c r="C345" s="11" t="s">
        <v>266</v>
      </c>
      <c r="D345" s="11" t="s">
        <v>267</v>
      </c>
      <c r="E345" s="11" t="s">
        <v>2819</v>
      </c>
      <c r="F345" s="11" t="s">
        <v>269</v>
      </c>
      <c r="G345" s="11" t="s">
        <v>270</v>
      </c>
      <c r="H345" s="11" t="s">
        <v>271</v>
      </c>
      <c r="I345" s="11" t="s">
        <v>2820</v>
      </c>
      <c r="J345" s="11" t="s">
        <v>273</v>
      </c>
      <c r="K345" s="11" t="s">
        <v>274</v>
      </c>
      <c r="L345" s="11" t="s">
        <v>163</v>
      </c>
      <c r="M345" s="11" t="s">
        <v>2821</v>
      </c>
      <c r="N345" s="11" t="s">
        <v>128</v>
      </c>
      <c r="O345" s="11" t="s">
        <v>2822</v>
      </c>
      <c r="P345" s="11" t="s">
        <v>2823</v>
      </c>
      <c r="Q345" s="11" t="s">
        <v>150</v>
      </c>
      <c r="R345" s="11"/>
      <c r="S345" s="11" t="s">
        <v>278</v>
      </c>
      <c r="T345" s="11" t="s">
        <v>70</v>
      </c>
      <c r="U345" s="11" t="s">
        <v>150</v>
      </c>
      <c r="V345" s="11" t="s">
        <v>70</v>
      </c>
      <c r="W345" s="11" t="s">
        <v>70</v>
      </c>
      <c r="X345" s="11">
        <v>55</v>
      </c>
      <c r="Y345" s="11" t="s">
        <v>135</v>
      </c>
      <c r="Z345" s="11">
        <v>20</v>
      </c>
      <c r="AA345" s="11">
        <v>1</v>
      </c>
      <c r="AB345" s="12">
        <v>0</v>
      </c>
    </row>
    <row r="346" spans="1:28" x14ac:dyDescent="0.2">
      <c r="A346" s="7">
        <v>23398</v>
      </c>
      <c r="B346" s="8" t="s">
        <v>2824</v>
      </c>
      <c r="C346" s="8" t="s">
        <v>2825</v>
      </c>
      <c r="D346" s="8" t="s">
        <v>2753</v>
      </c>
      <c r="E346" s="8"/>
      <c r="F346" s="8" t="s">
        <v>353</v>
      </c>
      <c r="G346" s="8" t="s">
        <v>971</v>
      </c>
      <c r="H346" s="8" t="s">
        <v>142</v>
      </c>
      <c r="I346" s="8" t="s">
        <v>2826</v>
      </c>
      <c r="J346" s="8" t="s">
        <v>2827</v>
      </c>
      <c r="K346" s="8" t="s">
        <v>974</v>
      </c>
      <c r="L346" s="8" t="s">
        <v>146</v>
      </c>
      <c r="M346" s="8" t="s">
        <v>2828</v>
      </c>
      <c r="N346" s="8" t="s">
        <v>128</v>
      </c>
      <c r="O346" s="8" t="s">
        <v>2829</v>
      </c>
      <c r="P346" s="8" t="s">
        <v>2830</v>
      </c>
      <c r="Q346" s="8" t="s">
        <v>150</v>
      </c>
      <c r="R346" s="8"/>
      <c r="S346" s="8" t="s">
        <v>71</v>
      </c>
      <c r="T346" s="8" t="s">
        <v>1415</v>
      </c>
      <c r="U346" s="8" t="s">
        <v>150</v>
      </c>
      <c r="V346" s="8" t="s">
        <v>1415</v>
      </c>
      <c r="W346" s="8" t="s">
        <v>1415</v>
      </c>
      <c r="X346" s="8">
        <v>55</v>
      </c>
      <c r="Y346" s="8" t="s">
        <v>135</v>
      </c>
      <c r="Z346" s="8">
        <v>80</v>
      </c>
      <c r="AA346" s="8">
        <v>0</v>
      </c>
      <c r="AB346" s="9">
        <v>0</v>
      </c>
    </row>
    <row r="347" spans="1:28" x14ac:dyDescent="0.2">
      <c r="A347" s="10">
        <v>23468</v>
      </c>
      <c r="B347" s="11" t="s">
        <v>2831</v>
      </c>
      <c r="C347" s="11" t="s">
        <v>2497</v>
      </c>
      <c r="D347" s="11" t="s">
        <v>2832</v>
      </c>
      <c r="E347" s="11"/>
      <c r="F347" s="11" t="s">
        <v>353</v>
      </c>
      <c r="G347" s="11" t="s">
        <v>2117</v>
      </c>
      <c r="H347" s="11" t="s">
        <v>142</v>
      </c>
      <c r="I347" s="11" t="s">
        <v>2500</v>
      </c>
      <c r="J347" s="11" t="s">
        <v>2833</v>
      </c>
      <c r="K347" s="11" t="s">
        <v>1673</v>
      </c>
      <c r="L347" s="11" t="s">
        <v>464</v>
      </c>
      <c r="M347" s="11" t="s">
        <v>2834</v>
      </c>
      <c r="N347" s="11" t="s">
        <v>128</v>
      </c>
      <c r="O347" s="11" t="s">
        <v>2835</v>
      </c>
      <c r="P347" s="11" t="s">
        <v>2836</v>
      </c>
      <c r="Q347" s="11" t="s">
        <v>150</v>
      </c>
      <c r="R347" s="11"/>
      <c r="S347" s="11" t="s">
        <v>71</v>
      </c>
      <c r="T347" s="11" t="s">
        <v>1415</v>
      </c>
      <c r="U347" s="11" t="s">
        <v>150</v>
      </c>
      <c r="V347" s="11" t="s">
        <v>1415</v>
      </c>
      <c r="W347" s="11" t="s">
        <v>1415</v>
      </c>
      <c r="X347" s="11">
        <v>55</v>
      </c>
      <c r="Y347" s="11" t="s">
        <v>135</v>
      </c>
      <c r="Z347" s="11">
        <v>80</v>
      </c>
      <c r="AA347" s="11">
        <v>0</v>
      </c>
      <c r="AB347" s="12">
        <v>0</v>
      </c>
    </row>
    <row r="348" spans="1:28" x14ac:dyDescent="0.2">
      <c r="A348" s="7">
        <v>23481</v>
      </c>
      <c r="B348" s="8" t="s">
        <v>2837</v>
      </c>
      <c r="C348" s="8" t="s">
        <v>2838</v>
      </c>
      <c r="D348" s="8" t="s">
        <v>2839</v>
      </c>
      <c r="E348" s="8"/>
      <c r="F348" s="8" t="s">
        <v>353</v>
      </c>
      <c r="G348" s="8" t="s">
        <v>2035</v>
      </c>
      <c r="H348" s="8" t="s">
        <v>142</v>
      </c>
      <c r="I348" s="8" t="s">
        <v>2840</v>
      </c>
      <c r="J348" s="8" t="s">
        <v>2841</v>
      </c>
      <c r="K348" s="8" t="s">
        <v>779</v>
      </c>
      <c r="L348" s="8" t="s">
        <v>464</v>
      </c>
      <c r="M348" s="8" t="s">
        <v>2842</v>
      </c>
      <c r="N348" s="8" t="s">
        <v>128</v>
      </c>
      <c r="O348" s="8" t="s">
        <v>2843</v>
      </c>
      <c r="P348" s="8" t="s">
        <v>2844</v>
      </c>
      <c r="Q348" s="8" t="s">
        <v>150</v>
      </c>
      <c r="R348" s="8"/>
      <c r="S348" s="8" t="s">
        <v>71</v>
      </c>
      <c r="T348" s="8" t="s">
        <v>1415</v>
      </c>
      <c r="U348" s="8" t="s">
        <v>150</v>
      </c>
      <c r="V348" s="8" t="s">
        <v>1415</v>
      </c>
      <c r="W348" s="8" t="s">
        <v>1415</v>
      </c>
      <c r="X348" s="8">
        <v>55</v>
      </c>
      <c r="Y348" s="8" t="s">
        <v>135</v>
      </c>
      <c r="Z348" s="8">
        <v>80</v>
      </c>
      <c r="AA348" s="8">
        <v>0</v>
      </c>
      <c r="AB348" s="9">
        <v>0</v>
      </c>
    </row>
    <row r="349" spans="1:28" x14ac:dyDescent="0.2">
      <c r="A349" s="10">
        <v>23751</v>
      </c>
      <c r="B349" s="11" t="s">
        <v>2845</v>
      </c>
      <c r="C349" s="11" t="s">
        <v>2330</v>
      </c>
      <c r="D349" s="11" t="s">
        <v>2846</v>
      </c>
      <c r="E349" s="11" t="s">
        <v>2847</v>
      </c>
      <c r="F349" s="11" t="s">
        <v>353</v>
      </c>
      <c r="G349" s="11" t="s">
        <v>2332</v>
      </c>
      <c r="H349" s="11" t="s">
        <v>142</v>
      </c>
      <c r="I349" s="11" t="s">
        <v>2333</v>
      </c>
      <c r="J349" s="11" t="s">
        <v>2848</v>
      </c>
      <c r="K349" s="11" t="s">
        <v>779</v>
      </c>
      <c r="L349" s="11" t="s">
        <v>464</v>
      </c>
      <c r="M349" s="11" t="s">
        <v>2849</v>
      </c>
      <c r="N349" s="11" t="s">
        <v>128</v>
      </c>
      <c r="O349" s="11" t="s">
        <v>2850</v>
      </c>
      <c r="P349" s="11" t="s">
        <v>1402</v>
      </c>
      <c r="Q349" s="11" t="s">
        <v>150</v>
      </c>
      <c r="R349" s="11"/>
      <c r="S349" s="11" t="s">
        <v>71</v>
      </c>
      <c r="T349" s="11" t="s">
        <v>168</v>
      </c>
      <c r="U349" s="11" t="s">
        <v>150</v>
      </c>
      <c r="V349" s="11" t="s">
        <v>168</v>
      </c>
      <c r="W349" s="11" t="s">
        <v>168</v>
      </c>
      <c r="X349" s="11">
        <v>55</v>
      </c>
      <c r="Y349" s="11" t="s">
        <v>135</v>
      </c>
      <c r="Z349" s="11">
        <v>80</v>
      </c>
      <c r="AA349" s="11">
        <v>0</v>
      </c>
      <c r="AB349" s="12">
        <v>0</v>
      </c>
    </row>
    <row r="350" spans="1:28" x14ac:dyDescent="0.2">
      <c r="A350" s="7">
        <v>23772</v>
      </c>
      <c r="B350" s="8" t="s">
        <v>2851</v>
      </c>
      <c r="C350" s="8" t="s">
        <v>2785</v>
      </c>
      <c r="D350" s="8" t="s">
        <v>1942</v>
      </c>
      <c r="E350" s="8" t="s">
        <v>135</v>
      </c>
      <c r="F350" s="8" t="s">
        <v>2788</v>
      </c>
      <c r="G350" s="8" t="s">
        <v>1286</v>
      </c>
      <c r="H350" s="8" t="s">
        <v>142</v>
      </c>
      <c r="I350" s="8" t="s">
        <v>2789</v>
      </c>
      <c r="J350" s="8" t="s">
        <v>2852</v>
      </c>
      <c r="K350" s="8" t="s">
        <v>717</v>
      </c>
      <c r="L350" s="8" t="s">
        <v>464</v>
      </c>
      <c r="M350" s="8" t="s">
        <v>2853</v>
      </c>
      <c r="N350" s="8" t="s">
        <v>128</v>
      </c>
      <c r="O350" s="8" t="s">
        <v>2854</v>
      </c>
      <c r="P350" s="8" t="s">
        <v>2855</v>
      </c>
      <c r="Q350" s="8" t="s">
        <v>150</v>
      </c>
      <c r="R350" s="8"/>
      <c r="S350" s="8" t="s">
        <v>71</v>
      </c>
      <c r="T350" s="8" t="s">
        <v>168</v>
      </c>
      <c r="U350" s="8" t="s">
        <v>150</v>
      </c>
      <c r="V350" s="8" t="s">
        <v>168</v>
      </c>
      <c r="W350" s="8" t="s">
        <v>168</v>
      </c>
      <c r="X350" s="8">
        <v>55</v>
      </c>
      <c r="Y350" s="8" t="s">
        <v>135</v>
      </c>
      <c r="Z350" s="8">
        <v>80</v>
      </c>
      <c r="AA350" s="8">
        <v>0</v>
      </c>
      <c r="AB350" s="9">
        <v>0</v>
      </c>
    </row>
    <row r="351" spans="1:28" x14ac:dyDescent="0.2">
      <c r="A351" s="10">
        <v>23718</v>
      </c>
      <c r="B351" s="11" t="s">
        <v>2856</v>
      </c>
      <c r="C351" s="11" t="s">
        <v>2431</v>
      </c>
      <c r="D351" s="11" t="s">
        <v>2432</v>
      </c>
      <c r="E351" s="11" t="s">
        <v>1624</v>
      </c>
      <c r="F351" s="11" t="s">
        <v>2434</v>
      </c>
      <c r="G351" s="11" t="s">
        <v>2435</v>
      </c>
      <c r="H351" s="11" t="s">
        <v>142</v>
      </c>
      <c r="I351" s="11" t="s">
        <v>2436</v>
      </c>
      <c r="J351" s="11" t="s">
        <v>2437</v>
      </c>
      <c r="K351" s="11" t="s">
        <v>1029</v>
      </c>
      <c r="L351" s="11" t="s">
        <v>464</v>
      </c>
      <c r="M351" s="11" t="s">
        <v>2857</v>
      </c>
      <c r="N351" s="11" t="s">
        <v>128</v>
      </c>
      <c r="O351" s="11" t="s">
        <v>2858</v>
      </c>
      <c r="P351" s="11" t="s">
        <v>2859</v>
      </c>
      <c r="Q351" s="11" t="s">
        <v>150</v>
      </c>
      <c r="R351" s="11"/>
      <c r="S351" s="11" t="s">
        <v>2441</v>
      </c>
      <c r="T351" s="11" t="s">
        <v>168</v>
      </c>
      <c r="U351" s="11" t="s">
        <v>150</v>
      </c>
      <c r="V351" s="11" t="s">
        <v>168</v>
      </c>
      <c r="W351" s="11" t="s">
        <v>168</v>
      </c>
      <c r="X351" s="11">
        <v>55</v>
      </c>
      <c r="Y351" s="11" t="s">
        <v>135</v>
      </c>
      <c r="Z351" s="11">
        <v>80</v>
      </c>
      <c r="AA351" s="11">
        <v>0</v>
      </c>
      <c r="AB351" s="12">
        <v>0</v>
      </c>
    </row>
    <row r="352" spans="1:28" x14ac:dyDescent="0.2">
      <c r="A352" s="7">
        <v>23892</v>
      </c>
      <c r="B352" s="8" t="s">
        <v>2860</v>
      </c>
      <c r="C352" s="8" t="s">
        <v>2861</v>
      </c>
      <c r="D352" s="8" t="s">
        <v>2862</v>
      </c>
      <c r="E352" s="8"/>
      <c r="F352" s="8" t="s">
        <v>353</v>
      </c>
      <c r="G352" s="8" t="s">
        <v>2863</v>
      </c>
      <c r="H352" s="8" t="s">
        <v>142</v>
      </c>
      <c r="I352" s="8" t="s">
        <v>2864</v>
      </c>
      <c r="J352" s="8" t="s">
        <v>2865</v>
      </c>
      <c r="K352" s="8" t="s">
        <v>974</v>
      </c>
      <c r="L352" s="8" t="s">
        <v>146</v>
      </c>
      <c r="M352" s="8" t="s">
        <v>2866</v>
      </c>
      <c r="N352" s="8" t="s">
        <v>128</v>
      </c>
      <c r="O352" s="8" t="s">
        <v>2867</v>
      </c>
      <c r="P352" s="8" t="s">
        <v>2868</v>
      </c>
      <c r="Q352" s="8" t="s">
        <v>150</v>
      </c>
      <c r="R352" s="8"/>
      <c r="S352" s="8" t="s">
        <v>71</v>
      </c>
      <c r="T352" s="8" t="s">
        <v>168</v>
      </c>
      <c r="U352" s="8" t="s">
        <v>150</v>
      </c>
      <c r="V352" s="8" t="s">
        <v>168</v>
      </c>
      <c r="W352" s="8" t="s">
        <v>168</v>
      </c>
      <c r="X352" s="8">
        <v>55</v>
      </c>
      <c r="Y352" s="8" t="s">
        <v>135</v>
      </c>
      <c r="Z352" s="8">
        <v>80</v>
      </c>
      <c r="AA352" s="8">
        <v>0</v>
      </c>
      <c r="AB352" s="9">
        <v>0</v>
      </c>
    </row>
    <row r="353" spans="1:28" x14ac:dyDescent="0.2">
      <c r="A353" s="10">
        <v>106310</v>
      </c>
      <c r="B353" s="11" t="s">
        <v>2869</v>
      </c>
      <c r="C353" s="11" t="s">
        <v>2870</v>
      </c>
      <c r="D353" s="11" t="s">
        <v>2871</v>
      </c>
      <c r="E353" s="11"/>
      <c r="F353" s="11" t="s">
        <v>2872</v>
      </c>
      <c r="G353" s="11" t="s">
        <v>450</v>
      </c>
      <c r="H353" s="11" t="s">
        <v>301</v>
      </c>
      <c r="I353" s="11" t="s">
        <v>2873</v>
      </c>
      <c r="J353" s="11" t="s">
        <v>2874</v>
      </c>
      <c r="K353" s="11" t="s">
        <v>304</v>
      </c>
      <c r="L353" s="11" t="s">
        <v>229</v>
      </c>
      <c r="M353" s="11" t="s">
        <v>2875</v>
      </c>
      <c r="N353" s="11" t="s">
        <v>128</v>
      </c>
      <c r="O353" s="11" t="s">
        <v>2876</v>
      </c>
      <c r="P353" s="11" t="s">
        <v>2340</v>
      </c>
      <c r="Q353" s="11" t="s">
        <v>150</v>
      </c>
      <c r="R353" s="11"/>
      <c r="S353" s="11" t="s">
        <v>2877</v>
      </c>
      <c r="T353" s="11" t="s">
        <v>168</v>
      </c>
      <c r="U353" s="11" t="s">
        <v>150</v>
      </c>
      <c r="V353" s="11" t="s">
        <v>168</v>
      </c>
      <c r="W353" s="11" t="s">
        <v>168</v>
      </c>
      <c r="X353" s="11">
        <v>55</v>
      </c>
      <c r="Y353" s="11" t="s">
        <v>135</v>
      </c>
      <c r="Z353" s="11">
        <v>80</v>
      </c>
      <c r="AA353" s="11">
        <v>0</v>
      </c>
      <c r="AB353" s="12">
        <v>0</v>
      </c>
    </row>
    <row r="354" spans="1:28" x14ac:dyDescent="0.2">
      <c r="A354" s="7">
        <v>24655</v>
      </c>
      <c r="B354" s="8" t="s">
        <v>2878</v>
      </c>
      <c r="C354" s="8" t="s">
        <v>2879</v>
      </c>
      <c r="D354" s="8" t="s">
        <v>2880</v>
      </c>
      <c r="E354" s="8" t="s">
        <v>1070</v>
      </c>
      <c r="F354" s="8" t="s">
        <v>353</v>
      </c>
      <c r="G354" s="8" t="s">
        <v>428</v>
      </c>
      <c r="H354" s="8" t="s">
        <v>329</v>
      </c>
      <c r="I354" s="8" t="s">
        <v>2881</v>
      </c>
      <c r="J354" s="8" t="s">
        <v>2882</v>
      </c>
      <c r="K354" s="8" t="s">
        <v>431</v>
      </c>
      <c r="L354" s="8" t="s">
        <v>333</v>
      </c>
      <c r="M354" s="8" t="s">
        <v>2883</v>
      </c>
      <c r="N354" s="8" t="s">
        <v>128</v>
      </c>
      <c r="O354" s="8" t="s">
        <v>2884</v>
      </c>
      <c r="P354" s="8" t="s">
        <v>2885</v>
      </c>
      <c r="Q354" s="8" t="s">
        <v>150</v>
      </c>
      <c r="R354" s="8"/>
      <c r="S354" s="8" t="s">
        <v>71</v>
      </c>
      <c r="T354" s="8" t="s">
        <v>69</v>
      </c>
      <c r="U354" s="8" t="s">
        <v>150</v>
      </c>
      <c r="V354" s="8" t="s">
        <v>152</v>
      </c>
      <c r="W354" s="8" t="s">
        <v>69</v>
      </c>
      <c r="X354" s="8">
        <v>55</v>
      </c>
      <c r="Y354" s="8" t="s">
        <v>135</v>
      </c>
      <c r="Z354" s="8">
        <v>80</v>
      </c>
      <c r="AA354" s="8">
        <v>0</v>
      </c>
      <c r="AB354" s="9">
        <v>0</v>
      </c>
    </row>
    <row r="355" spans="1:28" x14ac:dyDescent="0.2">
      <c r="A355" s="10">
        <v>24582</v>
      </c>
      <c r="B355" s="11" t="s">
        <v>2886</v>
      </c>
      <c r="C355" s="11" t="s">
        <v>2566</v>
      </c>
      <c r="D355" s="11" t="s">
        <v>2567</v>
      </c>
      <c r="E355" s="11" t="s">
        <v>2887</v>
      </c>
      <c r="F355" s="11" t="s">
        <v>2568</v>
      </c>
      <c r="G355" s="11" t="s">
        <v>536</v>
      </c>
      <c r="H355" s="11" t="s">
        <v>329</v>
      </c>
      <c r="I355" s="11" t="s">
        <v>2570</v>
      </c>
      <c r="J355" s="11" t="s">
        <v>2888</v>
      </c>
      <c r="K355" s="11" t="s">
        <v>431</v>
      </c>
      <c r="L355" s="11" t="s">
        <v>333</v>
      </c>
      <c r="M355" s="11" t="s">
        <v>2889</v>
      </c>
      <c r="N355" s="11" t="s">
        <v>128</v>
      </c>
      <c r="O355" s="11" t="s">
        <v>2890</v>
      </c>
      <c r="P355" s="11" t="s">
        <v>2726</v>
      </c>
      <c r="Q355" s="11" t="s">
        <v>150</v>
      </c>
      <c r="R355" s="11"/>
      <c r="S355" s="11" t="s">
        <v>2575</v>
      </c>
      <c r="T355" s="11" t="s">
        <v>69</v>
      </c>
      <c r="U355" s="11" t="s">
        <v>150</v>
      </c>
      <c r="V355" s="11" t="s">
        <v>152</v>
      </c>
      <c r="W355" s="11" t="s">
        <v>69</v>
      </c>
      <c r="X355" s="11">
        <v>55</v>
      </c>
      <c r="Y355" s="11" t="s">
        <v>135</v>
      </c>
      <c r="Z355" s="11">
        <v>80</v>
      </c>
      <c r="AA355" s="11">
        <v>0</v>
      </c>
      <c r="AB355" s="12">
        <v>0</v>
      </c>
    </row>
    <row r="356" spans="1:28" x14ac:dyDescent="0.2">
      <c r="A356" s="7">
        <v>25213</v>
      </c>
      <c r="B356" s="8" t="s">
        <v>2891</v>
      </c>
      <c r="C356" s="8" t="s">
        <v>297</v>
      </c>
      <c r="D356" s="8" t="s">
        <v>138</v>
      </c>
      <c r="E356" s="8" t="s">
        <v>2892</v>
      </c>
      <c r="F356" s="8" t="s">
        <v>299</v>
      </c>
      <c r="G356" s="8" t="s">
        <v>300</v>
      </c>
      <c r="H356" s="8" t="s">
        <v>301</v>
      </c>
      <c r="I356" s="8" t="s">
        <v>302</v>
      </c>
      <c r="J356" s="8" t="s">
        <v>303</v>
      </c>
      <c r="K356" s="8" t="s">
        <v>304</v>
      </c>
      <c r="L356" s="8" t="s">
        <v>229</v>
      </c>
      <c r="M356" s="8" t="s">
        <v>2893</v>
      </c>
      <c r="N356" s="8" t="s">
        <v>128</v>
      </c>
      <c r="O356" s="8" t="s">
        <v>2894</v>
      </c>
      <c r="P356" s="8" t="s">
        <v>2895</v>
      </c>
      <c r="Q356" s="8" t="s">
        <v>740</v>
      </c>
      <c r="R356" s="8"/>
      <c r="S356" s="8" t="s">
        <v>308</v>
      </c>
      <c r="T356" s="8" t="s">
        <v>741</v>
      </c>
      <c r="U356" s="8" t="s">
        <v>134</v>
      </c>
      <c r="V356" s="8" t="s">
        <v>740</v>
      </c>
      <c r="W356" s="8" t="s">
        <v>741</v>
      </c>
      <c r="X356" s="8">
        <v>55</v>
      </c>
      <c r="Y356" s="8" t="s">
        <v>135</v>
      </c>
      <c r="Z356" s="8">
        <v>20</v>
      </c>
      <c r="AA356" s="8">
        <v>1</v>
      </c>
      <c r="AB356" s="9">
        <v>0</v>
      </c>
    </row>
    <row r="357" spans="1:28" x14ac:dyDescent="0.2">
      <c r="A357" s="10">
        <v>25209</v>
      </c>
      <c r="B357" s="11" t="s">
        <v>2896</v>
      </c>
      <c r="C357" s="11" t="s">
        <v>627</v>
      </c>
      <c r="D357" s="11" t="s">
        <v>628</v>
      </c>
      <c r="E357" s="11" t="s">
        <v>2897</v>
      </c>
      <c r="F357" s="11" t="s">
        <v>630</v>
      </c>
      <c r="G357" s="11" t="s">
        <v>141</v>
      </c>
      <c r="H357" s="11" t="s">
        <v>142</v>
      </c>
      <c r="I357" s="11" t="s">
        <v>631</v>
      </c>
      <c r="J357" s="11" t="s">
        <v>632</v>
      </c>
      <c r="K357" s="11" t="s">
        <v>216</v>
      </c>
      <c r="L357" s="11" t="s">
        <v>146</v>
      </c>
      <c r="M357" s="11" t="s">
        <v>2898</v>
      </c>
      <c r="N357" s="11" t="s">
        <v>128</v>
      </c>
      <c r="O357" s="11" t="s">
        <v>2899</v>
      </c>
      <c r="P357" s="11" t="s">
        <v>2900</v>
      </c>
      <c r="Q357" s="11" t="s">
        <v>740</v>
      </c>
      <c r="R357" s="11"/>
      <c r="S357" s="11" t="s">
        <v>636</v>
      </c>
      <c r="T357" s="11" t="s">
        <v>741</v>
      </c>
      <c r="U357" s="11" t="s">
        <v>134</v>
      </c>
      <c r="V357" s="11" t="s">
        <v>740</v>
      </c>
      <c r="W357" s="11" t="s">
        <v>741</v>
      </c>
      <c r="X357" s="11">
        <v>55</v>
      </c>
      <c r="Y357" s="11" t="s">
        <v>135</v>
      </c>
      <c r="Z357" s="11">
        <v>20</v>
      </c>
      <c r="AA357" s="11">
        <v>1</v>
      </c>
      <c r="AB357" s="12">
        <v>0</v>
      </c>
    </row>
    <row r="358" spans="1:28" x14ac:dyDescent="0.2">
      <c r="A358" s="7">
        <v>25139</v>
      </c>
      <c r="B358" s="8" t="s">
        <v>2901</v>
      </c>
      <c r="C358" s="8" t="s">
        <v>360</v>
      </c>
      <c r="D358" s="8" t="s">
        <v>361</v>
      </c>
      <c r="E358" s="8"/>
      <c r="F358" s="8" t="s">
        <v>363</v>
      </c>
      <c r="G358" s="8" t="s">
        <v>364</v>
      </c>
      <c r="H358" s="8" t="s">
        <v>365</v>
      </c>
      <c r="I358" s="8" t="s">
        <v>366</v>
      </c>
      <c r="J358" s="8" t="s">
        <v>2902</v>
      </c>
      <c r="K358" s="8" t="s">
        <v>162</v>
      </c>
      <c r="L358" s="8" t="s">
        <v>163</v>
      </c>
      <c r="M358" s="8" t="s">
        <v>2903</v>
      </c>
      <c r="N358" s="8" t="s">
        <v>128</v>
      </c>
      <c r="O358" s="8" t="s">
        <v>2904</v>
      </c>
      <c r="P358" s="8" t="s">
        <v>2905</v>
      </c>
      <c r="Q358" s="8" t="s">
        <v>740</v>
      </c>
      <c r="R358" s="8"/>
      <c r="S358" s="8" t="s">
        <v>371</v>
      </c>
      <c r="T358" s="8" t="s">
        <v>741</v>
      </c>
      <c r="U358" s="8" t="s">
        <v>134</v>
      </c>
      <c r="V358" s="8" t="s">
        <v>740</v>
      </c>
      <c r="W358" s="8" t="s">
        <v>741</v>
      </c>
      <c r="X358" s="8">
        <v>55</v>
      </c>
      <c r="Y358" s="8" t="s">
        <v>135</v>
      </c>
      <c r="Z358" s="8">
        <v>20</v>
      </c>
      <c r="AA358" s="8">
        <v>1</v>
      </c>
      <c r="AB358" s="9">
        <v>0</v>
      </c>
    </row>
    <row r="359" spans="1:28" x14ac:dyDescent="0.2">
      <c r="A359" s="10">
        <v>25638</v>
      </c>
      <c r="B359" s="11" t="s">
        <v>2906</v>
      </c>
      <c r="C359" s="11" t="s">
        <v>627</v>
      </c>
      <c r="D359" s="11" t="s">
        <v>628</v>
      </c>
      <c r="E359" s="11" t="s">
        <v>2907</v>
      </c>
      <c r="F359" s="11" t="s">
        <v>630</v>
      </c>
      <c r="G359" s="11" t="s">
        <v>141</v>
      </c>
      <c r="H359" s="11" t="s">
        <v>142</v>
      </c>
      <c r="I359" s="11" t="s">
        <v>631</v>
      </c>
      <c r="J359" s="11" t="s">
        <v>632</v>
      </c>
      <c r="K359" s="11" t="s">
        <v>216</v>
      </c>
      <c r="L359" s="11" t="s">
        <v>146</v>
      </c>
      <c r="M359" s="11" t="s">
        <v>2908</v>
      </c>
      <c r="N359" s="11" t="s">
        <v>128</v>
      </c>
      <c r="O359" s="11" t="s">
        <v>2909</v>
      </c>
      <c r="P359" s="11"/>
      <c r="Q359" s="11" t="s">
        <v>249</v>
      </c>
      <c r="R359" s="11"/>
      <c r="S359" s="11" t="s">
        <v>636</v>
      </c>
      <c r="T359" s="11" t="s">
        <v>1523</v>
      </c>
      <c r="U359" s="11" t="s">
        <v>134</v>
      </c>
      <c r="V359" s="11" t="s">
        <v>249</v>
      </c>
      <c r="W359" s="11" t="s">
        <v>1523</v>
      </c>
      <c r="X359" s="11">
        <v>55</v>
      </c>
      <c r="Y359" s="11" t="s">
        <v>135</v>
      </c>
      <c r="Z359" s="11">
        <v>20</v>
      </c>
      <c r="AA359" s="11">
        <v>1</v>
      </c>
      <c r="AB359" s="12">
        <v>0</v>
      </c>
    </row>
    <row r="360" spans="1:28" x14ac:dyDescent="0.2">
      <c r="A360" s="7">
        <v>25490</v>
      </c>
      <c r="B360" s="8" t="s">
        <v>2910</v>
      </c>
      <c r="C360" s="8" t="s">
        <v>2556</v>
      </c>
      <c r="D360" s="8" t="s">
        <v>2557</v>
      </c>
      <c r="E360" s="8"/>
      <c r="F360" s="8" t="s">
        <v>2911</v>
      </c>
      <c r="G360" s="8" t="s">
        <v>1952</v>
      </c>
      <c r="H360" s="8" t="s">
        <v>1953</v>
      </c>
      <c r="I360" s="8" t="s">
        <v>2559</v>
      </c>
      <c r="J360" s="8" t="s">
        <v>2912</v>
      </c>
      <c r="K360" s="8" t="s">
        <v>1956</v>
      </c>
      <c r="L360" s="8" t="s">
        <v>526</v>
      </c>
      <c r="M360" s="8" t="s">
        <v>2913</v>
      </c>
      <c r="N360" s="8" t="s">
        <v>128</v>
      </c>
      <c r="O360" s="8" t="s">
        <v>2914</v>
      </c>
      <c r="P360" s="8" t="s">
        <v>2915</v>
      </c>
      <c r="Q360" s="8" t="s">
        <v>249</v>
      </c>
      <c r="R360" s="8"/>
      <c r="S360" s="8" t="s">
        <v>2564</v>
      </c>
      <c r="T360" s="8" t="s">
        <v>250</v>
      </c>
      <c r="U360" s="8" t="s">
        <v>134</v>
      </c>
      <c r="V360" s="8" t="s">
        <v>249</v>
      </c>
      <c r="W360" s="8" t="s">
        <v>250</v>
      </c>
      <c r="X360" s="8">
        <v>55</v>
      </c>
      <c r="Y360" s="8" t="s">
        <v>135</v>
      </c>
      <c r="Z360" s="8">
        <v>20</v>
      </c>
      <c r="AA360" s="8">
        <v>1</v>
      </c>
      <c r="AB360" s="9">
        <v>0</v>
      </c>
    </row>
    <row r="361" spans="1:28" x14ac:dyDescent="0.2">
      <c r="A361" s="10">
        <v>21145</v>
      </c>
      <c r="B361" s="11" t="s">
        <v>2916</v>
      </c>
      <c r="C361" s="11" t="s">
        <v>2917</v>
      </c>
      <c r="D361" s="11" t="s">
        <v>2918</v>
      </c>
      <c r="E361" s="11" t="s">
        <v>281</v>
      </c>
      <c r="F361" s="11" t="s">
        <v>353</v>
      </c>
      <c r="G361" s="11" t="s">
        <v>648</v>
      </c>
      <c r="H361" s="11" t="s">
        <v>142</v>
      </c>
      <c r="I361" s="11" t="s">
        <v>2919</v>
      </c>
      <c r="J361" s="11" t="s">
        <v>2920</v>
      </c>
      <c r="K361" s="11" t="s">
        <v>651</v>
      </c>
      <c r="L361" s="11" t="s">
        <v>146</v>
      </c>
      <c r="M361" s="11" t="s">
        <v>2921</v>
      </c>
      <c r="N361" s="11" t="s">
        <v>128</v>
      </c>
      <c r="O361" s="11" t="s">
        <v>2922</v>
      </c>
      <c r="P361" s="11" t="s">
        <v>2923</v>
      </c>
      <c r="Q361" s="11" t="s">
        <v>150</v>
      </c>
      <c r="R361" s="11"/>
      <c r="S361" s="11" t="s">
        <v>71</v>
      </c>
      <c r="T361" s="11" t="s">
        <v>289</v>
      </c>
      <c r="U361" s="11" t="s">
        <v>150</v>
      </c>
      <c r="V361" s="11" t="s">
        <v>289</v>
      </c>
      <c r="W361" s="11" t="s">
        <v>289</v>
      </c>
      <c r="X361" s="11">
        <v>54</v>
      </c>
      <c r="Y361" s="11" t="s">
        <v>135</v>
      </c>
      <c r="Z361" s="11">
        <v>80</v>
      </c>
      <c r="AA361" s="11">
        <v>0</v>
      </c>
      <c r="AB361" s="12">
        <v>0</v>
      </c>
    </row>
    <row r="362" spans="1:28" x14ac:dyDescent="0.2">
      <c r="A362" s="7">
        <v>21263</v>
      </c>
      <c r="B362" s="8" t="s">
        <v>2924</v>
      </c>
      <c r="C362" s="8" t="s">
        <v>2566</v>
      </c>
      <c r="D362" s="8" t="s">
        <v>2567</v>
      </c>
      <c r="E362" s="8" t="s">
        <v>2925</v>
      </c>
      <c r="F362" s="8" t="s">
        <v>2568</v>
      </c>
      <c r="G362" s="8" t="s">
        <v>536</v>
      </c>
      <c r="H362" s="8" t="s">
        <v>329</v>
      </c>
      <c r="I362" s="8" t="s">
        <v>2570</v>
      </c>
      <c r="J362" s="8" t="s">
        <v>2571</v>
      </c>
      <c r="K362" s="8" t="s">
        <v>431</v>
      </c>
      <c r="L362" s="8" t="s">
        <v>333</v>
      </c>
      <c r="M362" s="8" t="s">
        <v>2926</v>
      </c>
      <c r="N362" s="8" t="s">
        <v>128</v>
      </c>
      <c r="O362" s="8" t="s">
        <v>2927</v>
      </c>
      <c r="P362" s="8" t="s">
        <v>2928</v>
      </c>
      <c r="Q362" s="8" t="s">
        <v>150</v>
      </c>
      <c r="R362" s="8"/>
      <c r="S362" s="8" t="s">
        <v>2575</v>
      </c>
      <c r="T362" s="8" t="s">
        <v>67</v>
      </c>
      <c r="U362" s="8" t="s">
        <v>150</v>
      </c>
      <c r="V362" s="8" t="s">
        <v>152</v>
      </c>
      <c r="W362" s="8" t="s">
        <v>67</v>
      </c>
      <c r="X362" s="8">
        <v>54</v>
      </c>
      <c r="Y362" s="8" t="s">
        <v>135</v>
      </c>
      <c r="Z362" s="8">
        <v>80</v>
      </c>
      <c r="AA362" s="8">
        <v>0</v>
      </c>
      <c r="AB362" s="9">
        <v>0</v>
      </c>
    </row>
    <row r="363" spans="1:28" x14ac:dyDescent="0.2">
      <c r="A363" s="10">
        <v>21553</v>
      </c>
      <c r="B363" s="11" t="s">
        <v>2929</v>
      </c>
      <c r="C363" s="11" t="s">
        <v>1982</v>
      </c>
      <c r="D363" s="11" t="s">
        <v>1983</v>
      </c>
      <c r="E363" s="11" t="s">
        <v>2930</v>
      </c>
      <c r="F363" s="11" t="s">
        <v>1985</v>
      </c>
      <c r="G363" s="11" t="s">
        <v>428</v>
      </c>
      <c r="H363" s="11" t="s">
        <v>329</v>
      </c>
      <c r="I363" s="11" t="s">
        <v>1986</v>
      </c>
      <c r="J363" s="11" t="s">
        <v>1987</v>
      </c>
      <c r="K363" s="11" t="s">
        <v>431</v>
      </c>
      <c r="L363" s="11" t="s">
        <v>333</v>
      </c>
      <c r="M363" s="11" t="s">
        <v>2931</v>
      </c>
      <c r="N363" s="11" t="s">
        <v>128</v>
      </c>
      <c r="O363" s="11" t="s">
        <v>2932</v>
      </c>
      <c r="P363" s="11" t="s">
        <v>2933</v>
      </c>
      <c r="Q363" s="11" t="s">
        <v>150</v>
      </c>
      <c r="R363" s="11"/>
      <c r="S363" s="11" t="s">
        <v>1991</v>
      </c>
      <c r="T363" s="11" t="s">
        <v>67</v>
      </c>
      <c r="U363" s="11" t="s">
        <v>150</v>
      </c>
      <c r="V363" s="11" t="s">
        <v>152</v>
      </c>
      <c r="W363" s="11" t="s">
        <v>67</v>
      </c>
      <c r="X363" s="11">
        <v>54</v>
      </c>
      <c r="Y363" s="11" t="s">
        <v>135</v>
      </c>
      <c r="Z363" s="11">
        <v>80</v>
      </c>
      <c r="AA363" s="11">
        <v>0</v>
      </c>
      <c r="AB363" s="12">
        <v>0</v>
      </c>
    </row>
    <row r="364" spans="1:28" x14ac:dyDescent="0.2">
      <c r="A364" s="7">
        <v>21660</v>
      </c>
      <c r="B364" s="8" t="s">
        <v>2934</v>
      </c>
      <c r="C364" s="8" t="s">
        <v>2935</v>
      </c>
      <c r="D364" s="8" t="s">
        <v>2936</v>
      </c>
      <c r="E364" s="8" t="s">
        <v>2937</v>
      </c>
      <c r="F364" s="8" t="s">
        <v>353</v>
      </c>
      <c r="G364" s="8" t="s">
        <v>714</v>
      </c>
      <c r="H364" s="8" t="s">
        <v>142</v>
      </c>
      <c r="I364" s="8" t="s">
        <v>2938</v>
      </c>
      <c r="J364" s="8" t="s">
        <v>2939</v>
      </c>
      <c r="K364" s="8" t="s">
        <v>717</v>
      </c>
      <c r="L364" s="8" t="s">
        <v>464</v>
      </c>
      <c r="M364" s="8" t="s">
        <v>2940</v>
      </c>
      <c r="N364" s="8" t="s">
        <v>128</v>
      </c>
      <c r="O364" s="8" t="s">
        <v>2941</v>
      </c>
      <c r="P364" s="8" t="s">
        <v>2942</v>
      </c>
      <c r="Q364" s="8" t="s">
        <v>150</v>
      </c>
      <c r="R364" s="8"/>
      <c r="S364" s="8" t="s">
        <v>2943</v>
      </c>
      <c r="T364" s="8" t="s">
        <v>67</v>
      </c>
      <c r="U364" s="8" t="s">
        <v>150</v>
      </c>
      <c r="V364" s="8" t="s">
        <v>152</v>
      </c>
      <c r="W364" s="8" t="s">
        <v>67</v>
      </c>
      <c r="X364" s="8">
        <v>54</v>
      </c>
      <c r="Y364" s="8" t="s">
        <v>135</v>
      </c>
      <c r="Z364" s="8">
        <v>80</v>
      </c>
      <c r="AA364" s="8">
        <v>0</v>
      </c>
      <c r="AB364" s="9">
        <v>0</v>
      </c>
    </row>
    <row r="365" spans="1:28" x14ac:dyDescent="0.2">
      <c r="A365" s="10">
        <v>111764</v>
      </c>
      <c r="B365" s="11" t="s">
        <v>2944</v>
      </c>
      <c r="C365" s="11" t="s">
        <v>842</v>
      </c>
      <c r="D365" s="11" t="s">
        <v>826</v>
      </c>
      <c r="E365" s="11"/>
      <c r="F365" s="11" t="s">
        <v>2945</v>
      </c>
      <c r="G365" s="11" t="s">
        <v>1026</v>
      </c>
      <c r="H365" s="11" t="s">
        <v>142</v>
      </c>
      <c r="I365" s="11" t="s">
        <v>2946</v>
      </c>
      <c r="J365" s="11" t="s">
        <v>2947</v>
      </c>
      <c r="K365" s="11" t="s">
        <v>1029</v>
      </c>
      <c r="L365" s="11" t="s">
        <v>464</v>
      </c>
      <c r="M365" s="11" t="s">
        <v>2948</v>
      </c>
      <c r="N365" s="11" t="s">
        <v>128</v>
      </c>
      <c r="O365" s="11" t="s">
        <v>2949</v>
      </c>
      <c r="P365" s="11"/>
      <c r="Q365" s="11" t="s">
        <v>131</v>
      </c>
      <c r="R365" s="11"/>
      <c r="S365" s="11" t="s">
        <v>2950</v>
      </c>
      <c r="T365" s="11" t="s">
        <v>983</v>
      </c>
      <c r="U365" s="11" t="s">
        <v>134</v>
      </c>
      <c r="V365" s="11" t="s">
        <v>131</v>
      </c>
      <c r="W365" s="11" t="s">
        <v>983</v>
      </c>
      <c r="X365" s="11">
        <v>54</v>
      </c>
      <c r="Y365" s="11" t="s">
        <v>135</v>
      </c>
      <c r="Z365" s="11">
        <v>80</v>
      </c>
      <c r="AA365" s="11">
        <v>0</v>
      </c>
      <c r="AB365" s="12">
        <v>0</v>
      </c>
    </row>
    <row r="366" spans="1:28" x14ac:dyDescent="0.2">
      <c r="A366" s="7">
        <v>21918</v>
      </c>
      <c r="B366" s="8" t="s">
        <v>2951</v>
      </c>
      <c r="C366" s="8" t="s">
        <v>842</v>
      </c>
      <c r="D366" s="8" t="s">
        <v>826</v>
      </c>
      <c r="E366" s="8" t="s">
        <v>2952</v>
      </c>
      <c r="F366" s="8" t="s">
        <v>2953</v>
      </c>
      <c r="G366" s="8" t="s">
        <v>1026</v>
      </c>
      <c r="H366" s="8" t="s">
        <v>142</v>
      </c>
      <c r="I366" s="8" t="s">
        <v>2946</v>
      </c>
      <c r="J366" s="8" t="s">
        <v>2954</v>
      </c>
      <c r="K366" s="8" t="s">
        <v>1029</v>
      </c>
      <c r="L366" s="8" t="s">
        <v>464</v>
      </c>
      <c r="M366" s="8" t="s">
        <v>2955</v>
      </c>
      <c r="N366" s="8" t="s">
        <v>128</v>
      </c>
      <c r="O366" s="8" t="s">
        <v>2956</v>
      </c>
      <c r="P366" s="8" t="s">
        <v>2957</v>
      </c>
      <c r="Q366" s="8" t="s">
        <v>131</v>
      </c>
      <c r="R366" s="8"/>
      <c r="S366" s="8" t="s">
        <v>2950</v>
      </c>
      <c r="T366" s="8" t="s">
        <v>133</v>
      </c>
      <c r="U366" s="8" t="s">
        <v>134</v>
      </c>
      <c r="V366" s="8" t="s">
        <v>131</v>
      </c>
      <c r="W366" s="8" t="s">
        <v>133</v>
      </c>
      <c r="X366" s="8">
        <v>54</v>
      </c>
      <c r="Y366" s="8" t="s">
        <v>135</v>
      </c>
      <c r="Z366" s="8">
        <v>80</v>
      </c>
      <c r="AA366" s="8">
        <v>0</v>
      </c>
      <c r="AB366" s="9">
        <v>0</v>
      </c>
    </row>
    <row r="367" spans="1:28" x14ac:dyDescent="0.2">
      <c r="A367" s="10">
        <v>21916</v>
      </c>
      <c r="B367" s="11" t="s">
        <v>2958</v>
      </c>
      <c r="C367" s="11" t="s">
        <v>1045</v>
      </c>
      <c r="D367" s="11" t="s">
        <v>1046</v>
      </c>
      <c r="E367" s="11" t="s">
        <v>2959</v>
      </c>
      <c r="F367" s="11" t="s">
        <v>1048</v>
      </c>
      <c r="G367" s="11" t="s">
        <v>121</v>
      </c>
      <c r="H367" s="11" t="s">
        <v>122</v>
      </c>
      <c r="I367" s="11" t="s">
        <v>1049</v>
      </c>
      <c r="J367" s="11" t="s">
        <v>1050</v>
      </c>
      <c r="K367" s="11" t="s">
        <v>1051</v>
      </c>
      <c r="L367" s="11" t="s">
        <v>126</v>
      </c>
      <c r="M367" s="11" t="s">
        <v>2960</v>
      </c>
      <c r="N367" s="11" t="s">
        <v>128</v>
      </c>
      <c r="O367" s="11" t="s">
        <v>2961</v>
      </c>
      <c r="P367" s="11" t="s">
        <v>2962</v>
      </c>
      <c r="Q367" s="11" t="s">
        <v>131</v>
      </c>
      <c r="R367" s="11"/>
      <c r="S367" s="11" t="s">
        <v>1055</v>
      </c>
      <c r="T367" s="11" t="s">
        <v>133</v>
      </c>
      <c r="U367" s="11" t="s">
        <v>134</v>
      </c>
      <c r="V367" s="11" t="s">
        <v>131</v>
      </c>
      <c r="W367" s="11" t="s">
        <v>133</v>
      </c>
      <c r="X367" s="11">
        <v>54</v>
      </c>
      <c r="Y367" s="11" t="s">
        <v>135</v>
      </c>
      <c r="Z367" s="11">
        <v>80</v>
      </c>
      <c r="AA367" s="11">
        <v>1</v>
      </c>
      <c r="AB367" s="12">
        <v>1</v>
      </c>
    </row>
    <row r="368" spans="1:28" x14ac:dyDescent="0.2">
      <c r="A368" s="7">
        <v>21838</v>
      </c>
      <c r="B368" s="8" t="s">
        <v>2963</v>
      </c>
      <c r="C368" s="8" t="s">
        <v>1271</v>
      </c>
      <c r="D368" s="8" t="s">
        <v>1272</v>
      </c>
      <c r="E368" s="8" t="s">
        <v>2964</v>
      </c>
      <c r="F368" s="8" t="s">
        <v>1274</v>
      </c>
      <c r="G368" s="8" t="s">
        <v>521</v>
      </c>
      <c r="H368" s="8" t="s">
        <v>522</v>
      </c>
      <c r="I368" s="8" t="s">
        <v>1275</v>
      </c>
      <c r="J368" s="8" t="s">
        <v>1276</v>
      </c>
      <c r="K368" s="8" t="s">
        <v>525</v>
      </c>
      <c r="L368" s="8" t="s">
        <v>526</v>
      </c>
      <c r="M368" s="8" t="s">
        <v>2965</v>
      </c>
      <c r="N368" s="8" t="s">
        <v>128</v>
      </c>
      <c r="O368" s="8" t="s">
        <v>2966</v>
      </c>
      <c r="P368" s="8" t="s">
        <v>2967</v>
      </c>
      <c r="Q368" s="8" t="s">
        <v>131</v>
      </c>
      <c r="R368" s="8"/>
      <c r="S368" s="8" t="s">
        <v>1280</v>
      </c>
      <c r="T368" s="8" t="s">
        <v>133</v>
      </c>
      <c r="U368" s="8" t="s">
        <v>134</v>
      </c>
      <c r="V368" s="8" t="s">
        <v>131</v>
      </c>
      <c r="W368" s="8" t="s">
        <v>133</v>
      </c>
      <c r="X368" s="8">
        <v>54</v>
      </c>
      <c r="Y368" s="8" t="s">
        <v>135</v>
      </c>
      <c r="Z368" s="8">
        <v>80</v>
      </c>
      <c r="AA368" s="8">
        <v>1</v>
      </c>
      <c r="AB368" s="9">
        <v>1</v>
      </c>
    </row>
    <row r="369" spans="1:28" x14ac:dyDescent="0.2">
      <c r="A369" s="10">
        <v>21947</v>
      </c>
      <c r="B369" s="11" t="s">
        <v>2968</v>
      </c>
      <c r="C369" s="11" t="s">
        <v>2556</v>
      </c>
      <c r="D369" s="11" t="s">
        <v>2557</v>
      </c>
      <c r="E369" s="11"/>
      <c r="F369" s="11" t="s">
        <v>2911</v>
      </c>
      <c r="G369" s="11" t="s">
        <v>1952</v>
      </c>
      <c r="H369" s="11" t="s">
        <v>1953</v>
      </c>
      <c r="I369" s="11" t="s">
        <v>2559</v>
      </c>
      <c r="J369" s="11" t="s">
        <v>2912</v>
      </c>
      <c r="K369" s="11" t="s">
        <v>1956</v>
      </c>
      <c r="L369" s="11" t="s">
        <v>526</v>
      </c>
      <c r="M369" s="11" t="s">
        <v>2969</v>
      </c>
      <c r="N369" s="11" t="s">
        <v>128</v>
      </c>
      <c r="O369" s="11" t="s">
        <v>2970</v>
      </c>
      <c r="P369" s="11" t="s">
        <v>2971</v>
      </c>
      <c r="Q369" s="11" t="s">
        <v>131</v>
      </c>
      <c r="R369" s="11"/>
      <c r="S369" s="11" t="s">
        <v>2564</v>
      </c>
      <c r="T369" s="11" t="s">
        <v>133</v>
      </c>
      <c r="U369" s="11" t="s">
        <v>134</v>
      </c>
      <c r="V369" s="11" t="s">
        <v>131</v>
      </c>
      <c r="W369" s="11" t="s">
        <v>133</v>
      </c>
      <c r="X369" s="11">
        <v>54</v>
      </c>
      <c r="Y369" s="11" t="s">
        <v>135</v>
      </c>
      <c r="Z369" s="11">
        <v>20</v>
      </c>
      <c r="AA369" s="11">
        <v>1</v>
      </c>
      <c r="AB369" s="12">
        <v>0</v>
      </c>
    </row>
    <row r="370" spans="1:28" x14ac:dyDescent="0.2">
      <c r="A370" s="7">
        <v>23368</v>
      </c>
      <c r="B370" s="8" t="s">
        <v>2972</v>
      </c>
      <c r="C370" s="8" t="s">
        <v>2466</v>
      </c>
      <c r="D370" s="8" t="s">
        <v>2467</v>
      </c>
      <c r="E370" s="8" t="s">
        <v>2973</v>
      </c>
      <c r="F370" s="8" t="s">
        <v>2469</v>
      </c>
      <c r="G370" s="8" t="s">
        <v>1952</v>
      </c>
      <c r="H370" s="8" t="s">
        <v>1953</v>
      </c>
      <c r="I370" s="8" t="s">
        <v>2470</v>
      </c>
      <c r="J370" s="8" t="s">
        <v>2471</v>
      </c>
      <c r="K370" s="8" t="s">
        <v>1956</v>
      </c>
      <c r="L370" s="8" t="s">
        <v>526</v>
      </c>
      <c r="M370" s="8" t="s">
        <v>2974</v>
      </c>
      <c r="N370" s="8" t="s">
        <v>128</v>
      </c>
      <c r="O370" s="8" t="s">
        <v>2975</v>
      </c>
      <c r="P370" s="8" t="s">
        <v>2976</v>
      </c>
      <c r="Q370" s="8" t="s">
        <v>150</v>
      </c>
      <c r="R370" s="8"/>
      <c r="S370" s="8" t="s">
        <v>2475</v>
      </c>
      <c r="T370" s="8" t="s">
        <v>70</v>
      </c>
      <c r="U370" s="8" t="s">
        <v>150</v>
      </c>
      <c r="V370" s="8" t="s">
        <v>70</v>
      </c>
      <c r="W370" s="8" t="s">
        <v>70</v>
      </c>
      <c r="X370" s="8">
        <v>54</v>
      </c>
      <c r="Y370" s="8" t="s">
        <v>135</v>
      </c>
      <c r="Z370" s="8">
        <v>80</v>
      </c>
      <c r="AA370" s="8">
        <v>1</v>
      </c>
      <c r="AB370" s="9">
        <v>1</v>
      </c>
    </row>
    <row r="371" spans="1:28" x14ac:dyDescent="0.2">
      <c r="A371" s="10">
        <v>22956</v>
      </c>
      <c r="B371" s="11" t="s">
        <v>2977</v>
      </c>
      <c r="C371" s="11" t="s">
        <v>566</v>
      </c>
      <c r="D371" s="11" t="s">
        <v>567</v>
      </c>
      <c r="E371" s="11" t="s">
        <v>2978</v>
      </c>
      <c r="F371" s="11" t="s">
        <v>569</v>
      </c>
      <c r="G371" s="11" t="s">
        <v>328</v>
      </c>
      <c r="H371" s="11" t="s">
        <v>329</v>
      </c>
      <c r="I371" s="11" t="s">
        <v>570</v>
      </c>
      <c r="J371" s="11" t="s">
        <v>571</v>
      </c>
      <c r="K371" s="11" t="s">
        <v>572</v>
      </c>
      <c r="L371" s="11" t="s">
        <v>333</v>
      </c>
      <c r="M371" s="11" t="s">
        <v>2979</v>
      </c>
      <c r="N371" s="11" t="s">
        <v>128</v>
      </c>
      <c r="O371" s="11" t="s">
        <v>2980</v>
      </c>
      <c r="P371" s="11" t="s">
        <v>2981</v>
      </c>
      <c r="Q371" s="11" t="s">
        <v>150</v>
      </c>
      <c r="R371" s="11"/>
      <c r="S371" s="11" t="s">
        <v>576</v>
      </c>
      <c r="T371" s="11" t="s">
        <v>70</v>
      </c>
      <c r="U371" s="11" t="s">
        <v>150</v>
      </c>
      <c r="V371" s="11" t="s">
        <v>70</v>
      </c>
      <c r="W371" s="11" t="s">
        <v>70</v>
      </c>
      <c r="X371" s="11">
        <v>54</v>
      </c>
      <c r="Y371" s="11" t="s">
        <v>135</v>
      </c>
      <c r="Z371" s="11">
        <v>80</v>
      </c>
      <c r="AA371" s="11">
        <v>1</v>
      </c>
      <c r="AB371" s="12">
        <v>1</v>
      </c>
    </row>
    <row r="372" spans="1:28" x14ac:dyDescent="0.2">
      <c r="A372" s="7">
        <v>23448</v>
      </c>
      <c r="B372" s="8" t="s">
        <v>2982</v>
      </c>
      <c r="C372" s="8" t="s">
        <v>1791</v>
      </c>
      <c r="D372" s="8" t="s">
        <v>2983</v>
      </c>
      <c r="E372" s="8"/>
      <c r="F372" s="8" t="s">
        <v>353</v>
      </c>
      <c r="G372" s="8" t="s">
        <v>1794</v>
      </c>
      <c r="H372" s="8" t="s">
        <v>142</v>
      </c>
      <c r="I372" s="8" t="s">
        <v>1795</v>
      </c>
      <c r="J372" s="8" t="s">
        <v>2984</v>
      </c>
      <c r="K372" s="8" t="s">
        <v>779</v>
      </c>
      <c r="L372" s="8" t="s">
        <v>464</v>
      </c>
      <c r="M372" s="8" t="s">
        <v>2985</v>
      </c>
      <c r="N372" s="8" t="s">
        <v>128</v>
      </c>
      <c r="O372" s="8" t="s">
        <v>2986</v>
      </c>
      <c r="P372" s="8" t="s">
        <v>2987</v>
      </c>
      <c r="Q372" s="8" t="s">
        <v>150</v>
      </c>
      <c r="R372" s="8"/>
      <c r="S372" s="8" t="s">
        <v>71</v>
      </c>
      <c r="T372" s="8" t="s">
        <v>1415</v>
      </c>
      <c r="U372" s="8" t="s">
        <v>150</v>
      </c>
      <c r="V372" s="8" t="s">
        <v>1415</v>
      </c>
      <c r="W372" s="8" t="s">
        <v>1415</v>
      </c>
      <c r="X372" s="8">
        <v>54</v>
      </c>
      <c r="Y372" s="8" t="s">
        <v>135</v>
      </c>
      <c r="Z372" s="8">
        <v>80</v>
      </c>
      <c r="AA372" s="8">
        <v>0</v>
      </c>
      <c r="AB372" s="9">
        <v>0</v>
      </c>
    </row>
    <row r="373" spans="1:28" x14ac:dyDescent="0.2">
      <c r="A373" s="10">
        <v>115030</v>
      </c>
      <c r="B373" s="11" t="s">
        <v>2988</v>
      </c>
      <c r="C373" s="11" t="s">
        <v>2989</v>
      </c>
      <c r="D373" s="11" t="s">
        <v>2990</v>
      </c>
      <c r="E373" s="11" t="s">
        <v>2991</v>
      </c>
      <c r="F373" s="11" t="s">
        <v>353</v>
      </c>
      <c r="G373" s="11" t="s">
        <v>2992</v>
      </c>
      <c r="H373" s="11" t="s">
        <v>122</v>
      </c>
      <c r="I373" s="11" t="s">
        <v>2993</v>
      </c>
      <c r="J373" s="11" t="s">
        <v>2994</v>
      </c>
      <c r="K373" s="11" t="s">
        <v>125</v>
      </c>
      <c r="L373" s="11" t="s">
        <v>126</v>
      </c>
      <c r="M373" s="11" t="s">
        <v>2995</v>
      </c>
      <c r="N373" s="11" t="s">
        <v>128</v>
      </c>
      <c r="O373" s="11" t="s">
        <v>2996</v>
      </c>
      <c r="P373" s="11" t="s">
        <v>1865</v>
      </c>
      <c r="Q373" s="11" t="s">
        <v>150</v>
      </c>
      <c r="R373" s="11"/>
      <c r="S373" s="11" t="s">
        <v>71</v>
      </c>
      <c r="T373" s="11" t="s">
        <v>168</v>
      </c>
      <c r="U373" s="11" t="s">
        <v>150</v>
      </c>
      <c r="V373" s="11" t="s">
        <v>168</v>
      </c>
      <c r="W373" s="11" t="s">
        <v>168</v>
      </c>
      <c r="X373" s="11">
        <v>54</v>
      </c>
      <c r="Y373" s="11" t="s">
        <v>135</v>
      </c>
      <c r="Z373" s="11">
        <v>80</v>
      </c>
      <c r="AA373" s="11">
        <v>0</v>
      </c>
      <c r="AB373" s="12">
        <v>0</v>
      </c>
    </row>
    <row r="374" spans="1:28" x14ac:dyDescent="0.2">
      <c r="A374" s="7">
        <v>23937</v>
      </c>
      <c r="B374" s="8" t="s">
        <v>2997</v>
      </c>
      <c r="C374" s="8" t="s">
        <v>1477</v>
      </c>
      <c r="D374" s="8" t="s">
        <v>2998</v>
      </c>
      <c r="E374" s="8" t="s">
        <v>2999</v>
      </c>
      <c r="F374" s="8" t="s">
        <v>3000</v>
      </c>
      <c r="G374" s="8" t="s">
        <v>556</v>
      </c>
      <c r="H374" s="8" t="s">
        <v>557</v>
      </c>
      <c r="I374" s="8" t="s">
        <v>3001</v>
      </c>
      <c r="J374" s="8" t="s">
        <v>3002</v>
      </c>
      <c r="K374" s="8" t="s">
        <v>560</v>
      </c>
      <c r="L374" s="8" t="s">
        <v>229</v>
      </c>
      <c r="M374" s="8" t="s">
        <v>3003</v>
      </c>
      <c r="N374" s="8" t="s">
        <v>128</v>
      </c>
      <c r="O374" s="8" t="s">
        <v>3004</v>
      </c>
      <c r="P374" s="8" t="s">
        <v>3005</v>
      </c>
      <c r="Q374" s="8" t="s">
        <v>150</v>
      </c>
      <c r="R374" s="8"/>
      <c r="S374" s="8" t="s">
        <v>71</v>
      </c>
      <c r="T374" s="8" t="s">
        <v>168</v>
      </c>
      <c r="U374" s="8" t="s">
        <v>150</v>
      </c>
      <c r="V374" s="8" t="s">
        <v>168</v>
      </c>
      <c r="W374" s="8" t="s">
        <v>168</v>
      </c>
      <c r="X374" s="8">
        <v>54</v>
      </c>
      <c r="Y374" s="8" t="s">
        <v>135</v>
      </c>
      <c r="Z374" s="8">
        <v>80</v>
      </c>
      <c r="AA374" s="8">
        <v>0</v>
      </c>
      <c r="AB374" s="9">
        <v>0</v>
      </c>
    </row>
    <row r="375" spans="1:28" x14ac:dyDescent="0.2">
      <c r="A375" s="10">
        <v>24026</v>
      </c>
      <c r="B375" s="11" t="s">
        <v>3006</v>
      </c>
      <c r="C375" s="11" t="s">
        <v>517</v>
      </c>
      <c r="D375" s="11" t="s">
        <v>518</v>
      </c>
      <c r="E375" s="11" t="s">
        <v>3007</v>
      </c>
      <c r="F375" s="11" t="s">
        <v>520</v>
      </c>
      <c r="G375" s="11" t="s">
        <v>521</v>
      </c>
      <c r="H375" s="11" t="s">
        <v>522</v>
      </c>
      <c r="I375" s="11" t="s">
        <v>523</v>
      </c>
      <c r="J375" s="11" t="s">
        <v>524</v>
      </c>
      <c r="K375" s="11" t="s">
        <v>525</v>
      </c>
      <c r="L375" s="11" t="s">
        <v>526</v>
      </c>
      <c r="M375" s="11" t="s">
        <v>3008</v>
      </c>
      <c r="N375" s="11" t="s">
        <v>128</v>
      </c>
      <c r="O375" s="11" t="s">
        <v>3009</v>
      </c>
      <c r="P375" s="11"/>
      <c r="Q375" s="11" t="s">
        <v>150</v>
      </c>
      <c r="R375" s="11"/>
      <c r="S375" s="11" t="s">
        <v>530</v>
      </c>
      <c r="T375" s="11" t="s">
        <v>3010</v>
      </c>
      <c r="U375" s="11" t="s">
        <v>150</v>
      </c>
      <c r="V375" s="11" t="s">
        <v>3010</v>
      </c>
      <c r="W375" s="11" t="s">
        <v>3010</v>
      </c>
      <c r="X375" s="11">
        <v>54</v>
      </c>
      <c r="Y375" s="11" t="s">
        <v>135</v>
      </c>
      <c r="Z375" s="11">
        <v>20</v>
      </c>
      <c r="AA375" s="11">
        <v>1</v>
      </c>
      <c r="AB375" s="12">
        <v>0</v>
      </c>
    </row>
    <row r="376" spans="1:28" x14ac:dyDescent="0.2">
      <c r="A376" s="7">
        <v>25240</v>
      </c>
      <c r="B376" s="8" t="s">
        <v>3011</v>
      </c>
      <c r="C376" s="8" t="s">
        <v>3012</v>
      </c>
      <c r="D376" s="8" t="s">
        <v>3013</v>
      </c>
      <c r="E376" s="8" t="s">
        <v>3014</v>
      </c>
      <c r="F376" s="8" t="s">
        <v>1951</v>
      </c>
      <c r="G376" s="8" t="s">
        <v>1952</v>
      </c>
      <c r="H376" s="8" t="s">
        <v>1953</v>
      </c>
      <c r="I376" s="8" t="s">
        <v>1954</v>
      </c>
      <c r="J376" s="8" t="s">
        <v>3015</v>
      </c>
      <c r="K376" s="8" t="s">
        <v>1956</v>
      </c>
      <c r="L376" s="8" t="s">
        <v>526</v>
      </c>
      <c r="M376" s="8" t="s">
        <v>3016</v>
      </c>
      <c r="N376" s="8" t="s">
        <v>128</v>
      </c>
      <c r="O376" s="8" t="s">
        <v>3017</v>
      </c>
      <c r="P376" s="8" t="s">
        <v>3018</v>
      </c>
      <c r="Q376" s="8" t="s">
        <v>740</v>
      </c>
      <c r="R376" s="8"/>
      <c r="S376" s="8" t="s">
        <v>1959</v>
      </c>
      <c r="T376" s="8" t="s">
        <v>741</v>
      </c>
      <c r="U376" s="8" t="s">
        <v>134</v>
      </c>
      <c r="V376" s="8" t="s">
        <v>740</v>
      </c>
      <c r="W376" s="8" t="s">
        <v>741</v>
      </c>
      <c r="X376" s="8">
        <v>54</v>
      </c>
      <c r="Y376" s="8" t="s">
        <v>135</v>
      </c>
      <c r="Z376" s="8">
        <v>20</v>
      </c>
      <c r="AA376" s="8">
        <v>1</v>
      </c>
      <c r="AB376" s="9">
        <v>0</v>
      </c>
    </row>
    <row r="377" spans="1:28" x14ac:dyDescent="0.2">
      <c r="A377" s="10">
        <v>25152</v>
      </c>
      <c r="B377" s="11" t="s">
        <v>3019</v>
      </c>
      <c r="C377" s="11" t="s">
        <v>566</v>
      </c>
      <c r="D377" s="11" t="s">
        <v>567</v>
      </c>
      <c r="E377" s="11" t="s">
        <v>3020</v>
      </c>
      <c r="F377" s="11" t="s">
        <v>569</v>
      </c>
      <c r="G377" s="11" t="s">
        <v>328</v>
      </c>
      <c r="H377" s="11" t="s">
        <v>329</v>
      </c>
      <c r="I377" s="11" t="s">
        <v>570</v>
      </c>
      <c r="J377" s="11" t="s">
        <v>571</v>
      </c>
      <c r="K377" s="11" t="s">
        <v>572</v>
      </c>
      <c r="L377" s="11" t="s">
        <v>333</v>
      </c>
      <c r="M377" s="11" t="s">
        <v>3021</v>
      </c>
      <c r="N377" s="11" t="s">
        <v>128</v>
      </c>
      <c r="O377" s="11" t="s">
        <v>3022</v>
      </c>
      <c r="P377" s="11" t="s">
        <v>3023</v>
      </c>
      <c r="Q377" s="11" t="s">
        <v>740</v>
      </c>
      <c r="R377" s="11"/>
      <c r="S377" s="11" t="s">
        <v>576</v>
      </c>
      <c r="T377" s="11" t="s">
        <v>741</v>
      </c>
      <c r="U377" s="11" t="s">
        <v>134</v>
      </c>
      <c r="V377" s="11" t="s">
        <v>740</v>
      </c>
      <c r="W377" s="11" t="s">
        <v>741</v>
      </c>
      <c r="X377" s="11">
        <v>54</v>
      </c>
      <c r="Y377" s="11" t="s">
        <v>135</v>
      </c>
      <c r="Z377" s="11">
        <v>80</v>
      </c>
      <c r="AA377" s="11">
        <v>1</v>
      </c>
      <c r="AB377" s="12">
        <v>1</v>
      </c>
    </row>
    <row r="378" spans="1:28" x14ac:dyDescent="0.2">
      <c r="A378" s="7">
        <v>25228</v>
      </c>
      <c r="B378" s="8" t="s">
        <v>3024</v>
      </c>
      <c r="C378" s="8" t="s">
        <v>3025</v>
      </c>
      <c r="D378" s="8" t="s">
        <v>2557</v>
      </c>
      <c r="E378" s="8"/>
      <c r="F378" s="8" t="s">
        <v>2911</v>
      </c>
      <c r="G378" s="8" t="s">
        <v>1952</v>
      </c>
      <c r="H378" s="8" t="s">
        <v>1953</v>
      </c>
      <c r="I378" s="8" t="s">
        <v>2559</v>
      </c>
      <c r="J378" s="8" t="s">
        <v>3026</v>
      </c>
      <c r="K378" s="8" t="s">
        <v>1956</v>
      </c>
      <c r="L378" s="8" t="s">
        <v>526</v>
      </c>
      <c r="M378" s="8" t="s">
        <v>3027</v>
      </c>
      <c r="N378" s="8" t="s">
        <v>128</v>
      </c>
      <c r="O378" s="8" t="s">
        <v>3028</v>
      </c>
      <c r="P378" s="8" t="s">
        <v>3029</v>
      </c>
      <c r="Q378" s="8" t="s">
        <v>740</v>
      </c>
      <c r="R378" s="8"/>
      <c r="S378" s="8" t="s">
        <v>2564</v>
      </c>
      <c r="T378" s="8" t="s">
        <v>741</v>
      </c>
      <c r="U378" s="8" t="s">
        <v>134</v>
      </c>
      <c r="V378" s="8" t="s">
        <v>740</v>
      </c>
      <c r="W378" s="8" t="s">
        <v>741</v>
      </c>
      <c r="X378" s="8">
        <v>54</v>
      </c>
      <c r="Y378" s="8" t="s">
        <v>135</v>
      </c>
      <c r="Z378" s="8">
        <v>20</v>
      </c>
      <c r="AA378" s="8">
        <v>1</v>
      </c>
      <c r="AB378" s="9">
        <v>0</v>
      </c>
    </row>
    <row r="379" spans="1:28" x14ac:dyDescent="0.2">
      <c r="A379" s="10">
        <v>25430</v>
      </c>
      <c r="B379" s="11" t="s">
        <v>3030</v>
      </c>
      <c r="C379" s="11" t="s">
        <v>1688</v>
      </c>
      <c r="D379" s="11" t="s">
        <v>171</v>
      </c>
      <c r="E379" s="11" t="s">
        <v>3031</v>
      </c>
      <c r="F379" s="11" t="s">
        <v>1690</v>
      </c>
      <c r="G379" s="11" t="s">
        <v>1196</v>
      </c>
      <c r="H379" s="11" t="s">
        <v>142</v>
      </c>
      <c r="I379" s="11" t="s">
        <v>3032</v>
      </c>
      <c r="J379" s="11" t="s">
        <v>1692</v>
      </c>
      <c r="K379" s="11" t="s">
        <v>1199</v>
      </c>
      <c r="L379" s="11" t="s">
        <v>464</v>
      </c>
      <c r="M379" s="11" t="s">
        <v>3033</v>
      </c>
      <c r="N379" s="11" t="s">
        <v>128</v>
      </c>
      <c r="O379" s="11" t="s">
        <v>3034</v>
      </c>
      <c r="P379" s="11" t="s">
        <v>3035</v>
      </c>
      <c r="Q379" s="11" t="s">
        <v>249</v>
      </c>
      <c r="R379" s="11"/>
      <c r="S379" s="11" t="s">
        <v>1696</v>
      </c>
      <c r="T379" s="11" t="s">
        <v>250</v>
      </c>
      <c r="U379" s="11" t="s">
        <v>134</v>
      </c>
      <c r="V379" s="11" t="s">
        <v>249</v>
      </c>
      <c r="W379" s="11" t="s">
        <v>250</v>
      </c>
      <c r="X379" s="11">
        <v>54</v>
      </c>
      <c r="Y379" s="11" t="s">
        <v>135</v>
      </c>
      <c r="Z379" s="11">
        <v>20</v>
      </c>
      <c r="AA379" s="11">
        <v>1</v>
      </c>
      <c r="AB379" s="12">
        <v>0</v>
      </c>
    </row>
    <row r="380" spans="1:28" x14ac:dyDescent="0.2">
      <c r="A380" s="7">
        <v>25403</v>
      </c>
      <c r="B380" s="8" t="s">
        <v>3036</v>
      </c>
      <c r="C380" s="8" t="s">
        <v>997</v>
      </c>
      <c r="D380" s="8" t="s">
        <v>861</v>
      </c>
      <c r="E380" s="8" t="s">
        <v>3037</v>
      </c>
      <c r="F380" s="8" t="s">
        <v>449</v>
      </c>
      <c r="G380" s="8" t="s">
        <v>450</v>
      </c>
      <c r="H380" s="8" t="s">
        <v>301</v>
      </c>
      <c r="I380" s="8" t="s">
        <v>3038</v>
      </c>
      <c r="J380" s="8" t="s">
        <v>999</v>
      </c>
      <c r="K380" s="8" t="s">
        <v>304</v>
      </c>
      <c r="L380" s="8" t="s">
        <v>229</v>
      </c>
      <c r="M380" s="8" t="s">
        <v>3039</v>
      </c>
      <c r="N380" s="8" t="s">
        <v>128</v>
      </c>
      <c r="O380" s="8" t="s">
        <v>3040</v>
      </c>
      <c r="P380" s="8" t="s">
        <v>3041</v>
      </c>
      <c r="Q380" s="8" t="s">
        <v>249</v>
      </c>
      <c r="R380" s="8"/>
      <c r="S380" s="8" t="s">
        <v>868</v>
      </c>
      <c r="T380" s="8" t="s">
        <v>250</v>
      </c>
      <c r="U380" s="8" t="s">
        <v>134</v>
      </c>
      <c r="V380" s="8" t="s">
        <v>249</v>
      </c>
      <c r="W380" s="8" t="s">
        <v>250</v>
      </c>
      <c r="X380" s="8">
        <v>54</v>
      </c>
      <c r="Y380" s="8" t="s">
        <v>135</v>
      </c>
      <c r="Z380" s="8">
        <v>80</v>
      </c>
      <c r="AA380" s="8">
        <v>1</v>
      </c>
      <c r="AB380" s="9">
        <v>1</v>
      </c>
    </row>
    <row r="381" spans="1:28" x14ac:dyDescent="0.2">
      <c r="A381" s="10">
        <v>25534</v>
      </c>
      <c r="B381" s="11" t="s">
        <v>3042</v>
      </c>
      <c r="C381" s="11" t="s">
        <v>825</v>
      </c>
      <c r="D381" s="11" t="s">
        <v>826</v>
      </c>
      <c r="E381" s="11" t="s">
        <v>3043</v>
      </c>
      <c r="F381" s="11" t="s">
        <v>828</v>
      </c>
      <c r="G381" s="11" t="s">
        <v>615</v>
      </c>
      <c r="H381" s="11" t="s">
        <v>616</v>
      </c>
      <c r="I381" s="11" t="s">
        <v>829</v>
      </c>
      <c r="J381" s="11" t="s">
        <v>830</v>
      </c>
      <c r="K381" s="11" t="s">
        <v>619</v>
      </c>
      <c r="L381" s="11" t="s">
        <v>163</v>
      </c>
      <c r="M381" s="11" t="s">
        <v>3044</v>
      </c>
      <c r="N381" s="11" t="s">
        <v>128</v>
      </c>
      <c r="O381" s="11" t="s">
        <v>3045</v>
      </c>
      <c r="P381" s="11" t="s">
        <v>3046</v>
      </c>
      <c r="Q381" s="11" t="s">
        <v>249</v>
      </c>
      <c r="R381" s="11"/>
      <c r="S381" s="11" t="s">
        <v>834</v>
      </c>
      <c r="T381" s="11" t="s">
        <v>250</v>
      </c>
      <c r="U381" s="11" t="s">
        <v>134</v>
      </c>
      <c r="V381" s="11" t="s">
        <v>249</v>
      </c>
      <c r="W381" s="11" t="s">
        <v>250</v>
      </c>
      <c r="X381" s="11">
        <v>54</v>
      </c>
      <c r="Y381" s="11" t="s">
        <v>135</v>
      </c>
      <c r="Z381" s="11">
        <v>20</v>
      </c>
      <c r="AA381" s="11">
        <v>1</v>
      </c>
      <c r="AB381" s="12">
        <v>0</v>
      </c>
    </row>
    <row r="382" spans="1:28" x14ac:dyDescent="0.2">
      <c r="A382" s="7">
        <v>25387</v>
      </c>
      <c r="B382" s="8" t="s">
        <v>3047</v>
      </c>
      <c r="C382" s="8" t="s">
        <v>1086</v>
      </c>
      <c r="D382" s="8" t="s">
        <v>341</v>
      </c>
      <c r="E382" s="8" t="s">
        <v>3048</v>
      </c>
      <c r="F382" s="8" t="s">
        <v>1088</v>
      </c>
      <c r="G382" s="8" t="s">
        <v>846</v>
      </c>
      <c r="H382" s="8" t="s">
        <v>847</v>
      </c>
      <c r="I382" s="8" t="s">
        <v>1089</v>
      </c>
      <c r="J382" s="8" t="s">
        <v>1090</v>
      </c>
      <c r="K382" s="8" t="s">
        <v>1091</v>
      </c>
      <c r="L382" s="8" t="s">
        <v>126</v>
      </c>
      <c r="M382" s="8" t="s">
        <v>3049</v>
      </c>
      <c r="N382" s="8" t="s">
        <v>128</v>
      </c>
      <c r="O382" s="8" t="s">
        <v>3050</v>
      </c>
      <c r="P382" s="8" t="s">
        <v>3051</v>
      </c>
      <c r="Q382" s="8" t="s">
        <v>249</v>
      </c>
      <c r="R382" s="8"/>
      <c r="S382" s="8" t="s">
        <v>1095</v>
      </c>
      <c r="T382" s="8" t="s">
        <v>250</v>
      </c>
      <c r="U382" s="8" t="s">
        <v>134</v>
      </c>
      <c r="V382" s="8" t="s">
        <v>249</v>
      </c>
      <c r="W382" s="8" t="s">
        <v>250</v>
      </c>
      <c r="X382" s="8">
        <v>54</v>
      </c>
      <c r="Y382" s="8" t="s">
        <v>135</v>
      </c>
      <c r="Z382" s="8">
        <v>20</v>
      </c>
      <c r="AA382" s="8">
        <v>1</v>
      </c>
      <c r="AB382" s="9">
        <v>0</v>
      </c>
    </row>
    <row r="383" spans="1:28" x14ac:dyDescent="0.2">
      <c r="A383" s="10">
        <v>21198</v>
      </c>
      <c r="B383" s="11" t="s">
        <v>3052</v>
      </c>
      <c r="C383" s="11" t="s">
        <v>3053</v>
      </c>
      <c r="D383" s="11" t="s">
        <v>3054</v>
      </c>
      <c r="E383" s="11" t="s">
        <v>3055</v>
      </c>
      <c r="F383" s="11" t="s">
        <v>878</v>
      </c>
      <c r="G383" s="11" t="s">
        <v>224</v>
      </c>
      <c r="H383" s="11" t="s">
        <v>225</v>
      </c>
      <c r="I383" s="11" t="s">
        <v>3056</v>
      </c>
      <c r="J383" s="11" t="s">
        <v>3057</v>
      </c>
      <c r="K383" s="11" t="s">
        <v>228</v>
      </c>
      <c r="L383" s="11" t="s">
        <v>229</v>
      </c>
      <c r="M383" s="11" t="s">
        <v>3058</v>
      </c>
      <c r="N383" s="11" t="s">
        <v>128</v>
      </c>
      <c r="O383" s="11" t="s">
        <v>3059</v>
      </c>
      <c r="P383" s="11" t="s">
        <v>3060</v>
      </c>
      <c r="Q383" s="11" t="s">
        <v>150</v>
      </c>
      <c r="R383" s="11"/>
      <c r="S383" s="11" t="s">
        <v>3061</v>
      </c>
      <c r="T383" s="11" t="s">
        <v>289</v>
      </c>
      <c r="U383" s="11" t="s">
        <v>150</v>
      </c>
      <c r="V383" s="11" t="s">
        <v>289</v>
      </c>
      <c r="W383" s="11" t="s">
        <v>289</v>
      </c>
      <c r="X383" s="11">
        <v>53</v>
      </c>
      <c r="Y383" s="11" t="s">
        <v>135</v>
      </c>
      <c r="Z383" s="11">
        <v>80</v>
      </c>
      <c r="AA383" s="11">
        <v>0</v>
      </c>
      <c r="AB383" s="12">
        <v>0</v>
      </c>
    </row>
    <row r="384" spans="1:28" x14ac:dyDescent="0.2">
      <c r="A384" s="7">
        <v>20799</v>
      </c>
      <c r="B384" s="8" t="s">
        <v>3062</v>
      </c>
      <c r="C384" s="8" t="s">
        <v>1183</v>
      </c>
      <c r="D384" s="8" t="s">
        <v>904</v>
      </c>
      <c r="E384" s="8"/>
      <c r="F384" s="8" t="s">
        <v>1185</v>
      </c>
      <c r="G384" s="8" t="s">
        <v>121</v>
      </c>
      <c r="H384" s="8" t="s">
        <v>122</v>
      </c>
      <c r="I384" s="8" t="s">
        <v>1186</v>
      </c>
      <c r="J384" s="8" t="s">
        <v>1187</v>
      </c>
      <c r="K384" s="8" t="s">
        <v>1051</v>
      </c>
      <c r="L384" s="8" t="s">
        <v>126</v>
      </c>
      <c r="M384" s="8" t="s">
        <v>3063</v>
      </c>
      <c r="N384" s="8" t="s">
        <v>128</v>
      </c>
      <c r="O384" s="8" t="s">
        <v>3064</v>
      </c>
      <c r="P384" s="8" t="s">
        <v>3065</v>
      </c>
      <c r="Q384" s="8" t="s">
        <v>150</v>
      </c>
      <c r="R384" s="8"/>
      <c r="S384" s="8" t="s">
        <v>1191</v>
      </c>
      <c r="T384" s="8" t="s">
        <v>289</v>
      </c>
      <c r="U384" s="8" t="s">
        <v>150</v>
      </c>
      <c r="V384" s="8" t="s">
        <v>289</v>
      </c>
      <c r="W384" s="8" t="s">
        <v>289</v>
      </c>
      <c r="X384" s="8">
        <v>53</v>
      </c>
      <c r="Y384" s="8" t="s">
        <v>135</v>
      </c>
      <c r="Z384" s="8">
        <v>80</v>
      </c>
      <c r="AA384" s="8">
        <v>1</v>
      </c>
      <c r="AB384" s="9">
        <v>1</v>
      </c>
    </row>
    <row r="385" spans="1:28" x14ac:dyDescent="0.2">
      <c r="A385" s="10">
        <v>20817</v>
      </c>
      <c r="B385" s="11" t="s">
        <v>3066</v>
      </c>
      <c r="C385" s="11" t="s">
        <v>2804</v>
      </c>
      <c r="D385" s="11" t="s">
        <v>2805</v>
      </c>
      <c r="E385" s="11"/>
      <c r="F385" s="11" t="s">
        <v>2025</v>
      </c>
      <c r="G385" s="11" t="s">
        <v>703</v>
      </c>
      <c r="H385" s="11" t="s">
        <v>704</v>
      </c>
      <c r="I385" s="11" t="s">
        <v>2807</v>
      </c>
      <c r="J385" s="11" t="s">
        <v>3067</v>
      </c>
      <c r="K385" s="11" t="s">
        <v>707</v>
      </c>
      <c r="L385" s="11" t="s">
        <v>126</v>
      </c>
      <c r="M385" s="11" t="s">
        <v>3068</v>
      </c>
      <c r="N385" s="11" t="s">
        <v>128</v>
      </c>
      <c r="O385" s="11" t="s">
        <v>3069</v>
      </c>
      <c r="P385" s="11" t="s">
        <v>3070</v>
      </c>
      <c r="Q385" s="11" t="s">
        <v>150</v>
      </c>
      <c r="R385" s="11"/>
      <c r="S385" s="11" t="s">
        <v>2812</v>
      </c>
      <c r="T385" s="11" t="s">
        <v>289</v>
      </c>
      <c r="U385" s="11" t="s">
        <v>150</v>
      </c>
      <c r="V385" s="11" t="s">
        <v>289</v>
      </c>
      <c r="W385" s="11" t="s">
        <v>289</v>
      </c>
      <c r="X385" s="11">
        <v>53</v>
      </c>
      <c r="Y385" s="11" t="s">
        <v>135</v>
      </c>
      <c r="Z385" s="11">
        <v>80</v>
      </c>
      <c r="AA385" s="11">
        <v>1</v>
      </c>
      <c r="AB385" s="12">
        <v>1</v>
      </c>
    </row>
    <row r="386" spans="1:28" x14ac:dyDescent="0.2">
      <c r="A386" s="7">
        <v>21655</v>
      </c>
      <c r="B386" s="8" t="s">
        <v>3071</v>
      </c>
      <c r="C386" s="8" t="s">
        <v>3072</v>
      </c>
      <c r="D386" s="8" t="s">
        <v>3073</v>
      </c>
      <c r="E386" s="8" t="s">
        <v>3074</v>
      </c>
      <c r="F386" s="8" t="s">
        <v>353</v>
      </c>
      <c r="G386" s="8" t="s">
        <v>1196</v>
      </c>
      <c r="H386" s="8" t="s">
        <v>142</v>
      </c>
      <c r="I386" s="8" t="s">
        <v>3075</v>
      </c>
      <c r="J386" s="8" t="s">
        <v>3076</v>
      </c>
      <c r="K386" s="8" t="s">
        <v>1199</v>
      </c>
      <c r="L386" s="8" t="s">
        <v>464</v>
      </c>
      <c r="M386" s="8" t="s">
        <v>3077</v>
      </c>
      <c r="N386" s="8" t="s">
        <v>128</v>
      </c>
      <c r="O386" s="8" t="s">
        <v>3078</v>
      </c>
      <c r="P386" s="8" t="s">
        <v>3079</v>
      </c>
      <c r="Q386" s="8" t="s">
        <v>150</v>
      </c>
      <c r="R386" s="8"/>
      <c r="S386" s="8" t="s">
        <v>71</v>
      </c>
      <c r="T386" s="8" t="s">
        <v>67</v>
      </c>
      <c r="U386" s="8" t="s">
        <v>150</v>
      </c>
      <c r="V386" s="8" t="s">
        <v>152</v>
      </c>
      <c r="W386" s="8" t="s">
        <v>67</v>
      </c>
      <c r="X386" s="8">
        <v>53</v>
      </c>
      <c r="Y386" s="8" t="s">
        <v>135</v>
      </c>
      <c r="Z386" s="8">
        <v>80</v>
      </c>
      <c r="AA386" s="8">
        <v>0</v>
      </c>
      <c r="AB386" s="9">
        <v>0</v>
      </c>
    </row>
    <row r="387" spans="1:28" x14ac:dyDescent="0.2">
      <c r="A387" s="10">
        <v>21694</v>
      </c>
      <c r="B387" s="11" t="s">
        <v>3080</v>
      </c>
      <c r="C387" s="11" t="s">
        <v>3081</v>
      </c>
      <c r="D387" s="11" t="s">
        <v>3082</v>
      </c>
      <c r="E387" s="11" t="s">
        <v>3083</v>
      </c>
      <c r="F387" s="11" t="s">
        <v>353</v>
      </c>
      <c r="G387" s="11" t="s">
        <v>3084</v>
      </c>
      <c r="H387" s="11" t="s">
        <v>142</v>
      </c>
      <c r="I387" s="11" t="s">
        <v>3085</v>
      </c>
      <c r="J387" s="11" t="s">
        <v>3086</v>
      </c>
      <c r="K387" s="11" t="s">
        <v>1673</v>
      </c>
      <c r="L387" s="11" t="s">
        <v>464</v>
      </c>
      <c r="M387" s="11" t="s">
        <v>3087</v>
      </c>
      <c r="N387" s="11" t="s">
        <v>128</v>
      </c>
      <c r="O387" s="11" t="s">
        <v>3088</v>
      </c>
      <c r="P387" s="11" t="s">
        <v>3089</v>
      </c>
      <c r="Q387" s="11" t="s">
        <v>150</v>
      </c>
      <c r="R387" s="11"/>
      <c r="S387" s="11" t="s">
        <v>71</v>
      </c>
      <c r="T387" s="11" t="s">
        <v>67</v>
      </c>
      <c r="U387" s="11" t="s">
        <v>150</v>
      </c>
      <c r="V387" s="11" t="s">
        <v>152</v>
      </c>
      <c r="W387" s="11" t="s">
        <v>67</v>
      </c>
      <c r="X387" s="11">
        <v>53</v>
      </c>
      <c r="Y387" s="11" t="s">
        <v>135</v>
      </c>
      <c r="Z387" s="11">
        <v>80</v>
      </c>
      <c r="AA387" s="11">
        <v>0</v>
      </c>
      <c r="AB387" s="12">
        <v>0</v>
      </c>
    </row>
    <row r="388" spans="1:28" x14ac:dyDescent="0.2">
      <c r="A388" s="7">
        <v>21315</v>
      </c>
      <c r="B388" s="8" t="s">
        <v>3090</v>
      </c>
      <c r="C388" s="8" t="s">
        <v>3091</v>
      </c>
      <c r="D388" s="8" t="s">
        <v>1362</v>
      </c>
      <c r="E388" s="8" t="s">
        <v>3092</v>
      </c>
      <c r="F388" s="8" t="s">
        <v>342</v>
      </c>
      <c r="G388" s="8" t="s">
        <v>328</v>
      </c>
      <c r="H388" s="8" t="s">
        <v>329</v>
      </c>
      <c r="I388" s="8" t="s">
        <v>3093</v>
      </c>
      <c r="J388" s="8" t="s">
        <v>3094</v>
      </c>
      <c r="K388" s="8" t="s">
        <v>332</v>
      </c>
      <c r="L388" s="8" t="s">
        <v>333</v>
      </c>
      <c r="M388" s="8" t="s">
        <v>3095</v>
      </c>
      <c r="N388" s="8" t="s">
        <v>128</v>
      </c>
      <c r="O388" s="8" t="s">
        <v>3096</v>
      </c>
      <c r="P388" s="8" t="s">
        <v>3097</v>
      </c>
      <c r="Q388" s="8" t="s">
        <v>150</v>
      </c>
      <c r="R388" s="8"/>
      <c r="S388" s="8" t="s">
        <v>71</v>
      </c>
      <c r="T388" s="8" t="s">
        <v>67</v>
      </c>
      <c r="U388" s="8" t="s">
        <v>150</v>
      </c>
      <c r="V388" s="8" t="s">
        <v>152</v>
      </c>
      <c r="W388" s="8" t="s">
        <v>67</v>
      </c>
      <c r="X388" s="8">
        <v>53</v>
      </c>
      <c r="Y388" s="8" t="s">
        <v>135</v>
      </c>
      <c r="Z388" s="8">
        <v>80</v>
      </c>
      <c r="AA388" s="8">
        <v>0</v>
      </c>
      <c r="AB388" s="9">
        <v>0</v>
      </c>
    </row>
    <row r="389" spans="1:28" x14ac:dyDescent="0.2">
      <c r="A389" s="10">
        <v>21639</v>
      </c>
      <c r="B389" s="11" t="s">
        <v>3098</v>
      </c>
      <c r="C389" s="11" t="s">
        <v>3099</v>
      </c>
      <c r="D389" s="11" t="s">
        <v>877</v>
      </c>
      <c r="E389" s="11" t="s">
        <v>3100</v>
      </c>
      <c r="F389" s="11" t="s">
        <v>3101</v>
      </c>
      <c r="G389" s="11" t="s">
        <v>1626</v>
      </c>
      <c r="H389" s="11" t="s">
        <v>142</v>
      </c>
      <c r="I389" s="11" t="s">
        <v>3102</v>
      </c>
      <c r="J389" s="11" t="s">
        <v>3103</v>
      </c>
      <c r="K389" s="11" t="s">
        <v>472</v>
      </c>
      <c r="L389" s="11" t="s">
        <v>146</v>
      </c>
      <c r="M389" s="11" t="s">
        <v>3104</v>
      </c>
      <c r="N389" s="11" t="s">
        <v>128</v>
      </c>
      <c r="O389" s="11" t="s">
        <v>3105</v>
      </c>
      <c r="P389" s="11" t="s">
        <v>3106</v>
      </c>
      <c r="Q389" s="11" t="s">
        <v>150</v>
      </c>
      <c r="R389" s="11"/>
      <c r="S389" s="11" t="s">
        <v>71</v>
      </c>
      <c r="T389" s="11" t="s">
        <v>67</v>
      </c>
      <c r="U389" s="11" t="s">
        <v>150</v>
      </c>
      <c r="V389" s="11" t="s">
        <v>152</v>
      </c>
      <c r="W389" s="11" t="s">
        <v>67</v>
      </c>
      <c r="X389" s="11">
        <v>53</v>
      </c>
      <c r="Y389" s="11" t="s">
        <v>135</v>
      </c>
      <c r="Z389" s="11">
        <v>80</v>
      </c>
      <c r="AA389" s="11">
        <v>0</v>
      </c>
      <c r="AB389" s="12">
        <v>0</v>
      </c>
    </row>
    <row r="390" spans="1:28" x14ac:dyDescent="0.2">
      <c r="A390" s="7">
        <v>21384</v>
      </c>
      <c r="B390" s="8" t="s">
        <v>3107</v>
      </c>
      <c r="C390" s="8" t="s">
        <v>3108</v>
      </c>
      <c r="D390" s="8" t="s">
        <v>3109</v>
      </c>
      <c r="E390" s="8" t="s">
        <v>3110</v>
      </c>
      <c r="F390" s="8" t="s">
        <v>3111</v>
      </c>
      <c r="G390" s="8" t="s">
        <v>615</v>
      </c>
      <c r="H390" s="8" t="s">
        <v>616</v>
      </c>
      <c r="I390" s="8" t="s">
        <v>3112</v>
      </c>
      <c r="J390" s="8" t="s">
        <v>3113</v>
      </c>
      <c r="K390" s="8" t="s">
        <v>619</v>
      </c>
      <c r="L390" s="8" t="s">
        <v>163</v>
      </c>
      <c r="M390" s="8" t="s">
        <v>3114</v>
      </c>
      <c r="N390" s="8" t="s">
        <v>128</v>
      </c>
      <c r="O390" s="8" t="s">
        <v>3115</v>
      </c>
      <c r="P390" s="8" t="s">
        <v>3116</v>
      </c>
      <c r="Q390" s="8" t="s">
        <v>150</v>
      </c>
      <c r="R390" s="8"/>
      <c r="S390" s="8" t="s">
        <v>3117</v>
      </c>
      <c r="T390" s="8" t="s">
        <v>67</v>
      </c>
      <c r="U390" s="8" t="s">
        <v>150</v>
      </c>
      <c r="V390" s="8" t="s">
        <v>152</v>
      </c>
      <c r="W390" s="8" t="s">
        <v>67</v>
      </c>
      <c r="X390" s="8">
        <v>53</v>
      </c>
      <c r="Y390" s="8" t="s">
        <v>135</v>
      </c>
      <c r="Z390" s="8">
        <v>80</v>
      </c>
      <c r="AA390" s="8">
        <v>0</v>
      </c>
      <c r="AB390" s="9">
        <v>0</v>
      </c>
    </row>
    <row r="391" spans="1:28" x14ac:dyDescent="0.2">
      <c r="A391" s="10">
        <v>21353</v>
      </c>
      <c r="B391" s="11" t="s">
        <v>3118</v>
      </c>
      <c r="C391" s="11" t="s">
        <v>1193</v>
      </c>
      <c r="D391" s="11" t="s">
        <v>1064</v>
      </c>
      <c r="E391" s="11" t="s">
        <v>3119</v>
      </c>
      <c r="F391" s="11" t="s">
        <v>1195</v>
      </c>
      <c r="G391" s="11" t="s">
        <v>1196</v>
      </c>
      <c r="H391" s="11" t="s">
        <v>142</v>
      </c>
      <c r="I391" s="11" t="s">
        <v>1197</v>
      </c>
      <c r="J391" s="11" t="s">
        <v>1198</v>
      </c>
      <c r="K391" s="11" t="s">
        <v>1199</v>
      </c>
      <c r="L391" s="11" t="s">
        <v>464</v>
      </c>
      <c r="M391" s="11" t="s">
        <v>3120</v>
      </c>
      <c r="N391" s="11" t="s">
        <v>128</v>
      </c>
      <c r="O391" s="11" t="s">
        <v>3121</v>
      </c>
      <c r="P391" s="11" t="s">
        <v>3122</v>
      </c>
      <c r="Q391" s="11" t="s">
        <v>150</v>
      </c>
      <c r="R391" s="11"/>
      <c r="S391" s="11" t="s">
        <v>1203</v>
      </c>
      <c r="T391" s="11" t="s">
        <v>67</v>
      </c>
      <c r="U391" s="11" t="s">
        <v>150</v>
      </c>
      <c r="V391" s="11" t="s">
        <v>152</v>
      </c>
      <c r="W391" s="11" t="s">
        <v>67</v>
      </c>
      <c r="X391" s="11">
        <v>53</v>
      </c>
      <c r="Y391" s="11" t="s">
        <v>135</v>
      </c>
      <c r="Z391" s="11">
        <v>80</v>
      </c>
      <c r="AA391" s="11">
        <v>1</v>
      </c>
      <c r="AB391" s="12">
        <v>1</v>
      </c>
    </row>
    <row r="392" spans="1:28" x14ac:dyDescent="0.2">
      <c r="A392" s="7">
        <v>21862</v>
      </c>
      <c r="B392" s="8" t="s">
        <v>3123</v>
      </c>
      <c r="C392" s="8" t="s">
        <v>1193</v>
      </c>
      <c r="D392" s="8" t="s">
        <v>1064</v>
      </c>
      <c r="E392" s="8" t="s">
        <v>1868</v>
      </c>
      <c r="F392" s="8" t="s">
        <v>1195</v>
      </c>
      <c r="G392" s="8" t="s">
        <v>1196</v>
      </c>
      <c r="H392" s="8" t="s">
        <v>142</v>
      </c>
      <c r="I392" s="8" t="s">
        <v>1197</v>
      </c>
      <c r="J392" s="8" t="s">
        <v>1198</v>
      </c>
      <c r="K392" s="8" t="s">
        <v>1199</v>
      </c>
      <c r="L392" s="8" t="s">
        <v>464</v>
      </c>
      <c r="M392" s="8" t="s">
        <v>3124</v>
      </c>
      <c r="N392" s="8" t="s">
        <v>128</v>
      </c>
      <c r="O392" s="8" t="s">
        <v>3125</v>
      </c>
      <c r="P392" s="8" t="s">
        <v>3126</v>
      </c>
      <c r="Q392" s="8" t="s">
        <v>131</v>
      </c>
      <c r="R392" s="8"/>
      <c r="S392" s="8" t="s">
        <v>1203</v>
      </c>
      <c r="T392" s="8" t="s">
        <v>133</v>
      </c>
      <c r="U392" s="8" t="s">
        <v>134</v>
      </c>
      <c r="V392" s="8" t="s">
        <v>131</v>
      </c>
      <c r="W392" s="8" t="s">
        <v>133</v>
      </c>
      <c r="X392" s="8">
        <v>53</v>
      </c>
      <c r="Y392" s="8" t="s">
        <v>135</v>
      </c>
      <c r="Z392" s="8">
        <v>80</v>
      </c>
      <c r="AA392" s="8">
        <v>1</v>
      </c>
      <c r="AB392" s="9">
        <v>1</v>
      </c>
    </row>
    <row r="393" spans="1:28" x14ac:dyDescent="0.2">
      <c r="A393" s="10">
        <v>22028</v>
      </c>
      <c r="B393" s="11" t="s">
        <v>3127</v>
      </c>
      <c r="C393" s="11" t="s">
        <v>1666</v>
      </c>
      <c r="D393" s="11" t="s">
        <v>1667</v>
      </c>
      <c r="E393" s="11" t="s">
        <v>3128</v>
      </c>
      <c r="F393" s="11" t="s">
        <v>1669</v>
      </c>
      <c r="G393" s="11" t="s">
        <v>1670</v>
      </c>
      <c r="H393" s="11" t="s">
        <v>142</v>
      </c>
      <c r="I393" s="11" t="s">
        <v>1671</v>
      </c>
      <c r="J393" s="11" t="s">
        <v>1672</v>
      </c>
      <c r="K393" s="11" t="s">
        <v>1673</v>
      </c>
      <c r="L393" s="11" t="s">
        <v>464</v>
      </c>
      <c r="M393" s="11" t="s">
        <v>3129</v>
      </c>
      <c r="N393" s="11" t="s">
        <v>128</v>
      </c>
      <c r="O393" s="11" t="s">
        <v>3130</v>
      </c>
      <c r="P393" s="11" t="s">
        <v>3131</v>
      </c>
      <c r="Q393" s="11" t="s">
        <v>131</v>
      </c>
      <c r="R393" s="11"/>
      <c r="S393" s="11" t="s">
        <v>1677</v>
      </c>
      <c r="T393" s="11" t="s">
        <v>133</v>
      </c>
      <c r="U393" s="11" t="s">
        <v>134</v>
      </c>
      <c r="V393" s="11" t="s">
        <v>131</v>
      </c>
      <c r="W393" s="11" t="s">
        <v>133</v>
      </c>
      <c r="X393" s="11">
        <v>53</v>
      </c>
      <c r="Y393" s="11" t="s">
        <v>135</v>
      </c>
      <c r="Z393" s="11">
        <v>80</v>
      </c>
      <c r="AA393" s="11">
        <v>1</v>
      </c>
      <c r="AB393" s="12">
        <v>1</v>
      </c>
    </row>
    <row r="394" spans="1:28" x14ac:dyDescent="0.2">
      <c r="A394" s="7">
        <v>22872</v>
      </c>
      <c r="B394" s="8" t="s">
        <v>3132</v>
      </c>
      <c r="C394" s="8" t="s">
        <v>3133</v>
      </c>
      <c r="D394" s="8" t="s">
        <v>3134</v>
      </c>
      <c r="E394" s="8" t="s">
        <v>3135</v>
      </c>
      <c r="F394" s="8" t="s">
        <v>3136</v>
      </c>
      <c r="G394" s="8" t="s">
        <v>190</v>
      </c>
      <c r="H394" s="8" t="s">
        <v>191</v>
      </c>
      <c r="I394" s="8" t="s">
        <v>3137</v>
      </c>
      <c r="J394" s="8" t="s">
        <v>3138</v>
      </c>
      <c r="K394" s="8" t="s">
        <v>194</v>
      </c>
      <c r="L394" s="8" t="s">
        <v>163</v>
      </c>
      <c r="M394" s="8" t="s">
        <v>3139</v>
      </c>
      <c r="N394" s="8" t="s">
        <v>128</v>
      </c>
      <c r="O394" s="8" t="s">
        <v>3140</v>
      </c>
      <c r="P394" s="8" t="s">
        <v>3141</v>
      </c>
      <c r="Q394" s="8" t="s">
        <v>150</v>
      </c>
      <c r="R394" s="8"/>
      <c r="S394" s="8" t="s">
        <v>3142</v>
      </c>
      <c r="T394" s="8" t="s">
        <v>70</v>
      </c>
      <c r="U394" s="8" t="s">
        <v>150</v>
      </c>
      <c r="V394" s="8" t="s">
        <v>70</v>
      </c>
      <c r="W394" s="8" t="s">
        <v>70</v>
      </c>
      <c r="X394" s="8">
        <v>53</v>
      </c>
      <c r="Y394" s="8" t="s">
        <v>135</v>
      </c>
      <c r="Z394" s="8">
        <v>80</v>
      </c>
      <c r="AA394" s="8">
        <v>0</v>
      </c>
      <c r="AB394" s="9">
        <v>0</v>
      </c>
    </row>
    <row r="395" spans="1:28" x14ac:dyDescent="0.2">
      <c r="A395" s="10">
        <v>22873</v>
      </c>
      <c r="B395" s="11" t="s">
        <v>3143</v>
      </c>
      <c r="C395" s="11" t="s">
        <v>914</v>
      </c>
      <c r="D395" s="11" t="s">
        <v>915</v>
      </c>
      <c r="E395" s="11" t="s">
        <v>3144</v>
      </c>
      <c r="F395" s="11" t="s">
        <v>917</v>
      </c>
      <c r="G395" s="11" t="s">
        <v>776</v>
      </c>
      <c r="H395" s="11" t="s">
        <v>142</v>
      </c>
      <c r="I395" s="11" t="s">
        <v>918</v>
      </c>
      <c r="J395" s="11" t="s">
        <v>919</v>
      </c>
      <c r="K395" s="11" t="s">
        <v>779</v>
      </c>
      <c r="L395" s="11" t="s">
        <v>464</v>
      </c>
      <c r="M395" s="11" t="s">
        <v>3145</v>
      </c>
      <c r="N395" s="11" t="s">
        <v>128</v>
      </c>
      <c r="O395" s="11" t="s">
        <v>3146</v>
      </c>
      <c r="P395" s="11" t="s">
        <v>3147</v>
      </c>
      <c r="Q395" s="11" t="s">
        <v>150</v>
      </c>
      <c r="R395" s="11"/>
      <c r="S395" s="11" t="s">
        <v>923</v>
      </c>
      <c r="T395" s="11" t="s">
        <v>70</v>
      </c>
      <c r="U395" s="11" t="s">
        <v>150</v>
      </c>
      <c r="V395" s="11" t="s">
        <v>70</v>
      </c>
      <c r="W395" s="11" t="s">
        <v>70</v>
      </c>
      <c r="X395" s="11">
        <v>53</v>
      </c>
      <c r="Y395" s="11" t="s">
        <v>135</v>
      </c>
      <c r="Z395" s="11">
        <v>80</v>
      </c>
      <c r="AA395" s="11">
        <v>1</v>
      </c>
      <c r="AB395" s="12">
        <v>1</v>
      </c>
    </row>
    <row r="396" spans="1:28" x14ac:dyDescent="0.2">
      <c r="A396" s="7">
        <v>23397</v>
      </c>
      <c r="B396" s="8" t="s">
        <v>3148</v>
      </c>
      <c r="C396" s="8" t="s">
        <v>2674</v>
      </c>
      <c r="D396" s="8" t="s">
        <v>3149</v>
      </c>
      <c r="E396" s="8"/>
      <c r="F396" s="8" t="s">
        <v>353</v>
      </c>
      <c r="G396" s="8" t="s">
        <v>2676</v>
      </c>
      <c r="H396" s="8" t="s">
        <v>142</v>
      </c>
      <c r="I396" s="8" t="s">
        <v>2677</v>
      </c>
      <c r="J396" s="8" t="s">
        <v>3150</v>
      </c>
      <c r="K396" s="8" t="s">
        <v>779</v>
      </c>
      <c r="L396" s="8" t="s">
        <v>464</v>
      </c>
      <c r="M396" s="8" t="s">
        <v>3151</v>
      </c>
      <c r="N396" s="8" t="s">
        <v>128</v>
      </c>
      <c r="O396" s="8" t="s">
        <v>3152</v>
      </c>
      <c r="P396" s="8" t="s">
        <v>3153</v>
      </c>
      <c r="Q396" s="8" t="s">
        <v>150</v>
      </c>
      <c r="R396" s="8"/>
      <c r="S396" s="8" t="s">
        <v>71</v>
      </c>
      <c r="T396" s="8" t="s">
        <v>1415</v>
      </c>
      <c r="U396" s="8" t="s">
        <v>150</v>
      </c>
      <c r="V396" s="8" t="s">
        <v>1415</v>
      </c>
      <c r="W396" s="8" t="s">
        <v>1415</v>
      </c>
      <c r="X396" s="8">
        <v>53</v>
      </c>
      <c r="Y396" s="8" t="s">
        <v>135</v>
      </c>
      <c r="Z396" s="8">
        <v>80</v>
      </c>
      <c r="AA396" s="8">
        <v>0</v>
      </c>
      <c r="AB396" s="9">
        <v>0</v>
      </c>
    </row>
    <row r="397" spans="1:28" x14ac:dyDescent="0.2">
      <c r="A397" s="10">
        <v>23783</v>
      </c>
      <c r="B397" s="11" t="s">
        <v>3154</v>
      </c>
      <c r="C397" s="11" t="s">
        <v>2051</v>
      </c>
      <c r="D397" s="11" t="s">
        <v>3155</v>
      </c>
      <c r="E397" s="11" t="s">
        <v>410</v>
      </c>
      <c r="F397" s="11" t="s">
        <v>353</v>
      </c>
      <c r="G397" s="11" t="s">
        <v>1670</v>
      </c>
      <c r="H397" s="11" t="s">
        <v>142</v>
      </c>
      <c r="I397" s="11" t="s">
        <v>2713</v>
      </c>
      <c r="J397" s="11" t="s">
        <v>3156</v>
      </c>
      <c r="K397" s="11" t="s">
        <v>1673</v>
      </c>
      <c r="L397" s="11" t="s">
        <v>464</v>
      </c>
      <c r="M397" s="11" t="s">
        <v>3157</v>
      </c>
      <c r="N397" s="11" t="s">
        <v>128</v>
      </c>
      <c r="O397" s="11" t="s">
        <v>3158</v>
      </c>
      <c r="P397" s="11" t="s">
        <v>3159</v>
      </c>
      <c r="Q397" s="11" t="s">
        <v>150</v>
      </c>
      <c r="R397" s="11"/>
      <c r="S397" s="11" t="s">
        <v>71</v>
      </c>
      <c r="T397" s="11" t="s">
        <v>168</v>
      </c>
      <c r="U397" s="11" t="s">
        <v>150</v>
      </c>
      <c r="V397" s="11" t="s">
        <v>168</v>
      </c>
      <c r="W397" s="11" t="s">
        <v>168</v>
      </c>
      <c r="X397" s="11">
        <v>53</v>
      </c>
      <c r="Y397" s="11" t="s">
        <v>135</v>
      </c>
      <c r="Z397" s="11">
        <v>80</v>
      </c>
      <c r="AA397" s="11">
        <v>0</v>
      </c>
      <c r="AB397" s="12">
        <v>0</v>
      </c>
    </row>
    <row r="398" spans="1:28" x14ac:dyDescent="0.2">
      <c r="A398" s="7">
        <v>23857</v>
      </c>
      <c r="B398" s="8" t="s">
        <v>3160</v>
      </c>
      <c r="C398" s="8" t="s">
        <v>945</v>
      </c>
      <c r="D398" s="8" t="s">
        <v>3161</v>
      </c>
      <c r="E398" s="8" t="s">
        <v>3162</v>
      </c>
      <c r="F398" s="8" t="s">
        <v>353</v>
      </c>
      <c r="G398" s="8" t="s">
        <v>556</v>
      </c>
      <c r="H398" s="8" t="s">
        <v>557</v>
      </c>
      <c r="I398" s="8" t="s">
        <v>947</v>
      </c>
      <c r="J398" s="8" t="s">
        <v>3163</v>
      </c>
      <c r="K398" s="8" t="s">
        <v>560</v>
      </c>
      <c r="L398" s="8" t="s">
        <v>229</v>
      </c>
      <c r="M398" s="8" t="s">
        <v>3164</v>
      </c>
      <c r="N398" s="8" t="s">
        <v>128</v>
      </c>
      <c r="O398" s="8" t="s">
        <v>3165</v>
      </c>
      <c r="P398" s="8" t="s">
        <v>3166</v>
      </c>
      <c r="Q398" s="8" t="s">
        <v>150</v>
      </c>
      <c r="R398" s="8"/>
      <c r="S398" s="8" t="s">
        <v>71</v>
      </c>
      <c r="T398" s="8" t="s">
        <v>168</v>
      </c>
      <c r="U398" s="8" t="s">
        <v>150</v>
      </c>
      <c r="V398" s="8" t="s">
        <v>168</v>
      </c>
      <c r="W398" s="8" t="s">
        <v>168</v>
      </c>
      <c r="X398" s="8">
        <v>53</v>
      </c>
      <c r="Y398" s="8" t="s">
        <v>135</v>
      </c>
      <c r="Z398" s="8">
        <v>80</v>
      </c>
      <c r="AA398" s="8">
        <v>0</v>
      </c>
      <c r="AB398" s="9">
        <v>0</v>
      </c>
    </row>
    <row r="399" spans="1:28" x14ac:dyDescent="0.2">
      <c r="A399" s="10">
        <v>23840</v>
      </c>
      <c r="B399" s="11" t="s">
        <v>3167</v>
      </c>
      <c r="C399" s="11" t="s">
        <v>969</v>
      </c>
      <c r="D399" s="11" t="s">
        <v>3155</v>
      </c>
      <c r="E399" s="11"/>
      <c r="F399" s="11" t="s">
        <v>353</v>
      </c>
      <c r="G399" s="11" t="s">
        <v>971</v>
      </c>
      <c r="H399" s="11" t="s">
        <v>142</v>
      </c>
      <c r="I399" s="11" t="s">
        <v>972</v>
      </c>
      <c r="J399" s="11" t="s">
        <v>3168</v>
      </c>
      <c r="K399" s="11" t="s">
        <v>974</v>
      </c>
      <c r="L399" s="11" t="s">
        <v>146</v>
      </c>
      <c r="M399" s="11" t="s">
        <v>3169</v>
      </c>
      <c r="N399" s="11" t="s">
        <v>128</v>
      </c>
      <c r="O399" s="11" t="s">
        <v>3170</v>
      </c>
      <c r="P399" s="11" t="s">
        <v>3171</v>
      </c>
      <c r="Q399" s="11" t="s">
        <v>150</v>
      </c>
      <c r="R399" s="11"/>
      <c r="S399" s="11" t="s">
        <v>71</v>
      </c>
      <c r="T399" s="11" t="s">
        <v>168</v>
      </c>
      <c r="U399" s="11" t="s">
        <v>150</v>
      </c>
      <c r="V399" s="11" t="s">
        <v>168</v>
      </c>
      <c r="W399" s="11" t="s">
        <v>168</v>
      </c>
      <c r="X399" s="11">
        <v>53</v>
      </c>
      <c r="Y399" s="11" t="s">
        <v>135</v>
      </c>
      <c r="Z399" s="11">
        <v>80</v>
      </c>
      <c r="AA399" s="11">
        <v>0</v>
      </c>
      <c r="AB399" s="12">
        <v>0</v>
      </c>
    </row>
    <row r="400" spans="1:28" x14ac:dyDescent="0.2">
      <c r="A400" s="7">
        <v>85072</v>
      </c>
      <c r="B400" s="8" t="s">
        <v>3172</v>
      </c>
      <c r="C400" s="8" t="s">
        <v>601</v>
      </c>
      <c r="D400" s="8" t="s">
        <v>602</v>
      </c>
      <c r="E400" s="8"/>
      <c r="F400" s="8" t="s">
        <v>3173</v>
      </c>
      <c r="G400" s="8" t="s">
        <v>450</v>
      </c>
      <c r="H400" s="8" t="s">
        <v>301</v>
      </c>
      <c r="I400" s="8" t="s">
        <v>3174</v>
      </c>
      <c r="J400" s="8" t="s">
        <v>3175</v>
      </c>
      <c r="K400" s="8" t="s">
        <v>304</v>
      </c>
      <c r="L400" s="8" t="s">
        <v>229</v>
      </c>
      <c r="M400" s="8" t="s">
        <v>3176</v>
      </c>
      <c r="N400" s="8" t="s">
        <v>128</v>
      </c>
      <c r="O400" s="8" t="s">
        <v>3177</v>
      </c>
      <c r="P400" s="8" t="s">
        <v>3178</v>
      </c>
      <c r="Q400" s="8" t="s">
        <v>249</v>
      </c>
      <c r="R400" s="8"/>
      <c r="S400" s="8" t="s">
        <v>823</v>
      </c>
      <c r="T400" s="8" t="s">
        <v>250</v>
      </c>
      <c r="U400" s="8" t="s">
        <v>134</v>
      </c>
      <c r="V400" s="8" t="s">
        <v>249</v>
      </c>
      <c r="W400" s="8" t="s">
        <v>250</v>
      </c>
      <c r="X400" s="8">
        <v>53</v>
      </c>
      <c r="Y400" s="8" t="s">
        <v>135</v>
      </c>
      <c r="Z400" s="8">
        <v>80</v>
      </c>
      <c r="AA400" s="8">
        <v>1</v>
      </c>
      <c r="AB400" s="9">
        <v>1</v>
      </c>
    </row>
    <row r="401" spans="1:28" x14ac:dyDescent="0.2">
      <c r="A401" s="10">
        <v>21509</v>
      </c>
      <c r="B401" s="11" t="s">
        <v>3179</v>
      </c>
      <c r="C401" s="11" t="s">
        <v>3180</v>
      </c>
      <c r="D401" s="11" t="s">
        <v>291</v>
      </c>
      <c r="E401" s="11" t="s">
        <v>1032</v>
      </c>
      <c r="F401" s="11" t="s">
        <v>353</v>
      </c>
      <c r="G401" s="11" t="s">
        <v>428</v>
      </c>
      <c r="H401" s="11" t="s">
        <v>329</v>
      </c>
      <c r="I401" s="11" t="s">
        <v>3181</v>
      </c>
      <c r="J401" s="11" t="s">
        <v>3182</v>
      </c>
      <c r="K401" s="11" t="s">
        <v>431</v>
      </c>
      <c r="L401" s="11" t="s">
        <v>333</v>
      </c>
      <c r="M401" s="11" t="s">
        <v>3183</v>
      </c>
      <c r="N401" s="11" t="s">
        <v>128</v>
      </c>
      <c r="O401" s="11" t="s">
        <v>3184</v>
      </c>
      <c r="P401" s="11" t="s">
        <v>3185</v>
      </c>
      <c r="Q401" s="11" t="s">
        <v>150</v>
      </c>
      <c r="R401" s="11"/>
      <c r="S401" s="11" t="s">
        <v>71</v>
      </c>
      <c r="T401" s="11" t="s">
        <v>67</v>
      </c>
      <c r="U401" s="11" t="s">
        <v>150</v>
      </c>
      <c r="V401" s="11" t="s">
        <v>152</v>
      </c>
      <c r="W401" s="11" t="s">
        <v>67</v>
      </c>
      <c r="X401" s="11">
        <v>52</v>
      </c>
      <c r="Y401" s="11" t="s">
        <v>135</v>
      </c>
      <c r="Z401" s="11">
        <v>80</v>
      </c>
      <c r="AA401" s="11">
        <v>0</v>
      </c>
      <c r="AB401" s="12">
        <v>0</v>
      </c>
    </row>
    <row r="402" spans="1:28" x14ac:dyDescent="0.2">
      <c r="A402" s="7">
        <v>21455</v>
      </c>
      <c r="B402" s="8" t="s">
        <v>3186</v>
      </c>
      <c r="C402" s="8" t="s">
        <v>3187</v>
      </c>
      <c r="D402" s="8" t="s">
        <v>1272</v>
      </c>
      <c r="E402" s="8" t="s">
        <v>3188</v>
      </c>
      <c r="F402" s="8" t="s">
        <v>353</v>
      </c>
      <c r="G402" s="8" t="s">
        <v>3189</v>
      </c>
      <c r="H402" s="8" t="s">
        <v>142</v>
      </c>
      <c r="I402" s="8" t="s">
        <v>3190</v>
      </c>
      <c r="J402" s="8" t="s">
        <v>3191</v>
      </c>
      <c r="K402" s="8" t="s">
        <v>472</v>
      </c>
      <c r="L402" s="8" t="s">
        <v>146</v>
      </c>
      <c r="M402" s="8" t="s">
        <v>3192</v>
      </c>
      <c r="N402" s="8" t="s">
        <v>128</v>
      </c>
      <c r="O402" s="8" t="s">
        <v>3193</v>
      </c>
      <c r="P402" s="8" t="s">
        <v>3194</v>
      </c>
      <c r="Q402" s="8" t="s">
        <v>150</v>
      </c>
      <c r="R402" s="8"/>
      <c r="S402" s="8" t="s">
        <v>71</v>
      </c>
      <c r="T402" s="8" t="s">
        <v>67</v>
      </c>
      <c r="U402" s="8" t="s">
        <v>150</v>
      </c>
      <c r="V402" s="8" t="s">
        <v>152</v>
      </c>
      <c r="W402" s="8" t="s">
        <v>67</v>
      </c>
      <c r="X402" s="8">
        <v>52</v>
      </c>
      <c r="Y402" s="8" t="s">
        <v>135</v>
      </c>
      <c r="Z402" s="8">
        <v>80</v>
      </c>
      <c r="AA402" s="8">
        <v>0</v>
      </c>
      <c r="AB402" s="9">
        <v>0</v>
      </c>
    </row>
    <row r="403" spans="1:28" x14ac:dyDescent="0.2">
      <c r="A403" s="10">
        <v>21689</v>
      </c>
      <c r="B403" s="11" t="s">
        <v>3195</v>
      </c>
      <c r="C403" s="11" t="s">
        <v>3196</v>
      </c>
      <c r="D403" s="11" t="s">
        <v>138</v>
      </c>
      <c r="E403" s="11" t="s">
        <v>3197</v>
      </c>
      <c r="F403" s="11" t="s">
        <v>3198</v>
      </c>
      <c r="G403" s="11" t="s">
        <v>141</v>
      </c>
      <c r="H403" s="11" t="s">
        <v>142</v>
      </c>
      <c r="I403" s="11" t="s">
        <v>3199</v>
      </c>
      <c r="J403" s="11" t="s">
        <v>3200</v>
      </c>
      <c r="K403" s="11" t="s">
        <v>403</v>
      </c>
      <c r="L403" s="11" t="s">
        <v>146</v>
      </c>
      <c r="M403" s="11" t="s">
        <v>3201</v>
      </c>
      <c r="N403" s="11" t="s">
        <v>128</v>
      </c>
      <c r="O403" s="11" t="s">
        <v>3202</v>
      </c>
      <c r="P403" s="11" t="s">
        <v>3203</v>
      </c>
      <c r="Q403" s="11" t="s">
        <v>150</v>
      </c>
      <c r="R403" s="11"/>
      <c r="S403" s="11" t="s">
        <v>71</v>
      </c>
      <c r="T403" s="11" t="s">
        <v>67</v>
      </c>
      <c r="U403" s="11" t="s">
        <v>150</v>
      </c>
      <c r="V403" s="11" t="s">
        <v>152</v>
      </c>
      <c r="W403" s="11" t="s">
        <v>67</v>
      </c>
      <c r="X403" s="11">
        <v>52</v>
      </c>
      <c r="Y403" s="11" t="s">
        <v>135</v>
      </c>
      <c r="Z403" s="11">
        <v>80</v>
      </c>
      <c r="AA403" s="11">
        <v>0</v>
      </c>
      <c r="AB403" s="12">
        <v>0</v>
      </c>
    </row>
    <row r="404" spans="1:28" x14ac:dyDescent="0.2">
      <c r="A404" s="7">
        <v>21250</v>
      </c>
      <c r="B404" s="8" t="s">
        <v>3204</v>
      </c>
      <c r="C404" s="8" t="s">
        <v>3133</v>
      </c>
      <c r="D404" s="8" t="s">
        <v>3134</v>
      </c>
      <c r="E404" s="8" t="s">
        <v>202</v>
      </c>
      <c r="F404" s="8" t="s">
        <v>3136</v>
      </c>
      <c r="G404" s="8" t="s">
        <v>190</v>
      </c>
      <c r="H404" s="8" t="s">
        <v>191</v>
      </c>
      <c r="I404" s="8" t="s">
        <v>3205</v>
      </c>
      <c r="J404" s="8" t="s">
        <v>3138</v>
      </c>
      <c r="K404" s="8" t="s">
        <v>194</v>
      </c>
      <c r="L404" s="8" t="s">
        <v>163</v>
      </c>
      <c r="M404" s="8" t="s">
        <v>3206</v>
      </c>
      <c r="N404" s="8" t="s">
        <v>128</v>
      </c>
      <c r="O404" s="8" t="s">
        <v>3207</v>
      </c>
      <c r="P404" s="8" t="s">
        <v>3208</v>
      </c>
      <c r="Q404" s="8" t="s">
        <v>150</v>
      </c>
      <c r="R404" s="8"/>
      <c r="S404" s="8" t="s">
        <v>3142</v>
      </c>
      <c r="T404" s="8" t="s">
        <v>67</v>
      </c>
      <c r="U404" s="8" t="s">
        <v>150</v>
      </c>
      <c r="V404" s="8" t="s">
        <v>152</v>
      </c>
      <c r="W404" s="8" t="s">
        <v>67</v>
      </c>
      <c r="X404" s="8">
        <v>52</v>
      </c>
      <c r="Y404" s="8" t="s">
        <v>135</v>
      </c>
      <c r="Z404" s="8">
        <v>80</v>
      </c>
      <c r="AA404" s="8">
        <v>0</v>
      </c>
      <c r="AB404" s="9">
        <v>0</v>
      </c>
    </row>
    <row r="405" spans="1:28" x14ac:dyDescent="0.2">
      <c r="A405" s="10">
        <v>22083</v>
      </c>
      <c r="B405" s="11" t="s">
        <v>3209</v>
      </c>
      <c r="C405" s="11" t="s">
        <v>997</v>
      </c>
      <c r="D405" s="11" t="s">
        <v>861</v>
      </c>
      <c r="E405" s="11" t="s">
        <v>3210</v>
      </c>
      <c r="F405" s="11" t="s">
        <v>449</v>
      </c>
      <c r="G405" s="11" t="s">
        <v>450</v>
      </c>
      <c r="H405" s="11" t="s">
        <v>301</v>
      </c>
      <c r="I405" s="11" t="s">
        <v>863</v>
      </c>
      <c r="J405" s="11" t="s">
        <v>999</v>
      </c>
      <c r="K405" s="11" t="s">
        <v>304</v>
      </c>
      <c r="L405" s="11" t="s">
        <v>229</v>
      </c>
      <c r="M405" s="11" t="s">
        <v>3211</v>
      </c>
      <c r="N405" s="11" t="s">
        <v>128</v>
      </c>
      <c r="O405" s="11" t="s">
        <v>3212</v>
      </c>
      <c r="P405" s="11"/>
      <c r="Q405" s="11" t="s">
        <v>131</v>
      </c>
      <c r="R405" s="11"/>
      <c r="S405" s="11" t="s">
        <v>868</v>
      </c>
      <c r="T405" s="11" t="s">
        <v>983</v>
      </c>
      <c r="U405" s="11" t="s">
        <v>134</v>
      </c>
      <c r="V405" s="11" t="s">
        <v>131</v>
      </c>
      <c r="W405" s="11" t="s">
        <v>983</v>
      </c>
      <c r="X405" s="11">
        <v>52</v>
      </c>
      <c r="Y405" s="11" t="s">
        <v>135</v>
      </c>
      <c r="Z405" s="11">
        <v>80</v>
      </c>
      <c r="AA405" s="11">
        <v>1</v>
      </c>
      <c r="AB405" s="12">
        <v>1</v>
      </c>
    </row>
    <row r="406" spans="1:28" x14ac:dyDescent="0.2">
      <c r="A406" s="7">
        <v>22017</v>
      </c>
      <c r="B406" s="8" t="s">
        <v>3213</v>
      </c>
      <c r="C406" s="8" t="s">
        <v>1656</v>
      </c>
      <c r="D406" s="8" t="s">
        <v>138</v>
      </c>
      <c r="E406" s="8" t="s">
        <v>3214</v>
      </c>
      <c r="F406" s="8" t="s">
        <v>1658</v>
      </c>
      <c r="G406" s="8" t="s">
        <v>141</v>
      </c>
      <c r="H406" s="8" t="s">
        <v>142</v>
      </c>
      <c r="I406" s="8" t="s">
        <v>1659</v>
      </c>
      <c r="J406" s="8" t="s">
        <v>1660</v>
      </c>
      <c r="K406" s="8" t="s">
        <v>145</v>
      </c>
      <c r="L406" s="8" t="s">
        <v>146</v>
      </c>
      <c r="M406" s="8" t="s">
        <v>3215</v>
      </c>
      <c r="N406" s="8" t="s">
        <v>128</v>
      </c>
      <c r="O406" s="8" t="s">
        <v>3216</v>
      </c>
      <c r="P406" s="8" t="s">
        <v>3217</v>
      </c>
      <c r="Q406" s="8" t="s">
        <v>131</v>
      </c>
      <c r="R406" s="8"/>
      <c r="S406" s="8" t="s">
        <v>1664</v>
      </c>
      <c r="T406" s="8" t="s">
        <v>133</v>
      </c>
      <c r="U406" s="8" t="s">
        <v>134</v>
      </c>
      <c r="V406" s="8" t="s">
        <v>131</v>
      </c>
      <c r="W406" s="8" t="s">
        <v>133</v>
      </c>
      <c r="X406" s="8">
        <v>52</v>
      </c>
      <c r="Y406" s="8" t="s">
        <v>135</v>
      </c>
      <c r="Z406" s="8">
        <v>80</v>
      </c>
      <c r="AA406" s="8">
        <v>0</v>
      </c>
      <c r="AB406" s="9">
        <v>0</v>
      </c>
    </row>
    <row r="407" spans="1:28" x14ac:dyDescent="0.2">
      <c r="A407" s="10">
        <v>22042</v>
      </c>
      <c r="B407" s="11" t="s">
        <v>3218</v>
      </c>
      <c r="C407" s="11" t="s">
        <v>3219</v>
      </c>
      <c r="D407" s="11" t="s">
        <v>645</v>
      </c>
      <c r="E407" s="11" t="s">
        <v>3220</v>
      </c>
      <c r="F407" s="11" t="s">
        <v>3221</v>
      </c>
      <c r="G407" s="11" t="s">
        <v>846</v>
      </c>
      <c r="H407" s="11" t="s">
        <v>847</v>
      </c>
      <c r="I407" s="11" t="s">
        <v>3222</v>
      </c>
      <c r="J407" s="11" t="s">
        <v>3223</v>
      </c>
      <c r="K407" s="11" t="s">
        <v>1091</v>
      </c>
      <c r="L407" s="11" t="s">
        <v>126</v>
      </c>
      <c r="M407" s="11" t="s">
        <v>3224</v>
      </c>
      <c r="N407" s="11" t="s">
        <v>128</v>
      </c>
      <c r="O407" s="11" t="s">
        <v>3225</v>
      </c>
      <c r="P407" s="11" t="s">
        <v>3226</v>
      </c>
      <c r="Q407" s="11" t="s">
        <v>131</v>
      </c>
      <c r="R407" s="11"/>
      <c r="S407" s="11" t="s">
        <v>3227</v>
      </c>
      <c r="T407" s="11" t="s">
        <v>133</v>
      </c>
      <c r="U407" s="11" t="s">
        <v>134</v>
      </c>
      <c r="V407" s="11" t="s">
        <v>131</v>
      </c>
      <c r="W407" s="11" t="s">
        <v>133</v>
      </c>
      <c r="X407" s="11">
        <v>52</v>
      </c>
      <c r="Y407" s="11" t="s">
        <v>135</v>
      </c>
      <c r="Z407" s="11">
        <v>80</v>
      </c>
      <c r="AA407" s="11">
        <v>1</v>
      </c>
      <c r="AB407" s="12">
        <v>1</v>
      </c>
    </row>
    <row r="408" spans="1:28" x14ac:dyDescent="0.2">
      <c r="A408" s="7">
        <v>21914</v>
      </c>
      <c r="B408" s="8" t="s">
        <v>3228</v>
      </c>
      <c r="C408" s="8" t="s">
        <v>601</v>
      </c>
      <c r="D408" s="8" t="s">
        <v>602</v>
      </c>
      <c r="E408" s="8" t="s">
        <v>3229</v>
      </c>
      <c r="F408" s="8" t="s">
        <v>604</v>
      </c>
      <c r="G408" s="8" t="s">
        <v>450</v>
      </c>
      <c r="H408" s="8" t="s">
        <v>301</v>
      </c>
      <c r="I408" s="8" t="s">
        <v>605</v>
      </c>
      <c r="J408" s="8" t="s">
        <v>606</v>
      </c>
      <c r="K408" s="8" t="s">
        <v>304</v>
      </c>
      <c r="L408" s="8" t="s">
        <v>229</v>
      </c>
      <c r="M408" s="8" t="s">
        <v>3230</v>
      </c>
      <c r="N408" s="8" t="s">
        <v>128</v>
      </c>
      <c r="O408" s="8" t="s">
        <v>3231</v>
      </c>
      <c r="P408" s="8" t="s">
        <v>3232</v>
      </c>
      <c r="Q408" s="8" t="s">
        <v>131</v>
      </c>
      <c r="R408" s="8"/>
      <c r="S408" s="8" t="s">
        <v>823</v>
      </c>
      <c r="T408" s="8" t="s">
        <v>133</v>
      </c>
      <c r="U408" s="8" t="s">
        <v>134</v>
      </c>
      <c r="V408" s="8" t="s">
        <v>131</v>
      </c>
      <c r="W408" s="8" t="s">
        <v>133</v>
      </c>
      <c r="X408" s="8">
        <v>52</v>
      </c>
      <c r="Y408" s="8" t="s">
        <v>135</v>
      </c>
      <c r="Z408" s="8">
        <v>80</v>
      </c>
      <c r="AA408" s="8">
        <v>1</v>
      </c>
      <c r="AB408" s="9">
        <v>1</v>
      </c>
    </row>
    <row r="409" spans="1:28" x14ac:dyDescent="0.2">
      <c r="A409" s="10">
        <v>22517</v>
      </c>
      <c r="B409" s="11" t="s">
        <v>3233</v>
      </c>
      <c r="C409" s="11" t="s">
        <v>297</v>
      </c>
      <c r="D409" s="11" t="s">
        <v>138</v>
      </c>
      <c r="E409" s="11" t="s">
        <v>3234</v>
      </c>
      <c r="F409" s="11" t="s">
        <v>299</v>
      </c>
      <c r="G409" s="11" t="s">
        <v>300</v>
      </c>
      <c r="H409" s="11" t="s">
        <v>301</v>
      </c>
      <c r="I409" s="11" t="s">
        <v>302</v>
      </c>
      <c r="J409" s="11" t="s">
        <v>303</v>
      </c>
      <c r="K409" s="11" t="s">
        <v>304</v>
      </c>
      <c r="L409" s="11" t="s">
        <v>229</v>
      </c>
      <c r="M409" s="11" t="s">
        <v>3235</v>
      </c>
      <c r="N409" s="11" t="s">
        <v>128</v>
      </c>
      <c r="O409" s="11" t="s">
        <v>3236</v>
      </c>
      <c r="P409" s="11" t="s">
        <v>3237</v>
      </c>
      <c r="Q409" s="11" t="s">
        <v>150</v>
      </c>
      <c r="R409" s="11"/>
      <c r="S409" s="11" t="s">
        <v>308</v>
      </c>
      <c r="T409" s="11" t="s">
        <v>869</v>
      </c>
      <c r="U409" s="11" t="s">
        <v>150</v>
      </c>
      <c r="V409" s="11" t="s">
        <v>869</v>
      </c>
      <c r="W409" s="11" t="s">
        <v>869</v>
      </c>
      <c r="X409" s="11">
        <v>52</v>
      </c>
      <c r="Y409" s="11" t="s">
        <v>135</v>
      </c>
      <c r="Z409" s="11">
        <v>80</v>
      </c>
      <c r="AA409" s="11">
        <v>1</v>
      </c>
      <c r="AB409" s="12">
        <v>1</v>
      </c>
    </row>
    <row r="410" spans="1:28" x14ac:dyDescent="0.2">
      <c r="A410" s="7">
        <v>23867</v>
      </c>
      <c r="B410" s="8" t="s">
        <v>3238</v>
      </c>
      <c r="C410" s="8" t="s">
        <v>3239</v>
      </c>
      <c r="D410" s="8" t="s">
        <v>3240</v>
      </c>
      <c r="E410" s="8" t="s">
        <v>3241</v>
      </c>
      <c r="F410" s="8" t="s">
        <v>353</v>
      </c>
      <c r="G410" s="8" t="s">
        <v>364</v>
      </c>
      <c r="H410" s="8" t="s">
        <v>365</v>
      </c>
      <c r="I410" s="8" t="s">
        <v>3242</v>
      </c>
      <c r="J410" s="8" t="s">
        <v>3243</v>
      </c>
      <c r="K410" s="8" t="s">
        <v>162</v>
      </c>
      <c r="L410" s="8" t="s">
        <v>163</v>
      </c>
      <c r="M410" s="8" t="s">
        <v>3244</v>
      </c>
      <c r="N410" s="8" t="s">
        <v>128</v>
      </c>
      <c r="O410" s="8" t="s">
        <v>3245</v>
      </c>
      <c r="P410" s="8" t="s">
        <v>3246</v>
      </c>
      <c r="Q410" s="8" t="s">
        <v>150</v>
      </c>
      <c r="R410" s="8"/>
      <c r="S410" s="8" t="s">
        <v>71</v>
      </c>
      <c r="T410" s="8" t="s">
        <v>168</v>
      </c>
      <c r="U410" s="8" t="s">
        <v>150</v>
      </c>
      <c r="V410" s="8" t="s">
        <v>168</v>
      </c>
      <c r="W410" s="8" t="s">
        <v>168</v>
      </c>
      <c r="X410" s="8">
        <v>52</v>
      </c>
      <c r="Y410" s="8" t="s">
        <v>135</v>
      </c>
      <c r="Z410" s="8">
        <v>80</v>
      </c>
      <c r="AA410" s="8">
        <v>0</v>
      </c>
      <c r="AB410" s="9">
        <v>0</v>
      </c>
    </row>
    <row r="411" spans="1:28" x14ac:dyDescent="0.2">
      <c r="A411" s="10">
        <v>23784</v>
      </c>
      <c r="B411" s="11" t="s">
        <v>3247</v>
      </c>
      <c r="C411" s="11" t="s">
        <v>3248</v>
      </c>
      <c r="D411" s="11" t="s">
        <v>3249</v>
      </c>
      <c r="E411" s="11" t="s">
        <v>3250</v>
      </c>
      <c r="F411" s="11" t="s">
        <v>484</v>
      </c>
      <c r="G411" s="11" t="s">
        <v>224</v>
      </c>
      <c r="H411" s="11" t="s">
        <v>225</v>
      </c>
      <c r="I411" s="11" t="s">
        <v>3251</v>
      </c>
      <c r="J411" s="11" t="s">
        <v>3252</v>
      </c>
      <c r="K411" s="11" t="s">
        <v>228</v>
      </c>
      <c r="L411" s="11" t="s">
        <v>229</v>
      </c>
      <c r="M411" s="11" t="s">
        <v>3253</v>
      </c>
      <c r="N411" s="11" t="s">
        <v>128</v>
      </c>
      <c r="O411" s="11" t="s">
        <v>3254</v>
      </c>
      <c r="P411" s="11" t="s">
        <v>3255</v>
      </c>
      <c r="Q411" s="11" t="s">
        <v>150</v>
      </c>
      <c r="R411" s="11"/>
      <c r="S411" s="11" t="s">
        <v>71</v>
      </c>
      <c r="T411" s="11" t="s">
        <v>168</v>
      </c>
      <c r="U411" s="11" t="s">
        <v>150</v>
      </c>
      <c r="V411" s="11" t="s">
        <v>168</v>
      </c>
      <c r="W411" s="11" t="s">
        <v>168</v>
      </c>
      <c r="X411" s="11">
        <v>52</v>
      </c>
      <c r="Y411" s="11" t="s">
        <v>135</v>
      </c>
      <c r="Z411" s="11">
        <v>80</v>
      </c>
      <c r="AA411" s="11">
        <v>0</v>
      </c>
      <c r="AB411" s="12">
        <v>0</v>
      </c>
    </row>
    <row r="412" spans="1:28" x14ac:dyDescent="0.2">
      <c r="A412" s="7">
        <v>23587</v>
      </c>
      <c r="B412" s="8" t="s">
        <v>3256</v>
      </c>
      <c r="C412" s="8" t="s">
        <v>3257</v>
      </c>
      <c r="D412" s="8" t="s">
        <v>3258</v>
      </c>
      <c r="E412" s="8"/>
      <c r="F412" s="8" t="s">
        <v>353</v>
      </c>
      <c r="G412" s="8" t="s">
        <v>3259</v>
      </c>
      <c r="H412" s="8" t="s">
        <v>557</v>
      </c>
      <c r="I412" s="8" t="s">
        <v>3260</v>
      </c>
      <c r="J412" s="8" t="s">
        <v>3261</v>
      </c>
      <c r="K412" s="8" t="s">
        <v>1562</v>
      </c>
      <c r="L412" s="8" t="s">
        <v>229</v>
      </c>
      <c r="M412" s="8" t="s">
        <v>3262</v>
      </c>
      <c r="N412" s="8" t="s">
        <v>128</v>
      </c>
      <c r="O412" s="8" t="s">
        <v>3263</v>
      </c>
      <c r="P412" s="8" t="s">
        <v>3264</v>
      </c>
      <c r="Q412" s="8" t="s">
        <v>150</v>
      </c>
      <c r="R412" s="8"/>
      <c r="S412" s="8" t="s">
        <v>71</v>
      </c>
      <c r="T412" s="8" t="s">
        <v>168</v>
      </c>
      <c r="U412" s="8" t="s">
        <v>150</v>
      </c>
      <c r="V412" s="8" t="s">
        <v>168</v>
      </c>
      <c r="W412" s="8" t="s">
        <v>168</v>
      </c>
      <c r="X412" s="8">
        <v>52</v>
      </c>
      <c r="Y412" s="8" t="s">
        <v>135</v>
      </c>
      <c r="Z412" s="8">
        <v>80</v>
      </c>
      <c r="AA412" s="8">
        <v>0</v>
      </c>
      <c r="AB412" s="9">
        <v>0</v>
      </c>
    </row>
    <row r="413" spans="1:28" x14ac:dyDescent="0.2">
      <c r="A413" s="10">
        <v>24157</v>
      </c>
      <c r="B413" s="11" t="s">
        <v>3265</v>
      </c>
      <c r="C413" s="11" t="s">
        <v>154</v>
      </c>
      <c r="D413" s="11" t="s">
        <v>155</v>
      </c>
      <c r="E413" s="11" t="s">
        <v>3266</v>
      </c>
      <c r="F413" s="11" t="s">
        <v>157</v>
      </c>
      <c r="G413" s="11" t="s">
        <v>158</v>
      </c>
      <c r="H413" s="11" t="s">
        <v>159</v>
      </c>
      <c r="I413" s="11" t="s">
        <v>160</v>
      </c>
      <c r="J413" s="11" t="s">
        <v>161</v>
      </c>
      <c r="K413" s="11" t="s">
        <v>162</v>
      </c>
      <c r="L413" s="11" t="s">
        <v>163</v>
      </c>
      <c r="M413" s="11" t="s">
        <v>3267</v>
      </c>
      <c r="N413" s="11" t="s">
        <v>128</v>
      </c>
      <c r="O413" s="11" t="s">
        <v>3268</v>
      </c>
      <c r="P413" s="11" t="s">
        <v>3269</v>
      </c>
      <c r="Q413" s="11" t="s">
        <v>150</v>
      </c>
      <c r="R413" s="11"/>
      <c r="S413" s="11" t="s">
        <v>167</v>
      </c>
      <c r="T413" s="11" t="s">
        <v>3270</v>
      </c>
      <c r="U413" s="11" t="s">
        <v>150</v>
      </c>
      <c r="V413" s="11" t="s">
        <v>3270</v>
      </c>
      <c r="W413" s="11" t="s">
        <v>3270</v>
      </c>
      <c r="X413" s="11">
        <v>52</v>
      </c>
      <c r="Y413" s="11" t="s">
        <v>135</v>
      </c>
      <c r="Z413" s="11">
        <v>20</v>
      </c>
      <c r="AA413" s="11">
        <v>1</v>
      </c>
      <c r="AB413" s="12">
        <v>0</v>
      </c>
    </row>
    <row r="414" spans="1:28" x14ac:dyDescent="0.2">
      <c r="A414" s="7">
        <v>24682</v>
      </c>
      <c r="B414" s="8" t="s">
        <v>3271</v>
      </c>
      <c r="C414" s="8" t="s">
        <v>3272</v>
      </c>
      <c r="D414" s="8" t="s">
        <v>2348</v>
      </c>
      <c r="E414" s="8"/>
      <c r="F414" s="8" t="s">
        <v>3273</v>
      </c>
      <c r="G414" s="8" t="s">
        <v>3274</v>
      </c>
      <c r="H414" s="8" t="s">
        <v>329</v>
      </c>
      <c r="I414" s="8" t="s">
        <v>3275</v>
      </c>
      <c r="J414" s="8" t="s">
        <v>3276</v>
      </c>
      <c r="K414" s="8" t="s">
        <v>431</v>
      </c>
      <c r="L414" s="8" t="s">
        <v>333</v>
      </c>
      <c r="M414" s="8" t="s">
        <v>3277</v>
      </c>
      <c r="N414" s="8" t="s">
        <v>128</v>
      </c>
      <c r="O414" s="8" t="s">
        <v>3278</v>
      </c>
      <c r="P414" s="8" t="s">
        <v>258</v>
      </c>
      <c r="Q414" s="8" t="s">
        <v>150</v>
      </c>
      <c r="R414" s="8"/>
      <c r="S414" s="8" t="s">
        <v>71</v>
      </c>
      <c r="T414" s="8" t="s">
        <v>69</v>
      </c>
      <c r="U414" s="8" t="s">
        <v>150</v>
      </c>
      <c r="V414" s="8" t="s">
        <v>152</v>
      </c>
      <c r="W414" s="8" t="s">
        <v>69</v>
      </c>
      <c r="X414" s="8">
        <v>52</v>
      </c>
      <c r="Y414" s="8" t="s">
        <v>135</v>
      </c>
      <c r="Z414" s="8">
        <v>80</v>
      </c>
      <c r="AA414" s="8">
        <v>0</v>
      </c>
      <c r="AB414" s="9">
        <v>0</v>
      </c>
    </row>
    <row r="415" spans="1:28" x14ac:dyDescent="0.2">
      <c r="A415" s="10">
        <v>20713</v>
      </c>
      <c r="B415" s="11" t="s">
        <v>3279</v>
      </c>
      <c r="C415" s="11" t="s">
        <v>566</v>
      </c>
      <c r="D415" s="11" t="s">
        <v>567</v>
      </c>
      <c r="E415" s="11" t="s">
        <v>281</v>
      </c>
      <c r="F415" s="11" t="s">
        <v>569</v>
      </c>
      <c r="G415" s="11" t="s">
        <v>328</v>
      </c>
      <c r="H415" s="11" t="s">
        <v>329</v>
      </c>
      <c r="I415" s="11" t="s">
        <v>570</v>
      </c>
      <c r="J415" s="11" t="s">
        <v>723</v>
      </c>
      <c r="K415" s="11" t="s">
        <v>572</v>
      </c>
      <c r="L415" s="11" t="s">
        <v>333</v>
      </c>
      <c r="M415" s="11" t="s">
        <v>3280</v>
      </c>
      <c r="N415" s="11" t="s">
        <v>128</v>
      </c>
      <c r="O415" s="11" t="s">
        <v>3281</v>
      </c>
      <c r="P415" s="11" t="s">
        <v>3282</v>
      </c>
      <c r="Q415" s="11" t="s">
        <v>740</v>
      </c>
      <c r="R415" s="11"/>
      <c r="S415" s="11" t="s">
        <v>576</v>
      </c>
      <c r="T415" s="11" t="s">
        <v>1745</v>
      </c>
      <c r="U415" s="11" t="s">
        <v>134</v>
      </c>
      <c r="V415" s="11" t="s">
        <v>740</v>
      </c>
      <c r="W415" s="11" t="s">
        <v>1745</v>
      </c>
      <c r="X415" s="11">
        <v>52</v>
      </c>
      <c r="Y415" s="11" t="s">
        <v>135</v>
      </c>
      <c r="Z415" s="11">
        <v>20</v>
      </c>
      <c r="AA415" s="11">
        <v>1</v>
      </c>
      <c r="AB415" s="12">
        <v>0</v>
      </c>
    </row>
    <row r="416" spans="1:28" x14ac:dyDescent="0.2">
      <c r="A416" s="7">
        <v>235342</v>
      </c>
      <c r="B416" s="8" t="s">
        <v>3283</v>
      </c>
      <c r="C416" s="8" t="s">
        <v>552</v>
      </c>
      <c r="D416" s="8" t="s">
        <v>553</v>
      </c>
      <c r="E416" s="8"/>
      <c r="F416" s="8" t="s">
        <v>3284</v>
      </c>
      <c r="G416" s="8" t="s">
        <v>556</v>
      </c>
      <c r="H416" s="8" t="s">
        <v>557</v>
      </c>
      <c r="I416" s="8" t="s">
        <v>2597</v>
      </c>
      <c r="J416" s="8" t="s">
        <v>940</v>
      </c>
      <c r="K416" s="8" t="s">
        <v>560</v>
      </c>
      <c r="L416" s="8" t="s">
        <v>229</v>
      </c>
      <c r="M416" s="8" t="s">
        <v>3285</v>
      </c>
      <c r="N416" s="8" t="s">
        <v>128</v>
      </c>
      <c r="O416" s="8" t="s">
        <v>3286</v>
      </c>
      <c r="P416" s="8" t="s">
        <v>3287</v>
      </c>
      <c r="Q416" s="8" t="s">
        <v>740</v>
      </c>
      <c r="R416" s="8"/>
      <c r="S416" s="8" t="s">
        <v>564</v>
      </c>
      <c r="T416" s="8" t="s">
        <v>1745</v>
      </c>
      <c r="U416" s="8" t="s">
        <v>134</v>
      </c>
      <c r="V416" s="8" t="s">
        <v>740</v>
      </c>
      <c r="W416" s="8" t="s">
        <v>1745</v>
      </c>
      <c r="X416" s="8">
        <v>52</v>
      </c>
      <c r="Y416" s="8" t="s">
        <v>135</v>
      </c>
      <c r="Z416" s="8">
        <v>20</v>
      </c>
      <c r="AA416" s="8">
        <v>1</v>
      </c>
      <c r="AB416" s="9">
        <v>0</v>
      </c>
    </row>
    <row r="417" spans="1:28" x14ac:dyDescent="0.2">
      <c r="A417" s="10">
        <v>25198</v>
      </c>
      <c r="B417" s="11" t="s">
        <v>3288</v>
      </c>
      <c r="C417" s="11" t="s">
        <v>601</v>
      </c>
      <c r="D417" s="11" t="s">
        <v>602</v>
      </c>
      <c r="E417" s="11" t="s">
        <v>3289</v>
      </c>
      <c r="F417" s="11" t="s">
        <v>604</v>
      </c>
      <c r="G417" s="11" t="s">
        <v>450</v>
      </c>
      <c r="H417" s="11" t="s">
        <v>301</v>
      </c>
      <c r="I417" s="11" t="s">
        <v>605</v>
      </c>
      <c r="J417" s="11" t="s">
        <v>606</v>
      </c>
      <c r="K417" s="11" t="s">
        <v>304</v>
      </c>
      <c r="L417" s="11" t="s">
        <v>229</v>
      </c>
      <c r="M417" s="11" t="s">
        <v>3290</v>
      </c>
      <c r="N417" s="11" t="s">
        <v>128</v>
      </c>
      <c r="O417" s="11" t="s">
        <v>3291</v>
      </c>
      <c r="P417" s="11" t="s">
        <v>3292</v>
      </c>
      <c r="Q417" s="11" t="s">
        <v>740</v>
      </c>
      <c r="R417" s="11"/>
      <c r="S417" s="11" t="s">
        <v>823</v>
      </c>
      <c r="T417" s="11" t="s">
        <v>741</v>
      </c>
      <c r="U417" s="11" t="s">
        <v>134</v>
      </c>
      <c r="V417" s="11" t="s">
        <v>740</v>
      </c>
      <c r="W417" s="11" t="s">
        <v>741</v>
      </c>
      <c r="X417" s="11">
        <v>52</v>
      </c>
      <c r="Y417" s="11" t="s">
        <v>135</v>
      </c>
      <c r="Z417" s="11">
        <v>80</v>
      </c>
      <c r="AA417" s="11">
        <v>1</v>
      </c>
      <c r="AB417" s="12">
        <v>1</v>
      </c>
    </row>
    <row r="418" spans="1:28" x14ac:dyDescent="0.2">
      <c r="A418" s="7">
        <v>25222</v>
      </c>
      <c r="B418" s="8" t="s">
        <v>3293</v>
      </c>
      <c r="C418" s="8" t="s">
        <v>186</v>
      </c>
      <c r="D418" s="8" t="s">
        <v>187</v>
      </c>
      <c r="E418" s="8" t="s">
        <v>3294</v>
      </c>
      <c r="F418" s="8" t="s">
        <v>189</v>
      </c>
      <c r="G418" s="8" t="s">
        <v>190</v>
      </c>
      <c r="H418" s="8" t="s">
        <v>191</v>
      </c>
      <c r="I418" s="8" t="s">
        <v>192</v>
      </c>
      <c r="J418" s="8" t="s">
        <v>193</v>
      </c>
      <c r="K418" s="8" t="s">
        <v>194</v>
      </c>
      <c r="L418" s="8" t="s">
        <v>163</v>
      </c>
      <c r="M418" s="8" t="s">
        <v>3295</v>
      </c>
      <c r="N418" s="8" t="s">
        <v>128</v>
      </c>
      <c r="O418" s="8" t="s">
        <v>3296</v>
      </c>
      <c r="P418" s="8" t="s">
        <v>3297</v>
      </c>
      <c r="Q418" s="8" t="s">
        <v>740</v>
      </c>
      <c r="R418" s="8"/>
      <c r="S418" s="8" t="s">
        <v>198</v>
      </c>
      <c r="T418" s="8" t="s">
        <v>741</v>
      </c>
      <c r="U418" s="8" t="s">
        <v>134</v>
      </c>
      <c r="V418" s="8" t="s">
        <v>740</v>
      </c>
      <c r="W418" s="8" t="s">
        <v>741</v>
      </c>
      <c r="X418" s="8">
        <v>52</v>
      </c>
      <c r="Y418" s="8" t="s">
        <v>135</v>
      </c>
      <c r="Z418" s="8">
        <v>20</v>
      </c>
      <c r="AA418" s="8">
        <v>1</v>
      </c>
      <c r="AB418" s="9">
        <v>0</v>
      </c>
    </row>
    <row r="419" spans="1:28" x14ac:dyDescent="0.2">
      <c r="A419" s="10">
        <v>25195</v>
      </c>
      <c r="B419" s="11" t="s">
        <v>3298</v>
      </c>
      <c r="C419" s="11" t="s">
        <v>1961</v>
      </c>
      <c r="D419" s="11" t="s">
        <v>1962</v>
      </c>
      <c r="E419" s="11" t="s">
        <v>3299</v>
      </c>
      <c r="F419" s="11" t="s">
        <v>1963</v>
      </c>
      <c r="G419" s="11" t="s">
        <v>328</v>
      </c>
      <c r="H419" s="11" t="s">
        <v>329</v>
      </c>
      <c r="I419" s="11" t="s">
        <v>2315</v>
      </c>
      <c r="J419" s="11" t="s">
        <v>3300</v>
      </c>
      <c r="K419" s="11" t="s">
        <v>572</v>
      </c>
      <c r="L419" s="11" t="s">
        <v>333</v>
      </c>
      <c r="M419" s="11" t="s">
        <v>3301</v>
      </c>
      <c r="N419" s="11" t="s">
        <v>128</v>
      </c>
      <c r="O419" s="11" t="s">
        <v>3302</v>
      </c>
      <c r="P419" s="11" t="s">
        <v>3303</v>
      </c>
      <c r="Q419" s="11" t="s">
        <v>740</v>
      </c>
      <c r="R419" s="11"/>
      <c r="S419" s="11" t="s">
        <v>1969</v>
      </c>
      <c r="T419" s="11" t="s">
        <v>741</v>
      </c>
      <c r="U419" s="11" t="s">
        <v>134</v>
      </c>
      <c r="V419" s="11" t="s">
        <v>740</v>
      </c>
      <c r="W419" s="11" t="s">
        <v>741</v>
      </c>
      <c r="X419" s="11">
        <v>52</v>
      </c>
      <c r="Y419" s="11" t="s">
        <v>135</v>
      </c>
      <c r="Z419" s="11">
        <v>80</v>
      </c>
      <c r="AA419" s="11">
        <v>1</v>
      </c>
      <c r="AB419" s="12">
        <v>1</v>
      </c>
    </row>
    <row r="420" spans="1:28" x14ac:dyDescent="0.2">
      <c r="A420" s="7">
        <v>26932</v>
      </c>
      <c r="B420" s="8" t="s">
        <v>3304</v>
      </c>
      <c r="C420" s="8" t="s">
        <v>590</v>
      </c>
      <c r="D420" s="8" t="s">
        <v>591</v>
      </c>
      <c r="E420" s="8"/>
      <c r="F420" s="8" t="s">
        <v>593</v>
      </c>
      <c r="G420" s="8" t="s">
        <v>141</v>
      </c>
      <c r="H420" s="8" t="s">
        <v>142</v>
      </c>
      <c r="I420" s="8" t="s">
        <v>1152</v>
      </c>
      <c r="J420" s="8" t="s">
        <v>2110</v>
      </c>
      <c r="K420" s="8" t="s">
        <v>216</v>
      </c>
      <c r="L420" s="8" t="s">
        <v>146</v>
      </c>
      <c r="M420" s="8" t="s">
        <v>3305</v>
      </c>
      <c r="N420" s="8" t="s">
        <v>128</v>
      </c>
      <c r="O420" s="8" t="s">
        <v>3306</v>
      </c>
      <c r="P420" s="8"/>
      <c r="Q420" s="8" t="s">
        <v>249</v>
      </c>
      <c r="R420" s="8"/>
      <c r="S420" s="8" t="s">
        <v>599</v>
      </c>
      <c r="T420" s="8" t="s">
        <v>1523</v>
      </c>
      <c r="U420" s="8" t="s">
        <v>134</v>
      </c>
      <c r="V420" s="8" t="s">
        <v>249</v>
      </c>
      <c r="W420" s="8" t="s">
        <v>1523</v>
      </c>
      <c r="X420" s="8">
        <v>52</v>
      </c>
      <c r="Y420" s="8" t="s">
        <v>135</v>
      </c>
      <c r="Z420" s="8">
        <v>20</v>
      </c>
      <c r="AA420" s="8">
        <v>1</v>
      </c>
      <c r="AB420" s="9">
        <v>0</v>
      </c>
    </row>
    <row r="421" spans="1:28" x14ac:dyDescent="0.2">
      <c r="A421" s="10">
        <v>20774</v>
      </c>
      <c r="B421" s="11" t="s">
        <v>3307</v>
      </c>
      <c r="C421" s="11" t="s">
        <v>3308</v>
      </c>
      <c r="D421" s="11" t="s">
        <v>3309</v>
      </c>
      <c r="E421" s="11"/>
      <c r="F421" s="11" t="s">
        <v>3310</v>
      </c>
      <c r="G421" s="11" t="s">
        <v>521</v>
      </c>
      <c r="H421" s="11" t="s">
        <v>522</v>
      </c>
      <c r="I421" s="11" t="s">
        <v>3311</v>
      </c>
      <c r="J421" s="11" t="s">
        <v>3312</v>
      </c>
      <c r="K421" s="11" t="s">
        <v>525</v>
      </c>
      <c r="L421" s="11" t="s">
        <v>526</v>
      </c>
      <c r="M421" s="11" t="s">
        <v>3313</v>
      </c>
      <c r="N421" s="11" t="s">
        <v>128</v>
      </c>
      <c r="O421" s="11" t="s">
        <v>3314</v>
      </c>
      <c r="P421" s="11" t="s">
        <v>3315</v>
      </c>
      <c r="Q421" s="11" t="s">
        <v>150</v>
      </c>
      <c r="R421" s="11"/>
      <c r="S421" s="11" t="s">
        <v>71</v>
      </c>
      <c r="T421" s="11" t="s">
        <v>531</v>
      </c>
      <c r="U421" s="11" t="s">
        <v>150</v>
      </c>
      <c r="V421" s="11" t="s">
        <v>531</v>
      </c>
      <c r="W421" s="11" t="s">
        <v>531</v>
      </c>
      <c r="X421" s="11">
        <v>51</v>
      </c>
      <c r="Y421" s="11" t="s">
        <v>135</v>
      </c>
      <c r="Z421" s="11">
        <v>80</v>
      </c>
      <c r="AA421" s="11">
        <v>0</v>
      </c>
      <c r="AB421" s="12">
        <v>0</v>
      </c>
    </row>
    <row r="422" spans="1:28" x14ac:dyDescent="0.2">
      <c r="A422" s="7">
        <v>21576</v>
      </c>
      <c r="B422" s="8" t="s">
        <v>3316</v>
      </c>
      <c r="C422" s="8" t="s">
        <v>3317</v>
      </c>
      <c r="D422" s="8" t="s">
        <v>3318</v>
      </c>
      <c r="E422" s="8" t="s">
        <v>3319</v>
      </c>
      <c r="F422" s="8" t="s">
        <v>353</v>
      </c>
      <c r="G422" s="8" t="s">
        <v>1196</v>
      </c>
      <c r="H422" s="8" t="s">
        <v>142</v>
      </c>
      <c r="I422" s="8" t="s">
        <v>3320</v>
      </c>
      <c r="J422" s="8" t="s">
        <v>3321</v>
      </c>
      <c r="K422" s="8" t="s">
        <v>1199</v>
      </c>
      <c r="L422" s="8" t="s">
        <v>464</v>
      </c>
      <c r="M422" s="8" t="s">
        <v>3322</v>
      </c>
      <c r="N422" s="8" t="s">
        <v>128</v>
      </c>
      <c r="O422" s="8" t="s">
        <v>3323</v>
      </c>
      <c r="P422" s="8" t="s">
        <v>3324</v>
      </c>
      <c r="Q422" s="8" t="s">
        <v>150</v>
      </c>
      <c r="R422" s="8"/>
      <c r="S422" s="8" t="s">
        <v>71</v>
      </c>
      <c r="T422" s="8" t="s">
        <v>67</v>
      </c>
      <c r="U422" s="8" t="s">
        <v>150</v>
      </c>
      <c r="V422" s="8" t="s">
        <v>152</v>
      </c>
      <c r="W422" s="8" t="s">
        <v>67</v>
      </c>
      <c r="X422" s="8">
        <v>51</v>
      </c>
      <c r="Y422" s="8" t="s">
        <v>135</v>
      </c>
      <c r="Z422" s="8">
        <v>80</v>
      </c>
      <c r="AA422" s="8">
        <v>0</v>
      </c>
      <c r="AB422" s="9">
        <v>0</v>
      </c>
    </row>
    <row r="423" spans="1:28" x14ac:dyDescent="0.2">
      <c r="A423" s="10">
        <v>21470</v>
      </c>
      <c r="B423" s="11" t="s">
        <v>3325</v>
      </c>
      <c r="C423" s="11" t="s">
        <v>3326</v>
      </c>
      <c r="D423" s="11" t="s">
        <v>3327</v>
      </c>
      <c r="E423" s="11" t="s">
        <v>3328</v>
      </c>
      <c r="F423" s="11" t="s">
        <v>3329</v>
      </c>
      <c r="G423" s="11" t="s">
        <v>141</v>
      </c>
      <c r="H423" s="11" t="s">
        <v>142</v>
      </c>
      <c r="I423" s="11" t="s">
        <v>3330</v>
      </c>
      <c r="J423" s="11" t="s">
        <v>3331</v>
      </c>
      <c r="K423" s="11" t="s">
        <v>403</v>
      </c>
      <c r="L423" s="11" t="s">
        <v>146</v>
      </c>
      <c r="M423" s="11" t="s">
        <v>3332</v>
      </c>
      <c r="N423" s="11" t="s">
        <v>128</v>
      </c>
      <c r="O423" s="11" t="s">
        <v>3333</v>
      </c>
      <c r="P423" s="11" t="s">
        <v>1710</v>
      </c>
      <c r="Q423" s="11" t="s">
        <v>150</v>
      </c>
      <c r="R423" s="11"/>
      <c r="S423" s="11" t="s">
        <v>71</v>
      </c>
      <c r="T423" s="11" t="s">
        <v>67</v>
      </c>
      <c r="U423" s="11" t="s">
        <v>150</v>
      </c>
      <c r="V423" s="11" t="s">
        <v>152</v>
      </c>
      <c r="W423" s="11" t="s">
        <v>67</v>
      </c>
      <c r="X423" s="11">
        <v>51</v>
      </c>
      <c r="Y423" s="11" t="s">
        <v>135</v>
      </c>
      <c r="Z423" s="11">
        <v>80</v>
      </c>
      <c r="AA423" s="11">
        <v>0</v>
      </c>
      <c r="AB423" s="12">
        <v>0</v>
      </c>
    </row>
    <row r="424" spans="1:28" x14ac:dyDescent="0.2">
      <c r="A424" s="7">
        <v>21657</v>
      </c>
      <c r="B424" s="8" t="s">
        <v>3334</v>
      </c>
      <c r="C424" s="8" t="s">
        <v>3335</v>
      </c>
      <c r="D424" s="8" t="s">
        <v>138</v>
      </c>
      <c r="E424" s="8" t="s">
        <v>3336</v>
      </c>
      <c r="F424" s="8" t="s">
        <v>3337</v>
      </c>
      <c r="G424" s="8" t="s">
        <v>328</v>
      </c>
      <c r="H424" s="8" t="s">
        <v>329</v>
      </c>
      <c r="I424" s="8" t="s">
        <v>3338</v>
      </c>
      <c r="J424" s="8" t="s">
        <v>3339</v>
      </c>
      <c r="K424" s="8" t="s">
        <v>332</v>
      </c>
      <c r="L424" s="8" t="s">
        <v>333</v>
      </c>
      <c r="M424" s="8" t="s">
        <v>3340</v>
      </c>
      <c r="N424" s="8" t="s">
        <v>128</v>
      </c>
      <c r="O424" s="8" t="s">
        <v>3341</v>
      </c>
      <c r="P424" s="8" t="s">
        <v>3342</v>
      </c>
      <c r="Q424" s="8" t="s">
        <v>150</v>
      </c>
      <c r="R424" s="8"/>
      <c r="S424" s="8" t="s">
        <v>71</v>
      </c>
      <c r="T424" s="8" t="s">
        <v>67</v>
      </c>
      <c r="U424" s="8" t="s">
        <v>150</v>
      </c>
      <c r="V424" s="8" t="s">
        <v>152</v>
      </c>
      <c r="W424" s="8" t="s">
        <v>67</v>
      </c>
      <c r="X424" s="8">
        <v>51</v>
      </c>
      <c r="Y424" s="8" t="s">
        <v>135</v>
      </c>
      <c r="Z424" s="8">
        <v>80</v>
      </c>
      <c r="AA424" s="8">
        <v>0</v>
      </c>
      <c r="AB424" s="9">
        <v>0</v>
      </c>
    </row>
    <row r="425" spans="1:28" x14ac:dyDescent="0.2">
      <c r="A425" s="10">
        <v>21925</v>
      </c>
      <c r="B425" s="11" t="s">
        <v>3343</v>
      </c>
      <c r="C425" s="11" t="s">
        <v>627</v>
      </c>
      <c r="D425" s="11" t="s">
        <v>628</v>
      </c>
      <c r="E425" s="11" t="s">
        <v>3344</v>
      </c>
      <c r="F425" s="11" t="s">
        <v>630</v>
      </c>
      <c r="G425" s="11" t="s">
        <v>141</v>
      </c>
      <c r="H425" s="11" t="s">
        <v>142</v>
      </c>
      <c r="I425" s="11" t="s">
        <v>631</v>
      </c>
      <c r="J425" s="11" t="s">
        <v>632</v>
      </c>
      <c r="K425" s="11" t="s">
        <v>216</v>
      </c>
      <c r="L425" s="11" t="s">
        <v>146</v>
      </c>
      <c r="M425" s="11" t="s">
        <v>3345</v>
      </c>
      <c r="N425" s="11" t="s">
        <v>128</v>
      </c>
      <c r="O425" s="11" t="s">
        <v>3346</v>
      </c>
      <c r="P425" s="11" t="s">
        <v>2567</v>
      </c>
      <c r="Q425" s="11" t="s">
        <v>131</v>
      </c>
      <c r="R425" s="11"/>
      <c r="S425" s="11" t="s">
        <v>636</v>
      </c>
      <c r="T425" s="11" t="s">
        <v>133</v>
      </c>
      <c r="U425" s="11" t="s">
        <v>134</v>
      </c>
      <c r="V425" s="11" t="s">
        <v>131</v>
      </c>
      <c r="W425" s="11" t="s">
        <v>133</v>
      </c>
      <c r="X425" s="11">
        <v>51</v>
      </c>
      <c r="Y425" s="11" t="s">
        <v>135</v>
      </c>
      <c r="Z425" s="11">
        <v>20</v>
      </c>
      <c r="AA425" s="11">
        <v>1</v>
      </c>
      <c r="AB425" s="12">
        <v>0</v>
      </c>
    </row>
    <row r="426" spans="1:28" x14ac:dyDescent="0.2">
      <c r="A426" s="7">
        <v>22055</v>
      </c>
      <c r="B426" s="8" t="s">
        <v>3347</v>
      </c>
      <c r="C426" s="8" t="s">
        <v>876</v>
      </c>
      <c r="D426" s="8"/>
      <c r="E426" s="8" t="s">
        <v>3348</v>
      </c>
      <c r="F426" s="8" t="s">
        <v>878</v>
      </c>
      <c r="G426" s="8" t="s">
        <v>224</v>
      </c>
      <c r="H426" s="8" t="s">
        <v>225</v>
      </c>
      <c r="I426" s="8" t="s">
        <v>1005</v>
      </c>
      <c r="J426" s="8" t="s">
        <v>880</v>
      </c>
      <c r="K426" s="8" t="s">
        <v>228</v>
      </c>
      <c r="L426" s="8" t="s">
        <v>229</v>
      </c>
      <c r="M426" s="8" t="s">
        <v>3349</v>
      </c>
      <c r="N426" s="8" t="s">
        <v>128</v>
      </c>
      <c r="O426" s="8" t="s">
        <v>3350</v>
      </c>
      <c r="P426" s="8" t="s">
        <v>3351</v>
      </c>
      <c r="Q426" s="8" t="s">
        <v>131</v>
      </c>
      <c r="R426" s="8"/>
      <c r="S426" s="8" t="s">
        <v>884</v>
      </c>
      <c r="T426" s="8" t="s">
        <v>133</v>
      </c>
      <c r="U426" s="8" t="s">
        <v>134</v>
      </c>
      <c r="V426" s="8" t="s">
        <v>131</v>
      </c>
      <c r="W426" s="8" t="s">
        <v>133</v>
      </c>
      <c r="X426" s="8">
        <v>51</v>
      </c>
      <c r="Y426" s="8" t="s">
        <v>135</v>
      </c>
      <c r="Z426" s="8">
        <v>80</v>
      </c>
      <c r="AA426" s="8">
        <v>1</v>
      </c>
      <c r="AB426" s="9">
        <v>1</v>
      </c>
    </row>
    <row r="427" spans="1:28" x14ac:dyDescent="0.2">
      <c r="A427" s="10">
        <v>21840</v>
      </c>
      <c r="B427" s="11" t="s">
        <v>3352</v>
      </c>
      <c r="C427" s="11" t="s">
        <v>566</v>
      </c>
      <c r="D427" s="11" t="s">
        <v>567</v>
      </c>
      <c r="E427" s="11" t="s">
        <v>3020</v>
      </c>
      <c r="F427" s="11" t="s">
        <v>569</v>
      </c>
      <c r="G427" s="11" t="s">
        <v>328</v>
      </c>
      <c r="H427" s="11" t="s">
        <v>329</v>
      </c>
      <c r="I427" s="11" t="s">
        <v>570</v>
      </c>
      <c r="J427" s="11" t="s">
        <v>571</v>
      </c>
      <c r="K427" s="11" t="s">
        <v>572</v>
      </c>
      <c r="L427" s="11" t="s">
        <v>333</v>
      </c>
      <c r="M427" s="11" t="s">
        <v>3353</v>
      </c>
      <c r="N427" s="11" t="s">
        <v>128</v>
      </c>
      <c r="O427" s="11" t="s">
        <v>3354</v>
      </c>
      <c r="P427" s="11" t="s">
        <v>3355</v>
      </c>
      <c r="Q427" s="11" t="s">
        <v>131</v>
      </c>
      <c r="R427" s="11"/>
      <c r="S427" s="11" t="s">
        <v>576</v>
      </c>
      <c r="T427" s="11" t="s">
        <v>133</v>
      </c>
      <c r="U427" s="11" t="s">
        <v>134</v>
      </c>
      <c r="V427" s="11" t="s">
        <v>131</v>
      </c>
      <c r="W427" s="11" t="s">
        <v>133</v>
      </c>
      <c r="X427" s="11">
        <v>51</v>
      </c>
      <c r="Y427" s="11" t="s">
        <v>135</v>
      </c>
      <c r="Z427" s="11">
        <v>80</v>
      </c>
      <c r="AA427" s="11">
        <v>1</v>
      </c>
      <c r="AB427" s="12">
        <v>1</v>
      </c>
    </row>
    <row r="428" spans="1:28" x14ac:dyDescent="0.2">
      <c r="A428" s="7">
        <v>21814</v>
      </c>
      <c r="B428" s="8" t="s">
        <v>3356</v>
      </c>
      <c r="C428" s="8" t="s">
        <v>266</v>
      </c>
      <c r="D428" s="8" t="s">
        <v>267</v>
      </c>
      <c r="E428" s="8"/>
      <c r="F428" s="8" t="s">
        <v>269</v>
      </c>
      <c r="G428" s="8" t="s">
        <v>270</v>
      </c>
      <c r="H428" s="8" t="s">
        <v>271</v>
      </c>
      <c r="I428" s="8" t="s">
        <v>272</v>
      </c>
      <c r="J428" s="8" t="s">
        <v>3357</v>
      </c>
      <c r="K428" s="8" t="s">
        <v>274</v>
      </c>
      <c r="L428" s="8" t="s">
        <v>163</v>
      </c>
      <c r="M428" s="8" t="s">
        <v>3358</v>
      </c>
      <c r="N428" s="8" t="s">
        <v>128</v>
      </c>
      <c r="O428" s="8" t="s">
        <v>3359</v>
      </c>
      <c r="P428" s="8" t="s">
        <v>3360</v>
      </c>
      <c r="Q428" s="8" t="s">
        <v>131</v>
      </c>
      <c r="R428" s="8"/>
      <c r="S428" s="8" t="s">
        <v>278</v>
      </c>
      <c r="T428" s="8" t="s">
        <v>133</v>
      </c>
      <c r="U428" s="8" t="s">
        <v>134</v>
      </c>
      <c r="V428" s="8" t="s">
        <v>131</v>
      </c>
      <c r="W428" s="8" t="s">
        <v>133</v>
      </c>
      <c r="X428" s="8">
        <v>51</v>
      </c>
      <c r="Y428" s="8" t="s">
        <v>135</v>
      </c>
      <c r="Z428" s="8">
        <v>20</v>
      </c>
      <c r="AA428" s="8">
        <v>1</v>
      </c>
      <c r="AB428" s="9">
        <v>0</v>
      </c>
    </row>
    <row r="429" spans="1:28" x14ac:dyDescent="0.2">
      <c r="A429" s="10">
        <v>23635</v>
      </c>
      <c r="B429" s="11" t="s">
        <v>3361</v>
      </c>
      <c r="C429" s="11" t="s">
        <v>3362</v>
      </c>
      <c r="D429" s="11" t="s">
        <v>3363</v>
      </c>
      <c r="E429" s="11"/>
      <c r="F429" s="11" t="s">
        <v>353</v>
      </c>
      <c r="G429" s="11" t="s">
        <v>3364</v>
      </c>
      <c r="H429" s="11" t="s">
        <v>704</v>
      </c>
      <c r="I429" s="11" t="s">
        <v>3365</v>
      </c>
      <c r="J429" s="11" t="s">
        <v>3366</v>
      </c>
      <c r="K429" s="11" t="s">
        <v>1051</v>
      </c>
      <c r="L429" s="11" t="s">
        <v>126</v>
      </c>
      <c r="M429" s="11" t="s">
        <v>3367</v>
      </c>
      <c r="N429" s="11" t="s">
        <v>128</v>
      </c>
      <c r="O429" s="11" t="s">
        <v>3368</v>
      </c>
      <c r="P429" s="11" t="s">
        <v>3369</v>
      </c>
      <c r="Q429" s="11" t="s">
        <v>150</v>
      </c>
      <c r="R429" s="11"/>
      <c r="S429" s="11" t="s">
        <v>71</v>
      </c>
      <c r="T429" s="11" t="s">
        <v>168</v>
      </c>
      <c r="U429" s="11" t="s">
        <v>150</v>
      </c>
      <c r="V429" s="11" t="s">
        <v>168</v>
      </c>
      <c r="W429" s="11" t="s">
        <v>168</v>
      </c>
      <c r="X429" s="11">
        <v>51</v>
      </c>
      <c r="Y429" s="11" t="s">
        <v>135</v>
      </c>
      <c r="Z429" s="11">
        <v>80</v>
      </c>
      <c r="AA429" s="11">
        <v>0</v>
      </c>
      <c r="AB429" s="12">
        <v>0</v>
      </c>
    </row>
    <row r="430" spans="1:28" x14ac:dyDescent="0.2">
      <c r="A430" s="7">
        <v>23826</v>
      </c>
      <c r="B430" s="8" t="s">
        <v>3370</v>
      </c>
      <c r="C430" s="8" t="s">
        <v>2989</v>
      </c>
      <c r="D430" s="8" t="s">
        <v>3371</v>
      </c>
      <c r="E430" s="8"/>
      <c r="F430" s="8" t="s">
        <v>353</v>
      </c>
      <c r="G430" s="8" t="s">
        <v>2992</v>
      </c>
      <c r="H430" s="8" t="s">
        <v>122</v>
      </c>
      <c r="I430" s="8" t="s">
        <v>2993</v>
      </c>
      <c r="J430" s="8" t="s">
        <v>3372</v>
      </c>
      <c r="K430" s="8" t="s">
        <v>125</v>
      </c>
      <c r="L430" s="8" t="s">
        <v>126</v>
      </c>
      <c r="M430" s="8" t="s">
        <v>3373</v>
      </c>
      <c r="N430" s="8" t="s">
        <v>128</v>
      </c>
      <c r="O430" s="8" t="s">
        <v>3374</v>
      </c>
      <c r="P430" s="8" t="s">
        <v>3375</v>
      </c>
      <c r="Q430" s="8" t="s">
        <v>150</v>
      </c>
      <c r="R430" s="8"/>
      <c r="S430" s="8" t="s">
        <v>71</v>
      </c>
      <c r="T430" s="8" t="s">
        <v>168</v>
      </c>
      <c r="U430" s="8" t="s">
        <v>150</v>
      </c>
      <c r="V430" s="8" t="s">
        <v>168</v>
      </c>
      <c r="W430" s="8" t="s">
        <v>168</v>
      </c>
      <c r="X430" s="8">
        <v>51</v>
      </c>
      <c r="Y430" s="8" t="s">
        <v>135</v>
      </c>
      <c r="Z430" s="8">
        <v>80</v>
      </c>
      <c r="AA430" s="8">
        <v>0</v>
      </c>
      <c r="AB430" s="9">
        <v>0</v>
      </c>
    </row>
    <row r="431" spans="1:28" x14ac:dyDescent="0.2">
      <c r="A431" s="10">
        <v>23856</v>
      </c>
      <c r="B431" s="11" t="s">
        <v>3376</v>
      </c>
      <c r="C431" s="11" t="s">
        <v>945</v>
      </c>
      <c r="D431" s="11" t="s">
        <v>3377</v>
      </c>
      <c r="E431" s="11"/>
      <c r="F431" s="11" t="s">
        <v>353</v>
      </c>
      <c r="G431" s="11" t="s">
        <v>556</v>
      </c>
      <c r="H431" s="11" t="s">
        <v>557</v>
      </c>
      <c r="I431" s="11" t="s">
        <v>947</v>
      </c>
      <c r="J431" s="11" t="s">
        <v>3378</v>
      </c>
      <c r="K431" s="11" t="s">
        <v>560</v>
      </c>
      <c r="L431" s="11" t="s">
        <v>229</v>
      </c>
      <c r="M431" s="11" t="s">
        <v>3379</v>
      </c>
      <c r="N431" s="11" t="s">
        <v>128</v>
      </c>
      <c r="O431" s="11" t="s">
        <v>3380</v>
      </c>
      <c r="P431" s="11" t="s">
        <v>3381</v>
      </c>
      <c r="Q431" s="11" t="s">
        <v>150</v>
      </c>
      <c r="R431" s="11"/>
      <c r="S431" s="11" t="s">
        <v>71</v>
      </c>
      <c r="T431" s="11" t="s">
        <v>168</v>
      </c>
      <c r="U431" s="11" t="s">
        <v>150</v>
      </c>
      <c r="V431" s="11" t="s">
        <v>168</v>
      </c>
      <c r="W431" s="11" t="s">
        <v>168</v>
      </c>
      <c r="X431" s="11">
        <v>51</v>
      </c>
      <c r="Y431" s="11" t="s">
        <v>135</v>
      </c>
      <c r="Z431" s="11">
        <v>80</v>
      </c>
      <c r="AA431" s="11">
        <v>0</v>
      </c>
      <c r="AB431" s="12">
        <v>0</v>
      </c>
    </row>
    <row r="432" spans="1:28" x14ac:dyDescent="0.2">
      <c r="A432" s="7">
        <v>23885</v>
      </c>
      <c r="B432" s="8" t="s">
        <v>3382</v>
      </c>
      <c r="C432" s="8" t="s">
        <v>1576</v>
      </c>
      <c r="D432" s="8" t="s">
        <v>1962</v>
      </c>
      <c r="E432" s="8"/>
      <c r="F432" s="8" t="s">
        <v>353</v>
      </c>
      <c r="G432" s="8" t="s">
        <v>3084</v>
      </c>
      <c r="H432" s="8" t="s">
        <v>142</v>
      </c>
      <c r="I432" s="8" t="s">
        <v>3383</v>
      </c>
      <c r="J432" s="8" t="s">
        <v>3384</v>
      </c>
      <c r="K432" s="8" t="s">
        <v>1673</v>
      </c>
      <c r="L432" s="8" t="s">
        <v>464</v>
      </c>
      <c r="M432" s="8" t="s">
        <v>3385</v>
      </c>
      <c r="N432" s="8" t="s">
        <v>128</v>
      </c>
      <c r="O432" s="8" t="s">
        <v>3386</v>
      </c>
      <c r="P432" s="8" t="s">
        <v>3387</v>
      </c>
      <c r="Q432" s="8" t="s">
        <v>150</v>
      </c>
      <c r="R432" s="8"/>
      <c r="S432" s="8" t="s">
        <v>71</v>
      </c>
      <c r="T432" s="8" t="s">
        <v>168</v>
      </c>
      <c r="U432" s="8" t="s">
        <v>150</v>
      </c>
      <c r="V432" s="8" t="s">
        <v>168</v>
      </c>
      <c r="W432" s="8" t="s">
        <v>168</v>
      </c>
      <c r="X432" s="8">
        <v>51</v>
      </c>
      <c r="Y432" s="8" t="s">
        <v>135</v>
      </c>
      <c r="Z432" s="8">
        <v>80</v>
      </c>
      <c r="AA432" s="8">
        <v>0</v>
      </c>
      <c r="AB432" s="9">
        <v>0</v>
      </c>
    </row>
    <row r="433" spans="1:28" x14ac:dyDescent="0.2">
      <c r="A433" s="10">
        <v>23955</v>
      </c>
      <c r="B433" s="11" t="s">
        <v>3388</v>
      </c>
      <c r="C433" s="11" t="s">
        <v>1341</v>
      </c>
      <c r="D433" s="11" t="s">
        <v>3389</v>
      </c>
      <c r="E433" s="11"/>
      <c r="F433" s="11" t="s">
        <v>1344</v>
      </c>
      <c r="G433" s="11" t="s">
        <v>141</v>
      </c>
      <c r="H433" s="11" t="s">
        <v>142</v>
      </c>
      <c r="I433" s="11" t="s">
        <v>1345</v>
      </c>
      <c r="J433" s="11" t="s">
        <v>3390</v>
      </c>
      <c r="K433" s="11" t="s">
        <v>651</v>
      </c>
      <c r="L433" s="11" t="s">
        <v>146</v>
      </c>
      <c r="M433" s="11" t="s">
        <v>3391</v>
      </c>
      <c r="N433" s="11" t="s">
        <v>128</v>
      </c>
      <c r="O433" s="11" t="s">
        <v>3392</v>
      </c>
      <c r="P433" s="11" t="s">
        <v>3393</v>
      </c>
      <c r="Q433" s="11" t="s">
        <v>150</v>
      </c>
      <c r="R433" s="11"/>
      <c r="S433" s="11" t="s">
        <v>71</v>
      </c>
      <c r="T433" s="11" t="s">
        <v>168</v>
      </c>
      <c r="U433" s="11" t="s">
        <v>150</v>
      </c>
      <c r="V433" s="11" t="s">
        <v>168</v>
      </c>
      <c r="W433" s="11" t="s">
        <v>168</v>
      </c>
      <c r="X433" s="11">
        <v>51</v>
      </c>
      <c r="Y433" s="11" t="s">
        <v>135</v>
      </c>
      <c r="Z433" s="11">
        <v>80</v>
      </c>
      <c r="AA433" s="11">
        <v>0</v>
      </c>
      <c r="AB433" s="12">
        <v>0</v>
      </c>
    </row>
    <row r="434" spans="1:28" x14ac:dyDescent="0.2">
      <c r="A434" s="7">
        <v>24603</v>
      </c>
      <c r="B434" s="8" t="s">
        <v>3394</v>
      </c>
      <c r="C434" s="8" t="s">
        <v>324</v>
      </c>
      <c r="D434" s="8" t="s">
        <v>325</v>
      </c>
      <c r="E434" s="8" t="s">
        <v>3395</v>
      </c>
      <c r="F434" s="8" t="s">
        <v>327</v>
      </c>
      <c r="G434" s="8" t="s">
        <v>328</v>
      </c>
      <c r="H434" s="8" t="s">
        <v>329</v>
      </c>
      <c r="I434" s="8" t="s">
        <v>391</v>
      </c>
      <c r="J434" s="8" t="s">
        <v>331</v>
      </c>
      <c r="K434" s="8" t="s">
        <v>332</v>
      </c>
      <c r="L434" s="8" t="s">
        <v>333</v>
      </c>
      <c r="M434" s="8" t="s">
        <v>3396</v>
      </c>
      <c r="N434" s="8" t="s">
        <v>128</v>
      </c>
      <c r="O434" s="8" t="s">
        <v>3397</v>
      </c>
      <c r="P434" s="8" t="s">
        <v>2625</v>
      </c>
      <c r="Q434" s="8" t="s">
        <v>150</v>
      </c>
      <c r="R434" s="8"/>
      <c r="S434" s="8" t="s">
        <v>337</v>
      </c>
      <c r="T434" s="8" t="s">
        <v>69</v>
      </c>
      <c r="U434" s="8" t="s">
        <v>150</v>
      </c>
      <c r="V434" s="8" t="s">
        <v>152</v>
      </c>
      <c r="W434" s="8" t="s">
        <v>69</v>
      </c>
      <c r="X434" s="8">
        <v>51</v>
      </c>
      <c r="Y434" s="8" t="s">
        <v>135</v>
      </c>
      <c r="Z434" s="8">
        <v>80</v>
      </c>
      <c r="AA434" s="8">
        <v>1</v>
      </c>
      <c r="AB434" s="9">
        <v>1</v>
      </c>
    </row>
    <row r="435" spans="1:28" x14ac:dyDescent="0.2">
      <c r="A435" s="10">
        <v>25182</v>
      </c>
      <c r="B435" s="11" t="s">
        <v>3398</v>
      </c>
      <c r="C435" s="11" t="s">
        <v>117</v>
      </c>
      <c r="D435" s="11" t="s">
        <v>118</v>
      </c>
      <c r="E435" s="11" t="s">
        <v>3399</v>
      </c>
      <c r="F435" s="11" t="s">
        <v>120</v>
      </c>
      <c r="G435" s="11" t="s">
        <v>121</v>
      </c>
      <c r="H435" s="11" t="s">
        <v>122</v>
      </c>
      <c r="I435" s="11" t="s">
        <v>123</v>
      </c>
      <c r="J435" s="11" t="s">
        <v>124</v>
      </c>
      <c r="K435" s="11" t="s">
        <v>125</v>
      </c>
      <c r="L435" s="11" t="s">
        <v>126</v>
      </c>
      <c r="M435" s="11" t="s">
        <v>3400</v>
      </c>
      <c r="N435" s="11" t="s">
        <v>128</v>
      </c>
      <c r="O435" s="11" t="s">
        <v>3401</v>
      </c>
      <c r="P435" s="11" t="s">
        <v>3402</v>
      </c>
      <c r="Q435" s="11" t="s">
        <v>740</v>
      </c>
      <c r="R435" s="11"/>
      <c r="S435" s="11" t="s">
        <v>132</v>
      </c>
      <c r="T435" s="11" t="s">
        <v>741</v>
      </c>
      <c r="U435" s="11" t="s">
        <v>134</v>
      </c>
      <c r="V435" s="11" t="s">
        <v>740</v>
      </c>
      <c r="W435" s="11" t="s">
        <v>741</v>
      </c>
      <c r="X435" s="11">
        <v>51</v>
      </c>
      <c r="Y435" s="11" t="s">
        <v>135</v>
      </c>
      <c r="Z435" s="11">
        <v>80</v>
      </c>
      <c r="AA435" s="11">
        <v>1</v>
      </c>
      <c r="AB435" s="12">
        <v>1</v>
      </c>
    </row>
    <row r="436" spans="1:28" x14ac:dyDescent="0.2">
      <c r="A436" s="7">
        <v>25307</v>
      </c>
      <c r="B436" s="8" t="s">
        <v>3403</v>
      </c>
      <c r="C436" s="8" t="s">
        <v>2466</v>
      </c>
      <c r="D436" s="8" t="s">
        <v>2467</v>
      </c>
      <c r="E436" s="8" t="s">
        <v>3404</v>
      </c>
      <c r="F436" s="8" t="s">
        <v>2469</v>
      </c>
      <c r="G436" s="8" t="s">
        <v>1952</v>
      </c>
      <c r="H436" s="8" t="s">
        <v>1953</v>
      </c>
      <c r="I436" s="8" t="s">
        <v>2470</v>
      </c>
      <c r="J436" s="8" t="s">
        <v>2471</v>
      </c>
      <c r="K436" s="8" t="s">
        <v>1956</v>
      </c>
      <c r="L436" s="8" t="s">
        <v>526</v>
      </c>
      <c r="M436" s="8" t="s">
        <v>3405</v>
      </c>
      <c r="N436" s="8" t="s">
        <v>128</v>
      </c>
      <c r="O436" s="8" t="s">
        <v>3406</v>
      </c>
      <c r="P436" s="8" t="s">
        <v>3407</v>
      </c>
      <c r="Q436" s="8" t="s">
        <v>740</v>
      </c>
      <c r="R436" s="8"/>
      <c r="S436" s="8" t="s">
        <v>2475</v>
      </c>
      <c r="T436" s="8" t="s">
        <v>741</v>
      </c>
      <c r="U436" s="8" t="s">
        <v>134</v>
      </c>
      <c r="V436" s="8" t="s">
        <v>740</v>
      </c>
      <c r="W436" s="8" t="s">
        <v>741</v>
      </c>
      <c r="X436" s="8">
        <v>51</v>
      </c>
      <c r="Y436" s="8" t="s">
        <v>135</v>
      </c>
      <c r="Z436" s="8">
        <v>80</v>
      </c>
      <c r="AA436" s="8">
        <v>1</v>
      </c>
      <c r="AB436" s="9">
        <v>1</v>
      </c>
    </row>
    <row r="437" spans="1:28" x14ac:dyDescent="0.2">
      <c r="A437" s="10">
        <v>25393</v>
      </c>
      <c r="B437" s="11" t="s">
        <v>3408</v>
      </c>
      <c r="C437" s="11" t="s">
        <v>2276</v>
      </c>
      <c r="D437" s="11" t="s">
        <v>2277</v>
      </c>
      <c r="E437" s="11" t="s">
        <v>1547</v>
      </c>
      <c r="F437" s="11" t="s">
        <v>2278</v>
      </c>
      <c r="G437" s="11" t="s">
        <v>1026</v>
      </c>
      <c r="H437" s="11" t="s">
        <v>142</v>
      </c>
      <c r="I437" s="11" t="s">
        <v>3409</v>
      </c>
      <c r="J437" s="11" t="s">
        <v>2280</v>
      </c>
      <c r="K437" s="11" t="s">
        <v>1029</v>
      </c>
      <c r="L437" s="11" t="s">
        <v>464</v>
      </c>
      <c r="M437" s="11" t="s">
        <v>3410</v>
      </c>
      <c r="N437" s="11" t="s">
        <v>128</v>
      </c>
      <c r="O437" s="11" t="s">
        <v>3411</v>
      </c>
      <c r="P437" s="11" t="s">
        <v>3412</v>
      </c>
      <c r="Q437" s="11" t="s">
        <v>249</v>
      </c>
      <c r="R437" s="11"/>
      <c r="S437" s="11" t="s">
        <v>2284</v>
      </c>
      <c r="T437" s="11" t="s">
        <v>250</v>
      </c>
      <c r="U437" s="11" t="s">
        <v>134</v>
      </c>
      <c r="V437" s="11" t="s">
        <v>249</v>
      </c>
      <c r="W437" s="11" t="s">
        <v>250</v>
      </c>
      <c r="X437" s="11">
        <v>51</v>
      </c>
      <c r="Y437" s="11" t="s">
        <v>135</v>
      </c>
      <c r="Z437" s="11">
        <v>80</v>
      </c>
      <c r="AA437" s="11">
        <v>1</v>
      </c>
      <c r="AB437" s="12">
        <v>1</v>
      </c>
    </row>
    <row r="438" spans="1:28" x14ac:dyDescent="0.2">
      <c r="A438" s="7">
        <v>21175</v>
      </c>
      <c r="B438" s="8" t="s">
        <v>3413</v>
      </c>
      <c r="C438" s="8" t="s">
        <v>2133</v>
      </c>
      <c r="D438" s="8" t="s">
        <v>2134</v>
      </c>
      <c r="E438" s="8" t="s">
        <v>3414</v>
      </c>
      <c r="F438" s="8" t="s">
        <v>2136</v>
      </c>
      <c r="G438" s="8" t="s">
        <v>556</v>
      </c>
      <c r="H438" s="8" t="s">
        <v>557</v>
      </c>
      <c r="I438" s="8" t="s">
        <v>2137</v>
      </c>
      <c r="J438" s="8" t="s">
        <v>2138</v>
      </c>
      <c r="K438" s="8" t="s">
        <v>560</v>
      </c>
      <c r="L438" s="8" t="s">
        <v>229</v>
      </c>
      <c r="M438" s="8" t="s">
        <v>3415</v>
      </c>
      <c r="N438" s="8" t="s">
        <v>128</v>
      </c>
      <c r="O438" s="8" t="s">
        <v>3416</v>
      </c>
      <c r="P438" s="8" t="s">
        <v>3417</v>
      </c>
      <c r="Q438" s="8" t="s">
        <v>150</v>
      </c>
      <c r="R438" s="8"/>
      <c r="S438" s="8" t="s">
        <v>2142</v>
      </c>
      <c r="T438" s="8" t="s">
        <v>289</v>
      </c>
      <c r="U438" s="8" t="s">
        <v>150</v>
      </c>
      <c r="V438" s="8" t="s">
        <v>289</v>
      </c>
      <c r="W438" s="8" t="s">
        <v>289</v>
      </c>
      <c r="X438" s="8">
        <v>50</v>
      </c>
      <c r="Y438" s="8" t="s">
        <v>135</v>
      </c>
      <c r="Z438" s="8">
        <v>80</v>
      </c>
      <c r="AA438" s="8">
        <v>1</v>
      </c>
      <c r="AB438" s="9">
        <v>1</v>
      </c>
    </row>
    <row r="439" spans="1:28" x14ac:dyDescent="0.2">
      <c r="A439" s="10">
        <v>26100</v>
      </c>
      <c r="B439" s="11" t="s">
        <v>3418</v>
      </c>
      <c r="C439" s="11" t="s">
        <v>3419</v>
      </c>
      <c r="D439" s="11" t="s">
        <v>3420</v>
      </c>
      <c r="E439" s="11"/>
      <c r="F439" s="11" t="s">
        <v>237</v>
      </c>
      <c r="G439" s="11" t="s">
        <v>141</v>
      </c>
      <c r="H439" s="11" t="s">
        <v>142</v>
      </c>
      <c r="I439" s="11" t="s">
        <v>3421</v>
      </c>
      <c r="J439" s="11" t="s">
        <v>3422</v>
      </c>
      <c r="K439" s="11" t="s">
        <v>403</v>
      </c>
      <c r="L439" s="11" t="s">
        <v>146</v>
      </c>
      <c r="M439" s="11" t="s">
        <v>3423</v>
      </c>
      <c r="N439" s="11" t="s">
        <v>128</v>
      </c>
      <c r="O439" s="11" t="s">
        <v>3424</v>
      </c>
      <c r="P439" s="11" t="s">
        <v>3425</v>
      </c>
      <c r="Q439" s="11" t="s">
        <v>150</v>
      </c>
      <c r="R439" s="11"/>
      <c r="S439" s="11" t="s">
        <v>71</v>
      </c>
      <c r="T439" s="11" t="s">
        <v>289</v>
      </c>
      <c r="U439" s="11" t="s">
        <v>150</v>
      </c>
      <c r="V439" s="11" t="s">
        <v>289</v>
      </c>
      <c r="W439" s="11" t="s">
        <v>289</v>
      </c>
      <c r="X439" s="11">
        <v>50</v>
      </c>
      <c r="Y439" s="11" t="s">
        <v>135</v>
      </c>
      <c r="Z439" s="11">
        <v>80</v>
      </c>
      <c r="AA439" s="11">
        <v>0</v>
      </c>
      <c r="AB439" s="12">
        <v>0</v>
      </c>
    </row>
    <row r="440" spans="1:28" x14ac:dyDescent="0.2">
      <c r="A440" s="7">
        <v>21527</v>
      </c>
      <c r="B440" s="8" t="s">
        <v>3426</v>
      </c>
      <c r="C440" s="8" t="s">
        <v>3272</v>
      </c>
      <c r="D440" s="8" t="s">
        <v>3427</v>
      </c>
      <c r="E440" s="8" t="s">
        <v>3428</v>
      </c>
      <c r="F440" s="8" t="s">
        <v>353</v>
      </c>
      <c r="G440" s="8" t="s">
        <v>3274</v>
      </c>
      <c r="H440" s="8" t="s">
        <v>329</v>
      </c>
      <c r="I440" s="8" t="s">
        <v>3275</v>
      </c>
      <c r="J440" s="8" t="s">
        <v>3429</v>
      </c>
      <c r="K440" s="8" t="s">
        <v>431</v>
      </c>
      <c r="L440" s="8" t="s">
        <v>333</v>
      </c>
      <c r="M440" s="8" t="s">
        <v>3430</v>
      </c>
      <c r="N440" s="8" t="s">
        <v>128</v>
      </c>
      <c r="O440" s="8" t="s">
        <v>3431</v>
      </c>
      <c r="P440" s="8" t="s">
        <v>3432</v>
      </c>
      <c r="Q440" s="8" t="s">
        <v>150</v>
      </c>
      <c r="R440" s="8"/>
      <c r="S440" s="8" t="s">
        <v>71</v>
      </c>
      <c r="T440" s="8" t="s">
        <v>67</v>
      </c>
      <c r="U440" s="8" t="s">
        <v>150</v>
      </c>
      <c r="V440" s="8" t="s">
        <v>152</v>
      </c>
      <c r="W440" s="8" t="s">
        <v>67</v>
      </c>
      <c r="X440" s="8">
        <v>50</v>
      </c>
      <c r="Y440" s="8" t="s">
        <v>135</v>
      </c>
      <c r="Z440" s="8">
        <v>80</v>
      </c>
      <c r="AA440" s="8">
        <v>0</v>
      </c>
      <c r="AB440" s="9">
        <v>0</v>
      </c>
    </row>
    <row r="441" spans="1:28" x14ac:dyDescent="0.2">
      <c r="A441" s="10">
        <v>24565</v>
      </c>
      <c r="B441" s="11" t="s">
        <v>3433</v>
      </c>
      <c r="C441" s="11" t="s">
        <v>324</v>
      </c>
      <c r="D441" s="11" t="s">
        <v>325</v>
      </c>
      <c r="E441" s="11" t="s">
        <v>3434</v>
      </c>
      <c r="F441" s="11" t="s">
        <v>327</v>
      </c>
      <c r="G441" s="11" t="s">
        <v>328</v>
      </c>
      <c r="H441" s="11" t="s">
        <v>329</v>
      </c>
      <c r="I441" s="11" t="s">
        <v>391</v>
      </c>
      <c r="J441" s="11" t="s">
        <v>331</v>
      </c>
      <c r="K441" s="11" t="s">
        <v>332</v>
      </c>
      <c r="L441" s="11" t="s">
        <v>333</v>
      </c>
      <c r="M441" s="11" t="s">
        <v>3435</v>
      </c>
      <c r="N441" s="11" t="s">
        <v>128</v>
      </c>
      <c r="O441" s="11" t="s">
        <v>3436</v>
      </c>
      <c r="P441" s="11"/>
      <c r="Q441" s="11" t="s">
        <v>131</v>
      </c>
      <c r="R441" s="11"/>
      <c r="S441" s="11" t="s">
        <v>337</v>
      </c>
      <c r="T441" s="11" t="s">
        <v>983</v>
      </c>
      <c r="U441" s="11" t="s">
        <v>134</v>
      </c>
      <c r="V441" s="11" t="s">
        <v>131</v>
      </c>
      <c r="W441" s="11" t="s">
        <v>983</v>
      </c>
      <c r="X441" s="11">
        <v>50</v>
      </c>
      <c r="Y441" s="11" t="s">
        <v>135</v>
      </c>
      <c r="Z441" s="11">
        <v>20</v>
      </c>
      <c r="AA441" s="11">
        <v>1</v>
      </c>
      <c r="AB441" s="12">
        <v>0</v>
      </c>
    </row>
    <row r="442" spans="1:28" x14ac:dyDescent="0.2">
      <c r="A442" s="7">
        <v>93290</v>
      </c>
      <c r="B442" s="8" t="s">
        <v>3437</v>
      </c>
      <c r="C442" s="8" t="s">
        <v>2090</v>
      </c>
      <c r="D442" s="8" t="s">
        <v>2091</v>
      </c>
      <c r="E442" s="8"/>
      <c r="F442" s="8" t="s">
        <v>353</v>
      </c>
      <c r="G442" s="8" t="s">
        <v>3438</v>
      </c>
      <c r="H442" s="8" t="s">
        <v>142</v>
      </c>
      <c r="I442" s="8" t="s">
        <v>2094</v>
      </c>
      <c r="J442" s="8" t="s">
        <v>3439</v>
      </c>
      <c r="K442" s="8" t="s">
        <v>651</v>
      </c>
      <c r="L442" s="8" t="s">
        <v>146</v>
      </c>
      <c r="M442" s="8" t="s">
        <v>3440</v>
      </c>
      <c r="N442" s="8" t="s">
        <v>128</v>
      </c>
      <c r="O442" s="8" t="s">
        <v>3441</v>
      </c>
      <c r="P442" s="8"/>
      <c r="Q442" s="8" t="s">
        <v>131</v>
      </c>
      <c r="R442" s="8"/>
      <c r="S442" s="8" t="s">
        <v>2099</v>
      </c>
      <c r="T442" s="8" t="s">
        <v>983</v>
      </c>
      <c r="U442" s="8" t="s">
        <v>134</v>
      </c>
      <c r="V442" s="8" t="s">
        <v>131</v>
      </c>
      <c r="W442" s="8" t="s">
        <v>983</v>
      </c>
      <c r="X442" s="8">
        <v>50</v>
      </c>
      <c r="Y442" s="8" t="s">
        <v>135</v>
      </c>
      <c r="Z442" s="8">
        <v>80</v>
      </c>
      <c r="AA442" s="8">
        <v>0</v>
      </c>
      <c r="AB442" s="9">
        <v>0</v>
      </c>
    </row>
    <row r="443" spans="1:28" x14ac:dyDescent="0.2">
      <c r="A443" s="10">
        <v>21828</v>
      </c>
      <c r="B443" s="11" t="s">
        <v>3442</v>
      </c>
      <c r="C443" s="11" t="s">
        <v>552</v>
      </c>
      <c r="D443" s="11" t="s">
        <v>553</v>
      </c>
      <c r="E443" s="11" t="s">
        <v>3443</v>
      </c>
      <c r="F443" s="11" t="s">
        <v>791</v>
      </c>
      <c r="G443" s="11" t="s">
        <v>556</v>
      </c>
      <c r="H443" s="11" t="s">
        <v>557</v>
      </c>
      <c r="I443" s="11" t="s">
        <v>939</v>
      </c>
      <c r="J443" s="11" t="s">
        <v>940</v>
      </c>
      <c r="K443" s="11" t="s">
        <v>560</v>
      </c>
      <c r="L443" s="11" t="s">
        <v>229</v>
      </c>
      <c r="M443" s="11" t="s">
        <v>3444</v>
      </c>
      <c r="N443" s="11" t="s">
        <v>128</v>
      </c>
      <c r="O443" s="11" t="s">
        <v>3445</v>
      </c>
      <c r="P443" s="11" t="s">
        <v>3446</v>
      </c>
      <c r="Q443" s="11" t="s">
        <v>131</v>
      </c>
      <c r="R443" s="11"/>
      <c r="S443" s="11" t="s">
        <v>564</v>
      </c>
      <c r="T443" s="11" t="s">
        <v>133</v>
      </c>
      <c r="U443" s="11" t="s">
        <v>134</v>
      </c>
      <c r="V443" s="11" t="s">
        <v>131</v>
      </c>
      <c r="W443" s="11" t="s">
        <v>133</v>
      </c>
      <c r="X443" s="11">
        <v>50</v>
      </c>
      <c r="Y443" s="11" t="s">
        <v>135</v>
      </c>
      <c r="Z443" s="11">
        <v>80</v>
      </c>
      <c r="AA443" s="11">
        <v>1</v>
      </c>
      <c r="AB443" s="12">
        <v>1</v>
      </c>
    </row>
    <row r="444" spans="1:28" x14ac:dyDescent="0.2">
      <c r="A444" s="7">
        <v>23007</v>
      </c>
      <c r="B444" s="8" t="s">
        <v>3447</v>
      </c>
      <c r="C444" s="8" t="s">
        <v>1249</v>
      </c>
      <c r="D444" s="8" t="s">
        <v>1250</v>
      </c>
      <c r="E444" s="8" t="s">
        <v>3448</v>
      </c>
      <c r="F444" s="8" t="s">
        <v>1252</v>
      </c>
      <c r="G444" s="8" t="s">
        <v>1253</v>
      </c>
      <c r="H444" s="8" t="s">
        <v>142</v>
      </c>
      <c r="I444" s="8" t="s">
        <v>1254</v>
      </c>
      <c r="J444" s="8" t="s">
        <v>1255</v>
      </c>
      <c r="K444" s="8" t="s">
        <v>1199</v>
      </c>
      <c r="L444" s="8" t="s">
        <v>464</v>
      </c>
      <c r="M444" s="8" t="s">
        <v>3449</v>
      </c>
      <c r="N444" s="8" t="s">
        <v>128</v>
      </c>
      <c r="O444" s="8" t="s">
        <v>3450</v>
      </c>
      <c r="P444" s="8" t="s">
        <v>3451</v>
      </c>
      <c r="Q444" s="8" t="s">
        <v>150</v>
      </c>
      <c r="R444" s="8"/>
      <c r="S444" s="8" t="s">
        <v>1259</v>
      </c>
      <c r="T444" s="8" t="s">
        <v>70</v>
      </c>
      <c r="U444" s="8" t="s">
        <v>150</v>
      </c>
      <c r="V444" s="8" t="s">
        <v>70</v>
      </c>
      <c r="W444" s="8" t="s">
        <v>70</v>
      </c>
      <c r="X444" s="8">
        <v>50</v>
      </c>
      <c r="Y444" s="8" t="s">
        <v>135</v>
      </c>
      <c r="Z444" s="8">
        <v>20</v>
      </c>
      <c r="AA444" s="8">
        <v>1</v>
      </c>
      <c r="AB444" s="9">
        <v>0</v>
      </c>
    </row>
    <row r="445" spans="1:28" x14ac:dyDescent="0.2">
      <c r="A445" s="10">
        <v>23498</v>
      </c>
      <c r="B445" s="11" t="s">
        <v>3452</v>
      </c>
      <c r="C445" s="11" t="s">
        <v>3453</v>
      </c>
      <c r="D445" s="11" t="s">
        <v>1475</v>
      </c>
      <c r="E445" s="11"/>
      <c r="F445" s="11" t="s">
        <v>353</v>
      </c>
      <c r="G445" s="11" t="s">
        <v>3454</v>
      </c>
      <c r="H445" s="11" t="s">
        <v>142</v>
      </c>
      <c r="I445" s="11" t="s">
        <v>3455</v>
      </c>
      <c r="J445" s="11" t="s">
        <v>3456</v>
      </c>
      <c r="K445" s="11" t="s">
        <v>1673</v>
      </c>
      <c r="L445" s="11" t="s">
        <v>464</v>
      </c>
      <c r="M445" s="11" t="s">
        <v>3457</v>
      </c>
      <c r="N445" s="11" t="s">
        <v>128</v>
      </c>
      <c r="O445" s="11" t="s">
        <v>3458</v>
      </c>
      <c r="P445" s="11" t="s">
        <v>3459</v>
      </c>
      <c r="Q445" s="11" t="s">
        <v>150</v>
      </c>
      <c r="R445" s="11"/>
      <c r="S445" s="11" t="s">
        <v>71</v>
      </c>
      <c r="T445" s="11" t="s">
        <v>1415</v>
      </c>
      <c r="U445" s="11" t="s">
        <v>150</v>
      </c>
      <c r="V445" s="11" t="s">
        <v>1415</v>
      </c>
      <c r="W445" s="11" t="s">
        <v>1415</v>
      </c>
      <c r="X445" s="11">
        <v>50</v>
      </c>
      <c r="Y445" s="11" t="s">
        <v>135</v>
      </c>
      <c r="Z445" s="11">
        <v>80</v>
      </c>
      <c r="AA445" s="11">
        <v>0</v>
      </c>
      <c r="AB445" s="12">
        <v>0</v>
      </c>
    </row>
    <row r="446" spans="1:28" x14ac:dyDescent="0.2">
      <c r="A446" s="7">
        <v>106045</v>
      </c>
      <c r="B446" s="8" t="s">
        <v>3460</v>
      </c>
      <c r="C446" s="8" t="s">
        <v>3461</v>
      </c>
      <c r="D446" s="8" t="s">
        <v>3462</v>
      </c>
      <c r="E446" s="8"/>
      <c r="F446" s="8" t="s">
        <v>3463</v>
      </c>
      <c r="G446" s="8" t="s">
        <v>3464</v>
      </c>
      <c r="H446" s="8" t="s">
        <v>142</v>
      </c>
      <c r="I446" s="8" t="s">
        <v>3465</v>
      </c>
      <c r="J446" s="8" t="s">
        <v>3466</v>
      </c>
      <c r="K446" s="8" t="s">
        <v>1199</v>
      </c>
      <c r="L446" s="8" t="s">
        <v>464</v>
      </c>
      <c r="M446" s="8" t="s">
        <v>3467</v>
      </c>
      <c r="N446" s="8" t="s">
        <v>128</v>
      </c>
      <c r="O446" s="8" t="s">
        <v>3468</v>
      </c>
      <c r="P446" s="8" t="s">
        <v>3469</v>
      </c>
      <c r="Q446" s="8" t="s">
        <v>150</v>
      </c>
      <c r="R446" s="8"/>
      <c r="S446" s="8" t="s">
        <v>71</v>
      </c>
      <c r="T446" s="8" t="s">
        <v>1415</v>
      </c>
      <c r="U446" s="8" t="s">
        <v>150</v>
      </c>
      <c r="V446" s="8" t="s">
        <v>1415</v>
      </c>
      <c r="W446" s="8" t="s">
        <v>1415</v>
      </c>
      <c r="X446" s="8">
        <v>50</v>
      </c>
      <c r="Y446" s="8" t="s">
        <v>135</v>
      </c>
      <c r="Z446" s="8">
        <v>80</v>
      </c>
      <c r="AA446" s="8">
        <v>0</v>
      </c>
      <c r="AB446" s="9">
        <v>0</v>
      </c>
    </row>
    <row r="447" spans="1:28" x14ac:dyDescent="0.2">
      <c r="A447" s="10">
        <v>23572</v>
      </c>
      <c r="B447" s="11" t="s">
        <v>3470</v>
      </c>
      <c r="C447" s="11" t="s">
        <v>1556</v>
      </c>
      <c r="D447" s="11" t="s">
        <v>3471</v>
      </c>
      <c r="E447" s="11"/>
      <c r="F447" s="11" t="s">
        <v>353</v>
      </c>
      <c r="G447" s="11" t="s">
        <v>1559</v>
      </c>
      <c r="H447" s="11" t="s">
        <v>557</v>
      </c>
      <c r="I447" s="11" t="s">
        <v>3472</v>
      </c>
      <c r="J447" s="11" t="s">
        <v>3473</v>
      </c>
      <c r="K447" s="11" t="s">
        <v>1562</v>
      </c>
      <c r="L447" s="11" t="s">
        <v>229</v>
      </c>
      <c r="M447" s="11" t="s">
        <v>3474</v>
      </c>
      <c r="N447" s="11" t="s">
        <v>128</v>
      </c>
      <c r="O447" s="11" t="s">
        <v>3475</v>
      </c>
      <c r="P447" s="11" t="s">
        <v>3476</v>
      </c>
      <c r="Q447" s="11" t="s">
        <v>150</v>
      </c>
      <c r="R447" s="11"/>
      <c r="S447" s="11" t="s">
        <v>71</v>
      </c>
      <c r="T447" s="11" t="s">
        <v>168</v>
      </c>
      <c r="U447" s="11" t="s">
        <v>150</v>
      </c>
      <c r="V447" s="11" t="s">
        <v>168</v>
      </c>
      <c r="W447" s="11" t="s">
        <v>168</v>
      </c>
      <c r="X447" s="11">
        <v>50</v>
      </c>
      <c r="Y447" s="11" t="s">
        <v>135</v>
      </c>
      <c r="Z447" s="11">
        <v>80</v>
      </c>
      <c r="AA447" s="11">
        <v>0</v>
      </c>
      <c r="AB447" s="12">
        <v>0</v>
      </c>
    </row>
    <row r="448" spans="1:28" x14ac:dyDescent="0.2">
      <c r="A448" s="7">
        <v>24617</v>
      </c>
      <c r="B448" s="8" t="s">
        <v>3477</v>
      </c>
      <c r="C448" s="8" t="s">
        <v>2419</v>
      </c>
      <c r="D448" s="8" t="s">
        <v>2420</v>
      </c>
      <c r="E448" s="8"/>
      <c r="F448" s="8" t="s">
        <v>2422</v>
      </c>
      <c r="G448" s="8" t="s">
        <v>2423</v>
      </c>
      <c r="H448" s="8" t="s">
        <v>557</v>
      </c>
      <c r="I448" s="8" t="s">
        <v>2424</v>
      </c>
      <c r="J448" s="8" t="s">
        <v>2425</v>
      </c>
      <c r="K448" s="8" t="s">
        <v>1562</v>
      </c>
      <c r="L448" s="8" t="s">
        <v>229</v>
      </c>
      <c r="M448" s="8" t="s">
        <v>3478</v>
      </c>
      <c r="N448" s="8" t="s">
        <v>128</v>
      </c>
      <c r="O448" s="8" t="s">
        <v>3479</v>
      </c>
      <c r="P448" s="8" t="s">
        <v>3480</v>
      </c>
      <c r="Q448" s="8" t="s">
        <v>150</v>
      </c>
      <c r="R448" s="8"/>
      <c r="S448" s="8" t="s">
        <v>2429</v>
      </c>
      <c r="T448" s="8" t="s">
        <v>69</v>
      </c>
      <c r="U448" s="8" t="s">
        <v>150</v>
      </c>
      <c r="V448" s="8" t="s">
        <v>152</v>
      </c>
      <c r="W448" s="8" t="s">
        <v>69</v>
      </c>
      <c r="X448" s="8">
        <v>50</v>
      </c>
      <c r="Y448" s="8" t="s">
        <v>135</v>
      </c>
      <c r="Z448" s="8">
        <v>80</v>
      </c>
      <c r="AA448" s="8">
        <v>0</v>
      </c>
      <c r="AB448" s="9">
        <v>0</v>
      </c>
    </row>
    <row r="449" spans="1:28" x14ac:dyDescent="0.2">
      <c r="A449" s="10">
        <v>30169</v>
      </c>
      <c r="B449" s="11" t="s">
        <v>3481</v>
      </c>
      <c r="C449" s="11" t="s">
        <v>3482</v>
      </c>
      <c r="D449" s="11" t="s">
        <v>2690</v>
      </c>
      <c r="E449" s="11"/>
      <c r="F449" s="11" t="s">
        <v>3483</v>
      </c>
      <c r="G449" s="11" t="s">
        <v>3484</v>
      </c>
      <c r="H449" s="11" t="s">
        <v>671</v>
      </c>
      <c r="I449" s="11" t="s">
        <v>3485</v>
      </c>
      <c r="J449" s="11" t="s">
        <v>3486</v>
      </c>
      <c r="K449" s="11" t="s">
        <v>572</v>
      </c>
      <c r="L449" s="11" t="s">
        <v>333</v>
      </c>
      <c r="M449" s="11" t="s">
        <v>3487</v>
      </c>
      <c r="N449" s="11" t="s">
        <v>128</v>
      </c>
      <c r="O449" s="11" t="s">
        <v>3488</v>
      </c>
      <c r="P449" s="11" t="s">
        <v>877</v>
      </c>
      <c r="Q449" s="11" t="s">
        <v>150</v>
      </c>
      <c r="R449" s="11"/>
      <c r="S449" s="11" t="s">
        <v>3489</v>
      </c>
      <c r="T449" s="11" t="s">
        <v>69</v>
      </c>
      <c r="U449" s="11" t="s">
        <v>150</v>
      </c>
      <c r="V449" s="11" t="s">
        <v>152</v>
      </c>
      <c r="W449" s="11" t="s">
        <v>69</v>
      </c>
      <c r="X449" s="11">
        <v>50</v>
      </c>
      <c r="Y449" s="11" t="s">
        <v>135</v>
      </c>
      <c r="Z449" s="11">
        <v>80</v>
      </c>
      <c r="AA449" s="11">
        <v>0</v>
      </c>
      <c r="AB449" s="12">
        <v>0</v>
      </c>
    </row>
    <row r="450" spans="1:28" x14ac:dyDescent="0.2">
      <c r="A450" s="7">
        <v>22129</v>
      </c>
      <c r="B450" s="8" t="s">
        <v>3490</v>
      </c>
      <c r="C450" s="8" t="s">
        <v>324</v>
      </c>
      <c r="D450" s="8" t="s">
        <v>325</v>
      </c>
      <c r="E450" s="8" t="s">
        <v>3491</v>
      </c>
      <c r="F450" s="8" t="s">
        <v>327</v>
      </c>
      <c r="G450" s="8" t="s">
        <v>328</v>
      </c>
      <c r="H450" s="8" t="s">
        <v>329</v>
      </c>
      <c r="I450" s="8" t="s">
        <v>391</v>
      </c>
      <c r="J450" s="8" t="s">
        <v>3492</v>
      </c>
      <c r="K450" s="8" t="s">
        <v>332</v>
      </c>
      <c r="L450" s="8" t="s">
        <v>333</v>
      </c>
      <c r="M450" s="8" t="s">
        <v>3493</v>
      </c>
      <c r="N450" s="8" t="s">
        <v>128</v>
      </c>
      <c r="O450" s="8" t="s">
        <v>3494</v>
      </c>
      <c r="P450" s="8"/>
      <c r="Q450" s="8" t="s">
        <v>249</v>
      </c>
      <c r="R450" s="8"/>
      <c r="S450" s="8" t="s">
        <v>337</v>
      </c>
      <c r="T450" s="8" t="s">
        <v>1523</v>
      </c>
      <c r="U450" s="8" t="s">
        <v>134</v>
      </c>
      <c r="V450" s="8" t="s">
        <v>249</v>
      </c>
      <c r="W450" s="8" t="s">
        <v>1523</v>
      </c>
      <c r="X450" s="8">
        <v>50</v>
      </c>
      <c r="Y450" s="8" t="s">
        <v>135</v>
      </c>
      <c r="Z450" s="8">
        <v>20</v>
      </c>
      <c r="AA450" s="8">
        <v>1</v>
      </c>
      <c r="AB450" s="9">
        <v>0</v>
      </c>
    </row>
    <row r="451" spans="1:28" x14ac:dyDescent="0.2">
      <c r="A451" s="10">
        <v>25506</v>
      </c>
      <c r="B451" s="11" t="s">
        <v>3495</v>
      </c>
      <c r="C451" s="11" t="s">
        <v>2133</v>
      </c>
      <c r="D451" s="11" t="s">
        <v>2134</v>
      </c>
      <c r="E451" s="11" t="s">
        <v>3496</v>
      </c>
      <c r="F451" s="11" t="s">
        <v>2136</v>
      </c>
      <c r="G451" s="11" t="s">
        <v>556</v>
      </c>
      <c r="H451" s="11" t="s">
        <v>557</v>
      </c>
      <c r="I451" s="11" t="s">
        <v>2137</v>
      </c>
      <c r="J451" s="11" t="s">
        <v>2138</v>
      </c>
      <c r="K451" s="11" t="s">
        <v>560</v>
      </c>
      <c r="L451" s="11" t="s">
        <v>229</v>
      </c>
      <c r="M451" s="11" t="s">
        <v>3497</v>
      </c>
      <c r="N451" s="11" t="s">
        <v>128</v>
      </c>
      <c r="O451" s="11" t="s">
        <v>3498</v>
      </c>
      <c r="P451" s="11" t="s">
        <v>3499</v>
      </c>
      <c r="Q451" s="11" t="s">
        <v>249</v>
      </c>
      <c r="R451" s="11"/>
      <c r="S451" s="11" t="s">
        <v>2142</v>
      </c>
      <c r="T451" s="11" t="s">
        <v>250</v>
      </c>
      <c r="U451" s="11" t="s">
        <v>134</v>
      </c>
      <c r="V451" s="11" t="s">
        <v>249</v>
      </c>
      <c r="W451" s="11" t="s">
        <v>250</v>
      </c>
      <c r="X451" s="11">
        <v>50</v>
      </c>
      <c r="Y451" s="11" t="s">
        <v>135</v>
      </c>
      <c r="Z451" s="11">
        <v>80</v>
      </c>
      <c r="AA451" s="11">
        <v>1</v>
      </c>
      <c r="AB451" s="12">
        <v>1</v>
      </c>
    </row>
    <row r="452" spans="1:28" x14ac:dyDescent="0.2">
      <c r="A452" s="7">
        <v>25381</v>
      </c>
      <c r="B452" s="8" t="s">
        <v>3500</v>
      </c>
      <c r="C452" s="8" t="s">
        <v>266</v>
      </c>
      <c r="D452" s="8" t="s">
        <v>267</v>
      </c>
      <c r="E452" s="8" t="s">
        <v>3501</v>
      </c>
      <c r="F452" s="8" t="s">
        <v>269</v>
      </c>
      <c r="G452" s="8" t="s">
        <v>270</v>
      </c>
      <c r="H452" s="8" t="s">
        <v>271</v>
      </c>
      <c r="I452" s="8" t="s">
        <v>272</v>
      </c>
      <c r="J452" s="8" t="s">
        <v>273</v>
      </c>
      <c r="K452" s="8" t="s">
        <v>274</v>
      </c>
      <c r="L452" s="8" t="s">
        <v>163</v>
      </c>
      <c r="M452" s="8" t="s">
        <v>3502</v>
      </c>
      <c r="N452" s="8" t="s">
        <v>128</v>
      </c>
      <c r="O452" s="8" t="s">
        <v>3503</v>
      </c>
      <c r="P452" s="8" t="s">
        <v>3504</v>
      </c>
      <c r="Q452" s="8" t="s">
        <v>249</v>
      </c>
      <c r="R452" s="8"/>
      <c r="S452" s="8" t="s">
        <v>278</v>
      </c>
      <c r="T452" s="8" t="s">
        <v>250</v>
      </c>
      <c r="U452" s="8" t="s">
        <v>134</v>
      </c>
      <c r="V452" s="8" t="s">
        <v>249</v>
      </c>
      <c r="W452" s="8" t="s">
        <v>250</v>
      </c>
      <c r="X452" s="8">
        <v>50</v>
      </c>
      <c r="Y452" s="8" t="s">
        <v>135</v>
      </c>
      <c r="Z452" s="8">
        <v>20</v>
      </c>
      <c r="AA452" s="8">
        <v>1</v>
      </c>
      <c r="AB452" s="9">
        <v>0</v>
      </c>
    </row>
    <row r="453" spans="1:28" x14ac:dyDescent="0.2">
      <c r="A453" s="10">
        <v>25546</v>
      </c>
      <c r="B453" s="11" t="s">
        <v>3505</v>
      </c>
      <c r="C453" s="11" t="s">
        <v>2228</v>
      </c>
      <c r="D453" s="11" t="s">
        <v>2229</v>
      </c>
      <c r="E453" s="11" t="s">
        <v>3506</v>
      </c>
      <c r="F453" s="11" t="s">
        <v>2231</v>
      </c>
      <c r="G453" s="11" t="s">
        <v>1419</v>
      </c>
      <c r="H453" s="11" t="s">
        <v>704</v>
      </c>
      <c r="I453" s="11" t="s">
        <v>3507</v>
      </c>
      <c r="J453" s="11" t="s">
        <v>2233</v>
      </c>
      <c r="K453" s="11" t="s">
        <v>707</v>
      </c>
      <c r="L453" s="11" t="s">
        <v>126</v>
      </c>
      <c r="M453" s="11" t="s">
        <v>3508</v>
      </c>
      <c r="N453" s="11" t="s">
        <v>128</v>
      </c>
      <c r="O453" s="11" t="s">
        <v>3509</v>
      </c>
      <c r="P453" s="11" t="s">
        <v>3510</v>
      </c>
      <c r="Q453" s="11" t="s">
        <v>249</v>
      </c>
      <c r="R453" s="11"/>
      <c r="S453" s="11" t="s">
        <v>2237</v>
      </c>
      <c r="T453" s="11" t="s">
        <v>250</v>
      </c>
      <c r="U453" s="11" t="s">
        <v>134</v>
      </c>
      <c r="V453" s="11" t="s">
        <v>249</v>
      </c>
      <c r="W453" s="11" t="s">
        <v>250</v>
      </c>
      <c r="X453" s="11">
        <v>50</v>
      </c>
      <c r="Y453" s="11" t="s">
        <v>135</v>
      </c>
      <c r="Z453" s="11">
        <v>80</v>
      </c>
      <c r="AA453" s="11">
        <v>1</v>
      </c>
      <c r="AB453" s="12">
        <v>1</v>
      </c>
    </row>
    <row r="454" spans="1:28" x14ac:dyDescent="0.2">
      <c r="A454" s="7">
        <v>25557</v>
      </c>
      <c r="B454" s="8" t="s">
        <v>3511</v>
      </c>
      <c r="C454" s="8" t="s">
        <v>3219</v>
      </c>
      <c r="D454" s="8" t="s">
        <v>645</v>
      </c>
      <c r="E454" s="8" t="s">
        <v>3512</v>
      </c>
      <c r="F454" s="8" t="s">
        <v>3221</v>
      </c>
      <c r="G454" s="8" t="s">
        <v>846</v>
      </c>
      <c r="H454" s="8" t="s">
        <v>847</v>
      </c>
      <c r="I454" s="8" t="s">
        <v>3222</v>
      </c>
      <c r="J454" s="8" t="s">
        <v>3223</v>
      </c>
      <c r="K454" s="8" t="s">
        <v>1091</v>
      </c>
      <c r="L454" s="8" t="s">
        <v>126</v>
      </c>
      <c r="M454" s="8" t="s">
        <v>3513</v>
      </c>
      <c r="N454" s="8" t="s">
        <v>128</v>
      </c>
      <c r="O454" s="8" t="s">
        <v>3514</v>
      </c>
      <c r="P454" s="8" t="s">
        <v>3515</v>
      </c>
      <c r="Q454" s="8" t="s">
        <v>249</v>
      </c>
      <c r="R454" s="8"/>
      <c r="S454" s="8" t="s">
        <v>3227</v>
      </c>
      <c r="T454" s="8" t="s">
        <v>250</v>
      </c>
      <c r="U454" s="8" t="s">
        <v>134</v>
      </c>
      <c r="V454" s="8" t="s">
        <v>249</v>
      </c>
      <c r="W454" s="8" t="s">
        <v>250</v>
      </c>
      <c r="X454" s="8">
        <v>50</v>
      </c>
      <c r="Y454" s="8" t="s">
        <v>135</v>
      </c>
      <c r="Z454" s="8">
        <v>20</v>
      </c>
      <c r="AA454" s="8">
        <v>1</v>
      </c>
      <c r="AB454" s="9">
        <v>0</v>
      </c>
    </row>
    <row r="455" spans="1:28" x14ac:dyDescent="0.2">
      <c r="A455" s="10">
        <v>20773</v>
      </c>
      <c r="B455" s="11" t="s">
        <v>3516</v>
      </c>
      <c r="C455" s="11" t="s">
        <v>3517</v>
      </c>
      <c r="D455" s="11" t="s">
        <v>2345</v>
      </c>
      <c r="E455" s="11" t="s">
        <v>3518</v>
      </c>
      <c r="F455" s="11" t="s">
        <v>353</v>
      </c>
      <c r="G455" s="11" t="s">
        <v>521</v>
      </c>
      <c r="H455" s="11" t="s">
        <v>522</v>
      </c>
      <c r="I455" s="11" t="s">
        <v>3519</v>
      </c>
      <c r="J455" s="11" t="s">
        <v>3520</v>
      </c>
      <c r="K455" s="11" t="s">
        <v>525</v>
      </c>
      <c r="L455" s="11" t="s">
        <v>526</v>
      </c>
      <c r="M455" s="11" t="s">
        <v>3521</v>
      </c>
      <c r="N455" s="11" t="s">
        <v>128</v>
      </c>
      <c r="O455" s="11" t="s">
        <v>3522</v>
      </c>
      <c r="P455" s="11" t="s">
        <v>3523</v>
      </c>
      <c r="Q455" s="11" t="s">
        <v>150</v>
      </c>
      <c r="R455" s="11"/>
      <c r="S455" s="11" t="s">
        <v>71</v>
      </c>
      <c r="T455" s="11" t="s">
        <v>531</v>
      </c>
      <c r="U455" s="11" t="s">
        <v>150</v>
      </c>
      <c r="V455" s="11" t="s">
        <v>531</v>
      </c>
      <c r="W455" s="11" t="s">
        <v>531</v>
      </c>
      <c r="X455" s="11">
        <v>49</v>
      </c>
      <c r="Y455" s="11" t="s">
        <v>135</v>
      </c>
      <c r="Z455" s="11">
        <v>80</v>
      </c>
      <c r="AA455" s="11">
        <v>0</v>
      </c>
      <c r="AB455" s="12">
        <v>0</v>
      </c>
    </row>
    <row r="456" spans="1:28" x14ac:dyDescent="0.2">
      <c r="A456" s="7">
        <v>21618</v>
      </c>
      <c r="B456" s="8" t="s">
        <v>3524</v>
      </c>
      <c r="C456" s="8" t="s">
        <v>945</v>
      </c>
      <c r="D456" s="8" t="s">
        <v>3525</v>
      </c>
      <c r="E456" s="8" t="s">
        <v>222</v>
      </c>
      <c r="F456" s="8" t="s">
        <v>353</v>
      </c>
      <c r="G456" s="8" t="s">
        <v>556</v>
      </c>
      <c r="H456" s="8" t="s">
        <v>557</v>
      </c>
      <c r="I456" s="8" t="s">
        <v>947</v>
      </c>
      <c r="J456" s="8" t="s">
        <v>3526</v>
      </c>
      <c r="K456" s="8" t="s">
        <v>560</v>
      </c>
      <c r="L456" s="8" t="s">
        <v>229</v>
      </c>
      <c r="M456" s="8" t="s">
        <v>3527</v>
      </c>
      <c r="N456" s="8" t="s">
        <v>128</v>
      </c>
      <c r="O456" s="8" t="s">
        <v>3528</v>
      </c>
      <c r="P456" s="8" t="s">
        <v>3529</v>
      </c>
      <c r="Q456" s="8" t="s">
        <v>150</v>
      </c>
      <c r="R456" s="8"/>
      <c r="S456" s="8" t="s">
        <v>71</v>
      </c>
      <c r="T456" s="8" t="s">
        <v>67</v>
      </c>
      <c r="U456" s="8" t="s">
        <v>150</v>
      </c>
      <c r="V456" s="8" t="s">
        <v>152</v>
      </c>
      <c r="W456" s="8" t="s">
        <v>67</v>
      </c>
      <c r="X456" s="8">
        <v>49</v>
      </c>
      <c r="Y456" s="8" t="s">
        <v>135</v>
      </c>
      <c r="Z456" s="8">
        <v>80</v>
      </c>
      <c r="AA456" s="8">
        <v>0</v>
      </c>
      <c r="AB456" s="9">
        <v>0</v>
      </c>
    </row>
    <row r="457" spans="1:28" x14ac:dyDescent="0.2">
      <c r="A457" s="10">
        <v>21733</v>
      </c>
      <c r="B457" s="11" t="s">
        <v>3530</v>
      </c>
      <c r="C457" s="11" t="s">
        <v>3531</v>
      </c>
      <c r="D457" s="11" t="s">
        <v>3532</v>
      </c>
      <c r="E457" s="11" t="s">
        <v>2301</v>
      </c>
      <c r="F457" s="11" t="s">
        <v>353</v>
      </c>
      <c r="G457" s="11" t="s">
        <v>556</v>
      </c>
      <c r="H457" s="11" t="s">
        <v>557</v>
      </c>
      <c r="I457" s="11" t="s">
        <v>3533</v>
      </c>
      <c r="J457" s="11" t="s">
        <v>3534</v>
      </c>
      <c r="K457" s="11" t="s">
        <v>560</v>
      </c>
      <c r="L457" s="11" t="s">
        <v>229</v>
      </c>
      <c r="M457" s="11" t="s">
        <v>3535</v>
      </c>
      <c r="N457" s="11" t="s">
        <v>128</v>
      </c>
      <c r="O457" s="11" t="s">
        <v>3536</v>
      </c>
      <c r="P457" s="11" t="s">
        <v>3537</v>
      </c>
      <c r="Q457" s="11" t="s">
        <v>150</v>
      </c>
      <c r="R457" s="11"/>
      <c r="S457" s="11" t="s">
        <v>71</v>
      </c>
      <c r="T457" s="11" t="s">
        <v>67</v>
      </c>
      <c r="U457" s="11" t="s">
        <v>150</v>
      </c>
      <c r="V457" s="11" t="s">
        <v>152</v>
      </c>
      <c r="W457" s="11" t="s">
        <v>67</v>
      </c>
      <c r="X457" s="11">
        <v>49</v>
      </c>
      <c r="Y457" s="11" t="s">
        <v>135</v>
      </c>
      <c r="Z457" s="11">
        <v>80</v>
      </c>
      <c r="AA457" s="11">
        <v>0</v>
      </c>
      <c r="AB457" s="12">
        <v>0</v>
      </c>
    </row>
    <row r="458" spans="1:28" x14ac:dyDescent="0.2">
      <c r="A458" s="7">
        <v>21697</v>
      </c>
      <c r="B458" s="8" t="s">
        <v>3538</v>
      </c>
      <c r="C458" s="8" t="s">
        <v>2615</v>
      </c>
      <c r="D458" s="8" t="s">
        <v>3539</v>
      </c>
      <c r="E458" s="8" t="s">
        <v>3540</v>
      </c>
      <c r="F458" s="8" t="s">
        <v>353</v>
      </c>
      <c r="G458" s="8" t="s">
        <v>2618</v>
      </c>
      <c r="H458" s="8" t="s">
        <v>142</v>
      </c>
      <c r="I458" s="8" t="s">
        <v>3541</v>
      </c>
      <c r="J458" s="8" t="s">
        <v>3542</v>
      </c>
      <c r="K458" s="8" t="s">
        <v>651</v>
      </c>
      <c r="L458" s="8" t="s">
        <v>146</v>
      </c>
      <c r="M458" s="8" t="s">
        <v>3543</v>
      </c>
      <c r="N458" s="8" t="s">
        <v>128</v>
      </c>
      <c r="O458" s="8" t="s">
        <v>3544</v>
      </c>
      <c r="P458" s="8" t="s">
        <v>3545</v>
      </c>
      <c r="Q458" s="8" t="s">
        <v>150</v>
      </c>
      <c r="R458" s="8"/>
      <c r="S458" s="8" t="s">
        <v>71</v>
      </c>
      <c r="T458" s="8" t="s">
        <v>67</v>
      </c>
      <c r="U458" s="8" t="s">
        <v>150</v>
      </c>
      <c r="V458" s="8" t="s">
        <v>152</v>
      </c>
      <c r="W458" s="8" t="s">
        <v>67</v>
      </c>
      <c r="X458" s="8">
        <v>49</v>
      </c>
      <c r="Y458" s="8" t="s">
        <v>135</v>
      </c>
      <c r="Z458" s="8">
        <v>80</v>
      </c>
      <c r="AA458" s="8">
        <v>0</v>
      </c>
      <c r="AB458" s="9">
        <v>0</v>
      </c>
    </row>
    <row r="459" spans="1:28" x14ac:dyDescent="0.2">
      <c r="A459" s="10">
        <v>21448</v>
      </c>
      <c r="B459" s="11" t="s">
        <v>3546</v>
      </c>
      <c r="C459" s="11" t="s">
        <v>3547</v>
      </c>
      <c r="D459" s="11" t="s">
        <v>138</v>
      </c>
      <c r="E459" s="11" t="s">
        <v>3548</v>
      </c>
      <c r="F459" s="11" t="s">
        <v>3549</v>
      </c>
      <c r="G459" s="11" t="s">
        <v>224</v>
      </c>
      <c r="H459" s="11" t="s">
        <v>225</v>
      </c>
      <c r="I459" s="11" t="s">
        <v>3550</v>
      </c>
      <c r="J459" s="11" t="s">
        <v>3551</v>
      </c>
      <c r="K459" s="11" t="s">
        <v>228</v>
      </c>
      <c r="L459" s="11" t="s">
        <v>229</v>
      </c>
      <c r="M459" s="11" t="s">
        <v>3552</v>
      </c>
      <c r="N459" s="11" t="s">
        <v>128</v>
      </c>
      <c r="O459" s="11" t="s">
        <v>3553</v>
      </c>
      <c r="P459" s="11" t="s">
        <v>3554</v>
      </c>
      <c r="Q459" s="11" t="s">
        <v>150</v>
      </c>
      <c r="R459" s="11"/>
      <c r="S459" s="11" t="s">
        <v>71</v>
      </c>
      <c r="T459" s="11" t="s">
        <v>67</v>
      </c>
      <c r="U459" s="11" t="s">
        <v>150</v>
      </c>
      <c r="V459" s="11" t="s">
        <v>152</v>
      </c>
      <c r="W459" s="11" t="s">
        <v>67</v>
      </c>
      <c r="X459" s="11">
        <v>49</v>
      </c>
      <c r="Y459" s="11" t="s">
        <v>135</v>
      </c>
      <c r="Z459" s="11">
        <v>80</v>
      </c>
      <c r="AA459" s="11">
        <v>0</v>
      </c>
      <c r="AB459" s="12">
        <v>0</v>
      </c>
    </row>
    <row r="460" spans="1:28" x14ac:dyDescent="0.2">
      <c r="A460" s="7">
        <v>21495</v>
      </c>
      <c r="B460" s="8" t="s">
        <v>3555</v>
      </c>
      <c r="C460" s="8" t="s">
        <v>3556</v>
      </c>
      <c r="D460" s="8" t="s">
        <v>3557</v>
      </c>
      <c r="E460" s="8"/>
      <c r="F460" s="8" t="s">
        <v>3558</v>
      </c>
      <c r="G460" s="8" t="s">
        <v>141</v>
      </c>
      <c r="H460" s="8" t="s">
        <v>142</v>
      </c>
      <c r="I460" s="8" t="s">
        <v>3559</v>
      </c>
      <c r="J460" s="8" t="s">
        <v>3560</v>
      </c>
      <c r="K460" s="8" t="s">
        <v>216</v>
      </c>
      <c r="L460" s="8" t="s">
        <v>146</v>
      </c>
      <c r="M460" s="8" t="s">
        <v>3561</v>
      </c>
      <c r="N460" s="8" t="s">
        <v>128</v>
      </c>
      <c r="O460" s="8" t="s">
        <v>3562</v>
      </c>
      <c r="P460" s="8" t="s">
        <v>3563</v>
      </c>
      <c r="Q460" s="8" t="s">
        <v>150</v>
      </c>
      <c r="R460" s="8"/>
      <c r="S460" s="8" t="s">
        <v>71</v>
      </c>
      <c r="T460" s="8" t="s">
        <v>67</v>
      </c>
      <c r="U460" s="8" t="s">
        <v>150</v>
      </c>
      <c r="V460" s="8" t="s">
        <v>152</v>
      </c>
      <c r="W460" s="8" t="s">
        <v>67</v>
      </c>
      <c r="X460" s="8">
        <v>49</v>
      </c>
      <c r="Y460" s="8" t="s">
        <v>135</v>
      </c>
      <c r="Z460" s="8">
        <v>80</v>
      </c>
      <c r="AA460" s="8">
        <v>0</v>
      </c>
      <c r="AB460" s="9">
        <v>0</v>
      </c>
    </row>
    <row r="461" spans="1:28" x14ac:dyDescent="0.2">
      <c r="A461" s="10">
        <v>21845</v>
      </c>
      <c r="B461" s="11" t="s">
        <v>3564</v>
      </c>
      <c r="C461" s="11" t="s">
        <v>1172</v>
      </c>
      <c r="D461" s="11" t="s">
        <v>1173</v>
      </c>
      <c r="E461" s="11" t="s">
        <v>1734</v>
      </c>
      <c r="F461" s="11" t="s">
        <v>1175</v>
      </c>
      <c r="G461" s="11" t="s">
        <v>141</v>
      </c>
      <c r="H461" s="11" t="s">
        <v>142</v>
      </c>
      <c r="I461" s="11" t="s">
        <v>3565</v>
      </c>
      <c r="J461" s="11" t="s">
        <v>1177</v>
      </c>
      <c r="K461" s="11" t="s">
        <v>216</v>
      </c>
      <c r="L461" s="11" t="s">
        <v>146</v>
      </c>
      <c r="M461" s="11" t="s">
        <v>3566</v>
      </c>
      <c r="N461" s="11" t="s">
        <v>128</v>
      </c>
      <c r="O461" s="11" t="s">
        <v>3567</v>
      </c>
      <c r="P461" s="11" t="s">
        <v>2307</v>
      </c>
      <c r="Q461" s="11" t="s">
        <v>131</v>
      </c>
      <c r="R461" s="11"/>
      <c r="S461" s="11" t="s">
        <v>1181</v>
      </c>
      <c r="T461" s="11" t="s">
        <v>133</v>
      </c>
      <c r="U461" s="11" t="s">
        <v>134</v>
      </c>
      <c r="V461" s="11" t="s">
        <v>131</v>
      </c>
      <c r="W461" s="11" t="s">
        <v>133</v>
      </c>
      <c r="X461" s="11">
        <v>49</v>
      </c>
      <c r="Y461" s="11" t="s">
        <v>135</v>
      </c>
      <c r="Z461" s="11">
        <v>20</v>
      </c>
      <c r="AA461" s="11">
        <v>1</v>
      </c>
      <c r="AB461" s="12">
        <v>0</v>
      </c>
    </row>
    <row r="462" spans="1:28" x14ac:dyDescent="0.2">
      <c r="A462" s="7">
        <v>21940</v>
      </c>
      <c r="B462" s="8" t="s">
        <v>3568</v>
      </c>
      <c r="C462" s="8" t="s">
        <v>3569</v>
      </c>
      <c r="D462" s="8" t="s">
        <v>518</v>
      </c>
      <c r="E462" s="8" t="s">
        <v>3570</v>
      </c>
      <c r="F462" s="8" t="s">
        <v>3571</v>
      </c>
      <c r="G462" s="8" t="s">
        <v>450</v>
      </c>
      <c r="H462" s="8" t="s">
        <v>301</v>
      </c>
      <c r="I462" s="8" t="s">
        <v>3572</v>
      </c>
      <c r="J462" s="8" t="s">
        <v>3573</v>
      </c>
      <c r="K462" s="8" t="s">
        <v>304</v>
      </c>
      <c r="L462" s="8" t="s">
        <v>229</v>
      </c>
      <c r="M462" s="8" t="s">
        <v>3574</v>
      </c>
      <c r="N462" s="8" t="s">
        <v>128</v>
      </c>
      <c r="O462" s="8" t="s">
        <v>3575</v>
      </c>
      <c r="P462" s="8" t="s">
        <v>3576</v>
      </c>
      <c r="Q462" s="8" t="s">
        <v>131</v>
      </c>
      <c r="R462" s="8"/>
      <c r="S462" s="8" t="s">
        <v>3577</v>
      </c>
      <c r="T462" s="8" t="s">
        <v>133</v>
      </c>
      <c r="U462" s="8" t="s">
        <v>134</v>
      </c>
      <c r="V462" s="8" t="s">
        <v>131</v>
      </c>
      <c r="W462" s="8" t="s">
        <v>133</v>
      </c>
      <c r="X462" s="8">
        <v>49</v>
      </c>
      <c r="Y462" s="8" t="s">
        <v>135</v>
      </c>
      <c r="Z462" s="8">
        <v>80</v>
      </c>
      <c r="AA462" s="8">
        <v>1</v>
      </c>
      <c r="AB462" s="9">
        <v>1</v>
      </c>
    </row>
    <row r="463" spans="1:28" x14ac:dyDescent="0.2">
      <c r="A463" s="10">
        <v>27807</v>
      </c>
      <c r="B463" s="11" t="s">
        <v>3578</v>
      </c>
      <c r="C463" s="11" t="s">
        <v>3579</v>
      </c>
      <c r="D463" s="11" t="s">
        <v>1623</v>
      </c>
      <c r="E463" s="11"/>
      <c r="F463" s="11" t="s">
        <v>353</v>
      </c>
      <c r="G463" s="11" t="s">
        <v>2535</v>
      </c>
      <c r="H463" s="11" t="s">
        <v>847</v>
      </c>
      <c r="I463" s="11" t="s">
        <v>3580</v>
      </c>
      <c r="J463" s="11" t="s">
        <v>3581</v>
      </c>
      <c r="K463" s="11" t="s">
        <v>1091</v>
      </c>
      <c r="L463" s="11" t="s">
        <v>126</v>
      </c>
      <c r="M463" s="11" t="s">
        <v>3582</v>
      </c>
      <c r="N463" s="11" t="s">
        <v>128</v>
      </c>
      <c r="O463" s="11" t="s">
        <v>3583</v>
      </c>
      <c r="P463" s="11" t="s">
        <v>3584</v>
      </c>
      <c r="Q463" s="11" t="s">
        <v>150</v>
      </c>
      <c r="R463" s="11"/>
      <c r="S463" s="11" t="s">
        <v>71</v>
      </c>
      <c r="T463" s="11" t="s">
        <v>2697</v>
      </c>
      <c r="U463" s="11" t="s">
        <v>150</v>
      </c>
      <c r="V463" s="11" t="s">
        <v>2697</v>
      </c>
      <c r="W463" s="11" t="s">
        <v>2697</v>
      </c>
      <c r="X463" s="11">
        <v>49</v>
      </c>
      <c r="Y463" s="11" t="s">
        <v>135</v>
      </c>
      <c r="Z463" s="11">
        <v>80</v>
      </c>
      <c r="AA463" s="11">
        <v>0</v>
      </c>
      <c r="AB463" s="12">
        <v>0</v>
      </c>
    </row>
    <row r="464" spans="1:28" x14ac:dyDescent="0.2">
      <c r="A464" s="7">
        <v>22993</v>
      </c>
      <c r="B464" s="8" t="s">
        <v>3585</v>
      </c>
      <c r="C464" s="8" t="s">
        <v>1193</v>
      </c>
      <c r="D464" s="8" t="s">
        <v>1064</v>
      </c>
      <c r="E464" s="8" t="s">
        <v>3586</v>
      </c>
      <c r="F464" s="8" t="s">
        <v>1195</v>
      </c>
      <c r="G464" s="8" t="s">
        <v>1196</v>
      </c>
      <c r="H464" s="8" t="s">
        <v>142</v>
      </c>
      <c r="I464" s="8" t="s">
        <v>1197</v>
      </c>
      <c r="J464" s="8" t="s">
        <v>1198</v>
      </c>
      <c r="K464" s="8" t="s">
        <v>1199</v>
      </c>
      <c r="L464" s="8" t="s">
        <v>464</v>
      </c>
      <c r="M464" s="8" t="s">
        <v>3587</v>
      </c>
      <c r="N464" s="8" t="s">
        <v>128</v>
      </c>
      <c r="O464" s="8" t="s">
        <v>3588</v>
      </c>
      <c r="P464" s="8" t="s">
        <v>3589</v>
      </c>
      <c r="Q464" s="8" t="s">
        <v>150</v>
      </c>
      <c r="R464" s="8"/>
      <c r="S464" s="8" t="s">
        <v>1203</v>
      </c>
      <c r="T464" s="8" t="s">
        <v>70</v>
      </c>
      <c r="U464" s="8" t="s">
        <v>150</v>
      </c>
      <c r="V464" s="8" t="s">
        <v>70</v>
      </c>
      <c r="W464" s="8" t="s">
        <v>70</v>
      </c>
      <c r="X464" s="8">
        <v>49</v>
      </c>
      <c r="Y464" s="8" t="s">
        <v>135</v>
      </c>
      <c r="Z464" s="8">
        <v>20</v>
      </c>
      <c r="AA464" s="8">
        <v>1</v>
      </c>
      <c r="AB464" s="9">
        <v>0</v>
      </c>
    </row>
    <row r="465" spans="1:28" x14ac:dyDescent="0.2">
      <c r="A465" s="10">
        <v>23178</v>
      </c>
      <c r="B465" s="11" t="s">
        <v>3590</v>
      </c>
      <c r="C465" s="11" t="s">
        <v>2133</v>
      </c>
      <c r="D465" s="11" t="s">
        <v>2134</v>
      </c>
      <c r="E465" s="11" t="s">
        <v>3591</v>
      </c>
      <c r="F465" s="11" t="s">
        <v>2136</v>
      </c>
      <c r="G465" s="11" t="s">
        <v>556</v>
      </c>
      <c r="H465" s="11" t="s">
        <v>557</v>
      </c>
      <c r="I465" s="11" t="s">
        <v>3592</v>
      </c>
      <c r="J465" s="11" t="s">
        <v>2138</v>
      </c>
      <c r="K465" s="11" t="s">
        <v>560</v>
      </c>
      <c r="L465" s="11" t="s">
        <v>229</v>
      </c>
      <c r="M465" s="11" t="s">
        <v>3593</v>
      </c>
      <c r="N465" s="11" t="s">
        <v>128</v>
      </c>
      <c r="O465" s="11" t="s">
        <v>3594</v>
      </c>
      <c r="P465" s="11" t="s">
        <v>3595</v>
      </c>
      <c r="Q465" s="11" t="s">
        <v>150</v>
      </c>
      <c r="R465" s="11"/>
      <c r="S465" s="11" t="s">
        <v>2142</v>
      </c>
      <c r="T465" s="11" t="s">
        <v>70</v>
      </c>
      <c r="U465" s="11" t="s">
        <v>150</v>
      </c>
      <c r="V465" s="11" t="s">
        <v>70</v>
      </c>
      <c r="W465" s="11" t="s">
        <v>70</v>
      </c>
      <c r="X465" s="11">
        <v>49</v>
      </c>
      <c r="Y465" s="11" t="s">
        <v>135</v>
      </c>
      <c r="Z465" s="11">
        <v>80</v>
      </c>
      <c r="AA465" s="11">
        <v>1</v>
      </c>
      <c r="AB465" s="12">
        <v>1</v>
      </c>
    </row>
    <row r="466" spans="1:28" x14ac:dyDescent="0.2">
      <c r="A466" s="7">
        <v>23237</v>
      </c>
      <c r="B466" s="8" t="s">
        <v>3596</v>
      </c>
      <c r="C466" s="8" t="s">
        <v>3597</v>
      </c>
      <c r="D466" s="8" t="s">
        <v>3598</v>
      </c>
      <c r="E466" s="8"/>
      <c r="F466" s="8" t="s">
        <v>3599</v>
      </c>
      <c r="G466" s="8" t="s">
        <v>141</v>
      </c>
      <c r="H466" s="8" t="s">
        <v>142</v>
      </c>
      <c r="I466" s="8" t="s">
        <v>3600</v>
      </c>
      <c r="J466" s="8" t="s">
        <v>3601</v>
      </c>
      <c r="K466" s="8" t="s">
        <v>216</v>
      </c>
      <c r="L466" s="8" t="s">
        <v>146</v>
      </c>
      <c r="M466" s="8" t="s">
        <v>3602</v>
      </c>
      <c r="N466" s="8" t="s">
        <v>128</v>
      </c>
      <c r="O466" s="8" t="s">
        <v>3603</v>
      </c>
      <c r="P466" s="8" t="s">
        <v>3604</v>
      </c>
      <c r="Q466" s="8" t="s">
        <v>150</v>
      </c>
      <c r="R466" s="8"/>
      <c r="S466" s="8" t="s">
        <v>3605</v>
      </c>
      <c r="T466" s="8" t="s">
        <v>70</v>
      </c>
      <c r="U466" s="8" t="s">
        <v>150</v>
      </c>
      <c r="V466" s="8" t="s">
        <v>70</v>
      </c>
      <c r="W466" s="8" t="s">
        <v>70</v>
      </c>
      <c r="X466" s="8">
        <v>49</v>
      </c>
      <c r="Y466" s="8" t="s">
        <v>135</v>
      </c>
      <c r="Z466" s="8">
        <v>80</v>
      </c>
      <c r="AA466" s="8">
        <v>1</v>
      </c>
      <c r="AB466" s="9">
        <v>1</v>
      </c>
    </row>
    <row r="467" spans="1:28" x14ac:dyDescent="0.2">
      <c r="A467" s="10">
        <v>23706</v>
      </c>
      <c r="B467" s="11" t="s">
        <v>3606</v>
      </c>
      <c r="C467" s="11" t="s">
        <v>842</v>
      </c>
      <c r="D467" s="11" t="s">
        <v>826</v>
      </c>
      <c r="E467" s="11" t="s">
        <v>3607</v>
      </c>
      <c r="F467" s="11" t="s">
        <v>2953</v>
      </c>
      <c r="G467" s="11" t="s">
        <v>1026</v>
      </c>
      <c r="H467" s="11" t="s">
        <v>142</v>
      </c>
      <c r="I467" s="11" t="s">
        <v>2946</v>
      </c>
      <c r="J467" s="11" t="s">
        <v>2954</v>
      </c>
      <c r="K467" s="11" t="s">
        <v>1029</v>
      </c>
      <c r="L467" s="11" t="s">
        <v>464</v>
      </c>
      <c r="M467" s="11" t="s">
        <v>3608</v>
      </c>
      <c r="N467" s="11" t="s">
        <v>128</v>
      </c>
      <c r="O467" s="11" t="s">
        <v>3609</v>
      </c>
      <c r="P467" s="11" t="s">
        <v>744</v>
      </c>
      <c r="Q467" s="11" t="s">
        <v>150</v>
      </c>
      <c r="R467" s="11"/>
      <c r="S467" s="11" t="s">
        <v>2950</v>
      </c>
      <c r="T467" s="11" t="s">
        <v>168</v>
      </c>
      <c r="U467" s="11" t="s">
        <v>150</v>
      </c>
      <c r="V467" s="11" t="s">
        <v>168</v>
      </c>
      <c r="W467" s="11" t="s">
        <v>168</v>
      </c>
      <c r="X467" s="11">
        <v>49</v>
      </c>
      <c r="Y467" s="11" t="s">
        <v>135</v>
      </c>
      <c r="Z467" s="11">
        <v>80</v>
      </c>
      <c r="AA467" s="11">
        <v>0</v>
      </c>
      <c r="AB467" s="12">
        <v>0</v>
      </c>
    </row>
    <row r="468" spans="1:28" x14ac:dyDescent="0.2">
      <c r="A468" s="7">
        <v>23809</v>
      </c>
      <c r="B468" s="8" t="s">
        <v>3610</v>
      </c>
      <c r="C468" s="8" t="s">
        <v>409</v>
      </c>
      <c r="D468" s="8" t="s">
        <v>3611</v>
      </c>
      <c r="E468" s="8"/>
      <c r="F468" s="8" t="s">
        <v>353</v>
      </c>
      <c r="G468" s="8" t="s">
        <v>3612</v>
      </c>
      <c r="H468" s="8" t="s">
        <v>704</v>
      </c>
      <c r="I468" s="8" t="s">
        <v>3613</v>
      </c>
      <c r="J468" s="8" t="s">
        <v>3614</v>
      </c>
      <c r="K468" s="8" t="s">
        <v>707</v>
      </c>
      <c r="L468" s="8" t="s">
        <v>126</v>
      </c>
      <c r="M468" s="8" t="s">
        <v>3615</v>
      </c>
      <c r="N468" s="8" t="s">
        <v>128</v>
      </c>
      <c r="O468" s="8" t="s">
        <v>3616</v>
      </c>
      <c r="P468" s="8" t="s">
        <v>3617</v>
      </c>
      <c r="Q468" s="8" t="s">
        <v>150</v>
      </c>
      <c r="R468" s="8"/>
      <c r="S468" s="8" t="s">
        <v>71</v>
      </c>
      <c r="T468" s="8" t="s">
        <v>168</v>
      </c>
      <c r="U468" s="8" t="s">
        <v>150</v>
      </c>
      <c r="V468" s="8" t="s">
        <v>168</v>
      </c>
      <c r="W468" s="8" t="s">
        <v>168</v>
      </c>
      <c r="X468" s="8">
        <v>49</v>
      </c>
      <c r="Y468" s="8" t="s">
        <v>135</v>
      </c>
      <c r="Z468" s="8">
        <v>80</v>
      </c>
      <c r="AA468" s="8">
        <v>0</v>
      </c>
      <c r="AB468" s="9">
        <v>0</v>
      </c>
    </row>
    <row r="469" spans="1:28" x14ac:dyDescent="0.2">
      <c r="A469" s="10">
        <v>25308</v>
      </c>
      <c r="B469" s="11" t="s">
        <v>3618</v>
      </c>
      <c r="C469" s="11" t="s">
        <v>914</v>
      </c>
      <c r="D469" s="11" t="s">
        <v>915</v>
      </c>
      <c r="E469" s="11" t="s">
        <v>3619</v>
      </c>
      <c r="F469" s="11" t="s">
        <v>917</v>
      </c>
      <c r="G469" s="11" t="s">
        <v>776</v>
      </c>
      <c r="H469" s="11" t="s">
        <v>142</v>
      </c>
      <c r="I469" s="11" t="s">
        <v>918</v>
      </c>
      <c r="J469" s="11" t="s">
        <v>919</v>
      </c>
      <c r="K469" s="11" t="s">
        <v>779</v>
      </c>
      <c r="L469" s="11" t="s">
        <v>464</v>
      </c>
      <c r="M469" s="11" t="s">
        <v>3620</v>
      </c>
      <c r="N469" s="11" t="s">
        <v>128</v>
      </c>
      <c r="O469" s="11" t="s">
        <v>3621</v>
      </c>
      <c r="P469" s="11" t="s">
        <v>3622</v>
      </c>
      <c r="Q469" s="11" t="s">
        <v>740</v>
      </c>
      <c r="R469" s="11"/>
      <c r="S469" s="11" t="s">
        <v>923</v>
      </c>
      <c r="T469" s="11" t="s">
        <v>1745</v>
      </c>
      <c r="U469" s="11" t="s">
        <v>134</v>
      </c>
      <c r="V469" s="11" t="s">
        <v>740</v>
      </c>
      <c r="W469" s="11" t="s">
        <v>1745</v>
      </c>
      <c r="X469" s="11">
        <v>49</v>
      </c>
      <c r="Y469" s="11" t="s">
        <v>135</v>
      </c>
      <c r="Z469" s="11">
        <v>20</v>
      </c>
      <c r="AA469" s="11">
        <v>1</v>
      </c>
      <c r="AB469" s="12">
        <v>0</v>
      </c>
    </row>
    <row r="470" spans="1:28" x14ac:dyDescent="0.2">
      <c r="A470" s="7">
        <v>25241</v>
      </c>
      <c r="B470" s="8" t="s">
        <v>3623</v>
      </c>
      <c r="C470" s="8" t="s">
        <v>2133</v>
      </c>
      <c r="D470" s="8" t="s">
        <v>2134</v>
      </c>
      <c r="E470" s="8" t="s">
        <v>702</v>
      </c>
      <c r="F470" s="8" t="s">
        <v>2136</v>
      </c>
      <c r="G470" s="8" t="s">
        <v>556</v>
      </c>
      <c r="H470" s="8" t="s">
        <v>557</v>
      </c>
      <c r="I470" s="8" t="s">
        <v>2137</v>
      </c>
      <c r="J470" s="8" t="s">
        <v>2138</v>
      </c>
      <c r="K470" s="8" t="s">
        <v>560</v>
      </c>
      <c r="L470" s="8" t="s">
        <v>229</v>
      </c>
      <c r="M470" s="8" t="s">
        <v>3624</v>
      </c>
      <c r="N470" s="8" t="s">
        <v>128</v>
      </c>
      <c r="O470" s="8" t="s">
        <v>3625</v>
      </c>
      <c r="P470" s="8" t="s">
        <v>3626</v>
      </c>
      <c r="Q470" s="8" t="s">
        <v>740</v>
      </c>
      <c r="R470" s="8"/>
      <c r="S470" s="8" t="s">
        <v>2142</v>
      </c>
      <c r="T470" s="8" t="s">
        <v>741</v>
      </c>
      <c r="U470" s="8" t="s">
        <v>134</v>
      </c>
      <c r="V470" s="8" t="s">
        <v>740</v>
      </c>
      <c r="W470" s="8" t="s">
        <v>741</v>
      </c>
      <c r="X470" s="8">
        <v>49</v>
      </c>
      <c r="Y470" s="8" t="s">
        <v>135</v>
      </c>
      <c r="Z470" s="8">
        <v>20</v>
      </c>
      <c r="AA470" s="8">
        <v>1</v>
      </c>
      <c r="AB470" s="9">
        <v>0</v>
      </c>
    </row>
    <row r="471" spans="1:28" x14ac:dyDescent="0.2">
      <c r="A471" s="10">
        <v>25578</v>
      </c>
      <c r="B471" s="11" t="s">
        <v>3627</v>
      </c>
      <c r="C471" s="11" t="s">
        <v>876</v>
      </c>
      <c r="D471" s="11" t="s">
        <v>138</v>
      </c>
      <c r="E471" s="11" t="s">
        <v>3628</v>
      </c>
      <c r="F471" s="11" t="s">
        <v>878</v>
      </c>
      <c r="G471" s="11" t="s">
        <v>224</v>
      </c>
      <c r="H471" s="11" t="s">
        <v>225</v>
      </c>
      <c r="I471" s="11" t="s">
        <v>3629</v>
      </c>
      <c r="J471" s="11" t="s">
        <v>3630</v>
      </c>
      <c r="K471" s="11" t="s">
        <v>228</v>
      </c>
      <c r="L471" s="11" t="s">
        <v>229</v>
      </c>
      <c r="M471" s="11" t="s">
        <v>3631</v>
      </c>
      <c r="N471" s="11" t="s">
        <v>128</v>
      </c>
      <c r="O471" s="11" t="s">
        <v>3632</v>
      </c>
      <c r="P471" s="11" t="s">
        <v>3633</v>
      </c>
      <c r="Q471" s="11" t="s">
        <v>249</v>
      </c>
      <c r="R471" s="11"/>
      <c r="S471" s="11" t="s">
        <v>884</v>
      </c>
      <c r="T471" s="11" t="s">
        <v>250</v>
      </c>
      <c r="U471" s="11" t="s">
        <v>134</v>
      </c>
      <c r="V471" s="11" t="s">
        <v>249</v>
      </c>
      <c r="W471" s="11" t="s">
        <v>250</v>
      </c>
      <c r="X471" s="11">
        <v>49</v>
      </c>
      <c r="Y471" s="11" t="s">
        <v>135</v>
      </c>
      <c r="Z471" s="11">
        <v>80</v>
      </c>
      <c r="AA471" s="11">
        <v>1</v>
      </c>
      <c r="AB471" s="12">
        <v>1</v>
      </c>
    </row>
    <row r="472" spans="1:28" x14ac:dyDescent="0.2">
      <c r="A472" s="7">
        <v>25461</v>
      </c>
      <c r="B472" s="8" t="s">
        <v>3634</v>
      </c>
      <c r="C472" s="8" t="s">
        <v>1045</v>
      </c>
      <c r="D472" s="8" t="s">
        <v>1046</v>
      </c>
      <c r="E472" s="8" t="s">
        <v>3635</v>
      </c>
      <c r="F472" s="8" t="s">
        <v>1048</v>
      </c>
      <c r="G472" s="8" t="s">
        <v>121</v>
      </c>
      <c r="H472" s="8" t="s">
        <v>122</v>
      </c>
      <c r="I472" s="8" t="s">
        <v>1049</v>
      </c>
      <c r="J472" s="8" t="s">
        <v>1050</v>
      </c>
      <c r="K472" s="8" t="s">
        <v>1051</v>
      </c>
      <c r="L472" s="8" t="s">
        <v>126</v>
      </c>
      <c r="M472" s="8" t="s">
        <v>3636</v>
      </c>
      <c r="N472" s="8" t="s">
        <v>128</v>
      </c>
      <c r="O472" s="8" t="s">
        <v>3637</v>
      </c>
      <c r="P472" s="8" t="s">
        <v>3638</v>
      </c>
      <c r="Q472" s="8" t="s">
        <v>249</v>
      </c>
      <c r="R472" s="8"/>
      <c r="S472" s="8" t="s">
        <v>1055</v>
      </c>
      <c r="T472" s="8" t="s">
        <v>250</v>
      </c>
      <c r="U472" s="8" t="s">
        <v>134</v>
      </c>
      <c r="V472" s="8" t="s">
        <v>249</v>
      </c>
      <c r="W472" s="8" t="s">
        <v>250</v>
      </c>
      <c r="X472" s="8">
        <v>49</v>
      </c>
      <c r="Y472" s="8" t="s">
        <v>135</v>
      </c>
      <c r="Z472" s="8">
        <v>80</v>
      </c>
      <c r="AA472" s="8">
        <v>1</v>
      </c>
      <c r="AB472" s="9">
        <v>1</v>
      </c>
    </row>
    <row r="473" spans="1:28" x14ac:dyDescent="0.2">
      <c r="A473" s="10">
        <v>21529</v>
      </c>
      <c r="B473" s="11" t="s">
        <v>3639</v>
      </c>
      <c r="C473" s="11" t="s">
        <v>3640</v>
      </c>
      <c r="D473" s="11" t="s">
        <v>3641</v>
      </c>
      <c r="E473" s="11" t="s">
        <v>3642</v>
      </c>
      <c r="F473" s="11" t="s">
        <v>353</v>
      </c>
      <c r="G473" s="11" t="s">
        <v>3643</v>
      </c>
      <c r="H473" s="11" t="s">
        <v>142</v>
      </c>
      <c r="I473" s="11" t="s">
        <v>3644</v>
      </c>
      <c r="J473" s="11" t="s">
        <v>3645</v>
      </c>
      <c r="K473" s="11" t="s">
        <v>651</v>
      </c>
      <c r="L473" s="11" t="s">
        <v>146</v>
      </c>
      <c r="M473" s="11" t="s">
        <v>3646</v>
      </c>
      <c r="N473" s="11" t="s">
        <v>128</v>
      </c>
      <c r="O473" s="11" t="s">
        <v>3647</v>
      </c>
      <c r="P473" s="11" t="s">
        <v>3648</v>
      </c>
      <c r="Q473" s="11" t="s">
        <v>150</v>
      </c>
      <c r="R473" s="11"/>
      <c r="S473" s="11" t="s">
        <v>71</v>
      </c>
      <c r="T473" s="11" t="s">
        <v>67</v>
      </c>
      <c r="U473" s="11" t="s">
        <v>150</v>
      </c>
      <c r="V473" s="11" t="s">
        <v>152</v>
      </c>
      <c r="W473" s="11" t="s">
        <v>67</v>
      </c>
      <c r="X473" s="11">
        <v>48</v>
      </c>
      <c r="Y473" s="11" t="s">
        <v>135</v>
      </c>
      <c r="Z473" s="11">
        <v>80</v>
      </c>
      <c r="AA473" s="11">
        <v>0</v>
      </c>
      <c r="AB473" s="12">
        <v>0</v>
      </c>
    </row>
    <row r="474" spans="1:28" x14ac:dyDescent="0.2">
      <c r="A474" s="7">
        <v>21654</v>
      </c>
      <c r="B474" s="8" t="s">
        <v>3649</v>
      </c>
      <c r="C474" s="8" t="s">
        <v>3650</v>
      </c>
      <c r="D474" s="8" t="s">
        <v>3651</v>
      </c>
      <c r="E474" s="8" t="s">
        <v>3652</v>
      </c>
      <c r="F474" s="8" t="s">
        <v>3653</v>
      </c>
      <c r="G474" s="8" t="s">
        <v>3654</v>
      </c>
      <c r="H474" s="8" t="s">
        <v>142</v>
      </c>
      <c r="I474" s="8" t="s">
        <v>3655</v>
      </c>
      <c r="J474" s="8" t="s">
        <v>3656</v>
      </c>
      <c r="K474" s="8" t="s">
        <v>1029</v>
      </c>
      <c r="L474" s="8" t="s">
        <v>464</v>
      </c>
      <c r="M474" s="8" t="s">
        <v>3657</v>
      </c>
      <c r="N474" s="8" t="s">
        <v>128</v>
      </c>
      <c r="O474" s="8" t="s">
        <v>3658</v>
      </c>
      <c r="P474" s="8" t="s">
        <v>3659</v>
      </c>
      <c r="Q474" s="8" t="s">
        <v>150</v>
      </c>
      <c r="R474" s="8"/>
      <c r="S474" s="8" t="s">
        <v>71</v>
      </c>
      <c r="T474" s="8" t="s">
        <v>67</v>
      </c>
      <c r="U474" s="8" t="s">
        <v>150</v>
      </c>
      <c r="V474" s="8" t="s">
        <v>152</v>
      </c>
      <c r="W474" s="8" t="s">
        <v>67</v>
      </c>
      <c r="X474" s="8">
        <v>48</v>
      </c>
      <c r="Y474" s="8" t="s">
        <v>135</v>
      </c>
      <c r="Z474" s="8">
        <v>80</v>
      </c>
      <c r="AA474" s="8">
        <v>0</v>
      </c>
      <c r="AB474" s="9">
        <v>0</v>
      </c>
    </row>
    <row r="475" spans="1:28" x14ac:dyDescent="0.2">
      <c r="A475" s="10">
        <v>21485</v>
      </c>
      <c r="B475" s="11" t="s">
        <v>3660</v>
      </c>
      <c r="C475" s="11" t="s">
        <v>3661</v>
      </c>
      <c r="D475" s="11" t="s">
        <v>3598</v>
      </c>
      <c r="E475" s="11" t="s">
        <v>3662</v>
      </c>
      <c r="F475" s="11" t="s">
        <v>353</v>
      </c>
      <c r="G475" s="11" t="s">
        <v>412</v>
      </c>
      <c r="H475" s="11" t="s">
        <v>329</v>
      </c>
      <c r="I475" s="11" t="s">
        <v>3663</v>
      </c>
      <c r="J475" s="11" t="s">
        <v>3664</v>
      </c>
      <c r="K475" s="11" t="s">
        <v>415</v>
      </c>
      <c r="L475" s="11" t="s">
        <v>333</v>
      </c>
      <c r="M475" s="11" t="s">
        <v>3665</v>
      </c>
      <c r="N475" s="11" t="s">
        <v>128</v>
      </c>
      <c r="O475" s="11" t="s">
        <v>3666</v>
      </c>
      <c r="P475" s="11" t="s">
        <v>3667</v>
      </c>
      <c r="Q475" s="11" t="s">
        <v>150</v>
      </c>
      <c r="R475" s="11"/>
      <c r="S475" s="11" t="s">
        <v>3668</v>
      </c>
      <c r="T475" s="11" t="s">
        <v>67</v>
      </c>
      <c r="U475" s="11" t="s">
        <v>150</v>
      </c>
      <c r="V475" s="11" t="s">
        <v>152</v>
      </c>
      <c r="W475" s="11" t="s">
        <v>67</v>
      </c>
      <c r="X475" s="11">
        <v>48</v>
      </c>
      <c r="Y475" s="11" t="s">
        <v>135</v>
      </c>
      <c r="Z475" s="11">
        <v>80</v>
      </c>
      <c r="AA475" s="11">
        <v>0</v>
      </c>
      <c r="AB475" s="12">
        <v>0</v>
      </c>
    </row>
    <row r="476" spans="1:28" x14ac:dyDescent="0.2">
      <c r="A476" s="7">
        <v>21544</v>
      </c>
      <c r="B476" s="8" t="s">
        <v>3669</v>
      </c>
      <c r="C476" s="8" t="s">
        <v>3670</v>
      </c>
      <c r="D476" s="8" t="s">
        <v>3013</v>
      </c>
      <c r="E476" s="8"/>
      <c r="F476" s="8" t="s">
        <v>1951</v>
      </c>
      <c r="G476" s="8" t="s">
        <v>1952</v>
      </c>
      <c r="H476" s="8" t="s">
        <v>1953</v>
      </c>
      <c r="I476" s="8" t="s">
        <v>1954</v>
      </c>
      <c r="J476" s="8" t="s">
        <v>3671</v>
      </c>
      <c r="K476" s="8" t="s">
        <v>1956</v>
      </c>
      <c r="L476" s="8" t="s">
        <v>526</v>
      </c>
      <c r="M476" s="8" t="s">
        <v>3672</v>
      </c>
      <c r="N476" s="8" t="s">
        <v>128</v>
      </c>
      <c r="O476" s="8" t="s">
        <v>3673</v>
      </c>
      <c r="P476" s="8" t="s">
        <v>3674</v>
      </c>
      <c r="Q476" s="8" t="s">
        <v>150</v>
      </c>
      <c r="R476" s="8"/>
      <c r="S476" s="8" t="s">
        <v>1959</v>
      </c>
      <c r="T476" s="8" t="s">
        <v>67</v>
      </c>
      <c r="U476" s="8" t="s">
        <v>150</v>
      </c>
      <c r="V476" s="8" t="s">
        <v>152</v>
      </c>
      <c r="W476" s="8" t="s">
        <v>67</v>
      </c>
      <c r="X476" s="8">
        <v>48</v>
      </c>
      <c r="Y476" s="8" t="s">
        <v>135</v>
      </c>
      <c r="Z476" s="8">
        <v>20</v>
      </c>
      <c r="AA476" s="8">
        <v>1</v>
      </c>
      <c r="AB476" s="9">
        <v>0</v>
      </c>
    </row>
    <row r="477" spans="1:28" x14ac:dyDescent="0.2">
      <c r="A477" s="10">
        <v>21334</v>
      </c>
      <c r="B477" s="11" t="s">
        <v>3675</v>
      </c>
      <c r="C477" s="11" t="s">
        <v>3676</v>
      </c>
      <c r="D477" s="11" t="s">
        <v>3677</v>
      </c>
      <c r="E477" s="11"/>
      <c r="F477" s="11" t="s">
        <v>3678</v>
      </c>
      <c r="G477" s="11" t="s">
        <v>141</v>
      </c>
      <c r="H477" s="11" t="s">
        <v>142</v>
      </c>
      <c r="I477" s="11" t="s">
        <v>3679</v>
      </c>
      <c r="J477" s="11" t="s">
        <v>3680</v>
      </c>
      <c r="K477" s="11" t="s">
        <v>584</v>
      </c>
      <c r="L477" s="11" t="s">
        <v>146</v>
      </c>
      <c r="M477" s="11" t="s">
        <v>3681</v>
      </c>
      <c r="N477" s="11" t="s">
        <v>128</v>
      </c>
      <c r="O477" s="11" t="s">
        <v>3682</v>
      </c>
      <c r="P477" s="11" t="s">
        <v>3683</v>
      </c>
      <c r="Q477" s="11" t="s">
        <v>150</v>
      </c>
      <c r="R477" s="11"/>
      <c r="S477" s="11" t="s">
        <v>3684</v>
      </c>
      <c r="T477" s="11" t="s">
        <v>67</v>
      </c>
      <c r="U477" s="11" t="s">
        <v>150</v>
      </c>
      <c r="V477" s="11" t="s">
        <v>152</v>
      </c>
      <c r="W477" s="11" t="s">
        <v>67</v>
      </c>
      <c r="X477" s="11">
        <v>48</v>
      </c>
      <c r="Y477" s="11" t="s">
        <v>135</v>
      </c>
      <c r="Z477" s="11">
        <v>80</v>
      </c>
      <c r="AA477" s="11">
        <v>0</v>
      </c>
      <c r="AB477" s="12">
        <v>0</v>
      </c>
    </row>
    <row r="478" spans="1:28" x14ac:dyDescent="0.2">
      <c r="A478" s="7">
        <v>117908</v>
      </c>
      <c r="B478" s="8" t="s">
        <v>3685</v>
      </c>
      <c r="C478" s="8" t="s">
        <v>842</v>
      </c>
      <c r="D478" s="8" t="s">
        <v>843</v>
      </c>
      <c r="E478" s="8" t="s">
        <v>3686</v>
      </c>
      <c r="F478" s="8" t="s">
        <v>1080</v>
      </c>
      <c r="G478" s="8" t="s">
        <v>846</v>
      </c>
      <c r="H478" s="8" t="s">
        <v>847</v>
      </c>
      <c r="I478" s="8" t="s">
        <v>848</v>
      </c>
      <c r="J478" s="8" t="s">
        <v>849</v>
      </c>
      <c r="K478" s="8" t="s">
        <v>850</v>
      </c>
      <c r="L478" s="8" t="s">
        <v>126</v>
      </c>
      <c r="M478" s="8" t="s">
        <v>3687</v>
      </c>
      <c r="N478" s="8" t="s">
        <v>128</v>
      </c>
      <c r="O478" s="8" t="s">
        <v>3688</v>
      </c>
      <c r="P478" s="8"/>
      <c r="Q478" s="8" t="s">
        <v>131</v>
      </c>
      <c r="R478" s="8"/>
      <c r="S478" s="8" t="s">
        <v>854</v>
      </c>
      <c r="T478" s="8" t="s">
        <v>983</v>
      </c>
      <c r="U478" s="8" t="s">
        <v>134</v>
      </c>
      <c r="V478" s="8" t="s">
        <v>131</v>
      </c>
      <c r="W478" s="8" t="s">
        <v>983</v>
      </c>
      <c r="X478" s="8">
        <v>48</v>
      </c>
      <c r="Y478" s="8" t="s">
        <v>135</v>
      </c>
      <c r="Z478" s="8">
        <v>20</v>
      </c>
      <c r="AA478" s="8">
        <v>1</v>
      </c>
      <c r="AB478" s="9">
        <v>0</v>
      </c>
    </row>
    <row r="479" spans="1:28" x14ac:dyDescent="0.2">
      <c r="A479" s="10">
        <v>21942</v>
      </c>
      <c r="B479" s="11" t="s">
        <v>3689</v>
      </c>
      <c r="C479" s="11" t="s">
        <v>186</v>
      </c>
      <c r="D479" s="11" t="s">
        <v>187</v>
      </c>
      <c r="E479" s="11" t="s">
        <v>3690</v>
      </c>
      <c r="F479" s="11" t="s">
        <v>189</v>
      </c>
      <c r="G479" s="11" t="s">
        <v>190</v>
      </c>
      <c r="H479" s="11" t="s">
        <v>191</v>
      </c>
      <c r="I479" s="11" t="s">
        <v>192</v>
      </c>
      <c r="J479" s="11" t="s">
        <v>193</v>
      </c>
      <c r="K479" s="11" t="s">
        <v>194</v>
      </c>
      <c r="L479" s="11" t="s">
        <v>163</v>
      </c>
      <c r="M479" s="11" t="s">
        <v>3691</v>
      </c>
      <c r="N479" s="11" t="s">
        <v>128</v>
      </c>
      <c r="O479" s="11" t="s">
        <v>3692</v>
      </c>
      <c r="P479" s="11" t="s">
        <v>3693</v>
      </c>
      <c r="Q479" s="11" t="s">
        <v>131</v>
      </c>
      <c r="R479" s="11"/>
      <c r="S479" s="11" t="s">
        <v>198</v>
      </c>
      <c r="T479" s="11" t="s">
        <v>133</v>
      </c>
      <c r="U479" s="11" t="s">
        <v>134</v>
      </c>
      <c r="V479" s="11" t="s">
        <v>131</v>
      </c>
      <c r="W479" s="11" t="s">
        <v>133</v>
      </c>
      <c r="X479" s="11">
        <v>48</v>
      </c>
      <c r="Y479" s="11" t="s">
        <v>135</v>
      </c>
      <c r="Z479" s="11">
        <v>20</v>
      </c>
      <c r="AA479" s="11">
        <v>1</v>
      </c>
      <c r="AB479" s="12">
        <v>0</v>
      </c>
    </row>
    <row r="480" spans="1:28" x14ac:dyDescent="0.2">
      <c r="A480" s="7">
        <v>21836</v>
      </c>
      <c r="B480" s="8" t="s">
        <v>3694</v>
      </c>
      <c r="C480" s="8" t="s">
        <v>1183</v>
      </c>
      <c r="D480" s="8" t="s">
        <v>904</v>
      </c>
      <c r="E480" s="8" t="s">
        <v>3695</v>
      </c>
      <c r="F480" s="8" t="s">
        <v>1185</v>
      </c>
      <c r="G480" s="8" t="s">
        <v>121</v>
      </c>
      <c r="H480" s="8" t="s">
        <v>122</v>
      </c>
      <c r="I480" s="8" t="s">
        <v>1186</v>
      </c>
      <c r="J480" s="8" t="s">
        <v>1187</v>
      </c>
      <c r="K480" s="8" t="s">
        <v>1051</v>
      </c>
      <c r="L480" s="8" t="s">
        <v>126</v>
      </c>
      <c r="M480" s="8" t="s">
        <v>3696</v>
      </c>
      <c r="N480" s="8" t="s">
        <v>128</v>
      </c>
      <c r="O480" s="8" t="s">
        <v>3697</v>
      </c>
      <c r="P480" s="8" t="s">
        <v>3698</v>
      </c>
      <c r="Q480" s="8" t="s">
        <v>131</v>
      </c>
      <c r="R480" s="8"/>
      <c r="S480" s="8" t="s">
        <v>1191</v>
      </c>
      <c r="T480" s="8" t="s">
        <v>133</v>
      </c>
      <c r="U480" s="8" t="s">
        <v>134</v>
      </c>
      <c r="V480" s="8" t="s">
        <v>131</v>
      </c>
      <c r="W480" s="8" t="s">
        <v>133</v>
      </c>
      <c r="X480" s="8">
        <v>48</v>
      </c>
      <c r="Y480" s="8" t="s">
        <v>135</v>
      </c>
      <c r="Z480" s="8">
        <v>80</v>
      </c>
      <c r="AA480" s="8">
        <v>1</v>
      </c>
      <c r="AB480" s="9">
        <v>1</v>
      </c>
    </row>
    <row r="481" spans="1:28" x14ac:dyDescent="0.2">
      <c r="A481" s="10">
        <v>22538</v>
      </c>
      <c r="B481" s="11" t="s">
        <v>3699</v>
      </c>
      <c r="C481" s="11" t="s">
        <v>876</v>
      </c>
      <c r="D481" s="11" t="s">
        <v>138</v>
      </c>
      <c r="E481" s="11" t="s">
        <v>3700</v>
      </c>
      <c r="F481" s="11" t="s">
        <v>878</v>
      </c>
      <c r="G481" s="11" t="s">
        <v>224</v>
      </c>
      <c r="H481" s="11" t="s">
        <v>225</v>
      </c>
      <c r="I481" s="11" t="s">
        <v>1005</v>
      </c>
      <c r="J481" s="11" t="s">
        <v>880</v>
      </c>
      <c r="K481" s="11" t="s">
        <v>228</v>
      </c>
      <c r="L481" s="11" t="s">
        <v>229</v>
      </c>
      <c r="M481" s="11" t="s">
        <v>3701</v>
      </c>
      <c r="N481" s="11" t="s">
        <v>128</v>
      </c>
      <c r="O481" s="11" t="s">
        <v>3702</v>
      </c>
      <c r="P481" s="11" t="s">
        <v>3703</v>
      </c>
      <c r="Q481" s="11" t="s">
        <v>150</v>
      </c>
      <c r="R481" s="11"/>
      <c r="S481" s="11" t="s">
        <v>884</v>
      </c>
      <c r="T481" s="11" t="s">
        <v>869</v>
      </c>
      <c r="U481" s="11" t="s">
        <v>150</v>
      </c>
      <c r="V481" s="11" t="s">
        <v>869</v>
      </c>
      <c r="W481" s="11" t="s">
        <v>869</v>
      </c>
      <c r="X481" s="11">
        <v>48</v>
      </c>
      <c r="Y481" s="11" t="s">
        <v>135</v>
      </c>
      <c r="Z481" s="11">
        <v>80</v>
      </c>
      <c r="AA481" s="11">
        <v>1</v>
      </c>
      <c r="AB481" s="12">
        <v>1</v>
      </c>
    </row>
    <row r="482" spans="1:28" x14ac:dyDescent="0.2">
      <c r="A482" s="7">
        <v>22992</v>
      </c>
      <c r="B482" s="8" t="s">
        <v>3704</v>
      </c>
      <c r="C482" s="8" t="s">
        <v>1214</v>
      </c>
      <c r="D482" s="8" t="s">
        <v>1215</v>
      </c>
      <c r="E482" s="8" t="s">
        <v>3705</v>
      </c>
      <c r="F482" s="8" t="s">
        <v>353</v>
      </c>
      <c r="G482" s="8" t="s">
        <v>536</v>
      </c>
      <c r="H482" s="8" t="s">
        <v>329</v>
      </c>
      <c r="I482" s="8" t="s">
        <v>1216</v>
      </c>
      <c r="J482" s="8" t="s">
        <v>1217</v>
      </c>
      <c r="K482" s="8" t="s">
        <v>431</v>
      </c>
      <c r="L482" s="8" t="s">
        <v>333</v>
      </c>
      <c r="M482" s="8" t="s">
        <v>3706</v>
      </c>
      <c r="N482" s="8" t="s">
        <v>128</v>
      </c>
      <c r="O482" s="8" t="s">
        <v>3707</v>
      </c>
      <c r="P482" s="8" t="s">
        <v>3708</v>
      </c>
      <c r="Q482" s="8" t="s">
        <v>150</v>
      </c>
      <c r="R482" s="8"/>
      <c r="S482" s="8" t="s">
        <v>1221</v>
      </c>
      <c r="T482" s="8" t="s">
        <v>70</v>
      </c>
      <c r="U482" s="8" t="s">
        <v>150</v>
      </c>
      <c r="V482" s="8" t="s">
        <v>70</v>
      </c>
      <c r="W482" s="8" t="s">
        <v>70</v>
      </c>
      <c r="X482" s="8">
        <v>48</v>
      </c>
      <c r="Y482" s="8" t="s">
        <v>135</v>
      </c>
      <c r="Z482" s="8">
        <v>80</v>
      </c>
      <c r="AA482" s="8">
        <v>0</v>
      </c>
      <c r="AB482" s="9">
        <v>0</v>
      </c>
    </row>
    <row r="483" spans="1:28" x14ac:dyDescent="0.2">
      <c r="A483" s="10">
        <v>23928</v>
      </c>
      <c r="B483" s="11" t="s">
        <v>3709</v>
      </c>
      <c r="C483" s="11" t="s">
        <v>2615</v>
      </c>
      <c r="D483" s="11" t="s">
        <v>3710</v>
      </c>
      <c r="E483" s="11" t="s">
        <v>3711</v>
      </c>
      <c r="F483" s="11" t="s">
        <v>353</v>
      </c>
      <c r="G483" s="11" t="s">
        <v>2618</v>
      </c>
      <c r="H483" s="11" t="s">
        <v>142</v>
      </c>
      <c r="I483" s="11" t="s">
        <v>3712</v>
      </c>
      <c r="J483" s="11" t="s">
        <v>3713</v>
      </c>
      <c r="K483" s="11" t="s">
        <v>651</v>
      </c>
      <c r="L483" s="11" t="s">
        <v>146</v>
      </c>
      <c r="M483" s="11" t="s">
        <v>3714</v>
      </c>
      <c r="N483" s="11" t="s">
        <v>128</v>
      </c>
      <c r="O483" s="11" t="s">
        <v>3715</v>
      </c>
      <c r="P483" s="11" t="s">
        <v>3716</v>
      </c>
      <c r="Q483" s="11" t="s">
        <v>150</v>
      </c>
      <c r="R483" s="11"/>
      <c r="S483" s="11" t="s">
        <v>71</v>
      </c>
      <c r="T483" s="11" t="s">
        <v>168</v>
      </c>
      <c r="U483" s="11" t="s">
        <v>150</v>
      </c>
      <c r="V483" s="11" t="s">
        <v>168</v>
      </c>
      <c r="W483" s="11" t="s">
        <v>168</v>
      </c>
      <c r="X483" s="11">
        <v>48</v>
      </c>
      <c r="Y483" s="11" t="s">
        <v>135</v>
      </c>
      <c r="Z483" s="11">
        <v>80</v>
      </c>
      <c r="AA483" s="11">
        <v>0</v>
      </c>
      <c r="AB483" s="12">
        <v>0</v>
      </c>
    </row>
    <row r="484" spans="1:28" x14ac:dyDescent="0.2">
      <c r="A484" s="7">
        <v>25314</v>
      </c>
      <c r="B484" s="8" t="s">
        <v>3717</v>
      </c>
      <c r="C484" s="8" t="s">
        <v>997</v>
      </c>
      <c r="D484" s="8" t="s">
        <v>861</v>
      </c>
      <c r="E484" s="8" t="s">
        <v>2218</v>
      </c>
      <c r="F484" s="8" t="s">
        <v>449</v>
      </c>
      <c r="G484" s="8" t="s">
        <v>450</v>
      </c>
      <c r="H484" s="8" t="s">
        <v>301</v>
      </c>
      <c r="I484" s="8" t="s">
        <v>863</v>
      </c>
      <c r="J484" s="8" t="s">
        <v>999</v>
      </c>
      <c r="K484" s="8" t="s">
        <v>304</v>
      </c>
      <c r="L484" s="8" t="s">
        <v>229</v>
      </c>
      <c r="M484" s="8" t="s">
        <v>3718</v>
      </c>
      <c r="N484" s="8" t="s">
        <v>128</v>
      </c>
      <c r="O484" s="8" t="s">
        <v>3719</v>
      </c>
      <c r="P484" s="8"/>
      <c r="Q484" s="8" t="s">
        <v>740</v>
      </c>
      <c r="R484" s="8"/>
      <c r="S484" s="8" t="s">
        <v>868</v>
      </c>
      <c r="T484" s="8" t="s">
        <v>1745</v>
      </c>
      <c r="U484" s="8" t="s">
        <v>134</v>
      </c>
      <c r="V484" s="8" t="s">
        <v>740</v>
      </c>
      <c r="W484" s="8" t="s">
        <v>1745</v>
      </c>
      <c r="X484" s="8">
        <v>48</v>
      </c>
      <c r="Y484" s="8" t="s">
        <v>135</v>
      </c>
      <c r="Z484" s="8">
        <v>80</v>
      </c>
      <c r="AA484" s="8">
        <v>1</v>
      </c>
      <c r="AB484" s="9">
        <v>1</v>
      </c>
    </row>
    <row r="485" spans="1:28" x14ac:dyDescent="0.2">
      <c r="A485" s="10">
        <v>22373</v>
      </c>
      <c r="B485" s="11" t="s">
        <v>3720</v>
      </c>
      <c r="C485" s="11" t="s">
        <v>1666</v>
      </c>
      <c r="D485" s="11" t="s">
        <v>1667</v>
      </c>
      <c r="E485" s="11"/>
      <c r="F485" s="11" t="s">
        <v>1669</v>
      </c>
      <c r="G485" s="11" t="s">
        <v>1670</v>
      </c>
      <c r="H485" s="11" t="s">
        <v>142</v>
      </c>
      <c r="I485" s="11" t="s">
        <v>1671</v>
      </c>
      <c r="J485" s="11" t="s">
        <v>1672</v>
      </c>
      <c r="K485" s="11" t="s">
        <v>1673</v>
      </c>
      <c r="L485" s="11" t="s">
        <v>464</v>
      </c>
      <c r="M485" s="11" t="s">
        <v>3721</v>
      </c>
      <c r="N485" s="11" t="s">
        <v>128</v>
      </c>
      <c r="O485" s="11" t="s">
        <v>3722</v>
      </c>
      <c r="P485" s="11" t="s">
        <v>3723</v>
      </c>
      <c r="Q485" s="11" t="s">
        <v>740</v>
      </c>
      <c r="R485" s="11"/>
      <c r="S485" s="11" t="s">
        <v>1677</v>
      </c>
      <c r="T485" s="11" t="s">
        <v>1745</v>
      </c>
      <c r="U485" s="11" t="s">
        <v>134</v>
      </c>
      <c r="V485" s="11" t="s">
        <v>740</v>
      </c>
      <c r="W485" s="11" t="s">
        <v>1745</v>
      </c>
      <c r="X485" s="11">
        <v>48</v>
      </c>
      <c r="Y485" s="11" t="s">
        <v>135</v>
      </c>
      <c r="Z485" s="11">
        <v>20</v>
      </c>
      <c r="AA485" s="11">
        <v>1</v>
      </c>
      <c r="AB485" s="12">
        <v>0</v>
      </c>
    </row>
    <row r="486" spans="1:28" x14ac:dyDescent="0.2">
      <c r="A486" s="7">
        <v>31209</v>
      </c>
      <c r="B486" s="8" t="s">
        <v>3724</v>
      </c>
      <c r="C486" s="8" t="s">
        <v>1045</v>
      </c>
      <c r="D486" s="8" t="s">
        <v>1046</v>
      </c>
      <c r="E486" s="8"/>
      <c r="F486" s="8" t="s">
        <v>3725</v>
      </c>
      <c r="G486" s="8" t="s">
        <v>121</v>
      </c>
      <c r="H486" s="8" t="s">
        <v>122</v>
      </c>
      <c r="I486" s="8" t="s">
        <v>1049</v>
      </c>
      <c r="J486" s="8" t="s">
        <v>3726</v>
      </c>
      <c r="K486" s="8" t="s">
        <v>1051</v>
      </c>
      <c r="L486" s="8" t="s">
        <v>126</v>
      </c>
      <c r="M486" s="8" t="s">
        <v>3727</v>
      </c>
      <c r="N486" s="8" t="s">
        <v>128</v>
      </c>
      <c r="O486" s="8" t="s">
        <v>3728</v>
      </c>
      <c r="P486" s="8" t="s">
        <v>3729</v>
      </c>
      <c r="Q486" s="8" t="s">
        <v>740</v>
      </c>
      <c r="R486" s="8"/>
      <c r="S486" s="8" t="s">
        <v>1055</v>
      </c>
      <c r="T486" s="8" t="s">
        <v>741</v>
      </c>
      <c r="U486" s="8" t="s">
        <v>134</v>
      </c>
      <c r="V486" s="8" t="s">
        <v>740</v>
      </c>
      <c r="W486" s="8" t="s">
        <v>741</v>
      </c>
      <c r="X486" s="8">
        <v>48</v>
      </c>
      <c r="Y486" s="8" t="s">
        <v>135</v>
      </c>
      <c r="Z486" s="8">
        <v>80</v>
      </c>
      <c r="AA486" s="8">
        <v>1</v>
      </c>
      <c r="AB486" s="9">
        <v>1</v>
      </c>
    </row>
    <row r="487" spans="1:28" x14ac:dyDescent="0.2">
      <c r="A487" s="10">
        <v>25405</v>
      </c>
      <c r="B487" s="11" t="s">
        <v>3730</v>
      </c>
      <c r="C487" s="11" t="s">
        <v>1271</v>
      </c>
      <c r="D487" s="11" t="s">
        <v>1272</v>
      </c>
      <c r="E487" s="11"/>
      <c r="F487" s="11" t="s">
        <v>3731</v>
      </c>
      <c r="G487" s="11" t="s">
        <v>521</v>
      </c>
      <c r="H487" s="11" t="s">
        <v>522</v>
      </c>
      <c r="I487" s="11" t="s">
        <v>3732</v>
      </c>
      <c r="J487" s="11" t="s">
        <v>3733</v>
      </c>
      <c r="K487" s="11" t="s">
        <v>525</v>
      </c>
      <c r="L487" s="11" t="s">
        <v>526</v>
      </c>
      <c r="M487" s="11" t="s">
        <v>3734</v>
      </c>
      <c r="N487" s="11" t="s">
        <v>128</v>
      </c>
      <c r="O487" s="11" t="s">
        <v>3735</v>
      </c>
      <c r="P487" s="11" t="s">
        <v>3736</v>
      </c>
      <c r="Q487" s="11" t="s">
        <v>249</v>
      </c>
      <c r="R487" s="11"/>
      <c r="S487" s="11" t="s">
        <v>1280</v>
      </c>
      <c r="T487" s="11" t="s">
        <v>250</v>
      </c>
      <c r="U487" s="11" t="s">
        <v>134</v>
      </c>
      <c r="V487" s="11" t="s">
        <v>249</v>
      </c>
      <c r="W487" s="11" t="s">
        <v>250</v>
      </c>
      <c r="X487" s="11">
        <v>48</v>
      </c>
      <c r="Y487" s="11" t="s">
        <v>135</v>
      </c>
      <c r="Z487" s="11">
        <v>20</v>
      </c>
      <c r="AA487" s="11">
        <v>1</v>
      </c>
      <c r="AB487" s="12">
        <v>0</v>
      </c>
    </row>
    <row r="488" spans="1:28" x14ac:dyDescent="0.2">
      <c r="A488" s="7">
        <v>21164</v>
      </c>
      <c r="B488" s="8" t="s">
        <v>3737</v>
      </c>
      <c r="C488" s="8" t="s">
        <v>3738</v>
      </c>
      <c r="D488" s="8" t="s">
        <v>138</v>
      </c>
      <c r="E488" s="8" t="s">
        <v>3739</v>
      </c>
      <c r="F488" s="8" t="s">
        <v>353</v>
      </c>
      <c r="G488" s="8" t="s">
        <v>450</v>
      </c>
      <c r="H488" s="8" t="s">
        <v>301</v>
      </c>
      <c r="I488" s="8" t="s">
        <v>3740</v>
      </c>
      <c r="J488" s="8" t="s">
        <v>3741</v>
      </c>
      <c r="K488" s="8" t="s">
        <v>304</v>
      </c>
      <c r="L488" s="8" t="s">
        <v>229</v>
      </c>
      <c r="M488" s="8" t="s">
        <v>3742</v>
      </c>
      <c r="N488" s="8" t="s">
        <v>128</v>
      </c>
      <c r="O488" s="8" t="s">
        <v>3743</v>
      </c>
      <c r="P488" s="8" t="s">
        <v>3744</v>
      </c>
      <c r="Q488" s="8" t="s">
        <v>150</v>
      </c>
      <c r="R488" s="8"/>
      <c r="S488" s="8" t="s">
        <v>71</v>
      </c>
      <c r="T488" s="8" t="s">
        <v>289</v>
      </c>
      <c r="U488" s="8" t="s">
        <v>150</v>
      </c>
      <c r="V488" s="8" t="s">
        <v>289</v>
      </c>
      <c r="W488" s="8" t="s">
        <v>289</v>
      </c>
      <c r="X488" s="8">
        <v>47</v>
      </c>
      <c r="Y488" s="8" t="s">
        <v>135</v>
      </c>
      <c r="Z488" s="8">
        <v>80</v>
      </c>
      <c r="AA488" s="8">
        <v>0</v>
      </c>
      <c r="AB488" s="9">
        <v>0</v>
      </c>
    </row>
    <row r="489" spans="1:28" x14ac:dyDescent="0.2">
      <c r="A489" s="10">
        <v>21354</v>
      </c>
      <c r="B489" s="11" t="s">
        <v>3745</v>
      </c>
      <c r="C489" s="11" t="s">
        <v>3746</v>
      </c>
      <c r="D489" s="11" t="s">
        <v>3747</v>
      </c>
      <c r="E489" s="11" t="s">
        <v>3748</v>
      </c>
      <c r="F489" s="11" t="s">
        <v>3749</v>
      </c>
      <c r="G489" s="11" t="s">
        <v>141</v>
      </c>
      <c r="H489" s="11" t="s">
        <v>142</v>
      </c>
      <c r="I489" s="11" t="s">
        <v>3750</v>
      </c>
      <c r="J489" s="11" t="s">
        <v>3751</v>
      </c>
      <c r="K489" s="11" t="s">
        <v>584</v>
      </c>
      <c r="L489" s="11" t="s">
        <v>146</v>
      </c>
      <c r="M489" s="11" t="s">
        <v>3752</v>
      </c>
      <c r="N489" s="11" t="s">
        <v>128</v>
      </c>
      <c r="O489" s="11" t="s">
        <v>3753</v>
      </c>
      <c r="P489" s="11" t="s">
        <v>3754</v>
      </c>
      <c r="Q489" s="11" t="s">
        <v>150</v>
      </c>
      <c r="R489" s="11"/>
      <c r="S489" s="11" t="s">
        <v>71</v>
      </c>
      <c r="T489" s="11" t="s">
        <v>67</v>
      </c>
      <c r="U489" s="11" t="s">
        <v>150</v>
      </c>
      <c r="V489" s="11" t="s">
        <v>152</v>
      </c>
      <c r="W489" s="11" t="s">
        <v>67</v>
      </c>
      <c r="X489" s="11">
        <v>47</v>
      </c>
      <c r="Y489" s="11" t="s">
        <v>135</v>
      </c>
      <c r="Z489" s="11">
        <v>80</v>
      </c>
      <c r="AA489" s="11">
        <v>0</v>
      </c>
      <c r="AB489" s="12">
        <v>0</v>
      </c>
    </row>
    <row r="490" spans="1:28" x14ac:dyDescent="0.2">
      <c r="A490" s="7">
        <v>21337</v>
      </c>
      <c r="B490" s="8" t="s">
        <v>3755</v>
      </c>
      <c r="C490" s="8" t="s">
        <v>3756</v>
      </c>
      <c r="D490" s="8" t="s">
        <v>3757</v>
      </c>
      <c r="E490" s="8"/>
      <c r="F490" s="8" t="s">
        <v>353</v>
      </c>
      <c r="G490" s="8" t="s">
        <v>3758</v>
      </c>
      <c r="H490" s="8" t="s">
        <v>847</v>
      </c>
      <c r="I490" s="8" t="s">
        <v>3759</v>
      </c>
      <c r="J490" s="8" t="s">
        <v>3760</v>
      </c>
      <c r="K490" s="8" t="s">
        <v>1091</v>
      </c>
      <c r="L490" s="8" t="s">
        <v>126</v>
      </c>
      <c r="M490" s="8" t="s">
        <v>3761</v>
      </c>
      <c r="N490" s="8" t="s">
        <v>128</v>
      </c>
      <c r="O490" s="8" t="s">
        <v>3762</v>
      </c>
      <c r="P490" s="8" t="s">
        <v>3763</v>
      </c>
      <c r="Q490" s="8" t="s">
        <v>150</v>
      </c>
      <c r="R490" s="8"/>
      <c r="S490" s="8" t="s">
        <v>71</v>
      </c>
      <c r="T490" s="8" t="s">
        <v>67</v>
      </c>
      <c r="U490" s="8" t="s">
        <v>150</v>
      </c>
      <c r="V490" s="8" t="s">
        <v>152</v>
      </c>
      <c r="W490" s="8" t="s">
        <v>67</v>
      </c>
      <c r="X490" s="8">
        <v>47</v>
      </c>
      <c r="Y490" s="8" t="s">
        <v>135</v>
      </c>
      <c r="Z490" s="8">
        <v>80</v>
      </c>
      <c r="AA490" s="8">
        <v>0</v>
      </c>
      <c r="AB490" s="9">
        <v>0</v>
      </c>
    </row>
    <row r="491" spans="1:28" x14ac:dyDescent="0.2">
      <c r="A491" s="10">
        <v>22714</v>
      </c>
      <c r="B491" s="11" t="s">
        <v>3764</v>
      </c>
      <c r="C491" s="11" t="s">
        <v>1271</v>
      </c>
      <c r="D491" s="11" t="s">
        <v>1272</v>
      </c>
      <c r="E491" s="11" t="s">
        <v>3765</v>
      </c>
      <c r="F491" s="11" t="s">
        <v>1274</v>
      </c>
      <c r="G491" s="11" t="s">
        <v>521</v>
      </c>
      <c r="H491" s="11" t="s">
        <v>522</v>
      </c>
      <c r="I491" s="11" t="s">
        <v>1275</v>
      </c>
      <c r="J491" s="11" t="s">
        <v>1276</v>
      </c>
      <c r="K491" s="11" t="s">
        <v>525</v>
      </c>
      <c r="L491" s="11" t="s">
        <v>526</v>
      </c>
      <c r="M491" s="11" t="s">
        <v>3766</v>
      </c>
      <c r="N491" s="11" t="s">
        <v>128</v>
      </c>
      <c r="O491" s="11" t="s">
        <v>3767</v>
      </c>
      <c r="P491" s="11"/>
      <c r="Q491" s="11" t="s">
        <v>150</v>
      </c>
      <c r="R491" s="11"/>
      <c r="S491" s="11" t="s">
        <v>1280</v>
      </c>
      <c r="T491" s="11" t="s">
        <v>2702</v>
      </c>
      <c r="U491" s="11" t="s">
        <v>150</v>
      </c>
      <c r="V491" s="11" t="s">
        <v>2702</v>
      </c>
      <c r="W491" s="11" t="s">
        <v>2702</v>
      </c>
      <c r="X491" s="11">
        <v>47</v>
      </c>
      <c r="Y491" s="11" t="s">
        <v>135</v>
      </c>
      <c r="Z491" s="11">
        <v>80</v>
      </c>
      <c r="AA491" s="11">
        <v>1</v>
      </c>
      <c r="AB491" s="12">
        <v>1</v>
      </c>
    </row>
    <row r="492" spans="1:28" x14ac:dyDescent="0.2">
      <c r="A492" s="7">
        <v>23333</v>
      </c>
      <c r="B492" s="8" t="s">
        <v>3768</v>
      </c>
      <c r="C492" s="8" t="s">
        <v>3769</v>
      </c>
      <c r="D492" s="8" t="s">
        <v>3770</v>
      </c>
      <c r="E492" s="8" t="s">
        <v>3771</v>
      </c>
      <c r="F492" s="8" t="s">
        <v>353</v>
      </c>
      <c r="G492" s="8" t="s">
        <v>556</v>
      </c>
      <c r="H492" s="8" t="s">
        <v>557</v>
      </c>
      <c r="I492" s="8" t="s">
        <v>3772</v>
      </c>
      <c r="J492" s="8" t="s">
        <v>3773</v>
      </c>
      <c r="K492" s="8" t="s">
        <v>560</v>
      </c>
      <c r="L492" s="8" t="s">
        <v>229</v>
      </c>
      <c r="M492" s="8" t="s">
        <v>3774</v>
      </c>
      <c r="N492" s="8" t="s">
        <v>128</v>
      </c>
      <c r="O492" s="8" t="s">
        <v>3775</v>
      </c>
      <c r="P492" s="8" t="s">
        <v>3776</v>
      </c>
      <c r="Q492" s="8" t="s">
        <v>150</v>
      </c>
      <c r="R492" s="8"/>
      <c r="S492" s="8" t="s">
        <v>71</v>
      </c>
      <c r="T492" s="8" t="s">
        <v>70</v>
      </c>
      <c r="U492" s="8" t="s">
        <v>150</v>
      </c>
      <c r="V492" s="8" t="s">
        <v>70</v>
      </c>
      <c r="W492" s="8" t="s">
        <v>70</v>
      </c>
      <c r="X492" s="8">
        <v>47</v>
      </c>
      <c r="Y492" s="8" t="s">
        <v>135</v>
      </c>
      <c r="Z492" s="8">
        <v>80</v>
      </c>
      <c r="AA492" s="8">
        <v>0</v>
      </c>
      <c r="AB492" s="9">
        <v>0</v>
      </c>
    </row>
    <row r="493" spans="1:28" x14ac:dyDescent="0.2">
      <c r="A493" s="10">
        <v>22955</v>
      </c>
      <c r="B493" s="11" t="s">
        <v>3777</v>
      </c>
      <c r="C493" s="11" t="s">
        <v>566</v>
      </c>
      <c r="D493" s="11" t="s">
        <v>567</v>
      </c>
      <c r="E493" s="11"/>
      <c r="F493" s="11" t="s">
        <v>569</v>
      </c>
      <c r="G493" s="11" t="s">
        <v>328</v>
      </c>
      <c r="H493" s="11" t="s">
        <v>329</v>
      </c>
      <c r="I493" s="11" t="s">
        <v>570</v>
      </c>
      <c r="J493" s="11" t="s">
        <v>3778</v>
      </c>
      <c r="K493" s="11" t="s">
        <v>572</v>
      </c>
      <c r="L493" s="11" t="s">
        <v>333</v>
      </c>
      <c r="M493" s="11" t="s">
        <v>3779</v>
      </c>
      <c r="N493" s="11" t="s">
        <v>128</v>
      </c>
      <c r="O493" s="11" t="s">
        <v>3780</v>
      </c>
      <c r="P493" s="11" t="s">
        <v>3781</v>
      </c>
      <c r="Q493" s="11" t="s">
        <v>150</v>
      </c>
      <c r="R493" s="11"/>
      <c r="S493" s="11" t="s">
        <v>576</v>
      </c>
      <c r="T493" s="11" t="s">
        <v>70</v>
      </c>
      <c r="U493" s="11" t="s">
        <v>150</v>
      </c>
      <c r="V493" s="11" t="s">
        <v>70</v>
      </c>
      <c r="W493" s="11" t="s">
        <v>70</v>
      </c>
      <c r="X493" s="11">
        <v>47</v>
      </c>
      <c r="Y493" s="11" t="s">
        <v>135</v>
      </c>
      <c r="Z493" s="11">
        <v>20</v>
      </c>
      <c r="AA493" s="11">
        <v>1</v>
      </c>
      <c r="AB493" s="12">
        <v>0</v>
      </c>
    </row>
    <row r="494" spans="1:28" x14ac:dyDescent="0.2">
      <c r="A494" s="7">
        <v>23434</v>
      </c>
      <c r="B494" s="8" t="s">
        <v>3782</v>
      </c>
      <c r="C494" s="8" t="s">
        <v>3783</v>
      </c>
      <c r="D494" s="8" t="s">
        <v>3784</v>
      </c>
      <c r="E494" s="8"/>
      <c r="F494" s="8" t="s">
        <v>353</v>
      </c>
      <c r="G494" s="8" t="s">
        <v>2863</v>
      </c>
      <c r="H494" s="8" t="s">
        <v>142</v>
      </c>
      <c r="I494" s="8" t="s">
        <v>3785</v>
      </c>
      <c r="J494" s="8" t="s">
        <v>3786</v>
      </c>
      <c r="K494" s="8" t="s">
        <v>974</v>
      </c>
      <c r="L494" s="8" t="s">
        <v>146</v>
      </c>
      <c r="M494" s="8" t="s">
        <v>3787</v>
      </c>
      <c r="N494" s="8" t="s">
        <v>128</v>
      </c>
      <c r="O494" s="8" t="s">
        <v>3788</v>
      </c>
      <c r="P494" s="8" t="s">
        <v>3789</v>
      </c>
      <c r="Q494" s="8" t="s">
        <v>150</v>
      </c>
      <c r="R494" s="8"/>
      <c r="S494" s="8" t="s">
        <v>71</v>
      </c>
      <c r="T494" s="8" t="s">
        <v>1415</v>
      </c>
      <c r="U494" s="8" t="s">
        <v>150</v>
      </c>
      <c r="V494" s="8" t="s">
        <v>1415</v>
      </c>
      <c r="W494" s="8" t="s">
        <v>1415</v>
      </c>
      <c r="X494" s="8">
        <v>47</v>
      </c>
      <c r="Y494" s="8" t="s">
        <v>135</v>
      </c>
      <c r="Z494" s="8">
        <v>80</v>
      </c>
      <c r="AA494" s="8">
        <v>0</v>
      </c>
      <c r="AB494" s="9">
        <v>0</v>
      </c>
    </row>
    <row r="495" spans="1:28" x14ac:dyDescent="0.2">
      <c r="A495" s="10">
        <v>23566</v>
      </c>
      <c r="B495" s="11" t="s">
        <v>3790</v>
      </c>
      <c r="C495" s="11" t="s">
        <v>3791</v>
      </c>
      <c r="D495" s="11" t="s">
        <v>3792</v>
      </c>
      <c r="E495" s="11" t="s">
        <v>3793</v>
      </c>
      <c r="F495" s="11" t="s">
        <v>3794</v>
      </c>
      <c r="G495" s="11" t="s">
        <v>450</v>
      </c>
      <c r="H495" s="11" t="s">
        <v>301</v>
      </c>
      <c r="I495" s="11" t="s">
        <v>3795</v>
      </c>
      <c r="J495" s="11" t="s">
        <v>3796</v>
      </c>
      <c r="K495" s="11" t="s">
        <v>304</v>
      </c>
      <c r="L495" s="11" t="s">
        <v>229</v>
      </c>
      <c r="M495" s="11" t="s">
        <v>3797</v>
      </c>
      <c r="N495" s="11" t="s">
        <v>128</v>
      </c>
      <c r="O495" s="11" t="s">
        <v>3798</v>
      </c>
      <c r="P495" s="11" t="s">
        <v>3799</v>
      </c>
      <c r="Q495" s="11" t="s">
        <v>150</v>
      </c>
      <c r="R495" s="11"/>
      <c r="S495" s="11" t="s">
        <v>71</v>
      </c>
      <c r="T495" s="11" t="s">
        <v>168</v>
      </c>
      <c r="U495" s="11" t="s">
        <v>150</v>
      </c>
      <c r="V495" s="11" t="s">
        <v>168</v>
      </c>
      <c r="W495" s="11" t="s">
        <v>168</v>
      </c>
      <c r="X495" s="11">
        <v>47</v>
      </c>
      <c r="Y495" s="11" t="s">
        <v>135</v>
      </c>
      <c r="Z495" s="11">
        <v>80</v>
      </c>
      <c r="AA495" s="11">
        <v>0</v>
      </c>
      <c r="AB495" s="12">
        <v>0</v>
      </c>
    </row>
    <row r="496" spans="1:28" x14ac:dyDescent="0.2">
      <c r="A496" s="7">
        <v>25136</v>
      </c>
      <c r="B496" s="8" t="s">
        <v>3800</v>
      </c>
      <c r="C496" s="8" t="s">
        <v>1703</v>
      </c>
      <c r="D496" s="8" t="s">
        <v>1704</v>
      </c>
      <c r="E496" s="8" t="s">
        <v>3801</v>
      </c>
      <c r="F496" s="8" t="s">
        <v>1705</v>
      </c>
      <c r="G496" s="8" t="s">
        <v>141</v>
      </c>
      <c r="H496" s="8" t="s">
        <v>142</v>
      </c>
      <c r="I496" s="8" t="s">
        <v>3802</v>
      </c>
      <c r="J496" s="8" t="s">
        <v>3803</v>
      </c>
      <c r="K496" s="8" t="s">
        <v>991</v>
      </c>
      <c r="L496" s="8" t="s">
        <v>146</v>
      </c>
      <c r="M496" s="8" t="s">
        <v>3804</v>
      </c>
      <c r="N496" s="8" t="s">
        <v>128</v>
      </c>
      <c r="O496" s="8" t="s">
        <v>3805</v>
      </c>
      <c r="P496" s="8" t="s">
        <v>3806</v>
      </c>
      <c r="Q496" s="8" t="s">
        <v>740</v>
      </c>
      <c r="R496" s="8"/>
      <c r="S496" s="8" t="s">
        <v>1711</v>
      </c>
      <c r="T496" s="8" t="s">
        <v>741</v>
      </c>
      <c r="U496" s="8" t="s">
        <v>134</v>
      </c>
      <c r="V496" s="8" t="s">
        <v>740</v>
      </c>
      <c r="W496" s="8" t="s">
        <v>741</v>
      </c>
      <c r="X496" s="8">
        <v>47</v>
      </c>
      <c r="Y496" s="8" t="s">
        <v>135</v>
      </c>
      <c r="Z496" s="8">
        <v>20</v>
      </c>
      <c r="AA496" s="8">
        <v>1</v>
      </c>
      <c r="AB496" s="9">
        <v>0</v>
      </c>
    </row>
    <row r="497" spans="1:28" x14ac:dyDescent="0.2">
      <c r="A497" s="10">
        <v>214041</v>
      </c>
      <c r="B497" s="11" t="s">
        <v>3807</v>
      </c>
      <c r="C497" s="11" t="s">
        <v>611</v>
      </c>
      <c r="D497" s="11" t="s">
        <v>612</v>
      </c>
      <c r="E497" s="11"/>
      <c r="F497" s="11" t="s">
        <v>614</v>
      </c>
      <c r="G497" s="11" t="s">
        <v>615</v>
      </c>
      <c r="H497" s="11" t="s">
        <v>616</v>
      </c>
      <c r="I497" s="11" t="s">
        <v>617</v>
      </c>
      <c r="J497" s="11" t="s">
        <v>618</v>
      </c>
      <c r="K497" s="11" t="s">
        <v>619</v>
      </c>
      <c r="L497" s="11" t="s">
        <v>163</v>
      </c>
      <c r="M497" s="11" t="s">
        <v>3808</v>
      </c>
      <c r="N497" s="11" t="s">
        <v>128</v>
      </c>
      <c r="O497" s="11" t="s">
        <v>3809</v>
      </c>
      <c r="P497" s="11"/>
      <c r="Q497" s="11" t="s">
        <v>740</v>
      </c>
      <c r="R497" s="11"/>
      <c r="S497" s="11" t="s">
        <v>623</v>
      </c>
      <c r="T497" s="11" t="s">
        <v>741</v>
      </c>
      <c r="U497" s="11" t="s">
        <v>134</v>
      </c>
      <c r="V497" s="11" t="s">
        <v>740</v>
      </c>
      <c r="W497" s="11" t="s">
        <v>741</v>
      </c>
      <c r="X497" s="11">
        <v>47</v>
      </c>
      <c r="Y497" s="11" t="s">
        <v>135</v>
      </c>
      <c r="Z497" s="11">
        <v>20</v>
      </c>
      <c r="AA497" s="11">
        <v>1</v>
      </c>
      <c r="AB497" s="12">
        <v>0</v>
      </c>
    </row>
    <row r="498" spans="1:28" x14ac:dyDescent="0.2">
      <c r="A498" s="7">
        <v>22148</v>
      </c>
      <c r="B498" s="8" t="s">
        <v>3810</v>
      </c>
      <c r="C498" s="8" t="s">
        <v>1045</v>
      </c>
      <c r="D498" s="8" t="s">
        <v>1046</v>
      </c>
      <c r="E498" s="8" t="s">
        <v>3635</v>
      </c>
      <c r="F498" s="8" t="s">
        <v>1048</v>
      </c>
      <c r="G498" s="8" t="s">
        <v>121</v>
      </c>
      <c r="H498" s="8" t="s">
        <v>122</v>
      </c>
      <c r="I498" s="8" t="s">
        <v>1049</v>
      </c>
      <c r="J498" s="8" t="s">
        <v>1050</v>
      </c>
      <c r="K498" s="8" t="s">
        <v>1051</v>
      </c>
      <c r="L498" s="8" t="s">
        <v>126</v>
      </c>
      <c r="M498" s="8" t="s">
        <v>3811</v>
      </c>
      <c r="N498" s="8" t="s">
        <v>128</v>
      </c>
      <c r="O498" s="8" t="s">
        <v>3812</v>
      </c>
      <c r="P498" s="8"/>
      <c r="Q498" s="8" t="s">
        <v>249</v>
      </c>
      <c r="R498" s="8"/>
      <c r="S498" s="8" t="s">
        <v>1055</v>
      </c>
      <c r="T498" s="8" t="s">
        <v>1523</v>
      </c>
      <c r="U498" s="8" t="s">
        <v>134</v>
      </c>
      <c r="V498" s="8" t="s">
        <v>249</v>
      </c>
      <c r="W498" s="8" t="s">
        <v>1523</v>
      </c>
      <c r="X498" s="8">
        <v>47</v>
      </c>
      <c r="Y498" s="8" t="s">
        <v>135</v>
      </c>
      <c r="Z498" s="8">
        <v>80</v>
      </c>
      <c r="AA498" s="8">
        <v>1</v>
      </c>
      <c r="AB498" s="9">
        <v>1</v>
      </c>
    </row>
    <row r="499" spans="1:28" x14ac:dyDescent="0.2">
      <c r="A499" s="10">
        <v>22219</v>
      </c>
      <c r="B499" s="11" t="s">
        <v>3813</v>
      </c>
      <c r="C499" s="11" t="s">
        <v>914</v>
      </c>
      <c r="D499" s="11" t="s">
        <v>915</v>
      </c>
      <c r="E499" s="11" t="s">
        <v>438</v>
      </c>
      <c r="F499" s="11" t="s">
        <v>917</v>
      </c>
      <c r="G499" s="11" t="s">
        <v>776</v>
      </c>
      <c r="H499" s="11" t="s">
        <v>142</v>
      </c>
      <c r="I499" s="11" t="s">
        <v>918</v>
      </c>
      <c r="J499" s="11" t="s">
        <v>919</v>
      </c>
      <c r="K499" s="11" t="s">
        <v>779</v>
      </c>
      <c r="L499" s="11" t="s">
        <v>464</v>
      </c>
      <c r="M499" s="11" t="s">
        <v>3814</v>
      </c>
      <c r="N499" s="11" t="s">
        <v>128</v>
      </c>
      <c r="O499" s="11" t="s">
        <v>3815</v>
      </c>
      <c r="P499" s="11"/>
      <c r="Q499" s="11" t="s">
        <v>249</v>
      </c>
      <c r="R499" s="11"/>
      <c r="S499" s="11" t="s">
        <v>923</v>
      </c>
      <c r="T499" s="11" t="s">
        <v>1523</v>
      </c>
      <c r="U499" s="11" t="s">
        <v>134</v>
      </c>
      <c r="V499" s="11" t="s">
        <v>249</v>
      </c>
      <c r="W499" s="11" t="s">
        <v>1523</v>
      </c>
      <c r="X499" s="11">
        <v>47</v>
      </c>
      <c r="Y499" s="11" t="s">
        <v>135</v>
      </c>
      <c r="Z499" s="11">
        <v>80</v>
      </c>
      <c r="AA499" s="11">
        <v>1</v>
      </c>
      <c r="AB499" s="12">
        <v>1</v>
      </c>
    </row>
    <row r="500" spans="1:28" x14ac:dyDescent="0.2">
      <c r="A500" s="7">
        <v>25446</v>
      </c>
      <c r="B500" s="8" t="s">
        <v>3816</v>
      </c>
      <c r="C500" s="8" t="s">
        <v>3817</v>
      </c>
      <c r="D500" s="8" t="s">
        <v>3539</v>
      </c>
      <c r="E500" s="8" t="s">
        <v>3818</v>
      </c>
      <c r="F500" s="8" t="s">
        <v>3819</v>
      </c>
      <c r="G500" s="8" t="s">
        <v>328</v>
      </c>
      <c r="H500" s="8" t="s">
        <v>329</v>
      </c>
      <c r="I500" s="8" t="s">
        <v>3820</v>
      </c>
      <c r="J500" s="8" t="s">
        <v>3821</v>
      </c>
      <c r="K500" s="8" t="s">
        <v>431</v>
      </c>
      <c r="L500" s="8" t="s">
        <v>333</v>
      </c>
      <c r="M500" s="8" t="s">
        <v>3822</v>
      </c>
      <c r="N500" s="8" t="s">
        <v>128</v>
      </c>
      <c r="O500" s="8" t="s">
        <v>3823</v>
      </c>
      <c r="P500" s="8" t="s">
        <v>3824</v>
      </c>
      <c r="Q500" s="8" t="s">
        <v>249</v>
      </c>
      <c r="R500" s="8"/>
      <c r="S500" s="8" t="s">
        <v>3825</v>
      </c>
      <c r="T500" s="8" t="s">
        <v>250</v>
      </c>
      <c r="U500" s="8" t="s">
        <v>134</v>
      </c>
      <c r="V500" s="8" t="s">
        <v>249</v>
      </c>
      <c r="W500" s="8" t="s">
        <v>250</v>
      </c>
      <c r="X500" s="8">
        <v>47</v>
      </c>
      <c r="Y500" s="8" t="s">
        <v>135</v>
      </c>
      <c r="Z500" s="8">
        <v>80</v>
      </c>
      <c r="AA500" s="8">
        <v>1</v>
      </c>
      <c r="AB500" s="9">
        <v>1</v>
      </c>
    </row>
    <row r="501" spans="1:28" x14ac:dyDescent="0.2">
      <c r="A501" s="10">
        <v>25504</v>
      </c>
      <c r="B501" s="11" t="s">
        <v>3826</v>
      </c>
      <c r="C501" s="11" t="s">
        <v>1417</v>
      </c>
      <c r="D501" s="11" t="s">
        <v>138</v>
      </c>
      <c r="E501" s="11"/>
      <c r="F501" s="11" t="s">
        <v>353</v>
      </c>
      <c r="G501" s="11" t="s">
        <v>1419</v>
      </c>
      <c r="H501" s="11" t="s">
        <v>704</v>
      </c>
      <c r="I501" s="11" t="s">
        <v>3827</v>
      </c>
      <c r="J501" s="11" t="s">
        <v>1421</v>
      </c>
      <c r="K501" s="11" t="s">
        <v>707</v>
      </c>
      <c r="L501" s="11" t="s">
        <v>126</v>
      </c>
      <c r="M501" s="11" t="s">
        <v>3828</v>
      </c>
      <c r="N501" s="11" t="s">
        <v>128</v>
      </c>
      <c r="O501" s="11" t="s">
        <v>3829</v>
      </c>
      <c r="P501" s="11" t="s">
        <v>3830</v>
      </c>
      <c r="Q501" s="11" t="s">
        <v>249</v>
      </c>
      <c r="R501" s="11"/>
      <c r="S501" s="11" t="s">
        <v>1425</v>
      </c>
      <c r="T501" s="11" t="s">
        <v>250</v>
      </c>
      <c r="U501" s="11" t="s">
        <v>134</v>
      </c>
      <c r="V501" s="11" t="s">
        <v>249</v>
      </c>
      <c r="W501" s="11" t="s">
        <v>250</v>
      </c>
      <c r="X501" s="11">
        <v>47</v>
      </c>
      <c r="Y501" s="11" t="s">
        <v>135</v>
      </c>
      <c r="Z501" s="11">
        <v>20</v>
      </c>
      <c r="AA501" s="11">
        <v>1</v>
      </c>
      <c r="AB501" s="12">
        <v>0</v>
      </c>
    </row>
    <row r="502" spans="1:28" x14ac:dyDescent="0.2">
      <c r="A502" s="7">
        <v>22037</v>
      </c>
      <c r="B502" s="8" t="s">
        <v>3831</v>
      </c>
      <c r="C502" s="8" t="s">
        <v>2615</v>
      </c>
      <c r="D502" s="8" t="s">
        <v>3832</v>
      </c>
      <c r="E502" s="8" t="s">
        <v>281</v>
      </c>
      <c r="F502" s="8" t="s">
        <v>353</v>
      </c>
      <c r="G502" s="8" t="s">
        <v>3084</v>
      </c>
      <c r="H502" s="8" t="s">
        <v>142</v>
      </c>
      <c r="I502" s="8" t="s">
        <v>3085</v>
      </c>
      <c r="J502" s="8" t="s">
        <v>3833</v>
      </c>
      <c r="K502" s="8" t="s">
        <v>1673</v>
      </c>
      <c r="L502" s="8" t="s">
        <v>464</v>
      </c>
      <c r="M502" s="8" t="s">
        <v>3834</v>
      </c>
      <c r="N502" s="8" t="s">
        <v>128</v>
      </c>
      <c r="O502" s="8" t="s">
        <v>3835</v>
      </c>
      <c r="P502" s="8" t="s">
        <v>3836</v>
      </c>
      <c r="Q502" s="8" t="s">
        <v>131</v>
      </c>
      <c r="R502" s="8"/>
      <c r="S502" s="8" t="s">
        <v>71</v>
      </c>
      <c r="T502" s="8" t="s">
        <v>133</v>
      </c>
      <c r="U502" s="8" t="s">
        <v>134</v>
      </c>
      <c r="V502" s="8" t="s">
        <v>131</v>
      </c>
      <c r="W502" s="8" t="s">
        <v>133</v>
      </c>
      <c r="X502" s="8">
        <v>46</v>
      </c>
      <c r="Y502" s="8" t="s">
        <v>135</v>
      </c>
      <c r="Z502" s="8">
        <v>80</v>
      </c>
      <c r="AA502" s="8">
        <v>0</v>
      </c>
      <c r="AB502" s="9">
        <v>0</v>
      </c>
    </row>
    <row r="503" spans="1:28" x14ac:dyDescent="0.2">
      <c r="A503" s="10">
        <v>21966</v>
      </c>
      <c r="B503" s="11" t="s">
        <v>3837</v>
      </c>
      <c r="C503" s="11" t="s">
        <v>3670</v>
      </c>
      <c r="D503" s="11" t="s">
        <v>138</v>
      </c>
      <c r="E503" s="11"/>
      <c r="F503" s="11" t="s">
        <v>3838</v>
      </c>
      <c r="G503" s="11" t="s">
        <v>1952</v>
      </c>
      <c r="H503" s="11" t="s">
        <v>1953</v>
      </c>
      <c r="I503" s="11" t="s">
        <v>3839</v>
      </c>
      <c r="J503" s="11" t="s">
        <v>3840</v>
      </c>
      <c r="K503" s="11" t="s">
        <v>1956</v>
      </c>
      <c r="L503" s="11" t="s">
        <v>526</v>
      </c>
      <c r="M503" s="11" t="s">
        <v>3841</v>
      </c>
      <c r="N503" s="11" t="s">
        <v>128</v>
      </c>
      <c r="O503" s="11" t="s">
        <v>3842</v>
      </c>
      <c r="P503" s="11" t="s">
        <v>3843</v>
      </c>
      <c r="Q503" s="11" t="s">
        <v>131</v>
      </c>
      <c r="R503" s="11"/>
      <c r="S503" s="11" t="s">
        <v>1959</v>
      </c>
      <c r="T503" s="11" t="s">
        <v>133</v>
      </c>
      <c r="U503" s="11" t="s">
        <v>134</v>
      </c>
      <c r="V503" s="11" t="s">
        <v>131</v>
      </c>
      <c r="W503" s="11" t="s">
        <v>133</v>
      </c>
      <c r="X503" s="11">
        <v>46</v>
      </c>
      <c r="Y503" s="11" t="s">
        <v>135</v>
      </c>
      <c r="Z503" s="11">
        <v>80</v>
      </c>
      <c r="AA503" s="11">
        <v>1</v>
      </c>
      <c r="AB503" s="12">
        <v>1</v>
      </c>
    </row>
    <row r="504" spans="1:28" x14ac:dyDescent="0.2">
      <c r="A504" s="7">
        <v>23412</v>
      </c>
      <c r="B504" s="8" t="s">
        <v>3844</v>
      </c>
      <c r="C504" s="8" t="s">
        <v>3845</v>
      </c>
      <c r="D504" s="8" t="s">
        <v>3846</v>
      </c>
      <c r="E504" s="8"/>
      <c r="F504" s="8" t="s">
        <v>353</v>
      </c>
      <c r="G504" s="8" t="s">
        <v>2435</v>
      </c>
      <c r="H504" s="8" t="s">
        <v>142</v>
      </c>
      <c r="I504" s="8" t="s">
        <v>3847</v>
      </c>
      <c r="J504" s="8" t="s">
        <v>3848</v>
      </c>
      <c r="K504" s="8" t="s">
        <v>1029</v>
      </c>
      <c r="L504" s="8" t="s">
        <v>464</v>
      </c>
      <c r="M504" s="8" t="s">
        <v>3849</v>
      </c>
      <c r="N504" s="8" t="s">
        <v>128</v>
      </c>
      <c r="O504" s="8" t="s">
        <v>3850</v>
      </c>
      <c r="P504" s="8" t="s">
        <v>3851</v>
      </c>
      <c r="Q504" s="8" t="s">
        <v>150</v>
      </c>
      <c r="R504" s="8"/>
      <c r="S504" s="8" t="s">
        <v>71</v>
      </c>
      <c r="T504" s="8" t="s">
        <v>1415</v>
      </c>
      <c r="U504" s="8" t="s">
        <v>150</v>
      </c>
      <c r="V504" s="8" t="s">
        <v>1415</v>
      </c>
      <c r="W504" s="8" t="s">
        <v>1415</v>
      </c>
      <c r="X504" s="8">
        <v>46</v>
      </c>
      <c r="Y504" s="8" t="s">
        <v>135</v>
      </c>
      <c r="Z504" s="8">
        <v>80</v>
      </c>
      <c r="AA504" s="8">
        <v>0</v>
      </c>
      <c r="AB504" s="9">
        <v>0</v>
      </c>
    </row>
    <row r="505" spans="1:28" x14ac:dyDescent="0.2">
      <c r="A505" s="10">
        <v>23486</v>
      </c>
      <c r="B505" s="11" t="s">
        <v>3852</v>
      </c>
      <c r="C505" s="11" t="s">
        <v>3853</v>
      </c>
      <c r="D505" s="11" t="s">
        <v>3854</v>
      </c>
      <c r="E505" s="11"/>
      <c r="F505" s="11" t="s">
        <v>353</v>
      </c>
      <c r="G505" s="11" t="s">
        <v>3855</v>
      </c>
      <c r="H505" s="11" t="s">
        <v>142</v>
      </c>
      <c r="I505" s="11" t="s">
        <v>3856</v>
      </c>
      <c r="J505" s="11" t="s">
        <v>3857</v>
      </c>
      <c r="K505" s="11" t="s">
        <v>1673</v>
      </c>
      <c r="L505" s="11" t="s">
        <v>464</v>
      </c>
      <c r="M505" s="11" t="s">
        <v>3858</v>
      </c>
      <c r="N505" s="11" t="s">
        <v>128</v>
      </c>
      <c r="O505" s="11" t="s">
        <v>3859</v>
      </c>
      <c r="P505" s="11" t="s">
        <v>3860</v>
      </c>
      <c r="Q505" s="11" t="s">
        <v>150</v>
      </c>
      <c r="R505" s="11"/>
      <c r="S505" s="11" t="s">
        <v>71</v>
      </c>
      <c r="T505" s="11" t="s">
        <v>1415</v>
      </c>
      <c r="U505" s="11" t="s">
        <v>150</v>
      </c>
      <c r="V505" s="11" t="s">
        <v>1415</v>
      </c>
      <c r="W505" s="11" t="s">
        <v>1415</v>
      </c>
      <c r="X505" s="11">
        <v>46</v>
      </c>
      <c r="Y505" s="11" t="s">
        <v>135</v>
      </c>
      <c r="Z505" s="11">
        <v>80</v>
      </c>
      <c r="AA505" s="11">
        <v>0</v>
      </c>
      <c r="AB505" s="12">
        <v>0</v>
      </c>
    </row>
    <row r="506" spans="1:28" x14ac:dyDescent="0.2">
      <c r="A506" s="7">
        <v>23790</v>
      </c>
      <c r="B506" s="8" t="s">
        <v>3861</v>
      </c>
      <c r="C506" s="8" t="s">
        <v>3862</v>
      </c>
      <c r="D506" s="8" t="s">
        <v>3863</v>
      </c>
      <c r="E506" s="8" t="s">
        <v>3864</v>
      </c>
      <c r="F506" s="8" t="s">
        <v>3865</v>
      </c>
      <c r="G506" s="8" t="s">
        <v>3612</v>
      </c>
      <c r="H506" s="8" t="s">
        <v>704</v>
      </c>
      <c r="I506" s="8" t="s">
        <v>3866</v>
      </c>
      <c r="J506" s="8" t="s">
        <v>3867</v>
      </c>
      <c r="K506" s="8" t="s">
        <v>707</v>
      </c>
      <c r="L506" s="8" t="s">
        <v>126</v>
      </c>
      <c r="M506" s="8" t="s">
        <v>3868</v>
      </c>
      <c r="N506" s="8" t="s">
        <v>128</v>
      </c>
      <c r="O506" s="8" t="s">
        <v>3869</v>
      </c>
      <c r="P506" s="8" t="s">
        <v>3870</v>
      </c>
      <c r="Q506" s="8" t="s">
        <v>150</v>
      </c>
      <c r="R506" s="8"/>
      <c r="S506" s="8" t="s">
        <v>3871</v>
      </c>
      <c r="T506" s="8" t="s">
        <v>168</v>
      </c>
      <c r="U506" s="8" t="s">
        <v>150</v>
      </c>
      <c r="V506" s="8" t="s">
        <v>168</v>
      </c>
      <c r="W506" s="8" t="s">
        <v>168</v>
      </c>
      <c r="X506" s="8">
        <v>46</v>
      </c>
      <c r="Y506" s="8" t="s">
        <v>135</v>
      </c>
      <c r="Z506" s="8">
        <v>80</v>
      </c>
      <c r="AA506" s="8">
        <v>0</v>
      </c>
      <c r="AB506" s="9">
        <v>0</v>
      </c>
    </row>
    <row r="507" spans="1:28" x14ac:dyDescent="0.2">
      <c r="A507" s="10">
        <v>23879</v>
      </c>
      <c r="B507" s="11" t="s">
        <v>3872</v>
      </c>
      <c r="C507" s="11" t="s">
        <v>1322</v>
      </c>
      <c r="D507" s="11" t="s">
        <v>3873</v>
      </c>
      <c r="E507" s="11"/>
      <c r="F507" s="11" t="s">
        <v>353</v>
      </c>
      <c r="G507" s="11" t="s">
        <v>1325</v>
      </c>
      <c r="H507" s="11" t="s">
        <v>142</v>
      </c>
      <c r="I507" s="11" t="s">
        <v>3874</v>
      </c>
      <c r="J507" s="11" t="s">
        <v>3875</v>
      </c>
      <c r="K507" s="11" t="s">
        <v>974</v>
      </c>
      <c r="L507" s="11" t="s">
        <v>146</v>
      </c>
      <c r="M507" s="11" t="s">
        <v>3876</v>
      </c>
      <c r="N507" s="11" t="s">
        <v>128</v>
      </c>
      <c r="O507" s="11" t="s">
        <v>3877</v>
      </c>
      <c r="P507" s="11" t="s">
        <v>3878</v>
      </c>
      <c r="Q507" s="11" t="s">
        <v>150</v>
      </c>
      <c r="R507" s="11"/>
      <c r="S507" s="11" t="s">
        <v>71</v>
      </c>
      <c r="T507" s="11" t="s">
        <v>168</v>
      </c>
      <c r="U507" s="11" t="s">
        <v>150</v>
      </c>
      <c r="V507" s="11" t="s">
        <v>168</v>
      </c>
      <c r="W507" s="11" t="s">
        <v>168</v>
      </c>
      <c r="X507" s="11">
        <v>46</v>
      </c>
      <c r="Y507" s="11" t="s">
        <v>135</v>
      </c>
      <c r="Z507" s="11">
        <v>80</v>
      </c>
      <c r="AA507" s="11">
        <v>0</v>
      </c>
      <c r="AB507" s="12">
        <v>0</v>
      </c>
    </row>
    <row r="508" spans="1:28" x14ac:dyDescent="0.2">
      <c r="A508" s="7">
        <v>24654</v>
      </c>
      <c r="B508" s="8" t="s">
        <v>3879</v>
      </c>
      <c r="C508" s="8" t="s">
        <v>657</v>
      </c>
      <c r="D508" s="8" t="s">
        <v>658</v>
      </c>
      <c r="E508" s="8" t="s">
        <v>3880</v>
      </c>
      <c r="F508" s="8" t="s">
        <v>660</v>
      </c>
      <c r="G508" s="8" t="s">
        <v>556</v>
      </c>
      <c r="H508" s="8" t="s">
        <v>557</v>
      </c>
      <c r="I508" s="8" t="s">
        <v>661</v>
      </c>
      <c r="J508" s="8" t="s">
        <v>662</v>
      </c>
      <c r="K508" s="8" t="s">
        <v>560</v>
      </c>
      <c r="L508" s="8" t="s">
        <v>229</v>
      </c>
      <c r="M508" s="8" t="s">
        <v>3881</v>
      </c>
      <c r="N508" s="8" t="s">
        <v>128</v>
      </c>
      <c r="O508" s="8" t="s">
        <v>3882</v>
      </c>
      <c r="P508" s="8" t="s">
        <v>341</v>
      </c>
      <c r="Q508" s="8" t="s">
        <v>150</v>
      </c>
      <c r="R508" s="8"/>
      <c r="S508" s="8" t="s">
        <v>666</v>
      </c>
      <c r="T508" s="8" t="s">
        <v>69</v>
      </c>
      <c r="U508" s="8" t="s">
        <v>150</v>
      </c>
      <c r="V508" s="8" t="s">
        <v>152</v>
      </c>
      <c r="W508" s="8" t="s">
        <v>69</v>
      </c>
      <c r="X508" s="8">
        <v>46</v>
      </c>
      <c r="Y508" s="8" t="s">
        <v>135</v>
      </c>
      <c r="Z508" s="8">
        <v>80</v>
      </c>
      <c r="AA508" s="8">
        <v>1</v>
      </c>
      <c r="AB508" s="9">
        <v>1</v>
      </c>
    </row>
    <row r="509" spans="1:28" x14ac:dyDescent="0.2">
      <c r="A509" s="10">
        <v>25005</v>
      </c>
      <c r="B509" s="11" t="s">
        <v>3883</v>
      </c>
      <c r="C509" s="11" t="s">
        <v>876</v>
      </c>
      <c r="D509" s="11" t="s">
        <v>138</v>
      </c>
      <c r="E509" s="11" t="s">
        <v>3884</v>
      </c>
      <c r="F509" s="11" t="s">
        <v>878</v>
      </c>
      <c r="G509" s="11" t="s">
        <v>224</v>
      </c>
      <c r="H509" s="11" t="s">
        <v>225</v>
      </c>
      <c r="I509" s="11" t="s">
        <v>1005</v>
      </c>
      <c r="J509" s="11" t="s">
        <v>880</v>
      </c>
      <c r="K509" s="11" t="s">
        <v>228</v>
      </c>
      <c r="L509" s="11" t="s">
        <v>229</v>
      </c>
      <c r="M509" s="11" t="s">
        <v>3885</v>
      </c>
      <c r="N509" s="11" t="s">
        <v>128</v>
      </c>
      <c r="O509" s="11" t="s">
        <v>3886</v>
      </c>
      <c r="P509" s="11" t="s">
        <v>3887</v>
      </c>
      <c r="Q509" s="11" t="s">
        <v>150</v>
      </c>
      <c r="R509" s="11"/>
      <c r="S509" s="11" t="s">
        <v>884</v>
      </c>
      <c r="T509" s="11" t="s">
        <v>1738</v>
      </c>
      <c r="U509" s="11" t="s">
        <v>150</v>
      </c>
      <c r="V509" s="11" t="s">
        <v>1738</v>
      </c>
      <c r="W509" s="11" t="s">
        <v>1738</v>
      </c>
      <c r="X509" s="11">
        <v>46</v>
      </c>
      <c r="Y509" s="11" t="s">
        <v>135</v>
      </c>
      <c r="Z509" s="11">
        <v>80</v>
      </c>
      <c r="AA509" s="11">
        <v>1</v>
      </c>
      <c r="AB509" s="12">
        <v>1</v>
      </c>
    </row>
    <row r="510" spans="1:28" x14ac:dyDescent="0.2">
      <c r="A510" s="7">
        <v>20711</v>
      </c>
      <c r="B510" s="8" t="s">
        <v>3888</v>
      </c>
      <c r="C510" s="8" t="s">
        <v>657</v>
      </c>
      <c r="D510" s="8" t="s">
        <v>658</v>
      </c>
      <c r="E510" s="8" t="s">
        <v>3889</v>
      </c>
      <c r="F510" s="8" t="s">
        <v>660</v>
      </c>
      <c r="G510" s="8" t="s">
        <v>556</v>
      </c>
      <c r="H510" s="8" t="s">
        <v>557</v>
      </c>
      <c r="I510" s="8" t="s">
        <v>661</v>
      </c>
      <c r="J510" s="8" t="s">
        <v>662</v>
      </c>
      <c r="K510" s="8" t="s">
        <v>560</v>
      </c>
      <c r="L510" s="8" t="s">
        <v>229</v>
      </c>
      <c r="M510" s="8" t="s">
        <v>3890</v>
      </c>
      <c r="N510" s="8" t="s">
        <v>128</v>
      </c>
      <c r="O510" s="8" t="s">
        <v>3891</v>
      </c>
      <c r="P510" s="8" t="s">
        <v>3892</v>
      </c>
      <c r="Q510" s="8" t="s">
        <v>740</v>
      </c>
      <c r="R510" s="8"/>
      <c r="S510" s="8" t="s">
        <v>666</v>
      </c>
      <c r="T510" s="8" t="s">
        <v>1745</v>
      </c>
      <c r="U510" s="8" t="s">
        <v>134</v>
      </c>
      <c r="V510" s="8" t="s">
        <v>740</v>
      </c>
      <c r="W510" s="8" t="s">
        <v>1745</v>
      </c>
      <c r="X510" s="8">
        <v>46</v>
      </c>
      <c r="Y510" s="8" t="s">
        <v>135</v>
      </c>
      <c r="Z510" s="8">
        <v>80</v>
      </c>
      <c r="AA510" s="8">
        <v>1</v>
      </c>
      <c r="AB510" s="9">
        <v>1</v>
      </c>
    </row>
    <row r="511" spans="1:28" x14ac:dyDescent="0.2">
      <c r="A511" s="10">
        <v>22128</v>
      </c>
      <c r="B511" s="11" t="s">
        <v>3893</v>
      </c>
      <c r="C511" s="11" t="s">
        <v>552</v>
      </c>
      <c r="D511" s="11" t="s">
        <v>553</v>
      </c>
      <c r="E511" s="11" t="s">
        <v>3894</v>
      </c>
      <c r="F511" s="11" t="s">
        <v>791</v>
      </c>
      <c r="G511" s="11" t="s">
        <v>556</v>
      </c>
      <c r="H511" s="11" t="s">
        <v>557</v>
      </c>
      <c r="I511" s="11" t="s">
        <v>939</v>
      </c>
      <c r="J511" s="11" t="s">
        <v>940</v>
      </c>
      <c r="K511" s="11" t="s">
        <v>560</v>
      </c>
      <c r="L511" s="11" t="s">
        <v>229</v>
      </c>
      <c r="M511" s="11" t="s">
        <v>3895</v>
      </c>
      <c r="N511" s="11" t="s">
        <v>128</v>
      </c>
      <c r="O511" s="11" t="s">
        <v>3896</v>
      </c>
      <c r="P511" s="11"/>
      <c r="Q511" s="11" t="s">
        <v>249</v>
      </c>
      <c r="R511" s="11"/>
      <c r="S511" s="11" t="s">
        <v>564</v>
      </c>
      <c r="T511" s="11" t="s">
        <v>1523</v>
      </c>
      <c r="U511" s="11" t="s">
        <v>134</v>
      </c>
      <c r="V511" s="11" t="s">
        <v>249</v>
      </c>
      <c r="W511" s="11" t="s">
        <v>1523</v>
      </c>
      <c r="X511" s="11">
        <v>46</v>
      </c>
      <c r="Y511" s="11" t="s">
        <v>135</v>
      </c>
      <c r="Z511" s="11">
        <v>20</v>
      </c>
      <c r="AA511" s="11">
        <v>1</v>
      </c>
      <c r="AB511" s="12">
        <v>0</v>
      </c>
    </row>
    <row r="512" spans="1:28" x14ac:dyDescent="0.2">
      <c r="A512" s="7">
        <v>25413</v>
      </c>
      <c r="B512" s="8" t="s">
        <v>3897</v>
      </c>
      <c r="C512" s="8" t="s">
        <v>1172</v>
      </c>
      <c r="D512" s="8" t="s">
        <v>1173</v>
      </c>
      <c r="E512" s="8" t="s">
        <v>281</v>
      </c>
      <c r="F512" s="8" t="s">
        <v>1175</v>
      </c>
      <c r="G512" s="8" t="s">
        <v>141</v>
      </c>
      <c r="H512" s="8" t="s">
        <v>142</v>
      </c>
      <c r="I512" s="8" t="s">
        <v>3898</v>
      </c>
      <c r="J512" s="8" t="s">
        <v>3899</v>
      </c>
      <c r="K512" s="8" t="s">
        <v>216</v>
      </c>
      <c r="L512" s="8" t="s">
        <v>146</v>
      </c>
      <c r="M512" s="8" t="s">
        <v>3900</v>
      </c>
      <c r="N512" s="8" t="s">
        <v>128</v>
      </c>
      <c r="O512" s="8" t="s">
        <v>3901</v>
      </c>
      <c r="P512" s="8" t="s">
        <v>3902</v>
      </c>
      <c r="Q512" s="8" t="s">
        <v>249</v>
      </c>
      <c r="R512" s="8"/>
      <c r="S512" s="8" t="s">
        <v>1181</v>
      </c>
      <c r="T512" s="8" t="s">
        <v>250</v>
      </c>
      <c r="U512" s="8" t="s">
        <v>134</v>
      </c>
      <c r="V512" s="8" t="s">
        <v>249</v>
      </c>
      <c r="W512" s="8" t="s">
        <v>250</v>
      </c>
      <c r="X512" s="8">
        <v>46</v>
      </c>
      <c r="Y512" s="8" t="s">
        <v>135</v>
      </c>
      <c r="Z512" s="8">
        <v>20</v>
      </c>
      <c r="AA512" s="8">
        <v>1</v>
      </c>
      <c r="AB512" s="9">
        <v>0</v>
      </c>
    </row>
    <row r="513" spans="1:28" x14ac:dyDescent="0.2">
      <c r="A513" s="10">
        <v>25585</v>
      </c>
      <c r="B513" s="11" t="s">
        <v>3903</v>
      </c>
      <c r="C513" s="11" t="s">
        <v>2466</v>
      </c>
      <c r="D513" s="11" t="s">
        <v>2467</v>
      </c>
      <c r="E513" s="11" t="s">
        <v>3904</v>
      </c>
      <c r="F513" s="11" t="s">
        <v>2469</v>
      </c>
      <c r="G513" s="11" t="s">
        <v>1952</v>
      </c>
      <c r="H513" s="11" t="s">
        <v>1953</v>
      </c>
      <c r="I513" s="11" t="s">
        <v>2470</v>
      </c>
      <c r="J513" s="11" t="s">
        <v>2471</v>
      </c>
      <c r="K513" s="11" t="s">
        <v>1956</v>
      </c>
      <c r="L513" s="11" t="s">
        <v>526</v>
      </c>
      <c r="M513" s="11" t="s">
        <v>3905</v>
      </c>
      <c r="N513" s="11" t="s">
        <v>128</v>
      </c>
      <c r="O513" s="11" t="s">
        <v>3906</v>
      </c>
      <c r="P513" s="11" t="s">
        <v>3907</v>
      </c>
      <c r="Q513" s="11" t="s">
        <v>249</v>
      </c>
      <c r="R513" s="11"/>
      <c r="S513" s="11" t="s">
        <v>2475</v>
      </c>
      <c r="T513" s="11" t="s">
        <v>250</v>
      </c>
      <c r="U513" s="11" t="s">
        <v>134</v>
      </c>
      <c r="V513" s="11" t="s">
        <v>249</v>
      </c>
      <c r="W513" s="11" t="s">
        <v>250</v>
      </c>
      <c r="X513" s="11">
        <v>46</v>
      </c>
      <c r="Y513" s="11" t="s">
        <v>135</v>
      </c>
      <c r="Z513" s="11">
        <v>20</v>
      </c>
      <c r="AA513" s="11">
        <v>1</v>
      </c>
      <c r="AB513" s="12">
        <v>0</v>
      </c>
    </row>
    <row r="514" spans="1:28" x14ac:dyDescent="0.2">
      <c r="A514" s="7">
        <v>21669</v>
      </c>
      <c r="B514" s="8" t="s">
        <v>3908</v>
      </c>
      <c r="C514" s="8" t="s">
        <v>3909</v>
      </c>
      <c r="D514" s="8" t="s">
        <v>3910</v>
      </c>
      <c r="E514" s="8" t="s">
        <v>3911</v>
      </c>
      <c r="F514" s="8" t="s">
        <v>353</v>
      </c>
      <c r="G514" s="8" t="s">
        <v>3912</v>
      </c>
      <c r="H514" s="8" t="s">
        <v>557</v>
      </c>
      <c r="I514" s="8" t="s">
        <v>3913</v>
      </c>
      <c r="J514" s="8" t="s">
        <v>3914</v>
      </c>
      <c r="K514" s="8" t="s">
        <v>1562</v>
      </c>
      <c r="L514" s="8" t="s">
        <v>229</v>
      </c>
      <c r="M514" s="8" t="s">
        <v>3915</v>
      </c>
      <c r="N514" s="8" t="s">
        <v>128</v>
      </c>
      <c r="O514" s="8" t="s">
        <v>3916</v>
      </c>
      <c r="P514" s="8" t="s">
        <v>3917</v>
      </c>
      <c r="Q514" s="8" t="s">
        <v>150</v>
      </c>
      <c r="R514" s="8"/>
      <c r="S514" s="8" t="s">
        <v>71</v>
      </c>
      <c r="T514" s="8" t="s">
        <v>67</v>
      </c>
      <c r="U514" s="8" t="s">
        <v>150</v>
      </c>
      <c r="V514" s="8" t="s">
        <v>152</v>
      </c>
      <c r="W514" s="8" t="s">
        <v>67</v>
      </c>
      <c r="X514" s="8">
        <v>45</v>
      </c>
      <c r="Y514" s="8" t="s">
        <v>135</v>
      </c>
      <c r="Z514" s="8">
        <v>80</v>
      </c>
      <c r="AA514" s="8">
        <v>0</v>
      </c>
      <c r="AB514" s="9">
        <v>0</v>
      </c>
    </row>
    <row r="515" spans="1:28" x14ac:dyDescent="0.2">
      <c r="A515" s="10">
        <v>21359</v>
      </c>
      <c r="B515" s="11" t="s">
        <v>3918</v>
      </c>
      <c r="C515" s="11" t="s">
        <v>3919</v>
      </c>
      <c r="D515" s="11" t="s">
        <v>3920</v>
      </c>
      <c r="E515" s="11"/>
      <c r="F515" s="11" t="s">
        <v>353</v>
      </c>
      <c r="G515" s="11" t="s">
        <v>3921</v>
      </c>
      <c r="H515" s="11" t="s">
        <v>122</v>
      </c>
      <c r="I515" s="11" t="s">
        <v>3922</v>
      </c>
      <c r="J515" s="11" t="s">
        <v>3923</v>
      </c>
      <c r="K515" s="11" t="s">
        <v>1051</v>
      </c>
      <c r="L515" s="11" t="s">
        <v>126</v>
      </c>
      <c r="M515" s="11" t="s">
        <v>3924</v>
      </c>
      <c r="N515" s="11" t="s">
        <v>128</v>
      </c>
      <c r="O515" s="11" t="s">
        <v>3925</v>
      </c>
      <c r="P515" s="11" t="s">
        <v>3926</v>
      </c>
      <c r="Q515" s="11" t="s">
        <v>150</v>
      </c>
      <c r="R515" s="11"/>
      <c r="S515" s="11" t="s">
        <v>71</v>
      </c>
      <c r="T515" s="11" t="s">
        <v>67</v>
      </c>
      <c r="U515" s="11" t="s">
        <v>150</v>
      </c>
      <c r="V515" s="11" t="s">
        <v>152</v>
      </c>
      <c r="W515" s="11" t="s">
        <v>67</v>
      </c>
      <c r="X515" s="11">
        <v>45</v>
      </c>
      <c r="Y515" s="11" t="s">
        <v>135</v>
      </c>
      <c r="Z515" s="11">
        <v>80</v>
      </c>
      <c r="AA515" s="11">
        <v>0</v>
      </c>
      <c r="AB515" s="12">
        <v>0</v>
      </c>
    </row>
    <row r="516" spans="1:28" x14ac:dyDescent="0.2">
      <c r="A516" s="7">
        <v>21631</v>
      </c>
      <c r="B516" s="8" t="s">
        <v>3927</v>
      </c>
      <c r="C516" s="8" t="s">
        <v>3928</v>
      </c>
      <c r="D516" s="8" t="s">
        <v>3476</v>
      </c>
      <c r="E516" s="8"/>
      <c r="F516" s="8" t="s">
        <v>353</v>
      </c>
      <c r="G516" s="8" t="s">
        <v>3929</v>
      </c>
      <c r="H516" s="8" t="s">
        <v>704</v>
      </c>
      <c r="I516" s="8" t="s">
        <v>3930</v>
      </c>
      <c r="J516" s="8" t="s">
        <v>3931</v>
      </c>
      <c r="K516" s="8" t="s">
        <v>850</v>
      </c>
      <c r="L516" s="8" t="s">
        <v>126</v>
      </c>
      <c r="M516" s="8" t="s">
        <v>3932</v>
      </c>
      <c r="N516" s="8" t="s">
        <v>128</v>
      </c>
      <c r="O516" s="8" t="s">
        <v>3933</v>
      </c>
      <c r="P516" s="8" t="s">
        <v>3934</v>
      </c>
      <c r="Q516" s="8" t="s">
        <v>150</v>
      </c>
      <c r="R516" s="8"/>
      <c r="S516" s="8" t="s">
        <v>71</v>
      </c>
      <c r="T516" s="8" t="s">
        <v>67</v>
      </c>
      <c r="U516" s="8" t="s">
        <v>150</v>
      </c>
      <c r="V516" s="8" t="s">
        <v>152</v>
      </c>
      <c r="W516" s="8" t="s">
        <v>67</v>
      </c>
      <c r="X516" s="8">
        <v>45</v>
      </c>
      <c r="Y516" s="8" t="s">
        <v>135</v>
      </c>
      <c r="Z516" s="8">
        <v>80</v>
      </c>
      <c r="AA516" s="8">
        <v>0</v>
      </c>
      <c r="AB516" s="9">
        <v>0</v>
      </c>
    </row>
    <row r="517" spans="1:28" x14ac:dyDescent="0.2">
      <c r="A517" s="10">
        <v>21691</v>
      </c>
      <c r="B517" s="11" t="s">
        <v>3935</v>
      </c>
      <c r="C517" s="11" t="s">
        <v>3845</v>
      </c>
      <c r="D517" s="11" t="s">
        <v>3936</v>
      </c>
      <c r="E517" s="11"/>
      <c r="F517" s="11" t="s">
        <v>353</v>
      </c>
      <c r="G517" s="11" t="s">
        <v>2435</v>
      </c>
      <c r="H517" s="11" t="s">
        <v>142</v>
      </c>
      <c r="I517" s="11" t="s">
        <v>3847</v>
      </c>
      <c r="J517" s="11" t="s">
        <v>3937</v>
      </c>
      <c r="K517" s="11" t="s">
        <v>1029</v>
      </c>
      <c r="L517" s="11" t="s">
        <v>464</v>
      </c>
      <c r="M517" s="11" t="s">
        <v>3938</v>
      </c>
      <c r="N517" s="11" t="s">
        <v>128</v>
      </c>
      <c r="O517" s="11" t="s">
        <v>3939</v>
      </c>
      <c r="P517" s="11" t="s">
        <v>3940</v>
      </c>
      <c r="Q517" s="11" t="s">
        <v>150</v>
      </c>
      <c r="R517" s="11"/>
      <c r="S517" s="11" t="s">
        <v>71</v>
      </c>
      <c r="T517" s="11" t="s">
        <v>67</v>
      </c>
      <c r="U517" s="11" t="s">
        <v>150</v>
      </c>
      <c r="V517" s="11" t="s">
        <v>152</v>
      </c>
      <c r="W517" s="11" t="s">
        <v>67</v>
      </c>
      <c r="X517" s="11">
        <v>45</v>
      </c>
      <c r="Y517" s="11" t="s">
        <v>135</v>
      </c>
      <c r="Z517" s="11">
        <v>80</v>
      </c>
      <c r="AA517" s="11">
        <v>0</v>
      </c>
      <c r="AB517" s="12">
        <v>0</v>
      </c>
    </row>
    <row r="518" spans="1:28" x14ac:dyDescent="0.2">
      <c r="A518" s="7">
        <v>21496</v>
      </c>
      <c r="B518" s="8" t="s">
        <v>3941</v>
      </c>
      <c r="C518" s="8" t="s">
        <v>3942</v>
      </c>
      <c r="D518" s="8" t="s">
        <v>3943</v>
      </c>
      <c r="E518" s="8"/>
      <c r="F518" s="8" t="s">
        <v>811</v>
      </c>
      <c r="G518" s="8" t="s">
        <v>141</v>
      </c>
      <c r="H518" s="8" t="s">
        <v>142</v>
      </c>
      <c r="I518" s="8" t="s">
        <v>3944</v>
      </c>
      <c r="J518" s="8" t="s">
        <v>3945</v>
      </c>
      <c r="K518" s="8" t="s">
        <v>403</v>
      </c>
      <c r="L518" s="8" t="s">
        <v>146</v>
      </c>
      <c r="M518" s="8" t="s">
        <v>3946</v>
      </c>
      <c r="N518" s="8" t="s">
        <v>128</v>
      </c>
      <c r="O518" s="8" t="s">
        <v>3947</v>
      </c>
      <c r="P518" s="8" t="s">
        <v>3948</v>
      </c>
      <c r="Q518" s="8" t="s">
        <v>150</v>
      </c>
      <c r="R518" s="8"/>
      <c r="S518" s="8" t="s">
        <v>71</v>
      </c>
      <c r="T518" s="8" t="s">
        <v>67</v>
      </c>
      <c r="U518" s="8" t="s">
        <v>150</v>
      </c>
      <c r="V518" s="8" t="s">
        <v>152</v>
      </c>
      <c r="W518" s="8" t="s">
        <v>67</v>
      </c>
      <c r="X518" s="8">
        <v>45</v>
      </c>
      <c r="Y518" s="8" t="s">
        <v>135</v>
      </c>
      <c r="Z518" s="8">
        <v>80</v>
      </c>
      <c r="AA518" s="8">
        <v>0</v>
      </c>
      <c r="AB518" s="9">
        <v>0</v>
      </c>
    </row>
    <row r="519" spans="1:28" x14ac:dyDescent="0.2">
      <c r="A519" s="10">
        <v>21931</v>
      </c>
      <c r="B519" s="11" t="s">
        <v>3949</v>
      </c>
      <c r="C519" s="11" t="s">
        <v>297</v>
      </c>
      <c r="D519" s="11" t="s">
        <v>138</v>
      </c>
      <c r="E519" s="11" t="s">
        <v>3950</v>
      </c>
      <c r="F519" s="11" t="s">
        <v>299</v>
      </c>
      <c r="G519" s="11" t="s">
        <v>300</v>
      </c>
      <c r="H519" s="11" t="s">
        <v>301</v>
      </c>
      <c r="I519" s="11" t="s">
        <v>302</v>
      </c>
      <c r="J519" s="11" t="s">
        <v>303</v>
      </c>
      <c r="K519" s="11" t="s">
        <v>304</v>
      </c>
      <c r="L519" s="11" t="s">
        <v>229</v>
      </c>
      <c r="M519" s="11" t="s">
        <v>3951</v>
      </c>
      <c r="N519" s="11" t="s">
        <v>128</v>
      </c>
      <c r="O519" s="11" t="s">
        <v>3952</v>
      </c>
      <c r="P519" s="11" t="s">
        <v>3953</v>
      </c>
      <c r="Q519" s="11" t="s">
        <v>131</v>
      </c>
      <c r="R519" s="11"/>
      <c r="S519" s="11" t="s">
        <v>308</v>
      </c>
      <c r="T519" s="11" t="s">
        <v>133</v>
      </c>
      <c r="U519" s="11" t="s">
        <v>134</v>
      </c>
      <c r="V519" s="11" t="s">
        <v>131</v>
      </c>
      <c r="W519" s="11" t="s">
        <v>133</v>
      </c>
      <c r="X519" s="11">
        <v>45</v>
      </c>
      <c r="Y519" s="11" t="s">
        <v>135</v>
      </c>
      <c r="Z519" s="11">
        <v>20</v>
      </c>
      <c r="AA519" s="11">
        <v>1</v>
      </c>
      <c r="AB519" s="12">
        <v>0</v>
      </c>
    </row>
    <row r="520" spans="1:28" x14ac:dyDescent="0.2">
      <c r="A520" s="7">
        <v>21895</v>
      </c>
      <c r="B520" s="8" t="s">
        <v>3954</v>
      </c>
      <c r="C520" s="8" t="s">
        <v>3817</v>
      </c>
      <c r="D520" s="8" t="s">
        <v>3539</v>
      </c>
      <c r="E520" s="8" t="s">
        <v>3955</v>
      </c>
      <c r="F520" s="8" t="s">
        <v>3819</v>
      </c>
      <c r="G520" s="8" t="s">
        <v>328</v>
      </c>
      <c r="H520" s="8" t="s">
        <v>329</v>
      </c>
      <c r="I520" s="8" t="s">
        <v>3820</v>
      </c>
      <c r="J520" s="8" t="s">
        <v>3821</v>
      </c>
      <c r="K520" s="8" t="s">
        <v>431</v>
      </c>
      <c r="L520" s="8" t="s">
        <v>333</v>
      </c>
      <c r="M520" s="8" t="s">
        <v>3956</v>
      </c>
      <c r="N520" s="8" t="s">
        <v>128</v>
      </c>
      <c r="O520" s="8" t="s">
        <v>3957</v>
      </c>
      <c r="P520" s="8" t="s">
        <v>3958</v>
      </c>
      <c r="Q520" s="8" t="s">
        <v>131</v>
      </c>
      <c r="R520" s="8"/>
      <c r="S520" s="8" t="s">
        <v>3825</v>
      </c>
      <c r="T520" s="8" t="s">
        <v>133</v>
      </c>
      <c r="U520" s="8" t="s">
        <v>134</v>
      </c>
      <c r="V520" s="8" t="s">
        <v>131</v>
      </c>
      <c r="W520" s="8" t="s">
        <v>133</v>
      </c>
      <c r="X520" s="8">
        <v>45</v>
      </c>
      <c r="Y520" s="8" t="s">
        <v>135</v>
      </c>
      <c r="Z520" s="8">
        <v>80</v>
      </c>
      <c r="AA520" s="8">
        <v>1</v>
      </c>
      <c r="AB520" s="9">
        <v>1</v>
      </c>
    </row>
    <row r="521" spans="1:28" x14ac:dyDescent="0.2">
      <c r="A521" s="10">
        <v>23617</v>
      </c>
      <c r="B521" s="11" t="s">
        <v>3959</v>
      </c>
      <c r="C521" s="11" t="s">
        <v>3960</v>
      </c>
      <c r="D521" s="11" t="s">
        <v>3961</v>
      </c>
      <c r="E521" s="11" t="s">
        <v>3962</v>
      </c>
      <c r="F521" s="11" t="s">
        <v>3963</v>
      </c>
      <c r="G521" s="11" t="s">
        <v>224</v>
      </c>
      <c r="H521" s="11" t="s">
        <v>225</v>
      </c>
      <c r="I521" s="11" t="s">
        <v>3964</v>
      </c>
      <c r="J521" s="11" t="s">
        <v>3965</v>
      </c>
      <c r="K521" s="11" t="s">
        <v>228</v>
      </c>
      <c r="L521" s="11" t="s">
        <v>229</v>
      </c>
      <c r="M521" s="11" t="s">
        <v>3966</v>
      </c>
      <c r="N521" s="11" t="s">
        <v>128</v>
      </c>
      <c r="O521" s="11" t="s">
        <v>3967</v>
      </c>
      <c r="P521" s="11" t="s">
        <v>1686</v>
      </c>
      <c r="Q521" s="11" t="s">
        <v>150</v>
      </c>
      <c r="R521" s="11"/>
      <c r="S521" s="11" t="s">
        <v>3968</v>
      </c>
      <c r="T521" s="11" t="s">
        <v>168</v>
      </c>
      <c r="U521" s="11" t="s">
        <v>150</v>
      </c>
      <c r="V521" s="11" t="s">
        <v>168</v>
      </c>
      <c r="W521" s="11" t="s">
        <v>168</v>
      </c>
      <c r="X521" s="11">
        <v>45</v>
      </c>
      <c r="Y521" s="11" t="s">
        <v>135</v>
      </c>
      <c r="Z521" s="11">
        <v>80</v>
      </c>
      <c r="AA521" s="11">
        <v>0</v>
      </c>
      <c r="AB521" s="12">
        <v>0</v>
      </c>
    </row>
    <row r="522" spans="1:28" x14ac:dyDescent="0.2">
      <c r="A522" s="7">
        <v>23605</v>
      </c>
      <c r="B522" s="8" t="s">
        <v>3969</v>
      </c>
      <c r="C522" s="8" t="s">
        <v>2276</v>
      </c>
      <c r="D522" s="8" t="s">
        <v>2277</v>
      </c>
      <c r="E522" s="8" t="s">
        <v>3970</v>
      </c>
      <c r="F522" s="8" t="s">
        <v>2278</v>
      </c>
      <c r="G522" s="8" t="s">
        <v>1026</v>
      </c>
      <c r="H522" s="8" t="s">
        <v>142</v>
      </c>
      <c r="I522" s="8" t="s">
        <v>2279</v>
      </c>
      <c r="J522" s="8" t="s">
        <v>2280</v>
      </c>
      <c r="K522" s="8" t="s">
        <v>1029</v>
      </c>
      <c r="L522" s="8" t="s">
        <v>464</v>
      </c>
      <c r="M522" s="8" t="s">
        <v>3971</v>
      </c>
      <c r="N522" s="8" t="s">
        <v>128</v>
      </c>
      <c r="O522" s="8" t="s">
        <v>3972</v>
      </c>
      <c r="P522" s="8" t="s">
        <v>3973</v>
      </c>
      <c r="Q522" s="8" t="s">
        <v>150</v>
      </c>
      <c r="R522" s="8"/>
      <c r="S522" s="8" t="s">
        <v>2284</v>
      </c>
      <c r="T522" s="8" t="s">
        <v>168</v>
      </c>
      <c r="U522" s="8" t="s">
        <v>150</v>
      </c>
      <c r="V522" s="8" t="s">
        <v>168</v>
      </c>
      <c r="W522" s="8" t="s">
        <v>168</v>
      </c>
      <c r="X522" s="8">
        <v>45</v>
      </c>
      <c r="Y522" s="8" t="s">
        <v>135</v>
      </c>
      <c r="Z522" s="8">
        <v>80</v>
      </c>
      <c r="AA522" s="8">
        <v>1</v>
      </c>
      <c r="AB522" s="9">
        <v>1</v>
      </c>
    </row>
    <row r="523" spans="1:28" x14ac:dyDescent="0.2">
      <c r="A523" s="10">
        <v>25148</v>
      </c>
      <c r="B523" s="11" t="s">
        <v>3974</v>
      </c>
      <c r="C523" s="11" t="s">
        <v>1183</v>
      </c>
      <c r="D523" s="11" t="s">
        <v>904</v>
      </c>
      <c r="E523" s="11" t="s">
        <v>3975</v>
      </c>
      <c r="F523" s="11" t="s">
        <v>1185</v>
      </c>
      <c r="G523" s="11" t="s">
        <v>121</v>
      </c>
      <c r="H523" s="11" t="s">
        <v>122</v>
      </c>
      <c r="I523" s="11" t="s">
        <v>1186</v>
      </c>
      <c r="J523" s="11" t="s">
        <v>1187</v>
      </c>
      <c r="K523" s="11" t="s">
        <v>1051</v>
      </c>
      <c r="L523" s="11" t="s">
        <v>126</v>
      </c>
      <c r="M523" s="11" t="s">
        <v>3976</v>
      </c>
      <c r="N523" s="11" t="s">
        <v>128</v>
      </c>
      <c r="O523" s="11" t="s">
        <v>3977</v>
      </c>
      <c r="P523" s="11" t="s">
        <v>3978</v>
      </c>
      <c r="Q523" s="11" t="s">
        <v>740</v>
      </c>
      <c r="R523" s="11"/>
      <c r="S523" s="11" t="s">
        <v>1191</v>
      </c>
      <c r="T523" s="11" t="s">
        <v>741</v>
      </c>
      <c r="U523" s="11" t="s">
        <v>134</v>
      </c>
      <c r="V523" s="11" t="s">
        <v>740</v>
      </c>
      <c r="W523" s="11" t="s">
        <v>741</v>
      </c>
      <c r="X523" s="11">
        <v>45</v>
      </c>
      <c r="Y523" s="11" t="s">
        <v>135</v>
      </c>
      <c r="Z523" s="11">
        <v>80</v>
      </c>
      <c r="AA523" s="11">
        <v>1</v>
      </c>
      <c r="AB523" s="12">
        <v>1</v>
      </c>
    </row>
    <row r="524" spans="1:28" x14ac:dyDescent="0.2">
      <c r="A524" s="7">
        <v>25485</v>
      </c>
      <c r="B524" s="8" t="s">
        <v>3979</v>
      </c>
      <c r="C524" s="8" t="s">
        <v>186</v>
      </c>
      <c r="D524" s="8" t="s">
        <v>310</v>
      </c>
      <c r="E524" s="8" t="s">
        <v>3980</v>
      </c>
      <c r="F524" s="8" t="s">
        <v>189</v>
      </c>
      <c r="G524" s="8" t="s">
        <v>190</v>
      </c>
      <c r="H524" s="8" t="s">
        <v>191</v>
      </c>
      <c r="I524" s="8" t="s">
        <v>3981</v>
      </c>
      <c r="J524" s="8" t="s">
        <v>313</v>
      </c>
      <c r="K524" s="8" t="s">
        <v>194</v>
      </c>
      <c r="L524" s="8" t="s">
        <v>163</v>
      </c>
      <c r="M524" s="8" t="s">
        <v>3982</v>
      </c>
      <c r="N524" s="8" t="s">
        <v>128</v>
      </c>
      <c r="O524" s="8" t="s">
        <v>3983</v>
      </c>
      <c r="P524" s="8" t="s">
        <v>3984</v>
      </c>
      <c r="Q524" s="8" t="s">
        <v>249</v>
      </c>
      <c r="R524" s="8"/>
      <c r="S524" s="8" t="s">
        <v>317</v>
      </c>
      <c r="T524" s="8" t="s">
        <v>250</v>
      </c>
      <c r="U524" s="8" t="s">
        <v>134</v>
      </c>
      <c r="V524" s="8" t="s">
        <v>249</v>
      </c>
      <c r="W524" s="8" t="s">
        <v>250</v>
      </c>
      <c r="X524" s="8">
        <v>45</v>
      </c>
      <c r="Y524" s="8" t="s">
        <v>135</v>
      </c>
      <c r="Z524" s="8">
        <v>20</v>
      </c>
      <c r="AA524" s="8">
        <v>1</v>
      </c>
      <c r="AB524" s="9">
        <v>0</v>
      </c>
    </row>
    <row r="525" spans="1:28" x14ac:dyDescent="0.2">
      <c r="A525" s="10">
        <v>21490</v>
      </c>
      <c r="B525" s="11" t="s">
        <v>3985</v>
      </c>
      <c r="C525" s="11" t="s">
        <v>3986</v>
      </c>
      <c r="D525" s="11" t="s">
        <v>138</v>
      </c>
      <c r="E525" s="11" t="s">
        <v>3987</v>
      </c>
      <c r="F525" s="11" t="s">
        <v>484</v>
      </c>
      <c r="G525" s="11" t="s">
        <v>224</v>
      </c>
      <c r="H525" s="11" t="s">
        <v>225</v>
      </c>
      <c r="I525" s="11" t="s">
        <v>3988</v>
      </c>
      <c r="J525" s="11" t="s">
        <v>3989</v>
      </c>
      <c r="K525" s="11" t="s">
        <v>228</v>
      </c>
      <c r="L525" s="11" t="s">
        <v>229</v>
      </c>
      <c r="M525" s="11" t="s">
        <v>3990</v>
      </c>
      <c r="N525" s="11" t="s">
        <v>128</v>
      </c>
      <c r="O525" s="11" t="s">
        <v>3991</v>
      </c>
      <c r="P525" s="11" t="s">
        <v>3992</v>
      </c>
      <c r="Q525" s="11" t="s">
        <v>150</v>
      </c>
      <c r="R525" s="11"/>
      <c r="S525" s="11" t="s">
        <v>71</v>
      </c>
      <c r="T525" s="11" t="s">
        <v>67</v>
      </c>
      <c r="U525" s="11" t="s">
        <v>150</v>
      </c>
      <c r="V525" s="11" t="s">
        <v>152</v>
      </c>
      <c r="W525" s="11" t="s">
        <v>67</v>
      </c>
      <c r="X525" s="11">
        <v>44</v>
      </c>
      <c r="Y525" s="11" t="s">
        <v>135</v>
      </c>
      <c r="Z525" s="11">
        <v>80</v>
      </c>
      <c r="AA525" s="11">
        <v>0</v>
      </c>
      <c r="AB525" s="12">
        <v>0</v>
      </c>
    </row>
    <row r="526" spans="1:28" x14ac:dyDescent="0.2">
      <c r="A526" s="7">
        <v>21433</v>
      </c>
      <c r="B526" s="8" t="s">
        <v>3993</v>
      </c>
      <c r="C526" s="8" t="s">
        <v>842</v>
      </c>
      <c r="D526" s="8" t="s">
        <v>826</v>
      </c>
      <c r="E526" s="8" t="s">
        <v>3994</v>
      </c>
      <c r="F526" s="8" t="s">
        <v>2953</v>
      </c>
      <c r="G526" s="8" t="s">
        <v>1026</v>
      </c>
      <c r="H526" s="8" t="s">
        <v>142</v>
      </c>
      <c r="I526" s="8" t="s">
        <v>2946</v>
      </c>
      <c r="J526" s="8" t="s">
        <v>2954</v>
      </c>
      <c r="K526" s="8" t="s">
        <v>1029</v>
      </c>
      <c r="L526" s="8" t="s">
        <v>464</v>
      </c>
      <c r="M526" s="8" t="s">
        <v>3995</v>
      </c>
      <c r="N526" s="8" t="s">
        <v>128</v>
      </c>
      <c r="O526" s="8" t="s">
        <v>3996</v>
      </c>
      <c r="P526" s="8" t="s">
        <v>3997</v>
      </c>
      <c r="Q526" s="8" t="s">
        <v>150</v>
      </c>
      <c r="R526" s="8"/>
      <c r="S526" s="8" t="s">
        <v>2950</v>
      </c>
      <c r="T526" s="8" t="s">
        <v>67</v>
      </c>
      <c r="U526" s="8" t="s">
        <v>150</v>
      </c>
      <c r="V526" s="8" t="s">
        <v>152</v>
      </c>
      <c r="W526" s="8" t="s">
        <v>67</v>
      </c>
      <c r="X526" s="8">
        <v>44</v>
      </c>
      <c r="Y526" s="8" t="s">
        <v>135</v>
      </c>
      <c r="Z526" s="8">
        <v>80</v>
      </c>
      <c r="AA526" s="8">
        <v>0</v>
      </c>
      <c r="AB526" s="9">
        <v>0</v>
      </c>
    </row>
    <row r="527" spans="1:28" x14ac:dyDescent="0.2">
      <c r="A527" s="10">
        <v>21507</v>
      </c>
      <c r="B527" s="11" t="s">
        <v>3998</v>
      </c>
      <c r="C527" s="11" t="s">
        <v>3999</v>
      </c>
      <c r="D527" s="11" t="s">
        <v>4000</v>
      </c>
      <c r="E527" s="11" t="s">
        <v>4001</v>
      </c>
      <c r="F527" s="11" t="s">
        <v>4002</v>
      </c>
      <c r="G527" s="11" t="s">
        <v>1813</v>
      </c>
      <c r="H527" s="11" t="s">
        <v>142</v>
      </c>
      <c r="I527" s="11" t="s">
        <v>4003</v>
      </c>
      <c r="J527" s="11" t="s">
        <v>4004</v>
      </c>
      <c r="K527" s="11" t="s">
        <v>974</v>
      </c>
      <c r="L527" s="11" t="s">
        <v>146</v>
      </c>
      <c r="M527" s="11" t="s">
        <v>4005</v>
      </c>
      <c r="N527" s="11" t="s">
        <v>128</v>
      </c>
      <c r="O527" s="11" t="s">
        <v>4006</v>
      </c>
      <c r="P527" s="11" t="s">
        <v>4007</v>
      </c>
      <c r="Q527" s="11" t="s">
        <v>150</v>
      </c>
      <c r="R527" s="11"/>
      <c r="S527" s="11" t="s">
        <v>4008</v>
      </c>
      <c r="T527" s="11" t="s">
        <v>67</v>
      </c>
      <c r="U527" s="11" t="s">
        <v>150</v>
      </c>
      <c r="V527" s="11" t="s">
        <v>152</v>
      </c>
      <c r="W527" s="11" t="s">
        <v>67</v>
      </c>
      <c r="X527" s="11">
        <v>44</v>
      </c>
      <c r="Y527" s="11" t="s">
        <v>135</v>
      </c>
      <c r="Z527" s="11">
        <v>80</v>
      </c>
      <c r="AA527" s="11">
        <v>0</v>
      </c>
      <c r="AB527" s="12">
        <v>0</v>
      </c>
    </row>
    <row r="528" spans="1:28" x14ac:dyDescent="0.2">
      <c r="A528" s="7">
        <v>26207</v>
      </c>
      <c r="B528" s="8" t="s">
        <v>4009</v>
      </c>
      <c r="C528" s="8" t="s">
        <v>4010</v>
      </c>
      <c r="D528" s="8" t="s">
        <v>4011</v>
      </c>
      <c r="E528" s="8"/>
      <c r="F528" s="8"/>
      <c r="G528" s="8" t="s">
        <v>4012</v>
      </c>
      <c r="H528" s="8" t="s">
        <v>671</v>
      </c>
      <c r="I528" s="8" t="s">
        <v>4013</v>
      </c>
      <c r="J528" s="8" t="s">
        <v>4014</v>
      </c>
      <c r="K528" s="8" t="s">
        <v>572</v>
      </c>
      <c r="L528" s="8" t="s">
        <v>333</v>
      </c>
      <c r="M528" s="8" t="s">
        <v>4015</v>
      </c>
      <c r="N528" s="8" t="s">
        <v>128</v>
      </c>
      <c r="O528" s="8" t="s">
        <v>4016</v>
      </c>
      <c r="P528" s="8" t="s">
        <v>4017</v>
      </c>
      <c r="Q528" s="8" t="s">
        <v>150</v>
      </c>
      <c r="R528" s="8"/>
      <c r="S528" s="8" t="s">
        <v>71</v>
      </c>
      <c r="T528" s="8" t="s">
        <v>67</v>
      </c>
      <c r="U528" s="8" t="s">
        <v>150</v>
      </c>
      <c r="V528" s="8" t="s">
        <v>152</v>
      </c>
      <c r="W528" s="8" t="s">
        <v>67</v>
      </c>
      <c r="X528" s="8">
        <v>44</v>
      </c>
      <c r="Y528" s="8" t="s">
        <v>135</v>
      </c>
      <c r="Z528" s="8">
        <v>80</v>
      </c>
      <c r="AA528" s="8">
        <v>0</v>
      </c>
      <c r="AB528" s="9">
        <v>0</v>
      </c>
    </row>
    <row r="529" spans="1:28" x14ac:dyDescent="0.2">
      <c r="A529" s="10">
        <v>21483</v>
      </c>
      <c r="B529" s="11" t="s">
        <v>4018</v>
      </c>
      <c r="C529" s="11" t="s">
        <v>4019</v>
      </c>
      <c r="D529" s="11" t="s">
        <v>4020</v>
      </c>
      <c r="E529" s="11"/>
      <c r="F529" s="11" t="s">
        <v>4021</v>
      </c>
      <c r="G529" s="11" t="s">
        <v>846</v>
      </c>
      <c r="H529" s="11" t="s">
        <v>847</v>
      </c>
      <c r="I529" s="11" t="s">
        <v>4022</v>
      </c>
      <c r="J529" s="11" t="s">
        <v>4023</v>
      </c>
      <c r="K529" s="11" t="s">
        <v>850</v>
      </c>
      <c r="L529" s="11" t="s">
        <v>126</v>
      </c>
      <c r="M529" s="11" t="s">
        <v>4024</v>
      </c>
      <c r="N529" s="11" t="s">
        <v>128</v>
      </c>
      <c r="O529" s="11" t="s">
        <v>4025</v>
      </c>
      <c r="P529" s="11" t="s">
        <v>4026</v>
      </c>
      <c r="Q529" s="11" t="s">
        <v>150</v>
      </c>
      <c r="R529" s="11"/>
      <c r="S529" s="11" t="s">
        <v>4027</v>
      </c>
      <c r="T529" s="11" t="s">
        <v>67</v>
      </c>
      <c r="U529" s="11" t="s">
        <v>150</v>
      </c>
      <c r="V529" s="11" t="s">
        <v>152</v>
      </c>
      <c r="W529" s="11" t="s">
        <v>67</v>
      </c>
      <c r="X529" s="11">
        <v>44</v>
      </c>
      <c r="Y529" s="11" t="s">
        <v>135</v>
      </c>
      <c r="Z529" s="11">
        <v>20</v>
      </c>
      <c r="AA529" s="11">
        <v>1</v>
      </c>
      <c r="AB529" s="12">
        <v>0</v>
      </c>
    </row>
    <row r="530" spans="1:28" x14ac:dyDescent="0.2">
      <c r="A530" s="7">
        <v>22540</v>
      </c>
      <c r="B530" s="8" t="s">
        <v>4028</v>
      </c>
      <c r="C530" s="8" t="s">
        <v>876</v>
      </c>
      <c r="D530" s="8" t="s">
        <v>138</v>
      </c>
      <c r="E530" s="8" t="s">
        <v>4029</v>
      </c>
      <c r="F530" s="8" t="s">
        <v>878</v>
      </c>
      <c r="G530" s="8" t="s">
        <v>224</v>
      </c>
      <c r="H530" s="8" t="s">
        <v>225</v>
      </c>
      <c r="I530" s="8" t="s">
        <v>1005</v>
      </c>
      <c r="J530" s="8" t="s">
        <v>880</v>
      </c>
      <c r="K530" s="8" t="s">
        <v>228</v>
      </c>
      <c r="L530" s="8" t="s">
        <v>229</v>
      </c>
      <c r="M530" s="8" t="s">
        <v>4030</v>
      </c>
      <c r="N530" s="8" t="s">
        <v>128</v>
      </c>
      <c r="O530" s="8" t="s">
        <v>4031</v>
      </c>
      <c r="P530" s="8" t="s">
        <v>4032</v>
      </c>
      <c r="Q530" s="8" t="s">
        <v>150</v>
      </c>
      <c r="R530" s="8"/>
      <c r="S530" s="8" t="s">
        <v>884</v>
      </c>
      <c r="T530" s="8" t="s">
        <v>869</v>
      </c>
      <c r="U530" s="8" t="s">
        <v>150</v>
      </c>
      <c r="V530" s="8" t="s">
        <v>869</v>
      </c>
      <c r="W530" s="8" t="s">
        <v>869</v>
      </c>
      <c r="X530" s="8">
        <v>44</v>
      </c>
      <c r="Y530" s="8" t="s">
        <v>135</v>
      </c>
      <c r="Z530" s="8">
        <v>80</v>
      </c>
      <c r="AA530" s="8">
        <v>1</v>
      </c>
      <c r="AB530" s="9">
        <v>1</v>
      </c>
    </row>
    <row r="531" spans="1:28" x14ac:dyDescent="0.2">
      <c r="A531" s="10">
        <v>23182</v>
      </c>
      <c r="B531" s="11" t="s">
        <v>4033</v>
      </c>
      <c r="C531" s="11" t="s">
        <v>3012</v>
      </c>
      <c r="D531" s="11" t="s">
        <v>3013</v>
      </c>
      <c r="E531" s="11" t="s">
        <v>4034</v>
      </c>
      <c r="F531" s="11" t="s">
        <v>1951</v>
      </c>
      <c r="G531" s="11" t="s">
        <v>1952</v>
      </c>
      <c r="H531" s="11" t="s">
        <v>1953</v>
      </c>
      <c r="I531" s="11" t="s">
        <v>1954</v>
      </c>
      <c r="J531" s="11" t="s">
        <v>3015</v>
      </c>
      <c r="K531" s="11" t="s">
        <v>1956</v>
      </c>
      <c r="L531" s="11" t="s">
        <v>526</v>
      </c>
      <c r="M531" s="11" t="s">
        <v>4035</v>
      </c>
      <c r="N531" s="11" t="s">
        <v>128</v>
      </c>
      <c r="O531" s="11" t="s">
        <v>4036</v>
      </c>
      <c r="P531" s="11" t="s">
        <v>4037</v>
      </c>
      <c r="Q531" s="11" t="s">
        <v>150</v>
      </c>
      <c r="R531" s="11"/>
      <c r="S531" s="11" t="s">
        <v>1959</v>
      </c>
      <c r="T531" s="11" t="s">
        <v>70</v>
      </c>
      <c r="U531" s="11" t="s">
        <v>150</v>
      </c>
      <c r="V531" s="11" t="s">
        <v>70</v>
      </c>
      <c r="W531" s="11" t="s">
        <v>70</v>
      </c>
      <c r="X531" s="11">
        <v>44</v>
      </c>
      <c r="Y531" s="11" t="s">
        <v>135</v>
      </c>
      <c r="Z531" s="11">
        <v>80</v>
      </c>
      <c r="AA531" s="11">
        <v>1</v>
      </c>
      <c r="AB531" s="12">
        <v>1</v>
      </c>
    </row>
    <row r="532" spans="1:28" x14ac:dyDescent="0.2">
      <c r="A532" s="7">
        <v>23031</v>
      </c>
      <c r="B532" s="8" t="s">
        <v>4038</v>
      </c>
      <c r="C532" s="8" t="s">
        <v>3817</v>
      </c>
      <c r="D532" s="8" t="s">
        <v>3539</v>
      </c>
      <c r="E532" s="8" t="s">
        <v>4039</v>
      </c>
      <c r="F532" s="8" t="s">
        <v>3819</v>
      </c>
      <c r="G532" s="8" t="s">
        <v>328</v>
      </c>
      <c r="H532" s="8" t="s">
        <v>329</v>
      </c>
      <c r="I532" s="8" t="s">
        <v>4040</v>
      </c>
      <c r="J532" s="8" t="s">
        <v>3821</v>
      </c>
      <c r="K532" s="8" t="s">
        <v>431</v>
      </c>
      <c r="L532" s="8" t="s">
        <v>333</v>
      </c>
      <c r="M532" s="8" t="s">
        <v>4041</v>
      </c>
      <c r="N532" s="8" t="s">
        <v>128</v>
      </c>
      <c r="O532" s="8" t="s">
        <v>4042</v>
      </c>
      <c r="P532" s="8" t="s">
        <v>4043</v>
      </c>
      <c r="Q532" s="8" t="s">
        <v>150</v>
      </c>
      <c r="R532" s="8"/>
      <c r="S532" s="8" t="s">
        <v>3825</v>
      </c>
      <c r="T532" s="8" t="s">
        <v>70</v>
      </c>
      <c r="U532" s="8" t="s">
        <v>150</v>
      </c>
      <c r="V532" s="8" t="s">
        <v>70</v>
      </c>
      <c r="W532" s="8" t="s">
        <v>70</v>
      </c>
      <c r="X532" s="8">
        <v>44</v>
      </c>
      <c r="Y532" s="8" t="s">
        <v>135</v>
      </c>
      <c r="Z532" s="8">
        <v>80</v>
      </c>
      <c r="AA532" s="8">
        <v>1</v>
      </c>
      <c r="AB532" s="9">
        <v>1</v>
      </c>
    </row>
    <row r="533" spans="1:28" x14ac:dyDescent="0.2">
      <c r="A533" s="10">
        <v>23391</v>
      </c>
      <c r="B533" s="11" t="s">
        <v>4044</v>
      </c>
      <c r="C533" s="11" t="s">
        <v>4045</v>
      </c>
      <c r="D533" s="11" t="s">
        <v>4046</v>
      </c>
      <c r="E533" s="11" t="s">
        <v>281</v>
      </c>
      <c r="F533" s="11" t="s">
        <v>353</v>
      </c>
      <c r="G533" s="11" t="s">
        <v>4047</v>
      </c>
      <c r="H533" s="11" t="s">
        <v>142</v>
      </c>
      <c r="I533" s="11" t="s">
        <v>4048</v>
      </c>
      <c r="J533" s="11" t="s">
        <v>4049</v>
      </c>
      <c r="K533" s="11" t="s">
        <v>1029</v>
      </c>
      <c r="L533" s="11" t="s">
        <v>464</v>
      </c>
      <c r="M533" s="11" t="s">
        <v>4050</v>
      </c>
      <c r="N533" s="11" t="s">
        <v>128</v>
      </c>
      <c r="O533" s="11" t="s">
        <v>4051</v>
      </c>
      <c r="P533" s="11" t="s">
        <v>4052</v>
      </c>
      <c r="Q533" s="11" t="s">
        <v>150</v>
      </c>
      <c r="R533" s="11"/>
      <c r="S533" s="11" t="s">
        <v>71</v>
      </c>
      <c r="T533" s="11" t="s">
        <v>1415</v>
      </c>
      <c r="U533" s="11" t="s">
        <v>150</v>
      </c>
      <c r="V533" s="11" t="s">
        <v>1415</v>
      </c>
      <c r="W533" s="11" t="s">
        <v>1415</v>
      </c>
      <c r="X533" s="11">
        <v>44</v>
      </c>
      <c r="Y533" s="11" t="s">
        <v>135</v>
      </c>
      <c r="Z533" s="11">
        <v>80</v>
      </c>
      <c r="AA533" s="11">
        <v>0</v>
      </c>
      <c r="AB533" s="12">
        <v>0</v>
      </c>
    </row>
    <row r="534" spans="1:28" x14ac:dyDescent="0.2">
      <c r="A534" s="7">
        <v>23480</v>
      </c>
      <c r="B534" s="8" t="s">
        <v>4053</v>
      </c>
      <c r="C534" s="8" t="s">
        <v>2615</v>
      </c>
      <c r="D534" s="8" t="s">
        <v>166</v>
      </c>
      <c r="E534" s="8"/>
      <c r="F534" s="8" t="s">
        <v>353</v>
      </c>
      <c r="G534" s="8" t="s">
        <v>2618</v>
      </c>
      <c r="H534" s="8" t="s">
        <v>142</v>
      </c>
      <c r="I534" s="8" t="s">
        <v>3541</v>
      </c>
      <c r="J534" s="8" t="s">
        <v>4054</v>
      </c>
      <c r="K534" s="8" t="s">
        <v>651</v>
      </c>
      <c r="L534" s="8" t="s">
        <v>146</v>
      </c>
      <c r="M534" s="8" t="s">
        <v>4055</v>
      </c>
      <c r="N534" s="8" t="s">
        <v>128</v>
      </c>
      <c r="O534" s="8" t="s">
        <v>4056</v>
      </c>
      <c r="P534" s="8" t="s">
        <v>4057</v>
      </c>
      <c r="Q534" s="8" t="s">
        <v>150</v>
      </c>
      <c r="R534" s="8"/>
      <c r="S534" s="8" t="s">
        <v>71</v>
      </c>
      <c r="T534" s="8" t="s">
        <v>1415</v>
      </c>
      <c r="U534" s="8" t="s">
        <v>150</v>
      </c>
      <c r="V534" s="8" t="s">
        <v>1415</v>
      </c>
      <c r="W534" s="8" t="s">
        <v>1415</v>
      </c>
      <c r="X534" s="8">
        <v>44</v>
      </c>
      <c r="Y534" s="8" t="s">
        <v>135</v>
      </c>
      <c r="Z534" s="8">
        <v>80</v>
      </c>
      <c r="AA534" s="8">
        <v>0</v>
      </c>
      <c r="AB534" s="9">
        <v>0</v>
      </c>
    </row>
    <row r="535" spans="1:28" x14ac:dyDescent="0.2">
      <c r="A535" s="10">
        <v>23810</v>
      </c>
      <c r="B535" s="11" t="s">
        <v>4058</v>
      </c>
      <c r="C535" s="11" t="s">
        <v>4059</v>
      </c>
      <c r="D535" s="11" t="s">
        <v>4060</v>
      </c>
      <c r="E535" s="11" t="s">
        <v>4061</v>
      </c>
      <c r="F535" s="11" t="s">
        <v>4062</v>
      </c>
      <c r="G535" s="11" t="s">
        <v>4063</v>
      </c>
      <c r="H535" s="11" t="s">
        <v>301</v>
      </c>
      <c r="I535" s="11" t="s">
        <v>4064</v>
      </c>
      <c r="J535" s="11" t="s">
        <v>4065</v>
      </c>
      <c r="K535" s="11" t="s">
        <v>228</v>
      </c>
      <c r="L535" s="11" t="s">
        <v>229</v>
      </c>
      <c r="M535" s="11" t="s">
        <v>4066</v>
      </c>
      <c r="N535" s="11" t="s">
        <v>128</v>
      </c>
      <c r="O535" s="11" t="s">
        <v>4067</v>
      </c>
      <c r="P535" s="11" t="s">
        <v>4068</v>
      </c>
      <c r="Q535" s="11" t="s">
        <v>150</v>
      </c>
      <c r="R535" s="11"/>
      <c r="S535" s="11" t="s">
        <v>71</v>
      </c>
      <c r="T535" s="11" t="s">
        <v>168</v>
      </c>
      <c r="U535" s="11" t="s">
        <v>150</v>
      </c>
      <c r="V535" s="11" t="s">
        <v>168</v>
      </c>
      <c r="W535" s="11" t="s">
        <v>168</v>
      </c>
      <c r="X535" s="11">
        <v>44</v>
      </c>
      <c r="Y535" s="11" t="s">
        <v>135</v>
      </c>
      <c r="Z535" s="11">
        <v>80</v>
      </c>
      <c r="AA535" s="11">
        <v>0</v>
      </c>
      <c r="AB535" s="12">
        <v>0</v>
      </c>
    </row>
    <row r="536" spans="1:28" x14ac:dyDescent="0.2">
      <c r="A536" s="7">
        <v>24171</v>
      </c>
      <c r="B536" s="8" t="s">
        <v>4069</v>
      </c>
      <c r="C536" s="8" t="s">
        <v>170</v>
      </c>
      <c r="D536" s="8" t="s">
        <v>171</v>
      </c>
      <c r="E536" s="8" t="s">
        <v>4070</v>
      </c>
      <c r="F536" s="8" t="s">
        <v>173</v>
      </c>
      <c r="G536" s="8" t="s">
        <v>158</v>
      </c>
      <c r="H536" s="8" t="s">
        <v>159</v>
      </c>
      <c r="I536" s="8" t="s">
        <v>174</v>
      </c>
      <c r="J536" s="8" t="s">
        <v>175</v>
      </c>
      <c r="K536" s="8" t="s">
        <v>162</v>
      </c>
      <c r="L536" s="8" t="s">
        <v>163</v>
      </c>
      <c r="M536" s="8" t="s">
        <v>4071</v>
      </c>
      <c r="N536" s="8" t="s">
        <v>128</v>
      </c>
      <c r="O536" s="8" t="s">
        <v>4072</v>
      </c>
      <c r="P536" s="8" t="s">
        <v>4073</v>
      </c>
      <c r="Q536" s="8" t="s">
        <v>150</v>
      </c>
      <c r="R536" s="8"/>
      <c r="S536" s="8" t="s">
        <v>179</v>
      </c>
      <c r="T536" s="8" t="s">
        <v>3270</v>
      </c>
      <c r="U536" s="8" t="s">
        <v>150</v>
      </c>
      <c r="V536" s="8" t="s">
        <v>3270</v>
      </c>
      <c r="W536" s="8" t="s">
        <v>3270</v>
      </c>
      <c r="X536" s="8">
        <v>44</v>
      </c>
      <c r="Y536" s="8" t="s">
        <v>135</v>
      </c>
      <c r="Z536" s="8">
        <v>20</v>
      </c>
      <c r="AA536" s="8">
        <v>1</v>
      </c>
      <c r="AB536" s="9">
        <v>0</v>
      </c>
    </row>
    <row r="537" spans="1:28" x14ac:dyDescent="0.2">
      <c r="A537" s="10">
        <v>24869</v>
      </c>
      <c r="B537" s="11" t="s">
        <v>4074</v>
      </c>
      <c r="C537" s="11" t="s">
        <v>1193</v>
      </c>
      <c r="D537" s="11" t="s">
        <v>1064</v>
      </c>
      <c r="E537" s="11" t="s">
        <v>4075</v>
      </c>
      <c r="F537" s="11" t="s">
        <v>1195</v>
      </c>
      <c r="G537" s="11" t="s">
        <v>1196</v>
      </c>
      <c r="H537" s="11" t="s">
        <v>142</v>
      </c>
      <c r="I537" s="11" t="s">
        <v>1197</v>
      </c>
      <c r="J537" s="11" t="s">
        <v>1198</v>
      </c>
      <c r="K537" s="11" t="s">
        <v>1199</v>
      </c>
      <c r="L537" s="11" t="s">
        <v>464</v>
      </c>
      <c r="M537" s="11" t="s">
        <v>4076</v>
      </c>
      <c r="N537" s="11" t="s">
        <v>128</v>
      </c>
      <c r="O537" s="11" t="s">
        <v>4077</v>
      </c>
      <c r="P537" s="11" t="s">
        <v>4078</v>
      </c>
      <c r="Q537" s="11" t="s">
        <v>150</v>
      </c>
      <c r="R537" s="11"/>
      <c r="S537" s="11" t="s">
        <v>1203</v>
      </c>
      <c r="T537" s="11" t="s">
        <v>1738</v>
      </c>
      <c r="U537" s="11" t="s">
        <v>150</v>
      </c>
      <c r="V537" s="11" t="s">
        <v>1738</v>
      </c>
      <c r="W537" s="11" t="s">
        <v>1738</v>
      </c>
      <c r="X537" s="11">
        <v>44</v>
      </c>
      <c r="Y537" s="11" t="s">
        <v>135</v>
      </c>
      <c r="Z537" s="11">
        <v>20</v>
      </c>
      <c r="AA537" s="11">
        <v>1</v>
      </c>
      <c r="AB537" s="12">
        <v>0</v>
      </c>
    </row>
    <row r="538" spans="1:28" x14ac:dyDescent="0.2">
      <c r="A538" s="7">
        <v>25133</v>
      </c>
      <c r="B538" s="8" t="s">
        <v>4079</v>
      </c>
      <c r="C538" s="8" t="s">
        <v>266</v>
      </c>
      <c r="D538" s="8" t="s">
        <v>267</v>
      </c>
      <c r="E538" s="8" t="s">
        <v>4080</v>
      </c>
      <c r="F538" s="8" t="s">
        <v>269</v>
      </c>
      <c r="G538" s="8" t="s">
        <v>270</v>
      </c>
      <c r="H538" s="8" t="s">
        <v>271</v>
      </c>
      <c r="I538" s="8" t="s">
        <v>272</v>
      </c>
      <c r="J538" s="8" t="s">
        <v>273</v>
      </c>
      <c r="K538" s="8" t="s">
        <v>274</v>
      </c>
      <c r="L538" s="8" t="s">
        <v>163</v>
      </c>
      <c r="M538" s="8" t="s">
        <v>4081</v>
      </c>
      <c r="N538" s="8" t="s">
        <v>128</v>
      </c>
      <c r="O538" s="8" t="s">
        <v>4082</v>
      </c>
      <c r="P538" s="8" t="s">
        <v>4083</v>
      </c>
      <c r="Q538" s="8" t="s">
        <v>740</v>
      </c>
      <c r="R538" s="8"/>
      <c r="S538" s="8" t="s">
        <v>278</v>
      </c>
      <c r="T538" s="8" t="s">
        <v>741</v>
      </c>
      <c r="U538" s="8" t="s">
        <v>134</v>
      </c>
      <c r="V538" s="8" t="s">
        <v>740</v>
      </c>
      <c r="W538" s="8" t="s">
        <v>741</v>
      </c>
      <c r="X538" s="8">
        <v>44</v>
      </c>
      <c r="Y538" s="8" t="s">
        <v>135</v>
      </c>
      <c r="Z538" s="8">
        <v>20</v>
      </c>
      <c r="AA538" s="8">
        <v>1</v>
      </c>
      <c r="AB538" s="9">
        <v>0</v>
      </c>
    </row>
    <row r="539" spans="1:28" x14ac:dyDescent="0.2">
      <c r="A539" s="10">
        <v>25290</v>
      </c>
      <c r="B539" s="11" t="s">
        <v>4084</v>
      </c>
      <c r="C539" s="11" t="s">
        <v>3219</v>
      </c>
      <c r="D539" s="11" t="s">
        <v>645</v>
      </c>
      <c r="E539" s="11" t="s">
        <v>4085</v>
      </c>
      <c r="F539" s="11" t="s">
        <v>3221</v>
      </c>
      <c r="G539" s="11" t="s">
        <v>846</v>
      </c>
      <c r="H539" s="11" t="s">
        <v>847</v>
      </c>
      <c r="I539" s="11" t="s">
        <v>3222</v>
      </c>
      <c r="J539" s="11" t="s">
        <v>3223</v>
      </c>
      <c r="K539" s="11" t="s">
        <v>1091</v>
      </c>
      <c r="L539" s="11" t="s">
        <v>126</v>
      </c>
      <c r="M539" s="11" t="s">
        <v>4086</v>
      </c>
      <c r="N539" s="11" t="s">
        <v>128</v>
      </c>
      <c r="O539" s="11" t="s">
        <v>4087</v>
      </c>
      <c r="P539" s="11" t="s">
        <v>4088</v>
      </c>
      <c r="Q539" s="11" t="s">
        <v>740</v>
      </c>
      <c r="R539" s="11"/>
      <c r="S539" s="11" t="s">
        <v>3227</v>
      </c>
      <c r="T539" s="11" t="s">
        <v>741</v>
      </c>
      <c r="U539" s="11" t="s">
        <v>134</v>
      </c>
      <c r="V539" s="11" t="s">
        <v>740</v>
      </c>
      <c r="W539" s="11" t="s">
        <v>741</v>
      </c>
      <c r="X539" s="11">
        <v>44</v>
      </c>
      <c r="Y539" s="11" t="s">
        <v>135</v>
      </c>
      <c r="Z539" s="11">
        <v>80</v>
      </c>
      <c r="AA539" s="11">
        <v>1</v>
      </c>
      <c r="AB539" s="12">
        <v>1</v>
      </c>
    </row>
    <row r="540" spans="1:28" x14ac:dyDescent="0.2">
      <c r="A540" s="7">
        <v>21131</v>
      </c>
      <c r="B540" s="8" t="s">
        <v>4089</v>
      </c>
      <c r="C540" s="8" t="s">
        <v>4090</v>
      </c>
      <c r="D540" s="8" t="s">
        <v>3863</v>
      </c>
      <c r="E540" s="8" t="s">
        <v>4091</v>
      </c>
      <c r="F540" s="8" t="s">
        <v>4092</v>
      </c>
      <c r="G540" s="8" t="s">
        <v>2423</v>
      </c>
      <c r="H540" s="8" t="s">
        <v>557</v>
      </c>
      <c r="I540" s="8" t="s">
        <v>4093</v>
      </c>
      <c r="J540" s="8" t="s">
        <v>4094</v>
      </c>
      <c r="K540" s="8" t="s">
        <v>1562</v>
      </c>
      <c r="L540" s="8" t="s">
        <v>229</v>
      </c>
      <c r="M540" s="8" t="s">
        <v>4095</v>
      </c>
      <c r="N540" s="8" t="s">
        <v>128</v>
      </c>
      <c r="O540" s="8" t="s">
        <v>4096</v>
      </c>
      <c r="P540" s="8" t="s">
        <v>4097</v>
      </c>
      <c r="Q540" s="8" t="s">
        <v>150</v>
      </c>
      <c r="R540" s="8"/>
      <c r="S540" s="8" t="s">
        <v>71</v>
      </c>
      <c r="T540" s="8" t="s">
        <v>289</v>
      </c>
      <c r="U540" s="8" t="s">
        <v>150</v>
      </c>
      <c r="V540" s="8" t="s">
        <v>289</v>
      </c>
      <c r="W540" s="8" t="s">
        <v>289</v>
      </c>
      <c r="X540" s="8">
        <v>43</v>
      </c>
      <c r="Y540" s="8" t="s">
        <v>135</v>
      </c>
      <c r="Z540" s="8">
        <v>80</v>
      </c>
      <c r="AA540" s="8">
        <v>0</v>
      </c>
      <c r="AB540" s="9">
        <v>0</v>
      </c>
    </row>
    <row r="541" spans="1:28" x14ac:dyDescent="0.2">
      <c r="A541" s="10">
        <v>26149</v>
      </c>
      <c r="B541" s="11" t="s">
        <v>4098</v>
      </c>
      <c r="C541" s="11" t="s">
        <v>4099</v>
      </c>
      <c r="D541" s="11" t="s">
        <v>410</v>
      </c>
      <c r="E541" s="11"/>
      <c r="F541" s="11" t="s">
        <v>353</v>
      </c>
      <c r="G541" s="11" t="s">
        <v>412</v>
      </c>
      <c r="H541" s="11" t="s">
        <v>329</v>
      </c>
      <c r="I541" s="11" t="s">
        <v>837</v>
      </c>
      <c r="J541" s="11" t="s">
        <v>4100</v>
      </c>
      <c r="K541" s="11" t="s">
        <v>415</v>
      </c>
      <c r="L541" s="11" t="s">
        <v>333</v>
      </c>
      <c r="M541" s="11" t="s">
        <v>4101</v>
      </c>
      <c r="N541" s="11" t="s">
        <v>128</v>
      </c>
      <c r="O541" s="11" t="s">
        <v>4102</v>
      </c>
      <c r="P541" s="11" t="s">
        <v>4103</v>
      </c>
      <c r="Q541" s="11" t="s">
        <v>150</v>
      </c>
      <c r="R541" s="11"/>
      <c r="S541" s="11" t="s">
        <v>419</v>
      </c>
      <c r="T541" s="11" t="s">
        <v>642</v>
      </c>
      <c r="U541" s="11" t="s">
        <v>150</v>
      </c>
      <c r="V541" s="11" t="s">
        <v>642</v>
      </c>
      <c r="W541" s="11" t="s">
        <v>642</v>
      </c>
      <c r="X541" s="11">
        <v>43</v>
      </c>
      <c r="Y541" s="11" t="s">
        <v>135</v>
      </c>
      <c r="Z541" s="11">
        <v>80</v>
      </c>
      <c r="AA541" s="11">
        <v>1</v>
      </c>
      <c r="AB541" s="12">
        <v>1</v>
      </c>
    </row>
    <row r="542" spans="1:28" x14ac:dyDescent="0.2">
      <c r="A542" s="7">
        <v>21310</v>
      </c>
      <c r="B542" s="8" t="s">
        <v>4104</v>
      </c>
      <c r="C542" s="8" t="s">
        <v>360</v>
      </c>
      <c r="D542" s="8" t="s">
        <v>361</v>
      </c>
      <c r="E542" s="8" t="s">
        <v>4105</v>
      </c>
      <c r="F542" s="8" t="s">
        <v>363</v>
      </c>
      <c r="G542" s="8" t="s">
        <v>364</v>
      </c>
      <c r="H542" s="8" t="s">
        <v>365</v>
      </c>
      <c r="I542" s="8" t="s">
        <v>366</v>
      </c>
      <c r="J542" s="8" t="s">
        <v>4106</v>
      </c>
      <c r="K542" s="8" t="s">
        <v>162</v>
      </c>
      <c r="L542" s="8" t="s">
        <v>163</v>
      </c>
      <c r="M542" s="8" t="s">
        <v>4107</v>
      </c>
      <c r="N542" s="8" t="s">
        <v>128</v>
      </c>
      <c r="O542" s="8" t="s">
        <v>4108</v>
      </c>
      <c r="P542" s="8" t="s">
        <v>4109</v>
      </c>
      <c r="Q542" s="8" t="s">
        <v>150</v>
      </c>
      <c r="R542" s="8"/>
      <c r="S542" s="8" t="s">
        <v>371</v>
      </c>
      <c r="T542" s="8" t="s">
        <v>67</v>
      </c>
      <c r="U542" s="8" t="s">
        <v>150</v>
      </c>
      <c r="V542" s="8" t="s">
        <v>152</v>
      </c>
      <c r="W542" s="8" t="s">
        <v>67</v>
      </c>
      <c r="X542" s="8">
        <v>43</v>
      </c>
      <c r="Y542" s="8" t="s">
        <v>135</v>
      </c>
      <c r="Z542" s="8">
        <v>20</v>
      </c>
      <c r="AA542" s="8">
        <v>1</v>
      </c>
      <c r="AB542" s="9">
        <v>0</v>
      </c>
    </row>
    <row r="543" spans="1:28" x14ac:dyDescent="0.2">
      <c r="A543" s="10">
        <v>21330</v>
      </c>
      <c r="B543" s="11" t="s">
        <v>4110</v>
      </c>
      <c r="C543" s="11" t="s">
        <v>4111</v>
      </c>
      <c r="D543" s="11" t="s">
        <v>3863</v>
      </c>
      <c r="E543" s="11" t="s">
        <v>4112</v>
      </c>
      <c r="F543" s="11" t="s">
        <v>4113</v>
      </c>
      <c r="G543" s="11" t="s">
        <v>556</v>
      </c>
      <c r="H543" s="11" t="s">
        <v>557</v>
      </c>
      <c r="I543" s="11" t="s">
        <v>4114</v>
      </c>
      <c r="J543" s="11" t="s">
        <v>4115</v>
      </c>
      <c r="K543" s="11" t="s">
        <v>560</v>
      </c>
      <c r="L543" s="11" t="s">
        <v>229</v>
      </c>
      <c r="M543" s="11" t="s">
        <v>4116</v>
      </c>
      <c r="N543" s="11" t="s">
        <v>128</v>
      </c>
      <c r="O543" s="11" t="s">
        <v>4117</v>
      </c>
      <c r="P543" s="11" t="s">
        <v>4118</v>
      </c>
      <c r="Q543" s="11" t="s">
        <v>150</v>
      </c>
      <c r="R543" s="11"/>
      <c r="S543" s="11" t="s">
        <v>4119</v>
      </c>
      <c r="T543" s="11" t="s">
        <v>67</v>
      </c>
      <c r="U543" s="11" t="s">
        <v>150</v>
      </c>
      <c r="V543" s="11" t="s">
        <v>152</v>
      </c>
      <c r="W543" s="11" t="s">
        <v>67</v>
      </c>
      <c r="X543" s="11">
        <v>43</v>
      </c>
      <c r="Y543" s="11" t="s">
        <v>135</v>
      </c>
      <c r="Z543" s="11">
        <v>80</v>
      </c>
      <c r="AA543" s="11">
        <v>1</v>
      </c>
      <c r="AB543" s="12">
        <v>1</v>
      </c>
    </row>
    <row r="544" spans="1:28" x14ac:dyDescent="0.2">
      <c r="A544" s="7">
        <v>23175</v>
      </c>
      <c r="B544" s="8" t="s">
        <v>4120</v>
      </c>
      <c r="C544" s="8" t="s">
        <v>1417</v>
      </c>
      <c r="D544" s="8" t="s">
        <v>138</v>
      </c>
      <c r="E544" s="8"/>
      <c r="F544" s="8" t="s">
        <v>353</v>
      </c>
      <c r="G544" s="8" t="s">
        <v>1419</v>
      </c>
      <c r="H544" s="8" t="s">
        <v>704</v>
      </c>
      <c r="I544" s="8" t="s">
        <v>1420</v>
      </c>
      <c r="J544" s="8" t="s">
        <v>1421</v>
      </c>
      <c r="K544" s="8" t="s">
        <v>707</v>
      </c>
      <c r="L544" s="8" t="s">
        <v>126</v>
      </c>
      <c r="M544" s="8" t="s">
        <v>4121</v>
      </c>
      <c r="N544" s="8" t="s">
        <v>128</v>
      </c>
      <c r="O544" s="8" t="s">
        <v>4122</v>
      </c>
      <c r="P544" s="8" t="s">
        <v>4123</v>
      </c>
      <c r="Q544" s="8" t="s">
        <v>150</v>
      </c>
      <c r="R544" s="8"/>
      <c r="S544" s="8" t="s">
        <v>1425</v>
      </c>
      <c r="T544" s="8" t="s">
        <v>70</v>
      </c>
      <c r="U544" s="8" t="s">
        <v>150</v>
      </c>
      <c r="V544" s="8" t="s">
        <v>70</v>
      </c>
      <c r="W544" s="8" t="s">
        <v>70</v>
      </c>
      <c r="X544" s="8">
        <v>43</v>
      </c>
      <c r="Y544" s="8" t="s">
        <v>135</v>
      </c>
      <c r="Z544" s="8">
        <v>80</v>
      </c>
      <c r="AA544" s="8">
        <v>1</v>
      </c>
      <c r="AB544" s="9">
        <v>1</v>
      </c>
    </row>
    <row r="545" spans="1:28" x14ac:dyDescent="0.2">
      <c r="A545" s="10">
        <v>22212</v>
      </c>
      <c r="B545" s="11" t="s">
        <v>4124</v>
      </c>
      <c r="C545" s="11" t="s">
        <v>611</v>
      </c>
      <c r="D545" s="11" t="s">
        <v>612</v>
      </c>
      <c r="E545" s="11" t="s">
        <v>4125</v>
      </c>
      <c r="F545" s="11" t="s">
        <v>614</v>
      </c>
      <c r="G545" s="11" t="s">
        <v>615</v>
      </c>
      <c r="H545" s="11" t="s">
        <v>616</v>
      </c>
      <c r="I545" s="11" t="s">
        <v>617</v>
      </c>
      <c r="J545" s="11" t="s">
        <v>618</v>
      </c>
      <c r="K545" s="11" t="s">
        <v>619</v>
      </c>
      <c r="L545" s="11" t="s">
        <v>163</v>
      </c>
      <c r="M545" s="11" t="s">
        <v>4126</v>
      </c>
      <c r="N545" s="11" t="s">
        <v>128</v>
      </c>
      <c r="O545" s="11"/>
      <c r="P545" s="11"/>
      <c r="Q545" s="11" t="s">
        <v>740</v>
      </c>
      <c r="R545" s="11"/>
      <c r="S545" s="11" t="s">
        <v>623</v>
      </c>
      <c r="T545" s="11" t="s">
        <v>1745</v>
      </c>
      <c r="U545" s="11" t="s">
        <v>134</v>
      </c>
      <c r="V545" s="11" t="s">
        <v>740</v>
      </c>
      <c r="W545" s="11" t="s">
        <v>1745</v>
      </c>
      <c r="X545" s="11">
        <v>43</v>
      </c>
      <c r="Y545" s="11" t="s">
        <v>135</v>
      </c>
      <c r="Z545" s="11">
        <v>20</v>
      </c>
      <c r="AA545" s="11">
        <v>1</v>
      </c>
      <c r="AB545" s="12">
        <v>0</v>
      </c>
    </row>
    <row r="546" spans="1:28" x14ac:dyDescent="0.2">
      <c r="A546" s="7">
        <v>25474</v>
      </c>
      <c r="B546" s="8" t="s">
        <v>4127</v>
      </c>
      <c r="C546" s="8" t="s">
        <v>297</v>
      </c>
      <c r="D546" s="8" t="s">
        <v>138</v>
      </c>
      <c r="E546" s="8" t="s">
        <v>4128</v>
      </c>
      <c r="F546" s="8" t="s">
        <v>299</v>
      </c>
      <c r="G546" s="8" t="s">
        <v>300</v>
      </c>
      <c r="H546" s="8" t="s">
        <v>301</v>
      </c>
      <c r="I546" s="8" t="s">
        <v>4129</v>
      </c>
      <c r="J546" s="8" t="s">
        <v>303</v>
      </c>
      <c r="K546" s="8" t="s">
        <v>304</v>
      </c>
      <c r="L546" s="8" t="s">
        <v>229</v>
      </c>
      <c r="M546" s="8" t="s">
        <v>4130</v>
      </c>
      <c r="N546" s="8" t="s">
        <v>128</v>
      </c>
      <c r="O546" s="8" t="s">
        <v>4131</v>
      </c>
      <c r="P546" s="8" t="s">
        <v>4132</v>
      </c>
      <c r="Q546" s="8" t="s">
        <v>249</v>
      </c>
      <c r="R546" s="8"/>
      <c r="S546" s="8" t="s">
        <v>308</v>
      </c>
      <c r="T546" s="8" t="s">
        <v>250</v>
      </c>
      <c r="U546" s="8" t="s">
        <v>134</v>
      </c>
      <c r="V546" s="8" t="s">
        <v>249</v>
      </c>
      <c r="W546" s="8" t="s">
        <v>250</v>
      </c>
      <c r="X546" s="8">
        <v>43</v>
      </c>
      <c r="Y546" s="8" t="s">
        <v>135</v>
      </c>
      <c r="Z546" s="8">
        <v>20</v>
      </c>
      <c r="AA546" s="8">
        <v>1</v>
      </c>
      <c r="AB546" s="9">
        <v>0</v>
      </c>
    </row>
    <row r="547" spans="1:28" x14ac:dyDescent="0.2">
      <c r="A547" s="10">
        <v>21599</v>
      </c>
      <c r="B547" s="11" t="s">
        <v>4133</v>
      </c>
      <c r="C547" s="11" t="s">
        <v>4134</v>
      </c>
      <c r="D547" s="11" t="s">
        <v>4135</v>
      </c>
      <c r="E547" s="11" t="s">
        <v>4136</v>
      </c>
      <c r="F547" s="11" t="s">
        <v>353</v>
      </c>
      <c r="G547" s="11" t="s">
        <v>4137</v>
      </c>
      <c r="H547" s="11" t="s">
        <v>142</v>
      </c>
      <c r="I547" s="11" t="s">
        <v>4138</v>
      </c>
      <c r="J547" s="11" t="s">
        <v>4139</v>
      </c>
      <c r="K547" s="11" t="s">
        <v>1199</v>
      </c>
      <c r="L547" s="11" t="s">
        <v>464</v>
      </c>
      <c r="M547" s="11" t="s">
        <v>4140</v>
      </c>
      <c r="N547" s="11" t="s">
        <v>128</v>
      </c>
      <c r="O547" s="11" t="s">
        <v>4141</v>
      </c>
      <c r="P547" s="11" t="s">
        <v>901</v>
      </c>
      <c r="Q547" s="11" t="s">
        <v>150</v>
      </c>
      <c r="R547" s="11"/>
      <c r="S547" s="11" t="s">
        <v>71</v>
      </c>
      <c r="T547" s="11" t="s">
        <v>67</v>
      </c>
      <c r="U547" s="11" t="s">
        <v>150</v>
      </c>
      <c r="V547" s="11" t="s">
        <v>152</v>
      </c>
      <c r="W547" s="11" t="s">
        <v>67</v>
      </c>
      <c r="X547" s="11">
        <v>42</v>
      </c>
      <c r="Y547" s="11" t="s">
        <v>135</v>
      </c>
      <c r="Z547" s="11">
        <v>80</v>
      </c>
      <c r="AA547" s="11">
        <v>0</v>
      </c>
      <c r="AB547" s="12">
        <v>0</v>
      </c>
    </row>
    <row r="548" spans="1:28" x14ac:dyDescent="0.2">
      <c r="A548" s="7">
        <v>21656</v>
      </c>
      <c r="B548" s="8" t="s">
        <v>4142</v>
      </c>
      <c r="C548" s="8" t="s">
        <v>3335</v>
      </c>
      <c r="D548" s="8" t="s">
        <v>4143</v>
      </c>
      <c r="E548" s="8" t="s">
        <v>4144</v>
      </c>
      <c r="F548" s="8" t="s">
        <v>3337</v>
      </c>
      <c r="G548" s="8" t="s">
        <v>328</v>
      </c>
      <c r="H548" s="8" t="s">
        <v>329</v>
      </c>
      <c r="I548" s="8" t="s">
        <v>4145</v>
      </c>
      <c r="J548" s="8" t="s">
        <v>4146</v>
      </c>
      <c r="K548" s="8" t="s">
        <v>332</v>
      </c>
      <c r="L548" s="8" t="s">
        <v>333</v>
      </c>
      <c r="M548" s="8" t="s">
        <v>4147</v>
      </c>
      <c r="N548" s="8" t="s">
        <v>128</v>
      </c>
      <c r="O548" s="8" t="s">
        <v>4148</v>
      </c>
      <c r="P548" s="8" t="s">
        <v>4149</v>
      </c>
      <c r="Q548" s="8" t="s">
        <v>150</v>
      </c>
      <c r="R548" s="8"/>
      <c r="S548" s="8" t="s">
        <v>71</v>
      </c>
      <c r="T548" s="8" t="s">
        <v>67</v>
      </c>
      <c r="U548" s="8" t="s">
        <v>150</v>
      </c>
      <c r="V548" s="8" t="s">
        <v>152</v>
      </c>
      <c r="W548" s="8" t="s">
        <v>67</v>
      </c>
      <c r="X548" s="8">
        <v>42</v>
      </c>
      <c r="Y548" s="8" t="s">
        <v>135</v>
      </c>
      <c r="Z548" s="8">
        <v>80</v>
      </c>
      <c r="AA548" s="8">
        <v>0</v>
      </c>
      <c r="AB548" s="9">
        <v>0</v>
      </c>
    </row>
    <row r="549" spans="1:28" x14ac:dyDescent="0.2">
      <c r="A549" s="10">
        <v>93304</v>
      </c>
      <c r="B549" s="11" t="s">
        <v>4150</v>
      </c>
      <c r="C549" s="11" t="s">
        <v>914</v>
      </c>
      <c r="D549" s="11" t="s">
        <v>915</v>
      </c>
      <c r="E549" s="11" t="s">
        <v>4151</v>
      </c>
      <c r="F549" s="11" t="s">
        <v>4152</v>
      </c>
      <c r="G549" s="11" t="s">
        <v>4153</v>
      </c>
      <c r="H549" s="11" t="s">
        <v>142</v>
      </c>
      <c r="I549" s="11" t="s">
        <v>918</v>
      </c>
      <c r="J549" s="11" t="s">
        <v>919</v>
      </c>
      <c r="K549" s="11" t="s">
        <v>779</v>
      </c>
      <c r="L549" s="11" t="s">
        <v>464</v>
      </c>
      <c r="M549" s="11" t="s">
        <v>4154</v>
      </c>
      <c r="N549" s="11" t="s">
        <v>128</v>
      </c>
      <c r="O549" s="11" t="s">
        <v>4155</v>
      </c>
      <c r="P549" s="11"/>
      <c r="Q549" s="11" t="s">
        <v>131</v>
      </c>
      <c r="R549" s="11"/>
      <c r="S549" s="11" t="s">
        <v>923</v>
      </c>
      <c r="T549" s="11" t="s">
        <v>983</v>
      </c>
      <c r="U549" s="11" t="s">
        <v>134</v>
      </c>
      <c r="V549" s="11" t="s">
        <v>131</v>
      </c>
      <c r="W549" s="11" t="s">
        <v>983</v>
      </c>
      <c r="X549" s="11">
        <v>42</v>
      </c>
      <c r="Y549" s="11" t="s">
        <v>135</v>
      </c>
      <c r="Z549" s="11">
        <v>80</v>
      </c>
      <c r="AA549" s="11">
        <v>1</v>
      </c>
      <c r="AB549" s="12">
        <v>1</v>
      </c>
    </row>
    <row r="550" spans="1:28" x14ac:dyDescent="0.2">
      <c r="A550" s="7">
        <v>21917</v>
      </c>
      <c r="B550" s="8" t="s">
        <v>4156</v>
      </c>
      <c r="C550" s="8" t="s">
        <v>657</v>
      </c>
      <c r="D550" s="8" t="s">
        <v>658</v>
      </c>
      <c r="E550" s="8" t="s">
        <v>4157</v>
      </c>
      <c r="F550" s="8" t="s">
        <v>660</v>
      </c>
      <c r="G550" s="8" t="s">
        <v>556</v>
      </c>
      <c r="H550" s="8" t="s">
        <v>557</v>
      </c>
      <c r="I550" s="8" t="s">
        <v>661</v>
      </c>
      <c r="J550" s="8" t="s">
        <v>662</v>
      </c>
      <c r="K550" s="8" t="s">
        <v>560</v>
      </c>
      <c r="L550" s="8" t="s">
        <v>229</v>
      </c>
      <c r="M550" s="8" t="s">
        <v>4158</v>
      </c>
      <c r="N550" s="8" t="s">
        <v>128</v>
      </c>
      <c r="O550" s="8" t="s">
        <v>4159</v>
      </c>
      <c r="P550" s="8" t="s">
        <v>4160</v>
      </c>
      <c r="Q550" s="8" t="s">
        <v>131</v>
      </c>
      <c r="R550" s="8"/>
      <c r="S550" s="8" t="s">
        <v>666</v>
      </c>
      <c r="T550" s="8" t="s">
        <v>133</v>
      </c>
      <c r="U550" s="8" t="s">
        <v>134</v>
      </c>
      <c r="V550" s="8" t="s">
        <v>131</v>
      </c>
      <c r="W550" s="8" t="s">
        <v>133</v>
      </c>
      <c r="X550" s="8">
        <v>42</v>
      </c>
      <c r="Y550" s="8" t="s">
        <v>135</v>
      </c>
      <c r="Z550" s="8">
        <v>80</v>
      </c>
      <c r="AA550" s="8">
        <v>1</v>
      </c>
      <c r="AB550" s="9">
        <v>1</v>
      </c>
    </row>
    <row r="551" spans="1:28" x14ac:dyDescent="0.2">
      <c r="A551" s="10">
        <v>23163</v>
      </c>
      <c r="B551" s="11" t="s">
        <v>4161</v>
      </c>
      <c r="C551" s="11" t="s">
        <v>842</v>
      </c>
      <c r="D551" s="11" t="s">
        <v>826</v>
      </c>
      <c r="E551" s="11" t="s">
        <v>4162</v>
      </c>
      <c r="F551" s="11" t="s">
        <v>2953</v>
      </c>
      <c r="G551" s="11" t="s">
        <v>1026</v>
      </c>
      <c r="H551" s="11" t="s">
        <v>142</v>
      </c>
      <c r="I551" s="11" t="s">
        <v>2946</v>
      </c>
      <c r="J551" s="11" t="s">
        <v>2954</v>
      </c>
      <c r="K551" s="11" t="s">
        <v>1029</v>
      </c>
      <c r="L551" s="11" t="s">
        <v>464</v>
      </c>
      <c r="M551" s="11" t="s">
        <v>4163</v>
      </c>
      <c r="N551" s="11" t="s">
        <v>128</v>
      </c>
      <c r="O551" s="11" t="s">
        <v>4164</v>
      </c>
      <c r="P551" s="11" t="s">
        <v>4165</v>
      </c>
      <c r="Q551" s="11" t="s">
        <v>150</v>
      </c>
      <c r="R551" s="11"/>
      <c r="S551" s="11" t="s">
        <v>2950</v>
      </c>
      <c r="T551" s="11" t="s">
        <v>70</v>
      </c>
      <c r="U551" s="11" t="s">
        <v>150</v>
      </c>
      <c r="V551" s="11" t="s">
        <v>70</v>
      </c>
      <c r="W551" s="11" t="s">
        <v>70</v>
      </c>
      <c r="X551" s="11">
        <v>42</v>
      </c>
      <c r="Y551" s="11" t="s">
        <v>135</v>
      </c>
      <c r="Z551" s="11">
        <v>80</v>
      </c>
      <c r="AA551" s="11">
        <v>0</v>
      </c>
      <c r="AB551" s="12">
        <v>0</v>
      </c>
    </row>
    <row r="552" spans="1:28" x14ac:dyDescent="0.2">
      <c r="A552" s="7">
        <v>23065</v>
      </c>
      <c r="B552" s="8" t="s">
        <v>4166</v>
      </c>
      <c r="C552" s="8" t="s">
        <v>1045</v>
      </c>
      <c r="D552" s="8" t="s">
        <v>1046</v>
      </c>
      <c r="E552" s="8" t="s">
        <v>4167</v>
      </c>
      <c r="F552" s="8" t="s">
        <v>1048</v>
      </c>
      <c r="G552" s="8" t="s">
        <v>121</v>
      </c>
      <c r="H552" s="8" t="s">
        <v>122</v>
      </c>
      <c r="I552" s="8" t="s">
        <v>1049</v>
      </c>
      <c r="J552" s="8" t="s">
        <v>1050</v>
      </c>
      <c r="K552" s="8" t="s">
        <v>1051</v>
      </c>
      <c r="L552" s="8" t="s">
        <v>126</v>
      </c>
      <c r="M552" s="8" t="s">
        <v>4168</v>
      </c>
      <c r="N552" s="8" t="s">
        <v>128</v>
      </c>
      <c r="O552" s="8" t="s">
        <v>4169</v>
      </c>
      <c r="P552" s="8" t="s">
        <v>4170</v>
      </c>
      <c r="Q552" s="8" t="s">
        <v>150</v>
      </c>
      <c r="R552" s="8"/>
      <c r="S552" s="8" t="s">
        <v>1055</v>
      </c>
      <c r="T552" s="8" t="s">
        <v>70</v>
      </c>
      <c r="U552" s="8" t="s">
        <v>150</v>
      </c>
      <c r="V552" s="8" t="s">
        <v>70</v>
      </c>
      <c r="W552" s="8" t="s">
        <v>70</v>
      </c>
      <c r="X552" s="8">
        <v>42</v>
      </c>
      <c r="Y552" s="8" t="s">
        <v>135</v>
      </c>
      <c r="Z552" s="8">
        <v>80</v>
      </c>
      <c r="AA552" s="8">
        <v>1</v>
      </c>
      <c r="AB552" s="9">
        <v>1</v>
      </c>
    </row>
    <row r="553" spans="1:28" x14ac:dyDescent="0.2">
      <c r="A553" s="10">
        <v>23384</v>
      </c>
      <c r="B553" s="11" t="s">
        <v>4171</v>
      </c>
      <c r="C553" s="11" t="s">
        <v>4172</v>
      </c>
      <c r="D553" s="11" t="s">
        <v>4173</v>
      </c>
      <c r="E553" s="11"/>
      <c r="F553" s="11" t="s">
        <v>4174</v>
      </c>
      <c r="G553" s="11" t="s">
        <v>4175</v>
      </c>
      <c r="H553" s="11" t="s">
        <v>329</v>
      </c>
      <c r="I553" s="11" t="s">
        <v>4176</v>
      </c>
      <c r="J553" s="11" t="s">
        <v>4177</v>
      </c>
      <c r="K553" s="11" t="s">
        <v>415</v>
      </c>
      <c r="L553" s="11" t="s">
        <v>333</v>
      </c>
      <c r="M553" s="11" t="s">
        <v>4178</v>
      </c>
      <c r="N553" s="11" t="s">
        <v>128</v>
      </c>
      <c r="O553" s="11" t="s">
        <v>4179</v>
      </c>
      <c r="P553" s="11" t="s">
        <v>4180</v>
      </c>
      <c r="Q553" s="11" t="s">
        <v>150</v>
      </c>
      <c r="R553" s="11"/>
      <c r="S553" s="11" t="s">
        <v>71</v>
      </c>
      <c r="T553" s="11" t="s">
        <v>1415</v>
      </c>
      <c r="U553" s="11" t="s">
        <v>150</v>
      </c>
      <c r="V553" s="11" t="s">
        <v>1415</v>
      </c>
      <c r="W553" s="11" t="s">
        <v>1415</v>
      </c>
      <c r="X553" s="11">
        <v>42</v>
      </c>
      <c r="Y553" s="11" t="s">
        <v>135</v>
      </c>
      <c r="Z553" s="11">
        <v>80</v>
      </c>
      <c r="AA553" s="11">
        <v>0</v>
      </c>
      <c r="AB553" s="12">
        <v>0</v>
      </c>
    </row>
    <row r="554" spans="1:28" x14ac:dyDescent="0.2">
      <c r="A554" s="7">
        <v>23553</v>
      </c>
      <c r="B554" s="8" t="s">
        <v>4181</v>
      </c>
      <c r="C554" s="8" t="s">
        <v>4182</v>
      </c>
      <c r="D554" s="8" t="s">
        <v>4183</v>
      </c>
      <c r="E554" s="8"/>
      <c r="F554" s="8" t="s">
        <v>353</v>
      </c>
      <c r="G554" s="8" t="s">
        <v>4137</v>
      </c>
      <c r="H554" s="8" t="s">
        <v>142</v>
      </c>
      <c r="I554" s="8" t="s">
        <v>4184</v>
      </c>
      <c r="J554" s="8" t="s">
        <v>4185</v>
      </c>
      <c r="K554" s="8" t="s">
        <v>1199</v>
      </c>
      <c r="L554" s="8" t="s">
        <v>464</v>
      </c>
      <c r="M554" s="8" t="s">
        <v>4186</v>
      </c>
      <c r="N554" s="8" t="s">
        <v>128</v>
      </c>
      <c r="O554" s="8" t="s">
        <v>4187</v>
      </c>
      <c r="P554" s="8" t="s">
        <v>4188</v>
      </c>
      <c r="Q554" s="8" t="s">
        <v>150</v>
      </c>
      <c r="R554" s="8"/>
      <c r="S554" s="8" t="s">
        <v>71</v>
      </c>
      <c r="T554" s="8" t="s">
        <v>168</v>
      </c>
      <c r="U554" s="8" t="s">
        <v>150</v>
      </c>
      <c r="V554" s="8" t="s">
        <v>168</v>
      </c>
      <c r="W554" s="8" t="s">
        <v>168</v>
      </c>
      <c r="X554" s="8">
        <v>42</v>
      </c>
      <c r="Y554" s="8" t="s">
        <v>135</v>
      </c>
      <c r="Z554" s="8">
        <v>80</v>
      </c>
      <c r="AA554" s="8">
        <v>0</v>
      </c>
      <c r="AB554" s="9">
        <v>0</v>
      </c>
    </row>
    <row r="555" spans="1:28" x14ac:dyDescent="0.2">
      <c r="A555" s="10">
        <v>86584</v>
      </c>
      <c r="B555" s="11" t="s">
        <v>4189</v>
      </c>
      <c r="C555" s="11" t="s">
        <v>4190</v>
      </c>
      <c r="D555" s="11" t="s">
        <v>4191</v>
      </c>
      <c r="E555" s="11"/>
      <c r="F555" s="11" t="s">
        <v>353</v>
      </c>
      <c r="G555" s="11" t="s">
        <v>3274</v>
      </c>
      <c r="H555" s="11" t="s">
        <v>329</v>
      </c>
      <c r="I555" s="11" t="s">
        <v>4192</v>
      </c>
      <c r="J555" s="11" t="s">
        <v>4193</v>
      </c>
      <c r="K555" s="11" t="s">
        <v>431</v>
      </c>
      <c r="L555" s="11" t="s">
        <v>333</v>
      </c>
      <c r="M555" s="11" t="s">
        <v>4194</v>
      </c>
      <c r="N555" s="11" t="s">
        <v>128</v>
      </c>
      <c r="O555" s="11" t="s">
        <v>4195</v>
      </c>
      <c r="P555" s="11" t="s">
        <v>1631</v>
      </c>
      <c r="Q555" s="11" t="s">
        <v>150</v>
      </c>
      <c r="R555" s="11"/>
      <c r="S555" s="11" t="s">
        <v>71</v>
      </c>
      <c r="T555" s="11" t="s">
        <v>168</v>
      </c>
      <c r="U555" s="11" t="s">
        <v>150</v>
      </c>
      <c r="V555" s="11" t="s">
        <v>168</v>
      </c>
      <c r="W555" s="11" t="s">
        <v>168</v>
      </c>
      <c r="X555" s="11">
        <v>42</v>
      </c>
      <c r="Y555" s="11" t="s">
        <v>135</v>
      </c>
      <c r="Z555" s="11">
        <v>80</v>
      </c>
      <c r="AA555" s="11">
        <v>0</v>
      </c>
      <c r="AB555" s="12">
        <v>0</v>
      </c>
    </row>
    <row r="556" spans="1:28" x14ac:dyDescent="0.2">
      <c r="A556" s="7">
        <v>20715</v>
      </c>
      <c r="B556" s="8" t="s">
        <v>4196</v>
      </c>
      <c r="C556" s="8" t="s">
        <v>3817</v>
      </c>
      <c r="D556" s="8" t="s">
        <v>3539</v>
      </c>
      <c r="E556" s="8" t="s">
        <v>4197</v>
      </c>
      <c r="F556" s="8" t="s">
        <v>3819</v>
      </c>
      <c r="G556" s="8" t="s">
        <v>328</v>
      </c>
      <c r="H556" s="8" t="s">
        <v>329</v>
      </c>
      <c r="I556" s="8" t="s">
        <v>3820</v>
      </c>
      <c r="J556" s="8" t="s">
        <v>3821</v>
      </c>
      <c r="K556" s="8" t="s">
        <v>431</v>
      </c>
      <c r="L556" s="8" t="s">
        <v>333</v>
      </c>
      <c r="M556" s="8" t="s">
        <v>4198</v>
      </c>
      <c r="N556" s="8" t="s">
        <v>128</v>
      </c>
      <c r="O556" s="8" t="s">
        <v>4199</v>
      </c>
      <c r="P556" s="8" t="s">
        <v>4200</v>
      </c>
      <c r="Q556" s="8" t="s">
        <v>740</v>
      </c>
      <c r="R556" s="8"/>
      <c r="S556" s="8" t="s">
        <v>3825</v>
      </c>
      <c r="T556" s="8" t="s">
        <v>1745</v>
      </c>
      <c r="U556" s="8" t="s">
        <v>134</v>
      </c>
      <c r="V556" s="8" t="s">
        <v>740</v>
      </c>
      <c r="W556" s="8" t="s">
        <v>1745</v>
      </c>
      <c r="X556" s="8">
        <v>42</v>
      </c>
      <c r="Y556" s="8" t="s">
        <v>135</v>
      </c>
      <c r="Z556" s="8">
        <v>20</v>
      </c>
      <c r="AA556" s="8">
        <v>1</v>
      </c>
      <c r="AB556" s="9">
        <v>0</v>
      </c>
    </row>
    <row r="557" spans="1:28" x14ac:dyDescent="0.2">
      <c r="A557" s="10">
        <v>22372</v>
      </c>
      <c r="B557" s="11" t="s">
        <v>4201</v>
      </c>
      <c r="C557" s="11" t="s">
        <v>4202</v>
      </c>
      <c r="D557" s="11" t="s">
        <v>4203</v>
      </c>
      <c r="E557" s="11"/>
      <c r="F557" s="11" t="s">
        <v>4204</v>
      </c>
      <c r="G557" s="11" t="s">
        <v>1670</v>
      </c>
      <c r="H557" s="11" t="s">
        <v>142</v>
      </c>
      <c r="I557" s="11" t="s">
        <v>4205</v>
      </c>
      <c r="J557" s="11" t="s">
        <v>4206</v>
      </c>
      <c r="K557" s="11" t="s">
        <v>1673</v>
      </c>
      <c r="L557" s="11" t="s">
        <v>464</v>
      </c>
      <c r="M557" s="11" t="s">
        <v>4207</v>
      </c>
      <c r="N557" s="11" t="s">
        <v>128</v>
      </c>
      <c r="O557" s="11"/>
      <c r="P557" s="11"/>
      <c r="Q557" s="11" t="s">
        <v>740</v>
      </c>
      <c r="R557" s="11"/>
      <c r="S557" s="11" t="s">
        <v>71</v>
      </c>
      <c r="T557" s="11" t="s">
        <v>1745</v>
      </c>
      <c r="U557" s="11" t="s">
        <v>134</v>
      </c>
      <c r="V557" s="11" t="s">
        <v>740</v>
      </c>
      <c r="W557" s="11" t="s">
        <v>1745</v>
      </c>
      <c r="X557" s="11">
        <v>42</v>
      </c>
      <c r="Y557" s="11" t="s">
        <v>135</v>
      </c>
      <c r="Z557" s="11">
        <v>80</v>
      </c>
      <c r="AA557" s="11">
        <v>0</v>
      </c>
      <c r="AB557" s="12">
        <v>0</v>
      </c>
    </row>
    <row r="558" spans="1:28" x14ac:dyDescent="0.2">
      <c r="A558" s="7">
        <v>21268</v>
      </c>
      <c r="B558" s="8" t="s">
        <v>4208</v>
      </c>
      <c r="C558" s="8" t="s">
        <v>1928</v>
      </c>
      <c r="D558" s="8" t="s">
        <v>4209</v>
      </c>
      <c r="E558" s="8" t="s">
        <v>4210</v>
      </c>
      <c r="F558" s="8" t="s">
        <v>4211</v>
      </c>
      <c r="G558" s="8" t="s">
        <v>2510</v>
      </c>
      <c r="H558" s="8" t="s">
        <v>2511</v>
      </c>
      <c r="I558" s="8" t="s">
        <v>4212</v>
      </c>
      <c r="J558" s="8" t="s">
        <v>4213</v>
      </c>
      <c r="K558" s="8" t="s">
        <v>1562</v>
      </c>
      <c r="L558" s="8" t="s">
        <v>229</v>
      </c>
      <c r="M558" s="8" t="s">
        <v>4214</v>
      </c>
      <c r="N558" s="8" t="s">
        <v>128</v>
      </c>
      <c r="O558" s="8" t="s">
        <v>4215</v>
      </c>
      <c r="P558" s="8" t="s">
        <v>4216</v>
      </c>
      <c r="Q558" s="8" t="s">
        <v>150</v>
      </c>
      <c r="R558" s="8"/>
      <c r="S558" s="8" t="s">
        <v>4217</v>
      </c>
      <c r="T558" s="8" t="s">
        <v>67</v>
      </c>
      <c r="U558" s="8" t="s">
        <v>150</v>
      </c>
      <c r="V558" s="8" t="s">
        <v>152</v>
      </c>
      <c r="W558" s="8" t="s">
        <v>67</v>
      </c>
      <c r="X558" s="8">
        <v>41</v>
      </c>
      <c r="Y558" s="8" t="s">
        <v>135</v>
      </c>
      <c r="Z558" s="8">
        <v>80</v>
      </c>
      <c r="AA558" s="8">
        <v>0</v>
      </c>
      <c r="AB558" s="9">
        <v>0</v>
      </c>
    </row>
    <row r="559" spans="1:28" x14ac:dyDescent="0.2">
      <c r="A559" s="10">
        <v>21434</v>
      </c>
      <c r="B559" s="11" t="s">
        <v>4218</v>
      </c>
      <c r="C559" s="11" t="s">
        <v>842</v>
      </c>
      <c r="D559" s="11" t="s">
        <v>843</v>
      </c>
      <c r="E559" s="11" t="s">
        <v>4219</v>
      </c>
      <c r="F559" s="11" t="s">
        <v>845</v>
      </c>
      <c r="G559" s="11" t="s">
        <v>846</v>
      </c>
      <c r="H559" s="11" t="s">
        <v>847</v>
      </c>
      <c r="I559" s="11" t="s">
        <v>848</v>
      </c>
      <c r="J559" s="11" t="s">
        <v>4220</v>
      </c>
      <c r="K559" s="11" t="s">
        <v>850</v>
      </c>
      <c r="L559" s="11" t="s">
        <v>126</v>
      </c>
      <c r="M559" s="11" t="s">
        <v>4221</v>
      </c>
      <c r="N559" s="11" t="s">
        <v>128</v>
      </c>
      <c r="O559" s="11" t="s">
        <v>4222</v>
      </c>
      <c r="P559" s="11" t="s">
        <v>4223</v>
      </c>
      <c r="Q559" s="11" t="s">
        <v>150</v>
      </c>
      <c r="R559" s="11"/>
      <c r="S559" s="11" t="s">
        <v>854</v>
      </c>
      <c r="T559" s="11" t="s">
        <v>67</v>
      </c>
      <c r="U559" s="11" t="s">
        <v>150</v>
      </c>
      <c r="V559" s="11" t="s">
        <v>152</v>
      </c>
      <c r="W559" s="11" t="s">
        <v>67</v>
      </c>
      <c r="X559" s="11">
        <v>41</v>
      </c>
      <c r="Y559" s="11" t="s">
        <v>135</v>
      </c>
      <c r="Z559" s="11">
        <v>80</v>
      </c>
      <c r="AA559" s="11">
        <v>1</v>
      </c>
      <c r="AB559" s="12">
        <v>1</v>
      </c>
    </row>
    <row r="560" spans="1:28" x14ac:dyDescent="0.2">
      <c r="A560" s="7">
        <v>125665</v>
      </c>
      <c r="B560" s="8" t="s">
        <v>4224</v>
      </c>
      <c r="C560" s="8" t="s">
        <v>2172</v>
      </c>
      <c r="D560" s="8" t="s">
        <v>351</v>
      </c>
      <c r="E560" s="8"/>
      <c r="F560" s="8" t="s">
        <v>4225</v>
      </c>
      <c r="G560" s="8" t="s">
        <v>4226</v>
      </c>
      <c r="H560" s="8" t="s">
        <v>329</v>
      </c>
      <c r="I560" s="8" t="s">
        <v>4227</v>
      </c>
      <c r="J560" s="8" t="s">
        <v>4228</v>
      </c>
      <c r="K560" s="8" t="s">
        <v>415</v>
      </c>
      <c r="L560" s="8" t="s">
        <v>333</v>
      </c>
      <c r="M560" s="8" t="s">
        <v>4229</v>
      </c>
      <c r="N560" s="8" t="s">
        <v>128</v>
      </c>
      <c r="O560" s="8" t="s">
        <v>4230</v>
      </c>
      <c r="P560" s="8" t="s">
        <v>4231</v>
      </c>
      <c r="Q560" s="8" t="s">
        <v>150</v>
      </c>
      <c r="R560" s="8"/>
      <c r="S560" s="8" t="s">
        <v>71</v>
      </c>
      <c r="T560" s="8" t="s">
        <v>67</v>
      </c>
      <c r="U560" s="8" t="s">
        <v>150</v>
      </c>
      <c r="V560" s="8" t="s">
        <v>152</v>
      </c>
      <c r="W560" s="8" t="s">
        <v>67</v>
      </c>
      <c r="X560" s="8">
        <v>41</v>
      </c>
      <c r="Y560" s="8" t="s">
        <v>135</v>
      </c>
      <c r="Z560" s="8">
        <v>80</v>
      </c>
      <c r="AA560" s="8">
        <v>0</v>
      </c>
      <c r="AB560" s="9">
        <v>0</v>
      </c>
    </row>
    <row r="561" spans="1:28" x14ac:dyDescent="0.2">
      <c r="A561" s="10">
        <v>26824</v>
      </c>
      <c r="B561" s="11" t="s">
        <v>4232</v>
      </c>
      <c r="C561" s="11" t="s">
        <v>2228</v>
      </c>
      <c r="D561" s="11" t="s">
        <v>2229</v>
      </c>
      <c r="E561" s="11"/>
      <c r="F561" s="11" t="s">
        <v>2231</v>
      </c>
      <c r="G561" s="11" t="s">
        <v>1419</v>
      </c>
      <c r="H561" s="11" t="s">
        <v>704</v>
      </c>
      <c r="I561" s="11" t="s">
        <v>2232</v>
      </c>
      <c r="J561" s="11" t="s">
        <v>4233</v>
      </c>
      <c r="K561" s="11" t="s">
        <v>707</v>
      </c>
      <c r="L561" s="11" t="s">
        <v>126</v>
      </c>
      <c r="M561" s="11" t="s">
        <v>4234</v>
      </c>
      <c r="N561" s="11" t="s">
        <v>128</v>
      </c>
      <c r="O561" s="11" t="s">
        <v>4235</v>
      </c>
      <c r="P561" s="11"/>
      <c r="Q561" s="11" t="s">
        <v>131</v>
      </c>
      <c r="R561" s="11"/>
      <c r="S561" s="11" t="s">
        <v>2237</v>
      </c>
      <c r="T561" s="11" t="s">
        <v>983</v>
      </c>
      <c r="U561" s="11" t="s">
        <v>134</v>
      </c>
      <c r="V561" s="11" t="s">
        <v>131</v>
      </c>
      <c r="W561" s="11" t="s">
        <v>983</v>
      </c>
      <c r="X561" s="11">
        <v>41</v>
      </c>
      <c r="Y561" s="11" t="s">
        <v>135</v>
      </c>
      <c r="Z561" s="11">
        <v>80</v>
      </c>
      <c r="AA561" s="11">
        <v>1</v>
      </c>
      <c r="AB561" s="12">
        <v>1</v>
      </c>
    </row>
    <row r="562" spans="1:28" x14ac:dyDescent="0.2">
      <c r="A562" s="7">
        <v>23165</v>
      </c>
      <c r="B562" s="8" t="s">
        <v>4236</v>
      </c>
      <c r="C562" s="8" t="s">
        <v>4237</v>
      </c>
      <c r="D562" s="8" t="s">
        <v>138</v>
      </c>
      <c r="E562" s="8" t="s">
        <v>4238</v>
      </c>
      <c r="F562" s="8" t="s">
        <v>4239</v>
      </c>
      <c r="G562" s="8" t="s">
        <v>224</v>
      </c>
      <c r="H562" s="8" t="s">
        <v>225</v>
      </c>
      <c r="I562" s="8" t="s">
        <v>4240</v>
      </c>
      <c r="J562" s="8" t="s">
        <v>4241</v>
      </c>
      <c r="K562" s="8" t="s">
        <v>228</v>
      </c>
      <c r="L562" s="8" t="s">
        <v>229</v>
      </c>
      <c r="M562" s="8" t="s">
        <v>4242</v>
      </c>
      <c r="N562" s="8" t="s">
        <v>128</v>
      </c>
      <c r="O562" s="8" t="s">
        <v>4243</v>
      </c>
      <c r="P562" s="8" t="s">
        <v>1818</v>
      </c>
      <c r="Q562" s="8" t="s">
        <v>150</v>
      </c>
      <c r="R562" s="8"/>
      <c r="S562" s="8" t="s">
        <v>4244</v>
      </c>
      <c r="T562" s="8" t="s">
        <v>70</v>
      </c>
      <c r="U562" s="8" t="s">
        <v>150</v>
      </c>
      <c r="V562" s="8" t="s">
        <v>70</v>
      </c>
      <c r="W562" s="8" t="s">
        <v>70</v>
      </c>
      <c r="X562" s="8">
        <v>41</v>
      </c>
      <c r="Y562" s="8" t="s">
        <v>135</v>
      </c>
      <c r="Z562" s="8">
        <v>80</v>
      </c>
      <c r="AA562" s="8">
        <v>0</v>
      </c>
      <c r="AB562" s="9">
        <v>0</v>
      </c>
    </row>
    <row r="563" spans="1:28" x14ac:dyDescent="0.2">
      <c r="A563" s="10">
        <v>23464</v>
      </c>
      <c r="B563" s="11" t="s">
        <v>4245</v>
      </c>
      <c r="C563" s="11" t="s">
        <v>4246</v>
      </c>
      <c r="D563" s="11" t="s">
        <v>3784</v>
      </c>
      <c r="E563" s="11"/>
      <c r="F563" s="11" t="s">
        <v>353</v>
      </c>
      <c r="G563" s="11" t="s">
        <v>1325</v>
      </c>
      <c r="H563" s="11" t="s">
        <v>142</v>
      </c>
      <c r="I563" s="11" t="s">
        <v>4247</v>
      </c>
      <c r="J563" s="11" t="s">
        <v>4248</v>
      </c>
      <c r="K563" s="11" t="s">
        <v>974</v>
      </c>
      <c r="L563" s="11" t="s">
        <v>146</v>
      </c>
      <c r="M563" s="11" t="s">
        <v>4249</v>
      </c>
      <c r="N563" s="11" t="s">
        <v>128</v>
      </c>
      <c r="O563" s="11" t="s">
        <v>4250</v>
      </c>
      <c r="P563" s="11" t="s">
        <v>4251</v>
      </c>
      <c r="Q563" s="11" t="s">
        <v>150</v>
      </c>
      <c r="R563" s="11"/>
      <c r="S563" s="11" t="s">
        <v>71</v>
      </c>
      <c r="T563" s="11" t="s">
        <v>1415</v>
      </c>
      <c r="U563" s="11" t="s">
        <v>150</v>
      </c>
      <c r="V563" s="11" t="s">
        <v>1415</v>
      </c>
      <c r="W563" s="11" t="s">
        <v>1415</v>
      </c>
      <c r="X563" s="11">
        <v>41</v>
      </c>
      <c r="Y563" s="11" t="s">
        <v>135</v>
      </c>
      <c r="Z563" s="11">
        <v>80</v>
      </c>
      <c r="AA563" s="11">
        <v>0</v>
      </c>
      <c r="AB563" s="12">
        <v>0</v>
      </c>
    </row>
    <row r="564" spans="1:28" x14ac:dyDescent="0.2">
      <c r="A564" s="7">
        <v>23654</v>
      </c>
      <c r="B564" s="8" t="s">
        <v>4252</v>
      </c>
      <c r="C564" s="8" t="s">
        <v>4253</v>
      </c>
      <c r="D564" s="8" t="s">
        <v>4254</v>
      </c>
      <c r="E564" s="8" t="s">
        <v>4255</v>
      </c>
      <c r="F564" s="8" t="s">
        <v>4256</v>
      </c>
      <c r="G564" s="8" t="s">
        <v>4257</v>
      </c>
      <c r="H564" s="8" t="s">
        <v>301</v>
      </c>
      <c r="I564" s="8" t="s">
        <v>4258</v>
      </c>
      <c r="J564" s="8" t="s">
        <v>4259</v>
      </c>
      <c r="K564" s="8" t="s">
        <v>228</v>
      </c>
      <c r="L564" s="8" t="s">
        <v>229</v>
      </c>
      <c r="M564" s="8" t="s">
        <v>4260</v>
      </c>
      <c r="N564" s="8" t="s">
        <v>128</v>
      </c>
      <c r="O564" s="8" t="s">
        <v>4261</v>
      </c>
      <c r="P564" s="8" t="s">
        <v>3217</v>
      </c>
      <c r="Q564" s="8" t="s">
        <v>150</v>
      </c>
      <c r="R564" s="8"/>
      <c r="S564" s="8" t="s">
        <v>71</v>
      </c>
      <c r="T564" s="8" t="s">
        <v>168</v>
      </c>
      <c r="U564" s="8" t="s">
        <v>150</v>
      </c>
      <c r="V564" s="8" t="s">
        <v>168</v>
      </c>
      <c r="W564" s="8" t="s">
        <v>168</v>
      </c>
      <c r="X564" s="8">
        <v>41</v>
      </c>
      <c r="Y564" s="8" t="s">
        <v>135</v>
      </c>
      <c r="Z564" s="8">
        <v>80</v>
      </c>
      <c r="AA564" s="8">
        <v>0</v>
      </c>
      <c r="AB564" s="9">
        <v>0</v>
      </c>
    </row>
    <row r="565" spans="1:28" x14ac:dyDescent="0.2">
      <c r="A565" s="10">
        <v>23645</v>
      </c>
      <c r="B565" s="11" t="s">
        <v>4262</v>
      </c>
      <c r="C565" s="11" t="s">
        <v>2649</v>
      </c>
      <c r="D565" s="11" t="s">
        <v>861</v>
      </c>
      <c r="E565" s="11" t="s">
        <v>4263</v>
      </c>
      <c r="F565" s="11" t="s">
        <v>2651</v>
      </c>
      <c r="G565" s="11" t="s">
        <v>2652</v>
      </c>
      <c r="H565" s="11" t="s">
        <v>1843</v>
      </c>
      <c r="I565" s="11" t="s">
        <v>2653</v>
      </c>
      <c r="J565" s="11" t="s">
        <v>4264</v>
      </c>
      <c r="K565" s="11" t="s">
        <v>1562</v>
      </c>
      <c r="L565" s="11" t="s">
        <v>229</v>
      </c>
      <c r="M565" s="11" t="s">
        <v>4265</v>
      </c>
      <c r="N565" s="11" t="s">
        <v>128</v>
      </c>
      <c r="O565" s="11" t="s">
        <v>4266</v>
      </c>
      <c r="P565" s="11" t="s">
        <v>4267</v>
      </c>
      <c r="Q565" s="11" t="s">
        <v>150</v>
      </c>
      <c r="R565" s="11"/>
      <c r="S565" s="11" t="s">
        <v>2657</v>
      </c>
      <c r="T565" s="11" t="s">
        <v>168</v>
      </c>
      <c r="U565" s="11" t="s">
        <v>150</v>
      </c>
      <c r="V565" s="11" t="s">
        <v>168</v>
      </c>
      <c r="W565" s="11" t="s">
        <v>168</v>
      </c>
      <c r="X565" s="11">
        <v>41</v>
      </c>
      <c r="Y565" s="11" t="s">
        <v>135</v>
      </c>
      <c r="Z565" s="11">
        <v>80</v>
      </c>
      <c r="AA565" s="11">
        <v>0</v>
      </c>
      <c r="AB565" s="12">
        <v>0</v>
      </c>
    </row>
    <row r="566" spans="1:28" x14ac:dyDescent="0.2">
      <c r="A566" s="7">
        <v>23846</v>
      </c>
      <c r="B566" s="8" t="s">
        <v>4268</v>
      </c>
      <c r="C566" s="8" t="s">
        <v>4269</v>
      </c>
      <c r="D566" s="8" t="s">
        <v>3940</v>
      </c>
      <c r="E566" s="8"/>
      <c r="F566" s="8" t="s">
        <v>353</v>
      </c>
      <c r="G566" s="8" t="s">
        <v>4270</v>
      </c>
      <c r="H566" s="8" t="s">
        <v>4271</v>
      </c>
      <c r="I566" s="8" t="s">
        <v>4272</v>
      </c>
      <c r="J566" s="8" t="s">
        <v>4273</v>
      </c>
      <c r="K566" s="8" t="s">
        <v>619</v>
      </c>
      <c r="L566" s="8" t="s">
        <v>163</v>
      </c>
      <c r="M566" s="8" t="s">
        <v>4274</v>
      </c>
      <c r="N566" s="8" t="s">
        <v>128</v>
      </c>
      <c r="O566" s="8" t="s">
        <v>4275</v>
      </c>
      <c r="P566" s="8" t="s">
        <v>4276</v>
      </c>
      <c r="Q566" s="8" t="s">
        <v>150</v>
      </c>
      <c r="R566" s="8"/>
      <c r="S566" s="8" t="s">
        <v>71</v>
      </c>
      <c r="T566" s="8" t="s">
        <v>168</v>
      </c>
      <c r="U566" s="8" t="s">
        <v>150</v>
      </c>
      <c r="V566" s="8" t="s">
        <v>168</v>
      </c>
      <c r="W566" s="8" t="s">
        <v>168</v>
      </c>
      <c r="X566" s="8">
        <v>41</v>
      </c>
      <c r="Y566" s="8" t="s">
        <v>135</v>
      </c>
      <c r="Z566" s="8">
        <v>80</v>
      </c>
      <c r="AA566" s="8">
        <v>0</v>
      </c>
      <c r="AB566" s="9">
        <v>0</v>
      </c>
    </row>
    <row r="567" spans="1:28" x14ac:dyDescent="0.2">
      <c r="A567" s="10">
        <v>24641</v>
      </c>
      <c r="B567" s="11" t="s">
        <v>4277</v>
      </c>
      <c r="C567" s="11" t="s">
        <v>3817</v>
      </c>
      <c r="D567" s="11" t="s">
        <v>3539</v>
      </c>
      <c r="E567" s="11" t="s">
        <v>4278</v>
      </c>
      <c r="F567" s="11" t="s">
        <v>3819</v>
      </c>
      <c r="G567" s="11" t="s">
        <v>328</v>
      </c>
      <c r="H567" s="11" t="s">
        <v>329</v>
      </c>
      <c r="I567" s="11" t="s">
        <v>3820</v>
      </c>
      <c r="J567" s="11" t="s">
        <v>3821</v>
      </c>
      <c r="K567" s="11" t="s">
        <v>431</v>
      </c>
      <c r="L567" s="11" t="s">
        <v>333</v>
      </c>
      <c r="M567" s="11" t="s">
        <v>4279</v>
      </c>
      <c r="N567" s="11" t="s">
        <v>128</v>
      </c>
      <c r="O567" s="11" t="s">
        <v>4280</v>
      </c>
      <c r="P567" s="11" t="s">
        <v>4281</v>
      </c>
      <c r="Q567" s="11" t="s">
        <v>150</v>
      </c>
      <c r="R567" s="11"/>
      <c r="S567" s="11" t="s">
        <v>3825</v>
      </c>
      <c r="T567" s="11" t="s">
        <v>69</v>
      </c>
      <c r="U567" s="11" t="s">
        <v>150</v>
      </c>
      <c r="V567" s="11" t="s">
        <v>152</v>
      </c>
      <c r="W567" s="11" t="s">
        <v>69</v>
      </c>
      <c r="X567" s="11">
        <v>41</v>
      </c>
      <c r="Y567" s="11" t="s">
        <v>135</v>
      </c>
      <c r="Z567" s="11">
        <v>80</v>
      </c>
      <c r="AA567" s="11">
        <v>1</v>
      </c>
      <c r="AB567" s="12">
        <v>1</v>
      </c>
    </row>
    <row r="568" spans="1:28" x14ac:dyDescent="0.2">
      <c r="A568" s="7">
        <v>24899</v>
      </c>
      <c r="B568" s="8" t="s">
        <v>4282</v>
      </c>
      <c r="C568" s="8" t="s">
        <v>1045</v>
      </c>
      <c r="D568" s="8" t="s">
        <v>1046</v>
      </c>
      <c r="E568" s="8" t="s">
        <v>4283</v>
      </c>
      <c r="F568" s="8" t="s">
        <v>1048</v>
      </c>
      <c r="G568" s="8" t="s">
        <v>121</v>
      </c>
      <c r="H568" s="8" t="s">
        <v>122</v>
      </c>
      <c r="I568" s="8" t="s">
        <v>1049</v>
      </c>
      <c r="J568" s="8" t="s">
        <v>1050</v>
      </c>
      <c r="K568" s="8" t="s">
        <v>1051</v>
      </c>
      <c r="L568" s="8" t="s">
        <v>126</v>
      </c>
      <c r="M568" s="8" t="s">
        <v>4284</v>
      </c>
      <c r="N568" s="8" t="s">
        <v>128</v>
      </c>
      <c r="O568" s="8" t="s">
        <v>4285</v>
      </c>
      <c r="P568" s="8" t="s">
        <v>4286</v>
      </c>
      <c r="Q568" s="8" t="s">
        <v>150</v>
      </c>
      <c r="R568" s="8"/>
      <c r="S568" s="8" t="s">
        <v>1055</v>
      </c>
      <c r="T568" s="8" t="s">
        <v>1738</v>
      </c>
      <c r="U568" s="8" t="s">
        <v>150</v>
      </c>
      <c r="V568" s="8" t="s">
        <v>1738</v>
      </c>
      <c r="W568" s="8" t="s">
        <v>1738</v>
      </c>
      <c r="X568" s="8">
        <v>41</v>
      </c>
      <c r="Y568" s="8" t="s">
        <v>135</v>
      </c>
      <c r="Z568" s="8">
        <v>80</v>
      </c>
      <c r="AA568" s="8">
        <v>1</v>
      </c>
      <c r="AB568" s="9">
        <v>1</v>
      </c>
    </row>
    <row r="569" spans="1:28" x14ac:dyDescent="0.2">
      <c r="A569" s="10">
        <v>24929</v>
      </c>
      <c r="B569" s="11" t="s">
        <v>4287</v>
      </c>
      <c r="C569" s="11" t="s">
        <v>611</v>
      </c>
      <c r="D569" s="11" t="s">
        <v>612</v>
      </c>
      <c r="E569" s="11" t="s">
        <v>4288</v>
      </c>
      <c r="F569" s="11" t="s">
        <v>614</v>
      </c>
      <c r="G569" s="11" t="s">
        <v>615</v>
      </c>
      <c r="H569" s="11" t="s">
        <v>616</v>
      </c>
      <c r="I569" s="11" t="s">
        <v>617</v>
      </c>
      <c r="J569" s="11" t="s">
        <v>618</v>
      </c>
      <c r="K569" s="11" t="s">
        <v>619</v>
      </c>
      <c r="L569" s="11" t="s">
        <v>163</v>
      </c>
      <c r="M569" s="11" t="s">
        <v>4289</v>
      </c>
      <c r="N569" s="11" t="s">
        <v>128</v>
      </c>
      <c r="O569" s="11" t="s">
        <v>4290</v>
      </c>
      <c r="P569" s="11" t="s">
        <v>4291</v>
      </c>
      <c r="Q569" s="11" t="s">
        <v>150</v>
      </c>
      <c r="R569" s="11"/>
      <c r="S569" s="11" t="s">
        <v>623</v>
      </c>
      <c r="T569" s="11" t="s">
        <v>1738</v>
      </c>
      <c r="U569" s="11" t="s">
        <v>150</v>
      </c>
      <c r="V569" s="11" t="s">
        <v>1738</v>
      </c>
      <c r="W569" s="11" t="s">
        <v>1738</v>
      </c>
      <c r="X569" s="11">
        <v>41</v>
      </c>
      <c r="Y569" s="11" t="s">
        <v>135</v>
      </c>
      <c r="Z569" s="11">
        <v>80</v>
      </c>
      <c r="AA569" s="11">
        <v>1</v>
      </c>
      <c r="AB569" s="12">
        <v>1</v>
      </c>
    </row>
    <row r="570" spans="1:28" x14ac:dyDescent="0.2">
      <c r="A570" s="7">
        <v>22674</v>
      </c>
      <c r="B570" s="8" t="s">
        <v>4292</v>
      </c>
      <c r="C570" s="8" t="s">
        <v>2804</v>
      </c>
      <c r="D570" s="8" t="s">
        <v>2805</v>
      </c>
      <c r="E570" s="8"/>
      <c r="F570" s="8" t="s">
        <v>2025</v>
      </c>
      <c r="G570" s="8" t="s">
        <v>703</v>
      </c>
      <c r="H570" s="8" t="s">
        <v>704</v>
      </c>
      <c r="I570" s="8" t="s">
        <v>2807</v>
      </c>
      <c r="J570" s="8" t="s">
        <v>2808</v>
      </c>
      <c r="K570" s="8" t="s">
        <v>707</v>
      </c>
      <c r="L570" s="8" t="s">
        <v>126</v>
      </c>
      <c r="M570" s="8" t="s">
        <v>4293</v>
      </c>
      <c r="N570" s="8" t="s">
        <v>128</v>
      </c>
      <c r="O570" s="8" t="s">
        <v>4294</v>
      </c>
      <c r="P570" s="8"/>
      <c r="Q570" s="8" t="s">
        <v>740</v>
      </c>
      <c r="R570" s="8"/>
      <c r="S570" s="8" t="s">
        <v>2812</v>
      </c>
      <c r="T570" s="8" t="s">
        <v>1745</v>
      </c>
      <c r="U570" s="8" t="s">
        <v>134</v>
      </c>
      <c r="V570" s="8" t="s">
        <v>740</v>
      </c>
      <c r="W570" s="8" t="s">
        <v>1745</v>
      </c>
      <c r="X570" s="8">
        <v>41</v>
      </c>
      <c r="Y570" s="8" t="s">
        <v>135</v>
      </c>
      <c r="Z570" s="8">
        <v>20</v>
      </c>
      <c r="AA570" s="8">
        <v>1</v>
      </c>
      <c r="AB570" s="9">
        <v>0</v>
      </c>
    </row>
    <row r="571" spans="1:28" x14ac:dyDescent="0.2">
      <c r="A571" s="10">
        <v>25296</v>
      </c>
      <c r="B571" s="11" t="s">
        <v>4295</v>
      </c>
      <c r="C571" s="11" t="s">
        <v>2101</v>
      </c>
      <c r="D571" s="11" t="s">
        <v>2102</v>
      </c>
      <c r="E571" s="11" t="s">
        <v>4296</v>
      </c>
      <c r="F571" s="11" t="s">
        <v>353</v>
      </c>
      <c r="G571" s="11" t="s">
        <v>1626</v>
      </c>
      <c r="H571" s="11" t="s">
        <v>142</v>
      </c>
      <c r="I571" s="11" t="s">
        <v>2103</v>
      </c>
      <c r="J571" s="11" t="s">
        <v>2104</v>
      </c>
      <c r="K571" s="11" t="s">
        <v>472</v>
      </c>
      <c r="L571" s="11" t="s">
        <v>146</v>
      </c>
      <c r="M571" s="11" t="s">
        <v>4297</v>
      </c>
      <c r="N571" s="11" t="s">
        <v>128</v>
      </c>
      <c r="O571" s="11" t="s">
        <v>4298</v>
      </c>
      <c r="P571" s="11" t="s">
        <v>4299</v>
      </c>
      <c r="Q571" s="11" t="s">
        <v>740</v>
      </c>
      <c r="R571" s="11"/>
      <c r="S571" s="11" t="s">
        <v>2108</v>
      </c>
      <c r="T571" s="11" t="s">
        <v>741</v>
      </c>
      <c r="U571" s="11" t="s">
        <v>134</v>
      </c>
      <c r="V571" s="11" t="s">
        <v>740</v>
      </c>
      <c r="W571" s="11" t="s">
        <v>741</v>
      </c>
      <c r="X571" s="11">
        <v>41</v>
      </c>
      <c r="Y571" s="11" t="s">
        <v>135</v>
      </c>
      <c r="Z571" s="11">
        <v>80</v>
      </c>
      <c r="AA571" s="11">
        <v>0</v>
      </c>
      <c r="AB571" s="12">
        <v>0</v>
      </c>
    </row>
    <row r="572" spans="1:28" x14ac:dyDescent="0.2">
      <c r="A572" s="7">
        <v>25465</v>
      </c>
      <c r="B572" s="8" t="s">
        <v>4300</v>
      </c>
      <c r="C572" s="8" t="s">
        <v>842</v>
      </c>
      <c r="D572" s="8" t="s">
        <v>826</v>
      </c>
      <c r="E572" s="8" t="s">
        <v>4301</v>
      </c>
      <c r="F572" s="8" t="s">
        <v>2953</v>
      </c>
      <c r="G572" s="8" t="s">
        <v>1026</v>
      </c>
      <c r="H572" s="8" t="s">
        <v>142</v>
      </c>
      <c r="I572" s="8" t="s">
        <v>4302</v>
      </c>
      <c r="J572" s="8" t="s">
        <v>2954</v>
      </c>
      <c r="K572" s="8" t="s">
        <v>1029</v>
      </c>
      <c r="L572" s="8" t="s">
        <v>464</v>
      </c>
      <c r="M572" s="8" t="s">
        <v>4303</v>
      </c>
      <c r="N572" s="8" t="s">
        <v>128</v>
      </c>
      <c r="O572" s="8" t="s">
        <v>4304</v>
      </c>
      <c r="P572" s="8" t="s">
        <v>4305</v>
      </c>
      <c r="Q572" s="8" t="s">
        <v>249</v>
      </c>
      <c r="R572" s="8"/>
      <c r="S572" s="8" t="s">
        <v>2950</v>
      </c>
      <c r="T572" s="8" t="s">
        <v>250</v>
      </c>
      <c r="U572" s="8" t="s">
        <v>134</v>
      </c>
      <c r="V572" s="8" t="s">
        <v>249</v>
      </c>
      <c r="W572" s="8" t="s">
        <v>250</v>
      </c>
      <c r="X572" s="8">
        <v>41</v>
      </c>
      <c r="Y572" s="8" t="s">
        <v>135</v>
      </c>
      <c r="Z572" s="8">
        <v>80</v>
      </c>
      <c r="AA572" s="8">
        <v>0</v>
      </c>
      <c r="AB572" s="9">
        <v>0</v>
      </c>
    </row>
    <row r="573" spans="1:28" x14ac:dyDescent="0.2">
      <c r="A573" s="10">
        <v>21437</v>
      </c>
      <c r="B573" s="11" t="s">
        <v>4306</v>
      </c>
      <c r="C573" s="11" t="s">
        <v>842</v>
      </c>
      <c r="D573" s="11" t="s">
        <v>4307</v>
      </c>
      <c r="E573" s="11" t="s">
        <v>4308</v>
      </c>
      <c r="F573" s="11" t="s">
        <v>4309</v>
      </c>
      <c r="G573" s="11" t="s">
        <v>1614</v>
      </c>
      <c r="H573" s="11" t="s">
        <v>142</v>
      </c>
      <c r="I573" s="11" t="s">
        <v>4310</v>
      </c>
      <c r="J573" s="11" t="s">
        <v>4311</v>
      </c>
      <c r="K573" s="11" t="s">
        <v>717</v>
      </c>
      <c r="L573" s="11" t="s">
        <v>464</v>
      </c>
      <c r="M573" s="11" t="s">
        <v>4312</v>
      </c>
      <c r="N573" s="11" t="s">
        <v>128</v>
      </c>
      <c r="O573" s="11" t="s">
        <v>4313</v>
      </c>
      <c r="P573" s="11" t="s">
        <v>4314</v>
      </c>
      <c r="Q573" s="11" t="s">
        <v>150</v>
      </c>
      <c r="R573" s="11"/>
      <c r="S573" s="11" t="s">
        <v>71</v>
      </c>
      <c r="T573" s="11" t="s">
        <v>67</v>
      </c>
      <c r="U573" s="11" t="s">
        <v>150</v>
      </c>
      <c r="V573" s="11" t="s">
        <v>152</v>
      </c>
      <c r="W573" s="11" t="s">
        <v>67</v>
      </c>
      <c r="X573" s="11">
        <v>40</v>
      </c>
      <c r="Y573" s="11" t="s">
        <v>135</v>
      </c>
      <c r="Z573" s="11">
        <v>80</v>
      </c>
      <c r="AA573" s="11">
        <v>0</v>
      </c>
      <c r="AB573" s="12">
        <v>0</v>
      </c>
    </row>
    <row r="574" spans="1:28" x14ac:dyDescent="0.2">
      <c r="A574" s="7">
        <v>21543</v>
      </c>
      <c r="B574" s="8" t="s">
        <v>4315</v>
      </c>
      <c r="C574" s="8" t="s">
        <v>4316</v>
      </c>
      <c r="D574" s="8" t="s">
        <v>138</v>
      </c>
      <c r="E574" s="8" t="s">
        <v>4317</v>
      </c>
      <c r="F574" s="8" t="s">
        <v>4318</v>
      </c>
      <c r="G574" s="8" t="s">
        <v>4063</v>
      </c>
      <c r="H574" s="8" t="s">
        <v>301</v>
      </c>
      <c r="I574" s="8" t="s">
        <v>3964</v>
      </c>
      <c r="J574" s="8" t="s">
        <v>4319</v>
      </c>
      <c r="K574" s="8" t="s">
        <v>228</v>
      </c>
      <c r="L574" s="8" t="s">
        <v>229</v>
      </c>
      <c r="M574" s="8" t="s">
        <v>4320</v>
      </c>
      <c r="N574" s="8" t="s">
        <v>128</v>
      </c>
      <c r="O574" s="8" t="s">
        <v>4321</v>
      </c>
      <c r="P574" s="8" t="s">
        <v>4322</v>
      </c>
      <c r="Q574" s="8" t="s">
        <v>150</v>
      </c>
      <c r="R574" s="8"/>
      <c r="S574" s="8" t="s">
        <v>3968</v>
      </c>
      <c r="T574" s="8" t="s">
        <v>67</v>
      </c>
      <c r="U574" s="8" t="s">
        <v>150</v>
      </c>
      <c r="V574" s="8" t="s">
        <v>152</v>
      </c>
      <c r="W574" s="8" t="s">
        <v>67</v>
      </c>
      <c r="X574" s="8">
        <v>40</v>
      </c>
      <c r="Y574" s="8" t="s">
        <v>135</v>
      </c>
      <c r="Z574" s="8">
        <v>80</v>
      </c>
      <c r="AA574" s="8">
        <v>0</v>
      </c>
      <c r="AB574" s="9">
        <v>0</v>
      </c>
    </row>
    <row r="575" spans="1:28" x14ac:dyDescent="0.2">
      <c r="A575" s="10">
        <v>21609</v>
      </c>
      <c r="B575" s="11" t="s">
        <v>4323</v>
      </c>
      <c r="C575" s="11" t="s">
        <v>4324</v>
      </c>
      <c r="D575" s="11" t="s">
        <v>410</v>
      </c>
      <c r="E575" s="11" t="s">
        <v>4325</v>
      </c>
      <c r="F575" s="11" t="s">
        <v>4326</v>
      </c>
      <c r="G575" s="11" t="s">
        <v>190</v>
      </c>
      <c r="H575" s="11" t="s">
        <v>191</v>
      </c>
      <c r="I575" s="11" t="s">
        <v>4327</v>
      </c>
      <c r="J575" s="11" t="s">
        <v>4328</v>
      </c>
      <c r="K575" s="11" t="s">
        <v>194</v>
      </c>
      <c r="L575" s="11" t="s">
        <v>163</v>
      </c>
      <c r="M575" s="11" t="s">
        <v>4329</v>
      </c>
      <c r="N575" s="11" t="s">
        <v>128</v>
      </c>
      <c r="O575" s="11" t="s">
        <v>4330</v>
      </c>
      <c r="P575" s="11" t="s">
        <v>4331</v>
      </c>
      <c r="Q575" s="11" t="s">
        <v>150</v>
      </c>
      <c r="R575" s="11"/>
      <c r="S575" s="11" t="s">
        <v>4332</v>
      </c>
      <c r="T575" s="11" t="s">
        <v>67</v>
      </c>
      <c r="U575" s="11" t="s">
        <v>150</v>
      </c>
      <c r="V575" s="11" t="s">
        <v>152</v>
      </c>
      <c r="W575" s="11" t="s">
        <v>67</v>
      </c>
      <c r="X575" s="11">
        <v>40</v>
      </c>
      <c r="Y575" s="11" t="s">
        <v>135</v>
      </c>
      <c r="Z575" s="11">
        <v>80</v>
      </c>
      <c r="AA575" s="11">
        <v>0</v>
      </c>
      <c r="AB575" s="12">
        <v>0</v>
      </c>
    </row>
    <row r="576" spans="1:28" x14ac:dyDescent="0.2">
      <c r="A576" s="7">
        <v>22649</v>
      </c>
      <c r="B576" s="8" t="s">
        <v>4333</v>
      </c>
      <c r="C576" s="8" t="s">
        <v>2276</v>
      </c>
      <c r="D576" s="8" t="s">
        <v>2277</v>
      </c>
      <c r="E576" s="8"/>
      <c r="F576" s="8" t="s">
        <v>353</v>
      </c>
      <c r="G576" s="8" t="s">
        <v>1026</v>
      </c>
      <c r="H576" s="8" t="s">
        <v>142</v>
      </c>
      <c r="I576" s="8" t="s">
        <v>2045</v>
      </c>
      <c r="J576" s="8" t="s">
        <v>4334</v>
      </c>
      <c r="K576" s="8" t="s">
        <v>1029</v>
      </c>
      <c r="L576" s="8" t="s">
        <v>464</v>
      </c>
      <c r="M576" s="8" t="s">
        <v>4335</v>
      </c>
      <c r="N576" s="8" t="s">
        <v>128</v>
      </c>
      <c r="O576" s="8"/>
      <c r="P576" s="8"/>
      <c r="Q576" s="8" t="s">
        <v>131</v>
      </c>
      <c r="R576" s="8"/>
      <c r="S576" s="8" t="s">
        <v>2284</v>
      </c>
      <c r="T576" s="8" t="s">
        <v>983</v>
      </c>
      <c r="U576" s="8" t="s">
        <v>134</v>
      </c>
      <c r="V576" s="8" t="s">
        <v>131</v>
      </c>
      <c r="W576" s="8" t="s">
        <v>983</v>
      </c>
      <c r="X576" s="8">
        <v>40</v>
      </c>
      <c r="Y576" s="8" t="s">
        <v>135</v>
      </c>
      <c r="Z576" s="8">
        <v>80</v>
      </c>
      <c r="AA576" s="8">
        <v>1</v>
      </c>
      <c r="AB576" s="9">
        <v>1</v>
      </c>
    </row>
    <row r="577" spans="1:28" x14ac:dyDescent="0.2">
      <c r="A577" s="10">
        <v>22522</v>
      </c>
      <c r="B577" s="11" t="s">
        <v>4336</v>
      </c>
      <c r="C577" s="11" t="s">
        <v>3569</v>
      </c>
      <c r="D577" s="11" t="s">
        <v>518</v>
      </c>
      <c r="E577" s="11" t="s">
        <v>4337</v>
      </c>
      <c r="F577" s="11" t="s">
        <v>3571</v>
      </c>
      <c r="G577" s="11" t="s">
        <v>450</v>
      </c>
      <c r="H577" s="11" t="s">
        <v>301</v>
      </c>
      <c r="I577" s="11" t="s">
        <v>3572</v>
      </c>
      <c r="J577" s="11" t="s">
        <v>3573</v>
      </c>
      <c r="K577" s="11" t="s">
        <v>304</v>
      </c>
      <c r="L577" s="11" t="s">
        <v>229</v>
      </c>
      <c r="M577" s="11" t="s">
        <v>4338</v>
      </c>
      <c r="N577" s="11" t="s">
        <v>128</v>
      </c>
      <c r="O577" s="11" t="s">
        <v>4339</v>
      </c>
      <c r="P577" s="11" t="s">
        <v>4340</v>
      </c>
      <c r="Q577" s="11" t="s">
        <v>150</v>
      </c>
      <c r="R577" s="11"/>
      <c r="S577" s="11" t="s">
        <v>3577</v>
      </c>
      <c r="T577" s="11" t="s">
        <v>869</v>
      </c>
      <c r="U577" s="11" t="s">
        <v>150</v>
      </c>
      <c r="V577" s="11" t="s">
        <v>869</v>
      </c>
      <c r="W577" s="11" t="s">
        <v>869</v>
      </c>
      <c r="X577" s="11">
        <v>40</v>
      </c>
      <c r="Y577" s="11" t="s">
        <v>135</v>
      </c>
      <c r="Z577" s="11">
        <v>80</v>
      </c>
      <c r="AA577" s="11">
        <v>1</v>
      </c>
      <c r="AB577" s="12">
        <v>1</v>
      </c>
    </row>
    <row r="578" spans="1:28" x14ac:dyDescent="0.2">
      <c r="A578" s="7">
        <v>23714</v>
      </c>
      <c r="B578" s="8" t="s">
        <v>4341</v>
      </c>
      <c r="C578" s="8" t="s">
        <v>4342</v>
      </c>
      <c r="D578" s="8" t="s">
        <v>138</v>
      </c>
      <c r="E578" s="8" t="s">
        <v>4343</v>
      </c>
      <c r="F578" s="8" t="s">
        <v>3549</v>
      </c>
      <c r="G578" s="8" t="s">
        <v>224</v>
      </c>
      <c r="H578" s="8" t="s">
        <v>225</v>
      </c>
      <c r="I578" s="8" t="s">
        <v>4344</v>
      </c>
      <c r="J578" s="8" t="s">
        <v>4345</v>
      </c>
      <c r="K578" s="8" t="s">
        <v>228</v>
      </c>
      <c r="L578" s="8" t="s">
        <v>229</v>
      </c>
      <c r="M578" s="8" t="s">
        <v>4346</v>
      </c>
      <c r="N578" s="8" t="s">
        <v>128</v>
      </c>
      <c r="O578" s="8" t="s">
        <v>4347</v>
      </c>
      <c r="P578" s="8" t="s">
        <v>4348</v>
      </c>
      <c r="Q578" s="8" t="s">
        <v>150</v>
      </c>
      <c r="R578" s="8"/>
      <c r="S578" s="8" t="s">
        <v>71</v>
      </c>
      <c r="T578" s="8" t="s">
        <v>168</v>
      </c>
      <c r="U578" s="8" t="s">
        <v>150</v>
      </c>
      <c r="V578" s="8" t="s">
        <v>168</v>
      </c>
      <c r="W578" s="8" t="s">
        <v>168</v>
      </c>
      <c r="X578" s="8">
        <v>40</v>
      </c>
      <c r="Y578" s="8" t="s">
        <v>135</v>
      </c>
      <c r="Z578" s="8">
        <v>80</v>
      </c>
      <c r="AA578" s="8">
        <v>0</v>
      </c>
      <c r="AB578" s="9">
        <v>0</v>
      </c>
    </row>
    <row r="579" spans="1:28" x14ac:dyDescent="0.2">
      <c r="A579" s="10">
        <v>23771</v>
      </c>
      <c r="B579" s="11" t="s">
        <v>4349</v>
      </c>
      <c r="C579" s="11" t="s">
        <v>4350</v>
      </c>
      <c r="D579" s="11" t="s">
        <v>4351</v>
      </c>
      <c r="E579" s="11"/>
      <c r="F579" s="11" t="s">
        <v>353</v>
      </c>
      <c r="G579" s="11" t="s">
        <v>2435</v>
      </c>
      <c r="H579" s="11" t="s">
        <v>142</v>
      </c>
      <c r="I579" s="11" t="s">
        <v>4352</v>
      </c>
      <c r="J579" s="11" t="s">
        <v>4353</v>
      </c>
      <c r="K579" s="11" t="s">
        <v>1029</v>
      </c>
      <c r="L579" s="11" t="s">
        <v>464</v>
      </c>
      <c r="M579" s="11" t="s">
        <v>4354</v>
      </c>
      <c r="N579" s="11" t="s">
        <v>128</v>
      </c>
      <c r="O579" s="11" t="s">
        <v>4355</v>
      </c>
      <c r="P579" s="11" t="s">
        <v>2091</v>
      </c>
      <c r="Q579" s="11" t="s">
        <v>150</v>
      </c>
      <c r="R579" s="11"/>
      <c r="S579" s="11" t="s">
        <v>71</v>
      </c>
      <c r="T579" s="11" t="s">
        <v>168</v>
      </c>
      <c r="U579" s="11" t="s">
        <v>150</v>
      </c>
      <c r="V579" s="11" t="s">
        <v>168</v>
      </c>
      <c r="W579" s="11" t="s">
        <v>168</v>
      </c>
      <c r="X579" s="11">
        <v>40</v>
      </c>
      <c r="Y579" s="11" t="s">
        <v>135</v>
      </c>
      <c r="Z579" s="11">
        <v>80</v>
      </c>
      <c r="AA579" s="11">
        <v>0</v>
      </c>
      <c r="AB579" s="12">
        <v>0</v>
      </c>
    </row>
    <row r="580" spans="1:28" x14ac:dyDescent="0.2">
      <c r="A580" s="7">
        <v>24928</v>
      </c>
      <c r="B580" s="8" t="s">
        <v>4356</v>
      </c>
      <c r="C580" s="8" t="s">
        <v>3025</v>
      </c>
      <c r="D580" s="8" t="s">
        <v>2557</v>
      </c>
      <c r="E580" s="8" t="s">
        <v>4357</v>
      </c>
      <c r="F580" s="8" t="s">
        <v>2911</v>
      </c>
      <c r="G580" s="8" t="s">
        <v>1952</v>
      </c>
      <c r="H580" s="8" t="s">
        <v>1953</v>
      </c>
      <c r="I580" s="8" t="s">
        <v>2559</v>
      </c>
      <c r="J580" s="8" t="s">
        <v>3026</v>
      </c>
      <c r="K580" s="8" t="s">
        <v>1956</v>
      </c>
      <c r="L580" s="8" t="s">
        <v>526</v>
      </c>
      <c r="M580" s="8" t="s">
        <v>4358</v>
      </c>
      <c r="N580" s="8" t="s">
        <v>128</v>
      </c>
      <c r="O580" s="8" t="s">
        <v>4359</v>
      </c>
      <c r="P580" s="8" t="s">
        <v>4360</v>
      </c>
      <c r="Q580" s="8" t="s">
        <v>150</v>
      </c>
      <c r="R580" s="8"/>
      <c r="S580" s="8" t="s">
        <v>2564</v>
      </c>
      <c r="T580" s="8" t="s">
        <v>1738</v>
      </c>
      <c r="U580" s="8" t="s">
        <v>150</v>
      </c>
      <c r="V580" s="8" t="s">
        <v>1738</v>
      </c>
      <c r="W580" s="8" t="s">
        <v>1738</v>
      </c>
      <c r="X580" s="8">
        <v>40</v>
      </c>
      <c r="Y580" s="8" t="s">
        <v>135</v>
      </c>
      <c r="Z580" s="8">
        <v>20</v>
      </c>
      <c r="AA580" s="8">
        <v>1</v>
      </c>
      <c r="AB580" s="9">
        <v>0</v>
      </c>
    </row>
    <row r="581" spans="1:28" x14ac:dyDescent="0.2">
      <c r="A581" s="10">
        <v>25008</v>
      </c>
      <c r="B581" s="11" t="s">
        <v>4361</v>
      </c>
      <c r="C581" s="11" t="s">
        <v>2466</v>
      </c>
      <c r="D581" s="11" t="s">
        <v>2467</v>
      </c>
      <c r="E581" s="11" t="s">
        <v>4362</v>
      </c>
      <c r="F581" s="11" t="s">
        <v>2469</v>
      </c>
      <c r="G581" s="11" t="s">
        <v>1952</v>
      </c>
      <c r="H581" s="11" t="s">
        <v>1953</v>
      </c>
      <c r="I581" s="11" t="s">
        <v>2470</v>
      </c>
      <c r="J581" s="11" t="s">
        <v>2471</v>
      </c>
      <c r="K581" s="11" t="s">
        <v>1956</v>
      </c>
      <c r="L581" s="11" t="s">
        <v>526</v>
      </c>
      <c r="M581" s="11" t="s">
        <v>4363</v>
      </c>
      <c r="N581" s="11" t="s">
        <v>128</v>
      </c>
      <c r="O581" s="11" t="s">
        <v>4364</v>
      </c>
      <c r="P581" s="11" t="s">
        <v>4365</v>
      </c>
      <c r="Q581" s="11" t="s">
        <v>150</v>
      </c>
      <c r="R581" s="11"/>
      <c r="S581" s="11" t="s">
        <v>2475</v>
      </c>
      <c r="T581" s="11" t="s">
        <v>1738</v>
      </c>
      <c r="U581" s="11" t="s">
        <v>150</v>
      </c>
      <c r="V581" s="11" t="s">
        <v>1738</v>
      </c>
      <c r="W581" s="11" t="s">
        <v>1738</v>
      </c>
      <c r="X581" s="11">
        <v>40</v>
      </c>
      <c r="Y581" s="11" t="s">
        <v>135</v>
      </c>
      <c r="Z581" s="11">
        <v>20</v>
      </c>
      <c r="AA581" s="11">
        <v>1</v>
      </c>
      <c r="AB581" s="12">
        <v>0</v>
      </c>
    </row>
    <row r="582" spans="1:28" x14ac:dyDescent="0.2">
      <c r="A582" s="7">
        <v>25200</v>
      </c>
      <c r="B582" s="8" t="s">
        <v>4366</v>
      </c>
      <c r="C582" s="8" t="s">
        <v>657</v>
      </c>
      <c r="D582" s="8" t="s">
        <v>658</v>
      </c>
      <c r="E582" s="8" t="s">
        <v>4367</v>
      </c>
      <c r="F582" s="8" t="s">
        <v>660</v>
      </c>
      <c r="G582" s="8" t="s">
        <v>556</v>
      </c>
      <c r="H582" s="8" t="s">
        <v>557</v>
      </c>
      <c r="I582" s="8" t="s">
        <v>661</v>
      </c>
      <c r="J582" s="8" t="s">
        <v>662</v>
      </c>
      <c r="K582" s="8" t="s">
        <v>560</v>
      </c>
      <c r="L582" s="8" t="s">
        <v>229</v>
      </c>
      <c r="M582" s="8" t="s">
        <v>4368</v>
      </c>
      <c r="N582" s="8" t="s">
        <v>128</v>
      </c>
      <c r="O582" s="8" t="s">
        <v>4369</v>
      </c>
      <c r="P582" s="8" t="s">
        <v>4370</v>
      </c>
      <c r="Q582" s="8" t="s">
        <v>740</v>
      </c>
      <c r="R582" s="8"/>
      <c r="S582" s="8" t="s">
        <v>666</v>
      </c>
      <c r="T582" s="8" t="s">
        <v>741</v>
      </c>
      <c r="U582" s="8" t="s">
        <v>134</v>
      </c>
      <c r="V582" s="8" t="s">
        <v>740</v>
      </c>
      <c r="W582" s="8" t="s">
        <v>741</v>
      </c>
      <c r="X582" s="8">
        <v>40</v>
      </c>
      <c r="Y582" s="8" t="s">
        <v>135</v>
      </c>
      <c r="Z582" s="8">
        <v>80</v>
      </c>
      <c r="AA582" s="8">
        <v>1</v>
      </c>
      <c r="AB582" s="9">
        <v>1</v>
      </c>
    </row>
    <row r="583" spans="1:28" x14ac:dyDescent="0.2">
      <c r="A583" s="10">
        <v>25144</v>
      </c>
      <c r="B583" s="11" t="s">
        <v>4371</v>
      </c>
      <c r="C583" s="11" t="s">
        <v>324</v>
      </c>
      <c r="D583" s="11" t="s">
        <v>325</v>
      </c>
      <c r="E583" s="11" t="s">
        <v>4372</v>
      </c>
      <c r="F583" s="11" t="s">
        <v>327</v>
      </c>
      <c r="G583" s="11" t="s">
        <v>328</v>
      </c>
      <c r="H583" s="11" t="s">
        <v>329</v>
      </c>
      <c r="I583" s="11" t="s">
        <v>391</v>
      </c>
      <c r="J583" s="11" t="s">
        <v>4373</v>
      </c>
      <c r="K583" s="11" t="s">
        <v>332</v>
      </c>
      <c r="L583" s="11" t="s">
        <v>333</v>
      </c>
      <c r="M583" s="11" t="s">
        <v>4374</v>
      </c>
      <c r="N583" s="11" t="s">
        <v>128</v>
      </c>
      <c r="O583" s="11" t="s">
        <v>4375</v>
      </c>
      <c r="P583" s="11" t="s">
        <v>4376</v>
      </c>
      <c r="Q583" s="11" t="s">
        <v>740</v>
      </c>
      <c r="R583" s="11"/>
      <c r="S583" s="11" t="s">
        <v>337</v>
      </c>
      <c r="T583" s="11" t="s">
        <v>741</v>
      </c>
      <c r="U583" s="11" t="s">
        <v>134</v>
      </c>
      <c r="V583" s="11" t="s">
        <v>740</v>
      </c>
      <c r="W583" s="11" t="s">
        <v>741</v>
      </c>
      <c r="X583" s="11">
        <v>40</v>
      </c>
      <c r="Y583" s="11" t="s">
        <v>135</v>
      </c>
      <c r="Z583" s="11">
        <v>20</v>
      </c>
      <c r="AA583" s="11">
        <v>1</v>
      </c>
      <c r="AB583" s="12">
        <v>0</v>
      </c>
    </row>
    <row r="584" spans="1:28" x14ac:dyDescent="0.2">
      <c r="A584" s="7">
        <v>25189</v>
      </c>
      <c r="B584" s="8" t="s">
        <v>4377</v>
      </c>
      <c r="C584" s="8" t="s">
        <v>3817</v>
      </c>
      <c r="D584" s="8" t="s">
        <v>3539</v>
      </c>
      <c r="E584" s="8" t="s">
        <v>4378</v>
      </c>
      <c r="F584" s="8" t="s">
        <v>3819</v>
      </c>
      <c r="G584" s="8" t="s">
        <v>328</v>
      </c>
      <c r="H584" s="8" t="s">
        <v>329</v>
      </c>
      <c r="I584" s="8" t="s">
        <v>3820</v>
      </c>
      <c r="J584" s="8" t="s">
        <v>3821</v>
      </c>
      <c r="K584" s="8" t="s">
        <v>431</v>
      </c>
      <c r="L584" s="8" t="s">
        <v>333</v>
      </c>
      <c r="M584" s="8" t="s">
        <v>4379</v>
      </c>
      <c r="N584" s="8" t="s">
        <v>128</v>
      </c>
      <c r="O584" s="8" t="s">
        <v>4380</v>
      </c>
      <c r="P584" s="8" t="s">
        <v>4381</v>
      </c>
      <c r="Q584" s="8" t="s">
        <v>740</v>
      </c>
      <c r="R584" s="8"/>
      <c r="S584" s="8" t="s">
        <v>3825</v>
      </c>
      <c r="T584" s="8" t="s">
        <v>741</v>
      </c>
      <c r="U584" s="8" t="s">
        <v>134</v>
      </c>
      <c r="V584" s="8" t="s">
        <v>740</v>
      </c>
      <c r="W584" s="8" t="s">
        <v>741</v>
      </c>
      <c r="X584" s="8">
        <v>40</v>
      </c>
      <c r="Y584" s="8" t="s">
        <v>135</v>
      </c>
      <c r="Z584" s="8">
        <v>20</v>
      </c>
      <c r="AA584" s="8">
        <v>1</v>
      </c>
      <c r="AB584" s="9">
        <v>0</v>
      </c>
    </row>
    <row r="585" spans="1:28" x14ac:dyDescent="0.2">
      <c r="A585" s="10">
        <v>25523</v>
      </c>
      <c r="B585" s="11" t="s">
        <v>4382</v>
      </c>
      <c r="C585" s="11" t="s">
        <v>1282</v>
      </c>
      <c r="D585" s="11" t="s">
        <v>1283</v>
      </c>
      <c r="E585" s="11" t="s">
        <v>4383</v>
      </c>
      <c r="F585" s="11" t="s">
        <v>1285</v>
      </c>
      <c r="G585" s="11" t="s">
        <v>1286</v>
      </c>
      <c r="H585" s="11" t="s">
        <v>142</v>
      </c>
      <c r="I585" s="11" t="s">
        <v>4384</v>
      </c>
      <c r="J585" s="11" t="s">
        <v>1379</v>
      </c>
      <c r="K585" s="11" t="s">
        <v>717</v>
      </c>
      <c r="L585" s="11" t="s">
        <v>464</v>
      </c>
      <c r="M585" s="11" t="s">
        <v>4385</v>
      </c>
      <c r="N585" s="11" t="s">
        <v>128</v>
      </c>
      <c r="O585" s="11" t="s">
        <v>4386</v>
      </c>
      <c r="P585" s="11" t="s">
        <v>4387</v>
      </c>
      <c r="Q585" s="11" t="s">
        <v>249</v>
      </c>
      <c r="R585" s="11"/>
      <c r="S585" s="11" t="s">
        <v>1292</v>
      </c>
      <c r="T585" s="11" t="s">
        <v>250</v>
      </c>
      <c r="U585" s="11" t="s">
        <v>134</v>
      </c>
      <c r="V585" s="11" t="s">
        <v>249</v>
      </c>
      <c r="W585" s="11" t="s">
        <v>250</v>
      </c>
      <c r="X585" s="11">
        <v>40</v>
      </c>
      <c r="Y585" s="11" t="s">
        <v>135</v>
      </c>
      <c r="Z585" s="11">
        <v>20</v>
      </c>
      <c r="AA585" s="11">
        <v>1</v>
      </c>
      <c r="AB585" s="12">
        <v>0</v>
      </c>
    </row>
    <row r="586" spans="1:28" x14ac:dyDescent="0.2">
      <c r="A586" s="7">
        <v>25410</v>
      </c>
      <c r="B586" s="8" t="s">
        <v>4388</v>
      </c>
      <c r="C586" s="8" t="s">
        <v>4111</v>
      </c>
      <c r="D586" s="8" t="s">
        <v>3863</v>
      </c>
      <c r="E586" s="8" t="s">
        <v>4389</v>
      </c>
      <c r="F586" s="8" t="s">
        <v>4113</v>
      </c>
      <c r="G586" s="8" t="s">
        <v>556</v>
      </c>
      <c r="H586" s="8" t="s">
        <v>557</v>
      </c>
      <c r="I586" s="8" t="s">
        <v>4390</v>
      </c>
      <c r="J586" s="8" t="s">
        <v>4115</v>
      </c>
      <c r="K586" s="8" t="s">
        <v>560</v>
      </c>
      <c r="L586" s="8" t="s">
        <v>229</v>
      </c>
      <c r="M586" s="8" t="s">
        <v>4391</v>
      </c>
      <c r="N586" s="8" t="s">
        <v>128</v>
      </c>
      <c r="O586" s="8" t="s">
        <v>4392</v>
      </c>
      <c r="P586" s="8" t="s">
        <v>4393</v>
      </c>
      <c r="Q586" s="8" t="s">
        <v>249</v>
      </c>
      <c r="R586" s="8"/>
      <c r="S586" s="8" t="s">
        <v>4119</v>
      </c>
      <c r="T586" s="8" t="s">
        <v>250</v>
      </c>
      <c r="U586" s="8" t="s">
        <v>134</v>
      </c>
      <c r="V586" s="8" t="s">
        <v>249</v>
      </c>
      <c r="W586" s="8" t="s">
        <v>250</v>
      </c>
      <c r="X586" s="8">
        <v>40</v>
      </c>
      <c r="Y586" s="8" t="s">
        <v>135</v>
      </c>
      <c r="Z586" s="8">
        <v>80</v>
      </c>
      <c r="AA586" s="8">
        <v>1</v>
      </c>
      <c r="AB586" s="9">
        <v>1</v>
      </c>
    </row>
    <row r="587" spans="1:28" x14ac:dyDescent="0.2">
      <c r="A587" s="10">
        <v>25483</v>
      </c>
      <c r="B587" s="11" t="s">
        <v>4394</v>
      </c>
      <c r="C587" s="11" t="s">
        <v>3569</v>
      </c>
      <c r="D587" s="11" t="s">
        <v>518</v>
      </c>
      <c r="E587" s="11" t="s">
        <v>4395</v>
      </c>
      <c r="F587" s="11" t="s">
        <v>3571</v>
      </c>
      <c r="G587" s="11" t="s">
        <v>450</v>
      </c>
      <c r="H587" s="11" t="s">
        <v>301</v>
      </c>
      <c r="I587" s="11" t="s">
        <v>4396</v>
      </c>
      <c r="J587" s="11" t="s">
        <v>3573</v>
      </c>
      <c r="K587" s="11" t="s">
        <v>304</v>
      </c>
      <c r="L587" s="11" t="s">
        <v>229</v>
      </c>
      <c r="M587" s="11" t="s">
        <v>4397</v>
      </c>
      <c r="N587" s="11" t="s">
        <v>128</v>
      </c>
      <c r="O587" s="11" t="s">
        <v>4398</v>
      </c>
      <c r="P587" s="11" t="s">
        <v>4399</v>
      </c>
      <c r="Q587" s="11" t="s">
        <v>249</v>
      </c>
      <c r="R587" s="11"/>
      <c r="S587" s="11" t="s">
        <v>3577</v>
      </c>
      <c r="T587" s="11" t="s">
        <v>250</v>
      </c>
      <c r="U587" s="11" t="s">
        <v>134</v>
      </c>
      <c r="V587" s="11" t="s">
        <v>249</v>
      </c>
      <c r="W587" s="11" t="s">
        <v>250</v>
      </c>
      <c r="X587" s="11">
        <v>40</v>
      </c>
      <c r="Y587" s="11" t="s">
        <v>135</v>
      </c>
      <c r="Z587" s="11">
        <v>20</v>
      </c>
      <c r="AA587" s="11">
        <v>1</v>
      </c>
      <c r="AB587" s="12">
        <v>0</v>
      </c>
    </row>
    <row r="588" spans="1:28" x14ac:dyDescent="0.2">
      <c r="A588" s="7">
        <v>25505</v>
      </c>
      <c r="B588" s="8" t="s">
        <v>4400</v>
      </c>
      <c r="C588" s="8" t="s">
        <v>3012</v>
      </c>
      <c r="D588" s="8" t="s">
        <v>3013</v>
      </c>
      <c r="E588" s="8" t="s">
        <v>4401</v>
      </c>
      <c r="F588" s="8" t="s">
        <v>1951</v>
      </c>
      <c r="G588" s="8" t="s">
        <v>1952</v>
      </c>
      <c r="H588" s="8" t="s">
        <v>1953</v>
      </c>
      <c r="I588" s="8" t="s">
        <v>4402</v>
      </c>
      <c r="J588" s="8" t="s">
        <v>3015</v>
      </c>
      <c r="K588" s="8" t="s">
        <v>1956</v>
      </c>
      <c r="L588" s="8" t="s">
        <v>526</v>
      </c>
      <c r="M588" s="8" t="s">
        <v>4403</v>
      </c>
      <c r="N588" s="8" t="s">
        <v>128</v>
      </c>
      <c r="O588" s="8" t="s">
        <v>4404</v>
      </c>
      <c r="P588" s="8" t="s">
        <v>4405</v>
      </c>
      <c r="Q588" s="8" t="s">
        <v>249</v>
      </c>
      <c r="R588" s="8"/>
      <c r="S588" s="8" t="s">
        <v>1959</v>
      </c>
      <c r="T588" s="8" t="s">
        <v>250</v>
      </c>
      <c r="U588" s="8" t="s">
        <v>134</v>
      </c>
      <c r="V588" s="8" t="s">
        <v>249</v>
      </c>
      <c r="W588" s="8" t="s">
        <v>250</v>
      </c>
      <c r="X588" s="8">
        <v>40</v>
      </c>
      <c r="Y588" s="8" t="s">
        <v>135</v>
      </c>
      <c r="Z588" s="8">
        <v>20</v>
      </c>
      <c r="AA588" s="8">
        <v>1</v>
      </c>
      <c r="AB588" s="9">
        <v>0</v>
      </c>
    </row>
    <row r="589" spans="1:28" x14ac:dyDescent="0.2">
      <c r="A589" s="10">
        <v>21132</v>
      </c>
      <c r="B589" s="11" t="s">
        <v>4406</v>
      </c>
      <c r="C589" s="11" t="s">
        <v>1688</v>
      </c>
      <c r="D589" s="11" t="s">
        <v>171</v>
      </c>
      <c r="E589" s="11" t="s">
        <v>281</v>
      </c>
      <c r="F589" s="11" t="s">
        <v>1690</v>
      </c>
      <c r="G589" s="11" t="s">
        <v>1196</v>
      </c>
      <c r="H589" s="11" t="s">
        <v>142</v>
      </c>
      <c r="I589" s="11" t="s">
        <v>4407</v>
      </c>
      <c r="J589" s="11" t="s">
        <v>4408</v>
      </c>
      <c r="K589" s="11" t="s">
        <v>1199</v>
      </c>
      <c r="L589" s="11" t="s">
        <v>464</v>
      </c>
      <c r="M589" s="11" t="s">
        <v>4409</v>
      </c>
      <c r="N589" s="11" t="s">
        <v>128</v>
      </c>
      <c r="O589" s="11" t="s">
        <v>4410</v>
      </c>
      <c r="P589" s="11" t="s">
        <v>4411</v>
      </c>
      <c r="Q589" s="11" t="s">
        <v>150</v>
      </c>
      <c r="R589" s="11"/>
      <c r="S589" s="11" t="s">
        <v>1696</v>
      </c>
      <c r="T589" s="11" t="s">
        <v>289</v>
      </c>
      <c r="U589" s="11" t="s">
        <v>150</v>
      </c>
      <c r="V589" s="11" t="s">
        <v>289</v>
      </c>
      <c r="W589" s="11" t="s">
        <v>289</v>
      </c>
      <c r="X589" s="11">
        <v>39</v>
      </c>
      <c r="Y589" s="11" t="s">
        <v>135</v>
      </c>
      <c r="Z589" s="11">
        <v>20</v>
      </c>
      <c r="AA589" s="11">
        <v>1</v>
      </c>
      <c r="AB589" s="12">
        <v>0</v>
      </c>
    </row>
    <row r="590" spans="1:28" x14ac:dyDescent="0.2">
      <c r="A590" s="7">
        <v>21126</v>
      </c>
      <c r="B590" s="8" t="s">
        <v>4412</v>
      </c>
      <c r="C590" s="8" t="s">
        <v>4111</v>
      </c>
      <c r="D590" s="8" t="s">
        <v>3863</v>
      </c>
      <c r="E590" s="8"/>
      <c r="F590" s="8" t="s">
        <v>4113</v>
      </c>
      <c r="G590" s="8" t="s">
        <v>556</v>
      </c>
      <c r="H590" s="8" t="s">
        <v>557</v>
      </c>
      <c r="I590" s="8" t="s">
        <v>4114</v>
      </c>
      <c r="J590" s="8" t="s">
        <v>4115</v>
      </c>
      <c r="K590" s="8" t="s">
        <v>560</v>
      </c>
      <c r="L590" s="8" t="s">
        <v>229</v>
      </c>
      <c r="M590" s="8" t="s">
        <v>4413</v>
      </c>
      <c r="N590" s="8" t="s">
        <v>128</v>
      </c>
      <c r="O590" s="8" t="s">
        <v>4414</v>
      </c>
      <c r="P590" s="8" t="s">
        <v>4415</v>
      </c>
      <c r="Q590" s="8" t="s">
        <v>150</v>
      </c>
      <c r="R590" s="8"/>
      <c r="S590" s="8" t="s">
        <v>4119</v>
      </c>
      <c r="T590" s="8" t="s">
        <v>289</v>
      </c>
      <c r="U590" s="8" t="s">
        <v>150</v>
      </c>
      <c r="V590" s="8" t="s">
        <v>289</v>
      </c>
      <c r="W590" s="8" t="s">
        <v>289</v>
      </c>
      <c r="X590" s="8">
        <v>39</v>
      </c>
      <c r="Y590" s="8" t="s">
        <v>135</v>
      </c>
      <c r="Z590" s="8">
        <v>80</v>
      </c>
      <c r="AA590" s="8">
        <v>1</v>
      </c>
      <c r="AB590" s="9">
        <v>1</v>
      </c>
    </row>
    <row r="591" spans="1:28" x14ac:dyDescent="0.2">
      <c r="A591" s="10">
        <v>21585</v>
      </c>
      <c r="B591" s="11" t="s">
        <v>4416</v>
      </c>
      <c r="C591" s="11" t="s">
        <v>4417</v>
      </c>
      <c r="D591" s="11" t="s">
        <v>4418</v>
      </c>
      <c r="E591" s="11" t="s">
        <v>4419</v>
      </c>
      <c r="F591" s="11" t="s">
        <v>2063</v>
      </c>
      <c r="G591" s="11" t="s">
        <v>141</v>
      </c>
      <c r="H591" s="11" t="s">
        <v>142</v>
      </c>
      <c r="I591" s="11" t="s">
        <v>4420</v>
      </c>
      <c r="J591" s="11" t="s">
        <v>4421</v>
      </c>
      <c r="K591" s="11" t="s">
        <v>145</v>
      </c>
      <c r="L591" s="11" t="s">
        <v>146</v>
      </c>
      <c r="M591" s="11" t="s">
        <v>4422</v>
      </c>
      <c r="N591" s="11" t="s">
        <v>128</v>
      </c>
      <c r="O591" s="11" t="s">
        <v>4423</v>
      </c>
      <c r="P591" s="11" t="s">
        <v>4424</v>
      </c>
      <c r="Q591" s="11" t="s">
        <v>150</v>
      </c>
      <c r="R591" s="11"/>
      <c r="S591" s="11" t="s">
        <v>71</v>
      </c>
      <c r="T591" s="11" t="s">
        <v>67</v>
      </c>
      <c r="U591" s="11" t="s">
        <v>150</v>
      </c>
      <c r="V591" s="11" t="s">
        <v>152</v>
      </c>
      <c r="W591" s="11" t="s">
        <v>67</v>
      </c>
      <c r="X591" s="11">
        <v>39</v>
      </c>
      <c r="Y591" s="11" t="s">
        <v>135</v>
      </c>
      <c r="Z591" s="11">
        <v>80</v>
      </c>
      <c r="AA591" s="11">
        <v>0</v>
      </c>
      <c r="AB591" s="12">
        <v>0</v>
      </c>
    </row>
    <row r="592" spans="1:28" x14ac:dyDescent="0.2">
      <c r="A592" s="7">
        <v>30133</v>
      </c>
      <c r="B592" s="8" t="s">
        <v>4425</v>
      </c>
      <c r="C592" s="8" t="s">
        <v>3817</v>
      </c>
      <c r="D592" s="8" t="s">
        <v>3539</v>
      </c>
      <c r="E592" s="8"/>
      <c r="F592" s="8"/>
      <c r="G592" s="8" t="s">
        <v>328</v>
      </c>
      <c r="H592" s="8" t="s">
        <v>329</v>
      </c>
      <c r="I592" s="8" t="s">
        <v>4426</v>
      </c>
      <c r="J592" s="8" t="s">
        <v>4427</v>
      </c>
      <c r="K592" s="8" t="s">
        <v>431</v>
      </c>
      <c r="L592" s="8" t="s">
        <v>333</v>
      </c>
      <c r="M592" s="8" t="s">
        <v>4428</v>
      </c>
      <c r="N592" s="8" t="s">
        <v>128</v>
      </c>
      <c r="O592" s="8" t="s">
        <v>4429</v>
      </c>
      <c r="P592" s="8"/>
      <c r="Q592" s="8" t="s">
        <v>131</v>
      </c>
      <c r="R592" s="8"/>
      <c r="S592" s="8" t="s">
        <v>3825</v>
      </c>
      <c r="T592" s="8" t="s">
        <v>983</v>
      </c>
      <c r="U592" s="8" t="s">
        <v>134</v>
      </c>
      <c r="V592" s="8" t="s">
        <v>131</v>
      </c>
      <c r="W592" s="8" t="s">
        <v>983</v>
      </c>
      <c r="X592" s="8">
        <v>39</v>
      </c>
      <c r="Y592" s="8" t="s">
        <v>135</v>
      </c>
      <c r="Z592" s="8">
        <v>80</v>
      </c>
      <c r="AA592" s="8">
        <v>1</v>
      </c>
      <c r="AB592" s="9">
        <v>1</v>
      </c>
    </row>
    <row r="593" spans="1:28" x14ac:dyDescent="0.2">
      <c r="A593" s="10">
        <v>22008</v>
      </c>
      <c r="B593" s="11" t="s">
        <v>4430</v>
      </c>
      <c r="C593" s="11" t="s">
        <v>3597</v>
      </c>
      <c r="D593" s="11" t="s">
        <v>3598</v>
      </c>
      <c r="E593" s="11" t="s">
        <v>4431</v>
      </c>
      <c r="F593" s="11" t="s">
        <v>3599</v>
      </c>
      <c r="G593" s="11" t="s">
        <v>141</v>
      </c>
      <c r="H593" s="11" t="s">
        <v>142</v>
      </c>
      <c r="I593" s="11" t="s">
        <v>3600</v>
      </c>
      <c r="J593" s="11" t="s">
        <v>3601</v>
      </c>
      <c r="K593" s="11" t="s">
        <v>216</v>
      </c>
      <c r="L593" s="11" t="s">
        <v>146</v>
      </c>
      <c r="M593" s="11" t="s">
        <v>4432</v>
      </c>
      <c r="N593" s="11" t="s">
        <v>128</v>
      </c>
      <c r="O593" s="11" t="s">
        <v>4433</v>
      </c>
      <c r="P593" s="11" t="s">
        <v>4434</v>
      </c>
      <c r="Q593" s="11" t="s">
        <v>131</v>
      </c>
      <c r="R593" s="11"/>
      <c r="S593" s="11" t="s">
        <v>3605</v>
      </c>
      <c r="T593" s="11" t="s">
        <v>133</v>
      </c>
      <c r="U593" s="11" t="s">
        <v>134</v>
      </c>
      <c r="V593" s="11" t="s">
        <v>131</v>
      </c>
      <c r="W593" s="11" t="s">
        <v>133</v>
      </c>
      <c r="X593" s="11">
        <v>39</v>
      </c>
      <c r="Y593" s="11" t="s">
        <v>135</v>
      </c>
      <c r="Z593" s="11">
        <v>20</v>
      </c>
      <c r="AA593" s="11">
        <v>1</v>
      </c>
      <c r="AB593" s="12">
        <v>0</v>
      </c>
    </row>
    <row r="594" spans="1:28" x14ac:dyDescent="0.2">
      <c r="A594" s="7">
        <v>22720</v>
      </c>
      <c r="B594" s="8" t="s">
        <v>4435</v>
      </c>
      <c r="C594" s="8" t="s">
        <v>842</v>
      </c>
      <c r="D594" s="8" t="s">
        <v>843</v>
      </c>
      <c r="E594" s="8" t="s">
        <v>4436</v>
      </c>
      <c r="F594" s="8" t="s">
        <v>845</v>
      </c>
      <c r="G594" s="8" t="s">
        <v>846</v>
      </c>
      <c r="H594" s="8" t="s">
        <v>847</v>
      </c>
      <c r="I594" s="8" t="s">
        <v>848</v>
      </c>
      <c r="J594" s="8" t="s">
        <v>849</v>
      </c>
      <c r="K594" s="8" t="s">
        <v>850</v>
      </c>
      <c r="L594" s="8" t="s">
        <v>126</v>
      </c>
      <c r="M594" s="8" t="s">
        <v>4437</v>
      </c>
      <c r="N594" s="8" t="s">
        <v>128</v>
      </c>
      <c r="O594" s="8" t="s">
        <v>4438</v>
      </c>
      <c r="P594" s="8" t="s">
        <v>4439</v>
      </c>
      <c r="Q594" s="8" t="s">
        <v>740</v>
      </c>
      <c r="R594" s="8"/>
      <c r="S594" s="8" t="s">
        <v>854</v>
      </c>
      <c r="T594" s="8" t="s">
        <v>1745</v>
      </c>
      <c r="U594" s="8" t="s">
        <v>134</v>
      </c>
      <c r="V594" s="8" t="s">
        <v>740</v>
      </c>
      <c r="W594" s="8" t="s">
        <v>1745</v>
      </c>
      <c r="X594" s="8">
        <v>39</v>
      </c>
      <c r="Y594" s="8" t="s">
        <v>135</v>
      </c>
      <c r="Z594" s="8">
        <v>20</v>
      </c>
      <c r="AA594" s="8">
        <v>1</v>
      </c>
      <c r="AB594" s="9">
        <v>0</v>
      </c>
    </row>
    <row r="595" spans="1:28" x14ac:dyDescent="0.2">
      <c r="A595" s="10">
        <v>22133</v>
      </c>
      <c r="B595" s="11" t="s">
        <v>4440</v>
      </c>
      <c r="C595" s="11" t="s">
        <v>566</v>
      </c>
      <c r="D595" s="11" t="s">
        <v>567</v>
      </c>
      <c r="E595" s="11" t="s">
        <v>1107</v>
      </c>
      <c r="F595" s="11" t="s">
        <v>569</v>
      </c>
      <c r="G595" s="11" t="s">
        <v>328</v>
      </c>
      <c r="H595" s="11" t="s">
        <v>329</v>
      </c>
      <c r="I595" s="11" t="s">
        <v>570</v>
      </c>
      <c r="J595" s="11" t="s">
        <v>571</v>
      </c>
      <c r="K595" s="11" t="s">
        <v>572</v>
      </c>
      <c r="L595" s="11" t="s">
        <v>333</v>
      </c>
      <c r="M595" s="11" t="s">
        <v>4441</v>
      </c>
      <c r="N595" s="11" t="s">
        <v>128</v>
      </c>
      <c r="O595" s="11"/>
      <c r="P595" s="11"/>
      <c r="Q595" s="11" t="s">
        <v>249</v>
      </c>
      <c r="R595" s="11"/>
      <c r="S595" s="11" t="s">
        <v>576</v>
      </c>
      <c r="T595" s="11" t="s">
        <v>1523</v>
      </c>
      <c r="U595" s="11" t="s">
        <v>134</v>
      </c>
      <c r="V595" s="11" t="s">
        <v>249</v>
      </c>
      <c r="W595" s="11" t="s">
        <v>1523</v>
      </c>
      <c r="X595" s="11">
        <v>39</v>
      </c>
      <c r="Y595" s="11" t="s">
        <v>135</v>
      </c>
      <c r="Z595" s="11">
        <v>80</v>
      </c>
      <c r="AA595" s="11">
        <v>1</v>
      </c>
      <c r="AB595" s="12">
        <v>1</v>
      </c>
    </row>
    <row r="596" spans="1:28" x14ac:dyDescent="0.2">
      <c r="A596" s="7">
        <v>218078</v>
      </c>
      <c r="B596" s="8" t="s">
        <v>4442</v>
      </c>
      <c r="C596" s="8" t="s">
        <v>3817</v>
      </c>
      <c r="D596" s="8" t="s">
        <v>3539</v>
      </c>
      <c r="E596" s="8" t="s">
        <v>4443</v>
      </c>
      <c r="F596" s="8" t="s">
        <v>3819</v>
      </c>
      <c r="G596" s="8" t="s">
        <v>328</v>
      </c>
      <c r="H596" s="8" t="s">
        <v>329</v>
      </c>
      <c r="I596" s="8" t="s">
        <v>3820</v>
      </c>
      <c r="J596" s="8" t="s">
        <v>3821</v>
      </c>
      <c r="K596" s="8" t="s">
        <v>431</v>
      </c>
      <c r="L596" s="8" t="s">
        <v>333</v>
      </c>
      <c r="M596" s="8" t="s">
        <v>4444</v>
      </c>
      <c r="N596" s="8" t="s">
        <v>128</v>
      </c>
      <c r="O596" s="8" t="s">
        <v>4445</v>
      </c>
      <c r="P596" s="8"/>
      <c r="Q596" s="8" t="s">
        <v>249</v>
      </c>
      <c r="R596" s="8"/>
      <c r="S596" s="8" t="s">
        <v>3825</v>
      </c>
      <c r="T596" s="8" t="s">
        <v>1523</v>
      </c>
      <c r="U596" s="8" t="s">
        <v>134</v>
      </c>
      <c r="V596" s="8" t="s">
        <v>249</v>
      </c>
      <c r="W596" s="8" t="s">
        <v>1523</v>
      </c>
      <c r="X596" s="8">
        <v>39</v>
      </c>
      <c r="Y596" s="8" t="s">
        <v>135</v>
      </c>
      <c r="Z596" s="8">
        <v>80</v>
      </c>
      <c r="AA596" s="8">
        <v>1</v>
      </c>
      <c r="AB596" s="9">
        <v>1</v>
      </c>
    </row>
    <row r="597" spans="1:28" x14ac:dyDescent="0.2">
      <c r="A597" s="10">
        <v>25385</v>
      </c>
      <c r="B597" s="11" t="s">
        <v>4446</v>
      </c>
      <c r="C597" s="11" t="s">
        <v>1703</v>
      </c>
      <c r="D597" s="11" t="s">
        <v>1704</v>
      </c>
      <c r="E597" s="11" t="s">
        <v>4447</v>
      </c>
      <c r="F597" s="11" t="s">
        <v>1705</v>
      </c>
      <c r="G597" s="11" t="s">
        <v>141</v>
      </c>
      <c r="H597" s="11" t="s">
        <v>142</v>
      </c>
      <c r="I597" s="11" t="s">
        <v>4448</v>
      </c>
      <c r="J597" s="11" t="s">
        <v>3803</v>
      </c>
      <c r="K597" s="11" t="s">
        <v>991</v>
      </c>
      <c r="L597" s="11" t="s">
        <v>146</v>
      </c>
      <c r="M597" s="11" t="s">
        <v>4449</v>
      </c>
      <c r="N597" s="11" t="s">
        <v>128</v>
      </c>
      <c r="O597" s="11" t="s">
        <v>4450</v>
      </c>
      <c r="P597" s="11" t="s">
        <v>4451</v>
      </c>
      <c r="Q597" s="11" t="s">
        <v>249</v>
      </c>
      <c r="R597" s="11"/>
      <c r="S597" s="11" t="s">
        <v>1711</v>
      </c>
      <c r="T597" s="11" t="s">
        <v>250</v>
      </c>
      <c r="U597" s="11" t="s">
        <v>134</v>
      </c>
      <c r="V597" s="11" t="s">
        <v>249</v>
      </c>
      <c r="W597" s="11" t="s">
        <v>250</v>
      </c>
      <c r="X597" s="11">
        <v>39</v>
      </c>
      <c r="Y597" s="11" t="s">
        <v>135</v>
      </c>
      <c r="Z597" s="11">
        <v>20</v>
      </c>
      <c r="AA597" s="11">
        <v>1</v>
      </c>
      <c r="AB597" s="12">
        <v>0</v>
      </c>
    </row>
    <row r="598" spans="1:28" x14ac:dyDescent="0.2">
      <c r="A598" s="7">
        <v>25464</v>
      </c>
      <c r="B598" s="8" t="s">
        <v>4452</v>
      </c>
      <c r="C598" s="8" t="s">
        <v>4453</v>
      </c>
      <c r="D598" s="8" t="s">
        <v>4454</v>
      </c>
      <c r="E598" s="8" t="s">
        <v>4455</v>
      </c>
      <c r="F598" s="8" t="s">
        <v>4456</v>
      </c>
      <c r="G598" s="8" t="s">
        <v>141</v>
      </c>
      <c r="H598" s="8" t="s">
        <v>142</v>
      </c>
      <c r="I598" s="8" t="s">
        <v>4457</v>
      </c>
      <c r="J598" s="8" t="s">
        <v>4458</v>
      </c>
      <c r="K598" s="8" t="s">
        <v>216</v>
      </c>
      <c r="L598" s="8" t="s">
        <v>146</v>
      </c>
      <c r="M598" s="8" t="s">
        <v>4459</v>
      </c>
      <c r="N598" s="8" t="s">
        <v>128</v>
      </c>
      <c r="O598" s="8" t="s">
        <v>4460</v>
      </c>
      <c r="P598" s="8" t="s">
        <v>4461</v>
      </c>
      <c r="Q598" s="8" t="s">
        <v>249</v>
      </c>
      <c r="R598" s="8"/>
      <c r="S598" s="8" t="s">
        <v>4462</v>
      </c>
      <c r="T598" s="8" t="s">
        <v>250</v>
      </c>
      <c r="U598" s="8" t="s">
        <v>134</v>
      </c>
      <c r="V598" s="8" t="s">
        <v>249</v>
      </c>
      <c r="W598" s="8" t="s">
        <v>250</v>
      </c>
      <c r="X598" s="8">
        <v>39</v>
      </c>
      <c r="Y598" s="8" t="s">
        <v>135</v>
      </c>
      <c r="Z598" s="8">
        <v>20</v>
      </c>
      <c r="AA598" s="8">
        <v>1</v>
      </c>
      <c r="AB598" s="9">
        <v>0</v>
      </c>
    </row>
    <row r="599" spans="1:28" x14ac:dyDescent="0.2">
      <c r="A599" s="10">
        <v>20775</v>
      </c>
      <c r="B599" s="11" t="s">
        <v>4463</v>
      </c>
      <c r="C599" s="11" t="s">
        <v>2615</v>
      </c>
      <c r="D599" s="11" t="s">
        <v>4464</v>
      </c>
      <c r="E599" s="11"/>
      <c r="F599" s="11" t="s">
        <v>353</v>
      </c>
      <c r="G599" s="11" t="s">
        <v>4465</v>
      </c>
      <c r="H599" s="11" t="s">
        <v>4466</v>
      </c>
      <c r="I599" s="11" t="s">
        <v>4467</v>
      </c>
      <c r="J599" s="11" t="s">
        <v>4468</v>
      </c>
      <c r="K599" s="11" t="s">
        <v>525</v>
      </c>
      <c r="L599" s="11" t="s">
        <v>526</v>
      </c>
      <c r="M599" s="11" t="s">
        <v>4469</v>
      </c>
      <c r="N599" s="11" t="s">
        <v>128</v>
      </c>
      <c r="O599" s="11" t="s">
        <v>4470</v>
      </c>
      <c r="P599" s="11" t="s">
        <v>4471</v>
      </c>
      <c r="Q599" s="11" t="s">
        <v>150</v>
      </c>
      <c r="R599" s="11"/>
      <c r="S599" s="11" t="s">
        <v>71</v>
      </c>
      <c r="T599" s="11" t="s">
        <v>531</v>
      </c>
      <c r="U599" s="11" t="s">
        <v>150</v>
      </c>
      <c r="V599" s="11" t="s">
        <v>531</v>
      </c>
      <c r="W599" s="11" t="s">
        <v>531</v>
      </c>
      <c r="X599" s="11">
        <v>38</v>
      </c>
      <c r="Y599" s="11" t="s">
        <v>135</v>
      </c>
      <c r="Z599" s="11">
        <v>80</v>
      </c>
      <c r="AA599" s="11">
        <v>0</v>
      </c>
      <c r="AB599" s="12">
        <v>0</v>
      </c>
    </row>
    <row r="600" spans="1:28" x14ac:dyDescent="0.2">
      <c r="A600" s="7">
        <v>21744</v>
      </c>
      <c r="B600" s="8" t="s">
        <v>4472</v>
      </c>
      <c r="C600" s="8" t="s">
        <v>4473</v>
      </c>
      <c r="D600" s="8" t="s">
        <v>138</v>
      </c>
      <c r="E600" s="8" t="s">
        <v>4474</v>
      </c>
      <c r="F600" s="8" t="s">
        <v>4475</v>
      </c>
      <c r="G600" s="8" t="s">
        <v>224</v>
      </c>
      <c r="H600" s="8" t="s">
        <v>225</v>
      </c>
      <c r="I600" s="8" t="s">
        <v>4476</v>
      </c>
      <c r="J600" s="8" t="s">
        <v>4477</v>
      </c>
      <c r="K600" s="8" t="s">
        <v>228</v>
      </c>
      <c r="L600" s="8" t="s">
        <v>229</v>
      </c>
      <c r="M600" s="8" t="s">
        <v>4478</v>
      </c>
      <c r="N600" s="8" t="s">
        <v>128</v>
      </c>
      <c r="O600" s="8" t="s">
        <v>4479</v>
      </c>
      <c r="P600" s="8" t="s">
        <v>4480</v>
      </c>
      <c r="Q600" s="8" t="s">
        <v>150</v>
      </c>
      <c r="R600" s="8"/>
      <c r="S600" s="8" t="s">
        <v>71</v>
      </c>
      <c r="T600" s="8" t="s">
        <v>67</v>
      </c>
      <c r="U600" s="8" t="s">
        <v>150</v>
      </c>
      <c r="V600" s="8" t="s">
        <v>152</v>
      </c>
      <c r="W600" s="8" t="s">
        <v>67</v>
      </c>
      <c r="X600" s="8">
        <v>38</v>
      </c>
      <c r="Y600" s="8" t="s">
        <v>135</v>
      </c>
      <c r="Z600" s="8">
        <v>80</v>
      </c>
      <c r="AA600" s="8">
        <v>0</v>
      </c>
      <c r="AB600" s="9">
        <v>0</v>
      </c>
    </row>
    <row r="601" spans="1:28" x14ac:dyDescent="0.2">
      <c r="A601" s="10">
        <v>21435</v>
      </c>
      <c r="B601" s="11" t="s">
        <v>4481</v>
      </c>
      <c r="C601" s="11" t="s">
        <v>842</v>
      </c>
      <c r="D601" s="11" t="s">
        <v>4482</v>
      </c>
      <c r="E601" s="11" t="s">
        <v>4483</v>
      </c>
      <c r="F601" s="11" t="s">
        <v>353</v>
      </c>
      <c r="G601" s="11" t="s">
        <v>1488</v>
      </c>
      <c r="H601" s="11" t="s">
        <v>329</v>
      </c>
      <c r="I601" s="11" t="s">
        <v>4484</v>
      </c>
      <c r="J601" s="11" t="s">
        <v>4485</v>
      </c>
      <c r="K601" s="11" t="s">
        <v>415</v>
      </c>
      <c r="L601" s="11" t="s">
        <v>333</v>
      </c>
      <c r="M601" s="11" t="s">
        <v>4486</v>
      </c>
      <c r="N601" s="11" t="s">
        <v>128</v>
      </c>
      <c r="O601" s="11" t="s">
        <v>4487</v>
      </c>
      <c r="P601" s="11" t="s">
        <v>4488</v>
      </c>
      <c r="Q601" s="11" t="s">
        <v>150</v>
      </c>
      <c r="R601" s="11"/>
      <c r="S601" s="11" t="s">
        <v>4489</v>
      </c>
      <c r="T601" s="11" t="s">
        <v>67</v>
      </c>
      <c r="U601" s="11" t="s">
        <v>150</v>
      </c>
      <c r="V601" s="11" t="s">
        <v>152</v>
      </c>
      <c r="W601" s="11" t="s">
        <v>67</v>
      </c>
      <c r="X601" s="11">
        <v>38</v>
      </c>
      <c r="Y601" s="11" t="s">
        <v>135</v>
      </c>
      <c r="Z601" s="11">
        <v>80</v>
      </c>
      <c r="AA601" s="11">
        <v>1</v>
      </c>
      <c r="AB601" s="12">
        <v>1</v>
      </c>
    </row>
    <row r="602" spans="1:28" x14ac:dyDescent="0.2">
      <c r="A602" s="7">
        <v>21926</v>
      </c>
      <c r="B602" s="8" t="s">
        <v>4490</v>
      </c>
      <c r="C602" s="8" t="s">
        <v>627</v>
      </c>
      <c r="D602" s="8" t="s">
        <v>628</v>
      </c>
      <c r="E602" s="8" t="s">
        <v>4491</v>
      </c>
      <c r="F602" s="8" t="s">
        <v>630</v>
      </c>
      <c r="G602" s="8" t="s">
        <v>141</v>
      </c>
      <c r="H602" s="8" t="s">
        <v>142</v>
      </c>
      <c r="I602" s="8" t="s">
        <v>631</v>
      </c>
      <c r="J602" s="8" t="s">
        <v>632</v>
      </c>
      <c r="K602" s="8" t="s">
        <v>216</v>
      </c>
      <c r="L602" s="8" t="s">
        <v>146</v>
      </c>
      <c r="M602" s="8" t="s">
        <v>4492</v>
      </c>
      <c r="N602" s="8" t="s">
        <v>128</v>
      </c>
      <c r="O602" s="8" t="s">
        <v>4493</v>
      </c>
      <c r="P602" s="8"/>
      <c r="Q602" s="8" t="s">
        <v>131</v>
      </c>
      <c r="R602" s="8"/>
      <c r="S602" s="8" t="s">
        <v>636</v>
      </c>
      <c r="T602" s="8" t="s">
        <v>983</v>
      </c>
      <c r="U602" s="8" t="s">
        <v>134</v>
      </c>
      <c r="V602" s="8" t="s">
        <v>131</v>
      </c>
      <c r="W602" s="8" t="s">
        <v>983</v>
      </c>
      <c r="X602" s="8">
        <v>38</v>
      </c>
      <c r="Y602" s="8" t="s">
        <v>135</v>
      </c>
      <c r="Z602" s="8">
        <v>20</v>
      </c>
      <c r="AA602" s="8">
        <v>1</v>
      </c>
      <c r="AB602" s="9">
        <v>0</v>
      </c>
    </row>
    <row r="603" spans="1:28" x14ac:dyDescent="0.2">
      <c r="A603" s="10">
        <v>21885</v>
      </c>
      <c r="B603" s="11" t="s">
        <v>4494</v>
      </c>
      <c r="C603" s="11" t="s">
        <v>4453</v>
      </c>
      <c r="D603" s="11" t="s">
        <v>4454</v>
      </c>
      <c r="E603" s="11"/>
      <c r="F603" s="11" t="s">
        <v>4456</v>
      </c>
      <c r="G603" s="11" t="s">
        <v>141</v>
      </c>
      <c r="H603" s="11" t="s">
        <v>142</v>
      </c>
      <c r="I603" s="11" t="s">
        <v>4457</v>
      </c>
      <c r="J603" s="11" t="s">
        <v>4495</v>
      </c>
      <c r="K603" s="11" t="s">
        <v>216</v>
      </c>
      <c r="L603" s="11" t="s">
        <v>146</v>
      </c>
      <c r="M603" s="11" t="s">
        <v>4496</v>
      </c>
      <c r="N603" s="11" t="s">
        <v>128</v>
      </c>
      <c r="O603" s="11" t="s">
        <v>4497</v>
      </c>
      <c r="P603" s="11" t="s">
        <v>4498</v>
      </c>
      <c r="Q603" s="11" t="s">
        <v>131</v>
      </c>
      <c r="R603" s="11"/>
      <c r="S603" s="11" t="s">
        <v>4462</v>
      </c>
      <c r="T603" s="11" t="s">
        <v>133</v>
      </c>
      <c r="U603" s="11" t="s">
        <v>134</v>
      </c>
      <c r="V603" s="11" t="s">
        <v>131</v>
      </c>
      <c r="W603" s="11" t="s">
        <v>133</v>
      </c>
      <c r="X603" s="11">
        <v>38</v>
      </c>
      <c r="Y603" s="11" t="s">
        <v>135</v>
      </c>
      <c r="Z603" s="11">
        <v>20</v>
      </c>
      <c r="AA603" s="11">
        <v>1</v>
      </c>
      <c r="AB603" s="12">
        <v>0</v>
      </c>
    </row>
    <row r="604" spans="1:28" x14ac:dyDescent="0.2">
      <c r="A604" s="7">
        <v>21907</v>
      </c>
      <c r="B604" s="8" t="s">
        <v>4499</v>
      </c>
      <c r="C604" s="8" t="s">
        <v>1961</v>
      </c>
      <c r="D604" s="8" t="s">
        <v>1962</v>
      </c>
      <c r="E604" s="8"/>
      <c r="F604" s="8" t="s">
        <v>1963</v>
      </c>
      <c r="G604" s="8" t="s">
        <v>328</v>
      </c>
      <c r="H604" s="8" t="s">
        <v>329</v>
      </c>
      <c r="I604" s="8" t="s">
        <v>2315</v>
      </c>
      <c r="J604" s="8" t="s">
        <v>3300</v>
      </c>
      <c r="K604" s="8" t="s">
        <v>572</v>
      </c>
      <c r="L604" s="8" t="s">
        <v>333</v>
      </c>
      <c r="M604" s="8" t="s">
        <v>4500</v>
      </c>
      <c r="N604" s="8" t="s">
        <v>128</v>
      </c>
      <c r="O604" s="8" t="s">
        <v>4501</v>
      </c>
      <c r="P604" s="8" t="s">
        <v>4502</v>
      </c>
      <c r="Q604" s="8" t="s">
        <v>131</v>
      </c>
      <c r="R604" s="8"/>
      <c r="S604" s="8" t="s">
        <v>1969</v>
      </c>
      <c r="T604" s="8" t="s">
        <v>133</v>
      </c>
      <c r="U604" s="8" t="s">
        <v>134</v>
      </c>
      <c r="V604" s="8" t="s">
        <v>131</v>
      </c>
      <c r="W604" s="8" t="s">
        <v>133</v>
      </c>
      <c r="X604" s="8">
        <v>38</v>
      </c>
      <c r="Y604" s="8" t="s">
        <v>135</v>
      </c>
      <c r="Z604" s="8">
        <v>80</v>
      </c>
      <c r="AA604" s="8">
        <v>1</v>
      </c>
      <c r="AB604" s="9">
        <v>1</v>
      </c>
    </row>
    <row r="605" spans="1:28" x14ac:dyDescent="0.2">
      <c r="A605" s="10">
        <v>23089</v>
      </c>
      <c r="B605" s="11" t="s">
        <v>4503</v>
      </c>
      <c r="C605" s="11" t="s">
        <v>297</v>
      </c>
      <c r="D605" s="11" t="s">
        <v>138</v>
      </c>
      <c r="E605" s="11" t="s">
        <v>4504</v>
      </c>
      <c r="F605" s="11" t="s">
        <v>299</v>
      </c>
      <c r="G605" s="11" t="s">
        <v>300</v>
      </c>
      <c r="H605" s="11" t="s">
        <v>301</v>
      </c>
      <c r="I605" s="11" t="s">
        <v>4505</v>
      </c>
      <c r="J605" s="11" t="s">
        <v>303</v>
      </c>
      <c r="K605" s="11" t="s">
        <v>304</v>
      </c>
      <c r="L605" s="11" t="s">
        <v>229</v>
      </c>
      <c r="M605" s="11" t="s">
        <v>4506</v>
      </c>
      <c r="N605" s="11" t="s">
        <v>128</v>
      </c>
      <c r="O605" s="11" t="s">
        <v>4507</v>
      </c>
      <c r="P605" s="11" t="s">
        <v>4508</v>
      </c>
      <c r="Q605" s="11" t="s">
        <v>150</v>
      </c>
      <c r="R605" s="11"/>
      <c r="S605" s="11" t="s">
        <v>308</v>
      </c>
      <c r="T605" s="11" t="s">
        <v>70</v>
      </c>
      <c r="U605" s="11" t="s">
        <v>150</v>
      </c>
      <c r="V605" s="11" t="s">
        <v>70</v>
      </c>
      <c r="W605" s="11" t="s">
        <v>70</v>
      </c>
      <c r="X605" s="11">
        <v>38</v>
      </c>
      <c r="Y605" s="11" t="s">
        <v>135</v>
      </c>
      <c r="Z605" s="11">
        <v>80</v>
      </c>
      <c r="AA605" s="11">
        <v>1</v>
      </c>
      <c r="AB605" s="12">
        <v>1</v>
      </c>
    </row>
    <row r="606" spans="1:28" x14ac:dyDescent="0.2">
      <c r="A606" s="7">
        <v>23743</v>
      </c>
      <c r="B606" s="8" t="s">
        <v>4509</v>
      </c>
      <c r="C606" s="8" t="s">
        <v>4510</v>
      </c>
      <c r="D606" s="8" t="s">
        <v>4511</v>
      </c>
      <c r="E606" s="8" t="s">
        <v>4512</v>
      </c>
      <c r="F606" s="8" t="s">
        <v>353</v>
      </c>
      <c r="G606" s="8" t="s">
        <v>4513</v>
      </c>
      <c r="H606" s="8" t="s">
        <v>847</v>
      </c>
      <c r="I606" s="8" t="s">
        <v>4514</v>
      </c>
      <c r="J606" s="8" t="s">
        <v>4515</v>
      </c>
      <c r="K606" s="8" t="s">
        <v>1091</v>
      </c>
      <c r="L606" s="8" t="s">
        <v>126</v>
      </c>
      <c r="M606" s="8" t="s">
        <v>4516</v>
      </c>
      <c r="N606" s="8" t="s">
        <v>128</v>
      </c>
      <c r="O606" s="8" t="s">
        <v>4517</v>
      </c>
      <c r="P606" s="8" t="s">
        <v>4518</v>
      </c>
      <c r="Q606" s="8" t="s">
        <v>150</v>
      </c>
      <c r="R606" s="8"/>
      <c r="S606" s="8" t="s">
        <v>4519</v>
      </c>
      <c r="T606" s="8" t="s">
        <v>168</v>
      </c>
      <c r="U606" s="8" t="s">
        <v>150</v>
      </c>
      <c r="V606" s="8" t="s">
        <v>168</v>
      </c>
      <c r="W606" s="8" t="s">
        <v>168</v>
      </c>
      <c r="X606" s="8">
        <v>38</v>
      </c>
      <c r="Y606" s="8" t="s">
        <v>135</v>
      </c>
      <c r="Z606" s="8">
        <v>80</v>
      </c>
      <c r="AA606" s="8">
        <v>0</v>
      </c>
      <c r="AB606" s="9">
        <v>0</v>
      </c>
    </row>
    <row r="607" spans="1:28" x14ac:dyDescent="0.2">
      <c r="A607" s="10">
        <v>23792</v>
      </c>
      <c r="B607" s="11" t="s">
        <v>4520</v>
      </c>
      <c r="C607" s="11" t="s">
        <v>4521</v>
      </c>
      <c r="D607" s="11" t="s">
        <v>138</v>
      </c>
      <c r="E607" s="11" t="s">
        <v>4522</v>
      </c>
      <c r="F607" s="11" t="s">
        <v>4523</v>
      </c>
      <c r="G607" s="11" t="s">
        <v>4513</v>
      </c>
      <c r="H607" s="11" t="s">
        <v>847</v>
      </c>
      <c r="I607" s="11" t="s">
        <v>4524</v>
      </c>
      <c r="J607" s="11" t="s">
        <v>4525</v>
      </c>
      <c r="K607" s="11" t="s">
        <v>1091</v>
      </c>
      <c r="L607" s="11" t="s">
        <v>126</v>
      </c>
      <c r="M607" s="11" t="s">
        <v>4526</v>
      </c>
      <c r="N607" s="11" t="s">
        <v>128</v>
      </c>
      <c r="O607" s="11" t="s">
        <v>4527</v>
      </c>
      <c r="P607" s="11" t="s">
        <v>2753</v>
      </c>
      <c r="Q607" s="11" t="s">
        <v>150</v>
      </c>
      <c r="R607" s="11"/>
      <c r="S607" s="11" t="s">
        <v>4528</v>
      </c>
      <c r="T607" s="11" t="s">
        <v>168</v>
      </c>
      <c r="U607" s="11" t="s">
        <v>150</v>
      </c>
      <c r="V607" s="11" t="s">
        <v>168</v>
      </c>
      <c r="W607" s="11" t="s">
        <v>168</v>
      </c>
      <c r="X607" s="11">
        <v>38</v>
      </c>
      <c r="Y607" s="11" t="s">
        <v>135</v>
      </c>
      <c r="Z607" s="11">
        <v>80</v>
      </c>
      <c r="AA607" s="11">
        <v>0</v>
      </c>
      <c r="AB607" s="12">
        <v>0</v>
      </c>
    </row>
    <row r="608" spans="1:28" x14ac:dyDescent="0.2">
      <c r="A608" s="7">
        <v>24746</v>
      </c>
      <c r="B608" s="8" t="s">
        <v>4529</v>
      </c>
      <c r="C608" s="8" t="s">
        <v>1361</v>
      </c>
      <c r="D608" s="8" t="s">
        <v>1362</v>
      </c>
      <c r="E608" s="8" t="s">
        <v>4530</v>
      </c>
      <c r="F608" s="8" t="s">
        <v>353</v>
      </c>
      <c r="G608" s="8" t="s">
        <v>1364</v>
      </c>
      <c r="H608" s="8" t="s">
        <v>329</v>
      </c>
      <c r="I608" s="8" t="s">
        <v>1365</v>
      </c>
      <c r="J608" s="8" t="s">
        <v>4531</v>
      </c>
      <c r="K608" s="8" t="s">
        <v>431</v>
      </c>
      <c r="L608" s="8" t="s">
        <v>333</v>
      </c>
      <c r="M608" s="8" t="s">
        <v>4532</v>
      </c>
      <c r="N608" s="8" t="s">
        <v>128</v>
      </c>
      <c r="O608" s="8" t="s">
        <v>4533</v>
      </c>
      <c r="P608" s="8" t="s">
        <v>4534</v>
      </c>
      <c r="Q608" s="8" t="s">
        <v>150</v>
      </c>
      <c r="R608" s="8"/>
      <c r="S608" s="8" t="s">
        <v>1370</v>
      </c>
      <c r="T608" s="8" t="s">
        <v>69</v>
      </c>
      <c r="U608" s="8" t="s">
        <v>150</v>
      </c>
      <c r="V608" s="8" t="s">
        <v>152</v>
      </c>
      <c r="W608" s="8" t="s">
        <v>69</v>
      </c>
      <c r="X608" s="8">
        <v>38</v>
      </c>
      <c r="Y608" s="8" t="s">
        <v>135</v>
      </c>
      <c r="Z608" s="8">
        <v>80</v>
      </c>
      <c r="AA608" s="8">
        <v>0</v>
      </c>
      <c r="AB608" s="9">
        <v>0</v>
      </c>
    </row>
    <row r="609" spans="1:28" x14ac:dyDescent="0.2">
      <c r="A609" s="10">
        <v>24964</v>
      </c>
      <c r="B609" s="11" t="s">
        <v>4535</v>
      </c>
      <c r="C609" s="11" t="s">
        <v>825</v>
      </c>
      <c r="D609" s="11" t="s">
        <v>826</v>
      </c>
      <c r="E609" s="11" t="s">
        <v>4536</v>
      </c>
      <c r="F609" s="11" t="s">
        <v>828</v>
      </c>
      <c r="G609" s="11" t="s">
        <v>615</v>
      </c>
      <c r="H609" s="11" t="s">
        <v>616</v>
      </c>
      <c r="I609" s="11" t="s">
        <v>829</v>
      </c>
      <c r="J609" s="11" t="s">
        <v>830</v>
      </c>
      <c r="K609" s="11" t="s">
        <v>619</v>
      </c>
      <c r="L609" s="11" t="s">
        <v>163</v>
      </c>
      <c r="M609" s="11" t="s">
        <v>4537</v>
      </c>
      <c r="N609" s="11" t="s">
        <v>128</v>
      </c>
      <c r="O609" s="11" t="s">
        <v>4538</v>
      </c>
      <c r="P609" s="11" t="s">
        <v>4539</v>
      </c>
      <c r="Q609" s="11" t="s">
        <v>150</v>
      </c>
      <c r="R609" s="11"/>
      <c r="S609" s="11" t="s">
        <v>834</v>
      </c>
      <c r="T609" s="11" t="s">
        <v>1738</v>
      </c>
      <c r="U609" s="11" t="s">
        <v>150</v>
      </c>
      <c r="V609" s="11" t="s">
        <v>1738</v>
      </c>
      <c r="W609" s="11" t="s">
        <v>1738</v>
      </c>
      <c r="X609" s="11">
        <v>38</v>
      </c>
      <c r="Y609" s="11" t="s">
        <v>135</v>
      </c>
      <c r="Z609" s="11">
        <v>20</v>
      </c>
      <c r="AA609" s="11">
        <v>1</v>
      </c>
      <c r="AB609" s="12">
        <v>0</v>
      </c>
    </row>
    <row r="610" spans="1:28" x14ac:dyDescent="0.2">
      <c r="A610" s="7">
        <v>240300</v>
      </c>
      <c r="B610" s="8" t="s">
        <v>4540</v>
      </c>
      <c r="C610" s="8" t="s">
        <v>154</v>
      </c>
      <c r="D610" s="8" t="s">
        <v>155</v>
      </c>
      <c r="E610" s="8" t="s">
        <v>4541</v>
      </c>
      <c r="F610" s="8" t="s">
        <v>157</v>
      </c>
      <c r="G610" s="8" t="s">
        <v>158</v>
      </c>
      <c r="H610" s="8" t="s">
        <v>159</v>
      </c>
      <c r="I610" s="8" t="s">
        <v>160</v>
      </c>
      <c r="J610" s="8" t="s">
        <v>181</v>
      </c>
      <c r="K610" s="8" t="s">
        <v>162</v>
      </c>
      <c r="L610" s="8" t="s">
        <v>163</v>
      </c>
      <c r="M610" s="8" t="s">
        <v>4542</v>
      </c>
      <c r="N610" s="8" t="s">
        <v>128</v>
      </c>
      <c r="O610" s="8" t="s">
        <v>4543</v>
      </c>
      <c r="P610" s="8" t="s">
        <v>4544</v>
      </c>
      <c r="Q610" s="8" t="s">
        <v>740</v>
      </c>
      <c r="R610" s="8"/>
      <c r="S610" s="8" t="s">
        <v>167</v>
      </c>
      <c r="T610" s="8" t="s">
        <v>1745</v>
      </c>
      <c r="U610" s="8" t="s">
        <v>134</v>
      </c>
      <c r="V610" s="8" t="s">
        <v>740</v>
      </c>
      <c r="W610" s="8" t="s">
        <v>1745</v>
      </c>
      <c r="X610" s="8">
        <v>38</v>
      </c>
      <c r="Y610" s="8" t="s">
        <v>135</v>
      </c>
      <c r="Z610" s="8">
        <v>20</v>
      </c>
      <c r="AA610" s="8">
        <v>1</v>
      </c>
      <c r="AB610" s="9">
        <v>0</v>
      </c>
    </row>
    <row r="611" spans="1:28" x14ac:dyDescent="0.2">
      <c r="A611" s="10">
        <v>31786</v>
      </c>
      <c r="B611" s="11" t="s">
        <v>4545</v>
      </c>
      <c r="C611" s="11" t="s">
        <v>1282</v>
      </c>
      <c r="D611" s="11" t="s">
        <v>1283</v>
      </c>
      <c r="E611" s="11"/>
      <c r="F611" s="11" t="s">
        <v>353</v>
      </c>
      <c r="G611" s="11" t="s">
        <v>1286</v>
      </c>
      <c r="H611" s="11" t="s">
        <v>142</v>
      </c>
      <c r="I611" s="11" t="s">
        <v>1287</v>
      </c>
      <c r="J611" s="11" t="s">
        <v>4546</v>
      </c>
      <c r="K611" s="11" t="s">
        <v>717</v>
      </c>
      <c r="L611" s="11" t="s">
        <v>464</v>
      </c>
      <c r="M611" s="11" t="s">
        <v>4547</v>
      </c>
      <c r="N611" s="11" t="s">
        <v>128</v>
      </c>
      <c r="O611" s="11" t="s">
        <v>4548</v>
      </c>
      <c r="P611" s="11"/>
      <c r="Q611" s="11" t="s">
        <v>249</v>
      </c>
      <c r="R611" s="11"/>
      <c r="S611" s="11" t="s">
        <v>1292</v>
      </c>
      <c r="T611" s="11" t="s">
        <v>1523</v>
      </c>
      <c r="U611" s="11" t="s">
        <v>134</v>
      </c>
      <c r="V611" s="11" t="s">
        <v>249</v>
      </c>
      <c r="W611" s="11" t="s">
        <v>1523</v>
      </c>
      <c r="X611" s="11">
        <v>38</v>
      </c>
      <c r="Y611" s="11" t="s">
        <v>135</v>
      </c>
      <c r="Z611" s="11">
        <v>20</v>
      </c>
      <c r="AA611" s="11">
        <v>1</v>
      </c>
      <c r="AB611" s="12">
        <v>0</v>
      </c>
    </row>
    <row r="612" spans="1:28" x14ac:dyDescent="0.2">
      <c r="A612" s="7">
        <v>21106</v>
      </c>
      <c r="B612" s="8" t="s">
        <v>4549</v>
      </c>
      <c r="C612" s="8" t="s">
        <v>1928</v>
      </c>
      <c r="D612" s="8" t="s">
        <v>4209</v>
      </c>
      <c r="E612" s="8"/>
      <c r="F612" s="8" t="s">
        <v>4211</v>
      </c>
      <c r="G612" s="8" t="s">
        <v>2510</v>
      </c>
      <c r="H612" s="8" t="s">
        <v>2511</v>
      </c>
      <c r="I612" s="8" t="s">
        <v>4212</v>
      </c>
      <c r="J612" s="8" t="s">
        <v>4213</v>
      </c>
      <c r="K612" s="8" t="s">
        <v>1562</v>
      </c>
      <c r="L612" s="8" t="s">
        <v>229</v>
      </c>
      <c r="M612" s="8" t="s">
        <v>4550</v>
      </c>
      <c r="N612" s="8" t="s">
        <v>128</v>
      </c>
      <c r="O612" s="8" t="s">
        <v>4551</v>
      </c>
      <c r="P612" s="8" t="s">
        <v>4552</v>
      </c>
      <c r="Q612" s="8" t="s">
        <v>150</v>
      </c>
      <c r="R612" s="8"/>
      <c r="S612" s="8" t="s">
        <v>71</v>
      </c>
      <c r="T612" s="8" t="s">
        <v>289</v>
      </c>
      <c r="U612" s="8" t="s">
        <v>150</v>
      </c>
      <c r="V612" s="8" t="s">
        <v>289</v>
      </c>
      <c r="W612" s="8" t="s">
        <v>289</v>
      </c>
      <c r="X612" s="8">
        <v>37</v>
      </c>
      <c r="Y612" s="8" t="s">
        <v>135</v>
      </c>
      <c r="Z612" s="8">
        <v>80</v>
      </c>
      <c r="AA612" s="8">
        <v>0</v>
      </c>
      <c r="AB612" s="9">
        <v>0</v>
      </c>
    </row>
    <row r="613" spans="1:28" x14ac:dyDescent="0.2">
      <c r="A613" s="10">
        <v>119654</v>
      </c>
      <c r="B613" s="11" t="s">
        <v>4553</v>
      </c>
      <c r="C613" s="11" t="s">
        <v>4554</v>
      </c>
      <c r="D613" s="11" t="s">
        <v>138</v>
      </c>
      <c r="E613" s="11" t="s">
        <v>4555</v>
      </c>
      <c r="F613" s="11" t="s">
        <v>4556</v>
      </c>
      <c r="G613" s="11" t="s">
        <v>4557</v>
      </c>
      <c r="H613" s="11" t="s">
        <v>301</v>
      </c>
      <c r="I613" s="11" t="s">
        <v>4558</v>
      </c>
      <c r="J613" s="11" t="s">
        <v>4559</v>
      </c>
      <c r="K613" s="11" t="s">
        <v>304</v>
      </c>
      <c r="L613" s="11" t="s">
        <v>229</v>
      </c>
      <c r="M613" s="11" t="s">
        <v>4560</v>
      </c>
      <c r="N613" s="11" t="s">
        <v>128</v>
      </c>
      <c r="O613" s="11" t="s">
        <v>4561</v>
      </c>
      <c r="P613" s="11" t="s">
        <v>4562</v>
      </c>
      <c r="Q613" s="11" t="s">
        <v>150</v>
      </c>
      <c r="R613" s="11"/>
      <c r="S613" s="11" t="s">
        <v>71</v>
      </c>
      <c r="T613" s="11" t="s">
        <v>67</v>
      </c>
      <c r="U613" s="11" t="s">
        <v>150</v>
      </c>
      <c r="V613" s="11" t="s">
        <v>152</v>
      </c>
      <c r="W613" s="11" t="s">
        <v>67</v>
      </c>
      <c r="X613" s="11">
        <v>37</v>
      </c>
      <c r="Y613" s="11" t="s">
        <v>135</v>
      </c>
      <c r="Z613" s="11">
        <v>80</v>
      </c>
      <c r="AA613" s="11">
        <v>0</v>
      </c>
      <c r="AB613" s="12">
        <v>0</v>
      </c>
    </row>
    <row r="614" spans="1:28" x14ac:dyDescent="0.2">
      <c r="A614" s="7">
        <v>26177</v>
      </c>
      <c r="B614" s="8" t="s">
        <v>4563</v>
      </c>
      <c r="C614" s="8" t="s">
        <v>4564</v>
      </c>
      <c r="D614" s="8" t="s">
        <v>1568</v>
      </c>
      <c r="E614" s="8" t="s">
        <v>4565</v>
      </c>
      <c r="F614" s="8" t="s">
        <v>4566</v>
      </c>
      <c r="G614" s="8" t="s">
        <v>469</v>
      </c>
      <c r="H614" s="8" t="s">
        <v>142</v>
      </c>
      <c r="I614" s="8" t="s">
        <v>4567</v>
      </c>
      <c r="J614" s="8" t="s">
        <v>4568</v>
      </c>
      <c r="K614" s="8" t="s">
        <v>472</v>
      </c>
      <c r="L614" s="8" t="s">
        <v>146</v>
      </c>
      <c r="M614" s="8" t="s">
        <v>4569</v>
      </c>
      <c r="N614" s="8" t="s">
        <v>128</v>
      </c>
      <c r="O614" s="8" t="s">
        <v>4570</v>
      </c>
      <c r="P614" s="8" t="s">
        <v>4571</v>
      </c>
      <c r="Q614" s="8" t="s">
        <v>150</v>
      </c>
      <c r="R614" s="8"/>
      <c r="S614" s="8" t="s">
        <v>71</v>
      </c>
      <c r="T614" s="8" t="s">
        <v>67</v>
      </c>
      <c r="U614" s="8" t="s">
        <v>150</v>
      </c>
      <c r="V614" s="8" t="s">
        <v>152</v>
      </c>
      <c r="W614" s="8" t="s">
        <v>67</v>
      </c>
      <c r="X614" s="8">
        <v>37</v>
      </c>
      <c r="Y614" s="8" t="s">
        <v>135</v>
      </c>
      <c r="Z614" s="8">
        <v>80</v>
      </c>
      <c r="AA614" s="8">
        <v>0</v>
      </c>
      <c r="AB614" s="9">
        <v>0</v>
      </c>
    </row>
    <row r="615" spans="1:28" x14ac:dyDescent="0.2">
      <c r="A615" s="10">
        <v>107431</v>
      </c>
      <c r="B615" s="11" t="s">
        <v>4572</v>
      </c>
      <c r="C615" s="11" t="s">
        <v>3219</v>
      </c>
      <c r="D615" s="11" t="s">
        <v>645</v>
      </c>
      <c r="E615" s="11"/>
      <c r="F615" s="11" t="s">
        <v>4573</v>
      </c>
      <c r="G615" s="11" t="s">
        <v>846</v>
      </c>
      <c r="H615" s="11" t="s">
        <v>847</v>
      </c>
      <c r="I615" s="11" t="s">
        <v>3222</v>
      </c>
      <c r="J615" s="11" t="s">
        <v>3223</v>
      </c>
      <c r="K615" s="11" t="s">
        <v>1091</v>
      </c>
      <c r="L615" s="11" t="s">
        <v>126</v>
      </c>
      <c r="M615" s="11" t="s">
        <v>4574</v>
      </c>
      <c r="N615" s="11" t="s">
        <v>128</v>
      </c>
      <c r="O615" s="11" t="s">
        <v>4575</v>
      </c>
      <c r="P615" s="11" t="s">
        <v>4576</v>
      </c>
      <c r="Q615" s="11" t="s">
        <v>150</v>
      </c>
      <c r="R615" s="11"/>
      <c r="S615" s="11" t="s">
        <v>3227</v>
      </c>
      <c r="T615" s="11" t="s">
        <v>168</v>
      </c>
      <c r="U615" s="11" t="s">
        <v>150</v>
      </c>
      <c r="V615" s="11" t="s">
        <v>168</v>
      </c>
      <c r="W615" s="11" t="s">
        <v>168</v>
      </c>
      <c r="X615" s="11">
        <v>37</v>
      </c>
      <c r="Y615" s="11" t="s">
        <v>135</v>
      </c>
      <c r="Z615" s="11">
        <v>20</v>
      </c>
      <c r="AA615" s="11">
        <v>1</v>
      </c>
      <c r="AB615" s="12">
        <v>0</v>
      </c>
    </row>
    <row r="616" spans="1:28" x14ac:dyDescent="0.2">
      <c r="A616" s="7">
        <v>30290</v>
      </c>
      <c r="B616" s="8" t="s">
        <v>4577</v>
      </c>
      <c r="C616" s="8" t="s">
        <v>4578</v>
      </c>
      <c r="D616" s="8" t="s">
        <v>4579</v>
      </c>
      <c r="E616" s="8" t="s">
        <v>4580</v>
      </c>
      <c r="F616" s="8" t="s">
        <v>353</v>
      </c>
      <c r="G616" s="8" t="s">
        <v>1626</v>
      </c>
      <c r="H616" s="8" t="s">
        <v>142</v>
      </c>
      <c r="I616" s="8" t="s">
        <v>4581</v>
      </c>
      <c r="J616" s="8" t="s">
        <v>4582</v>
      </c>
      <c r="K616" s="8" t="s">
        <v>472</v>
      </c>
      <c r="L616" s="8" t="s">
        <v>146</v>
      </c>
      <c r="M616" s="8" t="s">
        <v>4583</v>
      </c>
      <c r="N616" s="8" t="s">
        <v>128</v>
      </c>
      <c r="O616" s="8"/>
      <c r="P616" s="8" t="s">
        <v>612</v>
      </c>
      <c r="Q616" s="8" t="s">
        <v>150</v>
      </c>
      <c r="R616" s="8"/>
      <c r="S616" s="8" t="s">
        <v>71</v>
      </c>
      <c r="T616" s="8" t="s">
        <v>69</v>
      </c>
      <c r="U616" s="8" t="s">
        <v>150</v>
      </c>
      <c r="V616" s="8" t="s">
        <v>152</v>
      </c>
      <c r="W616" s="8" t="s">
        <v>69</v>
      </c>
      <c r="X616" s="8">
        <v>37</v>
      </c>
      <c r="Y616" s="8" t="s">
        <v>135</v>
      </c>
      <c r="Z616" s="8">
        <v>80</v>
      </c>
      <c r="AA616" s="8">
        <v>0</v>
      </c>
      <c r="AB616" s="9">
        <v>0</v>
      </c>
    </row>
    <row r="617" spans="1:28" x14ac:dyDescent="0.2">
      <c r="A617" s="10">
        <v>24938</v>
      </c>
      <c r="B617" s="11" t="s">
        <v>4584</v>
      </c>
      <c r="C617" s="11" t="s">
        <v>3012</v>
      </c>
      <c r="D617" s="11"/>
      <c r="E617" s="11" t="s">
        <v>4585</v>
      </c>
      <c r="F617" s="11" t="s">
        <v>1951</v>
      </c>
      <c r="G617" s="11" t="s">
        <v>1952</v>
      </c>
      <c r="H617" s="11" t="s">
        <v>1953</v>
      </c>
      <c r="I617" s="11" t="s">
        <v>1954</v>
      </c>
      <c r="J617" s="11" t="s">
        <v>3015</v>
      </c>
      <c r="K617" s="11" t="s">
        <v>1956</v>
      </c>
      <c r="L617" s="11" t="s">
        <v>526</v>
      </c>
      <c r="M617" s="11" t="s">
        <v>4586</v>
      </c>
      <c r="N617" s="11" t="s">
        <v>128</v>
      </c>
      <c r="O617" s="11" t="s">
        <v>4587</v>
      </c>
      <c r="P617" s="11" t="s">
        <v>4588</v>
      </c>
      <c r="Q617" s="11" t="s">
        <v>150</v>
      </c>
      <c r="R617" s="11"/>
      <c r="S617" s="11" t="s">
        <v>1959</v>
      </c>
      <c r="T617" s="11" t="s">
        <v>1738</v>
      </c>
      <c r="U617" s="11" t="s">
        <v>150</v>
      </c>
      <c r="V617" s="11" t="s">
        <v>1738</v>
      </c>
      <c r="W617" s="11" t="s">
        <v>1738</v>
      </c>
      <c r="X617" s="11">
        <v>37</v>
      </c>
      <c r="Y617" s="11" t="s">
        <v>135</v>
      </c>
      <c r="Z617" s="11">
        <v>80</v>
      </c>
      <c r="AA617" s="11">
        <v>1</v>
      </c>
      <c r="AB617" s="12">
        <v>1</v>
      </c>
    </row>
    <row r="618" spans="1:28" x14ac:dyDescent="0.2">
      <c r="A618" s="7">
        <v>25204</v>
      </c>
      <c r="B618" s="8" t="s">
        <v>4589</v>
      </c>
      <c r="C618" s="8" t="s">
        <v>842</v>
      </c>
      <c r="D618" s="8" t="s">
        <v>4482</v>
      </c>
      <c r="E618" s="8" t="s">
        <v>4590</v>
      </c>
      <c r="F618" s="8" t="s">
        <v>353</v>
      </c>
      <c r="G618" s="8" t="s">
        <v>1488</v>
      </c>
      <c r="H618" s="8" t="s">
        <v>329</v>
      </c>
      <c r="I618" s="8" t="s">
        <v>4484</v>
      </c>
      <c r="J618" s="8" t="s">
        <v>4485</v>
      </c>
      <c r="K618" s="8" t="s">
        <v>415</v>
      </c>
      <c r="L618" s="8" t="s">
        <v>333</v>
      </c>
      <c r="M618" s="8" t="s">
        <v>4591</v>
      </c>
      <c r="N618" s="8" t="s">
        <v>128</v>
      </c>
      <c r="O618" s="8" t="s">
        <v>4592</v>
      </c>
      <c r="P618" s="8" t="s">
        <v>4593</v>
      </c>
      <c r="Q618" s="8" t="s">
        <v>740</v>
      </c>
      <c r="R618" s="8"/>
      <c r="S618" s="8" t="s">
        <v>4489</v>
      </c>
      <c r="T618" s="8" t="s">
        <v>741</v>
      </c>
      <c r="U618" s="8" t="s">
        <v>134</v>
      </c>
      <c r="V618" s="8" t="s">
        <v>740</v>
      </c>
      <c r="W618" s="8" t="s">
        <v>741</v>
      </c>
      <c r="X618" s="8">
        <v>37</v>
      </c>
      <c r="Y618" s="8" t="s">
        <v>135</v>
      </c>
      <c r="Z618" s="8">
        <v>80</v>
      </c>
      <c r="AA618" s="8">
        <v>1</v>
      </c>
      <c r="AB618" s="9">
        <v>1</v>
      </c>
    </row>
    <row r="619" spans="1:28" x14ac:dyDescent="0.2">
      <c r="A619" s="10">
        <v>22153</v>
      </c>
      <c r="B619" s="11" t="s">
        <v>4594</v>
      </c>
      <c r="C619" s="11" t="s">
        <v>2133</v>
      </c>
      <c r="D619" s="11" t="s">
        <v>2134</v>
      </c>
      <c r="E619" s="11" t="s">
        <v>4060</v>
      </c>
      <c r="F619" s="11" t="s">
        <v>2136</v>
      </c>
      <c r="G619" s="11" t="s">
        <v>556</v>
      </c>
      <c r="H619" s="11" t="s">
        <v>557</v>
      </c>
      <c r="I619" s="11" t="s">
        <v>2137</v>
      </c>
      <c r="J619" s="11" t="s">
        <v>2138</v>
      </c>
      <c r="K619" s="11" t="s">
        <v>560</v>
      </c>
      <c r="L619" s="11" t="s">
        <v>229</v>
      </c>
      <c r="M619" s="11" t="s">
        <v>4595</v>
      </c>
      <c r="N619" s="11" t="s">
        <v>128</v>
      </c>
      <c r="O619" s="11" t="s">
        <v>4596</v>
      </c>
      <c r="P619" s="11"/>
      <c r="Q619" s="11" t="s">
        <v>249</v>
      </c>
      <c r="R619" s="11"/>
      <c r="S619" s="11" t="s">
        <v>2142</v>
      </c>
      <c r="T619" s="11" t="s">
        <v>1523</v>
      </c>
      <c r="U619" s="11" t="s">
        <v>134</v>
      </c>
      <c r="V619" s="11" t="s">
        <v>249</v>
      </c>
      <c r="W619" s="11" t="s">
        <v>1523</v>
      </c>
      <c r="X619" s="11">
        <v>37</v>
      </c>
      <c r="Y619" s="11" t="s">
        <v>135</v>
      </c>
      <c r="Z619" s="11">
        <v>20</v>
      </c>
      <c r="AA619" s="11">
        <v>1</v>
      </c>
      <c r="AB619" s="12">
        <v>0</v>
      </c>
    </row>
    <row r="620" spans="1:28" x14ac:dyDescent="0.2">
      <c r="A620" s="7">
        <v>25404</v>
      </c>
      <c r="B620" s="8" t="s">
        <v>4597</v>
      </c>
      <c r="C620" s="8" t="s">
        <v>1183</v>
      </c>
      <c r="D620" s="8" t="s">
        <v>904</v>
      </c>
      <c r="E620" s="8" t="s">
        <v>4598</v>
      </c>
      <c r="F620" s="8" t="s">
        <v>1185</v>
      </c>
      <c r="G620" s="8" t="s">
        <v>121</v>
      </c>
      <c r="H620" s="8" t="s">
        <v>122</v>
      </c>
      <c r="I620" s="8" t="s">
        <v>1186</v>
      </c>
      <c r="J620" s="8" t="s">
        <v>1187</v>
      </c>
      <c r="K620" s="8" t="s">
        <v>1051</v>
      </c>
      <c r="L620" s="8" t="s">
        <v>126</v>
      </c>
      <c r="M620" s="8" t="s">
        <v>4599</v>
      </c>
      <c r="N620" s="8" t="s">
        <v>128</v>
      </c>
      <c r="O620" s="8" t="s">
        <v>4600</v>
      </c>
      <c r="P620" s="8" t="s">
        <v>4601</v>
      </c>
      <c r="Q620" s="8" t="s">
        <v>249</v>
      </c>
      <c r="R620" s="8"/>
      <c r="S620" s="8" t="s">
        <v>1191</v>
      </c>
      <c r="T620" s="8" t="s">
        <v>250</v>
      </c>
      <c r="U620" s="8" t="s">
        <v>134</v>
      </c>
      <c r="V620" s="8" t="s">
        <v>249</v>
      </c>
      <c r="W620" s="8" t="s">
        <v>250</v>
      </c>
      <c r="X620" s="8">
        <v>37</v>
      </c>
      <c r="Y620" s="8" t="s">
        <v>135</v>
      </c>
      <c r="Z620" s="8">
        <v>80</v>
      </c>
      <c r="AA620" s="8">
        <v>1</v>
      </c>
      <c r="AB620" s="9">
        <v>1</v>
      </c>
    </row>
    <row r="621" spans="1:28" x14ac:dyDescent="0.2">
      <c r="A621" s="10">
        <v>21573</v>
      </c>
      <c r="B621" s="11" t="s">
        <v>4602</v>
      </c>
      <c r="C621" s="11" t="s">
        <v>4603</v>
      </c>
      <c r="D621" s="11" t="s">
        <v>4604</v>
      </c>
      <c r="E621" s="11" t="s">
        <v>4605</v>
      </c>
      <c r="F621" s="11" t="s">
        <v>353</v>
      </c>
      <c r="G621" s="11" t="s">
        <v>4606</v>
      </c>
      <c r="H621" s="11" t="s">
        <v>142</v>
      </c>
      <c r="I621" s="11" t="s">
        <v>4607</v>
      </c>
      <c r="J621" s="11" t="s">
        <v>4608</v>
      </c>
      <c r="K621" s="11" t="s">
        <v>1029</v>
      </c>
      <c r="L621" s="11" t="s">
        <v>464</v>
      </c>
      <c r="M621" s="11" t="s">
        <v>4609</v>
      </c>
      <c r="N621" s="11" t="s">
        <v>128</v>
      </c>
      <c r="O621" s="11" t="s">
        <v>4610</v>
      </c>
      <c r="P621" s="11" t="s">
        <v>4068</v>
      </c>
      <c r="Q621" s="11" t="s">
        <v>150</v>
      </c>
      <c r="R621" s="11"/>
      <c r="S621" s="11" t="s">
        <v>71</v>
      </c>
      <c r="T621" s="11" t="s">
        <v>67</v>
      </c>
      <c r="U621" s="11" t="s">
        <v>150</v>
      </c>
      <c r="V621" s="11" t="s">
        <v>152</v>
      </c>
      <c r="W621" s="11" t="s">
        <v>67</v>
      </c>
      <c r="X621" s="11">
        <v>36</v>
      </c>
      <c r="Y621" s="11" t="s">
        <v>135</v>
      </c>
      <c r="Z621" s="11">
        <v>80</v>
      </c>
      <c r="AA621" s="11">
        <v>0</v>
      </c>
      <c r="AB621" s="12">
        <v>0</v>
      </c>
    </row>
    <row r="622" spans="1:28" x14ac:dyDescent="0.2">
      <c r="A622" s="7">
        <v>21692</v>
      </c>
      <c r="B622" s="8" t="s">
        <v>4611</v>
      </c>
      <c r="C622" s="8" t="s">
        <v>4612</v>
      </c>
      <c r="D622" s="8" t="s">
        <v>4613</v>
      </c>
      <c r="E622" s="8" t="s">
        <v>4614</v>
      </c>
      <c r="F622" s="8" t="s">
        <v>353</v>
      </c>
      <c r="G622" s="8" t="s">
        <v>3643</v>
      </c>
      <c r="H622" s="8" t="s">
        <v>142</v>
      </c>
      <c r="I622" s="8" t="s">
        <v>4615</v>
      </c>
      <c r="J622" s="8" t="s">
        <v>4616</v>
      </c>
      <c r="K622" s="8" t="s">
        <v>651</v>
      </c>
      <c r="L622" s="8" t="s">
        <v>146</v>
      </c>
      <c r="M622" s="8" t="s">
        <v>4617</v>
      </c>
      <c r="N622" s="8" t="s">
        <v>128</v>
      </c>
      <c r="O622" s="8" t="s">
        <v>4618</v>
      </c>
      <c r="P622" s="8" t="s">
        <v>4619</v>
      </c>
      <c r="Q622" s="8" t="s">
        <v>150</v>
      </c>
      <c r="R622" s="8"/>
      <c r="S622" s="8" t="s">
        <v>4620</v>
      </c>
      <c r="T622" s="8" t="s">
        <v>67</v>
      </c>
      <c r="U622" s="8" t="s">
        <v>150</v>
      </c>
      <c r="V622" s="8" t="s">
        <v>152</v>
      </c>
      <c r="W622" s="8" t="s">
        <v>67</v>
      </c>
      <c r="X622" s="8">
        <v>36</v>
      </c>
      <c r="Y622" s="8" t="s">
        <v>135</v>
      </c>
      <c r="Z622" s="8">
        <v>80</v>
      </c>
      <c r="AA622" s="8">
        <v>0</v>
      </c>
      <c r="AB622" s="9">
        <v>0</v>
      </c>
    </row>
    <row r="623" spans="1:28" x14ac:dyDescent="0.2">
      <c r="A623" s="10">
        <v>21314</v>
      </c>
      <c r="B623" s="11" t="s">
        <v>4621</v>
      </c>
      <c r="C623" s="11" t="s">
        <v>4622</v>
      </c>
      <c r="D623" s="11" t="s">
        <v>4623</v>
      </c>
      <c r="E623" s="11"/>
      <c r="F623" s="11" t="s">
        <v>4624</v>
      </c>
      <c r="G623" s="11" t="s">
        <v>4625</v>
      </c>
      <c r="H623" s="11" t="s">
        <v>142</v>
      </c>
      <c r="I623" s="11" t="s">
        <v>4626</v>
      </c>
      <c r="J623" s="11" t="s">
        <v>4627</v>
      </c>
      <c r="K623" s="11" t="s">
        <v>651</v>
      </c>
      <c r="L623" s="11" t="s">
        <v>146</v>
      </c>
      <c r="M623" s="11" t="s">
        <v>4628</v>
      </c>
      <c r="N623" s="11" t="s">
        <v>128</v>
      </c>
      <c r="O623" s="11" t="s">
        <v>4629</v>
      </c>
      <c r="P623" s="11" t="s">
        <v>4630</v>
      </c>
      <c r="Q623" s="11" t="s">
        <v>150</v>
      </c>
      <c r="R623" s="11"/>
      <c r="S623" s="11" t="s">
        <v>71</v>
      </c>
      <c r="T623" s="11" t="s">
        <v>67</v>
      </c>
      <c r="U623" s="11" t="s">
        <v>150</v>
      </c>
      <c r="V623" s="11" t="s">
        <v>152</v>
      </c>
      <c r="W623" s="11" t="s">
        <v>67</v>
      </c>
      <c r="X623" s="11">
        <v>36</v>
      </c>
      <c r="Y623" s="11" t="s">
        <v>135</v>
      </c>
      <c r="Z623" s="11">
        <v>80</v>
      </c>
      <c r="AA623" s="11">
        <v>0</v>
      </c>
      <c r="AB623" s="12">
        <v>0</v>
      </c>
    </row>
    <row r="624" spans="1:28" x14ac:dyDescent="0.2">
      <c r="A624" s="7">
        <v>21904</v>
      </c>
      <c r="B624" s="8" t="s">
        <v>4631</v>
      </c>
      <c r="C624" s="8" t="s">
        <v>4632</v>
      </c>
      <c r="D624" s="8" t="s">
        <v>4633</v>
      </c>
      <c r="E624" s="8" t="s">
        <v>4634</v>
      </c>
      <c r="F624" s="8" t="s">
        <v>4635</v>
      </c>
      <c r="G624" s="8" t="s">
        <v>556</v>
      </c>
      <c r="H624" s="8" t="s">
        <v>557</v>
      </c>
      <c r="I624" s="8" t="s">
        <v>4636</v>
      </c>
      <c r="J624" s="8" t="s">
        <v>4637</v>
      </c>
      <c r="K624" s="8" t="s">
        <v>560</v>
      </c>
      <c r="L624" s="8" t="s">
        <v>229</v>
      </c>
      <c r="M624" s="8" t="s">
        <v>4638</v>
      </c>
      <c r="N624" s="8" t="s">
        <v>128</v>
      </c>
      <c r="O624" s="8" t="s">
        <v>4639</v>
      </c>
      <c r="P624" s="8" t="s">
        <v>4640</v>
      </c>
      <c r="Q624" s="8" t="s">
        <v>131</v>
      </c>
      <c r="R624" s="8"/>
      <c r="S624" s="8" t="s">
        <v>4641</v>
      </c>
      <c r="T624" s="8" t="s">
        <v>133</v>
      </c>
      <c r="U624" s="8" t="s">
        <v>134</v>
      </c>
      <c r="V624" s="8" t="s">
        <v>131</v>
      </c>
      <c r="W624" s="8" t="s">
        <v>133</v>
      </c>
      <c r="X624" s="8">
        <v>36</v>
      </c>
      <c r="Y624" s="8" t="s">
        <v>135</v>
      </c>
      <c r="Z624" s="8">
        <v>20</v>
      </c>
      <c r="AA624" s="8">
        <v>1</v>
      </c>
      <c r="AB624" s="9">
        <v>0</v>
      </c>
    </row>
    <row r="625" spans="1:28" x14ac:dyDescent="0.2">
      <c r="A625" s="10">
        <v>22505</v>
      </c>
      <c r="B625" s="11" t="s">
        <v>4642</v>
      </c>
      <c r="C625" s="11" t="s">
        <v>373</v>
      </c>
      <c r="D625" s="11" t="s">
        <v>138</v>
      </c>
      <c r="E625" s="11" t="s">
        <v>4643</v>
      </c>
      <c r="F625" s="11" t="s">
        <v>484</v>
      </c>
      <c r="G625" s="11" t="s">
        <v>224</v>
      </c>
      <c r="H625" s="11" t="s">
        <v>225</v>
      </c>
      <c r="I625" s="11" t="s">
        <v>485</v>
      </c>
      <c r="J625" s="11" t="s">
        <v>486</v>
      </c>
      <c r="K625" s="11" t="s">
        <v>228</v>
      </c>
      <c r="L625" s="11" t="s">
        <v>229</v>
      </c>
      <c r="M625" s="11" t="s">
        <v>4644</v>
      </c>
      <c r="N625" s="11" t="s">
        <v>128</v>
      </c>
      <c r="O625" s="11" t="s">
        <v>4645</v>
      </c>
      <c r="P625" s="11" t="s">
        <v>4646</v>
      </c>
      <c r="Q625" s="11" t="s">
        <v>150</v>
      </c>
      <c r="R625" s="11"/>
      <c r="S625" s="11" t="s">
        <v>381</v>
      </c>
      <c r="T625" s="11" t="s">
        <v>869</v>
      </c>
      <c r="U625" s="11" t="s">
        <v>150</v>
      </c>
      <c r="V625" s="11" t="s">
        <v>869</v>
      </c>
      <c r="W625" s="11" t="s">
        <v>869</v>
      </c>
      <c r="X625" s="11">
        <v>36</v>
      </c>
      <c r="Y625" s="11" t="s">
        <v>135</v>
      </c>
      <c r="Z625" s="11">
        <v>80</v>
      </c>
      <c r="AA625" s="11">
        <v>1</v>
      </c>
      <c r="AB625" s="12">
        <v>1</v>
      </c>
    </row>
    <row r="626" spans="1:28" x14ac:dyDescent="0.2">
      <c r="A626" s="7">
        <v>22922</v>
      </c>
      <c r="B626" s="8" t="s">
        <v>4647</v>
      </c>
      <c r="C626" s="8" t="s">
        <v>1703</v>
      </c>
      <c r="D626" s="8" t="s">
        <v>1704</v>
      </c>
      <c r="E626" s="8" t="s">
        <v>4648</v>
      </c>
      <c r="F626" s="8" t="s">
        <v>1705</v>
      </c>
      <c r="G626" s="8" t="s">
        <v>141</v>
      </c>
      <c r="H626" s="8" t="s">
        <v>142</v>
      </c>
      <c r="I626" s="8" t="s">
        <v>4649</v>
      </c>
      <c r="J626" s="8" t="s">
        <v>3803</v>
      </c>
      <c r="K626" s="8" t="s">
        <v>991</v>
      </c>
      <c r="L626" s="8" t="s">
        <v>146</v>
      </c>
      <c r="M626" s="8" t="s">
        <v>4650</v>
      </c>
      <c r="N626" s="8" t="s">
        <v>4651</v>
      </c>
      <c r="O626" s="8" t="s">
        <v>4652</v>
      </c>
      <c r="P626" s="8" t="s">
        <v>4653</v>
      </c>
      <c r="Q626" s="8" t="s">
        <v>150</v>
      </c>
      <c r="R626" s="8"/>
      <c r="S626" s="8" t="s">
        <v>1711</v>
      </c>
      <c r="T626" s="8" t="s">
        <v>70</v>
      </c>
      <c r="U626" s="8" t="s">
        <v>150</v>
      </c>
      <c r="V626" s="8" t="s">
        <v>70</v>
      </c>
      <c r="W626" s="8" t="s">
        <v>70</v>
      </c>
      <c r="X626" s="8">
        <v>36</v>
      </c>
      <c r="Y626" s="8" t="s">
        <v>135</v>
      </c>
      <c r="Z626" s="8">
        <v>20</v>
      </c>
      <c r="AA626" s="8">
        <v>1</v>
      </c>
      <c r="AB626" s="9">
        <v>0</v>
      </c>
    </row>
    <row r="627" spans="1:28" x14ac:dyDescent="0.2">
      <c r="A627" s="10">
        <v>85362</v>
      </c>
      <c r="B627" s="11" t="s">
        <v>4654</v>
      </c>
      <c r="C627" s="11" t="s">
        <v>4655</v>
      </c>
      <c r="D627" s="11" t="s">
        <v>212</v>
      </c>
      <c r="E627" s="11" t="s">
        <v>4656</v>
      </c>
      <c r="F627" s="11" t="s">
        <v>4657</v>
      </c>
      <c r="G627" s="11" t="s">
        <v>4658</v>
      </c>
      <c r="H627" s="11" t="s">
        <v>301</v>
      </c>
      <c r="I627" s="11" t="s">
        <v>4659</v>
      </c>
      <c r="J627" s="11" t="s">
        <v>4660</v>
      </c>
      <c r="K627" s="11" t="s">
        <v>304</v>
      </c>
      <c r="L627" s="11" t="s">
        <v>229</v>
      </c>
      <c r="M627" s="11" t="s">
        <v>4661</v>
      </c>
      <c r="N627" s="11" t="s">
        <v>128</v>
      </c>
      <c r="O627" s="11" t="s">
        <v>4662</v>
      </c>
      <c r="P627" s="11" t="s">
        <v>4663</v>
      </c>
      <c r="Q627" s="11" t="s">
        <v>150</v>
      </c>
      <c r="R627" s="11"/>
      <c r="S627" s="11" t="s">
        <v>71</v>
      </c>
      <c r="T627" s="11" t="s">
        <v>168</v>
      </c>
      <c r="U627" s="11" t="s">
        <v>150</v>
      </c>
      <c r="V627" s="11" t="s">
        <v>168</v>
      </c>
      <c r="W627" s="11" t="s">
        <v>168</v>
      </c>
      <c r="X627" s="11">
        <v>36</v>
      </c>
      <c r="Y627" s="11" t="s">
        <v>135</v>
      </c>
      <c r="Z627" s="11">
        <v>80</v>
      </c>
      <c r="AA627" s="11">
        <v>0</v>
      </c>
      <c r="AB627" s="12">
        <v>0</v>
      </c>
    </row>
    <row r="628" spans="1:28" x14ac:dyDescent="0.2">
      <c r="A628" s="7">
        <v>92874</v>
      </c>
      <c r="B628" s="8" t="s">
        <v>4664</v>
      </c>
      <c r="C628" s="8" t="s">
        <v>4665</v>
      </c>
      <c r="D628" s="8" t="s">
        <v>4666</v>
      </c>
      <c r="E628" s="8"/>
      <c r="F628" s="8" t="s">
        <v>353</v>
      </c>
      <c r="G628" s="8" t="s">
        <v>4667</v>
      </c>
      <c r="H628" s="8" t="s">
        <v>142</v>
      </c>
      <c r="I628" s="8" t="s">
        <v>4668</v>
      </c>
      <c r="J628" s="8" t="s">
        <v>4669</v>
      </c>
      <c r="K628" s="8" t="s">
        <v>1673</v>
      </c>
      <c r="L628" s="8" t="s">
        <v>464</v>
      </c>
      <c r="M628" s="8" t="s">
        <v>4670</v>
      </c>
      <c r="N628" s="8" t="s">
        <v>128</v>
      </c>
      <c r="O628" s="8" t="s">
        <v>4671</v>
      </c>
      <c r="P628" s="8" t="s">
        <v>2348</v>
      </c>
      <c r="Q628" s="8" t="s">
        <v>150</v>
      </c>
      <c r="R628" s="8"/>
      <c r="S628" s="8" t="s">
        <v>71</v>
      </c>
      <c r="T628" s="8" t="s">
        <v>168</v>
      </c>
      <c r="U628" s="8" t="s">
        <v>150</v>
      </c>
      <c r="V628" s="8" t="s">
        <v>168</v>
      </c>
      <c r="W628" s="8" t="s">
        <v>168</v>
      </c>
      <c r="X628" s="8">
        <v>36</v>
      </c>
      <c r="Y628" s="8" t="s">
        <v>135</v>
      </c>
      <c r="Z628" s="8">
        <v>80</v>
      </c>
      <c r="AA628" s="8">
        <v>0</v>
      </c>
      <c r="AB628" s="9">
        <v>0</v>
      </c>
    </row>
    <row r="629" spans="1:28" x14ac:dyDescent="0.2">
      <c r="A629" s="10">
        <v>92313</v>
      </c>
      <c r="B629" s="11" t="s">
        <v>4672</v>
      </c>
      <c r="C629" s="11" t="s">
        <v>4673</v>
      </c>
      <c r="D629" s="11" t="s">
        <v>1032</v>
      </c>
      <c r="E629" s="11"/>
      <c r="F629" s="11" t="s">
        <v>4674</v>
      </c>
      <c r="G629" s="11" t="s">
        <v>4675</v>
      </c>
      <c r="H629" s="11" t="s">
        <v>191</v>
      </c>
      <c r="I629" s="11" t="s">
        <v>4676</v>
      </c>
      <c r="J629" s="11" t="s">
        <v>4677</v>
      </c>
      <c r="K629" s="11" t="s">
        <v>194</v>
      </c>
      <c r="L629" s="11" t="s">
        <v>163</v>
      </c>
      <c r="M629" s="11" t="s">
        <v>4678</v>
      </c>
      <c r="N629" s="11" t="s">
        <v>128</v>
      </c>
      <c r="O629" s="11" t="s">
        <v>4679</v>
      </c>
      <c r="P629" s="11" t="s">
        <v>4680</v>
      </c>
      <c r="Q629" s="11" t="s">
        <v>150</v>
      </c>
      <c r="R629" s="11"/>
      <c r="S629" s="11" t="s">
        <v>71</v>
      </c>
      <c r="T629" s="11" t="s">
        <v>168</v>
      </c>
      <c r="U629" s="11" t="s">
        <v>150</v>
      </c>
      <c r="V629" s="11" t="s">
        <v>168</v>
      </c>
      <c r="W629" s="11" t="s">
        <v>168</v>
      </c>
      <c r="X629" s="11">
        <v>36</v>
      </c>
      <c r="Y629" s="11" t="s">
        <v>135</v>
      </c>
      <c r="Z629" s="11">
        <v>80</v>
      </c>
      <c r="AA629" s="11">
        <v>0</v>
      </c>
      <c r="AB629" s="12">
        <v>0</v>
      </c>
    </row>
    <row r="630" spans="1:28" x14ac:dyDescent="0.2">
      <c r="A630" s="7">
        <v>22377</v>
      </c>
      <c r="B630" s="8" t="s">
        <v>4681</v>
      </c>
      <c r="C630" s="8" t="s">
        <v>266</v>
      </c>
      <c r="D630" s="8" t="s">
        <v>267</v>
      </c>
      <c r="E630" s="8" t="s">
        <v>4682</v>
      </c>
      <c r="F630" s="8" t="s">
        <v>269</v>
      </c>
      <c r="G630" s="8" t="s">
        <v>270</v>
      </c>
      <c r="H630" s="8" t="s">
        <v>271</v>
      </c>
      <c r="I630" s="8" t="s">
        <v>272</v>
      </c>
      <c r="J630" s="8" t="s">
        <v>3357</v>
      </c>
      <c r="K630" s="8" t="s">
        <v>274</v>
      </c>
      <c r="L630" s="8" t="s">
        <v>163</v>
      </c>
      <c r="M630" s="8" t="s">
        <v>4683</v>
      </c>
      <c r="N630" s="8" t="s">
        <v>128</v>
      </c>
      <c r="O630" s="8" t="s">
        <v>4684</v>
      </c>
      <c r="P630" s="8" t="s">
        <v>4685</v>
      </c>
      <c r="Q630" s="8" t="s">
        <v>740</v>
      </c>
      <c r="R630" s="8"/>
      <c r="S630" s="8" t="s">
        <v>278</v>
      </c>
      <c r="T630" s="8" t="s">
        <v>1745</v>
      </c>
      <c r="U630" s="8" t="s">
        <v>134</v>
      </c>
      <c r="V630" s="8" t="s">
        <v>740</v>
      </c>
      <c r="W630" s="8" t="s">
        <v>1745</v>
      </c>
      <c r="X630" s="8">
        <v>36</v>
      </c>
      <c r="Y630" s="8" t="s">
        <v>135</v>
      </c>
      <c r="Z630" s="8">
        <v>20</v>
      </c>
      <c r="AA630" s="8">
        <v>1</v>
      </c>
      <c r="AB630" s="9">
        <v>0</v>
      </c>
    </row>
    <row r="631" spans="1:28" x14ac:dyDescent="0.2">
      <c r="A631" s="10">
        <v>25194</v>
      </c>
      <c r="B631" s="11" t="s">
        <v>4686</v>
      </c>
      <c r="C631" s="11" t="s">
        <v>4632</v>
      </c>
      <c r="D631" s="11" t="s">
        <v>4633</v>
      </c>
      <c r="E631" s="11" t="s">
        <v>4687</v>
      </c>
      <c r="F631" s="11" t="s">
        <v>4635</v>
      </c>
      <c r="G631" s="11" t="s">
        <v>556</v>
      </c>
      <c r="H631" s="11" t="s">
        <v>557</v>
      </c>
      <c r="I631" s="11" t="s">
        <v>4636</v>
      </c>
      <c r="J631" s="11" t="s">
        <v>4637</v>
      </c>
      <c r="K631" s="11" t="s">
        <v>560</v>
      </c>
      <c r="L631" s="11" t="s">
        <v>229</v>
      </c>
      <c r="M631" s="11" t="s">
        <v>4688</v>
      </c>
      <c r="N631" s="11" t="s">
        <v>128</v>
      </c>
      <c r="O631" s="11" t="s">
        <v>4689</v>
      </c>
      <c r="P631" s="11" t="s">
        <v>4690</v>
      </c>
      <c r="Q631" s="11" t="s">
        <v>740</v>
      </c>
      <c r="R631" s="11"/>
      <c r="S631" s="11" t="s">
        <v>4641</v>
      </c>
      <c r="T631" s="11" t="s">
        <v>741</v>
      </c>
      <c r="U631" s="11" t="s">
        <v>134</v>
      </c>
      <c r="V631" s="11" t="s">
        <v>740</v>
      </c>
      <c r="W631" s="11" t="s">
        <v>741</v>
      </c>
      <c r="X631" s="11">
        <v>36</v>
      </c>
      <c r="Y631" s="11" t="s">
        <v>135</v>
      </c>
      <c r="Z631" s="11">
        <v>20</v>
      </c>
      <c r="AA631" s="11">
        <v>1</v>
      </c>
      <c r="AB631" s="12">
        <v>0</v>
      </c>
    </row>
    <row r="632" spans="1:28" x14ac:dyDescent="0.2">
      <c r="A632" s="7">
        <v>21119</v>
      </c>
      <c r="B632" s="8" t="s">
        <v>4691</v>
      </c>
      <c r="C632" s="8" t="s">
        <v>953</v>
      </c>
      <c r="D632" s="8" t="s">
        <v>4692</v>
      </c>
      <c r="E632" s="8"/>
      <c r="F632" s="8" t="s">
        <v>4693</v>
      </c>
      <c r="G632" s="8" t="s">
        <v>776</v>
      </c>
      <c r="H632" s="8" t="s">
        <v>142</v>
      </c>
      <c r="I632" s="8" t="s">
        <v>957</v>
      </c>
      <c r="J632" s="8" t="s">
        <v>4694</v>
      </c>
      <c r="K632" s="8" t="s">
        <v>779</v>
      </c>
      <c r="L632" s="8" t="s">
        <v>464</v>
      </c>
      <c r="M632" s="8" t="s">
        <v>4695</v>
      </c>
      <c r="N632" s="8" t="s">
        <v>128</v>
      </c>
      <c r="O632" s="8" t="s">
        <v>4696</v>
      </c>
      <c r="P632" s="8" t="s">
        <v>4697</v>
      </c>
      <c r="Q632" s="8" t="s">
        <v>150</v>
      </c>
      <c r="R632" s="8"/>
      <c r="S632" s="8" t="s">
        <v>71</v>
      </c>
      <c r="T632" s="8" t="s">
        <v>289</v>
      </c>
      <c r="U632" s="8" t="s">
        <v>150</v>
      </c>
      <c r="V632" s="8" t="s">
        <v>289</v>
      </c>
      <c r="W632" s="8" t="s">
        <v>289</v>
      </c>
      <c r="X632" s="8">
        <v>35</v>
      </c>
      <c r="Y632" s="8" t="s">
        <v>135</v>
      </c>
      <c r="Z632" s="8">
        <v>80</v>
      </c>
      <c r="AA632" s="8">
        <v>0</v>
      </c>
      <c r="AB632" s="9">
        <v>0</v>
      </c>
    </row>
    <row r="633" spans="1:28" x14ac:dyDescent="0.2">
      <c r="A633" s="10">
        <v>21218</v>
      </c>
      <c r="B633" s="11" t="s">
        <v>4698</v>
      </c>
      <c r="C633" s="11" t="s">
        <v>1961</v>
      </c>
      <c r="D633" s="11" t="s">
        <v>1962</v>
      </c>
      <c r="E633" s="11" t="s">
        <v>4699</v>
      </c>
      <c r="F633" s="11" t="s">
        <v>1963</v>
      </c>
      <c r="G633" s="11" t="s">
        <v>328</v>
      </c>
      <c r="H633" s="11" t="s">
        <v>329</v>
      </c>
      <c r="I633" s="11" t="s">
        <v>2315</v>
      </c>
      <c r="J633" s="11" t="s">
        <v>3300</v>
      </c>
      <c r="K633" s="11" t="s">
        <v>572</v>
      </c>
      <c r="L633" s="11" t="s">
        <v>333</v>
      </c>
      <c r="M633" s="11" t="s">
        <v>4700</v>
      </c>
      <c r="N633" s="11" t="s">
        <v>128</v>
      </c>
      <c r="O633" s="11" t="s">
        <v>4701</v>
      </c>
      <c r="P633" s="11" t="s">
        <v>4702</v>
      </c>
      <c r="Q633" s="11" t="s">
        <v>150</v>
      </c>
      <c r="R633" s="11"/>
      <c r="S633" s="11" t="s">
        <v>1969</v>
      </c>
      <c r="T633" s="11" t="s">
        <v>642</v>
      </c>
      <c r="U633" s="11" t="s">
        <v>150</v>
      </c>
      <c r="V633" s="11" t="s">
        <v>642</v>
      </c>
      <c r="W633" s="11" t="s">
        <v>642</v>
      </c>
      <c r="X633" s="11">
        <v>35</v>
      </c>
      <c r="Y633" s="11" t="s">
        <v>135</v>
      </c>
      <c r="Z633" s="11">
        <v>20</v>
      </c>
      <c r="AA633" s="11">
        <v>1</v>
      </c>
      <c r="AB633" s="12">
        <v>0</v>
      </c>
    </row>
    <row r="634" spans="1:28" x14ac:dyDescent="0.2">
      <c r="A634" s="7">
        <v>21566</v>
      </c>
      <c r="B634" s="8" t="s">
        <v>4703</v>
      </c>
      <c r="C634" s="8" t="s">
        <v>409</v>
      </c>
      <c r="D634" s="8" t="s">
        <v>4704</v>
      </c>
      <c r="E634" s="8" t="s">
        <v>4705</v>
      </c>
      <c r="F634" s="8" t="s">
        <v>353</v>
      </c>
      <c r="G634" s="8" t="s">
        <v>3929</v>
      </c>
      <c r="H634" s="8" t="s">
        <v>704</v>
      </c>
      <c r="I634" s="8" t="s">
        <v>4706</v>
      </c>
      <c r="J634" s="8" t="s">
        <v>4707</v>
      </c>
      <c r="K634" s="8" t="s">
        <v>850</v>
      </c>
      <c r="L634" s="8" t="s">
        <v>126</v>
      </c>
      <c r="M634" s="8" t="s">
        <v>4708</v>
      </c>
      <c r="N634" s="8" t="s">
        <v>128</v>
      </c>
      <c r="O634" s="8" t="s">
        <v>4709</v>
      </c>
      <c r="P634" s="8" t="s">
        <v>4710</v>
      </c>
      <c r="Q634" s="8" t="s">
        <v>150</v>
      </c>
      <c r="R634" s="8"/>
      <c r="S634" s="8" t="s">
        <v>71</v>
      </c>
      <c r="T634" s="8" t="s">
        <v>67</v>
      </c>
      <c r="U634" s="8" t="s">
        <v>150</v>
      </c>
      <c r="V634" s="8" t="s">
        <v>152</v>
      </c>
      <c r="W634" s="8" t="s">
        <v>67</v>
      </c>
      <c r="X634" s="8">
        <v>35</v>
      </c>
      <c r="Y634" s="8" t="s">
        <v>135</v>
      </c>
      <c r="Z634" s="8">
        <v>80</v>
      </c>
      <c r="AA634" s="8">
        <v>0</v>
      </c>
      <c r="AB634" s="9">
        <v>0</v>
      </c>
    </row>
    <row r="635" spans="1:28" x14ac:dyDescent="0.2">
      <c r="A635" s="10">
        <v>219347</v>
      </c>
      <c r="B635" s="11" t="s">
        <v>54</v>
      </c>
      <c r="C635" s="11" t="s">
        <v>4711</v>
      </c>
      <c r="D635" s="11" t="s">
        <v>4712</v>
      </c>
      <c r="E635" s="11"/>
      <c r="F635" s="11" t="s">
        <v>4713</v>
      </c>
      <c r="G635" s="11" t="s">
        <v>141</v>
      </c>
      <c r="H635" s="11" t="s">
        <v>142</v>
      </c>
      <c r="I635" s="11" t="s">
        <v>4714</v>
      </c>
      <c r="J635" s="11" t="s">
        <v>4715</v>
      </c>
      <c r="K635" s="11" t="s">
        <v>216</v>
      </c>
      <c r="L635" s="11" t="s">
        <v>146</v>
      </c>
      <c r="M635" s="11" t="s">
        <v>53</v>
      </c>
      <c r="N635" s="11" t="s">
        <v>128</v>
      </c>
      <c r="O635" s="11" t="s">
        <v>4716</v>
      </c>
      <c r="P635" s="11" t="s">
        <v>553</v>
      </c>
      <c r="Q635" s="11" t="s">
        <v>150</v>
      </c>
      <c r="R635" s="11"/>
      <c r="S635" s="11" t="s">
        <v>71</v>
      </c>
      <c r="T635" s="11" t="s">
        <v>67</v>
      </c>
      <c r="U635" s="11" t="s">
        <v>150</v>
      </c>
      <c r="V635" s="11" t="s">
        <v>152</v>
      </c>
      <c r="W635" s="11" t="s">
        <v>67</v>
      </c>
      <c r="X635" s="11">
        <v>35</v>
      </c>
      <c r="Y635" s="11" t="s">
        <v>135</v>
      </c>
      <c r="Z635" s="11">
        <v>80</v>
      </c>
      <c r="AA635" s="11">
        <v>0</v>
      </c>
      <c r="AB635" s="12">
        <v>0</v>
      </c>
    </row>
    <row r="636" spans="1:28" x14ac:dyDescent="0.2">
      <c r="A636" s="7">
        <v>23467</v>
      </c>
      <c r="B636" s="8" t="s">
        <v>4717</v>
      </c>
      <c r="C636" s="8" t="s">
        <v>2935</v>
      </c>
      <c r="D636" s="8" t="s">
        <v>4718</v>
      </c>
      <c r="E636" s="8"/>
      <c r="F636" s="8" t="s">
        <v>353</v>
      </c>
      <c r="G636" s="8" t="s">
        <v>714</v>
      </c>
      <c r="H636" s="8" t="s">
        <v>142</v>
      </c>
      <c r="I636" s="8" t="s">
        <v>4719</v>
      </c>
      <c r="J636" s="8" t="s">
        <v>4720</v>
      </c>
      <c r="K636" s="8" t="s">
        <v>717</v>
      </c>
      <c r="L636" s="8" t="s">
        <v>464</v>
      </c>
      <c r="M636" s="8" t="s">
        <v>4721</v>
      </c>
      <c r="N636" s="8" t="s">
        <v>128</v>
      </c>
      <c r="O636" s="8" t="s">
        <v>4722</v>
      </c>
      <c r="P636" s="8" t="s">
        <v>4723</v>
      </c>
      <c r="Q636" s="8" t="s">
        <v>150</v>
      </c>
      <c r="R636" s="8"/>
      <c r="S636" s="8" t="s">
        <v>71</v>
      </c>
      <c r="T636" s="8" t="s">
        <v>1415</v>
      </c>
      <c r="U636" s="8" t="s">
        <v>150</v>
      </c>
      <c r="V636" s="8" t="s">
        <v>1415</v>
      </c>
      <c r="W636" s="8" t="s">
        <v>1415</v>
      </c>
      <c r="X636" s="8">
        <v>35</v>
      </c>
      <c r="Y636" s="8" t="s">
        <v>135</v>
      </c>
      <c r="Z636" s="8">
        <v>80</v>
      </c>
      <c r="AA636" s="8">
        <v>0</v>
      </c>
      <c r="AB636" s="9">
        <v>0</v>
      </c>
    </row>
    <row r="637" spans="1:28" x14ac:dyDescent="0.2">
      <c r="A637" s="10">
        <v>25221</v>
      </c>
      <c r="B637" s="11" t="s">
        <v>4724</v>
      </c>
      <c r="C637" s="11" t="s">
        <v>3569</v>
      </c>
      <c r="D637" s="11" t="s">
        <v>518</v>
      </c>
      <c r="E637" s="11" t="s">
        <v>281</v>
      </c>
      <c r="F637" s="11" t="s">
        <v>4725</v>
      </c>
      <c r="G637" s="11" t="s">
        <v>450</v>
      </c>
      <c r="H637" s="11" t="s">
        <v>301</v>
      </c>
      <c r="I637" s="11" t="s">
        <v>3572</v>
      </c>
      <c r="J637" s="11" t="s">
        <v>4726</v>
      </c>
      <c r="K637" s="11" t="s">
        <v>304</v>
      </c>
      <c r="L637" s="11" t="s">
        <v>229</v>
      </c>
      <c r="M637" s="11" t="s">
        <v>4727</v>
      </c>
      <c r="N637" s="11" t="s">
        <v>128</v>
      </c>
      <c r="O637" s="11" t="s">
        <v>4728</v>
      </c>
      <c r="P637" s="11" t="s">
        <v>4729</v>
      </c>
      <c r="Q637" s="11" t="s">
        <v>740</v>
      </c>
      <c r="R637" s="11"/>
      <c r="S637" s="11" t="s">
        <v>3577</v>
      </c>
      <c r="T637" s="11" t="s">
        <v>741</v>
      </c>
      <c r="U637" s="11" t="s">
        <v>134</v>
      </c>
      <c r="V637" s="11" t="s">
        <v>740</v>
      </c>
      <c r="W637" s="11" t="s">
        <v>741</v>
      </c>
      <c r="X637" s="11">
        <v>35</v>
      </c>
      <c r="Y637" s="11" t="s">
        <v>135</v>
      </c>
      <c r="Z637" s="11">
        <v>20</v>
      </c>
      <c r="AA637" s="11">
        <v>1</v>
      </c>
      <c r="AB637" s="12">
        <v>0</v>
      </c>
    </row>
    <row r="638" spans="1:28" x14ac:dyDescent="0.2">
      <c r="A638" s="7">
        <v>21767</v>
      </c>
      <c r="B638" s="8" t="s">
        <v>4730</v>
      </c>
      <c r="C638" s="8" t="s">
        <v>1961</v>
      </c>
      <c r="D638" s="8" t="s">
        <v>1962</v>
      </c>
      <c r="E638" s="8" t="s">
        <v>4731</v>
      </c>
      <c r="F638" s="8" t="s">
        <v>1963</v>
      </c>
      <c r="G638" s="8" t="s">
        <v>328</v>
      </c>
      <c r="H638" s="8" t="s">
        <v>329</v>
      </c>
      <c r="I638" s="8" t="s">
        <v>2315</v>
      </c>
      <c r="J638" s="8" t="s">
        <v>3300</v>
      </c>
      <c r="K638" s="8" t="s">
        <v>572</v>
      </c>
      <c r="L638" s="8" t="s">
        <v>333</v>
      </c>
      <c r="M638" s="8" t="s">
        <v>4732</v>
      </c>
      <c r="N638" s="8" t="s">
        <v>128</v>
      </c>
      <c r="O638" s="8" t="s">
        <v>4733</v>
      </c>
      <c r="P638" s="8"/>
      <c r="Q638" s="8" t="s">
        <v>249</v>
      </c>
      <c r="R638" s="8"/>
      <c r="S638" s="8" t="s">
        <v>1969</v>
      </c>
      <c r="T638" s="8" t="s">
        <v>1523</v>
      </c>
      <c r="U638" s="8" t="s">
        <v>134</v>
      </c>
      <c r="V638" s="8" t="s">
        <v>249</v>
      </c>
      <c r="W638" s="8" t="s">
        <v>1523</v>
      </c>
      <c r="X638" s="8">
        <v>35</v>
      </c>
      <c r="Y638" s="8" t="s">
        <v>135</v>
      </c>
      <c r="Z638" s="8">
        <v>20</v>
      </c>
      <c r="AA638" s="8">
        <v>1</v>
      </c>
      <c r="AB638" s="9">
        <v>0</v>
      </c>
    </row>
    <row r="639" spans="1:28" x14ac:dyDescent="0.2">
      <c r="A639" s="10">
        <v>21659</v>
      </c>
      <c r="B639" s="11" t="s">
        <v>4734</v>
      </c>
      <c r="C639" s="11" t="s">
        <v>339</v>
      </c>
      <c r="D639" s="11" t="s">
        <v>340</v>
      </c>
      <c r="E639" s="11" t="s">
        <v>4735</v>
      </c>
      <c r="F639" s="11" t="s">
        <v>342</v>
      </c>
      <c r="G639" s="11" t="s">
        <v>328</v>
      </c>
      <c r="H639" s="11" t="s">
        <v>329</v>
      </c>
      <c r="I639" s="11" t="s">
        <v>343</v>
      </c>
      <c r="J639" s="11" t="s">
        <v>4736</v>
      </c>
      <c r="K639" s="11" t="s">
        <v>332</v>
      </c>
      <c r="L639" s="11" t="s">
        <v>333</v>
      </c>
      <c r="M639" s="11" t="s">
        <v>4737</v>
      </c>
      <c r="N639" s="11" t="s">
        <v>128</v>
      </c>
      <c r="O639" s="11" t="s">
        <v>4738</v>
      </c>
      <c r="P639" s="11" t="s">
        <v>4739</v>
      </c>
      <c r="Q639" s="11" t="s">
        <v>150</v>
      </c>
      <c r="R639" s="11"/>
      <c r="S639" s="11" t="s">
        <v>348</v>
      </c>
      <c r="T639" s="11" t="s">
        <v>67</v>
      </c>
      <c r="U639" s="11" t="s">
        <v>150</v>
      </c>
      <c r="V639" s="11" t="s">
        <v>152</v>
      </c>
      <c r="W639" s="11" t="s">
        <v>67</v>
      </c>
      <c r="X639" s="11">
        <v>34</v>
      </c>
      <c r="Y639" s="11" t="s">
        <v>135</v>
      </c>
      <c r="Z639" s="11">
        <v>80</v>
      </c>
      <c r="AA639" s="11">
        <v>0</v>
      </c>
      <c r="AB639" s="12">
        <v>0</v>
      </c>
    </row>
    <row r="640" spans="1:28" x14ac:dyDescent="0.2">
      <c r="A640" s="7">
        <v>24050</v>
      </c>
      <c r="B640" s="8" t="s">
        <v>4740</v>
      </c>
      <c r="C640" s="8" t="s">
        <v>324</v>
      </c>
      <c r="D640" s="8" t="s">
        <v>325</v>
      </c>
      <c r="E640" s="8"/>
      <c r="F640" s="8" t="s">
        <v>327</v>
      </c>
      <c r="G640" s="8" t="s">
        <v>328</v>
      </c>
      <c r="H640" s="8" t="s">
        <v>329</v>
      </c>
      <c r="I640" s="8" t="s">
        <v>391</v>
      </c>
      <c r="J640" s="8" t="s">
        <v>4741</v>
      </c>
      <c r="K640" s="8" t="s">
        <v>332</v>
      </c>
      <c r="L640" s="8" t="s">
        <v>333</v>
      </c>
      <c r="M640" s="8" t="s">
        <v>4742</v>
      </c>
      <c r="N640" s="8" t="s">
        <v>128</v>
      </c>
      <c r="O640" s="8" t="s">
        <v>4743</v>
      </c>
      <c r="P640" s="8"/>
      <c r="Q640" s="8" t="s">
        <v>131</v>
      </c>
      <c r="R640" s="8"/>
      <c r="S640" s="8" t="s">
        <v>337</v>
      </c>
      <c r="T640" s="8" t="s">
        <v>983</v>
      </c>
      <c r="U640" s="8" t="s">
        <v>134</v>
      </c>
      <c r="V640" s="8" t="s">
        <v>131</v>
      </c>
      <c r="W640" s="8" t="s">
        <v>983</v>
      </c>
      <c r="X640" s="8">
        <v>34</v>
      </c>
      <c r="Y640" s="8" t="s">
        <v>135</v>
      </c>
      <c r="Z640" s="8">
        <v>20</v>
      </c>
      <c r="AA640" s="8">
        <v>1</v>
      </c>
      <c r="AB640" s="9">
        <v>0</v>
      </c>
    </row>
    <row r="641" spans="1:28" x14ac:dyDescent="0.2">
      <c r="A641" s="10">
        <v>23455</v>
      </c>
      <c r="B641" s="11" t="s">
        <v>4744</v>
      </c>
      <c r="C641" s="11" t="s">
        <v>4745</v>
      </c>
      <c r="D641" s="11" t="s">
        <v>4746</v>
      </c>
      <c r="E641" s="11"/>
      <c r="F641" s="11" t="s">
        <v>4747</v>
      </c>
      <c r="G641" s="11" t="s">
        <v>4137</v>
      </c>
      <c r="H641" s="11" t="s">
        <v>142</v>
      </c>
      <c r="I641" s="11" t="s">
        <v>4138</v>
      </c>
      <c r="J641" s="11" t="s">
        <v>4748</v>
      </c>
      <c r="K641" s="11" t="s">
        <v>1199</v>
      </c>
      <c r="L641" s="11" t="s">
        <v>464</v>
      </c>
      <c r="M641" s="11" t="s">
        <v>4749</v>
      </c>
      <c r="N641" s="11" t="s">
        <v>128</v>
      </c>
      <c r="O641" s="11" t="s">
        <v>4750</v>
      </c>
      <c r="P641" s="11" t="s">
        <v>4751</v>
      </c>
      <c r="Q641" s="11" t="s">
        <v>150</v>
      </c>
      <c r="R641" s="11"/>
      <c r="S641" s="11" t="s">
        <v>71</v>
      </c>
      <c r="T641" s="11" t="s">
        <v>1415</v>
      </c>
      <c r="U641" s="11" t="s">
        <v>150</v>
      </c>
      <c r="V641" s="11" t="s">
        <v>1415</v>
      </c>
      <c r="W641" s="11" t="s">
        <v>1415</v>
      </c>
      <c r="X641" s="11">
        <v>34</v>
      </c>
      <c r="Y641" s="11" t="s">
        <v>135</v>
      </c>
      <c r="Z641" s="11">
        <v>80</v>
      </c>
      <c r="AA641" s="11">
        <v>0</v>
      </c>
      <c r="AB641" s="12">
        <v>0</v>
      </c>
    </row>
    <row r="642" spans="1:28" x14ac:dyDescent="0.2">
      <c r="A642" s="7">
        <v>124428</v>
      </c>
      <c r="B642" s="8" t="s">
        <v>4752</v>
      </c>
      <c r="C642" s="8" t="s">
        <v>566</v>
      </c>
      <c r="D642" s="8" t="s">
        <v>567</v>
      </c>
      <c r="E642" s="8"/>
      <c r="F642" s="8" t="s">
        <v>722</v>
      </c>
      <c r="G642" s="8" t="s">
        <v>328</v>
      </c>
      <c r="H642" s="8" t="s">
        <v>329</v>
      </c>
      <c r="I642" s="8" t="s">
        <v>570</v>
      </c>
      <c r="J642" s="8" t="s">
        <v>723</v>
      </c>
      <c r="K642" s="8" t="s">
        <v>572</v>
      </c>
      <c r="L642" s="8" t="s">
        <v>333</v>
      </c>
      <c r="M642" s="8" t="s">
        <v>4753</v>
      </c>
      <c r="N642" s="8" t="s">
        <v>128</v>
      </c>
      <c r="O642" s="8" t="s">
        <v>4754</v>
      </c>
      <c r="P642" s="8"/>
      <c r="Q642" s="8" t="s">
        <v>150</v>
      </c>
      <c r="R642" s="8"/>
      <c r="S642" s="8" t="s">
        <v>576</v>
      </c>
      <c r="T642" s="8" t="s">
        <v>4755</v>
      </c>
      <c r="U642" s="8" t="s">
        <v>150</v>
      </c>
      <c r="V642" s="8" t="s">
        <v>4755</v>
      </c>
      <c r="W642" s="8" t="s">
        <v>4755</v>
      </c>
      <c r="X642" s="8">
        <v>34</v>
      </c>
      <c r="Y642" s="8" t="s">
        <v>135</v>
      </c>
      <c r="Z642" s="8">
        <v>80</v>
      </c>
      <c r="AA642" s="8">
        <v>1</v>
      </c>
      <c r="AB642" s="9">
        <v>1</v>
      </c>
    </row>
    <row r="643" spans="1:28" x14ac:dyDescent="0.2">
      <c r="A643" s="10">
        <v>25455</v>
      </c>
      <c r="B643" s="11" t="s">
        <v>4756</v>
      </c>
      <c r="C643" s="11" t="s">
        <v>4632</v>
      </c>
      <c r="D643" s="11" t="s">
        <v>4633</v>
      </c>
      <c r="E643" s="11" t="s">
        <v>4757</v>
      </c>
      <c r="F643" s="11" t="s">
        <v>4635</v>
      </c>
      <c r="G643" s="11" t="s">
        <v>556</v>
      </c>
      <c r="H643" s="11" t="s">
        <v>557</v>
      </c>
      <c r="I643" s="11" t="s">
        <v>4758</v>
      </c>
      <c r="J643" s="11" t="s">
        <v>4637</v>
      </c>
      <c r="K643" s="11" t="s">
        <v>560</v>
      </c>
      <c r="L643" s="11" t="s">
        <v>229</v>
      </c>
      <c r="M643" s="11" t="s">
        <v>4759</v>
      </c>
      <c r="N643" s="11" t="s">
        <v>128</v>
      </c>
      <c r="O643" s="11" t="s">
        <v>4760</v>
      </c>
      <c r="P643" s="11" t="s">
        <v>4761</v>
      </c>
      <c r="Q643" s="11" t="s">
        <v>249</v>
      </c>
      <c r="R643" s="11"/>
      <c r="S643" s="11" t="s">
        <v>4641</v>
      </c>
      <c r="T643" s="11" t="s">
        <v>250</v>
      </c>
      <c r="U643" s="11" t="s">
        <v>134</v>
      </c>
      <c r="V643" s="11" t="s">
        <v>249</v>
      </c>
      <c r="W643" s="11" t="s">
        <v>250</v>
      </c>
      <c r="X643" s="11">
        <v>34</v>
      </c>
      <c r="Y643" s="11" t="s">
        <v>135</v>
      </c>
      <c r="Z643" s="11">
        <v>20</v>
      </c>
      <c r="AA643" s="11">
        <v>1</v>
      </c>
      <c r="AB643" s="12">
        <v>0</v>
      </c>
    </row>
    <row r="644" spans="1:28" x14ac:dyDescent="0.2">
      <c r="A644" s="7">
        <v>25443</v>
      </c>
      <c r="B644" s="8" t="s">
        <v>4762</v>
      </c>
      <c r="C644" s="8" t="s">
        <v>2804</v>
      </c>
      <c r="D644" s="8" t="s">
        <v>2805</v>
      </c>
      <c r="E644" s="8" t="s">
        <v>2892</v>
      </c>
      <c r="F644" s="8" t="s">
        <v>2025</v>
      </c>
      <c r="G644" s="8" t="s">
        <v>703</v>
      </c>
      <c r="H644" s="8" t="s">
        <v>704</v>
      </c>
      <c r="I644" s="8" t="s">
        <v>2807</v>
      </c>
      <c r="J644" s="8" t="s">
        <v>2808</v>
      </c>
      <c r="K644" s="8" t="s">
        <v>707</v>
      </c>
      <c r="L644" s="8" t="s">
        <v>126</v>
      </c>
      <c r="M644" s="8" t="s">
        <v>4763</v>
      </c>
      <c r="N644" s="8" t="s">
        <v>128</v>
      </c>
      <c r="O644" s="8" t="s">
        <v>4764</v>
      </c>
      <c r="P644" s="8" t="s">
        <v>4765</v>
      </c>
      <c r="Q644" s="8" t="s">
        <v>249</v>
      </c>
      <c r="R644" s="8"/>
      <c r="S644" s="8" t="s">
        <v>2812</v>
      </c>
      <c r="T644" s="8" t="s">
        <v>250</v>
      </c>
      <c r="U644" s="8" t="s">
        <v>134</v>
      </c>
      <c r="V644" s="8" t="s">
        <v>249</v>
      </c>
      <c r="W644" s="8" t="s">
        <v>250</v>
      </c>
      <c r="X644" s="8">
        <v>34</v>
      </c>
      <c r="Y644" s="8" t="s">
        <v>135</v>
      </c>
      <c r="Z644" s="8">
        <v>20</v>
      </c>
      <c r="AA644" s="8">
        <v>1</v>
      </c>
      <c r="AB644" s="9">
        <v>0</v>
      </c>
    </row>
    <row r="645" spans="1:28" x14ac:dyDescent="0.2">
      <c r="A645" s="10">
        <v>20770</v>
      </c>
      <c r="B645" s="11" t="s">
        <v>4766</v>
      </c>
      <c r="C645" s="11" t="s">
        <v>4767</v>
      </c>
      <c r="D645" s="11" t="s">
        <v>4768</v>
      </c>
      <c r="E645" s="11" t="s">
        <v>4769</v>
      </c>
      <c r="F645" s="11" t="s">
        <v>4770</v>
      </c>
      <c r="G645" s="11" t="s">
        <v>4465</v>
      </c>
      <c r="H645" s="11" t="s">
        <v>4466</v>
      </c>
      <c r="I645" s="11" t="s">
        <v>4771</v>
      </c>
      <c r="J645" s="11" t="s">
        <v>4772</v>
      </c>
      <c r="K645" s="11" t="s">
        <v>525</v>
      </c>
      <c r="L645" s="11" t="s">
        <v>526</v>
      </c>
      <c r="M645" s="11" t="s">
        <v>4773</v>
      </c>
      <c r="N645" s="11" t="s">
        <v>128</v>
      </c>
      <c r="O645" s="11" t="s">
        <v>4774</v>
      </c>
      <c r="P645" s="11" t="s">
        <v>4775</v>
      </c>
      <c r="Q645" s="11" t="s">
        <v>150</v>
      </c>
      <c r="R645" s="11"/>
      <c r="S645" s="11" t="s">
        <v>4775</v>
      </c>
      <c r="T645" s="11" t="s">
        <v>531</v>
      </c>
      <c r="U645" s="11" t="s">
        <v>150</v>
      </c>
      <c r="V645" s="11" t="s">
        <v>531</v>
      </c>
      <c r="W645" s="11" t="s">
        <v>531</v>
      </c>
      <c r="X645" s="11">
        <v>33</v>
      </c>
      <c r="Y645" s="11" t="s">
        <v>135</v>
      </c>
      <c r="Z645" s="11">
        <v>80</v>
      </c>
      <c r="AA645" s="11">
        <v>0</v>
      </c>
      <c r="AB645" s="12">
        <v>0</v>
      </c>
    </row>
    <row r="646" spans="1:28" x14ac:dyDescent="0.2">
      <c r="A646" s="7">
        <v>21111</v>
      </c>
      <c r="B646" s="8" t="s">
        <v>4776</v>
      </c>
      <c r="C646" s="8" t="s">
        <v>4777</v>
      </c>
      <c r="D646" s="8" t="s">
        <v>4778</v>
      </c>
      <c r="E646" s="8"/>
      <c r="F646" s="8" t="s">
        <v>4779</v>
      </c>
      <c r="G646" s="8" t="s">
        <v>1253</v>
      </c>
      <c r="H646" s="8" t="s">
        <v>142</v>
      </c>
      <c r="I646" s="8" t="s">
        <v>4780</v>
      </c>
      <c r="J646" s="8" t="s">
        <v>4781</v>
      </c>
      <c r="K646" s="8" t="s">
        <v>1199</v>
      </c>
      <c r="L646" s="8" t="s">
        <v>464</v>
      </c>
      <c r="M646" s="8" t="s">
        <v>4782</v>
      </c>
      <c r="N646" s="8" t="s">
        <v>128</v>
      </c>
      <c r="O646" s="8" t="s">
        <v>4783</v>
      </c>
      <c r="P646" s="8" t="s">
        <v>4784</v>
      </c>
      <c r="Q646" s="8" t="s">
        <v>150</v>
      </c>
      <c r="R646" s="8"/>
      <c r="S646" s="8" t="s">
        <v>71</v>
      </c>
      <c r="T646" s="8" t="s">
        <v>289</v>
      </c>
      <c r="U646" s="8" t="s">
        <v>150</v>
      </c>
      <c r="V646" s="8" t="s">
        <v>289</v>
      </c>
      <c r="W646" s="8" t="s">
        <v>289</v>
      </c>
      <c r="X646" s="8">
        <v>33</v>
      </c>
      <c r="Y646" s="8" t="s">
        <v>135</v>
      </c>
      <c r="Z646" s="8">
        <v>80</v>
      </c>
      <c r="AA646" s="8">
        <v>0</v>
      </c>
      <c r="AB646" s="9">
        <v>0</v>
      </c>
    </row>
    <row r="647" spans="1:28" x14ac:dyDescent="0.2">
      <c r="A647" s="10">
        <v>21191</v>
      </c>
      <c r="B647" s="11" t="s">
        <v>4785</v>
      </c>
      <c r="C647" s="11" t="s">
        <v>4786</v>
      </c>
      <c r="D647" s="11" t="s">
        <v>4787</v>
      </c>
      <c r="E647" s="11"/>
      <c r="F647" s="11" t="s">
        <v>1344</v>
      </c>
      <c r="G647" s="11" t="s">
        <v>1026</v>
      </c>
      <c r="H647" s="11" t="s">
        <v>142</v>
      </c>
      <c r="I647" s="11" t="s">
        <v>4788</v>
      </c>
      <c r="J647" s="11" t="s">
        <v>4789</v>
      </c>
      <c r="K647" s="11" t="s">
        <v>1029</v>
      </c>
      <c r="L647" s="11" t="s">
        <v>464</v>
      </c>
      <c r="M647" s="11" t="s">
        <v>4790</v>
      </c>
      <c r="N647" s="11" t="s">
        <v>128</v>
      </c>
      <c r="O647" s="11" t="s">
        <v>4791</v>
      </c>
      <c r="P647" s="11" t="s">
        <v>4792</v>
      </c>
      <c r="Q647" s="11" t="s">
        <v>150</v>
      </c>
      <c r="R647" s="11"/>
      <c r="S647" s="11" t="s">
        <v>71</v>
      </c>
      <c r="T647" s="11" t="s">
        <v>289</v>
      </c>
      <c r="U647" s="11" t="s">
        <v>150</v>
      </c>
      <c r="V647" s="11" t="s">
        <v>289</v>
      </c>
      <c r="W647" s="11" t="s">
        <v>289</v>
      </c>
      <c r="X647" s="11">
        <v>33</v>
      </c>
      <c r="Y647" s="11" t="s">
        <v>135</v>
      </c>
      <c r="Z647" s="11">
        <v>80</v>
      </c>
      <c r="AA647" s="11">
        <v>0</v>
      </c>
      <c r="AB647" s="12">
        <v>0</v>
      </c>
    </row>
    <row r="648" spans="1:28" x14ac:dyDescent="0.2">
      <c r="A648" s="7">
        <v>21501</v>
      </c>
      <c r="B648" s="8" t="s">
        <v>4793</v>
      </c>
      <c r="C648" s="8" t="s">
        <v>4794</v>
      </c>
      <c r="D648" s="8" t="s">
        <v>3318</v>
      </c>
      <c r="E648" s="8" t="s">
        <v>4795</v>
      </c>
      <c r="F648" s="8" t="s">
        <v>4796</v>
      </c>
      <c r="G648" s="8" t="s">
        <v>141</v>
      </c>
      <c r="H648" s="8" t="s">
        <v>142</v>
      </c>
      <c r="I648" s="8" t="s">
        <v>4797</v>
      </c>
      <c r="J648" s="8" t="s">
        <v>4798</v>
      </c>
      <c r="K648" s="8" t="s">
        <v>145</v>
      </c>
      <c r="L648" s="8" t="s">
        <v>146</v>
      </c>
      <c r="M648" s="8" t="s">
        <v>4799</v>
      </c>
      <c r="N648" s="8" t="s">
        <v>128</v>
      </c>
      <c r="O648" s="8" t="s">
        <v>4800</v>
      </c>
      <c r="P648" s="8" t="s">
        <v>4801</v>
      </c>
      <c r="Q648" s="8" t="s">
        <v>150</v>
      </c>
      <c r="R648" s="8"/>
      <c r="S648" s="8" t="s">
        <v>71</v>
      </c>
      <c r="T648" s="8" t="s">
        <v>67</v>
      </c>
      <c r="U648" s="8" t="s">
        <v>150</v>
      </c>
      <c r="V648" s="8" t="s">
        <v>152</v>
      </c>
      <c r="W648" s="8" t="s">
        <v>67</v>
      </c>
      <c r="X648" s="8">
        <v>33</v>
      </c>
      <c r="Y648" s="8" t="s">
        <v>135</v>
      </c>
      <c r="Z648" s="8">
        <v>80</v>
      </c>
      <c r="AA648" s="8">
        <v>0</v>
      </c>
      <c r="AB648" s="9">
        <v>0</v>
      </c>
    </row>
    <row r="649" spans="1:28" x14ac:dyDescent="0.2">
      <c r="A649" s="10">
        <v>21363</v>
      </c>
      <c r="B649" s="11" t="s">
        <v>4802</v>
      </c>
      <c r="C649" s="11" t="s">
        <v>4803</v>
      </c>
      <c r="D649" s="11" t="s">
        <v>4804</v>
      </c>
      <c r="E649" s="11" t="s">
        <v>4805</v>
      </c>
      <c r="F649" s="11" t="s">
        <v>3749</v>
      </c>
      <c r="G649" s="11" t="s">
        <v>141</v>
      </c>
      <c r="H649" s="11" t="s">
        <v>142</v>
      </c>
      <c r="I649" s="11" t="s">
        <v>4806</v>
      </c>
      <c r="J649" s="11" t="s">
        <v>4807</v>
      </c>
      <c r="K649" s="11" t="s">
        <v>584</v>
      </c>
      <c r="L649" s="11" t="s">
        <v>146</v>
      </c>
      <c r="M649" s="11" t="s">
        <v>4808</v>
      </c>
      <c r="N649" s="11" t="s">
        <v>128</v>
      </c>
      <c r="O649" s="11" t="s">
        <v>4809</v>
      </c>
      <c r="P649" s="11" t="s">
        <v>4810</v>
      </c>
      <c r="Q649" s="11" t="s">
        <v>150</v>
      </c>
      <c r="R649" s="11"/>
      <c r="S649" s="11" t="s">
        <v>71</v>
      </c>
      <c r="T649" s="11" t="s">
        <v>67</v>
      </c>
      <c r="U649" s="11" t="s">
        <v>150</v>
      </c>
      <c r="V649" s="11" t="s">
        <v>152</v>
      </c>
      <c r="W649" s="11" t="s">
        <v>67</v>
      </c>
      <c r="X649" s="11">
        <v>33</v>
      </c>
      <c r="Y649" s="11" t="s">
        <v>135</v>
      </c>
      <c r="Z649" s="11">
        <v>80</v>
      </c>
      <c r="AA649" s="11">
        <v>0</v>
      </c>
      <c r="AB649" s="12">
        <v>0</v>
      </c>
    </row>
    <row r="650" spans="1:28" x14ac:dyDescent="0.2">
      <c r="A650" s="7">
        <v>23768</v>
      </c>
      <c r="B650" s="8" t="s">
        <v>4811</v>
      </c>
      <c r="C650" s="8" t="s">
        <v>3919</v>
      </c>
      <c r="D650" s="8" t="s">
        <v>3369</v>
      </c>
      <c r="E650" s="8"/>
      <c r="F650" s="8" t="s">
        <v>353</v>
      </c>
      <c r="G650" s="8" t="s">
        <v>3921</v>
      </c>
      <c r="H650" s="8" t="s">
        <v>122</v>
      </c>
      <c r="I650" s="8" t="s">
        <v>4812</v>
      </c>
      <c r="J650" s="8" t="s">
        <v>4813</v>
      </c>
      <c r="K650" s="8" t="s">
        <v>1051</v>
      </c>
      <c r="L650" s="8" t="s">
        <v>126</v>
      </c>
      <c r="M650" s="8" t="s">
        <v>4814</v>
      </c>
      <c r="N650" s="8" t="s">
        <v>128</v>
      </c>
      <c r="O650" s="8" t="s">
        <v>4815</v>
      </c>
      <c r="P650" s="8" t="s">
        <v>4482</v>
      </c>
      <c r="Q650" s="8" t="s">
        <v>150</v>
      </c>
      <c r="R650" s="8"/>
      <c r="S650" s="8" t="s">
        <v>71</v>
      </c>
      <c r="T650" s="8" t="s">
        <v>168</v>
      </c>
      <c r="U650" s="8" t="s">
        <v>150</v>
      </c>
      <c r="V650" s="8" t="s">
        <v>168</v>
      </c>
      <c r="W650" s="8" t="s">
        <v>168</v>
      </c>
      <c r="X650" s="8">
        <v>33</v>
      </c>
      <c r="Y650" s="8" t="s">
        <v>135</v>
      </c>
      <c r="Z650" s="8">
        <v>80</v>
      </c>
      <c r="AA650" s="8">
        <v>0</v>
      </c>
      <c r="AB650" s="9">
        <v>0</v>
      </c>
    </row>
    <row r="651" spans="1:28" x14ac:dyDescent="0.2">
      <c r="A651" s="10">
        <v>28902</v>
      </c>
      <c r="B651" s="11" t="s">
        <v>4816</v>
      </c>
      <c r="C651" s="11" t="s">
        <v>4817</v>
      </c>
      <c r="D651" s="11" t="s">
        <v>3716</v>
      </c>
      <c r="E651" s="11"/>
      <c r="F651" s="11" t="s">
        <v>353</v>
      </c>
      <c r="G651" s="11" t="s">
        <v>4818</v>
      </c>
      <c r="H651" s="11" t="s">
        <v>142</v>
      </c>
      <c r="I651" s="11" t="s">
        <v>4819</v>
      </c>
      <c r="J651" s="11" t="s">
        <v>4820</v>
      </c>
      <c r="K651" s="11" t="s">
        <v>584</v>
      </c>
      <c r="L651" s="11" t="s">
        <v>146</v>
      </c>
      <c r="M651" s="11" t="s">
        <v>4821</v>
      </c>
      <c r="N651" s="11" t="s">
        <v>128</v>
      </c>
      <c r="O651" s="11" t="s">
        <v>4822</v>
      </c>
      <c r="P651" s="11" t="s">
        <v>4823</v>
      </c>
      <c r="Q651" s="11" t="s">
        <v>150</v>
      </c>
      <c r="R651" s="11"/>
      <c r="S651" s="11" t="s">
        <v>71</v>
      </c>
      <c r="T651" s="11" t="s">
        <v>168</v>
      </c>
      <c r="U651" s="11" t="s">
        <v>150</v>
      </c>
      <c r="V651" s="11" t="s">
        <v>168</v>
      </c>
      <c r="W651" s="11" t="s">
        <v>168</v>
      </c>
      <c r="X651" s="11">
        <v>33</v>
      </c>
      <c r="Y651" s="11" t="s">
        <v>135</v>
      </c>
      <c r="Z651" s="11">
        <v>80</v>
      </c>
      <c r="AA651" s="11">
        <v>0</v>
      </c>
      <c r="AB651" s="12">
        <v>0</v>
      </c>
    </row>
    <row r="652" spans="1:28" x14ac:dyDescent="0.2">
      <c r="A652" s="7">
        <v>31173</v>
      </c>
      <c r="B652" s="8" t="s">
        <v>4824</v>
      </c>
      <c r="C652" s="8" t="s">
        <v>2276</v>
      </c>
      <c r="D652" s="8" t="s">
        <v>2277</v>
      </c>
      <c r="E652" s="8" t="s">
        <v>4825</v>
      </c>
      <c r="F652" s="8" t="s">
        <v>2278</v>
      </c>
      <c r="G652" s="8" t="s">
        <v>1026</v>
      </c>
      <c r="H652" s="8" t="s">
        <v>142</v>
      </c>
      <c r="I652" s="8" t="s">
        <v>2279</v>
      </c>
      <c r="J652" s="8" t="s">
        <v>2280</v>
      </c>
      <c r="K652" s="8" t="s">
        <v>1029</v>
      </c>
      <c r="L652" s="8" t="s">
        <v>464</v>
      </c>
      <c r="M652" s="8" t="s">
        <v>4826</v>
      </c>
      <c r="N652" s="8" t="s">
        <v>128</v>
      </c>
      <c r="O652" s="8" t="s">
        <v>4827</v>
      </c>
      <c r="P652" s="8"/>
      <c r="Q652" s="8" t="s">
        <v>740</v>
      </c>
      <c r="R652" s="8"/>
      <c r="S652" s="8" t="s">
        <v>2284</v>
      </c>
      <c r="T652" s="8" t="s">
        <v>741</v>
      </c>
      <c r="U652" s="8" t="s">
        <v>134</v>
      </c>
      <c r="V652" s="8" t="s">
        <v>740</v>
      </c>
      <c r="W652" s="8" t="s">
        <v>741</v>
      </c>
      <c r="X652" s="8">
        <v>33</v>
      </c>
      <c r="Y652" s="8" t="s">
        <v>135</v>
      </c>
      <c r="Z652" s="8">
        <v>80</v>
      </c>
      <c r="AA652" s="8">
        <v>1</v>
      </c>
      <c r="AB652" s="9">
        <v>1</v>
      </c>
    </row>
    <row r="653" spans="1:28" x14ac:dyDescent="0.2">
      <c r="A653" s="10">
        <v>25454</v>
      </c>
      <c r="B653" s="11" t="s">
        <v>4828</v>
      </c>
      <c r="C653" s="11" t="s">
        <v>4711</v>
      </c>
      <c r="D653" s="11" t="s">
        <v>4829</v>
      </c>
      <c r="E653" s="11" t="s">
        <v>4830</v>
      </c>
      <c r="F653" s="11" t="s">
        <v>353</v>
      </c>
      <c r="G653" s="11" t="s">
        <v>4831</v>
      </c>
      <c r="H653" s="11" t="s">
        <v>122</v>
      </c>
      <c r="I653" s="11" t="s">
        <v>4832</v>
      </c>
      <c r="J653" s="11" t="s">
        <v>4833</v>
      </c>
      <c r="K653" s="11" t="s">
        <v>1051</v>
      </c>
      <c r="L653" s="11" t="s">
        <v>126</v>
      </c>
      <c r="M653" s="11" t="s">
        <v>4834</v>
      </c>
      <c r="N653" s="11" t="s">
        <v>128</v>
      </c>
      <c r="O653" s="11" t="s">
        <v>4835</v>
      </c>
      <c r="P653" s="11" t="s">
        <v>4836</v>
      </c>
      <c r="Q653" s="11" t="s">
        <v>249</v>
      </c>
      <c r="R653" s="11"/>
      <c r="S653" s="11" t="s">
        <v>4837</v>
      </c>
      <c r="T653" s="11" t="s">
        <v>250</v>
      </c>
      <c r="U653" s="11" t="s">
        <v>134</v>
      </c>
      <c r="V653" s="11" t="s">
        <v>249</v>
      </c>
      <c r="W653" s="11" t="s">
        <v>250</v>
      </c>
      <c r="X653" s="11">
        <v>33</v>
      </c>
      <c r="Y653" s="11" t="s">
        <v>135</v>
      </c>
      <c r="Z653" s="11">
        <v>80</v>
      </c>
      <c r="AA653" s="11">
        <v>0</v>
      </c>
      <c r="AB653" s="12">
        <v>0</v>
      </c>
    </row>
    <row r="654" spans="1:28" x14ac:dyDescent="0.2">
      <c r="A654" s="7">
        <v>21242</v>
      </c>
      <c r="B654" s="8" t="s">
        <v>4838</v>
      </c>
      <c r="C654" s="8" t="s">
        <v>743</v>
      </c>
      <c r="D654" s="8" t="s">
        <v>744</v>
      </c>
      <c r="E654" s="8" t="s">
        <v>4839</v>
      </c>
      <c r="F654" s="8" t="s">
        <v>746</v>
      </c>
      <c r="G654" s="8" t="s">
        <v>328</v>
      </c>
      <c r="H654" s="8" t="s">
        <v>329</v>
      </c>
      <c r="I654" s="8" t="s">
        <v>747</v>
      </c>
      <c r="J654" s="8" t="s">
        <v>748</v>
      </c>
      <c r="K654" s="8" t="s">
        <v>415</v>
      </c>
      <c r="L654" s="8" t="s">
        <v>333</v>
      </c>
      <c r="M654" s="8" t="s">
        <v>4840</v>
      </c>
      <c r="N654" s="8" t="s">
        <v>128</v>
      </c>
      <c r="O654" s="8" t="s">
        <v>4841</v>
      </c>
      <c r="P654" s="8" t="s">
        <v>4842</v>
      </c>
      <c r="Q654" s="8" t="s">
        <v>150</v>
      </c>
      <c r="R654" s="8"/>
      <c r="S654" s="8" t="s">
        <v>752</v>
      </c>
      <c r="T654" s="8" t="s">
        <v>642</v>
      </c>
      <c r="U654" s="8" t="s">
        <v>150</v>
      </c>
      <c r="V654" s="8" t="s">
        <v>642</v>
      </c>
      <c r="W654" s="8" t="s">
        <v>642</v>
      </c>
      <c r="X654" s="8">
        <v>32</v>
      </c>
      <c r="Y654" s="8" t="s">
        <v>135</v>
      </c>
      <c r="Z654" s="8">
        <v>20</v>
      </c>
      <c r="AA654" s="8">
        <v>1</v>
      </c>
      <c r="AB654" s="9">
        <v>0</v>
      </c>
    </row>
    <row r="655" spans="1:28" x14ac:dyDescent="0.2">
      <c r="A655" s="10">
        <v>21445</v>
      </c>
      <c r="B655" s="11" t="s">
        <v>4843</v>
      </c>
      <c r="C655" s="11" t="s">
        <v>4844</v>
      </c>
      <c r="D655" s="11" t="s">
        <v>4845</v>
      </c>
      <c r="E655" s="11" t="s">
        <v>4846</v>
      </c>
      <c r="F655" s="11" t="s">
        <v>4847</v>
      </c>
      <c r="G655" s="11" t="s">
        <v>141</v>
      </c>
      <c r="H655" s="11" t="s">
        <v>142</v>
      </c>
      <c r="I655" s="11" t="s">
        <v>4848</v>
      </c>
      <c r="J655" s="11" t="s">
        <v>4849</v>
      </c>
      <c r="K655" s="11" t="s">
        <v>584</v>
      </c>
      <c r="L655" s="11" t="s">
        <v>146</v>
      </c>
      <c r="M655" s="11" t="s">
        <v>4850</v>
      </c>
      <c r="N655" s="11" t="s">
        <v>128</v>
      </c>
      <c r="O655" s="11" t="s">
        <v>4851</v>
      </c>
      <c r="P655" s="11" t="s">
        <v>4852</v>
      </c>
      <c r="Q655" s="11" t="s">
        <v>150</v>
      </c>
      <c r="R655" s="11"/>
      <c r="S655" s="11" t="s">
        <v>4853</v>
      </c>
      <c r="T655" s="11" t="s">
        <v>67</v>
      </c>
      <c r="U655" s="11" t="s">
        <v>150</v>
      </c>
      <c r="V655" s="11" t="s">
        <v>152</v>
      </c>
      <c r="W655" s="11" t="s">
        <v>67</v>
      </c>
      <c r="X655" s="11">
        <v>32</v>
      </c>
      <c r="Y655" s="11" t="s">
        <v>135</v>
      </c>
      <c r="Z655" s="11">
        <v>80</v>
      </c>
      <c r="AA655" s="11">
        <v>0</v>
      </c>
      <c r="AB655" s="12">
        <v>0</v>
      </c>
    </row>
    <row r="656" spans="1:28" x14ac:dyDescent="0.2">
      <c r="A656" s="7">
        <v>26176</v>
      </c>
      <c r="B656" s="8" t="s">
        <v>4854</v>
      </c>
      <c r="C656" s="8" t="s">
        <v>4855</v>
      </c>
      <c r="D656" s="8" t="s">
        <v>4143</v>
      </c>
      <c r="E656" s="8"/>
      <c r="F656" s="8" t="s">
        <v>353</v>
      </c>
      <c r="G656" s="8" t="s">
        <v>4856</v>
      </c>
      <c r="H656" s="8" t="s">
        <v>847</v>
      </c>
      <c r="I656" s="8" t="s">
        <v>4857</v>
      </c>
      <c r="J656" s="8" t="s">
        <v>4858</v>
      </c>
      <c r="K656" s="8" t="s">
        <v>850</v>
      </c>
      <c r="L656" s="8" t="s">
        <v>126</v>
      </c>
      <c r="M656" s="8" t="s">
        <v>4859</v>
      </c>
      <c r="N656" s="8" t="s">
        <v>128</v>
      </c>
      <c r="O656" s="8"/>
      <c r="P656" s="8" t="s">
        <v>4860</v>
      </c>
      <c r="Q656" s="8" t="s">
        <v>150</v>
      </c>
      <c r="R656" s="8"/>
      <c r="S656" s="8" t="s">
        <v>71</v>
      </c>
      <c r="T656" s="8" t="s">
        <v>67</v>
      </c>
      <c r="U656" s="8" t="s">
        <v>150</v>
      </c>
      <c r="V656" s="8" t="s">
        <v>152</v>
      </c>
      <c r="W656" s="8" t="s">
        <v>67</v>
      </c>
      <c r="X656" s="8">
        <v>32</v>
      </c>
      <c r="Y656" s="8" t="s">
        <v>135</v>
      </c>
      <c r="Z656" s="8">
        <v>80</v>
      </c>
      <c r="AA656" s="8">
        <v>0</v>
      </c>
      <c r="AB656" s="9">
        <v>0</v>
      </c>
    </row>
    <row r="657" spans="1:28" x14ac:dyDescent="0.2">
      <c r="A657" s="10">
        <v>42531</v>
      </c>
      <c r="B657" s="11" t="s">
        <v>4861</v>
      </c>
      <c r="C657" s="11" t="s">
        <v>297</v>
      </c>
      <c r="D657" s="11" t="s">
        <v>138</v>
      </c>
      <c r="E657" s="11" t="s">
        <v>4862</v>
      </c>
      <c r="F657" s="11" t="s">
        <v>384</v>
      </c>
      <c r="G657" s="11" t="s">
        <v>300</v>
      </c>
      <c r="H657" s="11" t="s">
        <v>301</v>
      </c>
      <c r="I657" s="11" t="s">
        <v>302</v>
      </c>
      <c r="J657" s="11" t="s">
        <v>4863</v>
      </c>
      <c r="K657" s="11" t="s">
        <v>304</v>
      </c>
      <c r="L657" s="11" t="s">
        <v>229</v>
      </c>
      <c r="M657" s="11" t="s">
        <v>4864</v>
      </c>
      <c r="N657" s="11" t="s">
        <v>128</v>
      </c>
      <c r="O657" s="11" t="s">
        <v>4865</v>
      </c>
      <c r="P657" s="11"/>
      <c r="Q657" s="11" t="s">
        <v>131</v>
      </c>
      <c r="R657" s="11"/>
      <c r="S657" s="11" t="s">
        <v>308</v>
      </c>
      <c r="T657" s="11" t="s">
        <v>983</v>
      </c>
      <c r="U657" s="11" t="s">
        <v>134</v>
      </c>
      <c r="V657" s="11" t="s">
        <v>131</v>
      </c>
      <c r="W657" s="11" t="s">
        <v>983</v>
      </c>
      <c r="X657" s="11">
        <v>32</v>
      </c>
      <c r="Y657" s="11" t="s">
        <v>135</v>
      </c>
      <c r="Z657" s="11">
        <v>20</v>
      </c>
      <c r="AA657" s="11">
        <v>1</v>
      </c>
      <c r="AB657" s="12">
        <v>0</v>
      </c>
    </row>
    <row r="658" spans="1:28" x14ac:dyDescent="0.2">
      <c r="A658" s="7">
        <v>24566</v>
      </c>
      <c r="B658" s="8" t="s">
        <v>4866</v>
      </c>
      <c r="C658" s="8" t="s">
        <v>566</v>
      </c>
      <c r="D658" s="8" t="s">
        <v>567</v>
      </c>
      <c r="E658" s="8"/>
      <c r="F658" s="8" t="s">
        <v>569</v>
      </c>
      <c r="G658" s="8" t="s">
        <v>328</v>
      </c>
      <c r="H658" s="8" t="s">
        <v>329</v>
      </c>
      <c r="I658" s="8" t="s">
        <v>570</v>
      </c>
      <c r="J658" s="8" t="s">
        <v>4867</v>
      </c>
      <c r="K658" s="8" t="s">
        <v>572</v>
      </c>
      <c r="L658" s="8" t="s">
        <v>333</v>
      </c>
      <c r="M658" s="8" t="s">
        <v>4868</v>
      </c>
      <c r="N658" s="8" t="s">
        <v>128</v>
      </c>
      <c r="O658" s="8" t="s">
        <v>4869</v>
      </c>
      <c r="P658" s="8"/>
      <c r="Q658" s="8" t="s">
        <v>131</v>
      </c>
      <c r="R658" s="8"/>
      <c r="S658" s="8" t="s">
        <v>576</v>
      </c>
      <c r="T658" s="8" t="s">
        <v>983</v>
      </c>
      <c r="U658" s="8" t="s">
        <v>134</v>
      </c>
      <c r="V658" s="8" t="s">
        <v>131</v>
      </c>
      <c r="W658" s="8" t="s">
        <v>983</v>
      </c>
      <c r="X658" s="8">
        <v>32</v>
      </c>
      <c r="Y658" s="8" t="s">
        <v>135</v>
      </c>
      <c r="Z658" s="8">
        <v>20</v>
      </c>
      <c r="AA658" s="8">
        <v>1</v>
      </c>
      <c r="AB658" s="9">
        <v>0</v>
      </c>
    </row>
    <row r="659" spans="1:28" x14ac:dyDescent="0.2">
      <c r="A659" s="10">
        <v>23647</v>
      </c>
      <c r="B659" s="11" t="s">
        <v>4870</v>
      </c>
      <c r="C659" s="11" t="s">
        <v>1688</v>
      </c>
      <c r="D659" s="11" t="s">
        <v>171</v>
      </c>
      <c r="E659" s="11" t="s">
        <v>4871</v>
      </c>
      <c r="F659" s="11" t="s">
        <v>1690</v>
      </c>
      <c r="G659" s="11" t="s">
        <v>1196</v>
      </c>
      <c r="H659" s="11" t="s">
        <v>142</v>
      </c>
      <c r="I659" s="11" t="s">
        <v>1691</v>
      </c>
      <c r="J659" s="11" t="s">
        <v>1692</v>
      </c>
      <c r="K659" s="11" t="s">
        <v>1199</v>
      </c>
      <c r="L659" s="11" t="s">
        <v>464</v>
      </c>
      <c r="M659" s="11" t="s">
        <v>4872</v>
      </c>
      <c r="N659" s="11" t="s">
        <v>128</v>
      </c>
      <c r="O659" s="11" t="s">
        <v>4873</v>
      </c>
      <c r="P659" s="11" t="s">
        <v>3539</v>
      </c>
      <c r="Q659" s="11" t="s">
        <v>150</v>
      </c>
      <c r="R659" s="11"/>
      <c r="S659" s="11" t="s">
        <v>1696</v>
      </c>
      <c r="T659" s="11" t="s">
        <v>168</v>
      </c>
      <c r="U659" s="11" t="s">
        <v>150</v>
      </c>
      <c r="V659" s="11" t="s">
        <v>168</v>
      </c>
      <c r="W659" s="11" t="s">
        <v>168</v>
      </c>
      <c r="X659" s="11">
        <v>32</v>
      </c>
      <c r="Y659" s="11" t="s">
        <v>135</v>
      </c>
      <c r="Z659" s="11">
        <v>20</v>
      </c>
      <c r="AA659" s="11">
        <v>1</v>
      </c>
      <c r="AB659" s="12">
        <v>0</v>
      </c>
    </row>
    <row r="660" spans="1:28" x14ac:dyDescent="0.2">
      <c r="A660" s="7">
        <v>22132</v>
      </c>
      <c r="B660" s="8" t="s">
        <v>4874</v>
      </c>
      <c r="C660" s="8" t="s">
        <v>1183</v>
      </c>
      <c r="D660" s="8" t="s">
        <v>904</v>
      </c>
      <c r="E660" s="8" t="s">
        <v>4875</v>
      </c>
      <c r="F660" s="8" t="s">
        <v>1185</v>
      </c>
      <c r="G660" s="8" t="s">
        <v>121</v>
      </c>
      <c r="H660" s="8" t="s">
        <v>122</v>
      </c>
      <c r="I660" s="8" t="s">
        <v>1186</v>
      </c>
      <c r="J660" s="8" t="s">
        <v>1187</v>
      </c>
      <c r="K660" s="8" t="s">
        <v>1051</v>
      </c>
      <c r="L660" s="8" t="s">
        <v>126</v>
      </c>
      <c r="M660" s="8" t="s">
        <v>4876</v>
      </c>
      <c r="N660" s="8" t="s">
        <v>128</v>
      </c>
      <c r="O660" s="8" t="s">
        <v>4877</v>
      </c>
      <c r="P660" s="8"/>
      <c r="Q660" s="8" t="s">
        <v>249</v>
      </c>
      <c r="R660" s="8"/>
      <c r="S660" s="8" t="s">
        <v>1191</v>
      </c>
      <c r="T660" s="8" t="s">
        <v>1523</v>
      </c>
      <c r="U660" s="8" t="s">
        <v>134</v>
      </c>
      <c r="V660" s="8" t="s">
        <v>249</v>
      </c>
      <c r="W660" s="8" t="s">
        <v>1523</v>
      </c>
      <c r="X660" s="8">
        <v>32</v>
      </c>
      <c r="Y660" s="8" t="s">
        <v>135</v>
      </c>
      <c r="Z660" s="8">
        <v>20</v>
      </c>
      <c r="AA660" s="8">
        <v>1</v>
      </c>
      <c r="AB660" s="9">
        <v>0</v>
      </c>
    </row>
    <row r="661" spans="1:28" x14ac:dyDescent="0.2">
      <c r="A661" s="10">
        <v>21621</v>
      </c>
      <c r="B661" s="11" t="s">
        <v>4878</v>
      </c>
      <c r="C661" s="11" t="s">
        <v>4879</v>
      </c>
      <c r="D661" s="11" t="s">
        <v>4880</v>
      </c>
      <c r="E661" s="11" t="s">
        <v>4881</v>
      </c>
      <c r="F661" s="11" t="s">
        <v>353</v>
      </c>
      <c r="G661" s="11" t="s">
        <v>1364</v>
      </c>
      <c r="H661" s="11" t="s">
        <v>329</v>
      </c>
      <c r="I661" s="11" t="s">
        <v>4882</v>
      </c>
      <c r="J661" s="11" t="s">
        <v>4883</v>
      </c>
      <c r="K661" s="11" t="s">
        <v>431</v>
      </c>
      <c r="L661" s="11" t="s">
        <v>333</v>
      </c>
      <c r="M661" s="11" t="s">
        <v>4884</v>
      </c>
      <c r="N661" s="11" t="s">
        <v>128</v>
      </c>
      <c r="O661" s="11" t="s">
        <v>4885</v>
      </c>
      <c r="P661" s="11" t="s">
        <v>4886</v>
      </c>
      <c r="Q661" s="11" t="s">
        <v>150</v>
      </c>
      <c r="R661" s="11"/>
      <c r="S661" s="11" t="s">
        <v>71</v>
      </c>
      <c r="T661" s="11" t="s">
        <v>67</v>
      </c>
      <c r="U661" s="11" t="s">
        <v>150</v>
      </c>
      <c r="V661" s="11" t="s">
        <v>152</v>
      </c>
      <c r="W661" s="11" t="s">
        <v>67</v>
      </c>
      <c r="X661" s="11">
        <v>31</v>
      </c>
      <c r="Y661" s="11" t="s">
        <v>135</v>
      </c>
      <c r="Z661" s="11">
        <v>80</v>
      </c>
      <c r="AA661" s="11">
        <v>0</v>
      </c>
      <c r="AB661" s="12">
        <v>0</v>
      </c>
    </row>
    <row r="662" spans="1:28" x14ac:dyDescent="0.2">
      <c r="A662" s="7">
        <v>117291</v>
      </c>
      <c r="B662" s="8" t="s">
        <v>4887</v>
      </c>
      <c r="C662" s="8" t="s">
        <v>186</v>
      </c>
      <c r="D662" s="8" t="s">
        <v>310</v>
      </c>
      <c r="E662" s="8"/>
      <c r="F662" s="8" t="s">
        <v>189</v>
      </c>
      <c r="G662" s="8" t="s">
        <v>190</v>
      </c>
      <c r="H662" s="8" t="s">
        <v>191</v>
      </c>
      <c r="I662" s="8" t="s">
        <v>4888</v>
      </c>
      <c r="J662" s="8" t="s">
        <v>313</v>
      </c>
      <c r="K662" s="8" t="s">
        <v>194</v>
      </c>
      <c r="L662" s="8" t="s">
        <v>163</v>
      </c>
      <c r="M662" s="8" t="s">
        <v>4889</v>
      </c>
      <c r="N662" s="8" t="s">
        <v>128</v>
      </c>
      <c r="O662" s="8" t="s">
        <v>4890</v>
      </c>
      <c r="P662" s="8"/>
      <c r="Q662" s="8" t="s">
        <v>131</v>
      </c>
      <c r="R662" s="8"/>
      <c r="S662" s="8" t="s">
        <v>317</v>
      </c>
      <c r="T662" s="8" t="s">
        <v>983</v>
      </c>
      <c r="U662" s="8" t="s">
        <v>134</v>
      </c>
      <c r="V662" s="8" t="s">
        <v>131</v>
      </c>
      <c r="W662" s="8" t="s">
        <v>983</v>
      </c>
      <c r="X662" s="8">
        <v>31</v>
      </c>
      <c r="Y662" s="8" t="s">
        <v>135</v>
      </c>
      <c r="Z662" s="8">
        <v>20</v>
      </c>
      <c r="AA662" s="8">
        <v>1</v>
      </c>
      <c r="AB662" s="9">
        <v>0</v>
      </c>
    </row>
    <row r="663" spans="1:28" x14ac:dyDescent="0.2">
      <c r="A663" s="10">
        <v>22950</v>
      </c>
      <c r="B663" s="11" t="s">
        <v>4891</v>
      </c>
      <c r="C663" s="11" t="s">
        <v>1183</v>
      </c>
      <c r="D663" s="11" t="s">
        <v>904</v>
      </c>
      <c r="E663" s="11" t="s">
        <v>4892</v>
      </c>
      <c r="F663" s="11" t="s">
        <v>1185</v>
      </c>
      <c r="G663" s="11" t="s">
        <v>121</v>
      </c>
      <c r="H663" s="11" t="s">
        <v>122</v>
      </c>
      <c r="I663" s="11" t="s">
        <v>1186</v>
      </c>
      <c r="J663" s="11" t="s">
        <v>1187</v>
      </c>
      <c r="K663" s="11" t="s">
        <v>1051</v>
      </c>
      <c r="L663" s="11" t="s">
        <v>126</v>
      </c>
      <c r="M663" s="11" t="s">
        <v>4893</v>
      </c>
      <c r="N663" s="11" t="s">
        <v>128</v>
      </c>
      <c r="O663" s="11" t="s">
        <v>4894</v>
      </c>
      <c r="P663" s="11" t="s">
        <v>4895</v>
      </c>
      <c r="Q663" s="11" t="s">
        <v>150</v>
      </c>
      <c r="R663" s="11"/>
      <c r="S663" s="11" t="s">
        <v>1191</v>
      </c>
      <c r="T663" s="11" t="s">
        <v>70</v>
      </c>
      <c r="U663" s="11" t="s">
        <v>150</v>
      </c>
      <c r="V663" s="11" t="s">
        <v>70</v>
      </c>
      <c r="W663" s="11" t="s">
        <v>70</v>
      </c>
      <c r="X663" s="11">
        <v>31</v>
      </c>
      <c r="Y663" s="11" t="s">
        <v>135</v>
      </c>
      <c r="Z663" s="11">
        <v>20</v>
      </c>
      <c r="AA663" s="11">
        <v>1</v>
      </c>
      <c r="AB663" s="12">
        <v>0</v>
      </c>
    </row>
    <row r="664" spans="1:28" x14ac:dyDescent="0.2">
      <c r="A664" s="7">
        <v>116417</v>
      </c>
      <c r="B664" s="8" t="s">
        <v>4896</v>
      </c>
      <c r="C664" s="8" t="s">
        <v>4897</v>
      </c>
      <c r="D664" s="8" t="s">
        <v>2183</v>
      </c>
      <c r="E664" s="8"/>
      <c r="F664" s="8" t="s">
        <v>353</v>
      </c>
      <c r="G664" s="8" t="s">
        <v>4898</v>
      </c>
      <c r="H664" s="8" t="s">
        <v>142</v>
      </c>
      <c r="I664" s="8" t="s">
        <v>4899</v>
      </c>
      <c r="J664" s="8" t="s">
        <v>4900</v>
      </c>
      <c r="K664" s="8" t="s">
        <v>1673</v>
      </c>
      <c r="L664" s="8" t="s">
        <v>464</v>
      </c>
      <c r="M664" s="8" t="s">
        <v>4901</v>
      </c>
      <c r="N664" s="8" t="s">
        <v>128</v>
      </c>
      <c r="O664" s="8" t="s">
        <v>4902</v>
      </c>
      <c r="P664" s="8" t="s">
        <v>4903</v>
      </c>
      <c r="Q664" s="8" t="s">
        <v>150</v>
      </c>
      <c r="R664" s="8"/>
      <c r="S664" s="8" t="s">
        <v>71</v>
      </c>
      <c r="T664" s="8" t="s">
        <v>1415</v>
      </c>
      <c r="U664" s="8" t="s">
        <v>150</v>
      </c>
      <c r="V664" s="8" t="s">
        <v>1415</v>
      </c>
      <c r="W664" s="8" t="s">
        <v>1415</v>
      </c>
      <c r="X664" s="8">
        <v>31</v>
      </c>
      <c r="Y664" s="8" t="s">
        <v>135</v>
      </c>
      <c r="Z664" s="8">
        <v>80</v>
      </c>
      <c r="AA664" s="8">
        <v>0</v>
      </c>
      <c r="AB664" s="9">
        <v>0</v>
      </c>
    </row>
    <row r="665" spans="1:28" x14ac:dyDescent="0.2">
      <c r="A665" s="10">
        <v>24656</v>
      </c>
      <c r="B665" s="11" t="s">
        <v>4904</v>
      </c>
      <c r="C665" s="11" t="s">
        <v>842</v>
      </c>
      <c r="D665" s="11" t="s">
        <v>826</v>
      </c>
      <c r="E665" s="11" t="s">
        <v>4905</v>
      </c>
      <c r="F665" s="11" t="s">
        <v>2953</v>
      </c>
      <c r="G665" s="11" t="s">
        <v>1026</v>
      </c>
      <c r="H665" s="11" t="s">
        <v>142</v>
      </c>
      <c r="I665" s="11" t="s">
        <v>2946</v>
      </c>
      <c r="J665" s="11" t="s">
        <v>2954</v>
      </c>
      <c r="K665" s="11" t="s">
        <v>1029</v>
      </c>
      <c r="L665" s="11" t="s">
        <v>464</v>
      </c>
      <c r="M665" s="11" t="s">
        <v>4906</v>
      </c>
      <c r="N665" s="11" t="s">
        <v>128</v>
      </c>
      <c r="O665" s="11" t="s">
        <v>4907</v>
      </c>
      <c r="P665" s="11" t="s">
        <v>4908</v>
      </c>
      <c r="Q665" s="11" t="s">
        <v>150</v>
      </c>
      <c r="R665" s="11"/>
      <c r="S665" s="11" t="s">
        <v>2950</v>
      </c>
      <c r="T665" s="11" t="s">
        <v>69</v>
      </c>
      <c r="U665" s="11" t="s">
        <v>150</v>
      </c>
      <c r="V665" s="11" t="s">
        <v>152</v>
      </c>
      <c r="W665" s="11" t="s">
        <v>69</v>
      </c>
      <c r="X665" s="11">
        <v>31</v>
      </c>
      <c r="Y665" s="11" t="s">
        <v>135</v>
      </c>
      <c r="Z665" s="11">
        <v>80</v>
      </c>
      <c r="AA665" s="11">
        <v>0</v>
      </c>
      <c r="AB665" s="12">
        <v>0</v>
      </c>
    </row>
    <row r="666" spans="1:28" x14ac:dyDescent="0.2">
      <c r="A666" s="7">
        <v>24730</v>
      </c>
      <c r="B666" s="8" t="s">
        <v>4909</v>
      </c>
      <c r="C666" s="8" t="s">
        <v>339</v>
      </c>
      <c r="D666" s="8" t="s">
        <v>340</v>
      </c>
      <c r="E666" s="8" t="s">
        <v>4910</v>
      </c>
      <c r="F666" s="8" t="s">
        <v>342</v>
      </c>
      <c r="G666" s="8" t="s">
        <v>328</v>
      </c>
      <c r="H666" s="8" t="s">
        <v>329</v>
      </c>
      <c r="I666" s="8" t="s">
        <v>343</v>
      </c>
      <c r="J666" s="8" t="s">
        <v>344</v>
      </c>
      <c r="K666" s="8" t="s">
        <v>332</v>
      </c>
      <c r="L666" s="8" t="s">
        <v>333</v>
      </c>
      <c r="M666" s="8" t="s">
        <v>4911</v>
      </c>
      <c r="N666" s="8" t="s">
        <v>128</v>
      </c>
      <c r="O666" s="8" t="s">
        <v>4912</v>
      </c>
      <c r="P666" s="8" t="s">
        <v>4913</v>
      </c>
      <c r="Q666" s="8" t="s">
        <v>150</v>
      </c>
      <c r="R666" s="8"/>
      <c r="S666" s="8" t="s">
        <v>348</v>
      </c>
      <c r="T666" s="8" t="s">
        <v>69</v>
      </c>
      <c r="U666" s="8" t="s">
        <v>150</v>
      </c>
      <c r="V666" s="8" t="s">
        <v>152</v>
      </c>
      <c r="W666" s="8" t="s">
        <v>69</v>
      </c>
      <c r="X666" s="8">
        <v>31</v>
      </c>
      <c r="Y666" s="8" t="s">
        <v>135</v>
      </c>
      <c r="Z666" s="8">
        <v>80</v>
      </c>
      <c r="AA666" s="8">
        <v>0</v>
      </c>
      <c r="AB666" s="9">
        <v>0</v>
      </c>
    </row>
    <row r="667" spans="1:28" x14ac:dyDescent="0.2">
      <c r="A667" s="10">
        <v>24023</v>
      </c>
      <c r="B667" s="11" t="s">
        <v>4914</v>
      </c>
      <c r="C667" s="11" t="s">
        <v>297</v>
      </c>
      <c r="D667" s="11" t="s">
        <v>138</v>
      </c>
      <c r="E667" s="11" t="s">
        <v>4915</v>
      </c>
      <c r="F667" s="11" t="s">
        <v>299</v>
      </c>
      <c r="G667" s="11" t="s">
        <v>300</v>
      </c>
      <c r="H667" s="11" t="s">
        <v>301</v>
      </c>
      <c r="I667" s="11" t="s">
        <v>302</v>
      </c>
      <c r="J667" s="11" t="s">
        <v>303</v>
      </c>
      <c r="K667" s="11" t="s">
        <v>304</v>
      </c>
      <c r="L667" s="11" t="s">
        <v>229</v>
      </c>
      <c r="M667" s="11" t="s">
        <v>4916</v>
      </c>
      <c r="N667" s="11" t="s">
        <v>128</v>
      </c>
      <c r="O667" s="11" t="s">
        <v>4917</v>
      </c>
      <c r="P667" s="11"/>
      <c r="Q667" s="11" t="s">
        <v>740</v>
      </c>
      <c r="R667" s="11"/>
      <c r="S667" s="11" t="s">
        <v>308</v>
      </c>
      <c r="T667" s="11" t="s">
        <v>1745</v>
      </c>
      <c r="U667" s="11" t="s">
        <v>134</v>
      </c>
      <c r="V667" s="11" t="s">
        <v>740</v>
      </c>
      <c r="W667" s="11" t="s">
        <v>1745</v>
      </c>
      <c r="X667" s="11">
        <v>31</v>
      </c>
      <c r="Y667" s="11" t="s">
        <v>135</v>
      </c>
      <c r="Z667" s="11">
        <v>20</v>
      </c>
      <c r="AA667" s="11">
        <v>1</v>
      </c>
      <c r="AB667" s="12">
        <v>0</v>
      </c>
    </row>
    <row r="668" spans="1:28" x14ac:dyDescent="0.2">
      <c r="A668" s="7">
        <v>119025</v>
      </c>
      <c r="B668" s="8" t="s">
        <v>4918</v>
      </c>
      <c r="C668" s="8" t="s">
        <v>186</v>
      </c>
      <c r="D668" s="8" t="s">
        <v>187</v>
      </c>
      <c r="E668" s="8"/>
      <c r="F668" s="8" t="s">
        <v>189</v>
      </c>
      <c r="G668" s="8" t="s">
        <v>190</v>
      </c>
      <c r="H668" s="8" t="s">
        <v>191</v>
      </c>
      <c r="I668" s="8" t="s">
        <v>192</v>
      </c>
      <c r="J668" s="8" t="s">
        <v>193</v>
      </c>
      <c r="K668" s="8" t="s">
        <v>194</v>
      </c>
      <c r="L668" s="8" t="s">
        <v>163</v>
      </c>
      <c r="M668" s="8" t="s">
        <v>4919</v>
      </c>
      <c r="N668" s="8" t="s">
        <v>128</v>
      </c>
      <c r="O668" s="8" t="s">
        <v>4920</v>
      </c>
      <c r="P668" s="8" t="s">
        <v>4921</v>
      </c>
      <c r="Q668" s="8" t="s">
        <v>249</v>
      </c>
      <c r="R668" s="8"/>
      <c r="S668" s="8" t="s">
        <v>198</v>
      </c>
      <c r="T668" s="8" t="s">
        <v>250</v>
      </c>
      <c r="U668" s="8" t="s">
        <v>134</v>
      </c>
      <c r="V668" s="8" t="s">
        <v>249</v>
      </c>
      <c r="W668" s="8" t="s">
        <v>250</v>
      </c>
      <c r="X668" s="8">
        <v>31</v>
      </c>
      <c r="Y668" s="8" t="s">
        <v>135</v>
      </c>
      <c r="Z668" s="8">
        <v>20</v>
      </c>
      <c r="AA668" s="8">
        <v>1</v>
      </c>
      <c r="AB668" s="9">
        <v>0</v>
      </c>
    </row>
    <row r="669" spans="1:28" x14ac:dyDescent="0.2">
      <c r="A669" s="10">
        <v>21709</v>
      </c>
      <c r="B669" s="11" t="s">
        <v>4922</v>
      </c>
      <c r="C669" s="11" t="s">
        <v>4923</v>
      </c>
      <c r="D669" s="11" t="s">
        <v>2411</v>
      </c>
      <c r="E669" s="11" t="s">
        <v>4924</v>
      </c>
      <c r="F669" s="11" t="s">
        <v>353</v>
      </c>
      <c r="G669" s="11" t="s">
        <v>3364</v>
      </c>
      <c r="H669" s="11" t="s">
        <v>704</v>
      </c>
      <c r="I669" s="11" t="s">
        <v>4925</v>
      </c>
      <c r="J669" s="11" t="s">
        <v>4926</v>
      </c>
      <c r="K669" s="11" t="s">
        <v>1051</v>
      </c>
      <c r="L669" s="11" t="s">
        <v>126</v>
      </c>
      <c r="M669" s="11" t="s">
        <v>4927</v>
      </c>
      <c r="N669" s="11" t="s">
        <v>128</v>
      </c>
      <c r="O669" s="11" t="s">
        <v>4928</v>
      </c>
      <c r="P669" s="11" t="s">
        <v>4929</v>
      </c>
      <c r="Q669" s="11" t="s">
        <v>150</v>
      </c>
      <c r="R669" s="11"/>
      <c r="S669" s="11" t="s">
        <v>71</v>
      </c>
      <c r="T669" s="11" t="s">
        <v>67</v>
      </c>
      <c r="U669" s="11" t="s">
        <v>150</v>
      </c>
      <c r="V669" s="11" t="s">
        <v>152</v>
      </c>
      <c r="W669" s="11" t="s">
        <v>67</v>
      </c>
      <c r="X669" s="11">
        <v>30</v>
      </c>
      <c r="Y669" s="11" t="s">
        <v>135</v>
      </c>
      <c r="Z669" s="11">
        <v>80</v>
      </c>
      <c r="AA669" s="11">
        <v>0</v>
      </c>
      <c r="AB669" s="12">
        <v>0</v>
      </c>
    </row>
    <row r="670" spans="1:28" x14ac:dyDescent="0.2">
      <c r="A670" s="7">
        <v>21537</v>
      </c>
      <c r="B670" s="8" t="s">
        <v>4930</v>
      </c>
      <c r="C670" s="8" t="s">
        <v>4931</v>
      </c>
      <c r="D670" s="8" t="s">
        <v>138</v>
      </c>
      <c r="E670" s="8" t="s">
        <v>4932</v>
      </c>
      <c r="F670" s="8" t="s">
        <v>4933</v>
      </c>
      <c r="G670" s="8" t="s">
        <v>224</v>
      </c>
      <c r="H670" s="8" t="s">
        <v>225</v>
      </c>
      <c r="I670" s="8" t="s">
        <v>4934</v>
      </c>
      <c r="J670" s="8" t="s">
        <v>4935</v>
      </c>
      <c r="K670" s="8" t="s">
        <v>228</v>
      </c>
      <c r="L670" s="8" t="s">
        <v>229</v>
      </c>
      <c r="M670" s="8" t="s">
        <v>4936</v>
      </c>
      <c r="N670" s="8" t="s">
        <v>128</v>
      </c>
      <c r="O670" s="8" t="s">
        <v>4937</v>
      </c>
      <c r="P670" s="8" t="s">
        <v>4938</v>
      </c>
      <c r="Q670" s="8" t="s">
        <v>150</v>
      </c>
      <c r="R670" s="8"/>
      <c r="S670" s="8" t="s">
        <v>71</v>
      </c>
      <c r="T670" s="8" t="s">
        <v>67</v>
      </c>
      <c r="U670" s="8" t="s">
        <v>150</v>
      </c>
      <c r="V670" s="8" t="s">
        <v>152</v>
      </c>
      <c r="W670" s="8" t="s">
        <v>67</v>
      </c>
      <c r="X670" s="8">
        <v>30</v>
      </c>
      <c r="Y670" s="8" t="s">
        <v>135</v>
      </c>
      <c r="Z670" s="8">
        <v>80</v>
      </c>
      <c r="AA670" s="8">
        <v>0</v>
      </c>
      <c r="AB670" s="9">
        <v>0</v>
      </c>
    </row>
    <row r="671" spans="1:28" x14ac:dyDescent="0.2">
      <c r="A671" s="10">
        <v>21900</v>
      </c>
      <c r="B671" s="11" t="s">
        <v>4939</v>
      </c>
      <c r="C671" s="11" t="s">
        <v>4711</v>
      </c>
      <c r="D671" s="11" t="s">
        <v>4829</v>
      </c>
      <c r="E671" s="11" t="s">
        <v>311</v>
      </c>
      <c r="F671" s="11" t="s">
        <v>353</v>
      </c>
      <c r="G671" s="11" t="s">
        <v>4831</v>
      </c>
      <c r="H671" s="11" t="s">
        <v>122</v>
      </c>
      <c r="I671" s="11" t="s">
        <v>4832</v>
      </c>
      <c r="J671" s="11" t="s">
        <v>4833</v>
      </c>
      <c r="K671" s="11" t="s">
        <v>1051</v>
      </c>
      <c r="L671" s="11" t="s">
        <v>126</v>
      </c>
      <c r="M671" s="11" t="s">
        <v>4940</v>
      </c>
      <c r="N671" s="11" t="s">
        <v>128</v>
      </c>
      <c r="O671" s="11" t="s">
        <v>4941</v>
      </c>
      <c r="P671" s="11" t="s">
        <v>4942</v>
      </c>
      <c r="Q671" s="11" t="s">
        <v>131</v>
      </c>
      <c r="R671" s="11"/>
      <c r="S671" s="11" t="s">
        <v>4837</v>
      </c>
      <c r="T671" s="11" t="s">
        <v>133</v>
      </c>
      <c r="U671" s="11" t="s">
        <v>134</v>
      </c>
      <c r="V671" s="11" t="s">
        <v>131</v>
      </c>
      <c r="W671" s="11" t="s">
        <v>133</v>
      </c>
      <c r="X671" s="11">
        <v>30</v>
      </c>
      <c r="Y671" s="11" t="s">
        <v>135</v>
      </c>
      <c r="Z671" s="11">
        <v>80</v>
      </c>
      <c r="AA671" s="11">
        <v>0</v>
      </c>
      <c r="AB671" s="12">
        <v>0</v>
      </c>
    </row>
    <row r="672" spans="1:28" x14ac:dyDescent="0.2">
      <c r="A672" s="7">
        <v>22575</v>
      </c>
      <c r="B672" s="8" t="s">
        <v>4943</v>
      </c>
      <c r="C672" s="8" t="s">
        <v>4944</v>
      </c>
      <c r="D672" s="8" t="s">
        <v>4623</v>
      </c>
      <c r="E672" s="8"/>
      <c r="F672" s="8" t="s">
        <v>4945</v>
      </c>
      <c r="G672" s="8" t="s">
        <v>3758</v>
      </c>
      <c r="H672" s="8" t="s">
        <v>847</v>
      </c>
      <c r="I672" s="8" t="s">
        <v>4946</v>
      </c>
      <c r="J672" s="8" t="s">
        <v>4947</v>
      </c>
      <c r="K672" s="8" t="s">
        <v>1091</v>
      </c>
      <c r="L672" s="8" t="s">
        <v>126</v>
      </c>
      <c r="M672" s="8" t="s">
        <v>4948</v>
      </c>
      <c r="N672" s="8" t="s">
        <v>128</v>
      </c>
      <c r="O672" s="8" t="s">
        <v>4949</v>
      </c>
      <c r="P672" s="8" t="s">
        <v>4950</v>
      </c>
      <c r="Q672" s="8" t="s">
        <v>150</v>
      </c>
      <c r="R672" s="8"/>
      <c r="S672" s="8" t="s">
        <v>71</v>
      </c>
      <c r="T672" s="8" t="s">
        <v>2697</v>
      </c>
      <c r="U672" s="8" t="s">
        <v>150</v>
      </c>
      <c r="V672" s="8" t="s">
        <v>2697</v>
      </c>
      <c r="W672" s="8" t="s">
        <v>2697</v>
      </c>
      <c r="X672" s="8">
        <v>30</v>
      </c>
      <c r="Y672" s="8" t="s">
        <v>135</v>
      </c>
      <c r="Z672" s="8">
        <v>80</v>
      </c>
      <c r="AA672" s="8">
        <v>0</v>
      </c>
      <c r="AB672" s="9">
        <v>0</v>
      </c>
    </row>
    <row r="673" spans="1:28" x14ac:dyDescent="0.2">
      <c r="A673" s="10">
        <v>24879</v>
      </c>
      <c r="B673" s="11" t="s">
        <v>4951</v>
      </c>
      <c r="C673" s="11" t="s">
        <v>117</v>
      </c>
      <c r="D673" s="11" t="s">
        <v>118</v>
      </c>
      <c r="E673" s="11" t="s">
        <v>4952</v>
      </c>
      <c r="F673" s="11" t="s">
        <v>120</v>
      </c>
      <c r="G673" s="11" t="s">
        <v>121</v>
      </c>
      <c r="H673" s="11" t="s">
        <v>122</v>
      </c>
      <c r="I673" s="11" t="s">
        <v>123</v>
      </c>
      <c r="J673" s="11" t="s">
        <v>124</v>
      </c>
      <c r="K673" s="11" t="s">
        <v>125</v>
      </c>
      <c r="L673" s="11" t="s">
        <v>126</v>
      </c>
      <c r="M673" s="11" t="s">
        <v>4953</v>
      </c>
      <c r="N673" s="11" t="s">
        <v>128</v>
      </c>
      <c r="O673" s="11" t="s">
        <v>4954</v>
      </c>
      <c r="P673" s="11" t="s">
        <v>4955</v>
      </c>
      <c r="Q673" s="11" t="s">
        <v>150</v>
      </c>
      <c r="R673" s="11"/>
      <c r="S673" s="11" t="s">
        <v>132</v>
      </c>
      <c r="T673" s="11" t="s">
        <v>1738</v>
      </c>
      <c r="U673" s="11" t="s">
        <v>150</v>
      </c>
      <c r="V673" s="11" t="s">
        <v>1738</v>
      </c>
      <c r="W673" s="11" t="s">
        <v>1738</v>
      </c>
      <c r="X673" s="11">
        <v>30</v>
      </c>
      <c r="Y673" s="11" t="s">
        <v>135</v>
      </c>
      <c r="Z673" s="11">
        <v>80</v>
      </c>
      <c r="AA673" s="11">
        <v>1</v>
      </c>
      <c r="AB673" s="12">
        <v>1</v>
      </c>
    </row>
    <row r="674" spans="1:28" x14ac:dyDescent="0.2">
      <c r="A674" s="7">
        <v>226715</v>
      </c>
      <c r="B674" s="8" t="s">
        <v>4956</v>
      </c>
      <c r="C674" s="8" t="s">
        <v>186</v>
      </c>
      <c r="D674" s="8" t="s">
        <v>4957</v>
      </c>
      <c r="E674" s="8" t="s">
        <v>4958</v>
      </c>
      <c r="F674" s="8" t="s">
        <v>4959</v>
      </c>
      <c r="G674" s="8" t="s">
        <v>190</v>
      </c>
      <c r="H674" s="8" t="s">
        <v>191</v>
      </c>
      <c r="I674" s="8" t="s">
        <v>3981</v>
      </c>
      <c r="J674" s="8" t="s">
        <v>313</v>
      </c>
      <c r="K674" s="8" t="s">
        <v>194</v>
      </c>
      <c r="L674" s="8" t="s">
        <v>163</v>
      </c>
      <c r="M674" s="8" t="s">
        <v>4960</v>
      </c>
      <c r="N674" s="8" t="s">
        <v>128</v>
      </c>
      <c r="O674" s="8" t="s">
        <v>4961</v>
      </c>
      <c r="P674" s="8" t="s">
        <v>4962</v>
      </c>
      <c r="Q674" s="8" t="s">
        <v>249</v>
      </c>
      <c r="R674" s="8"/>
      <c r="S674" s="8" t="s">
        <v>317</v>
      </c>
      <c r="T674" s="8" t="s">
        <v>250</v>
      </c>
      <c r="U674" s="8" t="s">
        <v>134</v>
      </c>
      <c r="V674" s="8" t="s">
        <v>249</v>
      </c>
      <c r="W674" s="8" t="s">
        <v>250</v>
      </c>
      <c r="X674" s="8">
        <v>30</v>
      </c>
      <c r="Y674" s="8" t="s">
        <v>135</v>
      </c>
      <c r="Z674" s="8">
        <v>20</v>
      </c>
      <c r="AA674" s="8">
        <v>1</v>
      </c>
      <c r="AB674" s="9">
        <v>0</v>
      </c>
    </row>
    <row r="675" spans="1:28" x14ac:dyDescent="0.2">
      <c r="A675" s="10">
        <v>119458</v>
      </c>
      <c r="B675" s="11" t="s">
        <v>4963</v>
      </c>
      <c r="C675" s="11" t="s">
        <v>4964</v>
      </c>
      <c r="D675" s="11" t="s">
        <v>4965</v>
      </c>
      <c r="E675" s="11" t="s">
        <v>4966</v>
      </c>
      <c r="F675" s="11" t="s">
        <v>173</v>
      </c>
      <c r="G675" s="11" t="s">
        <v>158</v>
      </c>
      <c r="H675" s="11" t="s">
        <v>159</v>
      </c>
      <c r="I675" s="11" t="s">
        <v>1542</v>
      </c>
      <c r="J675" s="11" t="s">
        <v>175</v>
      </c>
      <c r="K675" s="11" t="s">
        <v>162</v>
      </c>
      <c r="L675" s="11" t="s">
        <v>163</v>
      </c>
      <c r="M675" s="11" t="s">
        <v>4967</v>
      </c>
      <c r="N675" s="11" t="s">
        <v>128</v>
      </c>
      <c r="O675" s="11" t="s">
        <v>4968</v>
      </c>
      <c r="P675" s="11" t="s">
        <v>4969</v>
      </c>
      <c r="Q675" s="11" t="s">
        <v>249</v>
      </c>
      <c r="R675" s="11"/>
      <c r="S675" s="11" t="s">
        <v>179</v>
      </c>
      <c r="T675" s="11" t="s">
        <v>250</v>
      </c>
      <c r="U675" s="11" t="s">
        <v>134</v>
      </c>
      <c r="V675" s="11" t="s">
        <v>249</v>
      </c>
      <c r="W675" s="11" t="s">
        <v>250</v>
      </c>
      <c r="X675" s="11">
        <v>30</v>
      </c>
      <c r="Y675" s="11" t="s">
        <v>135</v>
      </c>
      <c r="Z675" s="11">
        <v>20</v>
      </c>
      <c r="AA675" s="11">
        <v>1</v>
      </c>
      <c r="AB675" s="12">
        <v>0</v>
      </c>
    </row>
    <row r="676" spans="1:28" x14ac:dyDescent="0.2">
      <c r="A676" s="7">
        <v>20766</v>
      </c>
      <c r="B676" s="8" t="s">
        <v>4970</v>
      </c>
      <c r="C676" s="8" t="s">
        <v>4971</v>
      </c>
      <c r="D676" s="8" t="s">
        <v>3149</v>
      </c>
      <c r="E676" s="8"/>
      <c r="F676" s="8" t="s">
        <v>4972</v>
      </c>
      <c r="G676" s="8" t="s">
        <v>521</v>
      </c>
      <c r="H676" s="8" t="s">
        <v>522</v>
      </c>
      <c r="I676" s="8" t="s">
        <v>4973</v>
      </c>
      <c r="J676" s="8" t="s">
        <v>4974</v>
      </c>
      <c r="K676" s="8" t="s">
        <v>525</v>
      </c>
      <c r="L676" s="8" t="s">
        <v>526</v>
      </c>
      <c r="M676" s="8" t="s">
        <v>4975</v>
      </c>
      <c r="N676" s="8" t="s">
        <v>128</v>
      </c>
      <c r="O676" s="8" t="s">
        <v>4976</v>
      </c>
      <c r="P676" s="8" t="s">
        <v>4977</v>
      </c>
      <c r="Q676" s="8" t="s">
        <v>150</v>
      </c>
      <c r="R676" s="8"/>
      <c r="S676" s="8" t="s">
        <v>71</v>
      </c>
      <c r="T676" s="8" t="s">
        <v>531</v>
      </c>
      <c r="U676" s="8" t="s">
        <v>150</v>
      </c>
      <c r="V676" s="8" t="s">
        <v>531</v>
      </c>
      <c r="W676" s="8" t="s">
        <v>531</v>
      </c>
      <c r="X676" s="8">
        <v>29</v>
      </c>
      <c r="Y676" s="8" t="s">
        <v>135</v>
      </c>
      <c r="Z676" s="8">
        <v>80</v>
      </c>
      <c r="AA676" s="8">
        <v>0</v>
      </c>
      <c r="AB676" s="9">
        <v>0</v>
      </c>
    </row>
    <row r="677" spans="1:28" x14ac:dyDescent="0.2">
      <c r="A677" s="10">
        <v>25357</v>
      </c>
      <c r="B677" s="11" t="s">
        <v>4978</v>
      </c>
      <c r="C677" s="11" t="s">
        <v>373</v>
      </c>
      <c r="D677" s="11" t="s">
        <v>138</v>
      </c>
      <c r="E677" s="11" t="s">
        <v>4979</v>
      </c>
      <c r="F677" s="11" t="s">
        <v>484</v>
      </c>
      <c r="G677" s="11" t="s">
        <v>224</v>
      </c>
      <c r="H677" s="11" t="s">
        <v>225</v>
      </c>
      <c r="I677" s="11" t="s">
        <v>485</v>
      </c>
      <c r="J677" s="11" t="s">
        <v>486</v>
      </c>
      <c r="K677" s="11" t="s">
        <v>228</v>
      </c>
      <c r="L677" s="11" t="s">
        <v>229</v>
      </c>
      <c r="M677" s="11" t="s">
        <v>4980</v>
      </c>
      <c r="N677" s="11" t="s">
        <v>128</v>
      </c>
      <c r="O677" s="11"/>
      <c r="P677" s="11"/>
      <c r="Q677" s="11" t="s">
        <v>131</v>
      </c>
      <c r="R677" s="11"/>
      <c r="S677" s="11" t="s">
        <v>381</v>
      </c>
      <c r="T677" s="11" t="s">
        <v>983</v>
      </c>
      <c r="U677" s="11" t="s">
        <v>134</v>
      </c>
      <c r="V677" s="11" t="s">
        <v>131</v>
      </c>
      <c r="W677" s="11" t="s">
        <v>983</v>
      </c>
      <c r="X677" s="11">
        <v>29</v>
      </c>
      <c r="Y677" s="11" t="s">
        <v>135</v>
      </c>
      <c r="Z677" s="11">
        <v>80</v>
      </c>
      <c r="AA677" s="11">
        <v>1</v>
      </c>
      <c r="AB677" s="12">
        <v>1</v>
      </c>
    </row>
    <row r="678" spans="1:28" x14ac:dyDescent="0.2">
      <c r="A678" s="7">
        <v>107608</v>
      </c>
      <c r="B678" s="8" t="s">
        <v>4981</v>
      </c>
      <c r="C678" s="8" t="s">
        <v>4111</v>
      </c>
      <c r="D678" s="8" t="s">
        <v>3863</v>
      </c>
      <c r="E678" s="8" t="s">
        <v>4982</v>
      </c>
      <c r="F678" s="8" t="s">
        <v>4983</v>
      </c>
      <c r="G678" s="8" t="s">
        <v>556</v>
      </c>
      <c r="H678" s="8" t="s">
        <v>557</v>
      </c>
      <c r="I678" s="8" t="s">
        <v>4390</v>
      </c>
      <c r="J678" s="8" t="s">
        <v>4115</v>
      </c>
      <c r="K678" s="8" t="s">
        <v>560</v>
      </c>
      <c r="L678" s="8" t="s">
        <v>229</v>
      </c>
      <c r="M678" s="8" t="s">
        <v>4984</v>
      </c>
      <c r="N678" s="8" t="s">
        <v>128</v>
      </c>
      <c r="O678" s="8" t="s">
        <v>4985</v>
      </c>
      <c r="P678" s="8"/>
      <c r="Q678" s="8" t="s">
        <v>131</v>
      </c>
      <c r="R678" s="8"/>
      <c r="S678" s="8" t="s">
        <v>4119</v>
      </c>
      <c r="T678" s="8" t="s">
        <v>983</v>
      </c>
      <c r="U678" s="8" t="s">
        <v>134</v>
      </c>
      <c r="V678" s="8" t="s">
        <v>131</v>
      </c>
      <c r="W678" s="8" t="s">
        <v>983</v>
      </c>
      <c r="X678" s="8">
        <v>29</v>
      </c>
      <c r="Y678" s="8" t="s">
        <v>135</v>
      </c>
      <c r="Z678" s="8">
        <v>20</v>
      </c>
      <c r="AA678" s="8">
        <v>1</v>
      </c>
      <c r="AB678" s="9">
        <v>0</v>
      </c>
    </row>
    <row r="679" spans="1:28" x14ac:dyDescent="0.2">
      <c r="A679" s="10">
        <v>235348</v>
      </c>
      <c r="B679" s="11" t="s">
        <v>4986</v>
      </c>
      <c r="C679" s="11" t="s">
        <v>552</v>
      </c>
      <c r="D679" s="11" t="s">
        <v>553</v>
      </c>
      <c r="E679" s="11"/>
      <c r="F679" s="11" t="s">
        <v>3284</v>
      </c>
      <c r="G679" s="11" t="s">
        <v>556</v>
      </c>
      <c r="H679" s="11" t="s">
        <v>557</v>
      </c>
      <c r="I679" s="11" t="s">
        <v>4987</v>
      </c>
      <c r="J679" s="11" t="s">
        <v>940</v>
      </c>
      <c r="K679" s="11" t="s">
        <v>560</v>
      </c>
      <c r="L679" s="11" t="s">
        <v>229</v>
      </c>
      <c r="M679" s="11" t="s">
        <v>4988</v>
      </c>
      <c r="N679" s="11" t="s">
        <v>128</v>
      </c>
      <c r="O679" s="11" t="s">
        <v>4989</v>
      </c>
      <c r="P679" s="11"/>
      <c r="Q679" s="11" t="s">
        <v>131</v>
      </c>
      <c r="R679" s="11"/>
      <c r="S679" s="11" t="s">
        <v>564</v>
      </c>
      <c r="T679" s="11" t="s">
        <v>983</v>
      </c>
      <c r="U679" s="11" t="s">
        <v>134</v>
      </c>
      <c r="V679" s="11" t="s">
        <v>131</v>
      </c>
      <c r="W679" s="11" t="s">
        <v>983</v>
      </c>
      <c r="X679" s="11">
        <v>29</v>
      </c>
      <c r="Y679" s="11" t="s">
        <v>135</v>
      </c>
      <c r="Z679" s="11">
        <v>20</v>
      </c>
      <c r="AA679" s="11">
        <v>1</v>
      </c>
      <c r="AB679" s="12">
        <v>0</v>
      </c>
    </row>
    <row r="680" spans="1:28" x14ac:dyDescent="0.2">
      <c r="A680" s="7">
        <v>22939</v>
      </c>
      <c r="B680" s="8" t="s">
        <v>4990</v>
      </c>
      <c r="C680" s="8" t="s">
        <v>552</v>
      </c>
      <c r="D680" s="8" t="s">
        <v>553</v>
      </c>
      <c r="E680" s="8" t="s">
        <v>478</v>
      </c>
      <c r="F680" s="8" t="s">
        <v>791</v>
      </c>
      <c r="G680" s="8" t="s">
        <v>556</v>
      </c>
      <c r="H680" s="8" t="s">
        <v>557</v>
      </c>
      <c r="I680" s="8" t="s">
        <v>4991</v>
      </c>
      <c r="J680" s="8" t="s">
        <v>940</v>
      </c>
      <c r="K680" s="8" t="s">
        <v>560</v>
      </c>
      <c r="L680" s="8" t="s">
        <v>229</v>
      </c>
      <c r="M680" s="8" t="s">
        <v>4992</v>
      </c>
      <c r="N680" s="8" t="s">
        <v>128</v>
      </c>
      <c r="O680" s="8" t="s">
        <v>4993</v>
      </c>
      <c r="P680" s="8" t="s">
        <v>4994</v>
      </c>
      <c r="Q680" s="8" t="s">
        <v>150</v>
      </c>
      <c r="R680" s="8"/>
      <c r="S680" s="8" t="s">
        <v>564</v>
      </c>
      <c r="T680" s="8" t="s">
        <v>70</v>
      </c>
      <c r="U680" s="8" t="s">
        <v>150</v>
      </c>
      <c r="V680" s="8" t="s">
        <v>70</v>
      </c>
      <c r="W680" s="8" t="s">
        <v>70</v>
      </c>
      <c r="X680" s="8">
        <v>29</v>
      </c>
      <c r="Y680" s="8" t="s">
        <v>135</v>
      </c>
      <c r="Z680" s="8">
        <v>20</v>
      </c>
      <c r="AA680" s="8">
        <v>1</v>
      </c>
      <c r="AB680" s="9">
        <v>0</v>
      </c>
    </row>
    <row r="681" spans="1:28" x14ac:dyDescent="0.2">
      <c r="A681" s="10">
        <v>28722</v>
      </c>
      <c r="B681" s="11" t="s">
        <v>4995</v>
      </c>
      <c r="C681" s="11" t="s">
        <v>4996</v>
      </c>
      <c r="D681" s="11" t="s">
        <v>2348</v>
      </c>
      <c r="E681" s="11"/>
      <c r="F681" s="11" t="s">
        <v>353</v>
      </c>
      <c r="G681" s="11" t="s">
        <v>4856</v>
      </c>
      <c r="H681" s="11" t="s">
        <v>847</v>
      </c>
      <c r="I681" s="11" t="s">
        <v>4997</v>
      </c>
      <c r="J681" s="11" t="s">
        <v>4998</v>
      </c>
      <c r="K681" s="11" t="s">
        <v>850</v>
      </c>
      <c r="L681" s="11" t="s">
        <v>126</v>
      </c>
      <c r="M681" s="11" t="s">
        <v>4999</v>
      </c>
      <c r="N681" s="11" t="s">
        <v>128</v>
      </c>
      <c r="O681" s="11" t="s">
        <v>5000</v>
      </c>
      <c r="P681" s="11" t="s">
        <v>5001</v>
      </c>
      <c r="Q681" s="11" t="s">
        <v>150</v>
      </c>
      <c r="R681" s="11"/>
      <c r="S681" s="11" t="s">
        <v>71</v>
      </c>
      <c r="T681" s="11" t="s">
        <v>1415</v>
      </c>
      <c r="U681" s="11" t="s">
        <v>150</v>
      </c>
      <c r="V681" s="11" t="s">
        <v>1415</v>
      </c>
      <c r="W681" s="11" t="s">
        <v>1415</v>
      </c>
      <c r="X681" s="11">
        <v>29</v>
      </c>
      <c r="Y681" s="11" t="s">
        <v>135</v>
      </c>
      <c r="Z681" s="11">
        <v>80</v>
      </c>
      <c r="AA681" s="11">
        <v>0</v>
      </c>
      <c r="AB681" s="12">
        <v>0</v>
      </c>
    </row>
    <row r="682" spans="1:28" x14ac:dyDescent="0.2">
      <c r="A682" s="7">
        <v>23541</v>
      </c>
      <c r="B682" s="8" t="s">
        <v>5002</v>
      </c>
      <c r="C682" s="8" t="s">
        <v>186</v>
      </c>
      <c r="D682" s="8" t="s">
        <v>187</v>
      </c>
      <c r="E682" s="8" t="s">
        <v>5003</v>
      </c>
      <c r="F682" s="8" t="s">
        <v>189</v>
      </c>
      <c r="G682" s="8" t="s">
        <v>190</v>
      </c>
      <c r="H682" s="8" t="s">
        <v>191</v>
      </c>
      <c r="I682" s="8" t="s">
        <v>192</v>
      </c>
      <c r="J682" s="8" t="s">
        <v>193</v>
      </c>
      <c r="K682" s="8" t="s">
        <v>194</v>
      </c>
      <c r="L682" s="8" t="s">
        <v>163</v>
      </c>
      <c r="M682" s="8" t="s">
        <v>5004</v>
      </c>
      <c r="N682" s="8" t="s">
        <v>128</v>
      </c>
      <c r="O682" s="8" t="s">
        <v>5005</v>
      </c>
      <c r="P682" s="8" t="s">
        <v>5006</v>
      </c>
      <c r="Q682" s="8" t="s">
        <v>150</v>
      </c>
      <c r="R682" s="8"/>
      <c r="S682" s="8" t="s">
        <v>198</v>
      </c>
      <c r="T682" s="8" t="s">
        <v>5007</v>
      </c>
      <c r="U682" s="8" t="s">
        <v>150</v>
      </c>
      <c r="V682" s="8" t="s">
        <v>5007</v>
      </c>
      <c r="W682" s="8" t="s">
        <v>5007</v>
      </c>
      <c r="X682" s="8">
        <v>29</v>
      </c>
      <c r="Y682" s="8" t="s">
        <v>135</v>
      </c>
      <c r="Z682" s="8">
        <v>80</v>
      </c>
      <c r="AA682" s="8">
        <v>1</v>
      </c>
      <c r="AB682" s="9">
        <v>1</v>
      </c>
    </row>
    <row r="683" spans="1:28" x14ac:dyDescent="0.2">
      <c r="A683" s="10">
        <v>107360</v>
      </c>
      <c r="B683" s="11" t="s">
        <v>5008</v>
      </c>
      <c r="C683" s="11" t="s">
        <v>5009</v>
      </c>
      <c r="D683" s="11" t="s">
        <v>138</v>
      </c>
      <c r="E683" s="11" t="s">
        <v>5010</v>
      </c>
      <c r="F683" s="11" t="s">
        <v>5011</v>
      </c>
      <c r="G683" s="11" t="s">
        <v>5012</v>
      </c>
      <c r="H683" s="11" t="s">
        <v>301</v>
      </c>
      <c r="I683" s="11" t="s">
        <v>5013</v>
      </c>
      <c r="J683" s="11" t="s">
        <v>5014</v>
      </c>
      <c r="K683" s="11" t="s">
        <v>228</v>
      </c>
      <c r="L683" s="11" t="s">
        <v>229</v>
      </c>
      <c r="M683" s="11" t="s">
        <v>5015</v>
      </c>
      <c r="N683" s="11" t="s">
        <v>128</v>
      </c>
      <c r="O683" s="11" t="s">
        <v>5016</v>
      </c>
      <c r="P683" s="11" t="s">
        <v>4331</v>
      </c>
      <c r="Q683" s="11" t="s">
        <v>150</v>
      </c>
      <c r="R683" s="11"/>
      <c r="S683" s="11" t="s">
        <v>71</v>
      </c>
      <c r="T683" s="11" t="s">
        <v>168</v>
      </c>
      <c r="U683" s="11" t="s">
        <v>150</v>
      </c>
      <c r="V683" s="11" t="s">
        <v>168</v>
      </c>
      <c r="W683" s="11" t="s">
        <v>168</v>
      </c>
      <c r="X683" s="11">
        <v>29</v>
      </c>
      <c r="Y683" s="11" t="s">
        <v>135</v>
      </c>
      <c r="Z683" s="11">
        <v>80</v>
      </c>
      <c r="AA683" s="11">
        <v>0</v>
      </c>
      <c r="AB683" s="12">
        <v>0</v>
      </c>
    </row>
    <row r="684" spans="1:28" x14ac:dyDescent="0.2">
      <c r="A684" s="7">
        <v>140463</v>
      </c>
      <c r="B684" s="8" t="s">
        <v>5017</v>
      </c>
      <c r="C684" s="8" t="s">
        <v>1961</v>
      </c>
      <c r="D684" s="8" t="s">
        <v>1962</v>
      </c>
      <c r="E684" s="8" t="s">
        <v>5018</v>
      </c>
      <c r="F684" s="8" t="s">
        <v>1963</v>
      </c>
      <c r="G684" s="8" t="s">
        <v>5019</v>
      </c>
      <c r="H684" s="8" t="s">
        <v>329</v>
      </c>
      <c r="I684" s="8" t="s">
        <v>2315</v>
      </c>
      <c r="J684" s="8" t="s">
        <v>1965</v>
      </c>
      <c r="K684" s="8" t="s">
        <v>572</v>
      </c>
      <c r="L684" s="8" t="s">
        <v>333</v>
      </c>
      <c r="M684" s="8" t="s">
        <v>5020</v>
      </c>
      <c r="N684" s="8" t="s">
        <v>128</v>
      </c>
      <c r="O684" s="8" t="s">
        <v>5021</v>
      </c>
      <c r="P684" s="8"/>
      <c r="Q684" s="8" t="s">
        <v>150</v>
      </c>
      <c r="R684" s="8"/>
      <c r="S684" s="8" t="s">
        <v>1969</v>
      </c>
      <c r="T684" s="8" t="s">
        <v>4755</v>
      </c>
      <c r="U684" s="8" t="s">
        <v>150</v>
      </c>
      <c r="V684" s="8" t="s">
        <v>4755</v>
      </c>
      <c r="W684" s="8" t="s">
        <v>4755</v>
      </c>
      <c r="X684" s="8">
        <v>29</v>
      </c>
      <c r="Y684" s="8" t="s">
        <v>135</v>
      </c>
      <c r="Z684" s="8">
        <v>80</v>
      </c>
      <c r="AA684" s="8">
        <v>1</v>
      </c>
      <c r="AB684" s="9">
        <v>1</v>
      </c>
    </row>
    <row r="685" spans="1:28" x14ac:dyDescent="0.2">
      <c r="A685" s="10">
        <v>22721</v>
      </c>
      <c r="B685" s="11" t="s">
        <v>5022</v>
      </c>
      <c r="C685" s="11" t="s">
        <v>4019</v>
      </c>
      <c r="D685" s="11" t="s">
        <v>4020</v>
      </c>
      <c r="E685" s="11"/>
      <c r="F685" s="11" t="s">
        <v>4021</v>
      </c>
      <c r="G685" s="11" t="s">
        <v>846</v>
      </c>
      <c r="H685" s="11" t="s">
        <v>847</v>
      </c>
      <c r="I685" s="11" t="s">
        <v>4022</v>
      </c>
      <c r="J685" s="11" t="s">
        <v>5023</v>
      </c>
      <c r="K685" s="11" t="s">
        <v>850</v>
      </c>
      <c r="L685" s="11" t="s">
        <v>126</v>
      </c>
      <c r="M685" s="11" t="s">
        <v>5024</v>
      </c>
      <c r="N685" s="11" t="s">
        <v>128</v>
      </c>
      <c r="O685" s="11" t="s">
        <v>5025</v>
      </c>
      <c r="P685" s="11" t="s">
        <v>5026</v>
      </c>
      <c r="Q685" s="11" t="s">
        <v>740</v>
      </c>
      <c r="R685" s="11"/>
      <c r="S685" s="11" t="s">
        <v>4027</v>
      </c>
      <c r="T685" s="11" t="s">
        <v>1745</v>
      </c>
      <c r="U685" s="11" t="s">
        <v>134</v>
      </c>
      <c r="V685" s="11" t="s">
        <v>740</v>
      </c>
      <c r="W685" s="11" t="s">
        <v>1745</v>
      </c>
      <c r="X685" s="11">
        <v>29</v>
      </c>
      <c r="Y685" s="11" t="s">
        <v>135</v>
      </c>
      <c r="Z685" s="11">
        <v>20</v>
      </c>
      <c r="AA685" s="11">
        <v>1</v>
      </c>
      <c r="AB685" s="12">
        <v>0</v>
      </c>
    </row>
    <row r="686" spans="1:28" x14ac:dyDescent="0.2">
      <c r="A686" s="7">
        <v>25614</v>
      </c>
      <c r="B686" s="8" t="s">
        <v>5027</v>
      </c>
      <c r="C686" s="8" t="s">
        <v>373</v>
      </c>
      <c r="D686" s="8" t="s">
        <v>138</v>
      </c>
      <c r="E686" s="8" t="s">
        <v>5028</v>
      </c>
      <c r="F686" s="8" t="s">
        <v>484</v>
      </c>
      <c r="G686" s="8" t="s">
        <v>224</v>
      </c>
      <c r="H686" s="8" t="s">
        <v>225</v>
      </c>
      <c r="I686" s="8" t="s">
        <v>485</v>
      </c>
      <c r="J686" s="8" t="s">
        <v>486</v>
      </c>
      <c r="K686" s="8" t="s">
        <v>228</v>
      </c>
      <c r="L686" s="8" t="s">
        <v>229</v>
      </c>
      <c r="M686" s="8" t="s">
        <v>5029</v>
      </c>
      <c r="N686" s="8" t="s">
        <v>128</v>
      </c>
      <c r="O686" s="8" t="s">
        <v>5030</v>
      </c>
      <c r="P686" s="8"/>
      <c r="Q686" s="8" t="s">
        <v>249</v>
      </c>
      <c r="R686" s="8"/>
      <c r="S686" s="8" t="s">
        <v>381</v>
      </c>
      <c r="T686" s="8" t="s">
        <v>1523</v>
      </c>
      <c r="U686" s="8" t="s">
        <v>134</v>
      </c>
      <c r="V686" s="8" t="s">
        <v>249</v>
      </c>
      <c r="W686" s="8" t="s">
        <v>1523</v>
      </c>
      <c r="X686" s="8">
        <v>29</v>
      </c>
      <c r="Y686" s="8" t="s">
        <v>135</v>
      </c>
      <c r="Z686" s="8">
        <v>20</v>
      </c>
      <c r="AA686" s="8">
        <v>1</v>
      </c>
      <c r="AB686" s="9">
        <v>0</v>
      </c>
    </row>
    <row r="687" spans="1:28" x14ac:dyDescent="0.2">
      <c r="A687" s="10">
        <v>25548</v>
      </c>
      <c r="B687" s="11" t="s">
        <v>5031</v>
      </c>
      <c r="C687" s="11" t="s">
        <v>1666</v>
      </c>
      <c r="D687" s="11" t="s">
        <v>1667</v>
      </c>
      <c r="E687" s="11" t="s">
        <v>5032</v>
      </c>
      <c r="F687" s="11" t="s">
        <v>1669</v>
      </c>
      <c r="G687" s="11" t="s">
        <v>1670</v>
      </c>
      <c r="H687" s="11" t="s">
        <v>142</v>
      </c>
      <c r="I687" s="11" t="s">
        <v>1671</v>
      </c>
      <c r="J687" s="11" t="s">
        <v>1672</v>
      </c>
      <c r="K687" s="11" t="s">
        <v>1673</v>
      </c>
      <c r="L687" s="11" t="s">
        <v>464</v>
      </c>
      <c r="M687" s="11" t="s">
        <v>5033</v>
      </c>
      <c r="N687" s="11" t="s">
        <v>128</v>
      </c>
      <c r="O687" s="11" t="s">
        <v>5034</v>
      </c>
      <c r="P687" s="11" t="s">
        <v>5035</v>
      </c>
      <c r="Q687" s="11" t="s">
        <v>249</v>
      </c>
      <c r="R687" s="11"/>
      <c r="S687" s="11" t="s">
        <v>1677</v>
      </c>
      <c r="T687" s="11" t="s">
        <v>250</v>
      </c>
      <c r="U687" s="11" t="s">
        <v>134</v>
      </c>
      <c r="V687" s="11" t="s">
        <v>249</v>
      </c>
      <c r="W687" s="11" t="s">
        <v>250</v>
      </c>
      <c r="X687" s="11">
        <v>29</v>
      </c>
      <c r="Y687" s="11" t="s">
        <v>135</v>
      </c>
      <c r="Z687" s="11">
        <v>80</v>
      </c>
      <c r="AA687" s="11">
        <v>1</v>
      </c>
      <c r="AB687" s="12">
        <v>1</v>
      </c>
    </row>
    <row r="688" spans="1:28" x14ac:dyDescent="0.2">
      <c r="A688" s="7">
        <v>21184</v>
      </c>
      <c r="B688" s="8" t="s">
        <v>5036</v>
      </c>
      <c r="C688" s="8" t="s">
        <v>5037</v>
      </c>
      <c r="D688" s="8" t="s">
        <v>3369</v>
      </c>
      <c r="E688" s="8"/>
      <c r="F688" s="8" t="s">
        <v>4624</v>
      </c>
      <c r="G688" s="8" t="s">
        <v>4625</v>
      </c>
      <c r="H688" s="8" t="s">
        <v>142</v>
      </c>
      <c r="I688" s="8" t="s">
        <v>5038</v>
      </c>
      <c r="J688" s="8" t="s">
        <v>5039</v>
      </c>
      <c r="K688" s="8" t="s">
        <v>651</v>
      </c>
      <c r="L688" s="8" t="s">
        <v>146</v>
      </c>
      <c r="M688" s="8" t="s">
        <v>5040</v>
      </c>
      <c r="N688" s="8" t="s">
        <v>128</v>
      </c>
      <c r="O688" s="8" t="s">
        <v>5041</v>
      </c>
      <c r="P688" s="8" t="s">
        <v>5042</v>
      </c>
      <c r="Q688" s="8" t="s">
        <v>150</v>
      </c>
      <c r="R688" s="8"/>
      <c r="S688" s="8" t="s">
        <v>71</v>
      </c>
      <c r="T688" s="8" t="s">
        <v>289</v>
      </c>
      <c r="U688" s="8" t="s">
        <v>150</v>
      </c>
      <c r="V688" s="8" t="s">
        <v>289</v>
      </c>
      <c r="W688" s="8" t="s">
        <v>289</v>
      </c>
      <c r="X688" s="8">
        <v>28</v>
      </c>
      <c r="Y688" s="8" t="s">
        <v>135</v>
      </c>
      <c r="Z688" s="8">
        <v>80</v>
      </c>
      <c r="AA688" s="8">
        <v>0</v>
      </c>
      <c r="AB688" s="9">
        <v>0</v>
      </c>
    </row>
    <row r="689" spans="1:28" x14ac:dyDescent="0.2">
      <c r="A689" s="10">
        <v>22382</v>
      </c>
      <c r="B689" s="11" t="s">
        <v>5043</v>
      </c>
      <c r="C689" s="11" t="s">
        <v>4099</v>
      </c>
      <c r="D689" s="11" t="s">
        <v>410</v>
      </c>
      <c r="E689" s="11" t="s">
        <v>5044</v>
      </c>
      <c r="F689" s="11" t="s">
        <v>353</v>
      </c>
      <c r="G689" s="11" t="s">
        <v>412</v>
      </c>
      <c r="H689" s="11" t="s">
        <v>329</v>
      </c>
      <c r="I689" s="11" t="s">
        <v>837</v>
      </c>
      <c r="J689" s="11" t="s">
        <v>5045</v>
      </c>
      <c r="K689" s="11" t="s">
        <v>415</v>
      </c>
      <c r="L689" s="11" t="s">
        <v>333</v>
      </c>
      <c r="M689" s="11" t="s">
        <v>5046</v>
      </c>
      <c r="N689" s="11" t="s">
        <v>128</v>
      </c>
      <c r="O689" s="11" t="s">
        <v>5047</v>
      </c>
      <c r="P689" s="11"/>
      <c r="Q689" s="11" t="s">
        <v>131</v>
      </c>
      <c r="R689" s="11"/>
      <c r="S689" s="11" t="s">
        <v>419</v>
      </c>
      <c r="T689" s="11" t="s">
        <v>983</v>
      </c>
      <c r="U689" s="11" t="s">
        <v>134</v>
      </c>
      <c r="V689" s="11" t="s">
        <v>131</v>
      </c>
      <c r="W689" s="11" t="s">
        <v>983</v>
      </c>
      <c r="X689" s="11">
        <v>28</v>
      </c>
      <c r="Y689" s="11" t="s">
        <v>135</v>
      </c>
      <c r="Z689" s="11">
        <v>20</v>
      </c>
      <c r="AA689" s="11">
        <v>1</v>
      </c>
      <c r="AB689" s="12">
        <v>0</v>
      </c>
    </row>
    <row r="690" spans="1:28" x14ac:dyDescent="0.2">
      <c r="A690" s="7">
        <v>22074</v>
      </c>
      <c r="B690" s="8" t="s">
        <v>5048</v>
      </c>
      <c r="C690" s="8" t="s">
        <v>4019</v>
      </c>
      <c r="D690" s="8" t="s">
        <v>4020</v>
      </c>
      <c r="E690" s="8" t="s">
        <v>5049</v>
      </c>
      <c r="F690" s="8" t="s">
        <v>2269</v>
      </c>
      <c r="G690" s="8" t="s">
        <v>846</v>
      </c>
      <c r="H690" s="8" t="s">
        <v>847</v>
      </c>
      <c r="I690" s="8" t="s">
        <v>4022</v>
      </c>
      <c r="J690" s="8" t="s">
        <v>4023</v>
      </c>
      <c r="K690" s="8" t="s">
        <v>850</v>
      </c>
      <c r="L690" s="8" t="s">
        <v>126</v>
      </c>
      <c r="M690" s="8" t="s">
        <v>5050</v>
      </c>
      <c r="N690" s="8" t="s">
        <v>128</v>
      </c>
      <c r="O690" s="8" t="s">
        <v>5051</v>
      </c>
      <c r="P690" s="8"/>
      <c r="Q690" s="8" t="s">
        <v>131</v>
      </c>
      <c r="R690" s="8"/>
      <c r="S690" s="8" t="s">
        <v>4027</v>
      </c>
      <c r="T690" s="8" t="s">
        <v>983</v>
      </c>
      <c r="U690" s="8" t="s">
        <v>134</v>
      </c>
      <c r="V690" s="8" t="s">
        <v>131</v>
      </c>
      <c r="W690" s="8" t="s">
        <v>983</v>
      </c>
      <c r="X690" s="8">
        <v>28</v>
      </c>
      <c r="Y690" s="8" t="s">
        <v>135</v>
      </c>
      <c r="Z690" s="8">
        <v>20</v>
      </c>
      <c r="AA690" s="8">
        <v>1</v>
      </c>
      <c r="AB690" s="9">
        <v>0</v>
      </c>
    </row>
    <row r="691" spans="1:28" x14ac:dyDescent="0.2">
      <c r="A691" s="10">
        <v>119457</v>
      </c>
      <c r="B691" s="11" t="s">
        <v>5052</v>
      </c>
      <c r="C691" s="11" t="s">
        <v>4964</v>
      </c>
      <c r="D691" s="11" t="s">
        <v>171</v>
      </c>
      <c r="E691" s="11" t="s">
        <v>5053</v>
      </c>
      <c r="F691" s="11" t="s">
        <v>173</v>
      </c>
      <c r="G691" s="11" t="s">
        <v>158</v>
      </c>
      <c r="H691" s="11" t="s">
        <v>159</v>
      </c>
      <c r="I691" s="11" t="s">
        <v>1542</v>
      </c>
      <c r="J691" s="11" t="s">
        <v>175</v>
      </c>
      <c r="K691" s="11" t="s">
        <v>162</v>
      </c>
      <c r="L691" s="11" t="s">
        <v>163</v>
      </c>
      <c r="M691" s="11" t="s">
        <v>5054</v>
      </c>
      <c r="N691" s="11" t="s">
        <v>128</v>
      </c>
      <c r="O691" s="11" t="s">
        <v>5055</v>
      </c>
      <c r="P691" s="11"/>
      <c r="Q691" s="11" t="s">
        <v>131</v>
      </c>
      <c r="R691" s="11"/>
      <c r="S691" s="11" t="s">
        <v>179</v>
      </c>
      <c r="T691" s="11" t="s">
        <v>983</v>
      </c>
      <c r="U691" s="11" t="s">
        <v>134</v>
      </c>
      <c r="V691" s="11" t="s">
        <v>131</v>
      </c>
      <c r="W691" s="11" t="s">
        <v>983</v>
      </c>
      <c r="X691" s="11">
        <v>28</v>
      </c>
      <c r="Y691" s="11" t="s">
        <v>135</v>
      </c>
      <c r="Z691" s="11">
        <v>20</v>
      </c>
      <c r="AA691" s="11">
        <v>1</v>
      </c>
      <c r="AB691" s="12">
        <v>0</v>
      </c>
    </row>
    <row r="692" spans="1:28" x14ac:dyDescent="0.2">
      <c r="A692" s="7">
        <v>22081</v>
      </c>
      <c r="B692" s="8" t="s">
        <v>5056</v>
      </c>
      <c r="C692" s="8" t="s">
        <v>4964</v>
      </c>
      <c r="D692" s="8" t="s">
        <v>171</v>
      </c>
      <c r="E692" s="8"/>
      <c r="F692" s="8" t="s">
        <v>173</v>
      </c>
      <c r="G692" s="8" t="s">
        <v>158</v>
      </c>
      <c r="H692" s="8" t="s">
        <v>159</v>
      </c>
      <c r="I692" s="8" t="s">
        <v>174</v>
      </c>
      <c r="J692" s="8" t="s">
        <v>5057</v>
      </c>
      <c r="K692" s="8" t="s">
        <v>162</v>
      </c>
      <c r="L692" s="8" t="s">
        <v>163</v>
      </c>
      <c r="M692" s="8" t="s">
        <v>5058</v>
      </c>
      <c r="N692" s="8" t="s">
        <v>128</v>
      </c>
      <c r="O692" s="8" t="s">
        <v>5059</v>
      </c>
      <c r="P692" s="8"/>
      <c r="Q692" s="8" t="s">
        <v>131</v>
      </c>
      <c r="R692" s="8"/>
      <c r="S692" s="8" t="s">
        <v>179</v>
      </c>
      <c r="T692" s="8" t="s">
        <v>983</v>
      </c>
      <c r="U692" s="8" t="s">
        <v>134</v>
      </c>
      <c r="V692" s="8" t="s">
        <v>131</v>
      </c>
      <c r="W692" s="8" t="s">
        <v>983</v>
      </c>
      <c r="X692" s="8">
        <v>28</v>
      </c>
      <c r="Y692" s="8" t="s">
        <v>135</v>
      </c>
      <c r="Z692" s="8">
        <v>20</v>
      </c>
      <c r="AA692" s="8">
        <v>1</v>
      </c>
      <c r="AB692" s="9">
        <v>0</v>
      </c>
    </row>
    <row r="693" spans="1:28" x14ac:dyDescent="0.2">
      <c r="A693" s="10">
        <v>24825</v>
      </c>
      <c r="B693" s="11" t="s">
        <v>5060</v>
      </c>
      <c r="C693" s="11" t="s">
        <v>373</v>
      </c>
      <c r="D693" s="11" t="s">
        <v>138</v>
      </c>
      <c r="E693" s="11"/>
      <c r="F693" s="11" t="s">
        <v>484</v>
      </c>
      <c r="G693" s="11" t="s">
        <v>224</v>
      </c>
      <c r="H693" s="11" t="s">
        <v>225</v>
      </c>
      <c r="I693" s="11" t="s">
        <v>485</v>
      </c>
      <c r="J693" s="11" t="s">
        <v>486</v>
      </c>
      <c r="K693" s="11" t="s">
        <v>228</v>
      </c>
      <c r="L693" s="11" t="s">
        <v>229</v>
      </c>
      <c r="M693" s="11" t="s">
        <v>5061</v>
      </c>
      <c r="N693" s="11" t="s">
        <v>128</v>
      </c>
      <c r="O693" s="11" t="s">
        <v>5062</v>
      </c>
      <c r="P693" s="11" t="s">
        <v>5063</v>
      </c>
      <c r="Q693" s="11" t="s">
        <v>150</v>
      </c>
      <c r="R693" s="11"/>
      <c r="S693" s="11" t="s">
        <v>381</v>
      </c>
      <c r="T693" s="11" t="s">
        <v>1738</v>
      </c>
      <c r="U693" s="11" t="s">
        <v>150</v>
      </c>
      <c r="V693" s="11" t="s">
        <v>1738</v>
      </c>
      <c r="W693" s="11" t="s">
        <v>1738</v>
      </c>
      <c r="X693" s="11">
        <v>28</v>
      </c>
      <c r="Y693" s="11" t="s">
        <v>135</v>
      </c>
      <c r="Z693" s="11">
        <v>20</v>
      </c>
      <c r="AA693" s="11">
        <v>1</v>
      </c>
      <c r="AB693" s="12">
        <v>0</v>
      </c>
    </row>
    <row r="694" spans="1:28" x14ac:dyDescent="0.2">
      <c r="A694" s="7">
        <v>25082</v>
      </c>
      <c r="B694" s="8" t="s">
        <v>5064</v>
      </c>
      <c r="C694" s="8" t="s">
        <v>373</v>
      </c>
      <c r="D694" s="8" t="s">
        <v>138</v>
      </c>
      <c r="E694" s="8" t="s">
        <v>5065</v>
      </c>
      <c r="F694" s="8" t="s">
        <v>484</v>
      </c>
      <c r="G694" s="8" t="s">
        <v>224</v>
      </c>
      <c r="H694" s="8" t="s">
        <v>225</v>
      </c>
      <c r="I694" s="8" t="s">
        <v>485</v>
      </c>
      <c r="J694" s="8" t="s">
        <v>486</v>
      </c>
      <c r="K694" s="8" t="s">
        <v>228</v>
      </c>
      <c r="L694" s="8" t="s">
        <v>229</v>
      </c>
      <c r="M694" s="8" t="s">
        <v>5066</v>
      </c>
      <c r="N694" s="8" t="s">
        <v>128</v>
      </c>
      <c r="O694" s="8" t="s">
        <v>5067</v>
      </c>
      <c r="P694" s="8"/>
      <c r="Q694" s="8" t="s">
        <v>740</v>
      </c>
      <c r="R694" s="8"/>
      <c r="S694" s="8" t="s">
        <v>381</v>
      </c>
      <c r="T694" s="8" t="s">
        <v>1745</v>
      </c>
      <c r="U694" s="8" t="s">
        <v>134</v>
      </c>
      <c r="V694" s="8" t="s">
        <v>740</v>
      </c>
      <c r="W694" s="8" t="s">
        <v>1745</v>
      </c>
      <c r="X694" s="8">
        <v>28</v>
      </c>
      <c r="Y694" s="8" t="s">
        <v>135</v>
      </c>
      <c r="Z694" s="8">
        <v>20</v>
      </c>
      <c r="AA694" s="8">
        <v>1</v>
      </c>
      <c r="AB694" s="9">
        <v>0</v>
      </c>
    </row>
    <row r="695" spans="1:28" x14ac:dyDescent="0.2">
      <c r="A695" s="10">
        <v>25102</v>
      </c>
      <c r="B695" s="11" t="s">
        <v>5068</v>
      </c>
      <c r="C695" s="11" t="s">
        <v>5069</v>
      </c>
      <c r="D695" s="11" t="s">
        <v>138</v>
      </c>
      <c r="E695" s="11"/>
      <c r="F695" s="11" t="s">
        <v>484</v>
      </c>
      <c r="G695" s="11" t="s">
        <v>224</v>
      </c>
      <c r="H695" s="11" t="s">
        <v>225</v>
      </c>
      <c r="I695" s="11" t="s">
        <v>485</v>
      </c>
      <c r="J695" s="11" t="s">
        <v>5070</v>
      </c>
      <c r="K695" s="11" t="s">
        <v>228</v>
      </c>
      <c r="L695" s="11" t="s">
        <v>229</v>
      </c>
      <c r="M695" s="11" t="s">
        <v>5071</v>
      </c>
      <c r="N695" s="11" t="s">
        <v>128</v>
      </c>
      <c r="O695" s="11" t="s">
        <v>5072</v>
      </c>
      <c r="P695" s="11" t="s">
        <v>5073</v>
      </c>
      <c r="Q695" s="11" t="s">
        <v>740</v>
      </c>
      <c r="R695" s="11"/>
      <c r="S695" s="11" t="s">
        <v>381</v>
      </c>
      <c r="T695" s="11" t="s">
        <v>1745</v>
      </c>
      <c r="U695" s="11" t="s">
        <v>134</v>
      </c>
      <c r="V695" s="11" t="s">
        <v>740</v>
      </c>
      <c r="W695" s="11" t="s">
        <v>1745</v>
      </c>
      <c r="X695" s="11">
        <v>28</v>
      </c>
      <c r="Y695" s="11" t="s">
        <v>135</v>
      </c>
      <c r="Z695" s="11">
        <v>20</v>
      </c>
      <c r="AA695" s="11">
        <v>1</v>
      </c>
      <c r="AB695" s="12">
        <v>0</v>
      </c>
    </row>
    <row r="696" spans="1:28" x14ac:dyDescent="0.2">
      <c r="A696" s="7">
        <v>21357</v>
      </c>
      <c r="B696" s="8" t="s">
        <v>5074</v>
      </c>
      <c r="C696" s="8" t="s">
        <v>5075</v>
      </c>
      <c r="D696" s="8"/>
      <c r="E696" s="8" t="s">
        <v>5076</v>
      </c>
      <c r="F696" s="8" t="s">
        <v>5077</v>
      </c>
      <c r="G696" s="8" t="s">
        <v>300</v>
      </c>
      <c r="H696" s="8" t="s">
        <v>301</v>
      </c>
      <c r="I696" s="8" t="s">
        <v>5078</v>
      </c>
      <c r="J696" s="8" t="s">
        <v>5079</v>
      </c>
      <c r="K696" s="8" t="s">
        <v>304</v>
      </c>
      <c r="L696" s="8" t="s">
        <v>229</v>
      </c>
      <c r="M696" s="8" t="s">
        <v>5080</v>
      </c>
      <c r="N696" s="8" t="s">
        <v>4651</v>
      </c>
      <c r="O696" s="8" t="s">
        <v>5081</v>
      </c>
      <c r="P696" s="8"/>
      <c r="Q696" s="8" t="s">
        <v>150</v>
      </c>
      <c r="R696" s="8"/>
      <c r="S696" s="8" t="s">
        <v>71</v>
      </c>
      <c r="T696" s="8" t="s">
        <v>67</v>
      </c>
      <c r="U696" s="8" t="s">
        <v>150</v>
      </c>
      <c r="V696" s="8" t="s">
        <v>152</v>
      </c>
      <c r="W696" s="8" t="s">
        <v>67</v>
      </c>
      <c r="X696" s="8">
        <v>27</v>
      </c>
      <c r="Y696" s="8" t="s">
        <v>135</v>
      </c>
      <c r="Z696" s="8">
        <v>80</v>
      </c>
      <c r="AA696" s="8">
        <v>0</v>
      </c>
      <c r="AB696" s="9">
        <v>0</v>
      </c>
    </row>
    <row r="697" spans="1:28" x14ac:dyDescent="0.2">
      <c r="A697" s="10">
        <v>23109</v>
      </c>
      <c r="B697" s="11" t="s">
        <v>5082</v>
      </c>
      <c r="C697" s="11" t="s">
        <v>186</v>
      </c>
      <c r="D697" s="11" t="s">
        <v>310</v>
      </c>
      <c r="E697" s="11" t="s">
        <v>5083</v>
      </c>
      <c r="F697" s="11" t="s">
        <v>189</v>
      </c>
      <c r="G697" s="11" t="s">
        <v>190</v>
      </c>
      <c r="H697" s="11" t="s">
        <v>191</v>
      </c>
      <c r="I697" s="11" t="s">
        <v>4888</v>
      </c>
      <c r="J697" s="11" t="s">
        <v>313</v>
      </c>
      <c r="K697" s="11" t="s">
        <v>194</v>
      </c>
      <c r="L697" s="11" t="s">
        <v>163</v>
      </c>
      <c r="M697" s="11" t="s">
        <v>5084</v>
      </c>
      <c r="N697" s="11" t="s">
        <v>128</v>
      </c>
      <c r="O697" s="11" t="s">
        <v>5085</v>
      </c>
      <c r="P697" s="11" t="s">
        <v>5086</v>
      </c>
      <c r="Q697" s="11" t="s">
        <v>150</v>
      </c>
      <c r="R697" s="11"/>
      <c r="S697" s="11" t="s">
        <v>317</v>
      </c>
      <c r="T697" s="11" t="s">
        <v>70</v>
      </c>
      <c r="U697" s="11" t="s">
        <v>150</v>
      </c>
      <c r="V697" s="11" t="s">
        <v>70</v>
      </c>
      <c r="W697" s="11" t="s">
        <v>70</v>
      </c>
      <c r="X697" s="11">
        <v>27</v>
      </c>
      <c r="Y697" s="11" t="s">
        <v>135</v>
      </c>
      <c r="Z697" s="11">
        <v>20</v>
      </c>
      <c r="AA697" s="11">
        <v>1</v>
      </c>
      <c r="AB697" s="12">
        <v>0</v>
      </c>
    </row>
    <row r="698" spans="1:28" x14ac:dyDescent="0.2">
      <c r="A698" s="7">
        <v>23385</v>
      </c>
      <c r="B698" s="8" t="s">
        <v>5087</v>
      </c>
      <c r="C698" s="8" t="s">
        <v>5088</v>
      </c>
      <c r="D698" s="8" t="s">
        <v>5089</v>
      </c>
      <c r="E698" s="8"/>
      <c r="F698" s="8" t="s">
        <v>5090</v>
      </c>
      <c r="G698" s="8" t="s">
        <v>2166</v>
      </c>
      <c r="H698" s="8" t="s">
        <v>142</v>
      </c>
      <c r="I698" s="8" t="s">
        <v>5091</v>
      </c>
      <c r="J698" s="8" t="s">
        <v>5092</v>
      </c>
      <c r="K698" s="8" t="s">
        <v>1199</v>
      </c>
      <c r="L698" s="8" t="s">
        <v>464</v>
      </c>
      <c r="M698" s="8" t="s">
        <v>5093</v>
      </c>
      <c r="N698" s="8" t="s">
        <v>128</v>
      </c>
      <c r="O698" s="8" t="s">
        <v>5094</v>
      </c>
      <c r="P698" s="8" t="s">
        <v>5095</v>
      </c>
      <c r="Q698" s="8" t="s">
        <v>150</v>
      </c>
      <c r="R698" s="8"/>
      <c r="S698" s="8" t="s">
        <v>71</v>
      </c>
      <c r="T698" s="8" t="s">
        <v>1415</v>
      </c>
      <c r="U698" s="8" t="s">
        <v>150</v>
      </c>
      <c r="V698" s="8" t="s">
        <v>1415</v>
      </c>
      <c r="W698" s="8" t="s">
        <v>1415</v>
      </c>
      <c r="X698" s="8">
        <v>27</v>
      </c>
      <c r="Y698" s="8" t="s">
        <v>135</v>
      </c>
      <c r="Z698" s="8">
        <v>80</v>
      </c>
      <c r="AA698" s="8">
        <v>0</v>
      </c>
      <c r="AB698" s="9">
        <v>0</v>
      </c>
    </row>
    <row r="699" spans="1:28" x14ac:dyDescent="0.2">
      <c r="A699" s="10">
        <v>22375</v>
      </c>
      <c r="B699" s="11" t="s">
        <v>5096</v>
      </c>
      <c r="C699" s="11" t="s">
        <v>5097</v>
      </c>
      <c r="D699" s="11" t="s">
        <v>310</v>
      </c>
      <c r="E699" s="11" t="s">
        <v>5098</v>
      </c>
      <c r="F699" s="11" t="s">
        <v>189</v>
      </c>
      <c r="G699" s="11" t="s">
        <v>190</v>
      </c>
      <c r="H699" s="11" t="s">
        <v>191</v>
      </c>
      <c r="I699" s="11" t="s">
        <v>4888</v>
      </c>
      <c r="J699" s="11" t="s">
        <v>5099</v>
      </c>
      <c r="K699" s="11" t="s">
        <v>194</v>
      </c>
      <c r="L699" s="11" t="s">
        <v>163</v>
      </c>
      <c r="M699" s="11" t="s">
        <v>5100</v>
      </c>
      <c r="N699" s="11" t="s">
        <v>128</v>
      </c>
      <c r="O699" s="11" t="s">
        <v>5101</v>
      </c>
      <c r="P699" s="11" t="s">
        <v>5102</v>
      </c>
      <c r="Q699" s="11" t="s">
        <v>740</v>
      </c>
      <c r="R699" s="11"/>
      <c r="S699" s="11" t="s">
        <v>317</v>
      </c>
      <c r="T699" s="11" t="s">
        <v>1745</v>
      </c>
      <c r="U699" s="11" t="s">
        <v>134</v>
      </c>
      <c r="V699" s="11" t="s">
        <v>740</v>
      </c>
      <c r="W699" s="11" t="s">
        <v>1745</v>
      </c>
      <c r="X699" s="11">
        <v>27</v>
      </c>
      <c r="Y699" s="11" t="s">
        <v>135</v>
      </c>
      <c r="Z699" s="11">
        <v>20</v>
      </c>
      <c r="AA699" s="11">
        <v>1</v>
      </c>
      <c r="AB699" s="12">
        <v>0</v>
      </c>
    </row>
    <row r="700" spans="1:28" x14ac:dyDescent="0.2">
      <c r="A700" s="7">
        <v>25203</v>
      </c>
      <c r="B700" s="8" t="s">
        <v>5103</v>
      </c>
      <c r="C700" s="8" t="s">
        <v>842</v>
      </c>
      <c r="D700" s="8" t="s">
        <v>843</v>
      </c>
      <c r="E700" s="8"/>
      <c r="F700" s="8" t="s">
        <v>845</v>
      </c>
      <c r="G700" s="8" t="s">
        <v>846</v>
      </c>
      <c r="H700" s="8" t="s">
        <v>847</v>
      </c>
      <c r="I700" s="8" t="s">
        <v>848</v>
      </c>
      <c r="J700" s="8" t="s">
        <v>849</v>
      </c>
      <c r="K700" s="8" t="s">
        <v>850</v>
      </c>
      <c r="L700" s="8" t="s">
        <v>126</v>
      </c>
      <c r="M700" s="8" t="s">
        <v>5104</v>
      </c>
      <c r="N700" s="8" t="s">
        <v>128</v>
      </c>
      <c r="O700" s="8" t="s">
        <v>5105</v>
      </c>
      <c r="P700" s="8" t="s">
        <v>5106</v>
      </c>
      <c r="Q700" s="8" t="s">
        <v>740</v>
      </c>
      <c r="R700" s="8"/>
      <c r="S700" s="8" t="s">
        <v>854</v>
      </c>
      <c r="T700" s="8" t="s">
        <v>741</v>
      </c>
      <c r="U700" s="8" t="s">
        <v>134</v>
      </c>
      <c r="V700" s="8" t="s">
        <v>740</v>
      </c>
      <c r="W700" s="8" t="s">
        <v>741</v>
      </c>
      <c r="X700" s="8">
        <v>27</v>
      </c>
      <c r="Y700" s="8" t="s">
        <v>135</v>
      </c>
      <c r="Z700" s="8">
        <v>20</v>
      </c>
      <c r="AA700" s="8">
        <v>1</v>
      </c>
      <c r="AB700" s="9">
        <v>0</v>
      </c>
    </row>
    <row r="701" spans="1:28" x14ac:dyDescent="0.2">
      <c r="A701" s="10">
        <v>226708</v>
      </c>
      <c r="B701" s="11" t="s">
        <v>5107</v>
      </c>
      <c r="C701" s="11" t="s">
        <v>4019</v>
      </c>
      <c r="D701" s="11" t="s">
        <v>4020</v>
      </c>
      <c r="E701" s="11" t="s">
        <v>5108</v>
      </c>
      <c r="F701" s="11" t="s">
        <v>4021</v>
      </c>
      <c r="G701" s="11" t="s">
        <v>846</v>
      </c>
      <c r="H701" s="11" t="s">
        <v>847</v>
      </c>
      <c r="I701" s="11" t="s">
        <v>4022</v>
      </c>
      <c r="J701" s="11" t="s">
        <v>4023</v>
      </c>
      <c r="K701" s="11" t="s">
        <v>850</v>
      </c>
      <c r="L701" s="11" t="s">
        <v>126</v>
      </c>
      <c r="M701" s="11" t="s">
        <v>5109</v>
      </c>
      <c r="N701" s="11" t="s">
        <v>128</v>
      </c>
      <c r="O701" s="11" t="s">
        <v>5110</v>
      </c>
      <c r="P701" s="11" t="s">
        <v>5111</v>
      </c>
      <c r="Q701" s="11" t="s">
        <v>249</v>
      </c>
      <c r="R701" s="11"/>
      <c r="S701" s="11" t="s">
        <v>4027</v>
      </c>
      <c r="T701" s="11" t="s">
        <v>250</v>
      </c>
      <c r="U701" s="11" t="s">
        <v>134</v>
      </c>
      <c r="V701" s="11" t="s">
        <v>249</v>
      </c>
      <c r="W701" s="11" t="s">
        <v>250</v>
      </c>
      <c r="X701" s="11">
        <v>27</v>
      </c>
      <c r="Y701" s="11" t="s">
        <v>135</v>
      </c>
      <c r="Z701" s="11">
        <v>20</v>
      </c>
      <c r="AA701" s="11">
        <v>1</v>
      </c>
      <c r="AB701" s="12">
        <v>0</v>
      </c>
    </row>
    <row r="702" spans="1:28" x14ac:dyDescent="0.2">
      <c r="A702" s="7">
        <v>21190</v>
      </c>
      <c r="B702" s="8" t="s">
        <v>5112</v>
      </c>
      <c r="C702" s="8" t="s">
        <v>5113</v>
      </c>
      <c r="D702" s="8" t="s">
        <v>5114</v>
      </c>
      <c r="E702" s="8"/>
      <c r="F702" s="8" t="s">
        <v>5115</v>
      </c>
      <c r="G702" s="8" t="s">
        <v>5116</v>
      </c>
      <c r="H702" s="8" t="s">
        <v>122</v>
      </c>
      <c r="I702" s="8" t="s">
        <v>5117</v>
      </c>
      <c r="J702" s="8" t="s">
        <v>5118</v>
      </c>
      <c r="K702" s="8" t="s">
        <v>125</v>
      </c>
      <c r="L702" s="8" t="s">
        <v>126</v>
      </c>
      <c r="M702" s="8" t="s">
        <v>5119</v>
      </c>
      <c r="N702" s="8" t="s">
        <v>128</v>
      </c>
      <c r="O702" s="8" t="s">
        <v>5120</v>
      </c>
      <c r="P702" s="8" t="s">
        <v>5121</v>
      </c>
      <c r="Q702" s="8" t="s">
        <v>150</v>
      </c>
      <c r="R702" s="8"/>
      <c r="S702" s="8" t="s">
        <v>71</v>
      </c>
      <c r="T702" s="8" t="s">
        <v>289</v>
      </c>
      <c r="U702" s="8" t="s">
        <v>150</v>
      </c>
      <c r="V702" s="8" t="s">
        <v>289</v>
      </c>
      <c r="W702" s="8" t="s">
        <v>289</v>
      </c>
      <c r="X702" s="8">
        <v>26</v>
      </c>
      <c r="Y702" s="8" t="s">
        <v>135</v>
      </c>
      <c r="Z702" s="8">
        <v>80</v>
      </c>
      <c r="AA702" s="8">
        <v>0</v>
      </c>
      <c r="AB702" s="9">
        <v>0</v>
      </c>
    </row>
    <row r="703" spans="1:28" x14ac:dyDescent="0.2">
      <c r="A703" s="10">
        <v>22981</v>
      </c>
      <c r="B703" s="11" t="s">
        <v>5122</v>
      </c>
      <c r="C703" s="11" t="s">
        <v>2419</v>
      </c>
      <c r="D703" s="11" t="s">
        <v>2420</v>
      </c>
      <c r="E703" s="11" t="s">
        <v>5123</v>
      </c>
      <c r="F703" s="11" t="s">
        <v>2422</v>
      </c>
      <c r="G703" s="11" t="s">
        <v>2423</v>
      </c>
      <c r="H703" s="11" t="s">
        <v>557</v>
      </c>
      <c r="I703" s="11" t="s">
        <v>2424</v>
      </c>
      <c r="J703" s="11" t="s">
        <v>2425</v>
      </c>
      <c r="K703" s="11" t="s">
        <v>1562</v>
      </c>
      <c r="L703" s="11" t="s">
        <v>229</v>
      </c>
      <c r="M703" s="11" t="s">
        <v>5124</v>
      </c>
      <c r="N703" s="11" t="s">
        <v>128</v>
      </c>
      <c r="O703" s="11" t="s">
        <v>5125</v>
      </c>
      <c r="P703" s="11" t="s">
        <v>5126</v>
      </c>
      <c r="Q703" s="11" t="s">
        <v>150</v>
      </c>
      <c r="R703" s="11"/>
      <c r="S703" s="11" t="s">
        <v>2429</v>
      </c>
      <c r="T703" s="11" t="s">
        <v>70</v>
      </c>
      <c r="U703" s="11" t="s">
        <v>150</v>
      </c>
      <c r="V703" s="11" t="s">
        <v>70</v>
      </c>
      <c r="W703" s="11" t="s">
        <v>70</v>
      </c>
      <c r="X703" s="11">
        <v>26</v>
      </c>
      <c r="Y703" s="11" t="s">
        <v>135</v>
      </c>
      <c r="Z703" s="11">
        <v>80</v>
      </c>
      <c r="AA703" s="11">
        <v>0</v>
      </c>
      <c r="AB703" s="12">
        <v>0</v>
      </c>
    </row>
    <row r="704" spans="1:28" x14ac:dyDescent="0.2">
      <c r="A704" s="7">
        <v>26933</v>
      </c>
      <c r="B704" s="8" t="s">
        <v>5127</v>
      </c>
      <c r="C704" s="8" t="s">
        <v>1688</v>
      </c>
      <c r="D704" s="8" t="s">
        <v>171</v>
      </c>
      <c r="E704" s="8" t="s">
        <v>2174</v>
      </c>
      <c r="F704" s="8" t="s">
        <v>1690</v>
      </c>
      <c r="G704" s="8" t="s">
        <v>1196</v>
      </c>
      <c r="H704" s="8" t="s">
        <v>142</v>
      </c>
      <c r="I704" s="8"/>
      <c r="J704" s="8" t="s">
        <v>5128</v>
      </c>
      <c r="K704" s="8" t="s">
        <v>1199</v>
      </c>
      <c r="L704" s="8" t="s">
        <v>464</v>
      </c>
      <c r="M704" s="8" t="s">
        <v>5129</v>
      </c>
      <c r="N704" s="8" t="s">
        <v>128</v>
      </c>
      <c r="O704" s="8"/>
      <c r="P704" s="8"/>
      <c r="Q704" s="8" t="s">
        <v>249</v>
      </c>
      <c r="R704" s="8"/>
      <c r="S704" s="8" t="s">
        <v>1696</v>
      </c>
      <c r="T704" s="8" t="s">
        <v>1523</v>
      </c>
      <c r="U704" s="8" t="s">
        <v>134</v>
      </c>
      <c r="V704" s="8" t="s">
        <v>249</v>
      </c>
      <c r="W704" s="8" t="s">
        <v>1523</v>
      </c>
      <c r="X704" s="8">
        <v>26</v>
      </c>
      <c r="Y704" s="8" t="s">
        <v>135</v>
      </c>
      <c r="Z704" s="8">
        <v>20</v>
      </c>
      <c r="AA704" s="8">
        <v>1</v>
      </c>
      <c r="AB704" s="9">
        <v>0</v>
      </c>
    </row>
    <row r="705" spans="1:28" x14ac:dyDescent="0.2">
      <c r="A705" s="10">
        <v>22166</v>
      </c>
      <c r="B705" s="11" t="s">
        <v>5130</v>
      </c>
      <c r="C705" s="11" t="s">
        <v>578</v>
      </c>
      <c r="D705" s="11" t="s">
        <v>579</v>
      </c>
      <c r="E705" s="11" t="s">
        <v>5131</v>
      </c>
      <c r="F705" s="11" t="s">
        <v>581</v>
      </c>
      <c r="G705" s="11" t="s">
        <v>141</v>
      </c>
      <c r="H705" s="11" t="s">
        <v>142</v>
      </c>
      <c r="I705" s="11" t="s">
        <v>582</v>
      </c>
      <c r="J705" s="11" t="s">
        <v>583</v>
      </c>
      <c r="K705" s="11" t="s">
        <v>584</v>
      </c>
      <c r="L705" s="11" t="s">
        <v>146</v>
      </c>
      <c r="M705" s="11" t="s">
        <v>5132</v>
      </c>
      <c r="N705" s="11" t="s">
        <v>128</v>
      </c>
      <c r="O705" s="11" t="s">
        <v>5133</v>
      </c>
      <c r="P705" s="11"/>
      <c r="Q705" s="11" t="s">
        <v>249</v>
      </c>
      <c r="R705" s="11"/>
      <c r="S705" s="11" t="s">
        <v>588</v>
      </c>
      <c r="T705" s="11" t="s">
        <v>1523</v>
      </c>
      <c r="U705" s="11" t="s">
        <v>134</v>
      </c>
      <c r="V705" s="11" t="s">
        <v>249</v>
      </c>
      <c r="W705" s="11" t="s">
        <v>1523</v>
      </c>
      <c r="X705" s="11">
        <v>26</v>
      </c>
      <c r="Y705" s="11" t="s">
        <v>135</v>
      </c>
      <c r="Z705" s="11">
        <v>20</v>
      </c>
      <c r="AA705" s="11">
        <v>1</v>
      </c>
      <c r="AB705" s="12">
        <v>0</v>
      </c>
    </row>
    <row r="706" spans="1:28" x14ac:dyDescent="0.2">
      <c r="A706" s="7">
        <v>25643</v>
      </c>
      <c r="B706" s="8" t="s">
        <v>5134</v>
      </c>
      <c r="C706" s="8" t="s">
        <v>578</v>
      </c>
      <c r="D706" s="8" t="s">
        <v>579</v>
      </c>
      <c r="E706" s="8" t="s">
        <v>4541</v>
      </c>
      <c r="F706" s="8" t="s">
        <v>581</v>
      </c>
      <c r="G706" s="8" t="s">
        <v>141</v>
      </c>
      <c r="H706" s="8" t="s">
        <v>142</v>
      </c>
      <c r="I706" s="8" t="s">
        <v>582</v>
      </c>
      <c r="J706" s="8" t="s">
        <v>583</v>
      </c>
      <c r="K706" s="8" t="s">
        <v>584</v>
      </c>
      <c r="L706" s="8" t="s">
        <v>146</v>
      </c>
      <c r="M706" s="8" t="s">
        <v>5135</v>
      </c>
      <c r="N706" s="8" t="s">
        <v>128</v>
      </c>
      <c r="O706" s="8" t="s">
        <v>5136</v>
      </c>
      <c r="P706" s="8"/>
      <c r="Q706" s="8" t="s">
        <v>249</v>
      </c>
      <c r="R706" s="8"/>
      <c r="S706" s="8" t="s">
        <v>588</v>
      </c>
      <c r="T706" s="8" t="s">
        <v>1523</v>
      </c>
      <c r="U706" s="8" t="s">
        <v>134</v>
      </c>
      <c r="V706" s="8" t="s">
        <v>249</v>
      </c>
      <c r="W706" s="8" t="s">
        <v>1523</v>
      </c>
      <c r="X706" s="8">
        <v>26</v>
      </c>
      <c r="Y706" s="8" t="s">
        <v>135</v>
      </c>
      <c r="Z706" s="8">
        <v>20</v>
      </c>
      <c r="AA706" s="8">
        <v>1</v>
      </c>
      <c r="AB706" s="9">
        <v>0</v>
      </c>
    </row>
    <row r="707" spans="1:28" x14ac:dyDescent="0.2">
      <c r="A707" s="10">
        <v>21169</v>
      </c>
      <c r="B707" s="11" t="s">
        <v>5137</v>
      </c>
      <c r="C707" s="11" t="s">
        <v>5138</v>
      </c>
      <c r="D707" s="11" t="s">
        <v>5139</v>
      </c>
      <c r="E707" s="11"/>
      <c r="F707" s="11" t="s">
        <v>5140</v>
      </c>
      <c r="G707" s="11" t="s">
        <v>141</v>
      </c>
      <c r="H707" s="11" t="s">
        <v>142</v>
      </c>
      <c r="I707" s="11" t="s">
        <v>5141</v>
      </c>
      <c r="J707" s="11" t="s">
        <v>5142</v>
      </c>
      <c r="K707" s="11" t="s">
        <v>145</v>
      </c>
      <c r="L707" s="11" t="s">
        <v>146</v>
      </c>
      <c r="M707" s="11" t="s">
        <v>5143</v>
      </c>
      <c r="N707" s="11" t="s">
        <v>128</v>
      </c>
      <c r="O707" s="11" t="s">
        <v>5144</v>
      </c>
      <c r="P707" s="11" t="s">
        <v>5145</v>
      </c>
      <c r="Q707" s="11" t="s">
        <v>150</v>
      </c>
      <c r="R707" s="11"/>
      <c r="S707" s="11" t="s">
        <v>71</v>
      </c>
      <c r="T707" s="11" t="s">
        <v>289</v>
      </c>
      <c r="U707" s="11" t="s">
        <v>150</v>
      </c>
      <c r="V707" s="11" t="s">
        <v>289</v>
      </c>
      <c r="W707" s="11" t="s">
        <v>289</v>
      </c>
      <c r="X707" s="11">
        <v>25</v>
      </c>
      <c r="Y707" s="11" t="s">
        <v>135</v>
      </c>
      <c r="Z707" s="11">
        <v>80</v>
      </c>
      <c r="AA707" s="11">
        <v>0</v>
      </c>
      <c r="AB707" s="12">
        <v>0</v>
      </c>
    </row>
    <row r="708" spans="1:28" x14ac:dyDescent="0.2">
      <c r="A708" s="7">
        <v>118165</v>
      </c>
      <c r="B708" s="8" t="s">
        <v>5146</v>
      </c>
      <c r="C708" s="8" t="s">
        <v>765</v>
      </c>
      <c r="D708" s="8" t="s">
        <v>5147</v>
      </c>
      <c r="E708" s="8"/>
      <c r="F708" s="8" t="s">
        <v>5148</v>
      </c>
      <c r="G708" s="8" t="s">
        <v>521</v>
      </c>
      <c r="H708" s="8" t="s">
        <v>522</v>
      </c>
      <c r="I708" s="8" t="s">
        <v>5149</v>
      </c>
      <c r="J708" s="8" t="s">
        <v>5150</v>
      </c>
      <c r="K708" s="8" t="s">
        <v>525</v>
      </c>
      <c r="L708" s="8" t="s">
        <v>526</v>
      </c>
      <c r="M708" s="8" t="s">
        <v>5151</v>
      </c>
      <c r="N708" s="8" t="s">
        <v>128</v>
      </c>
      <c r="O708" s="8" t="s">
        <v>5152</v>
      </c>
      <c r="P708" s="8" t="s">
        <v>5153</v>
      </c>
      <c r="Q708" s="8" t="s">
        <v>150</v>
      </c>
      <c r="R708" s="8"/>
      <c r="S708" s="8" t="s">
        <v>71</v>
      </c>
      <c r="T708" s="8" t="s">
        <v>67</v>
      </c>
      <c r="U708" s="8" t="s">
        <v>150</v>
      </c>
      <c r="V708" s="8" t="s">
        <v>152</v>
      </c>
      <c r="W708" s="8" t="s">
        <v>67</v>
      </c>
      <c r="X708" s="8">
        <v>25</v>
      </c>
      <c r="Y708" s="8" t="s">
        <v>135</v>
      </c>
      <c r="Z708" s="8">
        <v>80</v>
      </c>
      <c r="AA708" s="8">
        <v>0</v>
      </c>
      <c r="AB708" s="9">
        <v>0</v>
      </c>
    </row>
    <row r="709" spans="1:28" x14ac:dyDescent="0.2">
      <c r="A709" s="10">
        <v>23386</v>
      </c>
      <c r="B709" s="11" t="s">
        <v>5154</v>
      </c>
      <c r="C709" s="11" t="s">
        <v>5155</v>
      </c>
      <c r="D709" s="11" t="s">
        <v>5156</v>
      </c>
      <c r="E709" s="11"/>
      <c r="F709" s="11" t="s">
        <v>5157</v>
      </c>
      <c r="G709" s="11" t="s">
        <v>5158</v>
      </c>
      <c r="H709" s="11" t="s">
        <v>142</v>
      </c>
      <c r="I709" s="11" t="s">
        <v>5159</v>
      </c>
      <c r="J709" s="11" t="s">
        <v>5160</v>
      </c>
      <c r="K709" s="11" t="s">
        <v>717</v>
      </c>
      <c r="L709" s="11" t="s">
        <v>464</v>
      </c>
      <c r="M709" s="11" t="s">
        <v>5161</v>
      </c>
      <c r="N709" s="11" t="s">
        <v>128</v>
      </c>
      <c r="O709" s="11" t="s">
        <v>5162</v>
      </c>
      <c r="P709" s="11" t="s">
        <v>5163</v>
      </c>
      <c r="Q709" s="11" t="s">
        <v>150</v>
      </c>
      <c r="R709" s="11"/>
      <c r="S709" s="11" t="s">
        <v>71</v>
      </c>
      <c r="T709" s="11" t="s">
        <v>1415</v>
      </c>
      <c r="U709" s="11" t="s">
        <v>150</v>
      </c>
      <c r="V709" s="11" t="s">
        <v>1415</v>
      </c>
      <c r="W709" s="11" t="s">
        <v>1415</v>
      </c>
      <c r="X709" s="11">
        <v>25</v>
      </c>
      <c r="Y709" s="11" t="s">
        <v>135</v>
      </c>
      <c r="Z709" s="11">
        <v>80</v>
      </c>
      <c r="AA709" s="11">
        <v>0</v>
      </c>
      <c r="AB709" s="12">
        <v>0</v>
      </c>
    </row>
    <row r="710" spans="1:28" x14ac:dyDescent="0.2">
      <c r="A710" s="7">
        <v>28894</v>
      </c>
      <c r="B710" s="8" t="s">
        <v>5164</v>
      </c>
      <c r="C710" s="8" t="s">
        <v>5165</v>
      </c>
      <c r="D710" s="8" t="s">
        <v>5166</v>
      </c>
      <c r="E710" s="8"/>
      <c r="F710" s="8" t="s">
        <v>353</v>
      </c>
      <c r="G710" s="8" t="s">
        <v>4856</v>
      </c>
      <c r="H710" s="8" t="s">
        <v>847</v>
      </c>
      <c r="I710" s="8"/>
      <c r="J710" s="8" t="s">
        <v>5167</v>
      </c>
      <c r="K710" s="8" t="s">
        <v>850</v>
      </c>
      <c r="L710" s="8" t="s">
        <v>126</v>
      </c>
      <c r="M710" s="8" t="s">
        <v>5168</v>
      </c>
      <c r="N710" s="8" t="s">
        <v>128</v>
      </c>
      <c r="O710" s="8" t="s">
        <v>5169</v>
      </c>
      <c r="P710" s="8" t="s">
        <v>3710</v>
      </c>
      <c r="Q710" s="8" t="s">
        <v>150</v>
      </c>
      <c r="R710" s="8"/>
      <c r="S710" s="8" t="s">
        <v>71</v>
      </c>
      <c r="T710" s="8" t="s">
        <v>168</v>
      </c>
      <c r="U710" s="8" t="s">
        <v>150</v>
      </c>
      <c r="V710" s="8" t="s">
        <v>168</v>
      </c>
      <c r="W710" s="8" t="s">
        <v>168</v>
      </c>
      <c r="X710" s="8">
        <v>25</v>
      </c>
      <c r="Y710" s="8" t="s">
        <v>135</v>
      </c>
      <c r="Z710" s="8">
        <v>80</v>
      </c>
      <c r="AA710" s="8">
        <v>0</v>
      </c>
      <c r="AB710" s="9">
        <v>0</v>
      </c>
    </row>
    <row r="711" spans="1:28" x14ac:dyDescent="0.2">
      <c r="A711" s="10">
        <v>25154</v>
      </c>
      <c r="B711" s="11" t="s">
        <v>5170</v>
      </c>
      <c r="C711" s="11" t="s">
        <v>4111</v>
      </c>
      <c r="D711" s="11" t="s">
        <v>3863</v>
      </c>
      <c r="E711" s="11" t="s">
        <v>5171</v>
      </c>
      <c r="F711" s="11" t="s">
        <v>4113</v>
      </c>
      <c r="G711" s="11" t="s">
        <v>556</v>
      </c>
      <c r="H711" s="11" t="s">
        <v>557</v>
      </c>
      <c r="I711" s="11" t="s">
        <v>4114</v>
      </c>
      <c r="J711" s="11" t="s">
        <v>4115</v>
      </c>
      <c r="K711" s="11" t="s">
        <v>560</v>
      </c>
      <c r="L711" s="11" t="s">
        <v>229</v>
      </c>
      <c r="M711" s="11" t="s">
        <v>5172</v>
      </c>
      <c r="N711" s="11" t="s">
        <v>128</v>
      </c>
      <c r="O711" s="11" t="s">
        <v>5173</v>
      </c>
      <c r="P711" s="11" t="s">
        <v>5174</v>
      </c>
      <c r="Q711" s="11" t="s">
        <v>740</v>
      </c>
      <c r="R711" s="11"/>
      <c r="S711" s="11" t="s">
        <v>4119</v>
      </c>
      <c r="T711" s="11" t="s">
        <v>741</v>
      </c>
      <c r="U711" s="11" t="s">
        <v>134</v>
      </c>
      <c r="V711" s="11" t="s">
        <v>740</v>
      </c>
      <c r="W711" s="11" t="s">
        <v>741</v>
      </c>
      <c r="X711" s="11">
        <v>25</v>
      </c>
      <c r="Y711" s="11" t="s">
        <v>135</v>
      </c>
      <c r="Z711" s="11">
        <v>20</v>
      </c>
      <c r="AA711" s="11">
        <v>1</v>
      </c>
      <c r="AB711" s="12">
        <v>0</v>
      </c>
    </row>
    <row r="712" spans="1:28" x14ac:dyDescent="0.2">
      <c r="A712" s="7">
        <v>111605</v>
      </c>
      <c r="B712" s="8" t="s">
        <v>5175</v>
      </c>
      <c r="C712" s="8" t="s">
        <v>5176</v>
      </c>
      <c r="D712" s="8" t="s">
        <v>5177</v>
      </c>
      <c r="E712" s="8"/>
      <c r="F712" s="8" t="s">
        <v>5178</v>
      </c>
      <c r="G712" s="8" t="s">
        <v>846</v>
      </c>
      <c r="H712" s="8" t="s">
        <v>847</v>
      </c>
      <c r="I712" s="8" t="s">
        <v>5179</v>
      </c>
      <c r="J712" s="8" t="s">
        <v>5180</v>
      </c>
      <c r="K712" s="8" t="s">
        <v>850</v>
      </c>
      <c r="L712" s="8" t="s">
        <v>126</v>
      </c>
      <c r="M712" s="8" t="s">
        <v>5181</v>
      </c>
      <c r="N712" s="8" t="s">
        <v>128</v>
      </c>
      <c r="O712" s="8" t="s">
        <v>5182</v>
      </c>
      <c r="P712" s="8" t="s">
        <v>5183</v>
      </c>
      <c r="Q712" s="8" t="s">
        <v>150</v>
      </c>
      <c r="R712" s="8"/>
      <c r="S712" s="8" t="s">
        <v>71</v>
      </c>
      <c r="T712" s="8" t="s">
        <v>2697</v>
      </c>
      <c r="U712" s="8" t="s">
        <v>150</v>
      </c>
      <c r="V712" s="8" t="s">
        <v>2697</v>
      </c>
      <c r="W712" s="8" t="s">
        <v>2697</v>
      </c>
      <c r="X712" s="8">
        <v>24</v>
      </c>
      <c r="Y712" s="8" t="s">
        <v>135</v>
      </c>
      <c r="Z712" s="8">
        <v>80</v>
      </c>
      <c r="AA712" s="8">
        <v>0</v>
      </c>
      <c r="AB712" s="9">
        <v>0</v>
      </c>
    </row>
    <row r="713" spans="1:28" x14ac:dyDescent="0.2">
      <c r="A713" s="10">
        <v>23319</v>
      </c>
      <c r="B713" s="11" t="s">
        <v>5184</v>
      </c>
      <c r="C713" s="11" t="s">
        <v>3219</v>
      </c>
      <c r="D713" s="11" t="s">
        <v>645</v>
      </c>
      <c r="E713" s="11" t="s">
        <v>5185</v>
      </c>
      <c r="F713" s="11" t="s">
        <v>3221</v>
      </c>
      <c r="G713" s="11" t="s">
        <v>846</v>
      </c>
      <c r="H713" s="11" t="s">
        <v>847</v>
      </c>
      <c r="I713" s="11" t="s">
        <v>3222</v>
      </c>
      <c r="J713" s="11" t="s">
        <v>3223</v>
      </c>
      <c r="K713" s="11" t="s">
        <v>1091</v>
      </c>
      <c r="L713" s="11" t="s">
        <v>126</v>
      </c>
      <c r="M713" s="11" t="s">
        <v>5186</v>
      </c>
      <c r="N713" s="11" t="s">
        <v>128</v>
      </c>
      <c r="O713" s="11" t="s">
        <v>5187</v>
      </c>
      <c r="P713" s="11" t="s">
        <v>5188</v>
      </c>
      <c r="Q713" s="11" t="s">
        <v>150</v>
      </c>
      <c r="R713" s="11"/>
      <c r="S713" s="11" t="s">
        <v>3227</v>
      </c>
      <c r="T713" s="11" t="s">
        <v>70</v>
      </c>
      <c r="U713" s="11" t="s">
        <v>150</v>
      </c>
      <c r="V713" s="11" t="s">
        <v>70</v>
      </c>
      <c r="W713" s="11" t="s">
        <v>70</v>
      </c>
      <c r="X713" s="11">
        <v>24</v>
      </c>
      <c r="Y713" s="11" t="s">
        <v>135</v>
      </c>
      <c r="Z713" s="11">
        <v>20</v>
      </c>
      <c r="AA713" s="11">
        <v>1</v>
      </c>
      <c r="AB713" s="12">
        <v>0</v>
      </c>
    </row>
    <row r="714" spans="1:28" x14ac:dyDescent="0.2">
      <c r="A714" s="7">
        <v>22936</v>
      </c>
      <c r="B714" s="8" t="s">
        <v>5189</v>
      </c>
      <c r="C714" s="8" t="s">
        <v>2276</v>
      </c>
      <c r="D714" s="8" t="s">
        <v>2277</v>
      </c>
      <c r="E714" s="8"/>
      <c r="F714" s="8" t="s">
        <v>2278</v>
      </c>
      <c r="G714" s="8" t="s">
        <v>1026</v>
      </c>
      <c r="H714" s="8" t="s">
        <v>142</v>
      </c>
      <c r="I714" s="8" t="s">
        <v>3409</v>
      </c>
      <c r="J714" s="8" t="s">
        <v>2280</v>
      </c>
      <c r="K714" s="8" t="s">
        <v>1029</v>
      </c>
      <c r="L714" s="8" t="s">
        <v>464</v>
      </c>
      <c r="M714" s="8" t="s">
        <v>5190</v>
      </c>
      <c r="N714" s="8" t="s">
        <v>128</v>
      </c>
      <c r="O714" s="8" t="s">
        <v>5191</v>
      </c>
      <c r="P714" s="8" t="s">
        <v>3754</v>
      </c>
      <c r="Q714" s="8" t="s">
        <v>150</v>
      </c>
      <c r="R714" s="8"/>
      <c r="S714" s="8" t="s">
        <v>2284</v>
      </c>
      <c r="T714" s="8" t="s">
        <v>70</v>
      </c>
      <c r="U714" s="8" t="s">
        <v>150</v>
      </c>
      <c r="V714" s="8" t="s">
        <v>70</v>
      </c>
      <c r="W714" s="8" t="s">
        <v>70</v>
      </c>
      <c r="X714" s="8">
        <v>24</v>
      </c>
      <c r="Y714" s="8" t="s">
        <v>135</v>
      </c>
      <c r="Z714" s="8">
        <v>20</v>
      </c>
      <c r="AA714" s="8">
        <v>1</v>
      </c>
      <c r="AB714" s="9">
        <v>0</v>
      </c>
    </row>
    <row r="715" spans="1:28" x14ac:dyDescent="0.2">
      <c r="A715" s="10">
        <v>21547</v>
      </c>
      <c r="B715" s="11" t="s">
        <v>5192</v>
      </c>
      <c r="C715" s="11" t="s">
        <v>4521</v>
      </c>
      <c r="D715" s="11" t="s">
        <v>138</v>
      </c>
      <c r="E715" s="11" t="s">
        <v>5193</v>
      </c>
      <c r="F715" s="11" t="s">
        <v>4523</v>
      </c>
      <c r="G715" s="11" t="s">
        <v>4513</v>
      </c>
      <c r="H715" s="11" t="s">
        <v>847</v>
      </c>
      <c r="I715" s="11" t="s">
        <v>4524</v>
      </c>
      <c r="J715" s="11" t="s">
        <v>4525</v>
      </c>
      <c r="K715" s="11" t="s">
        <v>1091</v>
      </c>
      <c r="L715" s="11" t="s">
        <v>126</v>
      </c>
      <c r="M715" s="11" t="s">
        <v>5194</v>
      </c>
      <c r="N715" s="11" t="s">
        <v>128</v>
      </c>
      <c r="O715" s="11" t="s">
        <v>5195</v>
      </c>
      <c r="P715" s="11" t="s">
        <v>5196</v>
      </c>
      <c r="Q715" s="11" t="s">
        <v>150</v>
      </c>
      <c r="R715" s="11"/>
      <c r="S715" s="11" t="s">
        <v>4528</v>
      </c>
      <c r="T715" s="11" t="s">
        <v>67</v>
      </c>
      <c r="U715" s="11" t="s">
        <v>150</v>
      </c>
      <c r="V715" s="11" t="s">
        <v>152</v>
      </c>
      <c r="W715" s="11" t="s">
        <v>67</v>
      </c>
      <c r="X715" s="11">
        <v>23</v>
      </c>
      <c r="Y715" s="11" t="s">
        <v>135</v>
      </c>
      <c r="Z715" s="11">
        <v>80</v>
      </c>
      <c r="AA715" s="11">
        <v>0</v>
      </c>
      <c r="AB715" s="12">
        <v>0</v>
      </c>
    </row>
    <row r="716" spans="1:28" x14ac:dyDescent="0.2">
      <c r="A716" s="7">
        <v>226706</v>
      </c>
      <c r="B716" s="8" t="s">
        <v>5197</v>
      </c>
      <c r="C716" s="8" t="s">
        <v>825</v>
      </c>
      <c r="D716" s="8" t="s">
        <v>826</v>
      </c>
      <c r="E716" s="8" t="s">
        <v>5198</v>
      </c>
      <c r="F716" s="8" t="s">
        <v>828</v>
      </c>
      <c r="G716" s="8" t="s">
        <v>615</v>
      </c>
      <c r="H716" s="8" t="s">
        <v>616</v>
      </c>
      <c r="I716" s="8" t="s">
        <v>829</v>
      </c>
      <c r="J716" s="8" t="s">
        <v>830</v>
      </c>
      <c r="K716" s="8" t="s">
        <v>619</v>
      </c>
      <c r="L716" s="8" t="s">
        <v>163</v>
      </c>
      <c r="M716" s="8" t="s">
        <v>5199</v>
      </c>
      <c r="N716" s="8" t="s">
        <v>128</v>
      </c>
      <c r="O716" s="8"/>
      <c r="P716" s="8"/>
      <c r="Q716" s="8" t="s">
        <v>131</v>
      </c>
      <c r="R716" s="8"/>
      <c r="S716" s="8" t="s">
        <v>834</v>
      </c>
      <c r="T716" s="8" t="s">
        <v>983</v>
      </c>
      <c r="U716" s="8" t="s">
        <v>134</v>
      </c>
      <c r="V716" s="8" t="s">
        <v>131</v>
      </c>
      <c r="W716" s="8" t="s">
        <v>983</v>
      </c>
      <c r="X716" s="8">
        <v>23</v>
      </c>
      <c r="Y716" s="8" t="s">
        <v>135</v>
      </c>
      <c r="Z716" s="8">
        <v>20</v>
      </c>
      <c r="AA716" s="8">
        <v>1</v>
      </c>
      <c r="AB716" s="9">
        <v>0</v>
      </c>
    </row>
    <row r="717" spans="1:28" x14ac:dyDescent="0.2">
      <c r="A717" s="10">
        <v>24142</v>
      </c>
      <c r="B717" s="11" t="s">
        <v>5200</v>
      </c>
      <c r="C717" s="11" t="s">
        <v>266</v>
      </c>
      <c r="D717" s="11" t="s">
        <v>267</v>
      </c>
      <c r="E717" s="11"/>
      <c r="F717" s="11" t="s">
        <v>269</v>
      </c>
      <c r="G717" s="11" t="s">
        <v>270</v>
      </c>
      <c r="H717" s="11" t="s">
        <v>271</v>
      </c>
      <c r="I717" s="11" t="s">
        <v>272</v>
      </c>
      <c r="J717" s="11" t="s">
        <v>3357</v>
      </c>
      <c r="K717" s="11" t="s">
        <v>274</v>
      </c>
      <c r="L717" s="11" t="s">
        <v>163</v>
      </c>
      <c r="M717" s="11" t="s">
        <v>5201</v>
      </c>
      <c r="N717" s="11" t="s">
        <v>4651</v>
      </c>
      <c r="O717" s="11" t="s">
        <v>5202</v>
      </c>
      <c r="P717" s="11" t="s">
        <v>5203</v>
      </c>
      <c r="Q717" s="11" t="s">
        <v>150</v>
      </c>
      <c r="R717" s="11"/>
      <c r="S717" s="11" t="s">
        <v>278</v>
      </c>
      <c r="T717" s="11" t="s">
        <v>3270</v>
      </c>
      <c r="U717" s="11" t="s">
        <v>150</v>
      </c>
      <c r="V717" s="11" t="s">
        <v>3270</v>
      </c>
      <c r="W717" s="11" t="s">
        <v>3270</v>
      </c>
      <c r="X717" s="11">
        <v>23</v>
      </c>
      <c r="Y717" s="11" t="s">
        <v>135</v>
      </c>
      <c r="Z717" s="11">
        <v>80</v>
      </c>
      <c r="AA717" s="11">
        <v>1</v>
      </c>
      <c r="AB717" s="12">
        <v>1</v>
      </c>
    </row>
    <row r="718" spans="1:28" x14ac:dyDescent="0.2">
      <c r="A718" s="7">
        <v>116195</v>
      </c>
      <c r="B718" s="8" t="s">
        <v>5204</v>
      </c>
      <c r="C718" s="8" t="s">
        <v>5205</v>
      </c>
      <c r="D718" s="8" t="s">
        <v>5206</v>
      </c>
      <c r="E718" s="8" t="s">
        <v>135</v>
      </c>
      <c r="F718" s="8" t="s">
        <v>353</v>
      </c>
      <c r="G718" s="8" t="s">
        <v>521</v>
      </c>
      <c r="H718" s="8" t="s">
        <v>522</v>
      </c>
      <c r="I718" s="8" t="s">
        <v>5207</v>
      </c>
      <c r="J718" s="8" t="s">
        <v>5208</v>
      </c>
      <c r="K718" s="8" t="s">
        <v>525</v>
      </c>
      <c r="L718" s="8" t="s">
        <v>526</v>
      </c>
      <c r="M718" s="8" t="s">
        <v>5209</v>
      </c>
      <c r="N718" s="8" t="s">
        <v>128</v>
      </c>
      <c r="O718" s="8" t="s">
        <v>5210</v>
      </c>
      <c r="P718" s="8" t="s">
        <v>5211</v>
      </c>
      <c r="Q718" s="8" t="s">
        <v>150</v>
      </c>
      <c r="R718" s="8"/>
      <c r="S718" s="8" t="s">
        <v>71</v>
      </c>
      <c r="T718" s="8" t="s">
        <v>67</v>
      </c>
      <c r="U718" s="8" t="s">
        <v>150</v>
      </c>
      <c r="V718" s="8" t="s">
        <v>152</v>
      </c>
      <c r="W718" s="8" t="s">
        <v>67</v>
      </c>
      <c r="X718" s="8">
        <v>22</v>
      </c>
      <c r="Y718" s="8" t="s">
        <v>135</v>
      </c>
      <c r="Z718" s="8">
        <v>80</v>
      </c>
      <c r="AA718" s="8">
        <v>0</v>
      </c>
      <c r="AB718" s="9">
        <v>0</v>
      </c>
    </row>
    <row r="719" spans="1:28" x14ac:dyDescent="0.2">
      <c r="A719" s="10">
        <v>25359</v>
      </c>
      <c r="B719" s="11" t="s">
        <v>5212</v>
      </c>
      <c r="C719" s="11" t="s">
        <v>5213</v>
      </c>
      <c r="D719" s="11" t="s">
        <v>138</v>
      </c>
      <c r="E719" s="11"/>
      <c r="F719" s="11" t="s">
        <v>5214</v>
      </c>
      <c r="G719" s="11" t="s">
        <v>224</v>
      </c>
      <c r="H719" s="11" t="s">
        <v>225</v>
      </c>
      <c r="I719" s="11" t="s">
        <v>5215</v>
      </c>
      <c r="J719" s="11" t="s">
        <v>5216</v>
      </c>
      <c r="K719" s="11" t="s">
        <v>228</v>
      </c>
      <c r="L719" s="11" t="s">
        <v>229</v>
      </c>
      <c r="M719" s="11" t="s">
        <v>5217</v>
      </c>
      <c r="N719" s="11" t="s">
        <v>128</v>
      </c>
      <c r="O719" s="11" t="s">
        <v>5218</v>
      </c>
      <c r="P719" s="11"/>
      <c r="Q719" s="11" t="s">
        <v>131</v>
      </c>
      <c r="R719" s="11"/>
      <c r="S719" s="11" t="s">
        <v>5219</v>
      </c>
      <c r="T719" s="11" t="s">
        <v>983</v>
      </c>
      <c r="U719" s="11" t="s">
        <v>134</v>
      </c>
      <c r="V719" s="11" t="s">
        <v>131</v>
      </c>
      <c r="W719" s="11" t="s">
        <v>983</v>
      </c>
      <c r="X719" s="11">
        <v>22</v>
      </c>
      <c r="Y719" s="11" t="s">
        <v>135</v>
      </c>
      <c r="Z719" s="11">
        <v>20</v>
      </c>
      <c r="AA719" s="11">
        <v>1</v>
      </c>
      <c r="AB719" s="12">
        <v>0</v>
      </c>
    </row>
    <row r="720" spans="1:28" x14ac:dyDescent="0.2">
      <c r="A720" s="7">
        <v>23280</v>
      </c>
      <c r="B720" s="8" t="s">
        <v>5220</v>
      </c>
      <c r="C720" s="8" t="s">
        <v>1666</v>
      </c>
      <c r="D720" s="8" t="s">
        <v>1667</v>
      </c>
      <c r="E720" s="8" t="s">
        <v>5221</v>
      </c>
      <c r="F720" s="8" t="s">
        <v>1669</v>
      </c>
      <c r="G720" s="8" t="s">
        <v>1670</v>
      </c>
      <c r="H720" s="8" t="s">
        <v>142</v>
      </c>
      <c r="I720" s="8" t="s">
        <v>1671</v>
      </c>
      <c r="J720" s="8" t="s">
        <v>1672</v>
      </c>
      <c r="K720" s="8" t="s">
        <v>1673</v>
      </c>
      <c r="L720" s="8" t="s">
        <v>464</v>
      </c>
      <c r="M720" s="8" t="s">
        <v>5222</v>
      </c>
      <c r="N720" s="8" t="s">
        <v>128</v>
      </c>
      <c r="O720" s="8" t="s">
        <v>5223</v>
      </c>
      <c r="P720" s="8" t="s">
        <v>5224</v>
      </c>
      <c r="Q720" s="8" t="s">
        <v>150</v>
      </c>
      <c r="R720" s="8"/>
      <c r="S720" s="8" t="s">
        <v>1677</v>
      </c>
      <c r="T720" s="8" t="s">
        <v>70</v>
      </c>
      <c r="U720" s="8" t="s">
        <v>150</v>
      </c>
      <c r="V720" s="8" t="s">
        <v>70</v>
      </c>
      <c r="W720" s="8" t="s">
        <v>70</v>
      </c>
      <c r="X720" s="8">
        <v>22</v>
      </c>
      <c r="Y720" s="8" t="s">
        <v>135</v>
      </c>
      <c r="Z720" s="8">
        <v>20</v>
      </c>
      <c r="AA720" s="8">
        <v>1</v>
      </c>
      <c r="AB720" s="9">
        <v>0</v>
      </c>
    </row>
    <row r="721" spans="1:28" x14ac:dyDescent="0.2">
      <c r="A721" s="10">
        <v>28846</v>
      </c>
      <c r="B721" s="11" t="s">
        <v>5225</v>
      </c>
      <c r="C721" s="11" t="s">
        <v>5226</v>
      </c>
      <c r="D721" s="11" t="s">
        <v>5227</v>
      </c>
      <c r="E721" s="11"/>
      <c r="F721" s="11" t="s">
        <v>353</v>
      </c>
      <c r="G721" s="11" t="s">
        <v>2332</v>
      </c>
      <c r="H721" s="11" t="s">
        <v>142</v>
      </c>
      <c r="I721" s="11"/>
      <c r="J721" s="11" t="s">
        <v>5228</v>
      </c>
      <c r="K721" s="11" t="s">
        <v>779</v>
      </c>
      <c r="L721" s="11" t="s">
        <v>464</v>
      </c>
      <c r="M721" s="11" t="s">
        <v>5229</v>
      </c>
      <c r="N721" s="11" t="s">
        <v>128</v>
      </c>
      <c r="O721" s="11"/>
      <c r="P721" s="11" t="s">
        <v>1402</v>
      </c>
      <c r="Q721" s="11" t="s">
        <v>150</v>
      </c>
      <c r="R721" s="11"/>
      <c r="S721" s="11" t="s">
        <v>71</v>
      </c>
      <c r="T721" s="11" t="s">
        <v>168</v>
      </c>
      <c r="U721" s="11" t="s">
        <v>150</v>
      </c>
      <c r="V721" s="11" t="s">
        <v>168</v>
      </c>
      <c r="W721" s="11" t="s">
        <v>168</v>
      </c>
      <c r="X721" s="11">
        <v>22</v>
      </c>
      <c r="Y721" s="11" t="s">
        <v>135</v>
      </c>
      <c r="Z721" s="11">
        <v>80</v>
      </c>
      <c r="AA721" s="11">
        <v>0</v>
      </c>
      <c r="AB721" s="12">
        <v>0</v>
      </c>
    </row>
    <row r="722" spans="1:28" x14ac:dyDescent="0.2">
      <c r="A722" s="7">
        <v>25533</v>
      </c>
      <c r="B722" s="8" t="s">
        <v>5230</v>
      </c>
      <c r="C722" s="8" t="s">
        <v>3597</v>
      </c>
      <c r="D722" s="8" t="s">
        <v>3598</v>
      </c>
      <c r="E722" s="8" t="s">
        <v>5231</v>
      </c>
      <c r="F722" s="8" t="s">
        <v>3599</v>
      </c>
      <c r="G722" s="8" t="s">
        <v>141</v>
      </c>
      <c r="H722" s="8" t="s">
        <v>142</v>
      </c>
      <c r="I722" s="8" t="s">
        <v>3600</v>
      </c>
      <c r="J722" s="8" t="s">
        <v>3601</v>
      </c>
      <c r="K722" s="8" t="s">
        <v>216</v>
      </c>
      <c r="L722" s="8" t="s">
        <v>146</v>
      </c>
      <c r="M722" s="8" t="s">
        <v>5232</v>
      </c>
      <c r="N722" s="8" t="s">
        <v>128</v>
      </c>
      <c r="O722" s="8" t="s">
        <v>5233</v>
      </c>
      <c r="P722" s="8" t="s">
        <v>5234</v>
      </c>
      <c r="Q722" s="8" t="s">
        <v>249</v>
      </c>
      <c r="R722" s="8"/>
      <c r="S722" s="8" t="s">
        <v>3605</v>
      </c>
      <c r="T722" s="8" t="s">
        <v>250</v>
      </c>
      <c r="U722" s="8" t="s">
        <v>134</v>
      </c>
      <c r="V722" s="8" t="s">
        <v>249</v>
      </c>
      <c r="W722" s="8" t="s">
        <v>250</v>
      </c>
      <c r="X722" s="8">
        <v>22</v>
      </c>
      <c r="Y722" s="8" t="s">
        <v>135</v>
      </c>
      <c r="Z722" s="8">
        <v>20</v>
      </c>
      <c r="AA722" s="8">
        <v>1</v>
      </c>
      <c r="AB722" s="9">
        <v>0</v>
      </c>
    </row>
    <row r="723" spans="1:28" x14ac:dyDescent="0.2">
      <c r="A723" s="10">
        <v>21151</v>
      </c>
      <c r="B723" s="11" t="s">
        <v>5235</v>
      </c>
      <c r="C723" s="11" t="s">
        <v>657</v>
      </c>
      <c r="D723" s="11" t="s">
        <v>5236</v>
      </c>
      <c r="E723" s="11"/>
      <c r="F723" s="11" t="s">
        <v>5237</v>
      </c>
      <c r="G723" s="11" t="s">
        <v>556</v>
      </c>
      <c r="H723" s="11" t="s">
        <v>557</v>
      </c>
      <c r="I723" s="11" t="s">
        <v>5238</v>
      </c>
      <c r="J723" s="11" t="s">
        <v>5239</v>
      </c>
      <c r="K723" s="11" t="s">
        <v>560</v>
      </c>
      <c r="L723" s="11" t="s">
        <v>229</v>
      </c>
      <c r="M723" s="11" t="s">
        <v>5240</v>
      </c>
      <c r="N723" s="11" t="s">
        <v>128</v>
      </c>
      <c r="O723" s="11" t="s">
        <v>5241</v>
      </c>
      <c r="P723" s="11" t="s">
        <v>5242</v>
      </c>
      <c r="Q723" s="11" t="s">
        <v>150</v>
      </c>
      <c r="R723" s="11"/>
      <c r="S723" s="11" t="s">
        <v>71</v>
      </c>
      <c r="T723" s="11" t="s">
        <v>289</v>
      </c>
      <c r="U723" s="11" t="s">
        <v>150</v>
      </c>
      <c r="V723" s="11" t="s">
        <v>289</v>
      </c>
      <c r="W723" s="11" t="s">
        <v>289</v>
      </c>
      <c r="X723" s="11">
        <v>21</v>
      </c>
      <c r="Y723" s="11" t="s">
        <v>135</v>
      </c>
      <c r="Z723" s="11">
        <v>80</v>
      </c>
      <c r="AA723" s="11">
        <v>0</v>
      </c>
      <c r="AB723" s="12">
        <v>0</v>
      </c>
    </row>
    <row r="724" spans="1:28" x14ac:dyDescent="0.2">
      <c r="A724" s="7">
        <v>21154</v>
      </c>
      <c r="B724" s="8" t="s">
        <v>5243</v>
      </c>
      <c r="C724" s="8" t="s">
        <v>5244</v>
      </c>
      <c r="D724" s="8" t="s">
        <v>5245</v>
      </c>
      <c r="E724" s="8"/>
      <c r="F724" s="8" t="s">
        <v>5246</v>
      </c>
      <c r="G724" s="8" t="s">
        <v>714</v>
      </c>
      <c r="H724" s="8" t="s">
        <v>142</v>
      </c>
      <c r="I724" s="8" t="s">
        <v>5247</v>
      </c>
      <c r="J724" s="8" t="s">
        <v>5248</v>
      </c>
      <c r="K724" s="8" t="s">
        <v>717</v>
      </c>
      <c r="L724" s="8" t="s">
        <v>464</v>
      </c>
      <c r="M724" s="8" t="s">
        <v>5249</v>
      </c>
      <c r="N724" s="8" t="s">
        <v>128</v>
      </c>
      <c r="O724" s="8" t="s">
        <v>5250</v>
      </c>
      <c r="P724" s="8" t="s">
        <v>5251</v>
      </c>
      <c r="Q724" s="8" t="s">
        <v>150</v>
      </c>
      <c r="R724" s="8"/>
      <c r="S724" s="8" t="s">
        <v>71</v>
      </c>
      <c r="T724" s="8" t="s">
        <v>289</v>
      </c>
      <c r="U724" s="8" t="s">
        <v>150</v>
      </c>
      <c r="V724" s="8" t="s">
        <v>289</v>
      </c>
      <c r="W724" s="8" t="s">
        <v>289</v>
      </c>
      <c r="X724" s="8">
        <v>21</v>
      </c>
      <c r="Y724" s="8" t="s">
        <v>135</v>
      </c>
      <c r="Z724" s="8">
        <v>80</v>
      </c>
      <c r="AA724" s="8">
        <v>0</v>
      </c>
      <c r="AB724" s="9">
        <v>0</v>
      </c>
    </row>
    <row r="725" spans="1:28" x14ac:dyDescent="0.2">
      <c r="A725" s="10">
        <v>214036</v>
      </c>
      <c r="B725" s="11" t="s">
        <v>5252</v>
      </c>
      <c r="C725" s="11" t="s">
        <v>186</v>
      </c>
      <c r="D725" s="11" t="s">
        <v>187</v>
      </c>
      <c r="E725" s="11"/>
      <c r="F725" s="11" t="s">
        <v>189</v>
      </c>
      <c r="G725" s="11" t="s">
        <v>190</v>
      </c>
      <c r="H725" s="11" t="s">
        <v>191</v>
      </c>
      <c r="I725" s="11" t="s">
        <v>192</v>
      </c>
      <c r="J725" s="11" t="s">
        <v>193</v>
      </c>
      <c r="K725" s="11" t="s">
        <v>194</v>
      </c>
      <c r="L725" s="11" t="s">
        <v>163</v>
      </c>
      <c r="M725" s="11" t="s">
        <v>5253</v>
      </c>
      <c r="N725" s="11" t="s">
        <v>128</v>
      </c>
      <c r="O725" s="11" t="s">
        <v>5254</v>
      </c>
      <c r="P725" s="11"/>
      <c r="Q725" s="11" t="s">
        <v>131</v>
      </c>
      <c r="R725" s="11"/>
      <c r="S725" s="11" t="s">
        <v>198</v>
      </c>
      <c r="T725" s="11" t="s">
        <v>983</v>
      </c>
      <c r="U725" s="11" t="s">
        <v>134</v>
      </c>
      <c r="V725" s="11" t="s">
        <v>131</v>
      </c>
      <c r="W725" s="11" t="s">
        <v>983</v>
      </c>
      <c r="X725" s="11">
        <v>21</v>
      </c>
      <c r="Y725" s="11" t="s">
        <v>135</v>
      </c>
      <c r="Z725" s="11">
        <v>20</v>
      </c>
      <c r="AA725" s="11">
        <v>1</v>
      </c>
      <c r="AB725" s="12">
        <v>0</v>
      </c>
    </row>
    <row r="726" spans="1:28" x14ac:dyDescent="0.2">
      <c r="A726" s="7">
        <v>23360</v>
      </c>
      <c r="B726" s="8" t="s">
        <v>5255</v>
      </c>
      <c r="C726" s="8" t="s">
        <v>5213</v>
      </c>
      <c r="D726" s="8" t="s">
        <v>138</v>
      </c>
      <c r="E726" s="8" t="s">
        <v>281</v>
      </c>
      <c r="F726" s="8" t="s">
        <v>878</v>
      </c>
      <c r="G726" s="8" t="s">
        <v>224</v>
      </c>
      <c r="H726" s="8" t="s">
        <v>225</v>
      </c>
      <c r="I726" s="8" t="s">
        <v>5256</v>
      </c>
      <c r="J726" s="8" t="s">
        <v>5216</v>
      </c>
      <c r="K726" s="8" t="s">
        <v>228</v>
      </c>
      <c r="L726" s="8" t="s">
        <v>229</v>
      </c>
      <c r="M726" s="8" t="s">
        <v>5257</v>
      </c>
      <c r="N726" s="8" t="s">
        <v>128</v>
      </c>
      <c r="O726" s="8" t="s">
        <v>5258</v>
      </c>
      <c r="P726" s="8" t="s">
        <v>5259</v>
      </c>
      <c r="Q726" s="8" t="s">
        <v>150</v>
      </c>
      <c r="R726" s="8"/>
      <c r="S726" s="8" t="s">
        <v>5219</v>
      </c>
      <c r="T726" s="8" t="s">
        <v>70</v>
      </c>
      <c r="U726" s="8" t="s">
        <v>150</v>
      </c>
      <c r="V726" s="8" t="s">
        <v>70</v>
      </c>
      <c r="W726" s="8" t="s">
        <v>70</v>
      </c>
      <c r="X726" s="8">
        <v>21</v>
      </c>
      <c r="Y726" s="8" t="s">
        <v>135</v>
      </c>
      <c r="Z726" s="8">
        <v>20</v>
      </c>
      <c r="AA726" s="8">
        <v>1</v>
      </c>
      <c r="AB726" s="9">
        <v>0</v>
      </c>
    </row>
    <row r="727" spans="1:28" x14ac:dyDescent="0.2">
      <c r="A727" s="10">
        <v>24833</v>
      </c>
      <c r="B727" s="11" t="s">
        <v>5260</v>
      </c>
      <c r="C727" s="11" t="s">
        <v>266</v>
      </c>
      <c r="D727" s="11" t="s">
        <v>267</v>
      </c>
      <c r="E727" s="11" t="s">
        <v>5261</v>
      </c>
      <c r="F727" s="11" t="s">
        <v>269</v>
      </c>
      <c r="G727" s="11" t="s">
        <v>270</v>
      </c>
      <c r="H727" s="11" t="s">
        <v>271</v>
      </c>
      <c r="I727" s="11" t="s">
        <v>272</v>
      </c>
      <c r="J727" s="11" t="s">
        <v>273</v>
      </c>
      <c r="K727" s="11" t="s">
        <v>274</v>
      </c>
      <c r="L727" s="11" t="s">
        <v>163</v>
      </c>
      <c r="M727" s="11" t="s">
        <v>5262</v>
      </c>
      <c r="N727" s="11" t="s">
        <v>128</v>
      </c>
      <c r="O727" s="11" t="s">
        <v>5263</v>
      </c>
      <c r="P727" s="11" t="s">
        <v>5264</v>
      </c>
      <c r="Q727" s="11" t="s">
        <v>150</v>
      </c>
      <c r="R727" s="11"/>
      <c r="S727" s="11" t="s">
        <v>278</v>
      </c>
      <c r="T727" s="11" t="s">
        <v>1738</v>
      </c>
      <c r="U727" s="11" t="s">
        <v>150</v>
      </c>
      <c r="V727" s="11" t="s">
        <v>1738</v>
      </c>
      <c r="W727" s="11" t="s">
        <v>1738</v>
      </c>
      <c r="X727" s="11">
        <v>21</v>
      </c>
      <c r="Y727" s="11" t="s">
        <v>135</v>
      </c>
      <c r="Z727" s="11">
        <v>20</v>
      </c>
      <c r="AA727" s="11">
        <v>1</v>
      </c>
      <c r="AB727" s="12">
        <v>0</v>
      </c>
    </row>
    <row r="728" spans="1:28" x14ac:dyDescent="0.2">
      <c r="A728" s="7">
        <v>23976</v>
      </c>
      <c r="B728" s="8" t="s">
        <v>5265</v>
      </c>
      <c r="C728" s="8" t="s">
        <v>743</v>
      </c>
      <c r="D728" s="8" t="s">
        <v>744</v>
      </c>
      <c r="E728" s="8" t="s">
        <v>5266</v>
      </c>
      <c r="F728" s="8" t="s">
        <v>746</v>
      </c>
      <c r="G728" s="8" t="s">
        <v>328</v>
      </c>
      <c r="H728" s="8" t="s">
        <v>329</v>
      </c>
      <c r="I728" s="8" t="s">
        <v>747</v>
      </c>
      <c r="J728" s="8" t="s">
        <v>748</v>
      </c>
      <c r="K728" s="8" t="s">
        <v>415</v>
      </c>
      <c r="L728" s="8" t="s">
        <v>333</v>
      </c>
      <c r="M728" s="8" t="s">
        <v>5267</v>
      </c>
      <c r="N728" s="8" t="s">
        <v>128</v>
      </c>
      <c r="O728" s="8" t="s">
        <v>5268</v>
      </c>
      <c r="P728" s="8" t="s">
        <v>5269</v>
      </c>
      <c r="Q728" s="8" t="s">
        <v>740</v>
      </c>
      <c r="R728" s="8"/>
      <c r="S728" s="8" t="s">
        <v>752</v>
      </c>
      <c r="T728" s="8" t="s">
        <v>1745</v>
      </c>
      <c r="U728" s="8" t="s">
        <v>134</v>
      </c>
      <c r="V728" s="8" t="s">
        <v>740</v>
      </c>
      <c r="W728" s="8" t="s">
        <v>1745</v>
      </c>
      <c r="X728" s="8">
        <v>21</v>
      </c>
      <c r="Y728" s="8" t="s">
        <v>135</v>
      </c>
      <c r="Z728" s="8">
        <v>20</v>
      </c>
      <c r="AA728" s="8">
        <v>1</v>
      </c>
      <c r="AB728" s="9">
        <v>0</v>
      </c>
    </row>
    <row r="729" spans="1:28" x14ac:dyDescent="0.2">
      <c r="A729" s="10">
        <v>22862</v>
      </c>
      <c r="B729" s="11" t="s">
        <v>5270</v>
      </c>
      <c r="C729" s="11" t="s">
        <v>5271</v>
      </c>
      <c r="D729" s="11" t="s">
        <v>5272</v>
      </c>
      <c r="E729" s="11"/>
      <c r="F729" s="11" t="s">
        <v>5273</v>
      </c>
      <c r="G729" s="11" t="s">
        <v>2652</v>
      </c>
      <c r="H729" s="11" t="s">
        <v>1843</v>
      </c>
      <c r="I729" s="11" t="s">
        <v>5274</v>
      </c>
      <c r="J729" s="11" t="s">
        <v>5275</v>
      </c>
      <c r="K729" s="11" t="s">
        <v>1562</v>
      </c>
      <c r="L729" s="11" t="s">
        <v>229</v>
      </c>
      <c r="M729" s="11" t="s">
        <v>5276</v>
      </c>
      <c r="N729" s="11" t="s">
        <v>128</v>
      </c>
      <c r="O729" s="11" t="s">
        <v>5277</v>
      </c>
      <c r="P729" s="11" t="s">
        <v>5278</v>
      </c>
      <c r="Q729" s="11" t="s">
        <v>740</v>
      </c>
      <c r="R729" s="11"/>
      <c r="S729" s="11" t="s">
        <v>5279</v>
      </c>
      <c r="T729" s="11" t="s">
        <v>741</v>
      </c>
      <c r="U729" s="11" t="s">
        <v>134</v>
      </c>
      <c r="V729" s="11" t="s">
        <v>740</v>
      </c>
      <c r="W729" s="11" t="s">
        <v>741</v>
      </c>
      <c r="X729" s="11">
        <v>21</v>
      </c>
      <c r="Y729" s="11" t="s">
        <v>135</v>
      </c>
      <c r="Z729" s="11">
        <v>80</v>
      </c>
      <c r="AA729" s="11">
        <v>0</v>
      </c>
      <c r="AB729" s="12">
        <v>0</v>
      </c>
    </row>
    <row r="730" spans="1:28" x14ac:dyDescent="0.2">
      <c r="A730" s="7">
        <v>26253</v>
      </c>
      <c r="B730" s="8" t="s">
        <v>5280</v>
      </c>
      <c r="C730" s="8" t="s">
        <v>5281</v>
      </c>
      <c r="D730" s="8" t="s">
        <v>5282</v>
      </c>
      <c r="E730" s="8"/>
      <c r="F730" s="8" t="s">
        <v>5283</v>
      </c>
      <c r="G730" s="8" t="s">
        <v>141</v>
      </c>
      <c r="H730" s="8" t="s">
        <v>142</v>
      </c>
      <c r="I730" s="8" t="s">
        <v>5284</v>
      </c>
      <c r="J730" s="8" t="s">
        <v>5285</v>
      </c>
      <c r="K730" s="8" t="s">
        <v>145</v>
      </c>
      <c r="L730" s="8" t="s">
        <v>146</v>
      </c>
      <c r="M730" s="8" t="s">
        <v>5286</v>
      </c>
      <c r="N730" s="8" t="s">
        <v>128</v>
      </c>
      <c r="O730" s="8" t="s">
        <v>5287</v>
      </c>
      <c r="P730" s="8" t="s">
        <v>5288</v>
      </c>
      <c r="Q730" s="8" t="s">
        <v>150</v>
      </c>
      <c r="R730" s="8"/>
      <c r="S730" s="8" t="s">
        <v>71</v>
      </c>
      <c r="T730" s="8" t="s">
        <v>67</v>
      </c>
      <c r="U730" s="8" t="s">
        <v>150</v>
      </c>
      <c r="V730" s="8" t="s">
        <v>152</v>
      </c>
      <c r="W730" s="8" t="s">
        <v>67</v>
      </c>
      <c r="X730" s="8">
        <v>20</v>
      </c>
      <c r="Y730" s="8" t="s">
        <v>135</v>
      </c>
      <c r="Z730" s="8">
        <v>80</v>
      </c>
      <c r="AA730" s="8">
        <v>0</v>
      </c>
      <c r="AB730" s="9">
        <v>0</v>
      </c>
    </row>
    <row r="731" spans="1:28" x14ac:dyDescent="0.2">
      <c r="A731" s="10">
        <v>110258</v>
      </c>
      <c r="B731" s="11" t="s">
        <v>5289</v>
      </c>
      <c r="C731" s="11" t="s">
        <v>266</v>
      </c>
      <c r="D731" s="11" t="s">
        <v>267</v>
      </c>
      <c r="E731" s="11" t="s">
        <v>5290</v>
      </c>
      <c r="F731" s="11" t="s">
        <v>269</v>
      </c>
      <c r="G731" s="11" t="s">
        <v>270</v>
      </c>
      <c r="H731" s="11" t="s">
        <v>271</v>
      </c>
      <c r="I731" s="11" t="s">
        <v>272</v>
      </c>
      <c r="J731" s="11" t="s">
        <v>273</v>
      </c>
      <c r="K731" s="11" t="s">
        <v>274</v>
      </c>
      <c r="L731" s="11" t="s">
        <v>163</v>
      </c>
      <c r="M731" s="11" t="s">
        <v>5291</v>
      </c>
      <c r="N731" s="11" t="s">
        <v>128</v>
      </c>
      <c r="O731" s="11" t="s">
        <v>5292</v>
      </c>
      <c r="P731" s="11"/>
      <c r="Q731" s="11" t="s">
        <v>131</v>
      </c>
      <c r="R731" s="11"/>
      <c r="S731" s="11" t="s">
        <v>278</v>
      </c>
      <c r="T731" s="11" t="s">
        <v>983</v>
      </c>
      <c r="U731" s="11" t="s">
        <v>134</v>
      </c>
      <c r="V731" s="11" t="s">
        <v>131</v>
      </c>
      <c r="W731" s="11" t="s">
        <v>983</v>
      </c>
      <c r="X731" s="11">
        <v>20</v>
      </c>
      <c r="Y731" s="11" t="s">
        <v>135</v>
      </c>
      <c r="Z731" s="11">
        <v>20</v>
      </c>
      <c r="AA731" s="11">
        <v>1</v>
      </c>
      <c r="AB731" s="12">
        <v>0</v>
      </c>
    </row>
    <row r="732" spans="1:28" x14ac:dyDescent="0.2">
      <c r="A732" s="7">
        <v>24567</v>
      </c>
      <c r="B732" s="8" t="s">
        <v>5293</v>
      </c>
      <c r="C732" s="8" t="s">
        <v>1961</v>
      </c>
      <c r="D732" s="8" t="s">
        <v>1962</v>
      </c>
      <c r="E732" s="8"/>
      <c r="F732" s="8" t="s">
        <v>5294</v>
      </c>
      <c r="G732" s="8" t="s">
        <v>328</v>
      </c>
      <c r="H732" s="8" t="s">
        <v>329</v>
      </c>
      <c r="I732" s="8" t="s">
        <v>2315</v>
      </c>
      <c r="J732" s="8" t="s">
        <v>5295</v>
      </c>
      <c r="K732" s="8" t="s">
        <v>572</v>
      </c>
      <c r="L732" s="8" t="s">
        <v>333</v>
      </c>
      <c r="M732" s="8" t="s">
        <v>5296</v>
      </c>
      <c r="N732" s="8" t="s">
        <v>128</v>
      </c>
      <c r="O732" s="8" t="s">
        <v>5297</v>
      </c>
      <c r="P732" s="8"/>
      <c r="Q732" s="8" t="s">
        <v>131</v>
      </c>
      <c r="R732" s="8"/>
      <c r="S732" s="8" t="s">
        <v>1969</v>
      </c>
      <c r="T732" s="8" t="s">
        <v>983</v>
      </c>
      <c r="U732" s="8" t="s">
        <v>134</v>
      </c>
      <c r="V732" s="8" t="s">
        <v>131</v>
      </c>
      <c r="W732" s="8" t="s">
        <v>983</v>
      </c>
      <c r="X732" s="8">
        <v>20</v>
      </c>
      <c r="Y732" s="8" t="s">
        <v>135</v>
      </c>
      <c r="Z732" s="8">
        <v>20</v>
      </c>
      <c r="AA732" s="8">
        <v>1</v>
      </c>
      <c r="AB732" s="9">
        <v>0</v>
      </c>
    </row>
    <row r="733" spans="1:28" x14ac:dyDescent="0.2">
      <c r="A733" s="10">
        <v>22161</v>
      </c>
      <c r="B733" s="11" t="s">
        <v>5298</v>
      </c>
      <c r="C733" s="11" t="s">
        <v>1666</v>
      </c>
      <c r="D733" s="11" t="s">
        <v>1667</v>
      </c>
      <c r="E733" s="11" t="s">
        <v>5299</v>
      </c>
      <c r="F733" s="11" t="s">
        <v>1669</v>
      </c>
      <c r="G733" s="11" t="s">
        <v>1670</v>
      </c>
      <c r="H733" s="11" t="s">
        <v>142</v>
      </c>
      <c r="I733" s="11" t="s">
        <v>1671</v>
      </c>
      <c r="J733" s="11" t="s">
        <v>1672</v>
      </c>
      <c r="K733" s="11" t="s">
        <v>1673</v>
      </c>
      <c r="L733" s="11" t="s">
        <v>464</v>
      </c>
      <c r="M733" s="11" t="s">
        <v>5300</v>
      </c>
      <c r="N733" s="11" t="s">
        <v>128</v>
      </c>
      <c r="O733" s="11" t="s">
        <v>5301</v>
      </c>
      <c r="P733" s="11"/>
      <c r="Q733" s="11" t="s">
        <v>249</v>
      </c>
      <c r="R733" s="11"/>
      <c r="S733" s="11" t="s">
        <v>1677</v>
      </c>
      <c r="T733" s="11" t="s">
        <v>1523</v>
      </c>
      <c r="U733" s="11" t="s">
        <v>134</v>
      </c>
      <c r="V733" s="11" t="s">
        <v>249</v>
      </c>
      <c r="W733" s="11" t="s">
        <v>1523</v>
      </c>
      <c r="X733" s="11">
        <v>20</v>
      </c>
      <c r="Y733" s="11" t="s">
        <v>135</v>
      </c>
      <c r="Z733" s="11">
        <v>20</v>
      </c>
      <c r="AA733" s="11">
        <v>1</v>
      </c>
      <c r="AB733" s="12">
        <v>0</v>
      </c>
    </row>
    <row r="734" spans="1:28" x14ac:dyDescent="0.2">
      <c r="A734" s="7">
        <v>238174</v>
      </c>
      <c r="B734" s="8" t="s">
        <v>5302</v>
      </c>
      <c r="C734" s="8" t="s">
        <v>5303</v>
      </c>
      <c r="D734" s="8" t="s">
        <v>5304</v>
      </c>
      <c r="E734" s="8"/>
      <c r="F734" s="8" t="s">
        <v>5305</v>
      </c>
      <c r="G734" s="8" t="s">
        <v>2618</v>
      </c>
      <c r="H734" s="8" t="s">
        <v>142</v>
      </c>
      <c r="I734" s="8" t="s">
        <v>5306</v>
      </c>
      <c r="J734" s="8" t="s">
        <v>5307</v>
      </c>
      <c r="K734" s="8" t="s">
        <v>651</v>
      </c>
      <c r="L734" s="8" t="s">
        <v>146</v>
      </c>
      <c r="M734" s="8" t="s">
        <v>5308</v>
      </c>
      <c r="N734" s="8" t="s">
        <v>128</v>
      </c>
      <c r="O734" s="8" t="s">
        <v>5309</v>
      </c>
      <c r="P734" s="8" t="s">
        <v>5310</v>
      </c>
      <c r="Q734" s="8" t="s">
        <v>150</v>
      </c>
      <c r="R734" s="8"/>
      <c r="S734" s="8" t="s">
        <v>71</v>
      </c>
      <c r="T734" s="8" t="s">
        <v>67</v>
      </c>
      <c r="U734" s="8" t="s">
        <v>150</v>
      </c>
      <c r="V734" s="8" t="s">
        <v>152</v>
      </c>
      <c r="W734" s="8" t="s">
        <v>67</v>
      </c>
      <c r="X734" s="8">
        <v>19</v>
      </c>
      <c r="Y734" s="8" t="s">
        <v>135</v>
      </c>
      <c r="Z734" s="8">
        <v>80</v>
      </c>
      <c r="AA734" s="8">
        <v>0</v>
      </c>
      <c r="AB734" s="9">
        <v>0</v>
      </c>
    </row>
    <row r="735" spans="1:28" x14ac:dyDescent="0.2">
      <c r="A735" s="10">
        <v>23062</v>
      </c>
      <c r="B735" s="11" t="s">
        <v>5311</v>
      </c>
      <c r="C735" s="11" t="s">
        <v>601</v>
      </c>
      <c r="D735" s="11" t="s">
        <v>602</v>
      </c>
      <c r="E735" s="11" t="s">
        <v>5312</v>
      </c>
      <c r="F735" s="11" t="s">
        <v>604</v>
      </c>
      <c r="G735" s="11" t="s">
        <v>450</v>
      </c>
      <c r="H735" s="11" t="s">
        <v>301</v>
      </c>
      <c r="I735" s="11" t="s">
        <v>3174</v>
      </c>
      <c r="J735" s="11" t="s">
        <v>606</v>
      </c>
      <c r="K735" s="11" t="s">
        <v>304</v>
      </c>
      <c r="L735" s="11" t="s">
        <v>229</v>
      </c>
      <c r="M735" s="11" t="s">
        <v>5313</v>
      </c>
      <c r="N735" s="11" t="s">
        <v>128</v>
      </c>
      <c r="O735" s="11" t="s">
        <v>5314</v>
      </c>
      <c r="P735" s="11" t="s">
        <v>4191</v>
      </c>
      <c r="Q735" s="11" t="s">
        <v>150</v>
      </c>
      <c r="R735" s="11"/>
      <c r="S735" s="11" t="s">
        <v>823</v>
      </c>
      <c r="T735" s="11" t="s">
        <v>70</v>
      </c>
      <c r="U735" s="11" t="s">
        <v>150</v>
      </c>
      <c r="V735" s="11" t="s">
        <v>70</v>
      </c>
      <c r="W735" s="11" t="s">
        <v>70</v>
      </c>
      <c r="X735" s="11">
        <v>19</v>
      </c>
      <c r="Y735" s="11" t="s">
        <v>135</v>
      </c>
      <c r="Z735" s="11">
        <v>20</v>
      </c>
      <c r="AA735" s="11">
        <v>1</v>
      </c>
      <c r="AB735" s="12">
        <v>0</v>
      </c>
    </row>
    <row r="736" spans="1:28" x14ac:dyDescent="0.2">
      <c r="A736" s="7">
        <v>24992</v>
      </c>
      <c r="B736" s="8" t="s">
        <v>5315</v>
      </c>
      <c r="C736" s="8" t="s">
        <v>170</v>
      </c>
      <c r="D736" s="8" t="s">
        <v>171</v>
      </c>
      <c r="E736" s="8" t="s">
        <v>5316</v>
      </c>
      <c r="F736" s="8" t="s">
        <v>173</v>
      </c>
      <c r="G736" s="8" t="s">
        <v>158</v>
      </c>
      <c r="H736" s="8" t="s">
        <v>159</v>
      </c>
      <c r="I736" s="8" t="s">
        <v>174</v>
      </c>
      <c r="J736" s="8" t="s">
        <v>175</v>
      </c>
      <c r="K736" s="8" t="s">
        <v>162</v>
      </c>
      <c r="L736" s="8" t="s">
        <v>163</v>
      </c>
      <c r="M736" s="8" t="s">
        <v>5317</v>
      </c>
      <c r="N736" s="8" t="s">
        <v>128</v>
      </c>
      <c r="O736" s="8" t="s">
        <v>5318</v>
      </c>
      <c r="P736" s="8" t="s">
        <v>5319</v>
      </c>
      <c r="Q736" s="8" t="s">
        <v>150</v>
      </c>
      <c r="R736" s="8"/>
      <c r="S736" s="8" t="s">
        <v>179</v>
      </c>
      <c r="T736" s="8" t="s">
        <v>1738</v>
      </c>
      <c r="U736" s="8" t="s">
        <v>150</v>
      </c>
      <c r="V736" s="8" t="s">
        <v>1738</v>
      </c>
      <c r="W736" s="8" t="s">
        <v>1738</v>
      </c>
      <c r="X736" s="8">
        <v>19</v>
      </c>
      <c r="Y736" s="8" t="s">
        <v>135</v>
      </c>
      <c r="Z736" s="8">
        <v>20</v>
      </c>
      <c r="AA736" s="8">
        <v>1</v>
      </c>
      <c r="AB736" s="9">
        <v>0</v>
      </c>
    </row>
    <row r="737" spans="1:28" x14ac:dyDescent="0.2">
      <c r="A737" s="10">
        <v>246097</v>
      </c>
      <c r="B737" s="11" t="s">
        <v>5320</v>
      </c>
      <c r="C737" s="11" t="s">
        <v>409</v>
      </c>
      <c r="D737" s="11" t="s">
        <v>410</v>
      </c>
      <c r="E737" s="11" t="s">
        <v>5321</v>
      </c>
      <c r="F737" s="11" t="s">
        <v>353</v>
      </c>
      <c r="G737" s="11" t="s">
        <v>412</v>
      </c>
      <c r="H737" s="11" t="s">
        <v>329</v>
      </c>
      <c r="I737" s="11" t="s">
        <v>837</v>
      </c>
      <c r="J737" s="11" t="s">
        <v>414</v>
      </c>
      <c r="K737" s="11" t="s">
        <v>415</v>
      </c>
      <c r="L737" s="11" t="s">
        <v>333</v>
      </c>
      <c r="M737" s="11" t="s">
        <v>5322</v>
      </c>
      <c r="N737" s="11" t="s">
        <v>128</v>
      </c>
      <c r="O737" s="11" t="s">
        <v>5323</v>
      </c>
      <c r="P737" s="11"/>
      <c r="Q737" s="11" t="s">
        <v>150</v>
      </c>
      <c r="R737" s="11"/>
      <c r="S737" s="11" t="s">
        <v>419</v>
      </c>
      <c r="T737" s="11" t="s">
        <v>4755</v>
      </c>
      <c r="U737" s="11" t="s">
        <v>150</v>
      </c>
      <c r="V737" s="11" t="s">
        <v>4755</v>
      </c>
      <c r="W737" s="11" t="s">
        <v>4755</v>
      </c>
      <c r="X737" s="11">
        <v>19</v>
      </c>
      <c r="Y737" s="11" t="s">
        <v>135</v>
      </c>
      <c r="Z737" s="11">
        <v>20</v>
      </c>
      <c r="AA737" s="11">
        <v>1</v>
      </c>
      <c r="AB737" s="12">
        <v>0</v>
      </c>
    </row>
    <row r="738" spans="1:28" x14ac:dyDescent="0.2">
      <c r="A738" s="7">
        <v>116205</v>
      </c>
      <c r="B738" s="8" t="s">
        <v>5324</v>
      </c>
      <c r="C738" s="8" t="s">
        <v>5325</v>
      </c>
      <c r="D738" s="8" t="s">
        <v>5326</v>
      </c>
      <c r="E738" s="8"/>
      <c r="F738" s="8" t="s">
        <v>5327</v>
      </c>
      <c r="G738" s="8" t="s">
        <v>521</v>
      </c>
      <c r="H738" s="8" t="s">
        <v>522</v>
      </c>
      <c r="I738" s="8" t="s">
        <v>5328</v>
      </c>
      <c r="J738" s="8" t="s">
        <v>5329</v>
      </c>
      <c r="K738" s="8" t="s">
        <v>525</v>
      </c>
      <c r="L738" s="8" t="s">
        <v>526</v>
      </c>
      <c r="M738" s="8" t="s">
        <v>5330</v>
      </c>
      <c r="N738" s="8" t="s">
        <v>128</v>
      </c>
      <c r="O738" s="8" t="s">
        <v>5331</v>
      </c>
      <c r="P738" s="8" t="s">
        <v>5332</v>
      </c>
      <c r="Q738" s="8" t="s">
        <v>150</v>
      </c>
      <c r="R738" s="8"/>
      <c r="S738" s="8" t="s">
        <v>71</v>
      </c>
      <c r="T738" s="8" t="s">
        <v>67</v>
      </c>
      <c r="U738" s="8" t="s">
        <v>150</v>
      </c>
      <c r="V738" s="8" t="s">
        <v>152</v>
      </c>
      <c r="W738" s="8" t="s">
        <v>67</v>
      </c>
      <c r="X738" s="8">
        <v>18</v>
      </c>
      <c r="Y738" s="8" t="s">
        <v>135</v>
      </c>
      <c r="Z738" s="8">
        <v>80</v>
      </c>
      <c r="AA738" s="8">
        <v>0</v>
      </c>
      <c r="AB738" s="9">
        <v>0</v>
      </c>
    </row>
    <row r="739" spans="1:28" x14ac:dyDescent="0.2">
      <c r="A739" s="10">
        <v>93303</v>
      </c>
      <c r="B739" s="11" t="s">
        <v>5333</v>
      </c>
      <c r="C739" s="11" t="s">
        <v>5334</v>
      </c>
      <c r="D739" s="11" t="s">
        <v>2871</v>
      </c>
      <c r="E739" s="11" t="s">
        <v>5335</v>
      </c>
      <c r="F739" s="11" t="s">
        <v>5336</v>
      </c>
      <c r="G739" s="11" t="s">
        <v>5337</v>
      </c>
      <c r="H739" s="11" t="s">
        <v>2176</v>
      </c>
      <c r="I739" s="11" t="s">
        <v>5338</v>
      </c>
      <c r="J739" s="11" t="s">
        <v>5339</v>
      </c>
      <c r="K739" s="11" t="s">
        <v>194</v>
      </c>
      <c r="L739" s="11" t="s">
        <v>163</v>
      </c>
      <c r="M739" s="11" t="s">
        <v>5340</v>
      </c>
      <c r="N739" s="11" t="s">
        <v>128</v>
      </c>
      <c r="O739" s="11" t="s">
        <v>5341</v>
      </c>
      <c r="P739" s="11" t="s">
        <v>5342</v>
      </c>
      <c r="Q739" s="11" t="s">
        <v>131</v>
      </c>
      <c r="R739" s="11"/>
      <c r="S739" s="11" t="s">
        <v>5343</v>
      </c>
      <c r="T739" s="11" t="s">
        <v>133</v>
      </c>
      <c r="U739" s="11" t="s">
        <v>134</v>
      </c>
      <c r="V739" s="11" t="s">
        <v>131</v>
      </c>
      <c r="W739" s="11" t="s">
        <v>133</v>
      </c>
      <c r="X739" s="11">
        <v>18</v>
      </c>
      <c r="Y739" s="11" t="s">
        <v>135</v>
      </c>
      <c r="Z739" s="11">
        <v>20</v>
      </c>
      <c r="AA739" s="11">
        <v>1</v>
      </c>
      <c r="AB739" s="12">
        <v>0</v>
      </c>
    </row>
    <row r="740" spans="1:28" x14ac:dyDescent="0.2">
      <c r="A740" s="7">
        <v>24819</v>
      </c>
      <c r="B740" s="8" t="s">
        <v>5344</v>
      </c>
      <c r="C740" s="8" t="s">
        <v>1282</v>
      </c>
      <c r="D740" s="8" t="s">
        <v>1283</v>
      </c>
      <c r="E740" s="8"/>
      <c r="F740" s="8" t="s">
        <v>1285</v>
      </c>
      <c r="G740" s="8" t="s">
        <v>1286</v>
      </c>
      <c r="H740" s="8" t="s">
        <v>142</v>
      </c>
      <c r="I740" s="8" t="s">
        <v>1287</v>
      </c>
      <c r="J740" s="8" t="s">
        <v>1379</v>
      </c>
      <c r="K740" s="8" t="s">
        <v>717</v>
      </c>
      <c r="L740" s="8" t="s">
        <v>464</v>
      </c>
      <c r="M740" s="8" t="s">
        <v>5345</v>
      </c>
      <c r="N740" s="8" t="s">
        <v>128</v>
      </c>
      <c r="O740" s="8" t="s">
        <v>5346</v>
      </c>
      <c r="P740" s="8" t="s">
        <v>5347</v>
      </c>
      <c r="Q740" s="8" t="s">
        <v>150</v>
      </c>
      <c r="R740" s="8"/>
      <c r="S740" s="8" t="s">
        <v>1292</v>
      </c>
      <c r="T740" s="8" t="s">
        <v>1738</v>
      </c>
      <c r="U740" s="8" t="s">
        <v>150</v>
      </c>
      <c r="V740" s="8" t="s">
        <v>1738</v>
      </c>
      <c r="W740" s="8" t="s">
        <v>1738</v>
      </c>
      <c r="X740" s="8">
        <v>18</v>
      </c>
      <c r="Y740" s="8" t="s">
        <v>135</v>
      </c>
      <c r="Z740" s="8">
        <v>20</v>
      </c>
      <c r="AA740" s="8">
        <v>1</v>
      </c>
      <c r="AB740" s="9">
        <v>0</v>
      </c>
    </row>
    <row r="741" spans="1:28" x14ac:dyDescent="0.2">
      <c r="A741" s="10">
        <v>31177</v>
      </c>
      <c r="B741" s="11" t="s">
        <v>5348</v>
      </c>
      <c r="C741" s="11" t="s">
        <v>5334</v>
      </c>
      <c r="D741" s="11" t="s">
        <v>2871</v>
      </c>
      <c r="E741" s="11"/>
      <c r="F741" s="11" t="s">
        <v>5349</v>
      </c>
      <c r="G741" s="11" t="s">
        <v>2175</v>
      </c>
      <c r="H741" s="11" t="s">
        <v>2176</v>
      </c>
      <c r="I741" s="11" t="s">
        <v>5350</v>
      </c>
      <c r="J741" s="11" t="s">
        <v>5351</v>
      </c>
      <c r="K741" s="11" t="s">
        <v>194</v>
      </c>
      <c r="L741" s="11" t="s">
        <v>163</v>
      </c>
      <c r="M741" s="11" t="s">
        <v>5352</v>
      </c>
      <c r="N741" s="11" t="s">
        <v>128</v>
      </c>
      <c r="O741" s="11" t="s">
        <v>5353</v>
      </c>
      <c r="P741" s="11" t="s">
        <v>5354</v>
      </c>
      <c r="Q741" s="11" t="s">
        <v>740</v>
      </c>
      <c r="R741" s="11"/>
      <c r="S741" s="11" t="s">
        <v>5343</v>
      </c>
      <c r="T741" s="11" t="s">
        <v>741</v>
      </c>
      <c r="U741" s="11" t="s">
        <v>134</v>
      </c>
      <c r="V741" s="11" t="s">
        <v>740</v>
      </c>
      <c r="W741" s="11" t="s">
        <v>741</v>
      </c>
      <c r="X741" s="11">
        <v>18</v>
      </c>
      <c r="Y741" s="11" t="s">
        <v>135</v>
      </c>
      <c r="Z741" s="11">
        <v>20</v>
      </c>
      <c r="AA741" s="11">
        <v>1</v>
      </c>
      <c r="AB741" s="12">
        <v>0</v>
      </c>
    </row>
    <row r="742" spans="1:28" x14ac:dyDescent="0.2">
      <c r="A742" s="7">
        <v>22162</v>
      </c>
      <c r="B742" s="8" t="s">
        <v>5355</v>
      </c>
      <c r="C742" s="8" t="s">
        <v>743</v>
      </c>
      <c r="D742" s="8" t="s">
        <v>744</v>
      </c>
      <c r="E742" s="8" t="s">
        <v>5356</v>
      </c>
      <c r="F742" s="8" t="s">
        <v>746</v>
      </c>
      <c r="G742" s="8" t="s">
        <v>328</v>
      </c>
      <c r="H742" s="8" t="s">
        <v>329</v>
      </c>
      <c r="I742" s="8" t="s">
        <v>747</v>
      </c>
      <c r="J742" s="8" t="s">
        <v>748</v>
      </c>
      <c r="K742" s="8" t="s">
        <v>415</v>
      </c>
      <c r="L742" s="8" t="s">
        <v>333</v>
      </c>
      <c r="M742" s="8" t="s">
        <v>5357</v>
      </c>
      <c r="N742" s="8" t="s">
        <v>128</v>
      </c>
      <c r="O742" s="8" t="s">
        <v>5358</v>
      </c>
      <c r="P742" s="8"/>
      <c r="Q742" s="8" t="s">
        <v>249</v>
      </c>
      <c r="R742" s="8"/>
      <c r="S742" s="8" t="s">
        <v>752</v>
      </c>
      <c r="T742" s="8" t="s">
        <v>1523</v>
      </c>
      <c r="U742" s="8" t="s">
        <v>134</v>
      </c>
      <c r="V742" s="8" t="s">
        <v>249</v>
      </c>
      <c r="W742" s="8" t="s">
        <v>1523</v>
      </c>
      <c r="X742" s="8">
        <v>18</v>
      </c>
      <c r="Y742" s="8" t="s">
        <v>135</v>
      </c>
      <c r="Z742" s="8">
        <v>20</v>
      </c>
      <c r="AA742" s="8">
        <v>1</v>
      </c>
      <c r="AB742" s="9">
        <v>0</v>
      </c>
    </row>
    <row r="743" spans="1:28" x14ac:dyDescent="0.2">
      <c r="A743" s="10">
        <v>25401</v>
      </c>
      <c r="B743" s="11" t="s">
        <v>5359</v>
      </c>
      <c r="C743" s="11" t="s">
        <v>5360</v>
      </c>
      <c r="D743" s="11" t="s">
        <v>138</v>
      </c>
      <c r="E743" s="11" t="s">
        <v>5361</v>
      </c>
      <c r="F743" s="11" t="s">
        <v>5336</v>
      </c>
      <c r="G743" s="11" t="s">
        <v>2175</v>
      </c>
      <c r="H743" s="11" t="s">
        <v>2176</v>
      </c>
      <c r="I743" s="11" t="s">
        <v>5350</v>
      </c>
      <c r="J743" s="11" t="s">
        <v>5339</v>
      </c>
      <c r="K743" s="11" t="s">
        <v>194</v>
      </c>
      <c r="L743" s="11" t="s">
        <v>163</v>
      </c>
      <c r="M743" s="11" t="s">
        <v>5362</v>
      </c>
      <c r="N743" s="11" t="s">
        <v>128</v>
      </c>
      <c r="O743" s="11" t="s">
        <v>5363</v>
      </c>
      <c r="P743" s="11" t="s">
        <v>5364</v>
      </c>
      <c r="Q743" s="11" t="s">
        <v>249</v>
      </c>
      <c r="R743" s="11"/>
      <c r="S743" s="11" t="s">
        <v>5343</v>
      </c>
      <c r="T743" s="11" t="s">
        <v>250</v>
      </c>
      <c r="U743" s="11" t="s">
        <v>134</v>
      </c>
      <c r="V743" s="11" t="s">
        <v>249</v>
      </c>
      <c r="W743" s="11" t="s">
        <v>250</v>
      </c>
      <c r="X743" s="11">
        <v>18</v>
      </c>
      <c r="Y743" s="11" t="s">
        <v>135</v>
      </c>
      <c r="Z743" s="11">
        <v>20</v>
      </c>
      <c r="AA743" s="11">
        <v>1</v>
      </c>
      <c r="AB743" s="12">
        <v>0</v>
      </c>
    </row>
    <row r="744" spans="1:28" x14ac:dyDescent="0.2">
      <c r="A744" s="7">
        <v>21177</v>
      </c>
      <c r="B744" s="8" t="s">
        <v>5365</v>
      </c>
      <c r="C744" s="8" t="s">
        <v>5366</v>
      </c>
      <c r="D744" s="8" t="s">
        <v>5367</v>
      </c>
      <c r="E744" s="8"/>
      <c r="F744" s="8" t="s">
        <v>5368</v>
      </c>
      <c r="G744" s="8" t="s">
        <v>5369</v>
      </c>
      <c r="H744" s="8" t="s">
        <v>847</v>
      </c>
      <c r="I744" s="8" t="s">
        <v>5370</v>
      </c>
      <c r="J744" s="8" t="s">
        <v>5371</v>
      </c>
      <c r="K744" s="8" t="s">
        <v>850</v>
      </c>
      <c r="L744" s="8" t="s">
        <v>126</v>
      </c>
      <c r="M744" s="8" t="s">
        <v>5372</v>
      </c>
      <c r="N744" s="8" t="s">
        <v>128</v>
      </c>
      <c r="O744" s="8" t="s">
        <v>5373</v>
      </c>
      <c r="P744" s="8" t="s">
        <v>5374</v>
      </c>
      <c r="Q744" s="8" t="s">
        <v>150</v>
      </c>
      <c r="R744" s="8"/>
      <c r="S744" s="8" t="s">
        <v>71</v>
      </c>
      <c r="T744" s="8" t="s">
        <v>289</v>
      </c>
      <c r="U744" s="8" t="s">
        <v>150</v>
      </c>
      <c r="V744" s="8" t="s">
        <v>289</v>
      </c>
      <c r="W744" s="8" t="s">
        <v>289</v>
      </c>
      <c r="X744" s="8">
        <v>17</v>
      </c>
      <c r="Y744" s="8" t="s">
        <v>135</v>
      </c>
      <c r="Z744" s="8">
        <v>80</v>
      </c>
      <c r="AA744" s="8">
        <v>0</v>
      </c>
      <c r="AB744" s="9">
        <v>0</v>
      </c>
    </row>
    <row r="745" spans="1:28" x14ac:dyDescent="0.2">
      <c r="A745" s="10">
        <v>118164</v>
      </c>
      <c r="B745" s="11" t="s">
        <v>5375</v>
      </c>
      <c r="C745" s="11" t="s">
        <v>2608</v>
      </c>
      <c r="D745" s="11" t="s">
        <v>358</v>
      </c>
      <c r="E745" s="11"/>
      <c r="F745" s="11" t="s">
        <v>353</v>
      </c>
      <c r="G745" s="11" t="s">
        <v>521</v>
      </c>
      <c r="H745" s="11" t="s">
        <v>522</v>
      </c>
      <c r="I745" s="11" t="s">
        <v>2609</v>
      </c>
      <c r="J745" s="11" t="s">
        <v>5376</v>
      </c>
      <c r="K745" s="11" t="s">
        <v>525</v>
      </c>
      <c r="L745" s="11" t="s">
        <v>526</v>
      </c>
      <c r="M745" s="11" t="s">
        <v>5377</v>
      </c>
      <c r="N745" s="11" t="s">
        <v>128</v>
      </c>
      <c r="O745" s="11" t="s">
        <v>5378</v>
      </c>
      <c r="P745" s="11" t="s">
        <v>5379</v>
      </c>
      <c r="Q745" s="11" t="s">
        <v>150</v>
      </c>
      <c r="R745" s="11"/>
      <c r="S745" s="11" t="s">
        <v>71</v>
      </c>
      <c r="T745" s="11" t="s">
        <v>67</v>
      </c>
      <c r="U745" s="11" t="s">
        <v>150</v>
      </c>
      <c r="V745" s="11" t="s">
        <v>152</v>
      </c>
      <c r="W745" s="11" t="s">
        <v>67</v>
      </c>
      <c r="X745" s="11">
        <v>17</v>
      </c>
      <c r="Y745" s="11" t="s">
        <v>135</v>
      </c>
      <c r="Z745" s="11">
        <v>80</v>
      </c>
      <c r="AA745" s="11">
        <v>0</v>
      </c>
      <c r="AB745" s="12">
        <v>0</v>
      </c>
    </row>
    <row r="746" spans="1:28" x14ac:dyDescent="0.2">
      <c r="A746" s="7">
        <v>226714</v>
      </c>
      <c r="B746" s="8" t="s">
        <v>5380</v>
      </c>
      <c r="C746" s="8" t="s">
        <v>266</v>
      </c>
      <c r="D746" s="8" t="s">
        <v>267</v>
      </c>
      <c r="E746" s="8"/>
      <c r="F746" s="8" t="s">
        <v>269</v>
      </c>
      <c r="G746" s="8" t="s">
        <v>270</v>
      </c>
      <c r="H746" s="8" t="s">
        <v>271</v>
      </c>
      <c r="I746" s="8" t="s">
        <v>272</v>
      </c>
      <c r="J746" s="8" t="s">
        <v>273</v>
      </c>
      <c r="K746" s="8" t="s">
        <v>274</v>
      </c>
      <c r="L746" s="8" t="s">
        <v>163</v>
      </c>
      <c r="M746" s="8" t="s">
        <v>5381</v>
      </c>
      <c r="N746" s="8" t="s">
        <v>128</v>
      </c>
      <c r="O746" s="8" t="s">
        <v>5382</v>
      </c>
      <c r="P746" s="8"/>
      <c r="Q746" s="8" t="s">
        <v>131</v>
      </c>
      <c r="R746" s="8"/>
      <c r="S746" s="8" t="s">
        <v>278</v>
      </c>
      <c r="T746" s="8" t="s">
        <v>983</v>
      </c>
      <c r="U746" s="8" t="s">
        <v>134</v>
      </c>
      <c r="V746" s="8" t="s">
        <v>131</v>
      </c>
      <c r="W746" s="8" t="s">
        <v>983</v>
      </c>
      <c r="X746" s="8">
        <v>17</v>
      </c>
      <c r="Y746" s="8" t="s">
        <v>135</v>
      </c>
      <c r="Z746" s="8">
        <v>20</v>
      </c>
      <c r="AA746" s="8">
        <v>1</v>
      </c>
      <c r="AB746" s="9">
        <v>0</v>
      </c>
    </row>
    <row r="747" spans="1:28" x14ac:dyDescent="0.2">
      <c r="A747" s="10">
        <v>28622</v>
      </c>
      <c r="B747" s="11" t="s">
        <v>5383</v>
      </c>
      <c r="C747" s="11" t="s">
        <v>2228</v>
      </c>
      <c r="D747" s="11" t="s">
        <v>2229</v>
      </c>
      <c r="E747" s="11"/>
      <c r="F747" s="11" t="s">
        <v>2231</v>
      </c>
      <c r="G747" s="11" t="s">
        <v>1419</v>
      </c>
      <c r="H747" s="11" t="s">
        <v>704</v>
      </c>
      <c r="I747" s="11" t="s">
        <v>2232</v>
      </c>
      <c r="J747" s="11" t="s">
        <v>5384</v>
      </c>
      <c r="K747" s="11" t="s">
        <v>707</v>
      </c>
      <c r="L747" s="11" t="s">
        <v>126</v>
      </c>
      <c r="M747" s="11" t="s">
        <v>5385</v>
      </c>
      <c r="N747" s="11" t="s">
        <v>128</v>
      </c>
      <c r="O747" s="11" t="s">
        <v>5386</v>
      </c>
      <c r="P747" s="11" t="s">
        <v>5387</v>
      </c>
      <c r="Q747" s="11" t="s">
        <v>150</v>
      </c>
      <c r="R747" s="11"/>
      <c r="S747" s="11" t="s">
        <v>2237</v>
      </c>
      <c r="T747" s="11" t="s">
        <v>70</v>
      </c>
      <c r="U747" s="11" t="s">
        <v>150</v>
      </c>
      <c r="V747" s="11" t="s">
        <v>70</v>
      </c>
      <c r="W747" s="11" t="s">
        <v>70</v>
      </c>
      <c r="X747" s="11">
        <v>17</v>
      </c>
      <c r="Y747" s="11" t="s">
        <v>135</v>
      </c>
      <c r="Z747" s="11">
        <v>80</v>
      </c>
      <c r="AA747" s="11">
        <v>1</v>
      </c>
      <c r="AB747" s="12">
        <v>1</v>
      </c>
    </row>
    <row r="748" spans="1:28" x14ac:dyDescent="0.2">
      <c r="A748" s="7">
        <v>24854</v>
      </c>
      <c r="B748" s="8" t="s">
        <v>5388</v>
      </c>
      <c r="C748" s="8" t="s">
        <v>566</v>
      </c>
      <c r="D748" s="8" t="s">
        <v>567</v>
      </c>
      <c r="E748" s="8" t="s">
        <v>5389</v>
      </c>
      <c r="F748" s="8" t="s">
        <v>569</v>
      </c>
      <c r="G748" s="8" t="s">
        <v>328</v>
      </c>
      <c r="H748" s="8" t="s">
        <v>329</v>
      </c>
      <c r="I748" s="8" t="s">
        <v>570</v>
      </c>
      <c r="J748" s="8" t="s">
        <v>571</v>
      </c>
      <c r="K748" s="8" t="s">
        <v>572</v>
      </c>
      <c r="L748" s="8" t="s">
        <v>333</v>
      </c>
      <c r="M748" s="8" t="s">
        <v>5390</v>
      </c>
      <c r="N748" s="8" t="s">
        <v>128</v>
      </c>
      <c r="O748" s="8" t="s">
        <v>5391</v>
      </c>
      <c r="P748" s="8" t="s">
        <v>5392</v>
      </c>
      <c r="Q748" s="8" t="s">
        <v>150</v>
      </c>
      <c r="R748" s="8"/>
      <c r="S748" s="8" t="s">
        <v>576</v>
      </c>
      <c r="T748" s="8" t="s">
        <v>1738</v>
      </c>
      <c r="U748" s="8" t="s">
        <v>150</v>
      </c>
      <c r="V748" s="8" t="s">
        <v>1738</v>
      </c>
      <c r="W748" s="8" t="s">
        <v>1738</v>
      </c>
      <c r="X748" s="8">
        <v>17</v>
      </c>
      <c r="Y748" s="8" t="s">
        <v>135</v>
      </c>
      <c r="Z748" s="8">
        <v>20</v>
      </c>
      <c r="AA748" s="8">
        <v>1</v>
      </c>
      <c r="AB748" s="9">
        <v>0</v>
      </c>
    </row>
    <row r="749" spans="1:28" x14ac:dyDescent="0.2">
      <c r="A749" s="10">
        <v>24897</v>
      </c>
      <c r="B749" s="11" t="s">
        <v>5393</v>
      </c>
      <c r="C749" s="11" t="s">
        <v>601</v>
      </c>
      <c r="D749" s="11" t="s">
        <v>602</v>
      </c>
      <c r="E749" s="11" t="s">
        <v>5394</v>
      </c>
      <c r="F749" s="11" t="s">
        <v>604</v>
      </c>
      <c r="G749" s="11" t="s">
        <v>450</v>
      </c>
      <c r="H749" s="11" t="s">
        <v>301</v>
      </c>
      <c r="I749" s="11" t="s">
        <v>605</v>
      </c>
      <c r="J749" s="11" t="s">
        <v>606</v>
      </c>
      <c r="K749" s="11" t="s">
        <v>304</v>
      </c>
      <c r="L749" s="11" t="s">
        <v>229</v>
      </c>
      <c r="M749" s="11" t="s">
        <v>5395</v>
      </c>
      <c r="N749" s="11" t="s">
        <v>128</v>
      </c>
      <c r="O749" s="11" t="s">
        <v>5396</v>
      </c>
      <c r="P749" s="11" t="s">
        <v>2823</v>
      </c>
      <c r="Q749" s="11" t="s">
        <v>150</v>
      </c>
      <c r="R749" s="11"/>
      <c r="S749" s="11" t="s">
        <v>823</v>
      </c>
      <c r="T749" s="11" t="s">
        <v>1738</v>
      </c>
      <c r="U749" s="11" t="s">
        <v>150</v>
      </c>
      <c r="V749" s="11" t="s">
        <v>1738</v>
      </c>
      <c r="W749" s="11" t="s">
        <v>1738</v>
      </c>
      <c r="X749" s="11">
        <v>17</v>
      </c>
      <c r="Y749" s="11" t="s">
        <v>135</v>
      </c>
      <c r="Z749" s="11">
        <v>20</v>
      </c>
      <c r="AA749" s="11">
        <v>1</v>
      </c>
      <c r="AB749" s="12">
        <v>0</v>
      </c>
    </row>
    <row r="750" spans="1:28" x14ac:dyDescent="0.2">
      <c r="A750" s="7">
        <v>24937</v>
      </c>
      <c r="B750" s="8" t="s">
        <v>5397</v>
      </c>
      <c r="C750" s="8" t="s">
        <v>1417</v>
      </c>
      <c r="D750" s="8" t="s">
        <v>138</v>
      </c>
      <c r="E750" s="8" t="s">
        <v>5398</v>
      </c>
      <c r="F750" s="8" t="s">
        <v>353</v>
      </c>
      <c r="G750" s="8" t="s">
        <v>1419</v>
      </c>
      <c r="H750" s="8" t="s">
        <v>704</v>
      </c>
      <c r="I750" s="8" t="s">
        <v>1420</v>
      </c>
      <c r="J750" s="8" t="s">
        <v>1421</v>
      </c>
      <c r="K750" s="8" t="s">
        <v>707</v>
      </c>
      <c r="L750" s="8" t="s">
        <v>126</v>
      </c>
      <c r="M750" s="8" t="s">
        <v>5399</v>
      </c>
      <c r="N750" s="8" t="s">
        <v>128</v>
      </c>
      <c r="O750" s="8" t="s">
        <v>5400</v>
      </c>
      <c r="P750" s="8" t="s">
        <v>5401</v>
      </c>
      <c r="Q750" s="8" t="s">
        <v>150</v>
      </c>
      <c r="R750" s="8"/>
      <c r="S750" s="8" t="s">
        <v>1425</v>
      </c>
      <c r="T750" s="8" t="s">
        <v>1738</v>
      </c>
      <c r="U750" s="8" t="s">
        <v>150</v>
      </c>
      <c r="V750" s="8" t="s">
        <v>1738</v>
      </c>
      <c r="W750" s="8" t="s">
        <v>1738</v>
      </c>
      <c r="X750" s="8">
        <v>17</v>
      </c>
      <c r="Y750" s="8" t="s">
        <v>135</v>
      </c>
      <c r="Z750" s="8">
        <v>20</v>
      </c>
      <c r="AA750" s="8">
        <v>1</v>
      </c>
      <c r="AB750" s="9">
        <v>0</v>
      </c>
    </row>
    <row r="751" spans="1:28" x14ac:dyDescent="0.2">
      <c r="A751" s="10">
        <v>21146</v>
      </c>
      <c r="B751" s="11" t="s">
        <v>5402</v>
      </c>
      <c r="C751" s="11" t="s">
        <v>5403</v>
      </c>
      <c r="D751" s="11" t="s">
        <v>5404</v>
      </c>
      <c r="E751" s="11"/>
      <c r="F751" s="11" t="s">
        <v>5405</v>
      </c>
      <c r="G751" s="11" t="s">
        <v>521</v>
      </c>
      <c r="H751" s="11" t="s">
        <v>522</v>
      </c>
      <c r="I751" s="11" t="s">
        <v>5406</v>
      </c>
      <c r="J751" s="11" t="s">
        <v>5407</v>
      </c>
      <c r="K751" s="11" t="s">
        <v>525</v>
      </c>
      <c r="L751" s="11" t="s">
        <v>526</v>
      </c>
      <c r="M751" s="11" t="s">
        <v>5408</v>
      </c>
      <c r="N751" s="11" t="s">
        <v>128</v>
      </c>
      <c r="O751" s="11" t="s">
        <v>5409</v>
      </c>
      <c r="P751" s="11" t="s">
        <v>5410</v>
      </c>
      <c r="Q751" s="11" t="s">
        <v>150</v>
      </c>
      <c r="R751" s="11"/>
      <c r="S751" s="11" t="s">
        <v>71</v>
      </c>
      <c r="T751" s="11" t="s">
        <v>289</v>
      </c>
      <c r="U751" s="11" t="s">
        <v>150</v>
      </c>
      <c r="V751" s="11" t="s">
        <v>289</v>
      </c>
      <c r="W751" s="11" t="s">
        <v>289</v>
      </c>
      <c r="X751" s="11">
        <v>16</v>
      </c>
      <c r="Y751" s="11" t="s">
        <v>135</v>
      </c>
      <c r="Z751" s="11">
        <v>80</v>
      </c>
      <c r="AA751" s="11">
        <v>0</v>
      </c>
      <c r="AB751" s="12">
        <v>0</v>
      </c>
    </row>
    <row r="752" spans="1:28" x14ac:dyDescent="0.2">
      <c r="A752" s="7">
        <v>110260</v>
      </c>
      <c r="B752" s="8" t="s">
        <v>5411</v>
      </c>
      <c r="C752" s="8" t="s">
        <v>266</v>
      </c>
      <c r="D752" s="8" t="s">
        <v>5412</v>
      </c>
      <c r="E752" s="8" t="s">
        <v>5413</v>
      </c>
      <c r="F752" s="8" t="s">
        <v>269</v>
      </c>
      <c r="G752" s="8" t="s">
        <v>270</v>
      </c>
      <c r="H752" s="8" t="s">
        <v>271</v>
      </c>
      <c r="I752" s="8" t="s">
        <v>272</v>
      </c>
      <c r="J752" s="8" t="s">
        <v>273</v>
      </c>
      <c r="K752" s="8" t="s">
        <v>274</v>
      </c>
      <c r="L752" s="8" t="s">
        <v>163</v>
      </c>
      <c r="M752" s="8" t="s">
        <v>5414</v>
      </c>
      <c r="N752" s="8" t="s">
        <v>128</v>
      </c>
      <c r="O752" s="8" t="s">
        <v>5415</v>
      </c>
      <c r="P752" s="8"/>
      <c r="Q752" s="8" t="s">
        <v>131</v>
      </c>
      <c r="R752" s="8"/>
      <c r="S752" s="8" t="s">
        <v>278</v>
      </c>
      <c r="T752" s="8" t="s">
        <v>983</v>
      </c>
      <c r="U752" s="8" t="s">
        <v>134</v>
      </c>
      <c r="V752" s="8" t="s">
        <v>131</v>
      </c>
      <c r="W752" s="8" t="s">
        <v>983</v>
      </c>
      <c r="X752" s="8">
        <v>16</v>
      </c>
      <c r="Y752" s="8" t="s">
        <v>135</v>
      </c>
      <c r="Z752" s="8">
        <v>20</v>
      </c>
      <c r="AA752" s="8">
        <v>1</v>
      </c>
      <c r="AB752" s="9">
        <v>0</v>
      </c>
    </row>
    <row r="753" spans="1:28" x14ac:dyDescent="0.2">
      <c r="A753" s="10">
        <v>111072</v>
      </c>
      <c r="B753" s="11" t="s">
        <v>5416</v>
      </c>
      <c r="C753" s="11" t="s">
        <v>154</v>
      </c>
      <c r="D753" s="11" t="s">
        <v>155</v>
      </c>
      <c r="E753" s="11" t="s">
        <v>5417</v>
      </c>
      <c r="F753" s="11" t="s">
        <v>157</v>
      </c>
      <c r="G753" s="11" t="s">
        <v>158</v>
      </c>
      <c r="H753" s="11" t="s">
        <v>159</v>
      </c>
      <c r="I753" s="11" t="s">
        <v>492</v>
      </c>
      <c r="J753" s="11" t="s">
        <v>181</v>
      </c>
      <c r="K753" s="11" t="s">
        <v>162</v>
      </c>
      <c r="L753" s="11" t="s">
        <v>163</v>
      </c>
      <c r="M753" s="11" t="s">
        <v>5418</v>
      </c>
      <c r="N753" s="11" t="s">
        <v>128</v>
      </c>
      <c r="O753" s="11" t="s">
        <v>5419</v>
      </c>
      <c r="P753" s="11"/>
      <c r="Q753" s="11" t="s">
        <v>131</v>
      </c>
      <c r="R753" s="11"/>
      <c r="S753" s="11" t="s">
        <v>167</v>
      </c>
      <c r="T753" s="11" t="s">
        <v>983</v>
      </c>
      <c r="U753" s="11" t="s">
        <v>134</v>
      </c>
      <c r="V753" s="11" t="s">
        <v>131</v>
      </c>
      <c r="W753" s="11" t="s">
        <v>983</v>
      </c>
      <c r="X753" s="11">
        <v>16</v>
      </c>
      <c r="Y753" s="11" t="s">
        <v>135</v>
      </c>
      <c r="Z753" s="11">
        <v>20</v>
      </c>
      <c r="AA753" s="11">
        <v>1</v>
      </c>
      <c r="AB753" s="12">
        <v>0</v>
      </c>
    </row>
    <row r="754" spans="1:28" x14ac:dyDescent="0.2">
      <c r="A754" s="7">
        <v>85363</v>
      </c>
      <c r="B754" s="8" t="s">
        <v>5420</v>
      </c>
      <c r="C754" s="8" t="s">
        <v>5421</v>
      </c>
      <c r="D754" s="8" t="s">
        <v>518</v>
      </c>
      <c r="E754" s="8" t="s">
        <v>5422</v>
      </c>
      <c r="F754" s="8" t="s">
        <v>3571</v>
      </c>
      <c r="G754" s="8" t="s">
        <v>450</v>
      </c>
      <c r="H754" s="8" t="s">
        <v>301</v>
      </c>
      <c r="I754" s="8" t="s">
        <v>3572</v>
      </c>
      <c r="J754" s="8" t="s">
        <v>5423</v>
      </c>
      <c r="K754" s="8" t="s">
        <v>304</v>
      </c>
      <c r="L754" s="8" t="s">
        <v>229</v>
      </c>
      <c r="M754" s="8" t="s">
        <v>5424</v>
      </c>
      <c r="N754" s="8" t="s">
        <v>128</v>
      </c>
      <c r="O754" s="8" t="s">
        <v>5425</v>
      </c>
      <c r="P754" s="8" t="s">
        <v>5426</v>
      </c>
      <c r="Q754" s="8" t="s">
        <v>150</v>
      </c>
      <c r="R754" s="8"/>
      <c r="S754" s="8" t="s">
        <v>3577</v>
      </c>
      <c r="T754" s="8" t="s">
        <v>70</v>
      </c>
      <c r="U754" s="8" t="s">
        <v>150</v>
      </c>
      <c r="V754" s="8" t="s">
        <v>70</v>
      </c>
      <c r="W754" s="8" t="s">
        <v>70</v>
      </c>
      <c r="X754" s="8">
        <v>16</v>
      </c>
      <c r="Y754" s="8" t="s">
        <v>135</v>
      </c>
      <c r="Z754" s="8">
        <v>20</v>
      </c>
      <c r="AA754" s="8">
        <v>1</v>
      </c>
      <c r="AB754" s="9">
        <v>0</v>
      </c>
    </row>
    <row r="755" spans="1:28" x14ac:dyDescent="0.2">
      <c r="A755" s="10">
        <v>22138</v>
      </c>
      <c r="B755" s="11" t="s">
        <v>5427</v>
      </c>
      <c r="C755" s="11" t="s">
        <v>985</v>
      </c>
      <c r="D755" s="11" t="s">
        <v>986</v>
      </c>
      <c r="E755" s="11" t="s">
        <v>5428</v>
      </c>
      <c r="F755" s="11" t="s">
        <v>988</v>
      </c>
      <c r="G755" s="11" t="s">
        <v>141</v>
      </c>
      <c r="H755" s="11" t="s">
        <v>142</v>
      </c>
      <c r="I755" s="11" t="s">
        <v>989</v>
      </c>
      <c r="J755" s="11" t="s">
        <v>990</v>
      </c>
      <c r="K755" s="11" t="s">
        <v>991</v>
      </c>
      <c r="L755" s="11" t="s">
        <v>146</v>
      </c>
      <c r="M755" s="11" t="s">
        <v>5429</v>
      </c>
      <c r="N755" s="11" t="s">
        <v>128</v>
      </c>
      <c r="O755" s="11" t="s">
        <v>5430</v>
      </c>
      <c r="P755" s="11"/>
      <c r="Q755" s="11" t="s">
        <v>249</v>
      </c>
      <c r="R755" s="11"/>
      <c r="S755" s="11" t="s">
        <v>995</v>
      </c>
      <c r="T755" s="11" t="s">
        <v>1523</v>
      </c>
      <c r="U755" s="11" t="s">
        <v>134</v>
      </c>
      <c r="V755" s="11" t="s">
        <v>249</v>
      </c>
      <c r="W755" s="11" t="s">
        <v>1523</v>
      </c>
      <c r="X755" s="11">
        <v>16</v>
      </c>
      <c r="Y755" s="11" t="s">
        <v>135</v>
      </c>
      <c r="Z755" s="11">
        <v>20</v>
      </c>
      <c r="AA755" s="11">
        <v>1</v>
      </c>
      <c r="AB755" s="12">
        <v>0</v>
      </c>
    </row>
    <row r="756" spans="1:28" x14ac:dyDescent="0.2">
      <c r="A756" s="7">
        <v>218085</v>
      </c>
      <c r="B756" s="8" t="s">
        <v>5431</v>
      </c>
      <c r="C756" s="8" t="s">
        <v>552</v>
      </c>
      <c r="D756" s="8" t="s">
        <v>553</v>
      </c>
      <c r="E756" s="8"/>
      <c r="F756" s="8" t="s">
        <v>3284</v>
      </c>
      <c r="G756" s="8" t="s">
        <v>556</v>
      </c>
      <c r="H756" s="8" t="s">
        <v>557</v>
      </c>
      <c r="I756" s="8" t="s">
        <v>4987</v>
      </c>
      <c r="J756" s="8" t="s">
        <v>940</v>
      </c>
      <c r="K756" s="8" t="s">
        <v>560</v>
      </c>
      <c r="L756" s="8" t="s">
        <v>229</v>
      </c>
      <c r="M756" s="8" t="s">
        <v>5432</v>
      </c>
      <c r="N756" s="8" t="s">
        <v>128</v>
      </c>
      <c r="O756" s="8" t="s">
        <v>5433</v>
      </c>
      <c r="P756" s="8"/>
      <c r="Q756" s="8" t="s">
        <v>150</v>
      </c>
      <c r="R756" s="8"/>
      <c r="S756" s="8" t="s">
        <v>564</v>
      </c>
      <c r="T756" s="8" t="s">
        <v>642</v>
      </c>
      <c r="U756" s="8" t="s">
        <v>150</v>
      </c>
      <c r="V756" s="8" t="s">
        <v>642</v>
      </c>
      <c r="W756" s="8" t="s">
        <v>642</v>
      </c>
      <c r="X756" s="8">
        <v>15</v>
      </c>
      <c r="Y756" s="8" t="s">
        <v>135</v>
      </c>
      <c r="Z756" s="8">
        <v>20</v>
      </c>
      <c r="AA756" s="8">
        <v>1</v>
      </c>
      <c r="AB756" s="9">
        <v>0</v>
      </c>
    </row>
    <row r="757" spans="1:28" x14ac:dyDescent="0.2">
      <c r="A757" s="10">
        <v>107212</v>
      </c>
      <c r="B757" s="11" t="s">
        <v>5434</v>
      </c>
      <c r="C757" s="11" t="s">
        <v>4964</v>
      </c>
      <c r="D757" s="11" t="s">
        <v>171</v>
      </c>
      <c r="E757" s="11" t="s">
        <v>5435</v>
      </c>
      <c r="F757" s="11" t="s">
        <v>173</v>
      </c>
      <c r="G757" s="11" t="s">
        <v>158</v>
      </c>
      <c r="H757" s="11" t="s">
        <v>159</v>
      </c>
      <c r="I757" s="11" t="s">
        <v>1542</v>
      </c>
      <c r="J757" s="11" t="s">
        <v>175</v>
      </c>
      <c r="K757" s="11" t="s">
        <v>162</v>
      </c>
      <c r="L757" s="11" t="s">
        <v>163</v>
      </c>
      <c r="M757" s="11" t="s">
        <v>5436</v>
      </c>
      <c r="N757" s="11" t="s">
        <v>128</v>
      </c>
      <c r="O757" s="11" t="s">
        <v>5437</v>
      </c>
      <c r="P757" s="11"/>
      <c r="Q757" s="11" t="s">
        <v>150</v>
      </c>
      <c r="R757" s="11"/>
      <c r="S757" s="11" t="s">
        <v>179</v>
      </c>
      <c r="T757" s="11" t="s">
        <v>5438</v>
      </c>
      <c r="U757" s="11" t="s">
        <v>150</v>
      </c>
      <c r="V757" s="11" t="s">
        <v>5438</v>
      </c>
      <c r="W757" s="11" t="s">
        <v>5438</v>
      </c>
      <c r="X757" s="11">
        <v>15</v>
      </c>
      <c r="Y757" s="11" t="s">
        <v>135</v>
      </c>
      <c r="Z757" s="11">
        <v>20</v>
      </c>
      <c r="AA757" s="11">
        <v>1</v>
      </c>
      <c r="AB757" s="12">
        <v>0</v>
      </c>
    </row>
    <row r="758" spans="1:28" x14ac:dyDescent="0.2">
      <c r="A758" s="7">
        <v>31226</v>
      </c>
      <c r="B758" s="8" t="s">
        <v>5439</v>
      </c>
      <c r="C758" s="8" t="s">
        <v>5440</v>
      </c>
      <c r="D758" s="8" t="s">
        <v>5441</v>
      </c>
      <c r="E758" s="8"/>
      <c r="F758" s="8" t="s">
        <v>353</v>
      </c>
      <c r="G758" s="8" t="s">
        <v>2332</v>
      </c>
      <c r="H758" s="8" t="s">
        <v>142</v>
      </c>
      <c r="I758" s="8"/>
      <c r="J758" s="8" t="s">
        <v>5442</v>
      </c>
      <c r="K758" s="8" t="s">
        <v>779</v>
      </c>
      <c r="L758" s="8" t="s">
        <v>464</v>
      </c>
      <c r="M758" s="8" t="s">
        <v>5443</v>
      </c>
      <c r="N758" s="8" t="s">
        <v>128</v>
      </c>
      <c r="O758" s="8" t="s">
        <v>5444</v>
      </c>
      <c r="P758" s="8"/>
      <c r="Q758" s="8" t="s">
        <v>740</v>
      </c>
      <c r="R758" s="8"/>
      <c r="S758" s="8" t="s">
        <v>71</v>
      </c>
      <c r="T758" s="8" t="s">
        <v>1745</v>
      </c>
      <c r="U758" s="8" t="s">
        <v>134</v>
      </c>
      <c r="V758" s="8" t="s">
        <v>740</v>
      </c>
      <c r="W758" s="8" t="s">
        <v>1745</v>
      </c>
      <c r="X758" s="8">
        <v>15</v>
      </c>
      <c r="Y758" s="8" t="s">
        <v>135</v>
      </c>
      <c r="Z758" s="8">
        <v>80</v>
      </c>
      <c r="AA758" s="8">
        <v>0</v>
      </c>
      <c r="AB758" s="9">
        <v>0</v>
      </c>
    </row>
    <row r="759" spans="1:28" x14ac:dyDescent="0.2">
      <c r="A759" s="10">
        <v>22156</v>
      </c>
      <c r="B759" s="11" t="s">
        <v>5445</v>
      </c>
      <c r="C759" s="11" t="s">
        <v>4099</v>
      </c>
      <c r="D759" s="11" t="s">
        <v>410</v>
      </c>
      <c r="E759" s="11"/>
      <c r="F759" s="11" t="s">
        <v>353</v>
      </c>
      <c r="G759" s="11" t="s">
        <v>412</v>
      </c>
      <c r="H759" s="11" t="s">
        <v>329</v>
      </c>
      <c r="I759" s="11" t="s">
        <v>837</v>
      </c>
      <c r="J759" s="11" t="s">
        <v>5446</v>
      </c>
      <c r="K759" s="11" t="s">
        <v>415</v>
      </c>
      <c r="L759" s="11" t="s">
        <v>333</v>
      </c>
      <c r="M759" s="11" t="s">
        <v>5447</v>
      </c>
      <c r="N759" s="11" t="s">
        <v>128</v>
      </c>
      <c r="O759" s="11" t="s">
        <v>5448</v>
      </c>
      <c r="P759" s="11"/>
      <c r="Q759" s="11" t="s">
        <v>249</v>
      </c>
      <c r="R759" s="11"/>
      <c r="S759" s="11" t="s">
        <v>419</v>
      </c>
      <c r="T759" s="11" t="s">
        <v>1523</v>
      </c>
      <c r="U759" s="11" t="s">
        <v>134</v>
      </c>
      <c r="V759" s="11" t="s">
        <v>249</v>
      </c>
      <c r="W759" s="11" t="s">
        <v>1523</v>
      </c>
      <c r="X759" s="11">
        <v>15</v>
      </c>
      <c r="Y759" s="11" t="s">
        <v>135</v>
      </c>
      <c r="Z759" s="11">
        <v>20</v>
      </c>
      <c r="AA759" s="11">
        <v>1</v>
      </c>
      <c r="AB759" s="12">
        <v>0</v>
      </c>
    </row>
    <row r="760" spans="1:28" x14ac:dyDescent="0.2">
      <c r="A760" s="7">
        <v>21105</v>
      </c>
      <c r="B760" s="8" t="s">
        <v>5449</v>
      </c>
      <c r="C760" s="8" t="s">
        <v>5450</v>
      </c>
      <c r="D760" s="8" t="s">
        <v>5451</v>
      </c>
      <c r="E760" s="8"/>
      <c r="F760" s="8" t="s">
        <v>5452</v>
      </c>
      <c r="G760" s="8" t="s">
        <v>2332</v>
      </c>
      <c r="H760" s="8" t="s">
        <v>142</v>
      </c>
      <c r="I760" s="8"/>
      <c r="J760" s="8" t="s">
        <v>5453</v>
      </c>
      <c r="K760" s="8" t="s">
        <v>779</v>
      </c>
      <c r="L760" s="8" t="s">
        <v>464</v>
      </c>
      <c r="M760" s="8" t="s">
        <v>5454</v>
      </c>
      <c r="N760" s="8" t="s">
        <v>128</v>
      </c>
      <c r="O760" s="8" t="s">
        <v>5455</v>
      </c>
      <c r="P760" s="8" t="s">
        <v>5456</v>
      </c>
      <c r="Q760" s="8" t="s">
        <v>150</v>
      </c>
      <c r="R760" s="8"/>
      <c r="S760" s="8" t="s">
        <v>71</v>
      </c>
      <c r="T760" s="8" t="s">
        <v>289</v>
      </c>
      <c r="U760" s="8" t="s">
        <v>150</v>
      </c>
      <c r="V760" s="8" t="s">
        <v>289</v>
      </c>
      <c r="W760" s="8" t="s">
        <v>289</v>
      </c>
      <c r="X760" s="8">
        <v>14</v>
      </c>
      <c r="Y760" s="8" t="s">
        <v>135</v>
      </c>
      <c r="Z760" s="8">
        <v>80</v>
      </c>
      <c r="AA760" s="8">
        <v>0</v>
      </c>
      <c r="AB760" s="9">
        <v>0</v>
      </c>
    </row>
    <row r="761" spans="1:28" x14ac:dyDescent="0.2">
      <c r="A761" s="10">
        <v>26242</v>
      </c>
      <c r="B761" s="11" t="s">
        <v>5457</v>
      </c>
      <c r="C761" s="11" t="s">
        <v>5458</v>
      </c>
      <c r="D761" s="11" t="s">
        <v>5459</v>
      </c>
      <c r="E761" s="11"/>
      <c r="F761" s="11" t="s">
        <v>5460</v>
      </c>
      <c r="G761" s="11" t="s">
        <v>141</v>
      </c>
      <c r="H761" s="11" t="s">
        <v>142</v>
      </c>
      <c r="I761" s="11" t="s">
        <v>5461</v>
      </c>
      <c r="J761" s="11" t="s">
        <v>5462</v>
      </c>
      <c r="K761" s="11" t="s">
        <v>651</v>
      </c>
      <c r="L761" s="11" t="s">
        <v>146</v>
      </c>
      <c r="M761" s="11" t="s">
        <v>5463</v>
      </c>
      <c r="N761" s="11" t="s">
        <v>128</v>
      </c>
      <c r="O761" s="11"/>
      <c r="P761" s="11" t="s">
        <v>5464</v>
      </c>
      <c r="Q761" s="11" t="s">
        <v>150</v>
      </c>
      <c r="R761" s="11"/>
      <c r="S761" s="11" t="s">
        <v>71</v>
      </c>
      <c r="T761" s="11" t="s">
        <v>67</v>
      </c>
      <c r="U761" s="11" t="s">
        <v>150</v>
      </c>
      <c r="V761" s="11" t="s">
        <v>152</v>
      </c>
      <c r="W761" s="11" t="s">
        <v>67</v>
      </c>
      <c r="X761" s="11">
        <v>14</v>
      </c>
      <c r="Y761" s="11" t="s">
        <v>135</v>
      </c>
      <c r="Z761" s="11">
        <v>80</v>
      </c>
      <c r="AA761" s="11">
        <v>0</v>
      </c>
      <c r="AB761" s="12">
        <v>0</v>
      </c>
    </row>
    <row r="762" spans="1:28" x14ac:dyDescent="0.2">
      <c r="A762" s="7">
        <v>28230</v>
      </c>
      <c r="B762" s="8" t="s">
        <v>5465</v>
      </c>
      <c r="C762" s="8" t="s">
        <v>2466</v>
      </c>
      <c r="D762" s="8" t="s">
        <v>5466</v>
      </c>
      <c r="E762" s="8"/>
      <c r="F762" s="8" t="s">
        <v>2469</v>
      </c>
      <c r="G762" s="8" t="s">
        <v>1952</v>
      </c>
      <c r="H762" s="8" t="s">
        <v>1953</v>
      </c>
      <c r="I762" s="8" t="s">
        <v>2470</v>
      </c>
      <c r="J762" s="8" t="s">
        <v>5467</v>
      </c>
      <c r="K762" s="8" t="s">
        <v>1956</v>
      </c>
      <c r="L762" s="8" t="s">
        <v>526</v>
      </c>
      <c r="M762" s="8" t="s">
        <v>5468</v>
      </c>
      <c r="N762" s="8" t="s">
        <v>128</v>
      </c>
      <c r="O762" s="8" t="s">
        <v>5469</v>
      </c>
      <c r="P762" s="8"/>
      <c r="Q762" s="8" t="s">
        <v>150</v>
      </c>
      <c r="R762" s="8"/>
      <c r="S762" s="8" t="s">
        <v>2475</v>
      </c>
      <c r="T762" s="8" t="s">
        <v>5470</v>
      </c>
      <c r="U762" s="8" t="s">
        <v>150</v>
      </c>
      <c r="V762" s="8" t="s">
        <v>5470</v>
      </c>
      <c r="W762" s="8" t="s">
        <v>5470</v>
      </c>
      <c r="X762" s="8">
        <v>14</v>
      </c>
      <c r="Y762" s="8" t="s">
        <v>135</v>
      </c>
      <c r="Z762" s="8">
        <v>20</v>
      </c>
      <c r="AA762" s="8">
        <v>1</v>
      </c>
      <c r="AB762" s="9">
        <v>0</v>
      </c>
    </row>
    <row r="763" spans="1:28" x14ac:dyDescent="0.2">
      <c r="A763" s="10">
        <v>24912</v>
      </c>
      <c r="B763" s="11" t="s">
        <v>5471</v>
      </c>
      <c r="C763" s="11" t="s">
        <v>297</v>
      </c>
      <c r="D763" s="11" t="s">
        <v>138</v>
      </c>
      <c r="E763" s="11"/>
      <c r="F763" s="11" t="s">
        <v>299</v>
      </c>
      <c r="G763" s="11" t="s">
        <v>300</v>
      </c>
      <c r="H763" s="11" t="s">
        <v>301</v>
      </c>
      <c r="I763" s="11" t="s">
        <v>302</v>
      </c>
      <c r="J763" s="11" t="s">
        <v>303</v>
      </c>
      <c r="K763" s="11" t="s">
        <v>304</v>
      </c>
      <c r="L763" s="11" t="s">
        <v>229</v>
      </c>
      <c r="M763" s="11" t="s">
        <v>5472</v>
      </c>
      <c r="N763" s="11" t="s">
        <v>128</v>
      </c>
      <c r="O763" s="11" t="s">
        <v>5473</v>
      </c>
      <c r="P763" s="11" t="s">
        <v>5474</v>
      </c>
      <c r="Q763" s="11" t="s">
        <v>150</v>
      </c>
      <c r="R763" s="11"/>
      <c r="S763" s="11" t="s">
        <v>308</v>
      </c>
      <c r="T763" s="11" t="s">
        <v>1738</v>
      </c>
      <c r="U763" s="11" t="s">
        <v>150</v>
      </c>
      <c r="V763" s="11" t="s">
        <v>1738</v>
      </c>
      <c r="W763" s="11" t="s">
        <v>1738</v>
      </c>
      <c r="X763" s="11">
        <v>14</v>
      </c>
      <c r="Y763" s="11" t="s">
        <v>135</v>
      </c>
      <c r="Z763" s="11">
        <v>20</v>
      </c>
      <c r="AA763" s="11">
        <v>1</v>
      </c>
      <c r="AB763" s="12">
        <v>0</v>
      </c>
    </row>
    <row r="764" spans="1:28" x14ac:dyDescent="0.2">
      <c r="A764" s="7">
        <v>25616</v>
      </c>
      <c r="B764" s="8" t="s">
        <v>5475</v>
      </c>
      <c r="C764" s="8" t="s">
        <v>5213</v>
      </c>
      <c r="D764" s="8" t="s">
        <v>138</v>
      </c>
      <c r="E764" s="8"/>
      <c r="F764" s="8" t="s">
        <v>5214</v>
      </c>
      <c r="G764" s="8" t="s">
        <v>224</v>
      </c>
      <c r="H764" s="8" t="s">
        <v>225</v>
      </c>
      <c r="I764" s="8" t="s">
        <v>5215</v>
      </c>
      <c r="J764" s="8" t="s">
        <v>5216</v>
      </c>
      <c r="K764" s="8" t="s">
        <v>228</v>
      </c>
      <c r="L764" s="8" t="s">
        <v>229</v>
      </c>
      <c r="M764" s="8" t="s">
        <v>5476</v>
      </c>
      <c r="N764" s="8" t="s">
        <v>128</v>
      </c>
      <c r="O764" s="8" t="s">
        <v>5477</v>
      </c>
      <c r="P764" s="8"/>
      <c r="Q764" s="8" t="s">
        <v>249</v>
      </c>
      <c r="R764" s="8"/>
      <c r="S764" s="8" t="s">
        <v>5219</v>
      </c>
      <c r="T764" s="8" t="s">
        <v>1523</v>
      </c>
      <c r="U764" s="8" t="s">
        <v>134</v>
      </c>
      <c r="V764" s="8" t="s">
        <v>249</v>
      </c>
      <c r="W764" s="8" t="s">
        <v>1523</v>
      </c>
      <c r="X764" s="8">
        <v>14</v>
      </c>
      <c r="Y764" s="8" t="s">
        <v>135</v>
      </c>
      <c r="Z764" s="8">
        <v>20</v>
      </c>
      <c r="AA764" s="8">
        <v>1</v>
      </c>
      <c r="AB764" s="9">
        <v>0</v>
      </c>
    </row>
    <row r="765" spans="1:28" x14ac:dyDescent="0.2">
      <c r="A765" s="10">
        <v>111616</v>
      </c>
      <c r="B765" s="11" t="s">
        <v>5478</v>
      </c>
      <c r="C765" s="11" t="s">
        <v>360</v>
      </c>
      <c r="D765" s="11" t="s">
        <v>361</v>
      </c>
      <c r="E765" s="11" t="s">
        <v>5479</v>
      </c>
      <c r="F765" s="11" t="s">
        <v>363</v>
      </c>
      <c r="G765" s="11" t="s">
        <v>364</v>
      </c>
      <c r="H765" s="11" t="s">
        <v>365</v>
      </c>
      <c r="I765" s="11" t="s">
        <v>5480</v>
      </c>
      <c r="J765" s="11" t="s">
        <v>5481</v>
      </c>
      <c r="K765" s="11" t="s">
        <v>162</v>
      </c>
      <c r="L765" s="11" t="s">
        <v>163</v>
      </c>
      <c r="M765" s="11" t="s">
        <v>5482</v>
      </c>
      <c r="N765" s="11" t="s">
        <v>128</v>
      </c>
      <c r="O765" s="11" t="s">
        <v>5483</v>
      </c>
      <c r="P765" s="11"/>
      <c r="Q765" s="11" t="s">
        <v>131</v>
      </c>
      <c r="R765" s="11"/>
      <c r="S765" s="11" t="s">
        <v>371</v>
      </c>
      <c r="T765" s="11" t="s">
        <v>983</v>
      </c>
      <c r="U765" s="11" t="s">
        <v>134</v>
      </c>
      <c r="V765" s="11" t="s">
        <v>131</v>
      </c>
      <c r="W765" s="11" t="s">
        <v>983</v>
      </c>
      <c r="X765" s="11">
        <v>13</v>
      </c>
      <c r="Y765" s="11" t="s">
        <v>135</v>
      </c>
      <c r="Z765" s="11">
        <v>20</v>
      </c>
      <c r="AA765" s="11">
        <v>1</v>
      </c>
      <c r="AB765" s="12">
        <v>0</v>
      </c>
    </row>
    <row r="766" spans="1:28" x14ac:dyDescent="0.2">
      <c r="A766" s="7">
        <v>24893</v>
      </c>
      <c r="B766" s="8" t="s">
        <v>5484</v>
      </c>
      <c r="C766" s="8" t="s">
        <v>1961</v>
      </c>
      <c r="D766" s="8" t="s">
        <v>1962</v>
      </c>
      <c r="E766" s="8" t="s">
        <v>5485</v>
      </c>
      <c r="F766" s="8" t="s">
        <v>1963</v>
      </c>
      <c r="G766" s="8" t="s">
        <v>328</v>
      </c>
      <c r="H766" s="8" t="s">
        <v>329</v>
      </c>
      <c r="I766" s="8" t="s">
        <v>2315</v>
      </c>
      <c r="J766" s="8" t="s">
        <v>3300</v>
      </c>
      <c r="K766" s="8" t="s">
        <v>572</v>
      </c>
      <c r="L766" s="8" t="s">
        <v>333</v>
      </c>
      <c r="M766" s="8" t="s">
        <v>5486</v>
      </c>
      <c r="N766" s="8" t="s">
        <v>128</v>
      </c>
      <c r="O766" s="8" t="s">
        <v>5487</v>
      </c>
      <c r="P766" s="8" t="s">
        <v>5488</v>
      </c>
      <c r="Q766" s="8" t="s">
        <v>150</v>
      </c>
      <c r="R766" s="8"/>
      <c r="S766" s="8" t="s">
        <v>1969</v>
      </c>
      <c r="T766" s="8" t="s">
        <v>1738</v>
      </c>
      <c r="U766" s="8" t="s">
        <v>150</v>
      </c>
      <c r="V766" s="8" t="s">
        <v>1738</v>
      </c>
      <c r="W766" s="8" t="s">
        <v>1738</v>
      </c>
      <c r="X766" s="8">
        <v>13</v>
      </c>
      <c r="Y766" s="8" t="s">
        <v>135</v>
      </c>
      <c r="Z766" s="8">
        <v>20</v>
      </c>
      <c r="AA766" s="8">
        <v>1</v>
      </c>
      <c r="AB766" s="9">
        <v>0</v>
      </c>
    </row>
    <row r="767" spans="1:28" x14ac:dyDescent="0.2">
      <c r="A767" s="10">
        <v>25330</v>
      </c>
      <c r="B767" s="11" t="s">
        <v>5489</v>
      </c>
      <c r="C767" s="11" t="s">
        <v>170</v>
      </c>
      <c r="D767" s="11" t="s">
        <v>171</v>
      </c>
      <c r="E767" s="11" t="s">
        <v>1510</v>
      </c>
      <c r="F767" s="11" t="s">
        <v>173</v>
      </c>
      <c r="G767" s="11" t="s">
        <v>158</v>
      </c>
      <c r="H767" s="11" t="s">
        <v>159</v>
      </c>
      <c r="I767" s="11" t="s">
        <v>174</v>
      </c>
      <c r="J767" s="11" t="s">
        <v>175</v>
      </c>
      <c r="K767" s="11" t="s">
        <v>162</v>
      </c>
      <c r="L767" s="11" t="s">
        <v>163</v>
      </c>
      <c r="M767" s="11" t="s">
        <v>5490</v>
      </c>
      <c r="N767" s="11" t="s">
        <v>128</v>
      </c>
      <c r="O767" s="11" t="s">
        <v>5491</v>
      </c>
      <c r="P767" s="11"/>
      <c r="Q767" s="11" t="s">
        <v>740</v>
      </c>
      <c r="R767" s="11"/>
      <c r="S767" s="11" t="s">
        <v>179</v>
      </c>
      <c r="T767" s="11" t="s">
        <v>1745</v>
      </c>
      <c r="U767" s="11" t="s">
        <v>134</v>
      </c>
      <c r="V767" s="11" t="s">
        <v>740</v>
      </c>
      <c r="W767" s="11" t="s">
        <v>1745</v>
      </c>
      <c r="X767" s="11">
        <v>13</v>
      </c>
      <c r="Y767" s="11" t="s">
        <v>135</v>
      </c>
      <c r="Z767" s="11">
        <v>20</v>
      </c>
      <c r="AA767" s="11">
        <v>1</v>
      </c>
      <c r="AB767" s="12">
        <v>0</v>
      </c>
    </row>
    <row r="768" spans="1:28" x14ac:dyDescent="0.2">
      <c r="A768" s="7">
        <v>25346</v>
      </c>
      <c r="B768" s="8" t="s">
        <v>5492</v>
      </c>
      <c r="C768" s="8" t="s">
        <v>360</v>
      </c>
      <c r="D768" s="8" t="s">
        <v>361</v>
      </c>
      <c r="E768" s="8"/>
      <c r="F768" s="8" t="s">
        <v>363</v>
      </c>
      <c r="G768" s="8" t="s">
        <v>364</v>
      </c>
      <c r="H768" s="8" t="s">
        <v>365</v>
      </c>
      <c r="I768" s="8" t="s">
        <v>366</v>
      </c>
      <c r="J768" s="8" t="s">
        <v>5493</v>
      </c>
      <c r="K768" s="8" t="s">
        <v>162</v>
      </c>
      <c r="L768" s="8" t="s">
        <v>163</v>
      </c>
      <c r="M768" s="8" t="s">
        <v>5494</v>
      </c>
      <c r="N768" s="8" t="s">
        <v>128</v>
      </c>
      <c r="O768" s="8" t="s">
        <v>5495</v>
      </c>
      <c r="P768" s="8"/>
      <c r="Q768" s="8" t="s">
        <v>740</v>
      </c>
      <c r="R768" s="8"/>
      <c r="S768" s="8" t="s">
        <v>371</v>
      </c>
      <c r="T768" s="8" t="s">
        <v>1745</v>
      </c>
      <c r="U768" s="8" t="s">
        <v>134</v>
      </c>
      <c r="V768" s="8" t="s">
        <v>740</v>
      </c>
      <c r="W768" s="8" t="s">
        <v>1745</v>
      </c>
      <c r="X768" s="8">
        <v>13</v>
      </c>
      <c r="Y768" s="8" t="s">
        <v>135</v>
      </c>
      <c r="Z768" s="8">
        <v>20</v>
      </c>
      <c r="AA768" s="8">
        <v>1</v>
      </c>
      <c r="AB768" s="9">
        <v>0</v>
      </c>
    </row>
    <row r="769" spans="1:28" x14ac:dyDescent="0.2">
      <c r="A769" s="10">
        <v>24910</v>
      </c>
      <c r="B769" s="11" t="s">
        <v>5496</v>
      </c>
      <c r="C769" s="11" t="s">
        <v>154</v>
      </c>
      <c r="D769" s="11" t="s">
        <v>155</v>
      </c>
      <c r="E769" s="11" t="s">
        <v>4536</v>
      </c>
      <c r="F769" s="11" t="s">
        <v>157</v>
      </c>
      <c r="G769" s="11" t="s">
        <v>158</v>
      </c>
      <c r="H769" s="11" t="s">
        <v>159</v>
      </c>
      <c r="I769" s="11" t="s">
        <v>160</v>
      </c>
      <c r="J769" s="11" t="s">
        <v>181</v>
      </c>
      <c r="K769" s="11" t="s">
        <v>162</v>
      </c>
      <c r="L769" s="11" t="s">
        <v>163</v>
      </c>
      <c r="M769" s="11" t="s">
        <v>5497</v>
      </c>
      <c r="N769" s="11" t="s">
        <v>128</v>
      </c>
      <c r="O769" s="11" t="s">
        <v>5498</v>
      </c>
      <c r="P769" s="11" t="s">
        <v>5499</v>
      </c>
      <c r="Q769" s="11" t="s">
        <v>150</v>
      </c>
      <c r="R769" s="11"/>
      <c r="S769" s="11" t="s">
        <v>167</v>
      </c>
      <c r="T769" s="11" t="s">
        <v>1738</v>
      </c>
      <c r="U769" s="11" t="s">
        <v>150</v>
      </c>
      <c r="V769" s="11" t="s">
        <v>1738</v>
      </c>
      <c r="W769" s="11" t="s">
        <v>1738</v>
      </c>
      <c r="X769" s="11">
        <v>12</v>
      </c>
      <c r="Y769" s="11" t="s">
        <v>135</v>
      </c>
      <c r="Z769" s="11">
        <v>20</v>
      </c>
      <c r="AA769" s="11">
        <v>1</v>
      </c>
      <c r="AB769" s="12">
        <v>0</v>
      </c>
    </row>
    <row r="770" spans="1:28" x14ac:dyDescent="0.2">
      <c r="A770" s="7">
        <v>25105</v>
      </c>
      <c r="B770" s="8" t="s">
        <v>5500</v>
      </c>
      <c r="C770" s="8" t="s">
        <v>5213</v>
      </c>
      <c r="D770" s="8" t="s">
        <v>138</v>
      </c>
      <c r="E770" s="8" t="s">
        <v>5501</v>
      </c>
      <c r="F770" s="8" t="s">
        <v>878</v>
      </c>
      <c r="G770" s="8" t="s">
        <v>224</v>
      </c>
      <c r="H770" s="8" t="s">
        <v>225</v>
      </c>
      <c r="I770" s="8" t="s">
        <v>5215</v>
      </c>
      <c r="J770" s="8" t="s">
        <v>5502</v>
      </c>
      <c r="K770" s="8" t="s">
        <v>228</v>
      </c>
      <c r="L770" s="8" t="s">
        <v>229</v>
      </c>
      <c r="M770" s="8" t="s">
        <v>5503</v>
      </c>
      <c r="N770" s="8" t="s">
        <v>128</v>
      </c>
      <c r="O770" s="8" t="s">
        <v>5504</v>
      </c>
      <c r="P770" s="8" t="s">
        <v>5505</v>
      </c>
      <c r="Q770" s="8" t="s">
        <v>740</v>
      </c>
      <c r="R770" s="8"/>
      <c r="S770" s="8" t="s">
        <v>5219</v>
      </c>
      <c r="T770" s="8" t="s">
        <v>1745</v>
      </c>
      <c r="U770" s="8" t="s">
        <v>134</v>
      </c>
      <c r="V770" s="8" t="s">
        <v>740</v>
      </c>
      <c r="W770" s="8" t="s">
        <v>1745</v>
      </c>
      <c r="X770" s="8">
        <v>12</v>
      </c>
      <c r="Y770" s="8" t="s">
        <v>135</v>
      </c>
      <c r="Z770" s="8">
        <v>20</v>
      </c>
      <c r="AA770" s="8">
        <v>1</v>
      </c>
      <c r="AB770" s="9">
        <v>0</v>
      </c>
    </row>
    <row r="771" spans="1:28" x14ac:dyDescent="0.2">
      <c r="A771" s="10">
        <v>25106</v>
      </c>
      <c r="B771" s="11" t="s">
        <v>5506</v>
      </c>
      <c r="C771" s="11" t="s">
        <v>5507</v>
      </c>
      <c r="D771" s="11" t="s">
        <v>5508</v>
      </c>
      <c r="E771" s="11" t="s">
        <v>281</v>
      </c>
      <c r="F771" s="11" t="s">
        <v>878</v>
      </c>
      <c r="G771" s="11" t="s">
        <v>224</v>
      </c>
      <c r="H771" s="11" t="s">
        <v>225</v>
      </c>
      <c r="I771" s="11" t="s">
        <v>1005</v>
      </c>
      <c r="J771" s="11" t="s">
        <v>5509</v>
      </c>
      <c r="K771" s="11" t="s">
        <v>228</v>
      </c>
      <c r="L771" s="11" t="s">
        <v>229</v>
      </c>
      <c r="M771" s="11" t="s">
        <v>5510</v>
      </c>
      <c r="N771" s="11" t="s">
        <v>128</v>
      </c>
      <c r="O771" s="11" t="s">
        <v>5511</v>
      </c>
      <c r="P771" s="11" t="s">
        <v>5512</v>
      </c>
      <c r="Q771" s="11" t="s">
        <v>740</v>
      </c>
      <c r="R771" s="11"/>
      <c r="S771" s="11" t="s">
        <v>884</v>
      </c>
      <c r="T771" s="11" t="s">
        <v>1745</v>
      </c>
      <c r="U771" s="11" t="s">
        <v>134</v>
      </c>
      <c r="V771" s="11" t="s">
        <v>740</v>
      </c>
      <c r="W771" s="11" t="s">
        <v>1745</v>
      </c>
      <c r="X771" s="11">
        <v>12</v>
      </c>
      <c r="Y771" s="11" t="s">
        <v>135</v>
      </c>
      <c r="Z771" s="11">
        <v>80</v>
      </c>
      <c r="AA771" s="11">
        <v>1</v>
      </c>
      <c r="AB771" s="12">
        <v>1</v>
      </c>
    </row>
    <row r="772" spans="1:28" x14ac:dyDescent="0.2">
      <c r="A772" s="7">
        <v>105831</v>
      </c>
      <c r="B772" s="8" t="s">
        <v>5513</v>
      </c>
      <c r="C772" s="8" t="s">
        <v>2556</v>
      </c>
      <c r="D772" s="8" t="s">
        <v>2557</v>
      </c>
      <c r="E772" s="8" t="s">
        <v>3234</v>
      </c>
      <c r="F772" s="8" t="s">
        <v>2911</v>
      </c>
      <c r="G772" s="8" t="s">
        <v>5514</v>
      </c>
      <c r="H772" s="8" t="s">
        <v>1953</v>
      </c>
      <c r="I772" s="8" t="s">
        <v>2559</v>
      </c>
      <c r="J772" s="8" t="s">
        <v>3026</v>
      </c>
      <c r="K772" s="8" t="s">
        <v>1956</v>
      </c>
      <c r="L772" s="8" t="s">
        <v>526</v>
      </c>
      <c r="M772" s="8" t="s">
        <v>5515</v>
      </c>
      <c r="N772" s="8" t="s">
        <v>128</v>
      </c>
      <c r="O772" s="8" t="s">
        <v>5516</v>
      </c>
      <c r="P772" s="8" t="s">
        <v>5517</v>
      </c>
      <c r="Q772" s="8" t="s">
        <v>740</v>
      </c>
      <c r="R772" s="8"/>
      <c r="S772" s="8" t="s">
        <v>2564</v>
      </c>
      <c r="T772" s="8" t="s">
        <v>1745</v>
      </c>
      <c r="U772" s="8" t="s">
        <v>134</v>
      </c>
      <c r="V772" s="8" t="s">
        <v>740</v>
      </c>
      <c r="W772" s="8" t="s">
        <v>1745</v>
      </c>
      <c r="X772" s="8">
        <v>12</v>
      </c>
      <c r="Y772" s="8" t="s">
        <v>135</v>
      </c>
      <c r="Z772" s="8">
        <v>20</v>
      </c>
      <c r="AA772" s="8">
        <v>1</v>
      </c>
      <c r="AB772" s="9">
        <v>0</v>
      </c>
    </row>
    <row r="773" spans="1:28" x14ac:dyDescent="0.2">
      <c r="A773" s="10">
        <v>21685</v>
      </c>
      <c r="B773" s="11" t="s">
        <v>5518</v>
      </c>
      <c r="C773" s="11" t="s">
        <v>5519</v>
      </c>
      <c r="D773" s="11" t="s">
        <v>5520</v>
      </c>
      <c r="E773" s="11" t="s">
        <v>5521</v>
      </c>
      <c r="F773" s="11" t="s">
        <v>353</v>
      </c>
      <c r="G773" s="11" t="s">
        <v>5522</v>
      </c>
      <c r="H773" s="11" t="s">
        <v>142</v>
      </c>
      <c r="I773" s="11" t="s">
        <v>5523</v>
      </c>
      <c r="J773" s="11" t="s">
        <v>5524</v>
      </c>
      <c r="K773" s="11" t="s">
        <v>651</v>
      </c>
      <c r="L773" s="11" t="s">
        <v>146</v>
      </c>
      <c r="M773" s="11" t="s">
        <v>5525</v>
      </c>
      <c r="N773" s="11" t="s">
        <v>128</v>
      </c>
      <c r="O773" s="11" t="s">
        <v>5526</v>
      </c>
      <c r="P773" s="11" t="s">
        <v>5527</v>
      </c>
      <c r="Q773" s="11" t="s">
        <v>150</v>
      </c>
      <c r="R773" s="11"/>
      <c r="S773" s="11" t="s">
        <v>71</v>
      </c>
      <c r="T773" s="11" t="s">
        <v>67</v>
      </c>
      <c r="U773" s="11" t="s">
        <v>150</v>
      </c>
      <c r="V773" s="11" t="s">
        <v>152</v>
      </c>
      <c r="W773" s="11" t="s">
        <v>67</v>
      </c>
      <c r="X773" s="11">
        <v>11</v>
      </c>
      <c r="Y773" s="11" t="s">
        <v>135</v>
      </c>
      <c r="Z773" s="11">
        <v>80</v>
      </c>
      <c r="AA773" s="11">
        <v>0</v>
      </c>
      <c r="AB773" s="12">
        <v>0</v>
      </c>
    </row>
    <row r="774" spans="1:28" x14ac:dyDescent="0.2">
      <c r="A774" s="7">
        <v>26325</v>
      </c>
      <c r="B774" s="8" t="s">
        <v>5528</v>
      </c>
      <c r="C774" s="8" t="s">
        <v>5529</v>
      </c>
      <c r="D774" s="8" t="s">
        <v>5530</v>
      </c>
      <c r="E774" s="8" t="s">
        <v>5531</v>
      </c>
      <c r="F774" s="8" t="s">
        <v>5532</v>
      </c>
      <c r="G774" s="8" t="s">
        <v>648</v>
      </c>
      <c r="H774" s="8" t="s">
        <v>142</v>
      </c>
      <c r="I774" s="8" t="s">
        <v>5533</v>
      </c>
      <c r="J774" s="8" t="s">
        <v>5534</v>
      </c>
      <c r="K774" s="8" t="s">
        <v>651</v>
      </c>
      <c r="L774" s="8" t="s">
        <v>146</v>
      </c>
      <c r="M774" s="8" t="s">
        <v>5535</v>
      </c>
      <c r="N774" s="8" t="s">
        <v>128</v>
      </c>
      <c r="O774" s="8" t="s">
        <v>5536</v>
      </c>
      <c r="P774" s="8" t="s">
        <v>5537</v>
      </c>
      <c r="Q774" s="8" t="s">
        <v>150</v>
      </c>
      <c r="R774" s="8"/>
      <c r="S774" s="8" t="s">
        <v>71</v>
      </c>
      <c r="T774" s="8" t="s">
        <v>67</v>
      </c>
      <c r="U774" s="8" t="s">
        <v>150</v>
      </c>
      <c r="V774" s="8" t="s">
        <v>152</v>
      </c>
      <c r="W774" s="8" t="s">
        <v>67</v>
      </c>
      <c r="X774" s="8">
        <v>11</v>
      </c>
      <c r="Y774" s="8" t="s">
        <v>135</v>
      </c>
      <c r="Z774" s="8">
        <v>80</v>
      </c>
      <c r="AA774" s="8">
        <v>0</v>
      </c>
      <c r="AB774" s="9">
        <v>0</v>
      </c>
    </row>
    <row r="775" spans="1:28" x14ac:dyDescent="0.2">
      <c r="A775" s="10">
        <v>21680</v>
      </c>
      <c r="B775" s="11" t="s">
        <v>5538</v>
      </c>
      <c r="C775" s="11" t="s">
        <v>5539</v>
      </c>
      <c r="D775" s="11" t="s">
        <v>5540</v>
      </c>
      <c r="E775" s="11"/>
      <c r="F775" s="11" t="s">
        <v>353</v>
      </c>
      <c r="G775" s="11" t="s">
        <v>5541</v>
      </c>
      <c r="H775" s="11" t="s">
        <v>704</v>
      </c>
      <c r="I775" s="11" t="s">
        <v>5542</v>
      </c>
      <c r="J775" s="11" t="s">
        <v>5543</v>
      </c>
      <c r="K775" s="11" t="s">
        <v>850</v>
      </c>
      <c r="L775" s="11" t="s">
        <v>126</v>
      </c>
      <c r="M775" s="11" t="s">
        <v>5544</v>
      </c>
      <c r="N775" s="11" t="s">
        <v>128</v>
      </c>
      <c r="O775" s="11" t="s">
        <v>5545</v>
      </c>
      <c r="P775" s="11" t="s">
        <v>5546</v>
      </c>
      <c r="Q775" s="11" t="s">
        <v>150</v>
      </c>
      <c r="R775" s="11"/>
      <c r="S775" s="11" t="s">
        <v>71</v>
      </c>
      <c r="T775" s="11" t="s">
        <v>67</v>
      </c>
      <c r="U775" s="11" t="s">
        <v>150</v>
      </c>
      <c r="V775" s="11" t="s">
        <v>152</v>
      </c>
      <c r="W775" s="11" t="s">
        <v>67</v>
      </c>
      <c r="X775" s="11">
        <v>11</v>
      </c>
      <c r="Y775" s="11" t="s">
        <v>135</v>
      </c>
      <c r="Z775" s="11">
        <v>80</v>
      </c>
      <c r="AA775" s="11">
        <v>0</v>
      </c>
      <c r="AB775" s="12">
        <v>0</v>
      </c>
    </row>
    <row r="776" spans="1:28" x14ac:dyDescent="0.2">
      <c r="A776" s="7">
        <v>26199</v>
      </c>
      <c r="B776" s="8" t="s">
        <v>5547</v>
      </c>
      <c r="C776" s="8" t="s">
        <v>5548</v>
      </c>
      <c r="D776" s="8" t="s">
        <v>5549</v>
      </c>
      <c r="E776" s="8"/>
      <c r="F776" s="8" t="s">
        <v>5550</v>
      </c>
      <c r="G776" s="8" t="s">
        <v>648</v>
      </c>
      <c r="H776" s="8" t="s">
        <v>142</v>
      </c>
      <c r="I776" s="8" t="s">
        <v>5551</v>
      </c>
      <c r="J776" s="8" t="s">
        <v>5552</v>
      </c>
      <c r="K776" s="8" t="s">
        <v>651</v>
      </c>
      <c r="L776" s="8" t="s">
        <v>146</v>
      </c>
      <c r="M776" s="8" t="s">
        <v>5553</v>
      </c>
      <c r="N776" s="8" t="s">
        <v>128</v>
      </c>
      <c r="O776" s="8" t="s">
        <v>5554</v>
      </c>
      <c r="P776" s="8" t="s">
        <v>5555</v>
      </c>
      <c r="Q776" s="8" t="s">
        <v>150</v>
      </c>
      <c r="R776" s="8"/>
      <c r="S776" s="8" t="s">
        <v>71</v>
      </c>
      <c r="T776" s="8" t="s">
        <v>67</v>
      </c>
      <c r="U776" s="8" t="s">
        <v>150</v>
      </c>
      <c r="V776" s="8" t="s">
        <v>152</v>
      </c>
      <c r="W776" s="8" t="s">
        <v>67</v>
      </c>
      <c r="X776" s="8">
        <v>11</v>
      </c>
      <c r="Y776" s="8" t="s">
        <v>135</v>
      </c>
      <c r="Z776" s="8">
        <v>80</v>
      </c>
      <c r="AA776" s="8">
        <v>0</v>
      </c>
      <c r="AB776" s="9">
        <v>0</v>
      </c>
    </row>
    <row r="777" spans="1:28" x14ac:dyDescent="0.2">
      <c r="A777" s="10">
        <v>20706</v>
      </c>
      <c r="B777" s="11" t="s">
        <v>5556</v>
      </c>
      <c r="C777" s="11" t="s">
        <v>611</v>
      </c>
      <c r="D777" s="11" t="s">
        <v>612</v>
      </c>
      <c r="E777" s="11" t="s">
        <v>5290</v>
      </c>
      <c r="F777" s="11" t="s">
        <v>614</v>
      </c>
      <c r="G777" s="11" t="s">
        <v>615</v>
      </c>
      <c r="H777" s="11" t="s">
        <v>616</v>
      </c>
      <c r="I777" s="11" t="s">
        <v>617</v>
      </c>
      <c r="J777" s="11" t="s">
        <v>618</v>
      </c>
      <c r="K777" s="11" t="s">
        <v>619</v>
      </c>
      <c r="L777" s="11" t="s">
        <v>163</v>
      </c>
      <c r="M777" s="11" t="s">
        <v>5557</v>
      </c>
      <c r="N777" s="11" t="s">
        <v>128</v>
      </c>
      <c r="O777" s="11" t="s">
        <v>5558</v>
      </c>
      <c r="P777" s="11"/>
      <c r="Q777" s="11" t="s">
        <v>131</v>
      </c>
      <c r="R777" s="11"/>
      <c r="S777" s="11" t="s">
        <v>623</v>
      </c>
      <c r="T777" s="11" t="s">
        <v>983</v>
      </c>
      <c r="U777" s="11" t="s">
        <v>134</v>
      </c>
      <c r="V777" s="11" t="s">
        <v>131</v>
      </c>
      <c r="W777" s="11" t="s">
        <v>983</v>
      </c>
      <c r="X777" s="11">
        <v>11</v>
      </c>
      <c r="Y777" s="11" t="s">
        <v>135</v>
      </c>
      <c r="Z777" s="11">
        <v>20</v>
      </c>
      <c r="AA777" s="11">
        <v>1</v>
      </c>
      <c r="AB777" s="12">
        <v>0</v>
      </c>
    </row>
    <row r="778" spans="1:28" x14ac:dyDescent="0.2">
      <c r="A778" s="7">
        <v>24852</v>
      </c>
      <c r="B778" s="8" t="s">
        <v>5559</v>
      </c>
      <c r="C778" s="8" t="s">
        <v>1183</v>
      </c>
      <c r="D778" s="8" t="s">
        <v>904</v>
      </c>
      <c r="E778" s="8" t="s">
        <v>5560</v>
      </c>
      <c r="F778" s="8" t="s">
        <v>1185</v>
      </c>
      <c r="G778" s="8" t="s">
        <v>121</v>
      </c>
      <c r="H778" s="8" t="s">
        <v>122</v>
      </c>
      <c r="I778" s="8" t="s">
        <v>1186</v>
      </c>
      <c r="J778" s="8" t="s">
        <v>1187</v>
      </c>
      <c r="K778" s="8" t="s">
        <v>1051</v>
      </c>
      <c r="L778" s="8" t="s">
        <v>126</v>
      </c>
      <c r="M778" s="8" t="s">
        <v>5561</v>
      </c>
      <c r="N778" s="8" t="s">
        <v>128</v>
      </c>
      <c r="O778" s="8" t="s">
        <v>5562</v>
      </c>
      <c r="P778" s="8" t="s">
        <v>5563</v>
      </c>
      <c r="Q778" s="8" t="s">
        <v>150</v>
      </c>
      <c r="R778" s="8"/>
      <c r="S778" s="8" t="s">
        <v>1191</v>
      </c>
      <c r="T778" s="8" t="s">
        <v>1738</v>
      </c>
      <c r="U778" s="8" t="s">
        <v>150</v>
      </c>
      <c r="V778" s="8" t="s">
        <v>1738</v>
      </c>
      <c r="W778" s="8" t="s">
        <v>1738</v>
      </c>
      <c r="X778" s="8">
        <v>11</v>
      </c>
      <c r="Y778" s="8" t="s">
        <v>135</v>
      </c>
      <c r="Z778" s="8">
        <v>20</v>
      </c>
      <c r="AA778" s="8">
        <v>1</v>
      </c>
      <c r="AB778" s="9">
        <v>0</v>
      </c>
    </row>
    <row r="779" spans="1:28" x14ac:dyDescent="0.2">
      <c r="A779" s="10">
        <v>24846</v>
      </c>
      <c r="B779" s="11" t="s">
        <v>5564</v>
      </c>
      <c r="C779" s="11" t="s">
        <v>552</v>
      </c>
      <c r="D779" s="11" t="s">
        <v>553</v>
      </c>
      <c r="E779" s="11"/>
      <c r="F779" s="11" t="s">
        <v>791</v>
      </c>
      <c r="G779" s="11" t="s">
        <v>556</v>
      </c>
      <c r="H779" s="11" t="s">
        <v>557</v>
      </c>
      <c r="I779" s="11" t="s">
        <v>939</v>
      </c>
      <c r="J779" s="11" t="s">
        <v>940</v>
      </c>
      <c r="K779" s="11" t="s">
        <v>560</v>
      </c>
      <c r="L779" s="11" t="s">
        <v>229</v>
      </c>
      <c r="M779" s="11" t="s">
        <v>5565</v>
      </c>
      <c r="N779" s="11" t="s">
        <v>128</v>
      </c>
      <c r="O779" s="11" t="s">
        <v>5566</v>
      </c>
      <c r="P779" s="11" t="s">
        <v>5567</v>
      </c>
      <c r="Q779" s="11" t="s">
        <v>150</v>
      </c>
      <c r="R779" s="11"/>
      <c r="S779" s="11" t="s">
        <v>564</v>
      </c>
      <c r="T779" s="11" t="s">
        <v>1738</v>
      </c>
      <c r="U779" s="11" t="s">
        <v>150</v>
      </c>
      <c r="V779" s="11" t="s">
        <v>1738</v>
      </c>
      <c r="W779" s="11" t="s">
        <v>1738</v>
      </c>
      <c r="X779" s="11">
        <v>11</v>
      </c>
      <c r="Y779" s="11" t="s">
        <v>135</v>
      </c>
      <c r="Z779" s="11">
        <v>20</v>
      </c>
      <c r="AA779" s="11">
        <v>1</v>
      </c>
      <c r="AB779" s="12">
        <v>0</v>
      </c>
    </row>
    <row r="780" spans="1:28" x14ac:dyDescent="0.2">
      <c r="A780" s="7">
        <v>26142</v>
      </c>
      <c r="B780" s="8" t="s">
        <v>5568</v>
      </c>
      <c r="C780" s="8" t="s">
        <v>842</v>
      </c>
      <c r="D780" s="8" t="s">
        <v>4482</v>
      </c>
      <c r="E780" s="8"/>
      <c r="F780" s="8" t="s">
        <v>353</v>
      </c>
      <c r="G780" s="8" t="s">
        <v>1488</v>
      </c>
      <c r="H780" s="8" t="s">
        <v>329</v>
      </c>
      <c r="I780" s="8" t="s">
        <v>5569</v>
      </c>
      <c r="J780" s="8" t="s">
        <v>5570</v>
      </c>
      <c r="K780" s="8" t="s">
        <v>415</v>
      </c>
      <c r="L780" s="8" t="s">
        <v>333</v>
      </c>
      <c r="M780" s="8" t="s">
        <v>5571</v>
      </c>
      <c r="N780" s="8" t="s">
        <v>128</v>
      </c>
      <c r="O780" s="8" t="s">
        <v>5572</v>
      </c>
      <c r="P780" s="8" t="s">
        <v>5573</v>
      </c>
      <c r="Q780" s="8" t="s">
        <v>150</v>
      </c>
      <c r="R780" s="8"/>
      <c r="S780" s="8" t="s">
        <v>4489</v>
      </c>
      <c r="T780" s="8" t="s">
        <v>642</v>
      </c>
      <c r="U780" s="8" t="s">
        <v>150</v>
      </c>
      <c r="V780" s="8" t="s">
        <v>642</v>
      </c>
      <c r="W780" s="8" t="s">
        <v>642</v>
      </c>
      <c r="X780" s="8">
        <v>10</v>
      </c>
      <c r="Y780" s="8" t="s">
        <v>135</v>
      </c>
      <c r="Z780" s="8">
        <v>20</v>
      </c>
      <c r="AA780" s="8">
        <v>1</v>
      </c>
      <c r="AB780" s="9">
        <v>0</v>
      </c>
    </row>
    <row r="781" spans="1:28" x14ac:dyDescent="0.2">
      <c r="A781" s="10">
        <v>21893</v>
      </c>
      <c r="B781" s="11" t="s">
        <v>5574</v>
      </c>
      <c r="C781" s="11" t="s">
        <v>5575</v>
      </c>
      <c r="D781" s="11" t="s">
        <v>5576</v>
      </c>
      <c r="E781" s="11"/>
      <c r="F781" s="11" t="s">
        <v>5577</v>
      </c>
      <c r="G781" s="11" t="s">
        <v>141</v>
      </c>
      <c r="H781" s="11" t="s">
        <v>142</v>
      </c>
      <c r="I781" s="11" t="s">
        <v>5578</v>
      </c>
      <c r="J781" s="11" t="s">
        <v>5579</v>
      </c>
      <c r="K781" s="11" t="s">
        <v>991</v>
      </c>
      <c r="L781" s="11" t="s">
        <v>146</v>
      </c>
      <c r="M781" s="11" t="s">
        <v>5580</v>
      </c>
      <c r="N781" s="11" t="s">
        <v>128</v>
      </c>
      <c r="O781" s="11" t="s">
        <v>5581</v>
      </c>
      <c r="P781" s="11" t="s">
        <v>3432</v>
      </c>
      <c r="Q781" s="11" t="s">
        <v>131</v>
      </c>
      <c r="R781" s="11"/>
      <c r="S781" s="11" t="s">
        <v>5582</v>
      </c>
      <c r="T781" s="11" t="s">
        <v>133</v>
      </c>
      <c r="U781" s="11" t="s">
        <v>134</v>
      </c>
      <c r="V781" s="11" t="s">
        <v>131</v>
      </c>
      <c r="W781" s="11" t="s">
        <v>133</v>
      </c>
      <c r="X781" s="11">
        <v>10</v>
      </c>
      <c r="Y781" s="11" t="s">
        <v>135</v>
      </c>
      <c r="Z781" s="11">
        <v>20</v>
      </c>
      <c r="AA781" s="11">
        <v>1</v>
      </c>
      <c r="AB781" s="12">
        <v>0</v>
      </c>
    </row>
    <row r="782" spans="1:28" x14ac:dyDescent="0.2">
      <c r="A782" s="7">
        <v>23903</v>
      </c>
      <c r="B782" s="8" t="s">
        <v>5583</v>
      </c>
      <c r="C782" s="8" t="s">
        <v>5539</v>
      </c>
      <c r="D782" s="8" t="s">
        <v>5584</v>
      </c>
      <c r="E782" s="8"/>
      <c r="F782" s="8" t="s">
        <v>353</v>
      </c>
      <c r="G782" s="8" t="s">
        <v>5541</v>
      </c>
      <c r="H782" s="8" t="s">
        <v>704</v>
      </c>
      <c r="I782" s="8" t="s">
        <v>5542</v>
      </c>
      <c r="J782" s="8" t="s">
        <v>5585</v>
      </c>
      <c r="K782" s="8" t="s">
        <v>850</v>
      </c>
      <c r="L782" s="8" t="s">
        <v>126</v>
      </c>
      <c r="M782" s="8" t="s">
        <v>5586</v>
      </c>
      <c r="N782" s="8" t="s">
        <v>128</v>
      </c>
      <c r="O782" s="8" t="s">
        <v>5587</v>
      </c>
      <c r="P782" s="8" t="s">
        <v>5588</v>
      </c>
      <c r="Q782" s="8" t="s">
        <v>150</v>
      </c>
      <c r="R782" s="8"/>
      <c r="S782" s="8" t="s">
        <v>71</v>
      </c>
      <c r="T782" s="8" t="s">
        <v>168</v>
      </c>
      <c r="U782" s="8" t="s">
        <v>150</v>
      </c>
      <c r="V782" s="8" t="s">
        <v>168</v>
      </c>
      <c r="W782" s="8" t="s">
        <v>168</v>
      </c>
      <c r="X782" s="8">
        <v>10</v>
      </c>
      <c r="Y782" s="8" t="s">
        <v>135</v>
      </c>
      <c r="Z782" s="8">
        <v>80</v>
      </c>
      <c r="AA782" s="8">
        <v>0</v>
      </c>
      <c r="AB782" s="9">
        <v>0</v>
      </c>
    </row>
    <row r="783" spans="1:28" x14ac:dyDescent="0.2">
      <c r="A783" s="10">
        <v>123937</v>
      </c>
      <c r="B783" s="11" t="s">
        <v>5589</v>
      </c>
      <c r="C783" s="11" t="s">
        <v>2556</v>
      </c>
      <c r="D783" s="11" t="s">
        <v>2557</v>
      </c>
      <c r="E783" s="11" t="s">
        <v>5590</v>
      </c>
      <c r="F783" s="11" t="s">
        <v>2911</v>
      </c>
      <c r="G783" s="11" t="s">
        <v>1952</v>
      </c>
      <c r="H783" s="11" t="s">
        <v>1953</v>
      </c>
      <c r="I783" s="11" t="s">
        <v>2559</v>
      </c>
      <c r="J783" s="11" t="s">
        <v>3026</v>
      </c>
      <c r="K783" s="11" t="s">
        <v>1956</v>
      </c>
      <c r="L783" s="11" t="s">
        <v>526</v>
      </c>
      <c r="M783" s="11" t="s">
        <v>5591</v>
      </c>
      <c r="N783" s="11" t="s">
        <v>128</v>
      </c>
      <c r="O783" s="11" t="s">
        <v>5592</v>
      </c>
      <c r="P783" s="11"/>
      <c r="Q783" s="11" t="s">
        <v>249</v>
      </c>
      <c r="R783" s="11"/>
      <c r="S783" s="11" t="s">
        <v>2564</v>
      </c>
      <c r="T783" s="11" t="s">
        <v>1523</v>
      </c>
      <c r="U783" s="11" t="s">
        <v>134</v>
      </c>
      <c r="V783" s="11" t="s">
        <v>249</v>
      </c>
      <c r="W783" s="11" t="s">
        <v>1523</v>
      </c>
      <c r="X783" s="11">
        <v>10</v>
      </c>
      <c r="Y783" s="11" t="s">
        <v>135</v>
      </c>
      <c r="Z783" s="11">
        <v>20</v>
      </c>
      <c r="AA783" s="11">
        <v>1</v>
      </c>
      <c r="AB783" s="12">
        <v>0</v>
      </c>
    </row>
    <row r="784" spans="1:28" x14ac:dyDescent="0.2">
      <c r="A784" s="7">
        <v>25392</v>
      </c>
      <c r="B784" s="8" t="s">
        <v>5593</v>
      </c>
      <c r="C784" s="8" t="s">
        <v>360</v>
      </c>
      <c r="D784" s="8" t="s">
        <v>361</v>
      </c>
      <c r="E784" s="8" t="s">
        <v>5594</v>
      </c>
      <c r="F784" s="8" t="s">
        <v>363</v>
      </c>
      <c r="G784" s="8" t="s">
        <v>364</v>
      </c>
      <c r="H784" s="8" t="s">
        <v>365</v>
      </c>
      <c r="I784" s="8" t="s">
        <v>366</v>
      </c>
      <c r="J784" s="8" t="s">
        <v>2684</v>
      </c>
      <c r="K784" s="8" t="s">
        <v>162</v>
      </c>
      <c r="L784" s="8" t="s">
        <v>163</v>
      </c>
      <c r="M784" s="8" t="s">
        <v>5595</v>
      </c>
      <c r="N784" s="8" t="s">
        <v>128</v>
      </c>
      <c r="O784" s="8" t="s">
        <v>5596</v>
      </c>
      <c r="P784" s="8" t="s">
        <v>5597</v>
      </c>
      <c r="Q784" s="8" t="s">
        <v>249</v>
      </c>
      <c r="R784" s="8"/>
      <c r="S784" s="8" t="s">
        <v>371</v>
      </c>
      <c r="T784" s="8" t="s">
        <v>250</v>
      </c>
      <c r="U784" s="8" t="s">
        <v>134</v>
      </c>
      <c r="V784" s="8" t="s">
        <v>249</v>
      </c>
      <c r="W784" s="8" t="s">
        <v>250</v>
      </c>
      <c r="X784" s="8">
        <v>10</v>
      </c>
      <c r="Y784" s="8" t="s">
        <v>135</v>
      </c>
      <c r="Z784" s="8">
        <v>20</v>
      </c>
      <c r="AA784" s="8">
        <v>1</v>
      </c>
      <c r="AB784" s="9">
        <v>0</v>
      </c>
    </row>
    <row r="785" spans="1:28" x14ac:dyDescent="0.2">
      <c r="A785" s="10">
        <v>21474</v>
      </c>
      <c r="B785" s="11" t="s">
        <v>5598</v>
      </c>
      <c r="C785" s="11" t="s">
        <v>5599</v>
      </c>
      <c r="D785" s="11" t="s">
        <v>5600</v>
      </c>
      <c r="E785" s="11"/>
      <c r="F785" s="11" t="s">
        <v>353</v>
      </c>
      <c r="G785" s="11" t="s">
        <v>5601</v>
      </c>
      <c r="H785" s="11" t="s">
        <v>142</v>
      </c>
      <c r="I785" s="11" t="s">
        <v>5602</v>
      </c>
      <c r="J785" s="11" t="s">
        <v>5603</v>
      </c>
      <c r="K785" s="11" t="s">
        <v>974</v>
      </c>
      <c r="L785" s="11" t="s">
        <v>146</v>
      </c>
      <c r="M785" s="11" t="s">
        <v>5604</v>
      </c>
      <c r="N785" s="11" t="s">
        <v>128</v>
      </c>
      <c r="O785" s="11" t="s">
        <v>5605</v>
      </c>
      <c r="P785" s="11" t="s">
        <v>5606</v>
      </c>
      <c r="Q785" s="11" t="s">
        <v>150</v>
      </c>
      <c r="R785" s="11"/>
      <c r="S785" s="11" t="s">
        <v>71</v>
      </c>
      <c r="T785" s="11" t="s">
        <v>67</v>
      </c>
      <c r="U785" s="11" t="s">
        <v>150</v>
      </c>
      <c r="V785" s="11" t="s">
        <v>152</v>
      </c>
      <c r="W785" s="11" t="s">
        <v>67</v>
      </c>
      <c r="X785" s="11">
        <v>9</v>
      </c>
      <c r="Y785" s="11" t="s">
        <v>135</v>
      </c>
      <c r="Z785" s="11">
        <v>80</v>
      </c>
      <c r="AA785" s="11">
        <v>0</v>
      </c>
      <c r="AB785" s="12">
        <v>0</v>
      </c>
    </row>
    <row r="786" spans="1:28" x14ac:dyDescent="0.2">
      <c r="A786" s="7">
        <v>235349</v>
      </c>
      <c r="B786" s="8" t="s">
        <v>5607</v>
      </c>
      <c r="C786" s="8" t="s">
        <v>657</v>
      </c>
      <c r="D786" s="8" t="s">
        <v>658</v>
      </c>
      <c r="E786" s="8"/>
      <c r="F786" s="8" t="s">
        <v>660</v>
      </c>
      <c r="G786" s="8" t="s">
        <v>556</v>
      </c>
      <c r="H786" s="8" t="s">
        <v>557</v>
      </c>
      <c r="I786" s="8" t="s">
        <v>661</v>
      </c>
      <c r="J786" s="8" t="s">
        <v>662</v>
      </c>
      <c r="K786" s="8" t="s">
        <v>560</v>
      </c>
      <c r="L786" s="8" t="s">
        <v>229</v>
      </c>
      <c r="M786" s="8" t="s">
        <v>5608</v>
      </c>
      <c r="N786" s="8" t="s">
        <v>128</v>
      </c>
      <c r="O786" s="8"/>
      <c r="P786" s="8"/>
      <c r="Q786" s="8" t="s">
        <v>131</v>
      </c>
      <c r="R786" s="8"/>
      <c r="S786" s="8" t="s">
        <v>666</v>
      </c>
      <c r="T786" s="8" t="s">
        <v>983</v>
      </c>
      <c r="U786" s="8" t="s">
        <v>134</v>
      </c>
      <c r="V786" s="8" t="s">
        <v>131</v>
      </c>
      <c r="W786" s="8" t="s">
        <v>983</v>
      </c>
      <c r="X786" s="8">
        <v>9</v>
      </c>
      <c r="Y786" s="8" t="s">
        <v>135</v>
      </c>
      <c r="Z786" s="8">
        <v>20</v>
      </c>
      <c r="AA786" s="8">
        <v>1</v>
      </c>
      <c r="AB786" s="9">
        <v>0</v>
      </c>
    </row>
    <row r="787" spans="1:28" x14ac:dyDescent="0.2">
      <c r="A787" s="10">
        <v>22825</v>
      </c>
      <c r="B787" s="11" t="s">
        <v>5609</v>
      </c>
      <c r="C787" s="11" t="s">
        <v>154</v>
      </c>
      <c r="D787" s="11" t="s">
        <v>155</v>
      </c>
      <c r="E787" s="11"/>
      <c r="F787" s="11" t="s">
        <v>157</v>
      </c>
      <c r="G787" s="11" t="s">
        <v>158</v>
      </c>
      <c r="H787" s="11" t="s">
        <v>159</v>
      </c>
      <c r="I787" s="11" t="s">
        <v>160</v>
      </c>
      <c r="J787" s="11" t="s">
        <v>181</v>
      </c>
      <c r="K787" s="11" t="s">
        <v>162</v>
      </c>
      <c r="L787" s="11" t="s">
        <v>163</v>
      </c>
      <c r="M787" s="11" t="s">
        <v>5610</v>
      </c>
      <c r="N787" s="11" t="s">
        <v>128</v>
      </c>
      <c r="O787" s="11" t="s">
        <v>5611</v>
      </c>
      <c r="P787" s="11"/>
      <c r="Q787" s="11" t="s">
        <v>150</v>
      </c>
      <c r="R787" s="11"/>
      <c r="S787" s="11" t="s">
        <v>167</v>
      </c>
      <c r="T787" s="11" t="s">
        <v>5470</v>
      </c>
      <c r="U787" s="11" t="s">
        <v>150</v>
      </c>
      <c r="V787" s="11" t="s">
        <v>5470</v>
      </c>
      <c r="W787" s="11" t="s">
        <v>5470</v>
      </c>
      <c r="X787" s="11">
        <v>9</v>
      </c>
      <c r="Y787" s="11" t="s">
        <v>135</v>
      </c>
      <c r="Z787" s="11">
        <v>20</v>
      </c>
      <c r="AA787" s="11">
        <v>1</v>
      </c>
      <c r="AB787" s="12">
        <v>0</v>
      </c>
    </row>
    <row r="788" spans="1:28" x14ac:dyDescent="0.2">
      <c r="A788" s="7">
        <v>24162</v>
      </c>
      <c r="B788" s="8" t="s">
        <v>5612</v>
      </c>
      <c r="C788" s="8" t="s">
        <v>611</v>
      </c>
      <c r="D788" s="8" t="s">
        <v>612</v>
      </c>
      <c r="E788" s="8" t="s">
        <v>5613</v>
      </c>
      <c r="F788" s="8" t="s">
        <v>614</v>
      </c>
      <c r="G788" s="8" t="s">
        <v>615</v>
      </c>
      <c r="H788" s="8" t="s">
        <v>616</v>
      </c>
      <c r="I788" s="8" t="s">
        <v>617</v>
      </c>
      <c r="J788" s="8" t="s">
        <v>618</v>
      </c>
      <c r="K788" s="8" t="s">
        <v>619</v>
      </c>
      <c r="L788" s="8" t="s">
        <v>163</v>
      </c>
      <c r="M788" s="8" t="s">
        <v>5614</v>
      </c>
      <c r="N788" s="8" t="s">
        <v>4651</v>
      </c>
      <c r="O788" s="8" t="s">
        <v>5615</v>
      </c>
      <c r="P788" s="8" t="s">
        <v>5616</v>
      </c>
      <c r="Q788" s="8" t="s">
        <v>150</v>
      </c>
      <c r="R788" s="8"/>
      <c r="S788" s="8" t="s">
        <v>623</v>
      </c>
      <c r="T788" s="8" t="s">
        <v>3270</v>
      </c>
      <c r="U788" s="8" t="s">
        <v>150</v>
      </c>
      <c r="V788" s="8" t="s">
        <v>3270</v>
      </c>
      <c r="W788" s="8" t="s">
        <v>3270</v>
      </c>
      <c r="X788" s="8">
        <v>9</v>
      </c>
      <c r="Y788" s="8" t="s">
        <v>135</v>
      </c>
      <c r="Z788" s="8">
        <v>20</v>
      </c>
      <c r="AA788" s="8">
        <v>1</v>
      </c>
      <c r="AB788" s="9">
        <v>0</v>
      </c>
    </row>
    <row r="789" spans="1:28" x14ac:dyDescent="0.2">
      <c r="A789" s="10">
        <v>24978</v>
      </c>
      <c r="B789" s="11" t="s">
        <v>5617</v>
      </c>
      <c r="C789" s="11" t="s">
        <v>2228</v>
      </c>
      <c r="D789" s="11" t="s">
        <v>2229</v>
      </c>
      <c r="E789" s="11" t="s">
        <v>5618</v>
      </c>
      <c r="F789" s="11" t="s">
        <v>2231</v>
      </c>
      <c r="G789" s="11" t="s">
        <v>1419</v>
      </c>
      <c r="H789" s="11" t="s">
        <v>704</v>
      </c>
      <c r="I789" s="11" t="s">
        <v>2232</v>
      </c>
      <c r="J789" s="11" t="s">
        <v>2233</v>
      </c>
      <c r="K789" s="11" t="s">
        <v>707</v>
      </c>
      <c r="L789" s="11" t="s">
        <v>126</v>
      </c>
      <c r="M789" s="11" t="s">
        <v>5619</v>
      </c>
      <c r="N789" s="11" t="s">
        <v>128</v>
      </c>
      <c r="O789" s="11" t="s">
        <v>5620</v>
      </c>
      <c r="P789" s="11" t="s">
        <v>5621</v>
      </c>
      <c r="Q789" s="11" t="s">
        <v>150</v>
      </c>
      <c r="R789" s="11"/>
      <c r="S789" s="11" t="s">
        <v>2237</v>
      </c>
      <c r="T789" s="11" t="s">
        <v>1738</v>
      </c>
      <c r="U789" s="11" t="s">
        <v>150</v>
      </c>
      <c r="V789" s="11" t="s">
        <v>1738</v>
      </c>
      <c r="W789" s="11" t="s">
        <v>1738</v>
      </c>
      <c r="X789" s="11">
        <v>9</v>
      </c>
      <c r="Y789" s="11" t="s">
        <v>135</v>
      </c>
      <c r="Z789" s="11">
        <v>20</v>
      </c>
      <c r="AA789" s="11">
        <v>1</v>
      </c>
      <c r="AB789" s="12">
        <v>0</v>
      </c>
    </row>
    <row r="790" spans="1:28" x14ac:dyDescent="0.2">
      <c r="A790" s="7">
        <v>115589</v>
      </c>
      <c r="B790" s="8" t="s">
        <v>5622</v>
      </c>
      <c r="C790" s="8" t="s">
        <v>5334</v>
      </c>
      <c r="D790" s="8" t="s">
        <v>2871</v>
      </c>
      <c r="E790" s="8"/>
      <c r="F790" s="8" t="s">
        <v>5336</v>
      </c>
      <c r="G790" s="8" t="s">
        <v>2175</v>
      </c>
      <c r="H790" s="8" t="s">
        <v>2176</v>
      </c>
      <c r="I790" s="8" t="s">
        <v>5350</v>
      </c>
      <c r="J790" s="8" t="s">
        <v>5339</v>
      </c>
      <c r="K790" s="8" t="s">
        <v>194</v>
      </c>
      <c r="L790" s="8" t="s">
        <v>163</v>
      </c>
      <c r="M790" s="8" t="s">
        <v>5623</v>
      </c>
      <c r="N790" s="8" t="s">
        <v>128</v>
      </c>
      <c r="O790" s="8" t="s">
        <v>5624</v>
      </c>
      <c r="P790" s="8"/>
      <c r="Q790" s="8" t="s">
        <v>249</v>
      </c>
      <c r="R790" s="8"/>
      <c r="S790" s="8" t="s">
        <v>5343</v>
      </c>
      <c r="T790" s="8" t="s">
        <v>1523</v>
      </c>
      <c r="U790" s="8" t="s">
        <v>134</v>
      </c>
      <c r="V790" s="8" t="s">
        <v>249</v>
      </c>
      <c r="W790" s="8" t="s">
        <v>1523</v>
      </c>
      <c r="X790" s="8">
        <v>9</v>
      </c>
      <c r="Y790" s="8" t="s">
        <v>135</v>
      </c>
      <c r="Z790" s="8">
        <v>20</v>
      </c>
      <c r="AA790" s="8">
        <v>1</v>
      </c>
      <c r="AB790" s="9">
        <v>0</v>
      </c>
    </row>
    <row r="791" spans="1:28" x14ac:dyDescent="0.2">
      <c r="A791" s="10">
        <v>21324</v>
      </c>
      <c r="B791" s="11" t="s">
        <v>5625</v>
      </c>
      <c r="C791" s="11" t="s">
        <v>5360</v>
      </c>
      <c r="D791" s="11" t="s">
        <v>138</v>
      </c>
      <c r="E791" s="11" t="s">
        <v>5626</v>
      </c>
      <c r="F791" s="11" t="s">
        <v>5336</v>
      </c>
      <c r="G791" s="11" t="s">
        <v>2175</v>
      </c>
      <c r="H791" s="11" t="s">
        <v>2176</v>
      </c>
      <c r="I791" s="11" t="s">
        <v>5350</v>
      </c>
      <c r="J791" s="11" t="s">
        <v>5339</v>
      </c>
      <c r="K791" s="11" t="s">
        <v>194</v>
      </c>
      <c r="L791" s="11" t="s">
        <v>163</v>
      </c>
      <c r="M791" s="11" t="s">
        <v>5627</v>
      </c>
      <c r="N791" s="11" t="s">
        <v>128</v>
      </c>
      <c r="O791" s="11" t="s">
        <v>5628</v>
      </c>
      <c r="P791" s="11" t="s">
        <v>994</v>
      </c>
      <c r="Q791" s="11" t="s">
        <v>150</v>
      </c>
      <c r="R791" s="11"/>
      <c r="S791" s="11" t="s">
        <v>5343</v>
      </c>
      <c r="T791" s="11" t="s">
        <v>67</v>
      </c>
      <c r="U791" s="11" t="s">
        <v>150</v>
      </c>
      <c r="V791" s="11" t="s">
        <v>152</v>
      </c>
      <c r="W791" s="11" t="s">
        <v>67</v>
      </c>
      <c r="X791" s="11">
        <v>8</v>
      </c>
      <c r="Y791" s="11" t="s">
        <v>135</v>
      </c>
      <c r="Z791" s="11">
        <v>20</v>
      </c>
      <c r="AA791" s="11">
        <v>1</v>
      </c>
      <c r="AB791" s="12">
        <v>0</v>
      </c>
    </row>
    <row r="792" spans="1:28" x14ac:dyDescent="0.2">
      <c r="A792" s="7">
        <v>26193</v>
      </c>
      <c r="B792" s="8" t="s">
        <v>5629</v>
      </c>
      <c r="C792" s="8" t="s">
        <v>5630</v>
      </c>
      <c r="D792" s="8" t="s">
        <v>5631</v>
      </c>
      <c r="E792" s="8"/>
      <c r="F792" s="8" t="s">
        <v>5632</v>
      </c>
      <c r="G792" s="8" t="s">
        <v>141</v>
      </c>
      <c r="H792" s="8" t="s">
        <v>142</v>
      </c>
      <c r="I792" s="8" t="s">
        <v>5633</v>
      </c>
      <c r="J792" s="8" t="s">
        <v>5634</v>
      </c>
      <c r="K792" s="8" t="s">
        <v>216</v>
      </c>
      <c r="L792" s="8" t="s">
        <v>146</v>
      </c>
      <c r="M792" s="8" t="s">
        <v>5635</v>
      </c>
      <c r="N792" s="8" t="s">
        <v>128</v>
      </c>
      <c r="O792" s="8" t="s">
        <v>5636</v>
      </c>
      <c r="P792" s="8" t="s">
        <v>5637</v>
      </c>
      <c r="Q792" s="8" t="s">
        <v>150</v>
      </c>
      <c r="R792" s="8"/>
      <c r="S792" s="8" t="s">
        <v>71</v>
      </c>
      <c r="T792" s="8" t="s">
        <v>67</v>
      </c>
      <c r="U792" s="8" t="s">
        <v>150</v>
      </c>
      <c r="V792" s="8" t="s">
        <v>152</v>
      </c>
      <c r="W792" s="8" t="s">
        <v>67</v>
      </c>
      <c r="X792" s="8">
        <v>8</v>
      </c>
      <c r="Y792" s="8" t="s">
        <v>135</v>
      </c>
      <c r="Z792" s="8">
        <v>80</v>
      </c>
      <c r="AA792" s="8">
        <v>0</v>
      </c>
      <c r="AB792" s="9">
        <v>0</v>
      </c>
    </row>
    <row r="793" spans="1:28" x14ac:dyDescent="0.2">
      <c r="A793" s="10">
        <v>22709</v>
      </c>
      <c r="B793" s="11" t="s">
        <v>5638</v>
      </c>
      <c r="C793" s="11" t="s">
        <v>154</v>
      </c>
      <c r="D793" s="11" t="s">
        <v>2690</v>
      </c>
      <c r="E793" s="11" t="s">
        <v>281</v>
      </c>
      <c r="F793" s="11" t="s">
        <v>157</v>
      </c>
      <c r="G793" s="11" t="s">
        <v>158</v>
      </c>
      <c r="H793" s="11" t="s">
        <v>159</v>
      </c>
      <c r="I793" s="11" t="s">
        <v>160</v>
      </c>
      <c r="J793" s="11" t="s">
        <v>5639</v>
      </c>
      <c r="K793" s="11" t="s">
        <v>162</v>
      </c>
      <c r="L793" s="11" t="s">
        <v>163</v>
      </c>
      <c r="M793" s="11" t="s">
        <v>5640</v>
      </c>
      <c r="N793" s="11" t="s">
        <v>128</v>
      </c>
      <c r="O793" s="11" t="s">
        <v>5641</v>
      </c>
      <c r="P793" s="11"/>
      <c r="Q793" s="11" t="s">
        <v>150</v>
      </c>
      <c r="R793" s="11"/>
      <c r="S793" s="11" t="s">
        <v>167</v>
      </c>
      <c r="T793" s="11" t="s">
        <v>5642</v>
      </c>
      <c r="U793" s="11" t="s">
        <v>150</v>
      </c>
      <c r="V793" s="11" t="s">
        <v>5642</v>
      </c>
      <c r="W793" s="11" t="s">
        <v>5642</v>
      </c>
      <c r="X793" s="11">
        <v>8</v>
      </c>
      <c r="Y793" s="11" t="s">
        <v>135</v>
      </c>
      <c r="Z793" s="11">
        <v>20</v>
      </c>
      <c r="AA793" s="11">
        <v>1</v>
      </c>
      <c r="AB793" s="12">
        <v>0</v>
      </c>
    </row>
    <row r="794" spans="1:28" x14ac:dyDescent="0.2">
      <c r="A794" s="7">
        <v>24842</v>
      </c>
      <c r="B794" s="8" t="s">
        <v>5643</v>
      </c>
      <c r="C794" s="8" t="s">
        <v>360</v>
      </c>
      <c r="D794" s="8" t="s">
        <v>361</v>
      </c>
      <c r="E794" s="8" t="s">
        <v>5644</v>
      </c>
      <c r="F794" s="8" t="s">
        <v>363</v>
      </c>
      <c r="G794" s="8" t="s">
        <v>364</v>
      </c>
      <c r="H794" s="8" t="s">
        <v>365</v>
      </c>
      <c r="I794" s="8" t="s">
        <v>366</v>
      </c>
      <c r="J794" s="8" t="s">
        <v>5645</v>
      </c>
      <c r="K794" s="8" t="s">
        <v>162</v>
      </c>
      <c r="L794" s="8" t="s">
        <v>163</v>
      </c>
      <c r="M794" s="8" t="s">
        <v>5646</v>
      </c>
      <c r="N794" s="8" t="s">
        <v>128</v>
      </c>
      <c r="O794" s="8" t="s">
        <v>5647</v>
      </c>
      <c r="P794" s="8" t="s">
        <v>5648</v>
      </c>
      <c r="Q794" s="8" t="s">
        <v>150</v>
      </c>
      <c r="R794" s="8"/>
      <c r="S794" s="8" t="s">
        <v>371</v>
      </c>
      <c r="T794" s="8" t="s">
        <v>1738</v>
      </c>
      <c r="U794" s="8" t="s">
        <v>150</v>
      </c>
      <c r="V794" s="8" t="s">
        <v>1738</v>
      </c>
      <c r="W794" s="8" t="s">
        <v>1738</v>
      </c>
      <c r="X794" s="8">
        <v>8</v>
      </c>
      <c r="Y794" s="8" t="s">
        <v>135</v>
      </c>
      <c r="Z794" s="8">
        <v>20</v>
      </c>
      <c r="AA794" s="8">
        <v>1</v>
      </c>
      <c r="AB794" s="9">
        <v>0</v>
      </c>
    </row>
    <row r="795" spans="1:28" x14ac:dyDescent="0.2">
      <c r="A795" s="10">
        <v>25606</v>
      </c>
      <c r="B795" s="11" t="s">
        <v>5649</v>
      </c>
      <c r="C795" s="11" t="s">
        <v>1961</v>
      </c>
      <c r="D795" s="11" t="s">
        <v>1962</v>
      </c>
      <c r="E795" s="11" t="s">
        <v>5650</v>
      </c>
      <c r="F795" s="11" t="s">
        <v>1963</v>
      </c>
      <c r="G795" s="11" t="s">
        <v>328</v>
      </c>
      <c r="H795" s="11" t="s">
        <v>329</v>
      </c>
      <c r="I795" s="11" t="s">
        <v>2315</v>
      </c>
      <c r="J795" s="11" t="s">
        <v>3300</v>
      </c>
      <c r="K795" s="11" t="s">
        <v>572</v>
      </c>
      <c r="L795" s="11" t="s">
        <v>333</v>
      </c>
      <c r="M795" s="11" t="s">
        <v>5651</v>
      </c>
      <c r="N795" s="11" t="s">
        <v>128</v>
      </c>
      <c r="O795" s="11" t="s">
        <v>5652</v>
      </c>
      <c r="P795" s="11"/>
      <c r="Q795" s="11" t="s">
        <v>249</v>
      </c>
      <c r="R795" s="11"/>
      <c r="S795" s="11" t="s">
        <v>1969</v>
      </c>
      <c r="T795" s="11" t="s">
        <v>1523</v>
      </c>
      <c r="U795" s="11" t="s">
        <v>134</v>
      </c>
      <c r="V795" s="11" t="s">
        <v>249</v>
      </c>
      <c r="W795" s="11" t="s">
        <v>1523</v>
      </c>
      <c r="X795" s="11">
        <v>8</v>
      </c>
      <c r="Y795" s="11" t="s">
        <v>135</v>
      </c>
      <c r="Z795" s="11">
        <v>20</v>
      </c>
      <c r="AA795" s="11">
        <v>1</v>
      </c>
      <c r="AB795" s="12">
        <v>0</v>
      </c>
    </row>
    <row r="796" spans="1:28" x14ac:dyDescent="0.2">
      <c r="A796" s="7">
        <v>30126</v>
      </c>
      <c r="B796" s="8" t="s">
        <v>5653</v>
      </c>
      <c r="C796" s="8" t="s">
        <v>266</v>
      </c>
      <c r="D796" s="8" t="s">
        <v>267</v>
      </c>
      <c r="E796" s="8" t="s">
        <v>5654</v>
      </c>
      <c r="F796" s="8" t="s">
        <v>269</v>
      </c>
      <c r="G796" s="8" t="s">
        <v>270</v>
      </c>
      <c r="H796" s="8" t="s">
        <v>271</v>
      </c>
      <c r="I796" s="8" t="s">
        <v>272</v>
      </c>
      <c r="J796" s="8" t="s">
        <v>3357</v>
      </c>
      <c r="K796" s="8" t="s">
        <v>274</v>
      </c>
      <c r="L796" s="8" t="s">
        <v>163</v>
      </c>
      <c r="M796" s="8" t="s">
        <v>5655</v>
      </c>
      <c r="N796" s="8" t="s">
        <v>128</v>
      </c>
      <c r="O796" s="8" t="s">
        <v>5656</v>
      </c>
      <c r="P796" s="8"/>
      <c r="Q796" s="8" t="s">
        <v>131</v>
      </c>
      <c r="R796" s="8"/>
      <c r="S796" s="8" t="s">
        <v>278</v>
      </c>
      <c r="T796" s="8" t="s">
        <v>983</v>
      </c>
      <c r="U796" s="8" t="s">
        <v>134</v>
      </c>
      <c r="V796" s="8" t="s">
        <v>131</v>
      </c>
      <c r="W796" s="8" t="s">
        <v>983</v>
      </c>
      <c r="X796" s="8">
        <v>7</v>
      </c>
      <c r="Y796" s="8" t="s">
        <v>135</v>
      </c>
      <c r="Z796" s="8">
        <v>20</v>
      </c>
      <c r="AA796" s="8">
        <v>1</v>
      </c>
      <c r="AB796" s="9">
        <v>0</v>
      </c>
    </row>
    <row r="797" spans="1:28" x14ac:dyDescent="0.2">
      <c r="A797" s="10">
        <v>22828</v>
      </c>
      <c r="B797" s="11" t="s">
        <v>5657</v>
      </c>
      <c r="C797" s="11" t="s">
        <v>170</v>
      </c>
      <c r="D797" s="11" t="s">
        <v>171</v>
      </c>
      <c r="E797" s="11"/>
      <c r="F797" s="11" t="s">
        <v>173</v>
      </c>
      <c r="G797" s="11" t="s">
        <v>158</v>
      </c>
      <c r="H797" s="11" t="s">
        <v>159</v>
      </c>
      <c r="I797" s="11" t="s">
        <v>174</v>
      </c>
      <c r="J797" s="11" t="s">
        <v>175</v>
      </c>
      <c r="K797" s="11" t="s">
        <v>162</v>
      </c>
      <c r="L797" s="11" t="s">
        <v>163</v>
      </c>
      <c r="M797" s="11" t="s">
        <v>5658</v>
      </c>
      <c r="N797" s="11" t="s">
        <v>128</v>
      </c>
      <c r="O797" s="11" t="s">
        <v>5659</v>
      </c>
      <c r="P797" s="11"/>
      <c r="Q797" s="11" t="s">
        <v>150</v>
      </c>
      <c r="R797" s="11"/>
      <c r="S797" s="11" t="s">
        <v>179</v>
      </c>
      <c r="T797" s="11" t="s">
        <v>5470</v>
      </c>
      <c r="U797" s="11" t="s">
        <v>150</v>
      </c>
      <c r="V797" s="11" t="s">
        <v>5470</v>
      </c>
      <c r="W797" s="11" t="s">
        <v>5470</v>
      </c>
      <c r="X797" s="11">
        <v>7</v>
      </c>
      <c r="Y797" s="11" t="s">
        <v>135</v>
      </c>
      <c r="Z797" s="11">
        <v>20</v>
      </c>
      <c r="AA797" s="11">
        <v>1</v>
      </c>
      <c r="AB797" s="12">
        <v>0</v>
      </c>
    </row>
    <row r="798" spans="1:28" x14ac:dyDescent="0.2">
      <c r="A798" s="7">
        <v>22863</v>
      </c>
      <c r="B798" s="8" t="s">
        <v>5660</v>
      </c>
      <c r="C798" s="8" t="s">
        <v>186</v>
      </c>
      <c r="D798" s="8" t="s">
        <v>187</v>
      </c>
      <c r="E798" s="8" t="s">
        <v>5661</v>
      </c>
      <c r="F798" s="8" t="s">
        <v>189</v>
      </c>
      <c r="G798" s="8" t="s">
        <v>190</v>
      </c>
      <c r="H798" s="8" t="s">
        <v>191</v>
      </c>
      <c r="I798" s="8" t="s">
        <v>192</v>
      </c>
      <c r="J798" s="8" t="s">
        <v>193</v>
      </c>
      <c r="K798" s="8" t="s">
        <v>194</v>
      </c>
      <c r="L798" s="8" t="s">
        <v>163</v>
      </c>
      <c r="M798" s="8" t="s">
        <v>5662</v>
      </c>
      <c r="N798" s="8" t="s">
        <v>128</v>
      </c>
      <c r="O798" s="8" t="s">
        <v>5663</v>
      </c>
      <c r="P798" s="8"/>
      <c r="Q798" s="8" t="s">
        <v>150</v>
      </c>
      <c r="R798" s="8"/>
      <c r="S798" s="8" t="s">
        <v>198</v>
      </c>
      <c r="T798" s="8" t="s">
        <v>5664</v>
      </c>
      <c r="U798" s="8" t="s">
        <v>150</v>
      </c>
      <c r="V798" s="8" t="s">
        <v>5664</v>
      </c>
      <c r="W798" s="8" t="s">
        <v>5664</v>
      </c>
      <c r="X798" s="8">
        <v>7</v>
      </c>
      <c r="Y798" s="8" t="s">
        <v>135</v>
      </c>
      <c r="Z798" s="8">
        <v>20</v>
      </c>
      <c r="AA798" s="8">
        <v>1</v>
      </c>
      <c r="AB798" s="9">
        <v>0</v>
      </c>
    </row>
    <row r="799" spans="1:28" x14ac:dyDescent="0.2">
      <c r="A799" s="10">
        <v>22924</v>
      </c>
      <c r="B799" s="11" t="s">
        <v>5665</v>
      </c>
      <c r="C799" s="11" t="s">
        <v>1086</v>
      </c>
      <c r="D799" s="11" t="s">
        <v>341</v>
      </c>
      <c r="E799" s="11" t="s">
        <v>1934</v>
      </c>
      <c r="F799" s="11" t="s">
        <v>1088</v>
      </c>
      <c r="G799" s="11" t="s">
        <v>846</v>
      </c>
      <c r="H799" s="11" t="s">
        <v>847</v>
      </c>
      <c r="I799" s="11" t="s">
        <v>5666</v>
      </c>
      <c r="J799" s="11" t="s">
        <v>1090</v>
      </c>
      <c r="K799" s="11" t="s">
        <v>1091</v>
      </c>
      <c r="L799" s="11" t="s">
        <v>126</v>
      </c>
      <c r="M799" s="11" t="s">
        <v>5667</v>
      </c>
      <c r="N799" s="11" t="s">
        <v>128</v>
      </c>
      <c r="O799" s="11" t="s">
        <v>5668</v>
      </c>
      <c r="P799" s="11" t="s">
        <v>5669</v>
      </c>
      <c r="Q799" s="11" t="s">
        <v>150</v>
      </c>
      <c r="R799" s="11"/>
      <c r="S799" s="11" t="s">
        <v>1095</v>
      </c>
      <c r="T799" s="11" t="s">
        <v>70</v>
      </c>
      <c r="U799" s="11" t="s">
        <v>150</v>
      </c>
      <c r="V799" s="11" t="s">
        <v>70</v>
      </c>
      <c r="W799" s="11" t="s">
        <v>70</v>
      </c>
      <c r="X799" s="11">
        <v>7</v>
      </c>
      <c r="Y799" s="11" t="s">
        <v>135</v>
      </c>
      <c r="Z799" s="11">
        <v>20</v>
      </c>
      <c r="AA799" s="11">
        <v>1</v>
      </c>
      <c r="AB799" s="12">
        <v>0</v>
      </c>
    </row>
    <row r="800" spans="1:28" x14ac:dyDescent="0.2">
      <c r="A800" s="7">
        <v>24222</v>
      </c>
      <c r="B800" s="8" t="s">
        <v>5670</v>
      </c>
      <c r="C800" s="8" t="s">
        <v>876</v>
      </c>
      <c r="D800" s="8" t="s">
        <v>138</v>
      </c>
      <c r="E800" s="8" t="s">
        <v>5671</v>
      </c>
      <c r="F800" s="8" t="s">
        <v>878</v>
      </c>
      <c r="G800" s="8" t="s">
        <v>224</v>
      </c>
      <c r="H800" s="8" t="s">
        <v>225</v>
      </c>
      <c r="I800" s="8" t="s">
        <v>1005</v>
      </c>
      <c r="J800" s="8" t="s">
        <v>880</v>
      </c>
      <c r="K800" s="8" t="s">
        <v>228</v>
      </c>
      <c r="L800" s="8" t="s">
        <v>229</v>
      </c>
      <c r="M800" s="8" t="s">
        <v>5672</v>
      </c>
      <c r="N800" s="8" t="s">
        <v>128</v>
      </c>
      <c r="O800" s="8" t="s">
        <v>5673</v>
      </c>
      <c r="P800" s="8"/>
      <c r="Q800" s="8" t="s">
        <v>150</v>
      </c>
      <c r="R800" s="8"/>
      <c r="S800" s="8" t="s">
        <v>884</v>
      </c>
      <c r="T800" s="8" t="s">
        <v>5674</v>
      </c>
      <c r="U800" s="8" t="s">
        <v>150</v>
      </c>
      <c r="V800" s="8" t="s">
        <v>5674</v>
      </c>
      <c r="W800" s="8" t="s">
        <v>5674</v>
      </c>
      <c r="X800" s="8">
        <v>7</v>
      </c>
      <c r="Y800" s="8" t="s">
        <v>135</v>
      </c>
      <c r="Z800" s="8">
        <v>20</v>
      </c>
      <c r="AA800" s="8">
        <v>1</v>
      </c>
      <c r="AB800" s="9">
        <v>0</v>
      </c>
    </row>
    <row r="801" spans="1:28" x14ac:dyDescent="0.2">
      <c r="A801" s="10">
        <v>24901</v>
      </c>
      <c r="B801" s="11" t="s">
        <v>5675</v>
      </c>
      <c r="C801" s="11" t="s">
        <v>842</v>
      </c>
      <c r="D801" s="11" t="s">
        <v>843</v>
      </c>
      <c r="E801" s="11" t="s">
        <v>5676</v>
      </c>
      <c r="F801" s="11" t="s">
        <v>845</v>
      </c>
      <c r="G801" s="11" t="s">
        <v>846</v>
      </c>
      <c r="H801" s="11" t="s">
        <v>847</v>
      </c>
      <c r="I801" s="11" t="s">
        <v>848</v>
      </c>
      <c r="J801" s="11" t="s">
        <v>849</v>
      </c>
      <c r="K801" s="11" t="s">
        <v>850</v>
      </c>
      <c r="L801" s="11" t="s">
        <v>126</v>
      </c>
      <c r="M801" s="11" t="s">
        <v>5677</v>
      </c>
      <c r="N801" s="11" t="s">
        <v>128</v>
      </c>
      <c r="O801" s="11" t="s">
        <v>5678</v>
      </c>
      <c r="P801" s="11" t="s">
        <v>5679</v>
      </c>
      <c r="Q801" s="11" t="s">
        <v>150</v>
      </c>
      <c r="R801" s="11"/>
      <c r="S801" s="11" t="s">
        <v>854</v>
      </c>
      <c r="T801" s="11" t="s">
        <v>1738</v>
      </c>
      <c r="U801" s="11" t="s">
        <v>150</v>
      </c>
      <c r="V801" s="11" t="s">
        <v>1738</v>
      </c>
      <c r="W801" s="11" t="s">
        <v>1738</v>
      </c>
      <c r="X801" s="11">
        <v>7</v>
      </c>
      <c r="Y801" s="11" t="s">
        <v>135</v>
      </c>
      <c r="Z801" s="11">
        <v>20</v>
      </c>
      <c r="AA801" s="11">
        <v>1</v>
      </c>
      <c r="AB801" s="12">
        <v>0</v>
      </c>
    </row>
    <row r="802" spans="1:28" x14ac:dyDescent="0.2">
      <c r="A802" s="7">
        <v>24885</v>
      </c>
      <c r="B802" s="8" t="s">
        <v>5680</v>
      </c>
      <c r="C802" s="8" t="s">
        <v>517</v>
      </c>
      <c r="D802" s="8" t="s">
        <v>518</v>
      </c>
      <c r="E802" s="8"/>
      <c r="F802" s="8" t="s">
        <v>520</v>
      </c>
      <c r="G802" s="8" t="s">
        <v>521</v>
      </c>
      <c r="H802" s="8" t="s">
        <v>522</v>
      </c>
      <c r="I802" s="8" t="s">
        <v>523</v>
      </c>
      <c r="J802" s="8" t="s">
        <v>5681</v>
      </c>
      <c r="K802" s="8" t="s">
        <v>525</v>
      </c>
      <c r="L802" s="8" t="s">
        <v>526</v>
      </c>
      <c r="M802" s="8" t="s">
        <v>5682</v>
      </c>
      <c r="N802" s="8" t="s">
        <v>128</v>
      </c>
      <c r="O802" s="8" t="s">
        <v>5683</v>
      </c>
      <c r="P802" s="8" t="s">
        <v>5684</v>
      </c>
      <c r="Q802" s="8" t="s">
        <v>150</v>
      </c>
      <c r="R802" s="8"/>
      <c r="S802" s="8" t="s">
        <v>530</v>
      </c>
      <c r="T802" s="8" t="s">
        <v>1738</v>
      </c>
      <c r="U802" s="8" t="s">
        <v>150</v>
      </c>
      <c r="V802" s="8" t="s">
        <v>1738</v>
      </c>
      <c r="W802" s="8" t="s">
        <v>1738</v>
      </c>
      <c r="X802" s="8">
        <v>7</v>
      </c>
      <c r="Y802" s="8" t="s">
        <v>135</v>
      </c>
      <c r="Z802" s="8">
        <v>20</v>
      </c>
      <c r="AA802" s="8">
        <v>1</v>
      </c>
      <c r="AB802" s="9">
        <v>0</v>
      </c>
    </row>
    <row r="803" spans="1:28" x14ac:dyDescent="0.2">
      <c r="A803" s="10">
        <v>24927</v>
      </c>
      <c r="B803" s="11" t="s">
        <v>5685</v>
      </c>
      <c r="C803" s="11" t="s">
        <v>4019</v>
      </c>
      <c r="D803" s="11" t="s">
        <v>4020</v>
      </c>
      <c r="E803" s="11"/>
      <c r="F803" s="11" t="s">
        <v>4021</v>
      </c>
      <c r="G803" s="11" t="s">
        <v>846</v>
      </c>
      <c r="H803" s="11" t="s">
        <v>847</v>
      </c>
      <c r="I803" s="11" t="s">
        <v>4022</v>
      </c>
      <c r="J803" s="11" t="s">
        <v>5686</v>
      </c>
      <c r="K803" s="11" t="s">
        <v>850</v>
      </c>
      <c r="L803" s="11" t="s">
        <v>126</v>
      </c>
      <c r="M803" s="11" t="s">
        <v>5687</v>
      </c>
      <c r="N803" s="11" t="s">
        <v>128</v>
      </c>
      <c r="O803" s="11" t="s">
        <v>5688</v>
      </c>
      <c r="P803" s="11" t="s">
        <v>5689</v>
      </c>
      <c r="Q803" s="11" t="s">
        <v>150</v>
      </c>
      <c r="R803" s="11"/>
      <c r="S803" s="11" t="s">
        <v>4027</v>
      </c>
      <c r="T803" s="11" t="s">
        <v>1738</v>
      </c>
      <c r="U803" s="11" t="s">
        <v>150</v>
      </c>
      <c r="V803" s="11" t="s">
        <v>1738</v>
      </c>
      <c r="W803" s="11" t="s">
        <v>1738</v>
      </c>
      <c r="X803" s="11">
        <v>7</v>
      </c>
      <c r="Y803" s="11" t="s">
        <v>135</v>
      </c>
      <c r="Z803" s="11">
        <v>20</v>
      </c>
      <c r="AA803" s="11">
        <v>1</v>
      </c>
      <c r="AB803" s="12">
        <v>0</v>
      </c>
    </row>
    <row r="804" spans="1:28" x14ac:dyDescent="0.2">
      <c r="A804" s="7">
        <v>37963</v>
      </c>
      <c r="B804" s="8" t="s">
        <v>5690</v>
      </c>
      <c r="C804" s="8" t="s">
        <v>876</v>
      </c>
      <c r="D804" s="8" t="s">
        <v>138</v>
      </c>
      <c r="E804" s="8" t="s">
        <v>5691</v>
      </c>
      <c r="F804" s="8" t="s">
        <v>878</v>
      </c>
      <c r="G804" s="8" t="s">
        <v>224</v>
      </c>
      <c r="H804" s="8" t="s">
        <v>225</v>
      </c>
      <c r="I804" s="8" t="s">
        <v>1005</v>
      </c>
      <c r="J804" s="8" t="s">
        <v>5692</v>
      </c>
      <c r="K804" s="8" t="s">
        <v>228</v>
      </c>
      <c r="L804" s="8" t="s">
        <v>229</v>
      </c>
      <c r="M804" s="8" t="s">
        <v>5693</v>
      </c>
      <c r="N804" s="8" t="s">
        <v>128</v>
      </c>
      <c r="O804" s="8" t="s">
        <v>5694</v>
      </c>
      <c r="P804" s="8" t="s">
        <v>5695</v>
      </c>
      <c r="Q804" s="8" t="s">
        <v>740</v>
      </c>
      <c r="R804" s="8"/>
      <c r="S804" s="8" t="s">
        <v>884</v>
      </c>
      <c r="T804" s="8" t="s">
        <v>741</v>
      </c>
      <c r="U804" s="8" t="s">
        <v>134</v>
      </c>
      <c r="V804" s="8" t="s">
        <v>740</v>
      </c>
      <c r="W804" s="8" t="s">
        <v>741</v>
      </c>
      <c r="X804" s="8">
        <v>7</v>
      </c>
      <c r="Y804" s="8" t="s">
        <v>135</v>
      </c>
      <c r="Z804" s="8">
        <v>20</v>
      </c>
      <c r="AA804" s="8">
        <v>1</v>
      </c>
      <c r="AB804" s="9">
        <v>0</v>
      </c>
    </row>
    <row r="805" spans="1:28" x14ac:dyDescent="0.2">
      <c r="A805" s="10">
        <v>22149</v>
      </c>
      <c r="B805" s="11" t="s">
        <v>5696</v>
      </c>
      <c r="C805" s="11" t="s">
        <v>657</v>
      </c>
      <c r="D805" s="11" t="s">
        <v>658</v>
      </c>
      <c r="E805" s="11" t="s">
        <v>5697</v>
      </c>
      <c r="F805" s="11" t="s">
        <v>660</v>
      </c>
      <c r="G805" s="11" t="s">
        <v>556</v>
      </c>
      <c r="H805" s="11" t="s">
        <v>557</v>
      </c>
      <c r="I805" s="11" t="s">
        <v>661</v>
      </c>
      <c r="J805" s="11" t="s">
        <v>662</v>
      </c>
      <c r="K805" s="11" t="s">
        <v>560</v>
      </c>
      <c r="L805" s="11" t="s">
        <v>229</v>
      </c>
      <c r="M805" s="11" t="s">
        <v>5698</v>
      </c>
      <c r="N805" s="11" t="s">
        <v>128</v>
      </c>
      <c r="O805" s="11" t="s">
        <v>5699</v>
      </c>
      <c r="P805" s="11"/>
      <c r="Q805" s="11" t="s">
        <v>249</v>
      </c>
      <c r="R805" s="11"/>
      <c r="S805" s="11" t="s">
        <v>666</v>
      </c>
      <c r="T805" s="11" t="s">
        <v>1523</v>
      </c>
      <c r="U805" s="11" t="s">
        <v>134</v>
      </c>
      <c r="V805" s="11" t="s">
        <v>249</v>
      </c>
      <c r="W805" s="11" t="s">
        <v>1523</v>
      </c>
      <c r="X805" s="11">
        <v>7</v>
      </c>
      <c r="Y805" s="11" t="s">
        <v>135</v>
      </c>
      <c r="Z805" s="11">
        <v>20</v>
      </c>
      <c r="AA805" s="11">
        <v>1</v>
      </c>
      <c r="AB805" s="12">
        <v>0</v>
      </c>
    </row>
    <row r="806" spans="1:28" x14ac:dyDescent="0.2">
      <c r="A806" s="7">
        <v>28226</v>
      </c>
      <c r="B806" s="8" t="s">
        <v>5700</v>
      </c>
      <c r="C806" s="8" t="s">
        <v>186</v>
      </c>
      <c r="D806" s="8" t="s">
        <v>138</v>
      </c>
      <c r="E806" s="8"/>
      <c r="F806" s="8" t="s">
        <v>5701</v>
      </c>
      <c r="G806" s="8" t="s">
        <v>190</v>
      </c>
      <c r="H806" s="8" t="s">
        <v>191</v>
      </c>
      <c r="I806" s="8" t="s">
        <v>192</v>
      </c>
      <c r="J806" s="8" t="s">
        <v>5702</v>
      </c>
      <c r="K806" s="8" t="s">
        <v>194</v>
      </c>
      <c r="L806" s="8" t="s">
        <v>163</v>
      </c>
      <c r="M806" s="8" t="s">
        <v>5703</v>
      </c>
      <c r="N806" s="8" t="s">
        <v>128</v>
      </c>
      <c r="O806" s="8" t="s">
        <v>5704</v>
      </c>
      <c r="P806" s="8"/>
      <c r="Q806" s="8" t="s">
        <v>150</v>
      </c>
      <c r="R806" s="8"/>
      <c r="S806" s="8" t="s">
        <v>198</v>
      </c>
      <c r="T806" s="8" t="s">
        <v>5470</v>
      </c>
      <c r="U806" s="8" t="s">
        <v>150</v>
      </c>
      <c r="V806" s="8" t="s">
        <v>5470</v>
      </c>
      <c r="W806" s="8" t="s">
        <v>5470</v>
      </c>
      <c r="X806" s="8">
        <v>6</v>
      </c>
      <c r="Y806" s="8" t="s">
        <v>135</v>
      </c>
      <c r="Z806" s="8">
        <v>20</v>
      </c>
      <c r="AA806" s="8">
        <v>1</v>
      </c>
      <c r="AB806" s="9">
        <v>0</v>
      </c>
    </row>
    <row r="807" spans="1:28" x14ac:dyDescent="0.2">
      <c r="A807" s="10">
        <v>22711</v>
      </c>
      <c r="B807" s="11" t="s">
        <v>5705</v>
      </c>
      <c r="C807" s="11" t="s">
        <v>4964</v>
      </c>
      <c r="D807" s="11" t="s">
        <v>171</v>
      </c>
      <c r="E807" s="11" t="s">
        <v>281</v>
      </c>
      <c r="F807" s="11" t="s">
        <v>173</v>
      </c>
      <c r="G807" s="11" t="s">
        <v>158</v>
      </c>
      <c r="H807" s="11" t="s">
        <v>159</v>
      </c>
      <c r="I807" s="11" t="s">
        <v>174</v>
      </c>
      <c r="J807" s="11" t="s">
        <v>5057</v>
      </c>
      <c r="K807" s="11" t="s">
        <v>162</v>
      </c>
      <c r="L807" s="11" t="s">
        <v>163</v>
      </c>
      <c r="M807" s="11" t="s">
        <v>5706</v>
      </c>
      <c r="N807" s="11" t="s">
        <v>128</v>
      </c>
      <c r="O807" s="11" t="s">
        <v>5707</v>
      </c>
      <c r="P807" s="11"/>
      <c r="Q807" s="11" t="s">
        <v>150</v>
      </c>
      <c r="R807" s="11"/>
      <c r="S807" s="11" t="s">
        <v>179</v>
      </c>
      <c r="T807" s="11" t="s">
        <v>5642</v>
      </c>
      <c r="U807" s="11" t="s">
        <v>150</v>
      </c>
      <c r="V807" s="11" t="s">
        <v>5642</v>
      </c>
      <c r="W807" s="11" t="s">
        <v>5642</v>
      </c>
      <c r="X807" s="11">
        <v>4</v>
      </c>
      <c r="Y807" s="11" t="s">
        <v>135</v>
      </c>
      <c r="Z807" s="11">
        <v>20</v>
      </c>
      <c r="AA807" s="11">
        <v>1</v>
      </c>
      <c r="AB807" s="12">
        <v>0</v>
      </c>
    </row>
    <row r="808" spans="1:28" x14ac:dyDescent="0.2">
      <c r="A808" s="7">
        <v>22826</v>
      </c>
      <c r="B808" s="8" t="s">
        <v>5708</v>
      </c>
      <c r="C808" s="8" t="s">
        <v>186</v>
      </c>
      <c r="D808" s="8" t="s">
        <v>310</v>
      </c>
      <c r="E808" s="8"/>
      <c r="F808" s="8" t="s">
        <v>189</v>
      </c>
      <c r="G808" s="8" t="s">
        <v>190</v>
      </c>
      <c r="H808" s="8" t="s">
        <v>191</v>
      </c>
      <c r="I808" s="8" t="s">
        <v>312</v>
      </c>
      <c r="J808" s="8" t="s">
        <v>313</v>
      </c>
      <c r="K808" s="8" t="s">
        <v>194</v>
      </c>
      <c r="L808" s="8" t="s">
        <v>163</v>
      </c>
      <c r="M808" s="8" t="s">
        <v>5709</v>
      </c>
      <c r="N808" s="8" t="s">
        <v>128</v>
      </c>
      <c r="O808" s="8" t="s">
        <v>5710</v>
      </c>
      <c r="P808" s="8"/>
      <c r="Q808" s="8" t="s">
        <v>150</v>
      </c>
      <c r="R808" s="8"/>
      <c r="S808" s="8" t="s">
        <v>317</v>
      </c>
      <c r="T808" s="8" t="s">
        <v>5470</v>
      </c>
      <c r="U808" s="8" t="s">
        <v>150</v>
      </c>
      <c r="V808" s="8" t="s">
        <v>5470</v>
      </c>
      <c r="W808" s="8" t="s">
        <v>5470</v>
      </c>
      <c r="X808" s="8">
        <v>4</v>
      </c>
      <c r="Y808" s="8" t="s">
        <v>135</v>
      </c>
      <c r="Z808" s="8">
        <v>20</v>
      </c>
      <c r="AA808" s="8">
        <v>1</v>
      </c>
      <c r="AB808" s="9">
        <v>0</v>
      </c>
    </row>
    <row r="809" spans="1:28" x14ac:dyDescent="0.2">
      <c r="A809" s="10">
        <v>49846</v>
      </c>
      <c r="B809" s="11" t="s">
        <v>5711</v>
      </c>
      <c r="C809" s="11" t="s">
        <v>5712</v>
      </c>
      <c r="D809" s="11" t="s">
        <v>3013</v>
      </c>
      <c r="E809" s="11"/>
      <c r="F809" s="11" t="s">
        <v>1951</v>
      </c>
      <c r="G809" s="11" t="s">
        <v>5514</v>
      </c>
      <c r="H809" s="11" t="s">
        <v>1953</v>
      </c>
      <c r="I809" s="11" t="s">
        <v>1954</v>
      </c>
      <c r="J809" s="11" t="s">
        <v>5713</v>
      </c>
      <c r="K809" s="11" t="s">
        <v>1956</v>
      </c>
      <c r="L809" s="11" t="s">
        <v>526</v>
      </c>
      <c r="M809" s="11" t="s">
        <v>5714</v>
      </c>
      <c r="N809" s="11" t="s">
        <v>128</v>
      </c>
      <c r="O809" s="11" t="s">
        <v>5715</v>
      </c>
      <c r="P809" s="11" t="s">
        <v>5716</v>
      </c>
      <c r="Q809" s="11" t="s">
        <v>740</v>
      </c>
      <c r="R809" s="11"/>
      <c r="S809" s="11" t="s">
        <v>1959</v>
      </c>
      <c r="T809" s="11" t="s">
        <v>1745</v>
      </c>
      <c r="U809" s="11" t="s">
        <v>134</v>
      </c>
      <c r="V809" s="11" t="s">
        <v>740</v>
      </c>
      <c r="W809" s="11" t="s">
        <v>1745</v>
      </c>
      <c r="X809" s="11">
        <v>4</v>
      </c>
      <c r="Y809" s="11" t="s">
        <v>135</v>
      </c>
      <c r="Z809" s="11">
        <v>20</v>
      </c>
      <c r="AA809" s="11">
        <v>1</v>
      </c>
      <c r="AB809" s="12">
        <v>0</v>
      </c>
    </row>
    <row r="810" spans="1:28" x14ac:dyDescent="0.2">
      <c r="A810" s="7">
        <v>21115</v>
      </c>
      <c r="B810" s="8" t="s">
        <v>5717</v>
      </c>
      <c r="C810" s="8" t="s">
        <v>5718</v>
      </c>
      <c r="D810" s="8" t="s">
        <v>5719</v>
      </c>
      <c r="E810" s="8"/>
      <c r="F810" s="8" t="s">
        <v>5720</v>
      </c>
      <c r="G810" s="8" t="s">
        <v>1286</v>
      </c>
      <c r="H810" s="8" t="s">
        <v>142</v>
      </c>
      <c r="I810" s="8" t="s">
        <v>5721</v>
      </c>
      <c r="J810" s="8" t="s">
        <v>5722</v>
      </c>
      <c r="K810" s="8" t="s">
        <v>717</v>
      </c>
      <c r="L810" s="8" t="s">
        <v>464</v>
      </c>
      <c r="M810" s="8" t="s">
        <v>5723</v>
      </c>
      <c r="N810" s="8" t="s">
        <v>128</v>
      </c>
      <c r="O810" s="8" t="s">
        <v>5724</v>
      </c>
      <c r="P810" s="8" t="s">
        <v>5725</v>
      </c>
      <c r="Q810" s="8" t="s">
        <v>150</v>
      </c>
      <c r="R810" s="8"/>
      <c r="S810" s="8" t="s">
        <v>71</v>
      </c>
      <c r="T810" s="8" t="s">
        <v>289</v>
      </c>
      <c r="U810" s="8" t="s">
        <v>150</v>
      </c>
      <c r="V810" s="8" t="s">
        <v>289</v>
      </c>
      <c r="W810" s="8" t="s">
        <v>289</v>
      </c>
      <c r="X810" s="8">
        <v>3</v>
      </c>
      <c r="Y810" s="8" t="s">
        <v>135</v>
      </c>
      <c r="Z810" s="8">
        <v>80</v>
      </c>
      <c r="AA810" s="8">
        <v>0</v>
      </c>
      <c r="AB810" s="9">
        <v>0</v>
      </c>
    </row>
    <row r="811" spans="1:28" x14ac:dyDescent="0.2">
      <c r="A811" s="10">
        <v>22864</v>
      </c>
      <c r="B811" s="11" t="s">
        <v>5726</v>
      </c>
      <c r="C811" s="11" t="s">
        <v>186</v>
      </c>
      <c r="D811" s="11" t="s">
        <v>310</v>
      </c>
      <c r="E811" s="11" t="s">
        <v>5727</v>
      </c>
      <c r="F811" s="11" t="s">
        <v>189</v>
      </c>
      <c r="G811" s="11" t="s">
        <v>190</v>
      </c>
      <c r="H811" s="11" t="s">
        <v>191</v>
      </c>
      <c r="I811" s="11" t="s">
        <v>312</v>
      </c>
      <c r="J811" s="11" t="s">
        <v>313</v>
      </c>
      <c r="K811" s="11" t="s">
        <v>194</v>
      </c>
      <c r="L811" s="11" t="s">
        <v>163</v>
      </c>
      <c r="M811" s="11" t="s">
        <v>5728</v>
      </c>
      <c r="N811" s="11" t="s">
        <v>128</v>
      </c>
      <c r="O811" s="11" t="s">
        <v>5729</v>
      </c>
      <c r="P811" s="11"/>
      <c r="Q811" s="11" t="s">
        <v>150</v>
      </c>
      <c r="R811" s="11"/>
      <c r="S811" s="11" t="s">
        <v>317</v>
      </c>
      <c r="T811" s="11" t="s">
        <v>5664</v>
      </c>
      <c r="U811" s="11" t="s">
        <v>150</v>
      </c>
      <c r="V811" s="11" t="s">
        <v>5664</v>
      </c>
      <c r="W811" s="11" t="s">
        <v>5664</v>
      </c>
      <c r="X811" s="11">
        <v>3</v>
      </c>
      <c r="Y811" s="11" t="s">
        <v>135</v>
      </c>
      <c r="Z811" s="11">
        <v>20</v>
      </c>
      <c r="AA811" s="11">
        <v>1</v>
      </c>
      <c r="AB811" s="12">
        <v>0</v>
      </c>
    </row>
    <row r="812" spans="1:28" x14ac:dyDescent="0.2">
      <c r="A812" s="7">
        <v>24921</v>
      </c>
      <c r="B812" s="8" t="s">
        <v>5730</v>
      </c>
      <c r="C812" s="8" t="s">
        <v>186</v>
      </c>
      <c r="D812" s="8" t="s">
        <v>187</v>
      </c>
      <c r="E812" s="8" t="s">
        <v>5731</v>
      </c>
      <c r="F812" s="8" t="s">
        <v>189</v>
      </c>
      <c r="G812" s="8" t="s">
        <v>190</v>
      </c>
      <c r="H812" s="8" t="s">
        <v>191</v>
      </c>
      <c r="I812" s="8" t="s">
        <v>192</v>
      </c>
      <c r="J812" s="8" t="s">
        <v>193</v>
      </c>
      <c r="K812" s="8" t="s">
        <v>194</v>
      </c>
      <c r="L812" s="8" t="s">
        <v>163</v>
      </c>
      <c r="M812" s="8" t="s">
        <v>5732</v>
      </c>
      <c r="N812" s="8" t="s">
        <v>128</v>
      </c>
      <c r="O812" s="8" t="s">
        <v>5733</v>
      </c>
      <c r="P812" s="8" t="s">
        <v>5734</v>
      </c>
      <c r="Q812" s="8" t="s">
        <v>150</v>
      </c>
      <c r="R812" s="8"/>
      <c r="S812" s="8" t="s">
        <v>198</v>
      </c>
      <c r="T812" s="8" t="s">
        <v>1738</v>
      </c>
      <c r="U812" s="8" t="s">
        <v>150</v>
      </c>
      <c r="V812" s="8" t="s">
        <v>1738</v>
      </c>
      <c r="W812" s="8" t="s">
        <v>1738</v>
      </c>
      <c r="X812" s="8">
        <v>3</v>
      </c>
      <c r="Y812" s="8" t="s">
        <v>135</v>
      </c>
      <c r="Z812" s="8">
        <v>20</v>
      </c>
      <c r="AA812" s="8">
        <v>1</v>
      </c>
      <c r="AB812" s="9">
        <v>0</v>
      </c>
    </row>
    <row r="813" spans="1:28" x14ac:dyDescent="0.2">
      <c r="A813" s="10">
        <v>24922</v>
      </c>
      <c r="B813" s="11" t="s">
        <v>5735</v>
      </c>
      <c r="C813" s="11" t="s">
        <v>186</v>
      </c>
      <c r="D813" s="11" t="s">
        <v>310</v>
      </c>
      <c r="E813" s="11" t="s">
        <v>5736</v>
      </c>
      <c r="F813" s="11" t="s">
        <v>189</v>
      </c>
      <c r="G813" s="11" t="s">
        <v>190</v>
      </c>
      <c r="H813" s="11" t="s">
        <v>191</v>
      </c>
      <c r="I813" s="11" t="s">
        <v>312</v>
      </c>
      <c r="J813" s="11" t="s">
        <v>313</v>
      </c>
      <c r="K813" s="11" t="s">
        <v>194</v>
      </c>
      <c r="L813" s="11" t="s">
        <v>163</v>
      </c>
      <c r="M813" s="11" t="s">
        <v>5737</v>
      </c>
      <c r="N813" s="11" t="s">
        <v>128</v>
      </c>
      <c r="O813" s="11" t="s">
        <v>5738</v>
      </c>
      <c r="P813" s="11" t="s">
        <v>5739</v>
      </c>
      <c r="Q813" s="11" t="s">
        <v>150</v>
      </c>
      <c r="R813" s="11"/>
      <c r="S813" s="11" t="s">
        <v>317</v>
      </c>
      <c r="T813" s="11" t="s">
        <v>1738</v>
      </c>
      <c r="U813" s="11" t="s">
        <v>150</v>
      </c>
      <c r="V813" s="11" t="s">
        <v>1738</v>
      </c>
      <c r="W813" s="11" t="s">
        <v>1738</v>
      </c>
      <c r="X813" s="11">
        <v>3</v>
      </c>
      <c r="Y813" s="11" t="s">
        <v>135</v>
      </c>
      <c r="Z813" s="11">
        <v>20</v>
      </c>
      <c r="AA813" s="11">
        <v>1</v>
      </c>
      <c r="AB813" s="12">
        <v>0</v>
      </c>
    </row>
    <row r="814" spans="1:28" x14ac:dyDescent="0.2">
      <c r="A814" s="7">
        <v>24853</v>
      </c>
      <c r="B814" s="8" t="s">
        <v>5740</v>
      </c>
      <c r="C814" s="8" t="s">
        <v>1271</v>
      </c>
      <c r="D814" s="8" t="s">
        <v>1272</v>
      </c>
      <c r="E814" s="8"/>
      <c r="F814" s="8" t="s">
        <v>3731</v>
      </c>
      <c r="G814" s="8" t="s">
        <v>521</v>
      </c>
      <c r="H814" s="8" t="s">
        <v>522</v>
      </c>
      <c r="I814" s="8" t="s">
        <v>3732</v>
      </c>
      <c r="J814" s="8" t="s">
        <v>5741</v>
      </c>
      <c r="K814" s="8" t="s">
        <v>525</v>
      </c>
      <c r="L814" s="8" t="s">
        <v>526</v>
      </c>
      <c r="M814" s="8" t="s">
        <v>5742</v>
      </c>
      <c r="N814" s="8" t="s">
        <v>128</v>
      </c>
      <c r="O814" s="8" t="s">
        <v>5743</v>
      </c>
      <c r="P814" s="8" t="s">
        <v>5744</v>
      </c>
      <c r="Q814" s="8" t="s">
        <v>150</v>
      </c>
      <c r="R814" s="8"/>
      <c r="S814" s="8" t="s">
        <v>1280</v>
      </c>
      <c r="T814" s="8" t="s">
        <v>1738</v>
      </c>
      <c r="U814" s="8" t="s">
        <v>150</v>
      </c>
      <c r="V814" s="8" t="s">
        <v>1738</v>
      </c>
      <c r="W814" s="8" t="s">
        <v>1738</v>
      </c>
      <c r="X814" s="8">
        <v>3</v>
      </c>
      <c r="Y814" s="8" t="s">
        <v>135</v>
      </c>
      <c r="Z814" s="8">
        <v>20</v>
      </c>
      <c r="AA814" s="8">
        <v>1</v>
      </c>
      <c r="AB814" s="9">
        <v>0</v>
      </c>
    </row>
    <row r="815" spans="1:28" x14ac:dyDescent="0.2">
      <c r="A815" s="10">
        <v>21228</v>
      </c>
      <c r="B815" s="11" t="s">
        <v>5745</v>
      </c>
      <c r="C815" s="11" t="s">
        <v>409</v>
      </c>
      <c r="D815" s="11" t="s">
        <v>410</v>
      </c>
      <c r="E815" s="11" t="s">
        <v>5746</v>
      </c>
      <c r="F815" s="11" t="s">
        <v>353</v>
      </c>
      <c r="G815" s="11" t="s">
        <v>412</v>
      </c>
      <c r="H815" s="11" t="s">
        <v>329</v>
      </c>
      <c r="I815" s="11" t="s">
        <v>837</v>
      </c>
      <c r="J815" s="11" t="s">
        <v>414</v>
      </c>
      <c r="K815" s="11" t="s">
        <v>415</v>
      </c>
      <c r="L815" s="11" t="s">
        <v>333</v>
      </c>
      <c r="M815" s="11" t="s">
        <v>5747</v>
      </c>
      <c r="N815" s="11" t="s">
        <v>128</v>
      </c>
      <c r="O815" s="11" t="s">
        <v>5748</v>
      </c>
      <c r="P815" s="11"/>
      <c r="Q815" s="11" t="s">
        <v>150</v>
      </c>
      <c r="R815" s="11"/>
      <c r="S815" s="11" t="s">
        <v>419</v>
      </c>
      <c r="T815" s="11" t="s">
        <v>642</v>
      </c>
      <c r="U815" s="11" t="s">
        <v>150</v>
      </c>
      <c r="V815" s="11" t="s">
        <v>642</v>
      </c>
      <c r="W815" s="11" t="s">
        <v>642</v>
      </c>
      <c r="X815" s="11">
        <v>2</v>
      </c>
      <c r="Y815" s="11" t="s">
        <v>135</v>
      </c>
      <c r="Z815" s="11">
        <v>20</v>
      </c>
      <c r="AA815" s="11">
        <v>1</v>
      </c>
      <c r="AB815" s="12">
        <v>0</v>
      </c>
    </row>
    <row r="816" spans="1:28" x14ac:dyDescent="0.2">
      <c r="A816" s="7">
        <v>26628</v>
      </c>
      <c r="B816" s="8" t="s">
        <v>5749</v>
      </c>
      <c r="C816" s="8" t="s">
        <v>5750</v>
      </c>
      <c r="D816" s="8" t="s">
        <v>5751</v>
      </c>
      <c r="E816" s="8"/>
      <c r="F816" s="8" t="s">
        <v>746</v>
      </c>
      <c r="G816" s="8" t="s">
        <v>328</v>
      </c>
      <c r="H816" s="8" t="s">
        <v>329</v>
      </c>
      <c r="I816" s="8" t="s">
        <v>5752</v>
      </c>
      <c r="J816" s="8" t="s">
        <v>5753</v>
      </c>
      <c r="K816" s="8" t="s">
        <v>415</v>
      </c>
      <c r="L816" s="8" t="s">
        <v>333</v>
      </c>
      <c r="M816" s="8" t="s">
        <v>5754</v>
      </c>
      <c r="N816" s="8" t="s">
        <v>128</v>
      </c>
      <c r="O816" s="8" t="s">
        <v>1012</v>
      </c>
      <c r="P816" s="8"/>
      <c r="Q816" s="8" t="s">
        <v>131</v>
      </c>
      <c r="R816" s="8"/>
      <c r="S816" s="8" t="s">
        <v>752</v>
      </c>
      <c r="T816" s="8" t="s">
        <v>133</v>
      </c>
      <c r="U816" s="8" t="s">
        <v>134</v>
      </c>
      <c r="V816" s="8" t="s">
        <v>131</v>
      </c>
      <c r="W816" s="8" t="s">
        <v>133</v>
      </c>
      <c r="X816" s="8">
        <v>2</v>
      </c>
      <c r="Y816" s="8" t="s">
        <v>135</v>
      </c>
      <c r="Z816" s="8">
        <v>20</v>
      </c>
      <c r="AA816" s="8">
        <v>1</v>
      </c>
      <c r="AB816" s="9">
        <v>0</v>
      </c>
    </row>
    <row r="817" spans="1:28" x14ac:dyDescent="0.2">
      <c r="A817" s="10">
        <v>28687</v>
      </c>
      <c r="B817" s="11" t="s">
        <v>5755</v>
      </c>
      <c r="C817" s="11" t="s">
        <v>5756</v>
      </c>
      <c r="D817" s="11" t="s">
        <v>5757</v>
      </c>
      <c r="E817" s="11"/>
      <c r="F817" s="11" t="s">
        <v>5758</v>
      </c>
      <c r="G817" s="11" t="s">
        <v>714</v>
      </c>
      <c r="H817" s="11" t="s">
        <v>142</v>
      </c>
      <c r="I817" s="11" t="s">
        <v>5759</v>
      </c>
      <c r="J817" s="11" t="s">
        <v>5760</v>
      </c>
      <c r="K817" s="11" t="s">
        <v>717</v>
      </c>
      <c r="L817" s="11" t="s">
        <v>464</v>
      </c>
      <c r="M817" s="11" t="s">
        <v>5761</v>
      </c>
      <c r="N817" s="11" t="s">
        <v>128</v>
      </c>
      <c r="O817" s="11" t="s">
        <v>5762</v>
      </c>
      <c r="P817" s="11" t="s">
        <v>5763</v>
      </c>
      <c r="Q817" s="11" t="s">
        <v>150</v>
      </c>
      <c r="R817" s="11"/>
      <c r="S817" s="11" t="s">
        <v>71</v>
      </c>
      <c r="T817" s="11" t="s">
        <v>1415</v>
      </c>
      <c r="U817" s="11" t="s">
        <v>150</v>
      </c>
      <c r="V817" s="11" t="s">
        <v>1415</v>
      </c>
      <c r="W817" s="11" t="s">
        <v>1415</v>
      </c>
      <c r="X817" s="11">
        <v>2</v>
      </c>
      <c r="Y817" s="11" t="s">
        <v>135</v>
      </c>
      <c r="Z817" s="11">
        <v>80</v>
      </c>
      <c r="AA817" s="11">
        <v>0</v>
      </c>
      <c r="AB817" s="12">
        <v>0</v>
      </c>
    </row>
    <row r="818" spans="1:28" x14ac:dyDescent="0.2">
      <c r="A818" s="7">
        <v>24839</v>
      </c>
      <c r="B818" s="8" t="s">
        <v>5764</v>
      </c>
      <c r="C818" s="8" t="s">
        <v>657</v>
      </c>
      <c r="D818" s="8" t="s">
        <v>658</v>
      </c>
      <c r="E818" s="8"/>
      <c r="F818" s="8" t="s">
        <v>660</v>
      </c>
      <c r="G818" s="8" t="s">
        <v>556</v>
      </c>
      <c r="H818" s="8" t="s">
        <v>557</v>
      </c>
      <c r="I818" s="8" t="s">
        <v>661</v>
      </c>
      <c r="J818" s="8" t="s">
        <v>662</v>
      </c>
      <c r="K818" s="8" t="s">
        <v>560</v>
      </c>
      <c r="L818" s="8" t="s">
        <v>229</v>
      </c>
      <c r="M818" s="8" t="s">
        <v>5765</v>
      </c>
      <c r="N818" s="8" t="s">
        <v>128</v>
      </c>
      <c r="O818" s="8" t="s">
        <v>5766</v>
      </c>
      <c r="P818" s="8" t="s">
        <v>5767</v>
      </c>
      <c r="Q818" s="8" t="s">
        <v>150</v>
      </c>
      <c r="R818" s="8"/>
      <c r="S818" s="8" t="s">
        <v>666</v>
      </c>
      <c r="T818" s="8" t="s">
        <v>1738</v>
      </c>
      <c r="U818" s="8" t="s">
        <v>150</v>
      </c>
      <c r="V818" s="8" t="s">
        <v>1738</v>
      </c>
      <c r="W818" s="8" t="s">
        <v>1738</v>
      </c>
      <c r="X818" s="8">
        <v>2</v>
      </c>
      <c r="Y818" s="8" t="s">
        <v>135</v>
      </c>
      <c r="Z818" s="8">
        <v>20</v>
      </c>
      <c r="AA818" s="8">
        <v>1</v>
      </c>
      <c r="AB818" s="9">
        <v>0</v>
      </c>
    </row>
    <row r="819" spans="1:28" x14ac:dyDescent="0.2">
      <c r="A819" s="10">
        <v>27706</v>
      </c>
      <c r="B819" s="11" t="s">
        <v>5768</v>
      </c>
      <c r="C819" s="11" t="s">
        <v>5334</v>
      </c>
      <c r="D819" s="11" t="s">
        <v>2871</v>
      </c>
      <c r="E819" s="11"/>
      <c r="F819" s="11" t="s">
        <v>5336</v>
      </c>
      <c r="G819" s="11" t="s">
        <v>2175</v>
      </c>
      <c r="H819" s="11" t="s">
        <v>2176</v>
      </c>
      <c r="I819" s="11" t="s">
        <v>5350</v>
      </c>
      <c r="J819" s="11" t="s">
        <v>5769</v>
      </c>
      <c r="K819" s="11" t="s">
        <v>194</v>
      </c>
      <c r="L819" s="11" t="s">
        <v>163</v>
      </c>
      <c r="M819" s="11" t="s">
        <v>5770</v>
      </c>
      <c r="N819" s="11" t="s">
        <v>128</v>
      </c>
      <c r="O819" s="11"/>
      <c r="P819" s="11"/>
      <c r="Q819" s="11" t="s">
        <v>150</v>
      </c>
      <c r="R819" s="11"/>
      <c r="S819" s="11" t="s">
        <v>5343</v>
      </c>
      <c r="T819" s="11" t="s">
        <v>5771</v>
      </c>
      <c r="U819" s="11" t="s">
        <v>150</v>
      </c>
      <c r="V819" s="11" t="s">
        <v>5771</v>
      </c>
      <c r="W819" s="11" t="s">
        <v>5771</v>
      </c>
      <c r="X819" s="11">
        <v>1</v>
      </c>
      <c r="Y819" s="11" t="s">
        <v>135</v>
      </c>
      <c r="Z819" s="11">
        <v>20</v>
      </c>
      <c r="AA819" s="11">
        <v>1</v>
      </c>
      <c r="AB819" s="12">
        <v>0</v>
      </c>
    </row>
    <row r="820" spans="1:28" x14ac:dyDescent="0.2">
      <c r="A820" s="7">
        <v>116420</v>
      </c>
      <c r="B820" s="8" t="s">
        <v>5772</v>
      </c>
      <c r="C820" s="8" t="s">
        <v>825</v>
      </c>
      <c r="D820" s="8" t="s">
        <v>826</v>
      </c>
      <c r="E820" s="8"/>
      <c r="F820" s="8" t="s">
        <v>828</v>
      </c>
      <c r="G820" s="8" t="s">
        <v>615</v>
      </c>
      <c r="H820" s="8" t="s">
        <v>616</v>
      </c>
      <c r="I820" s="8" t="s">
        <v>932</v>
      </c>
      <c r="J820" s="8" t="s">
        <v>830</v>
      </c>
      <c r="K820" s="8" t="s">
        <v>619</v>
      </c>
      <c r="L820" s="8" t="s">
        <v>163</v>
      </c>
      <c r="M820" s="8" t="s">
        <v>5773</v>
      </c>
      <c r="N820" s="8" t="s">
        <v>128</v>
      </c>
      <c r="O820" s="8" t="s">
        <v>5774</v>
      </c>
      <c r="P820" s="8"/>
      <c r="Q820" s="8" t="s">
        <v>150</v>
      </c>
      <c r="R820" s="8"/>
      <c r="S820" s="8" t="s">
        <v>834</v>
      </c>
      <c r="T820" s="8" t="s">
        <v>5642</v>
      </c>
      <c r="U820" s="8" t="s">
        <v>150</v>
      </c>
      <c r="V820" s="8" t="s">
        <v>5642</v>
      </c>
      <c r="W820" s="8" t="s">
        <v>5642</v>
      </c>
      <c r="X820" s="8">
        <v>1</v>
      </c>
      <c r="Y820" s="8" t="s">
        <v>135</v>
      </c>
      <c r="Z820" s="8">
        <v>20</v>
      </c>
      <c r="AA820" s="8">
        <v>1</v>
      </c>
      <c r="AB820" s="9">
        <v>0</v>
      </c>
    </row>
    <row r="821" spans="1:28" x14ac:dyDescent="0.2">
      <c r="A821" s="10">
        <v>22999</v>
      </c>
      <c r="B821" s="11" t="s">
        <v>5775</v>
      </c>
      <c r="C821" s="11" t="s">
        <v>1688</v>
      </c>
      <c r="D821" s="11" t="s">
        <v>171</v>
      </c>
      <c r="E821" s="11" t="s">
        <v>5776</v>
      </c>
      <c r="F821" s="11" t="s">
        <v>1690</v>
      </c>
      <c r="G821" s="11" t="s">
        <v>1196</v>
      </c>
      <c r="H821" s="11" t="s">
        <v>142</v>
      </c>
      <c r="I821" s="11" t="s">
        <v>5777</v>
      </c>
      <c r="J821" s="11" t="s">
        <v>1692</v>
      </c>
      <c r="K821" s="11" t="s">
        <v>1199</v>
      </c>
      <c r="L821" s="11" t="s">
        <v>464</v>
      </c>
      <c r="M821" s="11" t="s">
        <v>5778</v>
      </c>
      <c r="N821" s="11" t="s">
        <v>128</v>
      </c>
      <c r="O821" s="11" t="s">
        <v>5779</v>
      </c>
      <c r="P821" s="11" t="s">
        <v>5474</v>
      </c>
      <c r="Q821" s="11" t="s">
        <v>150</v>
      </c>
      <c r="R821" s="11"/>
      <c r="S821" s="11" t="s">
        <v>1696</v>
      </c>
      <c r="T821" s="11" t="s">
        <v>70</v>
      </c>
      <c r="U821" s="11" t="s">
        <v>150</v>
      </c>
      <c r="V821" s="11" t="s">
        <v>70</v>
      </c>
      <c r="W821" s="11" t="s">
        <v>70</v>
      </c>
      <c r="X821" s="11">
        <v>1</v>
      </c>
      <c r="Y821" s="11" t="s">
        <v>135</v>
      </c>
      <c r="Z821" s="11">
        <v>20</v>
      </c>
      <c r="AA821" s="11">
        <v>1</v>
      </c>
      <c r="AB821" s="12">
        <v>0</v>
      </c>
    </row>
    <row r="822" spans="1:28" x14ac:dyDescent="0.2">
      <c r="A822" s="7">
        <v>24316</v>
      </c>
      <c r="B822" s="8" t="s">
        <v>5780</v>
      </c>
      <c r="C822" s="8" t="s">
        <v>186</v>
      </c>
      <c r="D822" s="8" t="s">
        <v>187</v>
      </c>
      <c r="E822" s="8" t="s">
        <v>1657</v>
      </c>
      <c r="F822" s="8" t="s">
        <v>189</v>
      </c>
      <c r="G822" s="8" t="s">
        <v>190</v>
      </c>
      <c r="H822" s="8" t="s">
        <v>191</v>
      </c>
      <c r="I822" s="8" t="s">
        <v>192</v>
      </c>
      <c r="J822" s="8" t="s">
        <v>193</v>
      </c>
      <c r="K822" s="8" t="s">
        <v>194</v>
      </c>
      <c r="L822" s="8" t="s">
        <v>163</v>
      </c>
      <c r="M822" s="8" t="s">
        <v>5781</v>
      </c>
      <c r="N822" s="8" t="s">
        <v>128</v>
      </c>
      <c r="O822" s="8" t="s">
        <v>5782</v>
      </c>
      <c r="P822" s="8"/>
      <c r="Q822" s="8" t="s">
        <v>150</v>
      </c>
      <c r="R822" s="8"/>
      <c r="S822" s="8" t="s">
        <v>198</v>
      </c>
      <c r="T822" s="8" t="s">
        <v>5783</v>
      </c>
      <c r="U822" s="8" t="s">
        <v>150</v>
      </c>
      <c r="V822" s="8" t="s">
        <v>5783</v>
      </c>
      <c r="W822" s="8" t="s">
        <v>5783</v>
      </c>
      <c r="X822" s="8">
        <v>1</v>
      </c>
      <c r="Y822" s="8" t="s">
        <v>135</v>
      </c>
      <c r="Z822" s="8">
        <v>20</v>
      </c>
      <c r="AA822" s="8">
        <v>1</v>
      </c>
      <c r="AB822" s="9">
        <v>0</v>
      </c>
    </row>
    <row r="823" spans="1:28" x14ac:dyDescent="0.2">
      <c r="A823" s="10">
        <v>31749</v>
      </c>
      <c r="B823" s="11" t="s">
        <v>5784</v>
      </c>
      <c r="C823" s="11" t="s">
        <v>5785</v>
      </c>
      <c r="D823" s="11"/>
      <c r="E823" s="11"/>
      <c r="F823" s="11" t="s">
        <v>5214</v>
      </c>
      <c r="G823" s="11" t="s">
        <v>224</v>
      </c>
      <c r="H823" s="11" t="s">
        <v>225</v>
      </c>
      <c r="I823" s="11" t="s">
        <v>1005</v>
      </c>
      <c r="J823" s="11" t="s">
        <v>5509</v>
      </c>
      <c r="K823" s="11" t="s">
        <v>228</v>
      </c>
      <c r="L823" s="11" t="s">
        <v>229</v>
      </c>
      <c r="M823" s="11" t="s">
        <v>5786</v>
      </c>
      <c r="N823" s="11" t="s">
        <v>128</v>
      </c>
      <c r="O823" s="11" t="s">
        <v>5787</v>
      </c>
      <c r="P823" s="11"/>
      <c r="Q823" s="11" t="s">
        <v>249</v>
      </c>
      <c r="R823" s="11"/>
      <c r="S823" s="11" t="s">
        <v>884</v>
      </c>
      <c r="T823" s="11" t="s">
        <v>1523</v>
      </c>
      <c r="U823" s="11" t="s">
        <v>134</v>
      </c>
      <c r="V823" s="11" t="s">
        <v>249</v>
      </c>
      <c r="W823" s="11" t="s">
        <v>1523</v>
      </c>
      <c r="X823" s="11">
        <v>1</v>
      </c>
      <c r="Y823" s="11" t="s">
        <v>135</v>
      </c>
      <c r="Z823" s="11">
        <v>20</v>
      </c>
      <c r="AA823" s="11">
        <v>1</v>
      </c>
      <c r="AB823" s="12">
        <v>0</v>
      </c>
    </row>
    <row r="824" spans="1:28" x14ac:dyDescent="0.2">
      <c r="A824" s="7">
        <v>25536</v>
      </c>
      <c r="B824" s="8" t="s">
        <v>5788</v>
      </c>
      <c r="C824" s="8" t="s">
        <v>5789</v>
      </c>
      <c r="D824" s="8" t="s">
        <v>5790</v>
      </c>
      <c r="E824" s="8" t="s">
        <v>1547</v>
      </c>
      <c r="F824" s="8" t="s">
        <v>353</v>
      </c>
      <c r="G824" s="8" t="s">
        <v>121</v>
      </c>
      <c r="H824" s="8" t="s">
        <v>122</v>
      </c>
      <c r="I824" s="8" t="s">
        <v>5791</v>
      </c>
      <c r="J824" s="8" t="s">
        <v>5792</v>
      </c>
      <c r="K824" s="8" t="s">
        <v>125</v>
      </c>
      <c r="L824" s="8" t="s">
        <v>126</v>
      </c>
      <c r="M824" s="8" t="s">
        <v>5793</v>
      </c>
      <c r="N824" s="8" t="s">
        <v>128</v>
      </c>
      <c r="O824" s="8" t="s">
        <v>5794</v>
      </c>
      <c r="P824" s="8" t="s">
        <v>5795</v>
      </c>
      <c r="Q824" s="8" t="s">
        <v>249</v>
      </c>
      <c r="R824" s="8"/>
      <c r="S824" s="8" t="s">
        <v>71</v>
      </c>
      <c r="T824" s="8" t="s">
        <v>250</v>
      </c>
      <c r="U824" s="8" t="s">
        <v>134</v>
      </c>
      <c r="V824" s="8" t="s">
        <v>249</v>
      </c>
      <c r="W824" s="8" t="s">
        <v>250</v>
      </c>
      <c r="X824" s="8">
        <v>101</v>
      </c>
      <c r="Y824" s="8" t="s">
        <v>5796</v>
      </c>
      <c r="Z824" s="8">
        <v>80</v>
      </c>
      <c r="AA824" s="8">
        <v>0</v>
      </c>
      <c r="AB824" s="9">
        <v>0</v>
      </c>
    </row>
    <row r="825" spans="1:28" x14ac:dyDescent="0.2">
      <c r="A825" s="10">
        <v>23004</v>
      </c>
      <c r="B825" s="11" t="s">
        <v>24</v>
      </c>
      <c r="C825" s="11" t="s">
        <v>457</v>
      </c>
      <c r="D825" s="11" t="s">
        <v>477</v>
      </c>
      <c r="E825" s="11"/>
      <c r="F825" s="11" t="s">
        <v>459</v>
      </c>
      <c r="G825" s="11" t="s">
        <v>141</v>
      </c>
      <c r="H825" s="11" t="s">
        <v>142</v>
      </c>
      <c r="I825" s="11" t="s">
        <v>460</v>
      </c>
      <c r="J825" s="11" t="s">
        <v>479</v>
      </c>
      <c r="K825" s="11" t="s">
        <v>403</v>
      </c>
      <c r="L825" s="11" t="s">
        <v>146</v>
      </c>
      <c r="M825" s="11" t="s">
        <v>23</v>
      </c>
      <c r="N825" s="11" t="s">
        <v>128</v>
      </c>
      <c r="O825" s="11" t="s">
        <v>5797</v>
      </c>
      <c r="P825" s="11" t="s">
        <v>5798</v>
      </c>
      <c r="Q825" s="11" t="s">
        <v>150</v>
      </c>
      <c r="R825" s="11"/>
      <c r="S825" s="11" t="s">
        <v>68</v>
      </c>
      <c r="T825" s="11" t="s">
        <v>70</v>
      </c>
      <c r="U825" s="11" t="s">
        <v>150</v>
      </c>
      <c r="V825" s="11" t="s">
        <v>70</v>
      </c>
      <c r="W825" s="11" t="s">
        <v>70</v>
      </c>
      <c r="X825" s="11">
        <v>80</v>
      </c>
      <c r="Y825" s="11" t="s">
        <v>5796</v>
      </c>
      <c r="Z825" s="11">
        <v>80</v>
      </c>
      <c r="AA825" s="11">
        <v>0</v>
      </c>
      <c r="AB825" s="12">
        <v>0</v>
      </c>
    </row>
    <row r="826" spans="1:28" x14ac:dyDescent="0.2">
      <c r="A826" s="7">
        <v>23920</v>
      </c>
      <c r="B826" s="8" t="s">
        <v>5799</v>
      </c>
      <c r="C826" s="8" t="s">
        <v>5800</v>
      </c>
      <c r="D826" s="8" t="s">
        <v>5801</v>
      </c>
      <c r="E826" s="8" t="s">
        <v>5802</v>
      </c>
      <c r="F826" s="8" t="s">
        <v>5803</v>
      </c>
      <c r="G826" s="8" t="s">
        <v>5804</v>
      </c>
      <c r="H826" s="8" t="s">
        <v>5805</v>
      </c>
      <c r="I826" s="8" t="s">
        <v>5806</v>
      </c>
      <c r="J826" s="8" t="s">
        <v>5807</v>
      </c>
      <c r="K826" s="8" t="s">
        <v>274</v>
      </c>
      <c r="L826" s="8" t="s">
        <v>163</v>
      </c>
      <c r="M826" s="8" t="s">
        <v>5808</v>
      </c>
      <c r="N826" s="8" t="s">
        <v>128</v>
      </c>
      <c r="O826" s="8" t="s">
        <v>5809</v>
      </c>
      <c r="P826" s="8" t="s">
        <v>5810</v>
      </c>
      <c r="Q826" s="8" t="s">
        <v>150</v>
      </c>
      <c r="R826" s="8"/>
      <c r="S826" s="8" t="s">
        <v>5811</v>
      </c>
      <c r="T826" s="8" t="s">
        <v>168</v>
      </c>
      <c r="U826" s="8" t="s">
        <v>150</v>
      </c>
      <c r="V826" s="8" t="s">
        <v>168</v>
      </c>
      <c r="W826" s="8" t="s">
        <v>168</v>
      </c>
      <c r="X826" s="8">
        <v>73</v>
      </c>
      <c r="Y826" s="8" t="s">
        <v>5796</v>
      </c>
      <c r="Z826" s="8">
        <v>80</v>
      </c>
      <c r="AA826" s="8">
        <v>0</v>
      </c>
      <c r="AB826" s="9">
        <v>0</v>
      </c>
    </row>
    <row r="827" spans="1:28" x14ac:dyDescent="0.2">
      <c r="A827" s="10">
        <v>23634</v>
      </c>
      <c r="B827" s="11" t="s">
        <v>5812</v>
      </c>
      <c r="C827" s="11" t="s">
        <v>2419</v>
      </c>
      <c r="D827" s="11" t="s">
        <v>2420</v>
      </c>
      <c r="E827" s="11" t="s">
        <v>5813</v>
      </c>
      <c r="F827" s="11" t="s">
        <v>2422</v>
      </c>
      <c r="G827" s="11" t="s">
        <v>2423</v>
      </c>
      <c r="H827" s="11" t="s">
        <v>557</v>
      </c>
      <c r="I827" s="11" t="s">
        <v>2424</v>
      </c>
      <c r="J827" s="11" t="s">
        <v>2425</v>
      </c>
      <c r="K827" s="11" t="s">
        <v>1562</v>
      </c>
      <c r="L827" s="11" t="s">
        <v>229</v>
      </c>
      <c r="M827" s="11" t="s">
        <v>5814</v>
      </c>
      <c r="N827" s="11" t="s">
        <v>128</v>
      </c>
      <c r="O827" s="11" t="s">
        <v>5815</v>
      </c>
      <c r="P827" s="11" t="s">
        <v>2777</v>
      </c>
      <c r="Q827" s="11" t="s">
        <v>150</v>
      </c>
      <c r="R827" s="11"/>
      <c r="S827" s="11" t="s">
        <v>2429</v>
      </c>
      <c r="T827" s="11" t="s">
        <v>168</v>
      </c>
      <c r="U827" s="11" t="s">
        <v>150</v>
      </c>
      <c r="V827" s="11" t="s">
        <v>168</v>
      </c>
      <c r="W827" s="11" t="s">
        <v>168</v>
      </c>
      <c r="X827" s="11">
        <v>71</v>
      </c>
      <c r="Y827" s="11" t="s">
        <v>5796</v>
      </c>
      <c r="Z827" s="11">
        <v>80</v>
      </c>
      <c r="AA827" s="11">
        <v>0</v>
      </c>
      <c r="AB827" s="12">
        <v>0</v>
      </c>
    </row>
    <row r="828" spans="1:28" x14ac:dyDescent="0.2">
      <c r="A828" s="7">
        <v>23806</v>
      </c>
      <c r="B828" s="8" t="s">
        <v>5816</v>
      </c>
      <c r="C828" s="8" t="s">
        <v>773</v>
      </c>
      <c r="D828" s="8" t="s">
        <v>5817</v>
      </c>
      <c r="E828" s="8"/>
      <c r="F828" s="8" t="s">
        <v>353</v>
      </c>
      <c r="G828" s="8" t="s">
        <v>776</v>
      </c>
      <c r="H828" s="8" t="s">
        <v>142</v>
      </c>
      <c r="I828" s="8" t="s">
        <v>777</v>
      </c>
      <c r="J828" s="8" t="s">
        <v>5818</v>
      </c>
      <c r="K828" s="8" t="s">
        <v>779</v>
      </c>
      <c r="L828" s="8" t="s">
        <v>464</v>
      </c>
      <c r="M828" s="8" t="s">
        <v>5819</v>
      </c>
      <c r="N828" s="8" t="s">
        <v>128</v>
      </c>
      <c r="O828" s="8" t="s">
        <v>5820</v>
      </c>
      <c r="P828" s="8" t="s">
        <v>5821</v>
      </c>
      <c r="Q828" s="8" t="s">
        <v>150</v>
      </c>
      <c r="R828" s="8"/>
      <c r="S828" s="8" t="s">
        <v>71</v>
      </c>
      <c r="T828" s="8" t="s">
        <v>168</v>
      </c>
      <c r="U828" s="8" t="s">
        <v>150</v>
      </c>
      <c r="V828" s="8" t="s">
        <v>168</v>
      </c>
      <c r="W828" s="8" t="s">
        <v>168</v>
      </c>
      <c r="X828" s="8">
        <v>71</v>
      </c>
      <c r="Y828" s="8" t="s">
        <v>5796</v>
      </c>
      <c r="Z828" s="8">
        <v>80</v>
      </c>
      <c r="AA828" s="8">
        <v>0</v>
      </c>
      <c r="AB828" s="9">
        <v>0</v>
      </c>
    </row>
    <row r="829" spans="1:28" x14ac:dyDescent="0.2">
      <c r="A829" s="10">
        <v>21857</v>
      </c>
      <c r="B829" s="11" t="s">
        <v>5822</v>
      </c>
      <c r="C829" s="11" t="s">
        <v>798</v>
      </c>
      <c r="D829" s="11" t="s">
        <v>799</v>
      </c>
      <c r="E829" s="11" t="s">
        <v>5823</v>
      </c>
      <c r="F829" s="11" t="s">
        <v>237</v>
      </c>
      <c r="G829" s="11" t="s">
        <v>158</v>
      </c>
      <c r="H829" s="11" t="s">
        <v>159</v>
      </c>
      <c r="I829" s="11" t="s">
        <v>801</v>
      </c>
      <c r="J829" s="11" t="s">
        <v>802</v>
      </c>
      <c r="K829" s="11" t="s">
        <v>274</v>
      </c>
      <c r="L829" s="11" t="s">
        <v>163</v>
      </c>
      <c r="M829" s="11" t="s">
        <v>5824</v>
      </c>
      <c r="N829" s="11" t="s">
        <v>128</v>
      </c>
      <c r="O829" s="11" t="s">
        <v>5825</v>
      </c>
      <c r="P829" s="11" t="s">
        <v>5826</v>
      </c>
      <c r="Q829" s="11" t="s">
        <v>131</v>
      </c>
      <c r="R829" s="11"/>
      <c r="S829" s="11" t="s">
        <v>806</v>
      </c>
      <c r="T829" s="11" t="s">
        <v>133</v>
      </c>
      <c r="U829" s="11" t="s">
        <v>134</v>
      </c>
      <c r="V829" s="11" t="s">
        <v>131</v>
      </c>
      <c r="W829" s="11" t="s">
        <v>133</v>
      </c>
      <c r="X829" s="11">
        <v>68</v>
      </c>
      <c r="Y829" s="11" t="s">
        <v>5796</v>
      </c>
      <c r="Z829" s="11">
        <v>80</v>
      </c>
      <c r="AA829" s="11">
        <v>0</v>
      </c>
      <c r="AB829" s="12">
        <v>0</v>
      </c>
    </row>
    <row r="830" spans="1:28" x14ac:dyDescent="0.2">
      <c r="A830" s="7">
        <v>24590</v>
      </c>
      <c r="B830" s="8" t="s">
        <v>5827</v>
      </c>
      <c r="C830" s="8" t="s">
        <v>200</v>
      </c>
      <c r="D830" s="8" t="s">
        <v>201</v>
      </c>
      <c r="E830" s="8" t="s">
        <v>5828</v>
      </c>
      <c r="F830" s="8" t="s">
        <v>203</v>
      </c>
      <c r="G830" s="8" t="s">
        <v>141</v>
      </c>
      <c r="H830" s="8" t="s">
        <v>142</v>
      </c>
      <c r="I830" s="8" t="s">
        <v>204</v>
      </c>
      <c r="J830" s="8" t="s">
        <v>205</v>
      </c>
      <c r="K830" s="8" t="s">
        <v>145</v>
      </c>
      <c r="L830" s="8" t="s">
        <v>146</v>
      </c>
      <c r="M830" s="8" t="s">
        <v>5829</v>
      </c>
      <c r="N830" s="8" t="s">
        <v>128</v>
      </c>
      <c r="O830" s="8" t="s">
        <v>5830</v>
      </c>
      <c r="P830" s="8" t="s">
        <v>5831</v>
      </c>
      <c r="Q830" s="8" t="s">
        <v>150</v>
      </c>
      <c r="R830" s="8"/>
      <c r="S830" s="8" t="s">
        <v>209</v>
      </c>
      <c r="T830" s="8" t="s">
        <v>69</v>
      </c>
      <c r="U830" s="8" t="s">
        <v>150</v>
      </c>
      <c r="V830" s="8" t="s">
        <v>152</v>
      </c>
      <c r="W830" s="8" t="s">
        <v>69</v>
      </c>
      <c r="X830" s="8">
        <v>68</v>
      </c>
      <c r="Y830" s="8" t="s">
        <v>5796</v>
      </c>
      <c r="Z830" s="8">
        <v>80</v>
      </c>
      <c r="AA830" s="8">
        <v>0</v>
      </c>
      <c r="AB830" s="9">
        <v>0</v>
      </c>
    </row>
    <row r="831" spans="1:28" x14ac:dyDescent="0.2">
      <c r="A831" s="10">
        <v>23558</v>
      </c>
      <c r="B831" s="11" t="s">
        <v>5832</v>
      </c>
      <c r="C831" s="11" t="s">
        <v>3133</v>
      </c>
      <c r="D831" s="11" t="s">
        <v>3134</v>
      </c>
      <c r="E831" s="11" t="s">
        <v>5833</v>
      </c>
      <c r="F831" s="11" t="s">
        <v>3136</v>
      </c>
      <c r="G831" s="11" t="s">
        <v>190</v>
      </c>
      <c r="H831" s="11" t="s">
        <v>191</v>
      </c>
      <c r="I831" s="11" t="s">
        <v>3205</v>
      </c>
      <c r="J831" s="11" t="s">
        <v>3138</v>
      </c>
      <c r="K831" s="11" t="s">
        <v>194</v>
      </c>
      <c r="L831" s="11" t="s">
        <v>163</v>
      </c>
      <c r="M831" s="11" t="s">
        <v>5834</v>
      </c>
      <c r="N831" s="11" t="s">
        <v>128</v>
      </c>
      <c r="O831" s="11" t="s">
        <v>5835</v>
      </c>
      <c r="P831" s="11" t="s">
        <v>5836</v>
      </c>
      <c r="Q831" s="11" t="s">
        <v>150</v>
      </c>
      <c r="R831" s="11"/>
      <c r="S831" s="11" t="s">
        <v>3142</v>
      </c>
      <c r="T831" s="11" t="s">
        <v>168</v>
      </c>
      <c r="U831" s="11" t="s">
        <v>150</v>
      </c>
      <c r="V831" s="11" t="s">
        <v>168</v>
      </c>
      <c r="W831" s="11" t="s">
        <v>168</v>
      </c>
      <c r="X831" s="11">
        <v>67</v>
      </c>
      <c r="Y831" s="11" t="s">
        <v>5796</v>
      </c>
      <c r="Z831" s="11">
        <v>80</v>
      </c>
      <c r="AA831" s="11">
        <v>0</v>
      </c>
      <c r="AB831" s="12">
        <v>0</v>
      </c>
    </row>
    <row r="832" spans="1:28" x14ac:dyDescent="0.2">
      <c r="A832" s="7">
        <v>23639</v>
      </c>
      <c r="B832" s="8" t="s">
        <v>5837</v>
      </c>
      <c r="C832" s="8" t="s">
        <v>798</v>
      </c>
      <c r="D832" s="8" t="s">
        <v>799</v>
      </c>
      <c r="E832" s="8"/>
      <c r="F832" s="8" t="s">
        <v>237</v>
      </c>
      <c r="G832" s="8" t="s">
        <v>158</v>
      </c>
      <c r="H832" s="8" t="s">
        <v>159</v>
      </c>
      <c r="I832" s="8" t="s">
        <v>801</v>
      </c>
      <c r="J832" s="8" t="s">
        <v>5838</v>
      </c>
      <c r="K832" s="8" t="s">
        <v>274</v>
      </c>
      <c r="L832" s="8" t="s">
        <v>163</v>
      </c>
      <c r="M832" s="8" t="s">
        <v>5839</v>
      </c>
      <c r="N832" s="8" t="s">
        <v>128</v>
      </c>
      <c r="O832" s="8" t="s">
        <v>5840</v>
      </c>
      <c r="P832" s="8" t="s">
        <v>5841</v>
      </c>
      <c r="Q832" s="8" t="s">
        <v>150</v>
      </c>
      <c r="R832" s="8"/>
      <c r="S832" s="8" t="s">
        <v>806</v>
      </c>
      <c r="T832" s="8" t="s">
        <v>168</v>
      </c>
      <c r="U832" s="8" t="s">
        <v>150</v>
      </c>
      <c r="V832" s="8" t="s">
        <v>168</v>
      </c>
      <c r="W832" s="8" t="s">
        <v>168</v>
      </c>
      <c r="X832" s="8">
        <v>67</v>
      </c>
      <c r="Y832" s="8" t="s">
        <v>5796</v>
      </c>
      <c r="Z832" s="8">
        <v>80</v>
      </c>
      <c r="AA832" s="8">
        <v>0</v>
      </c>
      <c r="AB832" s="9">
        <v>0</v>
      </c>
    </row>
    <row r="833" spans="1:28" x14ac:dyDescent="0.2">
      <c r="A833" s="10">
        <v>21293</v>
      </c>
      <c r="B833" s="11" t="s">
        <v>5842</v>
      </c>
      <c r="C833" s="11" t="s">
        <v>5843</v>
      </c>
      <c r="D833" s="11" t="s">
        <v>5844</v>
      </c>
      <c r="E833" s="11" t="s">
        <v>281</v>
      </c>
      <c r="F833" s="11" t="s">
        <v>5845</v>
      </c>
      <c r="G833" s="11" t="s">
        <v>5846</v>
      </c>
      <c r="H833" s="11" t="s">
        <v>159</v>
      </c>
      <c r="I833" s="11" t="s">
        <v>5847</v>
      </c>
      <c r="J833" s="11" t="s">
        <v>5848</v>
      </c>
      <c r="K833" s="11" t="s">
        <v>162</v>
      </c>
      <c r="L833" s="11" t="s">
        <v>163</v>
      </c>
      <c r="M833" s="11" t="s">
        <v>5849</v>
      </c>
      <c r="N833" s="11" t="s">
        <v>128</v>
      </c>
      <c r="O833" s="11" t="s">
        <v>5850</v>
      </c>
      <c r="P833" s="11" t="s">
        <v>5851</v>
      </c>
      <c r="Q833" s="11" t="s">
        <v>150</v>
      </c>
      <c r="R833" s="11"/>
      <c r="S833" s="11" t="s">
        <v>5852</v>
      </c>
      <c r="T833" s="11" t="s">
        <v>67</v>
      </c>
      <c r="U833" s="11" t="s">
        <v>150</v>
      </c>
      <c r="V833" s="11" t="s">
        <v>152</v>
      </c>
      <c r="W833" s="11" t="s">
        <v>67</v>
      </c>
      <c r="X833" s="11">
        <v>66</v>
      </c>
      <c r="Y833" s="11" t="s">
        <v>5796</v>
      </c>
      <c r="Z833" s="11">
        <v>80</v>
      </c>
      <c r="AA833" s="11">
        <v>0</v>
      </c>
      <c r="AB833" s="12">
        <v>0</v>
      </c>
    </row>
    <row r="834" spans="1:28" x14ac:dyDescent="0.2">
      <c r="A834" s="7">
        <v>21871</v>
      </c>
      <c r="B834" s="8" t="s">
        <v>5853</v>
      </c>
      <c r="C834" s="8" t="s">
        <v>457</v>
      </c>
      <c r="D834" s="8" t="s">
        <v>477</v>
      </c>
      <c r="E834" s="8" t="s">
        <v>5854</v>
      </c>
      <c r="F834" s="8" t="s">
        <v>459</v>
      </c>
      <c r="G834" s="8" t="s">
        <v>141</v>
      </c>
      <c r="H834" s="8" t="s">
        <v>142</v>
      </c>
      <c r="I834" s="8" t="s">
        <v>460</v>
      </c>
      <c r="J834" s="8" t="s">
        <v>479</v>
      </c>
      <c r="K834" s="8" t="s">
        <v>403</v>
      </c>
      <c r="L834" s="8" t="s">
        <v>146</v>
      </c>
      <c r="M834" s="8" t="s">
        <v>5855</v>
      </c>
      <c r="N834" s="8" t="s">
        <v>128</v>
      </c>
      <c r="O834" s="8" t="s">
        <v>5856</v>
      </c>
      <c r="P834" s="8" t="s">
        <v>4571</v>
      </c>
      <c r="Q834" s="8" t="s">
        <v>131</v>
      </c>
      <c r="R834" s="8"/>
      <c r="S834" s="8" t="s">
        <v>68</v>
      </c>
      <c r="T834" s="8" t="s">
        <v>133</v>
      </c>
      <c r="U834" s="8" t="s">
        <v>134</v>
      </c>
      <c r="V834" s="8" t="s">
        <v>131</v>
      </c>
      <c r="W834" s="8" t="s">
        <v>133</v>
      </c>
      <c r="X834" s="8">
        <v>66</v>
      </c>
      <c r="Y834" s="8" t="s">
        <v>5796</v>
      </c>
      <c r="Z834" s="8">
        <v>80</v>
      </c>
      <c r="AA834" s="8">
        <v>0</v>
      </c>
      <c r="AB834" s="9">
        <v>0</v>
      </c>
    </row>
    <row r="835" spans="1:28" x14ac:dyDescent="0.2">
      <c r="A835" s="10">
        <v>22525</v>
      </c>
      <c r="B835" s="11" t="s">
        <v>5857</v>
      </c>
      <c r="C835" s="11" t="s">
        <v>5858</v>
      </c>
      <c r="D835" s="11" t="s">
        <v>138</v>
      </c>
      <c r="E835" s="11" t="s">
        <v>5859</v>
      </c>
      <c r="F835" s="11" t="s">
        <v>5860</v>
      </c>
      <c r="G835" s="11" t="s">
        <v>224</v>
      </c>
      <c r="H835" s="11" t="s">
        <v>225</v>
      </c>
      <c r="I835" s="11" t="s">
        <v>5861</v>
      </c>
      <c r="J835" s="11" t="s">
        <v>5862</v>
      </c>
      <c r="K835" s="11" t="s">
        <v>228</v>
      </c>
      <c r="L835" s="11" t="s">
        <v>229</v>
      </c>
      <c r="M835" s="11" t="s">
        <v>5863</v>
      </c>
      <c r="N835" s="11" t="s">
        <v>128</v>
      </c>
      <c r="O835" s="11" t="s">
        <v>5864</v>
      </c>
      <c r="P835" s="11" t="s">
        <v>5860</v>
      </c>
      <c r="Q835" s="11" t="s">
        <v>150</v>
      </c>
      <c r="R835" s="11"/>
      <c r="S835" s="11" t="s">
        <v>71</v>
      </c>
      <c r="T835" s="11" t="s">
        <v>869</v>
      </c>
      <c r="U835" s="11" t="s">
        <v>150</v>
      </c>
      <c r="V835" s="11" t="s">
        <v>869</v>
      </c>
      <c r="W835" s="11" t="s">
        <v>869</v>
      </c>
      <c r="X835" s="11">
        <v>66</v>
      </c>
      <c r="Y835" s="11" t="s">
        <v>5796</v>
      </c>
      <c r="Z835" s="11">
        <v>80</v>
      </c>
      <c r="AA835" s="11">
        <v>0</v>
      </c>
      <c r="AB835" s="12">
        <v>0</v>
      </c>
    </row>
    <row r="836" spans="1:28" x14ac:dyDescent="0.2">
      <c r="A836" s="7">
        <v>21256</v>
      </c>
      <c r="B836" s="8" t="s">
        <v>5865</v>
      </c>
      <c r="C836" s="8" t="s">
        <v>4172</v>
      </c>
      <c r="D836" s="8" t="s">
        <v>138</v>
      </c>
      <c r="E836" s="8" t="s">
        <v>5866</v>
      </c>
      <c r="F836" s="8" t="s">
        <v>353</v>
      </c>
      <c r="G836" s="8" t="s">
        <v>4175</v>
      </c>
      <c r="H836" s="8" t="s">
        <v>329</v>
      </c>
      <c r="I836" s="8" t="s">
        <v>5867</v>
      </c>
      <c r="J836" s="8" t="s">
        <v>5868</v>
      </c>
      <c r="K836" s="8" t="s">
        <v>415</v>
      </c>
      <c r="L836" s="8" t="s">
        <v>333</v>
      </c>
      <c r="M836" s="8" t="s">
        <v>5869</v>
      </c>
      <c r="N836" s="8" t="s">
        <v>128</v>
      </c>
      <c r="O836" s="8" t="s">
        <v>5870</v>
      </c>
      <c r="P836" s="8" t="s">
        <v>212</v>
      </c>
      <c r="Q836" s="8" t="s">
        <v>150</v>
      </c>
      <c r="R836" s="8"/>
      <c r="S836" s="8" t="s">
        <v>71</v>
      </c>
      <c r="T836" s="8" t="s">
        <v>67</v>
      </c>
      <c r="U836" s="8" t="s">
        <v>150</v>
      </c>
      <c r="V836" s="8" t="s">
        <v>152</v>
      </c>
      <c r="W836" s="8" t="s">
        <v>67</v>
      </c>
      <c r="X836" s="8">
        <v>65</v>
      </c>
      <c r="Y836" s="8" t="s">
        <v>5796</v>
      </c>
      <c r="Z836" s="8">
        <v>80</v>
      </c>
      <c r="AA836" s="8">
        <v>0</v>
      </c>
      <c r="AB836" s="9">
        <v>0</v>
      </c>
    </row>
    <row r="837" spans="1:28" x14ac:dyDescent="0.2">
      <c r="A837" s="10">
        <v>26174</v>
      </c>
      <c r="B837" s="11" t="s">
        <v>5871</v>
      </c>
      <c r="C837" s="11" t="s">
        <v>4099</v>
      </c>
      <c r="D837" s="11" t="s">
        <v>1409</v>
      </c>
      <c r="E837" s="11"/>
      <c r="F837" s="11"/>
      <c r="G837" s="11" t="s">
        <v>5872</v>
      </c>
      <c r="H837" s="11" t="s">
        <v>142</v>
      </c>
      <c r="I837" s="11" t="s">
        <v>5873</v>
      </c>
      <c r="J837" s="11" t="s">
        <v>5874</v>
      </c>
      <c r="K837" s="11" t="s">
        <v>403</v>
      </c>
      <c r="L837" s="11" t="s">
        <v>146</v>
      </c>
      <c r="M837" s="11" t="s">
        <v>5875</v>
      </c>
      <c r="N837" s="11" t="s">
        <v>128</v>
      </c>
      <c r="O837" s="11" t="s">
        <v>5876</v>
      </c>
      <c r="P837" s="11" t="s">
        <v>5877</v>
      </c>
      <c r="Q837" s="11" t="s">
        <v>150</v>
      </c>
      <c r="R837" s="11"/>
      <c r="S837" s="11" t="s">
        <v>71</v>
      </c>
      <c r="T837" s="11" t="s">
        <v>67</v>
      </c>
      <c r="U837" s="11" t="s">
        <v>150</v>
      </c>
      <c r="V837" s="11" t="s">
        <v>152</v>
      </c>
      <c r="W837" s="11" t="s">
        <v>67</v>
      </c>
      <c r="X837" s="11">
        <v>65</v>
      </c>
      <c r="Y837" s="11" t="s">
        <v>5796</v>
      </c>
      <c r="Z837" s="11">
        <v>80</v>
      </c>
      <c r="AA837" s="11">
        <v>0</v>
      </c>
      <c r="AB837" s="12">
        <v>0</v>
      </c>
    </row>
    <row r="838" spans="1:28" x14ac:dyDescent="0.2">
      <c r="A838" s="7">
        <v>22653</v>
      </c>
      <c r="B838" s="8" t="s">
        <v>5878</v>
      </c>
      <c r="C838" s="8" t="s">
        <v>5879</v>
      </c>
      <c r="D838" s="8" t="s">
        <v>5880</v>
      </c>
      <c r="E838" s="8" t="s">
        <v>281</v>
      </c>
      <c r="F838" s="8" t="s">
        <v>353</v>
      </c>
      <c r="G838" s="8" t="s">
        <v>1670</v>
      </c>
      <c r="H838" s="8" t="s">
        <v>142</v>
      </c>
      <c r="I838" s="8"/>
      <c r="J838" s="8" t="s">
        <v>5881</v>
      </c>
      <c r="K838" s="8" t="s">
        <v>1673</v>
      </c>
      <c r="L838" s="8" t="s">
        <v>464</v>
      </c>
      <c r="M838" s="8" t="s">
        <v>5882</v>
      </c>
      <c r="N838" s="8" t="s">
        <v>128</v>
      </c>
      <c r="O838" s="8" t="s">
        <v>5883</v>
      </c>
      <c r="P838" s="8"/>
      <c r="Q838" s="8" t="s">
        <v>131</v>
      </c>
      <c r="R838" s="8"/>
      <c r="S838" s="8" t="s">
        <v>71</v>
      </c>
      <c r="T838" s="8" t="s">
        <v>983</v>
      </c>
      <c r="U838" s="8" t="s">
        <v>134</v>
      </c>
      <c r="V838" s="8" t="s">
        <v>131</v>
      </c>
      <c r="W838" s="8" t="s">
        <v>983</v>
      </c>
      <c r="X838" s="8">
        <v>65</v>
      </c>
      <c r="Y838" s="8" t="s">
        <v>5796</v>
      </c>
      <c r="Z838" s="8">
        <v>80</v>
      </c>
      <c r="AA838" s="8">
        <v>0</v>
      </c>
      <c r="AB838" s="9">
        <v>0</v>
      </c>
    </row>
    <row r="839" spans="1:28" x14ac:dyDescent="0.2">
      <c r="A839" s="10">
        <v>23138</v>
      </c>
      <c r="B839" s="11" t="s">
        <v>5884</v>
      </c>
      <c r="C839" s="11" t="s">
        <v>5885</v>
      </c>
      <c r="D839" s="11" t="s">
        <v>5114</v>
      </c>
      <c r="E839" s="11" t="s">
        <v>5886</v>
      </c>
      <c r="F839" s="11" t="s">
        <v>353</v>
      </c>
      <c r="G839" s="11" t="s">
        <v>328</v>
      </c>
      <c r="H839" s="11" t="s">
        <v>329</v>
      </c>
      <c r="I839" s="11" t="s">
        <v>5887</v>
      </c>
      <c r="J839" s="11" t="s">
        <v>5888</v>
      </c>
      <c r="K839" s="11" t="s">
        <v>332</v>
      </c>
      <c r="L839" s="11" t="s">
        <v>333</v>
      </c>
      <c r="M839" s="11" t="s">
        <v>5889</v>
      </c>
      <c r="N839" s="11" t="s">
        <v>128</v>
      </c>
      <c r="O839" s="11" t="s">
        <v>5890</v>
      </c>
      <c r="P839" s="11" t="s">
        <v>5891</v>
      </c>
      <c r="Q839" s="11" t="s">
        <v>150</v>
      </c>
      <c r="R839" s="11"/>
      <c r="S839" s="11" t="s">
        <v>5892</v>
      </c>
      <c r="T839" s="11" t="s">
        <v>70</v>
      </c>
      <c r="U839" s="11" t="s">
        <v>150</v>
      </c>
      <c r="V839" s="11" t="s">
        <v>70</v>
      </c>
      <c r="W839" s="11" t="s">
        <v>70</v>
      </c>
      <c r="X839" s="11">
        <v>65</v>
      </c>
      <c r="Y839" s="11" t="s">
        <v>5796</v>
      </c>
      <c r="Z839" s="11">
        <v>80</v>
      </c>
      <c r="AA839" s="11">
        <v>0</v>
      </c>
      <c r="AB839" s="12">
        <v>0</v>
      </c>
    </row>
    <row r="840" spans="1:28" x14ac:dyDescent="0.2">
      <c r="A840" s="7">
        <v>23644</v>
      </c>
      <c r="B840" s="8" t="s">
        <v>5893</v>
      </c>
      <c r="C840" s="8" t="s">
        <v>5894</v>
      </c>
      <c r="D840" s="8" t="s">
        <v>5895</v>
      </c>
      <c r="E840" s="8" t="s">
        <v>5896</v>
      </c>
      <c r="F840" s="8" t="s">
        <v>353</v>
      </c>
      <c r="G840" s="8" t="s">
        <v>5804</v>
      </c>
      <c r="H840" s="8" t="s">
        <v>5805</v>
      </c>
      <c r="I840" s="8" t="s">
        <v>5897</v>
      </c>
      <c r="J840" s="8" t="s">
        <v>5898</v>
      </c>
      <c r="K840" s="8" t="s">
        <v>274</v>
      </c>
      <c r="L840" s="8" t="s">
        <v>163</v>
      </c>
      <c r="M840" s="8" t="s">
        <v>5899</v>
      </c>
      <c r="N840" s="8" t="s">
        <v>128</v>
      </c>
      <c r="O840" s="8" t="s">
        <v>5900</v>
      </c>
      <c r="P840" s="8" t="s">
        <v>5901</v>
      </c>
      <c r="Q840" s="8" t="s">
        <v>150</v>
      </c>
      <c r="R840" s="8"/>
      <c r="S840" s="8" t="s">
        <v>5902</v>
      </c>
      <c r="T840" s="8" t="s">
        <v>168</v>
      </c>
      <c r="U840" s="8" t="s">
        <v>150</v>
      </c>
      <c r="V840" s="8" t="s">
        <v>168</v>
      </c>
      <c r="W840" s="8" t="s">
        <v>168</v>
      </c>
      <c r="X840" s="8">
        <v>65</v>
      </c>
      <c r="Y840" s="8" t="s">
        <v>5796</v>
      </c>
      <c r="Z840" s="8">
        <v>80</v>
      </c>
      <c r="AA840" s="8">
        <v>0</v>
      </c>
      <c r="AB840" s="9">
        <v>0</v>
      </c>
    </row>
    <row r="841" spans="1:28" x14ac:dyDescent="0.2">
      <c r="A841" s="10">
        <v>23612</v>
      </c>
      <c r="B841" s="11" t="s">
        <v>5903</v>
      </c>
      <c r="C841" s="11" t="s">
        <v>2742</v>
      </c>
      <c r="D841" s="11" t="s">
        <v>5904</v>
      </c>
      <c r="E841" s="11" t="s">
        <v>5905</v>
      </c>
      <c r="F841" s="11" t="s">
        <v>5906</v>
      </c>
      <c r="G841" s="11" t="s">
        <v>141</v>
      </c>
      <c r="H841" s="11" t="s">
        <v>142</v>
      </c>
      <c r="I841" s="11" t="s">
        <v>5907</v>
      </c>
      <c r="J841" s="11" t="s">
        <v>5908</v>
      </c>
      <c r="K841" s="11" t="s">
        <v>403</v>
      </c>
      <c r="L841" s="11" t="s">
        <v>146</v>
      </c>
      <c r="M841" s="11" t="s">
        <v>5909</v>
      </c>
      <c r="N841" s="11" t="s">
        <v>128</v>
      </c>
      <c r="O841" s="11" t="s">
        <v>5910</v>
      </c>
      <c r="P841" s="11" t="s">
        <v>5911</v>
      </c>
      <c r="Q841" s="11" t="s">
        <v>150</v>
      </c>
      <c r="R841" s="11"/>
      <c r="S841" s="11" t="s">
        <v>5912</v>
      </c>
      <c r="T841" s="11" t="s">
        <v>168</v>
      </c>
      <c r="U841" s="11" t="s">
        <v>150</v>
      </c>
      <c r="V841" s="11" t="s">
        <v>168</v>
      </c>
      <c r="W841" s="11" t="s">
        <v>168</v>
      </c>
      <c r="X841" s="11">
        <v>65</v>
      </c>
      <c r="Y841" s="11" t="s">
        <v>5796</v>
      </c>
      <c r="Z841" s="11">
        <v>80</v>
      </c>
      <c r="AA841" s="11">
        <v>0</v>
      </c>
      <c r="AB841" s="12">
        <v>0</v>
      </c>
    </row>
    <row r="842" spans="1:28" x14ac:dyDescent="0.2">
      <c r="A842" s="7">
        <v>21746</v>
      </c>
      <c r="B842" s="8" t="s">
        <v>5913</v>
      </c>
      <c r="C842" s="8" t="s">
        <v>1936</v>
      </c>
      <c r="D842" s="8" t="s">
        <v>1646</v>
      </c>
      <c r="E842" s="8" t="s">
        <v>5914</v>
      </c>
      <c r="F842" s="8" t="s">
        <v>353</v>
      </c>
      <c r="G842" s="8" t="s">
        <v>1937</v>
      </c>
      <c r="H842" s="8" t="s">
        <v>142</v>
      </c>
      <c r="I842" s="8" t="s">
        <v>1938</v>
      </c>
      <c r="J842" s="8" t="s">
        <v>5915</v>
      </c>
      <c r="K842" s="8" t="s">
        <v>1673</v>
      </c>
      <c r="L842" s="8" t="s">
        <v>464</v>
      </c>
      <c r="M842" s="8" t="s">
        <v>5916</v>
      </c>
      <c r="N842" s="8" t="s">
        <v>128</v>
      </c>
      <c r="O842" s="8" t="s">
        <v>5917</v>
      </c>
      <c r="P842" s="8" t="s">
        <v>5918</v>
      </c>
      <c r="Q842" s="8" t="s">
        <v>150</v>
      </c>
      <c r="R842" s="8"/>
      <c r="S842" s="8" t="s">
        <v>71</v>
      </c>
      <c r="T842" s="8" t="s">
        <v>67</v>
      </c>
      <c r="U842" s="8" t="s">
        <v>150</v>
      </c>
      <c r="V842" s="8" t="s">
        <v>152</v>
      </c>
      <c r="W842" s="8" t="s">
        <v>67</v>
      </c>
      <c r="X842" s="8">
        <v>64</v>
      </c>
      <c r="Y842" s="8" t="s">
        <v>5796</v>
      </c>
      <c r="Z842" s="8">
        <v>80</v>
      </c>
      <c r="AA842" s="8">
        <v>0</v>
      </c>
      <c r="AB842" s="9">
        <v>0</v>
      </c>
    </row>
    <row r="843" spans="1:28" x14ac:dyDescent="0.2">
      <c r="A843" s="10">
        <v>22989</v>
      </c>
      <c r="B843" s="11" t="s">
        <v>5919</v>
      </c>
      <c r="C843" s="11" t="s">
        <v>798</v>
      </c>
      <c r="D843" s="11" t="s">
        <v>799</v>
      </c>
      <c r="E843" s="11" t="s">
        <v>438</v>
      </c>
      <c r="F843" s="11" t="s">
        <v>237</v>
      </c>
      <c r="G843" s="11" t="s">
        <v>158</v>
      </c>
      <c r="H843" s="11" t="s">
        <v>159</v>
      </c>
      <c r="I843" s="11" t="s">
        <v>801</v>
      </c>
      <c r="J843" s="11" t="s">
        <v>802</v>
      </c>
      <c r="K843" s="11" t="s">
        <v>274</v>
      </c>
      <c r="L843" s="11" t="s">
        <v>163</v>
      </c>
      <c r="M843" s="11" t="s">
        <v>5920</v>
      </c>
      <c r="N843" s="11" t="s">
        <v>128</v>
      </c>
      <c r="O843" s="11" t="s">
        <v>5921</v>
      </c>
      <c r="P843" s="11" t="s">
        <v>5922</v>
      </c>
      <c r="Q843" s="11" t="s">
        <v>150</v>
      </c>
      <c r="R843" s="11"/>
      <c r="S843" s="11" t="s">
        <v>806</v>
      </c>
      <c r="T843" s="11" t="s">
        <v>70</v>
      </c>
      <c r="U843" s="11" t="s">
        <v>150</v>
      </c>
      <c r="V843" s="11" t="s">
        <v>70</v>
      </c>
      <c r="W843" s="11" t="s">
        <v>70</v>
      </c>
      <c r="X843" s="11">
        <v>64</v>
      </c>
      <c r="Y843" s="11" t="s">
        <v>5796</v>
      </c>
      <c r="Z843" s="11">
        <v>80</v>
      </c>
      <c r="AA843" s="11">
        <v>0</v>
      </c>
      <c r="AB843" s="12">
        <v>0</v>
      </c>
    </row>
    <row r="844" spans="1:28" x14ac:dyDescent="0.2">
      <c r="A844" s="7">
        <v>23650</v>
      </c>
      <c r="B844" s="8" t="s">
        <v>5923</v>
      </c>
      <c r="C844" s="8" t="s">
        <v>457</v>
      </c>
      <c r="D844" s="8" t="s">
        <v>477</v>
      </c>
      <c r="E844" s="8" t="s">
        <v>5924</v>
      </c>
      <c r="F844" s="8" t="s">
        <v>459</v>
      </c>
      <c r="G844" s="8" t="s">
        <v>141</v>
      </c>
      <c r="H844" s="8" t="s">
        <v>142</v>
      </c>
      <c r="I844" s="8" t="s">
        <v>460</v>
      </c>
      <c r="J844" s="8" t="s">
        <v>479</v>
      </c>
      <c r="K844" s="8" t="s">
        <v>403</v>
      </c>
      <c r="L844" s="8" t="s">
        <v>146</v>
      </c>
      <c r="M844" s="8" t="s">
        <v>5925</v>
      </c>
      <c r="N844" s="8" t="s">
        <v>128</v>
      </c>
      <c r="O844" s="8" t="s">
        <v>5926</v>
      </c>
      <c r="P844" s="8" t="s">
        <v>5927</v>
      </c>
      <c r="Q844" s="8" t="s">
        <v>150</v>
      </c>
      <c r="R844" s="8"/>
      <c r="S844" s="8" t="s">
        <v>68</v>
      </c>
      <c r="T844" s="8" t="s">
        <v>168</v>
      </c>
      <c r="U844" s="8" t="s">
        <v>150</v>
      </c>
      <c r="V844" s="8" t="s">
        <v>168</v>
      </c>
      <c r="W844" s="8" t="s">
        <v>168</v>
      </c>
      <c r="X844" s="8">
        <v>64</v>
      </c>
      <c r="Y844" s="8" t="s">
        <v>5796</v>
      </c>
      <c r="Z844" s="8">
        <v>80</v>
      </c>
      <c r="AA844" s="8">
        <v>0</v>
      </c>
      <c r="AB844" s="9">
        <v>0</v>
      </c>
    </row>
    <row r="845" spans="1:28" x14ac:dyDescent="0.2">
      <c r="A845" s="10">
        <v>23669</v>
      </c>
      <c r="B845" s="11" t="s">
        <v>5928</v>
      </c>
      <c r="C845" s="11" t="s">
        <v>3108</v>
      </c>
      <c r="D845" s="11" t="s">
        <v>3109</v>
      </c>
      <c r="E845" s="11" t="s">
        <v>281</v>
      </c>
      <c r="F845" s="11" t="s">
        <v>3111</v>
      </c>
      <c r="G845" s="11" t="s">
        <v>615</v>
      </c>
      <c r="H845" s="11" t="s">
        <v>616</v>
      </c>
      <c r="I845" s="11" t="s">
        <v>3112</v>
      </c>
      <c r="J845" s="11" t="s">
        <v>5929</v>
      </c>
      <c r="K845" s="11" t="s">
        <v>619</v>
      </c>
      <c r="L845" s="11" t="s">
        <v>163</v>
      </c>
      <c r="M845" s="11" t="s">
        <v>5930</v>
      </c>
      <c r="N845" s="11" t="s">
        <v>128</v>
      </c>
      <c r="O845" s="11" t="s">
        <v>5931</v>
      </c>
      <c r="P845" s="11" t="s">
        <v>5932</v>
      </c>
      <c r="Q845" s="11" t="s">
        <v>150</v>
      </c>
      <c r="R845" s="11"/>
      <c r="S845" s="11" t="s">
        <v>3117</v>
      </c>
      <c r="T845" s="11" t="s">
        <v>168</v>
      </c>
      <c r="U845" s="11" t="s">
        <v>150</v>
      </c>
      <c r="V845" s="11" t="s">
        <v>168</v>
      </c>
      <c r="W845" s="11" t="s">
        <v>168</v>
      </c>
      <c r="X845" s="11">
        <v>64</v>
      </c>
      <c r="Y845" s="11" t="s">
        <v>5796</v>
      </c>
      <c r="Z845" s="11">
        <v>80</v>
      </c>
      <c r="AA845" s="11">
        <v>0</v>
      </c>
      <c r="AB845" s="12">
        <v>0</v>
      </c>
    </row>
    <row r="846" spans="1:28" x14ac:dyDescent="0.2">
      <c r="A846" s="7">
        <v>23878</v>
      </c>
      <c r="B846" s="8" t="s">
        <v>5933</v>
      </c>
      <c r="C846" s="8" t="s">
        <v>1585</v>
      </c>
      <c r="D846" s="8" t="s">
        <v>5934</v>
      </c>
      <c r="E846" s="8"/>
      <c r="F846" s="8" t="s">
        <v>1487</v>
      </c>
      <c r="G846" s="8" t="s">
        <v>1488</v>
      </c>
      <c r="H846" s="8" t="s">
        <v>329</v>
      </c>
      <c r="I846" s="8" t="s">
        <v>1588</v>
      </c>
      <c r="J846" s="8" t="s">
        <v>5935</v>
      </c>
      <c r="K846" s="8" t="s">
        <v>415</v>
      </c>
      <c r="L846" s="8" t="s">
        <v>333</v>
      </c>
      <c r="M846" s="8" t="s">
        <v>5936</v>
      </c>
      <c r="N846" s="8" t="s">
        <v>128</v>
      </c>
      <c r="O846" s="8" t="s">
        <v>5937</v>
      </c>
      <c r="P846" s="8" t="s">
        <v>5938</v>
      </c>
      <c r="Q846" s="8" t="s">
        <v>150</v>
      </c>
      <c r="R846" s="8"/>
      <c r="S846" s="8" t="s">
        <v>71</v>
      </c>
      <c r="T846" s="8" t="s">
        <v>168</v>
      </c>
      <c r="U846" s="8" t="s">
        <v>150</v>
      </c>
      <c r="V846" s="8" t="s">
        <v>168</v>
      </c>
      <c r="W846" s="8" t="s">
        <v>168</v>
      </c>
      <c r="X846" s="8">
        <v>64</v>
      </c>
      <c r="Y846" s="8" t="s">
        <v>5796</v>
      </c>
      <c r="Z846" s="8">
        <v>80</v>
      </c>
      <c r="AA846" s="8">
        <v>0</v>
      </c>
      <c r="AB846" s="9">
        <v>0</v>
      </c>
    </row>
    <row r="847" spans="1:28" x14ac:dyDescent="0.2">
      <c r="A847" s="10">
        <v>28821</v>
      </c>
      <c r="B847" s="11" t="s">
        <v>5939</v>
      </c>
      <c r="C847" s="11" t="s">
        <v>5940</v>
      </c>
      <c r="D847" s="11" t="s">
        <v>5941</v>
      </c>
      <c r="E847" s="11"/>
      <c r="F847" s="11" t="s">
        <v>5942</v>
      </c>
      <c r="G847" s="11" t="s">
        <v>5943</v>
      </c>
      <c r="H847" s="11" t="s">
        <v>191</v>
      </c>
      <c r="I847" s="11" t="s">
        <v>5944</v>
      </c>
      <c r="J847" s="11" t="s">
        <v>5945</v>
      </c>
      <c r="K847" s="11" t="s">
        <v>194</v>
      </c>
      <c r="L847" s="11" t="s">
        <v>163</v>
      </c>
      <c r="M847" s="11" t="s">
        <v>5946</v>
      </c>
      <c r="N847" s="11" t="s">
        <v>128</v>
      </c>
      <c r="O847" s="11"/>
      <c r="P847" s="11" t="s">
        <v>5947</v>
      </c>
      <c r="Q847" s="11" t="s">
        <v>150</v>
      </c>
      <c r="R847" s="11"/>
      <c r="S847" s="11" t="s">
        <v>5948</v>
      </c>
      <c r="T847" s="11" t="s">
        <v>168</v>
      </c>
      <c r="U847" s="11" t="s">
        <v>150</v>
      </c>
      <c r="V847" s="11" t="s">
        <v>168</v>
      </c>
      <c r="W847" s="11" t="s">
        <v>168</v>
      </c>
      <c r="X847" s="11">
        <v>64</v>
      </c>
      <c r="Y847" s="11" t="s">
        <v>5796</v>
      </c>
      <c r="Z847" s="11">
        <v>80</v>
      </c>
      <c r="AA847" s="11">
        <v>0</v>
      </c>
      <c r="AB847" s="12">
        <v>0</v>
      </c>
    </row>
    <row r="848" spans="1:28" x14ac:dyDescent="0.2">
      <c r="A848" s="7">
        <v>21137</v>
      </c>
      <c r="B848" s="8" t="s">
        <v>5949</v>
      </c>
      <c r="C848" s="8" t="s">
        <v>5950</v>
      </c>
      <c r="D848" s="8" t="s">
        <v>5951</v>
      </c>
      <c r="E848" s="8"/>
      <c r="F848" s="8" t="s">
        <v>520</v>
      </c>
      <c r="G848" s="8" t="s">
        <v>521</v>
      </c>
      <c r="H848" s="8" t="s">
        <v>522</v>
      </c>
      <c r="I848" s="8" t="s">
        <v>5952</v>
      </c>
      <c r="J848" s="8" t="s">
        <v>5953</v>
      </c>
      <c r="K848" s="8" t="s">
        <v>525</v>
      </c>
      <c r="L848" s="8" t="s">
        <v>526</v>
      </c>
      <c r="M848" s="8" t="s">
        <v>5954</v>
      </c>
      <c r="N848" s="8" t="s">
        <v>128</v>
      </c>
      <c r="O848" s="8" t="s">
        <v>5955</v>
      </c>
      <c r="P848" s="8" t="s">
        <v>5956</v>
      </c>
      <c r="Q848" s="8" t="s">
        <v>150</v>
      </c>
      <c r="R848" s="8"/>
      <c r="S848" s="8" t="s">
        <v>71</v>
      </c>
      <c r="T848" s="8" t="s">
        <v>289</v>
      </c>
      <c r="U848" s="8" t="s">
        <v>150</v>
      </c>
      <c r="V848" s="8" t="s">
        <v>289</v>
      </c>
      <c r="W848" s="8" t="s">
        <v>289</v>
      </c>
      <c r="X848" s="8">
        <v>63</v>
      </c>
      <c r="Y848" s="8" t="s">
        <v>5796</v>
      </c>
      <c r="Z848" s="8">
        <v>80</v>
      </c>
      <c r="AA848" s="8">
        <v>0</v>
      </c>
      <c r="AB848" s="9">
        <v>0</v>
      </c>
    </row>
    <row r="849" spans="1:28" x14ac:dyDescent="0.2">
      <c r="A849" s="10">
        <v>21298</v>
      </c>
      <c r="B849" s="11" t="s">
        <v>5957</v>
      </c>
      <c r="C849" s="11" t="s">
        <v>5958</v>
      </c>
      <c r="D849" s="11" t="s">
        <v>5959</v>
      </c>
      <c r="E849" s="11"/>
      <c r="F849" s="11" t="s">
        <v>5960</v>
      </c>
      <c r="G849" s="11" t="s">
        <v>615</v>
      </c>
      <c r="H849" s="11" t="s">
        <v>616</v>
      </c>
      <c r="I849" s="11" t="s">
        <v>5961</v>
      </c>
      <c r="J849" s="11" t="s">
        <v>5962</v>
      </c>
      <c r="K849" s="11" t="s">
        <v>619</v>
      </c>
      <c r="L849" s="11" t="s">
        <v>163</v>
      </c>
      <c r="M849" s="11" t="s">
        <v>5963</v>
      </c>
      <c r="N849" s="11" t="s">
        <v>128</v>
      </c>
      <c r="O849" s="11" t="s">
        <v>5964</v>
      </c>
      <c r="P849" s="11" t="s">
        <v>5965</v>
      </c>
      <c r="Q849" s="11" t="s">
        <v>150</v>
      </c>
      <c r="R849" s="11"/>
      <c r="S849" s="11" t="s">
        <v>5966</v>
      </c>
      <c r="T849" s="11" t="s">
        <v>67</v>
      </c>
      <c r="U849" s="11" t="s">
        <v>150</v>
      </c>
      <c r="V849" s="11" t="s">
        <v>152</v>
      </c>
      <c r="W849" s="11" t="s">
        <v>67</v>
      </c>
      <c r="X849" s="11">
        <v>63</v>
      </c>
      <c r="Y849" s="11" t="s">
        <v>5796</v>
      </c>
      <c r="Z849" s="11">
        <v>80</v>
      </c>
      <c r="AA849" s="11">
        <v>0</v>
      </c>
      <c r="AB849" s="12">
        <v>0</v>
      </c>
    </row>
    <row r="850" spans="1:28" x14ac:dyDescent="0.2">
      <c r="A850" s="7">
        <v>21806</v>
      </c>
      <c r="B850" s="8" t="s">
        <v>5967</v>
      </c>
      <c r="C850" s="8" t="s">
        <v>200</v>
      </c>
      <c r="D850" s="8" t="s">
        <v>201</v>
      </c>
      <c r="E850" s="8" t="s">
        <v>281</v>
      </c>
      <c r="F850" s="8" t="s">
        <v>203</v>
      </c>
      <c r="G850" s="8" t="s">
        <v>141</v>
      </c>
      <c r="H850" s="8" t="s">
        <v>142</v>
      </c>
      <c r="I850" s="8" t="s">
        <v>5968</v>
      </c>
      <c r="J850" s="8" t="s">
        <v>5969</v>
      </c>
      <c r="K850" s="8" t="s">
        <v>145</v>
      </c>
      <c r="L850" s="8" t="s">
        <v>146</v>
      </c>
      <c r="M850" s="8" t="s">
        <v>5970</v>
      </c>
      <c r="N850" s="8" t="s">
        <v>128</v>
      </c>
      <c r="O850" s="8" t="s">
        <v>5971</v>
      </c>
      <c r="P850" s="8" t="s">
        <v>5972</v>
      </c>
      <c r="Q850" s="8" t="s">
        <v>131</v>
      </c>
      <c r="R850" s="8"/>
      <c r="S850" s="8" t="s">
        <v>209</v>
      </c>
      <c r="T850" s="8" t="s">
        <v>133</v>
      </c>
      <c r="U850" s="8" t="s">
        <v>134</v>
      </c>
      <c r="V850" s="8" t="s">
        <v>131</v>
      </c>
      <c r="W850" s="8" t="s">
        <v>133</v>
      </c>
      <c r="X850" s="8">
        <v>63</v>
      </c>
      <c r="Y850" s="8" t="s">
        <v>5796</v>
      </c>
      <c r="Z850" s="8">
        <v>80</v>
      </c>
      <c r="AA850" s="8">
        <v>0</v>
      </c>
      <c r="AB850" s="9">
        <v>0</v>
      </c>
    </row>
    <row r="851" spans="1:28" x14ac:dyDescent="0.2">
      <c r="A851" s="10">
        <v>21834</v>
      </c>
      <c r="B851" s="11" t="s">
        <v>5973</v>
      </c>
      <c r="C851" s="11" t="s">
        <v>953</v>
      </c>
      <c r="D851" s="11" t="s">
        <v>954</v>
      </c>
      <c r="E851" s="11" t="s">
        <v>5974</v>
      </c>
      <c r="F851" s="11" t="s">
        <v>956</v>
      </c>
      <c r="G851" s="11" t="s">
        <v>776</v>
      </c>
      <c r="H851" s="11" t="s">
        <v>142</v>
      </c>
      <c r="I851" s="11" t="s">
        <v>957</v>
      </c>
      <c r="J851" s="11" t="s">
        <v>958</v>
      </c>
      <c r="K851" s="11" t="s">
        <v>779</v>
      </c>
      <c r="L851" s="11" t="s">
        <v>464</v>
      </c>
      <c r="M851" s="11" t="s">
        <v>5975</v>
      </c>
      <c r="N851" s="11" t="s">
        <v>128</v>
      </c>
      <c r="O851" s="11" t="s">
        <v>5976</v>
      </c>
      <c r="P851" s="11" t="s">
        <v>5977</v>
      </c>
      <c r="Q851" s="11" t="s">
        <v>131</v>
      </c>
      <c r="R851" s="11"/>
      <c r="S851" s="11" t="s">
        <v>962</v>
      </c>
      <c r="T851" s="11" t="s">
        <v>133</v>
      </c>
      <c r="U851" s="11" t="s">
        <v>134</v>
      </c>
      <c r="V851" s="11" t="s">
        <v>131</v>
      </c>
      <c r="W851" s="11" t="s">
        <v>133</v>
      </c>
      <c r="X851" s="11">
        <v>63</v>
      </c>
      <c r="Y851" s="11" t="s">
        <v>5796</v>
      </c>
      <c r="Z851" s="11">
        <v>80</v>
      </c>
      <c r="AA851" s="11">
        <v>0</v>
      </c>
      <c r="AB851" s="12">
        <v>0</v>
      </c>
    </row>
    <row r="852" spans="1:28" x14ac:dyDescent="0.2">
      <c r="A852" s="7">
        <v>23139</v>
      </c>
      <c r="B852" s="8" t="s">
        <v>5978</v>
      </c>
      <c r="C852" s="8" t="s">
        <v>5979</v>
      </c>
      <c r="D852" s="8" t="s">
        <v>5139</v>
      </c>
      <c r="E852" s="8" t="s">
        <v>5980</v>
      </c>
      <c r="F852" s="8" t="s">
        <v>1994</v>
      </c>
      <c r="G852" s="8" t="s">
        <v>328</v>
      </c>
      <c r="H852" s="8" t="s">
        <v>329</v>
      </c>
      <c r="I852" s="8" t="s">
        <v>5981</v>
      </c>
      <c r="J852" s="8" t="s">
        <v>5982</v>
      </c>
      <c r="K852" s="8" t="s">
        <v>332</v>
      </c>
      <c r="L852" s="8" t="s">
        <v>333</v>
      </c>
      <c r="M852" s="8" t="s">
        <v>5983</v>
      </c>
      <c r="N852" s="8" t="s">
        <v>128</v>
      </c>
      <c r="O852" s="8" t="s">
        <v>5984</v>
      </c>
      <c r="P852" s="8" t="s">
        <v>5985</v>
      </c>
      <c r="Q852" s="8" t="s">
        <v>150</v>
      </c>
      <c r="R852" s="8"/>
      <c r="S852" s="8" t="s">
        <v>5986</v>
      </c>
      <c r="T852" s="8" t="s">
        <v>70</v>
      </c>
      <c r="U852" s="8" t="s">
        <v>150</v>
      </c>
      <c r="V852" s="8" t="s">
        <v>70</v>
      </c>
      <c r="W852" s="8" t="s">
        <v>70</v>
      </c>
      <c r="X852" s="8">
        <v>63</v>
      </c>
      <c r="Y852" s="8" t="s">
        <v>5796</v>
      </c>
      <c r="Z852" s="8">
        <v>80</v>
      </c>
      <c r="AA852" s="8">
        <v>0</v>
      </c>
      <c r="AB852" s="9">
        <v>0</v>
      </c>
    </row>
    <row r="853" spans="1:28" x14ac:dyDescent="0.2">
      <c r="A853" s="10">
        <v>23581</v>
      </c>
      <c r="B853" s="11" t="s">
        <v>5987</v>
      </c>
      <c r="C853" s="11" t="s">
        <v>1610</v>
      </c>
      <c r="D853" s="11" t="s">
        <v>1611</v>
      </c>
      <c r="E853" s="11" t="s">
        <v>5988</v>
      </c>
      <c r="F853" s="11" t="s">
        <v>1613</v>
      </c>
      <c r="G853" s="11" t="s">
        <v>1614</v>
      </c>
      <c r="H853" s="11" t="s">
        <v>142</v>
      </c>
      <c r="I853" s="11" t="s">
        <v>1615</v>
      </c>
      <c r="J853" s="11" t="s">
        <v>1616</v>
      </c>
      <c r="K853" s="11" t="s">
        <v>717</v>
      </c>
      <c r="L853" s="11" t="s">
        <v>464</v>
      </c>
      <c r="M853" s="11" t="s">
        <v>5989</v>
      </c>
      <c r="N853" s="11" t="s">
        <v>128</v>
      </c>
      <c r="O853" s="11" t="s">
        <v>5990</v>
      </c>
      <c r="P853" s="11" t="s">
        <v>5991</v>
      </c>
      <c r="Q853" s="11" t="s">
        <v>150</v>
      </c>
      <c r="R853" s="11"/>
      <c r="S853" s="11" t="s">
        <v>1620</v>
      </c>
      <c r="T853" s="11" t="s">
        <v>168</v>
      </c>
      <c r="U853" s="11" t="s">
        <v>150</v>
      </c>
      <c r="V853" s="11" t="s">
        <v>168</v>
      </c>
      <c r="W853" s="11" t="s">
        <v>168</v>
      </c>
      <c r="X853" s="11">
        <v>63</v>
      </c>
      <c r="Y853" s="11" t="s">
        <v>5796</v>
      </c>
      <c r="Z853" s="11">
        <v>80</v>
      </c>
      <c r="AA853" s="11">
        <v>0</v>
      </c>
      <c r="AB853" s="12">
        <v>0</v>
      </c>
    </row>
    <row r="854" spans="1:28" x14ac:dyDescent="0.2">
      <c r="A854" s="7">
        <v>23687</v>
      </c>
      <c r="B854" s="8" t="s">
        <v>5992</v>
      </c>
      <c r="C854" s="8" t="s">
        <v>5993</v>
      </c>
      <c r="D854" s="8" t="s">
        <v>5994</v>
      </c>
      <c r="E854" s="8" t="s">
        <v>5995</v>
      </c>
      <c r="F854" s="8" t="s">
        <v>5996</v>
      </c>
      <c r="G854" s="8" t="s">
        <v>2175</v>
      </c>
      <c r="H854" s="8" t="s">
        <v>2176</v>
      </c>
      <c r="I854" s="8" t="s">
        <v>5997</v>
      </c>
      <c r="J854" s="8" t="s">
        <v>5998</v>
      </c>
      <c r="K854" s="8" t="s">
        <v>194</v>
      </c>
      <c r="L854" s="8" t="s">
        <v>163</v>
      </c>
      <c r="M854" s="8" t="s">
        <v>5999</v>
      </c>
      <c r="N854" s="8" t="s">
        <v>128</v>
      </c>
      <c r="O854" s="8" t="s">
        <v>6000</v>
      </c>
      <c r="P854" s="8" t="s">
        <v>6001</v>
      </c>
      <c r="Q854" s="8" t="s">
        <v>150</v>
      </c>
      <c r="R854" s="8"/>
      <c r="S854" s="8" t="s">
        <v>6002</v>
      </c>
      <c r="T854" s="8" t="s">
        <v>168</v>
      </c>
      <c r="U854" s="8" t="s">
        <v>150</v>
      </c>
      <c r="V854" s="8" t="s">
        <v>168</v>
      </c>
      <c r="W854" s="8" t="s">
        <v>168</v>
      </c>
      <c r="X854" s="8">
        <v>63</v>
      </c>
      <c r="Y854" s="8" t="s">
        <v>5796</v>
      </c>
      <c r="Z854" s="8">
        <v>80</v>
      </c>
      <c r="AA854" s="8">
        <v>0</v>
      </c>
      <c r="AB854" s="9">
        <v>0</v>
      </c>
    </row>
    <row r="855" spans="1:28" x14ac:dyDescent="0.2">
      <c r="A855" s="10">
        <v>23941</v>
      </c>
      <c r="B855" s="11" t="s">
        <v>6003</v>
      </c>
      <c r="C855" s="11" t="s">
        <v>6004</v>
      </c>
      <c r="D855" s="11" t="s">
        <v>2191</v>
      </c>
      <c r="E855" s="11"/>
      <c r="F855" s="11" t="s">
        <v>353</v>
      </c>
      <c r="G855" s="11" t="s">
        <v>6005</v>
      </c>
      <c r="H855" s="11" t="s">
        <v>5805</v>
      </c>
      <c r="I855" s="11" t="s">
        <v>6006</v>
      </c>
      <c r="J855" s="11" t="s">
        <v>6007</v>
      </c>
      <c r="K855" s="11" t="s">
        <v>274</v>
      </c>
      <c r="L855" s="11" t="s">
        <v>163</v>
      </c>
      <c r="M855" s="11" t="s">
        <v>6008</v>
      </c>
      <c r="N855" s="11" t="s">
        <v>128</v>
      </c>
      <c r="O855" s="11" t="s">
        <v>6009</v>
      </c>
      <c r="P855" s="11" t="s">
        <v>6010</v>
      </c>
      <c r="Q855" s="11" t="s">
        <v>150</v>
      </c>
      <c r="R855" s="11"/>
      <c r="S855" s="11" t="s">
        <v>71</v>
      </c>
      <c r="T855" s="11" t="s">
        <v>168</v>
      </c>
      <c r="U855" s="11" t="s">
        <v>150</v>
      </c>
      <c r="V855" s="11" t="s">
        <v>168</v>
      </c>
      <c r="W855" s="11" t="s">
        <v>168</v>
      </c>
      <c r="X855" s="11">
        <v>63</v>
      </c>
      <c r="Y855" s="11" t="s">
        <v>5796</v>
      </c>
      <c r="Z855" s="11">
        <v>80</v>
      </c>
      <c r="AA855" s="11">
        <v>0</v>
      </c>
      <c r="AB855" s="12">
        <v>0</v>
      </c>
    </row>
    <row r="856" spans="1:28" x14ac:dyDescent="0.2">
      <c r="A856" s="7">
        <v>21397</v>
      </c>
      <c r="B856" s="8" t="s">
        <v>6011</v>
      </c>
      <c r="C856" s="8" t="s">
        <v>2060</v>
      </c>
      <c r="D856" s="8" t="s">
        <v>515</v>
      </c>
      <c r="E856" s="8" t="s">
        <v>4795</v>
      </c>
      <c r="F856" s="8" t="s">
        <v>2063</v>
      </c>
      <c r="G856" s="8" t="s">
        <v>141</v>
      </c>
      <c r="H856" s="8" t="s">
        <v>142</v>
      </c>
      <c r="I856" s="8" t="s">
        <v>6012</v>
      </c>
      <c r="J856" s="8" t="s">
        <v>6013</v>
      </c>
      <c r="K856" s="8" t="s">
        <v>145</v>
      </c>
      <c r="L856" s="8" t="s">
        <v>146</v>
      </c>
      <c r="M856" s="8" t="s">
        <v>6014</v>
      </c>
      <c r="N856" s="8" t="s">
        <v>128</v>
      </c>
      <c r="O856" s="8" t="s">
        <v>6015</v>
      </c>
      <c r="P856" s="8" t="s">
        <v>6016</v>
      </c>
      <c r="Q856" s="8" t="s">
        <v>150</v>
      </c>
      <c r="R856" s="8"/>
      <c r="S856" s="8" t="s">
        <v>71</v>
      </c>
      <c r="T856" s="8" t="s">
        <v>67</v>
      </c>
      <c r="U856" s="8" t="s">
        <v>150</v>
      </c>
      <c r="V856" s="8" t="s">
        <v>152</v>
      </c>
      <c r="W856" s="8" t="s">
        <v>67</v>
      </c>
      <c r="X856" s="8">
        <v>62</v>
      </c>
      <c r="Y856" s="8" t="s">
        <v>5796</v>
      </c>
      <c r="Z856" s="8">
        <v>80</v>
      </c>
      <c r="AA856" s="8">
        <v>0</v>
      </c>
      <c r="AB856" s="9">
        <v>0</v>
      </c>
    </row>
    <row r="857" spans="1:28" x14ac:dyDescent="0.2">
      <c r="A857" s="10">
        <v>21481</v>
      </c>
      <c r="B857" s="11" t="s">
        <v>6017</v>
      </c>
      <c r="C857" s="11" t="s">
        <v>6018</v>
      </c>
      <c r="D857" s="11" t="s">
        <v>6019</v>
      </c>
      <c r="E857" s="11" t="s">
        <v>6020</v>
      </c>
      <c r="F857" s="11" t="s">
        <v>6021</v>
      </c>
      <c r="G857" s="11" t="s">
        <v>1325</v>
      </c>
      <c r="H857" s="11" t="s">
        <v>142</v>
      </c>
      <c r="I857" s="11" t="s">
        <v>6022</v>
      </c>
      <c r="J857" s="11" t="s">
        <v>6023</v>
      </c>
      <c r="K857" s="11" t="s">
        <v>974</v>
      </c>
      <c r="L857" s="11" t="s">
        <v>146</v>
      </c>
      <c r="M857" s="11" t="s">
        <v>6024</v>
      </c>
      <c r="N857" s="11" t="s">
        <v>128</v>
      </c>
      <c r="O857" s="11" t="s">
        <v>6025</v>
      </c>
      <c r="P857" s="11" t="s">
        <v>6026</v>
      </c>
      <c r="Q857" s="11" t="s">
        <v>150</v>
      </c>
      <c r="R857" s="11"/>
      <c r="S857" s="11" t="s">
        <v>6027</v>
      </c>
      <c r="T857" s="11" t="s">
        <v>67</v>
      </c>
      <c r="U857" s="11" t="s">
        <v>150</v>
      </c>
      <c r="V857" s="11" t="s">
        <v>152</v>
      </c>
      <c r="W857" s="11" t="s">
        <v>67</v>
      </c>
      <c r="X857" s="11">
        <v>62</v>
      </c>
      <c r="Y857" s="11" t="s">
        <v>5796</v>
      </c>
      <c r="Z857" s="11">
        <v>80</v>
      </c>
      <c r="AA857" s="11">
        <v>0</v>
      </c>
      <c r="AB857" s="12">
        <v>0</v>
      </c>
    </row>
    <row r="858" spans="1:28" x14ac:dyDescent="0.2">
      <c r="A858" s="7">
        <v>21638</v>
      </c>
      <c r="B858" s="8" t="s">
        <v>6028</v>
      </c>
      <c r="C858" s="8" t="s">
        <v>6029</v>
      </c>
      <c r="D858" s="8" t="s">
        <v>6030</v>
      </c>
      <c r="E858" s="8" t="s">
        <v>6031</v>
      </c>
      <c r="F858" s="8" t="s">
        <v>6032</v>
      </c>
      <c r="G858" s="8" t="s">
        <v>141</v>
      </c>
      <c r="H858" s="8" t="s">
        <v>142</v>
      </c>
      <c r="I858" s="8" t="s">
        <v>6033</v>
      </c>
      <c r="J858" s="8" t="s">
        <v>6034</v>
      </c>
      <c r="K858" s="8" t="s">
        <v>991</v>
      </c>
      <c r="L858" s="8" t="s">
        <v>146</v>
      </c>
      <c r="M858" s="8" t="s">
        <v>6035</v>
      </c>
      <c r="N858" s="8" t="s">
        <v>128</v>
      </c>
      <c r="O858" s="8" t="s">
        <v>6036</v>
      </c>
      <c r="P858" s="8" t="s">
        <v>6037</v>
      </c>
      <c r="Q858" s="8" t="s">
        <v>150</v>
      </c>
      <c r="R858" s="8"/>
      <c r="S858" s="8" t="s">
        <v>6038</v>
      </c>
      <c r="T858" s="8" t="s">
        <v>67</v>
      </c>
      <c r="U858" s="8" t="s">
        <v>150</v>
      </c>
      <c r="V858" s="8" t="s">
        <v>152</v>
      </c>
      <c r="W858" s="8" t="s">
        <v>67</v>
      </c>
      <c r="X858" s="8">
        <v>62</v>
      </c>
      <c r="Y858" s="8" t="s">
        <v>5796</v>
      </c>
      <c r="Z858" s="8">
        <v>80</v>
      </c>
      <c r="AA858" s="8">
        <v>0</v>
      </c>
      <c r="AB858" s="9">
        <v>0</v>
      </c>
    </row>
    <row r="859" spans="1:28" x14ac:dyDescent="0.2">
      <c r="A859" s="10">
        <v>21502</v>
      </c>
      <c r="B859" s="11" t="s">
        <v>6039</v>
      </c>
      <c r="C859" s="11" t="s">
        <v>5885</v>
      </c>
      <c r="D859" s="11" t="s">
        <v>5114</v>
      </c>
      <c r="E859" s="11" t="s">
        <v>6040</v>
      </c>
      <c r="F859" s="11" t="s">
        <v>353</v>
      </c>
      <c r="G859" s="11" t="s">
        <v>328</v>
      </c>
      <c r="H859" s="11" t="s">
        <v>329</v>
      </c>
      <c r="I859" s="11" t="s">
        <v>6041</v>
      </c>
      <c r="J859" s="11" t="s">
        <v>5888</v>
      </c>
      <c r="K859" s="11" t="s">
        <v>332</v>
      </c>
      <c r="L859" s="11" t="s">
        <v>333</v>
      </c>
      <c r="M859" s="11" t="s">
        <v>6042</v>
      </c>
      <c r="N859" s="11" t="s">
        <v>128</v>
      </c>
      <c r="O859" s="11" t="s">
        <v>6043</v>
      </c>
      <c r="P859" s="11" t="s">
        <v>6044</v>
      </c>
      <c r="Q859" s="11" t="s">
        <v>150</v>
      </c>
      <c r="R859" s="11"/>
      <c r="S859" s="11" t="s">
        <v>5892</v>
      </c>
      <c r="T859" s="11" t="s">
        <v>67</v>
      </c>
      <c r="U859" s="11" t="s">
        <v>150</v>
      </c>
      <c r="V859" s="11" t="s">
        <v>152</v>
      </c>
      <c r="W859" s="11" t="s">
        <v>67</v>
      </c>
      <c r="X859" s="11">
        <v>62</v>
      </c>
      <c r="Y859" s="11" t="s">
        <v>5796</v>
      </c>
      <c r="Z859" s="11">
        <v>80</v>
      </c>
      <c r="AA859" s="11">
        <v>0</v>
      </c>
      <c r="AB859" s="12">
        <v>0</v>
      </c>
    </row>
    <row r="860" spans="1:28" x14ac:dyDescent="0.2">
      <c r="A860" s="7">
        <v>22909</v>
      </c>
      <c r="B860" s="8" t="s">
        <v>6045</v>
      </c>
      <c r="C860" s="8" t="s">
        <v>5843</v>
      </c>
      <c r="D860" s="8" t="s">
        <v>5844</v>
      </c>
      <c r="E860" s="8" t="s">
        <v>5817</v>
      </c>
      <c r="F860" s="8" t="s">
        <v>5845</v>
      </c>
      <c r="G860" s="8" t="s">
        <v>5846</v>
      </c>
      <c r="H860" s="8" t="s">
        <v>159</v>
      </c>
      <c r="I860" s="8" t="s">
        <v>6046</v>
      </c>
      <c r="J860" s="8" t="s">
        <v>6047</v>
      </c>
      <c r="K860" s="8" t="s">
        <v>162</v>
      </c>
      <c r="L860" s="8" t="s">
        <v>163</v>
      </c>
      <c r="M860" s="8" t="s">
        <v>6048</v>
      </c>
      <c r="N860" s="8" t="s">
        <v>128</v>
      </c>
      <c r="O860" s="8" t="s">
        <v>6049</v>
      </c>
      <c r="P860" s="8" t="s">
        <v>6050</v>
      </c>
      <c r="Q860" s="8" t="s">
        <v>150</v>
      </c>
      <c r="R860" s="8"/>
      <c r="S860" s="8" t="s">
        <v>5852</v>
      </c>
      <c r="T860" s="8" t="s">
        <v>70</v>
      </c>
      <c r="U860" s="8" t="s">
        <v>150</v>
      </c>
      <c r="V860" s="8" t="s">
        <v>70</v>
      </c>
      <c r="W860" s="8" t="s">
        <v>70</v>
      </c>
      <c r="X860" s="8">
        <v>62</v>
      </c>
      <c r="Y860" s="8" t="s">
        <v>5796</v>
      </c>
      <c r="Z860" s="8">
        <v>80</v>
      </c>
      <c r="AA860" s="8">
        <v>0</v>
      </c>
      <c r="AB860" s="9">
        <v>0</v>
      </c>
    </row>
    <row r="861" spans="1:28" x14ac:dyDescent="0.2">
      <c r="A861" s="10">
        <v>23604</v>
      </c>
      <c r="B861" s="11" t="s">
        <v>6051</v>
      </c>
      <c r="C861" s="11" t="s">
        <v>6052</v>
      </c>
      <c r="D861" s="11" t="s">
        <v>6053</v>
      </c>
      <c r="E861" s="11" t="s">
        <v>5691</v>
      </c>
      <c r="F861" s="11" t="s">
        <v>6054</v>
      </c>
      <c r="G861" s="11" t="s">
        <v>2691</v>
      </c>
      <c r="H861" s="11" t="s">
        <v>704</v>
      </c>
      <c r="I861" s="11" t="s">
        <v>6055</v>
      </c>
      <c r="J861" s="11" t="s">
        <v>6056</v>
      </c>
      <c r="K861" s="11" t="s">
        <v>707</v>
      </c>
      <c r="L861" s="11" t="s">
        <v>126</v>
      </c>
      <c r="M861" s="11" t="s">
        <v>6057</v>
      </c>
      <c r="N861" s="11" t="s">
        <v>128</v>
      </c>
      <c r="O861" s="11" t="s">
        <v>6058</v>
      </c>
      <c r="P861" s="11" t="s">
        <v>6059</v>
      </c>
      <c r="Q861" s="11" t="s">
        <v>150</v>
      </c>
      <c r="R861" s="11"/>
      <c r="S861" s="11" t="s">
        <v>71</v>
      </c>
      <c r="T861" s="11" t="s">
        <v>168</v>
      </c>
      <c r="U861" s="11" t="s">
        <v>150</v>
      </c>
      <c r="V861" s="11" t="s">
        <v>168</v>
      </c>
      <c r="W861" s="11" t="s">
        <v>168</v>
      </c>
      <c r="X861" s="11">
        <v>62</v>
      </c>
      <c r="Y861" s="11" t="s">
        <v>5796</v>
      </c>
      <c r="Z861" s="11">
        <v>80</v>
      </c>
      <c r="AA861" s="11">
        <v>0</v>
      </c>
      <c r="AB861" s="12">
        <v>0</v>
      </c>
    </row>
    <row r="862" spans="1:28" x14ac:dyDescent="0.2">
      <c r="A862" s="7">
        <v>23674</v>
      </c>
      <c r="B862" s="8" t="s">
        <v>6060</v>
      </c>
      <c r="C862" s="8" t="s">
        <v>6061</v>
      </c>
      <c r="D862" s="8" t="s">
        <v>6062</v>
      </c>
      <c r="E862" s="8" t="s">
        <v>6063</v>
      </c>
      <c r="F862" s="8" t="s">
        <v>6064</v>
      </c>
      <c r="G862" s="8" t="s">
        <v>1937</v>
      </c>
      <c r="H862" s="8" t="s">
        <v>142</v>
      </c>
      <c r="I862" s="8" t="s">
        <v>6065</v>
      </c>
      <c r="J862" s="8" t="s">
        <v>6066</v>
      </c>
      <c r="K862" s="8" t="s">
        <v>1673</v>
      </c>
      <c r="L862" s="8" t="s">
        <v>464</v>
      </c>
      <c r="M862" s="8" t="s">
        <v>6067</v>
      </c>
      <c r="N862" s="8" t="s">
        <v>128</v>
      </c>
      <c r="O862" s="8" t="s">
        <v>6068</v>
      </c>
      <c r="P862" s="8" t="s">
        <v>579</v>
      </c>
      <c r="Q862" s="8" t="s">
        <v>150</v>
      </c>
      <c r="R862" s="8"/>
      <c r="S862" s="8" t="s">
        <v>6069</v>
      </c>
      <c r="T862" s="8" t="s">
        <v>168</v>
      </c>
      <c r="U862" s="8" t="s">
        <v>150</v>
      </c>
      <c r="V862" s="8" t="s">
        <v>168</v>
      </c>
      <c r="W862" s="8" t="s">
        <v>168</v>
      </c>
      <c r="X862" s="8">
        <v>62</v>
      </c>
      <c r="Y862" s="8" t="s">
        <v>5796</v>
      </c>
      <c r="Z862" s="8">
        <v>80</v>
      </c>
      <c r="AA862" s="8">
        <v>0</v>
      </c>
      <c r="AB862" s="9">
        <v>0</v>
      </c>
    </row>
    <row r="863" spans="1:28" x14ac:dyDescent="0.2">
      <c r="A863" s="10">
        <v>23666</v>
      </c>
      <c r="B863" s="11" t="s">
        <v>6070</v>
      </c>
      <c r="C863" s="11" t="s">
        <v>6071</v>
      </c>
      <c r="D863" s="11" t="s">
        <v>6072</v>
      </c>
      <c r="E863" s="11"/>
      <c r="F863" s="11" t="s">
        <v>353</v>
      </c>
      <c r="G863" s="11" t="s">
        <v>1915</v>
      </c>
      <c r="H863" s="11" t="s">
        <v>122</v>
      </c>
      <c r="I863" s="11" t="s">
        <v>6073</v>
      </c>
      <c r="J863" s="11" t="s">
        <v>6074</v>
      </c>
      <c r="K863" s="11" t="s">
        <v>1051</v>
      </c>
      <c r="L863" s="11" t="s">
        <v>126</v>
      </c>
      <c r="M863" s="11" t="s">
        <v>6075</v>
      </c>
      <c r="N863" s="11" t="s">
        <v>128</v>
      </c>
      <c r="O863" s="11" t="s">
        <v>6076</v>
      </c>
      <c r="P863" s="11" t="s">
        <v>1250</v>
      </c>
      <c r="Q863" s="11" t="s">
        <v>150</v>
      </c>
      <c r="R863" s="11"/>
      <c r="S863" s="11" t="s">
        <v>71</v>
      </c>
      <c r="T863" s="11" t="s">
        <v>168</v>
      </c>
      <c r="U863" s="11" t="s">
        <v>150</v>
      </c>
      <c r="V863" s="11" t="s">
        <v>168</v>
      </c>
      <c r="W863" s="11" t="s">
        <v>168</v>
      </c>
      <c r="X863" s="11">
        <v>62</v>
      </c>
      <c r="Y863" s="11" t="s">
        <v>5796</v>
      </c>
      <c r="Z863" s="11">
        <v>80</v>
      </c>
      <c r="AA863" s="11">
        <v>0</v>
      </c>
      <c r="AB863" s="12">
        <v>0</v>
      </c>
    </row>
    <row r="864" spans="1:28" x14ac:dyDescent="0.2">
      <c r="A864" s="7">
        <v>23684</v>
      </c>
      <c r="B864" s="8" t="s">
        <v>6077</v>
      </c>
      <c r="C864" s="8" t="s">
        <v>2060</v>
      </c>
      <c r="D864" s="8" t="s">
        <v>3617</v>
      </c>
      <c r="E864" s="8"/>
      <c r="F864" s="8" t="s">
        <v>2063</v>
      </c>
      <c r="G864" s="8" t="s">
        <v>141</v>
      </c>
      <c r="H864" s="8" t="s">
        <v>142</v>
      </c>
      <c r="I864" s="8" t="s">
        <v>6012</v>
      </c>
      <c r="J864" s="8" t="s">
        <v>6078</v>
      </c>
      <c r="K864" s="8" t="s">
        <v>145</v>
      </c>
      <c r="L864" s="8" t="s">
        <v>146</v>
      </c>
      <c r="M864" s="8" t="s">
        <v>6079</v>
      </c>
      <c r="N864" s="8" t="s">
        <v>128</v>
      </c>
      <c r="O864" s="8" t="s">
        <v>6080</v>
      </c>
      <c r="P864" s="8" t="s">
        <v>731</v>
      </c>
      <c r="Q864" s="8" t="s">
        <v>150</v>
      </c>
      <c r="R864" s="8"/>
      <c r="S864" s="8" t="s">
        <v>71</v>
      </c>
      <c r="T864" s="8" t="s">
        <v>168</v>
      </c>
      <c r="U864" s="8" t="s">
        <v>150</v>
      </c>
      <c r="V864" s="8" t="s">
        <v>168</v>
      </c>
      <c r="W864" s="8" t="s">
        <v>168</v>
      </c>
      <c r="X864" s="8">
        <v>62</v>
      </c>
      <c r="Y864" s="8" t="s">
        <v>5796</v>
      </c>
      <c r="Z864" s="8">
        <v>80</v>
      </c>
      <c r="AA864" s="8">
        <v>0</v>
      </c>
      <c r="AB864" s="9">
        <v>0</v>
      </c>
    </row>
    <row r="865" spans="1:28" x14ac:dyDescent="0.2">
      <c r="A865" s="10">
        <v>92295</v>
      </c>
      <c r="B865" s="11" t="s">
        <v>6081</v>
      </c>
      <c r="C865" s="11" t="s">
        <v>6082</v>
      </c>
      <c r="D865" s="11" t="s">
        <v>4880</v>
      </c>
      <c r="E865" s="11"/>
      <c r="F865" s="11" t="s">
        <v>6083</v>
      </c>
      <c r="G865" s="11" t="s">
        <v>6084</v>
      </c>
      <c r="H865" s="11" t="s">
        <v>159</v>
      </c>
      <c r="I865" s="11" t="s">
        <v>6085</v>
      </c>
      <c r="J865" s="11" t="s">
        <v>6086</v>
      </c>
      <c r="K865" s="11" t="s">
        <v>162</v>
      </c>
      <c r="L865" s="11" t="s">
        <v>163</v>
      </c>
      <c r="M865" s="11" t="s">
        <v>6087</v>
      </c>
      <c r="N865" s="11" t="s">
        <v>128</v>
      </c>
      <c r="O865" s="11" t="s">
        <v>6088</v>
      </c>
      <c r="P865" s="11" t="s">
        <v>6089</v>
      </c>
      <c r="Q865" s="11" t="s">
        <v>150</v>
      </c>
      <c r="R865" s="11"/>
      <c r="S865" s="11" t="s">
        <v>71</v>
      </c>
      <c r="T865" s="11" t="s">
        <v>168</v>
      </c>
      <c r="U865" s="11" t="s">
        <v>150</v>
      </c>
      <c r="V865" s="11" t="s">
        <v>168</v>
      </c>
      <c r="W865" s="11" t="s">
        <v>168</v>
      </c>
      <c r="X865" s="11">
        <v>62</v>
      </c>
      <c r="Y865" s="11" t="s">
        <v>5796</v>
      </c>
      <c r="Z865" s="11">
        <v>80</v>
      </c>
      <c r="AA865" s="11">
        <v>0</v>
      </c>
      <c r="AB865" s="12">
        <v>0</v>
      </c>
    </row>
    <row r="866" spans="1:28" x14ac:dyDescent="0.2">
      <c r="A866" s="7">
        <v>24675</v>
      </c>
      <c r="B866" s="8" t="s">
        <v>6090</v>
      </c>
      <c r="C866" s="8" t="s">
        <v>5979</v>
      </c>
      <c r="D866" s="8" t="s">
        <v>5139</v>
      </c>
      <c r="E866" s="8" t="s">
        <v>6091</v>
      </c>
      <c r="F866" s="8" t="s">
        <v>1994</v>
      </c>
      <c r="G866" s="8" t="s">
        <v>328</v>
      </c>
      <c r="H866" s="8" t="s">
        <v>329</v>
      </c>
      <c r="I866" s="8" t="s">
        <v>6092</v>
      </c>
      <c r="J866" s="8" t="s">
        <v>5982</v>
      </c>
      <c r="K866" s="8" t="s">
        <v>332</v>
      </c>
      <c r="L866" s="8" t="s">
        <v>333</v>
      </c>
      <c r="M866" s="8" t="s">
        <v>6093</v>
      </c>
      <c r="N866" s="8" t="s">
        <v>128</v>
      </c>
      <c r="O866" s="8" t="s">
        <v>6094</v>
      </c>
      <c r="P866" s="8" t="s">
        <v>6095</v>
      </c>
      <c r="Q866" s="8" t="s">
        <v>150</v>
      </c>
      <c r="R866" s="8"/>
      <c r="S866" s="8" t="s">
        <v>5986</v>
      </c>
      <c r="T866" s="8" t="s">
        <v>69</v>
      </c>
      <c r="U866" s="8" t="s">
        <v>150</v>
      </c>
      <c r="V866" s="8" t="s">
        <v>152</v>
      </c>
      <c r="W866" s="8" t="s">
        <v>69</v>
      </c>
      <c r="X866" s="8">
        <v>62</v>
      </c>
      <c r="Y866" s="8" t="s">
        <v>5796</v>
      </c>
      <c r="Z866" s="8">
        <v>80</v>
      </c>
      <c r="AA866" s="8">
        <v>0</v>
      </c>
      <c r="AB866" s="9">
        <v>0</v>
      </c>
    </row>
    <row r="867" spans="1:28" x14ac:dyDescent="0.2">
      <c r="A867" s="10">
        <v>24866</v>
      </c>
      <c r="B867" s="11" t="s">
        <v>6096</v>
      </c>
      <c r="C867" s="11" t="s">
        <v>798</v>
      </c>
      <c r="D867" s="11" t="s">
        <v>799</v>
      </c>
      <c r="E867" s="11" t="s">
        <v>6097</v>
      </c>
      <c r="F867" s="11" t="s">
        <v>237</v>
      </c>
      <c r="G867" s="11" t="s">
        <v>158</v>
      </c>
      <c r="H867" s="11" t="s">
        <v>159</v>
      </c>
      <c r="I867" s="11" t="s">
        <v>801</v>
      </c>
      <c r="J867" s="11" t="s">
        <v>802</v>
      </c>
      <c r="K867" s="11" t="s">
        <v>274</v>
      </c>
      <c r="L867" s="11" t="s">
        <v>163</v>
      </c>
      <c r="M867" s="11" t="s">
        <v>6098</v>
      </c>
      <c r="N867" s="11" t="s">
        <v>128</v>
      </c>
      <c r="O867" s="11" t="s">
        <v>6099</v>
      </c>
      <c r="P867" s="11" t="s">
        <v>6100</v>
      </c>
      <c r="Q867" s="11" t="s">
        <v>150</v>
      </c>
      <c r="R867" s="11"/>
      <c r="S867" s="11" t="s">
        <v>806</v>
      </c>
      <c r="T867" s="11" t="s">
        <v>1738</v>
      </c>
      <c r="U867" s="11" t="s">
        <v>150</v>
      </c>
      <c r="V867" s="11" t="s">
        <v>1738</v>
      </c>
      <c r="W867" s="11" t="s">
        <v>1738</v>
      </c>
      <c r="X867" s="11">
        <v>62</v>
      </c>
      <c r="Y867" s="11" t="s">
        <v>5796</v>
      </c>
      <c r="Z867" s="11">
        <v>80</v>
      </c>
      <c r="AA867" s="11">
        <v>0</v>
      </c>
      <c r="AB867" s="12">
        <v>0</v>
      </c>
    </row>
    <row r="868" spans="1:28" x14ac:dyDescent="0.2">
      <c r="A868" s="7">
        <v>25419</v>
      </c>
      <c r="B868" s="8" t="s">
        <v>6101</v>
      </c>
      <c r="C868" s="8" t="s">
        <v>2419</v>
      </c>
      <c r="D868" s="8" t="s">
        <v>2420</v>
      </c>
      <c r="E868" s="8" t="s">
        <v>6102</v>
      </c>
      <c r="F868" s="8" t="s">
        <v>2422</v>
      </c>
      <c r="G868" s="8" t="s">
        <v>2423</v>
      </c>
      <c r="H868" s="8" t="s">
        <v>557</v>
      </c>
      <c r="I868" s="8" t="s">
        <v>2424</v>
      </c>
      <c r="J868" s="8" t="s">
        <v>2425</v>
      </c>
      <c r="K868" s="8" t="s">
        <v>1562</v>
      </c>
      <c r="L868" s="8" t="s">
        <v>229</v>
      </c>
      <c r="M868" s="8" t="s">
        <v>6103</v>
      </c>
      <c r="N868" s="8" t="s">
        <v>128</v>
      </c>
      <c r="O868" s="8" t="s">
        <v>6104</v>
      </c>
      <c r="P868" s="8" t="s">
        <v>6105</v>
      </c>
      <c r="Q868" s="8" t="s">
        <v>249</v>
      </c>
      <c r="R868" s="8"/>
      <c r="S868" s="8" t="s">
        <v>2429</v>
      </c>
      <c r="T868" s="8" t="s">
        <v>250</v>
      </c>
      <c r="U868" s="8" t="s">
        <v>134</v>
      </c>
      <c r="V868" s="8" t="s">
        <v>249</v>
      </c>
      <c r="W868" s="8" t="s">
        <v>250</v>
      </c>
      <c r="X868" s="8">
        <v>62</v>
      </c>
      <c r="Y868" s="8" t="s">
        <v>5796</v>
      </c>
      <c r="Z868" s="8">
        <v>80</v>
      </c>
      <c r="AA868" s="8">
        <v>0</v>
      </c>
      <c r="AB868" s="9">
        <v>0</v>
      </c>
    </row>
    <row r="869" spans="1:28" x14ac:dyDescent="0.2">
      <c r="A869" s="10">
        <v>21113</v>
      </c>
      <c r="B869" s="11" t="s">
        <v>6106</v>
      </c>
      <c r="C869" s="11" t="s">
        <v>1703</v>
      </c>
      <c r="D869" s="11" t="s">
        <v>2114</v>
      </c>
      <c r="E869" s="11"/>
      <c r="F869" s="11" t="s">
        <v>2116</v>
      </c>
      <c r="G869" s="11" t="s">
        <v>2117</v>
      </c>
      <c r="H869" s="11" t="s">
        <v>142</v>
      </c>
      <c r="I869" s="11" t="s">
        <v>2118</v>
      </c>
      <c r="J869" s="11" t="s">
        <v>2119</v>
      </c>
      <c r="K869" s="11" t="s">
        <v>1673</v>
      </c>
      <c r="L869" s="11" t="s">
        <v>464</v>
      </c>
      <c r="M869" s="11" t="s">
        <v>6107</v>
      </c>
      <c r="N869" s="11" t="s">
        <v>128</v>
      </c>
      <c r="O869" s="11" t="s">
        <v>6108</v>
      </c>
      <c r="P869" s="11" t="s">
        <v>6109</v>
      </c>
      <c r="Q869" s="11" t="s">
        <v>150</v>
      </c>
      <c r="R869" s="11"/>
      <c r="S869" s="11" t="s">
        <v>2122</v>
      </c>
      <c r="T869" s="11" t="s">
        <v>289</v>
      </c>
      <c r="U869" s="11" t="s">
        <v>150</v>
      </c>
      <c r="V869" s="11" t="s">
        <v>289</v>
      </c>
      <c r="W869" s="11" t="s">
        <v>289</v>
      </c>
      <c r="X869" s="11">
        <v>61</v>
      </c>
      <c r="Y869" s="11" t="s">
        <v>5796</v>
      </c>
      <c r="Z869" s="11">
        <v>80</v>
      </c>
      <c r="AA869" s="11">
        <v>0</v>
      </c>
      <c r="AB869" s="12">
        <v>0</v>
      </c>
    </row>
    <row r="870" spans="1:28" x14ac:dyDescent="0.2">
      <c r="A870" s="7">
        <v>21233</v>
      </c>
      <c r="B870" s="8" t="s">
        <v>6110</v>
      </c>
      <c r="C870" s="8" t="s">
        <v>1993</v>
      </c>
      <c r="D870" s="8" t="s">
        <v>138</v>
      </c>
      <c r="E870" s="8"/>
      <c r="F870" s="8" t="s">
        <v>1994</v>
      </c>
      <c r="G870" s="8" t="s">
        <v>328</v>
      </c>
      <c r="H870" s="8" t="s">
        <v>329</v>
      </c>
      <c r="I870" s="8" t="s">
        <v>1995</v>
      </c>
      <c r="J870" s="8" t="s">
        <v>1996</v>
      </c>
      <c r="K870" s="8" t="s">
        <v>332</v>
      </c>
      <c r="L870" s="8" t="s">
        <v>333</v>
      </c>
      <c r="M870" s="8" t="s">
        <v>6111</v>
      </c>
      <c r="N870" s="8" t="s">
        <v>128</v>
      </c>
      <c r="O870" s="8" t="s">
        <v>6112</v>
      </c>
      <c r="P870" s="8" t="s">
        <v>6113</v>
      </c>
      <c r="Q870" s="8" t="s">
        <v>150</v>
      </c>
      <c r="R870" s="8"/>
      <c r="S870" s="8" t="s">
        <v>71</v>
      </c>
      <c r="T870" s="8" t="s">
        <v>642</v>
      </c>
      <c r="U870" s="8" t="s">
        <v>150</v>
      </c>
      <c r="V870" s="8" t="s">
        <v>642</v>
      </c>
      <c r="W870" s="8" t="s">
        <v>642</v>
      </c>
      <c r="X870" s="8">
        <v>61</v>
      </c>
      <c r="Y870" s="8" t="s">
        <v>5796</v>
      </c>
      <c r="Z870" s="8">
        <v>80</v>
      </c>
      <c r="AA870" s="8">
        <v>0</v>
      </c>
      <c r="AB870" s="9">
        <v>0</v>
      </c>
    </row>
    <row r="871" spans="1:28" x14ac:dyDescent="0.2">
      <c r="A871" s="10">
        <v>107095</v>
      </c>
      <c r="B871" s="11" t="s">
        <v>74</v>
      </c>
      <c r="C871" s="11" t="s">
        <v>6114</v>
      </c>
      <c r="D871" s="11" t="s">
        <v>6115</v>
      </c>
      <c r="E871" s="11" t="s">
        <v>6116</v>
      </c>
      <c r="F871" s="11" t="s">
        <v>6117</v>
      </c>
      <c r="G871" s="11" t="s">
        <v>141</v>
      </c>
      <c r="H871" s="11" t="s">
        <v>142</v>
      </c>
      <c r="I871" s="11" t="s">
        <v>6118</v>
      </c>
      <c r="J871" s="11" t="s">
        <v>6119</v>
      </c>
      <c r="K871" s="11" t="s">
        <v>584</v>
      </c>
      <c r="L871" s="11" t="s">
        <v>146</v>
      </c>
      <c r="M871" s="11" t="s">
        <v>73</v>
      </c>
      <c r="N871" s="11" t="s">
        <v>128</v>
      </c>
      <c r="O871" s="11" t="s">
        <v>6120</v>
      </c>
      <c r="P871" s="11" t="s">
        <v>3863</v>
      </c>
      <c r="Q871" s="11" t="s">
        <v>150</v>
      </c>
      <c r="R871" s="11"/>
      <c r="S871" s="11" t="s">
        <v>71</v>
      </c>
      <c r="T871" s="11" t="s">
        <v>67</v>
      </c>
      <c r="U871" s="11" t="s">
        <v>150</v>
      </c>
      <c r="V871" s="11" t="s">
        <v>152</v>
      </c>
      <c r="W871" s="11" t="s">
        <v>67</v>
      </c>
      <c r="X871" s="11">
        <v>61</v>
      </c>
      <c r="Y871" s="11" t="s">
        <v>5796</v>
      </c>
      <c r="Z871" s="11">
        <v>80</v>
      </c>
      <c r="AA871" s="11">
        <v>0</v>
      </c>
      <c r="AB871" s="12">
        <v>0</v>
      </c>
    </row>
    <row r="872" spans="1:28" x14ac:dyDescent="0.2">
      <c r="A872" s="7">
        <v>21977</v>
      </c>
      <c r="B872" s="8" t="s">
        <v>6121</v>
      </c>
      <c r="C872" s="8" t="s">
        <v>1809</v>
      </c>
      <c r="D872" s="8" t="s">
        <v>1810</v>
      </c>
      <c r="E872" s="8" t="s">
        <v>6122</v>
      </c>
      <c r="F872" s="8" t="s">
        <v>1812</v>
      </c>
      <c r="G872" s="8" t="s">
        <v>1813</v>
      </c>
      <c r="H872" s="8" t="s">
        <v>142</v>
      </c>
      <c r="I872" s="8" t="s">
        <v>1814</v>
      </c>
      <c r="J872" s="8" t="s">
        <v>1815</v>
      </c>
      <c r="K872" s="8" t="s">
        <v>974</v>
      </c>
      <c r="L872" s="8" t="s">
        <v>146</v>
      </c>
      <c r="M872" s="8" t="s">
        <v>6123</v>
      </c>
      <c r="N872" s="8" t="s">
        <v>128</v>
      </c>
      <c r="O872" s="8" t="s">
        <v>6124</v>
      </c>
      <c r="P872" s="8" t="s">
        <v>6125</v>
      </c>
      <c r="Q872" s="8" t="s">
        <v>131</v>
      </c>
      <c r="R872" s="8"/>
      <c r="S872" s="8" t="s">
        <v>1819</v>
      </c>
      <c r="T872" s="8" t="s">
        <v>133</v>
      </c>
      <c r="U872" s="8" t="s">
        <v>134</v>
      </c>
      <c r="V872" s="8" t="s">
        <v>131</v>
      </c>
      <c r="W872" s="8" t="s">
        <v>133</v>
      </c>
      <c r="X872" s="8">
        <v>61</v>
      </c>
      <c r="Y872" s="8" t="s">
        <v>5796</v>
      </c>
      <c r="Z872" s="8">
        <v>80</v>
      </c>
      <c r="AA872" s="8">
        <v>0</v>
      </c>
      <c r="AB872" s="9">
        <v>0</v>
      </c>
    </row>
    <row r="873" spans="1:28" x14ac:dyDescent="0.2">
      <c r="A873" s="10">
        <v>238158</v>
      </c>
      <c r="B873" s="11" t="s">
        <v>6126</v>
      </c>
      <c r="C873" s="11" t="s">
        <v>2649</v>
      </c>
      <c r="D873" s="11" t="s">
        <v>861</v>
      </c>
      <c r="E873" s="11" t="s">
        <v>6127</v>
      </c>
      <c r="F873" s="11" t="s">
        <v>2651</v>
      </c>
      <c r="G873" s="11" t="s">
        <v>2652</v>
      </c>
      <c r="H873" s="11" t="s">
        <v>1843</v>
      </c>
      <c r="I873" s="11" t="s">
        <v>2653</v>
      </c>
      <c r="J873" s="11" t="s">
        <v>2654</v>
      </c>
      <c r="K873" s="11" t="s">
        <v>1562</v>
      </c>
      <c r="L873" s="11" t="s">
        <v>229</v>
      </c>
      <c r="M873" s="11" t="s">
        <v>6128</v>
      </c>
      <c r="N873" s="11" t="s">
        <v>128</v>
      </c>
      <c r="O873" s="11" t="s">
        <v>6129</v>
      </c>
      <c r="P873" s="11" t="s">
        <v>6130</v>
      </c>
      <c r="Q873" s="11" t="s">
        <v>150</v>
      </c>
      <c r="R873" s="11"/>
      <c r="S873" s="11" t="s">
        <v>2657</v>
      </c>
      <c r="T873" s="11" t="s">
        <v>6131</v>
      </c>
      <c r="U873" s="11" t="s">
        <v>150</v>
      </c>
      <c r="V873" s="11" t="s">
        <v>6131</v>
      </c>
      <c r="W873" s="11" t="s">
        <v>6131</v>
      </c>
      <c r="X873" s="11">
        <v>61</v>
      </c>
      <c r="Y873" s="11" t="s">
        <v>5796</v>
      </c>
      <c r="Z873" s="11">
        <v>80</v>
      </c>
      <c r="AA873" s="11">
        <v>0</v>
      </c>
      <c r="AB873" s="12">
        <v>0</v>
      </c>
    </row>
    <row r="874" spans="1:28" x14ac:dyDescent="0.2">
      <c r="A874" s="7">
        <v>23970</v>
      </c>
      <c r="B874" s="8" t="s">
        <v>6132</v>
      </c>
      <c r="C874" s="8" t="s">
        <v>6133</v>
      </c>
      <c r="D874" s="8" t="s">
        <v>6134</v>
      </c>
      <c r="E874" s="8"/>
      <c r="F874" s="8" t="s">
        <v>353</v>
      </c>
      <c r="G874" s="8" t="s">
        <v>1915</v>
      </c>
      <c r="H874" s="8" t="s">
        <v>122</v>
      </c>
      <c r="I874" s="8" t="s">
        <v>6135</v>
      </c>
      <c r="J874" s="8" t="s">
        <v>6136</v>
      </c>
      <c r="K874" s="8" t="s">
        <v>1051</v>
      </c>
      <c r="L874" s="8" t="s">
        <v>126</v>
      </c>
      <c r="M874" s="8" t="s">
        <v>6137</v>
      </c>
      <c r="N874" s="8" t="s">
        <v>128</v>
      </c>
      <c r="O874" s="8" t="s">
        <v>6138</v>
      </c>
      <c r="P874" s="8" t="s">
        <v>6139</v>
      </c>
      <c r="Q874" s="8" t="s">
        <v>150</v>
      </c>
      <c r="R874" s="8"/>
      <c r="S874" s="8" t="s">
        <v>71</v>
      </c>
      <c r="T874" s="8" t="s">
        <v>168</v>
      </c>
      <c r="U874" s="8" t="s">
        <v>150</v>
      </c>
      <c r="V874" s="8" t="s">
        <v>168</v>
      </c>
      <c r="W874" s="8" t="s">
        <v>168</v>
      </c>
      <c r="X874" s="8">
        <v>61</v>
      </c>
      <c r="Y874" s="8" t="s">
        <v>5796</v>
      </c>
      <c r="Z874" s="8">
        <v>80</v>
      </c>
      <c r="AA874" s="8">
        <v>0</v>
      </c>
      <c r="AB874" s="9">
        <v>0</v>
      </c>
    </row>
    <row r="875" spans="1:28" x14ac:dyDescent="0.2">
      <c r="A875" s="10">
        <v>23596</v>
      </c>
      <c r="B875" s="11" t="s">
        <v>6140</v>
      </c>
      <c r="C875" s="11" t="s">
        <v>1136</v>
      </c>
      <c r="D875" s="11" t="s">
        <v>6141</v>
      </c>
      <c r="E875" s="11"/>
      <c r="F875" s="11" t="s">
        <v>1138</v>
      </c>
      <c r="G875" s="11" t="s">
        <v>1139</v>
      </c>
      <c r="H875" s="11" t="s">
        <v>557</v>
      </c>
      <c r="I875" s="11" t="s">
        <v>6142</v>
      </c>
      <c r="J875" s="11" t="s">
        <v>6143</v>
      </c>
      <c r="K875" s="11" t="s">
        <v>560</v>
      </c>
      <c r="L875" s="11" t="s">
        <v>229</v>
      </c>
      <c r="M875" s="11" t="s">
        <v>6144</v>
      </c>
      <c r="N875" s="11" t="s">
        <v>128</v>
      </c>
      <c r="O875" s="11" t="s">
        <v>6145</v>
      </c>
      <c r="P875" s="11" t="s">
        <v>6146</v>
      </c>
      <c r="Q875" s="11" t="s">
        <v>150</v>
      </c>
      <c r="R875" s="11"/>
      <c r="S875" s="11" t="s">
        <v>71</v>
      </c>
      <c r="T875" s="11" t="s">
        <v>168</v>
      </c>
      <c r="U875" s="11" t="s">
        <v>150</v>
      </c>
      <c r="V875" s="11" t="s">
        <v>168</v>
      </c>
      <c r="W875" s="11" t="s">
        <v>168</v>
      </c>
      <c r="X875" s="11">
        <v>61</v>
      </c>
      <c r="Y875" s="11" t="s">
        <v>5796</v>
      </c>
      <c r="Z875" s="11">
        <v>80</v>
      </c>
      <c r="AA875" s="11">
        <v>0</v>
      </c>
      <c r="AB875" s="12">
        <v>0</v>
      </c>
    </row>
    <row r="876" spans="1:28" x14ac:dyDescent="0.2">
      <c r="A876" s="7">
        <v>25183</v>
      </c>
      <c r="B876" s="8" t="s">
        <v>6147</v>
      </c>
      <c r="C876" s="8" t="s">
        <v>137</v>
      </c>
      <c r="D876" s="8" t="s">
        <v>138</v>
      </c>
      <c r="E876" s="8" t="s">
        <v>6148</v>
      </c>
      <c r="F876" s="8" t="s">
        <v>140</v>
      </c>
      <c r="G876" s="8" t="s">
        <v>141</v>
      </c>
      <c r="H876" s="8" t="s">
        <v>142</v>
      </c>
      <c r="I876" s="8" t="s">
        <v>143</v>
      </c>
      <c r="J876" s="8" t="s">
        <v>144</v>
      </c>
      <c r="K876" s="8" t="s">
        <v>145</v>
      </c>
      <c r="L876" s="8" t="s">
        <v>146</v>
      </c>
      <c r="M876" s="8" t="s">
        <v>6149</v>
      </c>
      <c r="N876" s="8" t="s">
        <v>128</v>
      </c>
      <c r="O876" s="8" t="s">
        <v>6150</v>
      </c>
      <c r="P876" s="8" t="s">
        <v>6151</v>
      </c>
      <c r="Q876" s="8" t="s">
        <v>740</v>
      </c>
      <c r="R876" s="8"/>
      <c r="S876" s="8" t="s">
        <v>151</v>
      </c>
      <c r="T876" s="8" t="s">
        <v>741</v>
      </c>
      <c r="U876" s="8" t="s">
        <v>134</v>
      </c>
      <c r="V876" s="8" t="s">
        <v>740</v>
      </c>
      <c r="W876" s="8" t="s">
        <v>741</v>
      </c>
      <c r="X876" s="8">
        <v>61</v>
      </c>
      <c r="Y876" s="8" t="s">
        <v>5796</v>
      </c>
      <c r="Z876" s="8">
        <v>80</v>
      </c>
      <c r="AA876" s="8">
        <v>0</v>
      </c>
      <c r="AB876" s="9">
        <v>0</v>
      </c>
    </row>
    <row r="877" spans="1:28" x14ac:dyDescent="0.2">
      <c r="A877" s="10">
        <v>21139</v>
      </c>
      <c r="B877" s="11" t="s">
        <v>6152</v>
      </c>
      <c r="C877" s="11" t="s">
        <v>6061</v>
      </c>
      <c r="D877" s="11" t="s">
        <v>6062</v>
      </c>
      <c r="E877" s="11"/>
      <c r="F877" s="11" t="s">
        <v>6064</v>
      </c>
      <c r="G877" s="11" t="s">
        <v>1937</v>
      </c>
      <c r="H877" s="11" t="s">
        <v>142</v>
      </c>
      <c r="I877" s="11" t="s">
        <v>6065</v>
      </c>
      <c r="J877" s="11" t="s">
        <v>6066</v>
      </c>
      <c r="K877" s="11" t="s">
        <v>1673</v>
      </c>
      <c r="L877" s="11" t="s">
        <v>464</v>
      </c>
      <c r="M877" s="11" t="s">
        <v>6153</v>
      </c>
      <c r="N877" s="11" t="s">
        <v>128</v>
      </c>
      <c r="O877" s="11" t="s">
        <v>6154</v>
      </c>
      <c r="P877" s="11" t="s">
        <v>6155</v>
      </c>
      <c r="Q877" s="11" t="s">
        <v>150</v>
      </c>
      <c r="R877" s="11"/>
      <c r="S877" s="11" t="s">
        <v>6069</v>
      </c>
      <c r="T877" s="11" t="s">
        <v>289</v>
      </c>
      <c r="U877" s="11" t="s">
        <v>150</v>
      </c>
      <c r="V877" s="11" t="s">
        <v>289</v>
      </c>
      <c r="W877" s="11" t="s">
        <v>289</v>
      </c>
      <c r="X877" s="11">
        <v>60</v>
      </c>
      <c r="Y877" s="11" t="s">
        <v>5796</v>
      </c>
      <c r="Z877" s="11">
        <v>80</v>
      </c>
      <c r="AA877" s="11">
        <v>0</v>
      </c>
      <c r="AB877" s="12">
        <v>0</v>
      </c>
    </row>
    <row r="878" spans="1:28" x14ac:dyDescent="0.2">
      <c r="A878" s="7">
        <v>21611</v>
      </c>
      <c r="B878" s="8" t="s">
        <v>6156</v>
      </c>
      <c r="C878" s="8" t="s">
        <v>1993</v>
      </c>
      <c r="D878" s="8" t="s">
        <v>4188</v>
      </c>
      <c r="E878" s="8" t="s">
        <v>135</v>
      </c>
      <c r="F878" s="8" t="s">
        <v>1994</v>
      </c>
      <c r="G878" s="8" t="s">
        <v>328</v>
      </c>
      <c r="H878" s="8" t="s">
        <v>329</v>
      </c>
      <c r="I878" s="8" t="s">
        <v>1995</v>
      </c>
      <c r="J878" s="8" t="s">
        <v>1996</v>
      </c>
      <c r="K878" s="8" t="s">
        <v>332</v>
      </c>
      <c r="L878" s="8" t="s">
        <v>333</v>
      </c>
      <c r="M878" s="8" t="s">
        <v>6157</v>
      </c>
      <c r="N878" s="8" t="s">
        <v>128</v>
      </c>
      <c r="O878" s="8" t="s">
        <v>6158</v>
      </c>
      <c r="P878" s="8" t="s">
        <v>6159</v>
      </c>
      <c r="Q878" s="8" t="s">
        <v>150</v>
      </c>
      <c r="R878" s="8"/>
      <c r="S878" s="8" t="s">
        <v>71</v>
      </c>
      <c r="T878" s="8" t="s">
        <v>67</v>
      </c>
      <c r="U878" s="8" t="s">
        <v>150</v>
      </c>
      <c r="V878" s="8" t="s">
        <v>152</v>
      </c>
      <c r="W878" s="8" t="s">
        <v>67</v>
      </c>
      <c r="X878" s="8">
        <v>60</v>
      </c>
      <c r="Y878" s="8" t="s">
        <v>5796</v>
      </c>
      <c r="Z878" s="8">
        <v>80</v>
      </c>
      <c r="AA878" s="8">
        <v>0</v>
      </c>
      <c r="AB878" s="9">
        <v>0</v>
      </c>
    </row>
    <row r="879" spans="1:28" x14ac:dyDescent="0.2">
      <c r="A879" s="10">
        <v>21387</v>
      </c>
      <c r="B879" s="11" t="s">
        <v>6160</v>
      </c>
      <c r="C879" s="11" t="s">
        <v>6061</v>
      </c>
      <c r="D879" s="11" t="s">
        <v>6062</v>
      </c>
      <c r="E879" s="11" t="s">
        <v>6161</v>
      </c>
      <c r="F879" s="11" t="s">
        <v>6064</v>
      </c>
      <c r="G879" s="11" t="s">
        <v>1937</v>
      </c>
      <c r="H879" s="11" t="s">
        <v>142</v>
      </c>
      <c r="I879" s="11" t="s">
        <v>6065</v>
      </c>
      <c r="J879" s="11" t="s">
        <v>6066</v>
      </c>
      <c r="K879" s="11" t="s">
        <v>1673</v>
      </c>
      <c r="L879" s="11" t="s">
        <v>464</v>
      </c>
      <c r="M879" s="11" t="s">
        <v>6162</v>
      </c>
      <c r="N879" s="11" t="s">
        <v>128</v>
      </c>
      <c r="O879" s="11" t="s">
        <v>6163</v>
      </c>
      <c r="P879" s="11" t="s">
        <v>6164</v>
      </c>
      <c r="Q879" s="11" t="s">
        <v>150</v>
      </c>
      <c r="R879" s="11"/>
      <c r="S879" s="11" t="s">
        <v>6069</v>
      </c>
      <c r="T879" s="11" t="s">
        <v>67</v>
      </c>
      <c r="U879" s="11" t="s">
        <v>150</v>
      </c>
      <c r="V879" s="11" t="s">
        <v>152</v>
      </c>
      <c r="W879" s="11" t="s">
        <v>67</v>
      </c>
      <c r="X879" s="11">
        <v>60</v>
      </c>
      <c r="Y879" s="11" t="s">
        <v>5796</v>
      </c>
      <c r="Z879" s="11">
        <v>80</v>
      </c>
      <c r="AA879" s="11">
        <v>0</v>
      </c>
      <c r="AB879" s="12">
        <v>0</v>
      </c>
    </row>
    <row r="880" spans="1:28" x14ac:dyDescent="0.2">
      <c r="A880" s="7">
        <v>22020</v>
      </c>
      <c r="B880" s="8" t="s">
        <v>6165</v>
      </c>
      <c r="C880" s="8" t="s">
        <v>339</v>
      </c>
      <c r="D880" s="8" t="s">
        <v>340</v>
      </c>
      <c r="E880" s="8" t="s">
        <v>6166</v>
      </c>
      <c r="F880" s="8" t="s">
        <v>342</v>
      </c>
      <c r="G880" s="8" t="s">
        <v>328</v>
      </c>
      <c r="H880" s="8" t="s">
        <v>329</v>
      </c>
      <c r="I880" s="8" t="s">
        <v>343</v>
      </c>
      <c r="J880" s="8" t="s">
        <v>344</v>
      </c>
      <c r="K880" s="8" t="s">
        <v>332</v>
      </c>
      <c r="L880" s="8" t="s">
        <v>333</v>
      </c>
      <c r="M880" s="8" t="s">
        <v>6167</v>
      </c>
      <c r="N880" s="8" t="s">
        <v>128</v>
      </c>
      <c r="O880" s="8" t="s">
        <v>6168</v>
      </c>
      <c r="P880" s="8" t="s">
        <v>6169</v>
      </c>
      <c r="Q880" s="8" t="s">
        <v>131</v>
      </c>
      <c r="R880" s="8"/>
      <c r="S880" s="8" t="s">
        <v>348</v>
      </c>
      <c r="T880" s="8" t="s">
        <v>133</v>
      </c>
      <c r="U880" s="8" t="s">
        <v>134</v>
      </c>
      <c r="V880" s="8" t="s">
        <v>131</v>
      </c>
      <c r="W880" s="8" t="s">
        <v>133</v>
      </c>
      <c r="X880" s="8">
        <v>60</v>
      </c>
      <c r="Y880" s="8" t="s">
        <v>5796</v>
      </c>
      <c r="Z880" s="8">
        <v>80</v>
      </c>
      <c r="AA880" s="8">
        <v>0</v>
      </c>
      <c r="AB880" s="9">
        <v>0</v>
      </c>
    </row>
    <row r="881" spans="1:28" x14ac:dyDescent="0.2">
      <c r="A881" s="10">
        <v>22912</v>
      </c>
      <c r="B881" s="11" t="s">
        <v>6170</v>
      </c>
      <c r="C881" s="11" t="s">
        <v>5958</v>
      </c>
      <c r="D881" s="11" t="s">
        <v>5959</v>
      </c>
      <c r="E881" s="11" t="s">
        <v>6171</v>
      </c>
      <c r="F881" s="11" t="s">
        <v>5960</v>
      </c>
      <c r="G881" s="11" t="s">
        <v>615</v>
      </c>
      <c r="H881" s="11" t="s">
        <v>616</v>
      </c>
      <c r="I881" s="11" t="s">
        <v>5961</v>
      </c>
      <c r="J881" s="11" t="s">
        <v>5962</v>
      </c>
      <c r="K881" s="11" t="s">
        <v>619</v>
      </c>
      <c r="L881" s="11" t="s">
        <v>163</v>
      </c>
      <c r="M881" s="11" t="s">
        <v>6172</v>
      </c>
      <c r="N881" s="11" t="s">
        <v>128</v>
      </c>
      <c r="O881" s="11" t="s">
        <v>6173</v>
      </c>
      <c r="P881" s="11" t="s">
        <v>6174</v>
      </c>
      <c r="Q881" s="11" t="s">
        <v>150</v>
      </c>
      <c r="R881" s="11"/>
      <c r="S881" s="11" t="s">
        <v>5966</v>
      </c>
      <c r="T881" s="11" t="s">
        <v>70</v>
      </c>
      <c r="U881" s="11" t="s">
        <v>150</v>
      </c>
      <c r="V881" s="11" t="s">
        <v>70</v>
      </c>
      <c r="W881" s="11" t="s">
        <v>70</v>
      </c>
      <c r="X881" s="11">
        <v>60</v>
      </c>
      <c r="Y881" s="11" t="s">
        <v>5796</v>
      </c>
      <c r="Z881" s="11">
        <v>80</v>
      </c>
      <c r="AA881" s="11">
        <v>0</v>
      </c>
      <c r="AB881" s="12">
        <v>0</v>
      </c>
    </row>
    <row r="882" spans="1:28" x14ac:dyDescent="0.2">
      <c r="A882" s="7">
        <v>23589</v>
      </c>
      <c r="B882" s="8" t="s">
        <v>6175</v>
      </c>
      <c r="C882" s="8" t="s">
        <v>5958</v>
      </c>
      <c r="D882" s="8" t="s">
        <v>5959</v>
      </c>
      <c r="E882" s="8" t="s">
        <v>6176</v>
      </c>
      <c r="F882" s="8" t="s">
        <v>5960</v>
      </c>
      <c r="G882" s="8" t="s">
        <v>615</v>
      </c>
      <c r="H882" s="8" t="s">
        <v>616</v>
      </c>
      <c r="I882" s="8" t="s">
        <v>5961</v>
      </c>
      <c r="J882" s="8" t="s">
        <v>5962</v>
      </c>
      <c r="K882" s="8" t="s">
        <v>619</v>
      </c>
      <c r="L882" s="8" t="s">
        <v>163</v>
      </c>
      <c r="M882" s="8" t="s">
        <v>6177</v>
      </c>
      <c r="N882" s="8" t="s">
        <v>128</v>
      </c>
      <c r="O882" s="8" t="s">
        <v>6178</v>
      </c>
      <c r="P882" s="8" t="s">
        <v>6179</v>
      </c>
      <c r="Q882" s="8" t="s">
        <v>150</v>
      </c>
      <c r="R882" s="8"/>
      <c r="S882" s="8" t="s">
        <v>5966</v>
      </c>
      <c r="T882" s="8" t="s">
        <v>168</v>
      </c>
      <c r="U882" s="8" t="s">
        <v>150</v>
      </c>
      <c r="V882" s="8" t="s">
        <v>168</v>
      </c>
      <c r="W882" s="8" t="s">
        <v>168</v>
      </c>
      <c r="X882" s="8">
        <v>60</v>
      </c>
      <c r="Y882" s="8" t="s">
        <v>5796</v>
      </c>
      <c r="Z882" s="8">
        <v>80</v>
      </c>
      <c r="AA882" s="8">
        <v>0</v>
      </c>
      <c r="AB882" s="9">
        <v>0</v>
      </c>
    </row>
    <row r="883" spans="1:28" x14ac:dyDescent="0.2">
      <c r="A883" s="10">
        <v>23623</v>
      </c>
      <c r="B883" s="11" t="s">
        <v>6180</v>
      </c>
      <c r="C883" s="11" t="s">
        <v>6181</v>
      </c>
      <c r="D883" s="11" t="s">
        <v>6182</v>
      </c>
      <c r="E883" s="11" t="s">
        <v>6183</v>
      </c>
      <c r="F883" s="11" t="s">
        <v>6184</v>
      </c>
      <c r="G883" s="11" t="s">
        <v>270</v>
      </c>
      <c r="H883" s="11" t="s">
        <v>271</v>
      </c>
      <c r="I883" s="11" t="s">
        <v>6185</v>
      </c>
      <c r="J883" s="11" t="s">
        <v>6186</v>
      </c>
      <c r="K883" s="11" t="s">
        <v>274</v>
      </c>
      <c r="L883" s="11" t="s">
        <v>163</v>
      </c>
      <c r="M883" s="11" t="s">
        <v>6187</v>
      </c>
      <c r="N883" s="11" t="s">
        <v>128</v>
      </c>
      <c r="O883" s="11" t="s">
        <v>6188</v>
      </c>
      <c r="P883" s="11" t="s">
        <v>6189</v>
      </c>
      <c r="Q883" s="11" t="s">
        <v>150</v>
      </c>
      <c r="R883" s="11"/>
      <c r="S883" s="11" t="s">
        <v>6190</v>
      </c>
      <c r="T883" s="11" t="s">
        <v>168</v>
      </c>
      <c r="U883" s="11" t="s">
        <v>150</v>
      </c>
      <c r="V883" s="11" t="s">
        <v>168</v>
      </c>
      <c r="W883" s="11" t="s">
        <v>168</v>
      </c>
      <c r="X883" s="11">
        <v>60</v>
      </c>
      <c r="Y883" s="11" t="s">
        <v>5796</v>
      </c>
      <c r="Z883" s="11">
        <v>80</v>
      </c>
      <c r="AA883" s="11">
        <v>0</v>
      </c>
      <c r="AB883" s="12">
        <v>0</v>
      </c>
    </row>
    <row r="884" spans="1:28" x14ac:dyDescent="0.2">
      <c r="A884" s="7">
        <v>23852</v>
      </c>
      <c r="B884" s="8" t="s">
        <v>6191</v>
      </c>
      <c r="C884" s="8" t="s">
        <v>1993</v>
      </c>
      <c r="D884" s="8" t="s">
        <v>235</v>
      </c>
      <c r="E884" s="8"/>
      <c r="F884" s="8" t="s">
        <v>1994</v>
      </c>
      <c r="G884" s="8" t="s">
        <v>328</v>
      </c>
      <c r="H884" s="8" t="s">
        <v>329</v>
      </c>
      <c r="I884" s="8" t="s">
        <v>1995</v>
      </c>
      <c r="J884" s="8" t="s">
        <v>6192</v>
      </c>
      <c r="K884" s="8" t="s">
        <v>332</v>
      </c>
      <c r="L884" s="8" t="s">
        <v>333</v>
      </c>
      <c r="M884" s="8" t="s">
        <v>6193</v>
      </c>
      <c r="N884" s="8" t="s">
        <v>128</v>
      </c>
      <c r="O884" s="8" t="s">
        <v>6194</v>
      </c>
      <c r="P884" s="8" t="s">
        <v>6195</v>
      </c>
      <c r="Q884" s="8" t="s">
        <v>150</v>
      </c>
      <c r="R884" s="8"/>
      <c r="S884" s="8" t="s">
        <v>71</v>
      </c>
      <c r="T884" s="8" t="s">
        <v>168</v>
      </c>
      <c r="U884" s="8" t="s">
        <v>150</v>
      </c>
      <c r="V884" s="8" t="s">
        <v>168</v>
      </c>
      <c r="W884" s="8" t="s">
        <v>168</v>
      </c>
      <c r="X884" s="8">
        <v>60</v>
      </c>
      <c r="Y884" s="8" t="s">
        <v>5796</v>
      </c>
      <c r="Z884" s="8">
        <v>80</v>
      </c>
      <c r="AA884" s="8">
        <v>0</v>
      </c>
      <c r="AB884" s="9">
        <v>0</v>
      </c>
    </row>
    <row r="885" spans="1:28" x14ac:dyDescent="0.2">
      <c r="A885" s="10">
        <v>107617</v>
      </c>
      <c r="B885" s="11" t="s">
        <v>6196</v>
      </c>
      <c r="C885" s="11" t="s">
        <v>396</v>
      </c>
      <c r="D885" s="11" t="s">
        <v>397</v>
      </c>
      <c r="E885" s="11"/>
      <c r="F885" s="11" t="s">
        <v>6197</v>
      </c>
      <c r="G885" s="11" t="s">
        <v>400</v>
      </c>
      <c r="H885" s="11" t="s">
        <v>142</v>
      </c>
      <c r="I885" s="11" t="s">
        <v>401</v>
      </c>
      <c r="J885" s="11" t="s">
        <v>402</v>
      </c>
      <c r="K885" s="11" t="s">
        <v>403</v>
      </c>
      <c r="L885" s="11" t="s">
        <v>146</v>
      </c>
      <c r="M885" s="11" t="s">
        <v>6198</v>
      </c>
      <c r="N885" s="11" t="s">
        <v>128</v>
      </c>
      <c r="O885" s="11" t="s">
        <v>6199</v>
      </c>
      <c r="P885" s="11" t="s">
        <v>2312</v>
      </c>
      <c r="Q885" s="11" t="s">
        <v>150</v>
      </c>
      <c r="R885" s="11"/>
      <c r="S885" s="11" t="s">
        <v>407</v>
      </c>
      <c r="T885" s="11" t="s">
        <v>168</v>
      </c>
      <c r="U885" s="11" t="s">
        <v>150</v>
      </c>
      <c r="V885" s="11" t="s">
        <v>168</v>
      </c>
      <c r="W885" s="11" t="s">
        <v>168</v>
      </c>
      <c r="X885" s="11">
        <v>60</v>
      </c>
      <c r="Y885" s="11" t="s">
        <v>5796</v>
      </c>
      <c r="Z885" s="11">
        <v>80</v>
      </c>
      <c r="AA885" s="11">
        <v>0</v>
      </c>
      <c r="AB885" s="12">
        <v>0</v>
      </c>
    </row>
    <row r="886" spans="1:28" x14ac:dyDescent="0.2">
      <c r="A886" s="7">
        <v>24596</v>
      </c>
      <c r="B886" s="8" t="s">
        <v>6200</v>
      </c>
      <c r="C886" s="8" t="s">
        <v>1703</v>
      </c>
      <c r="D886" s="8" t="s">
        <v>2114</v>
      </c>
      <c r="E886" s="8" t="s">
        <v>6201</v>
      </c>
      <c r="F886" s="8" t="s">
        <v>2116</v>
      </c>
      <c r="G886" s="8" t="s">
        <v>2117</v>
      </c>
      <c r="H886" s="8" t="s">
        <v>142</v>
      </c>
      <c r="I886" s="8" t="s">
        <v>2118</v>
      </c>
      <c r="J886" s="8" t="s">
        <v>2119</v>
      </c>
      <c r="K886" s="8" t="s">
        <v>1673</v>
      </c>
      <c r="L886" s="8" t="s">
        <v>464</v>
      </c>
      <c r="M886" s="8" t="s">
        <v>6202</v>
      </c>
      <c r="N886" s="8" t="s">
        <v>128</v>
      </c>
      <c r="O886" s="8" t="s">
        <v>6203</v>
      </c>
      <c r="P886" s="8" t="s">
        <v>6204</v>
      </c>
      <c r="Q886" s="8" t="s">
        <v>150</v>
      </c>
      <c r="R886" s="8"/>
      <c r="S886" s="8" t="s">
        <v>2122</v>
      </c>
      <c r="T886" s="8" t="s">
        <v>69</v>
      </c>
      <c r="U886" s="8" t="s">
        <v>150</v>
      </c>
      <c r="V886" s="8" t="s">
        <v>152</v>
      </c>
      <c r="W886" s="8" t="s">
        <v>69</v>
      </c>
      <c r="X886" s="8">
        <v>60</v>
      </c>
      <c r="Y886" s="8" t="s">
        <v>5796</v>
      </c>
      <c r="Z886" s="8">
        <v>80</v>
      </c>
      <c r="AA886" s="8">
        <v>0</v>
      </c>
      <c r="AB886" s="9">
        <v>0</v>
      </c>
    </row>
    <row r="887" spans="1:28" x14ac:dyDescent="0.2">
      <c r="A887" s="10">
        <v>24710</v>
      </c>
      <c r="B887" s="11" t="s">
        <v>6205</v>
      </c>
      <c r="C887" s="11" t="s">
        <v>700</v>
      </c>
      <c r="D887" s="11" t="s">
        <v>6206</v>
      </c>
      <c r="E887" s="11"/>
      <c r="F887" s="11" t="s">
        <v>353</v>
      </c>
      <c r="G887" s="11" t="s">
        <v>703</v>
      </c>
      <c r="H887" s="11" t="s">
        <v>704</v>
      </c>
      <c r="I887" s="11" t="s">
        <v>705</v>
      </c>
      <c r="J887" s="11" t="s">
        <v>6207</v>
      </c>
      <c r="K887" s="11" t="s">
        <v>707</v>
      </c>
      <c r="L887" s="11" t="s">
        <v>126</v>
      </c>
      <c r="M887" s="11" t="s">
        <v>6208</v>
      </c>
      <c r="N887" s="11" t="s">
        <v>128</v>
      </c>
      <c r="O887" s="11" t="s">
        <v>6209</v>
      </c>
      <c r="P887" s="11" t="s">
        <v>6210</v>
      </c>
      <c r="Q887" s="11" t="s">
        <v>150</v>
      </c>
      <c r="R887" s="11"/>
      <c r="S887" s="11" t="s">
        <v>71</v>
      </c>
      <c r="T887" s="11" t="s">
        <v>69</v>
      </c>
      <c r="U887" s="11" t="s">
        <v>150</v>
      </c>
      <c r="V887" s="11" t="s">
        <v>152</v>
      </c>
      <c r="W887" s="11" t="s">
        <v>69</v>
      </c>
      <c r="X887" s="11">
        <v>60</v>
      </c>
      <c r="Y887" s="11" t="s">
        <v>5796</v>
      </c>
      <c r="Z887" s="11">
        <v>80</v>
      </c>
      <c r="AA887" s="11">
        <v>0</v>
      </c>
      <c r="AB887" s="12">
        <v>0</v>
      </c>
    </row>
    <row r="888" spans="1:28" x14ac:dyDescent="0.2">
      <c r="A888" s="7">
        <v>25126</v>
      </c>
      <c r="B888" s="8" t="s">
        <v>6211</v>
      </c>
      <c r="C888" s="8" t="s">
        <v>200</v>
      </c>
      <c r="D888" s="8" t="s">
        <v>201</v>
      </c>
      <c r="E888" s="8" t="s">
        <v>6212</v>
      </c>
      <c r="F888" s="8" t="s">
        <v>203</v>
      </c>
      <c r="G888" s="8" t="s">
        <v>141</v>
      </c>
      <c r="H888" s="8" t="s">
        <v>142</v>
      </c>
      <c r="I888" s="8" t="s">
        <v>204</v>
      </c>
      <c r="J888" s="8" t="s">
        <v>205</v>
      </c>
      <c r="K888" s="8" t="s">
        <v>145</v>
      </c>
      <c r="L888" s="8" t="s">
        <v>146</v>
      </c>
      <c r="M888" s="8" t="s">
        <v>6213</v>
      </c>
      <c r="N888" s="8" t="s">
        <v>128</v>
      </c>
      <c r="O888" s="8" t="s">
        <v>6214</v>
      </c>
      <c r="P888" s="8" t="s">
        <v>6215</v>
      </c>
      <c r="Q888" s="8" t="s">
        <v>740</v>
      </c>
      <c r="R888" s="8"/>
      <c r="S888" s="8" t="s">
        <v>209</v>
      </c>
      <c r="T888" s="8" t="s">
        <v>741</v>
      </c>
      <c r="U888" s="8" t="s">
        <v>134</v>
      </c>
      <c r="V888" s="8" t="s">
        <v>740</v>
      </c>
      <c r="W888" s="8" t="s">
        <v>741</v>
      </c>
      <c r="X888" s="8">
        <v>60</v>
      </c>
      <c r="Y888" s="8" t="s">
        <v>5796</v>
      </c>
      <c r="Z888" s="8">
        <v>80</v>
      </c>
      <c r="AA888" s="8">
        <v>0</v>
      </c>
      <c r="AB888" s="9">
        <v>0</v>
      </c>
    </row>
    <row r="889" spans="1:28" x14ac:dyDescent="0.2">
      <c r="A889" s="10">
        <v>21427</v>
      </c>
      <c r="B889" s="11" t="s">
        <v>6216</v>
      </c>
      <c r="C889" s="11" t="s">
        <v>466</v>
      </c>
      <c r="D889" s="11" t="s">
        <v>467</v>
      </c>
      <c r="E889" s="11" t="s">
        <v>6217</v>
      </c>
      <c r="F889" s="11" t="s">
        <v>468</v>
      </c>
      <c r="G889" s="11" t="s">
        <v>469</v>
      </c>
      <c r="H889" s="11" t="s">
        <v>142</v>
      </c>
      <c r="I889" s="11" t="s">
        <v>470</v>
      </c>
      <c r="J889" s="11" t="s">
        <v>471</v>
      </c>
      <c r="K889" s="11" t="s">
        <v>472</v>
      </c>
      <c r="L889" s="11" t="s">
        <v>146</v>
      </c>
      <c r="M889" s="11" t="s">
        <v>6218</v>
      </c>
      <c r="N889" s="11" t="s">
        <v>128</v>
      </c>
      <c r="O889" s="11" t="s">
        <v>6219</v>
      </c>
      <c r="P889" s="11" t="s">
        <v>6220</v>
      </c>
      <c r="Q889" s="11" t="s">
        <v>150</v>
      </c>
      <c r="R889" s="11"/>
      <c r="S889" s="11" t="s">
        <v>476</v>
      </c>
      <c r="T889" s="11" t="s">
        <v>67</v>
      </c>
      <c r="U889" s="11" t="s">
        <v>150</v>
      </c>
      <c r="V889" s="11" t="s">
        <v>152</v>
      </c>
      <c r="W889" s="11" t="s">
        <v>67</v>
      </c>
      <c r="X889" s="11">
        <v>59</v>
      </c>
      <c r="Y889" s="11" t="s">
        <v>5796</v>
      </c>
      <c r="Z889" s="11">
        <v>80</v>
      </c>
      <c r="AA889" s="11">
        <v>0</v>
      </c>
      <c r="AB889" s="12">
        <v>0</v>
      </c>
    </row>
    <row r="890" spans="1:28" x14ac:dyDescent="0.2">
      <c r="A890" s="7">
        <v>21548</v>
      </c>
      <c r="B890" s="8" t="s">
        <v>6221</v>
      </c>
      <c r="C890" s="8" t="s">
        <v>6222</v>
      </c>
      <c r="D890" s="8" t="s">
        <v>138</v>
      </c>
      <c r="E890" s="8" t="s">
        <v>6223</v>
      </c>
      <c r="F890" s="8" t="s">
        <v>353</v>
      </c>
      <c r="G890" s="8" t="s">
        <v>1559</v>
      </c>
      <c r="H890" s="8" t="s">
        <v>557</v>
      </c>
      <c r="I890" s="8" t="s">
        <v>6224</v>
      </c>
      <c r="J890" s="8" t="s">
        <v>6225</v>
      </c>
      <c r="K890" s="8" t="s">
        <v>1562</v>
      </c>
      <c r="L890" s="8" t="s">
        <v>229</v>
      </c>
      <c r="M890" s="8" t="s">
        <v>6226</v>
      </c>
      <c r="N890" s="8" t="s">
        <v>128</v>
      </c>
      <c r="O890" s="8" t="s">
        <v>6227</v>
      </c>
      <c r="P890" s="8" t="s">
        <v>6228</v>
      </c>
      <c r="Q890" s="8" t="s">
        <v>150</v>
      </c>
      <c r="R890" s="8"/>
      <c r="S890" s="8" t="s">
        <v>6229</v>
      </c>
      <c r="T890" s="8" t="s">
        <v>67</v>
      </c>
      <c r="U890" s="8" t="s">
        <v>150</v>
      </c>
      <c r="V890" s="8" t="s">
        <v>152</v>
      </c>
      <c r="W890" s="8" t="s">
        <v>67</v>
      </c>
      <c r="X890" s="8">
        <v>59</v>
      </c>
      <c r="Y890" s="8" t="s">
        <v>5796</v>
      </c>
      <c r="Z890" s="8">
        <v>80</v>
      </c>
      <c r="AA890" s="8">
        <v>0</v>
      </c>
      <c r="AB890" s="9">
        <v>0</v>
      </c>
    </row>
    <row r="891" spans="1:28" x14ac:dyDescent="0.2">
      <c r="A891" s="10">
        <v>23640</v>
      </c>
      <c r="B891" s="11" t="s">
        <v>6230</v>
      </c>
      <c r="C891" s="11" t="s">
        <v>2090</v>
      </c>
      <c r="D891" s="11" t="s">
        <v>2091</v>
      </c>
      <c r="E891" s="11" t="s">
        <v>6231</v>
      </c>
      <c r="F891" s="11" t="s">
        <v>353</v>
      </c>
      <c r="G891" s="11" t="s">
        <v>2093</v>
      </c>
      <c r="H891" s="11" t="s">
        <v>142</v>
      </c>
      <c r="I891" s="11" t="s">
        <v>2094</v>
      </c>
      <c r="J891" s="11" t="s">
        <v>2095</v>
      </c>
      <c r="K891" s="11" t="s">
        <v>651</v>
      </c>
      <c r="L891" s="11" t="s">
        <v>146</v>
      </c>
      <c r="M891" s="11" t="s">
        <v>6232</v>
      </c>
      <c r="N891" s="11" t="s">
        <v>128</v>
      </c>
      <c r="O891" s="11" t="s">
        <v>6233</v>
      </c>
      <c r="P891" s="11" t="s">
        <v>6234</v>
      </c>
      <c r="Q891" s="11" t="s">
        <v>150</v>
      </c>
      <c r="R891" s="11"/>
      <c r="S891" s="11" t="s">
        <v>2099</v>
      </c>
      <c r="T891" s="11" t="s">
        <v>168</v>
      </c>
      <c r="U891" s="11" t="s">
        <v>150</v>
      </c>
      <c r="V891" s="11" t="s">
        <v>168</v>
      </c>
      <c r="W891" s="11" t="s">
        <v>168</v>
      </c>
      <c r="X891" s="11">
        <v>59</v>
      </c>
      <c r="Y891" s="11" t="s">
        <v>5796</v>
      </c>
      <c r="Z891" s="11">
        <v>80</v>
      </c>
      <c r="AA891" s="11">
        <v>0</v>
      </c>
      <c r="AB891" s="12">
        <v>0</v>
      </c>
    </row>
    <row r="892" spans="1:28" x14ac:dyDescent="0.2">
      <c r="A892" s="7">
        <v>23619</v>
      </c>
      <c r="B892" s="8" t="s">
        <v>6235</v>
      </c>
      <c r="C892" s="8" t="s">
        <v>1622</v>
      </c>
      <c r="D892" s="8" t="s">
        <v>1623</v>
      </c>
      <c r="E892" s="8" t="s">
        <v>6236</v>
      </c>
      <c r="F892" s="8" t="s">
        <v>1625</v>
      </c>
      <c r="G892" s="8" t="s">
        <v>1626</v>
      </c>
      <c r="H892" s="8" t="s">
        <v>142</v>
      </c>
      <c r="I892" s="8" t="s">
        <v>1627</v>
      </c>
      <c r="J892" s="8" t="s">
        <v>1628</v>
      </c>
      <c r="K892" s="8" t="s">
        <v>472</v>
      </c>
      <c r="L892" s="8" t="s">
        <v>146</v>
      </c>
      <c r="M892" s="8" t="s">
        <v>6237</v>
      </c>
      <c r="N892" s="8" t="s">
        <v>128</v>
      </c>
      <c r="O892" s="8" t="s">
        <v>6238</v>
      </c>
      <c r="P892" s="8" t="s">
        <v>6239</v>
      </c>
      <c r="Q892" s="8" t="s">
        <v>150</v>
      </c>
      <c r="R892" s="8"/>
      <c r="S892" s="8" t="s">
        <v>1632</v>
      </c>
      <c r="T892" s="8" t="s">
        <v>168</v>
      </c>
      <c r="U892" s="8" t="s">
        <v>150</v>
      </c>
      <c r="V892" s="8" t="s">
        <v>168</v>
      </c>
      <c r="W892" s="8" t="s">
        <v>168</v>
      </c>
      <c r="X892" s="8">
        <v>59</v>
      </c>
      <c r="Y892" s="8" t="s">
        <v>5796</v>
      </c>
      <c r="Z892" s="8">
        <v>80</v>
      </c>
      <c r="AA892" s="8">
        <v>0</v>
      </c>
      <c r="AB892" s="9">
        <v>0</v>
      </c>
    </row>
    <row r="893" spans="1:28" x14ac:dyDescent="0.2">
      <c r="A893" s="10">
        <v>23793</v>
      </c>
      <c r="B893" s="11" t="s">
        <v>6240</v>
      </c>
      <c r="C893" s="11" t="s">
        <v>6241</v>
      </c>
      <c r="D893" s="11" t="s">
        <v>2839</v>
      </c>
      <c r="E893" s="11" t="s">
        <v>281</v>
      </c>
      <c r="F893" s="11" t="s">
        <v>6242</v>
      </c>
      <c r="G893" s="11" t="s">
        <v>1559</v>
      </c>
      <c r="H893" s="11" t="s">
        <v>557</v>
      </c>
      <c r="I893" s="11" t="s">
        <v>6224</v>
      </c>
      <c r="J893" s="11" t="s">
        <v>6243</v>
      </c>
      <c r="K893" s="11" t="s">
        <v>1562</v>
      </c>
      <c r="L893" s="11" t="s">
        <v>229</v>
      </c>
      <c r="M893" s="11" t="s">
        <v>6244</v>
      </c>
      <c r="N893" s="11" t="s">
        <v>128</v>
      </c>
      <c r="O893" s="11" t="s">
        <v>6245</v>
      </c>
      <c r="P893" s="11" t="s">
        <v>6246</v>
      </c>
      <c r="Q893" s="11" t="s">
        <v>150</v>
      </c>
      <c r="R893" s="11"/>
      <c r="S893" s="11" t="s">
        <v>6229</v>
      </c>
      <c r="T893" s="11" t="s">
        <v>168</v>
      </c>
      <c r="U893" s="11" t="s">
        <v>150</v>
      </c>
      <c r="V893" s="11" t="s">
        <v>168</v>
      </c>
      <c r="W893" s="11" t="s">
        <v>168</v>
      </c>
      <c r="X893" s="11">
        <v>59</v>
      </c>
      <c r="Y893" s="11" t="s">
        <v>5796</v>
      </c>
      <c r="Z893" s="11">
        <v>80</v>
      </c>
      <c r="AA893" s="11">
        <v>0</v>
      </c>
      <c r="AB893" s="12">
        <v>0</v>
      </c>
    </row>
    <row r="894" spans="1:28" x14ac:dyDescent="0.2">
      <c r="A894" s="7">
        <v>24689</v>
      </c>
      <c r="B894" s="8" t="s">
        <v>6247</v>
      </c>
      <c r="C894" s="8" t="s">
        <v>6222</v>
      </c>
      <c r="D894" s="8" t="s">
        <v>138</v>
      </c>
      <c r="E894" s="8" t="s">
        <v>6248</v>
      </c>
      <c r="F894" s="8" t="s">
        <v>353</v>
      </c>
      <c r="G894" s="8" t="s">
        <v>1559</v>
      </c>
      <c r="H894" s="8" t="s">
        <v>557</v>
      </c>
      <c r="I894" s="8" t="s">
        <v>6224</v>
      </c>
      <c r="J894" s="8" t="s">
        <v>6225</v>
      </c>
      <c r="K894" s="8" t="s">
        <v>1562</v>
      </c>
      <c r="L894" s="8" t="s">
        <v>229</v>
      </c>
      <c r="M894" s="8" t="s">
        <v>6249</v>
      </c>
      <c r="N894" s="8" t="s">
        <v>128</v>
      </c>
      <c r="O894" s="8" t="s">
        <v>6250</v>
      </c>
      <c r="P894" s="8" t="s">
        <v>6251</v>
      </c>
      <c r="Q894" s="8" t="s">
        <v>150</v>
      </c>
      <c r="R894" s="8"/>
      <c r="S894" s="8" t="s">
        <v>6229</v>
      </c>
      <c r="T894" s="8" t="s">
        <v>69</v>
      </c>
      <c r="U894" s="8" t="s">
        <v>150</v>
      </c>
      <c r="V894" s="8" t="s">
        <v>152</v>
      </c>
      <c r="W894" s="8" t="s">
        <v>69</v>
      </c>
      <c r="X894" s="8">
        <v>59</v>
      </c>
      <c r="Y894" s="8" t="s">
        <v>5796</v>
      </c>
      <c r="Z894" s="8">
        <v>80</v>
      </c>
      <c r="AA894" s="8">
        <v>0</v>
      </c>
      <c r="AB894" s="9">
        <v>0</v>
      </c>
    </row>
    <row r="895" spans="1:28" x14ac:dyDescent="0.2">
      <c r="A895" s="10">
        <v>25181</v>
      </c>
      <c r="B895" s="11" t="s">
        <v>6252</v>
      </c>
      <c r="C895" s="11" t="s">
        <v>1723</v>
      </c>
      <c r="D895" s="11" t="s">
        <v>1724</v>
      </c>
      <c r="E895" s="11" t="s">
        <v>6253</v>
      </c>
      <c r="F895" s="11" t="s">
        <v>1726</v>
      </c>
      <c r="G895" s="11" t="s">
        <v>1727</v>
      </c>
      <c r="H895" s="11" t="s">
        <v>557</v>
      </c>
      <c r="I895" s="11" t="s">
        <v>1728</v>
      </c>
      <c r="J895" s="11" t="s">
        <v>1729</v>
      </c>
      <c r="K895" s="11" t="s">
        <v>1562</v>
      </c>
      <c r="L895" s="11" t="s">
        <v>229</v>
      </c>
      <c r="M895" s="11" t="s">
        <v>6254</v>
      </c>
      <c r="N895" s="11" t="s">
        <v>128</v>
      </c>
      <c r="O895" s="11" t="s">
        <v>6255</v>
      </c>
      <c r="P895" s="11" t="s">
        <v>6256</v>
      </c>
      <c r="Q895" s="11" t="s">
        <v>740</v>
      </c>
      <c r="R895" s="11"/>
      <c r="S895" s="11" t="s">
        <v>1732</v>
      </c>
      <c r="T895" s="11" t="s">
        <v>741</v>
      </c>
      <c r="U895" s="11" t="s">
        <v>134</v>
      </c>
      <c r="V895" s="11" t="s">
        <v>740</v>
      </c>
      <c r="W895" s="11" t="s">
        <v>741</v>
      </c>
      <c r="X895" s="11">
        <v>59</v>
      </c>
      <c r="Y895" s="11" t="s">
        <v>5796</v>
      </c>
      <c r="Z895" s="11">
        <v>80</v>
      </c>
      <c r="AA895" s="11">
        <v>0</v>
      </c>
      <c r="AB895" s="12">
        <v>0</v>
      </c>
    </row>
    <row r="896" spans="1:28" x14ac:dyDescent="0.2">
      <c r="A896" s="7">
        <v>25177</v>
      </c>
      <c r="B896" s="8" t="s">
        <v>6257</v>
      </c>
      <c r="C896" s="8" t="s">
        <v>457</v>
      </c>
      <c r="D896" s="8" t="s">
        <v>477</v>
      </c>
      <c r="E896" s="8" t="s">
        <v>6258</v>
      </c>
      <c r="F896" s="8" t="s">
        <v>459</v>
      </c>
      <c r="G896" s="8" t="s">
        <v>141</v>
      </c>
      <c r="H896" s="8" t="s">
        <v>142</v>
      </c>
      <c r="I896" s="8" t="s">
        <v>460</v>
      </c>
      <c r="J896" s="8" t="s">
        <v>479</v>
      </c>
      <c r="K896" s="8" t="s">
        <v>403</v>
      </c>
      <c r="L896" s="8" t="s">
        <v>146</v>
      </c>
      <c r="M896" s="8" t="s">
        <v>6259</v>
      </c>
      <c r="N896" s="8" t="s">
        <v>128</v>
      </c>
      <c r="O896" s="8" t="s">
        <v>6260</v>
      </c>
      <c r="P896" s="8" t="s">
        <v>6261</v>
      </c>
      <c r="Q896" s="8" t="s">
        <v>740</v>
      </c>
      <c r="R896" s="8"/>
      <c r="S896" s="8" t="s">
        <v>68</v>
      </c>
      <c r="T896" s="8" t="s">
        <v>741</v>
      </c>
      <c r="U896" s="8" t="s">
        <v>134</v>
      </c>
      <c r="V896" s="8" t="s">
        <v>740</v>
      </c>
      <c r="W896" s="8" t="s">
        <v>741</v>
      </c>
      <c r="X896" s="8">
        <v>59</v>
      </c>
      <c r="Y896" s="8" t="s">
        <v>5796</v>
      </c>
      <c r="Z896" s="8">
        <v>80</v>
      </c>
      <c r="AA896" s="8">
        <v>0</v>
      </c>
      <c r="AB896" s="9">
        <v>0</v>
      </c>
    </row>
    <row r="897" spans="1:28" x14ac:dyDescent="0.2">
      <c r="A897" s="10">
        <v>25265</v>
      </c>
      <c r="B897" s="11" t="s">
        <v>6262</v>
      </c>
      <c r="C897" s="11" t="s">
        <v>6029</v>
      </c>
      <c r="D897" s="11" t="s">
        <v>6030</v>
      </c>
      <c r="E897" s="11" t="s">
        <v>6263</v>
      </c>
      <c r="F897" s="11" t="s">
        <v>6032</v>
      </c>
      <c r="G897" s="11" t="s">
        <v>141</v>
      </c>
      <c r="H897" s="11" t="s">
        <v>142</v>
      </c>
      <c r="I897" s="11" t="s">
        <v>6033</v>
      </c>
      <c r="J897" s="11" t="s">
        <v>6034</v>
      </c>
      <c r="K897" s="11" t="s">
        <v>991</v>
      </c>
      <c r="L897" s="11" t="s">
        <v>146</v>
      </c>
      <c r="M897" s="11" t="s">
        <v>6264</v>
      </c>
      <c r="N897" s="11" t="s">
        <v>128</v>
      </c>
      <c r="O897" s="11" t="s">
        <v>6265</v>
      </c>
      <c r="P897" s="11" t="s">
        <v>6266</v>
      </c>
      <c r="Q897" s="11" t="s">
        <v>740</v>
      </c>
      <c r="R897" s="11"/>
      <c r="S897" s="11" t="s">
        <v>6038</v>
      </c>
      <c r="T897" s="11" t="s">
        <v>741</v>
      </c>
      <c r="U897" s="11" t="s">
        <v>134</v>
      </c>
      <c r="V897" s="11" t="s">
        <v>740</v>
      </c>
      <c r="W897" s="11" t="s">
        <v>741</v>
      </c>
      <c r="X897" s="11">
        <v>59</v>
      </c>
      <c r="Y897" s="11" t="s">
        <v>5796</v>
      </c>
      <c r="Z897" s="11">
        <v>80</v>
      </c>
      <c r="AA897" s="11">
        <v>0</v>
      </c>
      <c r="AB897" s="12">
        <v>0</v>
      </c>
    </row>
    <row r="898" spans="1:28" x14ac:dyDescent="0.2">
      <c r="A898" s="7">
        <v>25437</v>
      </c>
      <c r="B898" s="8" t="s">
        <v>6267</v>
      </c>
      <c r="C898" s="8" t="s">
        <v>1723</v>
      </c>
      <c r="D898" s="8" t="s">
        <v>1724</v>
      </c>
      <c r="E898" s="8" t="s">
        <v>6268</v>
      </c>
      <c r="F898" s="8" t="s">
        <v>1726</v>
      </c>
      <c r="G898" s="8" t="s">
        <v>1727</v>
      </c>
      <c r="H898" s="8" t="s">
        <v>557</v>
      </c>
      <c r="I898" s="8" t="s">
        <v>1728</v>
      </c>
      <c r="J898" s="8" t="s">
        <v>1729</v>
      </c>
      <c r="K898" s="8" t="s">
        <v>1562</v>
      </c>
      <c r="L898" s="8" t="s">
        <v>229</v>
      </c>
      <c r="M898" s="8" t="s">
        <v>6269</v>
      </c>
      <c r="N898" s="8" t="s">
        <v>128</v>
      </c>
      <c r="O898" s="8" t="s">
        <v>6270</v>
      </c>
      <c r="P898" s="8" t="s">
        <v>6271</v>
      </c>
      <c r="Q898" s="8" t="s">
        <v>249</v>
      </c>
      <c r="R898" s="8"/>
      <c r="S898" s="8" t="s">
        <v>1732</v>
      </c>
      <c r="T898" s="8" t="s">
        <v>250</v>
      </c>
      <c r="U898" s="8" t="s">
        <v>134</v>
      </c>
      <c r="V898" s="8" t="s">
        <v>249</v>
      </c>
      <c r="W898" s="8" t="s">
        <v>250</v>
      </c>
      <c r="X898" s="8">
        <v>59</v>
      </c>
      <c r="Y898" s="8" t="s">
        <v>5796</v>
      </c>
      <c r="Z898" s="8">
        <v>80</v>
      </c>
      <c r="AA898" s="8">
        <v>0</v>
      </c>
      <c r="AB898" s="9">
        <v>0</v>
      </c>
    </row>
    <row r="899" spans="1:28" x14ac:dyDescent="0.2">
      <c r="A899" s="10">
        <v>21717</v>
      </c>
      <c r="B899" s="11" t="s">
        <v>6272</v>
      </c>
      <c r="C899" s="11" t="s">
        <v>3453</v>
      </c>
      <c r="D899" s="11" t="s">
        <v>6273</v>
      </c>
      <c r="E899" s="11" t="s">
        <v>6274</v>
      </c>
      <c r="F899" s="11" t="s">
        <v>353</v>
      </c>
      <c r="G899" s="11" t="s">
        <v>3454</v>
      </c>
      <c r="H899" s="11" t="s">
        <v>142</v>
      </c>
      <c r="I899" s="11" t="s">
        <v>6275</v>
      </c>
      <c r="J899" s="11" t="s">
        <v>6276</v>
      </c>
      <c r="K899" s="11" t="s">
        <v>1673</v>
      </c>
      <c r="L899" s="11" t="s">
        <v>464</v>
      </c>
      <c r="M899" s="11" t="s">
        <v>6277</v>
      </c>
      <c r="N899" s="11" t="s">
        <v>128</v>
      </c>
      <c r="O899" s="11" t="s">
        <v>6278</v>
      </c>
      <c r="P899" s="11" t="s">
        <v>6279</v>
      </c>
      <c r="Q899" s="11" t="s">
        <v>150</v>
      </c>
      <c r="R899" s="11"/>
      <c r="S899" s="11" t="s">
        <v>71</v>
      </c>
      <c r="T899" s="11" t="s">
        <v>67</v>
      </c>
      <c r="U899" s="11" t="s">
        <v>150</v>
      </c>
      <c r="V899" s="11" t="s">
        <v>152</v>
      </c>
      <c r="W899" s="11" t="s">
        <v>67</v>
      </c>
      <c r="X899" s="11">
        <v>58</v>
      </c>
      <c r="Y899" s="11" t="s">
        <v>5796</v>
      </c>
      <c r="Z899" s="11">
        <v>80</v>
      </c>
      <c r="AA899" s="11">
        <v>0</v>
      </c>
      <c r="AB899" s="12">
        <v>0</v>
      </c>
    </row>
    <row r="900" spans="1:28" x14ac:dyDescent="0.2">
      <c r="A900" s="7">
        <v>21613</v>
      </c>
      <c r="B900" s="8" t="s">
        <v>6280</v>
      </c>
      <c r="C900" s="8" t="s">
        <v>1993</v>
      </c>
      <c r="D900" s="8" t="s">
        <v>6281</v>
      </c>
      <c r="E900" s="8"/>
      <c r="F900" s="8" t="s">
        <v>1994</v>
      </c>
      <c r="G900" s="8" t="s">
        <v>328</v>
      </c>
      <c r="H900" s="8" t="s">
        <v>329</v>
      </c>
      <c r="I900" s="8" t="s">
        <v>1995</v>
      </c>
      <c r="J900" s="8" t="s">
        <v>1996</v>
      </c>
      <c r="K900" s="8" t="s">
        <v>332</v>
      </c>
      <c r="L900" s="8" t="s">
        <v>333</v>
      </c>
      <c r="M900" s="8" t="s">
        <v>6282</v>
      </c>
      <c r="N900" s="8" t="s">
        <v>128</v>
      </c>
      <c r="O900" s="8" t="s">
        <v>6283</v>
      </c>
      <c r="P900" s="8" t="s">
        <v>1594</v>
      </c>
      <c r="Q900" s="8" t="s">
        <v>150</v>
      </c>
      <c r="R900" s="8"/>
      <c r="S900" s="8" t="s">
        <v>71</v>
      </c>
      <c r="T900" s="8" t="s">
        <v>67</v>
      </c>
      <c r="U900" s="8" t="s">
        <v>150</v>
      </c>
      <c r="V900" s="8" t="s">
        <v>152</v>
      </c>
      <c r="W900" s="8" t="s">
        <v>67</v>
      </c>
      <c r="X900" s="8">
        <v>58</v>
      </c>
      <c r="Y900" s="8" t="s">
        <v>5796</v>
      </c>
      <c r="Z900" s="8">
        <v>80</v>
      </c>
      <c r="AA900" s="8">
        <v>0</v>
      </c>
      <c r="AB900" s="9">
        <v>0</v>
      </c>
    </row>
    <row r="901" spans="1:28" x14ac:dyDescent="0.2">
      <c r="A901" s="10">
        <v>21821</v>
      </c>
      <c r="B901" s="11" t="s">
        <v>6284</v>
      </c>
      <c r="C901" s="11" t="s">
        <v>6285</v>
      </c>
      <c r="D901" s="11" t="s">
        <v>6286</v>
      </c>
      <c r="E901" s="11" t="s">
        <v>6287</v>
      </c>
      <c r="F901" s="11" t="s">
        <v>6288</v>
      </c>
      <c r="G901" s="11" t="s">
        <v>2035</v>
      </c>
      <c r="H901" s="11" t="s">
        <v>142</v>
      </c>
      <c r="I901" s="11" t="s">
        <v>6289</v>
      </c>
      <c r="J901" s="11" t="s">
        <v>6290</v>
      </c>
      <c r="K901" s="11" t="s">
        <v>779</v>
      </c>
      <c r="L901" s="11" t="s">
        <v>464</v>
      </c>
      <c r="M901" s="11" t="s">
        <v>6291</v>
      </c>
      <c r="N901" s="11" t="s">
        <v>128</v>
      </c>
      <c r="O901" s="11" t="s">
        <v>6292</v>
      </c>
      <c r="P901" s="11" t="s">
        <v>6293</v>
      </c>
      <c r="Q901" s="11" t="s">
        <v>131</v>
      </c>
      <c r="R901" s="11"/>
      <c r="S901" s="11" t="s">
        <v>6294</v>
      </c>
      <c r="T901" s="11" t="s">
        <v>133</v>
      </c>
      <c r="U901" s="11" t="s">
        <v>134</v>
      </c>
      <c r="V901" s="11" t="s">
        <v>131</v>
      </c>
      <c r="W901" s="11" t="s">
        <v>133</v>
      </c>
      <c r="X901" s="11">
        <v>58</v>
      </c>
      <c r="Y901" s="11" t="s">
        <v>5796</v>
      </c>
      <c r="Z901" s="11">
        <v>80</v>
      </c>
      <c r="AA901" s="11">
        <v>0</v>
      </c>
      <c r="AB901" s="12">
        <v>0</v>
      </c>
    </row>
    <row r="902" spans="1:28" x14ac:dyDescent="0.2">
      <c r="A902" s="7">
        <v>22930</v>
      </c>
      <c r="B902" s="8" t="s">
        <v>6295</v>
      </c>
      <c r="C902" s="8" t="s">
        <v>6285</v>
      </c>
      <c r="D902" s="8" t="s">
        <v>6286</v>
      </c>
      <c r="E902" s="8" t="s">
        <v>6296</v>
      </c>
      <c r="F902" s="8" t="s">
        <v>6288</v>
      </c>
      <c r="G902" s="8" t="s">
        <v>2035</v>
      </c>
      <c r="H902" s="8" t="s">
        <v>142</v>
      </c>
      <c r="I902" s="8" t="s">
        <v>6289</v>
      </c>
      <c r="J902" s="8" t="s">
        <v>6290</v>
      </c>
      <c r="K902" s="8" t="s">
        <v>779</v>
      </c>
      <c r="L902" s="8" t="s">
        <v>464</v>
      </c>
      <c r="M902" s="8" t="s">
        <v>6297</v>
      </c>
      <c r="N902" s="8" t="s">
        <v>128</v>
      </c>
      <c r="O902" s="8" t="s">
        <v>6298</v>
      </c>
      <c r="P902" s="8" t="s">
        <v>6299</v>
      </c>
      <c r="Q902" s="8" t="s">
        <v>150</v>
      </c>
      <c r="R902" s="8"/>
      <c r="S902" s="8" t="s">
        <v>6294</v>
      </c>
      <c r="T902" s="8" t="s">
        <v>70</v>
      </c>
      <c r="U902" s="8" t="s">
        <v>150</v>
      </c>
      <c r="V902" s="8" t="s">
        <v>70</v>
      </c>
      <c r="W902" s="8" t="s">
        <v>70</v>
      </c>
      <c r="X902" s="8">
        <v>58</v>
      </c>
      <c r="Y902" s="8" t="s">
        <v>5796</v>
      </c>
      <c r="Z902" s="8">
        <v>80</v>
      </c>
      <c r="AA902" s="8">
        <v>0</v>
      </c>
      <c r="AB902" s="9">
        <v>0</v>
      </c>
    </row>
    <row r="903" spans="1:28" x14ac:dyDescent="0.2">
      <c r="A903" s="10">
        <v>23833</v>
      </c>
      <c r="B903" s="11" t="s">
        <v>6300</v>
      </c>
      <c r="C903" s="11" t="s">
        <v>6301</v>
      </c>
      <c r="D903" s="11" t="s">
        <v>3155</v>
      </c>
      <c r="E903" s="11" t="s">
        <v>713</v>
      </c>
      <c r="F903" s="11" t="s">
        <v>353</v>
      </c>
      <c r="G903" s="11" t="s">
        <v>1670</v>
      </c>
      <c r="H903" s="11" t="s">
        <v>142</v>
      </c>
      <c r="I903" s="11" t="s">
        <v>6302</v>
      </c>
      <c r="J903" s="11" t="s">
        <v>6303</v>
      </c>
      <c r="K903" s="11" t="s">
        <v>1673</v>
      </c>
      <c r="L903" s="11" t="s">
        <v>464</v>
      </c>
      <c r="M903" s="11" t="s">
        <v>6304</v>
      </c>
      <c r="N903" s="11" t="s">
        <v>128</v>
      </c>
      <c r="O903" s="11" t="s">
        <v>6305</v>
      </c>
      <c r="P903" s="11" t="s">
        <v>5817</v>
      </c>
      <c r="Q903" s="11" t="s">
        <v>150</v>
      </c>
      <c r="R903" s="11"/>
      <c r="S903" s="11" t="s">
        <v>71</v>
      </c>
      <c r="T903" s="11" t="s">
        <v>168</v>
      </c>
      <c r="U903" s="11" t="s">
        <v>150</v>
      </c>
      <c r="V903" s="11" t="s">
        <v>168</v>
      </c>
      <c r="W903" s="11" t="s">
        <v>168</v>
      </c>
      <c r="X903" s="11">
        <v>58</v>
      </c>
      <c r="Y903" s="11" t="s">
        <v>5796</v>
      </c>
      <c r="Z903" s="11">
        <v>80</v>
      </c>
      <c r="AA903" s="11">
        <v>0</v>
      </c>
      <c r="AB903" s="12">
        <v>0</v>
      </c>
    </row>
    <row r="904" spans="1:28" x14ac:dyDescent="0.2">
      <c r="A904" s="7">
        <v>23579</v>
      </c>
      <c r="B904" s="8" t="s">
        <v>6306</v>
      </c>
      <c r="C904" s="8" t="s">
        <v>6307</v>
      </c>
      <c r="D904" s="8" t="s">
        <v>6308</v>
      </c>
      <c r="E904" s="8" t="s">
        <v>702</v>
      </c>
      <c r="F904" s="8" t="s">
        <v>120</v>
      </c>
      <c r="G904" s="8" t="s">
        <v>121</v>
      </c>
      <c r="H904" s="8" t="s">
        <v>122</v>
      </c>
      <c r="I904" s="8" t="s">
        <v>6309</v>
      </c>
      <c r="J904" s="8" t="s">
        <v>6310</v>
      </c>
      <c r="K904" s="8" t="s">
        <v>1051</v>
      </c>
      <c r="L904" s="8" t="s">
        <v>126</v>
      </c>
      <c r="M904" s="8" t="s">
        <v>6311</v>
      </c>
      <c r="N904" s="8" t="s">
        <v>128</v>
      </c>
      <c r="O904" s="8" t="s">
        <v>6312</v>
      </c>
      <c r="P904" s="8" t="s">
        <v>4046</v>
      </c>
      <c r="Q904" s="8" t="s">
        <v>150</v>
      </c>
      <c r="R904" s="8"/>
      <c r="S904" s="8" t="s">
        <v>71</v>
      </c>
      <c r="T904" s="8" t="s">
        <v>168</v>
      </c>
      <c r="U904" s="8" t="s">
        <v>150</v>
      </c>
      <c r="V904" s="8" t="s">
        <v>168</v>
      </c>
      <c r="W904" s="8" t="s">
        <v>168</v>
      </c>
      <c r="X904" s="8">
        <v>58</v>
      </c>
      <c r="Y904" s="8" t="s">
        <v>5796</v>
      </c>
      <c r="Z904" s="8">
        <v>80</v>
      </c>
      <c r="AA904" s="8">
        <v>0</v>
      </c>
      <c r="AB904" s="9">
        <v>0</v>
      </c>
    </row>
    <row r="905" spans="1:28" x14ac:dyDescent="0.2">
      <c r="A905" s="10">
        <v>23865</v>
      </c>
      <c r="B905" s="11" t="s">
        <v>6313</v>
      </c>
      <c r="C905" s="11" t="s">
        <v>6314</v>
      </c>
      <c r="D905" s="11" t="s">
        <v>3381</v>
      </c>
      <c r="E905" s="11" t="s">
        <v>702</v>
      </c>
      <c r="F905" s="11" t="s">
        <v>2176</v>
      </c>
      <c r="G905" s="11" t="s">
        <v>141</v>
      </c>
      <c r="H905" s="11" t="s">
        <v>142</v>
      </c>
      <c r="I905" s="11" t="s">
        <v>6315</v>
      </c>
      <c r="J905" s="11" t="s">
        <v>6316</v>
      </c>
      <c r="K905" s="11" t="s">
        <v>991</v>
      </c>
      <c r="L905" s="11" t="s">
        <v>146</v>
      </c>
      <c r="M905" s="11" t="s">
        <v>6317</v>
      </c>
      <c r="N905" s="11" t="s">
        <v>128</v>
      </c>
      <c r="O905" s="11" t="s">
        <v>6318</v>
      </c>
      <c r="P905" s="11" t="s">
        <v>6319</v>
      </c>
      <c r="Q905" s="11" t="s">
        <v>150</v>
      </c>
      <c r="R905" s="11"/>
      <c r="S905" s="11" t="s">
        <v>71</v>
      </c>
      <c r="T905" s="11" t="s">
        <v>168</v>
      </c>
      <c r="U905" s="11" t="s">
        <v>150</v>
      </c>
      <c r="V905" s="11" t="s">
        <v>168</v>
      </c>
      <c r="W905" s="11" t="s">
        <v>168</v>
      </c>
      <c r="X905" s="11">
        <v>58</v>
      </c>
      <c r="Y905" s="11" t="s">
        <v>5796</v>
      </c>
      <c r="Z905" s="11">
        <v>80</v>
      </c>
      <c r="AA905" s="11">
        <v>0</v>
      </c>
      <c r="AB905" s="12">
        <v>0</v>
      </c>
    </row>
    <row r="906" spans="1:28" x14ac:dyDescent="0.2">
      <c r="A906" s="7">
        <v>25274</v>
      </c>
      <c r="B906" s="8" t="s">
        <v>6320</v>
      </c>
      <c r="C906" s="8" t="s">
        <v>339</v>
      </c>
      <c r="D906" s="8" t="s">
        <v>340</v>
      </c>
      <c r="E906" s="8" t="s">
        <v>6321</v>
      </c>
      <c r="F906" s="8" t="s">
        <v>342</v>
      </c>
      <c r="G906" s="8" t="s">
        <v>328</v>
      </c>
      <c r="H906" s="8" t="s">
        <v>329</v>
      </c>
      <c r="I906" s="8" t="s">
        <v>343</v>
      </c>
      <c r="J906" s="8" t="s">
        <v>344</v>
      </c>
      <c r="K906" s="8" t="s">
        <v>332</v>
      </c>
      <c r="L906" s="8" t="s">
        <v>333</v>
      </c>
      <c r="M906" s="8" t="s">
        <v>6322</v>
      </c>
      <c r="N906" s="8" t="s">
        <v>128</v>
      </c>
      <c r="O906" s="8" t="s">
        <v>6323</v>
      </c>
      <c r="P906" s="8" t="s">
        <v>6324</v>
      </c>
      <c r="Q906" s="8" t="s">
        <v>740</v>
      </c>
      <c r="R906" s="8"/>
      <c r="S906" s="8" t="s">
        <v>348</v>
      </c>
      <c r="T906" s="8" t="s">
        <v>741</v>
      </c>
      <c r="U906" s="8" t="s">
        <v>134</v>
      </c>
      <c r="V906" s="8" t="s">
        <v>740</v>
      </c>
      <c r="W906" s="8" t="s">
        <v>741</v>
      </c>
      <c r="X906" s="8">
        <v>58</v>
      </c>
      <c r="Y906" s="8" t="s">
        <v>5796</v>
      </c>
      <c r="Z906" s="8">
        <v>80</v>
      </c>
      <c r="AA906" s="8">
        <v>0</v>
      </c>
      <c r="AB906" s="9">
        <v>0</v>
      </c>
    </row>
    <row r="907" spans="1:28" x14ac:dyDescent="0.2">
      <c r="A907" s="10">
        <v>25137</v>
      </c>
      <c r="B907" s="11" t="s">
        <v>6325</v>
      </c>
      <c r="C907" s="11" t="s">
        <v>1703</v>
      </c>
      <c r="D907" s="11" t="s">
        <v>2114</v>
      </c>
      <c r="E907" s="11"/>
      <c r="F907" s="11" t="s">
        <v>2116</v>
      </c>
      <c r="G907" s="11" t="s">
        <v>2117</v>
      </c>
      <c r="H907" s="11" t="s">
        <v>142</v>
      </c>
      <c r="I907" s="11" t="s">
        <v>2118</v>
      </c>
      <c r="J907" s="11" t="s">
        <v>2119</v>
      </c>
      <c r="K907" s="11" t="s">
        <v>1673</v>
      </c>
      <c r="L907" s="11" t="s">
        <v>464</v>
      </c>
      <c r="M907" s="11" t="s">
        <v>6326</v>
      </c>
      <c r="N907" s="11" t="s">
        <v>128</v>
      </c>
      <c r="O907" s="11" t="s">
        <v>6327</v>
      </c>
      <c r="P907" s="11" t="s">
        <v>6328</v>
      </c>
      <c r="Q907" s="11" t="s">
        <v>740</v>
      </c>
      <c r="R907" s="11"/>
      <c r="S907" s="11" t="s">
        <v>2122</v>
      </c>
      <c r="T907" s="11" t="s">
        <v>741</v>
      </c>
      <c r="U907" s="11" t="s">
        <v>134</v>
      </c>
      <c r="V907" s="11" t="s">
        <v>740</v>
      </c>
      <c r="W907" s="11" t="s">
        <v>741</v>
      </c>
      <c r="X907" s="11">
        <v>58</v>
      </c>
      <c r="Y907" s="11" t="s">
        <v>5796</v>
      </c>
      <c r="Z907" s="11">
        <v>80</v>
      </c>
      <c r="AA907" s="11">
        <v>0</v>
      </c>
      <c r="AB907" s="12">
        <v>0</v>
      </c>
    </row>
    <row r="908" spans="1:28" x14ac:dyDescent="0.2">
      <c r="A908" s="7">
        <v>25386</v>
      </c>
      <c r="B908" s="8" t="s">
        <v>6329</v>
      </c>
      <c r="C908" s="8" t="s">
        <v>1703</v>
      </c>
      <c r="D908" s="8" t="s">
        <v>2114</v>
      </c>
      <c r="E908" s="8"/>
      <c r="F908" s="8" t="s">
        <v>2116</v>
      </c>
      <c r="G908" s="8" t="s">
        <v>2117</v>
      </c>
      <c r="H908" s="8" t="s">
        <v>142</v>
      </c>
      <c r="I908" s="8" t="s">
        <v>6330</v>
      </c>
      <c r="J908" s="8" t="s">
        <v>2119</v>
      </c>
      <c r="K908" s="8" t="s">
        <v>1673</v>
      </c>
      <c r="L908" s="8" t="s">
        <v>464</v>
      </c>
      <c r="M908" s="8" t="s">
        <v>6331</v>
      </c>
      <c r="N908" s="8" t="s">
        <v>128</v>
      </c>
      <c r="O908" s="8" t="s">
        <v>6332</v>
      </c>
      <c r="P908" s="8" t="s">
        <v>6333</v>
      </c>
      <c r="Q908" s="8" t="s">
        <v>249</v>
      </c>
      <c r="R908" s="8"/>
      <c r="S908" s="8" t="s">
        <v>2122</v>
      </c>
      <c r="T908" s="8" t="s">
        <v>250</v>
      </c>
      <c r="U908" s="8" t="s">
        <v>134</v>
      </c>
      <c r="V908" s="8" t="s">
        <v>249</v>
      </c>
      <c r="W908" s="8" t="s">
        <v>250</v>
      </c>
      <c r="X908" s="8">
        <v>58</v>
      </c>
      <c r="Y908" s="8" t="s">
        <v>5796</v>
      </c>
      <c r="Z908" s="8">
        <v>80</v>
      </c>
      <c r="AA908" s="8">
        <v>0</v>
      </c>
      <c r="AB908" s="9">
        <v>0</v>
      </c>
    </row>
    <row r="909" spans="1:28" x14ac:dyDescent="0.2">
      <c r="A909" s="10">
        <v>21674</v>
      </c>
      <c r="B909" s="11" t="s">
        <v>6334</v>
      </c>
      <c r="C909" s="11" t="s">
        <v>6335</v>
      </c>
      <c r="D909" s="11" t="s">
        <v>6336</v>
      </c>
      <c r="E909" s="11" t="s">
        <v>6337</v>
      </c>
      <c r="F909" s="11" t="s">
        <v>353</v>
      </c>
      <c r="G909" s="11" t="s">
        <v>6338</v>
      </c>
      <c r="H909" s="11" t="s">
        <v>329</v>
      </c>
      <c r="I909" s="11" t="s">
        <v>6339</v>
      </c>
      <c r="J909" s="11" t="s">
        <v>6340</v>
      </c>
      <c r="K909" s="11" t="s">
        <v>572</v>
      </c>
      <c r="L909" s="11" t="s">
        <v>333</v>
      </c>
      <c r="M909" s="11" t="s">
        <v>6341</v>
      </c>
      <c r="N909" s="11" t="s">
        <v>128</v>
      </c>
      <c r="O909" s="11" t="s">
        <v>6342</v>
      </c>
      <c r="P909" s="11" t="s">
        <v>6343</v>
      </c>
      <c r="Q909" s="11" t="s">
        <v>150</v>
      </c>
      <c r="R909" s="11"/>
      <c r="S909" s="11" t="s">
        <v>71</v>
      </c>
      <c r="T909" s="11" t="s">
        <v>67</v>
      </c>
      <c r="U909" s="11" t="s">
        <v>150</v>
      </c>
      <c r="V909" s="11" t="s">
        <v>152</v>
      </c>
      <c r="W909" s="11" t="s">
        <v>67</v>
      </c>
      <c r="X909" s="11">
        <v>57</v>
      </c>
      <c r="Y909" s="11" t="s">
        <v>5796</v>
      </c>
      <c r="Z909" s="11">
        <v>80</v>
      </c>
      <c r="AA909" s="11">
        <v>0</v>
      </c>
      <c r="AB909" s="12">
        <v>0</v>
      </c>
    </row>
    <row r="910" spans="1:28" x14ac:dyDescent="0.2">
      <c r="A910" s="7">
        <v>21641</v>
      </c>
      <c r="B910" s="8" t="s">
        <v>6344</v>
      </c>
      <c r="C910" s="8" t="s">
        <v>6345</v>
      </c>
      <c r="D910" s="8" t="s">
        <v>2859</v>
      </c>
      <c r="E910" s="8" t="s">
        <v>6346</v>
      </c>
      <c r="F910" s="8" t="s">
        <v>353</v>
      </c>
      <c r="G910" s="8" t="s">
        <v>1253</v>
      </c>
      <c r="H910" s="8" t="s">
        <v>142</v>
      </c>
      <c r="I910" s="8" t="s">
        <v>6347</v>
      </c>
      <c r="J910" s="8" t="s">
        <v>6348</v>
      </c>
      <c r="K910" s="8" t="s">
        <v>1199</v>
      </c>
      <c r="L910" s="8" t="s">
        <v>464</v>
      </c>
      <c r="M910" s="8" t="s">
        <v>6349</v>
      </c>
      <c r="N910" s="8" t="s">
        <v>128</v>
      </c>
      <c r="O910" s="8" t="s">
        <v>6350</v>
      </c>
      <c r="P910" s="8" t="s">
        <v>1478</v>
      </c>
      <c r="Q910" s="8" t="s">
        <v>150</v>
      </c>
      <c r="R910" s="8"/>
      <c r="S910" s="8" t="s">
        <v>71</v>
      </c>
      <c r="T910" s="8" t="s">
        <v>67</v>
      </c>
      <c r="U910" s="8" t="s">
        <v>150</v>
      </c>
      <c r="V910" s="8" t="s">
        <v>152</v>
      </c>
      <c r="W910" s="8" t="s">
        <v>67</v>
      </c>
      <c r="X910" s="8">
        <v>57</v>
      </c>
      <c r="Y910" s="8" t="s">
        <v>5796</v>
      </c>
      <c r="Z910" s="8">
        <v>80</v>
      </c>
      <c r="AA910" s="8">
        <v>0</v>
      </c>
      <c r="AB910" s="9">
        <v>0</v>
      </c>
    </row>
    <row r="911" spans="1:28" x14ac:dyDescent="0.2">
      <c r="A911" s="10">
        <v>21309</v>
      </c>
      <c r="B911" s="11" t="s">
        <v>6351</v>
      </c>
      <c r="C911" s="11" t="s">
        <v>6285</v>
      </c>
      <c r="D911" s="11" t="s">
        <v>6286</v>
      </c>
      <c r="E911" s="11" t="s">
        <v>6352</v>
      </c>
      <c r="F911" s="11" t="s">
        <v>6288</v>
      </c>
      <c r="G911" s="11" t="s">
        <v>2035</v>
      </c>
      <c r="H911" s="11" t="s">
        <v>142</v>
      </c>
      <c r="I911" s="11" t="s">
        <v>6289</v>
      </c>
      <c r="J911" s="11" t="s">
        <v>6290</v>
      </c>
      <c r="K911" s="11" t="s">
        <v>779</v>
      </c>
      <c r="L911" s="11" t="s">
        <v>464</v>
      </c>
      <c r="M911" s="11" t="s">
        <v>6353</v>
      </c>
      <c r="N911" s="11" t="s">
        <v>128</v>
      </c>
      <c r="O911" s="11" t="s">
        <v>6354</v>
      </c>
      <c r="P911" s="11" t="s">
        <v>6355</v>
      </c>
      <c r="Q911" s="11" t="s">
        <v>150</v>
      </c>
      <c r="R911" s="11"/>
      <c r="S911" s="11" t="s">
        <v>6294</v>
      </c>
      <c r="T911" s="11" t="s">
        <v>67</v>
      </c>
      <c r="U911" s="11" t="s">
        <v>150</v>
      </c>
      <c r="V911" s="11" t="s">
        <v>152</v>
      </c>
      <c r="W911" s="11" t="s">
        <v>67</v>
      </c>
      <c r="X911" s="11">
        <v>57</v>
      </c>
      <c r="Y911" s="11" t="s">
        <v>5796</v>
      </c>
      <c r="Z911" s="11">
        <v>80</v>
      </c>
      <c r="AA911" s="11">
        <v>0</v>
      </c>
      <c r="AB911" s="12">
        <v>0</v>
      </c>
    </row>
    <row r="912" spans="1:28" x14ac:dyDescent="0.2">
      <c r="A912" s="7">
        <v>21650</v>
      </c>
      <c r="B912" s="8" t="s">
        <v>6356</v>
      </c>
      <c r="C912" s="8" t="s">
        <v>6357</v>
      </c>
      <c r="D912" s="8" t="s">
        <v>6358</v>
      </c>
      <c r="E912" s="8" t="s">
        <v>6359</v>
      </c>
      <c r="F912" s="8" t="s">
        <v>6360</v>
      </c>
      <c r="G912" s="8" t="s">
        <v>4226</v>
      </c>
      <c r="H912" s="8" t="s">
        <v>329</v>
      </c>
      <c r="I912" s="8" t="s">
        <v>6361</v>
      </c>
      <c r="J912" s="8" t="s">
        <v>6362</v>
      </c>
      <c r="K912" s="8" t="s">
        <v>415</v>
      </c>
      <c r="L912" s="8" t="s">
        <v>333</v>
      </c>
      <c r="M912" s="8" t="s">
        <v>6363</v>
      </c>
      <c r="N912" s="8" t="s">
        <v>128</v>
      </c>
      <c r="O912" s="8" t="s">
        <v>6364</v>
      </c>
      <c r="P912" s="8" t="s">
        <v>6365</v>
      </c>
      <c r="Q912" s="8" t="s">
        <v>150</v>
      </c>
      <c r="R912" s="8"/>
      <c r="S912" s="8" t="s">
        <v>6366</v>
      </c>
      <c r="T912" s="8" t="s">
        <v>67</v>
      </c>
      <c r="U912" s="8" t="s">
        <v>150</v>
      </c>
      <c r="V912" s="8" t="s">
        <v>152</v>
      </c>
      <c r="W912" s="8" t="s">
        <v>67</v>
      </c>
      <c r="X912" s="8">
        <v>57</v>
      </c>
      <c r="Y912" s="8" t="s">
        <v>5796</v>
      </c>
      <c r="Z912" s="8">
        <v>80</v>
      </c>
      <c r="AA912" s="8">
        <v>0</v>
      </c>
      <c r="AB912" s="9">
        <v>0</v>
      </c>
    </row>
    <row r="913" spans="1:28" x14ac:dyDescent="0.2">
      <c r="A913" s="10">
        <v>21514</v>
      </c>
      <c r="B913" s="11" t="s">
        <v>6367</v>
      </c>
      <c r="C913" s="11" t="s">
        <v>2489</v>
      </c>
      <c r="D913" s="11" t="s">
        <v>6368</v>
      </c>
      <c r="E913" s="11"/>
      <c r="F913" s="11" t="s">
        <v>353</v>
      </c>
      <c r="G913" s="11" t="s">
        <v>776</v>
      </c>
      <c r="H913" s="11" t="s">
        <v>142</v>
      </c>
      <c r="I913" s="11" t="s">
        <v>2491</v>
      </c>
      <c r="J913" s="11" t="s">
        <v>6369</v>
      </c>
      <c r="K913" s="11" t="s">
        <v>779</v>
      </c>
      <c r="L913" s="11" t="s">
        <v>464</v>
      </c>
      <c r="M913" s="11" t="s">
        <v>6370</v>
      </c>
      <c r="N913" s="11" t="s">
        <v>128</v>
      </c>
      <c r="O913" s="11" t="s">
        <v>6371</v>
      </c>
      <c r="P913" s="11" t="s">
        <v>6372</v>
      </c>
      <c r="Q913" s="11" t="s">
        <v>150</v>
      </c>
      <c r="R913" s="11"/>
      <c r="S913" s="11" t="s">
        <v>71</v>
      </c>
      <c r="T913" s="11" t="s">
        <v>67</v>
      </c>
      <c r="U913" s="11" t="s">
        <v>150</v>
      </c>
      <c r="V913" s="11" t="s">
        <v>152</v>
      </c>
      <c r="W913" s="11" t="s">
        <v>67</v>
      </c>
      <c r="X913" s="11">
        <v>57</v>
      </c>
      <c r="Y913" s="11" t="s">
        <v>5796</v>
      </c>
      <c r="Z913" s="11">
        <v>80</v>
      </c>
      <c r="AA913" s="11">
        <v>0</v>
      </c>
      <c r="AB913" s="12">
        <v>0</v>
      </c>
    </row>
    <row r="914" spans="1:28" x14ac:dyDescent="0.2">
      <c r="A914" s="7">
        <v>24713</v>
      </c>
      <c r="B914" s="8" t="s">
        <v>6373</v>
      </c>
      <c r="C914" s="8" t="s">
        <v>1993</v>
      </c>
      <c r="D914" s="8" t="s">
        <v>6374</v>
      </c>
      <c r="E914" s="8" t="s">
        <v>6375</v>
      </c>
      <c r="F914" s="8" t="s">
        <v>1994</v>
      </c>
      <c r="G914" s="8" t="s">
        <v>328</v>
      </c>
      <c r="H914" s="8" t="s">
        <v>329</v>
      </c>
      <c r="I914" s="8" t="s">
        <v>1995</v>
      </c>
      <c r="J914" s="8" t="s">
        <v>1996</v>
      </c>
      <c r="K914" s="8" t="s">
        <v>332</v>
      </c>
      <c r="L914" s="8" t="s">
        <v>333</v>
      </c>
      <c r="M914" s="8" t="s">
        <v>6376</v>
      </c>
      <c r="N914" s="8" t="s">
        <v>128</v>
      </c>
      <c r="O914" s="8" t="s">
        <v>6377</v>
      </c>
      <c r="P914" s="8" t="s">
        <v>3387</v>
      </c>
      <c r="Q914" s="8" t="s">
        <v>150</v>
      </c>
      <c r="R914" s="8"/>
      <c r="S914" s="8" t="s">
        <v>71</v>
      </c>
      <c r="T914" s="8" t="s">
        <v>69</v>
      </c>
      <c r="U914" s="8" t="s">
        <v>150</v>
      </c>
      <c r="V914" s="8" t="s">
        <v>152</v>
      </c>
      <c r="W914" s="8" t="s">
        <v>69</v>
      </c>
      <c r="X914" s="8">
        <v>57</v>
      </c>
      <c r="Y914" s="8" t="s">
        <v>5796</v>
      </c>
      <c r="Z914" s="8">
        <v>80</v>
      </c>
      <c r="AA914" s="8">
        <v>0</v>
      </c>
      <c r="AB914" s="9">
        <v>0</v>
      </c>
    </row>
    <row r="915" spans="1:28" x14ac:dyDescent="0.2">
      <c r="A915" s="10">
        <v>25155</v>
      </c>
      <c r="B915" s="11" t="s">
        <v>6378</v>
      </c>
      <c r="C915" s="11" t="s">
        <v>1622</v>
      </c>
      <c r="D915" s="11" t="s">
        <v>1623</v>
      </c>
      <c r="E915" s="11" t="s">
        <v>6379</v>
      </c>
      <c r="F915" s="11" t="s">
        <v>1625</v>
      </c>
      <c r="G915" s="11" t="s">
        <v>1626</v>
      </c>
      <c r="H915" s="11" t="s">
        <v>142</v>
      </c>
      <c r="I915" s="11" t="s">
        <v>1627</v>
      </c>
      <c r="J915" s="11" t="s">
        <v>1628</v>
      </c>
      <c r="K915" s="11" t="s">
        <v>472</v>
      </c>
      <c r="L915" s="11" t="s">
        <v>146</v>
      </c>
      <c r="M915" s="11" t="s">
        <v>6380</v>
      </c>
      <c r="N915" s="11" t="s">
        <v>128</v>
      </c>
      <c r="O915" s="11" t="s">
        <v>6381</v>
      </c>
      <c r="P915" s="11" t="s">
        <v>6382</v>
      </c>
      <c r="Q915" s="11" t="s">
        <v>740</v>
      </c>
      <c r="R915" s="11"/>
      <c r="S915" s="11" t="s">
        <v>1632</v>
      </c>
      <c r="T915" s="11" t="s">
        <v>741</v>
      </c>
      <c r="U915" s="11" t="s">
        <v>134</v>
      </c>
      <c r="V915" s="11" t="s">
        <v>740</v>
      </c>
      <c r="W915" s="11" t="s">
        <v>741</v>
      </c>
      <c r="X915" s="11">
        <v>57</v>
      </c>
      <c r="Y915" s="11" t="s">
        <v>5796</v>
      </c>
      <c r="Z915" s="11">
        <v>80</v>
      </c>
      <c r="AA915" s="11">
        <v>0</v>
      </c>
      <c r="AB915" s="12">
        <v>0</v>
      </c>
    </row>
    <row r="916" spans="1:28" x14ac:dyDescent="0.2">
      <c r="A916" s="7">
        <v>25128</v>
      </c>
      <c r="B916" s="8" t="s">
        <v>6383</v>
      </c>
      <c r="C916" s="8" t="s">
        <v>6307</v>
      </c>
      <c r="D916" s="8" t="s">
        <v>6384</v>
      </c>
      <c r="E916" s="8" t="s">
        <v>6385</v>
      </c>
      <c r="F916" s="8" t="s">
        <v>6386</v>
      </c>
      <c r="G916" s="8" t="s">
        <v>121</v>
      </c>
      <c r="H916" s="8" t="s">
        <v>122</v>
      </c>
      <c r="I916" s="8" t="s">
        <v>6387</v>
      </c>
      <c r="J916" s="8" t="s">
        <v>6388</v>
      </c>
      <c r="K916" s="8" t="s">
        <v>1051</v>
      </c>
      <c r="L916" s="8" t="s">
        <v>126</v>
      </c>
      <c r="M916" s="8" t="s">
        <v>6389</v>
      </c>
      <c r="N916" s="8" t="s">
        <v>128</v>
      </c>
      <c r="O916" s="8" t="s">
        <v>6390</v>
      </c>
      <c r="P916" s="8" t="s">
        <v>6391</v>
      </c>
      <c r="Q916" s="8" t="s">
        <v>740</v>
      </c>
      <c r="R916" s="8"/>
      <c r="S916" s="8" t="s">
        <v>6392</v>
      </c>
      <c r="T916" s="8" t="s">
        <v>741</v>
      </c>
      <c r="U916" s="8" t="s">
        <v>134</v>
      </c>
      <c r="V916" s="8" t="s">
        <v>740</v>
      </c>
      <c r="W916" s="8" t="s">
        <v>741</v>
      </c>
      <c r="X916" s="8">
        <v>57</v>
      </c>
      <c r="Y916" s="8" t="s">
        <v>5796</v>
      </c>
      <c r="Z916" s="8">
        <v>80</v>
      </c>
      <c r="AA916" s="8">
        <v>0</v>
      </c>
      <c r="AB916" s="9">
        <v>0</v>
      </c>
    </row>
    <row r="917" spans="1:28" x14ac:dyDescent="0.2">
      <c r="A917" s="10">
        <v>21273</v>
      </c>
      <c r="B917" s="11" t="s">
        <v>6393</v>
      </c>
      <c r="C917" s="11" t="s">
        <v>6394</v>
      </c>
      <c r="D917" s="11" t="s">
        <v>6395</v>
      </c>
      <c r="E917" s="11" t="s">
        <v>6396</v>
      </c>
      <c r="F917" s="11" t="s">
        <v>6397</v>
      </c>
      <c r="G917" s="11" t="s">
        <v>6398</v>
      </c>
      <c r="H917" s="11" t="s">
        <v>329</v>
      </c>
      <c r="I917" s="11" t="s">
        <v>6399</v>
      </c>
      <c r="J917" s="11" t="s">
        <v>6400</v>
      </c>
      <c r="K917" s="11" t="s">
        <v>572</v>
      </c>
      <c r="L917" s="11" t="s">
        <v>333</v>
      </c>
      <c r="M917" s="11" t="s">
        <v>6401</v>
      </c>
      <c r="N917" s="11" t="s">
        <v>128</v>
      </c>
      <c r="O917" s="11" t="s">
        <v>6402</v>
      </c>
      <c r="P917" s="11" t="s">
        <v>4895</v>
      </c>
      <c r="Q917" s="11" t="s">
        <v>150</v>
      </c>
      <c r="R917" s="11"/>
      <c r="S917" s="11" t="s">
        <v>71</v>
      </c>
      <c r="T917" s="11" t="s">
        <v>67</v>
      </c>
      <c r="U917" s="11" t="s">
        <v>150</v>
      </c>
      <c r="V917" s="11" t="s">
        <v>152</v>
      </c>
      <c r="W917" s="11" t="s">
        <v>67</v>
      </c>
      <c r="X917" s="11">
        <v>56</v>
      </c>
      <c r="Y917" s="11" t="s">
        <v>5796</v>
      </c>
      <c r="Z917" s="11">
        <v>80</v>
      </c>
      <c r="AA917" s="11">
        <v>0</v>
      </c>
      <c r="AB917" s="12">
        <v>0</v>
      </c>
    </row>
    <row r="918" spans="1:28" x14ac:dyDescent="0.2">
      <c r="A918" s="7">
        <v>23232</v>
      </c>
      <c r="B918" s="8" t="s">
        <v>6403</v>
      </c>
      <c r="C918" s="8" t="s">
        <v>1993</v>
      </c>
      <c r="D918" s="8" t="s">
        <v>2191</v>
      </c>
      <c r="E918" s="8" t="s">
        <v>1112</v>
      </c>
      <c r="F918" s="8" t="s">
        <v>1994</v>
      </c>
      <c r="G918" s="8" t="s">
        <v>328</v>
      </c>
      <c r="H918" s="8" t="s">
        <v>329</v>
      </c>
      <c r="I918" s="8" t="s">
        <v>1995</v>
      </c>
      <c r="J918" s="8" t="s">
        <v>1996</v>
      </c>
      <c r="K918" s="8" t="s">
        <v>332</v>
      </c>
      <c r="L918" s="8" t="s">
        <v>333</v>
      </c>
      <c r="M918" s="8" t="s">
        <v>6404</v>
      </c>
      <c r="N918" s="8" t="s">
        <v>128</v>
      </c>
      <c r="O918" s="8" t="s">
        <v>6405</v>
      </c>
      <c r="P918" s="8" t="s">
        <v>6406</v>
      </c>
      <c r="Q918" s="8" t="s">
        <v>150</v>
      </c>
      <c r="R918" s="8"/>
      <c r="S918" s="8" t="s">
        <v>71</v>
      </c>
      <c r="T918" s="8" t="s">
        <v>70</v>
      </c>
      <c r="U918" s="8" t="s">
        <v>150</v>
      </c>
      <c r="V918" s="8" t="s">
        <v>70</v>
      </c>
      <c r="W918" s="8" t="s">
        <v>70</v>
      </c>
      <c r="X918" s="8">
        <v>56</v>
      </c>
      <c r="Y918" s="8" t="s">
        <v>5796</v>
      </c>
      <c r="Z918" s="8">
        <v>80</v>
      </c>
      <c r="AA918" s="8">
        <v>0</v>
      </c>
      <c r="AB918" s="9">
        <v>0</v>
      </c>
    </row>
    <row r="919" spans="1:28" x14ac:dyDescent="0.2">
      <c r="A919" s="10">
        <v>23276</v>
      </c>
      <c r="B919" s="11" t="s">
        <v>6407</v>
      </c>
      <c r="C919" s="11" t="s">
        <v>6408</v>
      </c>
      <c r="D919" s="11" t="s">
        <v>138</v>
      </c>
      <c r="E919" s="11"/>
      <c r="F919" s="11" t="s">
        <v>353</v>
      </c>
      <c r="G919" s="11" t="s">
        <v>6409</v>
      </c>
      <c r="H919" s="11" t="s">
        <v>6410</v>
      </c>
      <c r="I919" s="11" t="s">
        <v>6411</v>
      </c>
      <c r="J919" s="11" t="s">
        <v>6412</v>
      </c>
      <c r="K919" s="11" t="s">
        <v>1956</v>
      </c>
      <c r="L919" s="11" t="s">
        <v>526</v>
      </c>
      <c r="M919" s="11" t="s">
        <v>6413</v>
      </c>
      <c r="N919" s="11" t="s">
        <v>128</v>
      </c>
      <c r="O919" s="11" t="s">
        <v>6414</v>
      </c>
      <c r="P919" s="11" t="s">
        <v>6415</v>
      </c>
      <c r="Q919" s="11" t="s">
        <v>150</v>
      </c>
      <c r="R919" s="11"/>
      <c r="S919" s="11" t="s">
        <v>71</v>
      </c>
      <c r="T919" s="11" t="s">
        <v>70</v>
      </c>
      <c r="U919" s="11" t="s">
        <v>150</v>
      </c>
      <c r="V919" s="11" t="s">
        <v>70</v>
      </c>
      <c r="W919" s="11" t="s">
        <v>70</v>
      </c>
      <c r="X919" s="11">
        <v>56</v>
      </c>
      <c r="Y919" s="11" t="s">
        <v>5796</v>
      </c>
      <c r="Z919" s="11">
        <v>80</v>
      </c>
      <c r="AA919" s="11">
        <v>0</v>
      </c>
      <c r="AB919" s="12">
        <v>0</v>
      </c>
    </row>
    <row r="920" spans="1:28" x14ac:dyDescent="0.2">
      <c r="A920" s="7">
        <v>23477</v>
      </c>
      <c r="B920" s="8" t="s">
        <v>6416</v>
      </c>
      <c r="C920" s="8" t="s">
        <v>6417</v>
      </c>
      <c r="D920" s="8" t="s">
        <v>701</v>
      </c>
      <c r="E920" s="8"/>
      <c r="F920" s="8" t="s">
        <v>353</v>
      </c>
      <c r="G920" s="8" t="s">
        <v>5872</v>
      </c>
      <c r="H920" s="8" t="s">
        <v>142</v>
      </c>
      <c r="I920" s="8" t="s">
        <v>6418</v>
      </c>
      <c r="J920" s="8" t="s">
        <v>6419</v>
      </c>
      <c r="K920" s="8" t="s">
        <v>403</v>
      </c>
      <c r="L920" s="8" t="s">
        <v>146</v>
      </c>
      <c r="M920" s="8" t="s">
        <v>6420</v>
      </c>
      <c r="N920" s="8" t="s">
        <v>128</v>
      </c>
      <c r="O920" s="8" t="s">
        <v>6421</v>
      </c>
      <c r="P920" s="8" t="s">
        <v>6422</v>
      </c>
      <c r="Q920" s="8" t="s">
        <v>150</v>
      </c>
      <c r="R920" s="8"/>
      <c r="S920" s="8" t="s">
        <v>71</v>
      </c>
      <c r="T920" s="8" t="s">
        <v>1415</v>
      </c>
      <c r="U920" s="8" t="s">
        <v>150</v>
      </c>
      <c r="V920" s="8" t="s">
        <v>1415</v>
      </c>
      <c r="W920" s="8" t="s">
        <v>1415</v>
      </c>
      <c r="X920" s="8">
        <v>56</v>
      </c>
      <c r="Y920" s="8" t="s">
        <v>5796</v>
      </c>
      <c r="Z920" s="8">
        <v>80</v>
      </c>
      <c r="AA920" s="8">
        <v>0</v>
      </c>
      <c r="AB920" s="9">
        <v>0</v>
      </c>
    </row>
    <row r="921" spans="1:28" x14ac:dyDescent="0.2">
      <c r="A921" s="10">
        <v>23795</v>
      </c>
      <c r="B921" s="11" t="s">
        <v>6423</v>
      </c>
      <c r="C921" s="11" t="s">
        <v>1809</v>
      </c>
      <c r="D921" s="11" t="s">
        <v>1810</v>
      </c>
      <c r="E921" s="11" t="s">
        <v>6424</v>
      </c>
      <c r="F921" s="11" t="s">
        <v>1812</v>
      </c>
      <c r="G921" s="11" t="s">
        <v>1813</v>
      </c>
      <c r="H921" s="11" t="s">
        <v>142</v>
      </c>
      <c r="I921" s="11" t="s">
        <v>1814</v>
      </c>
      <c r="J921" s="11" t="s">
        <v>1815</v>
      </c>
      <c r="K921" s="11" t="s">
        <v>974</v>
      </c>
      <c r="L921" s="11" t="s">
        <v>146</v>
      </c>
      <c r="M921" s="11" t="s">
        <v>6425</v>
      </c>
      <c r="N921" s="11" t="s">
        <v>128</v>
      </c>
      <c r="O921" s="11" t="s">
        <v>6426</v>
      </c>
      <c r="P921" s="11" t="s">
        <v>6427</v>
      </c>
      <c r="Q921" s="11" t="s">
        <v>150</v>
      </c>
      <c r="R921" s="11"/>
      <c r="S921" s="11" t="s">
        <v>1819</v>
      </c>
      <c r="T921" s="11" t="s">
        <v>168</v>
      </c>
      <c r="U921" s="11" t="s">
        <v>150</v>
      </c>
      <c r="V921" s="11" t="s">
        <v>168</v>
      </c>
      <c r="W921" s="11" t="s">
        <v>168</v>
      </c>
      <c r="X921" s="11">
        <v>56</v>
      </c>
      <c r="Y921" s="11" t="s">
        <v>5796</v>
      </c>
      <c r="Z921" s="11">
        <v>80</v>
      </c>
      <c r="AA921" s="11">
        <v>0</v>
      </c>
      <c r="AB921" s="12">
        <v>0</v>
      </c>
    </row>
    <row r="922" spans="1:28" x14ac:dyDescent="0.2">
      <c r="A922" s="7">
        <v>86405</v>
      </c>
      <c r="B922" s="8" t="s">
        <v>6428</v>
      </c>
      <c r="C922" s="8" t="s">
        <v>6429</v>
      </c>
      <c r="D922" s="8" t="s">
        <v>1395</v>
      </c>
      <c r="E922" s="8"/>
      <c r="F922" s="8" t="s">
        <v>6430</v>
      </c>
      <c r="G922" s="8" t="s">
        <v>6431</v>
      </c>
      <c r="H922" s="8" t="s">
        <v>329</v>
      </c>
      <c r="I922" s="8" t="s">
        <v>6432</v>
      </c>
      <c r="J922" s="8" t="s">
        <v>6433</v>
      </c>
      <c r="K922" s="8" t="s">
        <v>332</v>
      </c>
      <c r="L922" s="8" t="s">
        <v>333</v>
      </c>
      <c r="M922" s="8" t="s">
        <v>6434</v>
      </c>
      <c r="N922" s="8" t="s">
        <v>128</v>
      </c>
      <c r="O922" s="8" t="s">
        <v>6435</v>
      </c>
      <c r="P922" s="8" t="s">
        <v>6436</v>
      </c>
      <c r="Q922" s="8" t="s">
        <v>150</v>
      </c>
      <c r="R922" s="8"/>
      <c r="S922" s="8" t="s">
        <v>71</v>
      </c>
      <c r="T922" s="8" t="s">
        <v>168</v>
      </c>
      <c r="U922" s="8" t="s">
        <v>150</v>
      </c>
      <c r="V922" s="8" t="s">
        <v>168</v>
      </c>
      <c r="W922" s="8" t="s">
        <v>168</v>
      </c>
      <c r="X922" s="8">
        <v>56</v>
      </c>
      <c r="Y922" s="8" t="s">
        <v>5796</v>
      </c>
      <c r="Z922" s="8">
        <v>80</v>
      </c>
      <c r="AA922" s="8">
        <v>0</v>
      </c>
      <c r="AB922" s="9">
        <v>0</v>
      </c>
    </row>
    <row r="923" spans="1:28" x14ac:dyDescent="0.2">
      <c r="A923" s="10">
        <v>23585</v>
      </c>
      <c r="B923" s="11" t="s">
        <v>6437</v>
      </c>
      <c r="C923" s="11" t="s">
        <v>2410</v>
      </c>
      <c r="D923" s="11" t="s">
        <v>701</v>
      </c>
      <c r="E923" s="11"/>
      <c r="F923" s="11" t="s">
        <v>6438</v>
      </c>
      <c r="G923" s="11" t="s">
        <v>2093</v>
      </c>
      <c r="H923" s="11" t="s">
        <v>142</v>
      </c>
      <c r="I923" s="11" t="s">
        <v>2413</v>
      </c>
      <c r="J923" s="11" t="s">
        <v>6439</v>
      </c>
      <c r="K923" s="11" t="s">
        <v>651</v>
      </c>
      <c r="L923" s="11" t="s">
        <v>146</v>
      </c>
      <c r="M923" s="11" t="s">
        <v>6440</v>
      </c>
      <c r="N923" s="11" t="s">
        <v>128</v>
      </c>
      <c r="O923" s="11" t="s">
        <v>6441</v>
      </c>
      <c r="P923" s="11" t="s">
        <v>4913</v>
      </c>
      <c r="Q923" s="11" t="s">
        <v>150</v>
      </c>
      <c r="R923" s="11"/>
      <c r="S923" s="11" t="s">
        <v>71</v>
      </c>
      <c r="T923" s="11" t="s">
        <v>168</v>
      </c>
      <c r="U923" s="11" t="s">
        <v>150</v>
      </c>
      <c r="V923" s="11" t="s">
        <v>168</v>
      </c>
      <c r="W923" s="11" t="s">
        <v>168</v>
      </c>
      <c r="X923" s="11">
        <v>56</v>
      </c>
      <c r="Y923" s="11" t="s">
        <v>5796</v>
      </c>
      <c r="Z923" s="11">
        <v>80</v>
      </c>
      <c r="AA923" s="11">
        <v>0</v>
      </c>
      <c r="AB923" s="12">
        <v>0</v>
      </c>
    </row>
    <row r="924" spans="1:28" x14ac:dyDescent="0.2">
      <c r="A924" s="7">
        <v>28915</v>
      </c>
      <c r="B924" s="8" t="s">
        <v>6442</v>
      </c>
      <c r="C924" s="8" t="s">
        <v>6443</v>
      </c>
      <c r="D924" s="8" t="s">
        <v>351</v>
      </c>
      <c r="E924" s="8"/>
      <c r="F924" s="8" t="s">
        <v>6444</v>
      </c>
      <c r="G924" s="8" t="s">
        <v>158</v>
      </c>
      <c r="H924" s="8" t="s">
        <v>159</v>
      </c>
      <c r="I924" s="8" t="s">
        <v>6445</v>
      </c>
      <c r="J924" s="8" t="s">
        <v>6446</v>
      </c>
      <c r="K924" s="8" t="s">
        <v>274</v>
      </c>
      <c r="L924" s="8" t="s">
        <v>163</v>
      </c>
      <c r="M924" s="8" t="s">
        <v>6447</v>
      </c>
      <c r="N924" s="8" t="s">
        <v>128</v>
      </c>
      <c r="O924" s="8" t="s">
        <v>6448</v>
      </c>
      <c r="P924" s="8" t="s">
        <v>4604</v>
      </c>
      <c r="Q924" s="8" t="s">
        <v>150</v>
      </c>
      <c r="R924" s="8"/>
      <c r="S924" s="8" t="s">
        <v>71</v>
      </c>
      <c r="T924" s="8" t="s">
        <v>168</v>
      </c>
      <c r="U924" s="8" t="s">
        <v>150</v>
      </c>
      <c r="V924" s="8" t="s">
        <v>168</v>
      </c>
      <c r="W924" s="8" t="s">
        <v>168</v>
      </c>
      <c r="X924" s="8">
        <v>56</v>
      </c>
      <c r="Y924" s="8" t="s">
        <v>5796</v>
      </c>
      <c r="Z924" s="8">
        <v>80</v>
      </c>
      <c r="AA924" s="8">
        <v>0</v>
      </c>
      <c r="AB924" s="9">
        <v>0</v>
      </c>
    </row>
    <row r="925" spans="1:28" x14ac:dyDescent="0.2">
      <c r="A925" s="10">
        <v>25394</v>
      </c>
      <c r="B925" s="11" t="s">
        <v>6449</v>
      </c>
      <c r="C925" s="11" t="s">
        <v>552</v>
      </c>
      <c r="D925" s="11" t="s">
        <v>789</v>
      </c>
      <c r="E925" s="11" t="s">
        <v>6450</v>
      </c>
      <c r="F925" s="11" t="s">
        <v>1479</v>
      </c>
      <c r="G925" s="11" t="s">
        <v>556</v>
      </c>
      <c r="H925" s="11" t="s">
        <v>557</v>
      </c>
      <c r="I925" s="11" t="s">
        <v>558</v>
      </c>
      <c r="J925" s="11" t="s">
        <v>2579</v>
      </c>
      <c r="K925" s="11" t="s">
        <v>560</v>
      </c>
      <c r="L925" s="11" t="s">
        <v>229</v>
      </c>
      <c r="M925" s="11" t="s">
        <v>6451</v>
      </c>
      <c r="N925" s="11" t="s">
        <v>128</v>
      </c>
      <c r="O925" s="11" t="s">
        <v>6452</v>
      </c>
      <c r="P925" s="11" t="s">
        <v>6453</v>
      </c>
      <c r="Q925" s="11" t="s">
        <v>249</v>
      </c>
      <c r="R925" s="11"/>
      <c r="S925" s="11" t="s">
        <v>796</v>
      </c>
      <c r="T925" s="11" t="s">
        <v>250</v>
      </c>
      <c r="U925" s="11" t="s">
        <v>134</v>
      </c>
      <c r="V925" s="11" t="s">
        <v>249</v>
      </c>
      <c r="W925" s="11" t="s">
        <v>250</v>
      </c>
      <c r="X925" s="11">
        <v>56</v>
      </c>
      <c r="Y925" s="11" t="s">
        <v>5796</v>
      </c>
      <c r="Z925" s="11">
        <v>80</v>
      </c>
      <c r="AA925" s="11">
        <v>0</v>
      </c>
      <c r="AB925" s="12">
        <v>0</v>
      </c>
    </row>
    <row r="926" spans="1:28" x14ac:dyDescent="0.2">
      <c r="A926" s="7">
        <v>21213</v>
      </c>
      <c r="B926" s="8" t="s">
        <v>6454</v>
      </c>
      <c r="C926" s="8" t="s">
        <v>533</v>
      </c>
      <c r="D926" s="8" t="s">
        <v>6455</v>
      </c>
      <c r="E926" s="8" t="s">
        <v>6456</v>
      </c>
      <c r="F926" s="8" t="s">
        <v>353</v>
      </c>
      <c r="G926" s="8" t="s">
        <v>536</v>
      </c>
      <c r="H926" s="8" t="s">
        <v>329</v>
      </c>
      <c r="I926" s="8" t="s">
        <v>926</v>
      </c>
      <c r="J926" s="8" t="s">
        <v>6457</v>
      </c>
      <c r="K926" s="8" t="s">
        <v>431</v>
      </c>
      <c r="L926" s="8" t="s">
        <v>333</v>
      </c>
      <c r="M926" s="8" t="s">
        <v>6458</v>
      </c>
      <c r="N926" s="8" t="s">
        <v>128</v>
      </c>
      <c r="O926" s="8" t="s">
        <v>6459</v>
      </c>
      <c r="P926" s="8" t="s">
        <v>6460</v>
      </c>
      <c r="Q926" s="8" t="s">
        <v>150</v>
      </c>
      <c r="R926" s="8"/>
      <c r="S926" s="8" t="s">
        <v>71</v>
      </c>
      <c r="T926" s="8" t="s">
        <v>642</v>
      </c>
      <c r="U926" s="8" t="s">
        <v>150</v>
      </c>
      <c r="V926" s="8" t="s">
        <v>642</v>
      </c>
      <c r="W926" s="8" t="s">
        <v>642</v>
      </c>
      <c r="X926" s="8">
        <v>55</v>
      </c>
      <c r="Y926" s="8" t="s">
        <v>5796</v>
      </c>
      <c r="Z926" s="8">
        <v>80</v>
      </c>
      <c r="AA926" s="8">
        <v>0</v>
      </c>
      <c r="AB926" s="9">
        <v>0</v>
      </c>
    </row>
    <row r="927" spans="1:28" x14ac:dyDescent="0.2">
      <c r="A927" s="10">
        <v>21616</v>
      </c>
      <c r="B927" s="11" t="s">
        <v>6461</v>
      </c>
      <c r="C927" s="11" t="s">
        <v>945</v>
      </c>
      <c r="D927" s="11" t="s">
        <v>3770</v>
      </c>
      <c r="E927" s="11" t="s">
        <v>5991</v>
      </c>
      <c r="F927" s="11" t="s">
        <v>353</v>
      </c>
      <c r="G927" s="11" t="s">
        <v>556</v>
      </c>
      <c r="H927" s="11" t="s">
        <v>557</v>
      </c>
      <c r="I927" s="11" t="s">
        <v>947</v>
      </c>
      <c r="J927" s="11" t="s">
        <v>6462</v>
      </c>
      <c r="K927" s="11" t="s">
        <v>560</v>
      </c>
      <c r="L927" s="11" t="s">
        <v>229</v>
      </c>
      <c r="M927" s="11" t="s">
        <v>6463</v>
      </c>
      <c r="N927" s="11" t="s">
        <v>128</v>
      </c>
      <c r="O927" s="11" t="s">
        <v>6464</v>
      </c>
      <c r="P927" s="11" t="s">
        <v>6465</v>
      </c>
      <c r="Q927" s="11" t="s">
        <v>150</v>
      </c>
      <c r="R927" s="11"/>
      <c r="S927" s="11" t="s">
        <v>71</v>
      </c>
      <c r="T927" s="11" t="s">
        <v>67</v>
      </c>
      <c r="U927" s="11" t="s">
        <v>150</v>
      </c>
      <c r="V927" s="11" t="s">
        <v>152</v>
      </c>
      <c r="W927" s="11" t="s">
        <v>67</v>
      </c>
      <c r="X927" s="11">
        <v>55</v>
      </c>
      <c r="Y927" s="11" t="s">
        <v>5796</v>
      </c>
      <c r="Z927" s="11">
        <v>80</v>
      </c>
      <c r="AA927" s="11">
        <v>0</v>
      </c>
      <c r="AB927" s="12">
        <v>0</v>
      </c>
    </row>
    <row r="928" spans="1:28" x14ac:dyDescent="0.2">
      <c r="A928" s="7">
        <v>21663</v>
      </c>
      <c r="B928" s="8" t="s">
        <v>6466</v>
      </c>
      <c r="C928" s="8" t="s">
        <v>2861</v>
      </c>
      <c r="D928" s="8" t="s">
        <v>6467</v>
      </c>
      <c r="E928" s="8" t="s">
        <v>6468</v>
      </c>
      <c r="F928" s="8" t="s">
        <v>353</v>
      </c>
      <c r="G928" s="8" t="s">
        <v>2863</v>
      </c>
      <c r="H928" s="8" t="s">
        <v>142</v>
      </c>
      <c r="I928" s="8" t="s">
        <v>6469</v>
      </c>
      <c r="J928" s="8" t="s">
        <v>6470</v>
      </c>
      <c r="K928" s="8" t="s">
        <v>974</v>
      </c>
      <c r="L928" s="8" t="s">
        <v>146</v>
      </c>
      <c r="M928" s="8" t="s">
        <v>6471</v>
      </c>
      <c r="N928" s="8" t="s">
        <v>128</v>
      </c>
      <c r="O928" s="8" t="s">
        <v>6472</v>
      </c>
      <c r="P928" s="8" t="s">
        <v>6473</v>
      </c>
      <c r="Q928" s="8" t="s">
        <v>150</v>
      </c>
      <c r="R928" s="8"/>
      <c r="S928" s="8" t="s">
        <v>71</v>
      </c>
      <c r="T928" s="8" t="s">
        <v>67</v>
      </c>
      <c r="U928" s="8" t="s">
        <v>150</v>
      </c>
      <c r="V928" s="8" t="s">
        <v>152</v>
      </c>
      <c r="W928" s="8" t="s">
        <v>67</v>
      </c>
      <c r="X928" s="8">
        <v>55</v>
      </c>
      <c r="Y928" s="8" t="s">
        <v>5796</v>
      </c>
      <c r="Z928" s="8">
        <v>80</v>
      </c>
      <c r="AA928" s="8">
        <v>0</v>
      </c>
      <c r="AB928" s="9">
        <v>0</v>
      </c>
    </row>
    <row r="929" spans="1:28" x14ac:dyDescent="0.2">
      <c r="A929" s="10">
        <v>22006</v>
      </c>
      <c r="B929" s="11" t="s">
        <v>6474</v>
      </c>
      <c r="C929" s="11" t="s">
        <v>6475</v>
      </c>
      <c r="D929" s="11" t="s">
        <v>2918</v>
      </c>
      <c r="E929" s="11"/>
      <c r="F929" s="11" t="s">
        <v>353</v>
      </c>
      <c r="G929" s="11" t="s">
        <v>141</v>
      </c>
      <c r="H929" s="11" t="s">
        <v>142</v>
      </c>
      <c r="I929" s="11" t="s">
        <v>6476</v>
      </c>
      <c r="J929" s="11" t="s">
        <v>6477</v>
      </c>
      <c r="K929" s="11" t="s">
        <v>991</v>
      </c>
      <c r="L929" s="11" t="s">
        <v>146</v>
      </c>
      <c r="M929" s="11" t="s">
        <v>6478</v>
      </c>
      <c r="N929" s="11" t="s">
        <v>128</v>
      </c>
      <c r="O929" s="11" t="s">
        <v>6479</v>
      </c>
      <c r="P929" s="11"/>
      <c r="Q929" s="11" t="s">
        <v>131</v>
      </c>
      <c r="R929" s="11"/>
      <c r="S929" s="11" t="s">
        <v>6480</v>
      </c>
      <c r="T929" s="11" t="s">
        <v>133</v>
      </c>
      <c r="U929" s="11" t="s">
        <v>134</v>
      </c>
      <c r="V929" s="11" t="s">
        <v>131</v>
      </c>
      <c r="W929" s="11" t="s">
        <v>133</v>
      </c>
      <c r="X929" s="11">
        <v>55</v>
      </c>
      <c r="Y929" s="11" t="s">
        <v>5796</v>
      </c>
      <c r="Z929" s="11">
        <v>80</v>
      </c>
      <c r="AA929" s="11">
        <v>0</v>
      </c>
      <c r="AB929" s="12">
        <v>0</v>
      </c>
    </row>
    <row r="930" spans="1:28" x14ac:dyDescent="0.2">
      <c r="A930" s="7">
        <v>23956</v>
      </c>
      <c r="B930" s="8" t="s">
        <v>6481</v>
      </c>
      <c r="C930" s="8" t="s">
        <v>6482</v>
      </c>
      <c r="D930" s="8" t="s">
        <v>6483</v>
      </c>
      <c r="E930" s="8" t="s">
        <v>6484</v>
      </c>
      <c r="F930" s="8" t="s">
        <v>630</v>
      </c>
      <c r="G930" s="8" t="s">
        <v>141</v>
      </c>
      <c r="H930" s="8" t="s">
        <v>142</v>
      </c>
      <c r="I930" s="8" t="s">
        <v>6485</v>
      </c>
      <c r="J930" s="8" t="s">
        <v>6486</v>
      </c>
      <c r="K930" s="8" t="s">
        <v>991</v>
      </c>
      <c r="L930" s="8" t="s">
        <v>146</v>
      </c>
      <c r="M930" s="8" t="s">
        <v>6487</v>
      </c>
      <c r="N930" s="8" t="s">
        <v>128</v>
      </c>
      <c r="O930" s="8" t="s">
        <v>6488</v>
      </c>
      <c r="P930" s="8" t="s">
        <v>6489</v>
      </c>
      <c r="Q930" s="8" t="s">
        <v>150</v>
      </c>
      <c r="R930" s="8"/>
      <c r="S930" s="8" t="s">
        <v>71</v>
      </c>
      <c r="T930" s="8" t="s">
        <v>168</v>
      </c>
      <c r="U930" s="8" t="s">
        <v>150</v>
      </c>
      <c r="V930" s="8" t="s">
        <v>168</v>
      </c>
      <c r="W930" s="8" t="s">
        <v>168</v>
      </c>
      <c r="X930" s="8">
        <v>55</v>
      </c>
      <c r="Y930" s="8" t="s">
        <v>5796</v>
      </c>
      <c r="Z930" s="8">
        <v>80</v>
      </c>
      <c r="AA930" s="8">
        <v>0</v>
      </c>
      <c r="AB930" s="9">
        <v>0</v>
      </c>
    </row>
    <row r="931" spans="1:28" x14ac:dyDescent="0.2">
      <c r="A931" s="10">
        <v>23862</v>
      </c>
      <c r="B931" s="11" t="s">
        <v>6490</v>
      </c>
      <c r="C931" s="11" t="s">
        <v>6491</v>
      </c>
      <c r="D931" s="11" t="s">
        <v>6281</v>
      </c>
      <c r="E931" s="11"/>
      <c r="F931" s="11" t="s">
        <v>353</v>
      </c>
      <c r="G931" s="11" t="s">
        <v>2676</v>
      </c>
      <c r="H931" s="11" t="s">
        <v>142</v>
      </c>
      <c r="I931" s="11" t="s">
        <v>6492</v>
      </c>
      <c r="J931" s="11" t="s">
        <v>6493</v>
      </c>
      <c r="K931" s="11" t="s">
        <v>779</v>
      </c>
      <c r="L931" s="11" t="s">
        <v>464</v>
      </c>
      <c r="M931" s="11" t="s">
        <v>6494</v>
      </c>
      <c r="N931" s="11" t="s">
        <v>128</v>
      </c>
      <c r="O931" s="11" t="s">
        <v>6495</v>
      </c>
      <c r="P931" s="11" t="s">
        <v>6496</v>
      </c>
      <c r="Q931" s="11" t="s">
        <v>150</v>
      </c>
      <c r="R931" s="11"/>
      <c r="S931" s="11" t="s">
        <v>71</v>
      </c>
      <c r="T931" s="11" t="s">
        <v>168</v>
      </c>
      <c r="U931" s="11" t="s">
        <v>150</v>
      </c>
      <c r="V931" s="11" t="s">
        <v>168</v>
      </c>
      <c r="W931" s="11" t="s">
        <v>168</v>
      </c>
      <c r="X931" s="11">
        <v>55</v>
      </c>
      <c r="Y931" s="11" t="s">
        <v>5796</v>
      </c>
      <c r="Z931" s="11">
        <v>80</v>
      </c>
      <c r="AA931" s="11">
        <v>0</v>
      </c>
      <c r="AB931" s="12">
        <v>0</v>
      </c>
    </row>
    <row r="932" spans="1:28" x14ac:dyDescent="0.2">
      <c r="A932" s="7">
        <v>37865</v>
      </c>
      <c r="B932" s="8" t="s">
        <v>6497</v>
      </c>
      <c r="C932" s="8" t="s">
        <v>6498</v>
      </c>
      <c r="D932" s="8" t="s">
        <v>6499</v>
      </c>
      <c r="E932" s="8"/>
      <c r="F932" s="8" t="s">
        <v>6500</v>
      </c>
      <c r="G932" s="8" t="s">
        <v>6501</v>
      </c>
      <c r="H932" s="8" t="s">
        <v>159</v>
      </c>
      <c r="I932" s="8" t="s">
        <v>6502</v>
      </c>
      <c r="J932" s="8" t="s">
        <v>6503</v>
      </c>
      <c r="K932" s="8" t="s">
        <v>162</v>
      </c>
      <c r="L932" s="8" t="s">
        <v>163</v>
      </c>
      <c r="M932" s="8" t="s">
        <v>6504</v>
      </c>
      <c r="N932" s="8" t="s">
        <v>128</v>
      </c>
      <c r="O932" s="8" t="s">
        <v>6505</v>
      </c>
      <c r="P932" s="8" t="s">
        <v>6506</v>
      </c>
      <c r="Q932" s="8" t="s">
        <v>150</v>
      </c>
      <c r="R932" s="8"/>
      <c r="S932" s="8" t="s">
        <v>71</v>
      </c>
      <c r="T932" s="8" t="s">
        <v>168</v>
      </c>
      <c r="U932" s="8" t="s">
        <v>150</v>
      </c>
      <c r="V932" s="8" t="s">
        <v>168</v>
      </c>
      <c r="W932" s="8" t="s">
        <v>168</v>
      </c>
      <c r="X932" s="8">
        <v>55</v>
      </c>
      <c r="Y932" s="8" t="s">
        <v>5796</v>
      </c>
      <c r="Z932" s="8">
        <v>80</v>
      </c>
      <c r="AA932" s="8">
        <v>0</v>
      </c>
      <c r="AB932" s="9">
        <v>0</v>
      </c>
    </row>
    <row r="933" spans="1:28" x14ac:dyDescent="0.2">
      <c r="A933" s="10">
        <v>23796</v>
      </c>
      <c r="B933" s="11" t="s">
        <v>6507</v>
      </c>
      <c r="C933" s="11" t="s">
        <v>6508</v>
      </c>
      <c r="D933" s="11" t="s">
        <v>6509</v>
      </c>
      <c r="E933" s="11"/>
      <c r="F933" s="11" t="s">
        <v>6510</v>
      </c>
      <c r="G933" s="11" t="s">
        <v>141</v>
      </c>
      <c r="H933" s="11" t="s">
        <v>142</v>
      </c>
      <c r="I933" s="11" t="s">
        <v>6511</v>
      </c>
      <c r="J933" s="11" t="s">
        <v>6512</v>
      </c>
      <c r="K933" s="11" t="s">
        <v>472</v>
      </c>
      <c r="L933" s="11" t="s">
        <v>146</v>
      </c>
      <c r="M933" s="11" t="s">
        <v>6513</v>
      </c>
      <c r="N933" s="11" t="s">
        <v>128</v>
      </c>
      <c r="O933" s="11" t="s">
        <v>6514</v>
      </c>
      <c r="P933" s="11" t="s">
        <v>6515</v>
      </c>
      <c r="Q933" s="11" t="s">
        <v>150</v>
      </c>
      <c r="R933" s="11"/>
      <c r="S933" s="11" t="s">
        <v>6516</v>
      </c>
      <c r="T933" s="11" t="s">
        <v>168</v>
      </c>
      <c r="U933" s="11" t="s">
        <v>150</v>
      </c>
      <c r="V933" s="11" t="s">
        <v>168</v>
      </c>
      <c r="W933" s="11" t="s">
        <v>168</v>
      </c>
      <c r="X933" s="11">
        <v>55</v>
      </c>
      <c r="Y933" s="11" t="s">
        <v>5796</v>
      </c>
      <c r="Z933" s="11">
        <v>80</v>
      </c>
      <c r="AA933" s="11">
        <v>0</v>
      </c>
      <c r="AB933" s="12">
        <v>0</v>
      </c>
    </row>
    <row r="934" spans="1:28" x14ac:dyDescent="0.2">
      <c r="A934" s="7">
        <v>24622</v>
      </c>
      <c r="B934" s="8" t="s">
        <v>6517</v>
      </c>
      <c r="C934" s="8" t="s">
        <v>2649</v>
      </c>
      <c r="D934" s="8" t="s">
        <v>861</v>
      </c>
      <c r="E934" s="8" t="s">
        <v>6518</v>
      </c>
      <c r="F934" s="8" t="s">
        <v>2651</v>
      </c>
      <c r="G934" s="8" t="s">
        <v>2652</v>
      </c>
      <c r="H934" s="8" t="s">
        <v>1843</v>
      </c>
      <c r="I934" s="8" t="s">
        <v>2653</v>
      </c>
      <c r="J934" s="8" t="s">
        <v>2654</v>
      </c>
      <c r="K934" s="8" t="s">
        <v>1562</v>
      </c>
      <c r="L934" s="8" t="s">
        <v>229</v>
      </c>
      <c r="M934" s="8" t="s">
        <v>6519</v>
      </c>
      <c r="N934" s="8" t="s">
        <v>128</v>
      </c>
      <c r="O934" s="8" t="s">
        <v>6520</v>
      </c>
      <c r="P934" s="8" t="s">
        <v>6521</v>
      </c>
      <c r="Q934" s="8" t="s">
        <v>150</v>
      </c>
      <c r="R934" s="8"/>
      <c r="S934" s="8" t="s">
        <v>2657</v>
      </c>
      <c r="T934" s="8" t="s">
        <v>69</v>
      </c>
      <c r="U934" s="8" t="s">
        <v>150</v>
      </c>
      <c r="V934" s="8" t="s">
        <v>152</v>
      </c>
      <c r="W934" s="8" t="s">
        <v>69</v>
      </c>
      <c r="X934" s="8">
        <v>55</v>
      </c>
      <c r="Y934" s="8" t="s">
        <v>5796</v>
      </c>
      <c r="Z934" s="8">
        <v>80</v>
      </c>
      <c r="AA934" s="8">
        <v>0</v>
      </c>
      <c r="AB934" s="9">
        <v>0</v>
      </c>
    </row>
    <row r="935" spans="1:28" x14ac:dyDescent="0.2">
      <c r="A935" s="10">
        <v>24690</v>
      </c>
      <c r="B935" s="11" t="s">
        <v>6522</v>
      </c>
      <c r="C935" s="11" t="s">
        <v>1809</v>
      </c>
      <c r="D935" s="11"/>
      <c r="E935" s="11" t="s">
        <v>6523</v>
      </c>
      <c r="F935" s="11" t="s">
        <v>1812</v>
      </c>
      <c r="G935" s="11" t="s">
        <v>1813</v>
      </c>
      <c r="H935" s="11" t="s">
        <v>142</v>
      </c>
      <c r="I935" s="11" t="s">
        <v>1814</v>
      </c>
      <c r="J935" s="11" t="s">
        <v>1815</v>
      </c>
      <c r="K935" s="11" t="s">
        <v>974</v>
      </c>
      <c r="L935" s="11" t="s">
        <v>146</v>
      </c>
      <c r="M935" s="11" t="s">
        <v>6524</v>
      </c>
      <c r="N935" s="11" t="s">
        <v>128</v>
      </c>
      <c r="O935" s="11" t="s">
        <v>6525</v>
      </c>
      <c r="P935" s="11" t="s">
        <v>6526</v>
      </c>
      <c r="Q935" s="11" t="s">
        <v>150</v>
      </c>
      <c r="R935" s="11"/>
      <c r="S935" s="11" t="s">
        <v>1819</v>
      </c>
      <c r="T935" s="11" t="s">
        <v>69</v>
      </c>
      <c r="U935" s="11" t="s">
        <v>150</v>
      </c>
      <c r="V935" s="11" t="s">
        <v>152</v>
      </c>
      <c r="W935" s="11" t="s">
        <v>69</v>
      </c>
      <c r="X935" s="11">
        <v>55</v>
      </c>
      <c r="Y935" s="11" t="s">
        <v>5796</v>
      </c>
      <c r="Z935" s="11">
        <v>80</v>
      </c>
      <c r="AA935" s="11">
        <v>0</v>
      </c>
      <c r="AB935" s="12">
        <v>0</v>
      </c>
    </row>
    <row r="936" spans="1:28" x14ac:dyDescent="0.2">
      <c r="A936" s="7">
        <v>24722</v>
      </c>
      <c r="B936" s="8" t="s">
        <v>6527</v>
      </c>
      <c r="C936" s="8" t="s">
        <v>6528</v>
      </c>
      <c r="D936" s="8" t="s">
        <v>6529</v>
      </c>
      <c r="E936" s="8"/>
      <c r="F936" s="8" t="s">
        <v>353</v>
      </c>
      <c r="G936" s="8" t="s">
        <v>6431</v>
      </c>
      <c r="H936" s="8" t="s">
        <v>329</v>
      </c>
      <c r="I936" s="8" t="s">
        <v>6530</v>
      </c>
      <c r="J936" s="8" t="s">
        <v>6531</v>
      </c>
      <c r="K936" s="8" t="s">
        <v>332</v>
      </c>
      <c r="L936" s="8" t="s">
        <v>333</v>
      </c>
      <c r="M936" s="8" t="s">
        <v>6532</v>
      </c>
      <c r="N936" s="8" t="s">
        <v>128</v>
      </c>
      <c r="O936" s="8" t="s">
        <v>6533</v>
      </c>
      <c r="P936" s="8" t="s">
        <v>1926</v>
      </c>
      <c r="Q936" s="8" t="s">
        <v>150</v>
      </c>
      <c r="R936" s="8"/>
      <c r="S936" s="8" t="s">
        <v>71</v>
      </c>
      <c r="T936" s="8" t="s">
        <v>69</v>
      </c>
      <c r="U936" s="8" t="s">
        <v>150</v>
      </c>
      <c r="V936" s="8" t="s">
        <v>152</v>
      </c>
      <c r="W936" s="8" t="s">
        <v>69</v>
      </c>
      <c r="X936" s="8">
        <v>55</v>
      </c>
      <c r="Y936" s="8" t="s">
        <v>5796</v>
      </c>
      <c r="Z936" s="8">
        <v>80</v>
      </c>
      <c r="AA936" s="8">
        <v>0</v>
      </c>
      <c r="AB936" s="9">
        <v>0</v>
      </c>
    </row>
    <row r="937" spans="1:28" x14ac:dyDescent="0.2">
      <c r="A937" s="10">
        <v>21180</v>
      </c>
      <c r="B937" s="11" t="s">
        <v>6534</v>
      </c>
      <c r="C937" s="11" t="s">
        <v>1911</v>
      </c>
      <c r="D937" s="11" t="s">
        <v>1912</v>
      </c>
      <c r="E937" s="11" t="s">
        <v>6535</v>
      </c>
      <c r="F937" s="11" t="s">
        <v>1914</v>
      </c>
      <c r="G937" s="11" t="s">
        <v>1915</v>
      </c>
      <c r="H937" s="11" t="s">
        <v>122</v>
      </c>
      <c r="I937" s="11" t="s">
        <v>1916</v>
      </c>
      <c r="J937" s="11" t="s">
        <v>1917</v>
      </c>
      <c r="K937" s="11" t="s">
        <v>1051</v>
      </c>
      <c r="L937" s="11" t="s">
        <v>126</v>
      </c>
      <c r="M937" s="11" t="s">
        <v>6536</v>
      </c>
      <c r="N937" s="11" t="s">
        <v>128</v>
      </c>
      <c r="O937" s="11" t="s">
        <v>6537</v>
      </c>
      <c r="P937" s="11" t="s">
        <v>6538</v>
      </c>
      <c r="Q937" s="11" t="s">
        <v>150</v>
      </c>
      <c r="R937" s="11"/>
      <c r="S937" s="11" t="s">
        <v>1921</v>
      </c>
      <c r="T937" s="11" t="s">
        <v>289</v>
      </c>
      <c r="U937" s="11" t="s">
        <v>150</v>
      </c>
      <c r="V937" s="11" t="s">
        <v>289</v>
      </c>
      <c r="W937" s="11" t="s">
        <v>289</v>
      </c>
      <c r="X937" s="11">
        <v>54</v>
      </c>
      <c r="Y937" s="11" t="s">
        <v>5796</v>
      </c>
      <c r="Z937" s="11">
        <v>80</v>
      </c>
      <c r="AA937" s="11">
        <v>0</v>
      </c>
      <c r="AB937" s="12">
        <v>0</v>
      </c>
    </row>
    <row r="938" spans="1:28" x14ac:dyDescent="0.2">
      <c r="A938" s="7">
        <v>21521</v>
      </c>
      <c r="B938" s="8" t="s">
        <v>6539</v>
      </c>
      <c r="C938" s="8" t="s">
        <v>1427</v>
      </c>
      <c r="D938" s="8" t="s">
        <v>6540</v>
      </c>
      <c r="E938" s="8" t="s">
        <v>6541</v>
      </c>
      <c r="F938" s="8" t="s">
        <v>353</v>
      </c>
      <c r="G938" s="8" t="s">
        <v>3855</v>
      </c>
      <c r="H938" s="8" t="s">
        <v>142</v>
      </c>
      <c r="I938" s="8" t="s">
        <v>6542</v>
      </c>
      <c r="J938" s="8" t="s">
        <v>6543</v>
      </c>
      <c r="K938" s="8" t="s">
        <v>1673</v>
      </c>
      <c r="L938" s="8" t="s">
        <v>464</v>
      </c>
      <c r="M938" s="8" t="s">
        <v>6544</v>
      </c>
      <c r="N938" s="8" t="s">
        <v>128</v>
      </c>
      <c r="O938" s="8" t="s">
        <v>6545</v>
      </c>
      <c r="P938" s="8" t="s">
        <v>6546</v>
      </c>
      <c r="Q938" s="8" t="s">
        <v>150</v>
      </c>
      <c r="R938" s="8"/>
      <c r="S938" s="8" t="s">
        <v>71</v>
      </c>
      <c r="T938" s="8" t="s">
        <v>67</v>
      </c>
      <c r="U938" s="8" t="s">
        <v>150</v>
      </c>
      <c r="V938" s="8" t="s">
        <v>152</v>
      </c>
      <c r="W938" s="8" t="s">
        <v>67</v>
      </c>
      <c r="X938" s="8">
        <v>54</v>
      </c>
      <c r="Y938" s="8" t="s">
        <v>5796</v>
      </c>
      <c r="Z938" s="8">
        <v>80</v>
      </c>
      <c r="AA938" s="8">
        <v>0</v>
      </c>
      <c r="AB938" s="9">
        <v>0</v>
      </c>
    </row>
    <row r="939" spans="1:28" x14ac:dyDescent="0.2">
      <c r="A939" s="10">
        <v>21550</v>
      </c>
      <c r="B939" s="11" t="s">
        <v>6547</v>
      </c>
      <c r="C939" s="11" t="s">
        <v>6508</v>
      </c>
      <c r="D939" s="11" t="s">
        <v>6509</v>
      </c>
      <c r="E939" s="11" t="s">
        <v>6548</v>
      </c>
      <c r="F939" s="11" t="s">
        <v>6510</v>
      </c>
      <c r="G939" s="11" t="s">
        <v>141</v>
      </c>
      <c r="H939" s="11" t="s">
        <v>142</v>
      </c>
      <c r="I939" s="11" t="s">
        <v>6511</v>
      </c>
      <c r="J939" s="11" t="s">
        <v>6512</v>
      </c>
      <c r="K939" s="11" t="s">
        <v>472</v>
      </c>
      <c r="L939" s="11" t="s">
        <v>146</v>
      </c>
      <c r="M939" s="11" t="s">
        <v>6549</v>
      </c>
      <c r="N939" s="11" t="s">
        <v>128</v>
      </c>
      <c r="O939" s="11" t="s">
        <v>6550</v>
      </c>
      <c r="P939" s="11" t="s">
        <v>6551</v>
      </c>
      <c r="Q939" s="11" t="s">
        <v>150</v>
      </c>
      <c r="R939" s="11"/>
      <c r="S939" s="11" t="s">
        <v>6516</v>
      </c>
      <c r="T939" s="11" t="s">
        <v>67</v>
      </c>
      <c r="U939" s="11" t="s">
        <v>150</v>
      </c>
      <c r="V939" s="11" t="s">
        <v>152</v>
      </c>
      <c r="W939" s="11" t="s">
        <v>67</v>
      </c>
      <c r="X939" s="11">
        <v>54</v>
      </c>
      <c r="Y939" s="11" t="s">
        <v>5796</v>
      </c>
      <c r="Z939" s="11">
        <v>80</v>
      </c>
      <c r="AA939" s="11">
        <v>0</v>
      </c>
      <c r="AB939" s="12">
        <v>0</v>
      </c>
    </row>
    <row r="940" spans="1:28" x14ac:dyDescent="0.2">
      <c r="A940" s="7">
        <v>21879</v>
      </c>
      <c r="B940" s="8" t="s">
        <v>6552</v>
      </c>
      <c r="C940" s="8" t="s">
        <v>137</v>
      </c>
      <c r="D940" s="8"/>
      <c r="E940" s="8" t="s">
        <v>6553</v>
      </c>
      <c r="F940" s="8" t="s">
        <v>140</v>
      </c>
      <c r="G940" s="8" t="s">
        <v>141</v>
      </c>
      <c r="H940" s="8" t="s">
        <v>142</v>
      </c>
      <c r="I940" s="8" t="s">
        <v>143</v>
      </c>
      <c r="J940" s="8" t="s">
        <v>144</v>
      </c>
      <c r="K940" s="8" t="s">
        <v>145</v>
      </c>
      <c r="L940" s="8" t="s">
        <v>146</v>
      </c>
      <c r="M940" s="8" t="s">
        <v>6554</v>
      </c>
      <c r="N940" s="8" t="s">
        <v>128</v>
      </c>
      <c r="O940" s="8" t="s">
        <v>6555</v>
      </c>
      <c r="P940" s="8" t="s">
        <v>6556</v>
      </c>
      <c r="Q940" s="8" t="s">
        <v>131</v>
      </c>
      <c r="R940" s="8"/>
      <c r="S940" s="8" t="s">
        <v>151</v>
      </c>
      <c r="T940" s="8" t="s">
        <v>133</v>
      </c>
      <c r="U940" s="8" t="s">
        <v>134</v>
      </c>
      <c r="V940" s="8" t="s">
        <v>131</v>
      </c>
      <c r="W940" s="8" t="s">
        <v>133</v>
      </c>
      <c r="X940" s="8">
        <v>54</v>
      </c>
      <c r="Y940" s="8" t="s">
        <v>5796</v>
      </c>
      <c r="Z940" s="8">
        <v>80</v>
      </c>
      <c r="AA940" s="8">
        <v>0</v>
      </c>
      <c r="AB940" s="9">
        <v>0</v>
      </c>
    </row>
    <row r="941" spans="1:28" x14ac:dyDescent="0.2">
      <c r="A941" s="10">
        <v>23117</v>
      </c>
      <c r="B941" s="11" t="s">
        <v>6557</v>
      </c>
      <c r="C941" s="11" t="s">
        <v>1634</v>
      </c>
      <c r="D941" s="11" t="s">
        <v>1635</v>
      </c>
      <c r="E941" s="11" t="s">
        <v>6558</v>
      </c>
      <c r="F941" s="11" t="s">
        <v>1637</v>
      </c>
      <c r="G941" s="11" t="s">
        <v>328</v>
      </c>
      <c r="H941" s="11" t="s">
        <v>329</v>
      </c>
      <c r="I941" s="11" t="s">
        <v>6559</v>
      </c>
      <c r="J941" s="11" t="s">
        <v>1639</v>
      </c>
      <c r="K941" s="11" t="s">
        <v>572</v>
      </c>
      <c r="L941" s="11" t="s">
        <v>333</v>
      </c>
      <c r="M941" s="11" t="s">
        <v>6560</v>
      </c>
      <c r="N941" s="11" t="s">
        <v>128</v>
      </c>
      <c r="O941" s="11" t="s">
        <v>6561</v>
      </c>
      <c r="P941" s="11" t="s">
        <v>6562</v>
      </c>
      <c r="Q941" s="11" t="s">
        <v>150</v>
      </c>
      <c r="R941" s="11"/>
      <c r="S941" s="11" t="s">
        <v>1643</v>
      </c>
      <c r="T941" s="11" t="s">
        <v>70</v>
      </c>
      <c r="U941" s="11" t="s">
        <v>150</v>
      </c>
      <c r="V941" s="11" t="s">
        <v>70</v>
      </c>
      <c r="W941" s="11" t="s">
        <v>70</v>
      </c>
      <c r="X941" s="11">
        <v>54</v>
      </c>
      <c r="Y941" s="11" t="s">
        <v>5796</v>
      </c>
      <c r="Z941" s="11">
        <v>80</v>
      </c>
      <c r="AA941" s="11">
        <v>0</v>
      </c>
      <c r="AB941" s="12">
        <v>0</v>
      </c>
    </row>
    <row r="942" spans="1:28" x14ac:dyDescent="0.2">
      <c r="A942" s="7">
        <v>23428</v>
      </c>
      <c r="B942" s="8" t="s">
        <v>6563</v>
      </c>
      <c r="C942" s="8" t="s">
        <v>6564</v>
      </c>
      <c r="D942" s="8" t="s">
        <v>731</v>
      </c>
      <c r="E942" s="8"/>
      <c r="F942" s="8" t="s">
        <v>353</v>
      </c>
      <c r="G942" s="8" t="s">
        <v>6565</v>
      </c>
      <c r="H942" s="8" t="s">
        <v>142</v>
      </c>
      <c r="I942" s="8" t="s">
        <v>6566</v>
      </c>
      <c r="J942" s="8" t="s">
        <v>6567</v>
      </c>
      <c r="K942" s="8" t="s">
        <v>1673</v>
      </c>
      <c r="L942" s="8" t="s">
        <v>464</v>
      </c>
      <c r="M942" s="8" t="s">
        <v>6568</v>
      </c>
      <c r="N942" s="8" t="s">
        <v>128</v>
      </c>
      <c r="O942" s="8" t="s">
        <v>6569</v>
      </c>
      <c r="P942" s="8" t="s">
        <v>6570</v>
      </c>
      <c r="Q942" s="8" t="s">
        <v>150</v>
      </c>
      <c r="R942" s="8"/>
      <c r="S942" s="8" t="s">
        <v>71</v>
      </c>
      <c r="T942" s="8" t="s">
        <v>1415</v>
      </c>
      <c r="U942" s="8" t="s">
        <v>150</v>
      </c>
      <c r="V942" s="8" t="s">
        <v>1415</v>
      </c>
      <c r="W942" s="8" t="s">
        <v>1415</v>
      </c>
      <c r="X942" s="8">
        <v>54</v>
      </c>
      <c r="Y942" s="8" t="s">
        <v>5796</v>
      </c>
      <c r="Z942" s="8">
        <v>80</v>
      </c>
      <c r="AA942" s="8">
        <v>0</v>
      </c>
      <c r="AB942" s="9">
        <v>0</v>
      </c>
    </row>
    <row r="943" spans="1:28" x14ac:dyDescent="0.2">
      <c r="A943" s="10">
        <v>23736</v>
      </c>
      <c r="B943" s="11" t="s">
        <v>6571</v>
      </c>
      <c r="C943" s="11" t="s">
        <v>6572</v>
      </c>
      <c r="D943" s="11" t="s">
        <v>1144</v>
      </c>
      <c r="E943" s="11"/>
      <c r="F943" s="11" t="s">
        <v>6573</v>
      </c>
      <c r="G943" s="11" t="s">
        <v>5943</v>
      </c>
      <c r="H943" s="11" t="s">
        <v>191</v>
      </c>
      <c r="I943" s="11" t="s">
        <v>6574</v>
      </c>
      <c r="J943" s="11" t="s">
        <v>6575</v>
      </c>
      <c r="K943" s="11" t="s">
        <v>194</v>
      </c>
      <c r="L943" s="11" t="s">
        <v>163</v>
      </c>
      <c r="M943" s="11" t="s">
        <v>6576</v>
      </c>
      <c r="N943" s="11" t="s">
        <v>128</v>
      </c>
      <c r="O943" s="11" t="s">
        <v>6577</v>
      </c>
      <c r="P943" s="11" t="s">
        <v>6578</v>
      </c>
      <c r="Q943" s="11" t="s">
        <v>150</v>
      </c>
      <c r="R943" s="11"/>
      <c r="S943" s="11" t="s">
        <v>71</v>
      </c>
      <c r="T943" s="11" t="s">
        <v>168</v>
      </c>
      <c r="U943" s="11" t="s">
        <v>150</v>
      </c>
      <c r="V943" s="11" t="s">
        <v>168</v>
      </c>
      <c r="W943" s="11" t="s">
        <v>168</v>
      </c>
      <c r="X943" s="11">
        <v>54</v>
      </c>
      <c r="Y943" s="11" t="s">
        <v>5796</v>
      </c>
      <c r="Z943" s="11">
        <v>80</v>
      </c>
      <c r="AA943" s="11">
        <v>0</v>
      </c>
      <c r="AB943" s="12">
        <v>0</v>
      </c>
    </row>
    <row r="944" spans="1:28" x14ac:dyDescent="0.2">
      <c r="A944" s="7">
        <v>24736</v>
      </c>
      <c r="B944" s="8" t="s">
        <v>6579</v>
      </c>
      <c r="C944" s="8" t="s">
        <v>6335</v>
      </c>
      <c r="D944" s="8" t="s">
        <v>3074</v>
      </c>
      <c r="E944" s="8" t="s">
        <v>6580</v>
      </c>
      <c r="F944" s="8" t="s">
        <v>353</v>
      </c>
      <c r="G944" s="8" t="s">
        <v>6338</v>
      </c>
      <c r="H944" s="8" t="s">
        <v>329</v>
      </c>
      <c r="I944" s="8" t="s">
        <v>6339</v>
      </c>
      <c r="J944" s="8" t="s">
        <v>6581</v>
      </c>
      <c r="K944" s="8" t="s">
        <v>572</v>
      </c>
      <c r="L944" s="8" t="s">
        <v>333</v>
      </c>
      <c r="M944" s="8" t="s">
        <v>6582</v>
      </c>
      <c r="N944" s="8" t="s">
        <v>128</v>
      </c>
      <c r="O944" s="8" t="s">
        <v>6583</v>
      </c>
      <c r="P944" s="8" t="s">
        <v>2191</v>
      </c>
      <c r="Q944" s="8" t="s">
        <v>150</v>
      </c>
      <c r="R944" s="8"/>
      <c r="S944" s="8" t="s">
        <v>71</v>
      </c>
      <c r="T944" s="8" t="s">
        <v>69</v>
      </c>
      <c r="U944" s="8" t="s">
        <v>150</v>
      </c>
      <c r="V944" s="8" t="s">
        <v>152</v>
      </c>
      <c r="W944" s="8" t="s">
        <v>69</v>
      </c>
      <c r="X944" s="8">
        <v>54</v>
      </c>
      <c r="Y944" s="8" t="s">
        <v>5796</v>
      </c>
      <c r="Z944" s="8">
        <v>80</v>
      </c>
      <c r="AA944" s="8">
        <v>0</v>
      </c>
      <c r="AB944" s="9">
        <v>0</v>
      </c>
    </row>
    <row r="945" spans="1:28" x14ac:dyDescent="0.2">
      <c r="A945" s="10">
        <v>25238</v>
      </c>
      <c r="B945" s="11" t="s">
        <v>6584</v>
      </c>
      <c r="C945" s="11" t="s">
        <v>6585</v>
      </c>
      <c r="D945" s="11" t="s">
        <v>6586</v>
      </c>
      <c r="E945" s="11" t="s">
        <v>6587</v>
      </c>
      <c r="F945" s="11" t="s">
        <v>6588</v>
      </c>
      <c r="G945" s="11" t="s">
        <v>1952</v>
      </c>
      <c r="H945" s="11" t="s">
        <v>1953</v>
      </c>
      <c r="I945" s="11" t="s">
        <v>6589</v>
      </c>
      <c r="J945" s="11" t="s">
        <v>6590</v>
      </c>
      <c r="K945" s="11" t="s">
        <v>1956</v>
      </c>
      <c r="L945" s="11" t="s">
        <v>526</v>
      </c>
      <c r="M945" s="11" t="s">
        <v>6591</v>
      </c>
      <c r="N945" s="11" t="s">
        <v>128</v>
      </c>
      <c r="O945" s="11" t="s">
        <v>6592</v>
      </c>
      <c r="P945" s="11" t="s">
        <v>6593</v>
      </c>
      <c r="Q945" s="11" t="s">
        <v>740</v>
      </c>
      <c r="R945" s="11"/>
      <c r="S945" s="11" t="s">
        <v>6594</v>
      </c>
      <c r="T945" s="11" t="s">
        <v>741</v>
      </c>
      <c r="U945" s="11" t="s">
        <v>134</v>
      </c>
      <c r="V945" s="11" t="s">
        <v>740</v>
      </c>
      <c r="W945" s="11" t="s">
        <v>741</v>
      </c>
      <c r="X945" s="11">
        <v>54</v>
      </c>
      <c r="Y945" s="11" t="s">
        <v>5796</v>
      </c>
      <c r="Z945" s="11">
        <v>80</v>
      </c>
      <c r="AA945" s="11">
        <v>0</v>
      </c>
      <c r="AB945" s="12">
        <v>0</v>
      </c>
    </row>
    <row r="946" spans="1:28" x14ac:dyDescent="0.2">
      <c r="A946" s="7">
        <v>21581</v>
      </c>
      <c r="B946" s="8" t="s">
        <v>6595</v>
      </c>
      <c r="C946" s="8" t="s">
        <v>2989</v>
      </c>
      <c r="D946" s="8" t="s">
        <v>6596</v>
      </c>
      <c r="E946" s="8"/>
      <c r="F946" s="8" t="s">
        <v>353</v>
      </c>
      <c r="G946" s="8" t="s">
        <v>2992</v>
      </c>
      <c r="H946" s="8" t="s">
        <v>122</v>
      </c>
      <c r="I946" s="8" t="s">
        <v>2993</v>
      </c>
      <c r="J946" s="8" t="s">
        <v>6597</v>
      </c>
      <c r="K946" s="8" t="s">
        <v>125</v>
      </c>
      <c r="L946" s="8" t="s">
        <v>126</v>
      </c>
      <c r="M946" s="8" t="s">
        <v>6598</v>
      </c>
      <c r="N946" s="8" t="s">
        <v>128</v>
      </c>
      <c r="O946" s="8" t="s">
        <v>6599</v>
      </c>
      <c r="P946" s="8" t="s">
        <v>6600</v>
      </c>
      <c r="Q946" s="8" t="s">
        <v>150</v>
      </c>
      <c r="R946" s="8"/>
      <c r="S946" s="8" t="s">
        <v>71</v>
      </c>
      <c r="T946" s="8" t="s">
        <v>67</v>
      </c>
      <c r="U946" s="8" t="s">
        <v>150</v>
      </c>
      <c r="V946" s="8" t="s">
        <v>152</v>
      </c>
      <c r="W946" s="8" t="s">
        <v>67</v>
      </c>
      <c r="X946" s="8">
        <v>53</v>
      </c>
      <c r="Y946" s="8" t="s">
        <v>5796</v>
      </c>
      <c r="Z946" s="8">
        <v>80</v>
      </c>
      <c r="AA946" s="8">
        <v>0</v>
      </c>
      <c r="AB946" s="9">
        <v>0</v>
      </c>
    </row>
    <row r="947" spans="1:28" x14ac:dyDescent="0.2">
      <c r="A947" s="10">
        <v>107953</v>
      </c>
      <c r="B947" s="11" t="s">
        <v>6601</v>
      </c>
      <c r="C947" s="11" t="s">
        <v>6602</v>
      </c>
      <c r="D947" s="11" t="s">
        <v>6603</v>
      </c>
      <c r="E947" s="11"/>
      <c r="F947" s="11" t="s">
        <v>353</v>
      </c>
      <c r="G947" s="11" t="s">
        <v>6604</v>
      </c>
      <c r="H947" s="11" t="s">
        <v>329</v>
      </c>
      <c r="I947" s="11" t="s">
        <v>6605</v>
      </c>
      <c r="J947" s="11" t="s">
        <v>6606</v>
      </c>
      <c r="K947" s="11" t="s">
        <v>332</v>
      </c>
      <c r="L947" s="11" t="s">
        <v>333</v>
      </c>
      <c r="M947" s="11" t="s">
        <v>6607</v>
      </c>
      <c r="N947" s="11" t="s">
        <v>128</v>
      </c>
      <c r="O947" s="11" t="s">
        <v>6608</v>
      </c>
      <c r="P947" s="11" t="s">
        <v>6609</v>
      </c>
      <c r="Q947" s="11" t="s">
        <v>150</v>
      </c>
      <c r="R947" s="11"/>
      <c r="S947" s="11" t="s">
        <v>71</v>
      </c>
      <c r="T947" s="11" t="s">
        <v>67</v>
      </c>
      <c r="U947" s="11" t="s">
        <v>150</v>
      </c>
      <c r="V947" s="11" t="s">
        <v>152</v>
      </c>
      <c r="W947" s="11" t="s">
        <v>67</v>
      </c>
      <c r="X947" s="11">
        <v>53</v>
      </c>
      <c r="Y947" s="11" t="s">
        <v>5796</v>
      </c>
      <c r="Z947" s="11">
        <v>80</v>
      </c>
      <c r="AA947" s="11">
        <v>0</v>
      </c>
      <c r="AB947" s="12">
        <v>0</v>
      </c>
    </row>
    <row r="948" spans="1:28" x14ac:dyDescent="0.2">
      <c r="A948" s="7">
        <v>21736</v>
      </c>
      <c r="B948" s="8" t="s">
        <v>6610</v>
      </c>
      <c r="C948" s="8" t="s">
        <v>6611</v>
      </c>
      <c r="D948" s="8" t="s">
        <v>6612</v>
      </c>
      <c r="E948" s="8"/>
      <c r="F948" s="8" t="s">
        <v>6613</v>
      </c>
      <c r="G948" s="8" t="s">
        <v>6614</v>
      </c>
      <c r="H948" s="8" t="s">
        <v>159</v>
      </c>
      <c r="I948" s="8" t="s">
        <v>6085</v>
      </c>
      <c r="J948" s="8" t="s">
        <v>6615</v>
      </c>
      <c r="K948" s="8" t="s">
        <v>162</v>
      </c>
      <c r="L948" s="8" t="s">
        <v>163</v>
      </c>
      <c r="M948" s="8" t="s">
        <v>6616</v>
      </c>
      <c r="N948" s="8" t="s">
        <v>128</v>
      </c>
      <c r="O948" s="8" t="s">
        <v>6617</v>
      </c>
      <c r="P948" s="8" t="s">
        <v>6618</v>
      </c>
      <c r="Q948" s="8" t="s">
        <v>150</v>
      </c>
      <c r="R948" s="8"/>
      <c r="S948" s="8" t="s">
        <v>71</v>
      </c>
      <c r="T948" s="8" t="s">
        <v>67</v>
      </c>
      <c r="U948" s="8" t="s">
        <v>150</v>
      </c>
      <c r="V948" s="8" t="s">
        <v>152</v>
      </c>
      <c r="W948" s="8" t="s">
        <v>67</v>
      </c>
      <c r="X948" s="8">
        <v>53</v>
      </c>
      <c r="Y948" s="8" t="s">
        <v>5796</v>
      </c>
      <c r="Z948" s="8">
        <v>80</v>
      </c>
      <c r="AA948" s="8">
        <v>0</v>
      </c>
      <c r="AB948" s="9">
        <v>0</v>
      </c>
    </row>
    <row r="949" spans="1:28" x14ac:dyDescent="0.2">
      <c r="A949" s="10">
        <v>21786</v>
      </c>
      <c r="B949" s="11" t="s">
        <v>6619</v>
      </c>
      <c r="C949" s="11" t="s">
        <v>6475</v>
      </c>
      <c r="D949" s="11" t="s">
        <v>2918</v>
      </c>
      <c r="E949" s="11"/>
      <c r="F949" s="11" t="s">
        <v>6620</v>
      </c>
      <c r="G949" s="11" t="s">
        <v>141</v>
      </c>
      <c r="H949" s="11" t="s">
        <v>142</v>
      </c>
      <c r="I949" s="11" t="s">
        <v>6476</v>
      </c>
      <c r="J949" s="11" t="s">
        <v>6621</v>
      </c>
      <c r="K949" s="11" t="s">
        <v>991</v>
      </c>
      <c r="L949" s="11" t="s">
        <v>146</v>
      </c>
      <c r="M949" s="11" t="s">
        <v>6622</v>
      </c>
      <c r="N949" s="11" t="s">
        <v>128</v>
      </c>
      <c r="O949" s="11" t="s">
        <v>6623</v>
      </c>
      <c r="P949" s="11"/>
      <c r="Q949" s="11" t="s">
        <v>131</v>
      </c>
      <c r="R949" s="11"/>
      <c r="S949" s="11" t="s">
        <v>6480</v>
      </c>
      <c r="T949" s="11" t="s">
        <v>983</v>
      </c>
      <c r="U949" s="11" t="s">
        <v>134</v>
      </c>
      <c r="V949" s="11" t="s">
        <v>131</v>
      </c>
      <c r="W949" s="11" t="s">
        <v>983</v>
      </c>
      <c r="X949" s="11">
        <v>53</v>
      </c>
      <c r="Y949" s="11" t="s">
        <v>5796</v>
      </c>
      <c r="Z949" s="11">
        <v>80</v>
      </c>
      <c r="AA949" s="11">
        <v>0</v>
      </c>
      <c r="AB949" s="12">
        <v>0</v>
      </c>
    </row>
    <row r="950" spans="1:28" x14ac:dyDescent="0.2">
      <c r="A950" s="7">
        <v>23172</v>
      </c>
      <c r="B950" s="8" t="s">
        <v>6624</v>
      </c>
      <c r="C950" s="8" t="s">
        <v>6585</v>
      </c>
      <c r="D950" s="8" t="s">
        <v>6586</v>
      </c>
      <c r="E950" s="8"/>
      <c r="F950" s="8" t="s">
        <v>6588</v>
      </c>
      <c r="G950" s="8" t="s">
        <v>1952</v>
      </c>
      <c r="H950" s="8" t="s">
        <v>1953</v>
      </c>
      <c r="I950" s="8" t="s">
        <v>6589</v>
      </c>
      <c r="J950" s="8" t="s">
        <v>6625</v>
      </c>
      <c r="K950" s="8" t="s">
        <v>1956</v>
      </c>
      <c r="L950" s="8" t="s">
        <v>526</v>
      </c>
      <c r="M950" s="8" t="s">
        <v>6626</v>
      </c>
      <c r="N950" s="8" t="s">
        <v>128</v>
      </c>
      <c r="O950" s="8" t="s">
        <v>6627</v>
      </c>
      <c r="P950" s="8" t="s">
        <v>6628</v>
      </c>
      <c r="Q950" s="8" t="s">
        <v>150</v>
      </c>
      <c r="R950" s="8"/>
      <c r="S950" s="8" t="s">
        <v>6594</v>
      </c>
      <c r="T950" s="8" t="s">
        <v>70</v>
      </c>
      <c r="U950" s="8" t="s">
        <v>150</v>
      </c>
      <c r="V950" s="8" t="s">
        <v>70</v>
      </c>
      <c r="W950" s="8" t="s">
        <v>70</v>
      </c>
      <c r="X950" s="8">
        <v>53</v>
      </c>
      <c r="Y950" s="8" t="s">
        <v>5796</v>
      </c>
      <c r="Z950" s="8">
        <v>80</v>
      </c>
      <c r="AA950" s="8">
        <v>0</v>
      </c>
      <c r="AB950" s="9">
        <v>0</v>
      </c>
    </row>
    <row r="951" spans="1:28" x14ac:dyDescent="0.2">
      <c r="A951" s="10">
        <v>23965</v>
      </c>
      <c r="B951" s="11" t="s">
        <v>6629</v>
      </c>
      <c r="C951" s="11" t="s">
        <v>3453</v>
      </c>
      <c r="D951" s="11" t="s">
        <v>2776</v>
      </c>
      <c r="E951" s="11" t="s">
        <v>6630</v>
      </c>
      <c r="F951" s="11" t="s">
        <v>353</v>
      </c>
      <c r="G951" s="11" t="s">
        <v>3454</v>
      </c>
      <c r="H951" s="11" t="s">
        <v>142</v>
      </c>
      <c r="I951" s="11" t="s">
        <v>6275</v>
      </c>
      <c r="J951" s="11" t="s">
        <v>6631</v>
      </c>
      <c r="K951" s="11" t="s">
        <v>1673</v>
      </c>
      <c r="L951" s="11" t="s">
        <v>464</v>
      </c>
      <c r="M951" s="11" t="s">
        <v>6632</v>
      </c>
      <c r="N951" s="11" t="s">
        <v>128</v>
      </c>
      <c r="O951" s="11" t="s">
        <v>6633</v>
      </c>
      <c r="P951" s="11" t="s">
        <v>6603</v>
      </c>
      <c r="Q951" s="11" t="s">
        <v>150</v>
      </c>
      <c r="R951" s="11"/>
      <c r="S951" s="11" t="s">
        <v>71</v>
      </c>
      <c r="T951" s="11" t="s">
        <v>168</v>
      </c>
      <c r="U951" s="11" t="s">
        <v>150</v>
      </c>
      <c r="V951" s="11" t="s">
        <v>168</v>
      </c>
      <c r="W951" s="11" t="s">
        <v>168</v>
      </c>
      <c r="X951" s="11">
        <v>53</v>
      </c>
      <c r="Y951" s="11" t="s">
        <v>5796</v>
      </c>
      <c r="Z951" s="11">
        <v>80</v>
      </c>
      <c r="AA951" s="11">
        <v>0</v>
      </c>
      <c r="AB951" s="12">
        <v>0</v>
      </c>
    </row>
    <row r="952" spans="1:28" x14ac:dyDescent="0.2">
      <c r="A952" s="7">
        <v>23959</v>
      </c>
      <c r="B952" s="8" t="s">
        <v>6634</v>
      </c>
      <c r="C952" s="8" t="s">
        <v>6635</v>
      </c>
      <c r="D952" s="8" t="s">
        <v>6636</v>
      </c>
      <c r="E952" s="8"/>
      <c r="F952" s="8" t="s">
        <v>353</v>
      </c>
      <c r="G952" s="8" t="s">
        <v>4047</v>
      </c>
      <c r="H952" s="8" t="s">
        <v>142</v>
      </c>
      <c r="I952" s="8" t="s">
        <v>6637</v>
      </c>
      <c r="J952" s="8" t="s">
        <v>6638</v>
      </c>
      <c r="K952" s="8" t="s">
        <v>1029</v>
      </c>
      <c r="L952" s="8" t="s">
        <v>464</v>
      </c>
      <c r="M952" s="8" t="s">
        <v>6639</v>
      </c>
      <c r="N952" s="8" t="s">
        <v>128</v>
      </c>
      <c r="O952" s="8"/>
      <c r="P952" s="8" t="s">
        <v>2760</v>
      </c>
      <c r="Q952" s="8" t="s">
        <v>150</v>
      </c>
      <c r="R952" s="8"/>
      <c r="S952" s="8" t="s">
        <v>71</v>
      </c>
      <c r="T952" s="8" t="s">
        <v>168</v>
      </c>
      <c r="U952" s="8" t="s">
        <v>150</v>
      </c>
      <c r="V952" s="8" t="s">
        <v>168</v>
      </c>
      <c r="W952" s="8" t="s">
        <v>168</v>
      </c>
      <c r="X952" s="8">
        <v>53</v>
      </c>
      <c r="Y952" s="8" t="s">
        <v>5796</v>
      </c>
      <c r="Z952" s="8">
        <v>80</v>
      </c>
      <c r="AA952" s="8">
        <v>0</v>
      </c>
      <c r="AB952" s="9">
        <v>0</v>
      </c>
    </row>
    <row r="953" spans="1:28" x14ac:dyDescent="0.2">
      <c r="A953" s="10">
        <v>23966</v>
      </c>
      <c r="B953" s="11" t="s">
        <v>6640</v>
      </c>
      <c r="C953" s="11" t="s">
        <v>3453</v>
      </c>
      <c r="D953" s="11" t="s">
        <v>6641</v>
      </c>
      <c r="E953" s="11"/>
      <c r="F953" s="11" t="s">
        <v>353</v>
      </c>
      <c r="G953" s="11" t="s">
        <v>3454</v>
      </c>
      <c r="H953" s="11" t="s">
        <v>142</v>
      </c>
      <c r="I953" s="11" t="s">
        <v>3455</v>
      </c>
      <c r="J953" s="11" t="s">
        <v>6642</v>
      </c>
      <c r="K953" s="11" t="s">
        <v>1673</v>
      </c>
      <c r="L953" s="11" t="s">
        <v>464</v>
      </c>
      <c r="M953" s="11" t="s">
        <v>6643</v>
      </c>
      <c r="N953" s="11" t="s">
        <v>128</v>
      </c>
      <c r="O953" s="11" t="s">
        <v>6644</v>
      </c>
      <c r="P953" s="11" t="s">
        <v>5404</v>
      </c>
      <c r="Q953" s="11" t="s">
        <v>150</v>
      </c>
      <c r="R953" s="11"/>
      <c r="S953" s="11" t="s">
        <v>71</v>
      </c>
      <c r="T953" s="11" t="s">
        <v>168</v>
      </c>
      <c r="U953" s="11" t="s">
        <v>150</v>
      </c>
      <c r="V953" s="11" t="s">
        <v>168</v>
      </c>
      <c r="W953" s="11" t="s">
        <v>168</v>
      </c>
      <c r="X953" s="11">
        <v>53</v>
      </c>
      <c r="Y953" s="11" t="s">
        <v>5796</v>
      </c>
      <c r="Z953" s="11">
        <v>80</v>
      </c>
      <c r="AA953" s="11">
        <v>0</v>
      </c>
      <c r="AB953" s="12">
        <v>0</v>
      </c>
    </row>
    <row r="954" spans="1:28" x14ac:dyDescent="0.2">
      <c r="A954" s="7">
        <v>25230</v>
      </c>
      <c r="B954" s="8" t="s">
        <v>6645</v>
      </c>
      <c r="C954" s="8" t="s">
        <v>808</v>
      </c>
      <c r="D954" s="8" t="s">
        <v>809</v>
      </c>
      <c r="E954" s="8" t="s">
        <v>6646</v>
      </c>
      <c r="F954" s="8" t="s">
        <v>811</v>
      </c>
      <c r="G954" s="8" t="s">
        <v>141</v>
      </c>
      <c r="H954" s="8" t="s">
        <v>142</v>
      </c>
      <c r="I954" s="8" t="s">
        <v>812</v>
      </c>
      <c r="J954" s="8" t="s">
        <v>813</v>
      </c>
      <c r="K954" s="8" t="s">
        <v>403</v>
      </c>
      <c r="L954" s="8" t="s">
        <v>146</v>
      </c>
      <c r="M954" s="8" t="s">
        <v>6647</v>
      </c>
      <c r="N954" s="8" t="s">
        <v>128</v>
      </c>
      <c r="O954" s="8" t="s">
        <v>6648</v>
      </c>
      <c r="P954" s="8" t="s">
        <v>6649</v>
      </c>
      <c r="Q954" s="8" t="s">
        <v>740</v>
      </c>
      <c r="R954" s="8"/>
      <c r="S954" s="8" t="s">
        <v>817</v>
      </c>
      <c r="T954" s="8" t="s">
        <v>741</v>
      </c>
      <c r="U954" s="8" t="s">
        <v>134</v>
      </c>
      <c r="V954" s="8" t="s">
        <v>740</v>
      </c>
      <c r="W954" s="8" t="s">
        <v>741</v>
      </c>
      <c r="X954" s="8">
        <v>53</v>
      </c>
      <c r="Y954" s="8" t="s">
        <v>5796</v>
      </c>
      <c r="Z954" s="8">
        <v>80</v>
      </c>
      <c r="AA954" s="8">
        <v>0</v>
      </c>
      <c r="AB954" s="9">
        <v>0</v>
      </c>
    </row>
    <row r="955" spans="1:28" x14ac:dyDescent="0.2">
      <c r="A955" s="10">
        <v>117907</v>
      </c>
      <c r="B955" s="11" t="s">
        <v>6650</v>
      </c>
      <c r="C955" s="11" t="s">
        <v>6651</v>
      </c>
      <c r="D955" s="11" t="s">
        <v>4739</v>
      </c>
      <c r="E955" s="11"/>
      <c r="F955" s="11" t="s">
        <v>237</v>
      </c>
      <c r="G955" s="11" t="s">
        <v>141</v>
      </c>
      <c r="H955" s="11" t="s">
        <v>142</v>
      </c>
      <c r="I955" s="11" t="s">
        <v>6652</v>
      </c>
      <c r="J955" s="11" t="s">
        <v>6653</v>
      </c>
      <c r="K955" s="11" t="s">
        <v>216</v>
      </c>
      <c r="L955" s="11" t="s">
        <v>146</v>
      </c>
      <c r="M955" s="11" t="s">
        <v>6654</v>
      </c>
      <c r="N955" s="11" t="s">
        <v>128</v>
      </c>
      <c r="O955" s="11" t="s">
        <v>6655</v>
      </c>
      <c r="P955" s="11" t="s">
        <v>6656</v>
      </c>
      <c r="Q955" s="11" t="s">
        <v>150</v>
      </c>
      <c r="R955" s="11"/>
      <c r="S955" s="11" t="s">
        <v>71</v>
      </c>
      <c r="T955" s="11" t="s">
        <v>289</v>
      </c>
      <c r="U955" s="11" t="s">
        <v>150</v>
      </c>
      <c r="V955" s="11" t="s">
        <v>289</v>
      </c>
      <c r="W955" s="11" t="s">
        <v>289</v>
      </c>
      <c r="X955" s="11">
        <v>52</v>
      </c>
      <c r="Y955" s="11" t="s">
        <v>5796</v>
      </c>
      <c r="Z955" s="11">
        <v>80</v>
      </c>
      <c r="AA955" s="11">
        <v>0</v>
      </c>
      <c r="AB955" s="12">
        <v>0</v>
      </c>
    </row>
    <row r="956" spans="1:28" x14ac:dyDescent="0.2">
      <c r="A956" s="7">
        <v>21665</v>
      </c>
      <c r="B956" s="8" t="s">
        <v>6657</v>
      </c>
      <c r="C956" s="8" t="s">
        <v>2497</v>
      </c>
      <c r="D956" s="8" t="s">
        <v>6658</v>
      </c>
      <c r="E956" s="8" t="s">
        <v>6659</v>
      </c>
      <c r="F956" s="8" t="s">
        <v>353</v>
      </c>
      <c r="G956" s="8" t="s">
        <v>2117</v>
      </c>
      <c r="H956" s="8" t="s">
        <v>142</v>
      </c>
      <c r="I956" s="8" t="s">
        <v>2500</v>
      </c>
      <c r="J956" s="8" t="s">
        <v>6660</v>
      </c>
      <c r="K956" s="8" t="s">
        <v>1673</v>
      </c>
      <c r="L956" s="8" t="s">
        <v>464</v>
      </c>
      <c r="M956" s="8" t="s">
        <v>6661</v>
      </c>
      <c r="N956" s="8" t="s">
        <v>128</v>
      </c>
      <c r="O956" s="8" t="s">
        <v>6662</v>
      </c>
      <c r="P956" s="8" t="s">
        <v>6663</v>
      </c>
      <c r="Q956" s="8" t="s">
        <v>150</v>
      </c>
      <c r="R956" s="8"/>
      <c r="S956" s="8" t="s">
        <v>71</v>
      </c>
      <c r="T956" s="8" t="s">
        <v>67</v>
      </c>
      <c r="U956" s="8" t="s">
        <v>150</v>
      </c>
      <c r="V956" s="8" t="s">
        <v>152</v>
      </c>
      <c r="W956" s="8" t="s">
        <v>67</v>
      </c>
      <c r="X956" s="8">
        <v>52</v>
      </c>
      <c r="Y956" s="8" t="s">
        <v>5796</v>
      </c>
      <c r="Z956" s="8">
        <v>80</v>
      </c>
      <c r="AA956" s="8">
        <v>0</v>
      </c>
      <c r="AB956" s="9">
        <v>0</v>
      </c>
    </row>
    <row r="957" spans="1:28" x14ac:dyDescent="0.2">
      <c r="A957" s="10">
        <v>21258</v>
      </c>
      <c r="B957" s="11" t="s">
        <v>6664</v>
      </c>
      <c r="C957" s="11" t="s">
        <v>3791</v>
      </c>
      <c r="D957" s="11" t="s">
        <v>6665</v>
      </c>
      <c r="E957" s="11" t="s">
        <v>6666</v>
      </c>
      <c r="F957" s="11" t="s">
        <v>3794</v>
      </c>
      <c r="G957" s="11" t="s">
        <v>450</v>
      </c>
      <c r="H957" s="11" t="s">
        <v>301</v>
      </c>
      <c r="I957" s="11" t="s">
        <v>6667</v>
      </c>
      <c r="J957" s="11" t="s">
        <v>6668</v>
      </c>
      <c r="K957" s="11" t="s">
        <v>304</v>
      </c>
      <c r="L957" s="11" t="s">
        <v>229</v>
      </c>
      <c r="M957" s="11" t="s">
        <v>6669</v>
      </c>
      <c r="N957" s="11" t="s">
        <v>128</v>
      </c>
      <c r="O957" s="11" t="s">
        <v>6670</v>
      </c>
      <c r="P957" s="11" t="s">
        <v>1724</v>
      </c>
      <c r="Q957" s="11" t="s">
        <v>150</v>
      </c>
      <c r="R957" s="11"/>
      <c r="S957" s="11" t="s">
        <v>71</v>
      </c>
      <c r="T957" s="11" t="s">
        <v>67</v>
      </c>
      <c r="U957" s="11" t="s">
        <v>150</v>
      </c>
      <c r="V957" s="11" t="s">
        <v>152</v>
      </c>
      <c r="W957" s="11" t="s">
        <v>67</v>
      </c>
      <c r="X957" s="11">
        <v>52</v>
      </c>
      <c r="Y957" s="11" t="s">
        <v>5796</v>
      </c>
      <c r="Z957" s="11">
        <v>80</v>
      </c>
      <c r="AA957" s="11">
        <v>0</v>
      </c>
      <c r="AB957" s="12">
        <v>0</v>
      </c>
    </row>
    <row r="958" spans="1:28" x14ac:dyDescent="0.2">
      <c r="A958" s="7">
        <v>21426</v>
      </c>
      <c r="B958" s="8" t="s">
        <v>6671</v>
      </c>
      <c r="C958" s="8" t="s">
        <v>6672</v>
      </c>
      <c r="D958" s="8" t="s">
        <v>6673</v>
      </c>
      <c r="E958" s="8" t="s">
        <v>6674</v>
      </c>
      <c r="F958" s="8" t="s">
        <v>6675</v>
      </c>
      <c r="G958" s="8" t="s">
        <v>450</v>
      </c>
      <c r="H958" s="8" t="s">
        <v>301</v>
      </c>
      <c r="I958" s="8" t="s">
        <v>6676</v>
      </c>
      <c r="J958" s="8" t="s">
        <v>6677</v>
      </c>
      <c r="K958" s="8" t="s">
        <v>304</v>
      </c>
      <c r="L958" s="8" t="s">
        <v>229</v>
      </c>
      <c r="M958" s="8" t="s">
        <v>6678</v>
      </c>
      <c r="N958" s="8" t="s">
        <v>128</v>
      </c>
      <c r="O958" s="8" t="s">
        <v>6679</v>
      </c>
      <c r="P958" s="8" t="s">
        <v>3936</v>
      </c>
      <c r="Q958" s="8" t="s">
        <v>150</v>
      </c>
      <c r="R958" s="8"/>
      <c r="S958" s="8" t="s">
        <v>71</v>
      </c>
      <c r="T958" s="8" t="s">
        <v>67</v>
      </c>
      <c r="U958" s="8" t="s">
        <v>150</v>
      </c>
      <c r="V958" s="8" t="s">
        <v>152</v>
      </c>
      <c r="W958" s="8" t="s">
        <v>67</v>
      </c>
      <c r="X958" s="8">
        <v>52</v>
      </c>
      <c r="Y958" s="8" t="s">
        <v>5796</v>
      </c>
      <c r="Z958" s="8">
        <v>80</v>
      </c>
      <c r="AA958" s="8">
        <v>0</v>
      </c>
      <c r="AB958" s="9">
        <v>0</v>
      </c>
    </row>
    <row r="959" spans="1:28" x14ac:dyDescent="0.2">
      <c r="A959" s="10">
        <v>26308</v>
      </c>
      <c r="B959" s="11" t="s">
        <v>6680</v>
      </c>
      <c r="C959" s="11" t="s">
        <v>6681</v>
      </c>
      <c r="D959" s="11" t="s">
        <v>6682</v>
      </c>
      <c r="E959" s="11"/>
      <c r="F959" s="11" t="s">
        <v>353</v>
      </c>
      <c r="G959" s="11" t="s">
        <v>2192</v>
      </c>
      <c r="H959" s="11" t="s">
        <v>704</v>
      </c>
      <c r="I959" s="11" t="s">
        <v>2193</v>
      </c>
      <c r="J959" s="11" t="s">
        <v>6683</v>
      </c>
      <c r="K959" s="11" t="s">
        <v>707</v>
      </c>
      <c r="L959" s="11" t="s">
        <v>126</v>
      </c>
      <c r="M959" s="11" t="s">
        <v>6684</v>
      </c>
      <c r="N959" s="11" t="s">
        <v>128</v>
      </c>
      <c r="O959" s="11"/>
      <c r="P959" s="11" t="s">
        <v>2527</v>
      </c>
      <c r="Q959" s="11" t="s">
        <v>150</v>
      </c>
      <c r="R959" s="11"/>
      <c r="S959" s="11" t="s">
        <v>71</v>
      </c>
      <c r="T959" s="11" t="s">
        <v>67</v>
      </c>
      <c r="U959" s="11" t="s">
        <v>150</v>
      </c>
      <c r="V959" s="11" t="s">
        <v>152</v>
      </c>
      <c r="W959" s="11" t="s">
        <v>67</v>
      </c>
      <c r="X959" s="11">
        <v>52</v>
      </c>
      <c r="Y959" s="11" t="s">
        <v>5796</v>
      </c>
      <c r="Z959" s="11">
        <v>80</v>
      </c>
      <c r="AA959" s="11">
        <v>0</v>
      </c>
      <c r="AB959" s="12">
        <v>0</v>
      </c>
    </row>
    <row r="960" spans="1:28" x14ac:dyDescent="0.2">
      <c r="A960" s="7">
        <v>93176</v>
      </c>
      <c r="B960" s="8" t="s">
        <v>6685</v>
      </c>
      <c r="C960" s="8" t="s">
        <v>6686</v>
      </c>
      <c r="D960" s="8" t="s">
        <v>6687</v>
      </c>
      <c r="E960" s="8"/>
      <c r="F960" s="8" t="s">
        <v>6688</v>
      </c>
      <c r="G960" s="8" t="s">
        <v>6689</v>
      </c>
      <c r="H960" s="8" t="s">
        <v>159</v>
      </c>
      <c r="I960" s="8" t="s">
        <v>6502</v>
      </c>
      <c r="J960" s="8" t="s">
        <v>6690</v>
      </c>
      <c r="K960" s="8" t="s">
        <v>162</v>
      </c>
      <c r="L960" s="8" t="s">
        <v>163</v>
      </c>
      <c r="M960" s="8" t="s">
        <v>6691</v>
      </c>
      <c r="N960" s="8" t="s">
        <v>128</v>
      </c>
      <c r="O960" s="8" t="s">
        <v>6692</v>
      </c>
      <c r="P960" s="8" t="s">
        <v>1013</v>
      </c>
      <c r="Q960" s="8" t="s">
        <v>150</v>
      </c>
      <c r="R960" s="8"/>
      <c r="S960" s="8" t="s">
        <v>71</v>
      </c>
      <c r="T960" s="8" t="s">
        <v>67</v>
      </c>
      <c r="U960" s="8" t="s">
        <v>150</v>
      </c>
      <c r="V960" s="8" t="s">
        <v>152</v>
      </c>
      <c r="W960" s="8" t="s">
        <v>67</v>
      </c>
      <c r="X960" s="8">
        <v>52</v>
      </c>
      <c r="Y960" s="8" t="s">
        <v>5796</v>
      </c>
      <c r="Z960" s="8">
        <v>80</v>
      </c>
      <c r="AA960" s="8">
        <v>0</v>
      </c>
      <c r="AB960" s="9">
        <v>0</v>
      </c>
    </row>
    <row r="961" spans="1:28" x14ac:dyDescent="0.2">
      <c r="A961" s="10">
        <v>23272</v>
      </c>
      <c r="B961" s="11" t="s">
        <v>6693</v>
      </c>
      <c r="C961" s="11" t="s">
        <v>903</v>
      </c>
      <c r="D961" s="11" t="s">
        <v>904</v>
      </c>
      <c r="E961" s="11"/>
      <c r="F961" s="11" t="s">
        <v>906</v>
      </c>
      <c r="G961" s="11" t="s">
        <v>615</v>
      </c>
      <c r="H961" s="11" t="s">
        <v>616</v>
      </c>
      <c r="I961" s="11" t="s">
        <v>907</v>
      </c>
      <c r="J961" s="11" t="s">
        <v>908</v>
      </c>
      <c r="K961" s="11" t="s">
        <v>619</v>
      </c>
      <c r="L961" s="11" t="s">
        <v>163</v>
      </c>
      <c r="M961" s="11" t="s">
        <v>6694</v>
      </c>
      <c r="N961" s="11" t="s">
        <v>128</v>
      </c>
      <c r="O961" s="11" t="s">
        <v>6695</v>
      </c>
      <c r="P961" s="11" t="s">
        <v>6696</v>
      </c>
      <c r="Q961" s="11" t="s">
        <v>150</v>
      </c>
      <c r="R961" s="11"/>
      <c r="S961" s="11" t="s">
        <v>912</v>
      </c>
      <c r="T961" s="11" t="s">
        <v>70</v>
      </c>
      <c r="U961" s="11" t="s">
        <v>150</v>
      </c>
      <c r="V961" s="11" t="s">
        <v>70</v>
      </c>
      <c r="W961" s="11" t="s">
        <v>70</v>
      </c>
      <c r="X961" s="11">
        <v>52</v>
      </c>
      <c r="Y961" s="11" t="s">
        <v>5796</v>
      </c>
      <c r="Z961" s="11">
        <v>80</v>
      </c>
      <c r="AA961" s="11">
        <v>0</v>
      </c>
      <c r="AB961" s="12">
        <v>0</v>
      </c>
    </row>
    <row r="962" spans="1:28" x14ac:dyDescent="0.2">
      <c r="A962" s="7">
        <v>23493</v>
      </c>
      <c r="B962" s="8" t="s">
        <v>6697</v>
      </c>
      <c r="C962" s="8" t="s">
        <v>2042</v>
      </c>
      <c r="D962" s="8" t="s">
        <v>6139</v>
      </c>
      <c r="E962" s="8"/>
      <c r="F962" s="8" t="s">
        <v>353</v>
      </c>
      <c r="G962" s="8" t="s">
        <v>1026</v>
      </c>
      <c r="H962" s="8" t="s">
        <v>142</v>
      </c>
      <c r="I962" s="8" t="s">
        <v>2045</v>
      </c>
      <c r="J962" s="8" t="s">
        <v>6698</v>
      </c>
      <c r="K962" s="8" t="s">
        <v>1029</v>
      </c>
      <c r="L962" s="8" t="s">
        <v>464</v>
      </c>
      <c r="M962" s="8" t="s">
        <v>6699</v>
      </c>
      <c r="N962" s="8" t="s">
        <v>128</v>
      </c>
      <c r="O962" s="8" t="s">
        <v>6700</v>
      </c>
      <c r="P962" s="8" t="s">
        <v>6701</v>
      </c>
      <c r="Q962" s="8" t="s">
        <v>150</v>
      </c>
      <c r="R962" s="8"/>
      <c r="S962" s="8" t="s">
        <v>71</v>
      </c>
      <c r="T962" s="8" t="s">
        <v>1415</v>
      </c>
      <c r="U962" s="8" t="s">
        <v>150</v>
      </c>
      <c r="V962" s="8" t="s">
        <v>1415</v>
      </c>
      <c r="W962" s="8" t="s">
        <v>1415</v>
      </c>
      <c r="X962" s="8">
        <v>52</v>
      </c>
      <c r="Y962" s="8" t="s">
        <v>5796</v>
      </c>
      <c r="Z962" s="8">
        <v>80</v>
      </c>
      <c r="AA962" s="8">
        <v>0</v>
      </c>
      <c r="AB962" s="9">
        <v>0</v>
      </c>
    </row>
    <row r="963" spans="1:28" x14ac:dyDescent="0.2">
      <c r="A963" s="10">
        <v>23812</v>
      </c>
      <c r="B963" s="11" t="s">
        <v>6702</v>
      </c>
      <c r="C963" s="11" t="s">
        <v>2300</v>
      </c>
      <c r="D963" s="11" t="s">
        <v>5114</v>
      </c>
      <c r="E963" s="11" t="s">
        <v>6703</v>
      </c>
      <c r="F963" s="11" t="s">
        <v>6704</v>
      </c>
      <c r="G963" s="11" t="s">
        <v>2863</v>
      </c>
      <c r="H963" s="11" t="s">
        <v>142</v>
      </c>
      <c r="I963" s="11" t="s">
        <v>6705</v>
      </c>
      <c r="J963" s="11" t="s">
        <v>6706</v>
      </c>
      <c r="K963" s="11" t="s">
        <v>974</v>
      </c>
      <c r="L963" s="11" t="s">
        <v>146</v>
      </c>
      <c r="M963" s="11" t="s">
        <v>6707</v>
      </c>
      <c r="N963" s="11" t="s">
        <v>128</v>
      </c>
      <c r="O963" s="11" t="s">
        <v>6708</v>
      </c>
      <c r="P963" s="11" t="s">
        <v>2885</v>
      </c>
      <c r="Q963" s="11" t="s">
        <v>150</v>
      </c>
      <c r="R963" s="11"/>
      <c r="S963" s="11" t="s">
        <v>6709</v>
      </c>
      <c r="T963" s="11" t="s">
        <v>168</v>
      </c>
      <c r="U963" s="11" t="s">
        <v>150</v>
      </c>
      <c r="V963" s="11" t="s">
        <v>168</v>
      </c>
      <c r="W963" s="11" t="s">
        <v>168</v>
      </c>
      <c r="X963" s="11">
        <v>52</v>
      </c>
      <c r="Y963" s="11" t="s">
        <v>5796</v>
      </c>
      <c r="Z963" s="11">
        <v>80</v>
      </c>
      <c r="AA963" s="11">
        <v>0</v>
      </c>
      <c r="AB963" s="12">
        <v>0</v>
      </c>
    </row>
    <row r="964" spans="1:28" x14ac:dyDescent="0.2">
      <c r="A964" s="7">
        <v>23561</v>
      </c>
      <c r="B964" s="8" t="s">
        <v>6710</v>
      </c>
      <c r="C964" s="8" t="s">
        <v>3317</v>
      </c>
      <c r="D964" s="8" t="s">
        <v>171</v>
      </c>
      <c r="E964" s="8"/>
      <c r="F964" s="8" t="s">
        <v>353</v>
      </c>
      <c r="G964" s="8" t="s">
        <v>1196</v>
      </c>
      <c r="H964" s="8" t="s">
        <v>142</v>
      </c>
      <c r="I964" s="8" t="s">
        <v>6711</v>
      </c>
      <c r="J964" s="8" t="s">
        <v>6712</v>
      </c>
      <c r="K964" s="8" t="s">
        <v>1199</v>
      </c>
      <c r="L964" s="8" t="s">
        <v>464</v>
      </c>
      <c r="M964" s="8" t="s">
        <v>6713</v>
      </c>
      <c r="N964" s="8" t="s">
        <v>128</v>
      </c>
      <c r="O964" s="8" t="s">
        <v>6714</v>
      </c>
      <c r="P964" s="8" t="s">
        <v>1073</v>
      </c>
      <c r="Q964" s="8" t="s">
        <v>150</v>
      </c>
      <c r="R964" s="8"/>
      <c r="S964" s="8" t="s">
        <v>71</v>
      </c>
      <c r="T964" s="8" t="s">
        <v>168</v>
      </c>
      <c r="U964" s="8" t="s">
        <v>150</v>
      </c>
      <c r="V964" s="8" t="s">
        <v>168</v>
      </c>
      <c r="W964" s="8" t="s">
        <v>168</v>
      </c>
      <c r="X964" s="8">
        <v>52</v>
      </c>
      <c r="Y964" s="8" t="s">
        <v>5796</v>
      </c>
      <c r="Z964" s="8">
        <v>80</v>
      </c>
      <c r="AA964" s="8">
        <v>0</v>
      </c>
      <c r="AB964" s="9">
        <v>0</v>
      </c>
    </row>
    <row r="965" spans="1:28" x14ac:dyDescent="0.2">
      <c r="A965" s="10">
        <v>25402</v>
      </c>
      <c r="B965" s="11" t="s">
        <v>6715</v>
      </c>
      <c r="C965" s="11" t="s">
        <v>953</v>
      </c>
      <c r="D965" s="11" t="s">
        <v>954</v>
      </c>
      <c r="E965" s="11" t="s">
        <v>6716</v>
      </c>
      <c r="F965" s="11" t="s">
        <v>956</v>
      </c>
      <c r="G965" s="11" t="s">
        <v>776</v>
      </c>
      <c r="H965" s="11" t="s">
        <v>142</v>
      </c>
      <c r="I965" s="11" t="s">
        <v>6717</v>
      </c>
      <c r="J965" s="11" t="s">
        <v>958</v>
      </c>
      <c r="K965" s="11" t="s">
        <v>779</v>
      </c>
      <c r="L965" s="11" t="s">
        <v>464</v>
      </c>
      <c r="M965" s="11" t="s">
        <v>6718</v>
      </c>
      <c r="N965" s="11" t="s">
        <v>128</v>
      </c>
      <c r="O965" s="11" t="s">
        <v>6719</v>
      </c>
      <c r="P965" s="11" t="s">
        <v>6720</v>
      </c>
      <c r="Q965" s="11" t="s">
        <v>249</v>
      </c>
      <c r="R965" s="11"/>
      <c r="S965" s="11" t="s">
        <v>962</v>
      </c>
      <c r="T965" s="11" t="s">
        <v>250</v>
      </c>
      <c r="U965" s="11" t="s">
        <v>134</v>
      </c>
      <c r="V965" s="11" t="s">
        <v>249</v>
      </c>
      <c r="W965" s="11" t="s">
        <v>250</v>
      </c>
      <c r="X965" s="11">
        <v>52</v>
      </c>
      <c r="Y965" s="11" t="s">
        <v>5796</v>
      </c>
      <c r="Z965" s="11">
        <v>80</v>
      </c>
      <c r="AA965" s="11">
        <v>0</v>
      </c>
      <c r="AB965" s="12">
        <v>0</v>
      </c>
    </row>
    <row r="966" spans="1:28" x14ac:dyDescent="0.2">
      <c r="A966" s="7">
        <v>21540</v>
      </c>
      <c r="B966" s="8" t="s">
        <v>6721</v>
      </c>
      <c r="C966" s="8" t="s">
        <v>6722</v>
      </c>
      <c r="D966" s="8" t="s">
        <v>6723</v>
      </c>
      <c r="E966" s="8" t="s">
        <v>3369</v>
      </c>
      <c r="F966" s="8" t="s">
        <v>6724</v>
      </c>
      <c r="G966" s="8" t="s">
        <v>1488</v>
      </c>
      <c r="H966" s="8" t="s">
        <v>329</v>
      </c>
      <c r="I966" s="8" t="s">
        <v>6725</v>
      </c>
      <c r="J966" s="8" t="s">
        <v>6726</v>
      </c>
      <c r="K966" s="8" t="s">
        <v>415</v>
      </c>
      <c r="L966" s="8" t="s">
        <v>333</v>
      </c>
      <c r="M966" s="8" t="s">
        <v>6727</v>
      </c>
      <c r="N966" s="8" t="s">
        <v>128</v>
      </c>
      <c r="O966" s="8" t="s">
        <v>6728</v>
      </c>
      <c r="P966" s="8" t="s">
        <v>6729</v>
      </c>
      <c r="Q966" s="8" t="s">
        <v>150</v>
      </c>
      <c r="R966" s="8"/>
      <c r="S966" s="8" t="s">
        <v>71</v>
      </c>
      <c r="T966" s="8" t="s">
        <v>67</v>
      </c>
      <c r="U966" s="8" t="s">
        <v>150</v>
      </c>
      <c r="V966" s="8" t="s">
        <v>152</v>
      </c>
      <c r="W966" s="8" t="s">
        <v>67</v>
      </c>
      <c r="X966" s="8">
        <v>51</v>
      </c>
      <c r="Y966" s="8" t="s">
        <v>5796</v>
      </c>
      <c r="Z966" s="8">
        <v>80</v>
      </c>
      <c r="AA966" s="8">
        <v>0</v>
      </c>
      <c r="AB966" s="9">
        <v>0</v>
      </c>
    </row>
    <row r="967" spans="1:28" x14ac:dyDescent="0.2">
      <c r="A967" s="10">
        <v>26883</v>
      </c>
      <c r="B967" s="11" t="s">
        <v>6730</v>
      </c>
      <c r="C967" s="11" t="s">
        <v>1436</v>
      </c>
      <c r="D967" s="11" t="s">
        <v>1054</v>
      </c>
      <c r="E967" s="11"/>
      <c r="F967" s="11" t="s">
        <v>353</v>
      </c>
      <c r="G967" s="11" t="s">
        <v>1438</v>
      </c>
      <c r="H967" s="11" t="s">
        <v>122</v>
      </c>
      <c r="I967" s="11" t="s">
        <v>6731</v>
      </c>
      <c r="J967" s="11" t="s">
        <v>6732</v>
      </c>
      <c r="K967" s="11" t="s">
        <v>125</v>
      </c>
      <c r="L967" s="11" t="s">
        <v>126</v>
      </c>
      <c r="M967" s="11" t="s">
        <v>6733</v>
      </c>
      <c r="N967" s="11" t="s">
        <v>128</v>
      </c>
      <c r="O967" s="11" t="s">
        <v>6734</v>
      </c>
      <c r="P967" s="11" t="s">
        <v>6735</v>
      </c>
      <c r="Q967" s="11" t="s">
        <v>150</v>
      </c>
      <c r="R967" s="11"/>
      <c r="S967" s="11" t="s">
        <v>71</v>
      </c>
      <c r="T967" s="11" t="s">
        <v>6736</v>
      </c>
      <c r="U967" s="11" t="s">
        <v>150</v>
      </c>
      <c r="V967" s="11" t="s">
        <v>6736</v>
      </c>
      <c r="W967" s="11" t="s">
        <v>6736</v>
      </c>
      <c r="X967" s="11">
        <v>51</v>
      </c>
      <c r="Y967" s="11" t="s">
        <v>5796</v>
      </c>
      <c r="Z967" s="11">
        <v>80</v>
      </c>
      <c r="AA967" s="11">
        <v>0</v>
      </c>
      <c r="AB967" s="12">
        <v>0</v>
      </c>
    </row>
    <row r="968" spans="1:28" x14ac:dyDescent="0.2">
      <c r="A968" s="7">
        <v>23181</v>
      </c>
      <c r="B968" s="8" t="s">
        <v>6737</v>
      </c>
      <c r="C968" s="8" t="s">
        <v>1950</v>
      </c>
      <c r="D968" s="8" t="s">
        <v>6738</v>
      </c>
      <c r="E968" s="8" t="s">
        <v>6739</v>
      </c>
      <c r="F968" s="8" t="s">
        <v>6740</v>
      </c>
      <c r="G968" s="8" t="s">
        <v>6741</v>
      </c>
      <c r="H968" s="8" t="s">
        <v>1953</v>
      </c>
      <c r="I968" s="8" t="s">
        <v>6742</v>
      </c>
      <c r="J968" s="8" t="s">
        <v>6743</v>
      </c>
      <c r="K968" s="8" t="s">
        <v>1956</v>
      </c>
      <c r="L968" s="8" t="s">
        <v>526</v>
      </c>
      <c r="M968" s="8" t="s">
        <v>6744</v>
      </c>
      <c r="N968" s="8" t="s">
        <v>128</v>
      </c>
      <c r="O968" s="8" t="s">
        <v>6745</v>
      </c>
      <c r="P968" s="8" t="s">
        <v>6746</v>
      </c>
      <c r="Q968" s="8" t="s">
        <v>150</v>
      </c>
      <c r="R968" s="8"/>
      <c r="S968" s="8" t="s">
        <v>6747</v>
      </c>
      <c r="T968" s="8" t="s">
        <v>70</v>
      </c>
      <c r="U968" s="8" t="s">
        <v>150</v>
      </c>
      <c r="V968" s="8" t="s">
        <v>70</v>
      </c>
      <c r="W968" s="8" t="s">
        <v>70</v>
      </c>
      <c r="X968" s="8">
        <v>51</v>
      </c>
      <c r="Y968" s="8" t="s">
        <v>5796</v>
      </c>
      <c r="Z968" s="8">
        <v>80</v>
      </c>
      <c r="AA968" s="8">
        <v>0</v>
      </c>
      <c r="AB968" s="9">
        <v>0</v>
      </c>
    </row>
    <row r="969" spans="1:28" x14ac:dyDescent="0.2">
      <c r="A969" s="10">
        <v>23026</v>
      </c>
      <c r="B969" s="11" t="s">
        <v>6748</v>
      </c>
      <c r="C969" s="11" t="s">
        <v>3108</v>
      </c>
      <c r="D969" s="11" t="s">
        <v>3109</v>
      </c>
      <c r="E969" s="11"/>
      <c r="F969" s="11" t="s">
        <v>3111</v>
      </c>
      <c r="G969" s="11" t="s">
        <v>615</v>
      </c>
      <c r="H969" s="11" t="s">
        <v>616</v>
      </c>
      <c r="I969" s="11" t="s">
        <v>6749</v>
      </c>
      <c r="J969" s="11" t="s">
        <v>3113</v>
      </c>
      <c r="K969" s="11" t="s">
        <v>619</v>
      </c>
      <c r="L969" s="11" t="s">
        <v>163</v>
      </c>
      <c r="M969" s="11" t="s">
        <v>6750</v>
      </c>
      <c r="N969" s="11" t="s">
        <v>128</v>
      </c>
      <c r="O969" s="11" t="s">
        <v>6751</v>
      </c>
      <c r="P969" s="11" t="s">
        <v>2229</v>
      </c>
      <c r="Q969" s="11" t="s">
        <v>150</v>
      </c>
      <c r="R969" s="11"/>
      <c r="S969" s="11" t="s">
        <v>3117</v>
      </c>
      <c r="T969" s="11" t="s">
        <v>70</v>
      </c>
      <c r="U969" s="11" t="s">
        <v>150</v>
      </c>
      <c r="V969" s="11" t="s">
        <v>70</v>
      </c>
      <c r="W969" s="11" t="s">
        <v>70</v>
      </c>
      <c r="X969" s="11">
        <v>51</v>
      </c>
      <c r="Y969" s="11" t="s">
        <v>5796</v>
      </c>
      <c r="Z969" s="11">
        <v>80</v>
      </c>
      <c r="AA969" s="11">
        <v>0</v>
      </c>
      <c r="AB969" s="12">
        <v>0</v>
      </c>
    </row>
    <row r="970" spans="1:28" x14ac:dyDescent="0.2">
      <c r="A970" s="7">
        <v>23567</v>
      </c>
      <c r="B970" s="8" t="s">
        <v>6752</v>
      </c>
      <c r="C970" s="8" t="s">
        <v>6753</v>
      </c>
      <c r="D970" s="8" t="s">
        <v>138</v>
      </c>
      <c r="E970" s="8" t="s">
        <v>6754</v>
      </c>
      <c r="F970" s="8" t="s">
        <v>3794</v>
      </c>
      <c r="G970" s="8" t="s">
        <v>450</v>
      </c>
      <c r="H970" s="8" t="s">
        <v>301</v>
      </c>
      <c r="I970" s="8" t="s">
        <v>6755</v>
      </c>
      <c r="J970" s="8" t="s">
        <v>6756</v>
      </c>
      <c r="K970" s="8" t="s">
        <v>304</v>
      </c>
      <c r="L970" s="8" t="s">
        <v>229</v>
      </c>
      <c r="M970" s="8" t="s">
        <v>6757</v>
      </c>
      <c r="N970" s="8" t="s">
        <v>128</v>
      </c>
      <c r="O970" s="8" t="s">
        <v>6758</v>
      </c>
      <c r="P970" s="8" t="s">
        <v>6759</v>
      </c>
      <c r="Q970" s="8" t="s">
        <v>150</v>
      </c>
      <c r="R970" s="8"/>
      <c r="S970" s="8" t="s">
        <v>71</v>
      </c>
      <c r="T970" s="8" t="s">
        <v>168</v>
      </c>
      <c r="U970" s="8" t="s">
        <v>150</v>
      </c>
      <c r="V970" s="8" t="s">
        <v>168</v>
      </c>
      <c r="W970" s="8" t="s">
        <v>168</v>
      </c>
      <c r="X970" s="8">
        <v>51</v>
      </c>
      <c r="Y970" s="8" t="s">
        <v>5796</v>
      </c>
      <c r="Z970" s="8">
        <v>80</v>
      </c>
      <c r="AA970" s="8">
        <v>0</v>
      </c>
      <c r="AB970" s="9">
        <v>0</v>
      </c>
    </row>
    <row r="971" spans="1:28" x14ac:dyDescent="0.2">
      <c r="A971" s="10">
        <v>23624</v>
      </c>
      <c r="B971" s="11" t="s">
        <v>6760</v>
      </c>
      <c r="C971" s="11" t="s">
        <v>6761</v>
      </c>
      <c r="D971" s="11" t="s">
        <v>809</v>
      </c>
      <c r="E971" s="11"/>
      <c r="F971" s="11" t="s">
        <v>353</v>
      </c>
      <c r="G971" s="11" t="s">
        <v>1794</v>
      </c>
      <c r="H971" s="11" t="s">
        <v>142</v>
      </c>
      <c r="I971" s="11" t="s">
        <v>6762</v>
      </c>
      <c r="J971" s="11" t="s">
        <v>6763</v>
      </c>
      <c r="K971" s="11" t="s">
        <v>779</v>
      </c>
      <c r="L971" s="11" t="s">
        <v>464</v>
      </c>
      <c r="M971" s="11" t="s">
        <v>6764</v>
      </c>
      <c r="N971" s="11" t="s">
        <v>128</v>
      </c>
      <c r="O971" s="11" t="s">
        <v>6765</v>
      </c>
      <c r="P971" s="11" t="s">
        <v>6682</v>
      </c>
      <c r="Q971" s="11" t="s">
        <v>150</v>
      </c>
      <c r="R971" s="11"/>
      <c r="S971" s="11" t="s">
        <v>71</v>
      </c>
      <c r="T971" s="11" t="s">
        <v>168</v>
      </c>
      <c r="U971" s="11" t="s">
        <v>150</v>
      </c>
      <c r="V971" s="11" t="s">
        <v>168</v>
      </c>
      <c r="W971" s="11" t="s">
        <v>168</v>
      </c>
      <c r="X971" s="11">
        <v>51</v>
      </c>
      <c r="Y971" s="11" t="s">
        <v>5796</v>
      </c>
      <c r="Z971" s="11">
        <v>80</v>
      </c>
      <c r="AA971" s="11">
        <v>0</v>
      </c>
      <c r="AB971" s="12">
        <v>0</v>
      </c>
    </row>
    <row r="972" spans="1:28" x14ac:dyDescent="0.2">
      <c r="A972" s="7">
        <v>23735</v>
      </c>
      <c r="B972" s="8" t="s">
        <v>6766</v>
      </c>
      <c r="C972" s="8" t="s">
        <v>3326</v>
      </c>
      <c r="D972" s="8" t="s">
        <v>6767</v>
      </c>
      <c r="E972" s="8"/>
      <c r="F972" s="8" t="s">
        <v>3329</v>
      </c>
      <c r="G972" s="8" t="s">
        <v>141</v>
      </c>
      <c r="H972" s="8" t="s">
        <v>142</v>
      </c>
      <c r="I972" s="8" t="s">
        <v>6768</v>
      </c>
      <c r="J972" s="8" t="s">
        <v>6769</v>
      </c>
      <c r="K972" s="8" t="s">
        <v>403</v>
      </c>
      <c r="L972" s="8" t="s">
        <v>146</v>
      </c>
      <c r="M972" s="8" t="s">
        <v>6770</v>
      </c>
      <c r="N972" s="8" t="s">
        <v>128</v>
      </c>
      <c r="O972" s="8" t="s">
        <v>6771</v>
      </c>
      <c r="P972" s="8" t="s">
        <v>6772</v>
      </c>
      <c r="Q972" s="8" t="s">
        <v>150</v>
      </c>
      <c r="R972" s="8"/>
      <c r="S972" s="8" t="s">
        <v>71</v>
      </c>
      <c r="T972" s="8" t="s">
        <v>168</v>
      </c>
      <c r="U972" s="8" t="s">
        <v>150</v>
      </c>
      <c r="V972" s="8" t="s">
        <v>168</v>
      </c>
      <c r="W972" s="8" t="s">
        <v>168</v>
      </c>
      <c r="X972" s="8">
        <v>51</v>
      </c>
      <c r="Y972" s="8" t="s">
        <v>5796</v>
      </c>
      <c r="Z972" s="8">
        <v>80</v>
      </c>
      <c r="AA972" s="8">
        <v>0</v>
      </c>
      <c r="AB972" s="9">
        <v>0</v>
      </c>
    </row>
    <row r="973" spans="1:28" x14ac:dyDescent="0.2">
      <c r="A973" s="10">
        <v>92258</v>
      </c>
      <c r="B973" s="11" t="s">
        <v>6773</v>
      </c>
      <c r="C973" s="11" t="s">
        <v>6774</v>
      </c>
      <c r="D973" s="11" t="s">
        <v>3387</v>
      </c>
      <c r="E973" s="11"/>
      <c r="F973" s="11" t="s">
        <v>6775</v>
      </c>
      <c r="G973" s="11" t="s">
        <v>5846</v>
      </c>
      <c r="H973" s="11" t="s">
        <v>159</v>
      </c>
      <c r="I973" s="11" t="s">
        <v>6776</v>
      </c>
      <c r="J973" s="11" t="s">
        <v>6777</v>
      </c>
      <c r="K973" s="11" t="s">
        <v>162</v>
      </c>
      <c r="L973" s="11" t="s">
        <v>163</v>
      </c>
      <c r="M973" s="11" t="s">
        <v>6778</v>
      </c>
      <c r="N973" s="11" t="s">
        <v>128</v>
      </c>
      <c r="O973" s="11" t="s">
        <v>6779</v>
      </c>
      <c r="P973" s="11" t="s">
        <v>3920</v>
      </c>
      <c r="Q973" s="11" t="s">
        <v>150</v>
      </c>
      <c r="R973" s="11"/>
      <c r="S973" s="11" t="s">
        <v>71</v>
      </c>
      <c r="T973" s="11" t="s">
        <v>168</v>
      </c>
      <c r="U973" s="11" t="s">
        <v>150</v>
      </c>
      <c r="V973" s="11" t="s">
        <v>168</v>
      </c>
      <c r="W973" s="11" t="s">
        <v>168</v>
      </c>
      <c r="X973" s="11">
        <v>51</v>
      </c>
      <c r="Y973" s="11" t="s">
        <v>5796</v>
      </c>
      <c r="Z973" s="11">
        <v>80</v>
      </c>
      <c r="AA973" s="11">
        <v>0</v>
      </c>
      <c r="AB973" s="12">
        <v>0</v>
      </c>
    </row>
    <row r="974" spans="1:28" x14ac:dyDescent="0.2">
      <c r="A974" s="7">
        <v>24665</v>
      </c>
      <c r="B974" s="8" t="s">
        <v>6780</v>
      </c>
      <c r="C974" s="8" t="s">
        <v>6781</v>
      </c>
      <c r="D974" s="8" t="s">
        <v>6782</v>
      </c>
      <c r="E974" s="8" t="s">
        <v>6783</v>
      </c>
      <c r="F974" s="8" t="s">
        <v>353</v>
      </c>
      <c r="G974" s="8" t="s">
        <v>6398</v>
      </c>
      <c r="H974" s="8" t="s">
        <v>329</v>
      </c>
      <c r="I974" s="8" t="s">
        <v>6784</v>
      </c>
      <c r="J974" s="8" t="s">
        <v>6785</v>
      </c>
      <c r="K974" s="8" t="s">
        <v>572</v>
      </c>
      <c r="L974" s="8" t="s">
        <v>333</v>
      </c>
      <c r="M974" s="8" t="s">
        <v>6786</v>
      </c>
      <c r="N974" s="8" t="s">
        <v>128</v>
      </c>
      <c r="O974" s="8" t="s">
        <v>6787</v>
      </c>
      <c r="P974" s="8" t="s">
        <v>6788</v>
      </c>
      <c r="Q974" s="8" t="s">
        <v>150</v>
      </c>
      <c r="R974" s="8"/>
      <c r="S974" s="8" t="s">
        <v>6789</v>
      </c>
      <c r="T974" s="8" t="s">
        <v>69</v>
      </c>
      <c r="U974" s="8" t="s">
        <v>150</v>
      </c>
      <c r="V974" s="8" t="s">
        <v>152</v>
      </c>
      <c r="W974" s="8" t="s">
        <v>69</v>
      </c>
      <c r="X974" s="8">
        <v>51</v>
      </c>
      <c r="Y974" s="8" t="s">
        <v>5796</v>
      </c>
      <c r="Z974" s="8">
        <v>80</v>
      </c>
      <c r="AA974" s="8">
        <v>0</v>
      </c>
      <c r="AB974" s="9">
        <v>0</v>
      </c>
    </row>
    <row r="975" spans="1:28" x14ac:dyDescent="0.2">
      <c r="A975" s="10">
        <v>219345</v>
      </c>
      <c r="B975" s="11" t="s">
        <v>6790</v>
      </c>
      <c r="C975" s="11" t="s">
        <v>533</v>
      </c>
      <c r="D975" s="11" t="s">
        <v>2871</v>
      </c>
      <c r="E975" s="11" t="s">
        <v>6791</v>
      </c>
      <c r="F975" s="11" t="s">
        <v>353</v>
      </c>
      <c r="G975" s="11" t="s">
        <v>536</v>
      </c>
      <c r="H975" s="11" t="s">
        <v>329</v>
      </c>
      <c r="I975" s="11" t="s">
        <v>926</v>
      </c>
      <c r="J975" s="11" t="s">
        <v>6792</v>
      </c>
      <c r="K975" s="11" t="s">
        <v>431</v>
      </c>
      <c r="L975" s="11" t="s">
        <v>333</v>
      </c>
      <c r="M975" s="11" t="s">
        <v>6793</v>
      </c>
      <c r="N975" s="11" t="s">
        <v>128</v>
      </c>
      <c r="O975" s="11" t="s">
        <v>6794</v>
      </c>
      <c r="P975" s="11"/>
      <c r="Q975" s="11" t="s">
        <v>150</v>
      </c>
      <c r="R975" s="11"/>
      <c r="S975" s="11" t="s">
        <v>71</v>
      </c>
      <c r="T975" s="11" t="s">
        <v>4755</v>
      </c>
      <c r="U975" s="11" t="s">
        <v>150</v>
      </c>
      <c r="V975" s="11" t="s">
        <v>4755</v>
      </c>
      <c r="W975" s="11" t="s">
        <v>4755</v>
      </c>
      <c r="X975" s="11">
        <v>51</v>
      </c>
      <c r="Y975" s="11" t="s">
        <v>5796</v>
      </c>
      <c r="Z975" s="11">
        <v>80</v>
      </c>
      <c r="AA975" s="11">
        <v>0</v>
      </c>
      <c r="AB975" s="12">
        <v>0</v>
      </c>
    </row>
    <row r="976" spans="1:28" x14ac:dyDescent="0.2">
      <c r="A976" s="7">
        <v>25571</v>
      </c>
      <c r="B976" s="8" t="s">
        <v>6795</v>
      </c>
      <c r="C976" s="8" t="s">
        <v>6796</v>
      </c>
      <c r="D976" s="8" t="s">
        <v>6797</v>
      </c>
      <c r="E976" s="8" t="s">
        <v>6798</v>
      </c>
      <c r="F976" s="8" t="s">
        <v>353</v>
      </c>
      <c r="G976" s="8" t="s">
        <v>556</v>
      </c>
      <c r="H976" s="8" t="s">
        <v>557</v>
      </c>
      <c r="I976" s="8" t="s">
        <v>6799</v>
      </c>
      <c r="J976" s="8" t="s">
        <v>6800</v>
      </c>
      <c r="K976" s="8" t="s">
        <v>560</v>
      </c>
      <c r="L976" s="8" t="s">
        <v>229</v>
      </c>
      <c r="M976" s="8" t="s">
        <v>6801</v>
      </c>
      <c r="N976" s="8" t="s">
        <v>128</v>
      </c>
      <c r="O976" s="8" t="s">
        <v>6802</v>
      </c>
      <c r="P976" s="8" t="s">
        <v>6803</v>
      </c>
      <c r="Q976" s="8" t="s">
        <v>249</v>
      </c>
      <c r="R976" s="8"/>
      <c r="S976" s="8" t="s">
        <v>6804</v>
      </c>
      <c r="T976" s="8" t="s">
        <v>250</v>
      </c>
      <c r="U976" s="8" t="s">
        <v>134</v>
      </c>
      <c r="V976" s="8" t="s">
        <v>249</v>
      </c>
      <c r="W976" s="8" t="s">
        <v>250</v>
      </c>
      <c r="X976" s="8">
        <v>51</v>
      </c>
      <c r="Y976" s="8" t="s">
        <v>5796</v>
      </c>
      <c r="Z976" s="8">
        <v>80</v>
      </c>
      <c r="AA976" s="8">
        <v>0</v>
      </c>
      <c r="AB976" s="9">
        <v>0</v>
      </c>
    </row>
    <row r="977" spans="1:28" x14ac:dyDescent="0.2">
      <c r="A977" s="10">
        <v>21182</v>
      </c>
      <c r="B977" s="11" t="s">
        <v>6805</v>
      </c>
      <c r="C977" s="11" t="s">
        <v>6806</v>
      </c>
      <c r="D977" s="11" t="s">
        <v>1362</v>
      </c>
      <c r="E977" s="11" t="s">
        <v>6807</v>
      </c>
      <c r="F977" s="11" t="s">
        <v>6808</v>
      </c>
      <c r="G977" s="11" t="s">
        <v>121</v>
      </c>
      <c r="H977" s="11" t="s">
        <v>122</v>
      </c>
      <c r="I977" s="11" t="s">
        <v>6809</v>
      </c>
      <c r="J977" s="11" t="s">
        <v>6810</v>
      </c>
      <c r="K977" s="11" t="s">
        <v>125</v>
      </c>
      <c r="L977" s="11" t="s">
        <v>126</v>
      </c>
      <c r="M977" s="11" t="s">
        <v>6811</v>
      </c>
      <c r="N977" s="11" t="s">
        <v>128</v>
      </c>
      <c r="O977" s="11" t="s">
        <v>6812</v>
      </c>
      <c r="P977" s="11" t="s">
        <v>6813</v>
      </c>
      <c r="Q977" s="11" t="s">
        <v>150</v>
      </c>
      <c r="R977" s="11"/>
      <c r="S977" s="11" t="s">
        <v>71</v>
      </c>
      <c r="T977" s="11" t="s">
        <v>289</v>
      </c>
      <c r="U977" s="11" t="s">
        <v>150</v>
      </c>
      <c r="V977" s="11" t="s">
        <v>289</v>
      </c>
      <c r="W977" s="11" t="s">
        <v>289</v>
      </c>
      <c r="X977" s="11">
        <v>50</v>
      </c>
      <c r="Y977" s="11" t="s">
        <v>5796</v>
      </c>
      <c r="Z977" s="11">
        <v>80</v>
      </c>
      <c r="AA977" s="11">
        <v>0</v>
      </c>
      <c r="AB977" s="12">
        <v>0</v>
      </c>
    </row>
    <row r="978" spans="1:28" x14ac:dyDescent="0.2">
      <c r="A978" s="7">
        <v>21192</v>
      </c>
      <c r="B978" s="8" t="s">
        <v>6814</v>
      </c>
      <c r="C978" s="8" t="s">
        <v>6815</v>
      </c>
      <c r="D978" s="8" t="s">
        <v>612</v>
      </c>
      <c r="E978" s="8"/>
      <c r="F978" s="8" t="s">
        <v>6816</v>
      </c>
      <c r="G978" s="8" t="s">
        <v>648</v>
      </c>
      <c r="H978" s="8" t="s">
        <v>142</v>
      </c>
      <c r="I978" s="8" t="s">
        <v>6817</v>
      </c>
      <c r="J978" s="8" t="s">
        <v>6818</v>
      </c>
      <c r="K978" s="8" t="s">
        <v>651</v>
      </c>
      <c r="L978" s="8" t="s">
        <v>146</v>
      </c>
      <c r="M978" s="8" t="s">
        <v>6819</v>
      </c>
      <c r="N978" s="8" t="s">
        <v>128</v>
      </c>
      <c r="O978" s="8" t="s">
        <v>6820</v>
      </c>
      <c r="P978" s="8" t="s">
        <v>6821</v>
      </c>
      <c r="Q978" s="8" t="s">
        <v>150</v>
      </c>
      <c r="R978" s="8"/>
      <c r="S978" s="8" t="s">
        <v>71</v>
      </c>
      <c r="T978" s="8" t="s">
        <v>289</v>
      </c>
      <c r="U978" s="8" t="s">
        <v>150</v>
      </c>
      <c r="V978" s="8" t="s">
        <v>289</v>
      </c>
      <c r="W978" s="8" t="s">
        <v>289</v>
      </c>
      <c r="X978" s="8">
        <v>50</v>
      </c>
      <c r="Y978" s="8" t="s">
        <v>5796</v>
      </c>
      <c r="Z978" s="8">
        <v>80</v>
      </c>
      <c r="AA978" s="8">
        <v>0</v>
      </c>
      <c r="AB978" s="9">
        <v>0</v>
      </c>
    </row>
    <row r="979" spans="1:28" x14ac:dyDescent="0.2">
      <c r="A979" s="10">
        <v>21358</v>
      </c>
      <c r="B979" s="11" t="s">
        <v>6822</v>
      </c>
      <c r="C979" s="11" t="s">
        <v>6823</v>
      </c>
      <c r="D979" s="11"/>
      <c r="E979" s="11" t="s">
        <v>6824</v>
      </c>
      <c r="F979" s="11" t="s">
        <v>6825</v>
      </c>
      <c r="G979" s="11" t="s">
        <v>300</v>
      </c>
      <c r="H979" s="11" t="s">
        <v>301</v>
      </c>
      <c r="I979" s="11" t="s">
        <v>6826</v>
      </c>
      <c r="J979" s="11" t="s">
        <v>6827</v>
      </c>
      <c r="K979" s="11" t="s">
        <v>304</v>
      </c>
      <c r="L979" s="11" t="s">
        <v>229</v>
      </c>
      <c r="M979" s="11" t="s">
        <v>6828</v>
      </c>
      <c r="N979" s="11" t="s">
        <v>128</v>
      </c>
      <c r="O979" s="11" t="s">
        <v>6829</v>
      </c>
      <c r="P979" s="11" t="s">
        <v>6830</v>
      </c>
      <c r="Q979" s="11" t="s">
        <v>150</v>
      </c>
      <c r="R979" s="11"/>
      <c r="S979" s="11" t="s">
        <v>6831</v>
      </c>
      <c r="T979" s="11" t="s">
        <v>67</v>
      </c>
      <c r="U979" s="11" t="s">
        <v>150</v>
      </c>
      <c r="V979" s="11" t="s">
        <v>152</v>
      </c>
      <c r="W979" s="11" t="s">
        <v>67</v>
      </c>
      <c r="X979" s="11">
        <v>50</v>
      </c>
      <c r="Y979" s="11" t="s">
        <v>5796</v>
      </c>
      <c r="Z979" s="11">
        <v>80</v>
      </c>
      <c r="AA979" s="11">
        <v>0</v>
      </c>
      <c r="AB979" s="12">
        <v>0</v>
      </c>
    </row>
    <row r="980" spans="1:28" x14ac:dyDescent="0.2">
      <c r="A980" s="7">
        <v>21728</v>
      </c>
      <c r="B980" s="8" t="s">
        <v>6832</v>
      </c>
      <c r="C980" s="8" t="s">
        <v>6482</v>
      </c>
      <c r="D980" s="8" t="s">
        <v>6833</v>
      </c>
      <c r="E980" s="8"/>
      <c r="F980" s="8" t="s">
        <v>630</v>
      </c>
      <c r="G980" s="8" t="s">
        <v>141</v>
      </c>
      <c r="H980" s="8" t="s">
        <v>142</v>
      </c>
      <c r="I980" s="8" t="s">
        <v>6834</v>
      </c>
      <c r="J980" s="8" t="s">
        <v>6835</v>
      </c>
      <c r="K980" s="8" t="s">
        <v>991</v>
      </c>
      <c r="L980" s="8" t="s">
        <v>146</v>
      </c>
      <c r="M980" s="8" t="s">
        <v>6836</v>
      </c>
      <c r="N980" s="8" t="s">
        <v>128</v>
      </c>
      <c r="O980" s="8" t="s">
        <v>6837</v>
      </c>
      <c r="P980" s="8" t="s">
        <v>6838</v>
      </c>
      <c r="Q980" s="8" t="s">
        <v>150</v>
      </c>
      <c r="R980" s="8"/>
      <c r="S980" s="8" t="s">
        <v>71</v>
      </c>
      <c r="T980" s="8" t="s">
        <v>67</v>
      </c>
      <c r="U980" s="8" t="s">
        <v>150</v>
      </c>
      <c r="V980" s="8" t="s">
        <v>152</v>
      </c>
      <c r="W980" s="8" t="s">
        <v>67</v>
      </c>
      <c r="X980" s="8">
        <v>50</v>
      </c>
      <c r="Y980" s="8" t="s">
        <v>5796</v>
      </c>
      <c r="Z980" s="8">
        <v>80</v>
      </c>
      <c r="AA980" s="8">
        <v>0</v>
      </c>
      <c r="AB980" s="9">
        <v>0</v>
      </c>
    </row>
    <row r="981" spans="1:28" x14ac:dyDescent="0.2">
      <c r="A981" s="10">
        <v>21858</v>
      </c>
      <c r="B981" s="11" t="s">
        <v>6839</v>
      </c>
      <c r="C981" s="11" t="s">
        <v>6840</v>
      </c>
      <c r="D981" s="11" t="s">
        <v>6841</v>
      </c>
      <c r="E981" s="11"/>
      <c r="F981" s="11" t="s">
        <v>353</v>
      </c>
      <c r="G981" s="11" t="s">
        <v>536</v>
      </c>
      <c r="H981" s="11" t="s">
        <v>329</v>
      </c>
      <c r="I981" s="11" t="s">
        <v>926</v>
      </c>
      <c r="J981" s="11" t="s">
        <v>6842</v>
      </c>
      <c r="K981" s="11" t="s">
        <v>431</v>
      </c>
      <c r="L981" s="11" t="s">
        <v>333</v>
      </c>
      <c r="M981" s="11" t="s">
        <v>6843</v>
      </c>
      <c r="N981" s="11" t="s">
        <v>128</v>
      </c>
      <c r="O981" s="11" t="s">
        <v>6844</v>
      </c>
      <c r="P981" s="11" t="s">
        <v>6845</v>
      </c>
      <c r="Q981" s="11" t="s">
        <v>131</v>
      </c>
      <c r="R981" s="11"/>
      <c r="S981" s="11" t="s">
        <v>71</v>
      </c>
      <c r="T981" s="11" t="s">
        <v>133</v>
      </c>
      <c r="U981" s="11" t="s">
        <v>134</v>
      </c>
      <c r="V981" s="11" t="s">
        <v>131</v>
      </c>
      <c r="W981" s="11" t="s">
        <v>133</v>
      </c>
      <c r="X981" s="11">
        <v>50</v>
      </c>
      <c r="Y981" s="11" t="s">
        <v>5796</v>
      </c>
      <c r="Z981" s="11">
        <v>80</v>
      </c>
      <c r="AA981" s="11">
        <v>0</v>
      </c>
      <c r="AB981" s="12">
        <v>0</v>
      </c>
    </row>
    <row r="982" spans="1:28" x14ac:dyDescent="0.2">
      <c r="A982" s="7">
        <v>23242</v>
      </c>
      <c r="B982" s="8" t="s">
        <v>6846</v>
      </c>
      <c r="C982" s="8" t="s">
        <v>6847</v>
      </c>
      <c r="D982" s="8" t="s">
        <v>2690</v>
      </c>
      <c r="E982" s="8"/>
      <c r="F982" s="8" t="s">
        <v>353</v>
      </c>
      <c r="G982" s="8" t="s">
        <v>1438</v>
      </c>
      <c r="H982" s="8" t="s">
        <v>122</v>
      </c>
      <c r="I982" s="8" t="s">
        <v>6848</v>
      </c>
      <c r="J982" s="8" t="s">
        <v>6849</v>
      </c>
      <c r="K982" s="8" t="s">
        <v>125</v>
      </c>
      <c r="L982" s="8" t="s">
        <v>126</v>
      </c>
      <c r="M982" s="8" t="s">
        <v>6850</v>
      </c>
      <c r="N982" s="8" t="s">
        <v>128</v>
      </c>
      <c r="O982" s="8" t="s">
        <v>6851</v>
      </c>
      <c r="P982" s="8" t="s">
        <v>2637</v>
      </c>
      <c r="Q982" s="8" t="s">
        <v>150</v>
      </c>
      <c r="R982" s="8"/>
      <c r="S982" s="8" t="s">
        <v>71</v>
      </c>
      <c r="T982" s="8" t="s">
        <v>70</v>
      </c>
      <c r="U982" s="8" t="s">
        <v>150</v>
      </c>
      <c r="V982" s="8" t="s">
        <v>70</v>
      </c>
      <c r="W982" s="8" t="s">
        <v>70</v>
      </c>
      <c r="X982" s="8">
        <v>50</v>
      </c>
      <c r="Y982" s="8" t="s">
        <v>5796</v>
      </c>
      <c r="Z982" s="8">
        <v>80</v>
      </c>
      <c r="AA982" s="8">
        <v>0</v>
      </c>
      <c r="AB982" s="9">
        <v>0</v>
      </c>
    </row>
    <row r="983" spans="1:28" x14ac:dyDescent="0.2">
      <c r="A983" s="10">
        <v>23441</v>
      </c>
      <c r="B983" s="11" t="s">
        <v>6852</v>
      </c>
      <c r="C983" s="11" t="s">
        <v>2300</v>
      </c>
      <c r="D983" s="11" t="s">
        <v>2490</v>
      </c>
      <c r="E983" s="11"/>
      <c r="F983" s="11" t="s">
        <v>353</v>
      </c>
      <c r="G983" s="11" t="s">
        <v>1429</v>
      </c>
      <c r="H983" s="11" t="s">
        <v>142</v>
      </c>
      <c r="I983" s="11" t="s">
        <v>6853</v>
      </c>
      <c r="J983" s="11" t="s">
        <v>6854</v>
      </c>
      <c r="K983" s="11" t="s">
        <v>1199</v>
      </c>
      <c r="L983" s="11" t="s">
        <v>464</v>
      </c>
      <c r="M983" s="11" t="s">
        <v>6855</v>
      </c>
      <c r="N983" s="11" t="s">
        <v>128</v>
      </c>
      <c r="O983" s="11" t="s">
        <v>6856</v>
      </c>
      <c r="P983" s="11" t="s">
        <v>6857</v>
      </c>
      <c r="Q983" s="11" t="s">
        <v>150</v>
      </c>
      <c r="R983" s="11"/>
      <c r="S983" s="11" t="s">
        <v>71</v>
      </c>
      <c r="T983" s="11" t="s">
        <v>1415</v>
      </c>
      <c r="U983" s="11" t="s">
        <v>150</v>
      </c>
      <c r="V983" s="11" t="s">
        <v>1415</v>
      </c>
      <c r="W983" s="11" t="s">
        <v>1415</v>
      </c>
      <c r="X983" s="11">
        <v>50</v>
      </c>
      <c r="Y983" s="11" t="s">
        <v>5796</v>
      </c>
      <c r="Z983" s="11">
        <v>80</v>
      </c>
      <c r="AA983" s="11">
        <v>0</v>
      </c>
      <c r="AB983" s="12">
        <v>0</v>
      </c>
    </row>
    <row r="984" spans="1:28" x14ac:dyDescent="0.2">
      <c r="A984" s="7">
        <v>23816</v>
      </c>
      <c r="B984" s="8" t="s">
        <v>6858</v>
      </c>
      <c r="C984" s="8" t="s">
        <v>4603</v>
      </c>
      <c r="D984" s="8" t="s">
        <v>6859</v>
      </c>
      <c r="E984" s="8"/>
      <c r="F984" s="8" t="s">
        <v>353</v>
      </c>
      <c r="G984" s="8" t="s">
        <v>4606</v>
      </c>
      <c r="H984" s="8" t="s">
        <v>142</v>
      </c>
      <c r="I984" s="8" t="s">
        <v>4607</v>
      </c>
      <c r="J984" s="8" t="s">
        <v>6860</v>
      </c>
      <c r="K984" s="8" t="s">
        <v>1029</v>
      </c>
      <c r="L984" s="8" t="s">
        <v>464</v>
      </c>
      <c r="M984" s="8" t="s">
        <v>6861</v>
      </c>
      <c r="N984" s="8" t="s">
        <v>128</v>
      </c>
      <c r="O984" s="8" t="s">
        <v>6862</v>
      </c>
      <c r="P984" s="8" t="s">
        <v>534</v>
      </c>
      <c r="Q984" s="8" t="s">
        <v>150</v>
      </c>
      <c r="R984" s="8"/>
      <c r="S984" s="8" t="s">
        <v>71</v>
      </c>
      <c r="T984" s="8" t="s">
        <v>168</v>
      </c>
      <c r="U984" s="8" t="s">
        <v>150</v>
      </c>
      <c r="V984" s="8" t="s">
        <v>168</v>
      </c>
      <c r="W984" s="8" t="s">
        <v>168</v>
      </c>
      <c r="X984" s="8">
        <v>50</v>
      </c>
      <c r="Y984" s="8" t="s">
        <v>5796</v>
      </c>
      <c r="Z984" s="8">
        <v>80</v>
      </c>
      <c r="AA984" s="8">
        <v>0</v>
      </c>
      <c r="AB984" s="9">
        <v>0</v>
      </c>
    </row>
    <row r="985" spans="1:28" x14ac:dyDescent="0.2">
      <c r="A985" s="10">
        <v>23924</v>
      </c>
      <c r="B985" s="11" t="s">
        <v>6863</v>
      </c>
      <c r="C985" s="11" t="s">
        <v>6864</v>
      </c>
      <c r="D985" s="11" t="s">
        <v>6865</v>
      </c>
      <c r="E985" s="11"/>
      <c r="F985" s="11" t="s">
        <v>353</v>
      </c>
      <c r="G985" s="11" t="s">
        <v>3855</v>
      </c>
      <c r="H985" s="11" t="s">
        <v>142</v>
      </c>
      <c r="I985" s="11" t="s">
        <v>6866</v>
      </c>
      <c r="J985" s="11" t="s">
        <v>6867</v>
      </c>
      <c r="K985" s="11" t="s">
        <v>1673</v>
      </c>
      <c r="L985" s="11" t="s">
        <v>464</v>
      </c>
      <c r="M985" s="11" t="s">
        <v>6868</v>
      </c>
      <c r="N985" s="11" t="s">
        <v>128</v>
      </c>
      <c r="O985" s="11" t="s">
        <v>6869</v>
      </c>
      <c r="P985" s="11" t="s">
        <v>6870</v>
      </c>
      <c r="Q985" s="11" t="s">
        <v>150</v>
      </c>
      <c r="R985" s="11"/>
      <c r="S985" s="11" t="s">
        <v>71</v>
      </c>
      <c r="T985" s="11" t="s">
        <v>168</v>
      </c>
      <c r="U985" s="11" t="s">
        <v>150</v>
      </c>
      <c r="V985" s="11" t="s">
        <v>168</v>
      </c>
      <c r="W985" s="11" t="s">
        <v>168</v>
      </c>
      <c r="X985" s="11">
        <v>50</v>
      </c>
      <c r="Y985" s="11" t="s">
        <v>5796</v>
      </c>
      <c r="Z985" s="11">
        <v>80</v>
      </c>
      <c r="AA985" s="11">
        <v>0</v>
      </c>
      <c r="AB985" s="12">
        <v>0</v>
      </c>
    </row>
    <row r="986" spans="1:28" x14ac:dyDescent="0.2">
      <c r="A986" s="7">
        <v>124151</v>
      </c>
      <c r="B986" s="8" t="s">
        <v>6871</v>
      </c>
      <c r="C986" s="8" t="s">
        <v>1840</v>
      </c>
      <c r="D986" s="8" t="s">
        <v>6872</v>
      </c>
      <c r="E986" s="8"/>
      <c r="F986" s="8" t="s">
        <v>6873</v>
      </c>
      <c r="G986" s="8" t="s">
        <v>1842</v>
      </c>
      <c r="H986" s="8" t="s">
        <v>1843</v>
      </c>
      <c r="I986" s="8" t="s">
        <v>1844</v>
      </c>
      <c r="J986" s="8" t="s">
        <v>6874</v>
      </c>
      <c r="K986" s="8" t="s">
        <v>1562</v>
      </c>
      <c r="L986" s="8" t="s">
        <v>229</v>
      </c>
      <c r="M986" s="8" t="s">
        <v>6875</v>
      </c>
      <c r="N986" s="8" t="s">
        <v>128</v>
      </c>
      <c r="O986" s="8" t="s">
        <v>6876</v>
      </c>
      <c r="P986" s="8" t="s">
        <v>2307</v>
      </c>
      <c r="Q986" s="8" t="s">
        <v>150</v>
      </c>
      <c r="R986" s="8"/>
      <c r="S986" s="8" t="s">
        <v>71</v>
      </c>
      <c r="T986" s="8" t="s">
        <v>168</v>
      </c>
      <c r="U986" s="8" t="s">
        <v>150</v>
      </c>
      <c r="V986" s="8" t="s">
        <v>168</v>
      </c>
      <c r="W986" s="8" t="s">
        <v>168</v>
      </c>
      <c r="X986" s="8">
        <v>50</v>
      </c>
      <c r="Y986" s="8" t="s">
        <v>5796</v>
      </c>
      <c r="Z986" s="8">
        <v>80</v>
      </c>
      <c r="AA986" s="8">
        <v>0</v>
      </c>
      <c r="AB986" s="9">
        <v>0</v>
      </c>
    </row>
    <row r="987" spans="1:28" x14ac:dyDescent="0.2">
      <c r="A987" s="10">
        <v>24702</v>
      </c>
      <c r="B987" s="11" t="s">
        <v>6877</v>
      </c>
      <c r="C987" s="11" t="s">
        <v>2070</v>
      </c>
      <c r="D987" s="11" t="s">
        <v>6878</v>
      </c>
      <c r="E987" s="11"/>
      <c r="F987" s="11" t="s">
        <v>2073</v>
      </c>
      <c r="G987" s="11" t="s">
        <v>328</v>
      </c>
      <c r="H987" s="11" t="s">
        <v>329</v>
      </c>
      <c r="I987" s="11" t="s">
        <v>6879</v>
      </c>
      <c r="J987" s="11" t="s">
        <v>6880</v>
      </c>
      <c r="K987" s="11" t="s">
        <v>332</v>
      </c>
      <c r="L987" s="11" t="s">
        <v>333</v>
      </c>
      <c r="M987" s="11" t="s">
        <v>6881</v>
      </c>
      <c r="N987" s="11" t="s">
        <v>128</v>
      </c>
      <c r="O987" s="11" t="s">
        <v>6882</v>
      </c>
      <c r="P987" s="11" t="s">
        <v>4143</v>
      </c>
      <c r="Q987" s="11" t="s">
        <v>150</v>
      </c>
      <c r="R987" s="11"/>
      <c r="S987" s="11" t="s">
        <v>71</v>
      </c>
      <c r="T987" s="11" t="s">
        <v>69</v>
      </c>
      <c r="U987" s="11" t="s">
        <v>150</v>
      </c>
      <c r="V987" s="11" t="s">
        <v>152</v>
      </c>
      <c r="W987" s="11" t="s">
        <v>69</v>
      </c>
      <c r="X987" s="11">
        <v>50</v>
      </c>
      <c r="Y987" s="11" t="s">
        <v>5796</v>
      </c>
      <c r="Z987" s="11">
        <v>80</v>
      </c>
      <c r="AA987" s="11">
        <v>0</v>
      </c>
      <c r="AB987" s="12">
        <v>0</v>
      </c>
    </row>
    <row r="988" spans="1:28" x14ac:dyDescent="0.2">
      <c r="A988" s="7">
        <v>21156</v>
      </c>
      <c r="B988" s="8" t="s">
        <v>6883</v>
      </c>
      <c r="C988" s="8" t="s">
        <v>6884</v>
      </c>
      <c r="D988" s="8" t="s">
        <v>3116</v>
      </c>
      <c r="E988" s="8"/>
      <c r="F988" s="8" t="s">
        <v>1658</v>
      </c>
      <c r="G988" s="8" t="s">
        <v>141</v>
      </c>
      <c r="H988" s="8" t="s">
        <v>142</v>
      </c>
      <c r="I988" s="8" t="s">
        <v>6885</v>
      </c>
      <c r="J988" s="8" t="s">
        <v>6886</v>
      </c>
      <c r="K988" s="8" t="s">
        <v>145</v>
      </c>
      <c r="L988" s="8" t="s">
        <v>146</v>
      </c>
      <c r="M988" s="8" t="s">
        <v>6887</v>
      </c>
      <c r="N988" s="8" t="s">
        <v>128</v>
      </c>
      <c r="O988" s="8" t="s">
        <v>6888</v>
      </c>
      <c r="P988" s="8" t="s">
        <v>6889</v>
      </c>
      <c r="Q988" s="8" t="s">
        <v>150</v>
      </c>
      <c r="R988" s="8"/>
      <c r="S988" s="8" t="s">
        <v>6890</v>
      </c>
      <c r="T988" s="8" t="s">
        <v>289</v>
      </c>
      <c r="U988" s="8" t="s">
        <v>150</v>
      </c>
      <c r="V988" s="8" t="s">
        <v>289</v>
      </c>
      <c r="W988" s="8" t="s">
        <v>289</v>
      </c>
      <c r="X988" s="8">
        <v>49</v>
      </c>
      <c r="Y988" s="8" t="s">
        <v>5796</v>
      </c>
      <c r="Z988" s="8">
        <v>80</v>
      </c>
      <c r="AA988" s="8">
        <v>0</v>
      </c>
      <c r="AB988" s="9">
        <v>0</v>
      </c>
    </row>
    <row r="989" spans="1:28" x14ac:dyDescent="0.2">
      <c r="A989" s="10">
        <v>21402</v>
      </c>
      <c r="B989" s="11" t="s">
        <v>6891</v>
      </c>
      <c r="C989" s="11" t="s">
        <v>2519</v>
      </c>
      <c r="D989" s="11" t="s">
        <v>2520</v>
      </c>
      <c r="E989" s="11" t="s">
        <v>1362</v>
      </c>
      <c r="F989" s="11" t="s">
        <v>6892</v>
      </c>
      <c r="G989" s="11" t="s">
        <v>364</v>
      </c>
      <c r="H989" s="11" t="s">
        <v>365</v>
      </c>
      <c r="I989" s="11" t="s">
        <v>6893</v>
      </c>
      <c r="J989" s="11" t="s">
        <v>2524</v>
      </c>
      <c r="K989" s="11" t="s">
        <v>162</v>
      </c>
      <c r="L989" s="11" t="s">
        <v>163</v>
      </c>
      <c r="M989" s="11" t="s">
        <v>6894</v>
      </c>
      <c r="N989" s="11" t="s">
        <v>128</v>
      </c>
      <c r="O989" s="11" t="s">
        <v>6895</v>
      </c>
      <c r="P989" s="11" t="s">
        <v>6896</v>
      </c>
      <c r="Q989" s="11" t="s">
        <v>150</v>
      </c>
      <c r="R989" s="11"/>
      <c r="S989" s="11" t="s">
        <v>2528</v>
      </c>
      <c r="T989" s="11" t="s">
        <v>67</v>
      </c>
      <c r="U989" s="11" t="s">
        <v>150</v>
      </c>
      <c r="V989" s="11" t="s">
        <v>152</v>
      </c>
      <c r="W989" s="11" t="s">
        <v>67</v>
      </c>
      <c r="X989" s="11">
        <v>49</v>
      </c>
      <c r="Y989" s="11" t="s">
        <v>5796</v>
      </c>
      <c r="Z989" s="11">
        <v>80</v>
      </c>
      <c r="AA989" s="11">
        <v>0</v>
      </c>
      <c r="AB989" s="12">
        <v>0</v>
      </c>
    </row>
    <row r="990" spans="1:28" x14ac:dyDescent="0.2">
      <c r="A990" s="7">
        <v>21799</v>
      </c>
      <c r="B990" s="8" t="s">
        <v>6897</v>
      </c>
      <c r="C990" s="8" t="s">
        <v>1928</v>
      </c>
      <c r="D990" s="8" t="s">
        <v>6898</v>
      </c>
      <c r="E990" s="8" t="s">
        <v>281</v>
      </c>
      <c r="F990" s="8" t="s">
        <v>353</v>
      </c>
      <c r="G990" s="8" t="s">
        <v>556</v>
      </c>
      <c r="H990" s="8" t="s">
        <v>557</v>
      </c>
      <c r="I990" s="8" t="s">
        <v>6899</v>
      </c>
      <c r="J990" s="8" t="s">
        <v>6900</v>
      </c>
      <c r="K990" s="8" t="s">
        <v>560</v>
      </c>
      <c r="L990" s="8" t="s">
        <v>229</v>
      </c>
      <c r="M990" s="8" t="s">
        <v>6901</v>
      </c>
      <c r="N990" s="8" t="s">
        <v>128</v>
      </c>
      <c r="O990" s="8" t="s">
        <v>6902</v>
      </c>
      <c r="P990" s="8"/>
      <c r="Q990" s="8" t="s">
        <v>131</v>
      </c>
      <c r="R990" s="8"/>
      <c r="S990" s="8" t="s">
        <v>71</v>
      </c>
      <c r="T990" s="8" t="s">
        <v>133</v>
      </c>
      <c r="U990" s="8" t="s">
        <v>134</v>
      </c>
      <c r="V990" s="8" t="s">
        <v>131</v>
      </c>
      <c r="W990" s="8" t="s">
        <v>133</v>
      </c>
      <c r="X990" s="8">
        <v>49</v>
      </c>
      <c r="Y990" s="8" t="s">
        <v>5796</v>
      </c>
      <c r="Z990" s="8">
        <v>80</v>
      </c>
      <c r="AA990" s="8">
        <v>0</v>
      </c>
      <c r="AB990" s="9">
        <v>0</v>
      </c>
    </row>
    <row r="991" spans="1:28" x14ac:dyDescent="0.2">
      <c r="A991" s="10">
        <v>21958</v>
      </c>
      <c r="B991" s="11" t="s">
        <v>6903</v>
      </c>
      <c r="C991" s="11" t="s">
        <v>6904</v>
      </c>
      <c r="D991" s="11" t="s">
        <v>4623</v>
      </c>
      <c r="E991" s="11" t="s">
        <v>6905</v>
      </c>
      <c r="F991" s="11" t="s">
        <v>6906</v>
      </c>
      <c r="G991" s="11" t="s">
        <v>141</v>
      </c>
      <c r="H991" s="11" t="s">
        <v>142</v>
      </c>
      <c r="I991" s="11" t="s">
        <v>6907</v>
      </c>
      <c r="J991" s="11" t="s">
        <v>6908</v>
      </c>
      <c r="K991" s="11" t="s">
        <v>991</v>
      </c>
      <c r="L991" s="11" t="s">
        <v>146</v>
      </c>
      <c r="M991" s="11" t="s">
        <v>6909</v>
      </c>
      <c r="N991" s="11" t="s">
        <v>128</v>
      </c>
      <c r="O991" s="11" t="s">
        <v>6910</v>
      </c>
      <c r="P991" s="11" t="s">
        <v>3659</v>
      </c>
      <c r="Q991" s="11" t="s">
        <v>131</v>
      </c>
      <c r="R991" s="11"/>
      <c r="S991" s="11" t="s">
        <v>6911</v>
      </c>
      <c r="T991" s="11" t="s">
        <v>133</v>
      </c>
      <c r="U991" s="11" t="s">
        <v>134</v>
      </c>
      <c r="V991" s="11" t="s">
        <v>131</v>
      </c>
      <c r="W991" s="11" t="s">
        <v>133</v>
      </c>
      <c r="X991" s="11">
        <v>49</v>
      </c>
      <c r="Y991" s="11" t="s">
        <v>5796</v>
      </c>
      <c r="Z991" s="11">
        <v>80</v>
      </c>
      <c r="AA991" s="11">
        <v>0</v>
      </c>
      <c r="AB991" s="12">
        <v>0</v>
      </c>
    </row>
    <row r="992" spans="1:28" x14ac:dyDescent="0.2">
      <c r="A992" s="7">
        <v>21827</v>
      </c>
      <c r="B992" s="8" t="s">
        <v>6912</v>
      </c>
      <c r="C992" s="8" t="s">
        <v>552</v>
      </c>
      <c r="D992" s="8" t="s">
        <v>789</v>
      </c>
      <c r="E992" s="8" t="s">
        <v>6913</v>
      </c>
      <c r="F992" s="8" t="s">
        <v>1479</v>
      </c>
      <c r="G992" s="8" t="s">
        <v>556</v>
      </c>
      <c r="H992" s="8" t="s">
        <v>557</v>
      </c>
      <c r="I992" s="8" t="s">
        <v>2578</v>
      </c>
      <c r="J992" s="8" t="s">
        <v>2579</v>
      </c>
      <c r="K992" s="8" t="s">
        <v>560</v>
      </c>
      <c r="L992" s="8" t="s">
        <v>229</v>
      </c>
      <c r="M992" s="8" t="s">
        <v>6914</v>
      </c>
      <c r="N992" s="8" t="s">
        <v>128</v>
      </c>
      <c r="O992" s="8" t="s">
        <v>6915</v>
      </c>
      <c r="P992" s="8" t="s">
        <v>6916</v>
      </c>
      <c r="Q992" s="8" t="s">
        <v>131</v>
      </c>
      <c r="R992" s="8"/>
      <c r="S992" s="8" t="s">
        <v>796</v>
      </c>
      <c r="T992" s="8" t="s">
        <v>133</v>
      </c>
      <c r="U992" s="8" t="s">
        <v>134</v>
      </c>
      <c r="V992" s="8" t="s">
        <v>131</v>
      </c>
      <c r="W992" s="8" t="s">
        <v>133</v>
      </c>
      <c r="X992" s="8">
        <v>49</v>
      </c>
      <c r="Y992" s="8" t="s">
        <v>5796</v>
      </c>
      <c r="Z992" s="8">
        <v>80</v>
      </c>
      <c r="AA992" s="8">
        <v>0</v>
      </c>
      <c r="AB992" s="9">
        <v>0</v>
      </c>
    </row>
    <row r="993" spans="1:28" x14ac:dyDescent="0.2">
      <c r="A993" s="10">
        <v>23056</v>
      </c>
      <c r="B993" s="11" t="s">
        <v>6917</v>
      </c>
      <c r="C993" s="11" t="s">
        <v>1961</v>
      </c>
      <c r="D993" s="11" t="s">
        <v>1962</v>
      </c>
      <c r="E993" s="11" t="s">
        <v>6918</v>
      </c>
      <c r="F993" s="11" t="s">
        <v>1963</v>
      </c>
      <c r="G993" s="11" t="s">
        <v>328</v>
      </c>
      <c r="H993" s="11" t="s">
        <v>329</v>
      </c>
      <c r="I993" s="11" t="s">
        <v>1964</v>
      </c>
      <c r="J993" s="11" t="s">
        <v>3300</v>
      </c>
      <c r="K993" s="11" t="s">
        <v>572</v>
      </c>
      <c r="L993" s="11" t="s">
        <v>333</v>
      </c>
      <c r="M993" s="11" t="s">
        <v>6919</v>
      </c>
      <c r="N993" s="11" t="s">
        <v>128</v>
      </c>
      <c r="O993" s="11" t="s">
        <v>6920</v>
      </c>
      <c r="P993" s="11" t="s">
        <v>6921</v>
      </c>
      <c r="Q993" s="11" t="s">
        <v>150</v>
      </c>
      <c r="R993" s="11"/>
      <c r="S993" s="11" t="s">
        <v>1969</v>
      </c>
      <c r="T993" s="11" t="s">
        <v>70</v>
      </c>
      <c r="U993" s="11" t="s">
        <v>150</v>
      </c>
      <c r="V993" s="11" t="s">
        <v>70</v>
      </c>
      <c r="W993" s="11" t="s">
        <v>70</v>
      </c>
      <c r="X993" s="11">
        <v>49</v>
      </c>
      <c r="Y993" s="11" t="s">
        <v>5796</v>
      </c>
      <c r="Z993" s="11">
        <v>80</v>
      </c>
      <c r="AA993" s="11">
        <v>0</v>
      </c>
      <c r="AB993" s="12">
        <v>0</v>
      </c>
    </row>
    <row r="994" spans="1:28" x14ac:dyDescent="0.2">
      <c r="A994" s="7">
        <v>23304</v>
      </c>
      <c r="B994" s="8" t="s">
        <v>6922</v>
      </c>
      <c r="C994" s="8" t="s">
        <v>2615</v>
      </c>
      <c r="D994" s="8" t="s">
        <v>6923</v>
      </c>
      <c r="E994" s="8"/>
      <c r="F994" s="8" t="s">
        <v>353</v>
      </c>
      <c r="G994" s="8" t="s">
        <v>2618</v>
      </c>
      <c r="H994" s="8" t="s">
        <v>142</v>
      </c>
      <c r="I994" s="8" t="s">
        <v>2619</v>
      </c>
      <c r="J994" s="8" t="s">
        <v>6924</v>
      </c>
      <c r="K994" s="8" t="s">
        <v>651</v>
      </c>
      <c r="L994" s="8" t="s">
        <v>146</v>
      </c>
      <c r="M994" s="8" t="s">
        <v>6925</v>
      </c>
      <c r="N994" s="8" t="s">
        <v>128</v>
      </c>
      <c r="O994" s="8" t="s">
        <v>6926</v>
      </c>
      <c r="P994" s="8" t="s">
        <v>6927</v>
      </c>
      <c r="Q994" s="8" t="s">
        <v>150</v>
      </c>
      <c r="R994" s="8"/>
      <c r="S994" s="8" t="s">
        <v>71</v>
      </c>
      <c r="T994" s="8" t="s">
        <v>70</v>
      </c>
      <c r="U994" s="8" t="s">
        <v>150</v>
      </c>
      <c r="V994" s="8" t="s">
        <v>70</v>
      </c>
      <c r="W994" s="8" t="s">
        <v>70</v>
      </c>
      <c r="X994" s="8">
        <v>49</v>
      </c>
      <c r="Y994" s="8" t="s">
        <v>5796</v>
      </c>
      <c r="Z994" s="8">
        <v>80</v>
      </c>
      <c r="AA994" s="8">
        <v>0</v>
      </c>
      <c r="AB994" s="9">
        <v>0</v>
      </c>
    </row>
    <row r="995" spans="1:28" x14ac:dyDescent="0.2">
      <c r="A995" s="10">
        <v>23144</v>
      </c>
      <c r="B995" s="11" t="s">
        <v>6928</v>
      </c>
      <c r="C995" s="11" t="s">
        <v>1072</v>
      </c>
      <c r="D995" s="11" t="s">
        <v>6929</v>
      </c>
      <c r="E995" s="11"/>
      <c r="F995" s="11" t="s">
        <v>353</v>
      </c>
      <c r="G995" s="11" t="s">
        <v>703</v>
      </c>
      <c r="H995" s="11" t="s">
        <v>704</v>
      </c>
      <c r="I995" s="11" t="s">
        <v>6930</v>
      </c>
      <c r="J995" s="11" t="s">
        <v>6931</v>
      </c>
      <c r="K995" s="11" t="s">
        <v>707</v>
      </c>
      <c r="L995" s="11" t="s">
        <v>126</v>
      </c>
      <c r="M995" s="11" t="s">
        <v>6932</v>
      </c>
      <c r="N995" s="11" t="s">
        <v>128</v>
      </c>
      <c r="O995" s="11" t="s">
        <v>6933</v>
      </c>
      <c r="P995" s="11" t="s">
        <v>6934</v>
      </c>
      <c r="Q995" s="11" t="s">
        <v>150</v>
      </c>
      <c r="R995" s="11"/>
      <c r="S995" s="11" t="s">
        <v>71</v>
      </c>
      <c r="T995" s="11" t="s">
        <v>70</v>
      </c>
      <c r="U995" s="11" t="s">
        <v>150</v>
      </c>
      <c r="V995" s="11" t="s">
        <v>70</v>
      </c>
      <c r="W995" s="11" t="s">
        <v>70</v>
      </c>
      <c r="X995" s="11">
        <v>49</v>
      </c>
      <c r="Y995" s="11" t="s">
        <v>5796</v>
      </c>
      <c r="Z995" s="11">
        <v>80</v>
      </c>
      <c r="AA995" s="11">
        <v>0</v>
      </c>
      <c r="AB995" s="12">
        <v>0</v>
      </c>
    </row>
    <row r="996" spans="1:28" x14ac:dyDescent="0.2">
      <c r="A996" s="7">
        <v>23968</v>
      </c>
      <c r="B996" s="8" t="s">
        <v>6935</v>
      </c>
      <c r="C996" s="8" t="s">
        <v>6936</v>
      </c>
      <c r="D996" s="8" t="s">
        <v>6937</v>
      </c>
      <c r="E996" s="8"/>
      <c r="F996" s="8" t="s">
        <v>353</v>
      </c>
      <c r="G996" s="8" t="s">
        <v>615</v>
      </c>
      <c r="H996" s="8" t="s">
        <v>616</v>
      </c>
      <c r="I996" s="8" t="s">
        <v>2483</v>
      </c>
      <c r="J996" s="8" t="s">
        <v>6938</v>
      </c>
      <c r="K996" s="8" t="s">
        <v>619</v>
      </c>
      <c r="L996" s="8" t="s">
        <v>163</v>
      </c>
      <c r="M996" s="8" t="s">
        <v>6939</v>
      </c>
      <c r="N996" s="8" t="s">
        <v>128</v>
      </c>
      <c r="O996" s="8" t="s">
        <v>6940</v>
      </c>
      <c r="P996" s="8" t="s">
        <v>6941</v>
      </c>
      <c r="Q996" s="8" t="s">
        <v>150</v>
      </c>
      <c r="R996" s="8"/>
      <c r="S996" s="8" t="s">
        <v>71</v>
      </c>
      <c r="T996" s="8" t="s">
        <v>168</v>
      </c>
      <c r="U996" s="8" t="s">
        <v>150</v>
      </c>
      <c r="V996" s="8" t="s">
        <v>168</v>
      </c>
      <c r="W996" s="8" t="s">
        <v>168</v>
      </c>
      <c r="X996" s="8">
        <v>49</v>
      </c>
      <c r="Y996" s="8" t="s">
        <v>5796</v>
      </c>
      <c r="Z996" s="8">
        <v>80</v>
      </c>
      <c r="AA996" s="8">
        <v>0</v>
      </c>
      <c r="AB996" s="9">
        <v>0</v>
      </c>
    </row>
    <row r="997" spans="1:28" x14ac:dyDescent="0.2">
      <c r="A997" s="10">
        <v>23817</v>
      </c>
      <c r="B997" s="11" t="s">
        <v>6942</v>
      </c>
      <c r="C997" s="11" t="s">
        <v>6943</v>
      </c>
      <c r="D997" s="11" t="s">
        <v>6944</v>
      </c>
      <c r="E997" s="11"/>
      <c r="F997" s="11" t="s">
        <v>6945</v>
      </c>
      <c r="G997" s="11" t="s">
        <v>6946</v>
      </c>
      <c r="H997" s="11" t="s">
        <v>847</v>
      </c>
      <c r="I997" s="11" t="s">
        <v>6947</v>
      </c>
      <c r="J997" s="11" t="s">
        <v>6948</v>
      </c>
      <c r="K997" s="11" t="s">
        <v>850</v>
      </c>
      <c r="L997" s="11" t="s">
        <v>126</v>
      </c>
      <c r="M997" s="11" t="s">
        <v>6949</v>
      </c>
      <c r="N997" s="11" t="s">
        <v>128</v>
      </c>
      <c r="O997" s="11" t="s">
        <v>6950</v>
      </c>
      <c r="P997" s="11" t="s">
        <v>6951</v>
      </c>
      <c r="Q997" s="11" t="s">
        <v>150</v>
      </c>
      <c r="R997" s="11"/>
      <c r="S997" s="11" t="s">
        <v>71</v>
      </c>
      <c r="T997" s="11" t="s">
        <v>168</v>
      </c>
      <c r="U997" s="11" t="s">
        <v>150</v>
      </c>
      <c r="V997" s="11" t="s">
        <v>168</v>
      </c>
      <c r="W997" s="11" t="s">
        <v>168</v>
      </c>
      <c r="X997" s="11">
        <v>49</v>
      </c>
      <c r="Y997" s="11" t="s">
        <v>5796</v>
      </c>
      <c r="Z997" s="11">
        <v>80</v>
      </c>
      <c r="AA997" s="11">
        <v>0</v>
      </c>
      <c r="AB997" s="12">
        <v>0</v>
      </c>
    </row>
    <row r="998" spans="1:28" x14ac:dyDescent="0.2">
      <c r="A998" s="7">
        <v>24589</v>
      </c>
      <c r="B998" s="8" t="s">
        <v>6952</v>
      </c>
      <c r="C998" s="8" t="s">
        <v>6953</v>
      </c>
      <c r="D998" s="8" t="s">
        <v>6954</v>
      </c>
      <c r="E998" s="8" t="s">
        <v>6955</v>
      </c>
      <c r="F998" s="8" t="s">
        <v>6956</v>
      </c>
      <c r="G998" s="8" t="s">
        <v>2332</v>
      </c>
      <c r="H998" s="8" t="s">
        <v>142</v>
      </c>
      <c r="I998" s="8" t="s">
        <v>6957</v>
      </c>
      <c r="J998" s="8" t="s">
        <v>6958</v>
      </c>
      <c r="K998" s="8" t="s">
        <v>779</v>
      </c>
      <c r="L998" s="8" t="s">
        <v>464</v>
      </c>
      <c r="M998" s="8" t="s">
        <v>6959</v>
      </c>
      <c r="N998" s="8" t="s">
        <v>128</v>
      </c>
      <c r="O998" s="8" t="s">
        <v>6960</v>
      </c>
      <c r="P998" s="8" t="s">
        <v>3617</v>
      </c>
      <c r="Q998" s="8" t="s">
        <v>150</v>
      </c>
      <c r="R998" s="8"/>
      <c r="S998" s="8" t="s">
        <v>6961</v>
      </c>
      <c r="T998" s="8" t="s">
        <v>69</v>
      </c>
      <c r="U998" s="8" t="s">
        <v>150</v>
      </c>
      <c r="V998" s="8" t="s">
        <v>152</v>
      </c>
      <c r="W998" s="8" t="s">
        <v>69</v>
      </c>
      <c r="X998" s="8">
        <v>49</v>
      </c>
      <c r="Y998" s="8" t="s">
        <v>5796</v>
      </c>
      <c r="Z998" s="8">
        <v>80</v>
      </c>
      <c r="AA998" s="8">
        <v>0</v>
      </c>
      <c r="AB998" s="9">
        <v>0</v>
      </c>
    </row>
    <row r="999" spans="1:28" x14ac:dyDescent="0.2">
      <c r="A999" s="10">
        <v>21605</v>
      </c>
      <c r="B999" s="11" t="s">
        <v>6962</v>
      </c>
      <c r="C999" s="11" t="s">
        <v>6963</v>
      </c>
      <c r="D999" s="11" t="s">
        <v>138</v>
      </c>
      <c r="E999" s="11" t="s">
        <v>6964</v>
      </c>
      <c r="F999" s="11" t="s">
        <v>5860</v>
      </c>
      <c r="G999" s="11" t="s">
        <v>224</v>
      </c>
      <c r="H999" s="11" t="s">
        <v>225</v>
      </c>
      <c r="I999" s="11" t="s">
        <v>6965</v>
      </c>
      <c r="J999" s="11" t="s">
        <v>6966</v>
      </c>
      <c r="K999" s="11" t="s">
        <v>228</v>
      </c>
      <c r="L999" s="11" t="s">
        <v>229</v>
      </c>
      <c r="M999" s="11" t="s">
        <v>6967</v>
      </c>
      <c r="N999" s="11" t="s">
        <v>128</v>
      </c>
      <c r="O999" s="11" t="s">
        <v>6968</v>
      </c>
      <c r="P999" s="11" t="s">
        <v>6636</v>
      </c>
      <c r="Q999" s="11" t="s">
        <v>150</v>
      </c>
      <c r="R999" s="11"/>
      <c r="S999" s="11" t="s">
        <v>71</v>
      </c>
      <c r="T999" s="11" t="s">
        <v>67</v>
      </c>
      <c r="U999" s="11" t="s">
        <v>150</v>
      </c>
      <c r="V999" s="11" t="s">
        <v>152</v>
      </c>
      <c r="W999" s="11" t="s">
        <v>67</v>
      </c>
      <c r="X999" s="11">
        <v>48</v>
      </c>
      <c r="Y999" s="11" t="s">
        <v>5796</v>
      </c>
      <c r="Z999" s="11">
        <v>80</v>
      </c>
      <c r="AA999" s="11">
        <v>0</v>
      </c>
      <c r="AB999" s="12">
        <v>0</v>
      </c>
    </row>
    <row r="1000" spans="1:28" x14ac:dyDescent="0.2">
      <c r="A1000" s="7">
        <v>21539</v>
      </c>
      <c r="B1000" s="8" t="s">
        <v>6969</v>
      </c>
      <c r="C1000" s="8" t="s">
        <v>6970</v>
      </c>
      <c r="D1000" s="8" t="s">
        <v>3155</v>
      </c>
      <c r="E1000" s="8" t="s">
        <v>6971</v>
      </c>
      <c r="F1000" s="8" t="s">
        <v>6972</v>
      </c>
      <c r="G1000" s="8" t="s">
        <v>4063</v>
      </c>
      <c r="H1000" s="8" t="s">
        <v>301</v>
      </c>
      <c r="I1000" s="8" t="s">
        <v>6973</v>
      </c>
      <c r="J1000" s="8" t="s">
        <v>6974</v>
      </c>
      <c r="K1000" s="8" t="s">
        <v>228</v>
      </c>
      <c r="L1000" s="8" t="s">
        <v>229</v>
      </c>
      <c r="M1000" s="8" t="s">
        <v>6975</v>
      </c>
      <c r="N1000" s="8" t="s">
        <v>128</v>
      </c>
      <c r="O1000" s="8" t="s">
        <v>6976</v>
      </c>
      <c r="P1000" s="8" t="s">
        <v>6977</v>
      </c>
      <c r="Q1000" s="8" t="s">
        <v>150</v>
      </c>
      <c r="R1000" s="8"/>
      <c r="S1000" s="8" t="s">
        <v>71</v>
      </c>
      <c r="T1000" s="8" t="s">
        <v>67</v>
      </c>
      <c r="U1000" s="8" t="s">
        <v>150</v>
      </c>
      <c r="V1000" s="8" t="s">
        <v>152</v>
      </c>
      <c r="W1000" s="8" t="s">
        <v>67</v>
      </c>
      <c r="X1000" s="8">
        <v>48</v>
      </c>
      <c r="Y1000" s="8" t="s">
        <v>5796</v>
      </c>
      <c r="Z1000" s="8">
        <v>80</v>
      </c>
      <c r="AA1000" s="8">
        <v>0</v>
      </c>
      <c r="AB1000" s="9">
        <v>0</v>
      </c>
    </row>
    <row r="1001" spans="1:28" x14ac:dyDescent="0.2">
      <c r="A1001" s="10">
        <v>21586</v>
      </c>
      <c r="B1001" s="11" t="s">
        <v>6978</v>
      </c>
      <c r="C1001" s="11" t="s">
        <v>6979</v>
      </c>
      <c r="D1001" s="11" t="s">
        <v>6980</v>
      </c>
      <c r="E1001" s="11" t="s">
        <v>6981</v>
      </c>
      <c r="F1001" s="11" t="s">
        <v>6982</v>
      </c>
      <c r="G1001" s="11" t="s">
        <v>6946</v>
      </c>
      <c r="H1001" s="11" t="s">
        <v>847</v>
      </c>
      <c r="I1001" s="11" t="s">
        <v>6983</v>
      </c>
      <c r="J1001" s="11" t="s">
        <v>6984</v>
      </c>
      <c r="K1001" s="11" t="s">
        <v>850</v>
      </c>
      <c r="L1001" s="11" t="s">
        <v>126</v>
      </c>
      <c r="M1001" s="11" t="s">
        <v>6985</v>
      </c>
      <c r="N1001" s="11" t="s">
        <v>128</v>
      </c>
      <c r="O1001" s="11" t="s">
        <v>6986</v>
      </c>
      <c r="P1001" s="11" t="s">
        <v>2616</v>
      </c>
      <c r="Q1001" s="11" t="s">
        <v>150</v>
      </c>
      <c r="R1001" s="11"/>
      <c r="S1001" s="11" t="s">
        <v>71</v>
      </c>
      <c r="T1001" s="11" t="s">
        <v>67</v>
      </c>
      <c r="U1001" s="11" t="s">
        <v>150</v>
      </c>
      <c r="V1001" s="11" t="s">
        <v>152</v>
      </c>
      <c r="W1001" s="11" t="s">
        <v>67</v>
      </c>
      <c r="X1001" s="11">
        <v>48</v>
      </c>
      <c r="Y1001" s="11" t="s">
        <v>5796</v>
      </c>
      <c r="Z1001" s="11">
        <v>80</v>
      </c>
      <c r="AA1001" s="11">
        <v>0</v>
      </c>
      <c r="AB1001" s="12">
        <v>0</v>
      </c>
    </row>
    <row r="1002" spans="1:28" x14ac:dyDescent="0.2">
      <c r="A1002" s="7">
        <v>21572</v>
      </c>
      <c r="B1002" s="8" t="s">
        <v>6987</v>
      </c>
      <c r="C1002" s="8" t="s">
        <v>2300</v>
      </c>
      <c r="D1002" s="8" t="s">
        <v>5114</v>
      </c>
      <c r="E1002" s="8" t="s">
        <v>6988</v>
      </c>
      <c r="F1002" s="8" t="s">
        <v>6704</v>
      </c>
      <c r="G1002" s="8" t="s">
        <v>2863</v>
      </c>
      <c r="H1002" s="8" t="s">
        <v>142</v>
      </c>
      <c r="I1002" s="8" t="s">
        <v>6705</v>
      </c>
      <c r="J1002" s="8" t="s">
        <v>6706</v>
      </c>
      <c r="K1002" s="8" t="s">
        <v>974</v>
      </c>
      <c r="L1002" s="8" t="s">
        <v>146</v>
      </c>
      <c r="M1002" s="8" t="s">
        <v>6989</v>
      </c>
      <c r="N1002" s="8" t="s">
        <v>128</v>
      </c>
      <c r="O1002" s="8" t="s">
        <v>6990</v>
      </c>
      <c r="P1002" s="8" t="s">
        <v>6991</v>
      </c>
      <c r="Q1002" s="8" t="s">
        <v>150</v>
      </c>
      <c r="R1002" s="8"/>
      <c r="S1002" s="8" t="s">
        <v>6709</v>
      </c>
      <c r="T1002" s="8" t="s">
        <v>67</v>
      </c>
      <c r="U1002" s="8" t="s">
        <v>150</v>
      </c>
      <c r="V1002" s="8" t="s">
        <v>152</v>
      </c>
      <c r="W1002" s="8" t="s">
        <v>67</v>
      </c>
      <c r="X1002" s="8">
        <v>48</v>
      </c>
      <c r="Y1002" s="8" t="s">
        <v>5796</v>
      </c>
      <c r="Z1002" s="8">
        <v>80</v>
      </c>
      <c r="AA1002" s="8">
        <v>0</v>
      </c>
      <c r="AB1002" s="9">
        <v>0</v>
      </c>
    </row>
    <row r="1003" spans="1:28" x14ac:dyDescent="0.2">
      <c r="A1003" s="10">
        <v>21454</v>
      </c>
      <c r="B1003" s="11" t="s">
        <v>6992</v>
      </c>
      <c r="C1003" s="11" t="s">
        <v>6993</v>
      </c>
      <c r="D1003" s="11" t="s">
        <v>6994</v>
      </c>
      <c r="E1003" s="11" t="s">
        <v>6995</v>
      </c>
      <c r="F1003" s="11" t="s">
        <v>353</v>
      </c>
      <c r="G1003" s="11" t="s">
        <v>2618</v>
      </c>
      <c r="H1003" s="11" t="s">
        <v>142</v>
      </c>
      <c r="I1003" s="11" t="s">
        <v>6996</v>
      </c>
      <c r="J1003" s="11" t="s">
        <v>6997</v>
      </c>
      <c r="K1003" s="11" t="s">
        <v>651</v>
      </c>
      <c r="L1003" s="11" t="s">
        <v>146</v>
      </c>
      <c r="M1003" s="11" t="s">
        <v>6998</v>
      </c>
      <c r="N1003" s="11" t="s">
        <v>128</v>
      </c>
      <c r="O1003" s="11" t="s">
        <v>6999</v>
      </c>
      <c r="P1003" s="11" t="s">
        <v>7000</v>
      </c>
      <c r="Q1003" s="11" t="s">
        <v>150</v>
      </c>
      <c r="R1003" s="11"/>
      <c r="S1003" s="11" t="s">
        <v>7001</v>
      </c>
      <c r="T1003" s="11" t="s">
        <v>67</v>
      </c>
      <c r="U1003" s="11" t="s">
        <v>150</v>
      </c>
      <c r="V1003" s="11" t="s">
        <v>152</v>
      </c>
      <c r="W1003" s="11" t="s">
        <v>67</v>
      </c>
      <c r="X1003" s="11">
        <v>48</v>
      </c>
      <c r="Y1003" s="11" t="s">
        <v>5796</v>
      </c>
      <c r="Z1003" s="11">
        <v>80</v>
      </c>
      <c r="AA1003" s="11">
        <v>0</v>
      </c>
      <c r="AB1003" s="12">
        <v>0</v>
      </c>
    </row>
    <row r="1004" spans="1:28" x14ac:dyDescent="0.2">
      <c r="A1004" s="7">
        <v>21360</v>
      </c>
      <c r="B1004" s="8" t="s">
        <v>7002</v>
      </c>
      <c r="C1004" s="8" t="s">
        <v>6823</v>
      </c>
      <c r="D1004" s="8" t="s">
        <v>138</v>
      </c>
      <c r="E1004" s="8"/>
      <c r="F1004" s="8" t="s">
        <v>353</v>
      </c>
      <c r="G1004" s="8" t="s">
        <v>300</v>
      </c>
      <c r="H1004" s="8" t="s">
        <v>301</v>
      </c>
      <c r="I1004" s="8" t="s">
        <v>7003</v>
      </c>
      <c r="J1004" s="8" t="s">
        <v>7004</v>
      </c>
      <c r="K1004" s="8" t="s">
        <v>304</v>
      </c>
      <c r="L1004" s="8" t="s">
        <v>229</v>
      </c>
      <c r="M1004" s="8" t="s">
        <v>7005</v>
      </c>
      <c r="N1004" s="8" t="s">
        <v>128</v>
      </c>
      <c r="O1004" s="8" t="s">
        <v>7006</v>
      </c>
      <c r="P1004" s="8" t="s">
        <v>7007</v>
      </c>
      <c r="Q1004" s="8" t="s">
        <v>150</v>
      </c>
      <c r="R1004" s="8"/>
      <c r="S1004" s="8" t="s">
        <v>71</v>
      </c>
      <c r="T1004" s="8" t="s">
        <v>67</v>
      </c>
      <c r="U1004" s="8" t="s">
        <v>150</v>
      </c>
      <c r="V1004" s="8" t="s">
        <v>152</v>
      </c>
      <c r="W1004" s="8" t="s">
        <v>67</v>
      </c>
      <c r="X1004" s="8">
        <v>48</v>
      </c>
      <c r="Y1004" s="8" t="s">
        <v>5796</v>
      </c>
      <c r="Z1004" s="8">
        <v>80</v>
      </c>
      <c r="AA1004" s="8">
        <v>0</v>
      </c>
      <c r="AB1004" s="9">
        <v>0</v>
      </c>
    </row>
    <row r="1005" spans="1:28" x14ac:dyDescent="0.2">
      <c r="A1005" s="10">
        <v>109211</v>
      </c>
      <c r="B1005" s="11" t="s">
        <v>7008</v>
      </c>
      <c r="C1005" s="11" t="s">
        <v>7009</v>
      </c>
      <c r="D1005" s="11" t="s">
        <v>7010</v>
      </c>
      <c r="E1005" s="11"/>
      <c r="F1005" s="11" t="s">
        <v>7011</v>
      </c>
      <c r="G1005" s="11" t="s">
        <v>328</v>
      </c>
      <c r="H1005" s="11" t="s">
        <v>329</v>
      </c>
      <c r="I1005" s="11" t="s">
        <v>7012</v>
      </c>
      <c r="J1005" s="11" t="s">
        <v>7013</v>
      </c>
      <c r="K1005" s="11" t="s">
        <v>332</v>
      </c>
      <c r="L1005" s="11" t="s">
        <v>333</v>
      </c>
      <c r="M1005" s="11" t="s">
        <v>7014</v>
      </c>
      <c r="N1005" s="11" t="s">
        <v>128</v>
      </c>
      <c r="O1005" s="11" t="s">
        <v>7015</v>
      </c>
      <c r="P1005" s="11" t="s">
        <v>7016</v>
      </c>
      <c r="Q1005" s="11" t="s">
        <v>150</v>
      </c>
      <c r="R1005" s="11"/>
      <c r="S1005" s="11" t="s">
        <v>7017</v>
      </c>
      <c r="T1005" s="11" t="s">
        <v>67</v>
      </c>
      <c r="U1005" s="11" t="s">
        <v>150</v>
      </c>
      <c r="V1005" s="11" t="s">
        <v>152</v>
      </c>
      <c r="W1005" s="11" t="s">
        <v>67</v>
      </c>
      <c r="X1005" s="11">
        <v>48</v>
      </c>
      <c r="Y1005" s="11" t="s">
        <v>5796</v>
      </c>
      <c r="Z1005" s="11">
        <v>80</v>
      </c>
      <c r="AA1005" s="11">
        <v>0</v>
      </c>
      <c r="AB1005" s="12">
        <v>0</v>
      </c>
    </row>
    <row r="1006" spans="1:28" x14ac:dyDescent="0.2">
      <c r="A1006" s="7">
        <v>24576</v>
      </c>
      <c r="B1006" s="8" t="s">
        <v>7018</v>
      </c>
      <c r="C1006" s="8" t="s">
        <v>2742</v>
      </c>
      <c r="D1006" s="8" t="s">
        <v>5904</v>
      </c>
      <c r="E1006" s="8" t="s">
        <v>7019</v>
      </c>
      <c r="F1006" s="8" t="s">
        <v>5906</v>
      </c>
      <c r="G1006" s="8" t="s">
        <v>141</v>
      </c>
      <c r="H1006" s="8" t="s">
        <v>142</v>
      </c>
      <c r="I1006" s="8" t="s">
        <v>5907</v>
      </c>
      <c r="J1006" s="8" t="s">
        <v>5908</v>
      </c>
      <c r="K1006" s="8" t="s">
        <v>403</v>
      </c>
      <c r="L1006" s="8" t="s">
        <v>146</v>
      </c>
      <c r="M1006" s="8" t="s">
        <v>7020</v>
      </c>
      <c r="N1006" s="8" t="s">
        <v>128</v>
      </c>
      <c r="O1006" s="8" t="s">
        <v>7021</v>
      </c>
      <c r="P1006" s="8"/>
      <c r="Q1006" s="8" t="s">
        <v>131</v>
      </c>
      <c r="R1006" s="8"/>
      <c r="S1006" s="8" t="s">
        <v>5912</v>
      </c>
      <c r="T1006" s="8" t="s">
        <v>983</v>
      </c>
      <c r="U1006" s="8" t="s">
        <v>134</v>
      </c>
      <c r="V1006" s="8" t="s">
        <v>131</v>
      </c>
      <c r="W1006" s="8" t="s">
        <v>983</v>
      </c>
      <c r="X1006" s="8">
        <v>48</v>
      </c>
      <c r="Y1006" s="8" t="s">
        <v>5796</v>
      </c>
      <c r="Z1006" s="8">
        <v>80</v>
      </c>
      <c r="AA1006" s="8">
        <v>0</v>
      </c>
      <c r="AB1006" s="9">
        <v>0</v>
      </c>
    </row>
    <row r="1007" spans="1:28" x14ac:dyDescent="0.2">
      <c r="A1007" s="10">
        <v>21852</v>
      </c>
      <c r="B1007" s="11" t="s">
        <v>7022</v>
      </c>
      <c r="C1007" s="11" t="s">
        <v>2339</v>
      </c>
      <c r="D1007" s="11" t="s">
        <v>7023</v>
      </c>
      <c r="E1007" s="11"/>
      <c r="F1007" s="11" t="s">
        <v>353</v>
      </c>
      <c r="G1007" s="11" t="s">
        <v>1196</v>
      </c>
      <c r="H1007" s="11" t="s">
        <v>142</v>
      </c>
      <c r="I1007" s="11" t="s">
        <v>2341</v>
      </c>
      <c r="J1007" s="11" t="s">
        <v>7024</v>
      </c>
      <c r="K1007" s="11" t="s">
        <v>1199</v>
      </c>
      <c r="L1007" s="11" t="s">
        <v>464</v>
      </c>
      <c r="M1007" s="11" t="s">
        <v>7025</v>
      </c>
      <c r="N1007" s="11" t="s">
        <v>128</v>
      </c>
      <c r="O1007" s="11" t="s">
        <v>7026</v>
      </c>
      <c r="P1007" s="11" t="s">
        <v>7027</v>
      </c>
      <c r="Q1007" s="11" t="s">
        <v>131</v>
      </c>
      <c r="R1007" s="11"/>
      <c r="S1007" s="11" t="s">
        <v>71</v>
      </c>
      <c r="T1007" s="11" t="s">
        <v>133</v>
      </c>
      <c r="U1007" s="11" t="s">
        <v>134</v>
      </c>
      <c r="V1007" s="11" t="s">
        <v>131</v>
      </c>
      <c r="W1007" s="11" t="s">
        <v>133</v>
      </c>
      <c r="X1007" s="11">
        <v>48</v>
      </c>
      <c r="Y1007" s="11" t="s">
        <v>5796</v>
      </c>
      <c r="Z1007" s="11">
        <v>80</v>
      </c>
      <c r="AA1007" s="11">
        <v>0</v>
      </c>
      <c r="AB1007" s="12">
        <v>0</v>
      </c>
    </row>
    <row r="1008" spans="1:28" x14ac:dyDescent="0.2">
      <c r="A1008" s="7">
        <v>23252</v>
      </c>
      <c r="B1008" s="8" t="s">
        <v>7028</v>
      </c>
      <c r="C1008" s="8" t="s">
        <v>5789</v>
      </c>
      <c r="D1008" s="8" t="s">
        <v>3529</v>
      </c>
      <c r="E1008" s="8" t="s">
        <v>7029</v>
      </c>
      <c r="F1008" s="8" t="s">
        <v>353</v>
      </c>
      <c r="G1008" s="8" t="s">
        <v>121</v>
      </c>
      <c r="H1008" s="8" t="s">
        <v>122</v>
      </c>
      <c r="I1008" s="8" t="s">
        <v>7030</v>
      </c>
      <c r="J1008" s="8" t="s">
        <v>7031</v>
      </c>
      <c r="K1008" s="8" t="s">
        <v>125</v>
      </c>
      <c r="L1008" s="8" t="s">
        <v>126</v>
      </c>
      <c r="M1008" s="8" t="s">
        <v>7032</v>
      </c>
      <c r="N1008" s="8" t="s">
        <v>128</v>
      </c>
      <c r="O1008" s="8" t="s">
        <v>7033</v>
      </c>
      <c r="P1008" s="8" t="s">
        <v>7034</v>
      </c>
      <c r="Q1008" s="8" t="s">
        <v>150</v>
      </c>
      <c r="R1008" s="8"/>
      <c r="S1008" s="8" t="s">
        <v>71</v>
      </c>
      <c r="T1008" s="8" t="s">
        <v>70</v>
      </c>
      <c r="U1008" s="8" t="s">
        <v>150</v>
      </c>
      <c r="V1008" s="8" t="s">
        <v>70</v>
      </c>
      <c r="W1008" s="8" t="s">
        <v>70</v>
      </c>
      <c r="X1008" s="8">
        <v>48</v>
      </c>
      <c r="Y1008" s="8" t="s">
        <v>5796</v>
      </c>
      <c r="Z1008" s="8">
        <v>80</v>
      </c>
      <c r="AA1008" s="8">
        <v>0</v>
      </c>
      <c r="AB1008" s="9">
        <v>0</v>
      </c>
    </row>
    <row r="1009" spans="1:28" x14ac:dyDescent="0.2">
      <c r="A1009" s="10">
        <v>23407</v>
      </c>
      <c r="B1009" s="11" t="s">
        <v>7035</v>
      </c>
      <c r="C1009" s="11" t="s">
        <v>7036</v>
      </c>
      <c r="D1009" s="11" t="s">
        <v>7037</v>
      </c>
      <c r="E1009" s="11"/>
      <c r="F1009" s="11" t="s">
        <v>353</v>
      </c>
      <c r="G1009" s="11" t="s">
        <v>7038</v>
      </c>
      <c r="H1009" s="11" t="s">
        <v>142</v>
      </c>
      <c r="I1009" s="11" t="s">
        <v>7039</v>
      </c>
      <c r="J1009" s="11" t="s">
        <v>7040</v>
      </c>
      <c r="K1009" s="11" t="s">
        <v>974</v>
      </c>
      <c r="L1009" s="11" t="s">
        <v>146</v>
      </c>
      <c r="M1009" s="11" t="s">
        <v>7041</v>
      </c>
      <c r="N1009" s="11" t="s">
        <v>128</v>
      </c>
      <c r="O1009" s="11" t="s">
        <v>7042</v>
      </c>
      <c r="P1009" s="11" t="s">
        <v>7043</v>
      </c>
      <c r="Q1009" s="11" t="s">
        <v>150</v>
      </c>
      <c r="R1009" s="11"/>
      <c r="S1009" s="11" t="s">
        <v>71</v>
      </c>
      <c r="T1009" s="11" t="s">
        <v>1415</v>
      </c>
      <c r="U1009" s="11" t="s">
        <v>150</v>
      </c>
      <c r="V1009" s="11" t="s">
        <v>1415</v>
      </c>
      <c r="W1009" s="11" t="s">
        <v>1415</v>
      </c>
      <c r="X1009" s="11">
        <v>48</v>
      </c>
      <c r="Y1009" s="11" t="s">
        <v>5796</v>
      </c>
      <c r="Z1009" s="11">
        <v>80</v>
      </c>
      <c r="AA1009" s="11">
        <v>0</v>
      </c>
      <c r="AB1009" s="12">
        <v>0</v>
      </c>
    </row>
    <row r="1010" spans="1:28" x14ac:dyDescent="0.2">
      <c r="A1010" s="7">
        <v>23489</v>
      </c>
      <c r="B1010" s="8" t="s">
        <v>7044</v>
      </c>
      <c r="C1010" s="8" t="s">
        <v>7045</v>
      </c>
      <c r="D1010" s="8" t="s">
        <v>4623</v>
      </c>
      <c r="E1010" s="8"/>
      <c r="F1010" s="8" t="s">
        <v>353</v>
      </c>
      <c r="G1010" s="8" t="s">
        <v>6604</v>
      </c>
      <c r="H1010" s="8" t="s">
        <v>329</v>
      </c>
      <c r="I1010" s="8" t="s">
        <v>7046</v>
      </c>
      <c r="J1010" s="8" t="s">
        <v>7047</v>
      </c>
      <c r="K1010" s="8" t="s">
        <v>332</v>
      </c>
      <c r="L1010" s="8" t="s">
        <v>333</v>
      </c>
      <c r="M1010" s="8" t="s">
        <v>7048</v>
      </c>
      <c r="N1010" s="8" t="s">
        <v>128</v>
      </c>
      <c r="O1010" s="8" t="s">
        <v>7049</v>
      </c>
      <c r="P1010" s="8" t="s">
        <v>7050</v>
      </c>
      <c r="Q1010" s="8" t="s">
        <v>150</v>
      </c>
      <c r="R1010" s="8"/>
      <c r="S1010" s="8" t="s">
        <v>71</v>
      </c>
      <c r="T1010" s="8" t="s">
        <v>1415</v>
      </c>
      <c r="U1010" s="8" t="s">
        <v>150</v>
      </c>
      <c r="V1010" s="8" t="s">
        <v>1415</v>
      </c>
      <c r="W1010" s="8" t="s">
        <v>1415</v>
      </c>
      <c r="X1010" s="8">
        <v>48</v>
      </c>
      <c r="Y1010" s="8" t="s">
        <v>5796</v>
      </c>
      <c r="Z1010" s="8">
        <v>80</v>
      </c>
      <c r="AA1010" s="8">
        <v>0</v>
      </c>
      <c r="AB1010" s="9">
        <v>0</v>
      </c>
    </row>
    <row r="1011" spans="1:28" x14ac:dyDescent="0.2">
      <c r="A1011" s="10">
        <v>23648</v>
      </c>
      <c r="B1011" s="11" t="s">
        <v>7051</v>
      </c>
      <c r="C1011" s="11" t="s">
        <v>6823</v>
      </c>
      <c r="D1011" s="11" t="s">
        <v>3249</v>
      </c>
      <c r="E1011" s="11"/>
      <c r="F1011" s="11" t="s">
        <v>7052</v>
      </c>
      <c r="G1011" s="11" t="s">
        <v>300</v>
      </c>
      <c r="H1011" s="11" t="s">
        <v>301</v>
      </c>
      <c r="I1011" s="11" t="s">
        <v>7053</v>
      </c>
      <c r="J1011" s="11" t="s">
        <v>7054</v>
      </c>
      <c r="K1011" s="11" t="s">
        <v>304</v>
      </c>
      <c r="L1011" s="11" t="s">
        <v>229</v>
      </c>
      <c r="M1011" s="11" t="s">
        <v>7055</v>
      </c>
      <c r="N1011" s="11" t="s">
        <v>128</v>
      </c>
      <c r="O1011" s="11" t="s">
        <v>7056</v>
      </c>
      <c r="P1011" s="11" t="s">
        <v>7057</v>
      </c>
      <c r="Q1011" s="11" t="s">
        <v>150</v>
      </c>
      <c r="R1011" s="11"/>
      <c r="S1011" s="11" t="s">
        <v>71</v>
      </c>
      <c r="T1011" s="11" t="s">
        <v>168</v>
      </c>
      <c r="U1011" s="11" t="s">
        <v>150</v>
      </c>
      <c r="V1011" s="11" t="s">
        <v>168</v>
      </c>
      <c r="W1011" s="11" t="s">
        <v>168</v>
      </c>
      <c r="X1011" s="11">
        <v>48</v>
      </c>
      <c r="Y1011" s="11" t="s">
        <v>5796</v>
      </c>
      <c r="Z1011" s="11">
        <v>80</v>
      </c>
      <c r="AA1011" s="11">
        <v>0</v>
      </c>
      <c r="AB1011" s="12">
        <v>0</v>
      </c>
    </row>
    <row r="1012" spans="1:28" x14ac:dyDescent="0.2">
      <c r="A1012" s="7">
        <v>21731</v>
      </c>
      <c r="B1012" s="8" t="s">
        <v>7058</v>
      </c>
      <c r="C1012" s="8" t="s">
        <v>6635</v>
      </c>
      <c r="D1012" s="8" t="s">
        <v>7059</v>
      </c>
      <c r="E1012" s="8" t="s">
        <v>7060</v>
      </c>
      <c r="F1012" s="8" t="s">
        <v>353</v>
      </c>
      <c r="G1012" s="8" t="s">
        <v>4047</v>
      </c>
      <c r="H1012" s="8" t="s">
        <v>142</v>
      </c>
      <c r="I1012" s="8" t="s">
        <v>7061</v>
      </c>
      <c r="J1012" s="8" t="s">
        <v>7062</v>
      </c>
      <c r="K1012" s="8" t="s">
        <v>1029</v>
      </c>
      <c r="L1012" s="8" t="s">
        <v>464</v>
      </c>
      <c r="M1012" s="8" t="s">
        <v>7063</v>
      </c>
      <c r="N1012" s="8" t="s">
        <v>128</v>
      </c>
      <c r="O1012" s="8" t="s">
        <v>7064</v>
      </c>
      <c r="P1012" s="8" t="s">
        <v>7065</v>
      </c>
      <c r="Q1012" s="8" t="s">
        <v>150</v>
      </c>
      <c r="R1012" s="8"/>
      <c r="S1012" s="8" t="s">
        <v>71</v>
      </c>
      <c r="T1012" s="8" t="s">
        <v>67</v>
      </c>
      <c r="U1012" s="8" t="s">
        <v>150</v>
      </c>
      <c r="V1012" s="8" t="s">
        <v>152</v>
      </c>
      <c r="W1012" s="8" t="s">
        <v>67</v>
      </c>
      <c r="X1012" s="8">
        <v>47</v>
      </c>
      <c r="Y1012" s="8" t="s">
        <v>5796</v>
      </c>
      <c r="Z1012" s="8">
        <v>80</v>
      </c>
      <c r="AA1012" s="8">
        <v>0</v>
      </c>
      <c r="AB1012" s="9">
        <v>0</v>
      </c>
    </row>
    <row r="1013" spans="1:28" x14ac:dyDescent="0.2">
      <c r="A1013" s="10">
        <v>21308</v>
      </c>
      <c r="B1013" s="11" t="s">
        <v>7066</v>
      </c>
      <c r="C1013" s="11" t="s">
        <v>7067</v>
      </c>
      <c r="D1013" s="11" t="s">
        <v>7068</v>
      </c>
      <c r="E1013" s="11"/>
      <c r="F1013" s="11" t="s">
        <v>353</v>
      </c>
      <c r="G1013" s="11" t="s">
        <v>7069</v>
      </c>
      <c r="H1013" s="11" t="s">
        <v>142</v>
      </c>
      <c r="I1013" s="11" t="s">
        <v>7070</v>
      </c>
      <c r="J1013" s="11" t="s">
        <v>7071</v>
      </c>
      <c r="K1013" s="11" t="s">
        <v>472</v>
      </c>
      <c r="L1013" s="11" t="s">
        <v>146</v>
      </c>
      <c r="M1013" s="11" t="s">
        <v>7072</v>
      </c>
      <c r="N1013" s="11" t="s">
        <v>128</v>
      </c>
      <c r="O1013" s="11" t="s">
        <v>7073</v>
      </c>
      <c r="P1013" s="11" t="s">
        <v>7074</v>
      </c>
      <c r="Q1013" s="11" t="s">
        <v>150</v>
      </c>
      <c r="R1013" s="11"/>
      <c r="S1013" s="11" t="s">
        <v>71</v>
      </c>
      <c r="T1013" s="11" t="s">
        <v>67</v>
      </c>
      <c r="U1013" s="11" t="s">
        <v>150</v>
      </c>
      <c r="V1013" s="11" t="s">
        <v>152</v>
      </c>
      <c r="W1013" s="11" t="s">
        <v>67</v>
      </c>
      <c r="X1013" s="11">
        <v>47</v>
      </c>
      <c r="Y1013" s="11" t="s">
        <v>5796</v>
      </c>
      <c r="Z1013" s="11">
        <v>80</v>
      </c>
      <c r="AA1013" s="11">
        <v>0</v>
      </c>
      <c r="AB1013" s="12">
        <v>0</v>
      </c>
    </row>
    <row r="1014" spans="1:28" x14ac:dyDescent="0.2">
      <c r="A1014" s="7">
        <v>26587</v>
      </c>
      <c r="B1014" s="8" t="s">
        <v>7075</v>
      </c>
      <c r="C1014" s="8" t="s">
        <v>668</v>
      </c>
      <c r="D1014" s="8" t="s">
        <v>7076</v>
      </c>
      <c r="E1014" s="8"/>
      <c r="F1014" s="8"/>
      <c r="G1014" s="8" t="s">
        <v>670</v>
      </c>
      <c r="H1014" s="8" t="s">
        <v>671</v>
      </c>
      <c r="I1014" s="8" t="s">
        <v>672</v>
      </c>
      <c r="J1014" s="8" t="s">
        <v>7077</v>
      </c>
      <c r="K1014" s="8" t="s">
        <v>572</v>
      </c>
      <c r="L1014" s="8" t="s">
        <v>333</v>
      </c>
      <c r="M1014" s="8" t="s">
        <v>7078</v>
      </c>
      <c r="N1014" s="8" t="s">
        <v>128</v>
      </c>
      <c r="O1014" s="8" t="s">
        <v>7079</v>
      </c>
      <c r="P1014" s="8" t="s">
        <v>7080</v>
      </c>
      <c r="Q1014" s="8" t="s">
        <v>131</v>
      </c>
      <c r="R1014" s="8"/>
      <c r="S1014" s="8" t="s">
        <v>71</v>
      </c>
      <c r="T1014" s="8" t="s">
        <v>133</v>
      </c>
      <c r="U1014" s="8" t="s">
        <v>134</v>
      </c>
      <c r="V1014" s="8" t="s">
        <v>131</v>
      </c>
      <c r="W1014" s="8" t="s">
        <v>133</v>
      </c>
      <c r="X1014" s="8">
        <v>47</v>
      </c>
      <c r="Y1014" s="8" t="s">
        <v>5796</v>
      </c>
      <c r="Z1014" s="8">
        <v>80</v>
      </c>
      <c r="AA1014" s="8">
        <v>0</v>
      </c>
      <c r="AB1014" s="9">
        <v>0</v>
      </c>
    </row>
    <row r="1015" spans="1:28" x14ac:dyDescent="0.2">
      <c r="A1015" s="10">
        <v>23361</v>
      </c>
      <c r="B1015" s="11" t="s">
        <v>7081</v>
      </c>
      <c r="C1015" s="11" t="s">
        <v>7082</v>
      </c>
      <c r="D1015" s="11" t="s">
        <v>138</v>
      </c>
      <c r="E1015" s="11"/>
      <c r="F1015" s="11" t="s">
        <v>7083</v>
      </c>
      <c r="G1015" s="11" t="s">
        <v>224</v>
      </c>
      <c r="H1015" s="11" t="s">
        <v>225</v>
      </c>
      <c r="I1015" s="11" t="s">
        <v>7084</v>
      </c>
      <c r="J1015" s="11" t="s">
        <v>7085</v>
      </c>
      <c r="K1015" s="11" t="s">
        <v>228</v>
      </c>
      <c r="L1015" s="11" t="s">
        <v>229</v>
      </c>
      <c r="M1015" s="11" t="s">
        <v>7086</v>
      </c>
      <c r="N1015" s="11" t="s">
        <v>128</v>
      </c>
      <c r="O1015" s="11" t="s">
        <v>7087</v>
      </c>
      <c r="P1015" s="11" t="s">
        <v>7088</v>
      </c>
      <c r="Q1015" s="11" t="s">
        <v>150</v>
      </c>
      <c r="R1015" s="11"/>
      <c r="S1015" s="11" t="s">
        <v>7089</v>
      </c>
      <c r="T1015" s="11" t="s">
        <v>70</v>
      </c>
      <c r="U1015" s="11" t="s">
        <v>150</v>
      </c>
      <c r="V1015" s="11" t="s">
        <v>70</v>
      </c>
      <c r="W1015" s="11" t="s">
        <v>70</v>
      </c>
      <c r="X1015" s="11">
        <v>47</v>
      </c>
      <c r="Y1015" s="11" t="s">
        <v>5796</v>
      </c>
      <c r="Z1015" s="11">
        <v>80</v>
      </c>
      <c r="AA1015" s="11">
        <v>0</v>
      </c>
      <c r="AB1015" s="12">
        <v>0</v>
      </c>
    </row>
    <row r="1016" spans="1:28" x14ac:dyDescent="0.2">
      <c r="A1016" s="7">
        <v>23463</v>
      </c>
      <c r="B1016" s="8" t="s">
        <v>7090</v>
      </c>
      <c r="C1016" s="8" t="s">
        <v>6429</v>
      </c>
      <c r="D1016" s="8" t="s">
        <v>1064</v>
      </c>
      <c r="E1016" s="8"/>
      <c r="F1016" s="8" t="s">
        <v>7091</v>
      </c>
      <c r="G1016" s="8" t="s">
        <v>6431</v>
      </c>
      <c r="H1016" s="8" t="s">
        <v>329</v>
      </c>
      <c r="I1016" s="8" t="s">
        <v>7092</v>
      </c>
      <c r="J1016" s="8" t="s">
        <v>7093</v>
      </c>
      <c r="K1016" s="8" t="s">
        <v>332</v>
      </c>
      <c r="L1016" s="8" t="s">
        <v>333</v>
      </c>
      <c r="M1016" s="8" t="s">
        <v>7094</v>
      </c>
      <c r="N1016" s="8" t="s">
        <v>128</v>
      </c>
      <c r="O1016" s="8" t="s">
        <v>7095</v>
      </c>
      <c r="P1016" s="8" t="s">
        <v>7096</v>
      </c>
      <c r="Q1016" s="8" t="s">
        <v>150</v>
      </c>
      <c r="R1016" s="8"/>
      <c r="S1016" s="8" t="s">
        <v>71</v>
      </c>
      <c r="T1016" s="8" t="s">
        <v>1415</v>
      </c>
      <c r="U1016" s="8" t="s">
        <v>150</v>
      </c>
      <c r="V1016" s="8" t="s">
        <v>1415</v>
      </c>
      <c r="W1016" s="8" t="s">
        <v>1415</v>
      </c>
      <c r="X1016" s="8">
        <v>47</v>
      </c>
      <c r="Y1016" s="8" t="s">
        <v>5796</v>
      </c>
      <c r="Z1016" s="8">
        <v>80</v>
      </c>
      <c r="AA1016" s="8">
        <v>0</v>
      </c>
      <c r="AB1016" s="9">
        <v>0</v>
      </c>
    </row>
    <row r="1017" spans="1:28" x14ac:dyDescent="0.2">
      <c r="A1017" s="10">
        <v>23482</v>
      </c>
      <c r="B1017" s="11" t="s">
        <v>7097</v>
      </c>
      <c r="C1017" s="11" t="s">
        <v>7098</v>
      </c>
      <c r="D1017" s="11" t="s">
        <v>4060</v>
      </c>
      <c r="E1017" s="11"/>
      <c r="F1017" s="11" t="s">
        <v>7099</v>
      </c>
      <c r="G1017" s="11" t="s">
        <v>6398</v>
      </c>
      <c r="H1017" s="11" t="s">
        <v>329</v>
      </c>
      <c r="I1017" s="11" t="s">
        <v>7100</v>
      </c>
      <c r="J1017" s="11" t="s">
        <v>7101</v>
      </c>
      <c r="K1017" s="11" t="s">
        <v>572</v>
      </c>
      <c r="L1017" s="11" t="s">
        <v>333</v>
      </c>
      <c r="M1017" s="11" t="s">
        <v>7102</v>
      </c>
      <c r="N1017" s="11" t="s">
        <v>128</v>
      </c>
      <c r="O1017" s="11" t="s">
        <v>7103</v>
      </c>
      <c r="P1017" s="11" t="s">
        <v>7104</v>
      </c>
      <c r="Q1017" s="11" t="s">
        <v>150</v>
      </c>
      <c r="R1017" s="11"/>
      <c r="S1017" s="11" t="s">
        <v>71</v>
      </c>
      <c r="T1017" s="11" t="s">
        <v>1415</v>
      </c>
      <c r="U1017" s="11" t="s">
        <v>150</v>
      </c>
      <c r="V1017" s="11" t="s">
        <v>1415</v>
      </c>
      <c r="W1017" s="11" t="s">
        <v>1415</v>
      </c>
      <c r="X1017" s="11">
        <v>47</v>
      </c>
      <c r="Y1017" s="11" t="s">
        <v>5796</v>
      </c>
      <c r="Z1017" s="11">
        <v>80</v>
      </c>
      <c r="AA1017" s="11">
        <v>0</v>
      </c>
      <c r="AB1017" s="12">
        <v>0</v>
      </c>
    </row>
    <row r="1018" spans="1:28" x14ac:dyDescent="0.2">
      <c r="A1018" s="7">
        <v>23727</v>
      </c>
      <c r="B1018" s="8" t="s">
        <v>7105</v>
      </c>
      <c r="C1018" s="8" t="s">
        <v>7106</v>
      </c>
      <c r="D1018" s="8" t="s">
        <v>7107</v>
      </c>
      <c r="E1018" s="8"/>
      <c r="F1018" s="8" t="s">
        <v>353</v>
      </c>
      <c r="G1018" s="8" t="s">
        <v>3654</v>
      </c>
      <c r="H1018" s="8" t="s">
        <v>142</v>
      </c>
      <c r="I1018" s="8" t="s">
        <v>7108</v>
      </c>
      <c r="J1018" s="8" t="s">
        <v>7109</v>
      </c>
      <c r="K1018" s="8" t="s">
        <v>1029</v>
      </c>
      <c r="L1018" s="8" t="s">
        <v>464</v>
      </c>
      <c r="M1018" s="8" t="s">
        <v>7110</v>
      </c>
      <c r="N1018" s="8" t="s">
        <v>128</v>
      </c>
      <c r="O1018" s="8" t="s">
        <v>7111</v>
      </c>
      <c r="P1018" s="8" t="s">
        <v>7112</v>
      </c>
      <c r="Q1018" s="8" t="s">
        <v>150</v>
      </c>
      <c r="R1018" s="8"/>
      <c r="S1018" s="8" t="s">
        <v>71</v>
      </c>
      <c r="T1018" s="8" t="s">
        <v>168</v>
      </c>
      <c r="U1018" s="8" t="s">
        <v>150</v>
      </c>
      <c r="V1018" s="8" t="s">
        <v>168</v>
      </c>
      <c r="W1018" s="8" t="s">
        <v>168</v>
      </c>
      <c r="X1018" s="8">
        <v>47</v>
      </c>
      <c r="Y1018" s="8" t="s">
        <v>5796</v>
      </c>
      <c r="Z1018" s="8">
        <v>80</v>
      </c>
      <c r="AA1018" s="8">
        <v>0</v>
      </c>
      <c r="AB1018" s="9">
        <v>0</v>
      </c>
    </row>
    <row r="1019" spans="1:28" x14ac:dyDescent="0.2">
      <c r="A1019" s="10">
        <v>23916</v>
      </c>
      <c r="B1019" s="11" t="s">
        <v>7113</v>
      </c>
      <c r="C1019" s="11" t="s">
        <v>7114</v>
      </c>
      <c r="D1019" s="11" t="s">
        <v>7115</v>
      </c>
      <c r="E1019" s="11"/>
      <c r="F1019" s="11" t="s">
        <v>353</v>
      </c>
      <c r="G1019" s="11" t="s">
        <v>7116</v>
      </c>
      <c r="H1019" s="11" t="s">
        <v>142</v>
      </c>
      <c r="I1019" s="11" t="s">
        <v>7117</v>
      </c>
      <c r="J1019" s="11" t="s">
        <v>7118</v>
      </c>
      <c r="K1019" s="11" t="s">
        <v>1199</v>
      </c>
      <c r="L1019" s="11" t="s">
        <v>464</v>
      </c>
      <c r="M1019" s="11" t="s">
        <v>7119</v>
      </c>
      <c r="N1019" s="11" t="s">
        <v>128</v>
      </c>
      <c r="O1019" s="11" t="s">
        <v>7120</v>
      </c>
      <c r="P1019" s="11" t="s">
        <v>6206</v>
      </c>
      <c r="Q1019" s="11" t="s">
        <v>150</v>
      </c>
      <c r="R1019" s="11"/>
      <c r="S1019" s="11" t="s">
        <v>71</v>
      </c>
      <c r="T1019" s="11" t="s">
        <v>168</v>
      </c>
      <c r="U1019" s="11" t="s">
        <v>150</v>
      </c>
      <c r="V1019" s="11" t="s">
        <v>168</v>
      </c>
      <c r="W1019" s="11" t="s">
        <v>168</v>
      </c>
      <c r="X1019" s="11">
        <v>47</v>
      </c>
      <c r="Y1019" s="11" t="s">
        <v>5796</v>
      </c>
      <c r="Z1019" s="11">
        <v>80</v>
      </c>
      <c r="AA1019" s="11">
        <v>0</v>
      </c>
      <c r="AB1019" s="12">
        <v>0</v>
      </c>
    </row>
    <row r="1020" spans="1:28" x14ac:dyDescent="0.2">
      <c r="A1020" s="7">
        <v>24762</v>
      </c>
      <c r="B1020" s="8" t="s">
        <v>7121</v>
      </c>
      <c r="C1020" s="8" t="s">
        <v>3453</v>
      </c>
      <c r="D1020" s="8" t="s">
        <v>467</v>
      </c>
      <c r="E1020" s="8" t="s">
        <v>7122</v>
      </c>
      <c r="F1020" s="8" t="s">
        <v>353</v>
      </c>
      <c r="G1020" s="8" t="s">
        <v>3454</v>
      </c>
      <c r="H1020" s="8" t="s">
        <v>142</v>
      </c>
      <c r="I1020" s="8" t="s">
        <v>6275</v>
      </c>
      <c r="J1020" s="8" t="s">
        <v>7123</v>
      </c>
      <c r="K1020" s="8" t="s">
        <v>1673</v>
      </c>
      <c r="L1020" s="8" t="s">
        <v>464</v>
      </c>
      <c r="M1020" s="8" t="s">
        <v>7124</v>
      </c>
      <c r="N1020" s="8" t="s">
        <v>128</v>
      </c>
      <c r="O1020" s="8" t="s">
        <v>7125</v>
      </c>
      <c r="P1020" s="8" t="s">
        <v>7126</v>
      </c>
      <c r="Q1020" s="8" t="s">
        <v>150</v>
      </c>
      <c r="R1020" s="8"/>
      <c r="S1020" s="8" t="s">
        <v>71</v>
      </c>
      <c r="T1020" s="8" t="s">
        <v>69</v>
      </c>
      <c r="U1020" s="8" t="s">
        <v>150</v>
      </c>
      <c r="V1020" s="8" t="s">
        <v>152</v>
      </c>
      <c r="W1020" s="8" t="s">
        <v>69</v>
      </c>
      <c r="X1020" s="8">
        <v>47</v>
      </c>
      <c r="Y1020" s="8" t="s">
        <v>5796</v>
      </c>
      <c r="Z1020" s="8">
        <v>80</v>
      </c>
      <c r="AA1020" s="8">
        <v>0</v>
      </c>
      <c r="AB1020" s="9">
        <v>0</v>
      </c>
    </row>
    <row r="1021" spans="1:28" x14ac:dyDescent="0.2">
      <c r="A1021" s="10">
        <v>24676</v>
      </c>
      <c r="B1021" s="11" t="s">
        <v>7127</v>
      </c>
      <c r="C1021" s="11" t="s">
        <v>1645</v>
      </c>
      <c r="D1021" s="11" t="s">
        <v>1646</v>
      </c>
      <c r="E1021" s="11" t="s">
        <v>7128</v>
      </c>
      <c r="F1021" s="11" t="s">
        <v>1648</v>
      </c>
      <c r="G1021" s="11" t="s">
        <v>328</v>
      </c>
      <c r="H1021" s="11" t="s">
        <v>329</v>
      </c>
      <c r="I1021" s="11" t="s">
        <v>1649</v>
      </c>
      <c r="J1021" s="11" t="s">
        <v>1650</v>
      </c>
      <c r="K1021" s="11" t="s">
        <v>572</v>
      </c>
      <c r="L1021" s="11" t="s">
        <v>333</v>
      </c>
      <c r="M1021" s="11" t="s">
        <v>7129</v>
      </c>
      <c r="N1021" s="11" t="s">
        <v>128</v>
      </c>
      <c r="O1021" s="11" t="s">
        <v>7130</v>
      </c>
      <c r="P1021" s="11" t="s">
        <v>2348</v>
      </c>
      <c r="Q1021" s="11" t="s">
        <v>150</v>
      </c>
      <c r="R1021" s="11"/>
      <c r="S1021" s="11" t="s">
        <v>1654</v>
      </c>
      <c r="T1021" s="11" t="s">
        <v>69</v>
      </c>
      <c r="U1021" s="11" t="s">
        <v>150</v>
      </c>
      <c r="V1021" s="11" t="s">
        <v>152</v>
      </c>
      <c r="W1021" s="11" t="s">
        <v>69</v>
      </c>
      <c r="X1021" s="11">
        <v>47</v>
      </c>
      <c r="Y1021" s="11" t="s">
        <v>5796</v>
      </c>
      <c r="Z1021" s="11">
        <v>80</v>
      </c>
      <c r="AA1021" s="11">
        <v>0</v>
      </c>
      <c r="AB1021" s="12">
        <v>0</v>
      </c>
    </row>
    <row r="1022" spans="1:28" x14ac:dyDescent="0.2">
      <c r="A1022" s="7">
        <v>24916</v>
      </c>
      <c r="B1022" s="8" t="s">
        <v>7131</v>
      </c>
      <c r="C1022" s="8" t="s">
        <v>6572</v>
      </c>
      <c r="D1022" s="8" t="s">
        <v>7132</v>
      </c>
      <c r="E1022" s="8"/>
      <c r="F1022" s="8" t="s">
        <v>353</v>
      </c>
      <c r="G1022" s="8" t="s">
        <v>6409</v>
      </c>
      <c r="H1022" s="8" t="s">
        <v>6410</v>
      </c>
      <c r="I1022" s="8" t="s">
        <v>7133</v>
      </c>
      <c r="J1022" s="8" t="s">
        <v>7134</v>
      </c>
      <c r="K1022" s="8" t="s">
        <v>1956</v>
      </c>
      <c r="L1022" s="8" t="s">
        <v>526</v>
      </c>
      <c r="M1022" s="8" t="s">
        <v>7135</v>
      </c>
      <c r="N1022" s="8" t="s">
        <v>128</v>
      </c>
      <c r="O1022" s="8" t="s">
        <v>7136</v>
      </c>
      <c r="P1022" s="8" t="s">
        <v>7137</v>
      </c>
      <c r="Q1022" s="8" t="s">
        <v>150</v>
      </c>
      <c r="R1022" s="8"/>
      <c r="S1022" s="8" t="s">
        <v>7138</v>
      </c>
      <c r="T1022" s="8" t="s">
        <v>1738</v>
      </c>
      <c r="U1022" s="8" t="s">
        <v>150</v>
      </c>
      <c r="V1022" s="8" t="s">
        <v>1738</v>
      </c>
      <c r="W1022" s="8" t="s">
        <v>1738</v>
      </c>
      <c r="X1022" s="8">
        <v>47</v>
      </c>
      <c r="Y1022" s="8" t="s">
        <v>5796</v>
      </c>
      <c r="Z1022" s="8">
        <v>80</v>
      </c>
      <c r="AA1022" s="8">
        <v>0</v>
      </c>
      <c r="AB1022" s="9">
        <v>0</v>
      </c>
    </row>
    <row r="1023" spans="1:28" x14ac:dyDescent="0.2">
      <c r="A1023" s="10">
        <v>21199</v>
      </c>
      <c r="B1023" s="11" t="s">
        <v>7139</v>
      </c>
      <c r="C1023" s="11" t="s">
        <v>186</v>
      </c>
      <c r="D1023" s="11" t="s">
        <v>7140</v>
      </c>
      <c r="E1023" s="11"/>
      <c r="F1023" s="11" t="s">
        <v>7141</v>
      </c>
      <c r="G1023" s="11" t="s">
        <v>2117</v>
      </c>
      <c r="H1023" s="11" t="s">
        <v>142</v>
      </c>
      <c r="I1023" s="11" t="s">
        <v>7142</v>
      </c>
      <c r="J1023" s="11" t="s">
        <v>7143</v>
      </c>
      <c r="K1023" s="11" t="s">
        <v>1673</v>
      </c>
      <c r="L1023" s="11" t="s">
        <v>464</v>
      </c>
      <c r="M1023" s="11" t="s">
        <v>7144</v>
      </c>
      <c r="N1023" s="11" t="s">
        <v>128</v>
      </c>
      <c r="O1023" s="11" t="s">
        <v>7145</v>
      </c>
      <c r="P1023" s="11" t="s">
        <v>7146</v>
      </c>
      <c r="Q1023" s="11" t="s">
        <v>150</v>
      </c>
      <c r="R1023" s="11"/>
      <c r="S1023" s="11" t="s">
        <v>71</v>
      </c>
      <c r="T1023" s="11" t="s">
        <v>289</v>
      </c>
      <c r="U1023" s="11" t="s">
        <v>150</v>
      </c>
      <c r="V1023" s="11" t="s">
        <v>289</v>
      </c>
      <c r="W1023" s="11" t="s">
        <v>289</v>
      </c>
      <c r="X1023" s="11">
        <v>46</v>
      </c>
      <c r="Y1023" s="11" t="s">
        <v>5796</v>
      </c>
      <c r="Z1023" s="11">
        <v>80</v>
      </c>
      <c r="AA1023" s="11">
        <v>0</v>
      </c>
      <c r="AB1023" s="12">
        <v>0</v>
      </c>
    </row>
    <row r="1024" spans="1:28" x14ac:dyDescent="0.2">
      <c r="A1024" s="7">
        <v>26126</v>
      </c>
      <c r="B1024" s="8" t="s">
        <v>7147</v>
      </c>
      <c r="C1024" s="8" t="s">
        <v>1849</v>
      </c>
      <c r="D1024" s="8" t="s">
        <v>1850</v>
      </c>
      <c r="E1024" s="8"/>
      <c r="F1024" s="8"/>
      <c r="G1024" s="8" t="s">
        <v>1852</v>
      </c>
      <c r="H1024" s="8" t="s">
        <v>671</v>
      </c>
      <c r="I1024" s="8" t="s">
        <v>1853</v>
      </c>
      <c r="J1024" s="8" t="s">
        <v>1854</v>
      </c>
      <c r="K1024" s="8" t="s">
        <v>572</v>
      </c>
      <c r="L1024" s="8" t="s">
        <v>333</v>
      </c>
      <c r="M1024" s="8" t="s">
        <v>7148</v>
      </c>
      <c r="N1024" s="8" t="s">
        <v>128</v>
      </c>
      <c r="O1024" s="8" t="s">
        <v>7149</v>
      </c>
      <c r="P1024" s="8" t="s">
        <v>7150</v>
      </c>
      <c r="Q1024" s="8" t="s">
        <v>150</v>
      </c>
      <c r="R1024" s="8"/>
      <c r="S1024" s="8" t="s">
        <v>1858</v>
      </c>
      <c r="T1024" s="8" t="s">
        <v>289</v>
      </c>
      <c r="U1024" s="8" t="s">
        <v>150</v>
      </c>
      <c r="V1024" s="8" t="s">
        <v>289</v>
      </c>
      <c r="W1024" s="8" t="s">
        <v>289</v>
      </c>
      <c r="X1024" s="8">
        <v>46</v>
      </c>
      <c r="Y1024" s="8" t="s">
        <v>5796</v>
      </c>
      <c r="Z1024" s="8">
        <v>80</v>
      </c>
      <c r="AA1024" s="8">
        <v>0</v>
      </c>
      <c r="AB1024" s="9">
        <v>0</v>
      </c>
    </row>
    <row r="1025" spans="1:28" x14ac:dyDescent="0.2">
      <c r="A1025" s="10">
        <v>21295</v>
      </c>
      <c r="B1025" s="11" t="s">
        <v>7151</v>
      </c>
      <c r="C1025" s="11" t="s">
        <v>2775</v>
      </c>
      <c r="D1025" s="11" t="s">
        <v>7152</v>
      </c>
      <c r="E1025" s="11" t="s">
        <v>7153</v>
      </c>
      <c r="F1025" s="11" t="s">
        <v>7154</v>
      </c>
      <c r="G1025" s="11" t="s">
        <v>141</v>
      </c>
      <c r="H1025" s="11" t="s">
        <v>142</v>
      </c>
      <c r="I1025" s="11" t="s">
        <v>7155</v>
      </c>
      <c r="J1025" s="11" t="s">
        <v>7156</v>
      </c>
      <c r="K1025" s="11" t="s">
        <v>403</v>
      </c>
      <c r="L1025" s="11" t="s">
        <v>146</v>
      </c>
      <c r="M1025" s="11" t="s">
        <v>7157</v>
      </c>
      <c r="N1025" s="11" t="s">
        <v>128</v>
      </c>
      <c r="O1025" s="11" t="s">
        <v>7158</v>
      </c>
      <c r="P1025" s="11" t="s">
        <v>7159</v>
      </c>
      <c r="Q1025" s="11" t="s">
        <v>150</v>
      </c>
      <c r="R1025" s="11"/>
      <c r="S1025" s="11" t="s">
        <v>71</v>
      </c>
      <c r="T1025" s="11" t="s">
        <v>67</v>
      </c>
      <c r="U1025" s="11" t="s">
        <v>150</v>
      </c>
      <c r="V1025" s="11" t="s">
        <v>152</v>
      </c>
      <c r="W1025" s="11" t="s">
        <v>67</v>
      </c>
      <c r="X1025" s="11">
        <v>46</v>
      </c>
      <c r="Y1025" s="11" t="s">
        <v>5796</v>
      </c>
      <c r="Z1025" s="11">
        <v>80</v>
      </c>
      <c r="AA1025" s="11">
        <v>0</v>
      </c>
      <c r="AB1025" s="12">
        <v>0</v>
      </c>
    </row>
    <row r="1026" spans="1:28" x14ac:dyDescent="0.2">
      <c r="A1026" s="7">
        <v>21257</v>
      </c>
      <c r="B1026" s="8" t="s">
        <v>7160</v>
      </c>
      <c r="C1026" s="8" t="s">
        <v>3791</v>
      </c>
      <c r="D1026" s="8" t="s">
        <v>7161</v>
      </c>
      <c r="E1026" s="8"/>
      <c r="F1026" s="8" t="s">
        <v>3464</v>
      </c>
      <c r="G1026" s="8" t="s">
        <v>450</v>
      </c>
      <c r="H1026" s="8" t="s">
        <v>301</v>
      </c>
      <c r="I1026" s="8" t="s">
        <v>7162</v>
      </c>
      <c r="J1026" s="8" t="s">
        <v>7163</v>
      </c>
      <c r="K1026" s="8" t="s">
        <v>304</v>
      </c>
      <c r="L1026" s="8" t="s">
        <v>229</v>
      </c>
      <c r="M1026" s="8" t="s">
        <v>7164</v>
      </c>
      <c r="N1026" s="8" t="s">
        <v>128</v>
      </c>
      <c r="O1026" s="8" t="s">
        <v>7165</v>
      </c>
      <c r="P1026" s="8" t="s">
        <v>7166</v>
      </c>
      <c r="Q1026" s="8" t="s">
        <v>150</v>
      </c>
      <c r="R1026" s="8"/>
      <c r="S1026" s="8" t="s">
        <v>71</v>
      </c>
      <c r="T1026" s="8" t="s">
        <v>67</v>
      </c>
      <c r="U1026" s="8" t="s">
        <v>150</v>
      </c>
      <c r="V1026" s="8" t="s">
        <v>152</v>
      </c>
      <c r="W1026" s="8" t="s">
        <v>67</v>
      </c>
      <c r="X1026" s="8">
        <v>46</v>
      </c>
      <c r="Y1026" s="8" t="s">
        <v>5796</v>
      </c>
      <c r="Z1026" s="8">
        <v>80</v>
      </c>
      <c r="AA1026" s="8">
        <v>0</v>
      </c>
      <c r="AB1026" s="9">
        <v>0</v>
      </c>
    </row>
    <row r="1027" spans="1:28" x14ac:dyDescent="0.2">
      <c r="A1027" s="10">
        <v>21300</v>
      </c>
      <c r="B1027" s="11" t="s">
        <v>7167</v>
      </c>
      <c r="C1027" s="11" t="s">
        <v>4777</v>
      </c>
      <c r="D1027" s="11" t="s">
        <v>7168</v>
      </c>
      <c r="E1027" s="11"/>
      <c r="F1027" s="11" t="s">
        <v>7169</v>
      </c>
      <c r="G1027" s="11" t="s">
        <v>7170</v>
      </c>
      <c r="H1027" s="11" t="s">
        <v>142</v>
      </c>
      <c r="I1027" s="11" t="s">
        <v>7171</v>
      </c>
      <c r="J1027" s="11" t="s">
        <v>7172</v>
      </c>
      <c r="K1027" s="11" t="s">
        <v>974</v>
      </c>
      <c r="L1027" s="11" t="s">
        <v>146</v>
      </c>
      <c r="M1027" s="11" t="s">
        <v>7173</v>
      </c>
      <c r="N1027" s="11" t="s">
        <v>128</v>
      </c>
      <c r="O1027" s="11" t="s">
        <v>7174</v>
      </c>
      <c r="P1027" s="11" t="s">
        <v>7175</v>
      </c>
      <c r="Q1027" s="11" t="s">
        <v>150</v>
      </c>
      <c r="R1027" s="11"/>
      <c r="S1027" s="11" t="s">
        <v>71</v>
      </c>
      <c r="T1027" s="11" t="s">
        <v>67</v>
      </c>
      <c r="U1027" s="11" t="s">
        <v>150</v>
      </c>
      <c r="V1027" s="11" t="s">
        <v>152</v>
      </c>
      <c r="W1027" s="11" t="s">
        <v>67</v>
      </c>
      <c r="X1027" s="11">
        <v>46</v>
      </c>
      <c r="Y1027" s="11" t="s">
        <v>5796</v>
      </c>
      <c r="Z1027" s="11">
        <v>80</v>
      </c>
      <c r="AA1027" s="11">
        <v>0</v>
      </c>
      <c r="AB1027" s="12">
        <v>0</v>
      </c>
    </row>
    <row r="1028" spans="1:28" x14ac:dyDescent="0.2">
      <c r="A1028" s="7">
        <v>24574</v>
      </c>
      <c r="B1028" s="8" t="s">
        <v>7176</v>
      </c>
      <c r="C1028" s="8" t="s">
        <v>339</v>
      </c>
      <c r="D1028" s="8" t="s">
        <v>340</v>
      </c>
      <c r="E1028" s="8"/>
      <c r="F1028" s="8" t="s">
        <v>7177</v>
      </c>
      <c r="G1028" s="8" t="s">
        <v>328</v>
      </c>
      <c r="H1028" s="8" t="s">
        <v>329</v>
      </c>
      <c r="I1028" s="8" t="s">
        <v>343</v>
      </c>
      <c r="J1028" s="8" t="s">
        <v>7178</v>
      </c>
      <c r="K1028" s="8" t="s">
        <v>332</v>
      </c>
      <c r="L1028" s="8" t="s">
        <v>333</v>
      </c>
      <c r="M1028" s="8" t="s">
        <v>7179</v>
      </c>
      <c r="N1028" s="8" t="s">
        <v>128</v>
      </c>
      <c r="O1028" s="8" t="s">
        <v>7180</v>
      </c>
      <c r="P1028" s="8"/>
      <c r="Q1028" s="8" t="s">
        <v>131</v>
      </c>
      <c r="R1028" s="8"/>
      <c r="S1028" s="8" t="s">
        <v>348</v>
      </c>
      <c r="T1028" s="8" t="s">
        <v>983</v>
      </c>
      <c r="U1028" s="8" t="s">
        <v>134</v>
      </c>
      <c r="V1028" s="8" t="s">
        <v>131</v>
      </c>
      <c r="W1028" s="8" t="s">
        <v>983</v>
      </c>
      <c r="X1028" s="8">
        <v>46</v>
      </c>
      <c r="Y1028" s="8" t="s">
        <v>5796</v>
      </c>
      <c r="Z1028" s="8">
        <v>80</v>
      </c>
      <c r="AA1028" s="8">
        <v>0</v>
      </c>
      <c r="AB1028" s="9">
        <v>0</v>
      </c>
    </row>
    <row r="1029" spans="1:28" x14ac:dyDescent="0.2">
      <c r="A1029" s="10">
        <v>22834</v>
      </c>
      <c r="B1029" s="11" t="s">
        <v>7181</v>
      </c>
      <c r="C1029" s="11" t="s">
        <v>7182</v>
      </c>
      <c r="D1029" s="11" t="s">
        <v>1929</v>
      </c>
      <c r="E1029" s="11"/>
      <c r="F1029" s="11" t="s">
        <v>7183</v>
      </c>
      <c r="G1029" s="11" t="s">
        <v>121</v>
      </c>
      <c r="H1029" s="11" t="s">
        <v>122</v>
      </c>
      <c r="I1029" s="11" t="s">
        <v>7184</v>
      </c>
      <c r="J1029" s="11" t="s">
        <v>7185</v>
      </c>
      <c r="K1029" s="11" t="s">
        <v>125</v>
      </c>
      <c r="L1029" s="11" t="s">
        <v>126</v>
      </c>
      <c r="M1029" s="11" t="s">
        <v>7186</v>
      </c>
      <c r="N1029" s="11" t="s">
        <v>128</v>
      </c>
      <c r="O1029" s="11" t="s">
        <v>7187</v>
      </c>
      <c r="P1029" s="11" t="s">
        <v>7188</v>
      </c>
      <c r="Q1029" s="11" t="s">
        <v>150</v>
      </c>
      <c r="R1029" s="11"/>
      <c r="S1029" s="11" t="s">
        <v>71</v>
      </c>
      <c r="T1029" s="11" t="s">
        <v>7189</v>
      </c>
      <c r="U1029" s="11" t="s">
        <v>150</v>
      </c>
      <c r="V1029" s="11" t="s">
        <v>7189</v>
      </c>
      <c r="W1029" s="11" t="s">
        <v>7189</v>
      </c>
      <c r="X1029" s="11">
        <v>46</v>
      </c>
      <c r="Y1029" s="11" t="s">
        <v>5796</v>
      </c>
      <c r="Z1029" s="11">
        <v>80</v>
      </c>
      <c r="AA1029" s="11">
        <v>0</v>
      </c>
      <c r="AB1029" s="12">
        <v>0</v>
      </c>
    </row>
    <row r="1030" spans="1:28" x14ac:dyDescent="0.2">
      <c r="A1030" s="7">
        <v>23241</v>
      </c>
      <c r="B1030" s="8" t="s">
        <v>7190</v>
      </c>
      <c r="C1030" s="8" t="s">
        <v>6314</v>
      </c>
      <c r="D1030" s="8" t="s">
        <v>4534</v>
      </c>
      <c r="E1030" s="8" t="s">
        <v>7191</v>
      </c>
      <c r="F1030" s="8" t="s">
        <v>2176</v>
      </c>
      <c r="G1030" s="8" t="s">
        <v>141</v>
      </c>
      <c r="H1030" s="8" t="s">
        <v>142</v>
      </c>
      <c r="I1030" s="8" t="s">
        <v>6315</v>
      </c>
      <c r="J1030" s="8" t="s">
        <v>7192</v>
      </c>
      <c r="K1030" s="8" t="s">
        <v>991</v>
      </c>
      <c r="L1030" s="8" t="s">
        <v>146</v>
      </c>
      <c r="M1030" s="8" t="s">
        <v>7193</v>
      </c>
      <c r="N1030" s="8" t="s">
        <v>128</v>
      </c>
      <c r="O1030" s="8" t="s">
        <v>7194</v>
      </c>
      <c r="P1030" s="8" t="s">
        <v>7195</v>
      </c>
      <c r="Q1030" s="8" t="s">
        <v>150</v>
      </c>
      <c r="R1030" s="8"/>
      <c r="S1030" s="8" t="s">
        <v>71</v>
      </c>
      <c r="T1030" s="8" t="s">
        <v>70</v>
      </c>
      <c r="U1030" s="8" t="s">
        <v>150</v>
      </c>
      <c r="V1030" s="8" t="s">
        <v>70</v>
      </c>
      <c r="W1030" s="8" t="s">
        <v>70</v>
      </c>
      <c r="X1030" s="8">
        <v>46</v>
      </c>
      <c r="Y1030" s="8" t="s">
        <v>5796</v>
      </c>
      <c r="Z1030" s="8">
        <v>80</v>
      </c>
      <c r="AA1030" s="8">
        <v>0</v>
      </c>
      <c r="AB1030" s="9">
        <v>0</v>
      </c>
    </row>
    <row r="1031" spans="1:28" x14ac:dyDescent="0.2">
      <c r="A1031" s="10">
        <v>23263</v>
      </c>
      <c r="B1031" s="11" t="s">
        <v>7196</v>
      </c>
      <c r="C1031" s="11" t="s">
        <v>3335</v>
      </c>
      <c r="D1031" s="11" t="s">
        <v>1215</v>
      </c>
      <c r="E1031" s="11" t="s">
        <v>7197</v>
      </c>
      <c r="F1031" s="11" t="s">
        <v>3337</v>
      </c>
      <c r="G1031" s="11" t="s">
        <v>328</v>
      </c>
      <c r="H1031" s="11" t="s">
        <v>329</v>
      </c>
      <c r="I1031" s="11" t="s">
        <v>7198</v>
      </c>
      <c r="J1031" s="11" t="s">
        <v>7199</v>
      </c>
      <c r="K1031" s="11" t="s">
        <v>332</v>
      </c>
      <c r="L1031" s="11" t="s">
        <v>333</v>
      </c>
      <c r="M1031" s="11" t="s">
        <v>7200</v>
      </c>
      <c r="N1031" s="11" t="s">
        <v>128</v>
      </c>
      <c r="O1031" s="11" t="s">
        <v>7201</v>
      </c>
      <c r="P1031" s="11" t="s">
        <v>7202</v>
      </c>
      <c r="Q1031" s="11" t="s">
        <v>150</v>
      </c>
      <c r="R1031" s="11"/>
      <c r="S1031" s="11" t="s">
        <v>7203</v>
      </c>
      <c r="T1031" s="11" t="s">
        <v>70</v>
      </c>
      <c r="U1031" s="11" t="s">
        <v>150</v>
      </c>
      <c r="V1031" s="11" t="s">
        <v>70</v>
      </c>
      <c r="W1031" s="11" t="s">
        <v>70</v>
      </c>
      <c r="X1031" s="11">
        <v>46</v>
      </c>
      <c r="Y1031" s="11" t="s">
        <v>5796</v>
      </c>
      <c r="Z1031" s="11">
        <v>80</v>
      </c>
      <c r="AA1031" s="11">
        <v>0</v>
      </c>
      <c r="AB1031" s="12">
        <v>0</v>
      </c>
    </row>
    <row r="1032" spans="1:28" x14ac:dyDescent="0.2">
      <c r="A1032" s="7">
        <v>23164</v>
      </c>
      <c r="B1032" s="8" t="s">
        <v>7204</v>
      </c>
      <c r="C1032" s="8" t="s">
        <v>7205</v>
      </c>
      <c r="D1032" s="8" t="s">
        <v>7206</v>
      </c>
      <c r="E1032" s="8"/>
      <c r="F1032" s="8" t="s">
        <v>5860</v>
      </c>
      <c r="G1032" s="8" t="s">
        <v>224</v>
      </c>
      <c r="H1032" s="8" t="s">
        <v>225</v>
      </c>
      <c r="I1032" s="8" t="s">
        <v>7207</v>
      </c>
      <c r="J1032" s="8" t="s">
        <v>7208</v>
      </c>
      <c r="K1032" s="8" t="s">
        <v>228</v>
      </c>
      <c r="L1032" s="8" t="s">
        <v>229</v>
      </c>
      <c r="M1032" s="8" t="s">
        <v>7209</v>
      </c>
      <c r="N1032" s="8" t="s">
        <v>128</v>
      </c>
      <c r="O1032" s="8" t="s">
        <v>7210</v>
      </c>
      <c r="P1032" s="8" t="s">
        <v>7211</v>
      </c>
      <c r="Q1032" s="8" t="s">
        <v>150</v>
      </c>
      <c r="R1032" s="8"/>
      <c r="S1032" s="8" t="s">
        <v>71</v>
      </c>
      <c r="T1032" s="8" t="s">
        <v>70</v>
      </c>
      <c r="U1032" s="8" t="s">
        <v>150</v>
      </c>
      <c r="V1032" s="8" t="s">
        <v>70</v>
      </c>
      <c r="W1032" s="8" t="s">
        <v>70</v>
      </c>
      <c r="X1032" s="8">
        <v>46</v>
      </c>
      <c r="Y1032" s="8" t="s">
        <v>5796</v>
      </c>
      <c r="Z1032" s="8">
        <v>80</v>
      </c>
      <c r="AA1032" s="8">
        <v>0</v>
      </c>
      <c r="AB1032" s="9">
        <v>0</v>
      </c>
    </row>
    <row r="1033" spans="1:28" x14ac:dyDescent="0.2">
      <c r="A1033" s="10">
        <v>23443</v>
      </c>
      <c r="B1033" s="11" t="s">
        <v>7212</v>
      </c>
      <c r="C1033" s="11" t="s">
        <v>4603</v>
      </c>
      <c r="D1033" s="11" t="s">
        <v>7213</v>
      </c>
      <c r="E1033" s="11"/>
      <c r="F1033" s="11" t="s">
        <v>353</v>
      </c>
      <c r="G1033" s="11" t="s">
        <v>4606</v>
      </c>
      <c r="H1033" s="11" t="s">
        <v>142</v>
      </c>
      <c r="I1033" s="11" t="s">
        <v>4607</v>
      </c>
      <c r="J1033" s="11" t="s">
        <v>7214</v>
      </c>
      <c r="K1033" s="11" t="s">
        <v>1029</v>
      </c>
      <c r="L1033" s="11" t="s">
        <v>464</v>
      </c>
      <c r="M1033" s="11" t="s">
        <v>7215</v>
      </c>
      <c r="N1033" s="11" t="s">
        <v>128</v>
      </c>
      <c r="O1033" s="11" t="s">
        <v>7216</v>
      </c>
      <c r="P1033" s="11" t="s">
        <v>7217</v>
      </c>
      <c r="Q1033" s="11" t="s">
        <v>150</v>
      </c>
      <c r="R1033" s="11"/>
      <c r="S1033" s="11" t="s">
        <v>71</v>
      </c>
      <c r="T1033" s="11" t="s">
        <v>1415</v>
      </c>
      <c r="U1033" s="11" t="s">
        <v>150</v>
      </c>
      <c r="V1033" s="11" t="s">
        <v>1415</v>
      </c>
      <c r="W1033" s="11" t="s">
        <v>1415</v>
      </c>
      <c r="X1033" s="11">
        <v>46</v>
      </c>
      <c r="Y1033" s="11" t="s">
        <v>5796</v>
      </c>
      <c r="Z1033" s="11">
        <v>80</v>
      </c>
      <c r="AA1033" s="11">
        <v>0</v>
      </c>
      <c r="AB1033" s="12">
        <v>0</v>
      </c>
    </row>
    <row r="1034" spans="1:28" x14ac:dyDescent="0.2">
      <c r="A1034" s="7">
        <v>23696</v>
      </c>
      <c r="B1034" s="8" t="s">
        <v>7218</v>
      </c>
      <c r="C1034" s="8" t="s">
        <v>7219</v>
      </c>
      <c r="D1034" s="8" t="s">
        <v>7220</v>
      </c>
      <c r="E1034" s="8"/>
      <c r="F1034" s="8" t="s">
        <v>353</v>
      </c>
      <c r="G1034" s="8" t="s">
        <v>4831</v>
      </c>
      <c r="H1034" s="8" t="s">
        <v>122</v>
      </c>
      <c r="I1034" s="8" t="s">
        <v>7221</v>
      </c>
      <c r="J1034" s="8" t="s">
        <v>7222</v>
      </c>
      <c r="K1034" s="8" t="s">
        <v>1051</v>
      </c>
      <c r="L1034" s="8" t="s">
        <v>126</v>
      </c>
      <c r="M1034" s="8" t="s">
        <v>7223</v>
      </c>
      <c r="N1034" s="8" t="s">
        <v>128</v>
      </c>
      <c r="O1034" s="8" t="s">
        <v>7224</v>
      </c>
      <c r="P1034" s="8" t="s">
        <v>7225</v>
      </c>
      <c r="Q1034" s="8" t="s">
        <v>150</v>
      </c>
      <c r="R1034" s="8"/>
      <c r="S1034" s="8" t="s">
        <v>71</v>
      </c>
      <c r="T1034" s="8" t="s">
        <v>168</v>
      </c>
      <c r="U1034" s="8" t="s">
        <v>150</v>
      </c>
      <c r="V1034" s="8" t="s">
        <v>168</v>
      </c>
      <c r="W1034" s="8" t="s">
        <v>168</v>
      </c>
      <c r="X1034" s="8">
        <v>46</v>
      </c>
      <c r="Y1034" s="8" t="s">
        <v>5796</v>
      </c>
      <c r="Z1034" s="8">
        <v>80</v>
      </c>
      <c r="AA1034" s="8">
        <v>0</v>
      </c>
      <c r="AB1034" s="9">
        <v>0</v>
      </c>
    </row>
    <row r="1035" spans="1:28" x14ac:dyDescent="0.2">
      <c r="A1035" s="10">
        <v>92252</v>
      </c>
      <c r="B1035" s="11" t="s">
        <v>7226</v>
      </c>
      <c r="C1035" s="11" t="s">
        <v>7227</v>
      </c>
      <c r="D1035" s="11" t="s">
        <v>6368</v>
      </c>
      <c r="E1035" s="11"/>
      <c r="F1035" s="11" t="s">
        <v>353</v>
      </c>
      <c r="G1035" s="11" t="s">
        <v>7228</v>
      </c>
      <c r="H1035" s="11" t="s">
        <v>329</v>
      </c>
      <c r="I1035" s="11" t="s">
        <v>1834</v>
      </c>
      <c r="J1035" s="11" t="s">
        <v>7229</v>
      </c>
      <c r="K1035" s="11" t="s">
        <v>431</v>
      </c>
      <c r="L1035" s="11" t="s">
        <v>333</v>
      </c>
      <c r="M1035" s="11" t="s">
        <v>7230</v>
      </c>
      <c r="N1035" s="11" t="s">
        <v>128</v>
      </c>
      <c r="O1035" s="11" t="s">
        <v>7231</v>
      </c>
      <c r="P1035" s="11" t="s">
        <v>7232</v>
      </c>
      <c r="Q1035" s="11" t="s">
        <v>150</v>
      </c>
      <c r="R1035" s="11"/>
      <c r="S1035" s="11" t="s">
        <v>71</v>
      </c>
      <c r="T1035" s="11" t="s">
        <v>168</v>
      </c>
      <c r="U1035" s="11" t="s">
        <v>150</v>
      </c>
      <c r="V1035" s="11" t="s">
        <v>168</v>
      </c>
      <c r="W1035" s="11" t="s">
        <v>168</v>
      </c>
      <c r="X1035" s="11">
        <v>46</v>
      </c>
      <c r="Y1035" s="11" t="s">
        <v>5796</v>
      </c>
      <c r="Z1035" s="11">
        <v>80</v>
      </c>
      <c r="AA1035" s="11">
        <v>0</v>
      </c>
      <c r="AB1035" s="12">
        <v>0</v>
      </c>
    </row>
    <row r="1036" spans="1:28" x14ac:dyDescent="0.2">
      <c r="A1036" s="7">
        <v>22633</v>
      </c>
      <c r="B1036" s="8" t="s">
        <v>7233</v>
      </c>
      <c r="C1036" s="8" t="s">
        <v>798</v>
      </c>
      <c r="D1036" s="8" t="s">
        <v>799</v>
      </c>
      <c r="E1036" s="8" t="s">
        <v>1378</v>
      </c>
      <c r="F1036" s="8" t="s">
        <v>237</v>
      </c>
      <c r="G1036" s="8" t="s">
        <v>158</v>
      </c>
      <c r="H1036" s="8" t="s">
        <v>159</v>
      </c>
      <c r="I1036" s="8" t="s">
        <v>801</v>
      </c>
      <c r="J1036" s="8" t="s">
        <v>802</v>
      </c>
      <c r="K1036" s="8" t="s">
        <v>274</v>
      </c>
      <c r="L1036" s="8" t="s">
        <v>163</v>
      </c>
      <c r="M1036" s="8" t="s">
        <v>7234</v>
      </c>
      <c r="N1036" s="8" t="s">
        <v>128</v>
      </c>
      <c r="O1036" s="8" t="s">
        <v>7235</v>
      </c>
      <c r="P1036" s="8" t="s">
        <v>7236</v>
      </c>
      <c r="Q1036" s="8" t="s">
        <v>150</v>
      </c>
      <c r="R1036" s="8"/>
      <c r="S1036" s="8" t="s">
        <v>806</v>
      </c>
      <c r="T1036" s="8" t="s">
        <v>289</v>
      </c>
      <c r="U1036" s="8" t="s">
        <v>150</v>
      </c>
      <c r="V1036" s="8" t="s">
        <v>289</v>
      </c>
      <c r="W1036" s="8" t="s">
        <v>289</v>
      </c>
      <c r="X1036" s="8">
        <v>45</v>
      </c>
      <c r="Y1036" s="8" t="s">
        <v>5796</v>
      </c>
      <c r="Z1036" s="8">
        <v>80</v>
      </c>
      <c r="AA1036" s="8">
        <v>0</v>
      </c>
      <c r="AB1036" s="9">
        <v>0</v>
      </c>
    </row>
    <row r="1037" spans="1:28" x14ac:dyDescent="0.2">
      <c r="A1037" s="10">
        <v>21281</v>
      </c>
      <c r="B1037" s="11" t="s">
        <v>7237</v>
      </c>
      <c r="C1037" s="11" t="s">
        <v>6953</v>
      </c>
      <c r="D1037" s="11" t="s">
        <v>6954</v>
      </c>
      <c r="E1037" s="11" t="s">
        <v>7238</v>
      </c>
      <c r="F1037" s="11" t="s">
        <v>6956</v>
      </c>
      <c r="G1037" s="11" t="s">
        <v>2332</v>
      </c>
      <c r="H1037" s="11" t="s">
        <v>142</v>
      </c>
      <c r="I1037" s="11" t="s">
        <v>6957</v>
      </c>
      <c r="J1037" s="11" t="s">
        <v>6958</v>
      </c>
      <c r="K1037" s="11" t="s">
        <v>779</v>
      </c>
      <c r="L1037" s="11" t="s">
        <v>464</v>
      </c>
      <c r="M1037" s="11" t="s">
        <v>7239</v>
      </c>
      <c r="N1037" s="11" t="s">
        <v>128</v>
      </c>
      <c r="O1037" s="11" t="s">
        <v>7240</v>
      </c>
      <c r="P1037" s="11" t="s">
        <v>7241</v>
      </c>
      <c r="Q1037" s="11" t="s">
        <v>150</v>
      </c>
      <c r="R1037" s="11"/>
      <c r="S1037" s="11" t="s">
        <v>6961</v>
      </c>
      <c r="T1037" s="11" t="s">
        <v>67</v>
      </c>
      <c r="U1037" s="11" t="s">
        <v>150</v>
      </c>
      <c r="V1037" s="11" t="s">
        <v>152</v>
      </c>
      <c r="W1037" s="11" t="s">
        <v>67</v>
      </c>
      <c r="X1037" s="11">
        <v>45</v>
      </c>
      <c r="Y1037" s="11" t="s">
        <v>5796</v>
      </c>
      <c r="Z1037" s="11">
        <v>80</v>
      </c>
      <c r="AA1037" s="11">
        <v>0</v>
      </c>
      <c r="AB1037" s="12">
        <v>0</v>
      </c>
    </row>
    <row r="1038" spans="1:28" x14ac:dyDescent="0.2">
      <c r="A1038" s="7">
        <v>22671</v>
      </c>
      <c r="B1038" s="8" t="s">
        <v>7242</v>
      </c>
      <c r="C1038" s="8" t="s">
        <v>2042</v>
      </c>
      <c r="D1038" s="8" t="s">
        <v>7243</v>
      </c>
      <c r="E1038" s="8"/>
      <c r="F1038" s="8" t="s">
        <v>353</v>
      </c>
      <c r="G1038" s="8" t="s">
        <v>1026</v>
      </c>
      <c r="H1038" s="8" t="s">
        <v>142</v>
      </c>
      <c r="I1038" s="8" t="s">
        <v>2045</v>
      </c>
      <c r="J1038" s="8" t="s">
        <v>7244</v>
      </c>
      <c r="K1038" s="8" t="s">
        <v>1029</v>
      </c>
      <c r="L1038" s="8" t="s">
        <v>464</v>
      </c>
      <c r="M1038" s="8" t="s">
        <v>7245</v>
      </c>
      <c r="N1038" s="8" t="s">
        <v>128</v>
      </c>
      <c r="O1038" s="8" t="s">
        <v>7246</v>
      </c>
      <c r="P1038" s="8"/>
      <c r="Q1038" s="8" t="s">
        <v>131</v>
      </c>
      <c r="R1038" s="8"/>
      <c r="S1038" s="8" t="s">
        <v>71</v>
      </c>
      <c r="T1038" s="8" t="s">
        <v>983</v>
      </c>
      <c r="U1038" s="8" t="s">
        <v>134</v>
      </c>
      <c r="V1038" s="8" t="s">
        <v>131</v>
      </c>
      <c r="W1038" s="8" t="s">
        <v>983</v>
      </c>
      <c r="X1038" s="8">
        <v>45</v>
      </c>
      <c r="Y1038" s="8" t="s">
        <v>5796</v>
      </c>
      <c r="Z1038" s="8">
        <v>80</v>
      </c>
      <c r="AA1038" s="8">
        <v>0</v>
      </c>
      <c r="AB1038" s="9">
        <v>0</v>
      </c>
    </row>
    <row r="1039" spans="1:28" x14ac:dyDescent="0.2">
      <c r="A1039" s="10">
        <v>22016</v>
      </c>
      <c r="B1039" s="11" t="s">
        <v>7247</v>
      </c>
      <c r="C1039" s="11" t="s">
        <v>7248</v>
      </c>
      <c r="D1039" s="11" t="s">
        <v>277</v>
      </c>
      <c r="E1039" s="11"/>
      <c r="F1039" s="11" t="s">
        <v>353</v>
      </c>
      <c r="G1039" s="11" t="s">
        <v>1438</v>
      </c>
      <c r="H1039" s="11" t="s">
        <v>122</v>
      </c>
      <c r="I1039" s="11" t="s">
        <v>7249</v>
      </c>
      <c r="J1039" s="11" t="s">
        <v>7250</v>
      </c>
      <c r="K1039" s="11" t="s">
        <v>125</v>
      </c>
      <c r="L1039" s="11" t="s">
        <v>126</v>
      </c>
      <c r="M1039" s="11" t="s">
        <v>7251</v>
      </c>
      <c r="N1039" s="11" t="s">
        <v>128</v>
      </c>
      <c r="O1039" s="11" t="s">
        <v>7252</v>
      </c>
      <c r="P1039" s="11" t="s">
        <v>7253</v>
      </c>
      <c r="Q1039" s="11" t="s">
        <v>131</v>
      </c>
      <c r="R1039" s="11"/>
      <c r="S1039" s="11" t="s">
        <v>71</v>
      </c>
      <c r="T1039" s="11" t="s">
        <v>133</v>
      </c>
      <c r="U1039" s="11" t="s">
        <v>134</v>
      </c>
      <c r="V1039" s="11" t="s">
        <v>131</v>
      </c>
      <c r="W1039" s="11" t="s">
        <v>133</v>
      </c>
      <c r="X1039" s="11">
        <v>45</v>
      </c>
      <c r="Y1039" s="11" t="s">
        <v>5796</v>
      </c>
      <c r="Z1039" s="11">
        <v>80</v>
      </c>
      <c r="AA1039" s="11">
        <v>0</v>
      </c>
      <c r="AB1039" s="12">
        <v>0</v>
      </c>
    </row>
    <row r="1040" spans="1:28" x14ac:dyDescent="0.2">
      <c r="A1040" s="7">
        <v>107227</v>
      </c>
      <c r="B1040" s="8" t="s">
        <v>7254</v>
      </c>
      <c r="C1040" s="8" t="s">
        <v>7009</v>
      </c>
      <c r="D1040" s="8" t="s">
        <v>7010</v>
      </c>
      <c r="E1040" s="8" t="s">
        <v>7255</v>
      </c>
      <c r="F1040" s="8" t="s">
        <v>7011</v>
      </c>
      <c r="G1040" s="8" t="s">
        <v>328</v>
      </c>
      <c r="H1040" s="8" t="s">
        <v>329</v>
      </c>
      <c r="I1040" s="8" t="s">
        <v>7012</v>
      </c>
      <c r="J1040" s="8" t="s">
        <v>7013</v>
      </c>
      <c r="K1040" s="8" t="s">
        <v>332</v>
      </c>
      <c r="L1040" s="8" t="s">
        <v>333</v>
      </c>
      <c r="M1040" s="8" t="s">
        <v>7256</v>
      </c>
      <c r="N1040" s="8" t="s">
        <v>128</v>
      </c>
      <c r="O1040" s="8" t="s">
        <v>7257</v>
      </c>
      <c r="P1040" s="8" t="s">
        <v>7258</v>
      </c>
      <c r="Q1040" s="8" t="s">
        <v>150</v>
      </c>
      <c r="R1040" s="8"/>
      <c r="S1040" s="8" t="s">
        <v>7017</v>
      </c>
      <c r="T1040" s="8" t="s">
        <v>70</v>
      </c>
      <c r="U1040" s="8" t="s">
        <v>150</v>
      </c>
      <c r="V1040" s="8" t="s">
        <v>70</v>
      </c>
      <c r="W1040" s="8" t="s">
        <v>70</v>
      </c>
      <c r="X1040" s="8">
        <v>45</v>
      </c>
      <c r="Y1040" s="8" t="s">
        <v>5796</v>
      </c>
      <c r="Z1040" s="8">
        <v>80</v>
      </c>
      <c r="AA1040" s="8">
        <v>0</v>
      </c>
      <c r="AB1040" s="9">
        <v>0</v>
      </c>
    </row>
    <row r="1041" spans="1:28" x14ac:dyDescent="0.2">
      <c r="A1041" s="10">
        <v>22869</v>
      </c>
      <c r="B1041" s="11" t="s">
        <v>7259</v>
      </c>
      <c r="C1041" s="11" t="s">
        <v>7260</v>
      </c>
      <c r="D1041" s="11" t="s">
        <v>7261</v>
      </c>
      <c r="E1041" s="11"/>
      <c r="F1041" s="11" t="s">
        <v>353</v>
      </c>
      <c r="G1041" s="11" t="s">
        <v>776</v>
      </c>
      <c r="H1041" s="11" t="s">
        <v>142</v>
      </c>
      <c r="I1041" s="11" t="s">
        <v>777</v>
      </c>
      <c r="J1041" s="11" t="s">
        <v>7262</v>
      </c>
      <c r="K1041" s="11" t="s">
        <v>779</v>
      </c>
      <c r="L1041" s="11" t="s">
        <v>464</v>
      </c>
      <c r="M1041" s="11" t="s">
        <v>7263</v>
      </c>
      <c r="N1041" s="11" t="s">
        <v>128</v>
      </c>
      <c r="O1041" s="11" t="s">
        <v>7264</v>
      </c>
      <c r="P1041" s="11" t="s">
        <v>7265</v>
      </c>
      <c r="Q1041" s="11" t="s">
        <v>150</v>
      </c>
      <c r="R1041" s="11"/>
      <c r="S1041" s="11" t="s">
        <v>71</v>
      </c>
      <c r="T1041" s="11" t="s">
        <v>70</v>
      </c>
      <c r="U1041" s="11" t="s">
        <v>150</v>
      </c>
      <c r="V1041" s="11" t="s">
        <v>70</v>
      </c>
      <c r="W1041" s="11" t="s">
        <v>70</v>
      </c>
      <c r="X1041" s="11">
        <v>45</v>
      </c>
      <c r="Y1041" s="11" t="s">
        <v>5796</v>
      </c>
      <c r="Z1041" s="11">
        <v>80</v>
      </c>
      <c r="AA1041" s="11">
        <v>0</v>
      </c>
      <c r="AB1041" s="12">
        <v>0</v>
      </c>
    </row>
    <row r="1042" spans="1:28" x14ac:dyDescent="0.2">
      <c r="A1042" s="7">
        <v>23964</v>
      </c>
      <c r="B1042" s="8" t="s">
        <v>7266</v>
      </c>
      <c r="C1042" s="8" t="s">
        <v>7267</v>
      </c>
      <c r="D1042" s="8" t="s">
        <v>7268</v>
      </c>
      <c r="E1042" s="8" t="s">
        <v>7269</v>
      </c>
      <c r="F1042" s="8" t="s">
        <v>353</v>
      </c>
      <c r="G1042" s="8" t="s">
        <v>1026</v>
      </c>
      <c r="H1042" s="8" t="s">
        <v>142</v>
      </c>
      <c r="I1042" s="8" t="s">
        <v>7270</v>
      </c>
      <c r="J1042" s="8" t="s">
        <v>7271</v>
      </c>
      <c r="K1042" s="8" t="s">
        <v>1029</v>
      </c>
      <c r="L1042" s="8" t="s">
        <v>464</v>
      </c>
      <c r="M1042" s="8" t="s">
        <v>7272</v>
      </c>
      <c r="N1042" s="8" t="s">
        <v>128</v>
      </c>
      <c r="O1042" s="8" t="s">
        <v>7273</v>
      </c>
      <c r="P1042" s="8" t="s">
        <v>7274</v>
      </c>
      <c r="Q1042" s="8" t="s">
        <v>150</v>
      </c>
      <c r="R1042" s="8"/>
      <c r="S1042" s="8" t="s">
        <v>71</v>
      </c>
      <c r="T1042" s="8" t="s">
        <v>168</v>
      </c>
      <c r="U1042" s="8" t="s">
        <v>150</v>
      </c>
      <c r="V1042" s="8" t="s">
        <v>168</v>
      </c>
      <c r="W1042" s="8" t="s">
        <v>168</v>
      </c>
      <c r="X1042" s="8">
        <v>45</v>
      </c>
      <c r="Y1042" s="8" t="s">
        <v>5796</v>
      </c>
      <c r="Z1042" s="8">
        <v>80</v>
      </c>
      <c r="AA1042" s="8">
        <v>0</v>
      </c>
      <c r="AB1042" s="9">
        <v>0</v>
      </c>
    </row>
    <row r="1043" spans="1:28" x14ac:dyDescent="0.2">
      <c r="A1043" s="10">
        <v>25493</v>
      </c>
      <c r="B1043" s="11" t="s">
        <v>7275</v>
      </c>
      <c r="C1043" s="11" t="s">
        <v>137</v>
      </c>
      <c r="D1043" s="11" t="s">
        <v>138</v>
      </c>
      <c r="E1043" s="11" t="s">
        <v>7276</v>
      </c>
      <c r="F1043" s="11" t="s">
        <v>140</v>
      </c>
      <c r="G1043" s="11" t="s">
        <v>141</v>
      </c>
      <c r="H1043" s="11" t="s">
        <v>142</v>
      </c>
      <c r="I1043" s="11" t="s">
        <v>7277</v>
      </c>
      <c r="J1043" s="11" t="s">
        <v>144</v>
      </c>
      <c r="K1043" s="11" t="s">
        <v>145</v>
      </c>
      <c r="L1043" s="11" t="s">
        <v>146</v>
      </c>
      <c r="M1043" s="11" t="s">
        <v>7278</v>
      </c>
      <c r="N1043" s="11" t="s">
        <v>128</v>
      </c>
      <c r="O1043" s="11" t="s">
        <v>7279</v>
      </c>
      <c r="P1043" s="11" t="s">
        <v>7280</v>
      </c>
      <c r="Q1043" s="11" t="s">
        <v>249</v>
      </c>
      <c r="R1043" s="11"/>
      <c r="S1043" s="11" t="s">
        <v>151</v>
      </c>
      <c r="T1043" s="11" t="s">
        <v>250</v>
      </c>
      <c r="U1043" s="11" t="s">
        <v>134</v>
      </c>
      <c r="V1043" s="11" t="s">
        <v>249</v>
      </c>
      <c r="W1043" s="11" t="s">
        <v>250</v>
      </c>
      <c r="X1043" s="11">
        <v>45</v>
      </c>
      <c r="Y1043" s="11" t="s">
        <v>5796</v>
      </c>
      <c r="Z1043" s="11">
        <v>80</v>
      </c>
      <c r="AA1043" s="11">
        <v>0</v>
      </c>
      <c r="AB1043" s="12">
        <v>0</v>
      </c>
    </row>
    <row r="1044" spans="1:28" x14ac:dyDescent="0.2">
      <c r="A1044" s="7">
        <v>21676</v>
      </c>
      <c r="B1044" s="8" t="s">
        <v>7281</v>
      </c>
      <c r="C1044" s="8" t="s">
        <v>7282</v>
      </c>
      <c r="D1044" s="8" t="s">
        <v>3005</v>
      </c>
      <c r="E1044" s="8" t="s">
        <v>7283</v>
      </c>
      <c r="F1044" s="8" t="s">
        <v>353</v>
      </c>
      <c r="G1044" s="8" t="s">
        <v>3259</v>
      </c>
      <c r="H1044" s="8" t="s">
        <v>557</v>
      </c>
      <c r="I1044" s="8" t="s">
        <v>7284</v>
      </c>
      <c r="J1044" s="8" t="s">
        <v>7285</v>
      </c>
      <c r="K1044" s="8" t="s">
        <v>1562</v>
      </c>
      <c r="L1044" s="8" t="s">
        <v>229</v>
      </c>
      <c r="M1044" s="8" t="s">
        <v>7286</v>
      </c>
      <c r="N1044" s="8" t="s">
        <v>128</v>
      </c>
      <c r="O1044" s="8" t="s">
        <v>7287</v>
      </c>
      <c r="P1044" s="8" t="s">
        <v>7288</v>
      </c>
      <c r="Q1044" s="8" t="s">
        <v>150</v>
      </c>
      <c r="R1044" s="8"/>
      <c r="S1044" s="8" t="s">
        <v>71</v>
      </c>
      <c r="T1044" s="8" t="s">
        <v>67</v>
      </c>
      <c r="U1044" s="8" t="s">
        <v>150</v>
      </c>
      <c r="V1044" s="8" t="s">
        <v>152</v>
      </c>
      <c r="W1044" s="8" t="s">
        <v>67</v>
      </c>
      <c r="X1044" s="8">
        <v>44</v>
      </c>
      <c r="Y1044" s="8" t="s">
        <v>5796</v>
      </c>
      <c r="Z1044" s="8">
        <v>80</v>
      </c>
      <c r="AA1044" s="8">
        <v>0</v>
      </c>
      <c r="AB1044" s="9">
        <v>0</v>
      </c>
    </row>
    <row r="1045" spans="1:28" x14ac:dyDescent="0.2">
      <c r="A1045" s="10">
        <v>125872</v>
      </c>
      <c r="B1045" s="11" t="s">
        <v>7289</v>
      </c>
      <c r="C1045" s="11" t="s">
        <v>7290</v>
      </c>
      <c r="D1045" s="11" t="s">
        <v>341</v>
      </c>
      <c r="E1045" s="11" t="s">
        <v>7291</v>
      </c>
      <c r="F1045" s="11" t="s">
        <v>2073</v>
      </c>
      <c r="G1045" s="11" t="s">
        <v>328</v>
      </c>
      <c r="H1045" s="11" t="s">
        <v>329</v>
      </c>
      <c r="I1045" s="11" t="s">
        <v>7292</v>
      </c>
      <c r="J1045" s="11" t="s">
        <v>7293</v>
      </c>
      <c r="K1045" s="11" t="s">
        <v>332</v>
      </c>
      <c r="L1045" s="11" t="s">
        <v>333</v>
      </c>
      <c r="M1045" s="11" t="s">
        <v>7294</v>
      </c>
      <c r="N1045" s="11" t="s">
        <v>128</v>
      </c>
      <c r="O1045" s="11" t="s">
        <v>7295</v>
      </c>
      <c r="P1045" s="11" t="s">
        <v>7296</v>
      </c>
      <c r="Q1045" s="11" t="s">
        <v>150</v>
      </c>
      <c r="R1045" s="11"/>
      <c r="S1045" s="11" t="s">
        <v>7297</v>
      </c>
      <c r="T1045" s="11" t="s">
        <v>70</v>
      </c>
      <c r="U1045" s="11" t="s">
        <v>150</v>
      </c>
      <c r="V1045" s="11" t="s">
        <v>70</v>
      </c>
      <c r="W1045" s="11" t="s">
        <v>70</v>
      </c>
      <c r="X1045" s="11">
        <v>44</v>
      </c>
      <c r="Y1045" s="11" t="s">
        <v>5796</v>
      </c>
      <c r="Z1045" s="11">
        <v>80</v>
      </c>
      <c r="AA1045" s="11">
        <v>0</v>
      </c>
      <c r="AB1045" s="12">
        <v>0</v>
      </c>
    </row>
    <row r="1046" spans="1:28" x14ac:dyDescent="0.2">
      <c r="A1046" s="7">
        <v>23447</v>
      </c>
      <c r="B1046" s="8" t="s">
        <v>7298</v>
      </c>
      <c r="C1046" s="8" t="s">
        <v>7299</v>
      </c>
      <c r="D1046" s="8" t="s">
        <v>7300</v>
      </c>
      <c r="E1046" s="8"/>
      <c r="F1046" s="8" t="s">
        <v>353</v>
      </c>
      <c r="G1046" s="8" t="s">
        <v>7116</v>
      </c>
      <c r="H1046" s="8" t="s">
        <v>142</v>
      </c>
      <c r="I1046" s="8" t="s">
        <v>7301</v>
      </c>
      <c r="J1046" s="8" t="s">
        <v>7302</v>
      </c>
      <c r="K1046" s="8" t="s">
        <v>1199</v>
      </c>
      <c r="L1046" s="8" t="s">
        <v>464</v>
      </c>
      <c r="M1046" s="8" t="s">
        <v>7303</v>
      </c>
      <c r="N1046" s="8" t="s">
        <v>128</v>
      </c>
      <c r="O1046" s="8" t="s">
        <v>7304</v>
      </c>
      <c r="P1046" s="8" t="s">
        <v>7305</v>
      </c>
      <c r="Q1046" s="8" t="s">
        <v>150</v>
      </c>
      <c r="R1046" s="8"/>
      <c r="S1046" s="8" t="s">
        <v>71</v>
      </c>
      <c r="T1046" s="8" t="s">
        <v>1415</v>
      </c>
      <c r="U1046" s="8" t="s">
        <v>150</v>
      </c>
      <c r="V1046" s="8" t="s">
        <v>1415</v>
      </c>
      <c r="W1046" s="8" t="s">
        <v>1415</v>
      </c>
      <c r="X1046" s="8">
        <v>44</v>
      </c>
      <c r="Y1046" s="8" t="s">
        <v>5796</v>
      </c>
      <c r="Z1046" s="8">
        <v>80</v>
      </c>
      <c r="AA1046" s="8">
        <v>0</v>
      </c>
      <c r="AB1046" s="9">
        <v>0</v>
      </c>
    </row>
    <row r="1047" spans="1:28" x14ac:dyDescent="0.2">
      <c r="A1047" s="10">
        <v>23610</v>
      </c>
      <c r="B1047" s="11" t="s">
        <v>7306</v>
      </c>
      <c r="C1047" s="11" t="s">
        <v>7307</v>
      </c>
      <c r="D1047" s="11" t="s">
        <v>3539</v>
      </c>
      <c r="E1047" s="11" t="s">
        <v>281</v>
      </c>
      <c r="F1047" s="11" t="s">
        <v>7308</v>
      </c>
      <c r="G1047" s="11" t="s">
        <v>6409</v>
      </c>
      <c r="H1047" s="11" t="s">
        <v>6410</v>
      </c>
      <c r="I1047" s="11" t="s">
        <v>7309</v>
      </c>
      <c r="J1047" s="11" t="s">
        <v>7310</v>
      </c>
      <c r="K1047" s="11" t="s">
        <v>1956</v>
      </c>
      <c r="L1047" s="11" t="s">
        <v>526</v>
      </c>
      <c r="M1047" s="11" t="s">
        <v>7311</v>
      </c>
      <c r="N1047" s="11" t="s">
        <v>128</v>
      </c>
      <c r="O1047" s="11" t="s">
        <v>7312</v>
      </c>
      <c r="P1047" s="11" t="s">
        <v>7313</v>
      </c>
      <c r="Q1047" s="11" t="s">
        <v>150</v>
      </c>
      <c r="R1047" s="11"/>
      <c r="S1047" s="11" t="s">
        <v>7314</v>
      </c>
      <c r="T1047" s="11" t="s">
        <v>168</v>
      </c>
      <c r="U1047" s="11" t="s">
        <v>150</v>
      </c>
      <c r="V1047" s="11" t="s">
        <v>168</v>
      </c>
      <c r="W1047" s="11" t="s">
        <v>168</v>
      </c>
      <c r="X1047" s="11">
        <v>44</v>
      </c>
      <c r="Y1047" s="11" t="s">
        <v>5796</v>
      </c>
      <c r="Z1047" s="11">
        <v>80</v>
      </c>
      <c r="AA1047" s="11">
        <v>0</v>
      </c>
      <c r="AB1047" s="12">
        <v>0</v>
      </c>
    </row>
    <row r="1048" spans="1:28" x14ac:dyDescent="0.2">
      <c r="A1048" s="7">
        <v>23697</v>
      </c>
      <c r="B1048" s="8" t="s">
        <v>7315</v>
      </c>
      <c r="C1048" s="8" t="s">
        <v>7219</v>
      </c>
      <c r="D1048" s="8" t="s">
        <v>7316</v>
      </c>
      <c r="E1048" s="8"/>
      <c r="F1048" s="8" t="s">
        <v>353</v>
      </c>
      <c r="G1048" s="8" t="s">
        <v>4831</v>
      </c>
      <c r="H1048" s="8" t="s">
        <v>122</v>
      </c>
      <c r="I1048" s="8" t="s">
        <v>7221</v>
      </c>
      <c r="J1048" s="8" t="s">
        <v>7317</v>
      </c>
      <c r="K1048" s="8" t="s">
        <v>1051</v>
      </c>
      <c r="L1048" s="8" t="s">
        <v>126</v>
      </c>
      <c r="M1048" s="8" t="s">
        <v>7318</v>
      </c>
      <c r="N1048" s="8" t="s">
        <v>128</v>
      </c>
      <c r="O1048" s="8" t="s">
        <v>7319</v>
      </c>
      <c r="P1048" s="8" t="s">
        <v>1299</v>
      </c>
      <c r="Q1048" s="8" t="s">
        <v>150</v>
      </c>
      <c r="R1048" s="8"/>
      <c r="S1048" s="8" t="s">
        <v>71</v>
      </c>
      <c r="T1048" s="8" t="s">
        <v>168</v>
      </c>
      <c r="U1048" s="8" t="s">
        <v>150</v>
      </c>
      <c r="V1048" s="8" t="s">
        <v>168</v>
      </c>
      <c r="W1048" s="8" t="s">
        <v>168</v>
      </c>
      <c r="X1048" s="8">
        <v>44</v>
      </c>
      <c r="Y1048" s="8" t="s">
        <v>5796</v>
      </c>
      <c r="Z1048" s="8">
        <v>80</v>
      </c>
      <c r="AA1048" s="8">
        <v>0</v>
      </c>
      <c r="AB1048" s="9">
        <v>0</v>
      </c>
    </row>
    <row r="1049" spans="1:28" x14ac:dyDescent="0.2">
      <c r="A1049" s="10">
        <v>23898</v>
      </c>
      <c r="B1049" s="11" t="s">
        <v>7320</v>
      </c>
      <c r="C1049" s="11" t="s">
        <v>3909</v>
      </c>
      <c r="D1049" s="11" t="s">
        <v>7321</v>
      </c>
      <c r="E1049" s="11"/>
      <c r="F1049" s="11" t="s">
        <v>353</v>
      </c>
      <c r="G1049" s="11" t="s">
        <v>3912</v>
      </c>
      <c r="H1049" s="11" t="s">
        <v>557</v>
      </c>
      <c r="I1049" s="11" t="s">
        <v>7322</v>
      </c>
      <c r="J1049" s="11" t="s">
        <v>7323</v>
      </c>
      <c r="K1049" s="11" t="s">
        <v>1562</v>
      </c>
      <c r="L1049" s="11" t="s">
        <v>229</v>
      </c>
      <c r="M1049" s="11" t="s">
        <v>7324</v>
      </c>
      <c r="N1049" s="11" t="s">
        <v>128</v>
      </c>
      <c r="O1049" s="11" t="s">
        <v>7325</v>
      </c>
      <c r="P1049" s="11" t="s">
        <v>7326</v>
      </c>
      <c r="Q1049" s="11" t="s">
        <v>150</v>
      </c>
      <c r="R1049" s="11"/>
      <c r="S1049" s="11" t="s">
        <v>71</v>
      </c>
      <c r="T1049" s="11" t="s">
        <v>168</v>
      </c>
      <c r="U1049" s="11" t="s">
        <v>150</v>
      </c>
      <c r="V1049" s="11" t="s">
        <v>168</v>
      </c>
      <c r="W1049" s="11" t="s">
        <v>168</v>
      </c>
      <c r="X1049" s="11">
        <v>44</v>
      </c>
      <c r="Y1049" s="11" t="s">
        <v>5796</v>
      </c>
      <c r="Z1049" s="11">
        <v>80</v>
      </c>
      <c r="AA1049" s="11">
        <v>0</v>
      </c>
      <c r="AB1049" s="12">
        <v>0</v>
      </c>
    </row>
    <row r="1050" spans="1:28" x14ac:dyDescent="0.2">
      <c r="A1050" s="7">
        <v>214584</v>
      </c>
      <c r="B1050" s="8" t="s">
        <v>7327</v>
      </c>
      <c r="C1050" s="8" t="s">
        <v>7328</v>
      </c>
      <c r="D1050" s="8" t="s">
        <v>4787</v>
      </c>
      <c r="E1050" s="8"/>
      <c r="F1050" s="8" t="s">
        <v>353</v>
      </c>
      <c r="G1050" s="8" t="s">
        <v>7329</v>
      </c>
      <c r="H1050" s="8" t="s">
        <v>1953</v>
      </c>
      <c r="I1050" s="8" t="s">
        <v>7330</v>
      </c>
      <c r="J1050" s="8" t="s">
        <v>7331</v>
      </c>
      <c r="K1050" s="8" t="s">
        <v>1956</v>
      </c>
      <c r="L1050" s="8" t="s">
        <v>526</v>
      </c>
      <c r="M1050" s="8" t="s">
        <v>7332</v>
      </c>
      <c r="N1050" s="8" t="s">
        <v>128</v>
      </c>
      <c r="O1050" s="8" t="s">
        <v>7333</v>
      </c>
      <c r="P1050" s="8" t="s">
        <v>7334</v>
      </c>
      <c r="Q1050" s="8" t="s">
        <v>150</v>
      </c>
      <c r="R1050" s="8"/>
      <c r="S1050" s="8" t="s">
        <v>71</v>
      </c>
      <c r="T1050" s="8" t="s">
        <v>168</v>
      </c>
      <c r="U1050" s="8" t="s">
        <v>150</v>
      </c>
      <c r="V1050" s="8" t="s">
        <v>168</v>
      </c>
      <c r="W1050" s="8" t="s">
        <v>168</v>
      </c>
      <c r="X1050" s="8">
        <v>44</v>
      </c>
      <c r="Y1050" s="8" t="s">
        <v>5796</v>
      </c>
      <c r="Z1050" s="8">
        <v>80</v>
      </c>
      <c r="AA1050" s="8">
        <v>0</v>
      </c>
      <c r="AB1050" s="9">
        <v>0</v>
      </c>
    </row>
    <row r="1051" spans="1:28" x14ac:dyDescent="0.2">
      <c r="A1051" s="10">
        <v>24699</v>
      </c>
      <c r="B1051" s="11" t="s">
        <v>7335</v>
      </c>
      <c r="C1051" s="11" t="s">
        <v>1436</v>
      </c>
      <c r="D1051" s="11" t="s">
        <v>7326</v>
      </c>
      <c r="E1051" s="11"/>
      <c r="F1051" s="11" t="s">
        <v>353</v>
      </c>
      <c r="G1051" s="11" t="s">
        <v>1438</v>
      </c>
      <c r="H1051" s="11" t="s">
        <v>122</v>
      </c>
      <c r="I1051" s="11"/>
      <c r="J1051" s="11" t="s">
        <v>7336</v>
      </c>
      <c r="K1051" s="11" t="s">
        <v>125</v>
      </c>
      <c r="L1051" s="11" t="s">
        <v>126</v>
      </c>
      <c r="M1051" s="11" t="s">
        <v>7337</v>
      </c>
      <c r="N1051" s="11" t="s">
        <v>128</v>
      </c>
      <c r="O1051" s="11" t="s">
        <v>7338</v>
      </c>
      <c r="P1051" s="11" t="s">
        <v>7037</v>
      </c>
      <c r="Q1051" s="11" t="s">
        <v>150</v>
      </c>
      <c r="R1051" s="11"/>
      <c r="S1051" s="11" t="s">
        <v>71</v>
      </c>
      <c r="T1051" s="11" t="s">
        <v>69</v>
      </c>
      <c r="U1051" s="11" t="s">
        <v>150</v>
      </c>
      <c r="V1051" s="11" t="s">
        <v>152</v>
      </c>
      <c r="W1051" s="11" t="s">
        <v>69</v>
      </c>
      <c r="X1051" s="11">
        <v>44</v>
      </c>
      <c r="Y1051" s="11" t="s">
        <v>5796</v>
      </c>
      <c r="Z1051" s="11">
        <v>80</v>
      </c>
      <c r="AA1051" s="11">
        <v>0</v>
      </c>
      <c r="AB1051" s="12">
        <v>0</v>
      </c>
    </row>
    <row r="1052" spans="1:28" x14ac:dyDescent="0.2">
      <c r="A1052" s="7">
        <v>21195</v>
      </c>
      <c r="B1052" s="8" t="s">
        <v>7339</v>
      </c>
      <c r="C1052" s="8" t="s">
        <v>7340</v>
      </c>
      <c r="D1052" s="8" t="s">
        <v>7341</v>
      </c>
      <c r="E1052" s="8"/>
      <c r="F1052" s="8"/>
      <c r="G1052" s="8" t="s">
        <v>141</v>
      </c>
      <c r="H1052" s="8" t="s">
        <v>142</v>
      </c>
      <c r="I1052" s="8" t="s">
        <v>7342</v>
      </c>
      <c r="J1052" s="8" t="s">
        <v>7343</v>
      </c>
      <c r="K1052" s="8" t="s">
        <v>991</v>
      </c>
      <c r="L1052" s="8" t="s">
        <v>146</v>
      </c>
      <c r="M1052" s="8" t="s">
        <v>7344</v>
      </c>
      <c r="N1052" s="8" t="s">
        <v>128</v>
      </c>
      <c r="O1052" s="8" t="s">
        <v>7345</v>
      </c>
      <c r="P1052" s="8" t="s">
        <v>7346</v>
      </c>
      <c r="Q1052" s="8" t="s">
        <v>150</v>
      </c>
      <c r="R1052" s="8"/>
      <c r="S1052" s="8" t="s">
        <v>71</v>
      </c>
      <c r="T1052" s="8" t="s">
        <v>289</v>
      </c>
      <c r="U1052" s="8" t="s">
        <v>150</v>
      </c>
      <c r="V1052" s="8" t="s">
        <v>289</v>
      </c>
      <c r="W1052" s="8" t="s">
        <v>289</v>
      </c>
      <c r="X1052" s="8">
        <v>43</v>
      </c>
      <c r="Y1052" s="8" t="s">
        <v>5796</v>
      </c>
      <c r="Z1052" s="8">
        <v>80</v>
      </c>
      <c r="AA1052" s="8">
        <v>0</v>
      </c>
      <c r="AB1052" s="9">
        <v>0</v>
      </c>
    </row>
    <row r="1053" spans="1:28" x14ac:dyDescent="0.2">
      <c r="A1053" s="10">
        <v>21173</v>
      </c>
      <c r="B1053" s="11" t="s">
        <v>7347</v>
      </c>
      <c r="C1053" s="11" t="s">
        <v>7348</v>
      </c>
      <c r="D1053" s="11" t="s">
        <v>787</v>
      </c>
      <c r="E1053" s="11"/>
      <c r="F1053" s="11" t="s">
        <v>4573</v>
      </c>
      <c r="G1053" s="11" t="s">
        <v>846</v>
      </c>
      <c r="H1053" s="11" t="s">
        <v>847</v>
      </c>
      <c r="I1053" s="11" t="s">
        <v>7349</v>
      </c>
      <c r="J1053" s="11" t="s">
        <v>7350</v>
      </c>
      <c r="K1053" s="11" t="s">
        <v>1091</v>
      </c>
      <c r="L1053" s="11" t="s">
        <v>126</v>
      </c>
      <c r="M1053" s="11" t="s">
        <v>7351</v>
      </c>
      <c r="N1053" s="11" t="s">
        <v>128</v>
      </c>
      <c r="O1053" s="11" t="s">
        <v>7352</v>
      </c>
      <c r="P1053" s="11" t="s">
        <v>7353</v>
      </c>
      <c r="Q1053" s="11" t="s">
        <v>150</v>
      </c>
      <c r="R1053" s="11"/>
      <c r="S1053" s="11" t="s">
        <v>71</v>
      </c>
      <c r="T1053" s="11" t="s">
        <v>289</v>
      </c>
      <c r="U1053" s="11" t="s">
        <v>150</v>
      </c>
      <c r="V1053" s="11" t="s">
        <v>289</v>
      </c>
      <c r="W1053" s="11" t="s">
        <v>289</v>
      </c>
      <c r="X1053" s="11">
        <v>43</v>
      </c>
      <c r="Y1053" s="11" t="s">
        <v>5796</v>
      </c>
      <c r="Z1053" s="11">
        <v>80</v>
      </c>
      <c r="AA1053" s="11">
        <v>0</v>
      </c>
      <c r="AB1053" s="12">
        <v>0</v>
      </c>
    </row>
    <row r="1054" spans="1:28" x14ac:dyDescent="0.2">
      <c r="A1054" s="7">
        <v>21536</v>
      </c>
      <c r="B1054" s="8" t="s">
        <v>7354</v>
      </c>
      <c r="C1054" s="8" t="s">
        <v>7355</v>
      </c>
      <c r="D1054" s="8" t="s">
        <v>138</v>
      </c>
      <c r="E1054" s="8" t="s">
        <v>7356</v>
      </c>
      <c r="F1054" s="8" t="s">
        <v>5860</v>
      </c>
      <c r="G1054" s="8" t="s">
        <v>224</v>
      </c>
      <c r="H1054" s="8" t="s">
        <v>225</v>
      </c>
      <c r="I1054" s="8" t="s">
        <v>7207</v>
      </c>
      <c r="J1054" s="8" t="s">
        <v>7357</v>
      </c>
      <c r="K1054" s="8" t="s">
        <v>228</v>
      </c>
      <c r="L1054" s="8" t="s">
        <v>229</v>
      </c>
      <c r="M1054" s="8" t="s">
        <v>7358</v>
      </c>
      <c r="N1054" s="8" t="s">
        <v>128</v>
      </c>
      <c r="O1054" s="8" t="s">
        <v>7359</v>
      </c>
      <c r="P1054" s="8" t="s">
        <v>7360</v>
      </c>
      <c r="Q1054" s="8" t="s">
        <v>150</v>
      </c>
      <c r="R1054" s="8"/>
      <c r="S1054" s="8" t="s">
        <v>71</v>
      </c>
      <c r="T1054" s="8" t="s">
        <v>67</v>
      </c>
      <c r="U1054" s="8" t="s">
        <v>150</v>
      </c>
      <c r="V1054" s="8" t="s">
        <v>152</v>
      </c>
      <c r="W1054" s="8" t="s">
        <v>67</v>
      </c>
      <c r="X1054" s="8">
        <v>43</v>
      </c>
      <c r="Y1054" s="8" t="s">
        <v>5796</v>
      </c>
      <c r="Z1054" s="8">
        <v>80</v>
      </c>
      <c r="AA1054" s="8">
        <v>0</v>
      </c>
      <c r="AB1054" s="9">
        <v>0</v>
      </c>
    </row>
    <row r="1055" spans="1:28" x14ac:dyDescent="0.2">
      <c r="A1055" s="10">
        <v>21684</v>
      </c>
      <c r="B1055" s="11" t="s">
        <v>7361</v>
      </c>
      <c r="C1055" s="11" t="s">
        <v>7362</v>
      </c>
      <c r="D1055" s="11" t="s">
        <v>7341</v>
      </c>
      <c r="E1055" s="11" t="s">
        <v>7363</v>
      </c>
      <c r="F1055" s="11" t="s">
        <v>7364</v>
      </c>
      <c r="G1055" s="11" t="s">
        <v>1196</v>
      </c>
      <c r="H1055" s="11" t="s">
        <v>142</v>
      </c>
      <c r="I1055" s="11" t="s">
        <v>7365</v>
      </c>
      <c r="J1055" s="11" t="s">
        <v>7366</v>
      </c>
      <c r="K1055" s="11" t="s">
        <v>1199</v>
      </c>
      <c r="L1055" s="11" t="s">
        <v>464</v>
      </c>
      <c r="M1055" s="11" t="s">
        <v>7367</v>
      </c>
      <c r="N1055" s="11" t="s">
        <v>128</v>
      </c>
      <c r="O1055" s="11" t="s">
        <v>7368</v>
      </c>
      <c r="P1055" s="11" t="s">
        <v>7369</v>
      </c>
      <c r="Q1055" s="11" t="s">
        <v>150</v>
      </c>
      <c r="R1055" s="11"/>
      <c r="S1055" s="11" t="s">
        <v>7370</v>
      </c>
      <c r="T1055" s="11" t="s">
        <v>67</v>
      </c>
      <c r="U1055" s="11" t="s">
        <v>150</v>
      </c>
      <c r="V1055" s="11" t="s">
        <v>152</v>
      </c>
      <c r="W1055" s="11" t="s">
        <v>67</v>
      </c>
      <c r="X1055" s="11">
        <v>43</v>
      </c>
      <c r="Y1055" s="11" t="s">
        <v>5796</v>
      </c>
      <c r="Z1055" s="11">
        <v>80</v>
      </c>
      <c r="AA1055" s="11">
        <v>0</v>
      </c>
      <c r="AB1055" s="12">
        <v>0</v>
      </c>
    </row>
    <row r="1056" spans="1:28" x14ac:dyDescent="0.2">
      <c r="A1056" s="7">
        <v>21603</v>
      </c>
      <c r="B1056" s="8" t="s">
        <v>7371</v>
      </c>
      <c r="C1056" s="8" t="s">
        <v>7372</v>
      </c>
      <c r="D1056" s="8" t="s">
        <v>7206</v>
      </c>
      <c r="E1056" s="8" t="s">
        <v>7373</v>
      </c>
      <c r="F1056" s="8" t="s">
        <v>353</v>
      </c>
      <c r="G1056" s="8" t="s">
        <v>412</v>
      </c>
      <c r="H1056" s="8" t="s">
        <v>329</v>
      </c>
      <c r="I1056" s="8" t="s">
        <v>7374</v>
      </c>
      <c r="J1056" s="8" t="s">
        <v>7375</v>
      </c>
      <c r="K1056" s="8" t="s">
        <v>415</v>
      </c>
      <c r="L1056" s="8" t="s">
        <v>333</v>
      </c>
      <c r="M1056" s="8" t="s">
        <v>7376</v>
      </c>
      <c r="N1056" s="8" t="s">
        <v>128</v>
      </c>
      <c r="O1056" s="8" t="s">
        <v>7377</v>
      </c>
      <c r="P1056" s="8" t="s">
        <v>7378</v>
      </c>
      <c r="Q1056" s="8" t="s">
        <v>150</v>
      </c>
      <c r="R1056" s="8"/>
      <c r="S1056" s="8" t="s">
        <v>7379</v>
      </c>
      <c r="T1056" s="8" t="s">
        <v>67</v>
      </c>
      <c r="U1056" s="8" t="s">
        <v>150</v>
      </c>
      <c r="V1056" s="8" t="s">
        <v>152</v>
      </c>
      <c r="W1056" s="8" t="s">
        <v>67</v>
      </c>
      <c r="X1056" s="8">
        <v>43</v>
      </c>
      <c r="Y1056" s="8" t="s">
        <v>5796</v>
      </c>
      <c r="Z1056" s="8">
        <v>80</v>
      </c>
      <c r="AA1056" s="8">
        <v>0</v>
      </c>
      <c r="AB1056" s="9">
        <v>0</v>
      </c>
    </row>
    <row r="1057" spans="1:28" x14ac:dyDescent="0.2">
      <c r="A1057" s="10">
        <v>21648</v>
      </c>
      <c r="B1057" s="11" t="s">
        <v>7380</v>
      </c>
      <c r="C1057" s="11" t="s">
        <v>7381</v>
      </c>
      <c r="D1057" s="11" t="s">
        <v>7382</v>
      </c>
      <c r="E1057" s="11"/>
      <c r="F1057" s="11" t="s">
        <v>353</v>
      </c>
      <c r="G1057" s="11" t="s">
        <v>1488</v>
      </c>
      <c r="H1057" s="11" t="s">
        <v>329</v>
      </c>
      <c r="I1057" s="11" t="s">
        <v>7383</v>
      </c>
      <c r="J1057" s="11" t="s">
        <v>7384</v>
      </c>
      <c r="K1057" s="11" t="s">
        <v>415</v>
      </c>
      <c r="L1057" s="11" t="s">
        <v>333</v>
      </c>
      <c r="M1057" s="11" t="s">
        <v>7385</v>
      </c>
      <c r="N1057" s="11" t="s">
        <v>128</v>
      </c>
      <c r="O1057" s="11" t="s">
        <v>7386</v>
      </c>
      <c r="P1057" s="11" t="s">
        <v>7387</v>
      </c>
      <c r="Q1057" s="11" t="s">
        <v>150</v>
      </c>
      <c r="R1057" s="11"/>
      <c r="S1057" s="11" t="s">
        <v>71</v>
      </c>
      <c r="T1057" s="11" t="s">
        <v>67</v>
      </c>
      <c r="U1057" s="11" t="s">
        <v>150</v>
      </c>
      <c r="V1057" s="11" t="s">
        <v>152</v>
      </c>
      <c r="W1057" s="11" t="s">
        <v>67</v>
      </c>
      <c r="X1057" s="11">
        <v>43</v>
      </c>
      <c r="Y1057" s="11" t="s">
        <v>5796</v>
      </c>
      <c r="Z1057" s="11">
        <v>80</v>
      </c>
      <c r="AA1057" s="11">
        <v>0</v>
      </c>
      <c r="AB1057" s="12">
        <v>0</v>
      </c>
    </row>
    <row r="1058" spans="1:28" x14ac:dyDescent="0.2">
      <c r="A1058" s="7">
        <v>22088</v>
      </c>
      <c r="B1058" s="8" t="s">
        <v>7388</v>
      </c>
      <c r="C1058" s="8" t="s">
        <v>953</v>
      </c>
      <c r="D1058" s="8" t="s">
        <v>954</v>
      </c>
      <c r="E1058" s="8"/>
      <c r="F1058" s="8" t="s">
        <v>956</v>
      </c>
      <c r="G1058" s="8" t="s">
        <v>776</v>
      </c>
      <c r="H1058" s="8" t="s">
        <v>142</v>
      </c>
      <c r="I1058" s="8" t="s">
        <v>957</v>
      </c>
      <c r="J1058" s="8" t="s">
        <v>7389</v>
      </c>
      <c r="K1058" s="8" t="s">
        <v>779</v>
      </c>
      <c r="L1058" s="8" t="s">
        <v>464</v>
      </c>
      <c r="M1058" s="8" t="s">
        <v>7390</v>
      </c>
      <c r="N1058" s="8" t="s">
        <v>128</v>
      </c>
      <c r="O1058" s="8" t="s">
        <v>7391</v>
      </c>
      <c r="P1058" s="8"/>
      <c r="Q1058" s="8" t="s">
        <v>131</v>
      </c>
      <c r="R1058" s="8"/>
      <c r="S1058" s="8" t="s">
        <v>962</v>
      </c>
      <c r="T1058" s="8" t="s">
        <v>983</v>
      </c>
      <c r="U1058" s="8" t="s">
        <v>134</v>
      </c>
      <c r="V1058" s="8" t="s">
        <v>131</v>
      </c>
      <c r="W1058" s="8" t="s">
        <v>983</v>
      </c>
      <c r="X1058" s="8">
        <v>43</v>
      </c>
      <c r="Y1058" s="8" t="s">
        <v>5796</v>
      </c>
      <c r="Z1058" s="8">
        <v>80</v>
      </c>
      <c r="AA1058" s="8">
        <v>0</v>
      </c>
      <c r="AB1058" s="9">
        <v>0</v>
      </c>
    </row>
    <row r="1059" spans="1:28" x14ac:dyDescent="0.2">
      <c r="A1059" s="10">
        <v>21899</v>
      </c>
      <c r="B1059" s="11" t="s">
        <v>7392</v>
      </c>
      <c r="C1059" s="11" t="s">
        <v>7393</v>
      </c>
      <c r="D1059" s="11" t="s">
        <v>5994</v>
      </c>
      <c r="E1059" s="11" t="s">
        <v>7394</v>
      </c>
      <c r="F1059" s="11" t="s">
        <v>7395</v>
      </c>
      <c r="G1059" s="11" t="s">
        <v>2175</v>
      </c>
      <c r="H1059" s="11" t="s">
        <v>2176</v>
      </c>
      <c r="I1059" s="11" t="s">
        <v>5997</v>
      </c>
      <c r="J1059" s="11" t="s">
        <v>7396</v>
      </c>
      <c r="K1059" s="11" t="s">
        <v>194</v>
      </c>
      <c r="L1059" s="11" t="s">
        <v>163</v>
      </c>
      <c r="M1059" s="11" t="s">
        <v>7397</v>
      </c>
      <c r="N1059" s="11" t="s">
        <v>128</v>
      </c>
      <c r="O1059" s="11" t="s">
        <v>7398</v>
      </c>
      <c r="P1059" s="11" t="s">
        <v>7399</v>
      </c>
      <c r="Q1059" s="11" t="s">
        <v>131</v>
      </c>
      <c r="R1059" s="11"/>
      <c r="S1059" s="11" t="s">
        <v>6002</v>
      </c>
      <c r="T1059" s="11" t="s">
        <v>133</v>
      </c>
      <c r="U1059" s="11" t="s">
        <v>134</v>
      </c>
      <c r="V1059" s="11" t="s">
        <v>131</v>
      </c>
      <c r="W1059" s="11" t="s">
        <v>133</v>
      </c>
      <c r="X1059" s="11">
        <v>43</v>
      </c>
      <c r="Y1059" s="11" t="s">
        <v>5796</v>
      </c>
      <c r="Z1059" s="11">
        <v>80</v>
      </c>
      <c r="AA1059" s="11">
        <v>0</v>
      </c>
      <c r="AB1059" s="12">
        <v>0</v>
      </c>
    </row>
    <row r="1060" spans="1:28" x14ac:dyDescent="0.2">
      <c r="A1060" s="7">
        <v>23593</v>
      </c>
      <c r="B1060" s="8" t="s">
        <v>7400</v>
      </c>
      <c r="C1060" s="8" t="s">
        <v>4777</v>
      </c>
      <c r="D1060" s="8" t="s">
        <v>7401</v>
      </c>
      <c r="E1060" s="8"/>
      <c r="F1060" s="8" t="s">
        <v>353</v>
      </c>
      <c r="G1060" s="8" t="s">
        <v>7402</v>
      </c>
      <c r="H1060" s="8" t="s">
        <v>847</v>
      </c>
      <c r="I1060" s="8" t="s">
        <v>7403</v>
      </c>
      <c r="J1060" s="8" t="s">
        <v>7404</v>
      </c>
      <c r="K1060" s="8" t="s">
        <v>1091</v>
      </c>
      <c r="L1060" s="8" t="s">
        <v>126</v>
      </c>
      <c r="M1060" s="8" t="s">
        <v>7405</v>
      </c>
      <c r="N1060" s="8" t="s">
        <v>128</v>
      </c>
      <c r="O1060" s="8" t="s">
        <v>7406</v>
      </c>
      <c r="P1060" s="8" t="s">
        <v>7191</v>
      </c>
      <c r="Q1060" s="8" t="s">
        <v>150</v>
      </c>
      <c r="R1060" s="8"/>
      <c r="S1060" s="8" t="s">
        <v>71</v>
      </c>
      <c r="T1060" s="8" t="s">
        <v>168</v>
      </c>
      <c r="U1060" s="8" t="s">
        <v>150</v>
      </c>
      <c r="V1060" s="8" t="s">
        <v>168</v>
      </c>
      <c r="W1060" s="8" t="s">
        <v>168</v>
      </c>
      <c r="X1060" s="8">
        <v>43</v>
      </c>
      <c r="Y1060" s="8" t="s">
        <v>5796</v>
      </c>
      <c r="Z1060" s="8">
        <v>80</v>
      </c>
      <c r="AA1060" s="8">
        <v>0</v>
      </c>
      <c r="AB1060" s="9">
        <v>0</v>
      </c>
    </row>
    <row r="1061" spans="1:28" x14ac:dyDescent="0.2">
      <c r="A1061" s="10">
        <v>23755</v>
      </c>
      <c r="B1061" s="11" t="s">
        <v>7407</v>
      </c>
      <c r="C1061" s="11" t="s">
        <v>7408</v>
      </c>
      <c r="D1061" s="11" t="s">
        <v>2871</v>
      </c>
      <c r="E1061" s="11"/>
      <c r="F1061" s="11" t="s">
        <v>353</v>
      </c>
      <c r="G1061" s="11" t="s">
        <v>1253</v>
      </c>
      <c r="H1061" s="11" t="s">
        <v>142</v>
      </c>
      <c r="I1061" s="11" t="s">
        <v>7409</v>
      </c>
      <c r="J1061" s="11" t="s">
        <v>7410</v>
      </c>
      <c r="K1061" s="11" t="s">
        <v>1199</v>
      </c>
      <c r="L1061" s="11" t="s">
        <v>464</v>
      </c>
      <c r="M1061" s="11" t="s">
        <v>7411</v>
      </c>
      <c r="N1061" s="11" t="s">
        <v>128</v>
      </c>
      <c r="O1061" s="11" t="s">
        <v>7412</v>
      </c>
      <c r="P1061" s="11" t="s">
        <v>7413</v>
      </c>
      <c r="Q1061" s="11" t="s">
        <v>150</v>
      </c>
      <c r="R1061" s="11"/>
      <c r="S1061" s="11" t="s">
        <v>71</v>
      </c>
      <c r="T1061" s="11" t="s">
        <v>168</v>
      </c>
      <c r="U1061" s="11" t="s">
        <v>150</v>
      </c>
      <c r="V1061" s="11" t="s">
        <v>168</v>
      </c>
      <c r="W1061" s="11" t="s">
        <v>168</v>
      </c>
      <c r="X1061" s="11">
        <v>43</v>
      </c>
      <c r="Y1061" s="11" t="s">
        <v>5796</v>
      </c>
      <c r="Z1061" s="11">
        <v>80</v>
      </c>
      <c r="AA1061" s="11">
        <v>0</v>
      </c>
      <c r="AB1061" s="12">
        <v>0</v>
      </c>
    </row>
    <row r="1062" spans="1:28" x14ac:dyDescent="0.2">
      <c r="A1062" s="7">
        <v>240283</v>
      </c>
      <c r="B1062" s="8" t="s">
        <v>7414</v>
      </c>
      <c r="C1062" s="8" t="s">
        <v>2935</v>
      </c>
      <c r="D1062" s="8" t="s">
        <v>2936</v>
      </c>
      <c r="E1062" s="8" t="s">
        <v>7415</v>
      </c>
      <c r="F1062" s="8" t="s">
        <v>353</v>
      </c>
      <c r="G1062" s="8" t="s">
        <v>714</v>
      </c>
      <c r="H1062" s="8" t="s">
        <v>142</v>
      </c>
      <c r="I1062" s="8" t="s">
        <v>2938</v>
      </c>
      <c r="J1062" s="8" t="s">
        <v>7416</v>
      </c>
      <c r="K1062" s="8" t="s">
        <v>717</v>
      </c>
      <c r="L1062" s="8" t="s">
        <v>464</v>
      </c>
      <c r="M1062" s="8" t="s">
        <v>7417</v>
      </c>
      <c r="N1062" s="8" t="s">
        <v>128</v>
      </c>
      <c r="O1062" s="8" t="s">
        <v>7418</v>
      </c>
      <c r="P1062" s="8" t="s">
        <v>7419</v>
      </c>
      <c r="Q1062" s="8" t="s">
        <v>740</v>
      </c>
      <c r="R1062" s="8"/>
      <c r="S1062" s="8" t="s">
        <v>2943</v>
      </c>
      <c r="T1062" s="8" t="s">
        <v>1745</v>
      </c>
      <c r="U1062" s="8" t="s">
        <v>134</v>
      </c>
      <c r="V1062" s="8" t="s">
        <v>740</v>
      </c>
      <c r="W1062" s="8" t="s">
        <v>1745</v>
      </c>
      <c r="X1062" s="8">
        <v>43</v>
      </c>
      <c r="Y1062" s="8" t="s">
        <v>5796</v>
      </c>
      <c r="Z1062" s="8">
        <v>80</v>
      </c>
      <c r="AA1062" s="8">
        <v>0</v>
      </c>
      <c r="AB1062" s="9">
        <v>0</v>
      </c>
    </row>
    <row r="1063" spans="1:28" x14ac:dyDescent="0.2">
      <c r="A1063" s="10">
        <v>21286</v>
      </c>
      <c r="B1063" s="11" t="s">
        <v>7420</v>
      </c>
      <c r="C1063" s="11" t="s">
        <v>6307</v>
      </c>
      <c r="D1063" s="11" t="s">
        <v>7421</v>
      </c>
      <c r="E1063" s="11" t="s">
        <v>7422</v>
      </c>
      <c r="F1063" s="11" t="s">
        <v>353</v>
      </c>
      <c r="G1063" s="11" t="s">
        <v>121</v>
      </c>
      <c r="H1063" s="11" t="s">
        <v>122</v>
      </c>
      <c r="I1063" s="11" t="s">
        <v>6309</v>
      </c>
      <c r="J1063" s="11" t="s">
        <v>7423</v>
      </c>
      <c r="K1063" s="11" t="s">
        <v>1051</v>
      </c>
      <c r="L1063" s="11" t="s">
        <v>126</v>
      </c>
      <c r="M1063" s="11" t="s">
        <v>7424</v>
      </c>
      <c r="N1063" s="11" t="s">
        <v>128</v>
      </c>
      <c r="O1063" s="11" t="s">
        <v>7425</v>
      </c>
      <c r="P1063" s="11" t="s">
        <v>7426</v>
      </c>
      <c r="Q1063" s="11" t="s">
        <v>150</v>
      </c>
      <c r="R1063" s="11"/>
      <c r="S1063" s="11" t="s">
        <v>71</v>
      </c>
      <c r="T1063" s="11" t="s">
        <v>67</v>
      </c>
      <c r="U1063" s="11" t="s">
        <v>150</v>
      </c>
      <c r="V1063" s="11" t="s">
        <v>152</v>
      </c>
      <c r="W1063" s="11" t="s">
        <v>67</v>
      </c>
      <c r="X1063" s="11">
        <v>42</v>
      </c>
      <c r="Y1063" s="11" t="s">
        <v>5796</v>
      </c>
      <c r="Z1063" s="11">
        <v>80</v>
      </c>
      <c r="AA1063" s="11">
        <v>0</v>
      </c>
      <c r="AB1063" s="12">
        <v>0</v>
      </c>
    </row>
    <row r="1064" spans="1:28" x14ac:dyDescent="0.2">
      <c r="A1064" s="7">
        <v>21260</v>
      </c>
      <c r="B1064" s="8" t="s">
        <v>7427</v>
      </c>
      <c r="C1064" s="8" t="s">
        <v>5155</v>
      </c>
      <c r="D1064" s="8" t="s">
        <v>7428</v>
      </c>
      <c r="E1064" s="8" t="s">
        <v>7429</v>
      </c>
      <c r="F1064" s="8" t="s">
        <v>353</v>
      </c>
      <c r="G1064" s="8" t="s">
        <v>5158</v>
      </c>
      <c r="H1064" s="8" t="s">
        <v>142</v>
      </c>
      <c r="I1064" s="8" t="s">
        <v>5159</v>
      </c>
      <c r="J1064" s="8" t="s">
        <v>7430</v>
      </c>
      <c r="K1064" s="8" t="s">
        <v>717</v>
      </c>
      <c r="L1064" s="8" t="s">
        <v>464</v>
      </c>
      <c r="M1064" s="8" t="s">
        <v>7431</v>
      </c>
      <c r="N1064" s="8" t="s">
        <v>128</v>
      </c>
      <c r="O1064" s="8" t="s">
        <v>7432</v>
      </c>
      <c r="P1064" s="8" t="s">
        <v>7433</v>
      </c>
      <c r="Q1064" s="8" t="s">
        <v>150</v>
      </c>
      <c r="R1064" s="8"/>
      <c r="S1064" s="8" t="s">
        <v>71</v>
      </c>
      <c r="T1064" s="8" t="s">
        <v>67</v>
      </c>
      <c r="U1064" s="8" t="s">
        <v>150</v>
      </c>
      <c r="V1064" s="8" t="s">
        <v>152</v>
      </c>
      <c r="W1064" s="8" t="s">
        <v>67</v>
      </c>
      <c r="X1064" s="8">
        <v>42</v>
      </c>
      <c r="Y1064" s="8" t="s">
        <v>5796</v>
      </c>
      <c r="Z1064" s="8">
        <v>80</v>
      </c>
      <c r="AA1064" s="8">
        <v>0</v>
      </c>
      <c r="AB1064" s="9">
        <v>0</v>
      </c>
    </row>
    <row r="1065" spans="1:28" x14ac:dyDescent="0.2">
      <c r="A1065" s="10">
        <v>21494</v>
      </c>
      <c r="B1065" s="11" t="s">
        <v>7434</v>
      </c>
      <c r="C1065" s="11" t="s">
        <v>7435</v>
      </c>
      <c r="D1065" s="11" t="s">
        <v>7436</v>
      </c>
      <c r="E1065" s="11" t="s">
        <v>7437</v>
      </c>
      <c r="F1065" s="11" t="s">
        <v>353</v>
      </c>
      <c r="G1065" s="11" t="s">
        <v>1196</v>
      </c>
      <c r="H1065" s="11" t="s">
        <v>142</v>
      </c>
      <c r="I1065" s="11" t="s">
        <v>7438</v>
      </c>
      <c r="J1065" s="11" t="s">
        <v>7439</v>
      </c>
      <c r="K1065" s="11" t="s">
        <v>1199</v>
      </c>
      <c r="L1065" s="11" t="s">
        <v>464</v>
      </c>
      <c r="M1065" s="11" t="s">
        <v>7440</v>
      </c>
      <c r="N1065" s="11" t="s">
        <v>128</v>
      </c>
      <c r="O1065" s="11" t="s">
        <v>7441</v>
      </c>
      <c r="P1065" s="11" t="s">
        <v>7442</v>
      </c>
      <c r="Q1065" s="11" t="s">
        <v>150</v>
      </c>
      <c r="R1065" s="11"/>
      <c r="S1065" s="11" t="s">
        <v>71</v>
      </c>
      <c r="T1065" s="11" t="s">
        <v>67</v>
      </c>
      <c r="U1065" s="11" t="s">
        <v>150</v>
      </c>
      <c r="V1065" s="11" t="s">
        <v>152</v>
      </c>
      <c r="W1065" s="11" t="s">
        <v>67</v>
      </c>
      <c r="X1065" s="11">
        <v>42</v>
      </c>
      <c r="Y1065" s="11" t="s">
        <v>5796</v>
      </c>
      <c r="Z1065" s="11">
        <v>80</v>
      </c>
      <c r="AA1065" s="11">
        <v>0</v>
      </c>
      <c r="AB1065" s="12">
        <v>0</v>
      </c>
    </row>
    <row r="1066" spans="1:28" x14ac:dyDescent="0.2">
      <c r="A1066" s="7">
        <v>37947</v>
      </c>
      <c r="B1066" s="8" t="s">
        <v>7443</v>
      </c>
      <c r="C1066" s="8" t="s">
        <v>7444</v>
      </c>
      <c r="D1066" s="8" t="s">
        <v>138</v>
      </c>
      <c r="E1066" s="8" t="s">
        <v>7445</v>
      </c>
      <c r="F1066" s="8" t="s">
        <v>5011</v>
      </c>
      <c r="G1066" s="8" t="s">
        <v>5012</v>
      </c>
      <c r="H1066" s="8" t="s">
        <v>301</v>
      </c>
      <c r="I1066" s="8" t="s">
        <v>7446</v>
      </c>
      <c r="J1066" s="8" t="s">
        <v>7447</v>
      </c>
      <c r="K1066" s="8" t="s">
        <v>228</v>
      </c>
      <c r="L1066" s="8" t="s">
        <v>229</v>
      </c>
      <c r="M1066" s="8" t="s">
        <v>7448</v>
      </c>
      <c r="N1066" s="8" t="s">
        <v>128</v>
      </c>
      <c r="O1066" s="8" t="s">
        <v>7449</v>
      </c>
      <c r="P1066" s="8" t="s">
        <v>6286</v>
      </c>
      <c r="Q1066" s="8" t="s">
        <v>150</v>
      </c>
      <c r="R1066" s="8"/>
      <c r="S1066" s="8" t="s">
        <v>71</v>
      </c>
      <c r="T1066" s="8" t="s">
        <v>67</v>
      </c>
      <c r="U1066" s="8" t="s">
        <v>150</v>
      </c>
      <c r="V1066" s="8" t="s">
        <v>152</v>
      </c>
      <c r="W1066" s="8" t="s">
        <v>67</v>
      </c>
      <c r="X1066" s="8">
        <v>42</v>
      </c>
      <c r="Y1066" s="8" t="s">
        <v>5796</v>
      </c>
      <c r="Z1066" s="8">
        <v>80</v>
      </c>
      <c r="AA1066" s="8">
        <v>0</v>
      </c>
      <c r="AB1066" s="9">
        <v>0</v>
      </c>
    </row>
    <row r="1067" spans="1:28" x14ac:dyDescent="0.2">
      <c r="A1067" s="10">
        <v>21716</v>
      </c>
      <c r="B1067" s="11" t="s">
        <v>7450</v>
      </c>
      <c r="C1067" s="11" t="s">
        <v>7451</v>
      </c>
      <c r="D1067" s="11" t="s">
        <v>2918</v>
      </c>
      <c r="E1067" s="11"/>
      <c r="F1067" s="11" t="s">
        <v>353</v>
      </c>
      <c r="G1067" s="11" t="s">
        <v>4226</v>
      </c>
      <c r="H1067" s="11" t="s">
        <v>329</v>
      </c>
      <c r="I1067" s="11" t="s">
        <v>7452</v>
      </c>
      <c r="J1067" s="11" t="s">
        <v>7453</v>
      </c>
      <c r="K1067" s="11" t="s">
        <v>415</v>
      </c>
      <c r="L1067" s="11" t="s">
        <v>333</v>
      </c>
      <c r="M1067" s="11" t="s">
        <v>7454</v>
      </c>
      <c r="N1067" s="11" t="s">
        <v>128</v>
      </c>
      <c r="O1067" s="11" t="s">
        <v>7455</v>
      </c>
      <c r="P1067" s="11" t="s">
        <v>7456</v>
      </c>
      <c r="Q1067" s="11" t="s">
        <v>150</v>
      </c>
      <c r="R1067" s="11"/>
      <c r="S1067" s="11" t="s">
        <v>71</v>
      </c>
      <c r="T1067" s="11" t="s">
        <v>67</v>
      </c>
      <c r="U1067" s="11" t="s">
        <v>150</v>
      </c>
      <c r="V1067" s="11" t="s">
        <v>152</v>
      </c>
      <c r="W1067" s="11" t="s">
        <v>67</v>
      </c>
      <c r="X1067" s="11">
        <v>42</v>
      </c>
      <c r="Y1067" s="11" t="s">
        <v>5796</v>
      </c>
      <c r="Z1067" s="11">
        <v>80</v>
      </c>
      <c r="AA1067" s="11">
        <v>0</v>
      </c>
      <c r="AB1067" s="12">
        <v>0</v>
      </c>
    </row>
    <row r="1068" spans="1:28" x14ac:dyDescent="0.2">
      <c r="A1068" s="7">
        <v>23432</v>
      </c>
      <c r="B1068" s="8" t="s">
        <v>7457</v>
      </c>
      <c r="C1068" s="8" t="s">
        <v>1567</v>
      </c>
      <c r="D1068" s="8" t="s">
        <v>7458</v>
      </c>
      <c r="E1068" s="8" t="s">
        <v>281</v>
      </c>
      <c r="F1068" s="8" t="s">
        <v>353</v>
      </c>
      <c r="G1068" s="8" t="s">
        <v>3758</v>
      </c>
      <c r="H1068" s="8" t="s">
        <v>847</v>
      </c>
      <c r="I1068" s="8" t="s">
        <v>7459</v>
      </c>
      <c r="J1068" s="8" t="s">
        <v>7460</v>
      </c>
      <c r="K1068" s="8" t="s">
        <v>1091</v>
      </c>
      <c r="L1068" s="8" t="s">
        <v>126</v>
      </c>
      <c r="M1068" s="8" t="s">
        <v>7461</v>
      </c>
      <c r="N1068" s="8" t="s">
        <v>128</v>
      </c>
      <c r="O1068" s="8" t="s">
        <v>7462</v>
      </c>
      <c r="P1068" s="8" t="s">
        <v>7463</v>
      </c>
      <c r="Q1068" s="8" t="s">
        <v>150</v>
      </c>
      <c r="R1068" s="8"/>
      <c r="S1068" s="8" t="s">
        <v>71</v>
      </c>
      <c r="T1068" s="8" t="s">
        <v>1415</v>
      </c>
      <c r="U1068" s="8" t="s">
        <v>150</v>
      </c>
      <c r="V1068" s="8" t="s">
        <v>1415</v>
      </c>
      <c r="W1068" s="8" t="s">
        <v>1415</v>
      </c>
      <c r="X1068" s="8">
        <v>42</v>
      </c>
      <c r="Y1068" s="8" t="s">
        <v>5796</v>
      </c>
      <c r="Z1068" s="8">
        <v>80</v>
      </c>
      <c r="AA1068" s="8">
        <v>0</v>
      </c>
      <c r="AB1068" s="9">
        <v>0</v>
      </c>
    </row>
    <row r="1069" spans="1:28" x14ac:dyDescent="0.2">
      <c r="A1069" s="10">
        <v>23778</v>
      </c>
      <c r="B1069" s="11" t="s">
        <v>7464</v>
      </c>
      <c r="C1069" s="11" t="s">
        <v>7465</v>
      </c>
      <c r="D1069" s="11" t="s">
        <v>4188</v>
      </c>
      <c r="E1069" s="11" t="s">
        <v>5691</v>
      </c>
      <c r="F1069" s="11" t="s">
        <v>353</v>
      </c>
      <c r="G1069" s="11" t="s">
        <v>2035</v>
      </c>
      <c r="H1069" s="11" t="s">
        <v>142</v>
      </c>
      <c r="I1069" s="11" t="s">
        <v>7466</v>
      </c>
      <c r="J1069" s="11" t="s">
        <v>7467</v>
      </c>
      <c r="K1069" s="11" t="s">
        <v>779</v>
      </c>
      <c r="L1069" s="11" t="s">
        <v>464</v>
      </c>
      <c r="M1069" s="11" t="s">
        <v>7468</v>
      </c>
      <c r="N1069" s="11" t="s">
        <v>128</v>
      </c>
      <c r="O1069" s="11" t="s">
        <v>7469</v>
      </c>
      <c r="P1069" s="11" t="s">
        <v>7470</v>
      </c>
      <c r="Q1069" s="11" t="s">
        <v>150</v>
      </c>
      <c r="R1069" s="11"/>
      <c r="S1069" s="11" t="s">
        <v>71</v>
      </c>
      <c r="T1069" s="11" t="s">
        <v>168</v>
      </c>
      <c r="U1069" s="11" t="s">
        <v>150</v>
      </c>
      <c r="V1069" s="11" t="s">
        <v>168</v>
      </c>
      <c r="W1069" s="11" t="s">
        <v>168</v>
      </c>
      <c r="X1069" s="11">
        <v>42</v>
      </c>
      <c r="Y1069" s="11" t="s">
        <v>5796</v>
      </c>
      <c r="Z1069" s="11">
        <v>80</v>
      </c>
      <c r="AA1069" s="11">
        <v>0</v>
      </c>
      <c r="AB1069" s="12">
        <v>0</v>
      </c>
    </row>
    <row r="1070" spans="1:28" x14ac:dyDescent="0.2">
      <c r="A1070" s="7">
        <v>24735</v>
      </c>
      <c r="B1070" s="8" t="s">
        <v>7471</v>
      </c>
      <c r="C1070" s="8" t="s">
        <v>3909</v>
      </c>
      <c r="D1070" s="8" t="s">
        <v>2173</v>
      </c>
      <c r="E1070" s="8"/>
      <c r="F1070" s="8" t="s">
        <v>353</v>
      </c>
      <c r="G1070" s="8" t="s">
        <v>3912</v>
      </c>
      <c r="H1070" s="8" t="s">
        <v>557</v>
      </c>
      <c r="I1070" s="8" t="s">
        <v>7322</v>
      </c>
      <c r="J1070" s="8" t="s">
        <v>7472</v>
      </c>
      <c r="K1070" s="8" t="s">
        <v>1562</v>
      </c>
      <c r="L1070" s="8" t="s">
        <v>229</v>
      </c>
      <c r="M1070" s="8" t="s">
        <v>7473</v>
      </c>
      <c r="N1070" s="8" t="s">
        <v>128</v>
      </c>
      <c r="O1070" s="8" t="s">
        <v>7474</v>
      </c>
      <c r="P1070" s="8" t="s">
        <v>2862</v>
      </c>
      <c r="Q1070" s="8" t="s">
        <v>150</v>
      </c>
      <c r="R1070" s="8"/>
      <c r="S1070" s="8" t="s">
        <v>71</v>
      </c>
      <c r="T1070" s="8" t="s">
        <v>69</v>
      </c>
      <c r="U1070" s="8" t="s">
        <v>150</v>
      </c>
      <c r="V1070" s="8" t="s">
        <v>152</v>
      </c>
      <c r="W1070" s="8" t="s">
        <v>69</v>
      </c>
      <c r="X1070" s="8">
        <v>42</v>
      </c>
      <c r="Y1070" s="8" t="s">
        <v>5796</v>
      </c>
      <c r="Z1070" s="8">
        <v>80</v>
      </c>
      <c r="AA1070" s="8">
        <v>0</v>
      </c>
      <c r="AB1070" s="9">
        <v>0</v>
      </c>
    </row>
    <row r="1071" spans="1:28" x14ac:dyDescent="0.2">
      <c r="A1071" s="10">
        <v>25162</v>
      </c>
      <c r="B1071" s="11" t="s">
        <v>7475</v>
      </c>
      <c r="C1071" s="11" t="s">
        <v>2419</v>
      </c>
      <c r="D1071" s="11" t="s">
        <v>2420</v>
      </c>
      <c r="E1071" s="11" t="s">
        <v>5221</v>
      </c>
      <c r="F1071" s="11" t="s">
        <v>2422</v>
      </c>
      <c r="G1071" s="11" t="s">
        <v>2423</v>
      </c>
      <c r="H1071" s="11" t="s">
        <v>557</v>
      </c>
      <c r="I1071" s="11" t="s">
        <v>2424</v>
      </c>
      <c r="J1071" s="11" t="s">
        <v>2425</v>
      </c>
      <c r="K1071" s="11" t="s">
        <v>1562</v>
      </c>
      <c r="L1071" s="11" t="s">
        <v>229</v>
      </c>
      <c r="M1071" s="11" t="s">
        <v>7476</v>
      </c>
      <c r="N1071" s="11" t="s">
        <v>128</v>
      </c>
      <c r="O1071" s="11" t="s">
        <v>7477</v>
      </c>
      <c r="P1071" s="11" t="s">
        <v>7478</v>
      </c>
      <c r="Q1071" s="11" t="s">
        <v>740</v>
      </c>
      <c r="R1071" s="11"/>
      <c r="S1071" s="11" t="s">
        <v>2429</v>
      </c>
      <c r="T1071" s="11" t="s">
        <v>741</v>
      </c>
      <c r="U1071" s="11" t="s">
        <v>134</v>
      </c>
      <c r="V1071" s="11" t="s">
        <v>740</v>
      </c>
      <c r="W1071" s="11" t="s">
        <v>741</v>
      </c>
      <c r="X1071" s="11">
        <v>42</v>
      </c>
      <c r="Y1071" s="11" t="s">
        <v>5796</v>
      </c>
      <c r="Z1071" s="11">
        <v>80</v>
      </c>
      <c r="AA1071" s="11">
        <v>0</v>
      </c>
      <c r="AB1071" s="12">
        <v>0</v>
      </c>
    </row>
    <row r="1072" spans="1:28" x14ac:dyDescent="0.2">
      <c r="A1072" s="7">
        <v>21545</v>
      </c>
      <c r="B1072" s="8" t="s">
        <v>7479</v>
      </c>
      <c r="C1072" s="8" t="s">
        <v>3862</v>
      </c>
      <c r="D1072" s="8" t="s">
        <v>3863</v>
      </c>
      <c r="E1072" s="8" t="s">
        <v>7480</v>
      </c>
      <c r="F1072" s="8" t="s">
        <v>3865</v>
      </c>
      <c r="G1072" s="8" t="s">
        <v>3612</v>
      </c>
      <c r="H1072" s="8" t="s">
        <v>704</v>
      </c>
      <c r="I1072" s="8" t="s">
        <v>3866</v>
      </c>
      <c r="J1072" s="8" t="s">
        <v>3867</v>
      </c>
      <c r="K1072" s="8" t="s">
        <v>707</v>
      </c>
      <c r="L1072" s="8" t="s">
        <v>126</v>
      </c>
      <c r="M1072" s="8" t="s">
        <v>7481</v>
      </c>
      <c r="N1072" s="8" t="s">
        <v>128</v>
      </c>
      <c r="O1072" s="8" t="s">
        <v>7482</v>
      </c>
      <c r="P1072" s="8" t="s">
        <v>7483</v>
      </c>
      <c r="Q1072" s="8" t="s">
        <v>150</v>
      </c>
      <c r="R1072" s="8"/>
      <c r="S1072" s="8" t="s">
        <v>3871</v>
      </c>
      <c r="T1072" s="8" t="s">
        <v>67</v>
      </c>
      <c r="U1072" s="8" t="s">
        <v>150</v>
      </c>
      <c r="V1072" s="8" t="s">
        <v>152</v>
      </c>
      <c r="W1072" s="8" t="s">
        <v>67</v>
      </c>
      <c r="X1072" s="8">
        <v>41</v>
      </c>
      <c r="Y1072" s="8" t="s">
        <v>5796</v>
      </c>
      <c r="Z1072" s="8">
        <v>80</v>
      </c>
      <c r="AA1072" s="8">
        <v>0</v>
      </c>
      <c r="AB1072" s="9">
        <v>0</v>
      </c>
    </row>
    <row r="1073" spans="1:28" x14ac:dyDescent="0.2">
      <c r="A1073" s="10">
        <v>22023</v>
      </c>
      <c r="B1073" s="11" t="s">
        <v>7484</v>
      </c>
      <c r="C1073" s="11" t="s">
        <v>2935</v>
      </c>
      <c r="D1073" s="11" t="s">
        <v>2936</v>
      </c>
      <c r="E1073" s="11" t="s">
        <v>7485</v>
      </c>
      <c r="F1073" s="11" t="s">
        <v>353</v>
      </c>
      <c r="G1073" s="11" t="s">
        <v>714</v>
      </c>
      <c r="H1073" s="11" t="s">
        <v>142</v>
      </c>
      <c r="I1073" s="11" t="s">
        <v>2938</v>
      </c>
      <c r="J1073" s="11" t="s">
        <v>2939</v>
      </c>
      <c r="K1073" s="11" t="s">
        <v>717</v>
      </c>
      <c r="L1073" s="11" t="s">
        <v>464</v>
      </c>
      <c r="M1073" s="11" t="s">
        <v>7486</v>
      </c>
      <c r="N1073" s="11" t="s">
        <v>128</v>
      </c>
      <c r="O1073" s="11" t="s">
        <v>7487</v>
      </c>
      <c r="P1073" s="11"/>
      <c r="Q1073" s="11" t="s">
        <v>131</v>
      </c>
      <c r="R1073" s="11"/>
      <c r="S1073" s="11" t="s">
        <v>2943</v>
      </c>
      <c r="T1073" s="11" t="s">
        <v>983</v>
      </c>
      <c r="U1073" s="11" t="s">
        <v>134</v>
      </c>
      <c r="V1073" s="11" t="s">
        <v>131</v>
      </c>
      <c r="W1073" s="11" t="s">
        <v>983</v>
      </c>
      <c r="X1073" s="11">
        <v>41</v>
      </c>
      <c r="Y1073" s="11" t="s">
        <v>5796</v>
      </c>
      <c r="Z1073" s="11">
        <v>80</v>
      </c>
      <c r="AA1073" s="11">
        <v>0</v>
      </c>
      <c r="AB1073" s="12">
        <v>0</v>
      </c>
    </row>
    <row r="1074" spans="1:28" x14ac:dyDescent="0.2">
      <c r="A1074" s="7">
        <v>24806</v>
      </c>
      <c r="B1074" s="8" t="s">
        <v>7488</v>
      </c>
      <c r="C1074" s="8" t="s">
        <v>396</v>
      </c>
      <c r="D1074" s="8" t="s">
        <v>397</v>
      </c>
      <c r="E1074" s="8" t="s">
        <v>3381</v>
      </c>
      <c r="F1074" s="8" t="s">
        <v>399</v>
      </c>
      <c r="G1074" s="8" t="s">
        <v>400</v>
      </c>
      <c r="H1074" s="8" t="s">
        <v>142</v>
      </c>
      <c r="I1074" s="8" t="s">
        <v>401</v>
      </c>
      <c r="J1074" s="8" t="s">
        <v>402</v>
      </c>
      <c r="K1074" s="8" t="s">
        <v>403</v>
      </c>
      <c r="L1074" s="8" t="s">
        <v>146</v>
      </c>
      <c r="M1074" s="8" t="s">
        <v>7489</v>
      </c>
      <c r="N1074" s="8" t="s">
        <v>128</v>
      </c>
      <c r="O1074" s="8" t="s">
        <v>7490</v>
      </c>
      <c r="P1074" s="8"/>
      <c r="Q1074" s="8" t="s">
        <v>131</v>
      </c>
      <c r="R1074" s="8"/>
      <c r="S1074" s="8" t="s">
        <v>407</v>
      </c>
      <c r="T1074" s="8" t="s">
        <v>983</v>
      </c>
      <c r="U1074" s="8" t="s">
        <v>134</v>
      </c>
      <c r="V1074" s="8" t="s">
        <v>131</v>
      </c>
      <c r="W1074" s="8" t="s">
        <v>983</v>
      </c>
      <c r="X1074" s="8">
        <v>41</v>
      </c>
      <c r="Y1074" s="8" t="s">
        <v>5796</v>
      </c>
      <c r="Z1074" s="8">
        <v>80</v>
      </c>
      <c r="AA1074" s="8">
        <v>0</v>
      </c>
      <c r="AB1074" s="9">
        <v>0</v>
      </c>
    </row>
    <row r="1075" spans="1:28" x14ac:dyDescent="0.2">
      <c r="A1075" s="10">
        <v>22658</v>
      </c>
      <c r="B1075" s="11" t="s">
        <v>7491</v>
      </c>
      <c r="C1075" s="11" t="s">
        <v>2497</v>
      </c>
      <c r="D1075" s="11" t="s">
        <v>7492</v>
      </c>
      <c r="E1075" s="11"/>
      <c r="F1075" s="11" t="s">
        <v>353</v>
      </c>
      <c r="G1075" s="11" t="s">
        <v>2117</v>
      </c>
      <c r="H1075" s="11" t="s">
        <v>142</v>
      </c>
      <c r="I1075" s="11" t="s">
        <v>7493</v>
      </c>
      <c r="J1075" s="11" t="s">
        <v>7494</v>
      </c>
      <c r="K1075" s="11" t="s">
        <v>1673</v>
      </c>
      <c r="L1075" s="11" t="s">
        <v>464</v>
      </c>
      <c r="M1075" s="11" t="s">
        <v>7495</v>
      </c>
      <c r="N1075" s="11" t="s">
        <v>128</v>
      </c>
      <c r="O1075" s="11" t="s">
        <v>7496</v>
      </c>
      <c r="P1075" s="11"/>
      <c r="Q1075" s="11" t="s">
        <v>131</v>
      </c>
      <c r="R1075" s="11"/>
      <c r="S1075" s="11" t="s">
        <v>71</v>
      </c>
      <c r="T1075" s="11" t="s">
        <v>983</v>
      </c>
      <c r="U1075" s="11" t="s">
        <v>134</v>
      </c>
      <c r="V1075" s="11" t="s">
        <v>131</v>
      </c>
      <c r="W1075" s="11" t="s">
        <v>983</v>
      </c>
      <c r="X1075" s="11">
        <v>41</v>
      </c>
      <c r="Y1075" s="11" t="s">
        <v>5796</v>
      </c>
      <c r="Z1075" s="11">
        <v>80</v>
      </c>
      <c r="AA1075" s="11">
        <v>0</v>
      </c>
      <c r="AB1075" s="12">
        <v>0</v>
      </c>
    </row>
    <row r="1076" spans="1:28" x14ac:dyDescent="0.2">
      <c r="A1076" s="7">
        <v>21865</v>
      </c>
      <c r="B1076" s="8" t="s">
        <v>7497</v>
      </c>
      <c r="C1076" s="8" t="s">
        <v>2649</v>
      </c>
      <c r="D1076" s="8" t="s">
        <v>861</v>
      </c>
      <c r="E1076" s="8" t="s">
        <v>7498</v>
      </c>
      <c r="F1076" s="8" t="s">
        <v>2651</v>
      </c>
      <c r="G1076" s="8" t="s">
        <v>2652</v>
      </c>
      <c r="H1076" s="8" t="s">
        <v>1843</v>
      </c>
      <c r="I1076" s="8" t="s">
        <v>2653</v>
      </c>
      <c r="J1076" s="8" t="s">
        <v>7499</v>
      </c>
      <c r="K1076" s="8" t="s">
        <v>1562</v>
      </c>
      <c r="L1076" s="8" t="s">
        <v>229</v>
      </c>
      <c r="M1076" s="8" t="s">
        <v>7500</v>
      </c>
      <c r="N1076" s="8" t="s">
        <v>128</v>
      </c>
      <c r="O1076" s="8" t="s">
        <v>7501</v>
      </c>
      <c r="P1076" s="8" t="s">
        <v>7502</v>
      </c>
      <c r="Q1076" s="8" t="s">
        <v>131</v>
      </c>
      <c r="R1076" s="8"/>
      <c r="S1076" s="8" t="s">
        <v>2657</v>
      </c>
      <c r="T1076" s="8" t="s">
        <v>133</v>
      </c>
      <c r="U1076" s="8" t="s">
        <v>134</v>
      </c>
      <c r="V1076" s="8" t="s">
        <v>131</v>
      </c>
      <c r="W1076" s="8" t="s">
        <v>133</v>
      </c>
      <c r="X1076" s="8">
        <v>41</v>
      </c>
      <c r="Y1076" s="8" t="s">
        <v>5796</v>
      </c>
      <c r="Z1076" s="8">
        <v>80</v>
      </c>
      <c r="AA1076" s="8">
        <v>0</v>
      </c>
      <c r="AB1076" s="9">
        <v>0</v>
      </c>
    </row>
    <row r="1077" spans="1:28" x14ac:dyDescent="0.2">
      <c r="A1077" s="10">
        <v>219348</v>
      </c>
      <c r="B1077" s="11" t="s">
        <v>7503</v>
      </c>
      <c r="C1077" s="11" t="s">
        <v>1840</v>
      </c>
      <c r="D1077" s="11" t="s">
        <v>7504</v>
      </c>
      <c r="E1077" s="11"/>
      <c r="F1077" s="11" t="s">
        <v>6873</v>
      </c>
      <c r="G1077" s="11" t="s">
        <v>1842</v>
      </c>
      <c r="H1077" s="11" t="s">
        <v>1843</v>
      </c>
      <c r="I1077" s="11" t="s">
        <v>1844</v>
      </c>
      <c r="J1077" s="11" t="s">
        <v>7505</v>
      </c>
      <c r="K1077" s="11" t="s">
        <v>1562</v>
      </c>
      <c r="L1077" s="11" t="s">
        <v>229</v>
      </c>
      <c r="M1077" s="11" t="s">
        <v>7506</v>
      </c>
      <c r="N1077" s="11" t="s">
        <v>128</v>
      </c>
      <c r="O1077" s="11" t="s">
        <v>7507</v>
      </c>
      <c r="P1077" s="11" t="s">
        <v>7508</v>
      </c>
      <c r="Q1077" s="11" t="s">
        <v>150</v>
      </c>
      <c r="R1077" s="11"/>
      <c r="S1077" s="11" t="s">
        <v>71</v>
      </c>
      <c r="T1077" s="11" t="s">
        <v>6131</v>
      </c>
      <c r="U1077" s="11" t="s">
        <v>150</v>
      </c>
      <c r="V1077" s="11" t="s">
        <v>6131</v>
      </c>
      <c r="W1077" s="11" t="s">
        <v>6131</v>
      </c>
      <c r="X1077" s="11">
        <v>41</v>
      </c>
      <c r="Y1077" s="11" t="s">
        <v>5796</v>
      </c>
      <c r="Z1077" s="11">
        <v>80</v>
      </c>
      <c r="AA1077" s="11">
        <v>0</v>
      </c>
      <c r="AB1077" s="12">
        <v>0</v>
      </c>
    </row>
    <row r="1078" spans="1:28" x14ac:dyDescent="0.2">
      <c r="A1078" s="7">
        <v>124040</v>
      </c>
      <c r="B1078" s="8" t="s">
        <v>7509</v>
      </c>
      <c r="C1078" s="8" t="s">
        <v>1024</v>
      </c>
      <c r="D1078" s="8" t="s">
        <v>7510</v>
      </c>
      <c r="E1078" s="8"/>
      <c r="F1078" s="8" t="s">
        <v>353</v>
      </c>
      <c r="G1078" s="8" t="s">
        <v>2992</v>
      </c>
      <c r="H1078" s="8" t="s">
        <v>122</v>
      </c>
      <c r="I1078" s="8" t="s">
        <v>7511</v>
      </c>
      <c r="J1078" s="8" t="s">
        <v>7512</v>
      </c>
      <c r="K1078" s="8" t="s">
        <v>125</v>
      </c>
      <c r="L1078" s="8" t="s">
        <v>126</v>
      </c>
      <c r="M1078" s="8" t="s">
        <v>7513</v>
      </c>
      <c r="N1078" s="8" t="s">
        <v>128</v>
      </c>
      <c r="O1078" s="8" t="s">
        <v>7514</v>
      </c>
      <c r="P1078" s="8" t="s">
        <v>4511</v>
      </c>
      <c r="Q1078" s="8" t="s">
        <v>150</v>
      </c>
      <c r="R1078" s="8"/>
      <c r="S1078" s="8" t="s">
        <v>71</v>
      </c>
      <c r="T1078" s="8" t="s">
        <v>7189</v>
      </c>
      <c r="U1078" s="8" t="s">
        <v>150</v>
      </c>
      <c r="V1078" s="8" t="s">
        <v>7189</v>
      </c>
      <c r="W1078" s="8" t="s">
        <v>7189</v>
      </c>
      <c r="X1078" s="8">
        <v>41</v>
      </c>
      <c r="Y1078" s="8" t="s">
        <v>5796</v>
      </c>
      <c r="Z1078" s="8">
        <v>80</v>
      </c>
      <c r="AA1078" s="8">
        <v>0</v>
      </c>
      <c r="AB1078" s="9">
        <v>0</v>
      </c>
    </row>
    <row r="1079" spans="1:28" x14ac:dyDescent="0.2">
      <c r="A1079" s="10">
        <v>23371</v>
      </c>
      <c r="B1079" s="11" t="s">
        <v>7515</v>
      </c>
      <c r="C1079" s="11" t="s">
        <v>7516</v>
      </c>
      <c r="D1079" s="11" t="s">
        <v>7517</v>
      </c>
      <c r="E1079" s="11"/>
      <c r="F1079" s="11" t="s">
        <v>353</v>
      </c>
      <c r="G1079" s="11" t="s">
        <v>2035</v>
      </c>
      <c r="H1079" s="11" t="s">
        <v>142</v>
      </c>
      <c r="I1079" s="11" t="s">
        <v>7518</v>
      </c>
      <c r="J1079" s="11" t="s">
        <v>7519</v>
      </c>
      <c r="K1079" s="11" t="s">
        <v>779</v>
      </c>
      <c r="L1079" s="11" t="s">
        <v>464</v>
      </c>
      <c r="M1079" s="11" t="s">
        <v>7520</v>
      </c>
      <c r="N1079" s="11" t="s">
        <v>128</v>
      </c>
      <c r="O1079" s="11" t="s">
        <v>7521</v>
      </c>
      <c r="P1079" s="11" t="s">
        <v>7522</v>
      </c>
      <c r="Q1079" s="11" t="s">
        <v>150</v>
      </c>
      <c r="R1079" s="11"/>
      <c r="S1079" s="11" t="s">
        <v>71</v>
      </c>
      <c r="T1079" s="11" t="s">
        <v>70</v>
      </c>
      <c r="U1079" s="11" t="s">
        <v>150</v>
      </c>
      <c r="V1079" s="11" t="s">
        <v>70</v>
      </c>
      <c r="W1079" s="11" t="s">
        <v>70</v>
      </c>
      <c r="X1079" s="11">
        <v>41</v>
      </c>
      <c r="Y1079" s="11" t="s">
        <v>5796</v>
      </c>
      <c r="Z1079" s="11">
        <v>80</v>
      </c>
      <c r="AA1079" s="11">
        <v>0</v>
      </c>
      <c r="AB1079" s="12">
        <v>0</v>
      </c>
    </row>
    <row r="1080" spans="1:28" x14ac:dyDescent="0.2">
      <c r="A1080" s="7">
        <v>23499</v>
      </c>
      <c r="B1080" s="8" t="s">
        <v>7523</v>
      </c>
      <c r="C1080" s="8" t="s">
        <v>7524</v>
      </c>
      <c r="D1080" s="8" t="s">
        <v>7373</v>
      </c>
      <c r="E1080" s="8"/>
      <c r="F1080" s="8" t="s">
        <v>353</v>
      </c>
      <c r="G1080" s="8" t="s">
        <v>6338</v>
      </c>
      <c r="H1080" s="8" t="s">
        <v>329</v>
      </c>
      <c r="I1080" s="8" t="s">
        <v>7525</v>
      </c>
      <c r="J1080" s="8" t="s">
        <v>7526</v>
      </c>
      <c r="K1080" s="8" t="s">
        <v>572</v>
      </c>
      <c r="L1080" s="8" t="s">
        <v>333</v>
      </c>
      <c r="M1080" s="8" t="s">
        <v>7527</v>
      </c>
      <c r="N1080" s="8" t="s">
        <v>128</v>
      </c>
      <c r="O1080" s="8" t="s">
        <v>7528</v>
      </c>
      <c r="P1080" s="8" t="s">
        <v>7529</v>
      </c>
      <c r="Q1080" s="8" t="s">
        <v>150</v>
      </c>
      <c r="R1080" s="8"/>
      <c r="S1080" s="8" t="s">
        <v>71</v>
      </c>
      <c r="T1080" s="8" t="s">
        <v>1415</v>
      </c>
      <c r="U1080" s="8" t="s">
        <v>150</v>
      </c>
      <c r="V1080" s="8" t="s">
        <v>1415</v>
      </c>
      <c r="W1080" s="8" t="s">
        <v>1415</v>
      </c>
      <c r="X1080" s="8">
        <v>41</v>
      </c>
      <c r="Y1080" s="8" t="s">
        <v>5796</v>
      </c>
      <c r="Z1080" s="8">
        <v>80</v>
      </c>
      <c r="AA1080" s="8">
        <v>0</v>
      </c>
      <c r="AB1080" s="9">
        <v>0</v>
      </c>
    </row>
    <row r="1081" spans="1:28" x14ac:dyDescent="0.2">
      <c r="A1081" s="10">
        <v>23925</v>
      </c>
      <c r="B1081" s="11" t="s">
        <v>7530</v>
      </c>
      <c r="C1081" s="11" t="s">
        <v>7531</v>
      </c>
      <c r="D1081" s="11" t="s">
        <v>7532</v>
      </c>
      <c r="E1081" s="11" t="s">
        <v>7533</v>
      </c>
      <c r="F1081" s="11" t="s">
        <v>353</v>
      </c>
      <c r="G1081" s="11" t="s">
        <v>1670</v>
      </c>
      <c r="H1081" s="11" t="s">
        <v>142</v>
      </c>
      <c r="I1081" s="11" t="s">
        <v>7534</v>
      </c>
      <c r="J1081" s="11" t="s">
        <v>7535</v>
      </c>
      <c r="K1081" s="11" t="s">
        <v>1673</v>
      </c>
      <c r="L1081" s="11" t="s">
        <v>464</v>
      </c>
      <c r="M1081" s="11" t="s">
        <v>7536</v>
      </c>
      <c r="N1081" s="11" t="s">
        <v>128</v>
      </c>
      <c r="O1081" s="11" t="s">
        <v>7537</v>
      </c>
      <c r="P1081" s="11" t="s">
        <v>7538</v>
      </c>
      <c r="Q1081" s="11" t="s">
        <v>150</v>
      </c>
      <c r="R1081" s="11"/>
      <c r="S1081" s="11" t="s">
        <v>7539</v>
      </c>
      <c r="T1081" s="11" t="s">
        <v>168</v>
      </c>
      <c r="U1081" s="11" t="s">
        <v>150</v>
      </c>
      <c r="V1081" s="11" t="s">
        <v>168</v>
      </c>
      <c r="W1081" s="11" t="s">
        <v>168</v>
      </c>
      <c r="X1081" s="11">
        <v>41</v>
      </c>
      <c r="Y1081" s="11" t="s">
        <v>5796</v>
      </c>
      <c r="Z1081" s="11">
        <v>80</v>
      </c>
      <c r="AA1081" s="11">
        <v>0</v>
      </c>
      <c r="AB1081" s="12">
        <v>0</v>
      </c>
    </row>
    <row r="1082" spans="1:28" x14ac:dyDescent="0.2">
      <c r="A1082" s="7">
        <v>24743</v>
      </c>
      <c r="B1082" s="8" t="s">
        <v>7540</v>
      </c>
      <c r="C1082" s="8" t="s">
        <v>7541</v>
      </c>
      <c r="D1082" s="8" t="s">
        <v>7542</v>
      </c>
      <c r="E1082" s="8" t="s">
        <v>7543</v>
      </c>
      <c r="F1082" s="8" t="s">
        <v>2063</v>
      </c>
      <c r="G1082" s="8" t="s">
        <v>141</v>
      </c>
      <c r="H1082" s="8" t="s">
        <v>142</v>
      </c>
      <c r="I1082" s="8" t="s">
        <v>7544</v>
      </c>
      <c r="J1082" s="8" t="s">
        <v>7545</v>
      </c>
      <c r="K1082" s="8" t="s">
        <v>145</v>
      </c>
      <c r="L1082" s="8" t="s">
        <v>146</v>
      </c>
      <c r="M1082" s="8" t="s">
        <v>7546</v>
      </c>
      <c r="N1082" s="8" t="s">
        <v>128</v>
      </c>
      <c r="O1082" s="8" t="s">
        <v>7547</v>
      </c>
      <c r="P1082" s="8" t="s">
        <v>7548</v>
      </c>
      <c r="Q1082" s="8" t="s">
        <v>150</v>
      </c>
      <c r="R1082" s="8"/>
      <c r="S1082" s="8" t="s">
        <v>71</v>
      </c>
      <c r="T1082" s="8" t="s">
        <v>69</v>
      </c>
      <c r="U1082" s="8" t="s">
        <v>150</v>
      </c>
      <c r="V1082" s="8" t="s">
        <v>152</v>
      </c>
      <c r="W1082" s="8" t="s">
        <v>69</v>
      </c>
      <c r="X1082" s="8">
        <v>41</v>
      </c>
      <c r="Y1082" s="8" t="s">
        <v>5796</v>
      </c>
      <c r="Z1082" s="8">
        <v>80</v>
      </c>
      <c r="AA1082" s="8">
        <v>0</v>
      </c>
      <c r="AB1082" s="9">
        <v>0</v>
      </c>
    </row>
    <row r="1083" spans="1:28" x14ac:dyDescent="0.2">
      <c r="A1083" s="10">
        <v>24745</v>
      </c>
      <c r="B1083" s="11" t="s">
        <v>7549</v>
      </c>
      <c r="C1083" s="11" t="s">
        <v>2615</v>
      </c>
      <c r="D1083" s="11" t="s">
        <v>7550</v>
      </c>
      <c r="E1083" s="11"/>
      <c r="F1083" s="11" t="s">
        <v>353</v>
      </c>
      <c r="G1083" s="11" t="s">
        <v>2618</v>
      </c>
      <c r="H1083" s="11" t="s">
        <v>142</v>
      </c>
      <c r="I1083" s="11" t="s">
        <v>3712</v>
      </c>
      <c r="J1083" s="11" t="s">
        <v>7551</v>
      </c>
      <c r="K1083" s="11" t="s">
        <v>651</v>
      </c>
      <c r="L1083" s="11" t="s">
        <v>146</v>
      </c>
      <c r="M1083" s="11" t="s">
        <v>7552</v>
      </c>
      <c r="N1083" s="11" t="s">
        <v>128</v>
      </c>
      <c r="O1083" s="11" t="s">
        <v>7553</v>
      </c>
      <c r="P1083" s="11" t="s">
        <v>7382</v>
      </c>
      <c r="Q1083" s="11" t="s">
        <v>150</v>
      </c>
      <c r="R1083" s="11"/>
      <c r="S1083" s="11" t="s">
        <v>71</v>
      </c>
      <c r="T1083" s="11" t="s">
        <v>69</v>
      </c>
      <c r="U1083" s="11" t="s">
        <v>150</v>
      </c>
      <c r="V1083" s="11" t="s">
        <v>152</v>
      </c>
      <c r="W1083" s="11" t="s">
        <v>69</v>
      </c>
      <c r="X1083" s="11">
        <v>41</v>
      </c>
      <c r="Y1083" s="11" t="s">
        <v>5796</v>
      </c>
      <c r="Z1083" s="11">
        <v>80</v>
      </c>
      <c r="AA1083" s="11">
        <v>0</v>
      </c>
      <c r="AB1083" s="12">
        <v>0</v>
      </c>
    </row>
    <row r="1084" spans="1:28" x14ac:dyDescent="0.2">
      <c r="A1084" s="7">
        <v>21765</v>
      </c>
      <c r="B1084" s="8" t="s">
        <v>7554</v>
      </c>
      <c r="C1084" s="8" t="s">
        <v>533</v>
      </c>
      <c r="D1084" s="8" t="s">
        <v>7555</v>
      </c>
      <c r="E1084" s="8" t="s">
        <v>281</v>
      </c>
      <c r="F1084" s="8" t="s">
        <v>353</v>
      </c>
      <c r="G1084" s="8" t="s">
        <v>536</v>
      </c>
      <c r="H1084" s="8" t="s">
        <v>329</v>
      </c>
      <c r="I1084" s="8" t="s">
        <v>7556</v>
      </c>
      <c r="J1084" s="8" t="s">
        <v>7557</v>
      </c>
      <c r="K1084" s="8" t="s">
        <v>431</v>
      </c>
      <c r="L1084" s="8" t="s">
        <v>333</v>
      </c>
      <c r="M1084" s="8" t="s">
        <v>7558</v>
      </c>
      <c r="N1084" s="8" t="s">
        <v>128</v>
      </c>
      <c r="O1084" s="8" t="s">
        <v>7559</v>
      </c>
      <c r="P1084" s="8"/>
      <c r="Q1084" s="8" t="s">
        <v>249</v>
      </c>
      <c r="R1084" s="8"/>
      <c r="S1084" s="8" t="s">
        <v>71</v>
      </c>
      <c r="T1084" s="8" t="s">
        <v>1523</v>
      </c>
      <c r="U1084" s="8" t="s">
        <v>134</v>
      </c>
      <c r="V1084" s="8" t="s">
        <v>249</v>
      </c>
      <c r="W1084" s="8" t="s">
        <v>1523</v>
      </c>
      <c r="X1084" s="8">
        <v>41</v>
      </c>
      <c r="Y1084" s="8" t="s">
        <v>5796</v>
      </c>
      <c r="Z1084" s="8">
        <v>80</v>
      </c>
      <c r="AA1084" s="8">
        <v>0</v>
      </c>
      <c r="AB1084" s="9">
        <v>0</v>
      </c>
    </row>
    <row r="1085" spans="1:28" x14ac:dyDescent="0.2">
      <c r="A1085" s="10">
        <v>21563</v>
      </c>
      <c r="B1085" s="11" t="s">
        <v>7560</v>
      </c>
      <c r="C1085" s="11" t="s">
        <v>409</v>
      </c>
      <c r="D1085" s="11" t="s">
        <v>4801</v>
      </c>
      <c r="E1085" s="11" t="s">
        <v>7561</v>
      </c>
      <c r="F1085" s="11" t="s">
        <v>353</v>
      </c>
      <c r="G1085" s="11" t="s">
        <v>7562</v>
      </c>
      <c r="H1085" s="11" t="s">
        <v>847</v>
      </c>
      <c r="I1085" s="11" t="s">
        <v>7563</v>
      </c>
      <c r="J1085" s="11" t="s">
        <v>7564</v>
      </c>
      <c r="K1085" s="11" t="s">
        <v>850</v>
      </c>
      <c r="L1085" s="11" t="s">
        <v>126</v>
      </c>
      <c r="M1085" s="11" t="s">
        <v>7565</v>
      </c>
      <c r="N1085" s="11" t="s">
        <v>128</v>
      </c>
      <c r="O1085" s="11" t="s">
        <v>7566</v>
      </c>
      <c r="P1085" s="11" t="s">
        <v>686</v>
      </c>
      <c r="Q1085" s="11" t="s">
        <v>150</v>
      </c>
      <c r="R1085" s="11"/>
      <c r="S1085" s="11" t="s">
        <v>71</v>
      </c>
      <c r="T1085" s="11" t="s">
        <v>67</v>
      </c>
      <c r="U1085" s="11" t="s">
        <v>150</v>
      </c>
      <c r="V1085" s="11" t="s">
        <v>152</v>
      </c>
      <c r="W1085" s="11" t="s">
        <v>67</v>
      </c>
      <c r="X1085" s="11">
        <v>40</v>
      </c>
      <c r="Y1085" s="11" t="s">
        <v>5796</v>
      </c>
      <c r="Z1085" s="11">
        <v>80</v>
      </c>
      <c r="AA1085" s="11">
        <v>0</v>
      </c>
      <c r="AB1085" s="12">
        <v>0</v>
      </c>
    </row>
    <row r="1086" spans="1:28" x14ac:dyDescent="0.2">
      <c r="A1086" s="7">
        <v>21720</v>
      </c>
      <c r="B1086" s="8" t="s">
        <v>7567</v>
      </c>
      <c r="C1086" s="8" t="s">
        <v>7568</v>
      </c>
      <c r="D1086" s="8" t="s">
        <v>7569</v>
      </c>
      <c r="E1086" s="8" t="s">
        <v>7570</v>
      </c>
      <c r="F1086" s="8" t="s">
        <v>353</v>
      </c>
      <c r="G1086" s="8" t="s">
        <v>7116</v>
      </c>
      <c r="H1086" s="8" t="s">
        <v>142</v>
      </c>
      <c r="I1086" s="8" t="s">
        <v>7571</v>
      </c>
      <c r="J1086" s="8" t="s">
        <v>7572</v>
      </c>
      <c r="K1086" s="8" t="s">
        <v>1199</v>
      </c>
      <c r="L1086" s="8" t="s">
        <v>464</v>
      </c>
      <c r="M1086" s="8" t="s">
        <v>7573</v>
      </c>
      <c r="N1086" s="8" t="s">
        <v>128</v>
      </c>
      <c r="O1086" s="8" t="s">
        <v>7574</v>
      </c>
      <c r="P1086" s="8" t="s">
        <v>7575</v>
      </c>
      <c r="Q1086" s="8" t="s">
        <v>150</v>
      </c>
      <c r="R1086" s="8"/>
      <c r="S1086" s="8" t="s">
        <v>71</v>
      </c>
      <c r="T1086" s="8" t="s">
        <v>67</v>
      </c>
      <c r="U1086" s="8" t="s">
        <v>150</v>
      </c>
      <c r="V1086" s="8" t="s">
        <v>152</v>
      </c>
      <c r="W1086" s="8" t="s">
        <v>67</v>
      </c>
      <c r="X1086" s="8">
        <v>40</v>
      </c>
      <c r="Y1086" s="8" t="s">
        <v>5796</v>
      </c>
      <c r="Z1086" s="8">
        <v>80</v>
      </c>
      <c r="AA1086" s="8">
        <v>0</v>
      </c>
      <c r="AB1086" s="9">
        <v>0</v>
      </c>
    </row>
    <row r="1087" spans="1:28" x14ac:dyDescent="0.2">
      <c r="A1087" s="10">
        <v>21642</v>
      </c>
      <c r="B1087" s="11" t="s">
        <v>7576</v>
      </c>
      <c r="C1087" s="11" t="s">
        <v>7577</v>
      </c>
      <c r="D1087" s="11" t="s">
        <v>7578</v>
      </c>
      <c r="E1087" s="11" t="s">
        <v>7579</v>
      </c>
      <c r="F1087" s="11" t="s">
        <v>6117</v>
      </c>
      <c r="G1087" s="11" t="s">
        <v>141</v>
      </c>
      <c r="H1087" s="11" t="s">
        <v>142</v>
      </c>
      <c r="I1087" s="11" t="s">
        <v>7580</v>
      </c>
      <c r="J1087" s="11" t="s">
        <v>7581</v>
      </c>
      <c r="K1087" s="11" t="s">
        <v>584</v>
      </c>
      <c r="L1087" s="11" t="s">
        <v>146</v>
      </c>
      <c r="M1087" s="11" t="s">
        <v>7582</v>
      </c>
      <c r="N1087" s="11" t="s">
        <v>128</v>
      </c>
      <c r="O1087" s="11" t="s">
        <v>7583</v>
      </c>
      <c r="P1087" s="11" t="s">
        <v>5972</v>
      </c>
      <c r="Q1087" s="11" t="s">
        <v>150</v>
      </c>
      <c r="R1087" s="11"/>
      <c r="S1087" s="11" t="s">
        <v>71</v>
      </c>
      <c r="T1087" s="11" t="s">
        <v>67</v>
      </c>
      <c r="U1087" s="11" t="s">
        <v>150</v>
      </c>
      <c r="V1087" s="11" t="s">
        <v>152</v>
      </c>
      <c r="W1087" s="11" t="s">
        <v>67</v>
      </c>
      <c r="X1087" s="11">
        <v>40</v>
      </c>
      <c r="Y1087" s="11" t="s">
        <v>5796</v>
      </c>
      <c r="Z1087" s="11">
        <v>80</v>
      </c>
      <c r="AA1087" s="11">
        <v>0</v>
      </c>
      <c r="AB1087" s="12">
        <v>0</v>
      </c>
    </row>
    <row r="1088" spans="1:28" x14ac:dyDescent="0.2">
      <c r="A1088" s="7">
        <v>21318</v>
      </c>
      <c r="B1088" s="8" t="s">
        <v>7584</v>
      </c>
      <c r="C1088" s="8" t="s">
        <v>6052</v>
      </c>
      <c r="D1088" s="8" t="s">
        <v>7585</v>
      </c>
      <c r="E1088" s="8"/>
      <c r="F1088" s="8" t="s">
        <v>353</v>
      </c>
      <c r="G1088" s="8" t="s">
        <v>2691</v>
      </c>
      <c r="H1088" s="8" t="s">
        <v>704</v>
      </c>
      <c r="I1088" s="8" t="s">
        <v>6055</v>
      </c>
      <c r="J1088" s="8" t="s">
        <v>7586</v>
      </c>
      <c r="K1088" s="8" t="s">
        <v>707</v>
      </c>
      <c r="L1088" s="8" t="s">
        <v>126</v>
      </c>
      <c r="M1088" s="8" t="s">
        <v>7587</v>
      </c>
      <c r="N1088" s="8" t="s">
        <v>128</v>
      </c>
      <c r="O1088" s="8" t="s">
        <v>7588</v>
      </c>
      <c r="P1088" s="8" t="s">
        <v>7589</v>
      </c>
      <c r="Q1088" s="8" t="s">
        <v>150</v>
      </c>
      <c r="R1088" s="8"/>
      <c r="S1088" s="8" t="s">
        <v>71</v>
      </c>
      <c r="T1088" s="8" t="s">
        <v>67</v>
      </c>
      <c r="U1088" s="8" t="s">
        <v>150</v>
      </c>
      <c r="V1088" s="8" t="s">
        <v>152</v>
      </c>
      <c r="W1088" s="8" t="s">
        <v>67</v>
      </c>
      <c r="X1088" s="8">
        <v>40</v>
      </c>
      <c r="Y1088" s="8" t="s">
        <v>5796</v>
      </c>
      <c r="Z1088" s="8">
        <v>80</v>
      </c>
      <c r="AA1088" s="8">
        <v>0</v>
      </c>
      <c r="AB1088" s="9">
        <v>0</v>
      </c>
    </row>
    <row r="1089" spans="1:28" x14ac:dyDescent="0.2">
      <c r="A1089" s="10">
        <v>21930</v>
      </c>
      <c r="B1089" s="11" t="s">
        <v>7590</v>
      </c>
      <c r="C1089" s="11" t="s">
        <v>2431</v>
      </c>
      <c r="D1089" s="11" t="s">
        <v>2432</v>
      </c>
      <c r="E1089" s="11"/>
      <c r="F1089" s="11" t="s">
        <v>2434</v>
      </c>
      <c r="G1089" s="11" t="s">
        <v>2435</v>
      </c>
      <c r="H1089" s="11" t="s">
        <v>142</v>
      </c>
      <c r="I1089" s="11" t="s">
        <v>2436</v>
      </c>
      <c r="J1089" s="11" t="s">
        <v>2437</v>
      </c>
      <c r="K1089" s="11" t="s">
        <v>1029</v>
      </c>
      <c r="L1089" s="11" t="s">
        <v>464</v>
      </c>
      <c r="M1089" s="11" t="s">
        <v>7591</v>
      </c>
      <c r="N1089" s="11" t="s">
        <v>128</v>
      </c>
      <c r="O1089" s="11" t="s">
        <v>7592</v>
      </c>
      <c r="P1089" s="11" t="s">
        <v>7593</v>
      </c>
      <c r="Q1089" s="11" t="s">
        <v>131</v>
      </c>
      <c r="R1089" s="11"/>
      <c r="S1089" s="11" t="s">
        <v>2441</v>
      </c>
      <c r="T1089" s="11" t="s">
        <v>133</v>
      </c>
      <c r="U1089" s="11" t="s">
        <v>134</v>
      </c>
      <c r="V1089" s="11" t="s">
        <v>131</v>
      </c>
      <c r="W1089" s="11" t="s">
        <v>133</v>
      </c>
      <c r="X1089" s="11">
        <v>40</v>
      </c>
      <c r="Y1089" s="11" t="s">
        <v>5796</v>
      </c>
      <c r="Z1089" s="11">
        <v>80</v>
      </c>
      <c r="AA1089" s="11">
        <v>0</v>
      </c>
      <c r="AB1089" s="12">
        <v>0</v>
      </c>
    </row>
    <row r="1090" spans="1:28" x14ac:dyDescent="0.2">
      <c r="A1090" s="7">
        <v>26570</v>
      </c>
      <c r="B1090" s="8" t="s">
        <v>7594</v>
      </c>
      <c r="C1090" s="8" t="s">
        <v>3482</v>
      </c>
      <c r="D1090" s="8" t="s">
        <v>2690</v>
      </c>
      <c r="E1090" s="8"/>
      <c r="F1090" s="8" t="s">
        <v>7595</v>
      </c>
      <c r="G1090" s="8" t="s">
        <v>3484</v>
      </c>
      <c r="H1090" s="8" t="s">
        <v>671</v>
      </c>
      <c r="I1090" s="8" t="s">
        <v>3485</v>
      </c>
      <c r="J1090" s="8" t="s">
        <v>3486</v>
      </c>
      <c r="K1090" s="8" t="s">
        <v>572</v>
      </c>
      <c r="L1090" s="8" t="s">
        <v>333</v>
      </c>
      <c r="M1090" s="8" t="s">
        <v>7596</v>
      </c>
      <c r="N1090" s="8" t="s">
        <v>128</v>
      </c>
      <c r="O1090" s="8" t="s">
        <v>7597</v>
      </c>
      <c r="P1090" s="8" t="s">
        <v>7598</v>
      </c>
      <c r="Q1090" s="8" t="s">
        <v>131</v>
      </c>
      <c r="R1090" s="8"/>
      <c r="S1090" s="8" t="s">
        <v>3489</v>
      </c>
      <c r="T1090" s="8" t="s">
        <v>133</v>
      </c>
      <c r="U1090" s="8" t="s">
        <v>134</v>
      </c>
      <c r="V1090" s="8" t="s">
        <v>131</v>
      </c>
      <c r="W1090" s="8" t="s">
        <v>133</v>
      </c>
      <c r="X1090" s="8">
        <v>40</v>
      </c>
      <c r="Y1090" s="8" t="s">
        <v>5796</v>
      </c>
      <c r="Z1090" s="8">
        <v>80</v>
      </c>
      <c r="AA1090" s="8">
        <v>0</v>
      </c>
      <c r="AB1090" s="9">
        <v>0</v>
      </c>
    </row>
    <row r="1091" spans="1:28" x14ac:dyDescent="0.2">
      <c r="A1091" s="10">
        <v>22852</v>
      </c>
      <c r="B1091" s="11" t="s">
        <v>7599</v>
      </c>
      <c r="C1091" s="11" t="s">
        <v>7600</v>
      </c>
      <c r="D1091" s="11" t="s">
        <v>2859</v>
      </c>
      <c r="E1091" s="11"/>
      <c r="F1091" s="11" t="s">
        <v>353</v>
      </c>
      <c r="G1091" s="11" t="s">
        <v>1438</v>
      </c>
      <c r="H1091" s="11" t="s">
        <v>122</v>
      </c>
      <c r="I1091" s="11" t="s">
        <v>7601</v>
      </c>
      <c r="J1091" s="11" t="s">
        <v>7602</v>
      </c>
      <c r="K1091" s="11" t="s">
        <v>125</v>
      </c>
      <c r="L1091" s="11" t="s">
        <v>126</v>
      </c>
      <c r="M1091" s="11" t="s">
        <v>7603</v>
      </c>
      <c r="N1091" s="11" t="s">
        <v>128</v>
      </c>
      <c r="O1091" s="11" t="s">
        <v>7604</v>
      </c>
      <c r="P1091" s="11" t="s">
        <v>7605</v>
      </c>
      <c r="Q1091" s="11" t="s">
        <v>150</v>
      </c>
      <c r="R1091" s="11"/>
      <c r="S1091" s="11" t="s">
        <v>71</v>
      </c>
      <c r="T1091" s="11" t="s">
        <v>7189</v>
      </c>
      <c r="U1091" s="11" t="s">
        <v>150</v>
      </c>
      <c r="V1091" s="11" t="s">
        <v>7189</v>
      </c>
      <c r="W1091" s="11" t="s">
        <v>7189</v>
      </c>
      <c r="X1091" s="11">
        <v>40</v>
      </c>
      <c r="Y1091" s="11" t="s">
        <v>5796</v>
      </c>
      <c r="Z1091" s="11">
        <v>80</v>
      </c>
      <c r="AA1091" s="11">
        <v>0</v>
      </c>
      <c r="AB1091" s="12">
        <v>0</v>
      </c>
    </row>
    <row r="1092" spans="1:28" x14ac:dyDescent="0.2">
      <c r="A1092" s="7">
        <v>160002</v>
      </c>
      <c r="B1092" s="8" t="s">
        <v>7606</v>
      </c>
      <c r="C1092" s="8" t="s">
        <v>1125</v>
      </c>
      <c r="D1092" s="8" t="s">
        <v>7607</v>
      </c>
      <c r="E1092" s="8" t="s">
        <v>7608</v>
      </c>
      <c r="F1092" s="8" t="s">
        <v>7609</v>
      </c>
      <c r="G1092" s="8" t="s">
        <v>450</v>
      </c>
      <c r="H1092" s="8" t="s">
        <v>301</v>
      </c>
      <c r="I1092" s="8" t="s">
        <v>7610</v>
      </c>
      <c r="J1092" s="8" t="s">
        <v>7611</v>
      </c>
      <c r="K1092" s="8" t="s">
        <v>304</v>
      </c>
      <c r="L1092" s="8" t="s">
        <v>229</v>
      </c>
      <c r="M1092" s="8" t="s">
        <v>7612</v>
      </c>
      <c r="N1092" s="8" t="s">
        <v>128</v>
      </c>
      <c r="O1092" s="8" t="s">
        <v>7613</v>
      </c>
      <c r="P1092" s="8" t="s">
        <v>7614</v>
      </c>
      <c r="Q1092" s="8" t="s">
        <v>150</v>
      </c>
      <c r="R1092" s="8"/>
      <c r="S1092" s="8" t="s">
        <v>71</v>
      </c>
      <c r="T1092" s="8" t="s">
        <v>168</v>
      </c>
      <c r="U1092" s="8" t="s">
        <v>150</v>
      </c>
      <c r="V1092" s="8" t="s">
        <v>168</v>
      </c>
      <c r="W1092" s="8" t="s">
        <v>168</v>
      </c>
      <c r="X1092" s="8">
        <v>40</v>
      </c>
      <c r="Y1092" s="8" t="s">
        <v>5796</v>
      </c>
      <c r="Z1092" s="8">
        <v>80</v>
      </c>
      <c r="AA1092" s="8">
        <v>0</v>
      </c>
      <c r="AB1092" s="9">
        <v>0</v>
      </c>
    </row>
    <row r="1093" spans="1:28" x14ac:dyDescent="0.2">
      <c r="A1093" s="10">
        <v>106136</v>
      </c>
      <c r="B1093" s="11" t="s">
        <v>7615</v>
      </c>
      <c r="C1093" s="11" t="s">
        <v>6335</v>
      </c>
      <c r="D1093" s="11" t="s">
        <v>7616</v>
      </c>
      <c r="E1093" s="11"/>
      <c r="F1093" s="11" t="s">
        <v>353</v>
      </c>
      <c r="G1093" s="11" t="s">
        <v>7617</v>
      </c>
      <c r="H1093" s="11" t="s">
        <v>329</v>
      </c>
      <c r="I1093" s="11" t="s">
        <v>6339</v>
      </c>
      <c r="J1093" s="11" t="s">
        <v>7618</v>
      </c>
      <c r="K1093" s="11" t="s">
        <v>572</v>
      </c>
      <c r="L1093" s="11" t="s">
        <v>333</v>
      </c>
      <c r="M1093" s="11" t="s">
        <v>7619</v>
      </c>
      <c r="N1093" s="11" t="s">
        <v>128</v>
      </c>
      <c r="O1093" s="11" t="s">
        <v>7620</v>
      </c>
      <c r="P1093" s="11" t="s">
        <v>7621</v>
      </c>
      <c r="Q1093" s="11" t="s">
        <v>150</v>
      </c>
      <c r="R1093" s="11"/>
      <c r="S1093" s="11" t="s">
        <v>71</v>
      </c>
      <c r="T1093" s="11" t="s">
        <v>168</v>
      </c>
      <c r="U1093" s="11" t="s">
        <v>150</v>
      </c>
      <c r="V1093" s="11" t="s">
        <v>168</v>
      </c>
      <c r="W1093" s="11" t="s">
        <v>168</v>
      </c>
      <c r="X1093" s="11">
        <v>40</v>
      </c>
      <c r="Y1093" s="11" t="s">
        <v>5796</v>
      </c>
      <c r="Z1093" s="11">
        <v>80</v>
      </c>
      <c r="AA1093" s="11">
        <v>0</v>
      </c>
      <c r="AB1093" s="12">
        <v>0</v>
      </c>
    </row>
    <row r="1094" spans="1:28" x14ac:dyDescent="0.2">
      <c r="A1094" s="7">
        <v>24729</v>
      </c>
      <c r="B1094" s="8" t="s">
        <v>7622</v>
      </c>
      <c r="C1094" s="8" t="s">
        <v>3335</v>
      </c>
      <c r="D1094" s="8" t="s">
        <v>7623</v>
      </c>
      <c r="E1094" s="8" t="s">
        <v>7624</v>
      </c>
      <c r="F1094" s="8" t="s">
        <v>3337</v>
      </c>
      <c r="G1094" s="8" t="s">
        <v>328</v>
      </c>
      <c r="H1094" s="8" t="s">
        <v>329</v>
      </c>
      <c r="I1094" s="8" t="s">
        <v>3338</v>
      </c>
      <c r="J1094" s="8" t="s">
        <v>7625</v>
      </c>
      <c r="K1094" s="8" t="s">
        <v>332</v>
      </c>
      <c r="L1094" s="8" t="s">
        <v>333</v>
      </c>
      <c r="M1094" s="8" t="s">
        <v>7626</v>
      </c>
      <c r="N1094" s="8" t="s">
        <v>128</v>
      </c>
      <c r="O1094" s="8" t="s">
        <v>7627</v>
      </c>
      <c r="P1094" s="8" t="s">
        <v>5520</v>
      </c>
      <c r="Q1094" s="8" t="s">
        <v>150</v>
      </c>
      <c r="R1094" s="8"/>
      <c r="S1094" s="8" t="s">
        <v>71</v>
      </c>
      <c r="T1094" s="8" t="s">
        <v>69</v>
      </c>
      <c r="U1094" s="8" t="s">
        <v>150</v>
      </c>
      <c r="V1094" s="8" t="s">
        <v>152</v>
      </c>
      <c r="W1094" s="8" t="s">
        <v>69</v>
      </c>
      <c r="X1094" s="8">
        <v>40</v>
      </c>
      <c r="Y1094" s="8" t="s">
        <v>5796</v>
      </c>
      <c r="Z1094" s="8">
        <v>80</v>
      </c>
      <c r="AA1094" s="8">
        <v>0</v>
      </c>
      <c r="AB1094" s="9">
        <v>0</v>
      </c>
    </row>
    <row r="1095" spans="1:28" x14ac:dyDescent="0.2">
      <c r="A1095" s="10">
        <v>21759</v>
      </c>
      <c r="B1095" s="11" t="s">
        <v>7628</v>
      </c>
      <c r="C1095" s="11" t="s">
        <v>6823</v>
      </c>
      <c r="D1095" s="11" t="s">
        <v>7629</v>
      </c>
      <c r="E1095" s="11" t="s">
        <v>281</v>
      </c>
      <c r="F1095" s="11" t="s">
        <v>7630</v>
      </c>
      <c r="G1095" s="11" t="s">
        <v>450</v>
      </c>
      <c r="H1095" s="11" t="s">
        <v>301</v>
      </c>
      <c r="I1095" s="11" t="s">
        <v>6826</v>
      </c>
      <c r="J1095" s="11" t="s">
        <v>7631</v>
      </c>
      <c r="K1095" s="11" t="s">
        <v>304</v>
      </c>
      <c r="L1095" s="11" t="s">
        <v>229</v>
      </c>
      <c r="M1095" s="11" t="s">
        <v>7632</v>
      </c>
      <c r="N1095" s="11" t="s">
        <v>128</v>
      </c>
      <c r="O1095" s="11" t="s">
        <v>7633</v>
      </c>
      <c r="P1095" s="11"/>
      <c r="Q1095" s="11" t="s">
        <v>740</v>
      </c>
      <c r="R1095" s="11"/>
      <c r="S1095" s="11" t="s">
        <v>6831</v>
      </c>
      <c r="T1095" s="11" t="s">
        <v>1745</v>
      </c>
      <c r="U1095" s="11" t="s">
        <v>134</v>
      </c>
      <c r="V1095" s="11" t="s">
        <v>740</v>
      </c>
      <c r="W1095" s="11" t="s">
        <v>1745</v>
      </c>
      <c r="X1095" s="11">
        <v>40</v>
      </c>
      <c r="Y1095" s="11" t="s">
        <v>5796</v>
      </c>
      <c r="Z1095" s="11">
        <v>80</v>
      </c>
      <c r="AA1095" s="11">
        <v>0</v>
      </c>
      <c r="AB1095" s="12">
        <v>0</v>
      </c>
    </row>
    <row r="1096" spans="1:28" x14ac:dyDescent="0.2">
      <c r="A1096" s="7">
        <v>25202</v>
      </c>
      <c r="B1096" s="8" t="s">
        <v>7634</v>
      </c>
      <c r="C1096" s="8" t="s">
        <v>842</v>
      </c>
      <c r="D1096" s="8" t="s">
        <v>826</v>
      </c>
      <c r="E1096" s="8" t="s">
        <v>7635</v>
      </c>
      <c r="F1096" s="8" t="s">
        <v>7636</v>
      </c>
      <c r="G1096" s="8" t="s">
        <v>1026</v>
      </c>
      <c r="H1096" s="8" t="s">
        <v>142</v>
      </c>
      <c r="I1096" s="8" t="s">
        <v>7637</v>
      </c>
      <c r="J1096" s="8" t="s">
        <v>7638</v>
      </c>
      <c r="K1096" s="8" t="s">
        <v>1029</v>
      </c>
      <c r="L1096" s="8" t="s">
        <v>464</v>
      </c>
      <c r="M1096" s="8" t="s">
        <v>7639</v>
      </c>
      <c r="N1096" s="8" t="s">
        <v>128</v>
      </c>
      <c r="O1096" s="8" t="s">
        <v>7640</v>
      </c>
      <c r="P1096" s="8" t="s">
        <v>7641</v>
      </c>
      <c r="Q1096" s="8" t="s">
        <v>740</v>
      </c>
      <c r="R1096" s="8"/>
      <c r="S1096" s="8" t="s">
        <v>2950</v>
      </c>
      <c r="T1096" s="8" t="s">
        <v>741</v>
      </c>
      <c r="U1096" s="8" t="s">
        <v>134</v>
      </c>
      <c r="V1096" s="8" t="s">
        <v>740</v>
      </c>
      <c r="W1096" s="8" t="s">
        <v>741</v>
      </c>
      <c r="X1096" s="8">
        <v>40</v>
      </c>
      <c r="Y1096" s="8" t="s">
        <v>5796</v>
      </c>
      <c r="Z1096" s="8">
        <v>80</v>
      </c>
      <c r="AA1096" s="8">
        <v>0</v>
      </c>
      <c r="AB1096" s="9">
        <v>0</v>
      </c>
    </row>
    <row r="1097" spans="1:28" x14ac:dyDescent="0.2">
      <c r="A1097" s="10">
        <v>120123</v>
      </c>
      <c r="B1097" s="11" t="s">
        <v>7642</v>
      </c>
      <c r="C1097" s="11" t="s">
        <v>668</v>
      </c>
      <c r="D1097" s="11" t="s">
        <v>7643</v>
      </c>
      <c r="E1097" s="11"/>
      <c r="F1097" s="11" t="s">
        <v>7644</v>
      </c>
      <c r="G1097" s="11" t="s">
        <v>670</v>
      </c>
      <c r="H1097" s="11" t="s">
        <v>671</v>
      </c>
      <c r="I1097" s="11" t="s">
        <v>672</v>
      </c>
      <c r="J1097" s="11" t="s">
        <v>7645</v>
      </c>
      <c r="K1097" s="11" t="s">
        <v>572</v>
      </c>
      <c r="L1097" s="11" t="s">
        <v>333</v>
      </c>
      <c r="M1097" s="11" t="s">
        <v>7646</v>
      </c>
      <c r="N1097" s="11" t="s">
        <v>128</v>
      </c>
      <c r="O1097" s="11" t="s">
        <v>7647</v>
      </c>
      <c r="P1097" s="11" t="s">
        <v>7648</v>
      </c>
      <c r="Q1097" s="11" t="s">
        <v>150</v>
      </c>
      <c r="R1097" s="11"/>
      <c r="S1097" s="11" t="s">
        <v>71</v>
      </c>
      <c r="T1097" s="11" t="s">
        <v>642</v>
      </c>
      <c r="U1097" s="11" t="s">
        <v>150</v>
      </c>
      <c r="V1097" s="11" t="s">
        <v>642</v>
      </c>
      <c r="W1097" s="11" t="s">
        <v>642</v>
      </c>
      <c r="X1097" s="11">
        <v>39</v>
      </c>
      <c r="Y1097" s="11" t="s">
        <v>5796</v>
      </c>
      <c r="Z1097" s="11">
        <v>80</v>
      </c>
      <c r="AA1097" s="11">
        <v>0</v>
      </c>
      <c r="AB1097" s="12">
        <v>0</v>
      </c>
    </row>
    <row r="1098" spans="1:28" x14ac:dyDescent="0.2">
      <c r="A1098" s="7">
        <v>21480</v>
      </c>
      <c r="B1098" s="8" t="s">
        <v>7649</v>
      </c>
      <c r="C1098" s="8" t="s">
        <v>7650</v>
      </c>
      <c r="D1098" s="8" t="s">
        <v>7470</v>
      </c>
      <c r="E1098" s="8" t="s">
        <v>7651</v>
      </c>
      <c r="F1098" s="8" t="s">
        <v>7652</v>
      </c>
      <c r="G1098" s="8" t="s">
        <v>7653</v>
      </c>
      <c r="H1098" s="8" t="s">
        <v>142</v>
      </c>
      <c r="I1098" s="8" t="s">
        <v>7654</v>
      </c>
      <c r="J1098" s="8" t="s">
        <v>7655</v>
      </c>
      <c r="K1098" s="8" t="s">
        <v>717</v>
      </c>
      <c r="L1098" s="8" t="s">
        <v>464</v>
      </c>
      <c r="M1098" s="8" t="s">
        <v>7656</v>
      </c>
      <c r="N1098" s="8" t="s">
        <v>128</v>
      </c>
      <c r="O1098" s="8" t="s">
        <v>7657</v>
      </c>
      <c r="P1098" s="8" t="s">
        <v>7658</v>
      </c>
      <c r="Q1098" s="8" t="s">
        <v>150</v>
      </c>
      <c r="R1098" s="8"/>
      <c r="S1098" s="8" t="s">
        <v>71</v>
      </c>
      <c r="T1098" s="8" t="s">
        <v>67</v>
      </c>
      <c r="U1098" s="8" t="s">
        <v>150</v>
      </c>
      <c r="V1098" s="8" t="s">
        <v>152</v>
      </c>
      <c r="W1098" s="8" t="s">
        <v>67</v>
      </c>
      <c r="X1098" s="8">
        <v>39</v>
      </c>
      <c r="Y1098" s="8" t="s">
        <v>5796</v>
      </c>
      <c r="Z1098" s="8">
        <v>80</v>
      </c>
      <c r="AA1098" s="8">
        <v>0</v>
      </c>
      <c r="AB1098" s="9">
        <v>0</v>
      </c>
    </row>
    <row r="1099" spans="1:28" x14ac:dyDescent="0.2">
      <c r="A1099" s="10">
        <v>21693</v>
      </c>
      <c r="B1099" s="11" t="s">
        <v>7659</v>
      </c>
      <c r="C1099" s="11" t="s">
        <v>7531</v>
      </c>
      <c r="D1099" s="11" t="s">
        <v>7532</v>
      </c>
      <c r="E1099" s="11"/>
      <c r="F1099" s="11" t="s">
        <v>353</v>
      </c>
      <c r="G1099" s="11" t="s">
        <v>1670</v>
      </c>
      <c r="H1099" s="11" t="s">
        <v>142</v>
      </c>
      <c r="I1099" s="11" t="s">
        <v>7534</v>
      </c>
      <c r="J1099" s="11" t="s">
        <v>7535</v>
      </c>
      <c r="K1099" s="11" t="s">
        <v>1673</v>
      </c>
      <c r="L1099" s="11" t="s">
        <v>464</v>
      </c>
      <c r="M1099" s="11" t="s">
        <v>7660</v>
      </c>
      <c r="N1099" s="11" t="s">
        <v>128</v>
      </c>
      <c r="O1099" s="11" t="s">
        <v>7661</v>
      </c>
      <c r="P1099" s="11" t="s">
        <v>7662</v>
      </c>
      <c r="Q1099" s="11" t="s">
        <v>150</v>
      </c>
      <c r="R1099" s="11"/>
      <c r="S1099" s="11" t="s">
        <v>7539</v>
      </c>
      <c r="T1099" s="11" t="s">
        <v>67</v>
      </c>
      <c r="U1099" s="11" t="s">
        <v>150</v>
      </c>
      <c r="V1099" s="11" t="s">
        <v>152</v>
      </c>
      <c r="W1099" s="11" t="s">
        <v>67</v>
      </c>
      <c r="X1099" s="11">
        <v>39</v>
      </c>
      <c r="Y1099" s="11" t="s">
        <v>5796</v>
      </c>
      <c r="Z1099" s="11">
        <v>80</v>
      </c>
      <c r="AA1099" s="11">
        <v>0</v>
      </c>
      <c r="AB1099" s="12">
        <v>0</v>
      </c>
    </row>
    <row r="1100" spans="1:28" x14ac:dyDescent="0.2">
      <c r="A1100" s="7">
        <v>23097</v>
      </c>
      <c r="B1100" s="8" t="s">
        <v>7663</v>
      </c>
      <c r="C1100" s="8" t="s">
        <v>7664</v>
      </c>
      <c r="D1100" s="8" t="s">
        <v>410</v>
      </c>
      <c r="E1100" s="8" t="s">
        <v>7665</v>
      </c>
      <c r="F1100" s="8" t="s">
        <v>7666</v>
      </c>
      <c r="G1100" s="8" t="s">
        <v>6409</v>
      </c>
      <c r="H1100" s="8" t="s">
        <v>6410</v>
      </c>
      <c r="I1100" s="8" t="s">
        <v>7667</v>
      </c>
      <c r="J1100" s="8" t="s">
        <v>7668</v>
      </c>
      <c r="K1100" s="8" t="s">
        <v>1956</v>
      </c>
      <c r="L1100" s="8" t="s">
        <v>526</v>
      </c>
      <c r="M1100" s="8" t="s">
        <v>7669</v>
      </c>
      <c r="N1100" s="8" t="s">
        <v>128</v>
      </c>
      <c r="O1100" s="8" t="s">
        <v>7670</v>
      </c>
      <c r="P1100" s="8" t="s">
        <v>7671</v>
      </c>
      <c r="Q1100" s="8" t="s">
        <v>150</v>
      </c>
      <c r="R1100" s="8"/>
      <c r="S1100" s="8" t="s">
        <v>7138</v>
      </c>
      <c r="T1100" s="8" t="s">
        <v>70</v>
      </c>
      <c r="U1100" s="8" t="s">
        <v>150</v>
      </c>
      <c r="V1100" s="8" t="s">
        <v>70</v>
      </c>
      <c r="W1100" s="8" t="s">
        <v>70</v>
      </c>
      <c r="X1100" s="8">
        <v>39</v>
      </c>
      <c r="Y1100" s="8" t="s">
        <v>5796</v>
      </c>
      <c r="Z1100" s="8">
        <v>80</v>
      </c>
      <c r="AA1100" s="8">
        <v>0</v>
      </c>
      <c r="AB1100" s="9">
        <v>0</v>
      </c>
    </row>
    <row r="1101" spans="1:28" x14ac:dyDescent="0.2">
      <c r="A1101" s="10">
        <v>23103</v>
      </c>
      <c r="B1101" s="11" t="s">
        <v>7672</v>
      </c>
      <c r="C1101" s="11" t="s">
        <v>7673</v>
      </c>
      <c r="D1101" s="11" t="s">
        <v>7674</v>
      </c>
      <c r="E1101" s="11" t="s">
        <v>7675</v>
      </c>
      <c r="F1101" s="11" t="s">
        <v>7676</v>
      </c>
      <c r="G1101" s="11" t="s">
        <v>1952</v>
      </c>
      <c r="H1101" s="11" t="s">
        <v>1953</v>
      </c>
      <c r="I1101" s="11" t="s">
        <v>7677</v>
      </c>
      <c r="J1101" s="11" t="s">
        <v>7678</v>
      </c>
      <c r="K1101" s="11" t="s">
        <v>1956</v>
      </c>
      <c r="L1101" s="11" t="s">
        <v>526</v>
      </c>
      <c r="M1101" s="11" t="s">
        <v>7679</v>
      </c>
      <c r="N1101" s="11" t="s">
        <v>128</v>
      </c>
      <c r="O1101" s="11" t="s">
        <v>7680</v>
      </c>
      <c r="P1101" s="11" t="s">
        <v>7681</v>
      </c>
      <c r="Q1101" s="11" t="s">
        <v>150</v>
      </c>
      <c r="R1101" s="11"/>
      <c r="S1101" s="11" t="s">
        <v>7682</v>
      </c>
      <c r="T1101" s="11" t="s">
        <v>70</v>
      </c>
      <c r="U1101" s="11" t="s">
        <v>150</v>
      </c>
      <c r="V1101" s="11" t="s">
        <v>70</v>
      </c>
      <c r="W1101" s="11" t="s">
        <v>70</v>
      </c>
      <c r="X1101" s="11">
        <v>39</v>
      </c>
      <c r="Y1101" s="11" t="s">
        <v>5796</v>
      </c>
      <c r="Z1101" s="11">
        <v>80</v>
      </c>
      <c r="AA1101" s="11">
        <v>0</v>
      </c>
      <c r="AB1101" s="12">
        <v>0</v>
      </c>
    </row>
    <row r="1102" spans="1:28" x14ac:dyDescent="0.2">
      <c r="A1102" s="7">
        <v>23388</v>
      </c>
      <c r="B1102" s="8" t="s">
        <v>7683</v>
      </c>
      <c r="C1102" s="8" t="s">
        <v>914</v>
      </c>
      <c r="D1102" s="8" t="s">
        <v>7684</v>
      </c>
      <c r="E1102" s="8"/>
      <c r="F1102" s="8" t="s">
        <v>917</v>
      </c>
      <c r="G1102" s="8" t="s">
        <v>776</v>
      </c>
      <c r="H1102" s="8" t="s">
        <v>142</v>
      </c>
      <c r="I1102" s="8" t="s">
        <v>918</v>
      </c>
      <c r="J1102" s="8" t="s">
        <v>7685</v>
      </c>
      <c r="K1102" s="8" t="s">
        <v>779</v>
      </c>
      <c r="L1102" s="8" t="s">
        <v>464</v>
      </c>
      <c r="M1102" s="8" t="s">
        <v>7686</v>
      </c>
      <c r="N1102" s="8" t="s">
        <v>128</v>
      </c>
      <c r="O1102" s="8" t="s">
        <v>7687</v>
      </c>
      <c r="P1102" s="8" t="s">
        <v>7688</v>
      </c>
      <c r="Q1102" s="8" t="s">
        <v>150</v>
      </c>
      <c r="R1102" s="8"/>
      <c r="S1102" s="8" t="s">
        <v>71</v>
      </c>
      <c r="T1102" s="8" t="s">
        <v>1415</v>
      </c>
      <c r="U1102" s="8" t="s">
        <v>150</v>
      </c>
      <c r="V1102" s="8" t="s">
        <v>1415</v>
      </c>
      <c r="W1102" s="8" t="s">
        <v>1415</v>
      </c>
      <c r="X1102" s="8">
        <v>39</v>
      </c>
      <c r="Y1102" s="8" t="s">
        <v>5796</v>
      </c>
      <c r="Z1102" s="8">
        <v>80</v>
      </c>
      <c r="AA1102" s="8">
        <v>0</v>
      </c>
      <c r="AB1102" s="9">
        <v>0</v>
      </c>
    </row>
    <row r="1103" spans="1:28" x14ac:dyDescent="0.2">
      <c r="A1103" s="10">
        <v>124290</v>
      </c>
      <c r="B1103" s="11" t="s">
        <v>7689</v>
      </c>
      <c r="C1103" s="11" t="s">
        <v>7690</v>
      </c>
      <c r="D1103" s="11" t="s">
        <v>7691</v>
      </c>
      <c r="E1103" s="11"/>
      <c r="F1103" s="11" t="s">
        <v>7692</v>
      </c>
      <c r="G1103" s="11" t="s">
        <v>7116</v>
      </c>
      <c r="H1103" s="11" t="s">
        <v>142</v>
      </c>
      <c r="I1103" s="11" t="s">
        <v>7693</v>
      </c>
      <c r="J1103" s="11" t="s">
        <v>7694</v>
      </c>
      <c r="K1103" s="11" t="s">
        <v>1199</v>
      </c>
      <c r="L1103" s="11" t="s">
        <v>464</v>
      </c>
      <c r="M1103" s="11" t="s">
        <v>7695</v>
      </c>
      <c r="N1103" s="11" t="s">
        <v>128</v>
      </c>
      <c r="O1103" s="11" t="s">
        <v>7696</v>
      </c>
      <c r="P1103" s="11" t="s">
        <v>7697</v>
      </c>
      <c r="Q1103" s="11" t="s">
        <v>150</v>
      </c>
      <c r="R1103" s="11"/>
      <c r="S1103" s="11" t="s">
        <v>71</v>
      </c>
      <c r="T1103" s="11" t="s">
        <v>1415</v>
      </c>
      <c r="U1103" s="11" t="s">
        <v>150</v>
      </c>
      <c r="V1103" s="11" t="s">
        <v>1415</v>
      </c>
      <c r="W1103" s="11" t="s">
        <v>1415</v>
      </c>
      <c r="X1103" s="11">
        <v>39</v>
      </c>
      <c r="Y1103" s="11" t="s">
        <v>5796</v>
      </c>
      <c r="Z1103" s="11">
        <v>80</v>
      </c>
      <c r="AA1103" s="11">
        <v>0</v>
      </c>
      <c r="AB1103" s="12">
        <v>0</v>
      </c>
    </row>
    <row r="1104" spans="1:28" x14ac:dyDescent="0.2">
      <c r="A1104" s="7">
        <v>23554</v>
      </c>
      <c r="B1104" s="8" t="s">
        <v>7698</v>
      </c>
      <c r="C1104" s="8" t="s">
        <v>4099</v>
      </c>
      <c r="D1104" s="8" t="s">
        <v>701</v>
      </c>
      <c r="E1104" s="8" t="s">
        <v>281</v>
      </c>
      <c r="F1104" s="8" t="s">
        <v>353</v>
      </c>
      <c r="G1104" s="8" t="s">
        <v>776</v>
      </c>
      <c r="H1104" s="8" t="s">
        <v>142</v>
      </c>
      <c r="I1104" s="8" t="s">
        <v>777</v>
      </c>
      <c r="J1104" s="8" t="s">
        <v>7699</v>
      </c>
      <c r="K1104" s="8" t="s">
        <v>779</v>
      </c>
      <c r="L1104" s="8" t="s">
        <v>464</v>
      </c>
      <c r="M1104" s="8" t="s">
        <v>7700</v>
      </c>
      <c r="N1104" s="8" t="s">
        <v>128</v>
      </c>
      <c r="O1104" s="8" t="s">
        <v>7701</v>
      </c>
      <c r="P1104" s="8" t="s">
        <v>7023</v>
      </c>
      <c r="Q1104" s="8" t="s">
        <v>150</v>
      </c>
      <c r="R1104" s="8"/>
      <c r="S1104" s="8" t="s">
        <v>71</v>
      </c>
      <c r="T1104" s="8" t="s">
        <v>168</v>
      </c>
      <c r="U1104" s="8" t="s">
        <v>150</v>
      </c>
      <c r="V1104" s="8" t="s">
        <v>168</v>
      </c>
      <c r="W1104" s="8" t="s">
        <v>168</v>
      </c>
      <c r="X1104" s="8">
        <v>39</v>
      </c>
      <c r="Y1104" s="8" t="s">
        <v>5796</v>
      </c>
      <c r="Z1104" s="8">
        <v>80</v>
      </c>
      <c r="AA1104" s="8">
        <v>0</v>
      </c>
      <c r="AB1104" s="9">
        <v>0</v>
      </c>
    </row>
    <row r="1105" spans="1:28" x14ac:dyDescent="0.2">
      <c r="A1105" s="10">
        <v>86403</v>
      </c>
      <c r="B1105" s="11" t="s">
        <v>7702</v>
      </c>
      <c r="C1105" s="11" t="s">
        <v>5879</v>
      </c>
      <c r="D1105" s="11" t="s">
        <v>1369</v>
      </c>
      <c r="E1105" s="11" t="s">
        <v>7703</v>
      </c>
      <c r="F1105" s="11" t="s">
        <v>353</v>
      </c>
      <c r="G1105" s="11" t="s">
        <v>1784</v>
      </c>
      <c r="H1105" s="11" t="s">
        <v>329</v>
      </c>
      <c r="I1105" s="11" t="s">
        <v>7704</v>
      </c>
      <c r="J1105" s="11" t="s">
        <v>7705</v>
      </c>
      <c r="K1105" s="11" t="s">
        <v>431</v>
      </c>
      <c r="L1105" s="11" t="s">
        <v>333</v>
      </c>
      <c r="M1105" s="11" t="s">
        <v>7706</v>
      </c>
      <c r="N1105" s="11" t="s">
        <v>128</v>
      </c>
      <c r="O1105" s="11" t="s">
        <v>7707</v>
      </c>
      <c r="P1105" s="11" t="s">
        <v>7708</v>
      </c>
      <c r="Q1105" s="11" t="s">
        <v>150</v>
      </c>
      <c r="R1105" s="11"/>
      <c r="S1105" s="11" t="s">
        <v>71</v>
      </c>
      <c r="T1105" s="11" t="s">
        <v>168</v>
      </c>
      <c r="U1105" s="11" t="s">
        <v>150</v>
      </c>
      <c r="V1105" s="11" t="s">
        <v>168</v>
      </c>
      <c r="W1105" s="11" t="s">
        <v>168</v>
      </c>
      <c r="X1105" s="11">
        <v>39</v>
      </c>
      <c r="Y1105" s="11" t="s">
        <v>5796</v>
      </c>
      <c r="Z1105" s="11">
        <v>80</v>
      </c>
      <c r="AA1105" s="11">
        <v>0</v>
      </c>
      <c r="AB1105" s="12">
        <v>0</v>
      </c>
    </row>
    <row r="1106" spans="1:28" x14ac:dyDescent="0.2">
      <c r="A1106" s="7">
        <v>23680</v>
      </c>
      <c r="B1106" s="8" t="s">
        <v>7709</v>
      </c>
      <c r="C1106" s="8" t="s">
        <v>2615</v>
      </c>
      <c r="D1106" s="8" t="s">
        <v>2292</v>
      </c>
      <c r="E1106" s="8"/>
      <c r="F1106" s="8" t="s">
        <v>353</v>
      </c>
      <c r="G1106" s="8" t="s">
        <v>5943</v>
      </c>
      <c r="H1106" s="8" t="s">
        <v>191</v>
      </c>
      <c r="I1106" s="8" t="s">
        <v>7710</v>
      </c>
      <c r="J1106" s="8" t="s">
        <v>7711</v>
      </c>
      <c r="K1106" s="8" t="s">
        <v>194</v>
      </c>
      <c r="L1106" s="8" t="s">
        <v>163</v>
      </c>
      <c r="M1106" s="8" t="s">
        <v>7712</v>
      </c>
      <c r="N1106" s="8" t="s">
        <v>128</v>
      </c>
      <c r="O1106" s="8" t="s">
        <v>7713</v>
      </c>
      <c r="P1106" s="8" t="s">
        <v>7714</v>
      </c>
      <c r="Q1106" s="8" t="s">
        <v>150</v>
      </c>
      <c r="R1106" s="8"/>
      <c r="S1106" s="8" t="s">
        <v>71</v>
      </c>
      <c r="T1106" s="8" t="s">
        <v>168</v>
      </c>
      <c r="U1106" s="8" t="s">
        <v>150</v>
      </c>
      <c r="V1106" s="8" t="s">
        <v>168</v>
      </c>
      <c r="W1106" s="8" t="s">
        <v>168</v>
      </c>
      <c r="X1106" s="8">
        <v>39</v>
      </c>
      <c r="Y1106" s="8" t="s">
        <v>5796</v>
      </c>
      <c r="Z1106" s="8">
        <v>80</v>
      </c>
      <c r="AA1106" s="8">
        <v>0</v>
      </c>
      <c r="AB1106" s="9">
        <v>0</v>
      </c>
    </row>
    <row r="1107" spans="1:28" x14ac:dyDescent="0.2">
      <c r="A1107" s="10">
        <v>23744</v>
      </c>
      <c r="B1107" s="11" t="s">
        <v>7715</v>
      </c>
      <c r="C1107" s="11" t="s">
        <v>7650</v>
      </c>
      <c r="D1107" s="11" t="s">
        <v>7716</v>
      </c>
      <c r="E1107" s="11"/>
      <c r="F1107" s="11" t="s">
        <v>7652</v>
      </c>
      <c r="G1107" s="11" t="s">
        <v>7653</v>
      </c>
      <c r="H1107" s="11" t="s">
        <v>142</v>
      </c>
      <c r="I1107" s="11" t="s">
        <v>7717</v>
      </c>
      <c r="J1107" s="11" t="s">
        <v>7718</v>
      </c>
      <c r="K1107" s="11" t="s">
        <v>717</v>
      </c>
      <c r="L1107" s="11" t="s">
        <v>464</v>
      </c>
      <c r="M1107" s="11" t="s">
        <v>7719</v>
      </c>
      <c r="N1107" s="11" t="s">
        <v>128</v>
      </c>
      <c r="O1107" s="11" t="s">
        <v>7720</v>
      </c>
      <c r="P1107" s="11" t="s">
        <v>7721</v>
      </c>
      <c r="Q1107" s="11" t="s">
        <v>150</v>
      </c>
      <c r="R1107" s="11"/>
      <c r="S1107" s="11" t="s">
        <v>71</v>
      </c>
      <c r="T1107" s="11" t="s">
        <v>168</v>
      </c>
      <c r="U1107" s="11" t="s">
        <v>150</v>
      </c>
      <c r="V1107" s="11" t="s">
        <v>168</v>
      </c>
      <c r="W1107" s="11" t="s">
        <v>168</v>
      </c>
      <c r="X1107" s="11">
        <v>39</v>
      </c>
      <c r="Y1107" s="11" t="s">
        <v>5796</v>
      </c>
      <c r="Z1107" s="11">
        <v>80</v>
      </c>
      <c r="AA1107" s="11">
        <v>0</v>
      </c>
      <c r="AB1107" s="12">
        <v>0</v>
      </c>
    </row>
    <row r="1108" spans="1:28" x14ac:dyDescent="0.2">
      <c r="A1108" s="7">
        <v>24602</v>
      </c>
      <c r="B1108" s="8" t="s">
        <v>7722</v>
      </c>
      <c r="C1108" s="8" t="s">
        <v>324</v>
      </c>
      <c r="D1108" s="8" t="s">
        <v>7723</v>
      </c>
      <c r="E1108" s="8" t="s">
        <v>7724</v>
      </c>
      <c r="F1108" s="8" t="s">
        <v>7725</v>
      </c>
      <c r="G1108" s="8" t="s">
        <v>328</v>
      </c>
      <c r="H1108" s="8" t="s">
        <v>329</v>
      </c>
      <c r="I1108" s="8" t="s">
        <v>7726</v>
      </c>
      <c r="J1108" s="8" t="s">
        <v>7727</v>
      </c>
      <c r="K1108" s="8" t="s">
        <v>332</v>
      </c>
      <c r="L1108" s="8" t="s">
        <v>333</v>
      </c>
      <c r="M1108" s="8" t="s">
        <v>7728</v>
      </c>
      <c r="N1108" s="8" t="s">
        <v>128</v>
      </c>
      <c r="O1108" s="8" t="s">
        <v>3397</v>
      </c>
      <c r="P1108" s="8" t="s">
        <v>2625</v>
      </c>
      <c r="Q1108" s="8" t="s">
        <v>150</v>
      </c>
      <c r="R1108" s="8"/>
      <c r="S1108" s="8" t="s">
        <v>7729</v>
      </c>
      <c r="T1108" s="8" t="s">
        <v>69</v>
      </c>
      <c r="U1108" s="8" t="s">
        <v>150</v>
      </c>
      <c r="V1108" s="8" t="s">
        <v>152</v>
      </c>
      <c r="W1108" s="8" t="s">
        <v>69</v>
      </c>
      <c r="X1108" s="8">
        <v>39</v>
      </c>
      <c r="Y1108" s="8" t="s">
        <v>5796</v>
      </c>
      <c r="Z1108" s="8">
        <v>80</v>
      </c>
      <c r="AA1108" s="8">
        <v>0</v>
      </c>
      <c r="AB1108" s="9">
        <v>0</v>
      </c>
    </row>
    <row r="1109" spans="1:28" x14ac:dyDescent="0.2">
      <c r="A1109" s="10">
        <v>31455</v>
      </c>
      <c r="B1109" s="11" t="s">
        <v>7730</v>
      </c>
      <c r="C1109" s="11" t="s">
        <v>3482</v>
      </c>
      <c r="D1109" s="11" t="s">
        <v>2690</v>
      </c>
      <c r="E1109" s="11"/>
      <c r="F1109" s="11" t="s">
        <v>7731</v>
      </c>
      <c r="G1109" s="11" t="s">
        <v>3484</v>
      </c>
      <c r="H1109" s="11" t="s">
        <v>671</v>
      </c>
      <c r="I1109" s="11" t="s">
        <v>7732</v>
      </c>
      <c r="J1109" s="11" t="s">
        <v>3486</v>
      </c>
      <c r="K1109" s="11" t="s">
        <v>572</v>
      </c>
      <c r="L1109" s="11" t="s">
        <v>333</v>
      </c>
      <c r="M1109" s="11" t="s">
        <v>7733</v>
      </c>
      <c r="N1109" s="11" t="s">
        <v>128</v>
      </c>
      <c r="O1109" s="11" t="s">
        <v>7734</v>
      </c>
      <c r="P1109" s="11" t="s">
        <v>7735</v>
      </c>
      <c r="Q1109" s="11" t="s">
        <v>249</v>
      </c>
      <c r="R1109" s="11"/>
      <c r="S1109" s="11" t="s">
        <v>3489</v>
      </c>
      <c r="T1109" s="11" t="s">
        <v>250</v>
      </c>
      <c r="U1109" s="11" t="s">
        <v>134</v>
      </c>
      <c r="V1109" s="11" t="s">
        <v>249</v>
      </c>
      <c r="W1109" s="11" t="s">
        <v>250</v>
      </c>
      <c r="X1109" s="11">
        <v>39</v>
      </c>
      <c r="Y1109" s="11" t="s">
        <v>5796</v>
      </c>
      <c r="Z1109" s="11">
        <v>80</v>
      </c>
      <c r="AA1109" s="11">
        <v>0</v>
      </c>
      <c r="AB1109" s="12">
        <v>0</v>
      </c>
    </row>
    <row r="1110" spans="1:28" x14ac:dyDescent="0.2">
      <c r="A1110" s="7">
        <v>21302</v>
      </c>
      <c r="B1110" s="8" t="s">
        <v>7736</v>
      </c>
      <c r="C1110" s="8" t="s">
        <v>4777</v>
      </c>
      <c r="D1110" s="8" t="s">
        <v>861</v>
      </c>
      <c r="E1110" s="8" t="s">
        <v>7737</v>
      </c>
      <c r="F1110" s="8" t="s">
        <v>353</v>
      </c>
      <c r="G1110" s="8" t="s">
        <v>7402</v>
      </c>
      <c r="H1110" s="8" t="s">
        <v>847</v>
      </c>
      <c r="I1110" s="8" t="s">
        <v>7403</v>
      </c>
      <c r="J1110" s="8" t="s">
        <v>7738</v>
      </c>
      <c r="K1110" s="8" t="s">
        <v>1091</v>
      </c>
      <c r="L1110" s="8" t="s">
        <v>126</v>
      </c>
      <c r="M1110" s="8" t="s">
        <v>7739</v>
      </c>
      <c r="N1110" s="8" t="s">
        <v>128</v>
      </c>
      <c r="O1110" s="8" t="s">
        <v>7740</v>
      </c>
      <c r="P1110" s="8" t="s">
        <v>7741</v>
      </c>
      <c r="Q1110" s="8" t="s">
        <v>150</v>
      </c>
      <c r="R1110" s="8"/>
      <c r="S1110" s="8" t="s">
        <v>71</v>
      </c>
      <c r="T1110" s="8" t="s">
        <v>67</v>
      </c>
      <c r="U1110" s="8" t="s">
        <v>150</v>
      </c>
      <c r="V1110" s="8" t="s">
        <v>152</v>
      </c>
      <c r="W1110" s="8" t="s">
        <v>67</v>
      </c>
      <c r="X1110" s="8">
        <v>38</v>
      </c>
      <c r="Y1110" s="8" t="s">
        <v>5796</v>
      </c>
      <c r="Z1110" s="8">
        <v>80</v>
      </c>
      <c r="AA1110" s="8">
        <v>0</v>
      </c>
      <c r="AB1110" s="9">
        <v>0</v>
      </c>
    </row>
    <row r="1111" spans="1:28" x14ac:dyDescent="0.2">
      <c r="A1111" s="10">
        <v>21739</v>
      </c>
      <c r="B1111" s="11" t="s">
        <v>7742</v>
      </c>
      <c r="C1111" s="11" t="s">
        <v>7743</v>
      </c>
      <c r="D1111" s="11" t="s">
        <v>7744</v>
      </c>
      <c r="E1111" s="11" t="s">
        <v>7745</v>
      </c>
      <c r="F1111" s="11" t="s">
        <v>7746</v>
      </c>
      <c r="G1111" s="11" t="s">
        <v>141</v>
      </c>
      <c r="H1111" s="11" t="s">
        <v>142</v>
      </c>
      <c r="I1111" s="11" t="s">
        <v>7747</v>
      </c>
      <c r="J1111" s="11" t="s">
        <v>7748</v>
      </c>
      <c r="K1111" s="11" t="s">
        <v>584</v>
      </c>
      <c r="L1111" s="11" t="s">
        <v>146</v>
      </c>
      <c r="M1111" s="11" t="s">
        <v>7749</v>
      </c>
      <c r="N1111" s="11" t="s">
        <v>128</v>
      </c>
      <c r="O1111" s="11" t="s">
        <v>7750</v>
      </c>
      <c r="P1111" s="11" t="s">
        <v>4037</v>
      </c>
      <c r="Q1111" s="11" t="s">
        <v>150</v>
      </c>
      <c r="R1111" s="11"/>
      <c r="S1111" s="11" t="s">
        <v>71</v>
      </c>
      <c r="T1111" s="11" t="s">
        <v>67</v>
      </c>
      <c r="U1111" s="11" t="s">
        <v>150</v>
      </c>
      <c r="V1111" s="11" t="s">
        <v>152</v>
      </c>
      <c r="W1111" s="11" t="s">
        <v>67</v>
      </c>
      <c r="X1111" s="11">
        <v>38</v>
      </c>
      <c r="Y1111" s="11" t="s">
        <v>5796</v>
      </c>
      <c r="Z1111" s="11">
        <v>80</v>
      </c>
      <c r="AA1111" s="11">
        <v>0</v>
      </c>
      <c r="AB1111" s="12">
        <v>0</v>
      </c>
    </row>
    <row r="1112" spans="1:28" x14ac:dyDescent="0.2">
      <c r="A1112" s="7">
        <v>92876</v>
      </c>
      <c r="B1112" s="8" t="s">
        <v>7751</v>
      </c>
      <c r="C1112" s="8" t="s">
        <v>7752</v>
      </c>
      <c r="D1112" s="8" t="s">
        <v>7753</v>
      </c>
      <c r="E1112" s="8"/>
      <c r="F1112" s="8" t="s">
        <v>353</v>
      </c>
      <c r="G1112" s="8" t="s">
        <v>4667</v>
      </c>
      <c r="H1112" s="8" t="s">
        <v>142</v>
      </c>
      <c r="I1112" s="8" t="s">
        <v>7754</v>
      </c>
      <c r="J1112" s="8" t="s">
        <v>7755</v>
      </c>
      <c r="K1112" s="8" t="s">
        <v>1673</v>
      </c>
      <c r="L1112" s="8" t="s">
        <v>464</v>
      </c>
      <c r="M1112" s="8" t="s">
        <v>7756</v>
      </c>
      <c r="N1112" s="8" t="s">
        <v>128</v>
      </c>
      <c r="O1112" s="8" t="s">
        <v>7757</v>
      </c>
      <c r="P1112" s="8" t="s">
        <v>7758</v>
      </c>
      <c r="Q1112" s="8" t="s">
        <v>150</v>
      </c>
      <c r="R1112" s="8"/>
      <c r="S1112" s="8" t="s">
        <v>71</v>
      </c>
      <c r="T1112" s="8" t="s">
        <v>67</v>
      </c>
      <c r="U1112" s="8" t="s">
        <v>150</v>
      </c>
      <c r="V1112" s="8" t="s">
        <v>152</v>
      </c>
      <c r="W1112" s="8" t="s">
        <v>67</v>
      </c>
      <c r="X1112" s="8">
        <v>38</v>
      </c>
      <c r="Y1112" s="8" t="s">
        <v>5796</v>
      </c>
      <c r="Z1112" s="8">
        <v>80</v>
      </c>
      <c r="AA1112" s="8">
        <v>0</v>
      </c>
      <c r="AB1112" s="9">
        <v>0</v>
      </c>
    </row>
    <row r="1113" spans="1:28" x14ac:dyDescent="0.2">
      <c r="A1113" s="10">
        <v>23390</v>
      </c>
      <c r="B1113" s="11" t="s">
        <v>7759</v>
      </c>
      <c r="C1113" s="11" t="s">
        <v>4777</v>
      </c>
      <c r="D1113" s="11" t="s">
        <v>518</v>
      </c>
      <c r="E1113" s="11"/>
      <c r="F1113" s="11" t="s">
        <v>353</v>
      </c>
      <c r="G1113" s="11" t="s">
        <v>7170</v>
      </c>
      <c r="H1113" s="11" t="s">
        <v>142</v>
      </c>
      <c r="I1113" s="11" t="s">
        <v>7760</v>
      </c>
      <c r="J1113" s="11" t="s">
        <v>7761</v>
      </c>
      <c r="K1113" s="11" t="s">
        <v>974</v>
      </c>
      <c r="L1113" s="11" t="s">
        <v>146</v>
      </c>
      <c r="M1113" s="11" t="s">
        <v>7762</v>
      </c>
      <c r="N1113" s="11" t="s">
        <v>128</v>
      </c>
      <c r="O1113" s="11" t="s">
        <v>7763</v>
      </c>
      <c r="P1113" s="11" t="s">
        <v>7764</v>
      </c>
      <c r="Q1113" s="11" t="s">
        <v>150</v>
      </c>
      <c r="R1113" s="11"/>
      <c r="S1113" s="11" t="s">
        <v>71</v>
      </c>
      <c r="T1113" s="11" t="s">
        <v>1415</v>
      </c>
      <c r="U1113" s="11" t="s">
        <v>150</v>
      </c>
      <c r="V1113" s="11" t="s">
        <v>1415</v>
      </c>
      <c r="W1113" s="11" t="s">
        <v>1415</v>
      </c>
      <c r="X1113" s="11">
        <v>38</v>
      </c>
      <c r="Y1113" s="11" t="s">
        <v>5796</v>
      </c>
      <c r="Z1113" s="11">
        <v>80</v>
      </c>
      <c r="AA1113" s="11">
        <v>0</v>
      </c>
      <c r="AB1113" s="12">
        <v>0</v>
      </c>
    </row>
    <row r="1114" spans="1:28" x14ac:dyDescent="0.2">
      <c r="A1114" s="7">
        <v>23827</v>
      </c>
      <c r="B1114" s="8" t="s">
        <v>7765</v>
      </c>
      <c r="C1114" s="8" t="s">
        <v>4578</v>
      </c>
      <c r="D1114" s="8" t="s">
        <v>7766</v>
      </c>
      <c r="E1114" s="8"/>
      <c r="F1114" s="8" t="s">
        <v>353</v>
      </c>
      <c r="G1114" s="8" t="s">
        <v>1626</v>
      </c>
      <c r="H1114" s="8" t="s">
        <v>142</v>
      </c>
      <c r="I1114" s="8" t="s">
        <v>7767</v>
      </c>
      <c r="J1114" s="8" t="s">
        <v>7768</v>
      </c>
      <c r="K1114" s="8" t="s">
        <v>472</v>
      </c>
      <c r="L1114" s="8" t="s">
        <v>146</v>
      </c>
      <c r="M1114" s="8" t="s">
        <v>7769</v>
      </c>
      <c r="N1114" s="8" t="s">
        <v>128</v>
      </c>
      <c r="O1114" s="8" t="s">
        <v>7770</v>
      </c>
      <c r="P1114" s="8" t="s">
        <v>7771</v>
      </c>
      <c r="Q1114" s="8" t="s">
        <v>150</v>
      </c>
      <c r="R1114" s="8"/>
      <c r="S1114" s="8" t="s">
        <v>71</v>
      </c>
      <c r="T1114" s="8" t="s">
        <v>168</v>
      </c>
      <c r="U1114" s="8" t="s">
        <v>150</v>
      </c>
      <c r="V1114" s="8" t="s">
        <v>168</v>
      </c>
      <c r="W1114" s="8" t="s">
        <v>168</v>
      </c>
      <c r="X1114" s="8">
        <v>38</v>
      </c>
      <c r="Y1114" s="8" t="s">
        <v>5796</v>
      </c>
      <c r="Z1114" s="8">
        <v>80</v>
      </c>
      <c r="AA1114" s="8">
        <v>0</v>
      </c>
      <c r="AB1114" s="9">
        <v>0</v>
      </c>
    </row>
    <row r="1115" spans="1:28" x14ac:dyDescent="0.2">
      <c r="A1115" s="10">
        <v>23874</v>
      </c>
      <c r="B1115" s="11" t="s">
        <v>7772</v>
      </c>
      <c r="C1115" s="11" t="s">
        <v>7773</v>
      </c>
      <c r="D1115" s="11" t="s">
        <v>6782</v>
      </c>
      <c r="E1115" s="11"/>
      <c r="F1115" s="11" t="s">
        <v>353</v>
      </c>
      <c r="G1115" s="11" t="s">
        <v>1813</v>
      </c>
      <c r="H1115" s="11" t="s">
        <v>142</v>
      </c>
      <c r="I1115" s="11" t="s">
        <v>7774</v>
      </c>
      <c r="J1115" s="11" t="s">
        <v>7775</v>
      </c>
      <c r="K1115" s="11" t="s">
        <v>974</v>
      </c>
      <c r="L1115" s="11" t="s">
        <v>146</v>
      </c>
      <c r="M1115" s="11" t="s">
        <v>7776</v>
      </c>
      <c r="N1115" s="11" t="s">
        <v>128</v>
      </c>
      <c r="O1115" s="11" t="s">
        <v>7777</v>
      </c>
      <c r="P1115" s="11" t="s">
        <v>7778</v>
      </c>
      <c r="Q1115" s="11" t="s">
        <v>150</v>
      </c>
      <c r="R1115" s="11"/>
      <c r="S1115" s="11" t="s">
        <v>71</v>
      </c>
      <c r="T1115" s="11" t="s">
        <v>168</v>
      </c>
      <c r="U1115" s="11" t="s">
        <v>150</v>
      </c>
      <c r="V1115" s="11" t="s">
        <v>168</v>
      </c>
      <c r="W1115" s="11" t="s">
        <v>168</v>
      </c>
      <c r="X1115" s="11">
        <v>38</v>
      </c>
      <c r="Y1115" s="11" t="s">
        <v>5796</v>
      </c>
      <c r="Z1115" s="11">
        <v>80</v>
      </c>
      <c r="AA1115" s="11">
        <v>0</v>
      </c>
      <c r="AB1115" s="12">
        <v>0</v>
      </c>
    </row>
    <row r="1116" spans="1:28" x14ac:dyDescent="0.2">
      <c r="A1116" s="7">
        <v>28800</v>
      </c>
      <c r="B1116" s="8" t="s">
        <v>7779</v>
      </c>
      <c r="C1116" s="8" t="s">
        <v>4855</v>
      </c>
      <c r="D1116" s="8" t="s">
        <v>7413</v>
      </c>
      <c r="E1116" s="8"/>
      <c r="F1116" s="8" t="s">
        <v>353</v>
      </c>
      <c r="G1116" s="8" t="s">
        <v>7170</v>
      </c>
      <c r="H1116" s="8" t="s">
        <v>142</v>
      </c>
      <c r="I1116" s="8" t="s">
        <v>7780</v>
      </c>
      <c r="J1116" s="8" t="s">
        <v>7781</v>
      </c>
      <c r="K1116" s="8" t="s">
        <v>974</v>
      </c>
      <c r="L1116" s="8" t="s">
        <v>146</v>
      </c>
      <c r="M1116" s="8" t="s">
        <v>7782</v>
      </c>
      <c r="N1116" s="8" t="s">
        <v>128</v>
      </c>
      <c r="O1116" s="8" t="s">
        <v>7783</v>
      </c>
      <c r="P1116" s="8" t="s">
        <v>7784</v>
      </c>
      <c r="Q1116" s="8" t="s">
        <v>150</v>
      </c>
      <c r="R1116" s="8"/>
      <c r="S1116" s="8" t="s">
        <v>71</v>
      </c>
      <c r="T1116" s="8" t="s">
        <v>168</v>
      </c>
      <c r="U1116" s="8" t="s">
        <v>150</v>
      </c>
      <c r="V1116" s="8" t="s">
        <v>168</v>
      </c>
      <c r="W1116" s="8" t="s">
        <v>168</v>
      </c>
      <c r="X1116" s="8">
        <v>38</v>
      </c>
      <c r="Y1116" s="8" t="s">
        <v>5796</v>
      </c>
      <c r="Z1116" s="8">
        <v>80</v>
      </c>
      <c r="AA1116" s="8">
        <v>0</v>
      </c>
      <c r="AB1116" s="9">
        <v>0</v>
      </c>
    </row>
    <row r="1117" spans="1:28" x14ac:dyDescent="0.2">
      <c r="A1117" s="10">
        <v>21127</v>
      </c>
      <c r="B1117" s="11" t="s">
        <v>7785</v>
      </c>
      <c r="C1117" s="11" t="s">
        <v>1622</v>
      </c>
      <c r="D1117" s="11" t="s">
        <v>4576</v>
      </c>
      <c r="E1117" s="11"/>
      <c r="F1117" s="11" t="s">
        <v>1625</v>
      </c>
      <c r="G1117" s="11" t="s">
        <v>1626</v>
      </c>
      <c r="H1117" s="11" t="s">
        <v>142</v>
      </c>
      <c r="I1117" s="11" t="s">
        <v>7786</v>
      </c>
      <c r="J1117" s="11" t="s">
        <v>7787</v>
      </c>
      <c r="K1117" s="11" t="s">
        <v>472</v>
      </c>
      <c r="L1117" s="11" t="s">
        <v>146</v>
      </c>
      <c r="M1117" s="11" t="s">
        <v>7788</v>
      </c>
      <c r="N1117" s="11" t="s">
        <v>128</v>
      </c>
      <c r="O1117" s="11" t="s">
        <v>7789</v>
      </c>
      <c r="P1117" s="11" t="s">
        <v>7790</v>
      </c>
      <c r="Q1117" s="11" t="s">
        <v>150</v>
      </c>
      <c r="R1117" s="11"/>
      <c r="S1117" s="11" t="s">
        <v>71</v>
      </c>
      <c r="T1117" s="11" t="s">
        <v>289</v>
      </c>
      <c r="U1117" s="11" t="s">
        <v>150</v>
      </c>
      <c r="V1117" s="11" t="s">
        <v>289</v>
      </c>
      <c r="W1117" s="11" t="s">
        <v>289</v>
      </c>
      <c r="X1117" s="11">
        <v>37</v>
      </c>
      <c r="Y1117" s="11" t="s">
        <v>5796</v>
      </c>
      <c r="Z1117" s="11">
        <v>80</v>
      </c>
      <c r="AA1117" s="11">
        <v>0</v>
      </c>
      <c r="AB1117" s="12">
        <v>0</v>
      </c>
    </row>
    <row r="1118" spans="1:28" x14ac:dyDescent="0.2">
      <c r="A1118" s="7">
        <v>21464</v>
      </c>
      <c r="B1118" s="8" t="s">
        <v>7791</v>
      </c>
      <c r="C1118" s="8" t="s">
        <v>7792</v>
      </c>
      <c r="D1118" s="8" t="s">
        <v>2675</v>
      </c>
      <c r="E1118" s="8" t="s">
        <v>7793</v>
      </c>
      <c r="F1118" s="8" t="s">
        <v>353</v>
      </c>
      <c r="G1118" s="8" t="s">
        <v>3643</v>
      </c>
      <c r="H1118" s="8" t="s">
        <v>142</v>
      </c>
      <c r="I1118" s="8" t="s">
        <v>7794</v>
      </c>
      <c r="J1118" s="8" t="s">
        <v>7795</v>
      </c>
      <c r="K1118" s="8" t="s">
        <v>651</v>
      </c>
      <c r="L1118" s="8" t="s">
        <v>146</v>
      </c>
      <c r="M1118" s="8" t="s">
        <v>7796</v>
      </c>
      <c r="N1118" s="8" t="s">
        <v>128</v>
      </c>
      <c r="O1118" s="8" t="s">
        <v>7797</v>
      </c>
      <c r="P1118" s="8" t="s">
        <v>1944</v>
      </c>
      <c r="Q1118" s="8" t="s">
        <v>150</v>
      </c>
      <c r="R1118" s="8"/>
      <c r="S1118" s="8" t="s">
        <v>71</v>
      </c>
      <c r="T1118" s="8" t="s">
        <v>67</v>
      </c>
      <c r="U1118" s="8" t="s">
        <v>150</v>
      </c>
      <c r="V1118" s="8" t="s">
        <v>152</v>
      </c>
      <c r="W1118" s="8" t="s">
        <v>67</v>
      </c>
      <c r="X1118" s="8">
        <v>37</v>
      </c>
      <c r="Y1118" s="8" t="s">
        <v>5796</v>
      </c>
      <c r="Z1118" s="8">
        <v>80</v>
      </c>
      <c r="AA1118" s="8">
        <v>0</v>
      </c>
      <c r="AB1118" s="9">
        <v>0</v>
      </c>
    </row>
    <row r="1119" spans="1:28" x14ac:dyDescent="0.2">
      <c r="A1119" s="10">
        <v>21740</v>
      </c>
      <c r="B1119" s="11" t="s">
        <v>7798</v>
      </c>
      <c r="C1119" s="11" t="s">
        <v>409</v>
      </c>
      <c r="D1119" s="11" t="s">
        <v>7799</v>
      </c>
      <c r="E1119" s="11"/>
      <c r="F1119" s="11" t="s">
        <v>353</v>
      </c>
      <c r="G1119" s="11" t="s">
        <v>3612</v>
      </c>
      <c r="H1119" s="11" t="s">
        <v>704</v>
      </c>
      <c r="I1119" s="11" t="s">
        <v>7800</v>
      </c>
      <c r="J1119" s="11" t="s">
        <v>7801</v>
      </c>
      <c r="K1119" s="11" t="s">
        <v>707</v>
      </c>
      <c r="L1119" s="11" t="s">
        <v>126</v>
      </c>
      <c r="M1119" s="11" t="s">
        <v>7802</v>
      </c>
      <c r="N1119" s="11" t="s">
        <v>128</v>
      </c>
      <c r="O1119" s="11" t="s">
        <v>7803</v>
      </c>
      <c r="P1119" s="11" t="s">
        <v>7804</v>
      </c>
      <c r="Q1119" s="11" t="s">
        <v>150</v>
      </c>
      <c r="R1119" s="11"/>
      <c r="S1119" s="11" t="s">
        <v>71</v>
      </c>
      <c r="T1119" s="11" t="s">
        <v>67</v>
      </c>
      <c r="U1119" s="11" t="s">
        <v>150</v>
      </c>
      <c r="V1119" s="11" t="s">
        <v>152</v>
      </c>
      <c r="W1119" s="11" t="s">
        <v>67</v>
      </c>
      <c r="X1119" s="11">
        <v>37</v>
      </c>
      <c r="Y1119" s="11" t="s">
        <v>5796</v>
      </c>
      <c r="Z1119" s="11">
        <v>80</v>
      </c>
      <c r="AA1119" s="11">
        <v>0</v>
      </c>
      <c r="AB1119" s="12">
        <v>0</v>
      </c>
    </row>
    <row r="1120" spans="1:28" x14ac:dyDescent="0.2">
      <c r="A1120" s="7">
        <v>85419</v>
      </c>
      <c r="B1120" s="8" t="s">
        <v>7805</v>
      </c>
      <c r="C1120" s="8" t="s">
        <v>7806</v>
      </c>
      <c r="D1120" s="8" t="s">
        <v>7807</v>
      </c>
      <c r="E1120" s="8"/>
      <c r="F1120" s="8" t="s">
        <v>6430</v>
      </c>
      <c r="G1120" s="8" t="s">
        <v>7808</v>
      </c>
      <c r="H1120" s="8" t="s">
        <v>142</v>
      </c>
      <c r="I1120" s="8" t="s">
        <v>7809</v>
      </c>
      <c r="J1120" s="8" t="s">
        <v>7810</v>
      </c>
      <c r="K1120" s="8" t="s">
        <v>779</v>
      </c>
      <c r="L1120" s="8" t="s">
        <v>464</v>
      </c>
      <c r="M1120" s="8" t="s">
        <v>7811</v>
      </c>
      <c r="N1120" s="8" t="s">
        <v>128</v>
      </c>
      <c r="O1120" s="8" t="s">
        <v>7812</v>
      </c>
      <c r="P1120" s="8" t="s">
        <v>437</v>
      </c>
      <c r="Q1120" s="8" t="s">
        <v>150</v>
      </c>
      <c r="R1120" s="8"/>
      <c r="S1120" s="8" t="s">
        <v>71</v>
      </c>
      <c r="T1120" s="8" t="s">
        <v>67</v>
      </c>
      <c r="U1120" s="8" t="s">
        <v>150</v>
      </c>
      <c r="V1120" s="8" t="s">
        <v>152</v>
      </c>
      <c r="W1120" s="8" t="s">
        <v>67</v>
      </c>
      <c r="X1120" s="8">
        <v>37</v>
      </c>
      <c r="Y1120" s="8" t="s">
        <v>5796</v>
      </c>
      <c r="Z1120" s="8">
        <v>80</v>
      </c>
      <c r="AA1120" s="8">
        <v>0</v>
      </c>
      <c r="AB1120" s="9">
        <v>0</v>
      </c>
    </row>
    <row r="1121" spans="1:28" x14ac:dyDescent="0.2">
      <c r="A1121" s="10">
        <v>22007</v>
      </c>
      <c r="B1121" s="11" t="s">
        <v>7813</v>
      </c>
      <c r="C1121" s="11" t="s">
        <v>5789</v>
      </c>
      <c r="D1121" s="11" t="s">
        <v>7814</v>
      </c>
      <c r="E1121" s="11"/>
      <c r="F1121" s="11" t="s">
        <v>353</v>
      </c>
      <c r="G1121" s="11" t="s">
        <v>121</v>
      </c>
      <c r="H1121" s="11" t="s">
        <v>122</v>
      </c>
      <c r="I1121" s="11" t="s">
        <v>7815</v>
      </c>
      <c r="J1121" s="11" t="s">
        <v>7816</v>
      </c>
      <c r="K1121" s="11" t="s">
        <v>125</v>
      </c>
      <c r="L1121" s="11" t="s">
        <v>126</v>
      </c>
      <c r="M1121" s="11" t="s">
        <v>7817</v>
      </c>
      <c r="N1121" s="11" t="s">
        <v>128</v>
      </c>
      <c r="O1121" s="11" t="s">
        <v>7818</v>
      </c>
      <c r="P1121" s="11" t="s">
        <v>7819</v>
      </c>
      <c r="Q1121" s="11" t="s">
        <v>131</v>
      </c>
      <c r="R1121" s="11"/>
      <c r="S1121" s="11" t="s">
        <v>71</v>
      </c>
      <c r="T1121" s="11" t="s">
        <v>133</v>
      </c>
      <c r="U1121" s="11" t="s">
        <v>134</v>
      </c>
      <c r="V1121" s="11" t="s">
        <v>131</v>
      </c>
      <c r="W1121" s="11" t="s">
        <v>133</v>
      </c>
      <c r="X1121" s="11">
        <v>37</v>
      </c>
      <c r="Y1121" s="11" t="s">
        <v>5796</v>
      </c>
      <c r="Z1121" s="11">
        <v>80</v>
      </c>
      <c r="AA1121" s="11">
        <v>0</v>
      </c>
      <c r="AB1121" s="12">
        <v>0</v>
      </c>
    </row>
    <row r="1122" spans="1:28" x14ac:dyDescent="0.2">
      <c r="A1122" s="7">
        <v>23229</v>
      </c>
      <c r="B1122" s="8" t="s">
        <v>7820</v>
      </c>
      <c r="C1122" s="8" t="s">
        <v>4324</v>
      </c>
      <c r="D1122" s="8" t="s">
        <v>410</v>
      </c>
      <c r="E1122" s="8" t="s">
        <v>7821</v>
      </c>
      <c r="F1122" s="8" t="s">
        <v>4326</v>
      </c>
      <c r="G1122" s="8" t="s">
        <v>190</v>
      </c>
      <c r="H1122" s="8" t="s">
        <v>191</v>
      </c>
      <c r="I1122" s="8" t="s">
        <v>7822</v>
      </c>
      <c r="J1122" s="8" t="s">
        <v>7823</v>
      </c>
      <c r="K1122" s="8" t="s">
        <v>194</v>
      </c>
      <c r="L1122" s="8" t="s">
        <v>163</v>
      </c>
      <c r="M1122" s="8" t="s">
        <v>7824</v>
      </c>
      <c r="N1122" s="8" t="s">
        <v>128</v>
      </c>
      <c r="O1122" s="8" t="s">
        <v>7825</v>
      </c>
      <c r="P1122" s="8" t="s">
        <v>7826</v>
      </c>
      <c r="Q1122" s="8" t="s">
        <v>150</v>
      </c>
      <c r="R1122" s="8"/>
      <c r="S1122" s="8" t="s">
        <v>4332</v>
      </c>
      <c r="T1122" s="8" t="s">
        <v>70</v>
      </c>
      <c r="U1122" s="8" t="s">
        <v>150</v>
      </c>
      <c r="V1122" s="8" t="s">
        <v>70</v>
      </c>
      <c r="W1122" s="8" t="s">
        <v>70</v>
      </c>
      <c r="X1122" s="8">
        <v>37</v>
      </c>
      <c r="Y1122" s="8" t="s">
        <v>5796</v>
      </c>
      <c r="Z1122" s="8">
        <v>80</v>
      </c>
      <c r="AA1122" s="8">
        <v>0</v>
      </c>
      <c r="AB1122" s="9">
        <v>0</v>
      </c>
    </row>
    <row r="1123" spans="1:28" x14ac:dyDescent="0.2">
      <c r="A1123" s="10">
        <v>23128</v>
      </c>
      <c r="B1123" s="11" t="s">
        <v>7827</v>
      </c>
      <c r="C1123" s="11" t="s">
        <v>7828</v>
      </c>
      <c r="D1123" s="11" t="s">
        <v>7829</v>
      </c>
      <c r="E1123" s="11"/>
      <c r="F1123" s="11" t="s">
        <v>484</v>
      </c>
      <c r="G1123" s="11" t="s">
        <v>224</v>
      </c>
      <c r="H1123" s="11" t="s">
        <v>225</v>
      </c>
      <c r="I1123" s="11" t="s">
        <v>7830</v>
      </c>
      <c r="J1123" s="11" t="s">
        <v>7831</v>
      </c>
      <c r="K1123" s="11" t="s">
        <v>228</v>
      </c>
      <c r="L1123" s="11" t="s">
        <v>229</v>
      </c>
      <c r="M1123" s="11" t="s">
        <v>7832</v>
      </c>
      <c r="N1123" s="11" t="s">
        <v>128</v>
      </c>
      <c r="O1123" s="11" t="s">
        <v>7833</v>
      </c>
      <c r="P1123" s="11" t="s">
        <v>7829</v>
      </c>
      <c r="Q1123" s="11" t="s">
        <v>150</v>
      </c>
      <c r="R1123" s="11"/>
      <c r="S1123" s="11" t="s">
        <v>71</v>
      </c>
      <c r="T1123" s="11" t="s">
        <v>70</v>
      </c>
      <c r="U1123" s="11" t="s">
        <v>150</v>
      </c>
      <c r="V1123" s="11" t="s">
        <v>70</v>
      </c>
      <c r="W1123" s="11" t="s">
        <v>70</v>
      </c>
      <c r="X1123" s="11">
        <v>37</v>
      </c>
      <c r="Y1123" s="11" t="s">
        <v>5796</v>
      </c>
      <c r="Z1123" s="11">
        <v>80</v>
      </c>
      <c r="AA1123" s="11">
        <v>0</v>
      </c>
      <c r="AB1123" s="12">
        <v>0</v>
      </c>
    </row>
    <row r="1124" spans="1:28" x14ac:dyDescent="0.2">
      <c r="A1124" s="7">
        <v>23609</v>
      </c>
      <c r="B1124" s="8" t="s">
        <v>7834</v>
      </c>
      <c r="C1124" s="8" t="s">
        <v>5075</v>
      </c>
      <c r="D1124" s="8" t="s">
        <v>138</v>
      </c>
      <c r="E1124" s="8" t="s">
        <v>7835</v>
      </c>
      <c r="F1124" s="8" t="s">
        <v>5077</v>
      </c>
      <c r="G1124" s="8" t="s">
        <v>300</v>
      </c>
      <c r="H1124" s="8" t="s">
        <v>301</v>
      </c>
      <c r="I1124" s="8" t="s">
        <v>5078</v>
      </c>
      <c r="J1124" s="8" t="s">
        <v>7836</v>
      </c>
      <c r="K1124" s="8" t="s">
        <v>304</v>
      </c>
      <c r="L1124" s="8" t="s">
        <v>229</v>
      </c>
      <c r="M1124" s="8" t="s">
        <v>7837</v>
      </c>
      <c r="N1124" s="8" t="s">
        <v>128</v>
      </c>
      <c r="O1124" s="8" t="s">
        <v>7838</v>
      </c>
      <c r="P1124" s="8" t="s">
        <v>3792</v>
      </c>
      <c r="Q1124" s="8" t="s">
        <v>150</v>
      </c>
      <c r="R1124" s="8"/>
      <c r="S1124" s="8" t="s">
        <v>71</v>
      </c>
      <c r="T1124" s="8" t="s">
        <v>168</v>
      </c>
      <c r="U1124" s="8" t="s">
        <v>150</v>
      </c>
      <c r="V1124" s="8" t="s">
        <v>168</v>
      </c>
      <c r="W1124" s="8" t="s">
        <v>168</v>
      </c>
      <c r="X1124" s="8">
        <v>37</v>
      </c>
      <c r="Y1124" s="8" t="s">
        <v>5796</v>
      </c>
      <c r="Z1124" s="8">
        <v>80</v>
      </c>
      <c r="AA1124" s="8">
        <v>0</v>
      </c>
      <c r="AB1124" s="9">
        <v>0</v>
      </c>
    </row>
    <row r="1125" spans="1:28" x14ac:dyDescent="0.2">
      <c r="A1125" s="10">
        <v>23805</v>
      </c>
      <c r="B1125" s="11" t="s">
        <v>7839</v>
      </c>
      <c r="C1125" s="11" t="s">
        <v>409</v>
      </c>
      <c r="D1125" s="11" t="s">
        <v>7840</v>
      </c>
      <c r="E1125" s="11"/>
      <c r="F1125" s="11" t="s">
        <v>353</v>
      </c>
      <c r="G1125" s="11" t="s">
        <v>7562</v>
      </c>
      <c r="H1125" s="11" t="s">
        <v>847</v>
      </c>
      <c r="I1125" s="11" t="s">
        <v>7563</v>
      </c>
      <c r="J1125" s="11" t="s">
        <v>7841</v>
      </c>
      <c r="K1125" s="11" t="s">
        <v>850</v>
      </c>
      <c r="L1125" s="11" t="s">
        <v>126</v>
      </c>
      <c r="M1125" s="11" t="s">
        <v>7842</v>
      </c>
      <c r="N1125" s="11" t="s">
        <v>128</v>
      </c>
      <c r="O1125" s="11" t="s">
        <v>7843</v>
      </c>
      <c r="P1125" s="11" t="s">
        <v>427</v>
      </c>
      <c r="Q1125" s="11" t="s">
        <v>150</v>
      </c>
      <c r="R1125" s="11"/>
      <c r="S1125" s="11" t="s">
        <v>71</v>
      </c>
      <c r="T1125" s="11" t="s">
        <v>168</v>
      </c>
      <c r="U1125" s="11" t="s">
        <v>150</v>
      </c>
      <c r="V1125" s="11" t="s">
        <v>168</v>
      </c>
      <c r="W1125" s="11" t="s">
        <v>168</v>
      </c>
      <c r="X1125" s="11">
        <v>37</v>
      </c>
      <c r="Y1125" s="11" t="s">
        <v>5796</v>
      </c>
      <c r="Z1125" s="11">
        <v>80</v>
      </c>
      <c r="AA1125" s="11">
        <v>0</v>
      </c>
      <c r="AB1125" s="12">
        <v>0</v>
      </c>
    </row>
    <row r="1126" spans="1:28" x14ac:dyDescent="0.2">
      <c r="A1126" s="7">
        <v>85091</v>
      </c>
      <c r="B1126" s="8" t="s">
        <v>7844</v>
      </c>
      <c r="C1126" s="8" t="s">
        <v>7845</v>
      </c>
      <c r="D1126" s="8" t="s">
        <v>7579</v>
      </c>
      <c r="E1126" s="8"/>
      <c r="F1126" s="8" t="s">
        <v>6430</v>
      </c>
      <c r="G1126" s="8" t="s">
        <v>469</v>
      </c>
      <c r="H1126" s="8" t="s">
        <v>142</v>
      </c>
      <c r="I1126" s="8" t="s">
        <v>7846</v>
      </c>
      <c r="J1126" s="8" t="s">
        <v>7847</v>
      </c>
      <c r="K1126" s="8" t="s">
        <v>472</v>
      </c>
      <c r="L1126" s="8" t="s">
        <v>146</v>
      </c>
      <c r="M1126" s="8" t="s">
        <v>7848</v>
      </c>
      <c r="N1126" s="8" t="s">
        <v>128</v>
      </c>
      <c r="O1126" s="8" t="s">
        <v>7849</v>
      </c>
      <c r="P1126" s="8" t="s">
        <v>7850</v>
      </c>
      <c r="Q1126" s="8" t="s">
        <v>150</v>
      </c>
      <c r="R1126" s="8"/>
      <c r="S1126" s="8" t="s">
        <v>71</v>
      </c>
      <c r="T1126" s="8" t="s">
        <v>168</v>
      </c>
      <c r="U1126" s="8" t="s">
        <v>150</v>
      </c>
      <c r="V1126" s="8" t="s">
        <v>168</v>
      </c>
      <c r="W1126" s="8" t="s">
        <v>168</v>
      </c>
      <c r="X1126" s="8">
        <v>37</v>
      </c>
      <c r="Y1126" s="8" t="s">
        <v>5796</v>
      </c>
      <c r="Z1126" s="8">
        <v>80</v>
      </c>
      <c r="AA1126" s="8">
        <v>0</v>
      </c>
      <c r="AB1126" s="9">
        <v>0</v>
      </c>
    </row>
    <row r="1127" spans="1:28" x14ac:dyDescent="0.2">
      <c r="A1127" s="10">
        <v>21240</v>
      </c>
      <c r="B1127" s="11" t="s">
        <v>7851</v>
      </c>
      <c r="C1127" s="11" t="s">
        <v>426</v>
      </c>
      <c r="D1127" s="11" t="s">
        <v>7852</v>
      </c>
      <c r="E1127" s="11" t="s">
        <v>7853</v>
      </c>
      <c r="F1127" s="11" t="s">
        <v>353</v>
      </c>
      <c r="G1127" s="11" t="s">
        <v>428</v>
      </c>
      <c r="H1127" s="11" t="s">
        <v>329</v>
      </c>
      <c r="I1127" s="11" t="s">
        <v>429</v>
      </c>
      <c r="J1127" s="11" t="s">
        <v>7854</v>
      </c>
      <c r="K1127" s="11" t="s">
        <v>431</v>
      </c>
      <c r="L1127" s="11" t="s">
        <v>333</v>
      </c>
      <c r="M1127" s="11" t="s">
        <v>7855</v>
      </c>
      <c r="N1127" s="11" t="s">
        <v>128</v>
      </c>
      <c r="O1127" s="11" t="s">
        <v>7856</v>
      </c>
      <c r="P1127" s="11" t="s">
        <v>7857</v>
      </c>
      <c r="Q1127" s="11" t="s">
        <v>150</v>
      </c>
      <c r="R1127" s="11"/>
      <c r="S1127" s="11" t="s">
        <v>71</v>
      </c>
      <c r="T1127" s="11" t="s">
        <v>642</v>
      </c>
      <c r="U1127" s="11" t="s">
        <v>150</v>
      </c>
      <c r="V1127" s="11" t="s">
        <v>642</v>
      </c>
      <c r="W1127" s="11" t="s">
        <v>642</v>
      </c>
      <c r="X1127" s="11">
        <v>36</v>
      </c>
      <c r="Y1127" s="11" t="s">
        <v>5796</v>
      </c>
      <c r="Z1127" s="11">
        <v>80</v>
      </c>
      <c r="AA1127" s="11">
        <v>0</v>
      </c>
      <c r="AB1127" s="12">
        <v>0</v>
      </c>
    </row>
    <row r="1128" spans="1:28" x14ac:dyDescent="0.2">
      <c r="A1128" s="7">
        <v>107359</v>
      </c>
      <c r="B1128" s="8" t="s">
        <v>7858</v>
      </c>
      <c r="C1128" s="8" t="s">
        <v>1477</v>
      </c>
      <c r="D1128" s="8" t="s">
        <v>2999</v>
      </c>
      <c r="E1128" s="8"/>
      <c r="F1128" s="8" t="s">
        <v>2155</v>
      </c>
      <c r="G1128" s="8" t="s">
        <v>556</v>
      </c>
      <c r="H1128" s="8" t="s">
        <v>557</v>
      </c>
      <c r="I1128" s="8" t="s">
        <v>7859</v>
      </c>
      <c r="J1128" s="8" t="s">
        <v>7860</v>
      </c>
      <c r="K1128" s="8" t="s">
        <v>560</v>
      </c>
      <c r="L1128" s="8" t="s">
        <v>229</v>
      </c>
      <c r="M1128" s="8" t="s">
        <v>7861</v>
      </c>
      <c r="N1128" s="8" t="s">
        <v>128</v>
      </c>
      <c r="O1128" s="8" t="s">
        <v>7862</v>
      </c>
      <c r="P1128" s="8"/>
      <c r="Q1128" s="8" t="s">
        <v>150</v>
      </c>
      <c r="R1128" s="8"/>
      <c r="S1128" s="8" t="s">
        <v>71</v>
      </c>
      <c r="T1128" s="8" t="s">
        <v>642</v>
      </c>
      <c r="U1128" s="8" t="s">
        <v>150</v>
      </c>
      <c r="V1128" s="8" t="s">
        <v>642</v>
      </c>
      <c r="W1128" s="8" t="s">
        <v>642</v>
      </c>
      <c r="X1128" s="8">
        <v>36</v>
      </c>
      <c r="Y1128" s="8" t="s">
        <v>5796</v>
      </c>
      <c r="Z1128" s="8">
        <v>80</v>
      </c>
      <c r="AA1128" s="8">
        <v>0</v>
      </c>
      <c r="AB1128" s="9">
        <v>0</v>
      </c>
    </row>
    <row r="1129" spans="1:28" x14ac:dyDescent="0.2">
      <c r="A1129" s="10">
        <v>21582</v>
      </c>
      <c r="B1129" s="11" t="s">
        <v>7863</v>
      </c>
      <c r="C1129" s="11" t="s">
        <v>4578</v>
      </c>
      <c r="D1129" s="11" t="s">
        <v>6929</v>
      </c>
      <c r="E1129" s="11" t="s">
        <v>7864</v>
      </c>
      <c r="F1129" s="11" t="s">
        <v>353</v>
      </c>
      <c r="G1129" s="11" t="s">
        <v>1626</v>
      </c>
      <c r="H1129" s="11" t="s">
        <v>142</v>
      </c>
      <c r="I1129" s="11" t="s">
        <v>7865</v>
      </c>
      <c r="J1129" s="11" t="s">
        <v>7866</v>
      </c>
      <c r="K1129" s="11" t="s">
        <v>472</v>
      </c>
      <c r="L1129" s="11" t="s">
        <v>146</v>
      </c>
      <c r="M1129" s="11" t="s">
        <v>7867</v>
      </c>
      <c r="N1129" s="11" t="s">
        <v>128</v>
      </c>
      <c r="O1129" s="11" t="s">
        <v>7868</v>
      </c>
      <c r="P1129" s="11" t="s">
        <v>7869</v>
      </c>
      <c r="Q1129" s="11" t="s">
        <v>150</v>
      </c>
      <c r="R1129" s="11"/>
      <c r="S1129" s="11" t="s">
        <v>71</v>
      </c>
      <c r="T1129" s="11" t="s">
        <v>67</v>
      </c>
      <c r="U1129" s="11" t="s">
        <v>150</v>
      </c>
      <c r="V1129" s="11" t="s">
        <v>152</v>
      </c>
      <c r="W1129" s="11" t="s">
        <v>67</v>
      </c>
      <c r="X1129" s="11">
        <v>36</v>
      </c>
      <c r="Y1129" s="11" t="s">
        <v>5796</v>
      </c>
      <c r="Z1129" s="11">
        <v>80</v>
      </c>
      <c r="AA1129" s="11">
        <v>0</v>
      </c>
      <c r="AB1129" s="12">
        <v>0</v>
      </c>
    </row>
    <row r="1130" spans="1:28" x14ac:dyDescent="0.2">
      <c r="A1130" s="7">
        <v>21370</v>
      </c>
      <c r="B1130" s="8" t="s">
        <v>7870</v>
      </c>
      <c r="C1130" s="8" t="s">
        <v>7871</v>
      </c>
      <c r="D1130" s="8" t="s">
        <v>7872</v>
      </c>
      <c r="E1130" s="8" t="s">
        <v>7873</v>
      </c>
      <c r="F1130" s="8" t="s">
        <v>7874</v>
      </c>
      <c r="G1130" s="8" t="s">
        <v>2423</v>
      </c>
      <c r="H1130" s="8" t="s">
        <v>557</v>
      </c>
      <c r="I1130" s="8" t="s">
        <v>7875</v>
      </c>
      <c r="J1130" s="8" t="s">
        <v>7876</v>
      </c>
      <c r="K1130" s="8" t="s">
        <v>1562</v>
      </c>
      <c r="L1130" s="8" t="s">
        <v>229</v>
      </c>
      <c r="M1130" s="8" t="s">
        <v>7877</v>
      </c>
      <c r="N1130" s="8" t="s">
        <v>128</v>
      </c>
      <c r="O1130" s="8" t="s">
        <v>7878</v>
      </c>
      <c r="P1130" s="8" t="s">
        <v>7879</v>
      </c>
      <c r="Q1130" s="8" t="s">
        <v>150</v>
      </c>
      <c r="R1130" s="8"/>
      <c r="S1130" s="8" t="s">
        <v>71</v>
      </c>
      <c r="T1130" s="8" t="s">
        <v>67</v>
      </c>
      <c r="U1130" s="8" t="s">
        <v>150</v>
      </c>
      <c r="V1130" s="8" t="s">
        <v>152</v>
      </c>
      <c r="W1130" s="8" t="s">
        <v>67</v>
      </c>
      <c r="X1130" s="8">
        <v>36</v>
      </c>
      <c r="Y1130" s="8" t="s">
        <v>5796</v>
      </c>
      <c r="Z1130" s="8">
        <v>80</v>
      </c>
      <c r="AA1130" s="8">
        <v>0</v>
      </c>
      <c r="AB1130" s="9">
        <v>0</v>
      </c>
    </row>
    <row r="1131" spans="1:28" x14ac:dyDescent="0.2">
      <c r="A1131" s="10">
        <v>92315</v>
      </c>
      <c r="B1131" s="11" t="s">
        <v>7880</v>
      </c>
      <c r="C1131" s="11" t="s">
        <v>7881</v>
      </c>
      <c r="D1131" s="11" t="s">
        <v>138</v>
      </c>
      <c r="E1131" s="11"/>
      <c r="F1131" s="11" t="s">
        <v>4674</v>
      </c>
      <c r="G1131" s="11" t="s">
        <v>4675</v>
      </c>
      <c r="H1131" s="11" t="s">
        <v>191</v>
      </c>
      <c r="I1131" s="11" t="s">
        <v>4676</v>
      </c>
      <c r="J1131" s="11" t="s">
        <v>7882</v>
      </c>
      <c r="K1131" s="11" t="s">
        <v>194</v>
      </c>
      <c r="L1131" s="11" t="s">
        <v>163</v>
      </c>
      <c r="M1131" s="11" t="s">
        <v>7883</v>
      </c>
      <c r="N1131" s="11" t="s">
        <v>128</v>
      </c>
      <c r="O1131" s="11" t="s">
        <v>7884</v>
      </c>
      <c r="P1131" s="11" t="s">
        <v>7885</v>
      </c>
      <c r="Q1131" s="11" t="s">
        <v>150</v>
      </c>
      <c r="R1131" s="11"/>
      <c r="S1131" s="11" t="s">
        <v>71</v>
      </c>
      <c r="T1131" s="11" t="s">
        <v>67</v>
      </c>
      <c r="U1131" s="11" t="s">
        <v>150</v>
      </c>
      <c r="V1131" s="11" t="s">
        <v>152</v>
      </c>
      <c r="W1131" s="11" t="s">
        <v>67</v>
      </c>
      <c r="X1131" s="11">
        <v>36</v>
      </c>
      <c r="Y1131" s="11" t="s">
        <v>5796</v>
      </c>
      <c r="Z1131" s="11">
        <v>80</v>
      </c>
      <c r="AA1131" s="11">
        <v>0</v>
      </c>
      <c r="AB1131" s="12">
        <v>0</v>
      </c>
    </row>
    <row r="1132" spans="1:28" x14ac:dyDescent="0.2">
      <c r="A1132" s="7">
        <v>21854</v>
      </c>
      <c r="B1132" s="8" t="s">
        <v>7886</v>
      </c>
      <c r="C1132" s="8" t="s">
        <v>2419</v>
      </c>
      <c r="D1132" s="8" t="s">
        <v>2420</v>
      </c>
      <c r="E1132" s="8" t="s">
        <v>7887</v>
      </c>
      <c r="F1132" s="8" t="s">
        <v>2422</v>
      </c>
      <c r="G1132" s="8" t="s">
        <v>2423</v>
      </c>
      <c r="H1132" s="8" t="s">
        <v>557</v>
      </c>
      <c r="I1132" s="8" t="s">
        <v>2424</v>
      </c>
      <c r="J1132" s="8" t="s">
        <v>2425</v>
      </c>
      <c r="K1132" s="8" t="s">
        <v>1562</v>
      </c>
      <c r="L1132" s="8" t="s">
        <v>229</v>
      </c>
      <c r="M1132" s="8" t="s">
        <v>7888</v>
      </c>
      <c r="N1132" s="8" t="s">
        <v>128</v>
      </c>
      <c r="O1132" s="8" t="s">
        <v>7889</v>
      </c>
      <c r="P1132" s="8" t="s">
        <v>7890</v>
      </c>
      <c r="Q1132" s="8" t="s">
        <v>131</v>
      </c>
      <c r="R1132" s="8"/>
      <c r="S1132" s="8" t="s">
        <v>2429</v>
      </c>
      <c r="T1132" s="8" t="s">
        <v>133</v>
      </c>
      <c r="U1132" s="8" t="s">
        <v>134</v>
      </c>
      <c r="V1132" s="8" t="s">
        <v>131</v>
      </c>
      <c r="W1132" s="8" t="s">
        <v>133</v>
      </c>
      <c r="X1132" s="8">
        <v>36</v>
      </c>
      <c r="Y1132" s="8" t="s">
        <v>5796</v>
      </c>
      <c r="Z1132" s="8">
        <v>80</v>
      </c>
      <c r="AA1132" s="8">
        <v>0</v>
      </c>
      <c r="AB1132" s="9">
        <v>0</v>
      </c>
    </row>
    <row r="1133" spans="1:28" x14ac:dyDescent="0.2">
      <c r="A1133" s="10">
        <v>235564</v>
      </c>
      <c r="B1133" s="11" t="s">
        <v>7891</v>
      </c>
      <c r="C1133" s="11" t="s">
        <v>7328</v>
      </c>
      <c r="D1133" s="11" t="s">
        <v>7892</v>
      </c>
      <c r="E1133" s="11"/>
      <c r="F1133" s="11" t="s">
        <v>353</v>
      </c>
      <c r="G1133" s="11" t="s">
        <v>7329</v>
      </c>
      <c r="H1133" s="11" t="s">
        <v>1953</v>
      </c>
      <c r="I1133" s="11" t="s">
        <v>7893</v>
      </c>
      <c r="J1133" s="11" t="s">
        <v>7894</v>
      </c>
      <c r="K1133" s="11" t="s">
        <v>1956</v>
      </c>
      <c r="L1133" s="11" t="s">
        <v>526</v>
      </c>
      <c r="M1133" s="11" t="s">
        <v>7895</v>
      </c>
      <c r="N1133" s="11" t="s">
        <v>128</v>
      </c>
      <c r="O1133" s="11" t="s">
        <v>7896</v>
      </c>
      <c r="P1133" s="11" t="s">
        <v>7897</v>
      </c>
      <c r="Q1133" s="11" t="s">
        <v>150</v>
      </c>
      <c r="R1133" s="11"/>
      <c r="S1133" s="11" t="s">
        <v>71</v>
      </c>
      <c r="T1133" s="11" t="s">
        <v>7898</v>
      </c>
      <c r="U1133" s="11" t="s">
        <v>150</v>
      </c>
      <c r="V1133" s="11" t="s">
        <v>7898</v>
      </c>
      <c r="W1133" s="11" t="s">
        <v>7898</v>
      </c>
      <c r="X1133" s="11">
        <v>36</v>
      </c>
      <c r="Y1133" s="11" t="s">
        <v>5796</v>
      </c>
      <c r="Z1133" s="11">
        <v>80</v>
      </c>
      <c r="AA1133" s="11">
        <v>0</v>
      </c>
      <c r="AB1133" s="12">
        <v>0</v>
      </c>
    </row>
    <row r="1134" spans="1:28" x14ac:dyDescent="0.2">
      <c r="A1134" s="7">
        <v>23420</v>
      </c>
      <c r="B1134" s="8" t="s">
        <v>7899</v>
      </c>
      <c r="C1134" s="8" t="s">
        <v>7106</v>
      </c>
      <c r="D1134" s="8" t="s">
        <v>7900</v>
      </c>
      <c r="E1134" s="8"/>
      <c r="F1134" s="8" t="s">
        <v>353</v>
      </c>
      <c r="G1134" s="8" t="s">
        <v>3654</v>
      </c>
      <c r="H1134" s="8" t="s">
        <v>142</v>
      </c>
      <c r="I1134" s="8" t="s">
        <v>7108</v>
      </c>
      <c r="J1134" s="8" t="s">
        <v>7901</v>
      </c>
      <c r="K1134" s="8" t="s">
        <v>1029</v>
      </c>
      <c r="L1134" s="8" t="s">
        <v>464</v>
      </c>
      <c r="M1134" s="8" t="s">
        <v>7902</v>
      </c>
      <c r="N1134" s="8" t="s">
        <v>128</v>
      </c>
      <c r="O1134" s="8" t="s">
        <v>7903</v>
      </c>
      <c r="P1134" s="8" t="s">
        <v>7904</v>
      </c>
      <c r="Q1134" s="8" t="s">
        <v>150</v>
      </c>
      <c r="R1134" s="8"/>
      <c r="S1134" s="8" t="s">
        <v>71</v>
      </c>
      <c r="T1134" s="8" t="s">
        <v>1415</v>
      </c>
      <c r="U1134" s="8" t="s">
        <v>150</v>
      </c>
      <c r="V1134" s="8" t="s">
        <v>1415</v>
      </c>
      <c r="W1134" s="8" t="s">
        <v>1415</v>
      </c>
      <c r="X1134" s="8">
        <v>36</v>
      </c>
      <c r="Y1134" s="8" t="s">
        <v>5796</v>
      </c>
      <c r="Z1134" s="8">
        <v>80</v>
      </c>
      <c r="AA1134" s="8">
        <v>0</v>
      </c>
      <c r="AB1134" s="9">
        <v>0</v>
      </c>
    </row>
    <row r="1135" spans="1:28" x14ac:dyDescent="0.2">
      <c r="A1135" s="10">
        <v>23485</v>
      </c>
      <c r="B1135" s="11" t="s">
        <v>7905</v>
      </c>
      <c r="C1135" s="11" t="s">
        <v>7906</v>
      </c>
      <c r="D1135" s="11" t="s">
        <v>7907</v>
      </c>
      <c r="E1135" s="11"/>
      <c r="F1135" s="11" t="s">
        <v>353</v>
      </c>
      <c r="G1135" s="11" t="s">
        <v>1253</v>
      </c>
      <c r="H1135" s="11" t="s">
        <v>142</v>
      </c>
      <c r="I1135" s="11" t="s">
        <v>7908</v>
      </c>
      <c r="J1135" s="11" t="s">
        <v>7909</v>
      </c>
      <c r="K1135" s="11" t="s">
        <v>1199</v>
      </c>
      <c r="L1135" s="11" t="s">
        <v>464</v>
      </c>
      <c r="M1135" s="11" t="s">
        <v>7910</v>
      </c>
      <c r="N1135" s="11" t="s">
        <v>128</v>
      </c>
      <c r="O1135" s="11" t="s">
        <v>7911</v>
      </c>
      <c r="P1135" s="11" t="s">
        <v>7912</v>
      </c>
      <c r="Q1135" s="11" t="s">
        <v>150</v>
      </c>
      <c r="R1135" s="11"/>
      <c r="S1135" s="11" t="s">
        <v>71</v>
      </c>
      <c r="T1135" s="11" t="s">
        <v>1415</v>
      </c>
      <c r="U1135" s="11" t="s">
        <v>150</v>
      </c>
      <c r="V1135" s="11" t="s">
        <v>1415</v>
      </c>
      <c r="W1135" s="11" t="s">
        <v>1415</v>
      </c>
      <c r="X1135" s="11">
        <v>36</v>
      </c>
      <c r="Y1135" s="11" t="s">
        <v>5796</v>
      </c>
      <c r="Z1135" s="11">
        <v>80</v>
      </c>
      <c r="AA1135" s="11">
        <v>0</v>
      </c>
      <c r="AB1135" s="12">
        <v>0</v>
      </c>
    </row>
    <row r="1136" spans="1:28" x14ac:dyDescent="0.2">
      <c r="A1136" s="7">
        <v>23787</v>
      </c>
      <c r="B1136" s="8" t="s">
        <v>7913</v>
      </c>
      <c r="C1136" s="8" t="s">
        <v>7914</v>
      </c>
      <c r="D1136" s="8" t="s">
        <v>1272</v>
      </c>
      <c r="E1136" s="8" t="s">
        <v>6918</v>
      </c>
      <c r="F1136" s="8" t="s">
        <v>7915</v>
      </c>
      <c r="G1136" s="8" t="s">
        <v>7916</v>
      </c>
      <c r="H1136" s="8" t="s">
        <v>301</v>
      </c>
      <c r="I1136" s="8" t="s">
        <v>7917</v>
      </c>
      <c r="J1136" s="8" t="s">
        <v>7918</v>
      </c>
      <c r="K1136" s="8" t="s">
        <v>228</v>
      </c>
      <c r="L1136" s="8" t="s">
        <v>229</v>
      </c>
      <c r="M1136" s="8" t="s">
        <v>7919</v>
      </c>
      <c r="N1136" s="8" t="s">
        <v>128</v>
      </c>
      <c r="O1136" s="8" t="s">
        <v>7920</v>
      </c>
      <c r="P1136" s="8" t="s">
        <v>7921</v>
      </c>
      <c r="Q1136" s="8" t="s">
        <v>150</v>
      </c>
      <c r="R1136" s="8"/>
      <c r="S1136" s="8" t="s">
        <v>71</v>
      </c>
      <c r="T1136" s="8" t="s">
        <v>168</v>
      </c>
      <c r="U1136" s="8" t="s">
        <v>150</v>
      </c>
      <c r="V1136" s="8" t="s">
        <v>168</v>
      </c>
      <c r="W1136" s="8" t="s">
        <v>168</v>
      </c>
      <c r="X1136" s="8">
        <v>36</v>
      </c>
      <c r="Y1136" s="8" t="s">
        <v>5796</v>
      </c>
      <c r="Z1136" s="8">
        <v>80</v>
      </c>
      <c r="AA1136" s="8">
        <v>0</v>
      </c>
      <c r="AB1136" s="9">
        <v>0</v>
      </c>
    </row>
    <row r="1137" spans="1:28" x14ac:dyDescent="0.2">
      <c r="A1137" s="10">
        <v>37972</v>
      </c>
      <c r="B1137" s="11" t="s">
        <v>7922</v>
      </c>
      <c r="C1137" s="11" t="s">
        <v>7923</v>
      </c>
      <c r="D1137" s="11" t="s">
        <v>138</v>
      </c>
      <c r="E1137" s="11" t="s">
        <v>7924</v>
      </c>
      <c r="F1137" s="11" t="s">
        <v>7925</v>
      </c>
      <c r="G1137" s="11" t="s">
        <v>224</v>
      </c>
      <c r="H1137" s="11" t="s">
        <v>225</v>
      </c>
      <c r="I1137" s="11" t="s">
        <v>7926</v>
      </c>
      <c r="J1137" s="11" t="s">
        <v>7927</v>
      </c>
      <c r="K1137" s="11" t="s">
        <v>228</v>
      </c>
      <c r="L1137" s="11" t="s">
        <v>229</v>
      </c>
      <c r="M1137" s="11" t="s">
        <v>7928</v>
      </c>
      <c r="N1137" s="11" t="s">
        <v>128</v>
      </c>
      <c r="O1137" s="11" t="s">
        <v>7929</v>
      </c>
      <c r="P1137" s="11" t="s">
        <v>7930</v>
      </c>
      <c r="Q1137" s="11" t="s">
        <v>150</v>
      </c>
      <c r="R1137" s="11"/>
      <c r="S1137" s="11" t="s">
        <v>71</v>
      </c>
      <c r="T1137" s="11" t="s">
        <v>168</v>
      </c>
      <c r="U1137" s="11" t="s">
        <v>150</v>
      </c>
      <c r="V1137" s="11" t="s">
        <v>168</v>
      </c>
      <c r="W1137" s="11" t="s">
        <v>168</v>
      </c>
      <c r="X1137" s="11">
        <v>36</v>
      </c>
      <c r="Y1137" s="11" t="s">
        <v>5796</v>
      </c>
      <c r="Z1137" s="11">
        <v>80</v>
      </c>
      <c r="AA1137" s="11">
        <v>0</v>
      </c>
      <c r="AB1137" s="12">
        <v>0</v>
      </c>
    </row>
    <row r="1138" spans="1:28" x14ac:dyDescent="0.2">
      <c r="A1138" s="7">
        <v>23870</v>
      </c>
      <c r="B1138" s="8" t="s">
        <v>7931</v>
      </c>
      <c r="C1138" s="8" t="s">
        <v>3928</v>
      </c>
      <c r="D1138" s="8" t="s">
        <v>7932</v>
      </c>
      <c r="E1138" s="8"/>
      <c r="F1138" s="8" t="s">
        <v>353</v>
      </c>
      <c r="G1138" s="8" t="s">
        <v>3929</v>
      </c>
      <c r="H1138" s="8" t="s">
        <v>704</v>
      </c>
      <c r="I1138" s="8" t="s">
        <v>7933</v>
      </c>
      <c r="J1138" s="8" t="s">
        <v>7934</v>
      </c>
      <c r="K1138" s="8" t="s">
        <v>850</v>
      </c>
      <c r="L1138" s="8" t="s">
        <v>126</v>
      </c>
      <c r="M1138" s="8" t="s">
        <v>7935</v>
      </c>
      <c r="N1138" s="8" t="s">
        <v>128</v>
      </c>
      <c r="O1138" s="8" t="s">
        <v>7936</v>
      </c>
      <c r="P1138" s="8" t="s">
        <v>7937</v>
      </c>
      <c r="Q1138" s="8" t="s">
        <v>150</v>
      </c>
      <c r="R1138" s="8"/>
      <c r="S1138" s="8" t="s">
        <v>71</v>
      </c>
      <c r="T1138" s="8" t="s">
        <v>168</v>
      </c>
      <c r="U1138" s="8" t="s">
        <v>150</v>
      </c>
      <c r="V1138" s="8" t="s">
        <v>168</v>
      </c>
      <c r="W1138" s="8" t="s">
        <v>168</v>
      </c>
      <c r="X1138" s="8">
        <v>36</v>
      </c>
      <c r="Y1138" s="8" t="s">
        <v>5796</v>
      </c>
      <c r="Z1138" s="8">
        <v>80</v>
      </c>
      <c r="AA1138" s="8">
        <v>0</v>
      </c>
      <c r="AB1138" s="9">
        <v>0</v>
      </c>
    </row>
    <row r="1139" spans="1:28" x14ac:dyDescent="0.2">
      <c r="A1139" s="10">
        <v>85415</v>
      </c>
      <c r="B1139" s="11" t="s">
        <v>7938</v>
      </c>
      <c r="C1139" s="11" t="s">
        <v>7806</v>
      </c>
      <c r="D1139" s="11" t="s">
        <v>7939</v>
      </c>
      <c r="E1139" s="11"/>
      <c r="F1139" s="11" t="s">
        <v>6430</v>
      </c>
      <c r="G1139" s="11" t="s">
        <v>7808</v>
      </c>
      <c r="H1139" s="11" t="s">
        <v>142</v>
      </c>
      <c r="I1139" s="11" t="s">
        <v>7809</v>
      </c>
      <c r="J1139" s="11" t="s">
        <v>7940</v>
      </c>
      <c r="K1139" s="11" t="s">
        <v>779</v>
      </c>
      <c r="L1139" s="11" t="s">
        <v>464</v>
      </c>
      <c r="M1139" s="11" t="s">
        <v>7941</v>
      </c>
      <c r="N1139" s="11" t="s">
        <v>128</v>
      </c>
      <c r="O1139" s="11" t="s">
        <v>7942</v>
      </c>
      <c r="P1139" s="11" t="s">
        <v>7943</v>
      </c>
      <c r="Q1139" s="11" t="s">
        <v>150</v>
      </c>
      <c r="R1139" s="11"/>
      <c r="S1139" s="11" t="s">
        <v>71</v>
      </c>
      <c r="T1139" s="11" t="s">
        <v>168</v>
      </c>
      <c r="U1139" s="11" t="s">
        <v>150</v>
      </c>
      <c r="V1139" s="11" t="s">
        <v>168</v>
      </c>
      <c r="W1139" s="11" t="s">
        <v>168</v>
      </c>
      <c r="X1139" s="11">
        <v>36</v>
      </c>
      <c r="Y1139" s="11" t="s">
        <v>5796</v>
      </c>
      <c r="Z1139" s="11">
        <v>80</v>
      </c>
      <c r="AA1139" s="11">
        <v>0</v>
      </c>
      <c r="AB1139" s="12">
        <v>0</v>
      </c>
    </row>
    <row r="1140" spans="1:28" x14ac:dyDescent="0.2">
      <c r="A1140" s="7">
        <v>24700</v>
      </c>
      <c r="B1140" s="8" t="s">
        <v>7944</v>
      </c>
      <c r="C1140" s="8" t="s">
        <v>2989</v>
      </c>
      <c r="D1140" s="8" t="s">
        <v>7945</v>
      </c>
      <c r="E1140" s="8" t="s">
        <v>7946</v>
      </c>
      <c r="F1140" s="8" t="s">
        <v>353</v>
      </c>
      <c r="G1140" s="8" t="s">
        <v>2992</v>
      </c>
      <c r="H1140" s="8" t="s">
        <v>122</v>
      </c>
      <c r="I1140" s="8" t="s">
        <v>2993</v>
      </c>
      <c r="J1140" s="8" t="s">
        <v>7947</v>
      </c>
      <c r="K1140" s="8" t="s">
        <v>125</v>
      </c>
      <c r="L1140" s="8" t="s">
        <v>126</v>
      </c>
      <c r="M1140" s="8" t="s">
        <v>7948</v>
      </c>
      <c r="N1140" s="8" t="s">
        <v>128</v>
      </c>
      <c r="O1140" s="8" t="s">
        <v>7949</v>
      </c>
      <c r="P1140" s="8" t="s">
        <v>7950</v>
      </c>
      <c r="Q1140" s="8" t="s">
        <v>150</v>
      </c>
      <c r="R1140" s="8"/>
      <c r="S1140" s="8" t="s">
        <v>71</v>
      </c>
      <c r="T1140" s="8" t="s">
        <v>69</v>
      </c>
      <c r="U1140" s="8" t="s">
        <v>150</v>
      </c>
      <c r="V1140" s="8" t="s">
        <v>152</v>
      </c>
      <c r="W1140" s="8" t="s">
        <v>69</v>
      </c>
      <c r="X1140" s="8">
        <v>36</v>
      </c>
      <c r="Y1140" s="8" t="s">
        <v>5796</v>
      </c>
      <c r="Z1140" s="8">
        <v>80</v>
      </c>
      <c r="AA1140" s="8">
        <v>0</v>
      </c>
      <c r="AB1140" s="9">
        <v>0</v>
      </c>
    </row>
    <row r="1141" spans="1:28" x14ac:dyDescent="0.2">
      <c r="A1141" s="10">
        <v>24704</v>
      </c>
      <c r="B1141" s="11" t="s">
        <v>7951</v>
      </c>
      <c r="C1141" s="11" t="s">
        <v>7952</v>
      </c>
      <c r="D1141" s="11" t="s">
        <v>7953</v>
      </c>
      <c r="E1141" s="11"/>
      <c r="F1141" s="11" t="s">
        <v>353</v>
      </c>
      <c r="G1141" s="11" t="s">
        <v>3259</v>
      </c>
      <c r="H1141" s="11" t="s">
        <v>557</v>
      </c>
      <c r="I1141" s="11" t="s">
        <v>7954</v>
      </c>
      <c r="J1141" s="11" t="s">
        <v>7955</v>
      </c>
      <c r="K1141" s="11" t="s">
        <v>1562</v>
      </c>
      <c r="L1141" s="11" t="s">
        <v>229</v>
      </c>
      <c r="M1141" s="11" t="s">
        <v>7956</v>
      </c>
      <c r="N1141" s="11" t="s">
        <v>128</v>
      </c>
      <c r="O1141" s="11" t="s">
        <v>7957</v>
      </c>
      <c r="P1141" s="11" t="s">
        <v>7958</v>
      </c>
      <c r="Q1141" s="11" t="s">
        <v>150</v>
      </c>
      <c r="R1141" s="11"/>
      <c r="S1141" s="11" t="s">
        <v>71</v>
      </c>
      <c r="T1141" s="11" t="s">
        <v>69</v>
      </c>
      <c r="U1141" s="11" t="s">
        <v>150</v>
      </c>
      <c r="V1141" s="11" t="s">
        <v>152</v>
      </c>
      <c r="W1141" s="11" t="s">
        <v>69</v>
      </c>
      <c r="X1141" s="11">
        <v>36</v>
      </c>
      <c r="Y1141" s="11" t="s">
        <v>5796</v>
      </c>
      <c r="Z1141" s="11">
        <v>80</v>
      </c>
      <c r="AA1141" s="11">
        <v>0</v>
      </c>
      <c r="AB1141" s="12">
        <v>0</v>
      </c>
    </row>
    <row r="1142" spans="1:28" x14ac:dyDescent="0.2">
      <c r="A1142" s="7">
        <v>25303</v>
      </c>
      <c r="B1142" s="8" t="s">
        <v>7959</v>
      </c>
      <c r="C1142" s="8" t="s">
        <v>7960</v>
      </c>
      <c r="D1142" s="8" t="s">
        <v>138</v>
      </c>
      <c r="E1142" s="8" t="s">
        <v>7961</v>
      </c>
      <c r="F1142" s="8" t="s">
        <v>7962</v>
      </c>
      <c r="G1142" s="8" t="s">
        <v>224</v>
      </c>
      <c r="H1142" s="8" t="s">
        <v>225</v>
      </c>
      <c r="I1142" s="8" t="s">
        <v>7084</v>
      </c>
      <c r="J1142" s="8" t="s">
        <v>7963</v>
      </c>
      <c r="K1142" s="8" t="s">
        <v>228</v>
      </c>
      <c r="L1142" s="8" t="s">
        <v>229</v>
      </c>
      <c r="M1142" s="8" t="s">
        <v>7964</v>
      </c>
      <c r="N1142" s="8" t="s">
        <v>128</v>
      </c>
      <c r="O1142" s="8" t="s">
        <v>7965</v>
      </c>
      <c r="P1142" s="8" t="s">
        <v>7966</v>
      </c>
      <c r="Q1142" s="8" t="s">
        <v>740</v>
      </c>
      <c r="R1142" s="8"/>
      <c r="S1142" s="8" t="s">
        <v>7089</v>
      </c>
      <c r="T1142" s="8" t="s">
        <v>741</v>
      </c>
      <c r="U1142" s="8" t="s">
        <v>134</v>
      </c>
      <c r="V1142" s="8" t="s">
        <v>740</v>
      </c>
      <c r="W1142" s="8" t="s">
        <v>741</v>
      </c>
      <c r="X1142" s="8">
        <v>36</v>
      </c>
      <c r="Y1142" s="8" t="s">
        <v>5796</v>
      </c>
      <c r="Z1142" s="8">
        <v>80</v>
      </c>
      <c r="AA1142" s="8">
        <v>0</v>
      </c>
      <c r="AB1142" s="9">
        <v>0</v>
      </c>
    </row>
    <row r="1143" spans="1:28" x14ac:dyDescent="0.2">
      <c r="A1143" s="10">
        <v>25577</v>
      </c>
      <c r="B1143" s="11" t="s">
        <v>7967</v>
      </c>
      <c r="C1143" s="11" t="s">
        <v>7968</v>
      </c>
      <c r="D1143" s="11" t="s">
        <v>7969</v>
      </c>
      <c r="E1143" s="11" t="s">
        <v>7970</v>
      </c>
      <c r="F1143" s="11" t="s">
        <v>7962</v>
      </c>
      <c r="G1143" s="11" t="s">
        <v>224</v>
      </c>
      <c r="H1143" s="11" t="s">
        <v>225</v>
      </c>
      <c r="I1143" s="11" t="s">
        <v>7084</v>
      </c>
      <c r="J1143" s="11" t="s">
        <v>7971</v>
      </c>
      <c r="K1143" s="11" t="s">
        <v>228</v>
      </c>
      <c r="L1143" s="11" t="s">
        <v>229</v>
      </c>
      <c r="M1143" s="11" t="s">
        <v>7972</v>
      </c>
      <c r="N1143" s="11" t="s">
        <v>128</v>
      </c>
      <c r="O1143" s="11" t="s">
        <v>7973</v>
      </c>
      <c r="P1143" s="11" t="s">
        <v>7974</v>
      </c>
      <c r="Q1143" s="11" t="s">
        <v>249</v>
      </c>
      <c r="R1143" s="11"/>
      <c r="S1143" s="11" t="s">
        <v>7089</v>
      </c>
      <c r="T1143" s="11" t="s">
        <v>250</v>
      </c>
      <c r="U1143" s="11" t="s">
        <v>134</v>
      </c>
      <c r="V1143" s="11" t="s">
        <v>249</v>
      </c>
      <c r="W1143" s="11" t="s">
        <v>250</v>
      </c>
      <c r="X1143" s="11">
        <v>36</v>
      </c>
      <c r="Y1143" s="11" t="s">
        <v>5796</v>
      </c>
      <c r="Z1143" s="11">
        <v>80</v>
      </c>
      <c r="AA1143" s="11">
        <v>0</v>
      </c>
      <c r="AB1143" s="12">
        <v>0</v>
      </c>
    </row>
    <row r="1144" spans="1:28" x14ac:dyDescent="0.2">
      <c r="A1144" s="7">
        <v>21418</v>
      </c>
      <c r="B1144" s="8" t="s">
        <v>7975</v>
      </c>
      <c r="C1144" s="8" t="s">
        <v>7976</v>
      </c>
      <c r="D1144" s="8" t="s">
        <v>5951</v>
      </c>
      <c r="E1144" s="8" t="s">
        <v>2760</v>
      </c>
      <c r="F1144" s="8" t="s">
        <v>353</v>
      </c>
      <c r="G1144" s="8" t="s">
        <v>4513</v>
      </c>
      <c r="H1144" s="8" t="s">
        <v>847</v>
      </c>
      <c r="I1144" s="8" t="s">
        <v>7977</v>
      </c>
      <c r="J1144" s="8" t="s">
        <v>7978</v>
      </c>
      <c r="K1144" s="8" t="s">
        <v>1091</v>
      </c>
      <c r="L1144" s="8" t="s">
        <v>126</v>
      </c>
      <c r="M1144" s="8" t="s">
        <v>7979</v>
      </c>
      <c r="N1144" s="8" t="s">
        <v>128</v>
      </c>
      <c r="O1144" s="8" t="s">
        <v>7980</v>
      </c>
      <c r="P1144" s="8" t="s">
        <v>7981</v>
      </c>
      <c r="Q1144" s="8" t="s">
        <v>150</v>
      </c>
      <c r="R1144" s="8"/>
      <c r="S1144" s="8" t="s">
        <v>71</v>
      </c>
      <c r="T1144" s="8" t="s">
        <v>67</v>
      </c>
      <c r="U1144" s="8" t="s">
        <v>150</v>
      </c>
      <c r="V1144" s="8" t="s">
        <v>152</v>
      </c>
      <c r="W1144" s="8" t="s">
        <v>67</v>
      </c>
      <c r="X1144" s="8">
        <v>35</v>
      </c>
      <c r="Y1144" s="8" t="s">
        <v>5796</v>
      </c>
      <c r="Z1144" s="8">
        <v>80</v>
      </c>
      <c r="AA1144" s="8">
        <v>0</v>
      </c>
      <c r="AB1144" s="9">
        <v>0</v>
      </c>
    </row>
    <row r="1145" spans="1:28" x14ac:dyDescent="0.2">
      <c r="A1145" s="10">
        <v>21280</v>
      </c>
      <c r="B1145" s="11" t="s">
        <v>7982</v>
      </c>
      <c r="C1145" s="11" t="s">
        <v>1125</v>
      </c>
      <c r="D1145" s="11" t="s">
        <v>7983</v>
      </c>
      <c r="E1145" s="11" t="s">
        <v>7984</v>
      </c>
      <c r="F1145" s="11" t="s">
        <v>7985</v>
      </c>
      <c r="G1145" s="11" t="s">
        <v>450</v>
      </c>
      <c r="H1145" s="11" t="s">
        <v>301</v>
      </c>
      <c r="I1145" s="11" t="s">
        <v>7986</v>
      </c>
      <c r="J1145" s="11" t="s">
        <v>7987</v>
      </c>
      <c r="K1145" s="11" t="s">
        <v>304</v>
      </c>
      <c r="L1145" s="11" t="s">
        <v>229</v>
      </c>
      <c r="M1145" s="11" t="s">
        <v>7988</v>
      </c>
      <c r="N1145" s="11" t="s">
        <v>128</v>
      </c>
      <c r="O1145" s="11" t="s">
        <v>7989</v>
      </c>
      <c r="P1145" s="11" t="s">
        <v>7990</v>
      </c>
      <c r="Q1145" s="11" t="s">
        <v>150</v>
      </c>
      <c r="R1145" s="11"/>
      <c r="S1145" s="11" t="s">
        <v>71</v>
      </c>
      <c r="T1145" s="11" t="s">
        <v>67</v>
      </c>
      <c r="U1145" s="11" t="s">
        <v>150</v>
      </c>
      <c r="V1145" s="11" t="s">
        <v>152</v>
      </c>
      <c r="W1145" s="11" t="s">
        <v>67</v>
      </c>
      <c r="X1145" s="11">
        <v>35</v>
      </c>
      <c r="Y1145" s="11" t="s">
        <v>5796</v>
      </c>
      <c r="Z1145" s="11">
        <v>80</v>
      </c>
      <c r="AA1145" s="11">
        <v>0</v>
      </c>
      <c r="AB1145" s="12">
        <v>0</v>
      </c>
    </row>
    <row r="1146" spans="1:28" x14ac:dyDescent="0.2">
      <c r="A1146" s="7">
        <v>21556</v>
      </c>
      <c r="B1146" s="8" t="s">
        <v>7991</v>
      </c>
      <c r="C1146" s="8" t="s">
        <v>7992</v>
      </c>
      <c r="D1146" s="8" t="s">
        <v>7993</v>
      </c>
      <c r="E1146" s="8" t="s">
        <v>7994</v>
      </c>
      <c r="F1146" s="8" t="s">
        <v>6873</v>
      </c>
      <c r="G1146" s="8" t="s">
        <v>2652</v>
      </c>
      <c r="H1146" s="8" t="s">
        <v>1843</v>
      </c>
      <c r="I1146" s="8" t="s">
        <v>7995</v>
      </c>
      <c r="J1146" s="8" t="s">
        <v>7996</v>
      </c>
      <c r="K1146" s="8" t="s">
        <v>1562</v>
      </c>
      <c r="L1146" s="8" t="s">
        <v>229</v>
      </c>
      <c r="M1146" s="8" t="s">
        <v>7997</v>
      </c>
      <c r="N1146" s="8" t="s">
        <v>128</v>
      </c>
      <c r="O1146" s="8" t="s">
        <v>7998</v>
      </c>
      <c r="P1146" s="8" t="s">
        <v>7999</v>
      </c>
      <c r="Q1146" s="8" t="s">
        <v>150</v>
      </c>
      <c r="R1146" s="8"/>
      <c r="S1146" s="8" t="s">
        <v>71</v>
      </c>
      <c r="T1146" s="8" t="s">
        <v>67</v>
      </c>
      <c r="U1146" s="8" t="s">
        <v>150</v>
      </c>
      <c r="V1146" s="8" t="s">
        <v>152</v>
      </c>
      <c r="W1146" s="8" t="s">
        <v>67</v>
      </c>
      <c r="X1146" s="8">
        <v>35</v>
      </c>
      <c r="Y1146" s="8" t="s">
        <v>5796</v>
      </c>
      <c r="Z1146" s="8">
        <v>80</v>
      </c>
      <c r="AA1146" s="8">
        <v>0</v>
      </c>
      <c r="AB1146" s="9">
        <v>0</v>
      </c>
    </row>
    <row r="1147" spans="1:28" x14ac:dyDescent="0.2">
      <c r="A1147" s="10">
        <v>85065</v>
      </c>
      <c r="B1147" s="11" t="s">
        <v>8000</v>
      </c>
      <c r="C1147" s="11" t="s">
        <v>5843</v>
      </c>
      <c r="D1147" s="11" t="s">
        <v>7300</v>
      </c>
      <c r="E1147" s="11"/>
      <c r="F1147" s="11" t="s">
        <v>8001</v>
      </c>
      <c r="G1147" s="11" t="s">
        <v>5846</v>
      </c>
      <c r="H1147" s="11" t="s">
        <v>159</v>
      </c>
      <c r="I1147" s="11" t="s">
        <v>8002</v>
      </c>
      <c r="J1147" s="11" t="s">
        <v>8003</v>
      </c>
      <c r="K1147" s="11" t="s">
        <v>162</v>
      </c>
      <c r="L1147" s="11" t="s">
        <v>163</v>
      </c>
      <c r="M1147" s="11" t="s">
        <v>8004</v>
      </c>
      <c r="N1147" s="11" t="s">
        <v>128</v>
      </c>
      <c r="O1147" s="11" t="s">
        <v>8005</v>
      </c>
      <c r="P1147" s="11" t="s">
        <v>8006</v>
      </c>
      <c r="Q1147" s="11" t="s">
        <v>150</v>
      </c>
      <c r="R1147" s="11"/>
      <c r="S1147" s="11" t="s">
        <v>71</v>
      </c>
      <c r="T1147" s="11" t="s">
        <v>67</v>
      </c>
      <c r="U1147" s="11" t="s">
        <v>150</v>
      </c>
      <c r="V1147" s="11" t="s">
        <v>152</v>
      </c>
      <c r="W1147" s="11" t="s">
        <v>67</v>
      </c>
      <c r="X1147" s="11">
        <v>35</v>
      </c>
      <c r="Y1147" s="11" t="s">
        <v>5796</v>
      </c>
      <c r="Z1147" s="11">
        <v>80</v>
      </c>
      <c r="AA1147" s="11">
        <v>0</v>
      </c>
      <c r="AB1147" s="12">
        <v>0</v>
      </c>
    </row>
    <row r="1148" spans="1:28" x14ac:dyDescent="0.2">
      <c r="A1148" s="7">
        <v>22022</v>
      </c>
      <c r="B1148" s="8" t="s">
        <v>8007</v>
      </c>
      <c r="C1148" s="8" t="s">
        <v>2935</v>
      </c>
      <c r="D1148" s="8" t="s">
        <v>2936</v>
      </c>
      <c r="E1148" s="8" t="s">
        <v>8008</v>
      </c>
      <c r="F1148" s="8" t="s">
        <v>353</v>
      </c>
      <c r="G1148" s="8" t="s">
        <v>714</v>
      </c>
      <c r="H1148" s="8" t="s">
        <v>142</v>
      </c>
      <c r="I1148" s="8" t="s">
        <v>2938</v>
      </c>
      <c r="J1148" s="8" t="s">
        <v>2939</v>
      </c>
      <c r="K1148" s="8" t="s">
        <v>717</v>
      </c>
      <c r="L1148" s="8" t="s">
        <v>464</v>
      </c>
      <c r="M1148" s="8" t="s">
        <v>8009</v>
      </c>
      <c r="N1148" s="8" t="s">
        <v>128</v>
      </c>
      <c r="O1148" s="8" t="s">
        <v>8010</v>
      </c>
      <c r="P1148" s="8" t="s">
        <v>8011</v>
      </c>
      <c r="Q1148" s="8" t="s">
        <v>131</v>
      </c>
      <c r="R1148" s="8"/>
      <c r="S1148" s="8" t="s">
        <v>2943</v>
      </c>
      <c r="T1148" s="8" t="s">
        <v>133</v>
      </c>
      <c r="U1148" s="8" t="s">
        <v>134</v>
      </c>
      <c r="V1148" s="8" t="s">
        <v>131</v>
      </c>
      <c r="W1148" s="8" t="s">
        <v>133</v>
      </c>
      <c r="X1148" s="8">
        <v>35</v>
      </c>
      <c r="Y1148" s="8" t="s">
        <v>5796</v>
      </c>
      <c r="Z1148" s="8">
        <v>80</v>
      </c>
      <c r="AA1148" s="8">
        <v>0</v>
      </c>
      <c r="AB1148" s="9">
        <v>0</v>
      </c>
    </row>
    <row r="1149" spans="1:28" x14ac:dyDescent="0.2">
      <c r="A1149" s="10">
        <v>26631</v>
      </c>
      <c r="B1149" s="11" t="s">
        <v>8012</v>
      </c>
      <c r="C1149" s="11" t="s">
        <v>1849</v>
      </c>
      <c r="D1149" s="11" t="s">
        <v>1850</v>
      </c>
      <c r="E1149" s="11"/>
      <c r="F1149" s="11" t="s">
        <v>1851</v>
      </c>
      <c r="G1149" s="11" t="s">
        <v>1852</v>
      </c>
      <c r="H1149" s="11" t="s">
        <v>671</v>
      </c>
      <c r="I1149" s="11" t="s">
        <v>1853</v>
      </c>
      <c r="J1149" s="11" t="s">
        <v>1854</v>
      </c>
      <c r="K1149" s="11" t="s">
        <v>572</v>
      </c>
      <c r="L1149" s="11" t="s">
        <v>333</v>
      </c>
      <c r="M1149" s="11" t="s">
        <v>8013</v>
      </c>
      <c r="N1149" s="11" t="s">
        <v>128</v>
      </c>
      <c r="O1149" s="11" t="s">
        <v>8014</v>
      </c>
      <c r="P1149" s="11" t="s">
        <v>2832</v>
      </c>
      <c r="Q1149" s="11" t="s">
        <v>131</v>
      </c>
      <c r="R1149" s="11"/>
      <c r="S1149" s="11" t="s">
        <v>1858</v>
      </c>
      <c r="T1149" s="11" t="s">
        <v>133</v>
      </c>
      <c r="U1149" s="11" t="s">
        <v>134</v>
      </c>
      <c r="V1149" s="11" t="s">
        <v>131</v>
      </c>
      <c r="W1149" s="11" t="s">
        <v>133</v>
      </c>
      <c r="X1149" s="11">
        <v>35</v>
      </c>
      <c r="Y1149" s="11" t="s">
        <v>5796</v>
      </c>
      <c r="Z1149" s="11">
        <v>80</v>
      </c>
      <c r="AA1149" s="11">
        <v>0</v>
      </c>
      <c r="AB1149" s="12">
        <v>0</v>
      </c>
    </row>
    <row r="1150" spans="1:28" x14ac:dyDescent="0.2">
      <c r="A1150" s="7">
        <v>22584</v>
      </c>
      <c r="B1150" s="8" t="s">
        <v>8015</v>
      </c>
      <c r="C1150" s="8" t="s">
        <v>5879</v>
      </c>
      <c r="D1150" s="8" t="s">
        <v>8016</v>
      </c>
      <c r="E1150" s="8"/>
      <c r="F1150" s="8" t="s">
        <v>353</v>
      </c>
      <c r="G1150" s="8" t="s">
        <v>3364</v>
      </c>
      <c r="H1150" s="8" t="s">
        <v>704</v>
      </c>
      <c r="I1150" s="8" t="s">
        <v>8017</v>
      </c>
      <c r="J1150" s="8" t="s">
        <v>8018</v>
      </c>
      <c r="K1150" s="8" t="s">
        <v>1051</v>
      </c>
      <c r="L1150" s="8" t="s">
        <v>126</v>
      </c>
      <c r="M1150" s="8" t="s">
        <v>8019</v>
      </c>
      <c r="N1150" s="8" t="s">
        <v>128</v>
      </c>
      <c r="O1150" s="8" t="s">
        <v>8020</v>
      </c>
      <c r="P1150" s="8" t="s">
        <v>8021</v>
      </c>
      <c r="Q1150" s="8" t="s">
        <v>150</v>
      </c>
      <c r="R1150" s="8"/>
      <c r="S1150" s="8" t="s">
        <v>71</v>
      </c>
      <c r="T1150" s="8" t="s">
        <v>2697</v>
      </c>
      <c r="U1150" s="8" t="s">
        <v>150</v>
      </c>
      <c r="V1150" s="8" t="s">
        <v>2697</v>
      </c>
      <c r="W1150" s="8" t="s">
        <v>2697</v>
      </c>
      <c r="X1150" s="8">
        <v>35</v>
      </c>
      <c r="Y1150" s="8" t="s">
        <v>5796</v>
      </c>
      <c r="Z1150" s="8">
        <v>80</v>
      </c>
      <c r="AA1150" s="8">
        <v>0</v>
      </c>
      <c r="AB1150" s="9">
        <v>0</v>
      </c>
    </row>
    <row r="1151" spans="1:28" x14ac:dyDescent="0.2">
      <c r="A1151" s="10">
        <v>23072</v>
      </c>
      <c r="B1151" s="11" t="s">
        <v>8022</v>
      </c>
      <c r="C1151" s="11" t="s">
        <v>1117</v>
      </c>
      <c r="D1151" s="11" t="s">
        <v>8023</v>
      </c>
      <c r="E1151" s="11" t="s">
        <v>8024</v>
      </c>
      <c r="F1151" s="11" t="s">
        <v>353</v>
      </c>
      <c r="G1151" s="11" t="s">
        <v>428</v>
      </c>
      <c r="H1151" s="11" t="s">
        <v>329</v>
      </c>
      <c r="I1151" s="11" t="s">
        <v>8025</v>
      </c>
      <c r="J1151" s="11" t="s">
        <v>8026</v>
      </c>
      <c r="K1151" s="11" t="s">
        <v>431</v>
      </c>
      <c r="L1151" s="11" t="s">
        <v>333</v>
      </c>
      <c r="M1151" s="11" t="s">
        <v>8027</v>
      </c>
      <c r="N1151" s="11" t="s">
        <v>128</v>
      </c>
      <c r="O1151" s="11" t="s">
        <v>8028</v>
      </c>
      <c r="P1151" s="11" t="s">
        <v>4291</v>
      </c>
      <c r="Q1151" s="11" t="s">
        <v>150</v>
      </c>
      <c r="R1151" s="11"/>
      <c r="S1151" s="11" t="s">
        <v>71</v>
      </c>
      <c r="T1151" s="11" t="s">
        <v>70</v>
      </c>
      <c r="U1151" s="11" t="s">
        <v>150</v>
      </c>
      <c r="V1151" s="11" t="s">
        <v>70</v>
      </c>
      <c r="W1151" s="11" t="s">
        <v>70</v>
      </c>
      <c r="X1151" s="11">
        <v>35</v>
      </c>
      <c r="Y1151" s="11" t="s">
        <v>5796</v>
      </c>
      <c r="Z1151" s="11">
        <v>80</v>
      </c>
      <c r="AA1151" s="11">
        <v>0</v>
      </c>
      <c r="AB1151" s="12">
        <v>0</v>
      </c>
    </row>
    <row r="1152" spans="1:28" x14ac:dyDescent="0.2">
      <c r="A1152" s="7">
        <v>22886</v>
      </c>
      <c r="B1152" s="8" t="s">
        <v>8029</v>
      </c>
      <c r="C1152" s="8" t="s">
        <v>2566</v>
      </c>
      <c r="D1152" s="8" t="s">
        <v>2567</v>
      </c>
      <c r="E1152" s="8" t="s">
        <v>8030</v>
      </c>
      <c r="F1152" s="8" t="s">
        <v>2568</v>
      </c>
      <c r="G1152" s="8" t="s">
        <v>536</v>
      </c>
      <c r="H1152" s="8" t="s">
        <v>329</v>
      </c>
      <c r="I1152" s="8" t="s">
        <v>2570</v>
      </c>
      <c r="J1152" s="8" t="s">
        <v>8031</v>
      </c>
      <c r="K1152" s="8" t="s">
        <v>431</v>
      </c>
      <c r="L1152" s="8" t="s">
        <v>333</v>
      </c>
      <c r="M1152" s="8" t="s">
        <v>8032</v>
      </c>
      <c r="N1152" s="8" t="s">
        <v>128</v>
      </c>
      <c r="O1152" s="8" t="s">
        <v>8033</v>
      </c>
      <c r="P1152" s="8" t="s">
        <v>3079</v>
      </c>
      <c r="Q1152" s="8" t="s">
        <v>150</v>
      </c>
      <c r="R1152" s="8"/>
      <c r="S1152" s="8" t="s">
        <v>2575</v>
      </c>
      <c r="T1152" s="8" t="s">
        <v>70</v>
      </c>
      <c r="U1152" s="8" t="s">
        <v>150</v>
      </c>
      <c r="V1152" s="8" t="s">
        <v>70</v>
      </c>
      <c r="W1152" s="8" t="s">
        <v>70</v>
      </c>
      <c r="X1152" s="8">
        <v>35</v>
      </c>
      <c r="Y1152" s="8" t="s">
        <v>5796</v>
      </c>
      <c r="Z1152" s="8">
        <v>80</v>
      </c>
      <c r="AA1152" s="8">
        <v>0</v>
      </c>
      <c r="AB1152" s="9">
        <v>0</v>
      </c>
    </row>
    <row r="1153" spans="1:28" x14ac:dyDescent="0.2">
      <c r="A1153" s="10">
        <v>23278</v>
      </c>
      <c r="B1153" s="11" t="s">
        <v>8034</v>
      </c>
      <c r="C1153" s="11" t="s">
        <v>7282</v>
      </c>
      <c r="D1153" s="11" t="s">
        <v>8035</v>
      </c>
      <c r="E1153" s="11"/>
      <c r="F1153" s="11" t="s">
        <v>353</v>
      </c>
      <c r="G1153" s="11" t="s">
        <v>3259</v>
      </c>
      <c r="H1153" s="11" t="s">
        <v>557</v>
      </c>
      <c r="I1153" s="11" t="s">
        <v>8036</v>
      </c>
      <c r="J1153" s="11" t="s">
        <v>8037</v>
      </c>
      <c r="K1153" s="11" t="s">
        <v>1562</v>
      </c>
      <c r="L1153" s="11" t="s">
        <v>229</v>
      </c>
      <c r="M1153" s="11" t="s">
        <v>8038</v>
      </c>
      <c r="N1153" s="11" t="s">
        <v>128</v>
      </c>
      <c r="O1153" s="11" t="s">
        <v>8039</v>
      </c>
      <c r="P1153" s="11" t="s">
        <v>8040</v>
      </c>
      <c r="Q1153" s="11" t="s">
        <v>150</v>
      </c>
      <c r="R1153" s="11"/>
      <c r="S1153" s="11" t="s">
        <v>71</v>
      </c>
      <c r="T1153" s="11" t="s">
        <v>70</v>
      </c>
      <c r="U1153" s="11" t="s">
        <v>150</v>
      </c>
      <c r="V1153" s="11" t="s">
        <v>70</v>
      </c>
      <c r="W1153" s="11" t="s">
        <v>70</v>
      </c>
      <c r="X1153" s="11">
        <v>35</v>
      </c>
      <c r="Y1153" s="11" t="s">
        <v>5796</v>
      </c>
      <c r="Z1153" s="11">
        <v>80</v>
      </c>
      <c r="AA1153" s="11">
        <v>0</v>
      </c>
      <c r="AB1153" s="12">
        <v>0</v>
      </c>
    </row>
    <row r="1154" spans="1:28" x14ac:dyDescent="0.2">
      <c r="A1154" s="7">
        <v>23314</v>
      </c>
      <c r="B1154" s="8" t="s">
        <v>8041</v>
      </c>
      <c r="C1154" s="8" t="s">
        <v>8042</v>
      </c>
      <c r="D1154" s="8" t="s">
        <v>8043</v>
      </c>
      <c r="E1154" s="8"/>
      <c r="F1154" s="8" t="s">
        <v>353</v>
      </c>
      <c r="G1154" s="8" t="s">
        <v>5012</v>
      </c>
      <c r="H1154" s="8" t="s">
        <v>301</v>
      </c>
      <c r="I1154" s="8" t="s">
        <v>8044</v>
      </c>
      <c r="J1154" s="8" t="s">
        <v>8045</v>
      </c>
      <c r="K1154" s="8" t="s">
        <v>228</v>
      </c>
      <c r="L1154" s="8" t="s">
        <v>229</v>
      </c>
      <c r="M1154" s="8" t="s">
        <v>8046</v>
      </c>
      <c r="N1154" s="8" t="s">
        <v>128</v>
      </c>
      <c r="O1154" s="8" t="s">
        <v>8047</v>
      </c>
      <c r="P1154" s="8" t="s">
        <v>8048</v>
      </c>
      <c r="Q1154" s="8" t="s">
        <v>150</v>
      </c>
      <c r="R1154" s="8"/>
      <c r="S1154" s="8" t="s">
        <v>8049</v>
      </c>
      <c r="T1154" s="8" t="s">
        <v>70</v>
      </c>
      <c r="U1154" s="8" t="s">
        <v>150</v>
      </c>
      <c r="V1154" s="8" t="s">
        <v>70</v>
      </c>
      <c r="W1154" s="8" t="s">
        <v>70</v>
      </c>
      <c r="X1154" s="8">
        <v>35</v>
      </c>
      <c r="Y1154" s="8" t="s">
        <v>5796</v>
      </c>
      <c r="Z1154" s="8">
        <v>80</v>
      </c>
      <c r="AA1154" s="8">
        <v>0</v>
      </c>
      <c r="AB1154" s="9">
        <v>0</v>
      </c>
    </row>
    <row r="1155" spans="1:28" x14ac:dyDescent="0.2">
      <c r="A1155" s="10">
        <v>23399</v>
      </c>
      <c r="B1155" s="11" t="s">
        <v>8050</v>
      </c>
      <c r="C1155" s="11" t="s">
        <v>8051</v>
      </c>
      <c r="D1155" s="11" t="s">
        <v>7958</v>
      </c>
      <c r="E1155" s="11"/>
      <c r="F1155" s="11" t="s">
        <v>353</v>
      </c>
      <c r="G1155" s="11" t="s">
        <v>1488</v>
      </c>
      <c r="H1155" s="11" t="s">
        <v>329</v>
      </c>
      <c r="I1155" s="11" t="s">
        <v>8052</v>
      </c>
      <c r="J1155" s="11" t="s">
        <v>8053</v>
      </c>
      <c r="K1155" s="11" t="s">
        <v>415</v>
      </c>
      <c r="L1155" s="11" t="s">
        <v>333</v>
      </c>
      <c r="M1155" s="11" t="s">
        <v>8054</v>
      </c>
      <c r="N1155" s="11" t="s">
        <v>128</v>
      </c>
      <c r="O1155" s="11" t="s">
        <v>8055</v>
      </c>
      <c r="P1155" s="11" t="s">
        <v>8056</v>
      </c>
      <c r="Q1155" s="11" t="s">
        <v>150</v>
      </c>
      <c r="R1155" s="11"/>
      <c r="S1155" s="11" t="s">
        <v>71</v>
      </c>
      <c r="T1155" s="11" t="s">
        <v>1415</v>
      </c>
      <c r="U1155" s="11" t="s">
        <v>150</v>
      </c>
      <c r="V1155" s="11" t="s">
        <v>1415</v>
      </c>
      <c r="W1155" s="11" t="s">
        <v>1415</v>
      </c>
      <c r="X1155" s="11">
        <v>35</v>
      </c>
      <c r="Y1155" s="11" t="s">
        <v>5796</v>
      </c>
      <c r="Z1155" s="11">
        <v>80</v>
      </c>
      <c r="AA1155" s="11">
        <v>0</v>
      </c>
      <c r="AB1155" s="12">
        <v>0</v>
      </c>
    </row>
    <row r="1156" spans="1:28" x14ac:dyDescent="0.2">
      <c r="A1156" s="7">
        <v>23661</v>
      </c>
      <c r="B1156" s="8" t="s">
        <v>8057</v>
      </c>
      <c r="C1156" s="8" t="s">
        <v>8058</v>
      </c>
      <c r="D1156" s="8" t="s">
        <v>448</v>
      </c>
      <c r="E1156" s="8" t="s">
        <v>8059</v>
      </c>
      <c r="F1156" s="8" t="s">
        <v>8060</v>
      </c>
      <c r="G1156" s="8" t="s">
        <v>1196</v>
      </c>
      <c r="H1156" s="8" t="s">
        <v>142</v>
      </c>
      <c r="I1156" s="8" t="s">
        <v>8061</v>
      </c>
      <c r="J1156" s="8" t="s">
        <v>8062</v>
      </c>
      <c r="K1156" s="8" t="s">
        <v>1199</v>
      </c>
      <c r="L1156" s="8" t="s">
        <v>464</v>
      </c>
      <c r="M1156" s="8" t="s">
        <v>8063</v>
      </c>
      <c r="N1156" s="8" t="s">
        <v>128</v>
      </c>
      <c r="O1156" s="8" t="s">
        <v>8064</v>
      </c>
      <c r="P1156" s="8" t="s">
        <v>8065</v>
      </c>
      <c r="Q1156" s="8" t="s">
        <v>150</v>
      </c>
      <c r="R1156" s="8"/>
      <c r="S1156" s="8" t="s">
        <v>8066</v>
      </c>
      <c r="T1156" s="8" t="s">
        <v>168</v>
      </c>
      <c r="U1156" s="8" t="s">
        <v>150</v>
      </c>
      <c r="V1156" s="8" t="s">
        <v>168</v>
      </c>
      <c r="W1156" s="8" t="s">
        <v>168</v>
      </c>
      <c r="X1156" s="8">
        <v>35</v>
      </c>
      <c r="Y1156" s="8" t="s">
        <v>5796</v>
      </c>
      <c r="Z1156" s="8">
        <v>80</v>
      </c>
      <c r="AA1156" s="8">
        <v>0</v>
      </c>
      <c r="AB1156" s="9">
        <v>0</v>
      </c>
    </row>
    <row r="1157" spans="1:28" x14ac:dyDescent="0.2">
      <c r="A1157" s="10">
        <v>23649</v>
      </c>
      <c r="B1157" s="11" t="s">
        <v>8067</v>
      </c>
      <c r="C1157" s="11" t="s">
        <v>3919</v>
      </c>
      <c r="D1157" s="11" t="s">
        <v>8068</v>
      </c>
      <c r="E1157" s="11"/>
      <c r="F1157" s="11" t="s">
        <v>353</v>
      </c>
      <c r="G1157" s="11" t="s">
        <v>3921</v>
      </c>
      <c r="H1157" s="11" t="s">
        <v>122</v>
      </c>
      <c r="I1157" s="11" t="s">
        <v>3922</v>
      </c>
      <c r="J1157" s="11" t="s">
        <v>8069</v>
      </c>
      <c r="K1157" s="11" t="s">
        <v>1051</v>
      </c>
      <c r="L1157" s="11" t="s">
        <v>126</v>
      </c>
      <c r="M1157" s="11" t="s">
        <v>8070</v>
      </c>
      <c r="N1157" s="11" t="s">
        <v>128</v>
      </c>
      <c r="O1157" s="11" t="s">
        <v>8071</v>
      </c>
      <c r="P1157" s="11" t="s">
        <v>8072</v>
      </c>
      <c r="Q1157" s="11" t="s">
        <v>150</v>
      </c>
      <c r="R1157" s="11"/>
      <c r="S1157" s="11" t="s">
        <v>71</v>
      </c>
      <c r="T1157" s="11" t="s">
        <v>168</v>
      </c>
      <c r="U1157" s="11" t="s">
        <v>150</v>
      </c>
      <c r="V1157" s="11" t="s">
        <v>168</v>
      </c>
      <c r="W1157" s="11" t="s">
        <v>168</v>
      </c>
      <c r="X1157" s="11">
        <v>35</v>
      </c>
      <c r="Y1157" s="11" t="s">
        <v>5796</v>
      </c>
      <c r="Z1157" s="11">
        <v>80</v>
      </c>
      <c r="AA1157" s="11">
        <v>0</v>
      </c>
      <c r="AB1157" s="12">
        <v>0</v>
      </c>
    </row>
    <row r="1158" spans="1:28" x14ac:dyDescent="0.2">
      <c r="A1158" s="7">
        <v>23836</v>
      </c>
      <c r="B1158" s="8" t="s">
        <v>8073</v>
      </c>
      <c r="C1158" s="8" t="s">
        <v>8074</v>
      </c>
      <c r="D1158" s="8" t="s">
        <v>6016</v>
      </c>
      <c r="E1158" s="8"/>
      <c r="F1158" s="8" t="s">
        <v>353</v>
      </c>
      <c r="G1158" s="8" t="s">
        <v>4513</v>
      </c>
      <c r="H1158" s="8" t="s">
        <v>847</v>
      </c>
      <c r="I1158" s="8" t="s">
        <v>8075</v>
      </c>
      <c r="J1158" s="8" t="s">
        <v>8076</v>
      </c>
      <c r="K1158" s="8" t="s">
        <v>1091</v>
      </c>
      <c r="L1158" s="8" t="s">
        <v>126</v>
      </c>
      <c r="M1158" s="8" t="s">
        <v>8077</v>
      </c>
      <c r="N1158" s="8" t="s">
        <v>128</v>
      </c>
      <c r="O1158" s="8" t="s">
        <v>8078</v>
      </c>
      <c r="P1158" s="8" t="s">
        <v>8079</v>
      </c>
      <c r="Q1158" s="8" t="s">
        <v>150</v>
      </c>
      <c r="R1158" s="8"/>
      <c r="S1158" s="8" t="s">
        <v>71</v>
      </c>
      <c r="T1158" s="8" t="s">
        <v>168</v>
      </c>
      <c r="U1158" s="8" t="s">
        <v>150</v>
      </c>
      <c r="V1158" s="8" t="s">
        <v>168</v>
      </c>
      <c r="W1158" s="8" t="s">
        <v>168</v>
      </c>
      <c r="X1158" s="8">
        <v>35</v>
      </c>
      <c r="Y1158" s="8" t="s">
        <v>5796</v>
      </c>
      <c r="Z1158" s="8">
        <v>80</v>
      </c>
      <c r="AA1158" s="8">
        <v>0</v>
      </c>
      <c r="AB1158" s="9">
        <v>0</v>
      </c>
    </row>
    <row r="1159" spans="1:28" x14ac:dyDescent="0.2">
      <c r="A1159" s="10">
        <v>106327</v>
      </c>
      <c r="B1159" s="11" t="s">
        <v>8080</v>
      </c>
      <c r="C1159" s="11" t="s">
        <v>8081</v>
      </c>
      <c r="D1159" s="11" t="s">
        <v>2647</v>
      </c>
      <c r="E1159" s="11"/>
      <c r="F1159" s="11" t="s">
        <v>353</v>
      </c>
      <c r="G1159" s="11" t="s">
        <v>4270</v>
      </c>
      <c r="H1159" s="11" t="s">
        <v>4271</v>
      </c>
      <c r="I1159" s="11" t="s">
        <v>8082</v>
      </c>
      <c r="J1159" s="11" t="s">
        <v>8083</v>
      </c>
      <c r="K1159" s="11" t="s">
        <v>619</v>
      </c>
      <c r="L1159" s="11" t="s">
        <v>163</v>
      </c>
      <c r="M1159" s="11" t="s">
        <v>8084</v>
      </c>
      <c r="N1159" s="11" t="s">
        <v>128</v>
      </c>
      <c r="O1159" s="11" t="s">
        <v>8085</v>
      </c>
      <c r="P1159" s="11" t="s">
        <v>8086</v>
      </c>
      <c r="Q1159" s="11" t="s">
        <v>150</v>
      </c>
      <c r="R1159" s="11"/>
      <c r="S1159" s="11" t="s">
        <v>71</v>
      </c>
      <c r="T1159" s="11" t="s">
        <v>168</v>
      </c>
      <c r="U1159" s="11" t="s">
        <v>150</v>
      </c>
      <c r="V1159" s="11" t="s">
        <v>168</v>
      </c>
      <c r="W1159" s="11" t="s">
        <v>168</v>
      </c>
      <c r="X1159" s="11">
        <v>35</v>
      </c>
      <c r="Y1159" s="11" t="s">
        <v>5796</v>
      </c>
      <c r="Z1159" s="11">
        <v>80</v>
      </c>
      <c r="AA1159" s="11">
        <v>0</v>
      </c>
      <c r="AB1159" s="12">
        <v>0</v>
      </c>
    </row>
    <row r="1160" spans="1:28" x14ac:dyDescent="0.2">
      <c r="A1160" s="7">
        <v>116658</v>
      </c>
      <c r="B1160" s="8" t="s">
        <v>8087</v>
      </c>
      <c r="C1160" s="8" t="s">
        <v>7372</v>
      </c>
      <c r="D1160" s="8" t="s">
        <v>3249</v>
      </c>
      <c r="E1160" s="8"/>
      <c r="F1160" s="8" t="s">
        <v>353</v>
      </c>
      <c r="G1160" s="8" t="s">
        <v>412</v>
      </c>
      <c r="H1160" s="8" t="s">
        <v>329</v>
      </c>
      <c r="I1160" s="8" t="s">
        <v>8088</v>
      </c>
      <c r="J1160" s="8" t="s">
        <v>8089</v>
      </c>
      <c r="K1160" s="8" t="s">
        <v>415</v>
      </c>
      <c r="L1160" s="8" t="s">
        <v>333</v>
      </c>
      <c r="M1160" s="8" t="s">
        <v>8090</v>
      </c>
      <c r="N1160" s="8" t="s">
        <v>128</v>
      </c>
      <c r="O1160" s="8" t="s">
        <v>8091</v>
      </c>
      <c r="P1160" s="8" t="s">
        <v>3948</v>
      </c>
      <c r="Q1160" s="8" t="s">
        <v>150</v>
      </c>
      <c r="R1160" s="8"/>
      <c r="S1160" s="8" t="s">
        <v>71</v>
      </c>
      <c r="T1160" s="8" t="s">
        <v>168</v>
      </c>
      <c r="U1160" s="8" t="s">
        <v>150</v>
      </c>
      <c r="V1160" s="8" t="s">
        <v>168</v>
      </c>
      <c r="W1160" s="8" t="s">
        <v>168</v>
      </c>
      <c r="X1160" s="8">
        <v>35</v>
      </c>
      <c r="Y1160" s="8" t="s">
        <v>5796</v>
      </c>
      <c r="Z1160" s="8">
        <v>80</v>
      </c>
      <c r="AA1160" s="8">
        <v>0</v>
      </c>
      <c r="AB1160" s="9">
        <v>0</v>
      </c>
    </row>
    <row r="1161" spans="1:28" x14ac:dyDescent="0.2">
      <c r="A1161" s="10">
        <v>24763</v>
      </c>
      <c r="B1161" s="11" t="s">
        <v>8092</v>
      </c>
      <c r="C1161" s="11" t="s">
        <v>8093</v>
      </c>
      <c r="D1161" s="11" t="s">
        <v>138</v>
      </c>
      <c r="E1161" s="11" t="s">
        <v>8094</v>
      </c>
      <c r="F1161" s="11" t="s">
        <v>353</v>
      </c>
      <c r="G1161" s="11" t="s">
        <v>224</v>
      </c>
      <c r="H1161" s="11" t="s">
        <v>225</v>
      </c>
      <c r="I1161" s="11" t="s">
        <v>8095</v>
      </c>
      <c r="J1161" s="11" t="s">
        <v>8096</v>
      </c>
      <c r="K1161" s="11" t="s">
        <v>228</v>
      </c>
      <c r="L1161" s="11" t="s">
        <v>229</v>
      </c>
      <c r="M1161" s="11" t="s">
        <v>8097</v>
      </c>
      <c r="N1161" s="11" t="s">
        <v>128</v>
      </c>
      <c r="O1161" s="11" t="s">
        <v>8098</v>
      </c>
      <c r="P1161" s="11" t="s">
        <v>1792</v>
      </c>
      <c r="Q1161" s="11" t="s">
        <v>150</v>
      </c>
      <c r="R1161" s="11"/>
      <c r="S1161" s="11" t="s">
        <v>71</v>
      </c>
      <c r="T1161" s="11" t="s">
        <v>69</v>
      </c>
      <c r="U1161" s="11" t="s">
        <v>150</v>
      </c>
      <c r="V1161" s="11" t="s">
        <v>152</v>
      </c>
      <c r="W1161" s="11" t="s">
        <v>69</v>
      </c>
      <c r="X1161" s="11">
        <v>35</v>
      </c>
      <c r="Y1161" s="11" t="s">
        <v>5796</v>
      </c>
      <c r="Z1161" s="11">
        <v>80</v>
      </c>
      <c r="AA1161" s="11">
        <v>0</v>
      </c>
      <c r="AB1161" s="12">
        <v>0</v>
      </c>
    </row>
    <row r="1162" spans="1:28" x14ac:dyDescent="0.2">
      <c r="A1162" s="7">
        <v>24629</v>
      </c>
      <c r="B1162" s="8" t="s">
        <v>8099</v>
      </c>
      <c r="C1162" s="8" t="s">
        <v>7871</v>
      </c>
      <c r="D1162" s="8" t="s">
        <v>8100</v>
      </c>
      <c r="E1162" s="8"/>
      <c r="F1162" s="8" t="s">
        <v>8101</v>
      </c>
      <c r="G1162" s="8" t="s">
        <v>2423</v>
      </c>
      <c r="H1162" s="8" t="s">
        <v>557</v>
      </c>
      <c r="I1162" s="8" t="s">
        <v>7875</v>
      </c>
      <c r="J1162" s="8" t="s">
        <v>8102</v>
      </c>
      <c r="K1162" s="8" t="s">
        <v>1562</v>
      </c>
      <c r="L1162" s="8" t="s">
        <v>229</v>
      </c>
      <c r="M1162" s="8" t="s">
        <v>8103</v>
      </c>
      <c r="N1162" s="8" t="s">
        <v>128</v>
      </c>
      <c r="O1162" s="8"/>
      <c r="P1162" s="8"/>
      <c r="Q1162" s="8" t="s">
        <v>150</v>
      </c>
      <c r="R1162" s="8"/>
      <c r="S1162" s="8" t="s">
        <v>71</v>
      </c>
      <c r="T1162" s="8" t="s">
        <v>69</v>
      </c>
      <c r="U1162" s="8" t="s">
        <v>150</v>
      </c>
      <c r="V1162" s="8" t="s">
        <v>152</v>
      </c>
      <c r="W1162" s="8" t="s">
        <v>69</v>
      </c>
      <c r="X1162" s="8">
        <v>35</v>
      </c>
      <c r="Y1162" s="8" t="s">
        <v>5796</v>
      </c>
      <c r="Z1162" s="8">
        <v>80</v>
      </c>
      <c r="AA1162" s="8">
        <v>0</v>
      </c>
      <c r="AB1162" s="9">
        <v>0</v>
      </c>
    </row>
    <row r="1163" spans="1:28" x14ac:dyDescent="0.2">
      <c r="A1163" s="10">
        <v>20743</v>
      </c>
      <c r="B1163" s="11" t="s">
        <v>8104</v>
      </c>
      <c r="C1163" s="11" t="s">
        <v>8105</v>
      </c>
      <c r="D1163" s="11" t="s">
        <v>8106</v>
      </c>
      <c r="E1163" s="11"/>
      <c r="F1163" s="11" t="s">
        <v>353</v>
      </c>
      <c r="G1163" s="11" t="s">
        <v>5804</v>
      </c>
      <c r="H1163" s="11" t="s">
        <v>5805</v>
      </c>
      <c r="I1163" s="11" t="s">
        <v>8107</v>
      </c>
      <c r="J1163" s="11" t="s">
        <v>8108</v>
      </c>
      <c r="K1163" s="11" t="s">
        <v>274</v>
      </c>
      <c r="L1163" s="11" t="s">
        <v>163</v>
      </c>
      <c r="M1163" s="11" t="s">
        <v>8109</v>
      </c>
      <c r="N1163" s="11" t="s">
        <v>128</v>
      </c>
      <c r="O1163" s="11" t="s">
        <v>8110</v>
      </c>
      <c r="P1163" s="11"/>
      <c r="Q1163" s="11" t="s">
        <v>150</v>
      </c>
      <c r="R1163" s="11"/>
      <c r="S1163" s="11" t="s">
        <v>71</v>
      </c>
      <c r="T1163" s="11" t="s">
        <v>8111</v>
      </c>
      <c r="U1163" s="11" t="s">
        <v>150</v>
      </c>
      <c r="V1163" s="11" t="s">
        <v>8111</v>
      </c>
      <c r="W1163" s="11" t="s">
        <v>8111</v>
      </c>
      <c r="X1163" s="11">
        <v>34</v>
      </c>
      <c r="Y1163" s="11" t="s">
        <v>5796</v>
      </c>
      <c r="Z1163" s="11">
        <v>80</v>
      </c>
      <c r="AA1163" s="11">
        <v>0</v>
      </c>
      <c r="AB1163" s="12">
        <v>0</v>
      </c>
    </row>
    <row r="1164" spans="1:28" x14ac:dyDescent="0.2">
      <c r="A1164" s="7">
        <v>21335</v>
      </c>
      <c r="B1164" s="8" t="s">
        <v>8112</v>
      </c>
      <c r="C1164" s="8" t="s">
        <v>8113</v>
      </c>
      <c r="D1164" s="8" t="s">
        <v>4630</v>
      </c>
      <c r="E1164" s="8" t="s">
        <v>8114</v>
      </c>
      <c r="F1164" s="8" t="s">
        <v>8115</v>
      </c>
      <c r="G1164" s="8" t="s">
        <v>141</v>
      </c>
      <c r="H1164" s="8" t="s">
        <v>142</v>
      </c>
      <c r="I1164" s="8" t="s">
        <v>8116</v>
      </c>
      <c r="J1164" s="8" t="s">
        <v>8117</v>
      </c>
      <c r="K1164" s="8" t="s">
        <v>651</v>
      </c>
      <c r="L1164" s="8" t="s">
        <v>146</v>
      </c>
      <c r="M1164" s="8" t="s">
        <v>8118</v>
      </c>
      <c r="N1164" s="8" t="s">
        <v>128</v>
      </c>
      <c r="O1164" s="8" t="s">
        <v>8119</v>
      </c>
      <c r="P1164" s="8" t="s">
        <v>6019</v>
      </c>
      <c r="Q1164" s="8" t="s">
        <v>150</v>
      </c>
      <c r="R1164" s="8"/>
      <c r="S1164" s="8" t="s">
        <v>8120</v>
      </c>
      <c r="T1164" s="8" t="s">
        <v>67</v>
      </c>
      <c r="U1164" s="8" t="s">
        <v>150</v>
      </c>
      <c r="V1164" s="8" t="s">
        <v>152</v>
      </c>
      <c r="W1164" s="8" t="s">
        <v>67</v>
      </c>
      <c r="X1164" s="8">
        <v>34</v>
      </c>
      <c r="Y1164" s="8" t="s">
        <v>5796</v>
      </c>
      <c r="Z1164" s="8">
        <v>80</v>
      </c>
      <c r="AA1164" s="8">
        <v>0</v>
      </c>
      <c r="AB1164" s="9">
        <v>0</v>
      </c>
    </row>
    <row r="1165" spans="1:28" x14ac:dyDescent="0.2">
      <c r="A1165" s="10">
        <v>21634</v>
      </c>
      <c r="B1165" s="11" t="s">
        <v>8121</v>
      </c>
      <c r="C1165" s="11" t="s">
        <v>8122</v>
      </c>
      <c r="D1165" s="11" t="s">
        <v>8123</v>
      </c>
      <c r="E1165" s="11"/>
      <c r="F1165" s="11" t="s">
        <v>353</v>
      </c>
      <c r="G1165" s="11" t="s">
        <v>2510</v>
      </c>
      <c r="H1165" s="11" t="s">
        <v>2511</v>
      </c>
      <c r="I1165" s="11" t="s">
        <v>8124</v>
      </c>
      <c r="J1165" s="11" t="s">
        <v>8125</v>
      </c>
      <c r="K1165" s="11" t="s">
        <v>1562</v>
      </c>
      <c r="L1165" s="11" t="s">
        <v>229</v>
      </c>
      <c r="M1165" s="11" t="s">
        <v>8126</v>
      </c>
      <c r="N1165" s="11" t="s">
        <v>128</v>
      </c>
      <c r="O1165" s="11" t="s">
        <v>8127</v>
      </c>
      <c r="P1165" s="11" t="s">
        <v>8128</v>
      </c>
      <c r="Q1165" s="11" t="s">
        <v>150</v>
      </c>
      <c r="R1165" s="11"/>
      <c r="S1165" s="11" t="s">
        <v>71</v>
      </c>
      <c r="T1165" s="11" t="s">
        <v>67</v>
      </c>
      <c r="U1165" s="11" t="s">
        <v>150</v>
      </c>
      <c r="V1165" s="11" t="s">
        <v>152</v>
      </c>
      <c r="W1165" s="11" t="s">
        <v>67</v>
      </c>
      <c r="X1165" s="11">
        <v>34</v>
      </c>
      <c r="Y1165" s="11" t="s">
        <v>5796</v>
      </c>
      <c r="Z1165" s="11">
        <v>80</v>
      </c>
      <c r="AA1165" s="11">
        <v>0</v>
      </c>
      <c r="AB1165" s="12">
        <v>0</v>
      </c>
    </row>
    <row r="1166" spans="1:28" x14ac:dyDescent="0.2">
      <c r="A1166" s="7">
        <v>22661</v>
      </c>
      <c r="B1166" s="8" t="s">
        <v>8129</v>
      </c>
      <c r="C1166" s="8" t="s">
        <v>8130</v>
      </c>
      <c r="D1166" s="8" t="s">
        <v>8131</v>
      </c>
      <c r="E1166" s="8"/>
      <c r="F1166" s="8"/>
      <c r="G1166" s="8" t="s">
        <v>4606</v>
      </c>
      <c r="H1166" s="8" t="s">
        <v>142</v>
      </c>
      <c r="I1166" s="8"/>
      <c r="J1166" s="8" t="s">
        <v>8132</v>
      </c>
      <c r="K1166" s="8" t="s">
        <v>1029</v>
      </c>
      <c r="L1166" s="8" t="s">
        <v>464</v>
      </c>
      <c r="M1166" s="8" t="s">
        <v>8133</v>
      </c>
      <c r="N1166" s="8" t="s">
        <v>128</v>
      </c>
      <c r="O1166" s="8" t="s">
        <v>8134</v>
      </c>
      <c r="P1166" s="8"/>
      <c r="Q1166" s="8" t="s">
        <v>131</v>
      </c>
      <c r="R1166" s="8"/>
      <c r="S1166" s="8" t="s">
        <v>71</v>
      </c>
      <c r="T1166" s="8" t="s">
        <v>983</v>
      </c>
      <c r="U1166" s="8" t="s">
        <v>134</v>
      </c>
      <c r="V1166" s="8" t="s">
        <v>131</v>
      </c>
      <c r="W1166" s="8" t="s">
        <v>983</v>
      </c>
      <c r="X1166" s="8">
        <v>34</v>
      </c>
      <c r="Y1166" s="8" t="s">
        <v>5796</v>
      </c>
      <c r="Z1166" s="8">
        <v>80</v>
      </c>
      <c r="AA1166" s="8">
        <v>0</v>
      </c>
      <c r="AB1166" s="9">
        <v>0</v>
      </c>
    </row>
    <row r="1167" spans="1:28" x14ac:dyDescent="0.2">
      <c r="A1167" s="10">
        <v>21928</v>
      </c>
      <c r="B1167" s="11" t="s">
        <v>8135</v>
      </c>
      <c r="C1167" s="11" t="s">
        <v>6884</v>
      </c>
      <c r="D1167" s="11" t="s">
        <v>3116</v>
      </c>
      <c r="E1167" s="11" t="s">
        <v>8136</v>
      </c>
      <c r="F1167" s="11" t="s">
        <v>1658</v>
      </c>
      <c r="G1167" s="11" t="s">
        <v>141</v>
      </c>
      <c r="H1167" s="11" t="s">
        <v>142</v>
      </c>
      <c r="I1167" s="11" t="s">
        <v>6885</v>
      </c>
      <c r="J1167" s="11" t="s">
        <v>6886</v>
      </c>
      <c r="K1167" s="11" t="s">
        <v>145</v>
      </c>
      <c r="L1167" s="11" t="s">
        <v>146</v>
      </c>
      <c r="M1167" s="11" t="s">
        <v>8137</v>
      </c>
      <c r="N1167" s="11" t="s">
        <v>128</v>
      </c>
      <c r="O1167" s="11" t="s">
        <v>8138</v>
      </c>
      <c r="P1167" s="11" t="s">
        <v>3185</v>
      </c>
      <c r="Q1167" s="11" t="s">
        <v>131</v>
      </c>
      <c r="R1167" s="11"/>
      <c r="S1167" s="11" t="s">
        <v>6890</v>
      </c>
      <c r="T1167" s="11" t="s">
        <v>133</v>
      </c>
      <c r="U1167" s="11" t="s">
        <v>134</v>
      </c>
      <c r="V1167" s="11" t="s">
        <v>131</v>
      </c>
      <c r="W1167" s="11" t="s">
        <v>133</v>
      </c>
      <c r="X1167" s="11">
        <v>34</v>
      </c>
      <c r="Y1167" s="11" t="s">
        <v>5796</v>
      </c>
      <c r="Z1167" s="11">
        <v>80</v>
      </c>
      <c r="AA1167" s="11">
        <v>0</v>
      </c>
      <c r="AB1167" s="12">
        <v>0</v>
      </c>
    </row>
    <row r="1168" spans="1:28" x14ac:dyDescent="0.2">
      <c r="A1168" s="7">
        <v>21956</v>
      </c>
      <c r="B1168" s="8" t="s">
        <v>8139</v>
      </c>
      <c r="C1168" s="8" t="s">
        <v>1072</v>
      </c>
      <c r="D1168" s="8" t="s">
        <v>8140</v>
      </c>
      <c r="E1168" s="8"/>
      <c r="F1168" s="8" t="s">
        <v>353</v>
      </c>
      <c r="G1168" s="8" t="s">
        <v>703</v>
      </c>
      <c r="H1168" s="8" t="s">
        <v>704</v>
      </c>
      <c r="I1168" s="8" t="s">
        <v>1074</v>
      </c>
      <c r="J1168" s="8" t="s">
        <v>8141</v>
      </c>
      <c r="K1168" s="8" t="s">
        <v>707</v>
      </c>
      <c r="L1168" s="8" t="s">
        <v>126</v>
      </c>
      <c r="M1168" s="8" t="s">
        <v>8142</v>
      </c>
      <c r="N1168" s="8" t="s">
        <v>128</v>
      </c>
      <c r="O1168" s="8" t="s">
        <v>8143</v>
      </c>
      <c r="P1168" s="8" t="s">
        <v>8144</v>
      </c>
      <c r="Q1168" s="8" t="s">
        <v>131</v>
      </c>
      <c r="R1168" s="8"/>
      <c r="S1168" s="8" t="s">
        <v>71</v>
      </c>
      <c r="T1168" s="8" t="s">
        <v>133</v>
      </c>
      <c r="U1168" s="8" t="s">
        <v>134</v>
      </c>
      <c r="V1168" s="8" t="s">
        <v>131</v>
      </c>
      <c r="W1168" s="8" t="s">
        <v>133</v>
      </c>
      <c r="X1168" s="8">
        <v>34</v>
      </c>
      <c r="Y1168" s="8" t="s">
        <v>5796</v>
      </c>
      <c r="Z1168" s="8">
        <v>80</v>
      </c>
      <c r="AA1168" s="8">
        <v>0</v>
      </c>
      <c r="AB1168" s="9">
        <v>0</v>
      </c>
    </row>
    <row r="1169" spans="1:28" x14ac:dyDescent="0.2">
      <c r="A1169" s="10">
        <v>23321</v>
      </c>
      <c r="B1169" s="11" t="s">
        <v>8145</v>
      </c>
      <c r="C1169" s="11" t="s">
        <v>8146</v>
      </c>
      <c r="D1169" s="11" t="s">
        <v>4579</v>
      </c>
      <c r="E1169" s="11" t="s">
        <v>8147</v>
      </c>
      <c r="F1169" s="11" t="s">
        <v>5845</v>
      </c>
      <c r="G1169" s="11" t="s">
        <v>190</v>
      </c>
      <c r="H1169" s="11" t="s">
        <v>191</v>
      </c>
      <c r="I1169" s="11" t="s">
        <v>8148</v>
      </c>
      <c r="J1169" s="11" t="s">
        <v>8149</v>
      </c>
      <c r="K1169" s="11" t="s">
        <v>194</v>
      </c>
      <c r="L1169" s="11" t="s">
        <v>163</v>
      </c>
      <c r="M1169" s="11" t="s">
        <v>8150</v>
      </c>
      <c r="N1169" s="11" t="s">
        <v>128</v>
      </c>
      <c r="O1169" s="11" t="s">
        <v>8151</v>
      </c>
      <c r="P1169" s="11" t="s">
        <v>8152</v>
      </c>
      <c r="Q1169" s="11" t="s">
        <v>150</v>
      </c>
      <c r="R1169" s="11"/>
      <c r="S1169" s="11" t="s">
        <v>8153</v>
      </c>
      <c r="T1169" s="11" t="s">
        <v>70</v>
      </c>
      <c r="U1169" s="11" t="s">
        <v>150</v>
      </c>
      <c r="V1169" s="11" t="s">
        <v>70</v>
      </c>
      <c r="W1169" s="11" t="s">
        <v>70</v>
      </c>
      <c r="X1169" s="11">
        <v>34</v>
      </c>
      <c r="Y1169" s="11" t="s">
        <v>5796</v>
      </c>
      <c r="Z1169" s="11">
        <v>80</v>
      </c>
      <c r="AA1169" s="11">
        <v>0</v>
      </c>
      <c r="AB1169" s="12">
        <v>0</v>
      </c>
    </row>
    <row r="1170" spans="1:28" x14ac:dyDescent="0.2">
      <c r="A1170" s="7">
        <v>22908</v>
      </c>
      <c r="B1170" s="8" t="s">
        <v>8154</v>
      </c>
      <c r="C1170" s="8" t="s">
        <v>8155</v>
      </c>
      <c r="D1170" s="8" t="s">
        <v>6358</v>
      </c>
      <c r="E1170" s="8"/>
      <c r="F1170" s="8" t="s">
        <v>353</v>
      </c>
      <c r="G1170" s="8" t="s">
        <v>5846</v>
      </c>
      <c r="H1170" s="8" t="s">
        <v>159</v>
      </c>
      <c r="I1170" s="8" t="s">
        <v>8156</v>
      </c>
      <c r="J1170" s="8" t="s">
        <v>8157</v>
      </c>
      <c r="K1170" s="8" t="s">
        <v>162</v>
      </c>
      <c r="L1170" s="8" t="s">
        <v>163</v>
      </c>
      <c r="M1170" s="8" t="s">
        <v>8158</v>
      </c>
      <c r="N1170" s="8" t="s">
        <v>128</v>
      </c>
      <c r="O1170" s="8" t="s">
        <v>8159</v>
      </c>
      <c r="P1170" s="8" t="s">
        <v>3523</v>
      </c>
      <c r="Q1170" s="8" t="s">
        <v>150</v>
      </c>
      <c r="R1170" s="8"/>
      <c r="S1170" s="8" t="s">
        <v>71</v>
      </c>
      <c r="T1170" s="8" t="s">
        <v>70</v>
      </c>
      <c r="U1170" s="8" t="s">
        <v>150</v>
      </c>
      <c r="V1170" s="8" t="s">
        <v>70</v>
      </c>
      <c r="W1170" s="8" t="s">
        <v>70</v>
      </c>
      <c r="X1170" s="8">
        <v>34</v>
      </c>
      <c r="Y1170" s="8" t="s">
        <v>5796</v>
      </c>
      <c r="Z1170" s="8">
        <v>80</v>
      </c>
      <c r="AA1170" s="8">
        <v>0</v>
      </c>
      <c r="AB1170" s="9">
        <v>0</v>
      </c>
    </row>
    <row r="1171" spans="1:28" x14ac:dyDescent="0.2">
      <c r="A1171" s="10">
        <v>23075</v>
      </c>
      <c r="B1171" s="11" t="s">
        <v>8160</v>
      </c>
      <c r="C1171" s="11" t="s">
        <v>842</v>
      </c>
      <c r="D1171" s="11" t="s">
        <v>8161</v>
      </c>
      <c r="E1171" s="11"/>
      <c r="F1171" s="11" t="s">
        <v>8162</v>
      </c>
      <c r="G1171" s="11" t="s">
        <v>1614</v>
      </c>
      <c r="H1171" s="11" t="s">
        <v>142</v>
      </c>
      <c r="I1171" s="11" t="s">
        <v>4310</v>
      </c>
      <c r="J1171" s="11" t="s">
        <v>8163</v>
      </c>
      <c r="K1171" s="11" t="s">
        <v>717</v>
      </c>
      <c r="L1171" s="11" t="s">
        <v>464</v>
      </c>
      <c r="M1171" s="11" t="s">
        <v>8164</v>
      </c>
      <c r="N1171" s="11" t="s">
        <v>128</v>
      </c>
      <c r="O1171" s="11" t="s">
        <v>8165</v>
      </c>
      <c r="P1171" s="11" t="s">
        <v>8166</v>
      </c>
      <c r="Q1171" s="11" t="s">
        <v>150</v>
      </c>
      <c r="R1171" s="11"/>
      <c r="S1171" s="11" t="s">
        <v>71</v>
      </c>
      <c r="T1171" s="11" t="s">
        <v>70</v>
      </c>
      <c r="U1171" s="11" t="s">
        <v>150</v>
      </c>
      <c r="V1171" s="11" t="s">
        <v>70</v>
      </c>
      <c r="W1171" s="11" t="s">
        <v>70</v>
      </c>
      <c r="X1171" s="11">
        <v>34</v>
      </c>
      <c r="Y1171" s="11" t="s">
        <v>5796</v>
      </c>
      <c r="Z1171" s="11">
        <v>80</v>
      </c>
      <c r="AA1171" s="11">
        <v>0</v>
      </c>
      <c r="AB1171" s="12">
        <v>0</v>
      </c>
    </row>
    <row r="1172" spans="1:28" x14ac:dyDescent="0.2">
      <c r="A1172" s="7">
        <v>23394</v>
      </c>
      <c r="B1172" s="8" t="s">
        <v>8167</v>
      </c>
      <c r="C1172" s="8" t="s">
        <v>8168</v>
      </c>
      <c r="D1172" s="8" t="s">
        <v>8169</v>
      </c>
      <c r="E1172" s="8"/>
      <c r="F1172" s="8" t="s">
        <v>353</v>
      </c>
      <c r="G1172" s="8" t="s">
        <v>8170</v>
      </c>
      <c r="H1172" s="8" t="s">
        <v>142</v>
      </c>
      <c r="I1172" s="8" t="s">
        <v>8171</v>
      </c>
      <c r="J1172" s="8" t="s">
        <v>8172</v>
      </c>
      <c r="K1172" s="8" t="s">
        <v>974</v>
      </c>
      <c r="L1172" s="8" t="s">
        <v>146</v>
      </c>
      <c r="M1172" s="8" t="s">
        <v>8173</v>
      </c>
      <c r="N1172" s="8" t="s">
        <v>128</v>
      </c>
      <c r="O1172" s="8" t="s">
        <v>8174</v>
      </c>
      <c r="P1172" s="8" t="s">
        <v>8175</v>
      </c>
      <c r="Q1172" s="8" t="s">
        <v>150</v>
      </c>
      <c r="R1172" s="8"/>
      <c r="S1172" s="8" t="s">
        <v>71</v>
      </c>
      <c r="T1172" s="8" t="s">
        <v>1415</v>
      </c>
      <c r="U1172" s="8" t="s">
        <v>150</v>
      </c>
      <c r="V1172" s="8" t="s">
        <v>1415</v>
      </c>
      <c r="W1172" s="8" t="s">
        <v>1415</v>
      </c>
      <c r="X1172" s="8">
        <v>34</v>
      </c>
      <c r="Y1172" s="8" t="s">
        <v>5796</v>
      </c>
      <c r="Z1172" s="8">
        <v>80</v>
      </c>
      <c r="AA1172" s="8">
        <v>0</v>
      </c>
      <c r="AB1172" s="9">
        <v>0</v>
      </c>
    </row>
    <row r="1173" spans="1:28" x14ac:dyDescent="0.2">
      <c r="A1173" s="10">
        <v>23416</v>
      </c>
      <c r="B1173" s="11" t="s">
        <v>8176</v>
      </c>
      <c r="C1173" s="11" t="s">
        <v>842</v>
      </c>
      <c r="D1173" s="11" t="s">
        <v>8177</v>
      </c>
      <c r="E1173" s="11"/>
      <c r="F1173" s="11" t="s">
        <v>8162</v>
      </c>
      <c r="G1173" s="11" t="s">
        <v>1614</v>
      </c>
      <c r="H1173" s="11" t="s">
        <v>142</v>
      </c>
      <c r="I1173" s="11" t="s">
        <v>8178</v>
      </c>
      <c r="J1173" s="11" t="s">
        <v>8179</v>
      </c>
      <c r="K1173" s="11" t="s">
        <v>717</v>
      </c>
      <c r="L1173" s="11" t="s">
        <v>464</v>
      </c>
      <c r="M1173" s="11" t="s">
        <v>8180</v>
      </c>
      <c r="N1173" s="11" t="s">
        <v>128</v>
      </c>
      <c r="O1173" s="11" t="s">
        <v>8181</v>
      </c>
      <c r="P1173" s="11" t="s">
        <v>8182</v>
      </c>
      <c r="Q1173" s="11" t="s">
        <v>150</v>
      </c>
      <c r="R1173" s="11"/>
      <c r="S1173" s="11" t="s">
        <v>71</v>
      </c>
      <c r="T1173" s="11" t="s">
        <v>1415</v>
      </c>
      <c r="U1173" s="11" t="s">
        <v>150</v>
      </c>
      <c r="V1173" s="11" t="s">
        <v>1415</v>
      </c>
      <c r="W1173" s="11" t="s">
        <v>1415</v>
      </c>
      <c r="X1173" s="11">
        <v>34</v>
      </c>
      <c r="Y1173" s="11" t="s">
        <v>5796</v>
      </c>
      <c r="Z1173" s="11">
        <v>80</v>
      </c>
      <c r="AA1173" s="11">
        <v>0</v>
      </c>
      <c r="AB1173" s="12">
        <v>0</v>
      </c>
    </row>
    <row r="1174" spans="1:28" x14ac:dyDescent="0.2">
      <c r="A1174" s="7">
        <v>23902</v>
      </c>
      <c r="B1174" s="8" t="s">
        <v>8183</v>
      </c>
      <c r="C1174" s="8" t="s">
        <v>8184</v>
      </c>
      <c r="D1174" s="8" t="s">
        <v>8185</v>
      </c>
      <c r="E1174" s="8" t="s">
        <v>8186</v>
      </c>
      <c r="F1174" s="8" t="s">
        <v>353</v>
      </c>
      <c r="G1174" s="8" t="s">
        <v>3643</v>
      </c>
      <c r="H1174" s="8" t="s">
        <v>142</v>
      </c>
      <c r="I1174" s="8" t="s">
        <v>4615</v>
      </c>
      <c r="J1174" s="8" t="s">
        <v>4616</v>
      </c>
      <c r="K1174" s="8" t="s">
        <v>651</v>
      </c>
      <c r="L1174" s="8" t="s">
        <v>146</v>
      </c>
      <c r="M1174" s="8" t="s">
        <v>8187</v>
      </c>
      <c r="N1174" s="8" t="s">
        <v>128</v>
      </c>
      <c r="O1174" s="8" t="s">
        <v>8188</v>
      </c>
      <c r="P1174" s="8" t="s">
        <v>8189</v>
      </c>
      <c r="Q1174" s="8" t="s">
        <v>150</v>
      </c>
      <c r="R1174" s="8"/>
      <c r="S1174" s="8" t="s">
        <v>4620</v>
      </c>
      <c r="T1174" s="8" t="s">
        <v>168</v>
      </c>
      <c r="U1174" s="8" t="s">
        <v>150</v>
      </c>
      <c r="V1174" s="8" t="s">
        <v>168</v>
      </c>
      <c r="W1174" s="8" t="s">
        <v>168</v>
      </c>
      <c r="X1174" s="8">
        <v>34</v>
      </c>
      <c r="Y1174" s="8" t="s">
        <v>5796</v>
      </c>
      <c r="Z1174" s="8">
        <v>80</v>
      </c>
      <c r="AA1174" s="8">
        <v>0</v>
      </c>
      <c r="AB1174" s="9">
        <v>0</v>
      </c>
    </row>
    <row r="1175" spans="1:28" x14ac:dyDescent="0.2">
      <c r="A1175" s="10">
        <v>23921</v>
      </c>
      <c r="B1175" s="11" t="s">
        <v>8190</v>
      </c>
      <c r="C1175" s="11" t="s">
        <v>8191</v>
      </c>
      <c r="D1175" s="11" t="s">
        <v>904</v>
      </c>
      <c r="E1175" s="11"/>
      <c r="F1175" s="11" t="s">
        <v>353</v>
      </c>
      <c r="G1175" s="11" t="s">
        <v>4625</v>
      </c>
      <c r="H1175" s="11" t="s">
        <v>142</v>
      </c>
      <c r="I1175" s="11" t="s">
        <v>8192</v>
      </c>
      <c r="J1175" s="11" t="s">
        <v>8193</v>
      </c>
      <c r="K1175" s="11" t="s">
        <v>651</v>
      </c>
      <c r="L1175" s="11" t="s">
        <v>146</v>
      </c>
      <c r="M1175" s="11" t="s">
        <v>8194</v>
      </c>
      <c r="N1175" s="11" t="s">
        <v>128</v>
      </c>
      <c r="O1175" s="11" t="s">
        <v>8195</v>
      </c>
      <c r="P1175" s="11" t="s">
        <v>8196</v>
      </c>
      <c r="Q1175" s="11" t="s">
        <v>150</v>
      </c>
      <c r="R1175" s="11"/>
      <c r="S1175" s="11" t="s">
        <v>71</v>
      </c>
      <c r="T1175" s="11" t="s">
        <v>168</v>
      </c>
      <c r="U1175" s="11" t="s">
        <v>150</v>
      </c>
      <c r="V1175" s="11" t="s">
        <v>168</v>
      </c>
      <c r="W1175" s="11" t="s">
        <v>168</v>
      </c>
      <c r="X1175" s="11">
        <v>34</v>
      </c>
      <c r="Y1175" s="11" t="s">
        <v>5796</v>
      </c>
      <c r="Z1175" s="11">
        <v>80</v>
      </c>
      <c r="AA1175" s="11">
        <v>0</v>
      </c>
      <c r="AB1175" s="12">
        <v>0</v>
      </c>
    </row>
    <row r="1176" spans="1:28" x14ac:dyDescent="0.2">
      <c r="A1176" s="7">
        <v>86589</v>
      </c>
      <c r="B1176" s="8" t="s">
        <v>8197</v>
      </c>
      <c r="C1176" s="8" t="s">
        <v>8198</v>
      </c>
      <c r="D1176" s="8" t="s">
        <v>713</v>
      </c>
      <c r="E1176" s="8"/>
      <c r="F1176" s="8" t="s">
        <v>1648</v>
      </c>
      <c r="G1176" s="8" t="s">
        <v>2721</v>
      </c>
      <c r="H1176" s="8" t="s">
        <v>329</v>
      </c>
      <c r="I1176" s="8" t="s">
        <v>8199</v>
      </c>
      <c r="J1176" s="8" t="s">
        <v>8200</v>
      </c>
      <c r="K1176" s="8" t="s">
        <v>572</v>
      </c>
      <c r="L1176" s="8" t="s">
        <v>333</v>
      </c>
      <c r="M1176" s="8" t="s">
        <v>8201</v>
      </c>
      <c r="N1176" s="8" t="s">
        <v>128</v>
      </c>
      <c r="O1176" s="8" t="s">
        <v>8202</v>
      </c>
      <c r="P1176" s="8" t="s">
        <v>8203</v>
      </c>
      <c r="Q1176" s="8" t="s">
        <v>150</v>
      </c>
      <c r="R1176" s="8"/>
      <c r="S1176" s="8" t="s">
        <v>71</v>
      </c>
      <c r="T1176" s="8" t="s">
        <v>168</v>
      </c>
      <c r="U1176" s="8" t="s">
        <v>150</v>
      </c>
      <c r="V1176" s="8" t="s">
        <v>168</v>
      </c>
      <c r="W1176" s="8" t="s">
        <v>168</v>
      </c>
      <c r="X1176" s="8">
        <v>34</v>
      </c>
      <c r="Y1176" s="8" t="s">
        <v>5796</v>
      </c>
      <c r="Z1176" s="8">
        <v>80</v>
      </c>
      <c r="AA1176" s="8">
        <v>0</v>
      </c>
      <c r="AB1176" s="9">
        <v>0</v>
      </c>
    </row>
    <row r="1177" spans="1:28" x14ac:dyDescent="0.2">
      <c r="A1177" s="10">
        <v>24586</v>
      </c>
      <c r="B1177" s="11" t="s">
        <v>8204</v>
      </c>
      <c r="C1177" s="11" t="s">
        <v>1556</v>
      </c>
      <c r="D1177" s="11" t="s">
        <v>8205</v>
      </c>
      <c r="E1177" s="11"/>
      <c r="F1177" s="11" t="s">
        <v>353</v>
      </c>
      <c r="G1177" s="11" t="s">
        <v>1559</v>
      </c>
      <c r="H1177" s="11" t="s">
        <v>557</v>
      </c>
      <c r="I1177" s="11" t="s">
        <v>3472</v>
      </c>
      <c r="J1177" s="11" t="s">
        <v>8206</v>
      </c>
      <c r="K1177" s="11" t="s">
        <v>1562</v>
      </c>
      <c r="L1177" s="11" t="s">
        <v>229</v>
      </c>
      <c r="M1177" s="11" t="s">
        <v>8207</v>
      </c>
      <c r="N1177" s="11" t="s">
        <v>128</v>
      </c>
      <c r="O1177" s="11" t="s">
        <v>8208</v>
      </c>
      <c r="P1177" s="11" t="s">
        <v>8209</v>
      </c>
      <c r="Q1177" s="11" t="s">
        <v>150</v>
      </c>
      <c r="R1177" s="11"/>
      <c r="S1177" s="11" t="s">
        <v>71</v>
      </c>
      <c r="T1177" s="11" t="s">
        <v>69</v>
      </c>
      <c r="U1177" s="11" t="s">
        <v>150</v>
      </c>
      <c r="V1177" s="11" t="s">
        <v>152</v>
      </c>
      <c r="W1177" s="11" t="s">
        <v>69</v>
      </c>
      <c r="X1177" s="11">
        <v>34</v>
      </c>
      <c r="Y1177" s="11" t="s">
        <v>5796</v>
      </c>
      <c r="Z1177" s="11">
        <v>80</v>
      </c>
      <c r="AA1177" s="11">
        <v>0</v>
      </c>
      <c r="AB1177" s="12">
        <v>0</v>
      </c>
    </row>
    <row r="1178" spans="1:28" x14ac:dyDescent="0.2">
      <c r="A1178" s="7">
        <v>25121</v>
      </c>
      <c r="B1178" s="8" t="s">
        <v>8210</v>
      </c>
      <c r="C1178" s="8" t="s">
        <v>1928</v>
      </c>
      <c r="D1178" s="8" t="s">
        <v>8211</v>
      </c>
      <c r="E1178" s="8"/>
      <c r="F1178" s="8" t="s">
        <v>353</v>
      </c>
      <c r="G1178" s="8" t="s">
        <v>1727</v>
      </c>
      <c r="H1178" s="8" t="s">
        <v>557</v>
      </c>
      <c r="I1178" s="8" t="s">
        <v>1930</v>
      </c>
      <c r="J1178" s="8" t="s">
        <v>8212</v>
      </c>
      <c r="K1178" s="8" t="s">
        <v>1562</v>
      </c>
      <c r="L1178" s="8" t="s">
        <v>229</v>
      </c>
      <c r="M1178" s="8" t="s">
        <v>8213</v>
      </c>
      <c r="N1178" s="8" t="s">
        <v>128</v>
      </c>
      <c r="O1178" s="8" t="s">
        <v>8214</v>
      </c>
      <c r="P1178" s="8" t="s">
        <v>8215</v>
      </c>
      <c r="Q1178" s="8" t="s">
        <v>740</v>
      </c>
      <c r="R1178" s="8"/>
      <c r="S1178" s="8" t="s">
        <v>71</v>
      </c>
      <c r="T1178" s="8" t="s">
        <v>741</v>
      </c>
      <c r="U1178" s="8" t="s">
        <v>134</v>
      </c>
      <c r="V1178" s="8" t="s">
        <v>740</v>
      </c>
      <c r="W1178" s="8" t="s">
        <v>741</v>
      </c>
      <c r="X1178" s="8">
        <v>34</v>
      </c>
      <c r="Y1178" s="8" t="s">
        <v>5796</v>
      </c>
      <c r="Z1178" s="8">
        <v>80</v>
      </c>
      <c r="AA1178" s="8">
        <v>0</v>
      </c>
      <c r="AB1178" s="9">
        <v>0</v>
      </c>
    </row>
    <row r="1179" spans="1:28" x14ac:dyDescent="0.2">
      <c r="A1179" s="10">
        <v>25305</v>
      </c>
      <c r="B1179" s="11" t="s">
        <v>8216</v>
      </c>
      <c r="C1179" s="11" t="s">
        <v>8217</v>
      </c>
      <c r="D1179" s="11" t="s">
        <v>138</v>
      </c>
      <c r="E1179" s="11"/>
      <c r="F1179" s="11" t="s">
        <v>878</v>
      </c>
      <c r="G1179" s="11" t="s">
        <v>224</v>
      </c>
      <c r="H1179" s="11" t="s">
        <v>225</v>
      </c>
      <c r="I1179" s="11" t="s">
        <v>4390</v>
      </c>
      <c r="J1179" s="11" t="s">
        <v>8218</v>
      </c>
      <c r="K1179" s="11" t="s">
        <v>228</v>
      </c>
      <c r="L1179" s="11" t="s">
        <v>229</v>
      </c>
      <c r="M1179" s="11" t="s">
        <v>8219</v>
      </c>
      <c r="N1179" s="11" t="s">
        <v>128</v>
      </c>
      <c r="O1179" s="11" t="s">
        <v>8220</v>
      </c>
      <c r="P1179" s="11" t="s">
        <v>8221</v>
      </c>
      <c r="Q1179" s="11" t="s">
        <v>740</v>
      </c>
      <c r="R1179" s="11"/>
      <c r="S1179" s="11" t="s">
        <v>3061</v>
      </c>
      <c r="T1179" s="11" t="s">
        <v>741</v>
      </c>
      <c r="U1179" s="11" t="s">
        <v>134</v>
      </c>
      <c r="V1179" s="11" t="s">
        <v>740</v>
      </c>
      <c r="W1179" s="11" t="s">
        <v>741</v>
      </c>
      <c r="X1179" s="11">
        <v>34</v>
      </c>
      <c r="Y1179" s="11" t="s">
        <v>5796</v>
      </c>
      <c r="Z1179" s="11">
        <v>80</v>
      </c>
      <c r="AA1179" s="11">
        <v>0</v>
      </c>
      <c r="AB1179" s="12">
        <v>0</v>
      </c>
    </row>
    <row r="1180" spans="1:28" x14ac:dyDescent="0.2">
      <c r="A1180" s="7">
        <v>25372</v>
      </c>
      <c r="B1180" s="8" t="s">
        <v>8222</v>
      </c>
      <c r="C1180" s="8" t="s">
        <v>8223</v>
      </c>
      <c r="D1180" s="8" t="s">
        <v>8224</v>
      </c>
      <c r="E1180" s="8"/>
      <c r="F1180" s="8" t="s">
        <v>353</v>
      </c>
      <c r="G1180" s="8" t="s">
        <v>1727</v>
      </c>
      <c r="H1180" s="8" t="s">
        <v>557</v>
      </c>
      <c r="I1180" s="8" t="s">
        <v>8225</v>
      </c>
      <c r="J1180" s="8" t="s">
        <v>8226</v>
      </c>
      <c r="K1180" s="8" t="s">
        <v>1562</v>
      </c>
      <c r="L1180" s="8" t="s">
        <v>229</v>
      </c>
      <c r="M1180" s="8" t="s">
        <v>8227</v>
      </c>
      <c r="N1180" s="8" t="s">
        <v>128</v>
      </c>
      <c r="O1180" s="8" t="s">
        <v>8228</v>
      </c>
      <c r="P1180" s="8" t="s">
        <v>8229</v>
      </c>
      <c r="Q1180" s="8" t="s">
        <v>249</v>
      </c>
      <c r="R1180" s="8"/>
      <c r="S1180" s="8" t="s">
        <v>71</v>
      </c>
      <c r="T1180" s="8" t="s">
        <v>250</v>
      </c>
      <c r="U1180" s="8" t="s">
        <v>134</v>
      </c>
      <c r="V1180" s="8" t="s">
        <v>249</v>
      </c>
      <c r="W1180" s="8" t="s">
        <v>250</v>
      </c>
      <c r="X1180" s="8">
        <v>34</v>
      </c>
      <c r="Y1180" s="8" t="s">
        <v>5796</v>
      </c>
      <c r="Z1180" s="8">
        <v>80</v>
      </c>
      <c r="AA1180" s="8">
        <v>0</v>
      </c>
      <c r="AB1180" s="9">
        <v>0</v>
      </c>
    </row>
    <row r="1181" spans="1:28" x14ac:dyDescent="0.2">
      <c r="A1181" s="10">
        <v>21484</v>
      </c>
      <c r="B1181" s="11" t="s">
        <v>8230</v>
      </c>
      <c r="C1181" s="11" t="s">
        <v>8231</v>
      </c>
      <c r="D1181" s="11" t="s">
        <v>8232</v>
      </c>
      <c r="E1181" s="11" t="s">
        <v>8233</v>
      </c>
      <c r="F1181" s="11" t="s">
        <v>8234</v>
      </c>
      <c r="G1181" s="11" t="s">
        <v>556</v>
      </c>
      <c r="H1181" s="11" t="s">
        <v>557</v>
      </c>
      <c r="I1181" s="11" t="s">
        <v>8235</v>
      </c>
      <c r="J1181" s="11" t="s">
        <v>8236</v>
      </c>
      <c r="K1181" s="11" t="s">
        <v>560</v>
      </c>
      <c r="L1181" s="11" t="s">
        <v>229</v>
      </c>
      <c r="M1181" s="11" t="s">
        <v>8237</v>
      </c>
      <c r="N1181" s="11" t="s">
        <v>128</v>
      </c>
      <c r="O1181" s="11" t="s">
        <v>8238</v>
      </c>
      <c r="P1181" s="11" t="s">
        <v>8239</v>
      </c>
      <c r="Q1181" s="11" t="s">
        <v>150</v>
      </c>
      <c r="R1181" s="11"/>
      <c r="S1181" s="11" t="s">
        <v>71</v>
      </c>
      <c r="T1181" s="11" t="s">
        <v>67</v>
      </c>
      <c r="U1181" s="11" t="s">
        <v>150</v>
      </c>
      <c r="V1181" s="11" t="s">
        <v>152</v>
      </c>
      <c r="W1181" s="11" t="s">
        <v>67</v>
      </c>
      <c r="X1181" s="11">
        <v>33</v>
      </c>
      <c r="Y1181" s="11" t="s">
        <v>5796</v>
      </c>
      <c r="Z1181" s="11">
        <v>80</v>
      </c>
      <c r="AA1181" s="11">
        <v>0</v>
      </c>
      <c r="AB1181" s="12">
        <v>0</v>
      </c>
    </row>
    <row r="1182" spans="1:28" x14ac:dyDescent="0.2">
      <c r="A1182" s="7">
        <v>21577</v>
      </c>
      <c r="B1182" s="8" t="s">
        <v>8240</v>
      </c>
      <c r="C1182" s="8" t="s">
        <v>8241</v>
      </c>
      <c r="D1182" s="8" t="s">
        <v>8242</v>
      </c>
      <c r="E1182" s="8"/>
      <c r="F1182" s="8" t="s">
        <v>353</v>
      </c>
      <c r="G1182" s="8" t="s">
        <v>4270</v>
      </c>
      <c r="H1182" s="8" t="s">
        <v>4271</v>
      </c>
      <c r="I1182" s="8" t="s">
        <v>8243</v>
      </c>
      <c r="J1182" s="8" t="s">
        <v>8244</v>
      </c>
      <c r="K1182" s="8" t="s">
        <v>619</v>
      </c>
      <c r="L1182" s="8" t="s">
        <v>163</v>
      </c>
      <c r="M1182" s="8" t="s">
        <v>8245</v>
      </c>
      <c r="N1182" s="8" t="s">
        <v>128</v>
      </c>
      <c r="O1182" s="8" t="s">
        <v>8246</v>
      </c>
      <c r="P1182" s="8" t="s">
        <v>8247</v>
      </c>
      <c r="Q1182" s="8" t="s">
        <v>150</v>
      </c>
      <c r="R1182" s="8"/>
      <c r="S1182" s="8" t="s">
        <v>71</v>
      </c>
      <c r="T1182" s="8" t="s">
        <v>67</v>
      </c>
      <c r="U1182" s="8" t="s">
        <v>150</v>
      </c>
      <c r="V1182" s="8" t="s">
        <v>152</v>
      </c>
      <c r="W1182" s="8" t="s">
        <v>67</v>
      </c>
      <c r="X1182" s="8">
        <v>33</v>
      </c>
      <c r="Y1182" s="8" t="s">
        <v>5796</v>
      </c>
      <c r="Z1182" s="8">
        <v>80</v>
      </c>
      <c r="AA1182" s="8">
        <v>0</v>
      </c>
      <c r="AB1182" s="9">
        <v>0</v>
      </c>
    </row>
    <row r="1183" spans="1:28" x14ac:dyDescent="0.2">
      <c r="A1183" s="10">
        <v>225276</v>
      </c>
      <c r="B1183" s="11" t="s">
        <v>8248</v>
      </c>
      <c r="C1183" s="11" t="s">
        <v>8249</v>
      </c>
      <c r="D1183" s="11" t="s">
        <v>8250</v>
      </c>
      <c r="E1183" s="11"/>
      <c r="F1183" s="11" t="s">
        <v>353</v>
      </c>
      <c r="G1183" s="11" t="s">
        <v>4818</v>
      </c>
      <c r="H1183" s="11" t="s">
        <v>142</v>
      </c>
      <c r="I1183" s="11" t="s">
        <v>4819</v>
      </c>
      <c r="J1183" s="11" t="s">
        <v>8251</v>
      </c>
      <c r="K1183" s="11" t="s">
        <v>584</v>
      </c>
      <c r="L1183" s="11" t="s">
        <v>146</v>
      </c>
      <c r="M1183" s="11" t="s">
        <v>8252</v>
      </c>
      <c r="N1183" s="11" t="s">
        <v>128</v>
      </c>
      <c r="O1183" s="11" t="s">
        <v>8253</v>
      </c>
      <c r="P1183" s="11" t="s">
        <v>8254</v>
      </c>
      <c r="Q1183" s="11" t="s">
        <v>150</v>
      </c>
      <c r="R1183" s="11"/>
      <c r="S1183" s="11" t="s">
        <v>71</v>
      </c>
      <c r="T1183" s="11" t="s">
        <v>67</v>
      </c>
      <c r="U1183" s="11" t="s">
        <v>150</v>
      </c>
      <c r="V1183" s="11" t="s">
        <v>152</v>
      </c>
      <c r="W1183" s="11" t="s">
        <v>67</v>
      </c>
      <c r="X1183" s="11">
        <v>33</v>
      </c>
      <c r="Y1183" s="11" t="s">
        <v>5796</v>
      </c>
      <c r="Z1183" s="11">
        <v>80</v>
      </c>
      <c r="AA1183" s="11">
        <v>0</v>
      </c>
      <c r="AB1183" s="12">
        <v>0</v>
      </c>
    </row>
    <row r="1184" spans="1:28" x14ac:dyDescent="0.2">
      <c r="A1184" s="7">
        <v>21989</v>
      </c>
      <c r="B1184" s="8" t="s">
        <v>8255</v>
      </c>
      <c r="C1184" s="8" t="s">
        <v>8130</v>
      </c>
      <c r="D1184" s="8" t="s">
        <v>8256</v>
      </c>
      <c r="E1184" s="8" t="s">
        <v>281</v>
      </c>
      <c r="F1184" s="8" t="s">
        <v>353</v>
      </c>
      <c r="G1184" s="8" t="s">
        <v>3654</v>
      </c>
      <c r="H1184" s="8" t="s">
        <v>142</v>
      </c>
      <c r="I1184" s="8" t="s">
        <v>8257</v>
      </c>
      <c r="J1184" s="8" t="s">
        <v>8258</v>
      </c>
      <c r="K1184" s="8" t="s">
        <v>1029</v>
      </c>
      <c r="L1184" s="8" t="s">
        <v>464</v>
      </c>
      <c r="M1184" s="8" t="s">
        <v>8259</v>
      </c>
      <c r="N1184" s="8" t="s">
        <v>128</v>
      </c>
      <c r="O1184" s="8" t="s">
        <v>8260</v>
      </c>
      <c r="P1184" s="8"/>
      <c r="Q1184" s="8" t="s">
        <v>131</v>
      </c>
      <c r="R1184" s="8"/>
      <c r="S1184" s="8" t="s">
        <v>71</v>
      </c>
      <c r="T1184" s="8" t="s">
        <v>983</v>
      </c>
      <c r="U1184" s="8" t="s">
        <v>134</v>
      </c>
      <c r="V1184" s="8" t="s">
        <v>131</v>
      </c>
      <c r="W1184" s="8" t="s">
        <v>983</v>
      </c>
      <c r="X1184" s="8">
        <v>33</v>
      </c>
      <c r="Y1184" s="8" t="s">
        <v>5796</v>
      </c>
      <c r="Z1184" s="8">
        <v>80</v>
      </c>
      <c r="AA1184" s="8">
        <v>0</v>
      </c>
      <c r="AB1184" s="9">
        <v>0</v>
      </c>
    </row>
    <row r="1185" spans="1:28" x14ac:dyDescent="0.2">
      <c r="A1185" s="10">
        <v>21959</v>
      </c>
      <c r="B1185" s="11" t="s">
        <v>8261</v>
      </c>
      <c r="C1185" s="11" t="s">
        <v>8262</v>
      </c>
      <c r="D1185" s="11" t="s">
        <v>2690</v>
      </c>
      <c r="E1185" s="11" t="s">
        <v>8263</v>
      </c>
      <c r="F1185" s="11" t="s">
        <v>353</v>
      </c>
      <c r="G1185" s="11" t="s">
        <v>2618</v>
      </c>
      <c r="H1185" s="11" t="s">
        <v>142</v>
      </c>
      <c r="I1185" s="11" t="s">
        <v>8264</v>
      </c>
      <c r="J1185" s="11" t="s">
        <v>8265</v>
      </c>
      <c r="K1185" s="11" t="s">
        <v>651</v>
      </c>
      <c r="L1185" s="11" t="s">
        <v>146</v>
      </c>
      <c r="M1185" s="11" t="s">
        <v>8266</v>
      </c>
      <c r="N1185" s="11" t="s">
        <v>128</v>
      </c>
      <c r="O1185" s="11" t="s">
        <v>8267</v>
      </c>
      <c r="P1185" s="11" t="s">
        <v>1592</v>
      </c>
      <c r="Q1185" s="11" t="s">
        <v>131</v>
      </c>
      <c r="R1185" s="11"/>
      <c r="S1185" s="11" t="s">
        <v>8268</v>
      </c>
      <c r="T1185" s="11" t="s">
        <v>133</v>
      </c>
      <c r="U1185" s="11" t="s">
        <v>134</v>
      </c>
      <c r="V1185" s="11" t="s">
        <v>131</v>
      </c>
      <c r="W1185" s="11" t="s">
        <v>133</v>
      </c>
      <c r="X1185" s="11">
        <v>33</v>
      </c>
      <c r="Y1185" s="11" t="s">
        <v>5796</v>
      </c>
      <c r="Z1185" s="11">
        <v>80</v>
      </c>
      <c r="AA1185" s="11">
        <v>0</v>
      </c>
      <c r="AB1185" s="12">
        <v>0</v>
      </c>
    </row>
    <row r="1186" spans="1:28" x14ac:dyDescent="0.2">
      <c r="A1186" s="7">
        <v>21972</v>
      </c>
      <c r="B1186" s="8" t="s">
        <v>8269</v>
      </c>
      <c r="C1186" s="8" t="s">
        <v>4521</v>
      </c>
      <c r="D1186" s="8" t="s">
        <v>138</v>
      </c>
      <c r="E1186" s="8" t="s">
        <v>8270</v>
      </c>
      <c r="F1186" s="8" t="s">
        <v>4523</v>
      </c>
      <c r="G1186" s="8" t="s">
        <v>4513</v>
      </c>
      <c r="H1186" s="8" t="s">
        <v>847</v>
      </c>
      <c r="I1186" s="8" t="s">
        <v>4524</v>
      </c>
      <c r="J1186" s="8" t="s">
        <v>4525</v>
      </c>
      <c r="K1186" s="8" t="s">
        <v>1091</v>
      </c>
      <c r="L1186" s="8" t="s">
        <v>126</v>
      </c>
      <c r="M1186" s="8" t="s">
        <v>8271</v>
      </c>
      <c r="N1186" s="8" t="s">
        <v>128</v>
      </c>
      <c r="O1186" s="8" t="s">
        <v>8272</v>
      </c>
      <c r="P1186" s="8" t="s">
        <v>8273</v>
      </c>
      <c r="Q1186" s="8" t="s">
        <v>131</v>
      </c>
      <c r="R1186" s="8"/>
      <c r="S1186" s="8" t="s">
        <v>4528</v>
      </c>
      <c r="T1186" s="8" t="s">
        <v>133</v>
      </c>
      <c r="U1186" s="8" t="s">
        <v>134</v>
      </c>
      <c r="V1186" s="8" t="s">
        <v>131</v>
      </c>
      <c r="W1186" s="8" t="s">
        <v>133</v>
      </c>
      <c r="X1186" s="8">
        <v>33</v>
      </c>
      <c r="Y1186" s="8" t="s">
        <v>5796</v>
      </c>
      <c r="Z1186" s="8">
        <v>80</v>
      </c>
      <c r="AA1186" s="8">
        <v>0</v>
      </c>
      <c r="AB1186" s="9">
        <v>0</v>
      </c>
    </row>
    <row r="1187" spans="1:28" x14ac:dyDescent="0.2">
      <c r="A1187" s="10">
        <v>21924</v>
      </c>
      <c r="B1187" s="11" t="s">
        <v>8274</v>
      </c>
      <c r="C1187" s="11" t="s">
        <v>4844</v>
      </c>
      <c r="D1187" s="11" t="s">
        <v>4351</v>
      </c>
      <c r="E1187" s="11"/>
      <c r="F1187" s="11" t="s">
        <v>8275</v>
      </c>
      <c r="G1187" s="11" t="s">
        <v>141</v>
      </c>
      <c r="H1187" s="11" t="s">
        <v>142</v>
      </c>
      <c r="I1187" s="11" t="s">
        <v>8276</v>
      </c>
      <c r="J1187" s="11" t="s">
        <v>8277</v>
      </c>
      <c r="K1187" s="11" t="s">
        <v>584</v>
      </c>
      <c r="L1187" s="11" t="s">
        <v>146</v>
      </c>
      <c r="M1187" s="11" t="s">
        <v>8278</v>
      </c>
      <c r="N1187" s="11" t="s">
        <v>128</v>
      </c>
      <c r="O1187" s="11" t="s">
        <v>8279</v>
      </c>
      <c r="P1187" s="11" t="s">
        <v>8280</v>
      </c>
      <c r="Q1187" s="11" t="s">
        <v>131</v>
      </c>
      <c r="R1187" s="11"/>
      <c r="S1187" s="11" t="s">
        <v>8281</v>
      </c>
      <c r="T1187" s="11" t="s">
        <v>133</v>
      </c>
      <c r="U1187" s="11" t="s">
        <v>134</v>
      </c>
      <c r="V1187" s="11" t="s">
        <v>131</v>
      </c>
      <c r="W1187" s="11" t="s">
        <v>133</v>
      </c>
      <c r="X1187" s="11">
        <v>33</v>
      </c>
      <c r="Y1187" s="11" t="s">
        <v>5796</v>
      </c>
      <c r="Z1187" s="11">
        <v>80</v>
      </c>
      <c r="AA1187" s="11">
        <v>0</v>
      </c>
      <c r="AB1187" s="12">
        <v>0</v>
      </c>
    </row>
    <row r="1188" spans="1:28" x14ac:dyDescent="0.2">
      <c r="A1188" s="7">
        <v>112873</v>
      </c>
      <c r="B1188" s="8" t="s">
        <v>8282</v>
      </c>
      <c r="C1188" s="8" t="s">
        <v>1860</v>
      </c>
      <c r="D1188" s="8" t="s">
        <v>138</v>
      </c>
      <c r="E1188" s="8"/>
      <c r="F1188" s="8" t="s">
        <v>223</v>
      </c>
      <c r="G1188" s="8" t="s">
        <v>224</v>
      </c>
      <c r="H1188" s="8" t="s">
        <v>225</v>
      </c>
      <c r="I1188" s="8" t="s">
        <v>1861</v>
      </c>
      <c r="J1188" s="8" t="s">
        <v>1862</v>
      </c>
      <c r="K1188" s="8" t="s">
        <v>228</v>
      </c>
      <c r="L1188" s="8" t="s">
        <v>229</v>
      </c>
      <c r="M1188" s="8" t="s">
        <v>8283</v>
      </c>
      <c r="N1188" s="8" t="s">
        <v>128</v>
      </c>
      <c r="O1188" s="8" t="s">
        <v>8284</v>
      </c>
      <c r="P1188" s="8" t="s">
        <v>8285</v>
      </c>
      <c r="Q1188" s="8" t="s">
        <v>150</v>
      </c>
      <c r="R1188" s="8"/>
      <c r="S1188" s="8" t="s">
        <v>1866</v>
      </c>
      <c r="T1188" s="8" t="s">
        <v>70</v>
      </c>
      <c r="U1188" s="8" t="s">
        <v>150</v>
      </c>
      <c r="V1188" s="8" t="s">
        <v>70</v>
      </c>
      <c r="W1188" s="8" t="s">
        <v>70</v>
      </c>
      <c r="X1188" s="8">
        <v>33</v>
      </c>
      <c r="Y1188" s="8" t="s">
        <v>5796</v>
      </c>
      <c r="Z1188" s="8">
        <v>80</v>
      </c>
      <c r="AA1188" s="8">
        <v>0</v>
      </c>
      <c r="AB1188" s="9">
        <v>0</v>
      </c>
    </row>
    <row r="1189" spans="1:28" x14ac:dyDescent="0.2">
      <c r="A1189" s="10">
        <v>23728</v>
      </c>
      <c r="B1189" s="11" t="s">
        <v>8286</v>
      </c>
      <c r="C1189" s="11" t="s">
        <v>7792</v>
      </c>
      <c r="D1189" s="11" t="s">
        <v>8287</v>
      </c>
      <c r="E1189" s="11" t="s">
        <v>8288</v>
      </c>
      <c r="F1189" s="11" t="s">
        <v>353</v>
      </c>
      <c r="G1189" s="11" t="s">
        <v>3643</v>
      </c>
      <c r="H1189" s="11" t="s">
        <v>142</v>
      </c>
      <c r="I1189" s="11" t="s">
        <v>7794</v>
      </c>
      <c r="J1189" s="11" t="s">
        <v>8289</v>
      </c>
      <c r="K1189" s="11" t="s">
        <v>651</v>
      </c>
      <c r="L1189" s="11" t="s">
        <v>146</v>
      </c>
      <c r="M1189" s="11" t="s">
        <v>8290</v>
      </c>
      <c r="N1189" s="11" t="s">
        <v>128</v>
      </c>
      <c r="O1189" s="11" t="s">
        <v>8291</v>
      </c>
      <c r="P1189" s="11" t="s">
        <v>8292</v>
      </c>
      <c r="Q1189" s="11" t="s">
        <v>150</v>
      </c>
      <c r="R1189" s="11"/>
      <c r="S1189" s="11" t="s">
        <v>71</v>
      </c>
      <c r="T1189" s="11" t="s">
        <v>168</v>
      </c>
      <c r="U1189" s="11" t="s">
        <v>150</v>
      </c>
      <c r="V1189" s="11" t="s">
        <v>168</v>
      </c>
      <c r="W1189" s="11" t="s">
        <v>168</v>
      </c>
      <c r="X1189" s="11">
        <v>33</v>
      </c>
      <c r="Y1189" s="11" t="s">
        <v>5796</v>
      </c>
      <c r="Z1189" s="11">
        <v>80</v>
      </c>
      <c r="AA1189" s="11">
        <v>0</v>
      </c>
      <c r="AB1189" s="12">
        <v>0</v>
      </c>
    </row>
    <row r="1190" spans="1:28" x14ac:dyDescent="0.2">
      <c r="A1190" s="7">
        <v>23834</v>
      </c>
      <c r="B1190" s="8" t="s">
        <v>8293</v>
      </c>
      <c r="C1190" s="8" t="s">
        <v>7952</v>
      </c>
      <c r="D1190" s="8" t="s">
        <v>8294</v>
      </c>
      <c r="E1190" s="8"/>
      <c r="F1190" s="8" t="s">
        <v>353</v>
      </c>
      <c r="G1190" s="8" t="s">
        <v>3259</v>
      </c>
      <c r="H1190" s="8" t="s">
        <v>557</v>
      </c>
      <c r="I1190" s="8" t="s">
        <v>8295</v>
      </c>
      <c r="J1190" s="8" t="s">
        <v>8296</v>
      </c>
      <c r="K1190" s="8" t="s">
        <v>1562</v>
      </c>
      <c r="L1190" s="8" t="s">
        <v>229</v>
      </c>
      <c r="M1190" s="8" t="s">
        <v>8297</v>
      </c>
      <c r="N1190" s="8" t="s">
        <v>128</v>
      </c>
      <c r="O1190" s="8" t="s">
        <v>8298</v>
      </c>
      <c r="P1190" s="8" t="s">
        <v>8299</v>
      </c>
      <c r="Q1190" s="8" t="s">
        <v>150</v>
      </c>
      <c r="R1190" s="8"/>
      <c r="S1190" s="8" t="s">
        <v>71</v>
      </c>
      <c r="T1190" s="8" t="s">
        <v>168</v>
      </c>
      <c r="U1190" s="8" t="s">
        <v>150</v>
      </c>
      <c r="V1190" s="8" t="s">
        <v>168</v>
      </c>
      <c r="W1190" s="8" t="s">
        <v>168</v>
      </c>
      <c r="X1190" s="8">
        <v>33</v>
      </c>
      <c r="Y1190" s="8" t="s">
        <v>5796</v>
      </c>
      <c r="Z1190" s="8">
        <v>80</v>
      </c>
      <c r="AA1190" s="8">
        <v>0</v>
      </c>
      <c r="AB1190" s="9">
        <v>0</v>
      </c>
    </row>
    <row r="1191" spans="1:28" x14ac:dyDescent="0.2">
      <c r="A1191" s="10">
        <v>23747</v>
      </c>
      <c r="B1191" s="11" t="s">
        <v>8300</v>
      </c>
      <c r="C1191" s="11" t="s">
        <v>8231</v>
      </c>
      <c r="D1191" s="11" t="s">
        <v>2292</v>
      </c>
      <c r="E1191" s="11"/>
      <c r="F1191" s="11" t="s">
        <v>8234</v>
      </c>
      <c r="G1191" s="11" t="s">
        <v>556</v>
      </c>
      <c r="H1191" s="11" t="s">
        <v>557</v>
      </c>
      <c r="I1191" s="11" t="s">
        <v>8235</v>
      </c>
      <c r="J1191" s="11" t="s">
        <v>8301</v>
      </c>
      <c r="K1191" s="11" t="s">
        <v>560</v>
      </c>
      <c r="L1191" s="11" t="s">
        <v>229</v>
      </c>
      <c r="M1191" s="11" t="s">
        <v>8302</v>
      </c>
      <c r="N1191" s="11" t="s">
        <v>128</v>
      </c>
      <c r="O1191" s="11" t="s">
        <v>8303</v>
      </c>
      <c r="P1191" s="11" t="s">
        <v>8304</v>
      </c>
      <c r="Q1191" s="11" t="s">
        <v>150</v>
      </c>
      <c r="R1191" s="11"/>
      <c r="S1191" s="11" t="s">
        <v>71</v>
      </c>
      <c r="T1191" s="11" t="s">
        <v>168</v>
      </c>
      <c r="U1191" s="11" t="s">
        <v>150</v>
      </c>
      <c r="V1191" s="11" t="s">
        <v>168</v>
      </c>
      <c r="W1191" s="11" t="s">
        <v>168</v>
      </c>
      <c r="X1191" s="11">
        <v>33</v>
      </c>
      <c r="Y1191" s="11" t="s">
        <v>5796</v>
      </c>
      <c r="Z1191" s="11">
        <v>80</v>
      </c>
      <c r="AA1191" s="11">
        <v>0</v>
      </c>
      <c r="AB1191" s="12">
        <v>0</v>
      </c>
    </row>
    <row r="1192" spans="1:28" x14ac:dyDescent="0.2">
      <c r="A1192" s="7">
        <v>107226</v>
      </c>
      <c r="B1192" s="8" t="s">
        <v>8305</v>
      </c>
      <c r="C1192" s="8" t="s">
        <v>7009</v>
      </c>
      <c r="D1192" s="8" t="s">
        <v>7010</v>
      </c>
      <c r="E1192" s="8"/>
      <c r="F1192" s="8" t="s">
        <v>7011</v>
      </c>
      <c r="G1192" s="8" t="s">
        <v>328</v>
      </c>
      <c r="H1192" s="8" t="s">
        <v>329</v>
      </c>
      <c r="I1192" s="8" t="s">
        <v>7012</v>
      </c>
      <c r="J1192" s="8" t="s">
        <v>7013</v>
      </c>
      <c r="K1192" s="8" t="s">
        <v>332</v>
      </c>
      <c r="L1192" s="8" t="s">
        <v>333</v>
      </c>
      <c r="M1192" s="8" t="s">
        <v>8306</v>
      </c>
      <c r="N1192" s="8" t="s">
        <v>128</v>
      </c>
      <c r="O1192" s="8" t="s">
        <v>8307</v>
      </c>
      <c r="P1192" s="8" t="s">
        <v>8308</v>
      </c>
      <c r="Q1192" s="8" t="s">
        <v>150</v>
      </c>
      <c r="R1192" s="8"/>
      <c r="S1192" s="8" t="s">
        <v>7017</v>
      </c>
      <c r="T1192" s="8" t="s">
        <v>168</v>
      </c>
      <c r="U1192" s="8" t="s">
        <v>150</v>
      </c>
      <c r="V1192" s="8" t="s">
        <v>168</v>
      </c>
      <c r="W1192" s="8" t="s">
        <v>168</v>
      </c>
      <c r="X1192" s="8">
        <v>33</v>
      </c>
      <c r="Y1192" s="8" t="s">
        <v>5796</v>
      </c>
      <c r="Z1192" s="8">
        <v>80</v>
      </c>
      <c r="AA1192" s="8">
        <v>0</v>
      </c>
      <c r="AB1192" s="9">
        <v>0</v>
      </c>
    </row>
    <row r="1193" spans="1:28" x14ac:dyDescent="0.2">
      <c r="A1193" s="10">
        <v>25169</v>
      </c>
      <c r="B1193" s="11" t="s">
        <v>8309</v>
      </c>
      <c r="C1193" s="11" t="s">
        <v>2090</v>
      </c>
      <c r="D1193" s="11" t="s">
        <v>2091</v>
      </c>
      <c r="E1193" s="11"/>
      <c r="F1193" s="11" t="s">
        <v>353</v>
      </c>
      <c r="G1193" s="11" t="s">
        <v>2093</v>
      </c>
      <c r="H1193" s="11" t="s">
        <v>142</v>
      </c>
      <c r="I1193" s="11" t="s">
        <v>2094</v>
      </c>
      <c r="J1193" s="11" t="s">
        <v>2095</v>
      </c>
      <c r="K1193" s="11" t="s">
        <v>651</v>
      </c>
      <c r="L1193" s="11" t="s">
        <v>146</v>
      </c>
      <c r="M1193" s="11" t="s">
        <v>8310</v>
      </c>
      <c r="N1193" s="11" t="s">
        <v>128</v>
      </c>
      <c r="O1193" s="11" t="s">
        <v>8311</v>
      </c>
      <c r="P1193" s="11" t="s">
        <v>8312</v>
      </c>
      <c r="Q1193" s="11" t="s">
        <v>740</v>
      </c>
      <c r="R1193" s="11"/>
      <c r="S1193" s="11" t="s">
        <v>2099</v>
      </c>
      <c r="T1193" s="11" t="s">
        <v>741</v>
      </c>
      <c r="U1193" s="11" t="s">
        <v>134</v>
      </c>
      <c r="V1193" s="11" t="s">
        <v>740</v>
      </c>
      <c r="W1193" s="11" t="s">
        <v>741</v>
      </c>
      <c r="X1193" s="11">
        <v>33</v>
      </c>
      <c r="Y1193" s="11" t="s">
        <v>5796</v>
      </c>
      <c r="Z1193" s="11">
        <v>80</v>
      </c>
      <c r="AA1193" s="11">
        <v>0</v>
      </c>
      <c r="AB1193" s="12">
        <v>0</v>
      </c>
    </row>
    <row r="1194" spans="1:28" x14ac:dyDescent="0.2">
      <c r="A1194" s="7">
        <v>21594</v>
      </c>
      <c r="B1194" s="8" t="s">
        <v>8313</v>
      </c>
      <c r="C1194" s="8" t="s">
        <v>7952</v>
      </c>
      <c r="D1194" s="8" t="s">
        <v>138</v>
      </c>
      <c r="E1194" s="8" t="s">
        <v>8314</v>
      </c>
      <c r="F1194" s="8" t="s">
        <v>353</v>
      </c>
      <c r="G1194" s="8" t="s">
        <v>3259</v>
      </c>
      <c r="H1194" s="8" t="s">
        <v>557</v>
      </c>
      <c r="I1194" s="8" t="s">
        <v>8315</v>
      </c>
      <c r="J1194" s="8" t="s">
        <v>8316</v>
      </c>
      <c r="K1194" s="8" t="s">
        <v>1562</v>
      </c>
      <c r="L1194" s="8" t="s">
        <v>229</v>
      </c>
      <c r="M1194" s="8" t="s">
        <v>8317</v>
      </c>
      <c r="N1194" s="8" t="s">
        <v>128</v>
      </c>
      <c r="O1194" s="8" t="s">
        <v>8318</v>
      </c>
      <c r="P1194" s="8" t="s">
        <v>8319</v>
      </c>
      <c r="Q1194" s="8" t="s">
        <v>150</v>
      </c>
      <c r="R1194" s="8"/>
      <c r="S1194" s="8" t="s">
        <v>71</v>
      </c>
      <c r="T1194" s="8" t="s">
        <v>67</v>
      </c>
      <c r="U1194" s="8" t="s">
        <v>150</v>
      </c>
      <c r="V1194" s="8" t="s">
        <v>152</v>
      </c>
      <c r="W1194" s="8" t="s">
        <v>67</v>
      </c>
      <c r="X1194" s="8">
        <v>32</v>
      </c>
      <c r="Y1194" s="8" t="s">
        <v>5796</v>
      </c>
      <c r="Z1194" s="8">
        <v>80</v>
      </c>
      <c r="AA1194" s="8">
        <v>0</v>
      </c>
      <c r="AB1194" s="9">
        <v>0</v>
      </c>
    </row>
    <row r="1195" spans="1:28" x14ac:dyDescent="0.2">
      <c r="A1195" s="10">
        <v>21636</v>
      </c>
      <c r="B1195" s="11" t="s">
        <v>8320</v>
      </c>
      <c r="C1195" s="11" t="s">
        <v>7773</v>
      </c>
      <c r="D1195" s="11" t="s">
        <v>7907</v>
      </c>
      <c r="E1195" s="11" t="s">
        <v>8321</v>
      </c>
      <c r="F1195" s="11" t="s">
        <v>353</v>
      </c>
      <c r="G1195" s="11" t="s">
        <v>1813</v>
      </c>
      <c r="H1195" s="11" t="s">
        <v>142</v>
      </c>
      <c r="I1195" s="11" t="s">
        <v>7774</v>
      </c>
      <c r="J1195" s="11" t="s">
        <v>8322</v>
      </c>
      <c r="K1195" s="11" t="s">
        <v>974</v>
      </c>
      <c r="L1195" s="11" t="s">
        <v>146</v>
      </c>
      <c r="M1195" s="11" t="s">
        <v>8323</v>
      </c>
      <c r="N1195" s="11" t="s">
        <v>128</v>
      </c>
      <c r="O1195" s="11" t="s">
        <v>8324</v>
      </c>
      <c r="P1195" s="11" t="s">
        <v>8325</v>
      </c>
      <c r="Q1195" s="11" t="s">
        <v>150</v>
      </c>
      <c r="R1195" s="11"/>
      <c r="S1195" s="11" t="s">
        <v>71</v>
      </c>
      <c r="T1195" s="11" t="s">
        <v>67</v>
      </c>
      <c r="U1195" s="11" t="s">
        <v>150</v>
      </c>
      <c r="V1195" s="11" t="s">
        <v>152</v>
      </c>
      <c r="W1195" s="11" t="s">
        <v>67</v>
      </c>
      <c r="X1195" s="11">
        <v>32</v>
      </c>
      <c r="Y1195" s="11" t="s">
        <v>5796</v>
      </c>
      <c r="Z1195" s="11">
        <v>80</v>
      </c>
      <c r="AA1195" s="11">
        <v>0</v>
      </c>
      <c r="AB1195" s="12">
        <v>0</v>
      </c>
    </row>
    <row r="1196" spans="1:28" x14ac:dyDescent="0.2">
      <c r="A1196" s="7">
        <v>21602</v>
      </c>
      <c r="B1196" s="8" t="s">
        <v>8326</v>
      </c>
      <c r="C1196" s="8" t="s">
        <v>8327</v>
      </c>
      <c r="D1196" s="8" t="s">
        <v>8328</v>
      </c>
      <c r="E1196" s="8" t="s">
        <v>8329</v>
      </c>
      <c r="F1196" s="8" t="s">
        <v>1648</v>
      </c>
      <c r="G1196" s="8" t="s">
        <v>328</v>
      </c>
      <c r="H1196" s="8" t="s">
        <v>329</v>
      </c>
      <c r="I1196" s="8" t="s">
        <v>8330</v>
      </c>
      <c r="J1196" s="8" t="s">
        <v>8331</v>
      </c>
      <c r="K1196" s="8" t="s">
        <v>572</v>
      </c>
      <c r="L1196" s="8" t="s">
        <v>333</v>
      </c>
      <c r="M1196" s="8" t="s">
        <v>8332</v>
      </c>
      <c r="N1196" s="8" t="s">
        <v>128</v>
      </c>
      <c r="O1196" s="8" t="s">
        <v>8333</v>
      </c>
      <c r="P1196" s="8" t="s">
        <v>232</v>
      </c>
      <c r="Q1196" s="8" t="s">
        <v>150</v>
      </c>
      <c r="R1196" s="8"/>
      <c r="S1196" s="8" t="s">
        <v>71</v>
      </c>
      <c r="T1196" s="8" t="s">
        <v>67</v>
      </c>
      <c r="U1196" s="8" t="s">
        <v>150</v>
      </c>
      <c r="V1196" s="8" t="s">
        <v>152</v>
      </c>
      <c r="W1196" s="8" t="s">
        <v>67</v>
      </c>
      <c r="X1196" s="8">
        <v>32</v>
      </c>
      <c r="Y1196" s="8" t="s">
        <v>5796</v>
      </c>
      <c r="Z1196" s="8">
        <v>80</v>
      </c>
      <c r="AA1196" s="8">
        <v>0</v>
      </c>
      <c r="AB1196" s="9">
        <v>0</v>
      </c>
    </row>
    <row r="1197" spans="1:28" x14ac:dyDescent="0.2">
      <c r="A1197" s="10">
        <v>21741</v>
      </c>
      <c r="B1197" s="11" t="s">
        <v>8334</v>
      </c>
      <c r="C1197" s="11" t="s">
        <v>8335</v>
      </c>
      <c r="D1197" s="11" t="s">
        <v>4881</v>
      </c>
      <c r="E1197" s="11" t="s">
        <v>8336</v>
      </c>
      <c r="F1197" s="11" t="s">
        <v>8337</v>
      </c>
      <c r="G1197" s="11" t="s">
        <v>8338</v>
      </c>
      <c r="H1197" s="11" t="s">
        <v>301</v>
      </c>
      <c r="I1197" s="11" t="s">
        <v>8339</v>
      </c>
      <c r="J1197" s="11" t="s">
        <v>8340</v>
      </c>
      <c r="K1197" s="11" t="s">
        <v>228</v>
      </c>
      <c r="L1197" s="11" t="s">
        <v>229</v>
      </c>
      <c r="M1197" s="11" t="s">
        <v>8341</v>
      </c>
      <c r="N1197" s="11" t="s">
        <v>128</v>
      </c>
      <c r="O1197" s="11" t="s">
        <v>8342</v>
      </c>
      <c r="P1197" s="11" t="s">
        <v>8343</v>
      </c>
      <c r="Q1197" s="11" t="s">
        <v>150</v>
      </c>
      <c r="R1197" s="11"/>
      <c r="S1197" s="11" t="s">
        <v>71</v>
      </c>
      <c r="T1197" s="11" t="s">
        <v>67</v>
      </c>
      <c r="U1197" s="11" t="s">
        <v>150</v>
      </c>
      <c r="V1197" s="11" t="s">
        <v>152</v>
      </c>
      <c r="W1197" s="11" t="s">
        <v>67</v>
      </c>
      <c r="X1197" s="11">
        <v>32</v>
      </c>
      <c r="Y1197" s="11" t="s">
        <v>5796</v>
      </c>
      <c r="Z1197" s="11">
        <v>80</v>
      </c>
      <c r="AA1197" s="11">
        <v>0</v>
      </c>
      <c r="AB1197" s="12">
        <v>0</v>
      </c>
    </row>
    <row r="1198" spans="1:28" x14ac:dyDescent="0.2">
      <c r="A1198" s="7">
        <v>21416</v>
      </c>
      <c r="B1198" s="8" t="s">
        <v>8344</v>
      </c>
      <c r="C1198" s="8" t="s">
        <v>8345</v>
      </c>
      <c r="D1198" s="8" t="s">
        <v>8123</v>
      </c>
      <c r="E1198" s="8"/>
      <c r="F1198" s="8" t="s">
        <v>353</v>
      </c>
      <c r="G1198" s="8" t="s">
        <v>8346</v>
      </c>
      <c r="H1198" s="8" t="s">
        <v>142</v>
      </c>
      <c r="I1198" s="8" t="s">
        <v>8347</v>
      </c>
      <c r="J1198" s="8" t="s">
        <v>8348</v>
      </c>
      <c r="K1198" s="8" t="s">
        <v>717</v>
      </c>
      <c r="L1198" s="8" t="s">
        <v>464</v>
      </c>
      <c r="M1198" s="8" t="s">
        <v>8349</v>
      </c>
      <c r="N1198" s="8" t="s">
        <v>128</v>
      </c>
      <c r="O1198" s="8" t="s">
        <v>8350</v>
      </c>
      <c r="P1198" s="8" t="s">
        <v>8351</v>
      </c>
      <c r="Q1198" s="8" t="s">
        <v>150</v>
      </c>
      <c r="R1198" s="8"/>
      <c r="S1198" s="8" t="s">
        <v>71</v>
      </c>
      <c r="T1198" s="8" t="s">
        <v>67</v>
      </c>
      <c r="U1198" s="8" t="s">
        <v>150</v>
      </c>
      <c r="V1198" s="8" t="s">
        <v>152</v>
      </c>
      <c r="W1198" s="8" t="s">
        <v>67</v>
      </c>
      <c r="X1198" s="8">
        <v>32</v>
      </c>
      <c r="Y1198" s="8" t="s">
        <v>5796</v>
      </c>
      <c r="Z1198" s="8">
        <v>80</v>
      </c>
      <c r="AA1198" s="8">
        <v>0</v>
      </c>
      <c r="AB1198" s="9">
        <v>0</v>
      </c>
    </row>
    <row r="1199" spans="1:28" x14ac:dyDescent="0.2">
      <c r="A1199" s="10">
        <v>21380</v>
      </c>
      <c r="B1199" s="11" t="s">
        <v>8352</v>
      </c>
      <c r="C1199" s="11" t="s">
        <v>4453</v>
      </c>
      <c r="D1199" s="11" t="s">
        <v>3249</v>
      </c>
      <c r="E1199" s="11"/>
      <c r="F1199" s="11" t="s">
        <v>8353</v>
      </c>
      <c r="G1199" s="11" t="s">
        <v>4257</v>
      </c>
      <c r="H1199" s="11" t="s">
        <v>301</v>
      </c>
      <c r="I1199" s="11" t="s">
        <v>8354</v>
      </c>
      <c r="J1199" s="11" t="s">
        <v>8355</v>
      </c>
      <c r="K1199" s="11" t="s">
        <v>228</v>
      </c>
      <c r="L1199" s="11" t="s">
        <v>229</v>
      </c>
      <c r="M1199" s="11" t="s">
        <v>8356</v>
      </c>
      <c r="N1199" s="11" t="s">
        <v>128</v>
      </c>
      <c r="O1199" s="11" t="s">
        <v>8357</v>
      </c>
      <c r="P1199" s="11" t="s">
        <v>8358</v>
      </c>
      <c r="Q1199" s="11" t="s">
        <v>150</v>
      </c>
      <c r="R1199" s="11"/>
      <c r="S1199" s="11" t="s">
        <v>71</v>
      </c>
      <c r="T1199" s="11" t="s">
        <v>67</v>
      </c>
      <c r="U1199" s="11" t="s">
        <v>150</v>
      </c>
      <c r="V1199" s="11" t="s">
        <v>152</v>
      </c>
      <c r="W1199" s="11" t="s">
        <v>67</v>
      </c>
      <c r="X1199" s="11">
        <v>32</v>
      </c>
      <c r="Y1199" s="11" t="s">
        <v>5796</v>
      </c>
      <c r="Z1199" s="11">
        <v>80</v>
      </c>
      <c r="AA1199" s="11">
        <v>0</v>
      </c>
      <c r="AB1199" s="12">
        <v>0</v>
      </c>
    </row>
    <row r="1200" spans="1:28" x14ac:dyDescent="0.2">
      <c r="A1200" s="7">
        <v>21807</v>
      </c>
      <c r="B1200" s="8" t="s">
        <v>8359</v>
      </c>
      <c r="C1200" s="8" t="s">
        <v>200</v>
      </c>
      <c r="D1200" s="8" t="s">
        <v>201</v>
      </c>
      <c r="E1200" s="8" t="s">
        <v>8360</v>
      </c>
      <c r="F1200" s="8" t="s">
        <v>203</v>
      </c>
      <c r="G1200" s="8" t="s">
        <v>141</v>
      </c>
      <c r="H1200" s="8" t="s">
        <v>142</v>
      </c>
      <c r="I1200" s="8" t="s">
        <v>204</v>
      </c>
      <c r="J1200" s="8" t="s">
        <v>205</v>
      </c>
      <c r="K1200" s="8" t="s">
        <v>145</v>
      </c>
      <c r="L1200" s="8" t="s">
        <v>146</v>
      </c>
      <c r="M1200" s="8" t="s">
        <v>8361</v>
      </c>
      <c r="N1200" s="8" t="s">
        <v>128</v>
      </c>
      <c r="O1200" s="8" t="s">
        <v>8362</v>
      </c>
      <c r="P1200" s="8"/>
      <c r="Q1200" s="8" t="s">
        <v>131</v>
      </c>
      <c r="R1200" s="8"/>
      <c r="S1200" s="8" t="s">
        <v>209</v>
      </c>
      <c r="T1200" s="8" t="s">
        <v>983</v>
      </c>
      <c r="U1200" s="8" t="s">
        <v>134</v>
      </c>
      <c r="V1200" s="8" t="s">
        <v>131</v>
      </c>
      <c r="W1200" s="8" t="s">
        <v>983</v>
      </c>
      <c r="X1200" s="8">
        <v>32</v>
      </c>
      <c r="Y1200" s="8" t="s">
        <v>5796</v>
      </c>
      <c r="Z1200" s="8">
        <v>80</v>
      </c>
      <c r="AA1200" s="8">
        <v>0</v>
      </c>
      <c r="AB1200" s="9">
        <v>0</v>
      </c>
    </row>
    <row r="1201" spans="1:28" x14ac:dyDescent="0.2">
      <c r="A1201" s="10">
        <v>26604</v>
      </c>
      <c r="B1201" s="11" t="s">
        <v>8363</v>
      </c>
      <c r="C1201" s="11" t="s">
        <v>4010</v>
      </c>
      <c r="D1201" s="11" t="s">
        <v>8364</v>
      </c>
      <c r="E1201" s="11"/>
      <c r="F1201" s="11" t="s">
        <v>1994</v>
      </c>
      <c r="G1201" s="11" t="s">
        <v>4012</v>
      </c>
      <c r="H1201" s="11" t="s">
        <v>671</v>
      </c>
      <c r="I1201" s="11" t="s">
        <v>4013</v>
      </c>
      <c r="J1201" s="11" t="s">
        <v>8365</v>
      </c>
      <c r="K1201" s="11" t="s">
        <v>572</v>
      </c>
      <c r="L1201" s="11" t="s">
        <v>333</v>
      </c>
      <c r="M1201" s="11" t="s">
        <v>8366</v>
      </c>
      <c r="N1201" s="11" t="s">
        <v>128</v>
      </c>
      <c r="O1201" s="11" t="s">
        <v>8367</v>
      </c>
      <c r="P1201" s="11"/>
      <c r="Q1201" s="11" t="s">
        <v>131</v>
      </c>
      <c r="R1201" s="11"/>
      <c r="S1201" s="11" t="s">
        <v>71</v>
      </c>
      <c r="T1201" s="11" t="s">
        <v>133</v>
      </c>
      <c r="U1201" s="11" t="s">
        <v>134</v>
      </c>
      <c r="V1201" s="11" t="s">
        <v>131</v>
      </c>
      <c r="W1201" s="11" t="s">
        <v>133</v>
      </c>
      <c r="X1201" s="11">
        <v>32</v>
      </c>
      <c r="Y1201" s="11" t="s">
        <v>5796</v>
      </c>
      <c r="Z1201" s="11">
        <v>80</v>
      </c>
      <c r="AA1201" s="11">
        <v>0</v>
      </c>
      <c r="AB1201" s="12">
        <v>0</v>
      </c>
    </row>
    <row r="1202" spans="1:28" x14ac:dyDescent="0.2">
      <c r="A1202" s="7">
        <v>23021</v>
      </c>
      <c r="B1202" s="8" t="s">
        <v>8368</v>
      </c>
      <c r="C1202" s="8" t="s">
        <v>3999</v>
      </c>
      <c r="D1202" s="8" t="s">
        <v>4000</v>
      </c>
      <c r="E1202" s="8"/>
      <c r="F1202" s="8" t="s">
        <v>4002</v>
      </c>
      <c r="G1202" s="8" t="s">
        <v>1813</v>
      </c>
      <c r="H1202" s="8" t="s">
        <v>142</v>
      </c>
      <c r="I1202" s="8" t="s">
        <v>8369</v>
      </c>
      <c r="J1202" s="8" t="s">
        <v>4004</v>
      </c>
      <c r="K1202" s="8" t="s">
        <v>974</v>
      </c>
      <c r="L1202" s="8" t="s">
        <v>146</v>
      </c>
      <c r="M1202" s="8" t="s">
        <v>8370</v>
      </c>
      <c r="N1202" s="8" t="s">
        <v>128</v>
      </c>
      <c r="O1202" s="8" t="s">
        <v>8371</v>
      </c>
      <c r="P1202" s="8" t="s">
        <v>8372</v>
      </c>
      <c r="Q1202" s="8" t="s">
        <v>150</v>
      </c>
      <c r="R1202" s="8"/>
      <c r="S1202" s="8" t="s">
        <v>4008</v>
      </c>
      <c r="T1202" s="8" t="s">
        <v>70</v>
      </c>
      <c r="U1202" s="8" t="s">
        <v>150</v>
      </c>
      <c r="V1202" s="8" t="s">
        <v>70</v>
      </c>
      <c r="W1202" s="8" t="s">
        <v>70</v>
      </c>
      <c r="X1202" s="8">
        <v>32</v>
      </c>
      <c r="Y1202" s="8" t="s">
        <v>5796</v>
      </c>
      <c r="Z1202" s="8">
        <v>80</v>
      </c>
      <c r="AA1202" s="8">
        <v>0</v>
      </c>
      <c r="AB1202" s="9">
        <v>0</v>
      </c>
    </row>
    <row r="1203" spans="1:28" x14ac:dyDescent="0.2">
      <c r="A1203" s="10">
        <v>23478</v>
      </c>
      <c r="B1203" s="11" t="s">
        <v>8373</v>
      </c>
      <c r="C1203" s="11" t="s">
        <v>8191</v>
      </c>
      <c r="D1203" s="11" t="s">
        <v>6204</v>
      </c>
      <c r="E1203" s="11"/>
      <c r="F1203" s="11" t="s">
        <v>353</v>
      </c>
      <c r="G1203" s="11" t="s">
        <v>4625</v>
      </c>
      <c r="H1203" s="11" t="s">
        <v>142</v>
      </c>
      <c r="I1203" s="11" t="s">
        <v>8374</v>
      </c>
      <c r="J1203" s="11" t="s">
        <v>8375</v>
      </c>
      <c r="K1203" s="11" t="s">
        <v>651</v>
      </c>
      <c r="L1203" s="11" t="s">
        <v>146</v>
      </c>
      <c r="M1203" s="11" t="s">
        <v>8376</v>
      </c>
      <c r="N1203" s="11" t="s">
        <v>128</v>
      </c>
      <c r="O1203" s="11" t="s">
        <v>8377</v>
      </c>
      <c r="P1203" s="11" t="s">
        <v>8378</v>
      </c>
      <c r="Q1203" s="11" t="s">
        <v>150</v>
      </c>
      <c r="R1203" s="11"/>
      <c r="S1203" s="11" t="s">
        <v>71</v>
      </c>
      <c r="T1203" s="11" t="s">
        <v>1415</v>
      </c>
      <c r="U1203" s="11" t="s">
        <v>150</v>
      </c>
      <c r="V1203" s="11" t="s">
        <v>1415</v>
      </c>
      <c r="W1203" s="11" t="s">
        <v>1415</v>
      </c>
      <c r="X1203" s="11">
        <v>32</v>
      </c>
      <c r="Y1203" s="11" t="s">
        <v>5796</v>
      </c>
      <c r="Z1203" s="11">
        <v>80</v>
      </c>
      <c r="AA1203" s="11">
        <v>0</v>
      </c>
      <c r="AB1203" s="12">
        <v>0</v>
      </c>
    </row>
    <row r="1204" spans="1:28" x14ac:dyDescent="0.2">
      <c r="A1204" s="7">
        <v>23625</v>
      </c>
      <c r="B1204" s="8" t="s">
        <v>8379</v>
      </c>
      <c r="C1204" s="8" t="s">
        <v>3756</v>
      </c>
      <c r="D1204" s="8" t="s">
        <v>1568</v>
      </c>
      <c r="E1204" s="8" t="s">
        <v>8299</v>
      </c>
      <c r="F1204" s="8" t="s">
        <v>353</v>
      </c>
      <c r="G1204" s="8" t="s">
        <v>3758</v>
      </c>
      <c r="H1204" s="8" t="s">
        <v>847</v>
      </c>
      <c r="I1204" s="8" t="s">
        <v>3759</v>
      </c>
      <c r="J1204" s="8" t="s">
        <v>8380</v>
      </c>
      <c r="K1204" s="8" t="s">
        <v>1091</v>
      </c>
      <c r="L1204" s="8" t="s">
        <v>126</v>
      </c>
      <c r="M1204" s="8" t="s">
        <v>8381</v>
      </c>
      <c r="N1204" s="8" t="s">
        <v>128</v>
      </c>
      <c r="O1204" s="8" t="s">
        <v>8382</v>
      </c>
      <c r="P1204" s="8" t="s">
        <v>1980</v>
      </c>
      <c r="Q1204" s="8" t="s">
        <v>150</v>
      </c>
      <c r="R1204" s="8"/>
      <c r="S1204" s="8" t="s">
        <v>71</v>
      </c>
      <c r="T1204" s="8" t="s">
        <v>168</v>
      </c>
      <c r="U1204" s="8" t="s">
        <v>150</v>
      </c>
      <c r="V1204" s="8" t="s">
        <v>168</v>
      </c>
      <c r="W1204" s="8" t="s">
        <v>168</v>
      </c>
      <c r="X1204" s="8">
        <v>32</v>
      </c>
      <c r="Y1204" s="8" t="s">
        <v>5796</v>
      </c>
      <c r="Z1204" s="8">
        <v>80</v>
      </c>
      <c r="AA1204" s="8">
        <v>0</v>
      </c>
      <c r="AB1204" s="9">
        <v>0</v>
      </c>
    </row>
    <row r="1205" spans="1:28" x14ac:dyDescent="0.2">
      <c r="A1205" s="10">
        <v>23931</v>
      </c>
      <c r="B1205" s="11" t="s">
        <v>8383</v>
      </c>
      <c r="C1205" s="11" t="s">
        <v>8384</v>
      </c>
      <c r="D1205" s="11" t="s">
        <v>2191</v>
      </c>
      <c r="E1205" s="11" t="s">
        <v>8385</v>
      </c>
      <c r="F1205" s="11" t="s">
        <v>6117</v>
      </c>
      <c r="G1205" s="11" t="s">
        <v>141</v>
      </c>
      <c r="H1205" s="11" t="s">
        <v>142</v>
      </c>
      <c r="I1205" s="11" t="s">
        <v>8386</v>
      </c>
      <c r="J1205" s="11" t="s">
        <v>8387</v>
      </c>
      <c r="K1205" s="11" t="s">
        <v>584</v>
      </c>
      <c r="L1205" s="11" t="s">
        <v>146</v>
      </c>
      <c r="M1205" s="11" t="s">
        <v>8388</v>
      </c>
      <c r="N1205" s="11" t="s">
        <v>128</v>
      </c>
      <c r="O1205" s="11" t="s">
        <v>8389</v>
      </c>
      <c r="P1205" s="11" t="s">
        <v>8390</v>
      </c>
      <c r="Q1205" s="11" t="s">
        <v>150</v>
      </c>
      <c r="R1205" s="11"/>
      <c r="S1205" s="11" t="s">
        <v>71</v>
      </c>
      <c r="T1205" s="11" t="s">
        <v>168</v>
      </c>
      <c r="U1205" s="11" t="s">
        <v>150</v>
      </c>
      <c r="V1205" s="11" t="s">
        <v>168</v>
      </c>
      <c r="W1205" s="11" t="s">
        <v>168</v>
      </c>
      <c r="X1205" s="11">
        <v>32</v>
      </c>
      <c r="Y1205" s="11" t="s">
        <v>5796</v>
      </c>
      <c r="Z1205" s="11">
        <v>80</v>
      </c>
      <c r="AA1205" s="11">
        <v>0</v>
      </c>
      <c r="AB1205" s="12">
        <v>0</v>
      </c>
    </row>
    <row r="1206" spans="1:28" x14ac:dyDescent="0.2">
      <c r="A1206" s="7">
        <v>23656</v>
      </c>
      <c r="B1206" s="8" t="s">
        <v>8391</v>
      </c>
      <c r="C1206" s="8" t="s">
        <v>7871</v>
      </c>
      <c r="D1206" s="8" t="s">
        <v>8392</v>
      </c>
      <c r="E1206" s="8"/>
      <c r="F1206" s="8" t="s">
        <v>7874</v>
      </c>
      <c r="G1206" s="8" t="s">
        <v>2423</v>
      </c>
      <c r="H1206" s="8" t="s">
        <v>557</v>
      </c>
      <c r="I1206" s="8" t="s">
        <v>8393</v>
      </c>
      <c r="J1206" s="8" t="s">
        <v>8394</v>
      </c>
      <c r="K1206" s="8" t="s">
        <v>1562</v>
      </c>
      <c r="L1206" s="8" t="s">
        <v>229</v>
      </c>
      <c r="M1206" s="8" t="s">
        <v>8395</v>
      </c>
      <c r="N1206" s="8" t="s">
        <v>128</v>
      </c>
      <c r="O1206" s="8" t="s">
        <v>8396</v>
      </c>
      <c r="P1206" s="8" t="s">
        <v>8397</v>
      </c>
      <c r="Q1206" s="8" t="s">
        <v>150</v>
      </c>
      <c r="R1206" s="8"/>
      <c r="S1206" s="8" t="s">
        <v>71</v>
      </c>
      <c r="T1206" s="8" t="s">
        <v>168</v>
      </c>
      <c r="U1206" s="8" t="s">
        <v>150</v>
      </c>
      <c r="V1206" s="8" t="s">
        <v>168</v>
      </c>
      <c r="W1206" s="8" t="s">
        <v>168</v>
      </c>
      <c r="X1206" s="8">
        <v>32</v>
      </c>
      <c r="Y1206" s="8" t="s">
        <v>5796</v>
      </c>
      <c r="Z1206" s="8">
        <v>80</v>
      </c>
      <c r="AA1206" s="8">
        <v>0</v>
      </c>
      <c r="AB1206" s="9">
        <v>0</v>
      </c>
    </row>
    <row r="1207" spans="1:28" x14ac:dyDescent="0.2">
      <c r="A1207" s="10">
        <v>23693</v>
      </c>
      <c r="B1207" s="11" t="s">
        <v>8398</v>
      </c>
      <c r="C1207" s="11" t="s">
        <v>8399</v>
      </c>
      <c r="D1207" s="11" t="s">
        <v>7191</v>
      </c>
      <c r="E1207" s="11"/>
      <c r="F1207" s="11" t="s">
        <v>8400</v>
      </c>
      <c r="G1207" s="11" t="s">
        <v>141</v>
      </c>
      <c r="H1207" s="11" t="s">
        <v>142</v>
      </c>
      <c r="I1207" s="11" t="s">
        <v>8401</v>
      </c>
      <c r="J1207" s="11" t="s">
        <v>8402</v>
      </c>
      <c r="K1207" s="11" t="s">
        <v>584</v>
      </c>
      <c r="L1207" s="11" t="s">
        <v>146</v>
      </c>
      <c r="M1207" s="11" t="s">
        <v>8403</v>
      </c>
      <c r="N1207" s="11" t="s">
        <v>128</v>
      </c>
      <c r="O1207" s="11" t="s">
        <v>8404</v>
      </c>
      <c r="P1207" s="11" t="s">
        <v>8205</v>
      </c>
      <c r="Q1207" s="11" t="s">
        <v>150</v>
      </c>
      <c r="R1207" s="11"/>
      <c r="S1207" s="11" t="s">
        <v>71</v>
      </c>
      <c r="T1207" s="11" t="s">
        <v>168</v>
      </c>
      <c r="U1207" s="11" t="s">
        <v>150</v>
      </c>
      <c r="V1207" s="11" t="s">
        <v>168</v>
      </c>
      <c r="W1207" s="11" t="s">
        <v>168</v>
      </c>
      <c r="X1207" s="11">
        <v>32</v>
      </c>
      <c r="Y1207" s="11" t="s">
        <v>5796</v>
      </c>
      <c r="Z1207" s="11">
        <v>80</v>
      </c>
      <c r="AA1207" s="11">
        <v>0</v>
      </c>
      <c r="AB1207" s="12">
        <v>0</v>
      </c>
    </row>
    <row r="1208" spans="1:28" x14ac:dyDescent="0.2">
      <c r="A1208" s="7">
        <v>25116</v>
      </c>
      <c r="B1208" s="8" t="s">
        <v>8405</v>
      </c>
      <c r="C1208" s="8" t="s">
        <v>543</v>
      </c>
      <c r="D1208" s="8" t="s">
        <v>8406</v>
      </c>
      <c r="E1208" s="8"/>
      <c r="F1208" s="8" t="s">
        <v>8407</v>
      </c>
      <c r="G1208" s="8" t="s">
        <v>428</v>
      </c>
      <c r="H1208" s="8" t="s">
        <v>329</v>
      </c>
      <c r="I1208" s="8" t="s">
        <v>8408</v>
      </c>
      <c r="J1208" s="8" t="s">
        <v>8409</v>
      </c>
      <c r="K1208" s="8" t="s">
        <v>431</v>
      </c>
      <c r="L1208" s="8" t="s">
        <v>333</v>
      </c>
      <c r="M1208" s="8" t="s">
        <v>8410</v>
      </c>
      <c r="N1208" s="8" t="s">
        <v>128</v>
      </c>
      <c r="O1208" s="8" t="s">
        <v>8411</v>
      </c>
      <c r="P1208" s="8" t="s">
        <v>8412</v>
      </c>
      <c r="Q1208" s="8" t="s">
        <v>740</v>
      </c>
      <c r="R1208" s="8"/>
      <c r="S1208" s="8" t="s">
        <v>71</v>
      </c>
      <c r="T1208" s="8" t="s">
        <v>741</v>
      </c>
      <c r="U1208" s="8" t="s">
        <v>134</v>
      </c>
      <c r="V1208" s="8" t="s">
        <v>740</v>
      </c>
      <c r="W1208" s="8" t="s">
        <v>741</v>
      </c>
      <c r="X1208" s="8">
        <v>32</v>
      </c>
      <c r="Y1208" s="8" t="s">
        <v>5796</v>
      </c>
      <c r="Z1208" s="8">
        <v>80</v>
      </c>
      <c r="AA1208" s="8">
        <v>0</v>
      </c>
      <c r="AB1208" s="9">
        <v>0</v>
      </c>
    </row>
    <row r="1209" spans="1:28" x14ac:dyDescent="0.2">
      <c r="A1209" s="10">
        <v>25268</v>
      </c>
      <c r="B1209" s="11" t="s">
        <v>8413</v>
      </c>
      <c r="C1209" s="11" t="s">
        <v>6796</v>
      </c>
      <c r="D1209" s="11" t="s">
        <v>6797</v>
      </c>
      <c r="E1209" s="11"/>
      <c r="F1209" s="11" t="s">
        <v>353</v>
      </c>
      <c r="G1209" s="11" t="s">
        <v>556</v>
      </c>
      <c r="H1209" s="11" t="s">
        <v>557</v>
      </c>
      <c r="I1209" s="11" t="s">
        <v>8414</v>
      </c>
      <c r="J1209" s="11" t="s">
        <v>6800</v>
      </c>
      <c r="K1209" s="11" t="s">
        <v>560</v>
      </c>
      <c r="L1209" s="11" t="s">
        <v>229</v>
      </c>
      <c r="M1209" s="11" t="s">
        <v>8415</v>
      </c>
      <c r="N1209" s="11" t="s">
        <v>128</v>
      </c>
      <c r="O1209" s="11" t="s">
        <v>8416</v>
      </c>
      <c r="P1209" s="11" t="s">
        <v>8417</v>
      </c>
      <c r="Q1209" s="11" t="s">
        <v>740</v>
      </c>
      <c r="R1209" s="11"/>
      <c r="S1209" s="11" t="s">
        <v>6804</v>
      </c>
      <c r="T1209" s="11" t="s">
        <v>741</v>
      </c>
      <c r="U1209" s="11" t="s">
        <v>134</v>
      </c>
      <c r="V1209" s="11" t="s">
        <v>740</v>
      </c>
      <c r="W1209" s="11" t="s">
        <v>741</v>
      </c>
      <c r="X1209" s="11">
        <v>32</v>
      </c>
      <c r="Y1209" s="11" t="s">
        <v>5796</v>
      </c>
      <c r="Z1209" s="11">
        <v>80</v>
      </c>
      <c r="AA1209" s="11">
        <v>0</v>
      </c>
      <c r="AB1209" s="12">
        <v>0</v>
      </c>
    </row>
    <row r="1210" spans="1:28" x14ac:dyDescent="0.2">
      <c r="A1210" s="7">
        <v>26131</v>
      </c>
      <c r="B1210" s="8" t="s">
        <v>8418</v>
      </c>
      <c r="C1210" s="8" t="s">
        <v>8419</v>
      </c>
      <c r="D1210" s="8" t="s">
        <v>8420</v>
      </c>
      <c r="E1210" s="8"/>
      <c r="F1210" s="8"/>
      <c r="G1210" s="8" t="s">
        <v>4175</v>
      </c>
      <c r="H1210" s="8" t="s">
        <v>329</v>
      </c>
      <c r="I1210" s="8" t="s">
        <v>4176</v>
      </c>
      <c r="J1210" s="8" t="s">
        <v>8421</v>
      </c>
      <c r="K1210" s="8" t="s">
        <v>415</v>
      </c>
      <c r="L1210" s="8" t="s">
        <v>333</v>
      </c>
      <c r="M1210" s="8" t="s">
        <v>8422</v>
      </c>
      <c r="N1210" s="8" t="s">
        <v>128</v>
      </c>
      <c r="O1210" s="8" t="s">
        <v>8423</v>
      </c>
      <c r="P1210" s="8" t="s">
        <v>8424</v>
      </c>
      <c r="Q1210" s="8" t="s">
        <v>150</v>
      </c>
      <c r="R1210" s="8"/>
      <c r="S1210" s="8" t="s">
        <v>71</v>
      </c>
      <c r="T1210" s="8" t="s">
        <v>642</v>
      </c>
      <c r="U1210" s="8" t="s">
        <v>150</v>
      </c>
      <c r="V1210" s="8" t="s">
        <v>642</v>
      </c>
      <c r="W1210" s="8" t="s">
        <v>642</v>
      </c>
      <c r="X1210" s="8">
        <v>31</v>
      </c>
      <c r="Y1210" s="8" t="s">
        <v>5796</v>
      </c>
      <c r="Z1210" s="8">
        <v>80</v>
      </c>
      <c r="AA1210" s="8">
        <v>0</v>
      </c>
      <c r="AB1210" s="9">
        <v>0</v>
      </c>
    </row>
    <row r="1211" spans="1:28" x14ac:dyDescent="0.2">
      <c r="A1211" s="10">
        <v>21410</v>
      </c>
      <c r="B1211" s="11" t="s">
        <v>8425</v>
      </c>
      <c r="C1211" s="11" t="s">
        <v>8384</v>
      </c>
      <c r="D1211" s="11" t="s">
        <v>612</v>
      </c>
      <c r="E1211" s="11" t="s">
        <v>8426</v>
      </c>
      <c r="F1211" s="11" t="s">
        <v>6117</v>
      </c>
      <c r="G1211" s="11" t="s">
        <v>141</v>
      </c>
      <c r="H1211" s="11" t="s">
        <v>142</v>
      </c>
      <c r="I1211" s="11" t="s">
        <v>8427</v>
      </c>
      <c r="J1211" s="11" t="s">
        <v>8428</v>
      </c>
      <c r="K1211" s="11" t="s">
        <v>584</v>
      </c>
      <c r="L1211" s="11" t="s">
        <v>146</v>
      </c>
      <c r="M1211" s="11" t="s">
        <v>8429</v>
      </c>
      <c r="N1211" s="11" t="s">
        <v>128</v>
      </c>
      <c r="O1211" s="11" t="s">
        <v>8430</v>
      </c>
      <c r="P1211" s="11" t="s">
        <v>8431</v>
      </c>
      <c r="Q1211" s="11" t="s">
        <v>150</v>
      </c>
      <c r="R1211" s="11"/>
      <c r="S1211" s="11" t="s">
        <v>71</v>
      </c>
      <c r="T1211" s="11" t="s">
        <v>67</v>
      </c>
      <c r="U1211" s="11" t="s">
        <v>150</v>
      </c>
      <c r="V1211" s="11" t="s">
        <v>152</v>
      </c>
      <c r="W1211" s="11" t="s">
        <v>67</v>
      </c>
      <c r="X1211" s="11">
        <v>31</v>
      </c>
      <c r="Y1211" s="11" t="s">
        <v>5796</v>
      </c>
      <c r="Z1211" s="11">
        <v>80</v>
      </c>
      <c r="AA1211" s="11">
        <v>0</v>
      </c>
      <c r="AB1211" s="12">
        <v>0</v>
      </c>
    </row>
    <row r="1212" spans="1:28" x14ac:dyDescent="0.2">
      <c r="A1212" s="7">
        <v>21710</v>
      </c>
      <c r="B1212" s="8" t="s">
        <v>8432</v>
      </c>
      <c r="C1212" s="8" t="s">
        <v>8433</v>
      </c>
      <c r="D1212" s="8" t="s">
        <v>4630</v>
      </c>
      <c r="E1212" s="8" t="s">
        <v>8434</v>
      </c>
      <c r="F1212" s="8" t="s">
        <v>8435</v>
      </c>
      <c r="G1212" s="8" t="s">
        <v>4270</v>
      </c>
      <c r="H1212" s="8" t="s">
        <v>4271</v>
      </c>
      <c r="I1212" s="8" t="s">
        <v>8436</v>
      </c>
      <c r="J1212" s="8" t="s">
        <v>8437</v>
      </c>
      <c r="K1212" s="8" t="s">
        <v>619</v>
      </c>
      <c r="L1212" s="8" t="s">
        <v>163</v>
      </c>
      <c r="M1212" s="8" t="s">
        <v>8438</v>
      </c>
      <c r="N1212" s="8" t="s">
        <v>128</v>
      </c>
      <c r="O1212" s="8" t="s">
        <v>8439</v>
      </c>
      <c r="P1212" s="8" t="s">
        <v>8440</v>
      </c>
      <c r="Q1212" s="8" t="s">
        <v>150</v>
      </c>
      <c r="R1212" s="8"/>
      <c r="S1212" s="8" t="s">
        <v>8441</v>
      </c>
      <c r="T1212" s="8" t="s">
        <v>67</v>
      </c>
      <c r="U1212" s="8" t="s">
        <v>150</v>
      </c>
      <c r="V1212" s="8" t="s">
        <v>152</v>
      </c>
      <c r="W1212" s="8" t="s">
        <v>67</v>
      </c>
      <c r="X1212" s="8">
        <v>31</v>
      </c>
      <c r="Y1212" s="8" t="s">
        <v>5796</v>
      </c>
      <c r="Z1212" s="8">
        <v>80</v>
      </c>
      <c r="AA1212" s="8">
        <v>0</v>
      </c>
      <c r="AB1212" s="9">
        <v>0</v>
      </c>
    </row>
    <row r="1213" spans="1:28" x14ac:dyDescent="0.2">
      <c r="A1213" s="10">
        <v>21290</v>
      </c>
      <c r="B1213" s="11" t="s">
        <v>8442</v>
      </c>
      <c r="C1213" s="11" t="s">
        <v>8155</v>
      </c>
      <c r="D1213" s="11" t="s">
        <v>8256</v>
      </c>
      <c r="E1213" s="11"/>
      <c r="F1213" s="11" t="s">
        <v>353</v>
      </c>
      <c r="G1213" s="11" t="s">
        <v>5846</v>
      </c>
      <c r="H1213" s="11" t="s">
        <v>159</v>
      </c>
      <c r="I1213" s="11" t="s">
        <v>8156</v>
      </c>
      <c r="J1213" s="11" t="s">
        <v>8443</v>
      </c>
      <c r="K1213" s="11" t="s">
        <v>162</v>
      </c>
      <c r="L1213" s="11" t="s">
        <v>163</v>
      </c>
      <c r="M1213" s="11" t="s">
        <v>8444</v>
      </c>
      <c r="N1213" s="11" t="s">
        <v>128</v>
      </c>
      <c r="O1213" s="11" t="s">
        <v>8445</v>
      </c>
      <c r="P1213" s="11" t="s">
        <v>8446</v>
      </c>
      <c r="Q1213" s="11" t="s">
        <v>150</v>
      </c>
      <c r="R1213" s="11"/>
      <c r="S1213" s="11" t="s">
        <v>71</v>
      </c>
      <c r="T1213" s="11" t="s">
        <v>67</v>
      </c>
      <c r="U1213" s="11" t="s">
        <v>150</v>
      </c>
      <c r="V1213" s="11" t="s">
        <v>152</v>
      </c>
      <c r="W1213" s="11" t="s">
        <v>67</v>
      </c>
      <c r="X1213" s="11">
        <v>31</v>
      </c>
      <c r="Y1213" s="11" t="s">
        <v>5796</v>
      </c>
      <c r="Z1213" s="11">
        <v>80</v>
      </c>
      <c r="AA1213" s="11">
        <v>0</v>
      </c>
      <c r="AB1213" s="12">
        <v>0</v>
      </c>
    </row>
    <row r="1214" spans="1:28" x14ac:dyDescent="0.2">
      <c r="A1214" s="7">
        <v>21276</v>
      </c>
      <c r="B1214" s="8" t="s">
        <v>8447</v>
      </c>
      <c r="C1214" s="8" t="s">
        <v>914</v>
      </c>
      <c r="D1214" s="8" t="s">
        <v>8448</v>
      </c>
      <c r="E1214" s="8"/>
      <c r="F1214" s="8" t="s">
        <v>917</v>
      </c>
      <c r="G1214" s="8" t="s">
        <v>776</v>
      </c>
      <c r="H1214" s="8" t="s">
        <v>142</v>
      </c>
      <c r="I1214" s="8" t="s">
        <v>918</v>
      </c>
      <c r="J1214" s="8" t="s">
        <v>8449</v>
      </c>
      <c r="K1214" s="8" t="s">
        <v>779</v>
      </c>
      <c r="L1214" s="8" t="s">
        <v>464</v>
      </c>
      <c r="M1214" s="8" t="s">
        <v>8450</v>
      </c>
      <c r="N1214" s="8" t="s">
        <v>128</v>
      </c>
      <c r="O1214" s="8" t="s">
        <v>8451</v>
      </c>
      <c r="P1214" s="8" t="s">
        <v>8452</v>
      </c>
      <c r="Q1214" s="8" t="s">
        <v>150</v>
      </c>
      <c r="R1214" s="8"/>
      <c r="S1214" s="8" t="s">
        <v>71</v>
      </c>
      <c r="T1214" s="8" t="s">
        <v>67</v>
      </c>
      <c r="U1214" s="8" t="s">
        <v>150</v>
      </c>
      <c r="V1214" s="8" t="s">
        <v>152</v>
      </c>
      <c r="W1214" s="8" t="s">
        <v>67</v>
      </c>
      <c r="X1214" s="8">
        <v>31</v>
      </c>
      <c r="Y1214" s="8" t="s">
        <v>5796</v>
      </c>
      <c r="Z1214" s="8">
        <v>80</v>
      </c>
      <c r="AA1214" s="8">
        <v>0</v>
      </c>
      <c r="AB1214" s="9">
        <v>0</v>
      </c>
    </row>
    <row r="1215" spans="1:28" x14ac:dyDescent="0.2">
      <c r="A1215" s="10">
        <v>21622</v>
      </c>
      <c r="B1215" s="11" t="s">
        <v>8453</v>
      </c>
      <c r="C1215" s="11" t="s">
        <v>7408</v>
      </c>
      <c r="D1215" s="11" t="s">
        <v>1054</v>
      </c>
      <c r="E1215" s="11"/>
      <c r="F1215" s="11" t="s">
        <v>353</v>
      </c>
      <c r="G1215" s="11" t="s">
        <v>1253</v>
      </c>
      <c r="H1215" s="11" t="s">
        <v>142</v>
      </c>
      <c r="I1215" s="11" t="s">
        <v>6347</v>
      </c>
      <c r="J1215" s="11" t="s">
        <v>8454</v>
      </c>
      <c r="K1215" s="11" t="s">
        <v>1199</v>
      </c>
      <c r="L1215" s="11" t="s">
        <v>464</v>
      </c>
      <c r="M1215" s="11" t="s">
        <v>8455</v>
      </c>
      <c r="N1215" s="11" t="s">
        <v>128</v>
      </c>
      <c r="O1215" s="11" t="s">
        <v>8456</v>
      </c>
      <c r="P1215" s="11"/>
      <c r="Q1215" s="11" t="s">
        <v>150</v>
      </c>
      <c r="R1215" s="11"/>
      <c r="S1215" s="11" t="s">
        <v>71</v>
      </c>
      <c r="T1215" s="11" t="s">
        <v>67</v>
      </c>
      <c r="U1215" s="11" t="s">
        <v>150</v>
      </c>
      <c r="V1215" s="11" t="s">
        <v>152</v>
      </c>
      <c r="W1215" s="11" t="s">
        <v>67</v>
      </c>
      <c r="X1215" s="11">
        <v>31</v>
      </c>
      <c r="Y1215" s="11" t="s">
        <v>5796</v>
      </c>
      <c r="Z1215" s="11">
        <v>80</v>
      </c>
      <c r="AA1215" s="11">
        <v>0</v>
      </c>
      <c r="AB1215" s="12">
        <v>0</v>
      </c>
    </row>
    <row r="1216" spans="1:28" x14ac:dyDescent="0.2">
      <c r="A1216" s="7">
        <v>22670</v>
      </c>
      <c r="B1216" s="8" t="s">
        <v>8457</v>
      </c>
      <c r="C1216" s="8" t="s">
        <v>7531</v>
      </c>
      <c r="D1216" s="8" t="s">
        <v>7532</v>
      </c>
      <c r="E1216" s="8" t="s">
        <v>8458</v>
      </c>
      <c r="F1216" s="8" t="s">
        <v>353</v>
      </c>
      <c r="G1216" s="8" t="s">
        <v>1670</v>
      </c>
      <c r="H1216" s="8" t="s">
        <v>142</v>
      </c>
      <c r="I1216" s="8" t="s">
        <v>7534</v>
      </c>
      <c r="J1216" s="8" t="s">
        <v>7535</v>
      </c>
      <c r="K1216" s="8" t="s">
        <v>1673</v>
      </c>
      <c r="L1216" s="8" t="s">
        <v>464</v>
      </c>
      <c r="M1216" s="8" t="s">
        <v>8459</v>
      </c>
      <c r="N1216" s="8" t="s">
        <v>128</v>
      </c>
      <c r="O1216" s="8" t="s">
        <v>8460</v>
      </c>
      <c r="P1216" s="8"/>
      <c r="Q1216" s="8" t="s">
        <v>131</v>
      </c>
      <c r="R1216" s="8"/>
      <c r="S1216" s="8" t="s">
        <v>7539</v>
      </c>
      <c r="T1216" s="8" t="s">
        <v>983</v>
      </c>
      <c r="U1216" s="8" t="s">
        <v>134</v>
      </c>
      <c r="V1216" s="8" t="s">
        <v>131</v>
      </c>
      <c r="W1216" s="8" t="s">
        <v>983</v>
      </c>
      <c r="X1216" s="8">
        <v>31</v>
      </c>
      <c r="Y1216" s="8" t="s">
        <v>5796</v>
      </c>
      <c r="Z1216" s="8">
        <v>80</v>
      </c>
      <c r="AA1216" s="8">
        <v>0</v>
      </c>
      <c r="AB1216" s="9">
        <v>0</v>
      </c>
    </row>
    <row r="1217" spans="1:28" x14ac:dyDescent="0.2">
      <c r="A1217" s="10">
        <v>22040</v>
      </c>
      <c r="B1217" s="11" t="s">
        <v>8461</v>
      </c>
      <c r="C1217" s="11" t="s">
        <v>8462</v>
      </c>
      <c r="D1217" s="11" t="s">
        <v>7579</v>
      </c>
      <c r="E1217" s="11"/>
      <c r="F1217" s="11" t="s">
        <v>7183</v>
      </c>
      <c r="G1217" s="11" t="s">
        <v>121</v>
      </c>
      <c r="H1217" s="11" t="s">
        <v>122</v>
      </c>
      <c r="I1217" s="11" t="s">
        <v>8463</v>
      </c>
      <c r="J1217" s="11" t="s">
        <v>8464</v>
      </c>
      <c r="K1217" s="11" t="s">
        <v>125</v>
      </c>
      <c r="L1217" s="11" t="s">
        <v>126</v>
      </c>
      <c r="M1217" s="11" t="s">
        <v>8465</v>
      </c>
      <c r="N1217" s="11" t="s">
        <v>128</v>
      </c>
      <c r="O1217" s="11" t="s">
        <v>8466</v>
      </c>
      <c r="P1217" s="11" t="s">
        <v>8467</v>
      </c>
      <c r="Q1217" s="11" t="s">
        <v>131</v>
      </c>
      <c r="R1217" s="11"/>
      <c r="S1217" s="11" t="s">
        <v>71</v>
      </c>
      <c r="T1217" s="11" t="s">
        <v>983</v>
      </c>
      <c r="U1217" s="11" t="s">
        <v>134</v>
      </c>
      <c r="V1217" s="11" t="s">
        <v>131</v>
      </c>
      <c r="W1217" s="11" t="s">
        <v>983</v>
      </c>
      <c r="X1217" s="11">
        <v>31</v>
      </c>
      <c r="Y1217" s="11" t="s">
        <v>5796</v>
      </c>
      <c r="Z1217" s="11">
        <v>80</v>
      </c>
      <c r="AA1217" s="11">
        <v>0</v>
      </c>
      <c r="AB1217" s="12">
        <v>0</v>
      </c>
    </row>
    <row r="1218" spans="1:28" x14ac:dyDescent="0.2">
      <c r="A1218" s="7">
        <v>22495</v>
      </c>
      <c r="B1218" s="8" t="s">
        <v>8468</v>
      </c>
      <c r="C1218" s="8" t="s">
        <v>1261</v>
      </c>
      <c r="D1218" s="8" t="s">
        <v>1262</v>
      </c>
      <c r="E1218" s="8" t="s">
        <v>281</v>
      </c>
      <c r="F1218" s="8" t="s">
        <v>757</v>
      </c>
      <c r="G1218" s="8" t="s">
        <v>521</v>
      </c>
      <c r="H1218" s="8" t="s">
        <v>522</v>
      </c>
      <c r="I1218" s="8" t="s">
        <v>1264</v>
      </c>
      <c r="J1218" s="8" t="s">
        <v>8469</v>
      </c>
      <c r="K1218" s="8" t="s">
        <v>525</v>
      </c>
      <c r="L1218" s="8" t="s">
        <v>526</v>
      </c>
      <c r="M1218" s="8" t="s">
        <v>8470</v>
      </c>
      <c r="N1218" s="8" t="s">
        <v>128</v>
      </c>
      <c r="O1218" s="8" t="s">
        <v>8471</v>
      </c>
      <c r="P1218" s="8"/>
      <c r="Q1218" s="8" t="s">
        <v>150</v>
      </c>
      <c r="R1218" s="8"/>
      <c r="S1218" s="8" t="s">
        <v>1269</v>
      </c>
      <c r="T1218" s="8" t="s">
        <v>1899</v>
      </c>
      <c r="U1218" s="8" t="s">
        <v>150</v>
      </c>
      <c r="V1218" s="8" t="s">
        <v>1899</v>
      </c>
      <c r="W1218" s="8" t="s">
        <v>1899</v>
      </c>
      <c r="X1218" s="8">
        <v>31</v>
      </c>
      <c r="Y1218" s="8" t="s">
        <v>5796</v>
      </c>
      <c r="Z1218" s="8">
        <v>80</v>
      </c>
      <c r="AA1218" s="8">
        <v>0</v>
      </c>
      <c r="AB1218" s="9">
        <v>0</v>
      </c>
    </row>
    <row r="1219" spans="1:28" x14ac:dyDescent="0.2">
      <c r="A1219" s="10">
        <v>23234</v>
      </c>
      <c r="B1219" s="11" t="s">
        <v>8472</v>
      </c>
      <c r="C1219" s="11" t="s">
        <v>6475</v>
      </c>
      <c r="D1219" s="11" t="s">
        <v>2918</v>
      </c>
      <c r="E1219" s="11" t="s">
        <v>8473</v>
      </c>
      <c r="F1219" s="11" t="s">
        <v>6620</v>
      </c>
      <c r="G1219" s="11" t="s">
        <v>141</v>
      </c>
      <c r="H1219" s="11" t="s">
        <v>142</v>
      </c>
      <c r="I1219" s="11" t="s">
        <v>6476</v>
      </c>
      <c r="J1219" s="11" t="s">
        <v>8474</v>
      </c>
      <c r="K1219" s="11" t="s">
        <v>991</v>
      </c>
      <c r="L1219" s="11" t="s">
        <v>146</v>
      </c>
      <c r="M1219" s="11" t="s">
        <v>8475</v>
      </c>
      <c r="N1219" s="11" t="s">
        <v>128</v>
      </c>
      <c r="O1219" s="11" t="s">
        <v>8476</v>
      </c>
      <c r="P1219" s="11" t="s">
        <v>8477</v>
      </c>
      <c r="Q1219" s="11" t="s">
        <v>150</v>
      </c>
      <c r="R1219" s="11"/>
      <c r="S1219" s="11" t="s">
        <v>6480</v>
      </c>
      <c r="T1219" s="11" t="s">
        <v>70</v>
      </c>
      <c r="U1219" s="11" t="s">
        <v>150</v>
      </c>
      <c r="V1219" s="11" t="s">
        <v>70</v>
      </c>
      <c r="W1219" s="11" t="s">
        <v>70</v>
      </c>
      <c r="X1219" s="11">
        <v>31</v>
      </c>
      <c r="Y1219" s="11" t="s">
        <v>5796</v>
      </c>
      <c r="Z1219" s="11">
        <v>80</v>
      </c>
      <c r="AA1219" s="11">
        <v>0</v>
      </c>
      <c r="AB1219" s="12">
        <v>0</v>
      </c>
    </row>
    <row r="1220" spans="1:28" x14ac:dyDescent="0.2">
      <c r="A1220" s="7">
        <v>110281</v>
      </c>
      <c r="B1220" s="8" t="s">
        <v>8478</v>
      </c>
      <c r="C1220" s="8" t="s">
        <v>8479</v>
      </c>
      <c r="D1220" s="8" t="s">
        <v>3427</v>
      </c>
      <c r="E1220" s="8"/>
      <c r="F1220" s="8" t="s">
        <v>4062</v>
      </c>
      <c r="G1220" s="8" t="s">
        <v>4063</v>
      </c>
      <c r="H1220" s="8" t="s">
        <v>301</v>
      </c>
      <c r="I1220" s="8" t="s">
        <v>8480</v>
      </c>
      <c r="J1220" s="8" t="s">
        <v>8481</v>
      </c>
      <c r="K1220" s="8" t="s">
        <v>228</v>
      </c>
      <c r="L1220" s="8" t="s">
        <v>229</v>
      </c>
      <c r="M1220" s="8" t="s">
        <v>8482</v>
      </c>
      <c r="N1220" s="8" t="s">
        <v>128</v>
      </c>
      <c r="O1220" s="8" t="s">
        <v>8483</v>
      </c>
      <c r="P1220" s="8" t="s">
        <v>3523</v>
      </c>
      <c r="Q1220" s="8" t="s">
        <v>150</v>
      </c>
      <c r="R1220" s="8"/>
      <c r="S1220" s="8" t="s">
        <v>71</v>
      </c>
      <c r="T1220" s="8" t="s">
        <v>70</v>
      </c>
      <c r="U1220" s="8" t="s">
        <v>150</v>
      </c>
      <c r="V1220" s="8" t="s">
        <v>70</v>
      </c>
      <c r="W1220" s="8" t="s">
        <v>70</v>
      </c>
      <c r="X1220" s="8">
        <v>31</v>
      </c>
      <c r="Y1220" s="8" t="s">
        <v>5796</v>
      </c>
      <c r="Z1220" s="8">
        <v>80</v>
      </c>
      <c r="AA1220" s="8">
        <v>0</v>
      </c>
      <c r="AB1220" s="9">
        <v>0</v>
      </c>
    </row>
    <row r="1221" spans="1:28" x14ac:dyDescent="0.2">
      <c r="A1221" s="10">
        <v>23720</v>
      </c>
      <c r="B1221" s="11" t="s">
        <v>8484</v>
      </c>
      <c r="C1221" s="11" t="s">
        <v>6993</v>
      </c>
      <c r="D1221" s="11" t="s">
        <v>6994</v>
      </c>
      <c r="E1221" s="11" t="s">
        <v>8485</v>
      </c>
      <c r="F1221" s="11" t="s">
        <v>353</v>
      </c>
      <c r="G1221" s="11" t="s">
        <v>2618</v>
      </c>
      <c r="H1221" s="11" t="s">
        <v>142</v>
      </c>
      <c r="I1221" s="11" t="s">
        <v>6996</v>
      </c>
      <c r="J1221" s="11" t="s">
        <v>6997</v>
      </c>
      <c r="K1221" s="11" t="s">
        <v>651</v>
      </c>
      <c r="L1221" s="11" t="s">
        <v>146</v>
      </c>
      <c r="M1221" s="11" t="s">
        <v>8486</v>
      </c>
      <c r="N1221" s="11" t="s">
        <v>128</v>
      </c>
      <c r="O1221" s="11" t="s">
        <v>8487</v>
      </c>
      <c r="P1221" s="11" t="s">
        <v>8488</v>
      </c>
      <c r="Q1221" s="11" t="s">
        <v>150</v>
      </c>
      <c r="R1221" s="11"/>
      <c r="S1221" s="11" t="s">
        <v>7001</v>
      </c>
      <c r="T1221" s="11" t="s">
        <v>168</v>
      </c>
      <c r="U1221" s="11" t="s">
        <v>150</v>
      </c>
      <c r="V1221" s="11" t="s">
        <v>168</v>
      </c>
      <c r="W1221" s="11" t="s">
        <v>168</v>
      </c>
      <c r="X1221" s="11">
        <v>31</v>
      </c>
      <c r="Y1221" s="11" t="s">
        <v>5796</v>
      </c>
      <c r="Z1221" s="11">
        <v>80</v>
      </c>
      <c r="AA1221" s="11">
        <v>0</v>
      </c>
      <c r="AB1221" s="12">
        <v>0</v>
      </c>
    </row>
    <row r="1222" spans="1:28" x14ac:dyDescent="0.2">
      <c r="A1222" s="7">
        <v>23584</v>
      </c>
      <c r="B1222" s="8" t="s">
        <v>8489</v>
      </c>
      <c r="C1222" s="8" t="s">
        <v>8155</v>
      </c>
      <c r="D1222" s="8" t="s">
        <v>351</v>
      </c>
      <c r="E1222" s="8"/>
      <c r="F1222" s="8" t="s">
        <v>353</v>
      </c>
      <c r="G1222" s="8" t="s">
        <v>5846</v>
      </c>
      <c r="H1222" s="8" t="s">
        <v>159</v>
      </c>
      <c r="I1222" s="8" t="s">
        <v>8156</v>
      </c>
      <c r="J1222" s="8" t="s">
        <v>8490</v>
      </c>
      <c r="K1222" s="8" t="s">
        <v>162</v>
      </c>
      <c r="L1222" s="8" t="s">
        <v>163</v>
      </c>
      <c r="M1222" s="8" t="s">
        <v>8491</v>
      </c>
      <c r="N1222" s="8" t="s">
        <v>128</v>
      </c>
      <c r="O1222" s="8" t="s">
        <v>8492</v>
      </c>
      <c r="P1222" s="8" t="s">
        <v>8185</v>
      </c>
      <c r="Q1222" s="8" t="s">
        <v>150</v>
      </c>
      <c r="R1222" s="8"/>
      <c r="S1222" s="8" t="s">
        <v>71</v>
      </c>
      <c r="T1222" s="8" t="s">
        <v>168</v>
      </c>
      <c r="U1222" s="8" t="s">
        <v>150</v>
      </c>
      <c r="V1222" s="8" t="s">
        <v>168</v>
      </c>
      <c r="W1222" s="8" t="s">
        <v>168</v>
      </c>
      <c r="X1222" s="8">
        <v>31</v>
      </c>
      <c r="Y1222" s="8" t="s">
        <v>5796</v>
      </c>
      <c r="Z1222" s="8">
        <v>80</v>
      </c>
      <c r="AA1222" s="8">
        <v>0</v>
      </c>
      <c r="AB1222" s="9">
        <v>0</v>
      </c>
    </row>
    <row r="1223" spans="1:28" x14ac:dyDescent="0.2">
      <c r="A1223" s="10">
        <v>92279</v>
      </c>
      <c r="B1223" s="11" t="s">
        <v>8493</v>
      </c>
      <c r="C1223" s="11" t="s">
        <v>5155</v>
      </c>
      <c r="D1223" s="11" t="s">
        <v>8494</v>
      </c>
      <c r="E1223" s="11"/>
      <c r="F1223" s="11" t="s">
        <v>353</v>
      </c>
      <c r="G1223" s="11" t="s">
        <v>8495</v>
      </c>
      <c r="H1223" s="11" t="s">
        <v>142</v>
      </c>
      <c r="I1223" s="11" t="s">
        <v>8496</v>
      </c>
      <c r="J1223" s="11" t="s">
        <v>8497</v>
      </c>
      <c r="K1223" s="11" t="s">
        <v>717</v>
      </c>
      <c r="L1223" s="11" t="s">
        <v>464</v>
      </c>
      <c r="M1223" s="11" t="s">
        <v>8498</v>
      </c>
      <c r="N1223" s="11" t="s">
        <v>128</v>
      </c>
      <c r="O1223" s="11" t="s">
        <v>8499</v>
      </c>
      <c r="P1223" s="11" t="s">
        <v>8500</v>
      </c>
      <c r="Q1223" s="11" t="s">
        <v>150</v>
      </c>
      <c r="R1223" s="11"/>
      <c r="S1223" s="11" t="s">
        <v>71</v>
      </c>
      <c r="T1223" s="11" t="s">
        <v>168</v>
      </c>
      <c r="U1223" s="11" t="s">
        <v>150</v>
      </c>
      <c r="V1223" s="11" t="s">
        <v>168</v>
      </c>
      <c r="W1223" s="11" t="s">
        <v>168</v>
      </c>
      <c r="X1223" s="11">
        <v>31</v>
      </c>
      <c r="Y1223" s="11" t="s">
        <v>5796</v>
      </c>
      <c r="Z1223" s="11">
        <v>80</v>
      </c>
      <c r="AA1223" s="11">
        <v>0</v>
      </c>
      <c r="AB1223" s="12">
        <v>0</v>
      </c>
    </row>
    <row r="1224" spans="1:28" x14ac:dyDescent="0.2">
      <c r="A1224" s="7">
        <v>23590</v>
      </c>
      <c r="B1224" s="8" t="s">
        <v>8501</v>
      </c>
      <c r="C1224" s="8" t="s">
        <v>8502</v>
      </c>
      <c r="D1224" s="8" t="s">
        <v>6540</v>
      </c>
      <c r="E1224" s="8"/>
      <c r="F1224" s="8" t="s">
        <v>8503</v>
      </c>
      <c r="G1224" s="8" t="s">
        <v>141</v>
      </c>
      <c r="H1224" s="8" t="s">
        <v>142</v>
      </c>
      <c r="I1224" s="8" t="s">
        <v>8504</v>
      </c>
      <c r="J1224" s="8" t="s">
        <v>8505</v>
      </c>
      <c r="K1224" s="8" t="s">
        <v>991</v>
      </c>
      <c r="L1224" s="8" t="s">
        <v>146</v>
      </c>
      <c r="M1224" s="8" t="s">
        <v>8506</v>
      </c>
      <c r="N1224" s="8" t="s">
        <v>128</v>
      </c>
      <c r="O1224" s="8" t="s">
        <v>8507</v>
      </c>
      <c r="P1224" s="8" t="s">
        <v>8508</v>
      </c>
      <c r="Q1224" s="8" t="s">
        <v>150</v>
      </c>
      <c r="R1224" s="8"/>
      <c r="S1224" s="8" t="s">
        <v>71</v>
      </c>
      <c r="T1224" s="8" t="s">
        <v>168</v>
      </c>
      <c r="U1224" s="8" t="s">
        <v>150</v>
      </c>
      <c r="V1224" s="8" t="s">
        <v>168</v>
      </c>
      <c r="W1224" s="8" t="s">
        <v>168</v>
      </c>
      <c r="X1224" s="8">
        <v>31</v>
      </c>
      <c r="Y1224" s="8" t="s">
        <v>5796</v>
      </c>
      <c r="Z1224" s="8">
        <v>80</v>
      </c>
      <c r="AA1224" s="8">
        <v>0</v>
      </c>
      <c r="AB1224" s="9">
        <v>0</v>
      </c>
    </row>
    <row r="1225" spans="1:28" x14ac:dyDescent="0.2">
      <c r="A1225" s="10">
        <v>23877</v>
      </c>
      <c r="B1225" s="11" t="s">
        <v>8509</v>
      </c>
      <c r="C1225" s="11" t="s">
        <v>8510</v>
      </c>
      <c r="D1225" s="11" t="s">
        <v>6540</v>
      </c>
      <c r="E1225" s="11"/>
      <c r="F1225" s="11" t="s">
        <v>3101</v>
      </c>
      <c r="G1225" s="11" t="s">
        <v>1626</v>
      </c>
      <c r="H1225" s="11" t="s">
        <v>142</v>
      </c>
      <c r="I1225" s="11" t="s">
        <v>3102</v>
      </c>
      <c r="J1225" s="11" t="s">
        <v>8511</v>
      </c>
      <c r="K1225" s="11" t="s">
        <v>472</v>
      </c>
      <c r="L1225" s="11" t="s">
        <v>146</v>
      </c>
      <c r="M1225" s="11" t="s">
        <v>8512</v>
      </c>
      <c r="N1225" s="11" t="s">
        <v>128</v>
      </c>
      <c r="O1225" s="11" t="s">
        <v>8513</v>
      </c>
      <c r="P1225" s="11" t="s">
        <v>4281</v>
      </c>
      <c r="Q1225" s="11" t="s">
        <v>150</v>
      </c>
      <c r="R1225" s="11"/>
      <c r="S1225" s="11" t="s">
        <v>71</v>
      </c>
      <c r="T1225" s="11" t="s">
        <v>168</v>
      </c>
      <c r="U1225" s="11" t="s">
        <v>150</v>
      </c>
      <c r="V1225" s="11" t="s">
        <v>168</v>
      </c>
      <c r="W1225" s="11" t="s">
        <v>168</v>
      </c>
      <c r="X1225" s="11">
        <v>31</v>
      </c>
      <c r="Y1225" s="11" t="s">
        <v>5796</v>
      </c>
      <c r="Z1225" s="11">
        <v>80</v>
      </c>
      <c r="AA1225" s="11">
        <v>0</v>
      </c>
      <c r="AB1225" s="12">
        <v>0</v>
      </c>
    </row>
    <row r="1226" spans="1:28" x14ac:dyDescent="0.2">
      <c r="A1226" s="7">
        <v>25271</v>
      </c>
      <c r="B1226" s="8" t="s">
        <v>8514</v>
      </c>
      <c r="C1226" s="8" t="s">
        <v>8515</v>
      </c>
      <c r="D1226" s="8" t="s">
        <v>138</v>
      </c>
      <c r="E1226" s="8" t="s">
        <v>281</v>
      </c>
      <c r="F1226" s="8" t="s">
        <v>1658</v>
      </c>
      <c r="G1226" s="8" t="s">
        <v>141</v>
      </c>
      <c r="H1226" s="8" t="s">
        <v>142</v>
      </c>
      <c r="I1226" s="8" t="s">
        <v>8516</v>
      </c>
      <c r="J1226" s="8" t="s">
        <v>8517</v>
      </c>
      <c r="K1226" s="8" t="s">
        <v>145</v>
      </c>
      <c r="L1226" s="8" t="s">
        <v>146</v>
      </c>
      <c r="M1226" s="8" t="s">
        <v>8518</v>
      </c>
      <c r="N1226" s="8" t="s">
        <v>128</v>
      </c>
      <c r="O1226" s="8" t="s">
        <v>8519</v>
      </c>
      <c r="P1226" s="8" t="s">
        <v>8520</v>
      </c>
      <c r="Q1226" s="8" t="s">
        <v>740</v>
      </c>
      <c r="R1226" s="8"/>
      <c r="S1226" s="8" t="s">
        <v>1664</v>
      </c>
      <c r="T1226" s="8" t="s">
        <v>741</v>
      </c>
      <c r="U1226" s="8" t="s">
        <v>134</v>
      </c>
      <c r="V1226" s="8" t="s">
        <v>740</v>
      </c>
      <c r="W1226" s="8" t="s">
        <v>741</v>
      </c>
      <c r="X1226" s="8">
        <v>31</v>
      </c>
      <c r="Y1226" s="8" t="s">
        <v>5796</v>
      </c>
      <c r="Z1226" s="8">
        <v>80</v>
      </c>
      <c r="AA1226" s="8">
        <v>0</v>
      </c>
      <c r="AB1226" s="9">
        <v>0</v>
      </c>
    </row>
    <row r="1227" spans="1:28" x14ac:dyDescent="0.2">
      <c r="A1227" s="10">
        <v>21462</v>
      </c>
      <c r="B1227" s="11" t="s">
        <v>8521</v>
      </c>
      <c r="C1227" s="11" t="s">
        <v>8522</v>
      </c>
      <c r="D1227" s="11" t="s">
        <v>3381</v>
      </c>
      <c r="E1227" s="11"/>
      <c r="F1227" s="11" t="s">
        <v>353</v>
      </c>
      <c r="G1227" s="11" t="s">
        <v>2175</v>
      </c>
      <c r="H1227" s="11" t="s">
        <v>2176</v>
      </c>
      <c r="I1227" s="11" t="s">
        <v>8523</v>
      </c>
      <c r="J1227" s="11" t="s">
        <v>8524</v>
      </c>
      <c r="K1227" s="11" t="s">
        <v>194</v>
      </c>
      <c r="L1227" s="11" t="s">
        <v>163</v>
      </c>
      <c r="M1227" s="11" t="s">
        <v>8525</v>
      </c>
      <c r="N1227" s="11" t="s">
        <v>128</v>
      </c>
      <c r="O1227" s="11" t="s">
        <v>8526</v>
      </c>
      <c r="P1227" s="11" t="s">
        <v>8527</v>
      </c>
      <c r="Q1227" s="11" t="s">
        <v>150</v>
      </c>
      <c r="R1227" s="11"/>
      <c r="S1227" s="11" t="s">
        <v>71</v>
      </c>
      <c r="T1227" s="11" t="s">
        <v>67</v>
      </c>
      <c r="U1227" s="11" t="s">
        <v>150</v>
      </c>
      <c r="V1227" s="11" t="s">
        <v>152</v>
      </c>
      <c r="W1227" s="11" t="s">
        <v>67</v>
      </c>
      <c r="X1227" s="11">
        <v>30</v>
      </c>
      <c r="Y1227" s="11" t="s">
        <v>5796</v>
      </c>
      <c r="Z1227" s="11">
        <v>80</v>
      </c>
      <c r="AA1227" s="11">
        <v>0</v>
      </c>
      <c r="AB1227" s="12">
        <v>0</v>
      </c>
    </row>
    <row r="1228" spans="1:28" x14ac:dyDescent="0.2">
      <c r="A1228" s="7">
        <v>117766</v>
      </c>
      <c r="B1228" s="8" t="s">
        <v>8528</v>
      </c>
      <c r="C1228" s="8" t="s">
        <v>8122</v>
      </c>
      <c r="D1228" s="8" t="s">
        <v>7132</v>
      </c>
      <c r="E1228" s="8"/>
      <c r="F1228" s="8" t="s">
        <v>353</v>
      </c>
      <c r="G1228" s="8" t="s">
        <v>2510</v>
      </c>
      <c r="H1228" s="8" t="s">
        <v>2511</v>
      </c>
      <c r="I1228" s="8" t="s">
        <v>8124</v>
      </c>
      <c r="J1228" s="8" t="s">
        <v>8529</v>
      </c>
      <c r="K1228" s="8" t="s">
        <v>1562</v>
      </c>
      <c r="L1228" s="8" t="s">
        <v>229</v>
      </c>
      <c r="M1228" s="8" t="s">
        <v>8530</v>
      </c>
      <c r="N1228" s="8" t="s">
        <v>128</v>
      </c>
      <c r="O1228" s="8" t="s">
        <v>8531</v>
      </c>
      <c r="P1228" s="8" t="s">
        <v>8532</v>
      </c>
      <c r="Q1228" s="8" t="s">
        <v>150</v>
      </c>
      <c r="R1228" s="8"/>
      <c r="S1228" s="8" t="s">
        <v>71</v>
      </c>
      <c r="T1228" s="8" t="s">
        <v>7898</v>
      </c>
      <c r="U1228" s="8" t="s">
        <v>150</v>
      </c>
      <c r="V1228" s="8" t="s">
        <v>7898</v>
      </c>
      <c r="W1228" s="8" t="s">
        <v>7898</v>
      </c>
      <c r="X1228" s="8">
        <v>30</v>
      </c>
      <c r="Y1228" s="8" t="s">
        <v>5796</v>
      </c>
      <c r="Z1228" s="8">
        <v>80</v>
      </c>
      <c r="AA1228" s="8">
        <v>0</v>
      </c>
      <c r="AB1228" s="9">
        <v>0</v>
      </c>
    </row>
    <row r="1229" spans="1:28" x14ac:dyDescent="0.2">
      <c r="A1229" s="10">
        <v>23173</v>
      </c>
      <c r="B1229" s="11" t="s">
        <v>8533</v>
      </c>
      <c r="C1229" s="11" t="s">
        <v>2664</v>
      </c>
      <c r="D1229" s="11" t="s">
        <v>2665</v>
      </c>
      <c r="E1229" s="11" t="s">
        <v>8534</v>
      </c>
      <c r="F1229" s="11" t="s">
        <v>2667</v>
      </c>
      <c r="G1229" s="11" t="s">
        <v>190</v>
      </c>
      <c r="H1229" s="11" t="s">
        <v>191</v>
      </c>
      <c r="I1229" s="11" t="s">
        <v>2668</v>
      </c>
      <c r="J1229" s="11" t="s">
        <v>2669</v>
      </c>
      <c r="K1229" s="11" t="s">
        <v>194</v>
      </c>
      <c r="L1229" s="11" t="s">
        <v>163</v>
      </c>
      <c r="M1229" s="11" t="s">
        <v>8535</v>
      </c>
      <c r="N1229" s="11" t="s">
        <v>128</v>
      </c>
      <c r="O1229" s="11" t="s">
        <v>8536</v>
      </c>
      <c r="P1229" s="11" t="s">
        <v>8537</v>
      </c>
      <c r="Q1229" s="11" t="s">
        <v>150</v>
      </c>
      <c r="R1229" s="11"/>
      <c r="S1229" s="11" t="s">
        <v>2672</v>
      </c>
      <c r="T1229" s="11" t="s">
        <v>70</v>
      </c>
      <c r="U1229" s="11" t="s">
        <v>150</v>
      </c>
      <c r="V1229" s="11" t="s">
        <v>70</v>
      </c>
      <c r="W1229" s="11" t="s">
        <v>70</v>
      </c>
      <c r="X1229" s="11">
        <v>30</v>
      </c>
      <c r="Y1229" s="11" t="s">
        <v>5796</v>
      </c>
      <c r="Z1229" s="11">
        <v>80</v>
      </c>
      <c r="AA1229" s="11">
        <v>0</v>
      </c>
      <c r="AB1229" s="12">
        <v>0</v>
      </c>
    </row>
    <row r="1230" spans="1:28" x14ac:dyDescent="0.2">
      <c r="A1230" s="7">
        <v>22960</v>
      </c>
      <c r="B1230" s="8" t="s">
        <v>8538</v>
      </c>
      <c r="C1230" s="8" t="s">
        <v>1622</v>
      </c>
      <c r="D1230" s="8" t="s">
        <v>1623</v>
      </c>
      <c r="E1230" s="8" t="s">
        <v>8539</v>
      </c>
      <c r="F1230" s="8" t="s">
        <v>1625</v>
      </c>
      <c r="G1230" s="8" t="s">
        <v>1626</v>
      </c>
      <c r="H1230" s="8" t="s">
        <v>142</v>
      </c>
      <c r="I1230" s="8" t="s">
        <v>8540</v>
      </c>
      <c r="J1230" s="8" t="s">
        <v>1628</v>
      </c>
      <c r="K1230" s="8" t="s">
        <v>472</v>
      </c>
      <c r="L1230" s="8" t="s">
        <v>146</v>
      </c>
      <c r="M1230" s="8" t="s">
        <v>8541</v>
      </c>
      <c r="N1230" s="8" t="s">
        <v>128</v>
      </c>
      <c r="O1230" s="8" t="s">
        <v>8542</v>
      </c>
      <c r="P1230" s="8" t="s">
        <v>8543</v>
      </c>
      <c r="Q1230" s="8" t="s">
        <v>150</v>
      </c>
      <c r="R1230" s="8"/>
      <c r="S1230" s="8" t="s">
        <v>1632</v>
      </c>
      <c r="T1230" s="8" t="s">
        <v>70</v>
      </c>
      <c r="U1230" s="8" t="s">
        <v>150</v>
      </c>
      <c r="V1230" s="8" t="s">
        <v>70</v>
      </c>
      <c r="W1230" s="8" t="s">
        <v>70</v>
      </c>
      <c r="X1230" s="8">
        <v>30</v>
      </c>
      <c r="Y1230" s="8" t="s">
        <v>5796</v>
      </c>
      <c r="Z1230" s="8">
        <v>80</v>
      </c>
      <c r="AA1230" s="8">
        <v>0</v>
      </c>
      <c r="AB1230" s="9">
        <v>0</v>
      </c>
    </row>
    <row r="1231" spans="1:28" x14ac:dyDescent="0.2">
      <c r="A1231" s="10">
        <v>28478</v>
      </c>
      <c r="B1231" s="11" t="s">
        <v>8544</v>
      </c>
      <c r="C1231" s="11" t="s">
        <v>4010</v>
      </c>
      <c r="D1231" s="11" t="s">
        <v>8545</v>
      </c>
      <c r="E1231" s="11"/>
      <c r="F1231" s="11" t="s">
        <v>1994</v>
      </c>
      <c r="G1231" s="11" t="s">
        <v>4012</v>
      </c>
      <c r="H1231" s="11" t="s">
        <v>671</v>
      </c>
      <c r="I1231" s="11" t="s">
        <v>8546</v>
      </c>
      <c r="J1231" s="11" t="s">
        <v>8547</v>
      </c>
      <c r="K1231" s="11" t="s">
        <v>572</v>
      </c>
      <c r="L1231" s="11" t="s">
        <v>333</v>
      </c>
      <c r="M1231" s="11" t="s">
        <v>8548</v>
      </c>
      <c r="N1231" s="11" t="s">
        <v>128</v>
      </c>
      <c r="O1231" s="11" t="s">
        <v>8549</v>
      </c>
      <c r="P1231" s="11" t="s">
        <v>8550</v>
      </c>
      <c r="Q1231" s="11" t="s">
        <v>150</v>
      </c>
      <c r="R1231" s="11"/>
      <c r="S1231" s="11" t="s">
        <v>71</v>
      </c>
      <c r="T1231" s="11" t="s">
        <v>70</v>
      </c>
      <c r="U1231" s="11" t="s">
        <v>150</v>
      </c>
      <c r="V1231" s="11" t="s">
        <v>70</v>
      </c>
      <c r="W1231" s="11" t="s">
        <v>70</v>
      </c>
      <c r="X1231" s="11">
        <v>30</v>
      </c>
      <c r="Y1231" s="11" t="s">
        <v>5796</v>
      </c>
      <c r="Z1231" s="11">
        <v>80</v>
      </c>
      <c r="AA1231" s="11">
        <v>0</v>
      </c>
      <c r="AB1231" s="12">
        <v>0</v>
      </c>
    </row>
    <row r="1232" spans="1:28" x14ac:dyDescent="0.2">
      <c r="A1232" s="7">
        <v>23642</v>
      </c>
      <c r="B1232" s="8" t="s">
        <v>8551</v>
      </c>
      <c r="C1232" s="8" t="s">
        <v>8552</v>
      </c>
      <c r="D1232" s="8" t="s">
        <v>8553</v>
      </c>
      <c r="E1232" s="8"/>
      <c r="F1232" s="8" t="s">
        <v>8554</v>
      </c>
      <c r="G1232" s="8" t="s">
        <v>141</v>
      </c>
      <c r="H1232" s="8" t="s">
        <v>142</v>
      </c>
      <c r="I1232" s="8" t="s">
        <v>3750</v>
      </c>
      <c r="J1232" s="8" t="s">
        <v>8555</v>
      </c>
      <c r="K1232" s="8" t="s">
        <v>584</v>
      </c>
      <c r="L1232" s="8" t="s">
        <v>146</v>
      </c>
      <c r="M1232" s="8" t="s">
        <v>8556</v>
      </c>
      <c r="N1232" s="8" t="s">
        <v>128</v>
      </c>
      <c r="O1232" s="8" t="s">
        <v>8557</v>
      </c>
      <c r="P1232" s="8" t="s">
        <v>8016</v>
      </c>
      <c r="Q1232" s="8" t="s">
        <v>150</v>
      </c>
      <c r="R1232" s="8"/>
      <c r="S1232" s="8" t="s">
        <v>71</v>
      </c>
      <c r="T1232" s="8" t="s">
        <v>168</v>
      </c>
      <c r="U1232" s="8" t="s">
        <v>150</v>
      </c>
      <c r="V1232" s="8" t="s">
        <v>168</v>
      </c>
      <c r="W1232" s="8" t="s">
        <v>168</v>
      </c>
      <c r="X1232" s="8">
        <v>30</v>
      </c>
      <c r="Y1232" s="8" t="s">
        <v>5796</v>
      </c>
      <c r="Z1232" s="8">
        <v>80</v>
      </c>
      <c r="AA1232" s="8">
        <v>0</v>
      </c>
      <c r="AB1232" s="9">
        <v>0</v>
      </c>
    </row>
    <row r="1233" spans="1:28" x14ac:dyDescent="0.2">
      <c r="A1233" s="10">
        <v>24667</v>
      </c>
      <c r="B1233" s="11" t="s">
        <v>8558</v>
      </c>
      <c r="C1233" s="11" t="s">
        <v>8231</v>
      </c>
      <c r="D1233" s="11" t="s">
        <v>2183</v>
      </c>
      <c r="E1233" s="11"/>
      <c r="F1233" s="11" t="s">
        <v>8559</v>
      </c>
      <c r="G1233" s="11" t="s">
        <v>556</v>
      </c>
      <c r="H1233" s="11" t="s">
        <v>557</v>
      </c>
      <c r="I1233" s="11" t="s">
        <v>8235</v>
      </c>
      <c r="J1233" s="11" t="s">
        <v>8560</v>
      </c>
      <c r="K1233" s="11" t="s">
        <v>560</v>
      </c>
      <c r="L1233" s="11" t="s">
        <v>229</v>
      </c>
      <c r="M1233" s="11" t="s">
        <v>8561</v>
      </c>
      <c r="N1233" s="11" t="s">
        <v>128</v>
      </c>
      <c r="O1233" s="11" t="s">
        <v>8562</v>
      </c>
      <c r="P1233" s="11" t="s">
        <v>6358</v>
      </c>
      <c r="Q1233" s="11" t="s">
        <v>150</v>
      </c>
      <c r="R1233" s="11"/>
      <c r="S1233" s="11" t="s">
        <v>71</v>
      </c>
      <c r="T1233" s="11" t="s">
        <v>69</v>
      </c>
      <c r="U1233" s="11" t="s">
        <v>150</v>
      </c>
      <c r="V1233" s="11" t="s">
        <v>152</v>
      </c>
      <c r="W1233" s="11" t="s">
        <v>69</v>
      </c>
      <c r="X1233" s="11">
        <v>30</v>
      </c>
      <c r="Y1233" s="11" t="s">
        <v>5796</v>
      </c>
      <c r="Z1233" s="11">
        <v>80</v>
      </c>
      <c r="AA1233" s="11">
        <v>0</v>
      </c>
      <c r="AB1233" s="12">
        <v>0</v>
      </c>
    </row>
    <row r="1234" spans="1:28" x14ac:dyDescent="0.2">
      <c r="A1234" s="7">
        <v>24965</v>
      </c>
      <c r="B1234" s="8" t="s">
        <v>8563</v>
      </c>
      <c r="C1234" s="8" t="s">
        <v>8564</v>
      </c>
      <c r="D1234" s="8" t="s">
        <v>5994</v>
      </c>
      <c r="E1234" s="8"/>
      <c r="F1234" s="8" t="s">
        <v>353</v>
      </c>
      <c r="G1234" s="8" t="s">
        <v>1438</v>
      </c>
      <c r="H1234" s="8" t="s">
        <v>122</v>
      </c>
      <c r="I1234" s="8" t="s">
        <v>7601</v>
      </c>
      <c r="J1234" s="8" t="s">
        <v>8565</v>
      </c>
      <c r="K1234" s="8" t="s">
        <v>125</v>
      </c>
      <c r="L1234" s="8" t="s">
        <v>126</v>
      </c>
      <c r="M1234" s="8" t="s">
        <v>8566</v>
      </c>
      <c r="N1234" s="8" t="s">
        <v>128</v>
      </c>
      <c r="O1234" s="8" t="s">
        <v>8567</v>
      </c>
      <c r="P1234" s="8" t="s">
        <v>8568</v>
      </c>
      <c r="Q1234" s="8" t="s">
        <v>150</v>
      </c>
      <c r="R1234" s="8"/>
      <c r="S1234" s="8" t="s">
        <v>71</v>
      </c>
      <c r="T1234" s="8" t="s">
        <v>1738</v>
      </c>
      <c r="U1234" s="8" t="s">
        <v>150</v>
      </c>
      <c r="V1234" s="8" t="s">
        <v>1738</v>
      </c>
      <c r="W1234" s="8" t="s">
        <v>1738</v>
      </c>
      <c r="X1234" s="8">
        <v>30</v>
      </c>
      <c r="Y1234" s="8" t="s">
        <v>5796</v>
      </c>
      <c r="Z1234" s="8">
        <v>80</v>
      </c>
      <c r="AA1234" s="8">
        <v>0</v>
      </c>
      <c r="AB1234" s="9">
        <v>0</v>
      </c>
    </row>
    <row r="1235" spans="1:28" x14ac:dyDescent="0.2">
      <c r="A1235" s="10">
        <v>25173</v>
      </c>
      <c r="B1235" s="11" t="s">
        <v>8569</v>
      </c>
      <c r="C1235" s="11" t="s">
        <v>2649</v>
      </c>
      <c r="D1235" s="11" t="s">
        <v>861</v>
      </c>
      <c r="E1235" s="11" t="s">
        <v>8570</v>
      </c>
      <c r="F1235" s="11" t="s">
        <v>2651</v>
      </c>
      <c r="G1235" s="11" t="s">
        <v>2652</v>
      </c>
      <c r="H1235" s="11" t="s">
        <v>1843</v>
      </c>
      <c r="I1235" s="11" t="s">
        <v>2653</v>
      </c>
      <c r="J1235" s="11" t="s">
        <v>2654</v>
      </c>
      <c r="K1235" s="11" t="s">
        <v>1562</v>
      </c>
      <c r="L1235" s="11" t="s">
        <v>229</v>
      </c>
      <c r="M1235" s="11" t="s">
        <v>8571</v>
      </c>
      <c r="N1235" s="11" t="s">
        <v>128</v>
      </c>
      <c r="O1235" s="11" t="s">
        <v>8572</v>
      </c>
      <c r="P1235" s="11" t="s">
        <v>8573</v>
      </c>
      <c r="Q1235" s="11" t="s">
        <v>740</v>
      </c>
      <c r="R1235" s="11"/>
      <c r="S1235" s="11" t="s">
        <v>2657</v>
      </c>
      <c r="T1235" s="11" t="s">
        <v>741</v>
      </c>
      <c r="U1235" s="11" t="s">
        <v>134</v>
      </c>
      <c r="V1235" s="11" t="s">
        <v>740</v>
      </c>
      <c r="W1235" s="11" t="s">
        <v>741</v>
      </c>
      <c r="X1235" s="11">
        <v>30</v>
      </c>
      <c r="Y1235" s="11" t="s">
        <v>5796</v>
      </c>
      <c r="Z1235" s="11">
        <v>80</v>
      </c>
      <c r="AA1235" s="11">
        <v>0</v>
      </c>
      <c r="AB1235" s="12">
        <v>0</v>
      </c>
    </row>
    <row r="1236" spans="1:28" x14ac:dyDescent="0.2">
      <c r="A1236" s="7">
        <v>25287</v>
      </c>
      <c r="B1236" s="8" t="s">
        <v>8574</v>
      </c>
      <c r="C1236" s="8" t="s">
        <v>8575</v>
      </c>
      <c r="D1236" s="8" t="s">
        <v>291</v>
      </c>
      <c r="E1236" s="8"/>
      <c r="F1236" s="8" t="s">
        <v>353</v>
      </c>
      <c r="G1236" s="8" t="s">
        <v>428</v>
      </c>
      <c r="H1236" s="8" t="s">
        <v>329</v>
      </c>
      <c r="I1236" s="8" t="s">
        <v>8576</v>
      </c>
      <c r="J1236" s="8" t="s">
        <v>8577</v>
      </c>
      <c r="K1236" s="8" t="s">
        <v>431</v>
      </c>
      <c r="L1236" s="8" t="s">
        <v>333</v>
      </c>
      <c r="M1236" s="8" t="s">
        <v>8578</v>
      </c>
      <c r="N1236" s="8" t="s">
        <v>128</v>
      </c>
      <c r="O1236" s="8" t="s">
        <v>8579</v>
      </c>
      <c r="P1236" s="8" t="s">
        <v>8580</v>
      </c>
      <c r="Q1236" s="8" t="s">
        <v>740</v>
      </c>
      <c r="R1236" s="8"/>
      <c r="S1236" s="8" t="s">
        <v>71</v>
      </c>
      <c r="T1236" s="8" t="s">
        <v>741</v>
      </c>
      <c r="U1236" s="8" t="s">
        <v>134</v>
      </c>
      <c r="V1236" s="8" t="s">
        <v>740</v>
      </c>
      <c r="W1236" s="8" t="s">
        <v>741</v>
      </c>
      <c r="X1236" s="8">
        <v>30</v>
      </c>
      <c r="Y1236" s="8" t="s">
        <v>5796</v>
      </c>
      <c r="Z1236" s="8">
        <v>80</v>
      </c>
      <c r="AA1236" s="8">
        <v>0</v>
      </c>
      <c r="AB1236" s="9">
        <v>0</v>
      </c>
    </row>
    <row r="1237" spans="1:28" x14ac:dyDescent="0.2">
      <c r="A1237" s="10">
        <v>22631</v>
      </c>
      <c r="B1237" s="11" t="s">
        <v>8581</v>
      </c>
      <c r="C1237" s="11" t="s">
        <v>5843</v>
      </c>
      <c r="D1237" s="11" t="s">
        <v>5844</v>
      </c>
      <c r="E1237" s="11" t="s">
        <v>8582</v>
      </c>
      <c r="F1237" s="11" t="s">
        <v>5845</v>
      </c>
      <c r="G1237" s="11" t="s">
        <v>5846</v>
      </c>
      <c r="H1237" s="11" t="s">
        <v>159</v>
      </c>
      <c r="I1237" s="11" t="s">
        <v>6046</v>
      </c>
      <c r="J1237" s="11" t="s">
        <v>6047</v>
      </c>
      <c r="K1237" s="11" t="s">
        <v>162</v>
      </c>
      <c r="L1237" s="11" t="s">
        <v>163</v>
      </c>
      <c r="M1237" s="11" t="s">
        <v>8583</v>
      </c>
      <c r="N1237" s="11" t="s">
        <v>128</v>
      </c>
      <c r="O1237" s="11" t="s">
        <v>8584</v>
      </c>
      <c r="P1237" s="11" t="s">
        <v>8585</v>
      </c>
      <c r="Q1237" s="11" t="s">
        <v>150</v>
      </c>
      <c r="R1237" s="11"/>
      <c r="S1237" s="11" t="s">
        <v>5852</v>
      </c>
      <c r="T1237" s="11" t="s">
        <v>289</v>
      </c>
      <c r="U1237" s="11" t="s">
        <v>150</v>
      </c>
      <c r="V1237" s="11" t="s">
        <v>289</v>
      </c>
      <c r="W1237" s="11" t="s">
        <v>289</v>
      </c>
      <c r="X1237" s="11">
        <v>29</v>
      </c>
      <c r="Y1237" s="11" t="s">
        <v>5796</v>
      </c>
      <c r="Z1237" s="11">
        <v>80</v>
      </c>
      <c r="AA1237" s="11">
        <v>0</v>
      </c>
      <c r="AB1237" s="12">
        <v>0</v>
      </c>
    </row>
    <row r="1238" spans="1:28" x14ac:dyDescent="0.2">
      <c r="A1238" s="7">
        <v>21299</v>
      </c>
      <c r="B1238" s="8" t="s">
        <v>8586</v>
      </c>
      <c r="C1238" s="8" t="s">
        <v>8502</v>
      </c>
      <c r="D1238" s="8" t="s">
        <v>2183</v>
      </c>
      <c r="E1238" s="8" t="s">
        <v>8587</v>
      </c>
      <c r="F1238" s="8" t="s">
        <v>8588</v>
      </c>
      <c r="G1238" s="8" t="s">
        <v>141</v>
      </c>
      <c r="H1238" s="8" t="s">
        <v>142</v>
      </c>
      <c r="I1238" s="8" t="s">
        <v>8504</v>
      </c>
      <c r="J1238" s="8" t="s">
        <v>8589</v>
      </c>
      <c r="K1238" s="8" t="s">
        <v>991</v>
      </c>
      <c r="L1238" s="8" t="s">
        <v>146</v>
      </c>
      <c r="M1238" s="8" t="s">
        <v>8590</v>
      </c>
      <c r="N1238" s="8" t="s">
        <v>128</v>
      </c>
      <c r="O1238" s="8" t="s">
        <v>8591</v>
      </c>
      <c r="P1238" s="8" t="s">
        <v>5977</v>
      </c>
      <c r="Q1238" s="8" t="s">
        <v>150</v>
      </c>
      <c r="R1238" s="8"/>
      <c r="S1238" s="8" t="s">
        <v>71</v>
      </c>
      <c r="T1238" s="8" t="s">
        <v>67</v>
      </c>
      <c r="U1238" s="8" t="s">
        <v>150</v>
      </c>
      <c r="V1238" s="8" t="s">
        <v>152</v>
      </c>
      <c r="W1238" s="8" t="s">
        <v>67</v>
      </c>
      <c r="X1238" s="8">
        <v>29</v>
      </c>
      <c r="Y1238" s="8" t="s">
        <v>5796</v>
      </c>
      <c r="Z1238" s="8">
        <v>80</v>
      </c>
      <c r="AA1238" s="8">
        <v>0</v>
      </c>
      <c r="AB1238" s="9">
        <v>0</v>
      </c>
    </row>
    <row r="1239" spans="1:28" x14ac:dyDescent="0.2">
      <c r="A1239" s="10">
        <v>21472</v>
      </c>
      <c r="B1239" s="11" t="s">
        <v>8592</v>
      </c>
      <c r="C1239" s="11" t="s">
        <v>6572</v>
      </c>
      <c r="D1239" s="11" t="s">
        <v>7758</v>
      </c>
      <c r="E1239" s="11"/>
      <c r="F1239" s="11" t="s">
        <v>353</v>
      </c>
      <c r="G1239" s="11" t="s">
        <v>5943</v>
      </c>
      <c r="H1239" s="11" t="s">
        <v>191</v>
      </c>
      <c r="I1239" s="11" t="s">
        <v>6574</v>
      </c>
      <c r="J1239" s="11" t="s">
        <v>8593</v>
      </c>
      <c r="K1239" s="11" t="s">
        <v>194</v>
      </c>
      <c r="L1239" s="11" t="s">
        <v>163</v>
      </c>
      <c r="M1239" s="11" t="s">
        <v>8594</v>
      </c>
      <c r="N1239" s="11" t="s">
        <v>128</v>
      </c>
      <c r="O1239" s="11" t="s">
        <v>8595</v>
      </c>
      <c r="P1239" s="11" t="s">
        <v>8596</v>
      </c>
      <c r="Q1239" s="11" t="s">
        <v>150</v>
      </c>
      <c r="R1239" s="11"/>
      <c r="S1239" s="11" t="s">
        <v>71</v>
      </c>
      <c r="T1239" s="11" t="s">
        <v>67</v>
      </c>
      <c r="U1239" s="11" t="s">
        <v>150</v>
      </c>
      <c r="V1239" s="11" t="s">
        <v>152</v>
      </c>
      <c r="W1239" s="11" t="s">
        <v>67</v>
      </c>
      <c r="X1239" s="11">
        <v>29</v>
      </c>
      <c r="Y1239" s="11" t="s">
        <v>5796</v>
      </c>
      <c r="Z1239" s="11">
        <v>80</v>
      </c>
      <c r="AA1239" s="11">
        <v>0</v>
      </c>
      <c r="AB1239" s="12">
        <v>0</v>
      </c>
    </row>
    <row r="1240" spans="1:28" x14ac:dyDescent="0.2">
      <c r="A1240" s="7">
        <v>106142</v>
      </c>
      <c r="B1240" s="8" t="s">
        <v>8597</v>
      </c>
      <c r="C1240" s="8" t="s">
        <v>4767</v>
      </c>
      <c r="D1240" s="8" t="s">
        <v>4768</v>
      </c>
      <c r="E1240" s="8"/>
      <c r="F1240" s="8" t="s">
        <v>4770</v>
      </c>
      <c r="G1240" s="8" t="s">
        <v>4465</v>
      </c>
      <c r="H1240" s="8" t="s">
        <v>4466</v>
      </c>
      <c r="I1240" s="8" t="s">
        <v>8598</v>
      </c>
      <c r="J1240" s="8" t="s">
        <v>4772</v>
      </c>
      <c r="K1240" s="8" t="s">
        <v>525</v>
      </c>
      <c r="L1240" s="8" t="s">
        <v>526</v>
      </c>
      <c r="M1240" s="8" t="s">
        <v>8599</v>
      </c>
      <c r="N1240" s="8" t="s">
        <v>128</v>
      </c>
      <c r="O1240" s="8" t="s">
        <v>8600</v>
      </c>
      <c r="P1240" s="8" t="s">
        <v>8601</v>
      </c>
      <c r="Q1240" s="8" t="s">
        <v>150</v>
      </c>
      <c r="R1240" s="8"/>
      <c r="S1240" s="8" t="s">
        <v>4775</v>
      </c>
      <c r="T1240" s="8" t="s">
        <v>7898</v>
      </c>
      <c r="U1240" s="8" t="s">
        <v>150</v>
      </c>
      <c r="V1240" s="8" t="s">
        <v>7898</v>
      </c>
      <c r="W1240" s="8" t="s">
        <v>7898</v>
      </c>
      <c r="X1240" s="8">
        <v>29</v>
      </c>
      <c r="Y1240" s="8" t="s">
        <v>5796</v>
      </c>
      <c r="Z1240" s="8">
        <v>80</v>
      </c>
      <c r="AA1240" s="8">
        <v>0</v>
      </c>
      <c r="AB1240" s="9">
        <v>0</v>
      </c>
    </row>
    <row r="1241" spans="1:28" x14ac:dyDescent="0.2">
      <c r="A1241" s="10">
        <v>22717</v>
      </c>
      <c r="B1241" s="11" t="s">
        <v>8602</v>
      </c>
      <c r="C1241" s="11" t="s">
        <v>1261</v>
      </c>
      <c r="D1241" s="11" t="s">
        <v>1262</v>
      </c>
      <c r="E1241" s="11" t="s">
        <v>8603</v>
      </c>
      <c r="F1241" s="11" t="s">
        <v>757</v>
      </c>
      <c r="G1241" s="11" t="s">
        <v>521</v>
      </c>
      <c r="H1241" s="11" t="s">
        <v>522</v>
      </c>
      <c r="I1241" s="11" t="s">
        <v>1264</v>
      </c>
      <c r="J1241" s="11" t="s">
        <v>1265</v>
      </c>
      <c r="K1241" s="11" t="s">
        <v>525</v>
      </c>
      <c r="L1241" s="11" t="s">
        <v>526</v>
      </c>
      <c r="M1241" s="11" t="s">
        <v>8604</v>
      </c>
      <c r="N1241" s="11" t="s">
        <v>128</v>
      </c>
      <c r="O1241" s="11" t="s">
        <v>8605</v>
      </c>
      <c r="P1241" s="11"/>
      <c r="Q1241" s="11" t="s">
        <v>150</v>
      </c>
      <c r="R1241" s="11"/>
      <c r="S1241" s="11" t="s">
        <v>1269</v>
      </c>
      <c r="T1241" s="11" t="s">
        <v>2702</v>
      </c>
      <c r="U1241" s="11" t="s">
        <v>150</v>
      </c>
      <c r="V1241" s="11" t="s">
        <v>2702</v>
      </c>
      <c r="W1241" s="11" t="s">
        <v>2702</v>
      </c>
      <c r="X1241" s="11">
        <v>29</v>
      </c>
      <c r="Y1241" s="11" t="s">
        <v>5796</v>
      </c>
      <c r="Z1241" s="11">
        <v>80</v>
      </c>
      <c r="AA1241" s="11">
        <v>0</v>
      </c>
      <c r="AB1241" s="12">
        <v>0</v>
      </c>
    </row>
    <row r="1242" spans="1:28" x14ac:dyDescent="0.2">
      <c r="A1242" s="7">
        <v>23125</v>
      </c>
      <c r="B1242" s="8" t="s">
        <v>8606</v>
      </c>
      <c r="C1242" s="8" t="s">
        <v>6301</v>
      </c>
      <c r="D1242" s="8" t="s">
        <v>7274</v>
      </c>
      <c r="E1242" s="8" t="s">
        <v>3074</v>
      </c>
      <c r="F1242" s="8" t="s">
        <v>353</v>
      </c>
      <c r="G1242" s="8" t="s">
        <v>1670</v>
      </c>
      <c r="H1242" s="8" t="s">
        <v>142</v>
      </c>
      <c r="I1242" s="8" t="s">
        <v>8607</v>
      </c>
      <c r="J1242" s="8" t="s">
        <v>8608</v>
      </c>
      <c r="K1242" s="8" t="s">
        <v>1673</v>
      </c>
      <c r="L1242" s="8" t="s">
        <v>464</v>
      </c>
      <c r="M1242" s="8" t="s">
        <v>8609</v>
      </c>
      <c r="N1242" s="8" t="s">
        <v>128</v>
      </c>
      <c r="O1242" s="8" t="s">
        <v>8610</v>
      </c>
      <c r="P1242" s="8" t="s">
        <v>8611</v>
      </c>
      <c r="Q1242" s="8" t="s">
        <v>150</v>
      </c>
      <c r="R1242" s="8"/>
      <c r="S1242" s="8" t="s">
        <v>71</v>
      </c>
      <c r="T1242" s="8" t="s">
        <v>70</v>
      </c>
      <c r="U1242" s="8" t="s">
        <v>150</v>
      </c>
      <c r="V1242" s="8" t="s">
        <v>70</v>
      </c>
      <c r="W1242" s="8" t="s">
        <v>70</v>
      </c>
      <c r="X1242" s="8">
        <v>29</v>
      </c>
      <c r="Y1242" s="8" t="s">
        <v>5796</v>
      </c>
      <c r="Z1242" s="8">
        <v>80</v>
      </c>
      <c r="AA1242" s="8">
        <v>0</v>
      </c>
      <c r="AB1242" s="9">
        <v>0</v>
      </c>
    </row>
    <row r="1243" spans="1:28" x14ac:dyDescent="0.2">
      <c r="A1243" s="10">
        <v>23470</v>
      </c>
      <c r="B1243" s="11" t="s">
        <v>8612</v>
      </c>
      <c r="C1243" s="11" t="s">
        <v>8613</v>
      </c>
      <c r="D1243" s="11" t="s">
        <v>1064</v>
      </c>
      <c r="E1243" s="11"/>
      <c r="F1243" s="11" t="s">
        <v>353</v>
      </c>
      <c r="G1243" s="11" t="s">
        <v>8614</v>
      </c>
      <c r="H1243" s="11" t="s">
        <v>142</v>
      </c>
      <c r="I1243" s="11" t="s">
        <v>8615</v>
      </c>
      <c r="J1243" s="11" t="s">
        <v>8616</v>
      </c>
      <c r="K1243" s="11" t="s">
        <v>1199</v>
      </c>
      <c r="L1243" s="11" t="s">
        <v>464</v>
      </c>
      <c r="M1243" s="11" t="s">
        <v>8617</v>
      </c>
      <c r="N1243" s="11" t="s">
        <v>128</v>
      </c>
      <c r="O1243" s="11" t="s">
        <v>8618</v>
      </c>
      <c r="P1243" s="11" t="s">
        <v>8619</v>
      </c>
      <c r="Q1243" s="11" t="s">
        <v>150</v>
      </c>
      <c r="R1243" s="11"/>
      <c r="S1243" s="11" t="s">
        <v>71</v>
      </c>
      <c r="T1243" s="11" t="s">
        <v>1415</v>
      </c>
      <c r="U1243" s="11" t="s">
        <v>150</v>
      </c>
      <c r="V1243" s="11" t="s">
        <v>1415</v>
      </c>
      <c r="W1243" s="11" t="s">
        <v>1415</v>
      </c>
      <c r="X1243" s="11">
        <v>29</v>
      </c>
      <c r="Y1243" s="11" t="s">
        <v>5796</v>
      </c>
      <c r="Z1243" s="11">
        <v>80</v>
      </c>
      <c r="AA1243" s="11">
        <v>0</v>
      </c>
      <c r="AB1243" s="12">
        <v>0</v>
      </c>
    </row>
    <row r="1244" spans="1:28" x14ac:dyDescent="0.2">
      <c r="A1244" s="7">
        <v>23423</v>
      </c>
      <c r="B1244" s="8" t="s">
        <v>8620</v>
      </c>
      <c r="C1244" s="8" t="s">
        <v>7650</v>
      </c>
      <c r="D1244" s="8" t="s">
        <v>1064</v>
      </c>
      <c r="E1244" s="8"/>
      <c r="F1244" s="8" t="s">
        <v>8621</v>
      </c>
      <c r="G1244" s="8" t="s">
        <v>7653</v>
      </c>
      <c r="H1244" s="8" t="s">
        <v>142</v>
      </c>
      <c r="I1244" s="8" t="s">
        <v>7717</v>
      </c>
      <c r="J1244" s="8" t="s">
        <v>8622</v>
      </c>
      <c r="K1244" s="8" t="s">
        <v>717</v>
      </c>
      <c r="L1244" s="8" t="s">
        <v>464</v>
      </c>
      <c r="M1244" s="8" t="s">
        <v>8623</v>
      </c>
      <c r="N1244" s="8" t="s">
        <v>128</v>
      </c>
      <c r="O1244" s="8" t="s">
        <v>8624</v>
      </c>
      <c r="P1244" s="8" t="s">
        <v>8625</v>
      </c>
      <c r="Q1244" s="8" t="s">
        <v>150</v>
      </c>
      <c r="R1244" s="8"/>
      <c r="S1244" s="8" t="s">
        <v>71</v>
      </c>
      <c r="T1244" s="8" t="s">
        <v>1415</v>
      </c>
      <c r="U1244" s="8" t="s">
        <v>150</v>
      </c>
      <c r="V1244" s="8" t="s">
        <v>1415</v>
      </c>
      <c r="W1244" s="8" t="s">
        <v>1415</v>
      </c>
      <c r="X1244" s="8">
        <v>29</v>
      </c>
      <c r="Y1244" s="8" t="s">
        <v>5796</v>
      </c>
      <c r="Z1244" s="8">
        <v>80</v>
      </c>
      <c r="AA1244" s="8">
        <v>0</v>
      </c>
      <c r="AB1244" s="9">
        <v>0</v>
      </c>
    </row>
    <row r="1245" spans="1:28" x14ac:dyDescent="0.2">
      <c r="A1245" s="10">
        <v>23871</v>
      </c>
      <c r="B1245" s="11" t="s">
        <v>8626</v>
      </c>
      <c r="C1245" s="11" t="s">
        <v>8122</v>
      </c>
      <c r="D1245" s="11" t="s">
        <v>8627</v>
      </c>
      <c r="E1245" s="11" t="s">
        <v>281</v>
      </c>
      <c r="F1245" s="11" t="s">
        <v>353</v>
      </c>
      <c r="G1245" s="11" t="s">
        <v>2510</v>
      </c>
      <c r="H1245" s="11" t="s">
        <v>2511</v>
      </c>
      <c r="I1245" s="11" t="s">
        <v>8124</v>
      </c>
      <c r="J1245" s="11" t="s">
        <v>8628</v>
      </c>
      <c r="K1245" s="11" t="s">
        <v>1562</v>
      </c>
      <c r="L1245" s="11" t="s">
        <v>229</v>
      </c>
      <c r="M1245" s="11" t="s">
        <v>8629</v>
      </c>
      <c r="N1245" s="11" t="s">
        <v>128</v>
      </c>
      <c r="O1245" s="11" t="s">
        <v>8630</v>
      </c>
      <c r="P1245" s="11" t="s">
        <v>8448</v>
      </c>
      <c r="Q1245" s="11" t="s">
        <v>150</v>
      </c>
      <c r="R1245" s="11"/>
      <c r="S1245" s="11" t="s">
        <v>71</v>
      </c>
      <c r="T1245" s="11" t="s">
        <v>168</v>
      </c>
      <c r="U1245" s="11" t="s">
        <v>150</v>
      </c>
      <c r="V1245" s="11" t="s">
        <v>168</v>
      </c>
      <c r="W1245" s="11" t="s">
        <v>168</v>
      </c>
      <c r="X1245" s="11">
        <v>29</v>
      </c>
      <c r="Y1245" s="11" t="s">
        <v>5796</v>
      </c>
      <c r="Z1245" s="11">
        <v>80</v>
      </c>
      <c r="AA1245" s="11">
        <v>0</v>
      </c>
      <c r="AB1245" s="12">
        <v>0</v>
      </c>
    </row>
    <row r="1246" spans="1:28" x14ac:dyDescent="0.2">
      <c r="A1246" s="7">
        <v>23800</v>
      </c>
      <c r="B1246" s="8" t="s">
        <v>8631</v>
      </c>
      <c r="C1246" s="8" t="s">
        <v>8632</v>
      </c>
      <c r="D1246" s="8" t="s">
        <v>2072</v>
      </c>
      <c r="E1246" s="8"/>
      <c r="F1246" s="8" t="s">
        <v>353</v>
      </c>
      <c r="G1246" s="8" t="s">
        <v>2652</v>
      </c>
      <c r="H1246" s="8" t="s">
        <v>1843</v>
      </c>
      <c r="I1246" s="8" t="s">
        <v>8633</v>
      </c>
      <c r="J1246" s="8" t="s">
        <v>8634</v>
      </c>
      <c r="K1246" s="8" t="s">
        <v>1562</v>
      </c>
      <c r="L1246" s="8" t="s">
        <v>229</v>
      </c>
      <c r="M1246" s="8" t="s">
        <v>8635</v>
      </c>
      <c r="N1246" s="8" t="s">
        <v>128</v>
      </c>
      <c r="O1246" s="8" t="s">
        <v>8636</v>
      </c>
      <c r="P1246" s="8" t="s">
        <v>8637</v>
      </c>
      <c r="Q1246" s="8" t="s">
        <v>150</v>
      </c>
      <c r="R1246" s="8"/>
      <c r="S1246" s="8" t="s">
        <v>71</v>
      </c>
      <c r="T1246" s="8" t="s">
        <v>168</v>
      </c>
      <c r="U1246" s="8" t="s">
        <v>150</v>
      </c>
      <c r="V1246" s="8" t="s">
        <v>168</v>
      </c>
      <c r="W1246" s="8" t="s">
        <v>168</v>
      </c>
      <c r="X1246" s="8">
        <v>29</v>
      </c>
      <c r="Y1246" s="8" t="s">
        <v>5796</v>
      </c>
      <c r="Z1246" s="8">
        <v>80</v>
      </c>
      <c r="AA1246" s="8">
        <v>0</v>
      </c>
      <c r="AB1246" s="9">
        <v>0</v>
      </c>
    </row>
    <row r="1247" spans="1:28" x14ac:dyDescent="0.2">
      <c r="A1247" s="10">
        <v>24671</v>
      </c>
      <c r="B1247" s="11" t="s">
        <v>8638</v>
      </c>
      <c r="C1247" s="11" t="s">
        <v>8639</v>
      </c>
      <c r="D1247" s="11" t="s">
        <v>1283</v>
      </c>
      <c r="E1247" s="11" t="s">
        <v>1547</v>
      </c>
      <c r="F1247" s="11" t="s">
        <v>353</v>
      </c>
      <c r="G1247" s="11" t="s">
        <v>1488</v>
      </c>
      <c r="H1247" s="11" t="s">
        <v>329</v>
      </c>
      <c r="I1247" s="11" t="s">
        <v>8640</v>
      </c>
      <c r="J1247" s="11" t="s">
        <v>8641</v>
      </c>
      <c r="K1247" s="11" t="s">
        <v>415</v>
      </c>
      <c r="L1247" s="11" t="s">
        <v>333</v>
      </c>
      <c r="M1247" s="11" t="s">
        <v>8642</v>
      </c>
      <c r="N1247" s="11" t="s">
        <v>128</v>
      </c>
      <c r="O1247" s="11" t="s">
        <v>8643</v>
      </c>
      <c r="P1247" s="11" t="s">
        <v>8644</v>
      </c>
      <c r="Q1247" s="11" t="s">
        <v>150</v>
      </c>
      <c r="R1247" s="11"/>
      <c r="S1247" s="11" t="s">
        <v>71</v>
      </c>
      <c r="T1247" s="11" t="s">
        <v>69</v>
      </c>
      <c r="U1247" s="11" t="s">
        <v>150</v>
      </c>
      <c r="V1247" s="11" t="s">
        <v>152</v>
      </c>
      <c r="W1247" s="11" t="s">
        <v>69</v>
      </c>
      <c r="X1247" s="11">
        <v>29</v>
      </c>
      <c r="Y1247" s="11" t="s">
        <v>5796</v>
      </c>
      <c r="Z1247" s="11">
        <v>80</v>
      </c>
      <c r="AA1247" s="11">
        <v>0</v>
      </c>
      <c r="AB1247" s="12">
        <v>0</v>
      </c>
    </row>
    <row r="1248" spans="1:28" x14ac:dyDescent="0.2">
      <c r="A1248" s="7">
        <v>21479</v>
      </c>
      <c r="B1248" s="8" t="s">
        <v>8645</v>
      </c>
      <c r="C1248" s="8" t="s">
        <v>7650</v>
      </c>
      <c r="D1248" s="8" t="s">
        <v>3641</v>
      </c>
      <c r="E1248" s="8" t="s">
        <v>8646</v>
      </c>
      <c r="F1248" s="8" t="s">
        <v>8621</v>
      </c>
      <c r="G1248" s="8" t="s">
        <v>7653</v>
      </c>
      <c r="H1248" s="8" t="s">
        <v>142</v>
      </c>
      <c r="I1248" s="8" t="s">
        <v>7717</v>
      </c>
      <c r="J1248" s="8" t="s">
        <v>8647</v>
      </c>
      <c r="K1248" s="8" t="s">
        <v>717</v>
      </c>
      <c r="L1248" s="8" t="s">
        <v>464</v>
      </c>
      <c r="M1248" s="8" t="s">
        <v>8648</v>
      </c>
      <c r="N1248" s="8" t="s">
        <v>128</v>
      </c>
      <c r="O1248" s="8" t="s">
        <v>8649</v>
      </c>
      <c r="P1248" s="8" t="s">
        <v>8650</v>
      </c>
      <c r="Q1248" s="8" t="s">
        <v>150</v>
      </c>
      <c r="R1248" s="8"/>
      <c r="S1248" s="8" t="s">
        <v>71</v>
      </c>
      <c r="T1248" s="8" t="s">
        <v>67</v>
      </c>
      <c r="U1248" s="8" t="s">
        <v>150</v>
      </c>
      <c r="V1248" s="8" t="s">
        <v>152</v>
      </c>
      <c r="W1248" s="8" t="s">
        <v>67</v>
      </c>
      <c r="X1248" s="8">
        <v>28</v>
      </c>
      <c r="Y1248" s="8" t="s">
        <v>5796</v>
      </c>
      <c r="Z1248" s="8">
        <v>80</v>
      </c>
      <c r="AA1248" s="8">
        <v>0</v>
      </c>
      <c r="AB1248" s="9">
        <v>0</v>
      </c>
    </row>
    <row r="1249" spans="1:28" x14ac:dyDescent="0.2">
      <c r="A1249" s="10">
        <v>21373</v>
      </c>
      <c r="B1249" s="11" t="s">
        <v>8651</v>
      </c>
      <c r="C1249" s="11" t="s">
        <v>8652</v>
      </c>
      <c r="D1249" s="11" t="s">
        <v>2153</v>
      </c>
      <c r="E1249" s="11"/>
      <c r="F1249" s="11" t="s">
        <v>353</v>
      </c>
      <c r="G1249" s="11" t="s">
        <v>8653</v>
      </c>
      <c r="H1249" s="11" t="s">
        <v>329</v>
      </c>
      <c r="I1249" s="11" t="s">
        <v>8654</v>
      </c>
      <c r="J1249" s="11" t="s">
        <v>8655</v>
      </c>
      <c r="K1249" s="11" t="s">
        <v>572</v>
      </c>
      <c r="L1249" s="11" t="s">
        <v>333</v>
      </c>
      <c r="M1249" s="11" t="s">
        <v>8656</v>
      </c>
      <c r="N1249" s="11" t="s">
        <v>128</v>
      </c>
      <c r="O1249" s="11" t="s">
        <v>8657</v>
      </c>
      <c r="P1249" s="11" t="s">
        <v>8658</v>
      </c>
      <c r="Q1249" s="11" t="s">
        <v>150</v>
      </c>
      <c r="R1249" s="11"/>
      <c r="S1249" s="11" t="s">
        <v>71</v>
      </c>
      <c r="T1249" s="11" t="s">
        <v>67</v>
      </c>
      <c r="U1249" s="11" t="s">
        <v>150</v>
      </c>
      <c r="V1249" s="11" t="s">
        <v>152</v>
      </c>
      <c r="W1249" s="11" t="s">
        <v>67</v>
      </c>
      <c r="X1249" s="11">
        <v>28</v>
      </c>
      <c r="Y1249" s="11" t="s">
        <v>5796</v>
      </c>
      <c r="Z1249" s="11">
        <v>80</v>
      </c>
      <c r="AA1249" s="11">
        <v>0</v>
      </c>
      <c r="AB1249" s="12">
        <v>0</v>
      </c>
    </row>
    <row r="1250" spans="1:28" x14ac:dyDescent="0.2">
      <c r="A1250" s="7">
        <v>26788</v>
      </c>
      <c r="B1250" s="8" t="s">
        <v>8659</v>
      </c>
      <c r="C1250" s="8" t="s">
        <v>8660</v>
      </c>
      <c r="D1250" s="8" t="s">
        <v>4511</v>
      </c>
      <c r="E1250" s="8"/>
      <c r="F1250" s="8" t="s">
        <v>353</v>
      </c>
      <c r="G1250" s="8" t="s">
        <v>1488</v>
      </c>
      <c r="H1250" s="8" t="s">
        <v>329</v>
      </c>
      <c r="I1250" s="8" t="s">
        <v>8661</v>
      </c>
      <c r="J1250" s="8" t="s">
        <v>8662</v>
      </c>
      <c r="K1250" s="8" t="s">
        <v>415</v>
      </c>
      <c r="L1250" s="8" t="s">
        <v>333</v>
      </c>
      <c r="M1250" s="8" t="s">
        <v>8663</v>
      </c>
      <c r="N1250" s="8" t="s">
        <v>128</v>
      </c>
      <c r="O1250" s="8" t="s">
        <v>8664</v>
      </c>
      <c r="P1250" s="8" t="s">
        <v>6618</v>
      </c>
      <c r="Q1250" s="8" t="s">
        <v>131</v>
      </c>
      <c r="R1250" s="8"/>
      <c r="S1250" s="8" t="s">
        <v>71</v>
      </c>
      <c r="T1250" s="8" t="s">
        <v>133</v>
      </c>
      <c r="U1250" s="8" t="s">
        <v>134</v>
      </c>
      <c r="V1250" s="8" t="s">
        <v>131</v>
      </c>
      <c r="W1250" s="8" t="s">
        <v>133</v>
      </c>
      <c r="X1250" s="8">
        <v>28</v>
      </c>
      <c r="Y1250" s="8" t="s">
        <v>5796</v>
      </c>
      <c r="Z1250" s="8">
        <v>80</v>
      </c>
      <c r="AA1250" s="8">
        <v>0</v>
      </c>
      <c r="AB1250" s="9">
        <v>0</v>
      </c>
    </row>
    <row r="1251" spans="1:28" x14ac:dyDescent="0.2">
      <c r="A1251" s="10">
        <v>22054</v>
      </c>
      <c r="B1251" s="11" t="s">
        <v>8665</v>
      </c>
      <c r="C1251" s="11" t="s">
        <v>7082</v>
      </c>
      <c r="D1251" s="11" t="s">
        <v>138</v>
      </c>
      <c r="E1251" s="11"/>
      <c r="F1251" s="11" t="s">
        <v>7083</v>
      </c>
      <c r="G1251" s="11" t="s">
        <v>224</v>
      </c>
      <c r="H1251" s="11" t="s">
        <v>225</v>
      </c>
      <c r="I1251" s="11" t="s">
        <v>7084</v>
      </c>
      <c r="J1251" s="11" t="s">
        <v>7085</v>
      </c>
      <c r="K1251" s="11" t="s">
        <v>228</v>
      </c>
      <c r="L1251" s="11" t="s">
        <v>229</v>
      </c>
      <c r="M1251" s="11" t="s">
        <v>8666</v>
      </c>
      <c r="N1251" s="11" t="s">
        <v>128</v>
      </c>
      <c r="O1251" s="11" t="s">
        <v>8667</v>
      </c>
      <c r="P1251" s="11" t="s">
        <v>8668</v>
      </c>
      <c r="Q1251" s="11" t="s">
        <v>131</v>
      </c>
      <c r="R1251" s="11"/>
      <c r="S1251" s="11" t="s">
        <v>7089</v>
      </c>
      <c r="T1251" s="11" t="s">
        <v>133</v>
      </c>
      <c r="U1251" s="11" t="s">
        <v>134</v>
      </c>
      <c r="V1251" s="11" t="s">
        <v>131</v>
      </c>
      <c r="W1251" s="11" t="s">
        <v>133</v>
      </c>
      <c r="X1251" s="11">
        <v>28</v>
      </c>
      <c r="Y1251" s="11" t="s">
        <v>5796</v>
      </c>
      <c r="Z1251" s="11">
        <v>80</v>
      </c>
      <c r="AA1251" s="11">
        <v>0</v>
      </c>
      <c r="AB1251" s="12">
        <v>0</v>
      </c>
    </row>
    <row r="1252" spans="1:28" x14ac:dyDescent="0.2">
      <c r="A1252" s="7">
        <v>23010</v>
      </c>
      <c r="B1252" s="8" t="s">
        <v>8669</v>
      </c>
      <c r="C1252" s="8" t="s">
        <v>5940</v>
      </c>
      <c r="D1252" s="8" t="s">
        <v>5941</v>
      </c>
      <c r="E1252" s="8" t="s">
        <v>8670</v>
      </c>
      <c r="F1252" s="8" t="s">
        <v>5942</v>
      </c>
      <c r="G1252" s="8" t="s">
        <v>5943</v>
      </c>
      <c r="H1252" s="8" t="s">
        <v>191</v>
      </c>
      <c r="I1252" s="8" t="s">
        <v>8671</v>
      </c>
      <c r="J1252" s="8" t="s">
        <v>8672</v>
      </c>
      <c r="K1252" s="8" t="s">
        <v>194</v>
      </c>
      <c r="L1252" s="8" t="s">
        <v>163</v>
      </c>
      <c r="M1252" s="8" t="s">
        <v>8673</v>
      </c>
      <c r="N1252" s="8" t="s">
        <v>128</v>
      </c>
      <c r="O1252" s="8" t="s">
        <v>8674</v>
      </c>
      <c r="P1252" s="8" t="s">
        <v>8675</v>
      </c>
      <c r="Q1252" s="8" t="s">
        <v>150</v>
      </c>
      <c r="R1252" s="8"/>
      <c r="S1252" s="8" t="s">
        <v>5948</v>
      </c>
      <c r="T1252" s="8" t="s">
        <v>70</v>
      </c>
      <c r="U1252" s="8" t="s">
        <v>150</v>
      </c>
      <c r="V1252" s="8" t="s">
        <v>70</v>
      </c>
      <c r="W1252" s="8" t="s">
        <v>70</v>
      </c>
      <c r="X1252" s="8">
        <v>28</v>
      </c>
      <c r="Y1252" s="8" t="s">
        <v>5796</v>
      </c>
      <c r="Z1252" s="8">
        <v>80</v>
      </c>
      <c r="AA1252" s="8">
        <v>0</v>
      </c>
      <c r="AB1252" s="9">
        <v>0</v>
      </c>
    </row>
    <row r="1253" spans="1:28" x14ac:dyDescent="0.2">
      <c r="A1253" s="10">
        <v>23140</v>
      </c>
      <c r="B1253" s="11" t="s">
        <v>8676</v>
      </c>
      <c r="C1253" s="11" t="s">
        <v>1645</v>
      </c>
      <c r="D1253" s="11" t="s">
        <v>1646</v>
      </c>
      <c r="E1253" s="11" t="s">
        <v>8677</v>
      </c>
      <c r="F1253" s="11" t="s">
        <v>1648</v>
      </c>
      <c r="G1253" s="11" t="s">
        <v>328</v>
      </c>
      <c r="H1253" s="11" t="s">
        <v>329</v>
      </c>
      <c r="I1253" s="11" t="s">
        <v>8678</v>
      </c>
      <c r="J1253" s="11" t="s">
        <v>1650</v>
      </c>
      <c r="K1253" s="11" t="s">
        <v>572</v>
      </c>
      <c r="L1253" s="11" t="s">
        <v>333</v>
      </c>
      <c r="M1253" s="11" t="s">
        <v>8679</v>
      </c>
      <c r="N1253" s="11" t="s">
        <v>128</v>
      </c>
      <c r="O1253" s="11" t="s">
        <v>8680</v>
      </c>
      <c r="P1253" s="11" t="s">
        <v>8681</v>
      </c>
      <c r="Q1253" s="11" t="s">
        <v>150</v>
      </c>
      <c r="R1253" s="11"/>
      <c r="S1253" s="11" t="s">
        <v>1654</v>
      </c>
      <c r="T1253" s="11" t="s">
        <v>70</v>
      </c>
      <c r="U1253" s="11" t="s">
        <v>150</v>
      </c>
      <c r="V1253" s="11" t="s">
        <v>70</v>
      </c>
      <c r="W1253" s="11" t="s">
        <v>70</v>
      </c>
      <c r="X1253" s="11">
        <v>28</v>
      </c>
      <c r="Y1253" s="11" t="s">
        <v>5796</v>
      </c>
      <c r="Z1253" s="11">
        <v>80</v>
      </c>
      <c r="AA1253" s="11">
        <v>0</v>
      </c>
      <c r="AB1253" s="12">
        <v>0</v>
      </c>
    </row>
    <row r="1254" spans="1:28" x14ac:dyDescent="0.2">
      <c r="A1254" s="7">
        <v>23396</v>
      </c>
      <c r="B1254" s="8" t="s">
        <v>8682</v>
      </c>
      <c r="C1254" s="8" t="s">
        <v>8683</v>
      </c>
      <c r="D1254" s="8" t="s">
        <v>7458</v>
      </c>
      <c r="E1254" s="8"/>
      <c r="F1254" s="8" t="s">
        <v>353</v>
      </c>
      <c r="G1254" s="8" t="s">
        <v>8346</v>
      </c>
      <c r="H1254" s="8" t="s">
        <v>142</v>
      </c>
      <c r="I1254" s="8" t="s">
        <v>8347</v>
      </c>
      <c r="J1254" s="8" t="s">
        <v>8684</v>
      </c>
      <c r="K1254" s="8" t="s">
        <v>717</v>
      </c>
      <c r="L1254" s="8" t="s">
        <v>464</v>
      </c>
      <c r="M1254" s="8" t="s">
        <v>8685</v>
      </c>
      <c r="N1254" s="8" t="s">
        <v>128</v>
      </c>
      <c r="O1254" s="8" t="s">
        <v>8686</v>
      </c>
      <c r="P1254" s="8" t="s">
        <v>8687</v>
      </c>
      <c r="Q1254" s="8" t="s">
        <v>150</v>
      </c>
      <c r="R1254" s="8"/>
      <c r="S1254" s="8" t="s">
        <v>71</v>
      </c>
      <c r="T1254" s="8" t="s">
        <v>1415</v>
      </c>
      <c r="U1254" s="8" t="s">
        <v>150</v>
      </c>
      <c r="V1254" s="8" t="s">
        <v>1415</v>
      </c>
      <c r="W1254" s="8" t="s">
        <v>1415</v>
      </c>
      <c r="X1254" s="8">
        <v>28</v>
      </c>
      <c r="Y1254" s="8" t="s">
        <v>5796</v>
      </c>
      <c r="Z1254" s="8">
        <v>80</v>
      </c>
      <c r="AA1254" s="8">
        <v>0</v>
      </c>
      <c r="AB1254" s="9">
        <v>0</v>
      </c>
    </row>
    <row r="1255" spans="1:28" x14ac:dyDescent="0.2">
      <c r="A1255" s="10">
        <v>23460</v>
      </c>
      <c r="B1255" s="11" t="s">
        <v>8688</v>
      </c>
      <c r="C1255" s="11" t="s">
        <v>8689</v>
      </c>
      <c r="D1255" s="11" t="s">
        <v>8690</v>
      </c>
      <c r="E1255" s="11"/>
      <c r="F1255" s="11" t="s">
        <v>353</v>
      </c>
      <c r="G1255" s="11" t="s">
        <v>4818</v>
      </c>
      <c r="H1255" s="11" t="s">
        <v>142</v>
      </c>
      <c r="I1255" s="11" t="s">
        <v>8691</v>
      </c>
      <c r="J1255" s="11" t="s">
        <v>8692</v>
      </c>
      <c r="K1255" s="11" t="s">
        <v>584</v>
      </c>
      <c r="L1255" s="11" t="s">
        <v>146</v>
      </c>
      <c r="M1255" s="11" t="s">
        <v>8693</v>
      </c>
      <c r="N1255" s="11" t="s">
        <v>128</v>
      </c>
      <c r="O1255" s="11" t="s">
        <v>8694</v>
      </c>
      <c r="P1255" s="11" t="s">
        <v>8695</v>
      </c>
      <c r="Q1255" s="11" t="s">
        <v>150</v>
      </c>
      <c r="R1255" s="11"/>
      <c r="S1255" s="11" t="s">
        <v>71</v>
      </c>
      <c r="T1255" s="11" t="s">
        <v>1415</v>
      </c>
      <c r="U1255" s="11" t="s">
        <v>150</v>
      </c>
      <c r="V1255" s="11" t="s">
        <v>1415</v>
      </c>
      <c r="W1255" s="11" t="s">
        <v>1415</v>
      </c>
      <c r="X1255" s="11">
        <v>28</v>
      </c>
      <c r="Y1255" s="11" t="s">
        <v>5796</v>
      </c>
      <c r="Z1255" s="11">
        <v>80</v>
      </c>
      <c r="AA1255" s="11">
        <v>0</v>
      </c>
      <c r="AB1255" s="12">
        <v>0</v>
      </c>
    </row>
    <row r="1256" spans="1:28" x14ac:dyDescent="0.2">
      <c r="A1256" s="7">
        <v>24632</v>
      </c>
      <c r="B1256" s="8" t="s">
        <v>8696</v>
      </c>
      <c r="C1256" s="8" t="s">
        <v>8697</v>
      </c>
      <c r="D1256" s="8" t="s">
        <v>8698</v>
      </c>
      <c r="E1256" s="8"/>
      <c r="F1256" s="8" t="s">
        <v>353</v>
      </c>
      <c r="G1256" s="8" t="s">
        <v>8653</v>
      </c>
      <c r="H1256" s="8" t="s">
        <v>329</v>
      </c>
      <c r="I1256" s="8" t="s">
        <v>8699</v>
      </c>
      <c r="J1256" s="8" t="s">
        <v>8700</v>
      </c>
      <c r="K1256" s="8" t="s">
        <v>572</v>
      </c>
      <c r="L1256" s="8" t="s">
        <v>333</v>
      </c>
      <c r="M1256" s="8" t="s">
        <v>8701</v>
      </c>
      <c r="N1256" s="8" t="s">
        <v>128</v>
      </c>
      <c r="O1256" s="8" t="s">
        <v>8702</v>
      </c>
      <c r="P1256" s="8" t="s">
        <v>8703</v>
      </c>
      <c r="Q1256" s="8" t="s">
        <v>150</v>
      </c>
      <c r="R1256" s="8"/>
      <c r="S1256" s="8" t="s">
        <v>71</v>
      </c>
      <c r="T1256" s="8" t="s">
        <v>69</v>
      </c>
      <c r="U1256" s="8" t="s">
        <v>150</v>
      </c>
      <c r="V1256" s="8" t="s">
        <v>152</v>
      </c>
      <c r="W1256" s="8" t="s">
        <v>69</v>
      </c>
      <c r="X1256" s="8">
        <v>28</v>
      </c>
      <c r="Y1256" s="8" t="s">
        <v>5796</v>
      </c>
      <c r="Z1256" s="8">
        <v>80</v>
      </c>
      <c r="AA1256" s="8">
        <v>0</v>
      </c>
      <c r="AB1256" s="9">
        <v>0</v>
      </c>
    </row>
    <row r="1257" spans="1:28" x14ac:dyDescent="0.2">
      <c r="A1257" s="10">
        <v>25267</v>
      </c>
      <c r="B1257" s="11" t="s">
        <v>8704</v>
      </c>
      <c r="C1257" s="11" t="s">
        <v>8705</v>
      </c>
      <c r="D1257" s="11" t="s">
        <v>8706</v>
      </c>
      <c r="E1257" s="11"/>
      <c r="F1257" s="11" t="s">
        <v>353</v>
      </c>
      <c r="G1257" s="11" t="s">
        <v>121</v>
      </c>
      <c r="H1257" s="11" t="s">
        <v>122</v>
      </c>
      <c r="I1257" s="11" t="s">
        <v>5791</v>
      </c>
      <c r="J1257" s="11" t="s">
        <v>8707</v>
      </c>
      <c r="K1257" s="11" t="s">
        <v>125</v>
      </c>
      <c r="L1257" s="11" t="s">
        <v>126</v>
      </c>
      <c r="M1257" s="11" t="s">
        <v>8708</v>
      </c>
      <c r="N1257" s="11" t="s">
        <v>128</v>
      </c>
      <c r="O1257" s="11" t="s">
        <v>8709</v>
      </c>
      <c r="P1257" s="11" t="s">
        <v>8710</v>
      </c>
      <c r="Q1257" s="11" t="s">
        <v>740</v>
      </c>
      <c r="R1257" s="11"/>
      <c r="S1257" s="11" t="s">
        <v>71</v>
      </c>
      <c r="T1257" s="11" t="s">
        <v>741</v>
      </c>
      <c r="U1257" s="11" t="s">
        <v>134</v>
      </c>
      <c r="V1257" s="11" t="s">
        <v>740</v>
      </c>
      <c r="W1257" s="11" t="s">
        <v>741</v>
      </c>
      <c r="X1257" s="11">
        <v>28</v>
      </c>
      <c r="Y1257" s="11" t="s">
        <v>5796</v>
      </c>
      <c r="Z1257" s="11">
        <v>80</v>
      </c>
      <c r="AA1257" s="11">
        <v>0</v>
      </c>
      <c r="AB1257" s="12">
        <v>0</v>
      </c>
    </row>
    <row r="1258" spans="1:28" x14ac:dyDescent="0.2">
      <c r="A1258" s="7">
        <v>21367</v>
      </c>
      <c r="B1258" s="8" t="s">
        <v>8711</v>
      </c>
      <c r="C1258" s="8" t="s">
        <v>8712</v>
      </c>
      <c r="D1258" s="8" t="s">
        <v>3973</v>
      </c>
      <c r="E1258" s="8" t="s">
        <v>8713</v>
      </c>
      <c r="F1258" s="8" t="s">
        <v>8714</v>
      </c>
      <c r="G1258" s="8" t="s">
        <v>141</v>
      </c>
      <c r="H1258" s="8" t="s">
        <v>142</v>
      </c>
      <c r="I1258" s="8" t="s">
        <v>8715</v>
      </c>
      <c r="J1258" s="8" t="s">
        <v>8716</v>
      </c>
      <c r="K1258" s="8" t="s">
        <v>991</v>
      </c>
      <c r="L1258" s="8" t="s">
        <v>146</v>
      </c>
      <c r="M1258" s="8" t="s">
        <v>8717</v>
      </c>
      <c r="N1258" s="8" t="s">
        <v>128</v>
      </c>
      <c r="O1258" s="8" t="s">
        <v>8718</v>
      </c>
      <c r="P1258" s="8" t="s">
        <v>8719</v>
      </c>
      <c r="Q1258" s="8" t="s">
        <v>150</v>
      </c>
      <c r="R1258" s="8"/>
      <c r="S1258" s="8" t="s">
        <v>71</v>
      </c>
      <c r="T1258" s="8" t="s">
        <v>67</v>
      </c>
      <c r="U1258" s="8" t="s">
        <v>150</v>
      </c>
      <c r="V1258" s="8" t="s">
        <v>152</v>
      </c>
      <c r="W1258" s="8" t="s">
        <v>67</v>
      </c>
      <c r="X1258" s="8">
        <v>27</v>
      </c>
      <c r="Y1258" s="8" t="s">
        <v>5796</v>
      </c>
      <c r="Z1258" s="8">
        <v>80</v>
      </c>
      <c r="AA1258" s="8">
        <v>0</v>
      </c>
      <c r="AB1258" s="9">
        <v>0</v>
      </c>
    </row>
    <row r="1259" spans="1:28" x14ac:dyDescent="0.2">
      <c r="A1259" s="10">
        <v>21424</v>
      </c>
      <c r="B1259" s="11" t="s">
        <v>8720</v>
      </c>
      <c r="C1259" s="11" t="s">
        <v>8721</v>
      </c>
      <c r="D1259" s="11" t="s">
        <v>8690</v>
      </c>
      <c r="E1259" s="11" t="s">
        <v>8722</v>
      </c>
      <c r="F1259" s="11" t="s">
        <v>8723</v>
      </c>
      <c r="G1259" s="11" t="s">
        <v>648</v>
      </c>
      <c r="H1259" s="11" t="s">
        <v>142</v>
      </c>
      <c r="I1259" s="11" t="s">
        <v>8724</v>
      </c>
      <c r="J1259" s="11" t="s">
        <v>8725</v>
      </c>
      <c r="K1259" s="11" t="s">
        <v>651</v>
      </c>
      <c r="L1259" s="11" t="s">
        <v>146</v>
      </c>
      <c r="M1259" s="11" t="s">
        <v>8726</v>
      </c>
      <c r="N1259" s="11" t="s">
        <v>128</v>
      </c>
      <c r="O1259" s="11" t="s">
        <v>8727</v>
      </c>
      <c r="P1259" s="11" t="s">
        <v>8728</v>
      </c>
      <c r="Q1259" s="11" t="s">
        <v>150</v>
      </c>
      <c r="R1259" s="11"/>
      <c r="S1259" s="11" t="s">
        <v>8729</v>
      </c>
      <c r="T1259" s="11" t="s">
        <v>67</v>
      </c>
      <c r="U1259" s="11" t="s">
        <v>150</v>
      </c>
      <c r="V1259" s="11" t="s">
        <v>152</v>
      </c>
      <c r="W1259" s="11" t="s">
        <v>67</v>
      </c>
      <c r="X1259" s="11">
        <v>27</v>
      </c>
      <c r="Y1259" s="11" t="s">
        <v>5796</v>
      </c>
      <c r="Z1259" s="11">
        <v>80</v>
      </c>
      <c r="AA1259" s="11">
        <v>0</v>
      </c>
      <c r="AB1259" s="12">
        <v>0</v>
      </c>
    </row>
    <row r="1260" spans="1:28" x14ac:dyDescent="0.2">
      <c r="A1260" s="7">
        <v>21682</v>
      </c>
      <c r="B1260" s="8" t="s">
        <v>8730</v>
      </c>
      <c r="C1260" s="8" t="s">
        <v>8731</v>
      </c>
      <c r="D1260" s="8" t="s">
        <v>8732</v>
      </c>
      <c r="E1260" s="8"/>
      <c r="F1260" s="8" t="s">
        <v>8733</v>
      </c>
      <c r="G1260" s="8" t="s">
        <v>846</v>
      </c>
      <c r="H1260" s="8" t="s">
        <v>847</v>
      </c>
      <c r="I1260" s="8" t="s">
        <v>8734</v>
      </c>
      <c r="J1260" s="8" t="s">
        <v>8735</v>
      </c>
      <c r="K1260" s="8" t="s">
        <v>850</v>
      </c>
      <c r="L1260" s="8" t="s">
        <v>126</v>
      </c>
      <c r="M1260" s="8" t="s">
        <v>8736</v>
      </c>
      <c r="N1260" s="8" t="s">
        <v>128</v>
      </c>
      <c r="O1260" s="8" t="s">
        <v>8737</v>
      </c>
      <c r="P1260" s="8" t="s">
        <v>8738</v>
      </c>
      <c r="Q1260" s="8" t="s">
        <v>150</v>
      </c>
      <c r="R1260" s="8"/>
      <c r="S1260" s="8" t="s">
        <v>71</v>
      </c>
      <c r="T1260" s="8" t="s">
        <v>67</v>
      </c>
      <c r="U1260" s="8" t="s">
        <v>150</v>
      </c>
      <c r="V1260" s="8" t="s">
        <v>152</v>
      </c>
      <c r="W1260" s="8" t="s">
        <v>67</v>
      </c>
      <c r="X1260" s="8">
        <v>27</v>
      </c>
      <c r="Y1260" s="8" t="s">
        <v>5796</v>
      </c>
      <c r="Z1260" s="8">
        <v>80</v>
      </c>
      <c r="AA1260" s="8">
        <v>0</v>
      </c>
      <c r="AB1260" s="9">
        <v>0</v>
      </c>
    </row>
    <row r="1261" spans="1:28" x14ac:dyDescent="0.2">
      <c r="A1261" s="10">
        <v>21787</v>
      </c>
      <c r="B1261" s="11" t="s">
        <v>8739</v>
      </c>
      <c r="C1261" s="11" t="s">
        <v>2431</v>
      </c>
      <c r="D1261" s="11" t="s">
        <v>2432</v>
      </c>
      <c r="E1261" s="11"/>
      <c r="F1261" s="11" t="s">
        <v>2434</v>
      </c>
      <c r="G1261" s="11" t="s">
        <v>2435</v>
      </c>
      <c r="H1261" s="11" t="s">
        <v>142</v>
      </c>
      <c r="I1261" s="11" t="s">
        <v>2436</v>
      </c>
      <c r="J1261" s="11" t="s">
        <v>2437</v>
      </c>
      <c r="K1261" s="11" t="s">
        <v>1029</v>
      </c>
      <c r="L1261" s="11" t="s">
        <v>464</v>
      </c>
      <c r="M1261" s="11" t="s">
        <v>8740</v>
      </c>
      <c r="N1261" s="11" t="s">
        <v>128</v>
      </c>
      <c r="O1261" s="11" t="s">
        <v>8741</v>
      </c>
      <c r="P1261" s="11"/>
      <c r="Q1261" s="11" t="s">
        <v>131</v>
      </c>
      <c r="R1261" s="11"/>
      <c r="S1261" s="11" t="s">
        <v>2441</v>
      </c>
      <c r="T1261" s="11" t="s">
        <v>983</v>
      </c>
      <c r="U1261" s="11" t="s">
        <v>134</v>
      </c>
      <c r="V1261" s="11" t="s">
        <v>131</v>
      </c>
      <c r="W1261" s="11" t="s">
        <v>983</v>
      </c>
      <c r="X1261" s="11">
        <v>27</v>
      </c>
      <c r="Y1261" s="11" t="s">
        <v>5796</v>
      </c>
      <c r="Z1261" s="11">
        <v>80</v>
      </c>
      <c r="AA1261" s="11">
        <v>0</v>
      </c>
      <c r="AB1261" s="12">
        <v>0</v>
      </c>
    </row>
    <row r="1262" spans="1:28" x14ac:dyDescent="0.2">
      <c r="A1262" s="7">
        <v>124432</v>
      </c>
      <c r="B1262" s="8" t="s">
        <v>8742</v>
      </c>
      <c r="C1262" s="8" t="s">
        <v>8146</v>
      </c>
      <c r="D1262" s="8" t="s">
        <v>4579</v>
      </c>
      <c r="E1262" s="8"/>
      <c r="F1262" s="8" t="s">
        <v>5845</v>
      </c>
      <c r="G1262" s="8" t="s">
        <v>190</v>
      </c>
      <c r="H1262" s="8" t="s">
        <v>191</v>
      </c>
      <c r="I1262" s="8" t="s">
        <v>8743</v>
      </c>
      <c r="J1262" s="8" t="s">
        <v>8744</v>
      </c>
      <c r="K1262" s="8" t="s">
        <v>194</v>
      </c>
      <c r="L1262" s="8" t="s">
        <v>163</v>
      </c>
      <c r="M1262" s="8" t="s">
        <v>8745</v>
      </c>
      <c r="N1262" s="8" t="s">
        <v>128</v>
      </c>
      <c r="O1262" s="8" t="s">
        <v>8746</v>
      </c>
      <c r="P1262" s="8"/>
      <c r="Q1262" s="8" t="s">
        <v>131</v>
      </c>
      <c r="R1262" s="8"/>
      <c r="S1262" s="8" t="s">
        <v>8153</v>
      </c>
      <c r="T1262" s="8" t="s">
        <v>983</v>
      </c>
      <c r="U1262" s="8" t="s">
        <v>134</v>
      </c>
      <c r="V1262" s="8" t="s">
        <v>131</v>
      </c>
      <c r="W1262" s="8" t="s">
        <v>983</v>
      </c>
      <c r="X1262" s="8">
        <v>27</v>
      </c>
      <c r="Y1262" s="8" t="s">
        <v>5796</v>
      </c>
      <c r="Z1262" s="8">
        <v>80</v>
      </c>
      <c r="AA1262" s="8">
        <v>0</v>
      </c>
      <c r="AB1262" s="9">
        <v>0</v>
      </c>
    </row>
    <row r="1263" spans="1:28" x14ac:dyDescent="0.2">
      <c r="A1263" s="10">
        <v>126730</v>
      </c>
      <c r="B1263" s="11" t="s">
        <v>8747</v>
      </c>
      <c r="C1263" s="11" t="s">
        <v>3239</v>
      </c>
      <c r="D1263" s="11" t="s">
        <v>6782</v>
      </c>
      <c r="E1263" s="11"/>
      <c r="F1263" s="11" t="s">
        <v>353</v>
      </c>
      <c r="G1263" s="11" t="s">
        <v>5012</v>
      </c>
      <c r="H1263" s="11" t="s">
        <v>301</v>
      </c>
      <c r="I1263" s="11" t="s">
        <v>8748</v>
      </c>
      <c r="J1263" s="11" t="s">
        <v>8749</v>
      </c>
      <c r="K1263" s="11" t="s">
        <v>228</v>
      </c>
      <c r="L1263" s="11" t="s">
        <v>229</v>
      </c>
      <c r="M1263" s="11" t="s">
        <v>8750</v>
      </c>
      <c r="N1263" s="11" t="s">
        <v>128</v>
      </c>
      <c r="O1263" s="11" t="s">
        <v>8751</v>
      </c>
      <c r="P1263" s="11"/>
      <c r="Q1263" s="11" t="s">
        <v>131</v>
      </c>
      <c r="R1263" s="11"/>
      <c r="S1263" s="11" t="s">
        <v>71</v>
      </c>
      <c r="T1263" s="11" t="s">
        <v>983</v>
      </c>
      <c r="U1263" s="11" t="s">
        <v>134</v>
      </c>
      <c r="V1263" s="11" t="s">
        <v>131</v>
      </c>
      <c r="W1263" s="11" t="s">
        <v>983</v>
      </c>
      <c r="X1263" s="11">
        <v>27</v>
      </c>
      <c r="Y1263" s="11" t="s">
        <v>5796</v>
      </c>
      <c r="Z1263" s="11">
        <v>80</v>
      </c>
      <c r="AA1263" s="11">
        <v>0</v>
      </c>
      <c r="AB1263" s="12">
        <v>0</v>
      </c>
    </row>
    <row r="1264" spans="1:28" x14ac:dyDescent="0.2">
      <c r="A1264" s="7">
        <v>22048</v>
      </c>
      <c r="B1264" s="8" t="s">
        <v>8752</v>
      </c>
      <c r="C1264" s="8" t="s">
        <v>8753</v>
      </c>
      <c r="D1264" s="8" t="s">
        <v>138</v>
      </c>
      <c r="E1264" s="8" t="s">
        <v>8754</v>
      </c>
      <c r="F1264" s="8" t="s">
        <v>353</v>
      </c>
      <c r="G1264" s="8" t="s">
        <v>3929</v>
      </c>
      <c r="H1264" s="8" t="s">
        <v>704</v>
      </c>
      <c r="I1264" s="8" t="s">
        <v>8755</v>
      </c>
      <c r="J1264" s="8" t="s">
        <v>8756</v>
      </c>
      <c r="K1264" s="8" t="s">
        <v>850</v>
      </c>
      <c r="L1264" s="8" t="s">
        <v>126</v>
      </c>
      <c r="M1264" s="8" t="s">
        <v>8757</v>
      </c>
      <c r="N1264" s="8" t="s">
        <v>128</v>
      </c>
      <c r="O1264" s="8" t="s">
        <v>8758</v>
      </c>
      <c r="P1264" s="8" t="s">
        <v>8759</v>
      </c>
      <c r="Q1264" s="8" t="s">
        <v>131</v>
      </c>
      <c r="R1264" s="8"/>
      <c r="S1264" s="8" t="s">
        <v>8760</v>
      </c>
      <c r="T1264" s="8" t="s">
        <v>133</v>
      </c>
      <c r="U1264" s="8" t="s">
        <v>134</v>
      </c>
      <c r="V1264" s="8" t="s">
        <v>131</v>
      </c>
      <c r="W1264" s="8" t="s">
        <v>133</v>
      </c>
      <c r="X1264" s="8">
        <v>27</v>
      </c>
      <c r="Y1264" s="8" t="s">
        <v>5796</v>
      </c>
      <c r="Z1264" s="8">
        <v>80</v>
      </c>
      <c r="AA1264" s="8">
        <v>0</v>
      </c>
      <c r="AB1264" s="9">
        <v>0</v>
      </c>
    </row>
    <row r="1265" spans="1:28" x14ac:dyDescent="0.2">
      <c r="A1265" s="10">
        <v>23085</v>
      </c>
      <c r="B1265" s="11" t="s">
        <v>8761</v>
      </c>
      <c r="C1265" s="11" t="s">
        <v>8762</v>
      </c>
      <c r="D1265" s="11" t="s">
        <v>7274</v>
      </c>
      <c r="E1265" s="11" t="s">
        <v>8763</v>
      </c>
      <c r="F1265" s="11" t="s">
        <v>353</v>
      </c>
      <c r="G1265" s="11" t="s">
        <v>224</v>
      </c>
      <c r="H1265" s="11" t="s">
        <v>225</v>
      </c>
      <c r="I1265" s="11" t="s">
        <v>8764</v>
      </c>
      <c r="J1265" s="11" t="s">
        <v>8765</v>
      </c>
      <c r="K1265" s="11" t="s">
        <v>228</v>
      </c>
      <c r="L1265" s="11" t="s">
        <v>229</v>
      </c>
      <c r="M1265" s="11" t="s">
        <v>8766</v>
      </c>
      <c r="N1265" s="11" t="s">
        <v>128</v>
      </c>
      <c r="O1265" s="11" t="s">
        <v>8767</v>
      </c>
      <c r="P1265" s="11" t="s">
        <v>8768</v>
      </c>
      <c r="Q1265" s="11" t="s">
        <v>150</v>
      </c>
      <c r="R1265" s="11"/>
      <c r="S1265" s="11" t="s">
        <v>71</v>
      </c>
      <c r="T1265" s="11" t="s">
        <v>70</v>
      </c>
      <c r="U1265" s="11" t="s">
        <v>150</v>
      </c>
      <c r="V1265" s="11" t="s">
        <v>70</v>
      </c>
      <c r="W1265" s="11" t="s">
        <v>70</v>
      </c>
      <c r="X1265" s="11">
        <v>27</v>
      </c>
      <c r="Y1265" s="11" t="s">
        <v>5796</v>
      </c>
      <c r="Z1265" s="11">
        <v>80</v>
      </c>
      <c r="AA1265" s="11">
        <v>0</v>
      </c>
      <c r="AB1265" s="12">
        <v>0</v>
      </c>
    </row>
    <row r="1266" spans="1:28" x14ac:dyDescent="0.2">
      <c r="A1266" s="7">
        <v>23310</v>
      </c>
      <c r="B1266" s="8" t="s">
        <v>8769</v>
      </c>
      <c r="C1266" s="8" t="s">
        <v>8770</v>
      </c>
      <c r="D1266" s="8" t="s">
        <v>8771</v>
      </c>
      <c r="E1266" s="8" t="s">
        <v>281</v>
      </c>
      <c r="F1266" s="8" t="s">
        <v>8772</v>
      </c>
      <c r="G1266" s="8" t="s">
        <v>1488</v>
      </c>
      <c r="H1266" s="8" t="s">
        <v>329</v>
      </c>
      <c r="I1266" s="8" t="s">
        <v>8773</v>
      </c>
      <c r="J1266" s="8" t="s">
        <v>8774</v>
      </c>
      <c r="K1266" s="8" t="s">
        <v>415</v>
      </c>
      <c r="L1266" s="8" t="s">
        <v>333</v>
      </c>
      <c r="M1266" s="8" t="s">
        <v>8775</v>
      </c>
      <c r="N1266" s="8" t="s">
        <v>128</v>
      </c>
      <c r="O1266" s="8" t="s">
        <v>8776</v>
      </c>
      <c r="P1266" s="8" t="s">
        <v>8777</v>
      </c>
      <c r="Q1266" s="8" t="s">
        <v>150</v>
      </c>
      <c r="R1266" s="8"/>
      <c r="S1266" s="8" t="s">
        <v>8778</v>
      </c>
      <c r="T1266" s="8" t="s">
        <v>70</v>
      </c>
      <c r="U1266" s="8" t="s">
        <v>150</v>
      </c>
      <c r="V1266" s="8" t="s">
        <v>70</v>
      </c>
      <c r="W1266" s="8" t="s">
        <v>70</v>
      </c>
      <c r="X1266" s="8">
        <v>27</v>
      </c>
      <c r="Y1266" s="8" t="s">
        <v>5796</v>
      </c>
      <c r="Z1266" s="8">
        <v>80</v>
      </c>
      <c r="AA1266" s="8">
        <v>0</v>
      </c>
      <c r="AB1266" s="9">
        <v>0</v>
      </c>
    </row>
    <row r="1267" spans="1:28" x14ac:dyDescent="0.2">
      <c r="A1267" s="10">
        <v>23402</v>
      </c>
      <c r="B1267" s="11" t="s">
        <v>8779</v>
      </c>
      <c r="C1267" s="11" t="s">
        <v>8780</v>
      </c>
      <c r="D1267" s="11" t="s">
        <v>8781</v>
      </c>
      <c r="E1267" s="11"/>
      <c r="F1267" s="11" t="s">
        <v>8782</v>
      </c>
      <c r="G1267" s="11" t="s">
        <v>1325</v>
      </c>
      <c r="H1267" s="11" t="s">
        <v>142</v>
      </c>
      <c r="I1267" s="11" t="s">
        <v>8783</v>
      </c>
      <c r="J1267" s="11" t="s">
        <v>8784</v>
      </c>
      <c r="K1267" s="11" t="s">
        <v>974</v>
      </c>
      <c r="L1267" s="11" t="s">
        <v>146</v>
      </c>
      <c r="M1267" s="11" t="s">
        <v>8785</v>
      </c>
      <c r="N1267" s="11" t="s">
        <v>128</v>
      </c>
      <c r="O1267" s="11" t="s">
        <v>8786</v>
      </c>
      <c r="P1267" s="11" t="s">
        <v>8787</v>
      </c>
      <c r="Q1267" s="11" t="s">
        <v>150</v>
      </c>
      <c r="R1267" s="11"/>
      <c r="S1267" s="11" t="s">
        <v>71</v>
      </c>
      <c r="T1267" s="11" t="s">
        <v>1415</v>
      </c>
      <c r="U1267" s="11" t="s">
        <v>150</v>
      </c>
      <c r="V1267" s="11" t="s">
        <v>1415</v>
      </c>
      <c r="W1267" s="11" t="s">
        <v>1415</v>
      </c>
      <c r="X1267" s="11">
        <v>27</v>
      </c>
      <c r="Y1267" s="11" t="s">
        <v>5796</v>
      </c>
      <c r="Z1267" s="11">
        <v>80</v>
      </c>
      <c r="AA1267" s="11">
        <v>0</v>
      </c>
      <c r="AB1267" s="12">
        <v>0</v>
      </c>
    </row>
    <row r="1268" spans="1:28" x14ac:dyDescent="0.2">
      <c r="A1268" s="7">
        <v>23690</v>
      </c>
      <c r="B1268" s="8" t="s">
        <v>8788</v>
      </c>
      <c r="C1268" s="8" t="s">
        <v>8789</v>
      </c>
      <c r="D1268" s="8" t="s">
        <v>8790</v>
      </c>
      <c r="E1268" s="8" t="s">
        <v>3523</v>
      </c>
      <c r="F1268" s="8" t="s">
        <v>8791</v>
      </c>
      <c r="G1268" s="8" t="s">
        <v>121</v>
      </c>
      <c r="H1268" s="8" t="s">
        <v>122</v>
      </c>
      <c r="I1268" s="8" t="s">
        <v>8792</v>
      </c>
      <c r="J1268" s="8" t="s">
        <v>8793</v>
      </c>
      <c r="K1268" s="8" t="s">
        <v>1051</v>
      </c>
      <c r="L1268" s="8" t="s">
        <v>126</v>
      </c>
      <c r="M1268" s="8" t="s">
        <v>8794</v>
      </c>
      <c r="N1268" s="8" t="s">
        <v>128</v>
      </c>
      <c r="O1268" s="8" t="s">
        <v>8795</v>
      </c>
      <c r="P1268" s="8" t="s">
        <v>8796</v>
      </c>
      <c r="Q1268" s="8" t="s">
        <v>150</v>
      </c>
      <c r="R1268" s="8"/>
      <c r="S1268" s="8" t="s">
        <v>71</v>
      </c>
      <c r="T1268" s="8" t="s">
        <v>168</v>
      </c>
      <c r="U1268" s="8" t="s">
        <v>150</v>
      </c>
      <c r="V1268" s="8" t="s">
        <v>168</v>
      </c>
      <c r="W1268" s="8" t="s">
        <v>168</v>
      </c>
      <c r="X1268" s="8">
        <v>27</v>
      </c>
      <c r="Y1268" s="8" t="s">
        <v>5796</v>
      </c>
      <c r="Z1268" s="8">
        <v>80</v>
      </c>
      <c r="AA1268" s="8">
        <v>0</v>
      </c>
      <c r="AB1268" s="9">
        <v>0</v>
      </c>
    </row>
    <row r="1269" spans="1:28" x14ac:dyDescent="0.2">
      <c r="A1269" s="10">
        <v>23883</v>
      </c>
      <c r="B1269" s="11" t="s">
        <v>8797</v>
      </c>
      <c r="C1269" s="11" t="s">
        <v>8798</v>
      </c>
      <c r="D1269" s="11" t="s">
        <v>1333</v>
      </c>
      <c r="E1269" s="11" t="s">
        <v>8799</v>
      </c>
      <c r="F1269" s="11" t="s">
        <v>8800</v>
      </c>
      <c r="G1269" s="11" t="s">
        <v>141</v>
      </c>
      <c r="H1269" s="11" t="s">
        <v>142</v>
      </c>
      <c r="I1269" s="11" t="s">
        <v>8801</v>
      </c>
      <c r="J1269" s="11" t="s">
        <v>8802</v>
      </c>
      <c r="K1269" s="11" t="s">
        <v>145</v>
      </c>
      <c r="L1269" s="11" t="s">
        <v>146</v>
      </c>
      <c r="M1269" s="11" t="s">
        <v>8803</v>
      </c>
      <c r="N1269" s="11" t="s">
        <v>128</v>
      </c>
      <c r="O1269" s="11" t="s">
        <v>8804</v>
      </c>
      <c r="P1269" s="11" t="s">
        <v>3677</v>
      </c>
      <c r="Q1269" s="11" t="s">
        <v>150</v>
      </c>
      <c r="R1269" s="11"/>
      <c r="S1269" s="11" t="s">
        <v>8805</v>
      </c>
      <c r="T1269" s="11" t="s">
        <v>168</v>
      </c>
      <c r="U1269" s="11" t="s">
        <v>150</v>
      </c>
      <c r="V1269" s="11" t="s">
        <v>168</v>
      </c>
      <c r="W1269" s="11" t="s">
        <v>168</v>
      </c>
      <c r="X1269" s="11">
        <v>27</v>
      </c>
      <c r="Y1269" s="11" t="s">
        <v>5796</v>
      </c>
      <c r="Z1269" s="11">
        <v>80</v>
      </c>
      <c r="AA1269" s="11">
        <v>0</v>
      </c>
      <c r="AB1269" s="12">
        <v>0</v>
      </c>
    </row>
    <row r="1270" spans="1:28" x14ac:dyDescent="0.2">
      <c r="A1270" s="7">
        <v>86402</v>
      </c>
      <c r="B1270" s="8" t="s">
        <v>8806</v>
      </c>
      <c r="C1270" s="8" t="s">
        <v>8807</v>
      </c>
      <c r="D1270" s="8" t="s">
        <v>1942</v>
      </c>
      <c r="E1270" s="8"/>
      <c r="F1270" s="8" t="s">
        <v>6430</v>
      </c>
      <c r="G1270" s="8" t="s">
        <v>4226</v>
      </c>
      <c r="H1270" s="8" t="s">
        <v>329</v>
      </c>
      <c r="I1270" s="8" t="s">
        <v>8808</v>
      </c>
      <c r="J1270" s="8" t="s">
        <v>8809</v>
      </c>
      <c r="K1270" s="8" t="s">
        <v>415</v>
      </c>
      <c r="L1270" s="8" t="s">
        <v>333</v>
      </c>
      <c r="M1270" s="8" t="s">
        <v>8810</v>
      </c>
      <c r="N1270" s="8" t="s">
        <v>128</v>
      </c>
      <c r="O1270" s="8" t="s">
        <v>8811</v>
      </c>
      <c r="P1270" s="8" t="s">
        <v>8812</v>
      </c>
      <c r="Q1270" s="8" t="s">
        <v>150</v>
      </c>
      <c r="R1270" s="8"/>
      <c r="S1270" s="8" t="s">
        <v>71</v>
      </c>
      <c r="T1270" s="8" t="s">
        <v>168</v>
      </c>
      <c r="U1270" s="8" t="s">
        <v>150</v>
      </c>
      <c r="V1270" s="8" t="s">
        <v>168</v>
      </c>
      <c r="W1270" s="8" t="s">
        <v>168</v>
      </c>
      <c r="X1270" s="8">
        <v>27</v>
      </c>
      <c r="Y1270" s="8" t="s">
        <v>5796</v>
      </c>
      <c r="Z1270" s="8">
        <v>80</v>
      </c>
      <c r="AA1270" s="8">
        <v>0</v>
      </c>
      <c r="AB1270" s="9">
        <v>0</v>
      </c>
    </row>
    <row r="1271" spans="1:28" x14ac:dyDescent="0.2">
      <c r="A1271" s="10">
        <v>25291</v>
      </c>
      <c r="B1271" s="11" t="s">
        <v>8813</v>
      </c>
      <c r="C1271" s="11" t="s">
        <v>8146</v>
      </c>
      <c r="D1271" s="11" t="s">
        <v>4579</v>
      </c>
      <c r="E1271" s="11" t="s">
        <v>8814</v>
      </c>
      <c r="F1271" s="11" t="s">
        <v>5845</v>
      </c>
      <c r="G1271" s="11" t="s">
        <v>190</v>
      </c>
      <c r="H1271" s="11" t="s">
        <v>191</v>
      </c>
      <c r="I1271" s="11" t="s">
        <v>8743</v>
      </c>
      <c r="J1271" s="11" t="s">
        <v>8149</v>
      </c>
      <c r="K1271" s="11" t="s">
        <v>194</v>
      </c>
      <c r="L1271" s="11" t="s">
        <v>163</v>
      </c>
      <c r="M1271" s="11" t="s">
        <v>8815</v>
      </c>
      <c r="N1271" s="11" t="s">
        <v>128</v>
      </c>
      <c r="O1271" s="11" t="s">
        <v>8816</v>
      </c>
      <c r="P1271" s="11" t="s">
        <v>8817</v>
      </c>
      <c r="Q1271" s="11" t="s">
        <v>740</v>
      </c>
      <c r="R1271" s="11"/>
      <c r="S1271" s="11" t="s">
        <v>8153</v>
      </c>
      <c r="T1271" s="11" t="s">
        <v>741</v>
      </c>
      <c r="U1271" s="11" t="s">
        <v>134</v>
      </c>
      <c r="V1271" s="11" t="s">
        <v>740</v>
      </c>
      <c r="W1271" s="11" t="s">
        <v>741</v>
      </c>
      <c r="X1271" s="11">
        <v>27</v>
      </c>
      <c r="Y1271" s="11" t="s">
        <v>5796</v>
      </c>
      <c r="Z1271" s="11">
        <v>80</v>
      </c>
      <c r="AA1271" s="11">
        <v>0</v>
      </c>
      <c r="AB1271" s="12">
        <v>0</v>
      </c>
    </row>
    <row r="1272" spans="1:28" x14ac:dyDescent="0.2">
      <c r="A1272" s="7">
        <v>31478</v>
      </c>
      <c r="B1272" s="8" t="s">
        <v>8818</v>
      </c>
      <c r="C1272" s="8" t="s">
        <v>4010</v>
      </c>
      <c r="D1272" s="8" t="s">
        <v>1434</v>
      </c>
      <c r="E1272" s="8"/>
      <c r="F1272" s="8" t="s">
        <v>8819</v>
      </c>
      <c r="G1272" s="8" t="s">
        <v>4012</v>
      </c>
      <c r="H1272" s="8" t="s">
        <v>671</v>
      </c>
      <c r="I1272" s="8" t="s">
        <v>8546</v>
      </c>
      <c r="J1272" s="8" t="s">
        <v>8820</v>
      </c>
      <c r="K1272" s="8" t="s">
        <v>572</v>
      </c>
      <c r="L1272" s="8" t="s">
        <v>333</v>
      </c>
      <c r="M1272" s="8" t="s">
        <v>8821</v>
      </c>
      <c r="N1272" s="8" t="s">
        <v>128</v>
      </c>
      <c r="O1272" s="8" t="s">
        <v>8822</v>
      </c>
      <c r="P1272" s="8" t="s">
        <v>8823</v>
      </c>
      <c r="Q1272" s="8" t="s">
        <v>249</v>
      </c>
      <c r="R1272" s="8"/>
      <c r="S1272" s="8" t="s">
        <v>71</v>
      </c>
      <c r="T1272" s="8" t="s">
        <v>250</v>
      </c>
      <c r="U1272" s="8" t="s">
        <v>134</v>
      </c>
      <c r="V1272" s="8" t="s">
        <v>249</v>
      </c>
      <c r="W1272" s="8" t="s">
        <v>250</v>
      </c>
      <c r="X1272" s="8">
        <v>27</v>
      </c>
      <c r="Y1272" s="8" t="s">
        <v>5796</v>
      </c>
      <c r="Z1272" s="8">
        <v>80</v>
      </c>
      <c r="AA1272" s="8">
        <v>0</v>
      </c>
      <c r="AB1272" s="9">
        <v>0</v>
      </c>
    </row>
    <row r="1273" spans="1:28" x14ac:dyDescent="0.2">
      <c r="A1273" s="10">
        <v>21193</v>
      </c>
      <c r="B1273" s="11" t="s">
        <v>8824</v>
      </c>
      <c r="C1273" s="11" t="s">
        <v>8825</v>
      </c>
      <c r="D1273" s="11" t="s">
        <v>8826</v>
      </c>
      <c r="E1273" s="11"/>
      <c r="F1273" s="11"/>
      <c r="G1273" s="11" t="s">
        <v>141</v>
      </c>
      <c r="H1273" s="11" t="s">
        <v>142</v>
      </c>
      <c r="I1273" s="11" t="s">
        <v>8827</v>
      </c>
      <c r="J1273" s="11" t="s">
        <v>8828</v>
      </c>
      <c r="K1273" s="11" t="s">
        <v>991</v>
      </c>
      <c r="L1273" s="11" t="s">
        <v>146</v>
      </c>
      <c r="M1273" s="11" t="s">
        <v>8829</v>
      </c>
      <c r="N1273" s="11" t="s">
        <v>128</v>
      </c>
      <c r="O1273" s="11" t="s">
        <v>8830</v>
      </c>
      <c r="P1273" s="11" t="s">
        <v>8831</v>
      </c>
      <c r="Q1273" s="11" t="s">
        <v>150</v>
      </c>
      <c r="R1273" s="11"/>
      <c r="S1273" s="11" t="s">
        <v>71</v>
      </c>
      <c r="T1273" s="11" t="s">
        <v>289</v>
      </c>
      <c r="U1273" s="11" t="s">
        <v>150</v>
      </c>
      <c r="V1273" s="11" t="s">
        <v>289</v>
      </c>
      <c r="W1273" s="11" t="s">
        <v>289</v>
      </c>
      <c r="X1273" s="11">
        <v>26</v>
      </c>
      <c r="Y1273" s="11" t="s">
        <v>5796</v>
      </c>
      <c r="Z1273" s="11">
        <v>80</v>
      </c>
      <c r="AA1273" s="11">
        <v>0</v>
      </c>
      <c r="AB1273" s="12">
        <v>0</v>
      </c>
    </row>
    <row r="1274" spans="1:28" x14ac:dyDescent="0.2">
      <c r="A1274" s="7">
        <v>21422</v>
      </c>
      <c r="B1274" s="8" t="s">
        <v>8832</v>
      </c>
      <c r="C1274" s="8" t="s">
        <v>7219</v>
      </c>
      <c r="D1274" s="8" t="s">
        <v>8833</v>
      </c>
      <c r="E1274" s="8" t="s">
        <v>8834</v>
      </c>
      <c r="F1274" s="8" t="s">
        <v>353</v>
      </c>
      <c r="G1274" s="8" t="s">
        <v>4831</v>
      </c>
      <c r="H1274" s="8" t="s">
        <v>122</v>
      </c>
      <c r="I1274" s="8" t="s">
        <v>7221</v>
      </c>
      <c r="J1274" s="8" t="s">
        <v>8835</v>
      </c>
      <c r="K1274" s="8" t="s">
        <v>1051</v>
      </c>
      <c r="L1274" s="8" t="s">
        <v>126</v>
      </c>
      <c r="M1274" s="8" t="s">
        <v>8836</v>
      </c>
      <c r="N1274" s="8" t="s">
        <v>128</v>
      </c>
      <c r="O1274" s="8" t="s">
        <v>8837</v>
      </c>
      <c r="P1274" s="8" t="s">
        <v>8838</v>
      </c>
      <c r="Q1274" s="8" t="s">
        <v>150</v>
      </c>
      <c r="R1274" s="8"/>
      <c r="S1274" s="8" t="s">
        <v>71</v>
      </c>
      <c r="T1274" s="8" t="s">
        <v>67</v>
      </c>
      <c r="U1274" s="8" t="s">
        <v>150</v>
      </c>
      <c r="V1274" s="8" t="s">
        <v>152</v>
      </c>
      <c r="W1274" s="8" t="s">
        <v>67</v>
      </c>
      <c r="X1274" s="8">
        <v>26</v>
      </c>
      <c r="Y1274" s="8" t="s">
        <v>5796</v>
      </c>
      <c r="Z1274" s="8">
        <v>80</v>
      </c>
      <c r="AA1274" s="8">
        <v>0</v>
      </c>
      <c r="AB1274" s="9">
        <v>0</v>
      </c>
    </row>
    <row r="1275" spans="1:28" x14ac:dyDescent="0.2">
      <c r="A1275" s="10">
        <v>21344</v>
      </c>
      <c r="B1275" s="11" t="s">
        <v>8839</v>
      </c>
      <c r="C1275" s="11" t="s">
        <v>8840</v>
      </c>
      <c r="D1275" s="11" t="s">
        <v>8841</v>
      </c>
      <c r="E1275" s="11" t="s">
        <v>8842</v>
      </c>
      <c r="F1275" s="11" t="s">
        <v>8843</v>
      </c>
      <c r="G1275" s="11" t="s">
        <v>8844</v>
      </c>
      <c r="H1275" s="11" t="s">
        <v>122</v>
      </c>
      <c r="I1275" s="11" t="s">
        <v>8845</v>
      </c>
      <c r="J1275" s="11" t="s">
        <v>8846</v>
      </c>
      <c r="K1275" s="11" t="s">
        <v>125</v>
      </c>
      <c r="L1275" s="11" t="s">
        <v>126</v>
      </c>
      <c r="M1275" s="11" t="s">
        <v>8847</v>
      </c>
      <c r="N1275" s="11" t="s">
        <v>128</v>
      </c>
      <c r="O1275" s="11" t="s">
        <v>8848</v>
      </c>
      <c r="P1275" s="11" t="s">
        <v>8849</v>
      </c>
      <c r="Q1275" s="11" t="s">
        <v>150</v>
      </c>
      <c r="R1275" s="11"/>
      <c r="S1275" s="11" t="s">
        <v>71</v>
      </c>
      <c r="T1275" s="11" t="s">
        <v>67</v>
      </c>
      <c r="U1275" s="11" t="s">
        <v>150</v>
      </c>
      <c r="V1275" s="11" t="s">
        <v>152</v>
      </c>
      <c r="W1275" s="11" t="s">
        <v>67</v>
      </c>
      <c r="X1275" s="11">
        <v>26</v>
      </c>
      <c r="Y1275" s="11" t="s">
        <v>5796</v>
      </c>
      <c r="Z1275" s="11">
        <v>80</v>
      </c>
      <c r="AA1275" s="11">
        <v>0</v>
      </c>
      <c r="AB1275" s="12">
        <v>0</v>
      </c>
    </row>
    <row r="1276" spans="1:28" x14ac:dyDescent="0.2">
      <c r="A1276" s="7">
        <v>21305</v>
      </c>
      <c r="B1276" s="8" t="s">
        <v>8850</v>
      </c>
      <c r="C1276" s="8" t="s">
        <v>1136</v>
      </c>
      <c r="D1276" s="8" t="s">
        <v>235</v>
      </c>
      <c r="E1276" s="8" t="s">
        <v>8851</v>
      </c>
      <c r="F1276" s="8" t="s">
        <v>8852</v>
      </c>
      <c r="G1276" s="8" t="s">
        <v>2652</v>
      </c>
      <c r="H1276" s="8" t="s">
        <v>1843</v>
      </c>
      <c r="I1276" s="8" t="s">
        <v>8853</v>
      </c>
      <c r="J1276" s="8" t="s">
        <v>8854</v>
      </c>
      <c r="K1276" s="8" t="s">
        <v>1562</v>
      </c>
      <c r="L1276" s="8" t="s">
        <v>229</v>
      </c>
      <c r="M1276" s="8" t="s">
        <v>8855</v>
      </c>
      <c r="N1276" s="8" t="s">
        <v>128</v>
      </c>
      <c r="O1276" s="8" t="s">
        <v>8856</v>
      </c>
      <c r="P1276" s="8" t="s">
        <v>8857</v>
      </c>
      <c r="Q1276" s="8" t="s">
        <v>150</v>
      </c>
      <c r="R1276" s="8"/>
      <c r="S1276" s="8" t="s">
        <v>8858</v>
      </c>
      <c r="T1276" s="8" t="s">
        <v>67</v>
      </c>
      <c r="U1276" s="8" t="s">
        <v>150</v>
      </c>
      <c r="V1276" s="8" t="s">
        <v>152</v>
      </c>
      <c r="W1276" s="8" t="s">
        <v>67</v>
      </c>
      <c r="X1276" s="8">
        <v>26</v>
      </c>
      <c r="Y1276" s="8" t="s">
        <v>5796</v>
      </c>
      <c r="Z1276" s="8">
        <v>80</v>
      </c>
      <c r="AA1276" s="8">
        <v>0</v>
      </c>
      <c r="AB1276" s="9">
        <v>0</v>
      </c>
    </row>
    <row r="1277" spans="1:28" x14ac:dyDescent="0.2">
      <c r="A1277" s="10">
        <v>21463</v>
      </c>
      <c r="B1277" s="11" t="s">
        <v>8859</v>
      </c>
      <c r="C1277" s="11" t="s">
        <v>8860</v>
      </c>
      <c r="D1277" s="11" t="s">
        <v>4623</v>
      </c>
      <c r="E1277" s="11" t="s">
        <v>8861</v>
      </c>
      <c r="F1277" s="11" t="s">
        <v>8772</v>
      </c>
      <c r="G1277" s="11" t="s">
        <v>1488</v>
      </c>
      <c r="H1277" s="11" t="s">
        <v>329</v>
      </c>
      <c r="I1277" s="11" t="s">
        <v>8862</v>
      </c>
      <c r="J1277" s="11" t="s">
        <v>8863</v>
      </c>
      <c r="K1277" s="11" t="s">
        <v>415</v>
      </c>
      <c r="L1277" s="11" t="s">
        <v>333</v>
      </c>
      <c r="M1277" s="11" t="s">
        <v>8864</v>
      </c>
      <c r="N1277" s="11" t="s">
        <v>128</v>
      </c>
      <c r="O1277" s="11" t="s">
        <v>8865</v>
      </c>
      <c r="P1277" s="11" t="s">
        <v>8866</v>
      </c>
      <c r="Q1277" s="11" t="s">
        <v>150</v>
      </c>
      <c r="R1277" s="11"/>
      <c r="S1277" s="11" t="s">
        <v>8778</v>
      </c>
      <c r="T1277" s="11" t="s">
        <v>67</v>
      </c>
      <c r="U1277" s="11" t="s">
        <v>150</v>
      </c>
      <c r="V1277" s="11" t="s">
        <v>152</v>
      </c>
      <c r="W1277" s="11" t="s">
        <v>67</v>
      </c>
      <c r="X1277" s="11">
        <v>26</v>
      </c>
      <c r="Y1277" s="11" t="s">
        <v>5796</v>
      </c>
      <c r="Z1277" s="11">
        <v>80</v>
      </c>
      <c r="AA1277" s="11">
        <v>0</v>
      </c>
      <c r="AB1277" s="12">
        <v>0</v>
      </c>
    </row>
    <row r="1278" spans="1:28" x14ac:dyDescent="0.2">
      <c r="A1278" s="7">
        <v>21296</v>
      </c>
      <c r="B1278" s="8" t="s">
        <v>8867</v>
      </c>
      <c r="C1278" s="8" t="s">
        <v>8868</v>
      </c>
      <c r="D1278" s="8" t="s">
        <v>8869</v>
      </c>
      <c r="E1278" s="8"/>
      <c r="F1278" s="8" t="s">
        <v>353</v>
      </c>
      <c r="G1278" s="8" t="s">
        <v>4513</v>
      </c>
      <c r="H1278" s="8" t="s">
        <v>847</v>
      </c>
      <c r="I1278" s="8" t="s">
        <v>8075</v>
      </c>
      <c r="J1278" s="8" t="s">
        <v>8870</v>
      </c>
      <c r="K1278" s="8" t="s">
        <v>1091</v>
      </c>
      <c r="L1278" s="8" t="s">
        <v>126</v>
      </c>
      <c r="M1278" s="8" t="s">
        <v>8871</v>
      </c>
      <c r="N1278" s="8" t="s">
        <v>128</v>
      </c>
      <c r="O1278" s="8" t="s">
        <v>8872</v>
      </c>
      <c r="P1278" s="8" t="s">
        <v>8873</v>
      </c>
      <c r="Q1278" s="8" t="s">
        <v>150</v>
      </c>
      <c r="R1278" s="8"/>
      <c r="S1278" s="8" t="s">
        <v>71</v>
      </c>
      <c r="T1278" s="8" t="s">
        <v>67</v>
      </c>
      <c r="U1278" s="8" t="s">
        <v>150</v>
      </c>
      <c r="V1278" s="8" t="s">
        <v>152</v>
      </c>
      <c r="W1278" s="8" t="s">
        <v>67</v>
      </c>
      <c r="X1278" s="8">
        <v>26</v>
      </c>
      <c r="Y1278" s="8" t="s">
        <v>5796</v>
      </c>
      <c r="Z1278" s="8">
        <v>80</v>
      </c>
      <c r="AA1278" s="8">
        <v>0</v>
      </c>
      <c r="AB1278" s="9">
        <v>0</v>
      </c>
    </row>
    <row r="1279" spans="1:28" x14ac:dyDescent="0.2">
      <c r="A1279" s="10">
        <v>21478</v>
      </c>
      <c r="B1279" s="11" t="s">
        <v>8874</v>
      </c>
      <c r="C1279" s="11" t="s">
        <v>8875</v>
      </c>
      <c r="D1279" s="11" t="s">
        <v>7115</v>
      </c>
      <c r="E1279" s="11"/>
      <c r="F1279" s="11" t="s">
        <v>353</v>
      </c>
      <c r="G1279" s="11" t="s">
        <v>8876</v>
      </c>
      <c r="H1279" s="11" t="s">
        <v>329</v>
      </c>
      <c r="I1279" s="11" t="s">
        <v>8877</v>
      </c>
      <c r="J1279" s="11" t="s">
        <v>8878</v>
      </c>
      <c r="K1279" s="11" t="s">
        <v>415</v>
      </c>
      <c r="L1279" s="11" t="s">
        <v>333</v>
      </c>
      <c r="M1279" s="11" t="s">
        <v>8879</v>
      </c>
      <c r="N1279" s="11" t="s">
        <v>128</v>
      </c>
      <c r="O1279" s="11" t="s">
        <v>8880</v>
      </c>
      <c r="P1279" s="11" t="s">
        <v>8881</v>
      </c>
      <c r="Q1279" s="11" t="s">
        <v>150</v>
      </c>
      <c r="R1279" s="11"/>
      <c r="S1279" s="11" t="s">
        <v>71</v>
      </c>
      <c r="T1279" s="11" t="s">
        <v>67</v>
      </c>
      <c r="U1279" s="11" t="s">
        <v>150</v>
      </c>
      <c r="V1279" s="11" t="s">
        <v>152</v>
      </c>
      <c r="W1279" s="11" t="s">
        <v>67</v>
      </c>
      <c r="X1279" s="11">
        <v>26</v>
      </c>
      <c r="Y1279" s="11" t="s">
        <v>5796</v>
      </c>
      <c r="Z1279" s="11">
        <v>80</v>
      </c>
      <c r="AA1279" s="11">
        <v>0</v>
      </c>
      <c r="AB1279" s="12">
        <v>0</v>
      </c>
    </row>
    <row r="1280" spans="1:28" x14ac:dyDescent="0.2">
      <c r="A1280" s="7">
        <v>21677</v>
      </c>
      <c r="B1280" s="8" t="s">
        <v>8882</v>
      </c>
      <c r="C1280" s="8" t="s">
        <v>8883</v>
      </c>
      <c r="D1280" s="8" t="s">
        <v>6336</v>
      </c>
      <c r="E1280" s="8"/>
      <c r="F1280" s="8" t="s">
        <v>353</v>
      </c>
      <c r="G1280" s="8" t="s">
        <v>8884</v>
      </c>
      <c r="H1280" s="8" t="s">
        <v>142</v>
      </c>
      <c r="I1280" s="8" t="s">
        <v>8885</v>
      </c>
      <c r="J1280" s="8" t="s">
        <v>8886</v>
      </c>
      <c r="K1280" s="8" t="s">
        <v>584</v>
      </c>
      <c r="L1280" s="8" t="s">
        <v>146</v>
      </c>
      <c r="M1280" s="8" t="s">
        <v>8887</v>
      </c>
      <c r="N1280" s="8" t="s">
        <v>128</v>
      </c>
      <c r="O1280" s="8" t="s">
        <v>8888</v>
      </c>
      <c r="P1280" s="8" t="s">
        <v>8889</v>
      </c>
      <c r="Q1280" s="8" t="s">
        <v>150</v>
      </c>
      <c r="R1280" s="8"/>
      <c r="S1280" s="8" t="s">
        <v>71</v>
      </c>
      <c r="T1280" s="8" t="s">
        <v>67</v>
      </c>
      <c r="U1280" s="8" t="s">
        <v>150</v>
      </c>
      <c r="V1280" s="8" t="s">
        <v>152</v>
      </c>
      <c r="W1280" s="8" t="s">
        <v>67</v>
      </c>
      <c r="X1280" s="8">
        <v>26</v>
      </c>
      <c r="Y1280" s="8" t="s">
        <v>5796</v>
      </c>
      <c r="Z1280" s="8">
        <v>80</v>
      </c>
      <c r="AA1280" s="8">
        <v>0</v>
      </c>
      <c r="AB1280" s="9">
        <v>0</v>
      </c>
    </row>
    <row r="1281" spans="1:28" x14ac:dyDescent="0.2">
      <c r="A1281" s="10">
        <v>22511</v>
      </c>
      <c r="B1281" s="11" t="s">
        <v>8890</v>
      </c>
      <c r="C1281" s="11" t="s">
        <v>6823</v>
      </c>
      <c r="D1281" s="11" t="s">
        <v>8891</v>
      </c>
      <c r="E1281" s="11"/>
      <c r="F1281" s="11" t="s">
        <v>7985</v>
      </c>
      <c r="G1281" s="11" t="s">
        <v>450</v>
      </c>
      <c r="H1281" s="11" t="s">
        <v>301</v>
      </c>
      <c r="I1281" s="11" t="s">
        <v>8892</v>
      </c>
      <c r="J1281" s="11" t="s">
        <v>8893</v>
      </c>
      <c r="K1281" s="11" t="s">
        <v>304</v>
      </c>
      <c r="L1281" s="11" t="s">
        <v>229</v>
      </c>
      <c r="M1281" s="11" t="s">
        <v>8894</v>
      </c>
      <c r="N1281" s="11" t="s">
        <v>128</v>
      </c>
      <c r="O1281" s="11" t="s">
        <v>8895</v>
      </c>
      <c r="P1281" s="11" t="s">
        <v>8896</v>
      </c>
      <c r="Q1281" s="11" t="s">
        <v>150</v>
      </c>
      <c r="R1281" s="11"/>
      <c r="S1281" s="11" t="s">
        <v>71</v>
      </c>
      <c r="T1281" s="11" t="s">
        <v>869</v>
      </c>
      <c r="U1281" s="11" t="s">
        <v>150</v>
      </c>
      <c r="V1281" s="11" t="s">
        <v>869</v>
      </c>
      <c r="W1281" s="11" t="s">
        <v>869</v>
      </c>
      <c r="X1281" s="11">
        <v>26</v>
      </c>
      <c r="Y1281" s="11" t="s">
        <v>5796</v>
      </c>
      <c r="Z1281" s="11">
        <v>80</v>
      </c>
      <c r="AA1281" s="11">
        <v>0</v>
      </c>
      <c r="AB1281" s="12">
        <v>0</v>
      </c>
    </row>
    <row r="1282" spans="1:28" x14ac:dyDescent="0.2">
      <c r="A1282" s="7">
        <v>23392</v>
      </c>
      <c r="B1282" s="8" t="s">
        <v>8897</v>
      </c>
      <c r="C1282" s="8" t="s">
        <v>8898</v>
      </c>
      <c r="D1282" s="8" t="s">
        <v>8406</v>
      </c>
      <c r="E1282" s="8"/>
      <c r="F1282" s="8" t="s">
        <v>353</v>
      </c>
      <c r="G1282" s="8" t="s">
        <v>8899</v>
      </c>
      <c r="H1282" s="8" t="s">
        <v>142</v>
      </c>
      <c r="I1282" s="8" t="s">
        <v>8900</v>
      </c>
      <c r="J1282" s="8" t="s">
        <v>8901</v>
      </c>
      <c r="K1282" s="8" t="s">
        <v>717</v>
      </c>
      <c r="L1282" s="8" t="s">
        <v>464</v>
      </c>
      <c r="M1282" s="8" t="s">
        <v>8902</v>
      </c>
      <c r="N1282" s="8" t="s">
        <v>128</v>
      </c>
      <c r="O1282" s="8" t="s">
        <v>8903</v>
      </c>
      <c r="P1282" s="8" t="s">
        <v>8904</v>
      </c>
      <c r="Q1282" s="8" t="s">
        <v>150</v>
      </c>
      <c r="R1282" s="8"/>
      <c r="S1282" s="8" t="s">
        <v>71</v>
      </c>
      <c r="T1282" s="8" t="s">
        <v>1415</v>
      </c>
      <c r="U1282" s="8" t="s">
        <v>150</v>
      </c>
      <c r="V1282" s="8" t="s">
        <v>1415</v>
      </c>
      <c r="W1282" s="8" t="s">
        <v>1415</v>
      </c>
      <c r="X1282" s="8">
        <v>26</v>
      </c>
      <c r="Y1282" s="8" t="s">
        <v>5796</v>
      </c>
      <c r="Z1282" s="8">
        <v>80</v>
      </c>
      <c r="AA1282" s="8">
        <v>0</v>
      </c>
      <c r="AB1282" s="9">
        <v>0</v>
      </c>
    </row>
    <row r="1283" spans="1:28" x14ac:dyDescent="0.2">
      <c r="A1283" s="10">
        <v>23461</v>
      </c>
      <c r="B1283" s="11" t="s">
        <v>8905</v>
      </c>
      <c r="C1283" s="11" t="s">
        <v>8906</v>
      </c>
      <c r="D1283" s="11" t="s">
        <v>7585</v>
      </c>
      <c r="E1283" s="11"/>
      <c r="F1283" s="11" t="s">
        <v>353</v>
      </c>
      <c r="G1283" s="11" t="s">
        <v>8884</v>
      </c>
      <c r="H1283" s="11" t="s">
        <v>142</v>
      </c>
      <c r="I1283" s="11" t="s">
        <v>8907</v>
      </c>
      <c r="J1283" s="11" t="s">
        <v>8908</v>
      </c>
      <c r="K1283" s="11" t="s">
        <v>584</v>
      </c>
      <c r="L1283" s="11" t="s">
        <v>146</v>
      </c>
      <c r="M1283" s="11" t="s">
        <v>8909</v>
      </c>
      <c r="N1283" s="11" t="s">
        <v>128</v>
      </c>
      <c r="O1283" s="11" t="s">
        <v>8910</v>
      </c>
      <c r="P1283" s="11" t="s">
        <v>8911</v>
      </c>
      <c r="Q1283" s="11" t="s">
        <v>150</v>
      </c>
      <c r="R1283" s="11"/>
      <c r="S1283" s="11" t="s">
        <v>71</v>
      </c>
      <c r="T1283" s="11" t="s">
        <v>1415</v>
      </c>
      <c r="U1283" s="11" t="s">
        <v>150</v>
      </c>
      <c r="V1283" s="11" t="s">
        <v>1415</v>
      </c>
      <c r="W1283" s="11" t="s">
        <v>1415</v>
      </c>
      <c r="X1283" s="11">
        <v>26</v>
      </c>
      <c r="Y1283" s="11" t="s">
        <v>5796</v>
      </c>
      <c r="Z1283" s="11">
        <v>80</v>
      </c>
      <c r="AA1283" s="11">
        <v>0</v>
      </c>
      <c r="AB1283" s="12">
        <v>0</v>
      </c>
    </row>
    <row r="1284" spans="1:28" x14ac:dyDescent="0.2">
      <c r="A1284" s="7">
        <v>23631</v>
      </c>
      <c r="B1284" s="8" t="s">
        <v>8912</v>
      </c>
      <c r="C1284" s="8" t="s">
        <v>8913</v>
      </c>
      <c r="D1284" s="8" t="s">
        <v>7296</v>
      </c>
      <c r="E1284" s="8"/>
      <c r="F1284" s="8" t="s">
        <v>353</v>
      </c>
      <c r="G1284" s="8" t="s">
        <v>8844</v>
      </c>
      <c r="H1284" s="8" t="s">
        <v>122</v>
      </c>
      <c r="I1284" s="8" t="s">
        <v>8914</v>
      </c>
      <c r="J1284" s="8" t="s">
        <v>8915</v>
      </c>
      <c r="K1284" s="8" t="s">
        <v>125</v>
      </c>
      <c r="L1284" s="8" t="s">
        <v>126</v>
      </c>
      <c r="M1284" s="8" t="s">
        <v>8916</v>
      </c>
      <c r="N1284" s="8" t="s">
        <v>128</v>
      </c>
      <c r="O1284" s="8" t="s">
        <v>8917</v>
      </c>
      <c r="P1284" s="8" t="s">
        <v>8918</v>
      </c>
      <c r="Q1284" s="8" t="s">
        <v>150</v>
      </c>
      <c r="R1284" s="8"/>
      <c r="S1284" s="8" t="s">
        <v>71</v>
      </c>
      <c r="T1284" s="8" t="s">
        <v>168</v>
      </c>
      <c r="U1284" s="8" t="s">
        <v>150</v>
      </c>
      <c r="V1284" s="8" t="s">
        <v>168</v>
      </c>
      <c r="W1284" s="8" t="s">
        <v>168</v>
      </c>
      <c r="X1284" s="8">
        <v>26</v>
      </c>
      <c r="Y1284" s="8" t="s">
        <v>5796</v>
      </c>
      <c r="Z1284" s="8">
        <v>80</v>
      </c>
      <c r="AA1284" s="8">
        <v>0</v>
      </c>
      <c r="AB1284" s="9">
        <v>0</v>
      </c>
    </row>
    <row r="1285" spans="1:28" x14ac:dyDescent="0.2">
      <c r="A1285" s="10">
        <v>23901</v>
      </c>
      <c r="B1285" s="11" t="s">
        <v>8919</v>
      </c>
      <c r="C1285" s="11" t="s">
        <v>8613</v>
      </c>
      <c r="D1285" s="11" t="s">
        <v>8920</v>
      </c>
      <c r="E1285" s="11"/>
      <c r="F1285" s="11" t="s">
        <v>353</v>
      </c>
      <c r="G1285" s="11" t="s">
        <v>8614</v>
      </c>
      <c r="H1285" s="11" t="s">
        <v>142</v>
      </c>
      <c r="I1285" s="11" t="s">
        <v>8921</v>
      </c>
      <c r="J1285" s="11" t="s">
        <v>8922</v>
      </c>
      <c r="K1285" s="11" t="s">
        <v>1199</v>
      </c>
      <c r="L1285" s="11" t="s">
        <v>464</v>
      </c>
      <c r="M1285" s="11" t="s">
        <v>8923</v>
      </c>
      <c r="N1285" s="11" t="s">
        <v>128</v>
      </c>
      <c r="O1285" s="11" t="s">
        <v>8924</v>
      </c>
      <c r="P1285" s="11" t="s">
        <v>8925</v>
      </c>
      <c r="Q1285" s="11" t="s">
        <v>150</v>
      </c>
      <c r="R1285" s="11"/>
      <c r="S1285" s="11" t="s">
        <v>71</v>
      </c>
      <c r="T1285" s="11" t="s">
        <v>168</v>
      </c>
      <c r="U1285" s="11" t="s">
        <v>150</v>
      </c>
      <c r="V1285" s="11" t="s">
        <v>168</v>
      </c>
      <c r="W1285" s="11" t="s">
        <v>168</v>
      </c>
      <c r="X1285" s="11">
        <v>26</v>
      </c>
      <c r="Y1285" s="11" t="s">
        <v>5796</v>
      </c>
      <c r="Z1285" s="11">
        <v>80</v>
      </c>
      <c r="AA1285" s="11">
        <v>0</v>
      </c>
      <c r="AB1285" s="12">
        <v>0</v>
      </c>
    </row>
    <row r="1286" spans="1:28" x14ac:dyDescent="0.2">
      <c r="A1286" s="7">
        <v>86401</v>
      </c>
      <c r="B1286" s="8" t="s">
        <v>8926</v>
      </c>
      <c r="C1286" s="8" t="s">
        <v>8927</v>
      </c>
      <c r="D1286" s="8" t="s">
        <v>8928</v>
      </c>
      <c r="E1286" s="8"/>
      <c r="F1286" s="8" t="s">
        <v>8929</v>
      </c>
      <c r="G1286" s="8" t="s">
        <v>328</v>
      </c>
      <c r="H1286" s="8" t="s">
        <v>329</v>
      </c>
      <c r="I1286" s="8" t="s">
        <v>8930</v>
      </c>
      <c r="J1286" s="8" t="s">
        <v>8931</v>
      </c>
      <c r="K1286" s="8" t="s">
        <v>415</v>
      </c>
      <c r="L1286" s="8" t="s">
        <v>333</v>
      </c>
      <c r="M1286" s="8" t="s">
        <v>8932</v>
      </c>
      <c r="N1286" s="8" t="s">
        <v>128</v>
      </c>
      <c r="O1286" s="8" t="s">
        <v>8933</v>
      </c>
      <c r="P1286" s="8" t="s">
        <v>8934</v>
      </c>
      <c r="Q1286" s="8" t="s">
        <v>150</v>
      </c>
      <c r="R1286" s="8"/>
      <c r="S1286" s="8" t="s">
        <v>71</v>
      </c>
      <c r="T1286" s="8" t="s">
        <v>168</v>
      </c>
      <c r="U1286" s="8" t="s">
        <v>150</v>
      </c>
      <c r="V1286" s="8" t="s">
        <v>168</v>
      </c>
      <c r="W1286" s="8" t="s">
        <v>168</v>
      </c>
      <c r="X1286" s="8">
        <v>26</v>
      </c>
      <c r="Y1286" s="8" t="s">
        <v>5796</v>
      </c>
      <c r="Z1286" s="8">
        <v>80</v>
      </c>
      <c r="AA1286" s="8">
        <v>0</v>
      </c>
      <c r="AB1286" s="9">
        <v>0</v>
      </c>
    </row>
    <row r="1287" spans="1:28" x14ac:dyDescent="0.2">
      <c r="A1287" s="10">
        <v>25320</v>
      </c>
      <c r="B1287" s="11" t="s">
        <v>8935</v>
      </c>
      <c r="C1287" s="11" t="s">
        <v>4510</v>
      </c>
      <c r="D1287" s="11" t="s">
        <v>4511</v>
      </c>
      <c r="E1287" s="11" t="s">
        <v>202</v>
      </c>
      <c r="F1287" s="11" t="s">
        <v>353</v>
      </c>
      <c r="G1287" s="11" t="s">
        <v>4513</v>
      </c>
      <c r="H1287" s="11" t="s">
        <v>847</v>
      </c>
      <c r="I1287" s="11" t="s">
        <v>4514</v>
      </c>
      <c r="J1287" s="11" t="s">
        <v>4515</v>
      </c>
      <c r="K1287" s="11" t="s">
        <v>1091</v>
      </c>
      <c r="L1287" s="11" t="s">
        <v>126</v>
      </c>
      <c r="M1287" s="11" t="s">
        <v>8936</v>
      </c>
      <c r="N1287" s="11" t="s">
        <v>128</v>
      </c>
      <c r="O1287" s="11" t="s">
        <v>8937</v>
      </c>
      <c r="P1287" s="11" t="s">
        <v>8938</v>
      </c>
      <c r="Q1287" s="11" t="s">
        <v>740</v>
      </c>
      <c r="R1287" s="11"/>
      <c r="S1287" s="11" t="s">
        <v>4519</v>
      </c>
      <c r="T1287" s="11" t="s">
        <v>1745</v>
      </c>
      <c r="U1287" s="11" t="s">
        <v>134</v>
      </c>
      <c r="V1287" s="11" t="s">
        <v>740</v>
      </c>
      <c r="W1287" s="11" t="s">
        <v>1745</v>
      </c>
      <c r="X1287" s="11">
        <v>26</v>
      </c>
      <c r="Y1287" s="11" t="s">
        <v>5796</v>
      </c>
      <c r="Z1287" s="11">
        <v>80</v>
      </c>
      <c r="AA1287" s="11">
        <v>0</v>
      </c>
      <c r="AB1287" s="12">
        <v>0</v>
      </c>
    </row>
    <row r="1288" spans="1:28" x14ac:dyDescent="0.2">
      <c r="A1288" s="7">
        <v>21186</v>
      </c>
      <c r="B1288" s="8" t="s">
        <v>8939</v>
      </c>
      <c r="C1288" s="8" t="s">
        <v>1585</v>
      </c>
      <c r="D1288" s="8" t="s">
        <v>1064</v>
      </c>
      <c r="E1288" s="8"/>
      <c r="F1288" s="8" t="s">
        <v>1487</v>
      </c>
      <c r="G1288" s="8" t="s">
        <v>1488</v>
      </c>
      <c r="H1288" s="8" t="s">
        <v>329</v>
      </c>
      <c r="I1288" s="8" t="s">
        <v>1588</v>
      </c>
      <c r="J1288" s="8" t="s">
        <v>8940</v>
      </c>
      <c r="K1288" s="8" t="s">
        <v>415</v>
      </c>
      <c r="L1288" s="8" t="s">
        <v>333</v>
      </c>
      <c r="M1288" s="8" t="s">
        <v>8941</v>
      </c>
      <c r="N1288" s="8" t="s">
        <v>128</v>
      </c>
      <c r="O1288" s="8" t="s">
        <v>8942</v>
      </c>
      <c r="P1288" s="8" t="s">
        <v>8943</v>
      </c>
      <c r="Q1288" s="8" t="s">
        <v>150</v>
      </c>
      <c r="R1288" s="8"/>
      <c r="S1288" s="8" t="s">
        <v>71</v>
      </c>
      <c r="T1288" s="8" t="s">
        <v>289</v>
      </c>
      <c r="U1288" s="8" t="s">
        <v>150</v>
      </c>
      <c r="V1288" s="8" t="s">
        <v>289</v>
      </c>
      <c r="W1288" s="8" t="s">
        <v>289</v>
      </c>
      <c r="X1288" s="8">
        <v>25</v>
      </c>
      <c r="Y1288" s="8" t="s">
        <v>5796</v>
      </c>
      <c r="Z1288" s="8">
        <v>80</v>
      </c>
      <c r="AA1288" s="8">
        <v>0</v>
      </c>
      <c r="AB1288" s="9">
        <v>0</v>
      </c>
    </row>
    <row r="1289" spans="1:28" x14ac:dyDescent="0.2">
      <c r="A1289" s="10">
        <v>21269</v>
      </c>
      <c r="B1289" s="11" t="s">
        <v>8944</v>
      </c>
      <c r="C1289" s="11" t="s">
        <v>8945</v>
      </c>
      <c r="D1289" s="11" t="s">
        <v>8946</v>
      </c>
      <c r="E1289" s="11" t="s">
        <v>8947</v>
      </c>
      <c r="F1289" s="11" t="s">
        <v>8234</v>
      </c>
      <c r="G1289" s="11" t="s">
        <v>556</v>
      </c>
      <c r="H1289" s="11" t="s">
        <v>557</v>
      </c>
      <c r="I1289" s="11" t="s">
        <v>8948</v>
      </c>
      <c r="J1289" s="11" t="s">
        <v>8949</v>
      </c>
      <c r="K1289" s="11" t="s">
        <v>560</v>
      </c>
      <c r="L1289" s="11" t="s">
        <v>229</v>
      </c>
      <c r="M1289" s="11" t="s">
        <v>8950</v>
      </c>
      <c r="N1289" s="11" t="s">
        <v>128</v>
      </c>
      <c r="O1289" s="11" t="s">
        <v>8951</v>
      </c>
      <c r="P1289" s="11" t="s">
        <v>8952</v>
      </c>
      <c r="Q1289" s="11" t="s">
        <v>150</v>
      </c>
      <c r="R1289" s="11"/>
      <c r="S1289" s="11" t="s">
        <v>8953</v>
      </c>
      <c r="T1289" s="11" t="s">
        <v>67</v>
      </c>
      <c r="U1289" s="11" t="s">
        <v>150</v>
      </c>
      <c r="V1289" s="11" t="s">
        <v>152</v>
      </c>
      <c r="W1289" s="11" t="s">
        <v>67</v>
      </c>
      <c r="X1289" s="11">
        <v>25</v>
      </c>
      <c r="Y1289" s="11" t="s">
        <v>5796</v>
      </c>
      <c r="Z1289" s="11">
        <v>80</v>
      </c>
      <c r="AA1289" s="11">
        <v>0</v>
      </c>
      <c r="AB1289" s="12">
        <v>0</v>
      </c>
    </row>
    <row r="1290" spans="1:28" x14ac:dyDescent="0.2">
      <c r="A1290" s="7">
        <v>21383</v>
      </c>
      <c r="B1290" s="8" t="s">
        <v>8954</v>
      </c>
      <c r="C1290" s="8" t="s">
        <v>8955</v>
      </c>
      <c r="D1290" s="8" t="s">
        <v>8956</v>
      </c>
      <c r="E1290" s="8" t="s">
        <v>8957</v>
      </c>
      <c r="F1290" s="8" t="s">
        <v>8958</v>
      </c>
      <c r="G1290" s="8" t="s">
        <v>8614</v>
      </c>
      <c r="H1290" s="8" t="s">
        <v>142</v>
      </c>
      <c r="I1290" s="8" t="s">
        <v>8959</v>
      </c>
      <c r="J1290" s="8" t="s">
        <v>8960</v>
      </c>
      <c r="K1290" s="8" t="s">
        <v>1199</v>
      </c>
      <c r="L1290" s="8" t="s">
        <v>464</v>
      </c>
      <c r="M1290" s="8" t="s">
        <v>8961</v>
      </c>
      <c r="N1290" s="8" t="s">
        <v>128</v>
      </c>
      <c r="O1290" s="8" t="s">
        <v>8962</v>
      </c>
      <c r="P1290" s="8" t="s">
        <v>8963</v>
      </c>
      <c r="Q1290" s="8" t="s">
        <v>150</v>
      </c>
      <c r="R1290" s="8"/>
      <c r="S1290" s="8" t="s">
        <v>8964</v>
      </c>
      <c r="T1290" s="8" t="s">
        <v>67</v>
      </c>
      <c r="U1290" s="8" t="s">
        <v>150</v>
      </c>
      <c r="V1290" s="8" t="s">
        <v>152</v>
      </c>
      <c r="W1290" s="8" t="s">
        <v>67</v>
      </c>
      <c r="X1290" s="8">
        <v>25</v>
      </c>
      <c r="Y1290" s="8" t="s">
        <v>5796</v>
      </c>
      <c r="Z1290" s="8">
        <v>80</v>
      </c>
      <c r="AA1290" s="8">
        <v>0</v>
      </c>
      <c r="AB1290" s="9">
        <v>0</v>
      </c>
    </row>
    <row r="1291" spans="1:28" x14ac:dyDescent="0.2">
      <c r="A1291" s="10">
        <v>21457</v>
      </c>
      <c r="B1291" s="11" t="s">
        <v>8965</v>
      </c>
      <c r="C1291" s="11" t="s">
        <v>8966</v>
      </c>
      <c r="D1291" s="11" t="s">
        <v>171</v>
      </c>
      <c r="E1291" s="11" t="s">
        <v>8967</v>
      </c>
      <c r="F1291" s="11" t="s">
        <v>8968</v>
      </c>
      <c r="G1291" s="11" t="s">
        <v>8969</v>
      </c>
      <c r="H1291" s="11" t="s">
        <v>142</v>
      </c>
      <c r="I1291" s="11" t="s">
        <v>8970</v>
      </c>
      <c r="J1291" s="11" t="s">
        <v>8971</v>
      </c>
      <c r="K1291" s="11" t="s">
        <v>1199</v>
      </c>
      <c r="L1291" s="11" t="s">
        <v>464</v>
      </c>
      <c r="M1291" s="11" t="s">
        <v>8972</v>
      </c>
      <c r="N1291" s="11" t="s">
        <v>128</v>
      </c>
      <c r="O1291" s="11" t="s">
        <v>8973</v>
      </c>
      <c r="P1291" s="11" t="s">
        <v>8974</v>
      </c>
      <c r="Q1291" s="11" t="s">
        <v>150</v>
      </c>
      <c r="R1291" s="11"/>
      <c r="S1291" s="11" t="s">
        <v>8975</v>
      </c>
      <c r="T1291" s="11" t="s">
        <v>67</v>
      </c>
      <c r="U1291" s="11" t="s">
        <v>150</v>
      </c>
      <c r="V1291" s="11" t="s">
        <v>152</v>
      </c>
      <c r="W1291" s="11" t="s">
        <v>67</v>
      </c>
      <c r="X1291" s="11">
        <v>25</v>
      </c>
      <c r="Y1291" s="11" t="s">
        <v>5796</v>
      </c>
      <c r="Z1291" s="11">
        <v>80</v>
      </c>
      <c r="AA1291" s="11">
        <v>0</v>
      </c>
      <c r="AB1291" s="12">
        <v>0</v>
      </c>
    </row>
    <row r="1292" spans="1:28" x14ac:dyDescent="0.2">
      <c r="A1292" s="7">
        <v>92728</v>
      </c>
      <c r="B1292" s="8" t="s">
        <v>8976</v>
      </c>
      <c r="C1292" s="8" t="s">
        <v>2172</v>
      </c>
      <c r="D1292" s="8" t="s">
        <v>2173</v>
      </c>
      <c r="E1292" s="8"/>
      <c r="F1292" s="8" t="s">
        <v>353</v>
      </c>
      <c r="G1292" s="8" t="s">
        <v>2175</v>
      </c>
      <c r="H1292" s="8" t="s">
        <v>2176</v>
      </c>
      <c r="I1292" s="8" t="s">
        <v>8977</v>
      </c>
      <c r="J1292" s="8" t="s">
        <v>8978</v>
      </c>
      <c r="K1292" s="8" t="s">
        <v>194</v>
      </c>
      <c r="L1292" s="8" t="s">
        <v>163</v>
      </c>
      <c r="M1292" s="8" t="s">
        <v>8979</v>
      </c>
      <c r="N1292" s="8" t="s">
        <v>128</v>
      </c>
      <c r="O1292" s="8" t="s">
        <v>8980</v>
      </c>
      <c r="P1292" s="8" t="s">
        <v>8981</v>
      </c>
      <c r="Q1292" s="8" t="s">
        <v>150</v>
      </c>
      <c r="R1292" s="8"/>
      <c r="S1292" s="8" t="s">
        <v>71</v>
      </c>
      <c r="T1292" s="8" t="s">
        <v>67</v>
      </c>
      <c r="U1292" s="8" t="s">
        <v>150</v>
      </c>
      <c r="V1292" s="8" t="s">
        <v>152</v>
      </c>
      <c r="W1292" s="8" t="s">
        <v>67</v>
      </c>
      <c r="X1292" s="8">
        <v>25</v>
      </c>
      <c r="Y1292" s="8" t="s">
        <v>5796</v>
      </c>
      <c r="Z1292" s="8">
        <v>80</v>
      </c>
      <c r="AA1292" s="8">
        <v>0</v>
      </c>
      <c r="AB1292" s="9">
        <v>0</v>
      </c>
    </row>
    <row r="1293" spans="1:28" x14ac:dyDescent="0.2">
      <c r="A1293" s="10">
        <v>116246</v>
      </c>
      <c r="B1293" s="11" t="s">
        <v>8982</v>
      </c>
      <c r="C1293" s="11" t="s">
        <v>8983</v>
      </c>
      <c r="D1293" s="11" t="s">
        <v>3917</v>
      </c>
      <c r="E1293" s="11"/>
      <c r="F1293" s="11" t="s">
        <v>8984</v>
      </c>
      <c r="G1293" s="11" t="s">
        <v>971</v>
      </c>
      <c r="H1293" s="11" t="s">
        <v>142</v>
      </c>
      <c r="I1293" s="11" t="s">
        <v>8985</v>
      </c>
      <c r="J1293" s="11" t="s">
        <v>8986</v>
      </c>
      <c r="K1293" s="11" t="s">
        <v>974</v>
      </c>
      <c r="L1293" s="11" t="s">
        <v>146</v>
      </c>
      <c r="M1293" s="11" t="s">
        <v>8987</v>
      </c>
      <c r="N1293" s="11" t="s">
        <v>128</v>
      </c>
      <c r="O1293" s="11" t="s">
        <v>8988</v>
      </c>
      <c r="P1293" s="11" t="s">
        <v>8989</v>
      </c>
      <c r="Q1293" s="11" t="s">
        <v>150</v>
      </c>
      <c r="R1293" s="11"/>
      <c r="S1293" s="11" t="s">
        <v>8990</v>
      </c>
      <c r="T1293" s="11" t="s">
        <v>67</v>
      </c>
      <c r="U1293" s="11" t="s">
        <v>150</v>
      </c>
      <c r="V1293" s="11" t="s">
        <v>152</v>
      </c>
      <c r="W1293" s="11" t="s">
        <v>67</v>
      </c>
      <c r="X1293" s="11">
        <v>25</v>
      </c>
      <c r="Y1293" s="11" t="s">
        <v>5796</v>
      </c>
      <c r="Z1293" s="11">
        <v>80</v>
      </c>
      <c r="AA1293" s="11">
        <v>0</v>
      </c>
      <c r="AB1293" s="12">
        <v>0</v>
      </c>
    </row>
    <row r="1294" spans="1:28" x14ac:dyDescent="0.2">
      <c r="A1294" s="7">
        <v>23246</v>
      </c>
      <c r="B1294" s="8" t="s">
        <v>8991</v>
      </c>
      <c r="C1294" s="8" t="s">
        <v>8992</v>
      </c>
      <c r="D1294" s="8" t="s">
        <v>1434</v>
      </c>
      <c r="E1294" s="8" t="s">
        <v>8993</v>
      </c>
      <c r="F1294" s="8" t="s">
        <v>353</v>
      </c>
      <c r="G1294" s="8" t="s">
        <v>328</v>
      </c>
      <c r="H1294" s="8" t="s">
        <v>329</v>
      </c>
      <c r="I1294" s="8" t="s">
        <v>8994</v>
      </c>
      <c r="J1294" s="8" t="s">
        <v>8995</v>
      </c>
      <c r="K1294" s="8" t="s">
        <v>415</v>
      </c>
      <c r="L1294" s="8" t="s">
        <v>333</v>
      </c>
      <c r="M1294" s="8" t="s">
        <v>8996</v>
      </c>
      <c r="N1294" s="8" t="s">
        <v>128</v>
      </c>
      <c r="O1294" s="8" t="s">
        <v>8997</v>
      </c>
      <c r="P1294" s="8" t="s">
        <v>8998</v>
      </c>
      <c r="Q1294" s="8" t="s">
        <v>150</v>
      </c>
      <c r="R1294" s="8"/>
      <c r="S1294" s="8" t="s">
        <v>71</v>
      </c>
      <c r="T1294" s="8" t="s">
        <v>70</v>
      </c>
      <c r="U1294" s="8" t="s">
        <v>150</v>
      </c>
      <c r="V1294" s="8" t="s">
        <v>70</v>
      </c>
      <c r="W1294" s="8" t="s">
        <v>70</v>
      </c>
      <c r="X1294" s="8">
        <v>25</v>
      </c>
      <c r="Y1294" s="8" t="s">
        <v>5796</v>
      </c>
      <c r="Z1294" s="8">
        <v>80</v>
      </c>
      <c r="AA1294" s="8">
        <v>0</v>
      </c>
      <c r="AB1294" s="9">
        <v>0</v>
      </c>
    </row>
    <row r="1295" spans="1:28" x14ac:dyDescent="0.2">
      <c r="A1295" s="10">
        <v>22997</v>
      </c>
      <c r="B1295" s="11" t="s">
        <v>8999</v>
      </c>
      <c r="C1295" s="11" t="s">
        <v>2649</v>
      </c>
      <c r="D1295" s="11" t="s">
        <v>861</v>
      </c>
      <c r="E1295" s="11"/>
      <c r="F1295" s="11" t="s">
        <v>2651</v>
      </c>
      <c r="G1295" s="11" t="s">
        <v>2652</v>
      </c>
      <c r="H1295" s="11" t="s">
        <v>1843</v>
      </c>
      <c r="I1295" s="11" t="s">
        <v>2653</v>
      </c>
      <c r="J1295" s="11" t="s">
        <v>4264</v>
      </c>
      <c r="K1295" s="11" t="s">
        <v>1562</v>
      </c>
      <c r="L1295" s="11" t="s">
        <v>229</v>
      </c>
      <c r="M1295" s="11" t="s">
        <v>9000</v>
      </c>
      <c r="N1295" s="11" t="s">
        <v>128</v>
      </c>
      <c r="O1295" s="11" t="s">
        <v>9001</v>
      </c>
      <c r="P1295" s="11" t="s">
        <v>9002</v>
      </c>
      <c r="Q1295" s="11" t="s">
        <v>150</v>
      </c>
      <c r="R1295" s="11"/>
      <c r="S1295" s="11" t="s">
        <v>2657</v>
      </c>
      <c r="T1295" s="11" t="s">
        <v>70</v>
      </c>
      <c r="U1295" s="11" t="s">
        <v>150</v>
      </c>
      <c r="V1295" s="11" t="s">
        <v>70</v>
      </c>
      <c r="W1295" s="11" t="s">
        <v>70</v>
      </c>
      <c r="X1295" s="11">
        <v>25</v>
      </c>
      <c r="Y1295" s="11" t="s">
        <v>5796</v>
      </c>
      <c r="Z1295" s="11">
        <v>80</v>
      </c>
      <c r="AA1295" s="11">
        <v>0</v>
      </c>
      <c r="AB1295" s="12">
        <v>0</v>
      </c>
    </row>
    <row r="1296" spans="1:28" x14ac:dyDescent="0.2">
      <c r="A1296" s="7">
        <v>140471</v>
      </c>
      <c r="B1296" s="8" t="s">
        <v>9003</v>
      </c>
      <c r="C1296" s="8" t="s">
        <v>9004</v>
      </c>
      <c r="D1296" s="8" t="s">
        <v>9005</v>
      </c>
      <c r="E1296" s="8" t="s">
        <v>9006</v>
      </c>
      <c r="F1296" s="8" t="s">
        <v>353</v>
      </c>
      <c r="G1296" s="8" t="s">
        <v>8876</v>
      </c>
      <c r="H1296" s="8" t="s">
        <v>329</v>
      </c>
      <c r="I1296" s="8" t="s">
        <v>9007</v>
      </c>
      <c r="J1296" s="8" t="s">
        <v>9008</v>
      </c>
      <c r="K1296" s="8" t="s">
        <v>415</v>
      </c>
      <c r="L1296" s="8" t="s">
        <v>333</v>
      </c>
      <c r="M1296" s="8" t="s">
        <v>9009</v>
      </c>
      <c r="N1296" s="8" t="s">
        <v>128</v>
      </c>
      <c r="O1296" s="8" t="s">
        <v>9010</v>
      </c>
      <c r="P1296" s="8" t="s">
        <v>9005</v>
      </c>
      <c r="Q1296" s="8" t="s">
        <v>150</v>
      </c>
      <c r="R1296" s="8"/>
      <c r="S1296" s="8" t="s">
        <v>71</v>
      </c>
      <c r="T1296" s="8" t="s">
        <v>168</v>
      </c>
      <c r="U1296" s="8" t="s">
        <v>150</v>
      </c>
      <c r="V1296" s="8" t="s">
        <v>168</v>
      </c>
      <c r="W1296" s="8" t="s">
        <v>168</v>
      </c>
      <c r="X1296" s="8">
        <v>25</v>
      </c>
      <c r="Y1296" s="8" t="s">
        <v>5796</v>
      </c>
      <c r="Z1296" s="8">
        <v>80</v>
      </c>
      <c r="AA1296" s="8">
        <v>0</v>
      </c>
      <c r="AB1296" s="9">
        <v>0</v>
      </c>
    </row>
    <row r="1297" spans="1:28" x14ac:dyDescent="0.2">
      <c r="A1297" s="10">
        <v>25250</v>
      </c>
      <c r="B1297" s="11" t="s">
        <v>9011</v>
      </c>
      <c r="C1297" s="11" t="s">
        <v>1034</v>
      </c>
      <c r="D1297" s="11" t="s">
        <v>1035</v>
      </c>
      <c r="E1297" s="11" t="s">
        <v>9012</v>
      </c>
      <c r="F1297" s="11" t="s">
        <v>1037</v>
      </c>
      <c r="G1297" s="11" t="s">
        <v>703</v>
      </c>
      <c r="H1297" s="11" t="s">
        <v>704</v>
      </c>
      <c r="I1297" s="11" t="s">
        <v>1038</v>
      </c>
      <c r="J1297" s="11" t="s">
        <v>1039</v>
      </c>
      <c r="K1297" s="11" t="s">
        <v>707</v>
      </c>
      <c r="L1297" s="11" t="s">
        <v>126</v>
      </c>
      <c r="M1297" s="11" t="s">
        <v>9013</v>
      </c>
      <c r="N1297" s="11" t="s">
        <v>128</v>
      </c>
      <c r="O1297" s="11" t="s">
        <v>9014</v>
      </c>
      <c r="P1297" s="11" t="s">
        <v>9015</v>
      </c>
      <c r="Q1297" s="11" t="s">
        <v>740</v>
      </c>
      <c r="R1297" s="11"/>
      <c r="S1297" s="11" t="s">
        <v>1043</v>
      </c>
      <c r="T1297" s="11" t="s">
        <v>741</v>
      </c>
      <c r="U1297" s="11" t="s">
        <v>134</v>
      </c>
      <c r="V1297" s="11" t="s">
        <v>740</v>
      </c>
      <c r="W1297" s="11" t="s">
        <v>741</v>
      </c>
      <c r="X1297" s="11">
        <v>25</v>
      </c>
      <c r="Y1297" s="11" t="s">
        <v>5796</v>
      </c>
      <c r="Z1297" s="11">
        <v>80</v>
      </c>
      <c r="AA1297" s="11">
        <v>0</v>
      </c>
      <c r="AB1297" s="12">
        <v>0</v>
      </c>
    </row>
    <row r="1298" spans="1:28" x14ac:dyDescent="0.2">
      <c r="A1298" s="7">
        <v>21393</v>
      </c>
      <c r="B1298" s="8" t="s">
        <v>9016</v>
      </c>
      <c r="C1298" s="8" t="s">
        <v>2615</v>
      </c>
      <c r="D1298" s="8" t="s">
        <v>9017</v>
      </c>
      <c r="E1298" s="8" t="s">
        <v>9018</v>
      </c>
      <c r="F1298" s="8" t="s">
        <v>353</v>
      </c>
      <c r="G1298" s="8" t="s">
        <v>5943</v>
      </c>
      <c r="H1298" s="8" t="s">
        <v>191</v>
      </c>
      <c r="I1298" s="8" t="s">
        <v>7710</v>
      </c>
      <c r="J1298" s="8" t="s">
        <v>9019</v>
      </c>
      <c r="K1298" s="8" t="s">
        <v>194</v>
      </c>
      <c r="L1298" s="8" t="s">
        <v>163</v>
      </c>
      <c r="M1298" s="8" t="s">
        <v>9020</v>
      </c>
      <c r="N1298" s="8" t="s">
        <v>128</v>
      </c>
      <c r="O1298" s="8" t="s">
        <v>9021</v>
      </c>
      <c r="P1298" s="8" t="s">
        <v>9022</v>
      </c>
      <c r="Q1298" s="8" t="s">
        <v>150</v>
      </c>
      <c r="R1298" s="8"/>
      <c r="S1298" s="8" t="s">
        <v>71</v>
      </c>
      <c r="T1298" s="8" t="s">
        <v>67</v>
      </c>
      <c r="U1298" s="8" t="s">
        <v>150</v>
      </c>
      <c r="V1298" s="8" t="s">
        <v>152</v>
      </c>
      <c r="W1298" s="8" t="s">
        <v>67</v>
      </c>
      <c r="X1298" s="8">
        <v>24</v>
      </c>
      <c r="Y1298" s="8" t="s">
        <v>5796</v>
      </c>
      <c r="Z1298" s="8">
        <v>80</v>
      </c>
      <c r="AA1298" s="8">
        <v>0</v>
      </c>
      <c r="AB1298" s="9">
        <v>0</v>
      </c>
    </row>
    <row r="1299" spans="1:28" x14ac:dyDescent="0.2">
      <c r="A1299" s="10">
        <v>21628</v>
      </c>
      <c r="B1299" s="11" t="s">
        <v>9023</v>
      </c>
      <c r="C1299" s="11" t="s">
        <v>3239</v>
      </c>
      <c r="D1299" s="11" t="s">
        <v>9024</v>
      </c>
      <c r="E1299" s="11"/>
      <c r="F1299" s="11" t="s">
        <v>353</v>
      </c>
      <c r="G1299" s="11" t="s">
        <v>364</v>
      </c>
      <c r="H1299" s="11" t="s">
        <v>365</v>
      </c>
      <c r="I1299" s="11" t="s">
        <v>3242</v>
      </c>
      <c r="J1299" s="11" t="s">
        <v>9025</v>
      </c>
      <c r="K1299" s="11" t="s">
        <v>162</v>
      </c>
      <c r="L1299" s="11" t="s">
        <v>163</v>
      </c>
      <c r="M1299" s="11" t="s">
        <v>9026</v>
      </c>
      <c r="N1299" s="11" t="s">
        <v>128</v>
      </c>
      <c r="O1299" s="11" t="s">
        <v>9027</v>
      </c>
      <c r="P1299" s="11" t="s">
        <v>9028</v>
      </c>
      <c r="Q1299" s="11" t="s">
        <v>150</v>
      </c>
      <c r="R1299" s="11"/>
      <c r="S1299" s="11" t="s">
        <v>71</v>
      </c>
      <c r="T1299" s="11" t="s">
        <v>67</v>
      </c>
      <c r="U1299" s="11" t="s">
        <v>150</v>
      </c>
      <c r="V1299" s="11" t="s">
        <v>152</v>
      </c>
      <c r="W1299" s="11" t="s">
        <v>67</v>
      </c>
      <c r="X1299" s="11">
        <v>24</v>
      </c>
      <c r="Y1299" s="11" t="s">
        <v>5796</v>
      </c>
      <c r="Z1299" s="11">
        <v>80</v>
      </c>
      <c r="AA1299" s="11">
        <v>0</v>
      </c>
      <c r="AB1299" s="12">
        <v>0</v>
      </c>
    </row>
    <row r="1300" spans="1:28" x14ac:dyDescent="0.2">
      <c r="A1300" s="7">
        <v>93174</v>
      </c>
      <c r="B1300" s="8" t="s">
        <v>9029</v>
      </c>
      <c r="C1300" s="8" t="s">
        <v>798</v>
      </c>
      <c r="D1300" s="8" t="s">
        <v>8658</v>
      </c>
      <c r="E1300" s="8"/>
      <c r="F1300" s="8" t="s">
        <v>353</v>
      </c>
      <c r="G1300" s="8" t="s">
        <v>9030</v>
      </c>
      <c r="H1300" s="8" t="s">
        <v>159</v>
      </c>
      <c r="I1300" s="8" t="s">
        <v>9031</v>
      </c>
      <c r="J1300" s="8" t="s">
        <v>9032</v>
      </c>
      <c r="K1300" s="8" t="s">
        <v>162</v>
      </c>
      <c r="L1300" s="8" t="s">
        <v>163</v>
      </c>
      <c r="M1300" s="8" t="s">
        <v>9033</v>
      </c>
      <c r="N1300" s="8" t="s">
        <v>128</v>
      </c>
      <c r="O1300" s="8" t="s">
        <v>9034</v>
      </c>
      <c r="P1300" s="8" t="s">
        <v>9035</v>
      </c>
      <c r="Q1300" s="8" t="s">
        <v>150</v>
      </c>
      <c r="R1300" s="8"/>
      <c r="S1300" s="8" t="s">
        <v>71</v>
      </c>
      <c r="T1300" s="8" t="s">
        <v>67</v>
      </c>
      <c r="U1300" s="8" t="s">
        <v>150</v>
      </c>
      <c r="V1300" s="8" t="s">
        <v>152</v>
      </c>
      <c r="W1300" s="8" t="s">
        <v>67</v>
      </c>
      <c r="X1300" s="8">
        <v>24</v>
      </c>
      <c r="Y1300" s="8" t="s">
        <v>5796</v>
      </c>
      <c r="Z1300" s="8">
        <v>80</v>
      </c>
      <c r="AA1300" s="8">
        <v>0</v>
      </c>
      <c r="AB1300" s="9">
        <v>0</v>
      </c>
    </row>
    <row r="1301" spans="1:28" x14ac:dyDescent="0.2">
      <c r="A1301" s="10">
        <v>26387</v>
      </c>
      <c r="B1301" s="11" t="s">
        <v>9036</v>
      </c>
      <c r="C1301" s="11" t="s">
        <v>9037</v>
      </c>
      <c r="D1301" s="11" t="s">
        <v>3427</v>
      </c>
      <c r="E1301" s="11"/>
      <c r="F1301" s="11" t="s">
        <v>9038</v>
      </c>
      <c r="G1301" s="11" t="s">
        <v>141</v>
      </c>
      <c r="H1301" s="11" t="s">
        <v>142</v>
      </c>
      <c r="I1301" s="11" t="s">
        <v>9039</v>
      </c>
      <c r="J1301" s="11" t="s">
        <v>9040</v>
      </c>
      <c r="K1301" s="11" t="s">
        <v>216</v>
      </c>
      <c r="L1301" s="11" t="s">
        <v>146</v>
      </c>
      <c r="M1301" s="11" t="s">
        <v>9041</v>
      </c>
      <c r="N1301" s="11" t="s">
        <v>128</v>
      </c>
      <c r="O1301" s="11" t="s">
        <v>9042</v>
      </c>
      <c r="P1301" s="11" t="s">
        <v>9043</v>
      </c>
      <c r="Q1301" s="11" t="s">
        <v>150</v>
      </c>
      <c r="R1301" s="11"/>
      <c r="S1301" s="11" t="s">
        <v>71</v>
      </c>
      <c r="T1301" s="11" t="s">
        <v>67</v>
      </c>
      <c r="U1301" s="11" t="s">
        <v>150</v>
      </c>
      <c r="V1301" s="11" t="s">
        <v>152</v>
      </c>
      <c r="W1301" s="11" t="s">
        <v>67</v>
      </c>
      <c r="X1301" s="11">
        <v>24</v>
      </c>
      <c r="Y1301" s="11" t="s">
        <v>5796</v>
      </c>
      <c r="Z1301" s="11">
        <v>80</v>
      </c>
      <c r="AA1301" s="11">
        <v>0</v>
      </c>
      <c r="AB1301" s="12">
        <v>0</v>
      </c>
    </row>
    <row r="1302" spans="1:28" x14ac:dyDescent="0.2">
      <c r="A1302" s="7">
        <v>21963</v>
      </c>
      <c r="B1302" s="8" t="s">
        <v>9044</v>
      </c>
      <c r="C1302" s="8" t="s">
        <v>9045</v>
      </c>
      <c r="D1302" s="8" t="s">
        <v>138</v>
      </c>
      <c r="E1302" s="8"/>
      <c r="F1302" s="8" t="s">
        <v>3963</v>
      </c>
      <c r="G1302" s="8" t="s">
        <v>224</v>
      </c>
      <c r="H1302" s="8" t="s">
        <v>225</v>
      </c>
      <c r="I1302" s="8" t="s">
        <v>3964</v>
      </c>
      <c r="J1302" s="8" t="s">
        <v>9046</v>
      </c>
      <c r="K1302" s="8" t="s">
        <v>228</v>
      </c>
      <c r="L1302" s="8" t="s">
        <v>229</v>
      </c>
      <c r="M1302" s="8" t="s">
        <v>9047</v>
      </c>
      <c r="N1302" s="8" t="s">
        <v>128</v>
      </c>
      <c r="O1302" s="8" t="s">
        <v>9048</v>
      </c>
      <c r="P1302" s="8"/>
      <c r="Q1302" s="8" t="s">
        <v>131</v>
      </c>
      <c r="R1302" s="8"/>
      <c r="S1302" s="8" t="s">
        <v>3968</v>
      </c>
      <c r="T1302" s="8" t="s">
        <v>983</v>
      </c>
      <c r="U1302" s="8" t="s">
        <v>134</v>
      </c>
      <c r="V1302" s="8" t="s">
        <v>131</v>
      </c>
      <c r="W1302" s="8" t="s">
        <v>983</v>
      </c>
      <c r="X1302" s="8">
        <v>24</v>
      </c>
      <c r="Y1302" s="8" t="s">
        <v>5796</v>
      </c>
      <c r="Z1302" s="8">
        <v>80</v>
      </c>
      <c r="AA1302" s="8">
        <v>0</v>
      </c>
      <c r="AB1302" s="9">
        <v>0</v>
      </c>
    </row>
    <row r="1303" spans="1:28" x14ac:dyDescent="0.2">
      <c r="A1303" s="10">
        <v>21874</v>
      </c>
      <c r="B1303" s="11" t="s">
        <v>9049</v>
      </c>
      <c r="C1303" s="11" t="s">
        <v>5940</v>
      </c>
      <c r="D1303" s="11" t="s">
        <v>5941</v>
      </c>
      <c r="E1303" s="11" t="s">
        <v>9050</v>
      </c>
      <c r="F1303" s="11" t="s">
        <v>5942</v>
      </c>
      <c r="G1303" s="11" t="s">
        <v>5943</v>
      </c>
      <c r="H1303" s="11" t="s">
        <v>191</v>
      </c>
      <c r="I1303" s="11" t="s">
        <v>5944</v>
      </c>
      <c r="J1303" s="11" t="s">
        <v>8672</v>
      </c>
      <c r="K1303" s="11" t="s">
        <v>194</v>
      </c>
      <c r="L1303" s="11" t="s">
        <v>163</v>
      </c>
      <c r="M1303" s="11" t="s">
        <v>9051</v>
      </c>
      <c r="N1303" s="11" t="s">
        <v>128</v>
      </c>
      <c r="O1303" s="11" t="s">
        <v>9052</v>
      </c>
      <c r="P1303" s="11" t="s">
        <v>9053</v>
      </c>
      <c r="Q1303" s="11" t="s">
        <v>131</v>
      </c>
      <c r="R1303" s="11"/>
      <c r="S1303" s="11" t="s">
        <v>5948</v>
      </c>
      <c r="T1303" s="11" t="s">
        <v>133</v>
      </c>
      <c r="U1303" s="11" t="s">
        <v>134</v>
      </c>
      <c r="V1303" s="11" t="s">
        <v>131</v>
      </c>
      <c r="W1303" s="11" t="s">
        <v>133</v>
      </c>
      <c r="X1303" s="11">
        <v>24</v>
      </c>
      <c r="Y1303" s="11" t="s">
        <v>5796</v>
      </c>
      <c r="Z1303" s="11">
        <v>80</v>
      </c>
      <c r="AA1303" s="11">
        <v>0</v>
      </c>
      <c r="AB1303" s="12">
        <v>0</v>
      </c>
    </row>
    <row r="1304" spans="1:28" x14ac:dyDescent="0.2">
      <c r="A1304" s="7">
        <v>22035</v>
      </c>
      <c r="B1304" s="8" t="s">
        <v>9054</v>
      </c>
      <c r="C1304" s="8" t="s">
        <v>9055</v>
      </c>
      <c r="D1304" s="8" t="s">
        <v>8185</v>
      </c>
      <c r="E1304" s="8"/>
      <c r="F1304" s="8" t="s">
        <v>353</v>
      </c>
      <c r="G1304" s="8" t="s">
        <v>3643</v>
      </c>
      <c r="H1304" s="8" t="s">
        <v>142</v>
      </c>
      <c r="I1304" s="8" t="s">
        <v>9056</v>
      </c>
      <c r="J1304" s="8" t="s">
        <v>9057</v>
      </c>
      <c r="K1304" s="8" t="s">
        <v>651</v>
      </c>
      <c r="L1304" s="8" t="s">
        <v>146</v>
      </c>
      <c r="M1304" s="8" t="s">
        <v>9058</v>
      </c>
      <c r="N1304" s="8" t="s">
        <v>128</v>
      </c>
      <c r="O1304" s="8" t="s">
        <v>9059</v>
      </c>
      <c r="P1304" s="8" t="s">
        <v>575</v>
      </c>
      <c r="Q1304" s="8" t="s">
        <v>131</v>
      </c>
      <c r="R1304" s="8"/>
      <c r="S1304" s="8" t="s">
        <v>4620</v>
      </c>
      <c r="T1304" s="8" t="s">
        <v>133</v>
      </c>
      <c r="U1304" s="8" t="s">
        <v>134</v>
      </c>
      <c r="V1304" s="8" t="s">
        <v>131</v>
      </c>
      <c r="W1304" s="8" t="s">
        <v>133</v>
      </c>
      <c r="X1304" s="8">
        <v>24</v>
      </c>
      <c r="Y1304" s="8" t="s">
        <v>5796</v>
      </c>
      <c r="Z1304" s="8">
        <v>80</v>
      </c>
      <c r="AA1304" s="8">
        <v>0</v>
      </c>
      <c r="AB1304" s="9">
        <v>0</v>
      </c>
    </row>
    <row r="1305" spans="1:28" x14ac:dyDescent="0.2">
      <c r="A1305" s="10">
        <v>22615</v>
      </c>
      <c r="B1305" s="11" t="s">
        <v>9060</v>
      </c>
      <c r="C1305" s="11" t="s">
        <v>9061</v>
      </c>
      <c r="D1305" s="11" t="s">
        <v>171</v>
      </c>
      <c r="E1305" s="11"/>
      <c r="F1305" s="11" t="s">
        <v>353</v>
      </c>
      <c r="G1305" s="11" t="s">
        <v>4513</v>
      </c>
      <c r="H1305" s="11" t="s">
        <v>847</v>
      </c>
      <c r="I1305" s="11" t="s">
        <v>9062</v>
      </c>
      <c r="J1305" s="11" t="s">
        <v>9063</v>
      </c>
      <c r="K1305" s="11" t="s">
        <v>1091</v>
      </c>
      <c r="L1305" s="11" t="s">
        <v>126</v>
      </c>
      <c r="M1305" s="11" t="s">
        <v>9064</v>
      </c>
      <c r="N1305" s="11" t="s">
        <v>128</v>
      </c>
      <c r="O1305" s="11" t="s">
        <v>9065</v>
      </c>
      <c r="P1305" s="11" t="s">
        <v>9066</v>
      </c>
      <c r="Q1305" s="11" t="s">
        <v>150</v>
      </c>
      <c r="R1305" s="11"/>
      <c r="S1305" s="11" t="s">
        <v>71</v>
      </c>
      <c r="T1305" s="11" t="s">
        <v>2697</v>
      </c>
      <c r="U1305" s="11" t="s">
        <v>150</v>
      </c>
      <c r="V1305" s="11" t="s">
        <v>2697</v>
      </c>
      <c r="W1305" s="11" t="s">
        <v>2697</v>
      </c>
      <c r="X1305" s="11">
        <v>24</v>
      </c>
      <c r="Y1305" s="11" t="s">
        <v>5796</v>
      </c>
      <c r="Z1305" s="11">
        <v>80</v>
      </c>
      <c r="AA1305" s="11">
        <v>0</v>
      </c>
      <c r="AB1305" s="12">
        <v>0</v>
      </c>
    </row>
    <row r="1306" spans="1:28" x14ac:dyDescent="0.2">
      <c r="A1306" s="7">
        <v>22868</v>
      </c>
      <c r="B1306" s="8" t="s">
        <v>9067</v>
      </c>
      <c r="C1306" s="8" t="s">
        <v>3239</v>
      </c>
      <c r="D1306" s="8" t="s">
        <v>1434</v>
      </c>
      <c r="E1306" s="8" t="s">
        <v>281</v>
      </c>
      <c r="F1306" s="8" t="s">
        <v>353</v>
      </c>
      <c r="G1306" s="8" t="s">
        <v>364</v>
      </c>
      <c r="H1306" s="8" t="s">
        <v>365</v>
      </c>
      <c r="I1306" s="8" t="s">
        <v>3242</v>
      </c>
      <c r="J1306" s="8" t="s">
        <v>9068</v>
      </c>
      <c r="K1306" s="8" t="s">
        <v>162</v>
      </c>
      <c r="L1306" s="8" t="s">
        <v>163</v>
      </c>
      <c r="M1306" s="8" t="s">
        <v>9069</v>
      </c>
      <c r="N1306" s="8" t="s">
        <v>128</v>
      </c>
      <c r="O1306" s="8" t="s">
        <v>9070</v>
      </c>
      <c r="P1306" s="8" t="s">
        <v>9071</v>
      </c>
      <c r="Q1306" s="8" t="s">
        <v>150</v>
      </c>
      <c r="R1306" s="8"/>
      <c r="S1306" s="8" t="s">
        <v>71</v>
      </c>
      <c r="T1306" s="8" t="s">
        <v>70</v>
      </c>
      <c r="U1306" s="8" t="s">
        <v>150</v>
      </c>
      <c r="V1306" s="8" t="s">
        <v>70</v>
      </c>
      <c r="W1306" s="8" t="s">
        <v>70</v>
      </c>
      <c r="X1306" s="8">
        <v>24</v>
      </c>
      <c r="Y1306" s="8" t="s">
        <v>5796</v>
      </c>
      <c r="Z1306" s="8">
        <v>80</v>
      </c>
      <c r="AA1306" s="8">
        <v>0</v>
      </c>
      <c r="AB1306" s="9">
        <v>0</v>
      </c>
    </row>
    <row r="1307" spans="1:28" x14ac:dyDescent="0.2">
      <c r="A1307" s="10">
        <v>49831</v>
      </c>
      <c r="B1307" s="11" t="s">
        <v>9072</v>
      </c>
      <c r="C1307" s="11" t="s">
        <v>798</v>
      </c>
      <c r="D1307" s="11" t="s">
        <v>7387</v>
      </c>
      <c r="E1307" s="11"/>
      <c r="F1307" s="11" t="s">
        <v>9073</v>
      </c>
      <c r="G1307" s="11" t="s">
        <v>5846</v>
      </c>
      <c r="H1307" s="11" t="s">
        <v>159</v>
      </c>
      <c r="I1307" s="11" t="s">
        <v>9031</v>
      </c>
      <c r="J1307" s="11" t="s">
        <v>9074</v>
      </c>
      <c r="K1307" s="11" t="s">
        <v>162</v>
      </c>
      <c r="L1307" s="11" t="s">
        <v>163</v>
      </c>
      <c r="M1307" s="11" t="s">
        <v>9075</v>
      </c>
      <c r="N1307" s="11" t="s">
        <v>128</v>
      </c>
      <c r="O1307" s="11" t="s">
        <v>9076</v>
      </c>
      <c r="P1307" s="11" t="s">
        <v>3462</v>
      </c>
      <c r="Q1307" s="11" t="s">
        <v>150</v>
      </c>
      <c r="R1307" s="11"/>
      <c r="S1307" s="11" t="s">
        <v>71</v>
      </c>
      <c r="T1307" s="11" t="s">
        <v>168</v>
      </c>
      <c r="U1307" s="11" t="s">
        <v>150</v>
      </c>
      <c r="V1307" s="11" t="s">
        <v>168</v>
      </c>
      <c r="W1307" s="11" t="s">
        <v>168</v>
      </c>
      <c r="X1307" s="11">
        <v>24</v>
      </c>
      <c r="Y1307" s="11" t="s">
        <v>5796</v>
      </c>
      <c r="Z1307" s="11">
        <v>80</v>
      </c>
      <c r="AA1307" s="11">
        <v>0</v>
      </c>
      <c r="AB1307" s="12">
        <v>0</v>
      </c>
    </row>
    <row r="1308" spans="1:28" x14ac:dyDescent="0.2">
      <c r="A1308" s="7">
        <v>25180</v>
      </c>
      <c r="B1308" s="8" t="s">
        <v>9077</v>
      </c>
      <c r="C1308" s="8" t="s">
        <v>5940</v>
      </c>
      <c r="D1308" s="8" t="s">
        <v>5941</v>
      </c>
      <c r="E1308" s="8" t="s">
        <v>9078</v>
      </c>
      <c r="F1308" s="8" t="s">
        <v>5942</v>
      </c>
      <c r="G1308" s="8" t="s">
        <v>5943</v>
      </c>
      <c r="H1308" s="8" t="s">
        <v>191</v>
      </c>
      <c r="I1308" s="8" t="s">
        <v>5944</v>
      </c>
      <c r="J1308" s="8" t="s">
        <v>8672</v>
      </c>
      <c r="K1308" s="8" t="s">
        <v>194</v>
      </c>
      <c r="L1308" s="8" t="s">
        <v>163</v>
      </c>
      <c r="M1308" s="8" t="s">
        <v>9079</v>
      </c>
      <c r="N1308" s="8" t="s">
        <v>128</v>
      </c>
      <c r="O1308" s="8" t="s">
        <v>9080</v>
      </c>
      <c r="P1308" s="8" t="s">
        <v>9081</v>
      </c>
      <c r="Q1308" s="8" t="s">
        <v>740</v>
      </c>
      <c r="R1308" s="8"/>
      <c r="S1308" s="8" t="s">
        <v>5948</v>
      </c>
      <c r="T1308" s="8" t="s">
        <v>741</v>
      </c>
      <c r="U1308" s="8" t="s">
        <v>134</v>
      </c>
      <c r="V1308" s="8" t="s">
        <v>740</v>
      </c>
      <c r="W1308" s="8" t="s">
        <v>741</v>
      </c>
      <c r="X1308" s="8">
        <v>24</v>
      </c>
      <c r="Y1308" s="8" t="s">
        <v>5796</v>
      </c>
      <c r="Z1308" s="8">
        <v>80</v>
      </c>
      <c r="AA1308" s="8">
        <v>0</v>
      </c>
      <c r="AB1308" s="9">
        <v>0</v>
      </c>
    </row>
    <row r="1309" spans="1:28" x14ac:dyDescent="0.2">
      <c r="A1309" s="10">
        <v>25525</v>
      </c>
      <c r="B1309" s="11" t="s">
        <v>9082</v>
      </c>
      <c r="C1309" s="11" t="s">
        <v>2989</v>
      </c>
      <c r="D1309" s="11" t="s">
        <v>6141</v>
      </c>
      <c r="E1309" s="11" t="s">
        <v>1547</v>
      </c>
      <c r="F1309" s="11" t="s">
        <v>353</v>
      </c>
      <c r="G1309" s="11" t="s">
        <v>2992</v>
      </c>
      <c r="H1309" s="11" t="s">
        <v>122</v>
      </c>
      <c r="I1309" s="11" t="s">
        <v>2993</v>
      </c>
      <c r="J1309" s="11" t="s">
        <v>9083</v>
      </c>
      <c r="K1309" s="11" t="s">
        <v>125</v>
      </c>
      <c r="L1309" s="11" t="s">
        <v>126</v>
      </c>
      <c r="M1309" s="11" t="s">
        <v>9084</v>
      </c>
      <c r="N1309" s="11" t="s">
        <v>128</v>
      </c>
      <c r="O1309" s="11" t="s">
        <v>9085</v>
      </c>
      <c r="P1309" s="11" t="s">
        <v>9086</v>
      </c>
      <c r="Q1309" s="11" t="s">
        <v>249</v>
      </c>
      <c r="R1309" s="11"/>
      <c r="S1309" s="11" t="s">
        <v>71</v>
      </c>
      <c r="T1309" s="11" t="s">
        <v>250</v>
      </c>
      <c r="U1309" s="11" t="s">
        <v>134</v>
      </c>
      <c r="V1309" s="11" t="s">
        <v>249</v>
      </c>
      <c r="W1309" s="11" t="s">
        <v>250</v>
      </c>
      <c r="X1309" s="11">
        <v>24</v>
      </c>
      <c r="Y1309" s="11" t="s">
        <v>5796</v>
      </c>
      <c r="Z1309" s="11">
        <v>80</v>
      </c>
      <c r="AA1309" s="11">
        <v>0</v>
      </c>
      <c r="AB1309" s="12">
        <v>0</v>
      </c>
    </row>
    <row r="1310" spans="1:28" x14ac:dyDescent="0.2">
      <c r="A1310" s="7">
        <v>21170</v>
      </c>
      <c r="B1310" s="8" t="s">
        <v>9087</v>
      </c>
      <c r="C1310" s="8" t="s">
        <v>9088</v>
      </c>
      <c r="D1310" s="8" t="s">
        <v>9089</v>
      </c>
      <c r="E1310" s="8"/>
      <c r="F1310" s="8" t="s">
        <v>1994</v>
      </c>
      <c r="G1310" s="8" t="s">
        <v>328</v>
      </c>
      <c r="H1310" s="8" t="s">
        <v>329</v>
      </c>
      <c r="I1310" s="8" t="s">
        <v>9090</v>
      </c>
      <c r="J1310" s="8" t="s">
        <v>9091</v>
      </c>
      <c r="K1310" s="8" t="s">
        <v>332</v>
      </c>
      <c r="L1310" s="8" t="s">
        <v>333</v>
      </c>
      <c r="M1310" s="8" t="s">
        <v>9092</v>
      </c>
      <c r="N1310" s="8" t="s">
        <v>128</v>
      </c>
      <c r="O1310" s="8" t="s">
        <v>9093</v>
      </c>
      <c r="P1310" s="8" t="s">
        <v>4860</v>
      </c>
      <c r="Q1310" s="8" t="s">
        <v>150</v>
      </c>
      <c r="R1310" s="8"/>
      <c r="S1310" s="8" t="s">
        <v>71</v>
      </c>
      <c r="T1310" s="8" t="s">
        <v>289</v>
      </c>
      <c r="U1310" s="8" t="s">
        <v>150</v>
      </c>
      <c r="V1310" s="8" t="s">
        <v>289</v>
      </c>
      <c r="W1310" s="8" t="s">
        <v>289</v>
      </c>
      <c r="X1310" s="8">
        <v>23</v>
      </c>
      <c r="Y1310" s="8" t="s">
        <v>5796</v>
      </c>
      <c r="Z1310" s="8">
        <v>80</v>
      </c>
      <c r="AA1310" s="8">
        <v>0</v>
      </c>
      <c r="AB1310" s="9">
        <v>0</v>
      </c>
    </row>
    <row r="1311" spans="1:28" x14ac:dyDescent="0.2">
      <c r="A1311" s="10">
        <v>21278</v>
      </c>
      <c r="B1311" s="11" t="s">
        <v>9094</v>
      </c>
      <c r="C1311" s="11" t="s">
        <v>1125</v>
      </c>
      <c r="D1311" s="11" t="s">
        <v>9095</v>
      </c>
      <c r="E1311" s="11" t="s">
        <v>9096</v>
      </c>
      <c r="F1311" s="11" t="s">
        <v>7985</v>
      </c>
      <c r="G1311" s="11" t="s">
        <v>450</v>
      </c>
      <c r="H1311" s="11" t="s">
        <v>301</v>
      </c>
      <c r="I1311" s="11" t="s">
        <v>7986</v>
      </c>
      <c r="J1311" s="11" t="s">
        <v>9097</v>
      </c>
      <c r="K1311" s="11" t="s">
        <v>304</v>
      </c>
      <c r="L1311" s="11" t="s">
        <v>229</v>
      </c>
      <c r="M1311" s="11" t="s">
        <v>9098</v>
      </c>
      <c r="N1311" s="11" t="s">
        <v>128</v>
      </c>
      <c r="O1311" s="11" t="s">
        <v>9099</v>
      </c>
      <c r="P1311" s="11" t="s">
        <v>9100</v>
      </c>
      <c r="Q1311" s="11" t="s">
        <v>150</v>
      </c>
      <c r="R1311" s="11"/>
      <c r="S1311" s="11" t="s">
        <v>71</v>
      </c>
      <c r="T1311" s="11" t="s">
        <v>67</v>
      </c>
      <c r="U1311" s="11" t="s">
        <v>150</v>
      </c>
      <c r="V1311" s="11" t="s">
        <v>152</v>
      </c>
      <c r="W1311" s="11" t="s">
        <v>67</v>
      </c>
      <c r="X1311" s="11">
        <v>23</v>
      </c>
      <c r="Y1311" s="11" t="s">
        <v>5796</v>
      </c>
      <c r="Z1311" s="11">
        <v>80</v>
      </c>
      <c r="AA1311" s="11">
        <v>0</v>
      </c>
      <c r="AB1311" s="12">
        <v>0</v>
      </c>
    </row>
    <row r="1312" spans="1:28" x14ac:dyDescent="0.2">
      <c r="A1312" s="7">
        <v>21251</v>
      </c>
      <c r="B1312" s="8" t="s">
        <v>9101</v>
      </c>
      <c r="C1312" s="8" t="s">
        <v>9102</v>
      </c>
      <c r="D1312" s="8" t="s">
        <v>7953</v>
      </c>
      <c r="E1312" s="8" t="s">
        <v>9103</v>
      </c>
      <c r="F1312" s="8" t="s">
        <v>9104</v>
      </c>
      <c r="G1312" s="8" t="s">
        <v>4137</v>
      </c>
      <c r="H1312" s="8" t="s">
        <v>142</v>
      </c>
      <c r="I1312" s="8" t="s">
        <v>9105</v>
      </c>
      <c r="J1312" s="8" t="s">
        <v>9106</v>
      </c>
      <c r="K1312" s="8" t="s">
        <v>1199</v>
      </c>
      <c r="L1312" s="8" t="s">
        <v>464</v>
      </c>
      <c r="M1312" s="8" t="s">
        <v>9107</v>
      </c>
      <c r="N1312" s="8" t="s">
        <v>128</v>
      </c>
      <c r="O1312" s="8" t="s">
        <v>9108</v>
      </c>
      <c r="P1312" s="8" t="s">
        <v>9109</v>
      </c>
      <c r="Q1312" s="8" t="s">
        <v>150</v>
      </c>
      <c r="R1312" s="8"/>
      <c r="S1312" s="8" t="s">
        <v>9110</v>
      </c>
      <c r="T1312" s="8" t="s">
        <v>67</v>
      </c>
      <c r="U1312" s="8" t="s">
        <v>150</v>
      </c>
      <c r="V1312" s="8" t="s">
        <v>152</v>
      </c>
      <c r="W1312" s="8" t="s">
        <v>67</v>
      </c>
      <c r="X1312" s="8">
        <v>23</v>
      </c>
      <c r="Y1312" s="8" t="s">
        <v>5796</v>
      </c>
      <c r="Z1312" s="8">
        <v>80</v>
      </c>
      <c r="AA1312" s="8">
        <v>0</v>
      </c>
      <c r="AB1312" s="9">
        <v>0</v>
      </c>
    </row>
    <row r="1313" spans="1:28" x14ac:dyDescent="0.2">
      <c r="A1313" s="10">
        <v>93040</v>
      </c>
      <c r="B1313" s="11" t="s">
        <v>9111</v>
      </c>
      <c r="C1313" s="11" t="s">
        <v>9112</v>
      </c>
      <c r="D1313" s="11" t="s">
        <v>7943</v>
      </c>
      <c r="E1313" s="11"/>
      <c r="F1313" s="11" t="s">
        <v>353</v>
      </c>
      <c r="G1313" s="11" t="s">
        <v>9113</v>
      </c>
      <c r="H1313" s="11" t="s">
        <v>159</v>
      </c>
      <c r="I1313" s="11" t="s">
        <v>9114</v>
      </c>
      <c r="J1313" s="11" t="s">
        <v>9115</v>
      </c>
      <c r="K1313" s="11" t="s">
        <v>162</v>
      </c>
      <c r="L1313" s="11" t="s">
        <v>163</v>
      </c>
      <c r="M1313" s="11" t="s">
        <v>9116</v>
      </c>
      <c r="N1313" s="11" t="s">
        <v>128</v>
      </c>
      <c r="O1313" s="11" t="s">
        <v>9117</v>
      </c>
      <c r="P1313" s="11" t="s">
        <v>9118</v>
      </c>
      <c r="Q1313" s="11" t="s">
        <v>150</v>
      </c>
      <c r="R1313" s="11"/>
      <c r="S1313" s="11" t="s">
        <v>71</v>
      </c>
      <c r="T1313" s="11" t="s">
        <v>67</v>
      </c>
      <c r="U1313" s="11" t="s">
        <v>150</v>
      </c>
      <c r="V1313" s="11" t="s">
        <v>152</v>
      </c>
      <c r="W1313" s="11" t="s">
        <v>67</v>
      </c>
      <c r="X1313" s="11">
        <v>23</v>
      </c>
      <c r="Y1313" s="11" t="s">
        <v>5796</v>
      </c>
      <c r="Z1313" s="11">
        <v>80</v>
      </c>
      <c r="AA1313" s="11">
        <v>0</v>
      </c>
      <c r="AB1313" s="12">
        <v>0</v>
      </c>
    </row>
    <row r="1314" spans="1:28" x14ac:dyDescent="0.2">
      <c r="A1314" s="7">
        <v>23174</v>
      </c>
      <c r="B1314" s="8" t="s">
        <v>9119</v>
      </c>
      <c r="C1314" s="8" t="s">
        <v>9045</v>
      </c>
      <c r="D1314" s="8" t="s">
        <v>138</v>
      </c>
      <c r="E1314" s="8" t="s">
        <v>281</v>
      </c>
      <c r="F1314" s="8" t="s">
        <v>3963</v>
      </c>
      <c r="G1314" s="8" t="s">
        <v>224</v>
      </c>
      <c r="H1314" s="8" t="s">
        <v>225</v>
      </c>
      <c r="I1314" s="8" t="s">
        <v>3964</v>
      </c>
      <c r="J1314" s="8" t="s">
        <v>9046</v>
      </c>
      <c r="K1314" s="8" t="s">
        <v>228</v>
      </c>
      <c r="L1314" s="8" t="s">
        <v>229</v>
      </c>
      <c r="M1314" s="8" t="s">
        <v>9120</v>
      </c>
      <c r="N1314" s="8" t="s">
        <v>128</v>
      </c>
      <c r="O1314" s="8" t="s">
        <v>9121</v>
      </c>
      <c r="P1314" s="8" t="s">
        <v>9122</v>
      </c>
      <c r="Q1314" s="8" t="s">
        <v>150</v>
      </c>
      <c r="R1314" s="8"/>
      <c r="S1314" s="8" t="s">
        <v>3968</v>
      </c>
      <c r="T1314" s="8" t="s">
        <v>70</v>
      </c>
      <c r="U1314" s="8" t="s">
        <v>150</v>
      </c>
      <c r="V1314" s="8" t="s">
        <v>70</v>
      </c>
      <c r="W1314" s="8" t="s">
        <v>70</v>
      </c>
      <c r="X1314" s="8">
        <v>23</v>
      </c>
      <c r="Y1314" s="8" t="s">
        <v>5796</v>
      </c>
      <c r="Z1314" s="8">
        <v>80</v>
      </c>
      <c r="AA1314" s="8">
        <v>0</v>
      </c>
      <c r="AB1314" s="9">
        <v>0</v>
      </c>
    </row>
    <row r="1315" spans="1:28" x14ac:dyDescent="0.2">
      <c r="A1315" s="10">
        <v>22979</v>
      </c>
      <c r="B1315" s="11" t="s">
        <v>9123</v>
      </c>
      <c r="C1315" s="11" t="s">
        <v>9124</v>
      </c>
      <c r="D1315" s="11" t="s">
        <v>138</v>
      </c>
      <c r="E1315" s="11"/>
      <c r="F1315" s="11" t="s">
        <v>9125</v>
      </c>
      <c r="G1315" s="11" t="s">
        <v>141</v>
      </c>
      <c r="H1315" s="11" t="s">
        <v>142</v>
      </c>
      <c r="I1315" s="11" t="s">
        <v>9126</v>
      </c>
      <c r="J1315" s="11" t="s">
        <v>9127</v>
      </c>
      <c r="K1315" s="11" t="s">
        <v>991</v>
      </c>
      <c r="L1315" s="11" t="s">
        <v>146</v>
      </c>
      <c r="M1315" s="11" t="s">
        <v>9128</v>
      </c>
      <c r="N1315" s="11" t="s">
        <v>128</v>
      </c>
      <c r="O1315" s="11" t="s">
        <v>9129</v>
      </c>
      <c r="P1315" s="11" t="s">
        <v>9130</v>
      </c>
      <c r="Q1315" s="11" t="s">
        <v>150</v>
      </c>
      <c r="R1315" s="11"/>
      <c r="S1315" s="11" t="s">
        <v>9131</v>
      </c>
      <c r="T1315" s="11" t="s">
        <v>70</v>
      </c>
      <c r="U1315" s="11" t="s">
        <v>150</v>
      </c>
      <c r="V1315" s="11" t="s">
        <v>70</v>
      </c>
      <c r="W1315" s="11" t="s">
        <v>70</v>
      </c>
      <c r="X1315" s="11">
        <v>23</v>
      </c>
      <c r="Y1315" s="11" t="s">
        <v>5796</v>
      </c>
      <c r="Z1315" s="11">
        <v>80</v>
      </c>
      <c r="AA1315" s="11">
        <v>0</v>
      </c>
      <c r="AB1315" s="12">
        <v>0</v>
      </c>
    </row>
    <row r="1316" spans="1:28" x14ac:dyDescent="0.2">
      <c r="A1316" s="7">
        <v>23409</v>
      </c>
      <c r="B1316" s="8" t="s">
        <v>9132</v>
      </c>
      <c r="C1316" s="8" t="s">
        <v>8652</v>
      </c>
      <c r="D1316" s="8" t="s">
        <v>8299</v>
      </c>
      <c r="E1316" s="8"/>
      <c r="F1316" s="8" t="s">
        <v>353</v>
      </c>
      <c r="G1316" s="8" t="s">
        <v>8653</v>
      </c>
      <c r="H1316" s="8" t="s">
        <v>329</v>
      </c>
      <c r="I1316" s="8" t="s">
        <v>9133</v>
      </c>
      <c r="J1316" s="8" t="s">
        <v>9134</v>
      </c>
      <c r="K1316" s="8" t="s">
        <v>572</v>
      </c>
      <c r="L1316" s="8" t="s">
        <v>333</v>
      </c>
      <c r="M1316" s="8" t="s">
        <v>9135</v>
      </c>
      <c r="N1316" s="8" t="s">
        <v>128</v>
      </c>
      <c r="O1316" s="8" t="s">
        <v>9136</v>
      </c>
      <c r="P1316" s="8" t="s">
        <v>9137</v>
      </c>
      <c r="Q1316" s="8" t="s">
        <v>150</v>
      </c>
      <c r="R1316" s="8"/>
      <c r="S1316" s="8" t="s">
        <v>71</v>
      </c>
      <c r="T1316" s="8" t="s">
        <v>1415</v>
      </c>
      <c r="U1316" s="8" t="s">
        <v>150</v>
      </c>
      <c r="V1316" s="8" t="s">
        <v>1415</v>
      </c>
      <c r="W1316" s="8" t="s">
        <v>1415</v>
      </c>
      <c r="X1316" s="8">
        <v>23</v>
      </c>
      <c r="Y1316" s="8" t="s">
        <v>5796</v>
      </c>
      <c r="Z1316" s="8">
        <v>80</v>
      </c>
      <c r="AA1316" s="8">
        <v>0</v>
      </c>
      <c r="AB1316" s="9">
        <v>0</v>
      </c>
    </row>
    <row r="1317" spans="1:28" x14ac:dyDescent="0.2">
      <c r="A1317" s="10">
        <v>92880</v>
      </c>
      <c r="B1317" s="11" t="s">
        <v>9138</v>
      </c>
      <c r="C1317" s="11" t="s">
        <v>9139</v>
      </c>
      <c r="D1317" s="11" t="s">
        <v>8232</v>
      </c>
      <c r="E1317" s="11" t="s">
        <v>9140</v>
      </c>
      <c r="F1317" s="11" t="s">
        <v>6397</v>
      </c>
      <c r="G1317" s="11" t="s">
        <v>9141</v>
      </c>
      <c r="H1317" s="11" t="s">
        <v>329</v>
      </c>
      <c r="I1317" s="11" t="s">
        <v>9142</v>
      </c>
      <c r="J1317" s="11" t="s">
        <v>9143</v>
      </c>
      <c r="K1317" s="11" t="s">
        <v>572</v>
      </c>
      <c r="L1317" s="11" t="s">
        <v>333</v>
      </c>
      <c r="M1317" s="11" t="s">
        <v>9144</v>
      </c>
      <c r="N1317" s="11" t="s">
        <v>128</v>
      </c>
      <c r="O1317" s="11" t="s">
        <v>9145</v>
      </c>
      <c r="P1317" s="11" t="s">
        <v>4017</v>
      </c>
      <c r="Q1317" s="11" t="s">
        <v>150</v>
      </c>
      <c r="R1317" s="11"/>
      <c r="S1317" s="11" t="s">
        <v>71</v>
      </c>
      <c r="T1317" s="11" t="s">
        <v>168</v>
      </c>
      <c r="U1317" s="11" t="s">
        <v>150</v>
      </c>
      <c r="V1317" s="11" t="s">
        <v>168</v>
      </c>
      <c r="W1317" s="11" t="s">
        <v>168</v>
      </c>
      <c r="X1317" s="11">
        <v>23</v>
      </c>
      <c r="Y1317" s="11" t="s">
        <v>5796</v>
      </c>
      <c r="Z1317" s="11">
        <v>80</v>
      </c>
      <c r="AA1317" s="11">
        <v>0</v>
      </c>
      <c r="AB1317" s="12">
        <v>0</v>
      </c>
    </row>
    <row r="1318" spans="1:28" x14ac:dyDescent="0.2">
      <c r="A1318" s="7">
        <v>23559</v>
      </c>
      <c r="B1318" s="8" t="s">
        <v>9146</v>
      </c>
      <c r="C1318" s="8" t="s">
        <v>9102</v>
      </c>
      <c r="D1318" s="8" t="s">
        <v>7953</v>
      </c>
      <c r="E1318" s="8" t="s">
        <v>135</v>
      </c>
      <c r="F1318" s="8" t="s">
        <v>9104</v>
      </c>
      <c r="G1318" s="8" t="s">
        <v>4137</v>
      </c>
      <c r="H1318" s="8" t="s">
        <v>142</v>
      </c>
      <c r="I1318" s="8" t="s">
        <v>9105</v>
      </c>
      <c r="J1318" s="8" t="s">
        <v>9106</v>
      </c>
      <c r="K1318" s="8" t="s">
        <v>1199</v>
      </c>
      <c r="L1318" s="8" t="s">
        <v>464</v>
      </c>
      <c r="M1318" s="8" t="s">
        <v>9147</v>
      </c>
      <c r="N1318" s="8" t="s">
        <v>128</v>
      </c>
      <c r="O1318" s="8" t="s">
        <v>9148</v>
      </c>
      <c r="P1318" s="8" t="s">
        <v>5089</v>
      </c>
      <c r="Q1318" s="8" t="s">
        <v>150</v>
      </c>
      <c r="R1318" s="8"/>
      <c r="S1318" s="8" t="s">
        <v>9110</v>
      </c>
      <c r="T1318" s="8" t="s">
        <v>168</v>
      </c>
      <c r="U1318" s="8" t="s">
        <v>150</v>
      </c>
      <c r="V1318" s="8" t="s">
        <v>168</v>
      </c>
      <c r="W1318" s="8" t="s">
        <v>168</v>
      </c>
      <c r="X1318" s="8">
        <v>23</v>
      </c>
      <c r="Y1318" s="8" t="s">
        <v>5796</v>
      </c>
      <c r="Z1318" s="8">
        <v>80</v>
      </c>
      <c r="AA1318" s="8">
        <v>0</v>
      </c>
      <c r="AB1318" s="9">
        <v>0</v>
      </c>
    </row>
    <row r="1319" spans="1:28" x14ac:dyDescent="0.2">
      <c r="A1319" s="10">
        <v>23583</v>
      </c>
      <c r="B1319" s="11" t="s">
        <v>9149</v>
      </c>
      <c r="C1319" s="11" t="s">
        <v>9150</v>
      </c>
      <c r="D1319" s="11" t="s">
        <v>9151</v>
      </c>
      <c r="E1319" s="11"/>
      <c r="F1319" s="11" t="s">
        <v>9152</v>
      </c>
      <c r="G1319" s="11" t="s">
        <v>121</v>
      </c>
      <c r="H1319" s="11" t="s">
        <v>122</v>
      </c>
      <c r="I1319" s="11" t="s">
        <v>9153</v>
      </c>
      <c r="J1319" s="11" t="s">
        <v>9154</v>
      </c>
      <c r="K1319" s="11" t="s">
        <v>125</v>
      </c>
      <c r="L1319" s="11" t="s">
        <v>126</v>
      </c>
      <c r="M1319" s="11" t="s">
        <v>9155</v>
      </c>
      <c r="N1319" s="11" t="s">
        <v>128</v>
      </c>
      <c r="O1319" s="11" t="s">
        <v>9156</v>
      </c>
      <c r="P1319" s="11" t="s">
        <v>9157</v>
      </c>
      <c r="Q1319" s="11" t="s">
        <v>150</v>
      </c>
      <c r="R1319" s="11"/>
      <c r="S1319" s="11" t="s">
        <v>71</v>
      </c>
      <c r="T1319" s="11" t="s">
        <v>168</v>
      </c>
      <c r="U1319" s="11" t="s">
        <v>150</v>
      </c>
      <c r="V1319" s="11" t="s">
        <v>168</v>
      </c>
      <c r="W1319" s="11" t="s">
        <v>168</v>
      </c>
      <c r="X1319" s="11">
        <v>23</v>
      </c>
      <c r="Y1319" s="11" t="s">
        <v>5796</v>
      </c>
      <c r="Z1319" s="11">
        <v>80</v>
      </c>
      <c r="AA1319" s="11">
        <v>0</v>
      </c>
      <c r="AB1319" s="12">
        <v>0</v>
      </c>
    </row>
    <row r="1320" spans="1:28" x14ac:dyDescent="0.2">
      <c r="A1320" s="7">
        <v>23847</v>
      </c>
      <c r="B1320" s="8" t="s">
        <v>9158</v>
      </c>
      <c r="C1320" s="8" t="s">
        <v>9159</v>
      </c>
      <c r="D1320" s="8" t="s">
        <v>9160</v>
      </c>
      <c r="E1320" s="8"/>
      <c r="F1320" s="8" t="s">
        <v>9161</v>
      </c>
      <c r="G1320" s="8" t="s">
        <v>141</v>
      </c>
      <c r="H1320" s="8" t="s">
        <v>142</v>
      </c>
      <c r="I1320" s="8" t="s">
        <v>9162</v>
      </c>
      <c r="J1320" s="8" t="s">
        <v>9163</v>
      </c>
      <c r="K1320" s="8" t="s">
        <v>403</v>
      </c>
      <c r="L1320" s="8" t="s">
        <v>146</v>
      </c>
      <c r="M1320" s="8" t="s">
        <v>9164</v>
      </c>
      <c r="N1320" s="8" t="s">
        <v>128</v>
      </c>
      <c r="O1320" s="8" t="s">
        <v>9165</v>
      </c>
      <c r="P1320" s="8" t="s">
        <v>9166</v>
      </c>
      <c r="Q1320" s="8" t="s">
        <v>150</v>
      </c>
      <c r="R1320" s="8"/>
      <c r="S1320" s="8" t="s">
        <v>71</v>
      </c>
      <c r="T1320" s="8" t="s">
        <v>168</v>
      </c>
      <c r="U1320" s="8" t="s">
        <v>150</v>
      </c>
      <c r="V1320" s="8" t="s">
        <v>168</v>
      </c>
      <c r="W1320" s="8" t="s">
        <v>168</v>
      </c>
      <c r="X1320" s="8">
        <v>23</v>
      </c>
      <c r="Y1320" s="8" t="s">
        <v>5796</v>
      </c>
      <c r="Z1320" s="8">
        <v>80</v>
      </c>
      <c r="AA1320" s="8">
        <v>0</v>
      </c>
      <c r="AB1320" s="9">
        <v>0</v>
      </c>
    </row>
    <row r="1321" spans="1:28" x14ac:dyDescent="0.2">
      <c r="A1321" s="10">
        <v>115267</v>
      </c>
      <c r="B1321" s="11" t="s">
        <v>9167</v>
      </c>
      <c r="C1321" s="11" t="s">
        <v>8955</v>
      </c>
      <c r="D1321" s="11" t="s">
        <v>8956</v>
      </c>
      <c r="E1321" s="11"/>
      <c r="F1321" s="11" t="s">
        <v>9168</v>
      </c>
      <c r="G1321" s="11" t="s">
        <v>8614</v>
      </c>
      <c r="H1321" s="11" t="s">
        <v>142</v>
      </c>
      <c r="I1321" s="11" t="s">
        <v>9169</v>
      </c>
      <c r="J1321" s="11" t="s">
        <v>8960</v>
      </c>
      <c r="K1321" s="11" t="s">
        <v>1199</v>
      </c>
      <c r="L1321" s="11" t="s">
        <v>464</v>
      </c>
      <c r="M1321" s="11" t="s">
        <v>9170</v>
      </c>
      <c r="N1321" s="11" t="s">
        <v>128</v>
      </c>
      <c r="O1321" s="11" t="s">
        <v>9171</v>
      </c>
      <c r="P1321" s="11" t="s">
        <v>9172</v>
      </c>
      <c r="Q1321" s="11" t="s">
        <v>150</v>
      </c>
      <c r="R1321" s="11"/>
      <c r="S1321" s="11" t="s">
        <v>8964</v>
      </c>
      <c r="T1321" s="11" t="s">
        <v>168</v>
      </c>
      <c r="U1321" s="11" t="s">
        <v>150</v>
      </c>
      <c r="V1321" s="11" t="s">
        <v>168</v>
      </c>
      <c r="W1321" s="11" t="s">
        <v>168</v>
      </c>
      <c r="X1321" s="11">
        <v>23</v>
      </c>
      <c r="Y1321" s="11" t="s">
        <v>5796</v>
      </c>
      <c r="Z1321" s="11">
        <v>80</v>
      </c>
      <c r="AA1321" s="11">
        <v>0</v>
      </c>
      <c r="AB1321" s="12">
        <v>0</v>
      </c>
    </row>
    <row r="1322" spans="1:28" x14ac:dyDescent="0.2">
      <c r="A1322" s="7">
        <v>225281</v>
      </c>
      <c r="B1322" s="8" t="s">
        <v>9173</v>
      </c>
      <c r="C1322" s="8" t="s">
        <v>2649</v>
      </c>
      <c r="D1322" s="8" t="s">
        <v>861</v>
      </c>
      <c r="E1322" s="8" t="s">
        <v>9174</v>
      </c>
      <c r="F1322" s="8" t="s">
        <v>9175</v>
      </c>
      <c r="G1322" s="8" t="s">
        <v>2652</v>
      </c>
      <c r="H1322" s="8" t="s">
        <v>1843</v>
      </c>
      <c r="I1322" s="8" t="s">
        <v>9176</v>
      </c>
      <c r="J1322" s="8" t="s">
        <v>2654</v>
      </c>
      <c r="K1322" s="8" t="s">
        <v>1562</v>
      </c>
      <c r="L1322" s="8" t="s">
        <v>229</v>
      </c>
      <c r="M1322" s="8" t="s">
        <v>9177</v>
      </c>
      <c r="N1322" s="8" t="s">
        <v>128</v>
      </c>
      <c r="O1322" s="8" t="s">
        <v>9178</v>
      </c>
      <c r="P1322" s="8" t="s">
        <v>9179</v>
      </c>
      <c r="Q1322" s="8" t="s">
        <v>150</v>
      </c>
      <c r="R1322" s="8"/>
      <c r="S1322" s="8" t="s">
        <v>2657</v>
      </c>
      <c r="T1322" s="8" t="s">
        <v>1738</v>
      </c>
      <c r="U1322" s="8" t="s">
        <v>150</v>
      </c>
      <c r="V1322" s="8" t="s">
        <v>1738</v>
      </c>
      <c r="W1322" s="8" t="s">
        <v>1738</v>
      </c>
      <c r="X1322" s="8">
        <v>23</v>
      </c>
      <c r="Y1322" s="8" t="s">
        <v>5796</v>
      </c>
      <c r="Z1322" s="8">
        <v>80</v>
      </c>
      <c r="AA1322" s="8">
        <v>0</v>
      </c>
      <c r="AB1322" s="9">
        <v>0</v>
      </c>
    </row>
    <row r="1323" spans="1:28" x14ac:dyDescent="0.2">
      <c r="A1323" s="10">
        <v>25170</v>
      </c>
      <c r="B1323" s="11" t="s">
        <v>9180</v>
      </c>
      <c r="C1323" s="11" t="s">
        <v>1214</v>
      </c>
      <c r="D1323" s="11" t="s">
        <v>1215</v>
      </c>
      <c r="E1323" s="11" t="s">
        <v>9181</v>
      </c>
      <c r="F1323" s="11" t="s">
        <v>353</v>
      </c>
      <c r="G1323" s="11" t="s">
        <v>536</v>
      </c>
      <c r="H1323" s="11" t="s">
        <v>329</v>
      </c>
      <c r="I1323" s="11" t="s">
        <v>1216</v>
      </c>
      <c r="J1323" s="11" t="s">
        <v>1217</v>
      </c>
      <c r="K1323" s="11" t="s">
        <v>431</v>
      </c>
      <c r="L1323" s="11" t="s">
        <v>333</v>
      </c>
      <c r="M1323" s="11" t="s">
        <v>9182</v>
      </c>
      <c r="N1323" s="11" t="s">
        <v>128</v>
      </c>
      <c r="O1323" s="11" t="s">
        <v>9183</v>
      </c>
      <c r="P1323" s="11" t="s">
        <v>9184</v>
      </c>
      <c r="Q1323" s="11" t="s">
        <v>740</v>
      </c>
      <c r="R1323" s="11"/>
      <c r="S1323" s="11" t="s">
        <v>1221</v>
      </c>
      <c r="T1323" s="11" t="s">
        <v>741</v>
      </c>
      <c r="U1323" s="11" t="s">
        <v>134</v>
      </c>
      <c r="V1323" s="11" t="s">
        <v>740</v>
      </c>
      <c r="W1323" s="11" t="s">
        <v>741</v>
      </c>
      <c r="X1323" s="11">
        <v>23</v>
      </c>
      <c r="Y1323" s="11" t="s">
        <v>5796</v>
      </c>
      <c r="Z1323" s="11">
        <v>80</v>
      </c>
      <c r="AA1323" s="11">
        <v>0</v>
      </c>
      <c r="AB1323" s="12">
        <v>0</v>
      </c>
    </row>
    <row r="1324" spans="1:28" x14ac:dyDescent="0.2">
      <c r="A1324" s="7">
        <v>31246</v>
      </c>
      <c r="B1324" s="8" t="s">
        <v>9185</v>
      </c>
      <c r="C1324" s="8" t="s">
        <v>4578</v>
      </c>
      <c r="D1324" s="8" t="s">
        <v>258</v>
      </c>
      <c r="E1324" s="8"/>
      <c r="F1324" s="8" t="s">
        <v>353</v>
      </c>
      <c r="G1324" s="8" t="s">
        <v>1626</v>
      </c>
      <c r="H1324" s="8" t="s">
        <v>142</v>
      </c>
      <c r="I1324" s="8" t="s">
        <v>9186</v>
      </c>
      <c r="J1324" s="8" t="s">
        <v>9187</v>
      </c>
      <c r="K1324" s="8" t="s">
        <v>472</v>
      </c>
      <c r="L1324" s="8" t="s">
        <v>146</v>
      </c>
      <c r="M1324" s="8" t="s">
        <v>9188</v>
      </c>
      <c r="N1324" s="8" t="s">
        <v>128</v>
      </c>
      <c r="O1324" s="8" t="s">
        <v>9189</v>
      </c>
      <c r="P1324" s="8"/>
      <c r="Q1324" s="8" t="s">
        <v>740</v>
      </c>
      <c r="R1324" s="8"/>
      <c r="S1324" s="8" t="s">
        <v>71</v>
      </c>
      <c r="T1324" s="8" t="s">
        <v>741</v>
      </c>
      <c r="U1324" s="8" t="s">
        <v>134</v>
      </c>
      <c r="V1324" s="8" t="s">
        <v>740</v>
      </c>
      <c r="W1324" s="8" t="s">
        <v>741</v>
      </c>
      <c r="X1324" s="8">
        <v>23</v>
      </c>
      <c r="Y1324" s="8" t="s">
        <v>5796</v>
      </c>
      <c r="Z1324" s="8">
        <v>80</v>
      </c>
      <c r="AA1324" s="8">
        <v>0</v>
      </c>
      <c r="AB1324" s="9">
        <v>0</v>
      </c>
    </row>
    <row r="1325" spans="1:28" x14ac:dyDescent="0.2">
      <c r="A1325" s="10">
        <v>25603</v>
      </c>
      <c r="B1325" s="11" t="s">
        <v>9190</v>
      </c>
      <c r="C1325" s="11" t="s">
        <v>1477</v>
      </c>
      <c r="D1325" s="11" t="s">
        <v>1592</v>
      </c>
      <c r="E1325" s="11" t="s">
        <v>9191</v>
      </c>
      <c r="F1325" s="11" t="s">
        <v>1479</v>
      </c>
      <c r="G1325" s="11" t="s">
        <v>556</v>
      </c>
      <c r="H1325" s="11" t="s">
        <v>557</v>
      </c>
      <c r="I1325" s="11" t="s">
        <v>1604</v>
      </c>
      <c r="J1325" s="11" t="s">
        <v>9192</v>
      </c>
      <c r="K1325" s="11" t="s">
        <v>560</v>
      </c>
      <c r="L1325" s="11" t="s">
        <v>229</v>
      </c>
      <c r="M1325" s="11" t="s">
        <v>9193</v>
      </c>
      <c r="N1325" s="11" t="s">
        <v>128</v>
      </c>
      <c r="O1325" s="11" t="s">
        <v>9194</v>
      </c>
      <c r="P1325" s="11"/>
      <c r="Q1325" s="11" t="s">
        <v>249</v>
      </c>
      <c r="R1325" s="11"/>
      <c r="S1325" s="11" t="s">
        <v>71</v>
      </c>
      <c r="T1325" s="11" t="s">
        <v>1523</v>
      </c>
      <c r="U1325" s="11" t="s">
        <v>134</v>
      </c>
      <c r="V1325" s="11" t="s">
        <v>249</v>
      </c>
      <c r="W1325" s="11" t="s">
        <v>1523</v>
      </c>
      <c r="X1325" s="11">
        <v>23</v>
      </c>
      <c r="Y1325" s="11" t="s">
        <v>5796</v>
      </c>
      <c r="Z1325" s="11">
        <v>80</v>
      </c>
      <c r="AA1325" s="11">
        <v>0</v>
      </c>
      <c r="AB1325" s="12">
        <v>0</v>
      </c>
    </row>
    <row r="1326" spans="1:28" x14ac:dyDescent="0.2">
      <c r="A1326" s="7">
        <v>21117</v>
      </c>
      <c r="B1326" s="8" t="s">
        <v>9195</v>
      </c>
      <c r="C1326" s="8" t="s">
        <v>324</v>
      </c>
      <c r="D1326" s="8" t="s">
        <v>9196</v>
      </c>
      <c r="E1326" s="8" t="s">
        <v>135</v>
      </c>
      <c r="F1326" s="8" t="s">
        <v>327</v>
      </c>
      <c r="G1326" s="8" t="s">
        <v>328</v>
      </c>
      <c r="H1326" s="8" t="s">
        <v>329</v>
      </c>
      <c r="I1326" s="8" t="s">
        <v>330</v>
      </c>
      <c r="J1326" s="8" t="s">
        <v>9197</v>
      </c>
      <c r="K1326" s="8" t="s">
        <v>332</v>
      </c>
      <c r="L1326" s="8" t="s">
        <v>333</v>
      </c>
      <c r="M1326" s="8" t="s">
        <v>9198</v>
      </c>
      <c r="N1326" s="8" t="s">
        <v>128</v>
      </c>
      <c r="O1326" s="8" t="s">
        <v>9199</v>
      </c>
      <c r="P1326" s="8" t="s">
        <v>9200</v>
      </c>
      <c r="Q1326" s="8" t="s">
        <v>150</v>
      </c>
      <c r="R1326" s="8"/>
      <c r="S1326" s="8" t="s">
        <v>71</v>
      </c>
      <c r="T1326" s="8" t="s">
        <v>289</v>
      </c>
      <c r="U1326" s="8" t="s">
        <v>150</v>
      </c>
      <c r="V1326" s="8" t="s">
        <v>289</v>
      </c>
      <c r="W1326" s="8" t="s">
        <v>289</v>
      </c>
      <c r="X1326" s="8">
        <v>22</v>
      </c>
      <c r="Y1326" s="8" t="s">
        <v>5796</v>
      </c>
      <c r="Z1326" s="8">
        <v>80</v>
      </c>
      <c r="AA1326" s="8">
        <v>0</v>
      </c>
      <c r="AB1326" s="9">
        <v>0</v>
      </c>
    </row>
    <row r="1327" spans="1:28" x14ac:dyDescent="0.2">
      <c r="A1327" s="10">
        <v>21624</v>
      </c>
      <c r="B1327" s="11" t="s">
        <v>9201</v>
      </c>
      <c r="C1327" s="11" t="s">
        <v>6491</v>
      </c>
      <c r="D1327" s="11" t="s">
        <v>4579</v>
      </c>
      <c r="E1327" s="11" t="s">
        <v>9202</v>
      </c>
      <c r="F1327" s="11" t="s">
        <v>353</v>
      </c>
      <c r="G1327" s="11" t="s">
        <v>2676</v>
      </c>
      <c r="H1327" s="11" t="s">
        <v>142</v>
      </c>
      <c r="I1327" s="11" t="s">
        <v>6492</v>
      </c>
      <c r="J1327" s="11" t="s">
        <v>9203</v>
      </c>
      <c r="K1327" s="11" t="s">
        <v>779</v>
      </c>
      <c r="L1327" s="11" t="s">
        <v>464</v>
      </c>
      <c r="M1327" s="11" t="s">
        <v>9204</v>
      </c>
      <c r="N1327" s="11" t="s">
        <v>128</v>
      </c>
      <c r="O1327" s="11" t="s">
        <v>9205</v>
      </c>
      <c r="P1327" s="11" t="s">
        <v>8494</v>
      </c>
      <c r="Q1327" s="11" t="s">
        <v>150</v>
      </c>
      <c r="R1327" s="11"/>
      <c r="S1327" s="11" t="s">
        <v>71</v>
      </c>
      <c r="T1327" s="11" t="s">
        <v>67</v>
      </c>
      <c r="U1327" s="11" t="s">
        <v>150</v>
      </c>
      <c r="V1327" s="11" t="s">
        <v>152</v>
      </c>
      <c r="W1327" s="11" t="s">
        <v>67</v>
      </c>
      <c r="X1327" s="11">
        <v>22</v>
      </c>
      <c r="Y1327" s="11" t="s">
        <v>5796</v>
      </c>
      <c r="Z1327" s="11">
        <v>80</v>
      </c>
      <c r="AA1327" s="11">
        <v>0</v>
      </c>
      <c r="AB1327" s="12">
        <v>0</v>
      </c>
    </row>
    <row r="1328" spans="1:28" x14ac:dyDescent="0.2">
      <c r="A1328" s="7">
        <v>92875</v>
      </c>
      <c r="B1328" s="8" t="s">
        <v>9206</v>
      </c>
      <c r="C1328" s="8" t="s">
        <v>4665</v>
      </c>
      <c r="D1328" s="8" t="s">
        <v>6723</v>
      </c>
      <c r="E1328" s="8"/>
      <c r="F1328" s="8" t="s">
        <v>353</v>
      </c>
      <c r="G1328" s="8" t="s">
        <v>4667</v>
      </c>
      <c r="H1328" s="8" t="s">
        <v>142</v>
      </c>
      <c r="I1328" s="8" t="s">
        <v>9207</v>
      </c>
      <c r="J1328" s="8" t="s">
        <v>9208</v>
      </c>
      <c r="K1328" s="8" t="s">
        <v>1673</v>
      </c>
      <c r="L1328" s="8" t="s">
        <v>464</v>
      </c>
      <c r="M1328" s="8" t="s">
        <v>9209</v>
      </c>
      <c r="N1328" s="8" t="s">
        <v>128</v>
      </c>
      <c r="O1328" s="8" t="s">
        <v>9210</v>
      </c>
      <c r="P1328" s="8" t="s">
        <v>9211</v>
      </c>
      <c r="Q1328" s="8" t="s">
        <v>150</v>
      </c>
      <c r="R1328" s="8"/>
      <c r="S1328" s="8" t="s">
        <v>71</v>
      </c>
      <c r="T1328" s="8" t="s">
        <v>67</v>
      </c>
      <c r="U1328" s="8" t="s">
        <v>150</v>
      </c>
      <c r="V1328" s="8" t="s">
        <v>152</v>
      </c>
      <c r="W1328" s="8" t="s">
        <v>67</v>
      </c>
      <c r="X1328" s="8">
        <v>22</v>
      </c>
      <c r="Y1328" s="8" t="s">
        <v>5796</v>
      </c>
      <c r="Z1328" s="8">
        <v>80</v>
      </c>
      <c r="AA1328" s="8">
        <v>0</v>
      </c>
      <c r="AB1328" s="9">
        <v>0</v>
      </c>
    </row>
    <row r="1329" spans="1:28" x14ac:dyDescent="0.2">
      <c r="A1329" s="10">
        <v>21906</v>
      </c>
      <c r="B1329" s="11" t="s">
        <v>9212</v>
      </c>
      <c r="C1329" s="11" t="s">
        <v>7976</v>
      </c>
      <c r="D1329" s="11" t="s">
        <v>6841</v>
      </c>
      <c r="E1329" s="11" t="s">
        <v>9213</v>
      </c>
      <c r="F1329" s="11" t="s">
        <v>353</v>
      </c>
      <c r="G1329" s="11" t="s">
        <v>4513</v>
      </c>
      <c r="H1329" s="11" t="s">
        <v>847</v>
      </c>
      <c r="I1329" s="11" t="s">
        <v>7977</v>
      </c>
      <c r="J1329" s="11" t="s">
        <v>9214</v>
      </c>
      <c r="K1329" s="11" t="s">
        <v>1091</v>
      </c>
      <c r="L1329" s="11" t="s">
        <v>126</v>
      </c>
      <c r="M1329" s="11" t="s">
        <v>9215</v>
      </c>
      <c r="N1329" s="11" t="s">
        <v>128</v>
      </c>
      <c r="O1329" s="11" t="s">
        <v>9216</v>
      </c>
      <c r="P1329" s="11" t="s">
        <v>9217</v>
      </c>
      <c r="Q1329" s="11" t="s">
        <v>131</v>
      </c>
      <c r="R1329" s="11"/>
      <c r="S1329" s="11" t="s">
        <v>71</v>
      </c>
      <c r="T1329" s="11" t="s">
        <v>133</v>
      </c>
      <c r="U1329" s="11" t="s">
        <v>134</v>
      </c>
      <c r="V1329" s="11" t="s">
        <v>131</v>
      </c>
      <c r="W1329" s="11" t="s">
        <v>133</v>
      </c>
      <c r="X1329" s="11">
        <v>22</v>
      </c>
      <c r="Y1329" s="11" t="s">
        <v>5796</v>
      </c>
      <c r="Z1329" s="11">
        <v>80</v>
      </c>
      <c r="AA1329" s="11">
        <v>0</v>
      </c>
      <c r="AB1329" s="12">
        <v>0</v>
      </c>
    </row>
    <row r="1330" spans="1:28" x14ac:dyDescent="0.2">
      <c r="A1330" s="7">
        <v>85126</v>
      </c>
      <c r="B1330" s="8" t="s">
        <v>9218</v>
      </c>
      <c r="C1330" s="8" t="s">
        <v>9219</v>
      </c>
      <c r="D1330" s="8" t="s">
        <v>138</v>
      </c>
      <c r="E1330" s="8" t="s">
        <v>9220</v>
      </c>
      <c r="F1330" s="8" t="s">
        <v>9221</v>
      </c>
      <c r="G1330" s="8" t="s">
        <v>9222</v>
      </c>
      <c r="H1330" s="8" t="s">
        <v>159</v>
      </c>
      <c r="I1330" s="8" t="s">
        <v>9223</v>
      </c>
      <c r="J1330" s="8" t="s">
        <v>9224</v>
      </c>
      <c r="K1330" s="8" t="s">
        <v>274</v>
      </c>
      <c r="L1330" s="8" t="s">
        <v>163</v>
      </c>
      <c r="M1330" s="8" t="s">
        <v>9225</v>
      </c>
      <c r="N1330" s="8" t="s">
        <v>128</v>
      </c>
      <c r="O1330" s="8" t="s">
        <v>9226</v>
      </c>
      <c r="P1330" s="8" t="s">
        <v>9227</v>
      </c>
      <c r="Q1330" s="8" t="s">
        <v>150</v>
      </c>
      <c r="R1330" s="8"/>
      <c r="S1330" s="8" t="s">
        <v>9228</v>
      </c>
      <c r="T1330" s="8" t="s">
        <v>70</v>
      </c>
      <c r="U1330" s="8" t="s">
        <v>150</v>
      </c>
      <c r="V1330" s="8" t="s">
        <v>70</v>
      </c>
      <c r="W1330" s="8" t="s">
        <v>70</v>
      </c>
      <c r="X1330" s="8">
        <v>22</v>
      </c>
      <c r="Y1330" s="8" t="s">
        <v>5796</v>
      </c>
      <c r="Z1330" s="8">
        <v>80</v>
      </c>
      <c r="AA1330" s="8">
        <v>0</v>
      </c>
      <c r="AB1330" s="9">
        <v>0</v>
      </c>
    </row>
    <row r="1331" spans="1:28" x14ac:dyDescent="0.2">
      <c r="A1331" s="10">
        <v>23496</v>
      </c>
      <c r="B1331" s="11" t="s">
        <v>9229</v>
      </c>
      <c r="C1331" s="11" t="s">
        <v>9230</v>
      </c>
      <c r="D1331" s="11" t="s">
        <v>4623</v>
      </c>
      <c r="E1331" s="11"/>
      <c r="F1331" s="11" t="s">
        <v>9231</v>
      </c>
      <c r="G1331" s="11" t="s">
        <v>1833</v>
      </c>
      <c r="H1331" s="11" t="s">
        <v>329</v>
      </c>
      <c r="I1331" s="11" t="s">
        <v>9232</v>
      </c>
      <c r="J1331" s="11" t="s">
        <v>9233</v>
      </c>
      <c r="K1331" s="11" t="s">
        <v>431</v>
      </c>
      <c r="L1331" s="11" t="s">
        <v>333</v>
      </c>
      <c r="M1331" s="11" t="s">
        <v>9234</v>
      </c>
      <c r="N1331" s="11" t="s">
        <v>128</v>
      </c>
      <c r="O1331" s="11" t="s">
        <v>9235</v>
      </c>
      <c r="P1331" s="11" t="s">
        <v>9236</v>
      </c>
      <c r="Q1331" s="11" t="s">
        <v>150</v>
      </c>
      <c r="R1331" s="11"/>
      <c r="S1331" s="11" t="s">
        <v>71</v>
      </c>
      <c r="T1331" s="11" t="s">
        <v>1415</v>
      </c>
      <c r="U1331" s="11" t="s">
        <v>150</v>
      </c>
      <c r="V1331" s="11" t="s">
        <v>1415</v>
      </c>
      <c r="W1331" s="11" t="s">
        <v>1415</v>
      </c>
      <c r="X1331" s="11">
        <v>22</v>
      </c>
      <c r="Y1331" s="11" t="s">
        <v>5796</v>
      </c>
      <c r="Z1331" s="11">
        <v>80</v>
      </c>
      <c r="AA1331" s="11">
        <v>0</v>
      </c>
      <c r="AB1331" s="12">
        <v>0</v>
      </c>
    </row>
    <row r="1332" spans="1:28" x14ac:dyDescent="0.2">
      <c r="A1332" s="7">
        <v>124258</v>
      </c>
      <c r="B1332" s="8" t="s">
        <v>9237</v>
      </c>
      <c r="C1332" s="8" t="s">
        <v>9238</v>
      </c>
      <c r="D1332" s="8" t="s">
        <v>6427</v>
      </c>
      <c r="E1332" s="8"/>
      <c r="F1332" s="8" t="s">
        <v>3731</v>
      </c>
      <c r="G1332" s="8" t="s">
        <v>3758</v>
      </c>
      <c r="H1332" s="8" t="s">
        <v>847</v>
      </c>
      <c r="I1332" s="8" t="s">
        <v>9239</v>
      </c>
      <c r="J1332" s="8" t="s">
        <v>9240</v>
      </c>
      <c r="K1332" s="8" t="s">
        <v>1091</v>
      </c>
      <c r="L1332" s="8" t="s">
        <v>126</v>
      </c>
      <c r="M1332" s="8" t="s">
        <v>9241</v>
      </c>
      <c r="N1332" s="8" t="s">
        <v>128</v>
      </c>
      <c r="O1332" s="8" t="s">
        <v>9242</v>
      </c>
      <c r="P1332" s="8" t="s">
        <v>9243</v>
      </c>
      <c r="Q1332" s="8" t="s">
        <v>150</v>
      </c>
      <c r="R1332" s="8"/>
      <c r="S1332" s="8" t="s">
        <v>71</v>
      </c>
      <c r="T1332" s="8" t="s">
        <v>1415</v>
      </c>
      <c r="U1332" s="8" t="s">
        <v>150</v>
      </c>
      <c r="V1332" s="8" t="s">
        <v>1415</v>
      </c>
      <c r="W1332" s="8" t="s">
        <v>1415</v>
      </c>
      <c r="X1332" s="8">
        <v>22</v>
      </c>
      <c r="Y1332" s="8" t="s">
        <v>5796</v>
      </c>
      <c r="Z1332" s="8">
        <v>80</v>
      </c>
      <c r="AA1332" s="8">
        <v>0</v>
      </c>
      <c r="AB1332" s="9">
        <v>0</v>
      </c>
    </row>
    <row r="1333" spans="1:28" x14ac:dyDescent="0.2">
      <c r="A1333" s="10">
        <v>22567</v>
      </c>
      <c r="B1333" s="11" t="s">
        <v>9244</v>
      </c>
      <c r="C1333" s="11" t="s">
        <v>3133</v>
      </c>
      <c r="D1333" s="11" t="s">
        <v>3134</v>
      </c>
      <c r="E1333" s="11" t="s">
        <v>9245</v>
      </c>
      <c r="F1333" s="11" t="s">
        <v>9246</v>
      </c>
      <c r="G1333" s="11" t="s">
        <v>190</v>
      </c>
      <c r="H1333" s="11" t="s">
        <v>191</v>
      </c>
      <c r="I1333" s="11" t="s">
        <v>3205</v>
      </c>
      <c r="J1333" s="11" t="s">
        <v>9247</v>
      </c>
      <c r="K1333" s="11" t="s">
        <v>194</v>
      </c>
      <c r="L1333" s="11" t="s">
        <v>163</v>
      </c>
      <c r="M1333" s="11" t="s">
        <v>9248</v>
      </c>
      <c r="N1333" s="11" t="s">
        <v>128</v>
      </c>
      <c r="O1333" s="11" t="s">
        <v>9249</v>
      </c>
      <c r="P1333" s="11" t="s">
        <v>9250</v>
      </c>
      <c r="Q1333" s="11" t="s">
        <v>150</v>
      </c>
      <c r="R1333" s="11"/>
      <c r="S1333" s="11" t="s">
        <v>3142</v>
      </c>
      <c r="T1333" s="11" t="s">
        <v>5007</v>
      </c>
      <c r="U1333" s="11" t="s">
        <v>150</v>
      </c>
      <c r="V1333" s="11" t="s">
        <v>5007</v>
      </c>
      <c r="W1333" s="11" t="s">
        <v>5007</v>
      </c>
      <c r="X1333" s="11">
        <v>22</v>
      </c>
      <c r="Y1333" s="11" t="s">
        <v>5796</v>
      </c>
      <c r="Z1333" s="11">
        <v>80</v>
      </c>
      <c r="AA1333" s="11">
        <v>0</v>
      </c>
      <c r="AB1333" s="12">
        <v>0</v>
      </c>
    </row>
    <row r="1334" spans="1:28" x14ac:dyDescent="0.2">
      <c r="A1334" s="7">
        <v>24755</v>
      </c>
      <c r="B1334" s="8" t="s">
        <v>9251</v>
      </c>
      <c r="C1334" s="8" t="s">
        <v>8807</v>
      </c>
      <c r="D1334" s="8" t="s">
        <v>3074</v>
      </c>
      <c r="E1334" s="8" t="s">
        <v>9252</v>
      </c>
      <c r="F1334" s="8" t="s">
        <v>353</v>
      </c>
      <c r="G1334" s="8" t="s">
        <v>4226</v>
      </c>
      <c r="H1334" s="8" t="s">
        <v>329</v>
      </c>
      <c r="I1334" s="8" t="s">
        <v>8808</v>
      </c>
      <c r="J1334" s="8" t="s">
        <v>9253</v>
      </c>
      <c r="K1334" s="8" t="s">
        <v>415</v>
      </c>
      <c r="L1334" s="8" t="s">
        <v>333</v>
      </c>
      <c r="M1334" s="8" t="s">
        <v>9254</v>
      </c>
      <c r="N1334" s="8" t="s">
        <v>128</v>
      </c>
      <c r="O1334" s="8" t="s">
        <v>9255</v>
      </c>
      <c r="P1334" s="8" t="s">
        <v>9256</v>
      </c>
      <c r="Q1334" s="8" t="s">
        <v>150</v>
      </c>
      <c r="R1334" s="8"/>
      <c r="S1334" s="8" t="s">
        <v>71</v>
      </c>
      <c r="T1334" s="8" t="s">
        <v>69</v>
      </c>
      <c r="U1334" s="8" t="s">
        <v>150</v>
      </c>
      <c r="V1334" s="8" t="s">
        <v>152</v>
      </c>
      <c r="W1334" s="8" t="s">
        <v>69</v>
      </c>
      <c r="X1334" s="8">
        <v>22</v>
      </c>
      <c r="Y1334" s="8" t="s">
        <v>5796</v>
      </c>
      <c r="Z1334" s="8">
        <v>80</v>
      </c>
      <c r="AA1334" s="8">
        <v>0</v>
      </c>
      <c r="AB1334" s="9">
        <v>0</v>
      </c>
    </row>
    <row r="1335" spans="1:28" x14ac:dyDescent="0.2">
      <c r="A1335" s="10">
        <v>25604</v>
      </c>
      <c r="B1335" s="11" t="s">
        <v>9257</v>
      </c>
      <c r="C1335" s="11" t="s">
        <v>6796</v>
      </c>
      <c r="D1335" s="11" t="s">
        <v>6797</v>
      </c>
      <c r="E1335" s="11" t="s">
        <v>281</v>
      </c>
      <c r="F1335" s="11" t="s">
        <v>353</v>
      </c>
      <c r="G1335" s="11" t="s">
        <v>556</v>
      </c>
      <c r="H1335" s="11" t="s">
        <v>557</v>
      </c>
      <c r="I1335" s="11" t="s">
        <v>8414</v>
      </c>
      <c r="J1335" s="11" t="s">
        <v>9258</v>
      </c>
      <c r="K1335" s="11" t="s">
        <v>560</v>
      </c>
      <c r="L1335" s="11" t="s">
        <v>229</v>
      </c>
      <c r="M1335" s="11" t="s">
        <v>9259</v>
      </c>
      <c r="N1335" s="11" t="s">
        <v>128</v>
      </c>
      <c r="O1335" s="11" t="s">
        <v>9260</v>
      </c>
      <c r="P1335" s="11"/>
      <c r="Q1335" s="11" t="s">
        <v>249</v>
      </c>
      <c r="R1335" s="11"/>
      <c r="S1335" s="11" t="s">
        <v>6804</v>
      </c>
      <c r="T1335" s="11" t="s">
        <v>1523</v>
      </c>
      <c r="U1335" s="11" t="s">
        <v>134</v>
      </c>
      <c r="V1335" s="11" t="s">
        <v>249</v>
      </c>
      <c r="W1335" s="11" t="s">
        <v>1523</v>
      </c>
      <c r="X1335" s="11">
        <v>22</v>
      </c>
      <c r="Y1335" s="11" t="s">
        <v>5796</v>
      </c>
      <c r="Z1335" s="11">
        <v>80</v>
      </c>
      <c r="AA1335" s="11">
        <v>0</v>
      </c>
      <c r="AB1335" s="12">
        <v>0</v>
      </c>
    </row>
    <row r="1336" spans="1:28" x14ac:dyDescent="0.2">
      <c r="A1336" s="7">
        <v>21620</v>
      </c>
      <c r="B1336" s="8" t="s">
        <v>9261</v>
      </c>
      <c r="C1336" s="8" t="s">
        <v>4879</v>
      </c>
      <c r="D1336" s="8" t="s">
        <v>9262</v>
      </c>
      <c r="E1336" s="8" t="s">
        <v>9263</v>
      </c>
      <c r="F1336" s="8" t="s">
        <v>353</v>
      </c>
      <c r="G1336" s="8" t="s">
        <v>1364</v>
      </c>
      <c r="H1336" s="8" t="s">
        <v>329</v>
      </c>
      <c r="I1336" s="8" t="s">
        <v>4882</v>
      </c>
      <c r="J1336" s="8" t="s">
        <v>9264</v>
      </c>
      <c r="K1336" s="8" t="s">
        <v>431</v>
      </c>
      <c r="L1336" s="8" t="s">
        <v>333</v>
      </c>
      <c r="M1336" s="8" t="s">
        <v>9265</v>
      </c>
      <c r="N1336" s="8" t="s">
        <v>128</v>
      </c>
      <c r="O1336" s="8" t="s">
        <v>9266</v>
      </c>
      <c r="P1336" s="8" t="s">
        <v>9267</v>
      </c>
      <c r="Q1336" s="8" t="s">
        <v>150</v>
      </c>
      <c r="R1336" s="8"/>
      <c r="S1336" s="8" t="s">
        <v>71</v>
      </c>
      <c r="T1336" s="8" t="s">
        <v>67</v>
      </c>
      <c r="U1336" s="8" t="s">
        <v>150</v>
      </c>
      <c r="V1336" s="8" t="s">
        <v>152</v>
      </c>
      <c r="W1336" s="8" t="s">
        <v>67</v>
      </c>
      <c r="X1336" s="8">
        <v>21</v>
      </c>
      <c r="Y1336" s="8" t="s">
        <v>5796</v>
      </c>
      <c r="Z1336" s="8">
        <v>80</v>
      </c>
      <c r="AA1336" s="8">
        <v>0</v>
      </c>
      <c r="AB1336" s="9">
        <v>0</v>
      </c>
    </row>
    <row r="1337" spans="1:28" x14ac:dyDescent="0.2">
      <c r="A1337" s="10">
        <v>21729</v>
      </c>
      <c r="B1337" s="11" t="s">
        <v>9268</v>
      </c>
      <c r="C1337" s="11" t="s">
        <v>9269</v>
      </c>
      <c r="D1337" s="11" t="s">
        <v>1316</v>
      </c>
      <c r="E1337" s="11" t="s">
        <v>9270</v>
      </c>
      <c r="F1337" s="11" t="s">
        <v>353</v>
      </c>
      <c r="G1337" s="11" t="s">
        <v>7116</v>
      </c>
      <c r="H1337" s="11" t="s">
        <v>142</v>
      </c>
      <c r="I1337" s="11" t="s">
        <v>9271</v>
      </c>
      <c r="J1337" s="11" t="s">
        <v>9272</v>
      </c>
      <c r="K1337" s="11" t="s">
        <v>1199</v>
      </c>
      <c r="L1337" s="11" t="s">
        <v>464</v>
      </c>
      <c r="M1337" s="11" t="s">
        <v>9273</v>
      </c>
      <c r="N1337" s="11" t="s">
        <v>128</v>
      </c>
      <c r="O1337" s="11" t="s">
        <v>9274</v>
      </c>
      <c r="P1337" s="11" t="s">
        <v>3371</v>
      </c>
      <c r="Q1337" s="11" t="s">
        <v>150</v>
      </c>
      <c r="R1337" s="11"/>
      <c r="S1337" s="11" t="s">
        <v>71</v>
      </c>
      <c r="T1337" s="11" t="s">
        <v>67</v>
      </c>
      <c r="U1337" s="11" t="s">
        <v>150</v>
      </c>
      <c r="V1337" s="11" t="s">
        <v>152</v>
      </c>
      <c r="W1337" s="11" t="s">
        <v>67</v>
      </c>
      <c r="X1337" s="11">
        <v>21</v>
      </c>
      <c r="Y1337" s="11" t="s">
        <v>5796</v>
      </c>
      <c r="Z1337" s="11">
        <v>80</v>
      </c>
      <c r="AA1337" s="11">
        <v>0</v>
      </c>
      <c r="AB1337" s="12">
        <v>0</v>
      </c>
    </row>
    <row r="1338" spans="1:28" x14ac:dyDescent="0.2">
      <c r="A1338" s="7">
        <v>21414</v>
      </c>
      <c r="B1338" s="8" t="s">
        <v>9275</v>
      </c>
      <c r="C1338" s="8" t="s">
        <v>9276</v>
      </c>
      <c r="D1338" s="8" t="s">
        <v>9277</v>
      </c>
      <c r="E1338" s="8" t="s">
        <v>9278</v>
      </c>
      <c r="F1338" s="8" t="s">
        <v>9279</v>
      </c>
      <c r="G1338" s="8" t="s">
        <v>1813</v>
      </c>
      <c r="H1338" s="8" t="s">
        <v>142</v>
      </c>
      <c r="I1338" s="8" t="s">
        <v>9280</v>
      </c>
      <c r="J1338" s="8" t="s">
        <v>9281</v>
      </c>
      <c r="K1338" s="8" t="s">
        <v>974</v>
      </c>
      <c r="L1338" s="8" t="s">
        <v>146</v>
      </c>
      <c r="M1338" s="8" t="s">
        <v>9282</v>
      </c>
      <c r="N1338" s="8" t="s">
        <v>128</v>
      </c>
      <c r="O1338" s="8" t="s">
        <v>9283</v>
      </c>
      <c r="P1338" s="8" t="s">
        <v>9284</v>
      </c>
      <c r="Q1338" s="8" t="s">
        <v>150</v>
      </c>
      <c r="R1338" s="8"/>
      <c r="S1338" s="8" t="s">
        <v>71</v>
      </c>
      <c r="T1338" s="8" t="s">
        <v>67</v>
      </c>
      <c r="U1338" s="8" t="s">
        <v>150</v>
      </c>
      <c r="V1338" s="8" t="s">
        <v>152</v>
      </c>
      <c r="W1338" s="8" t="s">
        <v>67</v>
      </c>
      <c r="X1338" s="8">
        <v>21</v>
      </c>
      <c r="Y1338" s="8" t="s">
        <v>5796</v>
      </c>
      <c r="Z1338" s="8">
        <v>80</v>
      </c>
      <c r="AA1338" s="8">
        <v>0</v>
      </c>
      <c r="AB1338" s="9">
        <v>0</v>
      </c>
    </row>
    <row r="1339" spans="1:28" x14ac:dyDescent="0.2">
      <c r="A1339" s="10">
        <v>21431</v>
      </c>
      <c r="B1339" s="11" t="s">
        <v>9285</v>
      </c>
      <c r="C1339" s="11" t="s">
        <v>9286</v>
      </c>
      <c r="D1339" s="11" t="s">
        <v>4046</v>
      </c>
      <c r="E1339" s="11" t="s">
        <v>9287</v>
      </c>
      <c r="F1339" s="11" t="s">
        <v>9288</v>
      </c>
      <c r="G1339" s="11" t="s">
        <v>1614</v>
      </c>
      <c r="H1339" s="11" t="s">
        <v>142</v>
      </c>
      <c r="I1339" s="11" t="s">
        <v>9289</v>
      </c>
      <c r="J1339" s="11" t="s">
        <v>9290</v>
      </c>
      <c r="K1339" s="11" t="s">
        <v>717</v>
      </c>
      <c r="L1339" s="11" t="s">
        <v>464</v>
      </c>
      <c r="M1339" s="11" t="s">
        <v>9291</v>
      </c>
      <c r="N1339" s="11" t="s">
        <v>128</v>
      </c>
      <c r="O1339" s="11" t="s">
        <v>9292</v>
      </c>
      <c r="P1339" s="11" t="s">
        <v>9293</v>
      </c>
      <c r="Q1339" s="11" t="s">
        <v>150</v>
      </c>
      <c r="R1339" s="11"/>
      <c r="S1339" s="11" t="s">
        <v>71</v>
      </c>
      <c r="T1339" s="11" t="s">
        <v>67</v>
      </c>
      <c r="U1339" s="11" t="s">
        <v>150</v>
      </c>
      <c r="V1339" s="11" t="s">
        <v>152</v>
      </c>
      <c r="W1339" s="11" t="s">
        <v>67</v>
      </c>
      <c r="X1339" s="11">
        <v>21</v>
      </c>
      <c r="Y1339" s="11" t="s">
        <v>5796</v>
      </c>
      <c r="Z1339" s="11">
        <v>80</v>
      </c>
      <c r="AA1339" s="11">
        <v>0</v>
      </c>
      <c r="AB1339" s="12">
        <v>0</v>
      </c>
    </row>
    <row r="1340" spans="1:28" x14ac:dyDescent="0.2">
      <c r="A1340" s="7">
        <v>21661</v>
      </c>
      <c r="B1340" s="8" t="s">
        <v>9294</v>
      </c>
      <c r="C1340" s="8" t="s">
        <v>9295</v>
      </c>
      <c r="D1340" s="8" t="s">
        <v>2871</v>
      </c>
      <c r="E1340" s="8" t="s">
        <v>9296</v>
      </c>
      <c r="F1340" s="8" t="s">
        <v>9297</v>
      </c>
      <c r="G1340" s="8" t="s">
        <v>469</v>
      </c>
      <c r="H1340" s="8" t="s">
        <v>142</v>
      </c>
      <c r="I1340" s="8" t="s">
        <v>9298</v>
      </c>
      <c r="J1340" s="8" t="s">
        <v>9299</v>
      </c>
      <c r="K1340" s="8" t="s">
        <v>472</v>
      </c>
      <c r="L1340" s="8" t="s">
        <v>146</v>
      </c>
      <c r="M1340" s="8" t="s">
        <v>9300</v>
      </c>
      <c r="N1340" s="8" t="s">
        <v>128</v>
      </c>
      <c r="O1340" s="8" t="s">
        <v>9301</v>
      </c>
      <c r="P1340" s="8" t="s">
        <v>9302</v>
      </c>
      <c r="Q1340" s="8" t="s">
        <v>150</v>
      </c>
      <c r="R1340" s="8"/>
      <c r="S1340" s="8" t="s">
        <v>9303</v>
      </c>
      <c r="T1340" s="8" t="s">
        <v>67</v>
      </c>
      <c r="U1340" s="8" t="s">
        <v>150</v>
      </c>
      <c r="V1340" s="8" t="s">
        <v>152</v>
      </c>
      <c r="W1340" s="8" t="s">
        <v>67</v>
      </c>
      <c r="X1340" s="8">
        <v>21</v>
      </c>
      <c r="Y1340" s="8" t="s">
        <v>5796</v>
      </c>
      <c r="Z1340" s="8">
        <v>80</v>
      </c>
      <c r="AA1340" s="8">
        <v>0</v>
      </c>
      <c r="AB1340" s="9">
        <v>0</v>
      </c>
    </row>
    <row r="1341" spans="1:28" x14ac:dyDescent="0.2">
      <c r="A1341" s="10">
        <v>21888</v>
      </c>
      <c r="B1341" s="11" t="s">
        <v>9304</v>
      </c>
      <c r="C1341" s="11" t="s">
        <v>8955</v>
      </c>
      <c r="D1341" s="11" t="s">
        <v>8956</v>
      </c>
      <c r="E1341" s="11" t="s">
        <v>281</v>
      </c>
      <c r="F1341" s="11" t="s">
        <v>9305</v>
      </c>
      <c r="G1341" s="11" t="s">
        <v>8614</v>
      </c>
      <c r="H1341" s="11" t="s">
        <v>142</v>
      </c>
      <c r="I1341" s="11" t="s">
        <v>9169</v>
      </c>
      <c r="J1341" s="11" t="s">
        <v>9306</v>
      </c>
      <c r="K1341" s="11" t="s">
        <v>1199</v>
      </c>
      <c r="L1341" s="11" t="s">
        <v>464</v>
      </c>
      <c r="M1341" s="11" t="s">
        <v>9307</v>
      </c>
      <c r="N1341" s="11" t="s">
        <v>128</v>
      </c>
      <c r="O1341" s="11" t="s">
        <v>9308</v>
      </c>
      <c r="P1341" s="11" t="s">
        <v>9309</v>
      </c>
      <c r="Q1341" s="11" t="s">
        <v>131</v>
      </c>
      <c r="R1341" s="11"/>
      <c r="S1341" s="11" t="s">
        <v>8964</v>
      </c>
      <c r="T1341" s="11" t="s">
        <v>133</v>
      </c>
      <c r="U1341" s="11" t="s">
        <v>134</v>
      </c>
      <c r="V1341" s="11" t="s">
        <v>131</v>
      </c>
      <c r="W1341" s="11" t="s">
        <v>133</v>
      </c>
      <c r="X1341" s="11">
        <v>21</v>
      </c>
      <c r="Y1341" s="11" t="s">
        <v>5796</v>
      </c>
      <c r="Z1341" s="11">
        <v>80</v>
      </c>
      <c r="AA1341" s="11">
        <v>0</v>
      </c>
      <c r="AB1341" s="12">
        <v>0</v>
      </c>
    </row>
    <row r="1342" spans="1:28" x14ac:dyDescent="0.2">
      <c r="A1342" s="7">
        <v>21980</v>
      </c>
      <c r="B1342" s="8" t="s">
        <v>9310</v>
      </c>
      <c r="C1342" s="8" t="s">
        <v>1911</v>
      </c>
      <c r="D1342" s="8" t="s">
        <v>1912</v>
      </c>
      <c r="E1342" s="8" t="s">
        <v>9311</v>
      </c>
      <c r="F1342" s="8" t="s">
        <v>1914</v>
      </c>
      <c r="G1342" s="8" t="s">
        <v>1915</v>
      </c>
      <c r="H1342" s="8" t="s">
        <v>122</v>
      </c>
      <c r="I1342" s="8" t="s">
        <v>1916</v>
      </c>
      <c r="J1342" s="8" t="s">
        <v>1917</v>
      </c>
      <c r="K1342" s="8" t="s">
        <v>1051</v>
      </c>
      <c r="L1342" s="8" t="s">
        <v>126</v>
      </c>
      <c r="M1342" s="8" t="s">
        <v>9312</v>
      </c>
      <c r="N1342" s="8" t="s">
        <v>128</v>
      </c>
      <c r="O1342" s="8" t="s">
        <v>9313</v>
      </c>
      <c r="P1342" s="8" t="s">
        <v>9314</v>
      </c>
      <c r="Q1342" s="8" t="s">
        <v>131</v>
      </c>
      <c r="R1342" s="8"/>
      <c r="S1342" s="8" t="s">
        <v>1921</v>
      </c>
      <c r="T1342" s="8" t="s">
        <v>133</v>
      </c>
      <c r="U1342" s="8" t="s">
        <v>134</v>
      </c>
      <c r="V1342" s="8" t="s">
        <v>131</v>
      </c>
      <c r="W1342" s="8" t="s">
        <v>133</v>
      </c>
      <c r="X1342" s="8">
        <v>21</v>
      </c>
      <c r="Y1342" s="8" t="s">
        <v>5796</v>
      </c>
      <c r="Z1342" s="8">
        <v>80</v>
      </c>
      <c r="AA1342" s="8">
        <v>0</v>
      </c>
      <c r="AB1342" s="9">
        <v>0</v>
      </c>
    </row>
    <row r="1343" spans="1:28" x14ac:dyDescent="0.2">
      <c r="A1343" s="10">
        <v>27663</v>
      </c>
      <c r="B1343" s="11" t="s">
        <v>9315</v>
      </c>
      <c r="C1343" s="11" t="s">
        <v>9316</v>
      </c>
      <c r="D1343" s="11" t="s">
        <v>1064</v>
      </c>
      <c r="E1343" s="11"/>
      <c r="F1343" s="11" t="s">
        <v>9317</v>
      </c>
      <c r="G1343" s="11" t="s">
        <v>450</v>
      </c>
      <c r="H1343" s="11" t="s">
        <v>301</v>
      </c>
      <c r="I1343" s="11" t="s">
        <v>9318</v>
      </c>
      <c r="J1343" s="11" t="s">
        <v>9319</v>
      </c>
      <c r="K1343" s="11" t="s">
        <v>304</v>
      </c>
      <c r="L1343" s="11" t="s">
        <v>229</v>
      </c>
      <c r="M1343" s="11" t="s">
        <v>9320</v>
      </c>
      <c r="N1343" s="11" t="s">
        <v>128</v>
      </c>
      <c r="O1343" s="11" t="s">
        <v>9321</v>
      </c>
      <c r="P1343" s="11" t="s">
        <v>9322</v>
      </c>
      <c r="Q1343" s="11" t="s">
        <v>150</v>
      </c>
      <c r="R1343" s="11"/>
      <c r="S1343" s="11" t="s">
        <v>71</v>
      </c>
      <c r="T1343" s="11" t="s">
        <v>869</v>
      </c>
      <c r="U1343" s="11" t="s">
        <v>150</v>
      </c>
      <c r="V1343" s="11" t="s">
        <v>869</v>
      </c>
      <c r="W1343" s="11" t="s">
        <v>869</v>
      </c>
      <c r="X1343" s="11">
        <v>21</v>
      </c>
      <c r="Y1343" s="11" t="s">
        <v>5796</v>
      </c>
      <c r="Z1343" s="11">
        <v>80</v>
      </c>
      <c r="AA1343" s="11">
        <v>0</v>
      </c>
      <c r="AB1343" s="12">
        <v>0</v>
      </c>
    </row>
    <row r="1344" spans="1:28" x14ac:dyDescent="0.2">
      <c r="A1344" s="7">
        <v>125698</v>
      </c>
      <c r="B1344" s="8" t="s">
        <v>9323</v>
      </c>
      <c r="C1344" s="8" t="s">
        <v>9324</v>
      </c>
      <c r="D1344" s="8" t="s">
        <v>4322</v>
      </c>
      <c r="E1344" s="8"/>
      <c r="F1344" s="8" t="s">
        <v>7141</v>
      </c>
      <c r="G1344" s="8" t="s">
        <v>1842</v>
      </c>
      <c r="H1344" s="8" t="s">
        <v>1843</v>
      </c>
      <c r="I1344" s="8" t="s">
        <v>9325</v>
      </c>
      <c r="J1344" s="8" t="s">
        <v>9326</v>
      </c>
      <c r="K1344" s="8" t="s">
        <v>1562</v>
      </c>
      <c r="L1344" s="8" t="s">
        <v>229</v>
      </c>
      <c r="M1344" s="8" t="s">
        <v>9327</v>
      </c>
      <c r="N1344" s="8" t="s">
        <v>128</v>
      </c>
      <c r="O1344" s="8" t="s">
        <v>9328</v>
      </c>
      <c r="P1344" s="8" t="s">
        <v>9329</v>
      </c>
      <c r="Q1344" s="8" t="s">
        <v>150</v>
      </c>
      <c r="R1344" s="8"/>
      <c r="S1344" s="8" t="s">
        <v>71</v>
      </c>
      <c r="T1344" s="8" t="s">
        <v>7898</v>
      </c>
      <c r="U1344" s="8" t="s">
        <v>150</v>
      </c>
      <c r="V1344" s="8" t="s">
        <v>7898</v>
      </c>
      <c r="W1344" s="8" t="s">
        <v>7898</v>
      </c>
      <c r="X1344" s="8">
        <v>21</v>
      </c>
      <c r="Y1344" s="8" t="s">
        <v>5796</v>
      </c>
      <c r="Z1344" s="8">
        <v>80</v>
      </c>
      <c r="AA1344" s="8">
        <v>0</v>
      </c>
      <c r="AB1344" s="9">
        <v>0</v>
      </c>
    </row>
    <row r="1345" spans="1:28" x14ac:dyDescent="0.2">
      <c r="A1345" s="10">
        <v>23944</v>
      </c>
      <c r="B1345" s="11" t="s">
        <v>9330</v>
      </c>
      <c r="C1345" s="11" t="s">
        <v>9331</v>
      </c>
      <c r="D1345" s="11" t="s">
        <v>8703</v>
      </c>
      <c r="E1345" s="11"/>
      <c r="F1345" s="11" t="s">
        <v>353</v>
      </c>
      <c r="G1345" s="11" t="s">
        <v>4513</v>
      </c>
      <c r="H1345" s="11" t="s">
        <v>847</v>
      </c>
      <c r="I1345" s="11" t="s">
        <v>9332</v>
      </c>
      <c r="J1345" s="11" t="s">
        <v>9333</v>
      </c>
      <c r="K1345" s="11" t="s">
        <v>1091</v>
      </c>
      <c r="L1345" s="11" t="s">
        <v>126</v>
      </c>
      <c r="M1345" s="11" t="s">
        <v>9334</v>
      </c>
      <c r="N1345" s="11" t="s">
        <v>128</v>
      </c>
      <c r="O1345" s="11" t="s">
        <v>9335</v>
      </c>
      <c r="P1345" s="11" t="s">
        <v>9336</v>
      </c>
      <c r="Q1345" s="11" t="s">
        <v>150</v>
      </c>
      <c r="R1345" s="11"/>
      <c r="S1345" s="11" t="s">
        <v>71</v>
      </c>
      <c r="T1345" s="11" t="s">
        <v>168</v>
      </c>
      <c r="U1345" s="11" t="s">
        <v>150</v>
      </c>
      <c r="V1345" s="11" t="s">
        <v>168</v>
      </c>
      <c r="W1345" s="11" t="s">
        <v>168</v>
      </c>
      <c r="X1345" s="11">
        <v>21</v>
      </c>
      <c r="Y1345" s="11" t="s">
        <v>5796</v>
      </c>
      <c r="Z1345" s="11">
        <v>80</v>
      </c>
      <c r="AA1345" s="11">
        <v>0</v>
      </c>
      <c r="AB1345" s="12">
        <v>0</v>
      </c>
    </row>
    <row r="1346" spans="1:28" x14ac:dyDescent="0.2">
      <c r="A1346" s="7">
        <v>23703</v>
      </c>
      <c r="B1346" s="8" t="s">
        <v>9337</v>
      </c>
      <c r="C1346" s="8" t="s">
        <v>9286</v>
      </c>
      <c r="D1346" s="8" t="s">
        <v>7605</v>
      </c>
      <c r="E1346" s="8"/>
      <c r="F1346" s="8" t="s">
        <v>9288</v>
      </c>
      <c r="G1346" s="8" t="s">
        <v>1614</v>
      </c>
      <c r="H1346" s="8" t="s">
        <v>142</v>
      </c>
      <c r="I1346" s="8" t="s">
        <v>9289</v>
      </c>
      <c r="J1346" s="8" t="s">
        <v>9338</v>
      </c>
      <c r="K1346" s="8" t="s">
        <v>717</v>
      </c>
      <c r="L1346" s="8" t="s">
        <v>464</v>
      </c>
      <c r="M1346" s="8" t="s">
        <v>9339</v>
      </c>
      <c r="N1346" s="8" t="s">
        <v>128</v>
      </c>
      <c r="O1346" s="8" t="s">
        <v>9340</v>
      </c>
      <c r="P1346" s="8" t="s">
        <v>9341</v>
      </c>
      <c r="Q1346" s="8" t="s">
        <v>150</v>
      </c>
      <c r="R1346" s="8"/>
      <c r="S1346" s="8" t="s">
        <v>71</v>
      </c>
      <c r="T1346" s="8" t="s">
        <v>168</v>
      </c>
      <c r="U1346" s="8" t="s">
        <v>150</v>
      </c>
      <c r="V1346" s="8" t="s">
        <v>168</v>
      </c>
      <c r="W1346" s="8" t="s">
        <v>168</v>
      </c>
      <c r="X1346" s="8">
        <v>21</v>
      </c>
      <c r="Y1346" s="8" t="s">
        <v>5796</v>
      </c>
      <c r="Z1346" s="8">
        <v>80</v>
      </c>
      <c r="AA1346" s="8">
        <v>0</v>
      </c>
      <c r="AB1346" s="9">
        <v>0</v>
      </c>
    </row>
    <row r="1347" spans="1:28" x14ac:dyDescent="0.2">
      <c r="A1347" s="10">
        <v>23729</v>
      </c>
      <c r="B1347" s="11" t="s">
        <v>9342</v>
      </c>
      <c r="C1347" s="11" t="s">
        <v>9343</v>
      </c>
      <c r="D1347" s="11" t="s">
        <v>9344</v>
      </c>
      <c r="E1347" s="11"/>
      <c r="F1347" s="11" t="s">
        <v>9345</v>
      </c>
      <c r="G1347" s="11" t="s">
        <v>141</v>
      </c>
      <c r="H1347" s="11" t="s">
        <v>142</v>
      </c>
      <c r="I1347" s="11" t="s">
        <v>9346</v>
      </c>
      <c r="J1347" s="11" t="s">
        <v>9347</v>
      </c>
      <c r="K1347" s="11" t="s">
        <v>145</v>
      </c>
      <c r="L1347" s="11" t="s">
        <v>146</v>
      </c>
      <c r="M1347" s="11" t="s">
        <v>9348</v>
      </c>
      <c r="N1347" s="11" t="s">
        <v>128</v>
      </c>
      <c r="O1347" s="11" t="s">
        <v>9349</v>
      </c>
      <c r="P1347" s="11" t="s">
        <v>9350</v>
      </c>
      <c r="Q1347" s="11" t="s">
        <v>150</v>
      </c>
      <c r="R1347" s="11"/>
      <c r="S1347" s="11" t="s">
        <v>71</v>
      </c>
      <c r="T1347" s="11" t="s">
        <v>168</v>
      </c>
      <c r="U1347" s="11" t="s">
        <v>150</v>
      </c>
      <c r="V1347" s="11" t="s">
        <v>168</v>
      </c>
      <c r="W1347" s="11" t="s">
        <v>168</v>
      </c>
      <c r="X1347" s="11">
        <v>21</v>
      </c>
      <c r="Y1347" s="11" t="s">
        <v>5796</v>
      </c>
      <c r="Z1347" s="11">
        <v>80</v>
      </c>
      <c r="AA1347" s="11">
        <v>0</v>
      </c>
      <c r="AB1347" s="12">
        <v>0</v>
      </c>
    </row>
    <row r="1348" spans="1:28" x14ac:dyDescent="0.2">
      <c r="A1348" s="7">
        <v>23759</v>
      </c>
      <c r="B1348" s="8" t="s">
        <v>9351</v>
      </c>
      <c r="C1348" s="8" t="s">
        <v>808</v>
      </c>
      <c r="D1348" s="8" t="s">
        <v>9352</v>
      </c>
      <c r="E1348" s="8"/>
      <c r="F1348" s="8" t="s">
        <v>9353</v>
      </c>
      <c r="G1348" s="8" t="s">
        <v>141</v>
      </c>
      <c r="H1348" s="8" t="s">
        <v>142</v>
      </c>
      <c r="I1348" s="8" t="s">
        <v>9354</v>
      </c>
      <c r="J1348" s="8" t="s">
        <v>9355</v>
      </c>
      <c r="K1348" s="8" t="s">
        <v>403</v>
      </c>
      <c r="L1348" s="8" t="s">
        <v>146</v>
      </c>
      <c r="M1348" s="8" t="s">
        <v>9356</v>
      </c>
      <c r="N1348" s="8" t="s">
        <v>128</v>
      </c>
      <c r="O1348" s="8" t="s">
        <v>9357</v>
      </c>
      <c r="P1348" s="8" t="s">
        <v>9358</v>
      </c>
      <c r="Q1348" s="8" t="s">
        <v>150</v>
      </c>
      <c r="R1348" s="8"/>
      <c r="S1348" s="8" t="s">
        <v>71</v>
      </c>
      <c r="T1348" s="8" t="s">
        <v>168</v>
      </c>
      <c r="U1348" s="8" t="s">
        <v>150</v>
      </c>
      <c r="V1348" s="8" t="s">
        <v>168</v>
      </c>
      <c r="W1348" s="8" t="s">
        <v>168</v>
      </c>
      <c r="X1348" s="8">
        <v>21</v>
      </c>
      <c r="Y1348" s="8" t="s">
        <v>5796</v>
      </c>
      <c r="Z1348" s="8">
        <v>80</v>
      </c>
      <c r="AA1348" s="8">
        <v>0</v>
      </c>
      <c r="AB1348" s="9">
        <v>0</v>
      </c>
    </row>
    <row r="1349" spans="1:28" x14ac:dyDescent="0.2">
      <c r="A1349" s="10">
        <v>85367</v>
      </c>
      <c r="B1349" s="11" t="s">
        <v>9359</v>
      </c>
      <c r="C1349" s="11" t="s">
        <v>9276</v>
      </c>
      <c r="D1349" s="11" t="s">
        <v>9360</v>
      </c>
      <c r="E1349" s="11"/>
      <c r="F1349" s="11" t="s">
        <v>9361</v>
      </c>
      <c r="G1349" s="11" t="s">
        <v>1813</v>
      </c>
      <c r="H1349" s="11" t="s">
        <v>142</v>
      </c>
      <c r="I1349" s="11" t="s">
        <v>9362</v>
      </c>
      <c r="J1349" s="11" t="s">
        <v>9363</v>
      </c>
      <c r="K1349" s="11" t="s">
        <v>974</v>
      </c>
      <c r="L1349" s="11" t="s">
        <v>146</v>
      </c>
      <c r="M1349" s="11" t="s">
        <v>9364</v>
      </c>
      <c r="N1349" s="11" t="s">
        <v>128</v>
      </c>
      <c r="O1349" s="11" t="s">
        <v>9365</v>
      </c>
      <c r="P1349" s="11" t="s">
        <v>9366</v>
      </c>
      <c r="Q1349" s="11" t="s">
        <v>150</v>
      </c>
      <c r="R1349" s="11"/>
      <c r="S1349" s="11" t="s">
        <v>71</v>
      </c>
      <c r="T1349" s="11" t="s">
        <v>168</v>
      </c>
      <c r="U1349" s="11" t="s">
        <v>150</v>
      </c>
      <c r="V1349" s="11" t="s">
        <v>168</v>
      </c>
      <c r="W1349" s="11" t="s">
        <v>168</v>
      </c>
      <c r="X1349" s="11">
        <v>21</v>
      </c>
      <c r="Y1349" s="11" t="s">
        <v>5796</v>
      </c>
      <c r="Z1349" s="11">
        <v>80</v>
      </c>
      <c r="AA1349" s="11">
        <v>0</v>
      </c>
      <c r="AB1349" s="12">
        <v>0</v>
      </c>
    </row>
    <row r="1350" spans="1:28" x14ac:dyDescent="0.2">
      <c r="A1350" s="7">
        <v>24666</v>
      </c>
      <c r="B1350" s="8" t="s">
        <v>9367</v>
      </c>
      <c r="C1350" s="8" t="s">
        <v>1634</v>
      </c>
      <c r="D1350" s="8" t="s">
        <v>1635</v>
      </c>
      <c r="E1350" s="8"/>
      <c r="F1350" s="8" t="s">
        <v>1637</v>
      </c>
      <c r="G1350" s="8" t="s">
        <v>328</v>
      </c>
      <c r="H1350" s="8" t="s">
        <v>329</v>
      </c>
      <c r="I1350" s="8" t="s">
        <v>1638</v>
      </c>
      <c r="J1350" s="8" t="s">
        <v>1639</v>
      </c>
      <c r="K1350" s="8" t="s">
        <v>572</v>
      </c>
      <c r="L1350" s="8" t="s">
        <v>333</v>
      </c>
      <c r="M1350" s="8" t="s">
        <v>9368</v>
      </c>
      <c r="N1350" s="8" t="s">
        <v>128</v>
      </c>
      <c r="O1350" s="8" t="s">
        <v>9369</v>
      </c>
      <c r="P1350" s="8" t="s">
        <v>9370</v>
      </c>
      <c r="Q1350" s="8" t="s">
        <v>150</v>
      </c>
      <c r="R1350" s="8"/>
      <c r="S1350" s="8" t="s">
        <v>1643</v>
      </c>
      <c r="T1350" s="8" t="s">
        <v>69</v>
      </c>
      <c r="U1350" s="8" t="s">
        <v>150</v>
      </c>
      <c r="V1350" s="8" t="s">
        <v>152</v>
      </c>
      <c r="W1350" s="8" t="s">
        <v>69</v>
      </c>
      <c r="X1350" s="8">
        <v>21</v>
      </c>
      <c r="Y1350" s="8" t="s">
        <v>5796</v>
      </c>
      <c r="Z1350" s="8">
        <v>80</v>
      </c>
      <c r="AA1350" s="8">
        <v>0</v>
      </c>
      <c r="AB1350" s="9">
        <v>0</v>
      </c>
    </row>
    <row r="1351" spans="1:28" x14ac:dyDescent="0.2">
      <c r="A1351" s="10">
        <v>24738</v>
      </c>
      <c r="B1351" s="11" t="s">
        <v>9371</v>
      </c>
      <c r="C1351" s="11" t="s">
        <v>9372</v>
      </c>
      <c r="D1351" s="11" t="s">
        <v>6286</v>
      </c>
      <c r="E1351" s="11"/>
      <c r="F1351" s="11" t="s">
        <v>9373</v>
      </c>
      <c r="G1351" s="11" t="s">
        <v>8876</v>
      </c>
      <c r="H1351" s="11" t="s">
        <v>329</v>
      </c>
      <c r="I1351" s="11" t="s">
        <v>9374</v>
      </c>
      <c r="J1351" s="11" t="s">
        <v>9375</v>
      </c>
      <c r="K1351" s="11" t="s">
        <v>415</v>
      </c>
      <c r="L1351" s="11" t="s">
        <v>333</v>
      </c>
      <c r="M1351" s="11" t="s">
        <v>9376</v>
      </c>
      <c r="N1351" s="11" t="s">
        <v>128</v>
      </c>
      <c r="O1351" s="11" t="s">
        <v>9377</v>
      </c>
      <c r="P1351" s="11" t="s">
        <v>4135</v>
      </c>
      <c r="Q1351" s="11" t="s">
        <v>150</v>
      </c>
      <c r="R1351" s="11"/>
      <c r="S1351" s="11" t="s">
        <v>9378</v>
      </c>
      <c r="T1351" s="11" t="s">
        <v>69</v>
      </c>
      <c r="U1351" s="11" t="s">
        <v>150</v>
      </c>
      <c r="V1351" s="11" t="s">
        <v>152</v>
      </c>
      <c r="W1351" s="11" t="s">
        <v>69</v>
      </c>
      <c r="X1351" s="11">
        <v>21</v>
      </c>
      <c r="Y1351" s="11" t="s">
        <v>5796</v>
      </c>
      <c r="Z1351" s="11">
        <v>80</v>
      </c>
      <c r="AA1351" s="11">
        <v>0</v>
      </c>
      <c r="AB1351" s="12">
        <v>0</v>
      </c>
    </row>
    <row r="1352" spans="1:28" x14ac:dyDescent="0.2">
      <c r="A1352" s="7">
        <v>21141</v>
      </c>
      <c r="B1352" s="8" t="s">
        <v>9379</v>
      </c>
      <c r="C1352" s="8" t="s">
        <v>9380</v>
      </c>
      <c r="D1352" s="8" t="s">
        <v>9381</v>
      </c>
      <c r="E1352" s="8" t="s">
        <v>1010</v>
      </c>
      <c r="F1352" s="8" t="s">
        <v>9382</v>
      </c>
      <c r="G1352" s="8" t="s">
        <v>328</v>
      </c>
      <c r="H1352" s="8" t="s">
        <v>329</v>
      </c>
      <c r="I1352" s="8" t="s">
        <v>9383</v>
      </c>
      <c r="J1352" s="8" t="s">
        <v>9384</v>
      </c>
      <c r="K1352" s="8" t="s">
        <v>332</v>
      </c>
      <c r="L1352" s="8" t="s">
        <v>333</v>
      </c>
      <c r="M1352" s="8" t="s">
        <v>9385</v>
      </c>
      <c r="N1352" s="8" t="s">
        <v>128</v>
      </c>
      <c r="O1352" s="8" t="s">
        <v>9386</v>
      </c>
      <c r="P1352" s="8" t="s">
        <v>9387</v>
      </c>
      <c r="Q1352" s="8" t="s">
        <v>150</v>
      </c>
      <c r="R1352" s="8"/>
      <c r="S1352" s="8" t="s">
        <v>9388</v>
      </c>
      <c r="T1352" s="8" t="s">
        <v>289</v>
      </c>
      <c r="U1352" s="8" t="s">
        <v>150</v>
      </c>
      <c r="V1352" s="8" t="s">
        <v>289</v>
      </c>
      <c r="W1352" s="8" t="s">
        <v>289</v>
      </c>
      <c r="X1352" s="8">
        <v>20</v>
      </c>
      <c r="Y1352" s="8" t="s">
        <v>5796</v>
      </c>
      <c r="Z1352" s="8">
        <v>80</v>
      </c>
      <c r="AA1352" s="8">
        <v>0</v>
      </c>
      <c r="AB1352" s="9">
        <v>0</v>
      </c>
    </row>
    <row r="1353" spans="1:28" x14ac:dyDescent="0.2">
      <c r="A1353" s="10">
        <v>111069</v>
      </c>
      <c r="B1353" s="11" t="s">
        <v>9389</v>
      </c>
      <c r="C1353" s="11" t="s">
        <v>9390</v>
      </c>
      <c r="D1353" s="11" t="s">
        <v>9391</v>
      </c>
      <c r="E1353" s="11"/>
      <c r="F1353" s="11" t="s">
        <v>353</v>
      </c>
      <c r="G1353" s="11" t="s">
        <v>2863</v>
      </c>
      <c r="H1353" s="11" t="s">
        <v>142</v>
      </c>
      <c r="I1353" s="11" t="s">
        <v>9392</v>
      </c>
      <c r="J1353" s="11" t="s">
        <v>9393</v>
      </c>
      <c r="K1353" s="11" t="s">
        <v>974</v>
      </c>
      <c r="L1353" s="11" t="s">
        <v>146</v>
      </c>
      <c r="M1353" s="11" t="s">
        <v>9394</v>
      </c>
      <c r="N1353" s="11" t="s">
        <v>128</v>
      </c>
      <c r="O1353" s="11" t="s">
        <v>9395</v>
      </c>
      <c r="P1353" s="11" t="s">
        <v>9396</v>
      </c>
      <c r="Q1353" s="11" t="s">
        <v>150</v>
      </c>
      <c r="R1353" s="11"/>
      <c r="S1353" s="11" t="s">
        <v>71</v>
      </c>
      <c r="T1353" s="11" t="s">
        <v>67</v>
      </c>
      <c r="U1353" s="11" t="s">
        <v>150</v>
      </c>
      <c r="V1353" s="11" t="s">
        <v>152</v>
      </c>
      <c r="W1353" s="11" t="s">
        <v>67</v>
      </c>
      <c r="X1353" s="11">
        <v>20</v>
      </c>
      <c r="Y1353" s="11" t="s">
        <v>5796</v>
      </c>
      <c r="Z1353" s="11">
        <v>80</v>
      </c>
      <c r="AA1353" s="11">
        <v>0</v>
      </c>
      <c r="AB1353" s="12">
        <v>0</v>
      </c>
    </row>
    <row r="1354" spans="1:28" x14ac:dyDescent="0.2">
      <c r="A1354" s="7">
        <v>26208</v>
      </c>
      <c r="B1354" s="8" t="s">
        <v>9397</v>
      </c>
      <c r="C1354" s="8" t="s">
        <v>9398</v>
      </c>
      <c r="D1354" s="8" t="s">
        <v>2411</v>
      </c>
      <c r="E1354" s="8"/>
      <c r="F1354" s="8" t="s">
        <v>9399</v>
      </c>
      <c r="G1354" s="8" t="s">
        <v>141</v>
      </c>
      <c r="H1354" s="8" t="s">
        <v>142</v>
      </c>
      <c r="I1354" s="8" t="s">
        <v>9400</v>
      </c>
      <c r="J1354" s="8" t="s">
        <v>9401</v>
      </c>
      <c r="K1354" s="8" t="s">
        <v>216</v>
      </c>
      <c r="L1354" s="8" t="s">
        <v>146</v>
      </c>
      <c r="M1354" s="8" t="s">
        <v>9402</v>
      </c>
      <c r="N1354" s="8" t="s">
        <v>128</v>
      </c>
      <c r="O1354" s="8" t="s">
        <v>9403</v>
      </c>
      <c r="P1354" s="8" t="s">
        <v>9404</v>
      </c>
      <c r="Q1354" s="8" t="s">
        <v>150</v>
      </c>
      <c r="R1354" s="8"/>
      <c r="S1354" s="8" t="s">
        <v>71</v>
      </c>
      <c r="T1354" s="8" t="s">
        <v>67</v>
      </c>
      <c r="U1354" s="8" t="s">
        <v>150</v>
      </c>
      <c r="V1354" s="8" t="s">
        <v>152</v>
      </c>
      <c r="W1354" s="8" t="s">
        <v>67</v>
      </c>
      <c r="X1354" s="8">
        <v>20</v>
      </c>
      <c r="Y1354" s="8" t="s">
        <v>5796</v>
      </c>
      <c r="Z1354" s="8">
        <v>80</v>
      </c>
      <c r="AA1354" s="8">
        <v>0</v>
      </c>
      <c r="AB1354" s="9">
        <v>0</v>
      </c>
    </row>
    <row r="1355" spans="1:28" x14ac:dyDescent="0.2">
      <c r="A1355" s="10">
        <v>125699</v>
      </c>
      <c r="B1355" s="11" t="s">
        <v>9405</v>
      </c>
      <c r="C1355" s="11" t="s">
        <v>9324</v>
      </c>
      <c r="D1355" s="11" t="s">
        <v>6499</v>
      </c>
      <c r="E1355" s="11"/>
      <c r="F1355" s="11" t="s">
        <v>7141</v>
      </c>
      <c r="G1355" s="11" t="s">
        <v>1842</v>
      </c>
      <c r="H1355" s="11" t="s">
        <v>1843</v>
      </c>
      <c r="I1355" s="11" t="s">
        <v>9406</v>
      </c>
      <c r="J1355" s="11" t="s">
        <v>9407</v>
      </c>
      <c r="K1355" s="11" t="s">
        <v>1562</v>
      </c>
      <c r="L1355" s="11" t="s">
        <v>229</v>
      </c>
      <c r="M1355" s="11" t="s">
        <v>9408</v>
      </c>
      <c r="N1355" s="11" t="s">
        <v>128</v>
      </c>
      <c r="O1355" s="11" t="s">
        <v>9409</v>
      </c>
      <c r="P1355" s="11" t="s">
        <v>9410</v>
      </c>
      <c r="Q1355" s="11" t="s">
        <v>150</v>
      </c>
      <c r="R1355" s="11"/>
      <c r="S1355" s="11" t="s">
        <v>71</v>
      </c>
      <c r="T1355" s="11" t="s">
        <v>67</v>
      </c>
      <c r="U1355" s="11" t="s">
        <v>150</v>
      </c>
      <c r="V1355" s="11" t="s">
        <v>152</v>
      </c>
      <c r="W1355" s="11" t="s">
        <v>67</v>
      </c>
      <c r="X1355" s="11">
        <v>20</v>
      </c>
      <c r="Y1355" s="11" t="s">
        <v>5796</v>
      </c>
      <c r="Z1355" s="11">
        <v>80</v>
      </c>
      <c r="AA1355" s="11">
        <v>0</v>
      </c>
      <c r="AB1355" s="12">
        <v>0</v>
      </c>
    </row>
    <row r="1356" spans="1:28" x14ac:dyDescent="0.2">
      <c r="A1356" s="7">
        <v>21679</v>
      </c>
      <c r="B1356" s="8" t="s">
        <v>9411</v>
      </c>
      <c r="C1356" s="8" t="s">
        <v>9372</v>
      </c>
      <c r="D1356" s="8" t="s">
        <v>6286</v>
      </c>
      <c r="E1356" s="8"/>
      <c r="F1356" s="8"/>
      <c r="G1356" s="8" t="s">
        <v>8876</v>
      </c>
      <c r="H1356" s="8" t="s">
        <v>329</v>
      </c>
      <c r="I1356" s="8" t="s">
        <v>9374</v>
      </c>
      <c r="J1356" s="8" t="s">
        <v>9375</v>
      </c>
      <c r="K1356" s="8" t="s">
        <v>415</v>
      </c>
      <c r="L1356" s="8" t="s">
        <v>333</v>
      </c>
      <c r="M1356" s="8" t="s">
        <v>9412</v>
      </c>
      <c r="N1356" s="8" t="s">
        <v>128</v>
      </c>
      <c r="O1356" s="8" t="s">
        <v>9413</v>
      </c>
      <c r="P1356" s="8" t="s">
        <v>9414</v>
      </c>
      <c r="Q1356" s="8" t="s">
        <v>150</v>
      </c>
      <c r="R1356" s="8"/>
      <c r="S1356" s="8" t="s">
        <v>9378</v>
      </c>
      <c r="T1356" s="8" t="s">
        <v>67</v>
      </c>
      <c r="U1356" s="8" t="s">
        <v>150</v>
      </c>
      <c r="V1356" s="8" t="s">
        <v>152</v>
      </c>
      <c r="W1356" s="8" t="s">
        <v>67</v>
      </c>
      <c r="X1356" s="8">
        <v>20</v>
      </c>
      <c r="Y1356" s="8" t="s">
        <v>5796</v>
      </c>
      <c r="Z1356" s="8">
        <v>80</v>
      </c>
      <c r="AA1356" s="8">
        <v>0</v>
      </c>
      <c r="AB1356" s="9">
        <v>0</v>
      </c>
    </row>
    <row r="1357" spans="1:28" x14ac:dyDescent="0.2">
      <c r="A1357" s="10">
        <v>26802</v>
      </c>
      <c r="B1357" s="11" t="s">
        <v>9415</v>
      </c>
      <c r="C1357" s="11" t="s">
        <v>9416</v>
      </c>
      <c r="D1357" s="11" t="s">
        <v>2440</v>
      </c>
      <c r="E1357" s="11"/>
      <c r="F1357" s="11" t="s">
        <v>9417</v>
      </c>
      <c r="G1357" s="11" t="s">
        <v>556</v>
      </c>
      <c r="H1357" s="11" t="s">
        <v>557</v>
      </c>
      <c r="I1357" s="11" t="s">
        <v>1604</v>
      </c>
      <c r="J1357" s="11" t="s">
        <v>9418</v>
      </c>
      <c r="K1357" s="11" t="s">
        <v>560</v>
      </c>
      <c r="L1357" s="11" t="s">
        <v>229</v>
      </c>
      <c r="M1357" s="11" t="s">
        <v>9419</v>
      </c>
      <c r="N1357" s="11" t="s">
        <v>128</v>
      </c>
      <c r="O1357" s="11"/>
      <c r="P1357" s="11"/>
      <c r="Q1357" s="11" t="s">
        <v>131</v>
      </c>
      <c r="R1357" s="11"/>
      <c r="S1357" s="11" t="s">
        <v>71</v>
      </c>
      <c r="T1357" s="11" t="s">
        <v>983</v>
      </c>
      <c r="U1357" s="11" t="s">
        <v>134</v>
      </c>
      <c r="V1357" s="11" t="s">
        <v>131</v>
      </c>
      <c r="W1357" s="11" t="s">
        <v>983</v>
      </c>
      <c r="X1357" s="11">
        <v>20</v>
      </c>
      <c r="Y1357" s="11" t="s">
        <v>5796</v>
      </c>
      <c r="Z1357" s="11">
        <v>80</v>
      </c>
      <c r="AA1357" s="11">
        <v>0</v>
      </c>
      <c r="AB1357" s="12">
        <v>0</v>
      </c>
    </row>
    <row r="1358" spans="1:28" x14ac:dyDescent="0.2">
      <c r="A1358" s="7">
        <v>22579</v>
      </c>
      <c r="B1358" s="8" t="s">
        <v>9420</v>
      </c>
      <c r="C1358" s="8" t="s">
        <v>9421</v>
      </c>
      <c r="D1358" s="8" t="s">
        <v>7950</v>
      </c>
      <c r="E1358" s="8"/>
      <c r="F1358" s="8" t="s">
        <v>9422</v>
      </c>
      <c r="G1358" s="8" t="s">
        <v>3929</v>
      </c>
      <c r="H1358" s="8" t="s">
        <v>704</v>
      </c>
      <c r="I1358" s="8" t="s">
        <v>9423</v>
      </c>
      <c r="J1358" s="8" t="s">
        <v>9424</v>
      </c>
      <c r="K1358" s="8" t="s">
        <v>850</v>
      </c>
      <c r="L1358" s="8" t="s">
        <v>126</v>
      </c>
      <c r="M1358" s="8" t="s">
        <v>9425</v>
      </c>
      <c r="N1358" s="8" t="s">
        <v>128</v>
      </c>
      <c r="O1358" s="8" t="s">
        <v>9426</v>
      </c>
      <c r="P1358" s="8" t="s">
        <v>9427</v>
      </c>
      <c r="Q1358" s="8" t="s">
        <v>150</v>
      </c>
      <c r="R1358" s="8"/>
      <c r="S1358" s="8" t="s">
        <v>71</v>
      </c>
      <c r="T1358" s="8" t="s">
        <v>2697</v>
      </c>
      <c r="U1358" s="8" t="s">
        <v>150</v>
      </c>
      <c r="V1358" s="8" t="s">
        <v>2697</v>
      </c>
      <c r="W1358" s="8" t="s">
        <v>2697</v>
      </c>
      <c r="X1358" s="8">
        <v>20</v>
      </c>
      <c r="Y1358" s="8" t="s">
        <v>5796</v>
      </c>
      <c r="Z1358" s="8">
        <v>80</v>
      </c>
      <c r="AA1358" s="8">
        <v>0</v>
      </c>
      <c r="AB1358" s="9">
        <v>0</v>
      </c>
    </row>
    <row r="1359" spans="1:28" x14ac:dyDescent="0.2">
      <c r="A1359" s="10">
        <v>23050</v>
      </c>
      <c r="B1359" s="11" t="s">
        <v>9428</v>
      </c>
      <c r="C1359" s="11" t="s">
        <v>8927</v>
      </c>
      <c r="D1359" s="11" t="s">
        <v>9429</v>
      </c>
      <c r="E1359" s="11" t="s">
        <v>9430</v>
      </c>
      <c r="F1359" s="11" t="s">
        <v>9431</v>
      </c>
      <c r="G1359" s="11" t="s">
        <v>328</v>
      </c>
      <c r="H1359" s="11" t="s">
        <v>329</v>
      </c>
      <c r="I1359" s="11" t="s">
        <v>8930</v>
      </c>
      <c r="J1359" s="11" t="s">
        <v>9432</v>
      </c>
      <c r="K1359" s="11" t="s">
        <v>415</v>
      </c>
      <c r="L1359" s="11" t="s">
        <v>333</v>
      </c>
      <c r="M1359" s="11" t="s">
        <v>9433</v>
      </c>
      <c r="N1359" s="11" t="s">
        <v>128</v>
      </c>
      <c r="O1359" s="11" t="s">
        <v>9434</v>
      </c>
      <c r="P1359" s="11" t="s">
        <v>9435</v>
      </c>
      <c r="Q1359" s="11" t="s">
        <v>150</v>
      </c>
      <c r="R1359" s="11"/>
      <c r="S1359" s="11" t="s">
        <v>71</v>
      </c>
      <c r="T1359" s="11" t="s">
        <v>70</v>
      </c>
      <c r="U1359" s="11" t="s">
        <v>150</v>
      </c>
      <c r="V1359" s="11" t="s">
        <v>70</v>
      </c>
      <c r="W1359" s="11" t="s">
        <v>70</v>
      </c>
      <c r="X1359" s="11">
        <v>20</v>
      </c>
      <c r="Y1359" s="11" t="s">
        <v>5796</v>
      </c>
      <c r="Z1359" s="11">
        <v>80</v>
      </c>
      <c r="AA1359" s="11">
        <v>0</v>
      </c>
      <c r="AB1359" s="12">
        <v>0</v>
      </c>
    </row>
    <row r="1360" spans="1:28" x14ac:dyDescent="0.2">
      <c r="A1360" s="7">
        <v>106311</v>
      </c>
      <c r="B1360" s="8" t="s">
        <v>9436</v>
      </c>
      <c r="C1360" s="8" t="s">
        <v>2870</v>
      </c>
      <c r="D1360" s="8" t="s">
        <v>2871</v>
      </c>
      <c r="E1360" s="8"/>
      <c r="F1360" s="8" t="s">
        <v>2872</v>
      </c>
      <c r="G1360" s="8" t="s">
        <v>450</v>
      </c>
      <c r="H1360" s="8" t="s">
        <v>301</v>
      </c>
      <c r="I1360" s="8" t="s">
        <v>2873</v>
      </c>
      <c r="J1360" s="8" t="s">
        <v>2874</v>
      </c>
      <c r="K1360" s="8" t="s">
        <v>304</v>
      </c>
      <c r="L1360" s="8" t="s">
        <v>229</v>
      </c>
      <c r="M1360" s="8" t="s">
        <v>9437</v>
      </c>
      <c r="N1360" s="8" t="s">
        <v>128</v>
      </c>
      <c r="O1360" s="8" t="s">
        <v>9438</v>
      </c>
      <c r="P1360" s="8" t="s">
        <v>9439</v>
      </c>
      <c r="Q1360" s="8" t="s">
        <v>150</v>
      </c>
      <c r="R1360" s="8"/>
      <c r="S1360" s="8" t="s">
        <v>2877</v>
      </c>
      <c r="T1360" s="8" t="s">
        <v>70</v>
      </c>
      <c r="U1360" s="8" t="s">
        <v>150</v>
      </c>
      <c r="V1360" s="8" t="s">
        <v>70</v>
      </c>
      <c r="W1360" s="8" t="s">
        <v>70</v>
      </c>
      <c r="X1360" s="8">
        <v>20</v>
      </c>
      <c r="Y1360" s="8" t="s">
        <v>5796</v>
      </c>
      <c r="Z1360" s="8">
        <v>80</v>
      </c>
      <c r="AA1360" s="8">
        <v>0</v>
      </c>
      <c r="AB1360" s="9">
        <v>0</v>
      </c>
    </row>
    <row r="1361" spans="1:28" x14ac:dyDescent="0.2">
      <c r="A1361" s="10">
        <v>23440</v>
      </c>
      <c r="B1361" s="11" t="s">
        <v>9440</v>
      </c>
      <c r="C1361" s="11" t="s">
        <v>409</v>
      </c>
      <c r="D1361" s="11" t="s">
        <v>9441</v>
      </c>
      <c r="E1361" s="11"/>
      <c r="F1361" s="11" t="s">
        <v>353</v>
      </c>
      <c r="G1361" s="11" t="s">
        <v>2535</v>
      </c>
      <c r="H1361" s="11" t="s">
        <v>847</v>
      </c>
      <c r="I1361" s="11" t="s">
        <v>2536</v>
      </c>
      <c r="J1361" s="11" t="s">
        <v>9442</v>
      </c>
      <c r="K1361" s="11" t="s">
        <v>1091</v>
      </c>
      <c r="L1361" s="11" t="s">
        <v>126</v>
      </c>
      <c r="M1361" s="11" t="s">
        <v>9443</v>
      </c>
      <c r="N1361" s="11" t="s">
        <v>128</v>
      </c>
      <c r="O1361" s="11" t="s">
        <v>9444</v>
      </c>
      <c r="P1361" s="11" t="s">
        <v>9445</v>
      </c>
      <c r="Q1361" s="11" t="s">
        <v>150</v>
      </c>
      <c r="R1361" s="11"/>
      <c r="S1361" s="11" t="s">
        <v>71</v>
      </c>
      <c r="T1361" s="11" t="s">
        <v>1415</v>
      </c>
      <c r="U1361" s="11" t="s">
        <v>150</v>
      </c>
      <c r="V1361" s="11" t="s">
        <v>1415</v>
      </c>
      <c r="W1361" s="11" t="s">
        <v>1415</v>
      </c>
      <c r="X1361" s="11">
        <v>20</v>
      </c>
      <c r="Y1361" s="11" t="s">
        <v>5796</v>
      </c>
      <c r="Z1361" s="11">
        <v>80</v>
      </c>
      <c r="AA1361" s="11">
        <v>0</v>
      </c>
      <c r="AB1361" s="12">
        <v>0</v>
      </c>
    </row>
    <row r="1362" spans="1:28" x14ac:dyDescent="0.2">
      <c r="A1362" s="7">
        <v>23403</v>
      </c>
      <c r="B1362" s="8" t="s">
        <v>9446</v>
      </c>
      <c r="C1362" s="8" t="s">
        <v>9390</v>
      </c>
      <c r="D1362" s="8" t="s">
        <v>4454</v>
      </c>
      <c r="E1362" s="8"/>
      <c r="F1362" s="8" t="s">
        <v>9447</v>
      </c>
      <c r="G1362" s="8" t="s">
        <v>2863</v>
      </c>
      <c r="H1362" s="8" t="s">
        <v>142</v>
      </c>
      <c r="I1362" s="8" t="s">
        <v>9448</v>
      </c>
      <c r="J1362" s="8" t="s">
        <v>9449</v>
      </c>
      <c r="K1362" s="8" t="s">
        <v>974</v>
      </c>
      <c r="L1362" s="8" t="s">
        <v>146</v>
      </c>
      <c r="M1362" s="8" t="s">
        <v>9450</v>
      </c>
      <c r="N1362" s="8" t="s">
        <v>128</v>
      </c>
      <c r="O1362" s="8" t="s">
        <v>9451</v>
      </c>
      <c r="P1362" s="8" t="s">
        <v>9452</v>
      </c>
      <c r="Q1362" s="8" t="s">
        <v>150</v>
      </c>
      <c r="R1362" s="8"/>
      <c r="S1362" s="8" t="s">
        <v>71</v>
      </c>
      <c r="T1362" s="8" t="s">
        <v>1415</v>
      </c>
      <c r="U1362" s="8" t="s">
        <v>150</v>
      </c>
      <c r="V1362" s="8" t="s">
        <v>1415</v>
      </c>
      <c r="W1362" s="8" t="s">
        <v>1415</v>
      </c>
      <c r="X1362" s="8">
        <v>20</v>
      </c>
      <c r="Y1362" s="8" t="s">
        <v>5796</v>
      </c>
      <c r="Z1362" s="8">
        <v>80</v>
      </c>
      <c r="AA1362" s="8">
        <v>0</v>
      </c>
      <c r="AB1362" s="9">
        <v>0</v>
      </c>
    </row>
    <row r="1363" spans="1:28" x14ac:dyDescent="0.2">
      <c r="A1363" s="10">
        <v>22571</v>
      </c>
      <c r="B1363" s="11" t="s">
        <v>9453</v>
      </c>
      <c r="C1363" s="11" t="s">
        <v>4324</v>
      </c>
      <c r="D1363" s="11" t="s">
        <v>410</v>
      </c>
      <c r="E1363" s="11"/>
      <c r="F1363" s="11" t="s">
        <v>4326</v>
      </c>
      <c r="G1363" s="11" t="s">
        <v>190</v>
      </c>
      <c r="H1363" s="11" t="s">
        <v>191</v>
      </c>
      <c r="I1363" s="11" t="s">
        <v>9454</v>
      </c>
      <c r="J1363" s="11" t="s">
        <v>9455</v>
      </c>
      <c r="K1363" s="11" t="s">
        <v>194</v>
      </c>
      <c r="L1363" s="11" t="s">
        <v>163</v>
      </c>
      <c r="M1363" s="11" t="s">
        <v>9456</v>
      </c>
      <c r="N1363" s="11" t="s">
        <v>128</v>
      </c>
      <c r="O1363" s="11" t="s">
        <v>9457</v>
      </c>
      <c r="P1363" s="11" t="s">
        <v>9458</v>
      </c>
      <c r="Q1363" s="11" t="s">
        <v>150</v>
      </c>
      <c r="R1363" s="11"/>
      <c r="S1363" s="11" t="s">
        <v>4332</v>
      </c>
      <c r="T1363" s="11" t="s">
        <v>5007</v>
      </c>
      <c r="U1363" s="11" t="s">
        <v>150</v>
      </c>
      <c r="V1363" s="11" t="s">
        <v>5007</v>
      </c>
      <c r="W1363" s="11" t="s">
        <v>5007</v>
      </c>
      <c r="X1363" s="11">
        <v>20</v>
      </c>
      <c r="Y1363" s="11" t="s">
        <v>5796</v>
      </c>
      <c r="Z1363" s="11">
        <v>80</v>
      </c>
      <c r="AA1363" s="11">
        <v>0</v>
      </c>
      <c r="AB1363" s="12">
        <v>0</v>
      </c>
    </row>
    <row r="1364" spans="1:28" x14ac:dyDescent="0.2">
      <c r="A1364" s="7">
        <v>125700</v>
      </c>
      <c r="B1364" s="8" t="s">
        <v>9459</v>
      </c>
      <c r="C1364" s="8" t="s">
        <v>9324</v>
      </c>
      <c r="D1364" s="8" t="s">
        <v>9460</v>
      </c>
      <c r="E1364" s="8"/>
      <c r="F1364" s="8" t="s">
        <v>7141</v>
      </c>
      <c r="G1364" s="8" t="s">
        <v>1842</v>
      </c>
      <c r="H1364" s="8" t="s">
        <v>1843</v>
      </c>
      <c r="I1364" s="8" t="s">
        <v>9325</v>
      </c>
      <c r="J1364" s="8" t="s">
        <v>9461</v>
      </c>
      <c r="K1364" s="8" t="s">
        <v>1562</v>
      </c>
      <c r="L1364" s="8" t="s">
        <v>229</v>
      </c>
      <c r="M1364" s="8" t="s">
        <v>9462</v>
      </c>
      <c r="N1364" s="8" t="s">
        <v>128</v>
      </c>
      <c r="O1364" s="8" t="s">
        <v>9463</v>
      </c>
      <c r="P1364" s="8" t="s">
        <v>9464</v>
      </c>
      <c r="Q1364" s="8" t="s">
        <v>150</v>
      </c>
      <c r="R1364" s="8"/>
      <c r="S1364" s="8" t="s">
        <v>71</v>
      </c>
      <c r="T1364" s="8" t="s">
        <v>168</v>
      </c>
      <c r="U1364" s="8" t="s">
        <v>150</v>
      </c>
      <c r="V1364" s="8" t="s">
        <v>168</v>
      </c>
      <c r="W1364" s="8" t="s">
        <v>168</v>
      </c>
      <c r="X1364" s="8">
        <v>20</v>
      </c>
      <c r="Y1364" s="8" t="s">
        <v>5796</v>
      </c>
      <c r="Z1364" s="8">
        <v>80</v>
      </c>
      <c r="AA1364" s="8">
        <v>0</v>
      </c>
      <c r="AB1364" s="9">
        <v>0</v>
      </c>
    </row>
    <row r="1365" spans="1:28" x14ac:dyDescent="0.2">
      <c r="A1365" s="10">
        <v>20841</v>
      </c>
      <c r="B1365" s="11" t="s">
        <v>9465</v>
      </c>
      <c r="C1365" s="11" t="s">
        <v>9466</v>
      </c>
      <c r="D1365" s="11" t="s">
        <v>138</v>
      </c>
      <c r="E1365" s="11" t="s">
        <v>3962</v>
      </c>
      <c r="F1365" s="11" t="s">
        <v>484</v>
      </c>
      <c r="G1365" s="11" t="s">
        <v>224</v>
      </c>
      <c r="H1365" s="11" t="s">
        <v>225</v>
      </c>
      <c r="I1365" s="11" t="s">
        <v>9467</v>
      </c>
      <c r="J1365" s="11" t="s">
        <v>9468</v>
      </c>
      <c r="K1365" s="11" t="s">
        <v>228</v>
      </c>
      <c r="L1365" s="11" t="s">
        <v>229</v>
      </c>
      <c r="M1365" s="11" t="s">
        <v>9469</v>
      </c>
      <c r="N1365" s="11" t="s">
        <v>128</v>
      </c>
      <c r="O1365" s="11" t="s">
        <v>9470</v>
      </c>
      <c r="P1365" s="11" t="s">
        <v>9471</v>
      </c>
      <c r="Q1365" s="11" t="s">
        <v>150</v>
      </c>
      <c r="R1365" s="11"/>
      <c r="S1365" s="11" t="s">
        <v>71</v>
      </c>
      <c r="T1365" s="11" t="s">
        <v>289</v>
      </c>
      <c r="U1365" s="11" t="s">
        <v>150</v>
      </c>
      <c r="V1365" s="11" t="s">
        <v>289</v>
      </c>
      <c r="W1365" s="11" t="s">
        <v>289</v>
      </c>
      <c r="X1365" s="11">
        <v>19</v>
      </c>
      <c r="Y1365" s="11" t="s">
        <v>5796</v>
      </c>
      <c r="Z1365" s="11">
        <v>80</v>
      </c>
      <c r="AA1365" s="11">
        <v>0</v>
      </c>
      <c r="AB1365" s="12">
        <v>0</v>
      </c>
    </row>
    <row r="1366" spans="1:28" x14ac:dyDescent="0.2">
      <c r="A1366" s="7">
        <v>21143</v>
      </c>
      <c r="B1366" s="8" t="s">
        <v>9472</v>
      </c>
      <c r="C1366" s="8" t="s">
        <v>9473</v>
      </c>
      <c r="D1366" s="8" t="s">
        <v>9474</v>
      </c>
      <c r="E1366" s="8"/>
      <c r="F1366" s="8" t="s">
        <v>9475</v>
      </c>
      <c r="G1366" s="8" t="s">
        <v>141</v>
      </c>
      <c r="H1366" s="8" t="s">
        <v>142</v>
      </c>
      <c r="I1366" s="8" t="s">
        <v>9476</v>
      </c>
      <c r="J1366" s="8" t="s">
        <v>9477</v>
      </c>
      <c r="K1366" s="8" t="s">
        <v>584</v>
      </c>
      <c r="L1366" s="8" t="s">
        <v>146</v>
      </c>
      <c r="M1366" s="8" t="s">
        <v>9478</v>
      </c>
      <c r="N1366" s="8" t="s">
        <v>128</v>
      </c>
      <c r="O1366" s="8" t="s">
        <v>9479</v>
      </c>
      <c r="P1366" s="8" t="s">
        <v>9480</v>
      </c>
      <c r="Q1366" s="8" t="s">
        <v>150</v>
      </c>
      <c r="R1366" s="8"/>
      <c r="S1366" s="8" t="s">
        <v>71</v>
      </c>
      <c r="T1366" s="8" t="s">
        <v>289</v>
      </c>
      <c r="U1366" s="8" t="s">
        <v>150</v>
      </c>
      <c r="V1366" s="8" t="s">
        <v>289</v>
      </c>
      <c r="W1366" s="8" t="s">
        <v>289</v>
      </c>
      <c r="X1366" s="8">
        <v>19</v>
      </c>
      <c r="Y1366" s="8" t="s">
        <v>5796</v>
      </c>
      <c r="Z1366" s="8">
        <v>80</v>
      </c>
      <c r="AA1366" s="8">
        <v>0</v>
      </c>
      <c r="AB1366" s="9">
        <v>0</v>
      </c>
    </row>
    <row r="1367" spans="1:28" x14ac:dyDescent="0.2">
      <c r="A1367" s="10">
        <v>21292</v>
      </c>
      <c r="B1367" s="11" t="s">
        <v>9481</v>
      </c>
      <c r="C1367" s="11" t="s">
        <v>3257</v>
      </c>
      <c r="D1367" s="11" t="s">
        <v>9482</v>
      </c>
      <c r="E1367" s="11" t="s">
        <v>9483</v>
      </c>
      <c r="F1367" s="11" t="s">
        <v>353</v>
      </c>
      <c r="G1367" s="11" t="s">
        <v>3259</v>
      </c>
      <c r="H1367" s="11" t="s">
        <v>557</v>
      </c>
      <c r="I1367" s="11" t="s">
        <v>3260</v>
      </c>
      <c r="J1367" s="11" t="s">
        <v>9484</v>
      </c>
      <c r="K1367" s="11" t="s">
        <v>1562</v>
      </c>
      <c r="L1367" s="11" t="s">
        <v>229</v>
      </c>
      <c r="M1367" s="11" t="s">
        <v>9485</v>
      </c>
      <c r="N1367" s="11" t="s">
        <v>128</v>
      </c>
      <c r="O1367" s="11" t="s">
        <v>9486</v>
      </c>
      <c r="P1367" s="11" t="s">
        <v>9487</v>
      </c>
      <c r="Q1367" s="11" t="s">
        <v>150</v>
      </c>
      <c r="R1367" s="11"/>
      <c r="S1367" s="11" t="s">
        <v>71</v>
      </c>
      <c r="T1367" s="11" t="s">
        <v>67</v>
      </c>
      <c r="U1367" s="11" t="s">
        <v>150</v>
      </c>
      <c r="V1367" s="11" t="s">
        <v>152</v>
      </c>
      <c r="W1367" s="11" t="s">
        <v>67</v>
      </c>
      <c r="X1367" s="11">
        <v>19</v>
      </c>
      <c r="Y1367" s="11" t="s">
        <v>5796</v>
      </c>
      <c r="Z1367" s="11">
        <v>80</v>
      </c>
      <c r="AA1367" s="11">
        <v>0</v>
      </c>
      <c r="AB1367" s="12">
        <v>0</v>
      </c>
    </row>
    <row r="1368" spans="1:28" x14ac:dyDescent="0.2">
      <c r="A1368" s="7">
        <v>21342</v>
      </c>
      <c r="B1368" s="8" t="s">
        <v>9488</v>
      </c>
      <c r="C1368" s="8" t="s">
        <v>2339</v>
      </c>
      <c r="D1368" s="8" t="s">
        <v>9489</v>
      </c>
      <c r="E1368" s="8" t="s">
        <v>9490</v>
      </c>
      <c r="F1368" s="8" t="s">
        <v>353</v>
      </c>
      <c r="G1368" s="8" t="s">
        <v>1196</v>
      </c>
      <c r="H1368" s="8" t="s">
        <v>142</v>
      </c>
      <c r="I1368" s="8" t="s">
        <v>9491</v>
      </c>
      <c r="J1368" s="8" t="s">
        <v>9492</v>
      </c>
      <c r="K1368" s="8" t="s">
        <v>1199</v>
      </c>
      <c r="L1368" s="8" t="s">
        <v>464</v>
      </c>
      <c r="M1368" s="8" t="s">
        <v>9493</v>
      </c>
      <c r="N1368" s="8" t="s">
        <v>128</v>
      </c>
      <c r="O1368" s="8" t="s">
        <v>9494</v>
      </c>
      <c r="P1368" s="8" t="s">
        <v>9495</v>
      </c>
      <c r="Q1368" s="8" t="s">
        <v>150</v>
      </c>
      <c r="R1368" s="8"/>
      <c r="S1368" s="8" t="s">
        <v>71</v>
      </c>
      <c r="T1368" s="8" t="s">
        <v>67</v>
      </c>
      <c r="U1368" s="8" t="s">
        <v>150</v>
      </c>
      <c r="V1368" s="8" t="s">
        <v>152</v>
      </c>
      <c r="W1368" s="8" t="s">
        <v>67</v>
      </c>
      <c r="X1368" s="8">
        <v>19</v>
      </c>
      <c r="Y1368" s="8" t="s">
        <v>5796</v>
      </c>
      <c r="Z1368" s="8">
        <v>80</v>
      </c>
      <c r="AA1368" s="8">
        <v>0</v>
      </c>
      <c r="AB1368" s="9">
        <v>0</v>
      </c>
    </row>
    <row r="1369" spans="1:28" x14ac:dyDescent="0.2">
      <c r="A1369" s="10">
        <v>26354</v>
      </c>
      <c r="B1369" s="11" t="s">
        <v>9496</v>
      </c>
      <c r="C1369" s="11" t="s">
        <v>9497</v>
      </c>
      <c r="D1369" s="11" t="s">
        <v>7542</v>
      </c>
      <c r="E1369" s="11"/>
      <c r="F1369" s="11" t="s">
        <v>9498</v>
      </c>
      <c r="G1369" s="11" t="s">
        <v>141</v>
      </c>
      <c r="H1369" s="11" t="s">
        <v>142</v>
      </c>
      <c r="I1369" s="11" t="s">
        <v>9499</v>
      </c>
      <c r="J1369" s="11" t="s">
        <v>9500</v>
      </c>
      <c r="K1369" s="11" t="s">
        <v>584</v>
      </c>
      <c r="L1369" s="11" t="s">
        <v>146</v>
      </c>
      <c r="M1369" s="11" t="s">
        <v>9501</v>
      </c>
      <c r="N1369" s="11" t="s">
        <v>128</v>
      </c>
      <c r="O1369" s="11" t="s">
        <v>9502</v>
      </c>
      <c r="P1369" s="11" t="s">
        <v>9503</v>
      </c>
      <c r="Q1369" s="11" t="s">
        <v>150</v>
      </c>
      <c r="R1369" s="11"/>
      <c r="S1369" s="11" t="s">
        <v>71</v>
      </c>
      <c r="T1369" s="11" t="s">
        <v>67</v>
      </c>
      <c r="U1369" s="11" t="s">
        <v>150</v>
      </c>
      <c r="V1369" s="11" t="s">
        <v>152</v>
      </c>
      <c r="W1369" s="11" t="s">
        <v>67</v>
      </c>
      <c r="X1369" s="11">
        <v>19</v>
      </c>
      <c r="Y1369" s="11" t="s">
        <v>5796</v>
      </c>
      <c r="Z1369" s="11">
        <v>80</v>
      </c>
      <c r="AA1369" s="11">
        <v>0</v>
      </c>
      <c r="AB1369" s="12">
        <v>0</v>
      </c>
    </row>
    <row r="1370" spans="1:28" x14ac:dyDescent="0.2">
      <c r="A1370" s="7">
        <v>22531</v>
      </c>
      <c r="B1370" s="8" t="s">
        <v>9504</v>
      </c>
      <c r="C1370" s="8" t="s">
        <v>9505</v>
      </c>
      <c r="D1370" s="8" t="s">
        <v>138</v>
      </c>
      <c r="E1370" s="8" t="s">
        <v>9506</v>
      </c>
      <c r="F1370" s="8" t="s">
        <v>9507</v>
      </c>
      <c r="G1370" s="8" t="s">
        <v>224</v>
      </c>
      <c r="H1370" s="8" t="s">
        <v>225</v>
      </c>
      <c r="I1370" s="8" t="s">
        <v>9508</v>
      </c>
      <c r="J1370" s="8" t="s">
        <v>9509</v>
      </c>
      <c r="K1370" s="8" t="s">
        <v>228</v>
      </c>
      <c r="L1370" s="8" t="s">
        <v>229</v>
      </c>
      <c r="M1370" s="8" t="s">
        <v>9510</v>
      </c>
      <c r="N1370" s="8" t="s">
        <v>128</v>
      </c>
      <c r="O1370" s="8" t="s">
        <v>9511</v>
      </c>
      <c r="P1370" s="8" t="s">
        <v>9507</v>
      </c>
      <c r="Q1370" s="8" t="s">
        <v>150</v>
      </c>
      <c r="R1370" s="8"/>
      <c r="S1370" s="8" t="s">
        <v>71</v>
      </c>
      <c r="T1370" s="8" t="s">
        <v>869</v>
      </c>
      <c r="U1370" s="8" t="s">
        <v>150</v>
      </c>
      <c r="V1370" s="8" t="s">
        <v>869</v>
      </c>
      <c r="W1370" s="8" t="s">
        <v>869</v>
      </c>
      <c r="X1370" s="8">
        <v>19</v>
      </c>
      <c r="Y1370" s="8" t="s">
        <v>5796</v>
      </c>
      <c r="Z1370" s="8">
        <v>80</v>
      </c>
      <c r="AA1370" s="8">
        <v>0</v>
      </c>
      <c r="AB1370" s="9">
        <v>0</v>
      </c>
    </row>
    <row r="1371" spans="1:28" x14ac:dyDescent="0.2">
      <c r="A1371" s="10">
        <v>219344</v>
      </c>
      <c r="B1371" s="11" t="s">
        <v>9512</v>
      </c>
      <c r="C1371" s="11" t="s">
        <v>9513</v>
      </c>
      <c r="D1371" s="11" t="s">
        <v>7373</v>
      </c>
      <c r="E1371" s="11" t="s">
        <v>9514</v>
      </c>
      <c r="F1371" s="11" t="s">
        <v>9515</v>
      </c>
      <c r="G1371" s="11" t="s">
        <v>6409</v>
      </c>
      <c r="H1371" s="11" t="s">
        <v>6410</v>
      </c>
      <c r="I1371" s="11" t="s">
        <v>9516</v>
      </c>
      <c r="J1371" s="11" t="s">
        <v>9517</v>
      </c>
      <c r="K1371" s="11" t="s">
        <v>1956</v>
      </c>
      <c r="L1371" s="11" t="s">
        <v>526</v>
      </c>
      <c r="M1371" s="11" t="s">
        <v>9518</v>
      </c>
      <c r="N1371" s="11" t="s">
        <v>128</v>
      </c>
      <c r="O1371" s="11" t="s">
        <v>9519</v>
      </c>
      <c r="P1371" s="11"/>
      <c r="Q1371" s="11" t="s">
        <v>150</v>
      </c>
      <c r="R1371" s="11"/>
      <c r="S1371" s="11" t="s">
        <v>71</v>
      </c>
      <c r="T1371" s="11" t="s">
        <v>70</v>
      </c>
      <c r="U1371" s="11" t="s">
        <v>150</v>
      </c>
      <c r="V1371" s="11" t="s">
        <v>70</v>
      </c>
      <c r="W1371" s="11" t="s">
        <v>70</v>
      </c>
      <c r="X1371" s="11">
        <v>19</v>
      </c>
      <c r="Y1371" s="11" t="s">
        <v>5796</v>
      </c>
      <c r="Z1371" s="11">
        <v>80</v>
      </c>
      <c r="AA1371" s="11">
        <v>0</v>
      </c>
      <c r="AB1371" s="12">
        <v>0</v>
      </c>
    </row>
    <row r="1372" spans="1:28" x14ac:dyDescent="0.2">
      <c r="A1372" s="7">
        <v>37871</v>
      </c>
      <c r="B1372" s="8" t="s">
        <v>9520</v>
      </c>
      <c r="C1372" s="8" t="s">
        <v>9521</v>
      </c>
      <c r="D1372" s="8" t="s">
        <v>7542</v>
      </c>
      <c r="E1372" s="8"/>
      <c r="F1372" s="8" t="s">
        <v>353</v>
      </c>
      <c r="G1372" s="8" t="s">
        <v>9522</v>
      </c>
      <c r="H1372" s="8" t="s">
        <v>159</v>
      </c>
      <c r="I1372" s="8" t="s">
        <v>9523</v>
      </c>
      <c r="J1372" s="8" t="s">
        <v>9524</v>
      </c>
      <c r="K1372" s="8" t="s">
        <v>162</v>
      </c>
      <c r="L1372" s="8" t="s">
        <v>163</v>
      </c>
      <c r="M1372" s="8" t="s">
        <v>9525</v>
      </c>
      <c r="N1372" s="8" t="s">
        <v>128</v>
      </c>
      <c r="O1372" s="8" t="s">
        <v>9526</v>
      </c>
      <c r="P1372" s="8" t="s">
        <v>9527</v>
      </c>
      <c r="Q1372" s="8" t="s">
        <v>150</v>
      </c>
      <c r="R1372" s="8"/>
      <c r="S1372" s="8" t="s">
        <v>71</v>
      </c>
      <c r="T1372" s="8" t="s">
        <v>168</v>
      </c>
      <c r="U1372" s="8" t="s">
        <v>150</v>
      </c>
      <c r="V1372" s="8" t="s">
        <v>168</v>
      </c>
      <c r="W1372" s="8" t="s">
        <v>168</v>
      </c>
      <c r="X1372" s="8">
        <v>19</v>
      </c>
      <c r="Y1372" s="8" t="s">
        <v>5796</v>
      </c>
      <c r="Z1372" s="8">
        <v>80</v>
      </c>
      <c r="AA1372" s="8">
        <v>0</v>
      </c>
      <c r="AB1372" s="9">
        <v>0</v>
      </c>
    </row>
    <row r="1373" spans="1:28" x14ac:dyDescent="0.2">
      <c r="A1373" s="10">
        <v>22739</v>
      </c>
      <c r="B1373" s="11" t="s">
        <v>9528</v>
      </c>
      <c r="C1373" s="11" t="s">
        <v>7976</v>
      </c>
      <c r="D1373" s="11" t="s">
        <v>9529</v>
      </c>
      <c r="E1373" s="11"/>
      <c r="F1373" s="11" t="s">
        <v>353</v>
      </c>
      <c r="G1373" s="11" t="s">
        <v>4513</v>
      </c>
      <c r="H1373" s="11" t="s">
        <v>847</v>
      </c>
      <c r="I1373" s="11" t="s">
        <v>7977</v>
      </c>
      <c r="J1373" s="11" t="s">
        <v>9530</v>
      </c>
      <c r="K1373" s="11" t="s">
        <v>1091</v>
      </c>
      <c r="L1373" s="11" t="s">
        <v>126</v>
      </c>
      <c r="M1373" s="11" t="s">
        <v>9531</v>
      </c>
      <c r="N1373" s="11" t="s">
        <v>128</v>
      </c>
      <c r="O1373" s="11" t="s">
        <v>9532</v>
      </c>
      <c r="P1373" s="11" t="s">
        <v>9533</v>
      </c>
      <c r="Q1373" s="11" t="s">
        <v>740</v>
      </c>
      <c r="R1373" s="11"/>
      <c r="S1373" s="11" t="s">
        <v>71</v>
      </c>
      <c r="T1373" s="11" t="s">
        <v>1745</v>
      </c>
      <c r="U1373" s="11" t="s">
        <v>134</v>
      </c>
      <c r="V1373" s="11" t="s">
        <v>740</v>
      </c>
      <c r="W1373" s="11" t="s">
        <v>1745</v>
      </c>
      <c r="X1373" s="11">
        <v>19</v>
      </c>
      <c r="Y1373" s="11" t="s">
        <v>5796</v>
      </c>
      <c r="Z1373" s="11">
        <v>80</v>
      </c>
      <c r="AA1373" s="11">
        <v>0</v>
      </c>
      <c r="AB1373" s="12">
        <v>0</v>
      </c>
    </row>
    <row r="1374" spans="1:28" x14ac:dyDescent="0.2">
      <c r="A1374" s="7">
        <v>21673</v>
      </c>
      <c r="B1374" s="8" t="s">
        <v>9534</v>
      </c>
      <c r="C1374" s="8" t="s">
        <v>8613</v>
      </c>
      <c r="D1374" s="8" t="s">
        <v>9535</v>
      </c>
      <c r="E1374" s="8" t="s">
        <v>9536</v>
      </c>
      <c r="F1374" s="8" t="s">
        <v>353</v>
      </c>
      <c r="G1374" s="8" t="s">
        <v>8614</v>
      </c>
      <c r="H1374" s="8" t="s">
        <v>142</v>
      </c>
      <c r="I1374" s="8" t="s">
        <v>9537</v>
      </c>
      <c r="J1374" s="8" t="s">
        <v>9538</v>
      </c>
      <c r="K1374" s="8" t="s">
        <v>1199</v>
      </c>
      <c r="L1374" s="8" t="s">
        <v>464</v>
      </c>
      <c r="M1374" s="8" t="s">
        <v>9539</v>
      </c>
      <c r="N1374" s="8" t="s">
        <v>128</v>
      </c>
      <c r="O1374" s="8" t="s">
        <v>9540</v>
      </c>
      <c r="P1374" s="8" t="s">
        <v>9541</v>
      </c>
      <c r="Q1374" s="8" t="s">
        <v>150</v>
      </c>
      <c r="R1374" s="8"/>
      <c r="S1374" s="8" t="s">
        <v>71</v>
      </c>
      <c r="T1374" s="8" t="s">
        <v>67</v>
      </c>
      <c r="U1374" s="8" t="s">
        <v>150</v>
      </c>
      <c r="V1374" s="8" t="s">
        <v>152</v>
      </c>
      <c r="W1374" s="8" t="s">
        <v>67</v>
      </c>
      <c r="X1374" s="8">
        <v>18</v>
      </c>
      <c r="Y1374" s="8" t="s">
        <v>5796</v>
      </c>
      <c r="Z1374" s="8">
        <v>80</v>
      </c>
      <c r="AA1374" s="8">
        <v>0</v>
      </c>
      <c r="AB1374" s="9">
        <v>0</v>
      </c>
    </row>
    <row r="1375" spans="1:28" x14ac:dyDescent="0.2">
      <c r="A1375" s="10">
        <v>21420</v>
      </c>
      <c r="B1375" s="11" t="s">
        <v>9542</v>
      </c>
      <c r="C1375" s="11" t="s">
        <v>9543</v>
      </c>
      <c r="D1375" s="11" t="s">
        <v>9544</v>
      </c>
      <c r="E1375" s="11" t="s">
        <v>9545</v>
      </c>
      <c r="F1375" s="11" t="s">
        <v>9546</v>
      </c>
      <c r="G1375" s="11" t="s">
        <v>141</v>
      </c>
      <c r="H1375" s="11" t="s">
        <v>142</v>
      </c>
      <c r="I1375" s="11" t="s">
        <v>9547</v>
      </c>
      <c r="J1375" s="11" t="s">
        <v>9548</v>
      </c>
      <c r="K1375" s="11" t="s">
        <v>145</v>
      </c>
      <c r="L1375" s="11" t="s">
        <v>146</v>
      </c>
      <c r="M1375" s="11" t="s">
        <v>9549</v>
      </c>
      <c r="N1375" s="11" t="s">
        <v>128</v>
      </c>
      <c r="O1375" s="11" t="s">
        <v>9550</v>
      </c>
      <c r="P1375" s="11" t="s">
        <v>9551</v>
      </c>
      <c r="Q1375" s="11" t="s">
        <v>150</v>
      </c>
      <c r="R1375" s="11"/>
      <c r="S1375" s="11" t="s">
        <v>71</v>
      </c>
      <c r="T1375" s="11" t="s">
        <v>67</v>
      </c>
      <c r="U1375" s="11" t="s">
        <v>150</v>
      </c>
      <c r="V1375" s="11" t="s">
        <v>152</v>
      </c>
      <c r="W1375" s="11" t="s">
        <v>67</v>
      </c>
      <c r="X1375" s="11">
        <v>18</v>
      </c>
      <c r="Y1375" s="11" t="s">
        <v>5796</v>
      </c>
      <c r="Z1375" s="11">
        <v>80</v>
      </c>
      <c r="AA1375" s="11">
        <v>0</v>
      </c>
      <c r="AB1375" s="12">
        <v>0</v>
      </c>
    </row>
    <row r="1376" spans="1:28" x14ac:dyDescent="0.2">
      <c r="A1376" s="7">
        <v>21261</v>
      </c>
      <c r="B1376" s="8" t="s">
        <v>9552</v>
      </c>
      <c r="C1376" s="8" t="s">
        <v>4897</v>
      </c>
      <c r="D1376" s="8" t="s">
        <v>2547</v>
      </c>
      <c r="E1376" s="8" t="s">
        <v>2720</v>
      </c>
      <c r="F1376" s="8" t="s">
        <v>9553</v>
      </c>
      <c r="G1376" s="8" t="s">
        <v>9554</v>
      </c>
      <c r="H1376" s="8" t="s">
        <v>142</v>
      </c>
      <c r="I1376" s="8" t="s">
        <v>9555</v>
      </c>
      <c r="J1376" s="8" t="s">
        <v>9556</v>
      </c>
      <c r="K1376" s="8" t="s">
        <v>974</v>
      </c>
      <c r="L1376" s="8" t="s">
        <v>146</v>
      </c>
      <c r="M1376" s="8" t="s">
        <v>9557</v>
      </c>
      <c r="N1376" s="8" t="s">
        <v>128</v>
      </c>
      <c r="O1376" s="8" t="s">
        <v>9558</v>
      </c>
      <c r="P1376" s="8" t="s">
        <v>9559</v>
      </c>
      <c r="Q1376" s="8" t="s">
        <v>150</v>
      </c>
      <c r="R1376" s="8"/>
      <c r="S1376" s="8" t="s">
        <v>71</v>
      </c>
      <c r="T1376" s="8" t="s">
        <v>67</v>
      </c>
      <c r="U1376" s="8" t="s">
        <v>150</v>
      </c>
      <c r="V1376" s="8" t="s">
        <v>152</v>
      </c>
      <c r="W1376" s="8" t="s">
        <v>67</v>
      </c>
      <c r="X1376" s="8">
        <v>18</v>
      </c>
      <c r="Y1376" s="8" t="s">
        <v>5796</v>
      </c>
      <c r="Z1376" s="8">
        <v>80</v>
      </c>
      <c r="AA1376" s="8">
        <v>0</v>
      </c>
      <c r="AB1376" s="9">
        <v>0</v>
      </c>
    </row>
    <row r="1377" spans="1:28" x14ac:dyDescent="0.2">
      <c r="A1377" s="10">
        <v>21396</v>
      </c>
      <c r="B1377" s="11" t="s">
        <v>9560</v>
      </c>
      <c r="C1377" s="11" t="s">
        <v>9561</v>
      </c>
      <c r="D1377" s="11" t="s">
        <v>9562</v>
      </c>
      <c r="E1377" s="11" t="s">
        <v>9563</v>
      </c>
      <c r="F1377" s="11" t="s">
        <v>9382</v>
      </c>
      <c r="G1377" s="11" t="s">
        <v>328</v>
      </c>
      <c r="H1377" s="11" t="s">
        <v>329</v>
      </c>
      <c r="I1377" s="11" t="s">
        <v>9564</v>
      </c>
      <c r="J1377" s="11" t="s">
        <v>9565</v>
      </c>
      <c r="K1377" s="11" t="s">
        <v>332</v>
      </c>
      <c r="L1377" s="11" t="s">
        <v>333</v>
      </c>
      <c r="M1377" s="11" t="s">
        <v>9566</v>
      </c>
      <c r="N1377" s="11" t="s">
        <v>128</v>
      </c>
      <c r="O1377" s="11" t="s">
        <v>9567</v>
      </c>
      <c r="P1377" s="11" t="s">
        <v>9568</v>
      </c>
      <c r="Q1377" s="11" t="s">
        <v>150</v>
      </c>
      <c r="R1377" s="11"/>
      <c r="S1377" s="11" t="s">
        <v>9388</v>
      </c>
      <c r="T1377" s="11" t="s">
        <v>67</v>
      </c>
      <c r="U1377" s="11" t="s">
        <v>150</v>
      </c>
      <c r="V1377" s="11" t="s">
        <v>152</v>
      </c>
      <c r="W1377" s="11" t="s">
        <v>67</v>
      </c>
      <c r="X1377" s="11">
        <v>18</v>
      </c>
      <c r="Y1377" s="11" t="s">
        <v>5796</v>
      </c>
      <c r="Z1377" s="11">
        <v>80</v>
      </c>
      <c r="AA1377" s="11">
        <v>0</v>
      </c>
      <c r="AB1377" s="12">
        <v>0</v>
      </c>
    </row>
    <row r="1378" spans="1:28" x14ac:dyDescent="0.2">
      <c r="A1378" s="7">
        <v>21749</v>
      </c>
      <c r="B1378" s="8" t="s">
        <v>9569</v>
      </c>
      <c r="C1378" s="8" t="s">
        <v>9570</v>
      </c>
      <c r="D1378" s="8" t="s">
        <v>9571</v>
      </c>
      <c r="E1378" s="8"/>
      <c r="F1378" s="8" t="s">
        <v>353</v>
      </c>
      <c r="G1378" s="8" t="s">
        <v>328</v>
      </c>
      <c r="H1378" s="8" t="s">
        <v>329</v>
      </c>
      <c r="I1378" s="8" t="s">
        <v>9572</v>
      </c>
      <c r="J1378" s="8" t="s">
        <v>9573</v>
      </c>
      <c r="K1378" s="8" t="s">
        <v>415</v>
      </c>
      <c r="L1378" s="8" t="s">
        <v>333</v>
      </c>
      <c r="M1378" s="8" t="s">
        <v>9574</v>
      </c>
      <c r="N1378" s="8" t="s">
        <v>128</v>
      </c>
      <c r="O1378" s="8" t="s">
        <v>9575</v>
      </c>
      <c r="P1378" s="8" t="s">
        <v>4348</v>
      </c>
      <c r="Q1378" s="8" t="s">
        <v>150</v>
      </c>
      <c r="R1378" s="8"/>
      <c r="S1378" s="8" t="s">
        <v>71</v>
      </c>
      <c r="T1378" s="8" t="s">
        <v>67</v>
      </c>
      <c r="U1378" s="8" t="s">
        <v>150</v>
      </c>
      <c r="V1378" s="8" t="s">
        <v>152</v>
      </c>
      <c r="W1378" s="8" t="s">
        <v>67</v>
      </c>
      <c r="X1378" s="8">
        <v>18</v>
      </c>
      <c r="Y1378" s="8" t="s">
        <v>5796</v>
      </c>
      <c r="Z1378" s="8">
        <v>80</v>
      </c>
      <c r="AA1378" s="8">
        <v>0</v>
      </c>
      <c r="AB1378" s="9">
        <v>0</v>
      </c>
    </row>
    <row r="1379" spans="1:28" x14ac:dyDescent="0.2">
      <c r="A1379" s="10">
        <v>23121</v>
      </c>
      <c r="B1379" s="11" t="s">
        <v>9576</v>
      </c>
      <c r="C1379" s="11" t="s">
        <v>3661</v>
      </c>
      <c r="D1379" s="11" t="s">
        <v>3598</v>
      </c>
      <c r="E1379" s="11" t="s">
        <v>9577</v>
      </c>
      <c r="F1379" s="11" t="s">
        <v>353</v>
      </c>
      <c r="G1379" s="11" t="s">
        <v>412</v>
      </c>
      <c r="H1379" s="11" t="s">
        <v>329</v>
      </c>
      <c r="I1379" s="11" t="s">
        <v>3663</v>
      </c>
      <c r="J1379" s="11" t="s">
        <v>9578</v>
      </c>
      <c r="K1379" s="11" t="s">
        <v>415</v>
      </c>
      <c r="L1379" s="11" t="s">
        <v>333</v>
      </c>
      <c r="M1379" s="11" t="s">
        <v>9579</v>
      </c>
      <c r="N1379" s="11" t="s">
        <v>128</v>
      </c>
      <c r="O1379" s="11" t="s">
        <v>9580</v>
      </c>
      <c r="P1379" s="11" t="s">
        <v>9581</v>
      </c>
      <c r="Q1379" s="11" t="s">
        <v>150</v>
      </c>
      <c r="R1379" s="11"/>
      <c r="S1379" s="11" t="s">
        <v>3668</v>
      </c>
      <c r="T1379" s="11" t="s">
        <v>70</v>
      </c>
      <c r="U1379" s="11" t="s">
        <v>150</v>
      </c>
      <c r="V1379" s="11" t="s">
        <v>70</v>
      </c>
      <c r="W1379" s="11" t="s">
        <v>70</v>
      </c>
      <c r="X1379" s="11">
        <v>18</v>
      </c>
      <c r="Y1379" s="11" t="s">
        <v>5796</v>
      </c>
      <c r="Z1379" s="11">
        <v>80</v>
      </c>
      <c r="AA1379" s="11">
        <v>0</v>
      </c>
      <c r="AB1379" s="12">
        <v>0</v>
      </c>
    </row>
    <row r="1380" spans="1:28" x14ac:dyDescent="0.2">
      <c r="A1380" s="7">
        <v>23330</v>
      </c>
      <c r="B1380" s="8" t="s">
        <v>9582</v>
      </c>
      <c r="C1380" s="8" t="s">
        <v>9583</v>
      </c>
      <c r="D1380" s="8" t="s">
        <v>1948</v>
      </c>
      <c r="E1380" s="8"/>
      <c r="F1380" s="8"/>
      <c r="G1380" s="8" t="s">
        <v>141</v>
      </c>
      <c r="H1380" s="8" t="s">
        <v>142</v>
      </c>
      <c r="I1380" s="8" t="s">
        <v>9584</v>
      </c>
      <c r="J1380" s="8" t="s">
        <v>9585</v>
      </c>
      <c r="K1380" s="8" t="s">
        <v>991</v>
      </c>
      <c r="L1380" s="8" t="s">
        <v>146</v>
      </c>
      <c r="M1380" s="8" t="s">
        <v>9586</v>
      </c>
      <c r="N1380" s="8" t="s">
        <v>128</v>
      </c>
      <c r="O1380" s="8" t="s">
        <v>9587</v>
      </c>
      <c r="P1380" s="8" t="s">
        <v>9588</v>
      </c>
      <c r="Q1380" s="8" t="s">
        <v>150</v>
      </c>
      <c r="R1380" s="8"/>
      <c r="S1380" s="8" t="s">
        <v>71</v>
      </c>
      <c r="T1380" s="8" t="s">
        <v>70</v>
      </c>
      <c r="U1380" s="8" t="s">
        <v>150</v>
      </c>
      <c r="V1380" s="8" t="s">
        <v>70</v>
      </c>
      <c r="W1380" s="8" t="s">
        <v>70</v>
      </c>
      <c r="X1380" s="8">
        <v>18</v>
      </c>
      <c r="Y1380" s="8" t="s">
        <v>5796</v>
      </c>
      <c r="Z1380" s="8">
        <v>80</v>
      </c>
      <c r="AA1380" s="8">
        <v>0</v>
      </c>
      <c r="AB1380" s="9">
        <v>0</v>
      </c>
    </row>
    <row r="1381" spans="1:28" x14ac:dyDescent="0.2">
      <c r="A1381" s="10">
        <v>28550</v>
      </c>
      <c r="B1381" s="11" t="s">
        <v>9589</v>
      </c>
      <c r="C1381" s="11" t="s">
        <v>8983</v>
      </c>
      <c r="D1381" s="11" t="s">
        <v>3917</v>
      </c>
      <c r="E1381" s="11"/>
      <c r="F1381" s="11" t="s">
        <v>8984</v>
      </c>
      <c r="G1381" s="11" t="s">
        <v>971</v>
      </c>
      <c r="H1381" s="11" t="s">
        <v>142</v>
      </c>
      <c r="I1381" s="11" t="s">
        <v>9590</v>
      </c>
      <c r="J1381" s="11" t="s">
        <v>9591</v>
      </c>
      <c r="K1381" s="11" t="s">
        <v>974</v>
      </c>
      <c r="L1381" s="11" t="s">
        <v>146</v>
      </c>
      <c r="M1381" s="11" t="s">
        <v>9592</v>
      </c>
      <c r="N1381" s="11" t="s">
        <v>128</v>
      </c>
      <c r="O1381" s="11" t="s">
        <v>9593</v>
      </c>
      <c r="P1381" s="11" t="s">
        <v>9594</v>
      </c>
      <c r="Q1381" s="11" t="s">
        <v>150</v>
      </c>
      <c r="R1381" s="11"/>
      <c r="S1381" s="11" t="s">
        <v>71</v>
      </c>
      <c r="T1381" s="11" t="s">
        <v>70</v>
      </c>
      <c r="U1381" s="11" t="s">
        <v>150</v>
      </c>
      <c r="V1381" s="11" t="s">
        <v>70</v>
      </c>
      <c r="W1381" s="11" t="s">
        <v>70</v>
      </c>
      <c r="X1381" s="11">
        <v>18</v>
      </c>
      <c r="Y1381" s="11" t="s">
        <v>5796</v>
      </c>
      <c r="Z1381" s="11">
        <v>80</v>
      </c>
      <c r="AA1381" s="11">
        <v>0</v>
      </c>
      <c r="AB1381" s="12">
        <v>0</v>
      </c>
    </row>
    <row r="1382" spans="1:28" x14ac:dyDescent="0.2">
      <c r="A1382" s="7">
        <v>23912</v>
      </c>
      <c r="B1382" s="8" t="s">
        <v>9595</v>
      </c>
      <c r="C1382" s="8" t="s">
        <v>9596</v>
      </c>
      <c r="D1382" s="8" t="s">
        <v>9597</v>
      </c>
      <c r="E1382" s="8" t="s">
        <v>135</v>
      </c>
      <c r="F1382" s="8" t="s">
        <v>353</v>
      </c>
      <c r="G1382" s="8" t="s">
        <v>9598</v>
      </c>
      <c r="H1382" s="8" t="s">
        <v>704</v>
      </c>
      <c r="I1382" s="8" t="s">
        <v>9599</v>
      </c>
      <c r="J1382" s="8" t="s">
        <v>9600</v>
      </c>
      <c r="K1382" s="8" t="s">
        <v>707</v>
      </c>
      <c r="L1382" s="8" t="s">
        <v>126</v>
      </c>
      <c r="M1382" s="8" t="s">
        <v>9601</v>
      </c>
      <c r="N1382" s="8" t="s">
        <v>128</v>
      </c>
      <c r="O1382" s="8" t="s">
        <v>9602</v>
      </c>
      <c r="P1382" s="8" t="s">
        <v>9603</v>
      </c>
      <c r="Q1382" s="8" t="s">
        <v>150</v>
      </c>
      <c r="R1382" s="8"/>
      <c r="S1382" s="8" t="s">
        <v>71</v>
      </c>
      <c r="T1382" s="8" t="s">
        <v>168</v>
      </c>
      <c r="U1382" s="8" t="s">
        <v>150</v>
      </c>
      <c r="V1382" s="8" t="s">
        <v>168</v>
      </c>
      <c r="W1382" s="8" t="s">
        <v>168</v>
      </c>
      <c r="X1382" s="8">
        <v>18</v>
      </c>
      <c r="Y1382" s="8" t="s">
        <v>5796</v>
      </c>
      <c r="Z1382" s="8">
        <v>80</v>
      </c>
      <c r="AA1382" s="8">
        <v>0</v>
      </c>
      <c r="AB1382" s="9">
        <v>0</v>
      </c>
    </row>
    <row r="1383" spans="1:28" x14ac:dyDescent="0.2">
      <c r="A1383" s="10">
        <v>23890</v>
      </c>
      <c r="B1383" s="11" t="s">
        <v>9604</v>
      </c>
      <c r="C1383" s="11" t="s">
        <v>9295</v>
      </c>
      <c r="D1383" s="11" t="s">
        <v>2871</v>
      </c>
      <c r="E1383" s="11" t="s">
        <v>9605</v>
      </c>
      <c r="F1383" s="11" t="s">
        <v>9297</v>
      </c>
      <c r="G1383" s="11" t="s">
        <v>469</v>
      </c>
      <c r="H1383" s="11" t="s">
        <v>142</v>
      </c>
      <c r="I1383" s="11" t="s">
        <v>9298</v>
      </c>
      <c r="J1383" s="11" t="s">
        <v>9299</v>
      </c>
      <c r="K1383" s="11" t="s">
        <v>472</v>
      </c>
      <c r="L1383" s="11" t="s">
        <v>146</v>
      </c>
      <c r="M1383" s="11" t="s">
        <v>9606</v>
      </c>
      <c r="N1383" s="11" t="s">
        <v>128</v>
      </c>
      <c r="O1383" s="11" t="s">
        <v>9607</v>
      </c>
      <c r="P1383" s="11" t="s">
        <v>9608</v>
      </c>
      <c r="Q1383" s="11" t="s">
        <v>150</v>
      </c>
      <c r="R1383" s="11"/>
      <c r="S1383" s="11" t="s">
        <v>9303</v>
      </c>
      <c r="T1383" s="11" t="s">
        <v>168</v>
      </c>
      <c r="U1383" s="11" t="s">
        <v>150</v>
      </c>
      <c r="V1383" s="11" t="s">
        <v>168</v>
      </c>
      <c r="W1383" s="11" t="s">
        <v>168</v>
      </c>
      <c r="X1383" s="11">
        <v>18</v>
      </c>
      <c r="Y1383" s="11" t="s">
        <v>5796</v>
      </c>
      <c r="Z1383" s="11">
        <v>80</v>
      </c>
      <c r="AA1383" s="11">
        <v>0</v>
      </c>
      <c r="AB1383" s="12">
        <v>0</v>
      </c>
    </row>
    <row r="1384" spans="1:28" x14ac:dyDescent="0.2">
      <c r="A1384" s="7">
        <v>23900</v>
      </c>
      <c r="B1384" s="8" t="s">
        <v>9609</v>
      </c>
      <c r="C1384" s="8" t="s">
        <v>8613</v>
      </c>
      <c r="D1384" s="8" t="s">
        <v>9610</v>
      </c>
      <c r="E1384" s="8"/>
      <c r="F1384" s="8" t="s">
        <v>353</v>
      </c>
      <c r="G1384" s="8" t="s">
        <v>8614</v>
      </c>
      <c r="H1384" s="8" t="s">
        <v>142</v>
      </c>
      <c r="I1384" s="8" t="s">
        <v>9611</v>
      </c>
      <c r="J1384" s="8" t="s">
        <v>9612</v>
      </c>
      <c r="K1384" s="8" t="s">
        <v>1199</v>
      </c>
      <c r="L1384" s="8" t="s">
        <v>464</v>
      </c>
      <c r="M1384" s="8" t="s">
        <v>9613</v>
      </c>
      <c r="N1384" s="8" t="s">
        <v>128</v>
      </c>
      <c r="O1384" s="8" t="s">
        <v>9614</v>
      </c>
      <c r="P1384" s="8" t="s">
        <v>4880</v>
      </c>
      <c r="Q1384" s="8" t="s">
        <v>150</v>
      </c>
      <c r="R1384" s="8"/>
      <c r="S1384" s="8" t="s">
        <v>71</v>
      </c>
      <c r="T1384" s="8" t="s">
        <v>168</v>
      </c>
      <c r="U1384" s="8" t="s">
        <v>150</v>
      </c>
      <c r="V1384" s="8" t="s">
        <v>168</v>
      </c>
      <c r="W1384" s="8" t="s">
        <v>168</v>
      </c>
      <c r="X1384" s="8">
        <v>18</v>
      </c>
      <c r="Y1384" s="8" t="s">
        <v>5796</v>
      </c>
      <c r="Z1384" s="8">
        <v>80</v>
      </c>
      <c r="AA1384" s="8">
        <v>0</v>
      </c>
      <c r="AB1384" s="9">
        <v>0</v>
      </c>
    </row>
    <row r="1385" spans="1:28" x14ac:dyDescent="0.2">
      <c r="A1385" s="10">
        <v>23763</v>
      </c>
      <c r="B1385" s="11" t="s">
        <v>9615</v>
      </c>
      <c r="C1385" s="11" t="s">
        <v>9616</v>
      </c>
      <c r="D1385" s="11" t="s">
        <v>9617</v>
      </c>
      <c r="E1385" s="11"/>
      <c r="F1385" s="11" t="s">
        <v>9618</v>
      </c>
      <c r="G1385" s="11" t="s">
        <v>400</v>
      </c>
      <c r="H1385" s="11" t="s">
        <v>142</v>
      </c>
      <c r="I1385" s="11" t="s">
        <v>9619</v>
      </c>
      <c r="J1385" s="11" t="s">
        <v>9620</v>
      </c>
      <c r="K1385" s="11" t="s">
        <v>403</v>
      </c>
      <c r="L1385" s="11" t="s">
        <v>146</v>
      </c>
      <c r="M1385" s="11" t="s">
        <v>9621</v>
      </c>
      <c r="N1385" s="11" t="s">
        <v>128</v>
      </c>
      <c r="O1385" s="11" t="s">
        <v>9622</v>
      </c>
      <c r="P1385" s="11" t="s">
        <v>9623</v>
      </c>
      <c r="Q1385" s="11" t="s">
        <v>150</v>
      </c>
      <c r="R1385" s="11"/>
      <c r="S1385" s="11" t="s">
        <v>71</v>
      </c>
      <c r="T1385" s="11" t="s">
        <v>168</v>
      </c>
      <c r="U1385" s="11" t="s">
        <v>150</v>
      </c>
      <c r="V1385" s="11" t="s">
        <v>168</v>
      </c>
      <c r="W1385" s="11" t="s">
        <v>168</v>
      </c>
      <c r="X1385" s="11">
        <v>18</v>
      </c>
      <c r="Y1385" s="11" t="s">
        <v>5796</v>
      </c>
      <c r="Z1385" s="11">
        <v>80</v>
      </c>
      <c r="AA1385" s="11">
        <v>0</v>
      </c>
      <c r="AB1385" s="12">
        <v>0</v>
      </c>
    </row>
    <row r="1386" spans="1:28" x14ac:dyDescent="0.2">
      <c r="A1386" s="7">
        <v>23904</v>
      </c>
      <c r="B1386" s="8" t="s">
        <v>9624</v>
      </c>
      <c r="C1386" s="8" t="s">
        <v>8731</v>
      </c>
      <c r="D1386" s="8" t="s">
        <v>9625</v>
      </c>
      <c r="E1386" s="8"/>
      <c r="F1386" s="8" t="s">
        <v>8733</v>
      </c>
      <c r="G1386" s="8" t="s">
        <v>846</v>
      </c>
      <c r="H1386" s="8" t="s">
        <v>847</v>
      </c>
      <c r="I1386" s="8" t="s">
        <v>8734</v>
      </c>
      <c r="J1386" s="8" t="s">
        <v>9626</v>
      </c>
      <c r="K1386" s="8" t="s">
        <v>850</v>
      </c>
      <c r="L1386" s="8" t="s">
        <v>126</v>
      </c>
      <c r="M1386" s="8" t="s">
        <v>9627</v>
      </c>
      <c r="N1386" s="8" t="s">
        <v>128</v>
      </c>
      <c r="O1386" s="8" t="s">
        <v>9628</v>
      </c>
      <c r="P1386" s="8" t="s">
        <v>9629</v>
      </c>
      <c r="Q1386" s="8" t="s">
        <v>150</v>
      </c>
      <c r="R1386" s="8"/>
      <c r="S1386" s="8" t="s">
        <v>71</v>
      </c>
      <c r="T1386" s="8" t="s">
        <v>168</v>
      </c>
      <c r="U1386" s="8" t="s">
        <v>150</v>
      </c>
      <c r="V1386" s="8" t="s">
        <v>168</v>
      </c>
      <c r="W1386" s="8" t="s">
        <v>168</v>
      </c>
      <c r="X1386" s="8">
        <v>18</v>
      </c>
      <c r="Y1386" s="8" t="s">
        <v>5796</v>
      </c>
      <c r="Z1386" s="8">
        <v>80</v>
      </c>
      <c r="AA1386" s="8">
        <v>0</v>
      </c>
      <c r="AB1386" s="9">
        <v>0</v>
      </c>
    </row>
    <row r="1387" spans="1:28" x14ac:dyDescent="0.2">
      <c r="A1387" s="10">
        <v>24584</v>
      </c>
      <c r="B1387" s="11" t="s">
        <v>9630</v>
      </c>
      <c r="C1387" s="11" t="s">
        <v>1928</v>
      </c>
      <c r="D1387" s="11" t="s">
        <v>3716</v>
      </c>
      <c r="E1387" s="11"/>
      <c r="F1387" s="11" t="s">
        <v>353</v>
      </c>
      <c r="G1387" s="11" t="s">
        <v>1727</v>
      </c>
      <c r="H1387" s="11" t="s">
        <v>557</v>
      </c>
      <c r="I1387" s="11" t="s">
        <v>1930</v>
      </c>
      <c r="J1387" s="11" t="s">
        <v>9631</v>
      </c>
      <c r="K1387" s="11" t="s">
        <v>1562</v>
      </c>
      <c r="L1387" s="11" t="s">
        <v>229</v>
      </c>
      <c r="M1387" s="11" t="s">
        <v>9632</v>
      </c>
      <c r="N1387" s="11" t="s">
        <v>128</v>
      </c>
      <c r="O1387" s="11" t="s">
        <v>9633</v>
      </c>
      <c r="P1387" s="11" t="s">
        <v>7188</v>
      </c>
      <c r="Q1387" s="11" t="s">
        <v>150</v>
      </c>
      <c r="R1387" s="11"/>
      <c r="S1387" s="11" t="s">
        <v>71</v>
      </c>
      <c r="T1387" s="11" t="s">
        <v>69</v>
      </c>
      <c r="U1387" s="11" t="s">
        <v>150</v>
      </c>
      <c r="V1387" s="11" t="s">
        <v>152</v>
      </c>
      <c r="W1387" s="11" t="s">
        <v>69</v>
      </c>
      <c r="X1387" s="11">
        <v>18</v>
      </c>
      <c r="Y1387" s="11" t="s">
        <v>5796</v>
      </c>
      <c r="Z1387" s="11">
        <v>80</v>
      </c>
      <c r="AA1387" s="11">
        <v>0</v>
      </c>
      <c r="AB1387" s="12">
        <v>0</v>
      </c>
    </row>
    <row r="1388" spans="1:28" x14ac:dyDescent="0.2">
      <c r="A1388" s="7">
        <v>127786</v>
      </c>
      <c r="B1388" s="8" t="s">
        <v>9634</v>
      </c>
      <c r="C1388" s="8" t="s">
        <v>1860</v>
      </c>
      <c r="D1388" s="8" t="s">
        <v>138</v>
      </c>
      <c r="E1388" s="8" t="s">
        <v>9635</v>
      </c>
      <c r="F1388" s="8" t="s">
        <v>223</v>
      </c>
      <c r="G1388" s="8" t="s">
        <v>224</v>
      </c>
      <c r="H1388" s="8" t="s">
        <v>225</v>
      </c>
      <c r="I1388" s="8" t="s">
        <v>1861</v>
      </c>
      <c r="J1388" s="8" t="s">
        <v>1862</v>
      </c>
      <c r="K1388" s="8" t="s">
        <v>228</v>
      </c>
      <c r="L1388" s="8" t="s">
        <v>229</v>
      </c>
      <c r="M1388" s="8" t="s">
        <v>9636</v>
      </c>
      <c r="N1388" s="8" t="s">
        <v>128</v>
      </c>
      <c r="O1388" s="8" t="s">
        <v>9637</v>
      </c>
      <c r="P1388" s="8"/>
      <c r="Q1388" s="8" t="s">
        <v>249</v>
      </c>
      <c r="R1388" s="8"/>
      <c r="S1388" s="8" t="s">
        <v>1866</v>
      </c>
      <c r="T1388" s="8" t="s">
        <v>1523</v>
      </c>
      <c r="U1388" s="8" t="s">
        <v>134</v>
      </c>
      <c r="V1388" s="8" t="s">
        <v>249</v>
      </c>
      <c r="W1388" s="8" t="s">
        <v>1523</v>
      </c>
      <c r="X1388" s="8">
        <v>18</v>
      </c>
      <c r="Y1388" s="8" t="s">
        <v>5796</v>
      </c>
      <c r="Z1388" s="8">
        <v>80</v>
      </c>
      <c r="AA1388" s="8">
        <v>0</v>
      </c>
      <c r="AB1388" s="9">
        <v>0</v>
      </c>
    </row>
    <row r="1389" spans="1:28" x14ac:dyDescent="0.2">
      <c r="A1389" s="10">
        <v>25451</v>
      </c>
      <c r="B1389" s="11" t="s">
        <v>9638</v>
      </c>
      <c r="C1389" s="11" t="s">
        <v>5271</v>
      </c>
      <c r="D1389" s="11" t="s">
        <v>5272</v>
      </c>
      <c r="E1389" s="11"/>
      <c r="F1389" s="11" t="s">
        <v>9639</v>
      </c>
      <c r="G1389" s="11" t="s">
        <v>2652</v>
      </c>
      <c r="H1389" s="11" t="s">
        <v>1843</v>
      </c>
      <c r="I1389" s="11" t="s">
        <v>9640</v>
      </c>
      <c r="J1389" s="11" t="s">
        <v>5275</v>
      </c>
      <c r="K1389" s="11" t="s">
        <v>1562</v>
      </c>
      <c r="L1389" s="11" t="s">
        <v>229</v>
      </c>
      <c r="M1389" s="11" t="s">
        <v>9641</v>
      </c>
      <c r="N1389" s="11" t="s">
        <v>128</v>
      </c>
      <c r="O1389" s="11" t="s">
        <v>9642</v>
      </c>
      <c r="P1389" s="11" t="s">
        <v>9643</v>
      </c>
      <c r="Q1389" s="11" t="s">
        <v>249</v>
      </c>
      <c r="R1389" s="11"/>
      <c r="S1389" s="11" t="s">
        <v>5279</v>
      </c>
      <c r="T1389" s="11" t="s">
        <v>250</v>
      </c>
      <c r="U1389" s="11" t="s">
        <v>134</v>
      </c>
      <c r="V1389" s="11" t="s">
        <v>249</v>
      </c>
      <c r="W1389" s="11" t="s">
        <v>250</v>
      </c>
      <c r="X1389" s="11">
        <v>18</v>
      </c>
      <c r="Y1389" s="11" t="s">
        <v>5796</v>
      </c>
      <c r="Z1389" s="11">
        <v>80</v>
      </c>
      <c r="AA1389" s="11">
        <v>0</v>
      </c>
      <c r="AB1389" s="12">
        <v>0</v>
      </c>
    </row>
    <row r="1390" spans="1:28" x14ac:dyDescent="0.2">
      <c r="A1390" s="7">
        <v>21181</v>
      </c>
      <c r="B1390" s="8" t="s">
        <v>9644</v>
      </c>
      <c r="C1390" s="8" t="s">
        <v>1982</v>
      </c>
      <c r="D1390" s="8" t="s">
        <v>9645</v>
      </c>
      <c r="E1390" s="8"/>
      <c r="F1390" s="8" t="s">
        <v>9646</v>
      </c>
      <c r="G1390" s="8" t="s">
        <v>428</v>
      </c>
      <c r="H1390" s="8" t="s">
        <v>329</v>
      </c>
      <c r="I1390" s="8" t="s">
        <v>9647</v>
      </c>
      <c r="J1390" s="8" t="s">
        <v>9648</v>
      </c>
      <c r="K1390" s="8" t="s">
        <v>431</v>
      </c>
      <c r="L1390" s="8" t="s">
        <v>333</v>
      </c>
      <c r="M1390" s="8" t="s">
        <v>9649</v>
      </c>
      <c r="N1390" s="8" t="s">
        <v>128</v>
      </c>
      <c r="O1390" s="8" t="s">
        <v>9650</v>
      </c>
      <c r="P1390" s="8" t="s">
        <v>9651</v>
      </c>
      <c r="Q1390" s="8" t="s">
        <v>150</v>
      </c>
      <c r="R1390" s="8"/>
      <c r="S1390" s="8" t="s">
        <v>71</v>
      </c>
      <c r="T1390" s="8" t="s">
        <v>289</v>
      </c>
      <c r="U1390" s="8" t="s">
        <v>150</v>
      </c>
      <c r="V1390" s="8" t="s">
        <v>289</v>
      </c>
      <c r="W1390" s="8" t="s">
        <v>289</v>
      </c>
      <c r="X1390" s="8">
        <v>17</v>
      </c>
      <c r="Y1390" s="8" t="s">
        <v>5796</v>
      </c>
      <c r="Z1390" s="8">
        <v>80</v>
      </c>
      <c r="AA1390" s="8">
        <v>0</v>
      </c>
      <c r="AB1390" s="9">
        <v>0</v>
      </c>
    </row>
    <row r="1391" spans="1:28" x14ac:dyDescent="0.2">
      <c r="A1391" s="10">
        <v>21518</v>
      </c>
      <c r="B1391" s="11" t="s">
        <v>9652</v>
      </c>
      <c r="C1391" s="11" t="s">
        <v>9653</v>
      </c>
      <c r="D1391" s="11" t="s">
        <v>7373</v>
      </c>
      <c r="E1391" s="11" t="s">
        <v>2983</v>
      </c>
      <c r="F1391" s="11" t="s">
        <v>353</v>
      </c>
      <c r="G1391" s="11" t="s">
        <v>5943</v>
      </c>
      <c r="H1391" s="11" t="s">
        <v>191</v>
      </c>
      <c r="I1391" s="11" t="s">
        <v>9654</v>
      </c>
      <c r="J1391" s="11" t="s">
        <v>9655</v>
      </c>
      <c r="K1391" s="11" t="s">
        <v>194</v>
      </c>
      <c r="L1391" s="11" t="s">
        <v>163</v>
      </c>
      <c r="M1391" s="11" t="s">
        <v>9656</v>
      </c>
      <c r="N1391" s="11" t="s">
        <v>128</v>
      </c>
      <c r="O1391" s="11" t="s">
        <v>9657</v>
      </c>
      <c r="P1391" s="11" t="s">
        <v>9658</v>
      </c>
      <c r="Q1391" s="11" t="s">
        <v>150</v>
      </c>
      <c r="R1391" s="11"/>
      <c r="S1391" s="11" t="s">
        <v>71</v>
      </c>
      <c r="T1391" s="11" t="s">
        <v>67</v>
      </c>
      <c r="U1391" s="11" t="s">
        <v>150</v>
      </c>
      <c r="V1391" s="11" t="s">
        <v>152</v>
      </c>
      <c r="W1391" s="11" t="s">
        <v>67</v>
      </c>
      <c r="X1391" s="11">
        <v>17</v>
      </c>
      <c r="Y1391" s="11" t="s">
        <v>5796</v>
      </c>
      <c r="Z1391" s="11">
        <v>80</v>
      </c>
      <c r="AA1391" s="11">
        <v>0</v>
      </c>
      <c r="AB1391" s="12">
        <v>0</v>
      </c>
    </row>
    <row r="1392" spans="1:28" x14ac:dyDescent="0.2">
      <c r="A1392" s="7">
        <v>21513</v>
      </c>
      <c r="B1392" s="8" t="s">
        <v>9659</v>
      </c>
      <c r="C1392" s="8" t="s">
        <v>8927</v>
      </c>
      <c r="D1392" s="8" t="s">
        <v>9660</v>
      </c>
      <c r="E1392" s="8"/>
      <c r="F1392" s="8" t="s">
        <v>9431</v>
      </c>
      <c r="G1392" s="8" t="s">
        <v>328</v>
      </c>
      <c r="H1392" s="8" t="s">
        <v>329</v>
      </c>
      <c r="I1392" s="8" t="s">
        <v>8930</v>
      </c>
      <c r="J1392" s="8" t="s">
        <v>9661</v>
      </c>
      <c r="K1392" s="8" t="s">
        <v>415</v>
      </c>
      <c r="L1392" s="8" t="s">
        <v>333</v>
      </c>
      <c r="M1392" s="8" t="s">
        <v>9662</v>
      </c>
      <c r="N1392" s="8" t="s">
        <v>128</v>
      </c>
      <c r="O1392" s="8" t="s">
        <v>9663</v>
      </c>
      <c r="P1392" s="8" t="s">
        <v>9664</v>
      </c>
      <c r="Q1392" s="8" t="s">
        <v>150</v>
      </c>
      <c r="R1392" s="8"/>
      <c r="S1392" s="8" t="s">
        <v>71</v>
      </c>
      <c r="T1392" s="8" t="s">
        <v>67</v>
      </c>
      <c r="U1392" s="8" t="s">
        <v>150</v>
      </c>
      <c r="V1392" s="8" t="s">
        <v>152</v>
      </c>
      <c r="W1392" s="8" t="s">
        <v>67</v>
      </c>
      <c r="X1392" s="8">
        <v>17</v>
      </c>
      <c r="Y1392" s="8" t="s">
        <v>5796</v>
      </c>
      <c r="Z1392" s="8">
        <v>80</v>
      </c>
      <c r="AA1392" s="8">
        <v>0</v>
      </c>
      <c r="AB1392" s="9">
        <v>0</v>
      </c>
    </row>
    <row r="1393" spans="1:28" x14ac:dyDescent="0.2">
      <c r="A1393" s="10">
        <v>115930</v>
      </c>
      <c r="B1393" s="11" t="s">
        <v>9665</v>
      </c>
      <c r="C1393" s="11" t="s">
        <v>9666</v>
      </c>
      <c r="D1393" s="11" t="s">
        <v>9667</v>
      </c>
      <c r="E1393" s="11" t="s">
        <v>9668</v>
      </c>
      <c r="F1393" s="11" t="s">
        <v>4062</v>
      </c>
      <c r="G1393" s="11" t="s">
        <v>4063</v>
      </c>
      <c r="H1393" s="11" t="s">
        <v>301</v>
      </c>
      <c r="I1393" s="11" t="s">
        <v>9669</v>
      </c>
      <c r="J1393" s="11" t="s">
        <v>9670</v>
      </c>
      <c r="K1393" s="11" t="s">
        <v>228</v>
      </c>
      <c r="L1393" s="11" t="s">
        <v>229</v>
      </c>
      <c r="M1393" s="11" t="s">
        <v>9671</v>
      </c>
      <c r="N1393" s="11" t="s">
        <v>128</v>
      </c>
      <c r="O1393" s="11" t="s">
        <v>9672</v>
      </c>
      <c r="P1393" s="11"/>
      <c r="Q1393" s="11" t="s">
        <v>131</v>
      </c>
      <c r="R1393" s="11"/>
      <c r="S1393" s="11" t="s">
        <v>71</v>
      </c>
      <c r="T1393" s="11" t="s">
        <v>983</v>
      </c>
      <c r="U1393" s="11" t="s">
        <v>134</v>
      </c>
      <c r="V1393" s="11" t="s">
        <v>131</v>
      </c>
      <c r="W1393" s="11" t="s">
        <v>983</v>
      </c>
      <c r="X1393" s="11">
        <v>17</v>
      </c>
      <c r="Y1393" s="11" t="s">
        <v>5796</v>
      </c>
      <c r="Z1393" s="11">
        <v>80</v>
      </c>
      <c r="AA1393" s="11">
        <v>0</v>
      </c>
      <c r="AB1393" s="12">
        <v>0</v>
      </c>
    </row>
    <row r="1394" spans="1:28" x14ac:dyDescent="0.2">
      <c r="A1394" s="7">
        <v>21785</v>
      </c>
      <c r="B1394" s="8" t="s">
        <v>9673</v>
      </c>
      <c r="C1394" s="8" t="s">
        <v>9674</v>
      </c>
      <c r="D1394" s="8" t="s">
        <v>9675</v>
      </c>
      <c r="E1394" s="8"/>
      <c r="F1394" s="8" t="s">
        <v>237</v>
      </c>
      <c r="G1394" s="8" t="s">
        <v>141</v>
      </c>
      <c r="H1394" s="8" t="s">
        <v>142</v>
      </c>
      <c r="I1394" s="8" t="s">
        <v>9676</v>
      </c>
      <c r="J1394" s="8" t="s">
        <v>9677</v>
      </c>
      <c r="K1394" s="8" t="s">
        <v>216</v>
      </c>
      <c r="L1394" s="8" t="s">
        <v>146</v>
      </c>
      <c r="M1394" s="8" t="s">
        <v>9678</v>
      </c>
      <c r="N1394" s="8" t="s">
        <v>128</v>
      </c>
      <c r="O1394" s="8" t="s">
        <v>9679</v>
      </c>
      <c r="P1394" s="8"/>
      <c r="Q1394" s="8" t="s">
        <v>131</v>
      </c>
      <c r="R1394" s="8"/>
      <c r="S1394" s="8" t="s">
        <v>9680</v>
      </c>
      <c r="T1394" s="8" t="s">
        <v>983</v>
      </c>
      <c r="U1394" s="8" t="s">
        <v>134</v>
      </c>
      <c r="V1394" s="8" t="s">
        <v>131</v>
      </c>
      <c r="W1394" s="8" t="s">
        <v>983</v>
      </c>
      <c r="X1394" s="8">
        <v>17</v>
      </c>
      <c r="Y1394" s="8" t="s">
        <v>5796</v>
      </c>
      <c r="Z1394" s="8">
        <v>80</v>
      </c>
      <c r="AA1394" s="8">
        <v>0</v>
      </c>
      <c r="AB1394" s="9">
        <v>0</v>
      </c>
    </row>
    <row r="1395" spans="1:28" x14ac:dyDescent="0.2">
      <c r="A1395" s="10">
        <v>183895</v>
      </c>
      <c r="B1395" s="11" t="s">
        <v>9681</v>
      </c>
      <c r="C1395" s="11" t="s">
        <v>9682</v>
      </c>
      <c r="D1395" s="11" t="s">
        <v>9683</v>
      </c>
      <c r="E1395" s="11"/>
      <c r="F1395" s="11" t="s">
        <v>9684</v>
      </c>
      <c r="G1395" s="11" t="s">
        <v>4257</v>
      </c>
      <c r="H1395" s="11" t="s">
        <v>301</v>
      </c>
      <c r="I1395" s="11" t="s">
        <v>9685</v>
      </c>
      <c r="J1395" s="11" t="s">
        <v>9686</v>
      </c>
      <c r="K1395" s="11" t="s">
        <v>228</v>
      </c>
      <c r="L1395" s="11" t="s">
        <v>229</v>
      </c>
      <c r="M1395" s="11" t="s">
        <v>9687</v>
      </c>
      <c r="N1395" s="11" t="s">
        <v>128</v>
      </c>
      <c r="O1395" s="11"/>
      <c r="P1395" s="11"/>
      <c r="Q1395" s="11" t="s">
        <v>131</v>
      </c>
      <c r="R1395" s="11"/>
      <c r="S1395" s="11" t="s">
        <v>9688</v>
      </c>
      <c r="T1395" s="11" t="s">
        <v>983</v>
      </c>
      <c r="U1395" s="11" t="s">
        <v>134</v>
      </c>
      <c r="V1395" s="11" t="s">
        <v>131</v>
      </c>
      <c r="W1395" s="11" t="s">
        <v>983</v>
      </c>
      <c r="X1395" s="11">
        <v>17</v>
      </c>
      <c r="Y1395" s="11" t="s">
        <v>5796</v>
      </c>
      <c r="Z1395" s="11">
        <v>80</v>
      </c>
      <c r="AA1395" s="11">
        <v>0</v>
      </c>
      <c r="AB1395" s="12">
        <v>0</v>
      </c>
    </row>
    <row r="1396" spans="1:28" x14ac:dyDescent="0.2">
      <c r="A1396" s="7">
        <v>117909</v>
      </c>
      <c r="B1396" s="8" t="s">
        <v>9689</v>
      </c>
      <c r="C1396" s="8" t="s">
        <v>9690</v>
      </c>
      <c r="D1396" s="8" t="s">
        <v>9691</v>
      </c>
      <c r="E1396" s="8"/>
      <c r="F1396" s="8" t="s">
        <v>9692</v>
      </c>
      <c r="G1396" s="8" t="s">
        <v>2192</v>
      </c>
      <c r="H1396" s="8" t="s">
        <v>704</v>
      </c>
      <c r="I1396" s="8" t="s">
        <v>9693</v>
      </c>
      <c r="J1396" s="8" t="s">
        <v>9694</v>
      </c>
      <c r="K1396" s="8" t="s">
        <v>707</v>
      </c>
      <c r="L1396" s="8" t="s">
        <v>126</v>
      </c>
      <c r="M1396" s="8" t="s">
        <v>9695</v>
      </c>
      <c r="N1396" s="8" t="s">
        <v>128</v>
      </c>
      <c r="O1396" s="8" t="s">
        <v>9696</v>
      </c>
      <c r="P1396" s="8" t="s">
        <v>9697</v>
      </c>
      <c r="Q1396" s="8" t="s">
        <v>150</v>
      </c>
      <c r="R1396" s="8"/>
      <c r="S1396" s="8" t="s">
        <v>71</v>
      </c>
      <c r="T1396" s="8" t="s">
        <v>2697</v>
      </c>
      <c r="U1396" s="8" t="s">
        <v>150</v>
      </c>
      <c r="V1396" s="8" t="s">
        <v>2697</v>
      </c>
      <c r="W1396" s="8" t="s">
        <v>2697</v>
      </c>
      <c r="X1396" s="8">
        <v>17</v>
      </c>
      <c r="Y1396" s="8" t="s">
        <v>5796</v>
      </c>
      <c r="Z1396" s="8">
        <v>80</v>
      </c>
      <c r="AA1396" s="8">
        <v>0</v>
      </c>
      <c r="AB1396" s="9">
        <v>0</v>
      </c>
    </row>
    <row r="1397" spans="1:28" x14ac:dyDescent="0.2">
      <c r="A1397" s="10">
        <v>23041</v>
      </c>
      <c r="B1397" s="11" t="s">
        <v>9698</v>
      </c>
      <c r="C1397" s="11" t="s">
        <v>5271</v>
      </c>
      <c r="D1397" s="11" t="s">
        <v>5272</v>
      </c>
      <c r="E1397" s="11" t="s">
        <v>9699</v>
      </c>
      <c r="F1397" s="11" t="s">
        <v>9700</v>
      </c>
      <c r="G1397" s="11" t="s">
        <v>2652</v>
      </c>
      <c r="H1397" s="11" t="s">
        <v>1843</v>
      </c>
      <c r="I1397" s="11" t="s">
        <v>9701</v>
      </c>
      <c r="J1397" s="11" t="s">
        <v>5275</v>
      </c>
      <c r="K1397" s="11" t="s">
        <v>1562</v>
      </c>
      <c r="L1397" s="11" t="s">
        <v>229</v>
      </c>
      <c r="M1397" s="11" t="s">
        <v>9702</v>
      </c>
      <c r="N1397" s="11" t="s">
        <v>128</v>
      </c>
      <c r="O1397" s="11" t="s">
        <v>9703</v>
      </c>
      <c r="P1397" s="11" t="s">
        <v>1320</v>
      </c>
      <c r="Q1397" s="11" t="s">
        <v>150</v>
      </c>
      <c r="R1397" s="11"/>
      <c r="S1397" s="11" t="s">
        <v>5279</v>
      </c>
      <c r="T1397" s="11" t="s">
        <v>70</v>
      </c>
      <c r="U1397" s="11" t="s">
        <v>150</v>
      </c>
      <c r="V1397" s="11" t="s">
        <v>70</v>
      </c>
      <c r="W1397" s="11" t="s">
        <v>70</v>
      </c>
      <c r="X1397" s="11">
        <v>17</v>
      </c>
      <c r="Y1397" s="11" t="s">
        <v>5796</v>
      </c>
      <c r="Z1397" s="11">
        <v>80</v>
      </c>
      <c r="AA1397" s="11">
        <v>0</v>
      </c>
      <c r="AB1397" s="12">
        <v>0</v>
      </c>
    </row>
    <row r="1398" spans="1:28" x14ac:dyDescent="0.2">
      <c r="A1398" s="7">
        <v>23243</v>
      </c>
      <c r="B1398" s="8" t="s">
        <v>9704</v>
      </c>
      <c r="C1398" s="8" t="s">
        <v>9705</v>
      </c>
      <c r="D1398" s="8" t="s">
        <v>9706</v>
      </c>
      <c r="E1398" s="8"/>
      <c r="F1398" s="8"/>
      <c r="G1398" s="8" t="s">
        <v>141</v>
      </c>
      <c r="H1398" s="8" t="s">
        <v>142</v>
      </c>
      <c r="I1398" s="8" t="s">
        <v>9707</v>
      </c>
      <c r="J1398" s="8" t="s">
        <v>9708</v>
      </c>
      <c r="K1398" s="8" t="s">
        <v>991</v>
      </c>
      <c r="L1398" s="8" t="s">
        <v>146</v>
      </c>
      <c r="M1398" s="8" t="s">
        <v>9709</v>
      </c>
      <c r="N1398" s="8" t="s">
        <v>128</v>
      </c>
      <c r="O1398" s="8" t="s">
        <v>9710</v>
      </c>
      <c r="P1398" s="8" t="s">
        <v>9711</v>
      </c>
      <c r="Q1398" s="8" t="s">
        <v>150</v>
      </c>
      <c r="R1398" s="8"/>
      <c r="S1398" s="8" t="s">
        <v>71</v>
      </c>
      <c r="T1398" s="8" t="s">
        <v>70</v>
      </c>
      <c r="U1398" s="8" t="s">
        <v>150</v>
      </c>
      <c r="V1398" s="8" t="s">
        <v>70</v>
      </c>
      <c r="W1398" s="8" t="s">
        <v>70</v>
      </c>
      <c r="X1398" s="8">
        <v>17</v>
      </c>
      <c r="Y1398" s="8" t="s">
        <v>5796</v>
      </c>
      <c r="Z1398" s="8">
        <v>80</v>
      </c>
      <c r="AA1398" s="8">
        <v>0</v>
      </c>
      <c r="AB1398" s="9">
        <v>0</v>
      </c>
    </row>
    <row r="1399" spans="1:28" x14ac:dyDescent="0.2">
      <c r="A1399" s="10">
        <v>23430</v>
      </c>
      <c r="B1399" s="11" t="s">
        <v>9712</v>
      </c>
      <c r="C1399" s="11" t="s">
        <v>2347</v>
      </c>
      <c r="D1399" s="11" t="s">
        <v>1569</v>
      </c>
      <c r="E1399" s="11"/>
      <c r="F1399" s="11" t="s">
        <v>353</v>
      </c>
      <c r="G1399" s="11" t="s">
        <v>1784</v>
      </c>
      <c r="H1399" s="11" t="s">
        <v>329</v>
      </c>
      <c r="I1399" s="11" t="s">
        <v>9713</v>
      </c>
      <c r="J1399" s="11" t="s">
        <v>9714</v>
      </c>
      <c r="K1399" s="11" t="s">
        <v>431</v>
      </c>
      <c r="L1399" s="11" t="s">
        <v>333</v>
      </c>
      <c r="M1399" s="11" t="s">
        <v>9715</v>
      </c>
      <c r="N1399" s="11" t="s">
        <v>128</v>
      </c>
      <c r="O1399" s="11" t="s">
        <v>9716</v>
      </c>
      <c r="P1399" s="11" t="s">
        <v>9717</v>
      </c>
      <c r="Q1399" s="11" t="s">
        <v>150</v>
      </c>
      <c r="R1399" s="11"/>
      <c r="S1399" s="11" t="s">
        <v>71</v>
      </c>
      <c r="T1399" s="11" t="s">
        <v>1415</v>
      </c>
      <c r="U1399" s="11" t="s">
        <v>150</v>
      </c>
      <c r="V1399" s="11" t="s">
        <v>1415</v>
      </c>
      <c r="W1399" s="11" t="s">
        <v>1415</v>
      </c>
      <c r="X1399" s="11">
        <v>17</v>
      </c>
      <c r="Y1399" s="11" t="s">
        <v>5796</v>
      </c>
      <c r="Z1399" s="11">
        <v>80</v>
      </c>
      <c r="AA1399" s="11">
        <v>0</v>
      </c>
      <c r="AB1399" s="12">
        <v>0</v>
      </c>
    </row>
    <row r="1400" spans="1:28" x14ac:dyDescent="0.2">
      <c r="A1400" s="7">
        <v>23785</v>
      </c>
      <c r="B1400" s="8" t="s">
        <v>9718</v>
      </c>
      <c r="C1400" s="8" t="s">
        <v>9719</v>
      </c>
      <c r="D1400" s="8" t="s">
        <v>1054</v>
      </c>
      <c r="E1400" s="8" t="s">
        <v>9720</v>
      </c>
      <c r="F1400" s="8" t="s">
        <v>9507</v>
      </c>
      <c r="G1400" s="8" t="s">
        <v>224</v>
      </c>
      <c r="H1400" s="8" t="s">
        <v>225</v>
      </c>
      <c r="I1400" s="8" t="s">
        <v>9721</v>
      </c>
      <c r="J1400" s="8" t="s">
        <v>9722</v>
      </c>
      <c r="K1400" s="8" t="s">
        <v>228</v>
      </c>
      <c r="L1400" s="8" t="s">
        <v>229</v>
      </c>
      <c r="M1400" s="8" t="s">
        <v>9723</v>
      </c>
      <c r="N1400" s="8" t="s">
        <v>128</v>
      </c>
      <c r="O1400" s="8" t="s">
        <v>9724</v>
      </c>
      <c r="P1400" s="8" t="s">
        <v>5757</v>
      </c>
      <c r="Q1400" s="8" t="s">
        <v>150</v>
      </c>
      <c r="R1400" s="8"/>
      <c r="S1400" s="8" t="s">
        <v>71</v>
      </c>
      <c r="T1400" s="8" t="s">
        <v>168</v>
      </c>
      <c r="U1400" s="8" t="s">
        <v>150</v>
      </c>
      <c r="V1400" s="8" t="s">
        <v>168</v>
      </c>
      <c r="W1400" s="8" t="s">
        <v>168</v>
      </c>
      <c r="X1400" s="8">
        <v>17</v>
      </c>
      <c r="Y1400" s="8" t="s">
        <v>5796</v>
      </c>
      <c r="Z1400" s="8">
        <v>80</v>
      </c>
      <c r="AA1400" s="8">
        <v>0</v>
      </c>
      <c r="AB1400" s="9">
        <v>0</v>
      </c>
    </row>
    <row r="1401" spans="1:28" x14ac:dyDescent="0.2">
      <c r="A1401" s="10">
        <v>23713</v>
      </c>
      <c r="B1401" s="11" t="s">
        <v>9725</v>
      </c>
      <c r="C1401" s="11" t="s">
        <v>9726</v>
      </c>
      <c r="D1401" s="11" t="s">
        <v>9727</v>
      </c>
      <c r="E1401" s="11"/>
      <c r="F1401" s="11" t="s">
        <v>9728</v>
      </c>
      <c r="G1401" s="11" t="s">
        <v>141</v>
      </c>
      <c r="H1401" s="11" t="s">
        <v>142</v>
      </c>
      <c r="I1401" s="11" t="s">
        <v>9729</v>
      </c>
      <c r="J1401" s="11" t="s">
        <v>9730</v>
      </c>
      <c r="K1401" s="11" t="s">
        <v>145</v>
      </c>
      <c r="L1401" s="11" t="s">
        <v>146</v>
      </c>
      <c r="M1401" s="11" t="s">
        <v>9731</v>
      </c>
      <c r="N1401" s="11" t="s">
        <v>128</v>
      </c>
      <c r="O1401" s="11" t="s">
        <v>9732</v>
      </c>
      <c r="P1401" s="11" t="s">
        <v>1305</v>
      </c>
      <c r="Q1401" s="11" t="s">
        <v>150</v>
      </c>
      <c r="R1401" s="11"/>
      <c r="S1401" s="11" t="s">
        <v>71</v>
      </c>
      <c r="T1401" s="11" t="s">
        <v>168</v>
      </c>
      <c r="U1401" s="11" t="s">
        <v>150</v>
      </c>
      <c r="V1401" s="11" t="s">
        <v>168</v>
      </c>
      <c r="W1401" s="11" t="s">
        <v>168</v>
      </c>
      <c r="X1401" s="11">
        <v>17</v>
      </c>
      <c r="Y1401" s="11" t="s">
        <v>5796</v>
      </c>
      <c r="Z1401" s="11">
        <v>80</v>
      </c>
      <c r="AA1401" s="11">
        <v>0</v>
      </c>
      <c r="AB1401" s="12">
        <v>0</v>
      </c>
    </row>
    <row r="1402" spans="1:28" x14ac:dyDescent="0.2">
      <c r="A1402" s="7">
        <v>23758</v>
      </c>
      <c r="B1402" s="8" t="s">
        <v>9733</v>
      </c>
      <c r="C1402" s="8" t="s">
        <v>9734</v>
      </c>
      <c r="D1402" s="8" t="s">
        <v>9735</v>
      </c>
      <c r="E1402" s="8"/>
      <c r="F1402" s="8" t="s">
        <v>9161</v>
      </c>
      <c r="G1402" s="8" t="s">
        <v>141</v>
      </c>
      <c r="H1402" s="8" t="s">
        <v>142</v>
      </c>
      <c r="I1402" s="8" t="s">
        <v>9736</v>
      </c>
      <c r="J1402" s="8" t="s">
        <v>9737</v>
      </c>
      <c r="K1402" s="8" t="s">
        <v>403</v>
      </c>
      <c r="L1402" s="8" t="s">
        <v>146</v>
      </c>
      <c r="M1402" s="8" t="s">
        <v>9738</v>
      </c>
      <c r="N1402" s="8" t="s">
        <v>128</v>
      </c>
      <c r="O1402" s="8" t="s">
        <v>9739</v>
      </c>
      <c r="P1402" s="8" t="s">
        <v>9740</v>
      </c>
      <c r="Q1402" s="8" t="s">
        <v>150</v>
      </c>
      <c r="R1402" s="8"/>
      <c r="S1402" s="8" t="s">
        <v>71</v>
      </c>
      <c r="T1402" s="8" t="s">
        <v>168</v>
      </c>
      <c r="U1402" s="8" t="s">
        <v>150</v>
      </c>
      <c r="V1402" s="8" t="s">
        <v>168</v>
      </c>
      <c r="W1402" s="8" t="s">
        <v>168</v>
      </c>
      <c r="X1402" s="8">
        <v>17</v>
      </c>
      <c r="Y1402" s="8" t="s">
        <v>5796</v>
      </c>
      <c r="Z1402" s="8">
        <v>80</v>
      </c>
      <c r="AA1402" s="8">
        <v>0</v>
      </c>
      <c r="AB1402" s="9">
        <v>0</v>
      </c>
    </row>
    <row r="1403" spans="1:28" x14ac:dyDescent="0.2">
      <c r="A1403" s="10">
        <v>116128</v>
      </c>
      <c r="B1403" s="11" t="s">
        <v>9741</v>
      </c>
      <c r="C1403" s="11" t="s">
        <v>9742</v>
      </c>
      <c r="D1403" s="11" t="s">
        <v>9743</v>
      </c>
      <c r="E1403" s="11"/>
      <c r="F1403" s="11" t="s">
        <v>353</v>
      </c>
      <c r="G1403" s="11" t="s">
        <v>412</v>
      </c>
      <c r="H1403" s="11" t="s">
        <v>329</v>
      </c>
      <c r="I1403" s="11" t="s">
        <v>9744</v>
      </c>
      <c r="J1403" s="11" t="s">
        <v>9745</v>
      </c>
      <c r="K1403" s="11" t="s">
        <v>415</v>
      </c>
      <c r="L1403" s="11" t="s">
        <v>333</v>
      </c>
      <c r="M1403" s="11" t="s">
        <v>9746</v>
      </c>
      <c r="N1403" s="11" t="s">
        <v>128</v>
      </c>
      <c r="O1403" s="11" t="s">
        <v>9747</v>
      </c>
      <c r="P1403" s="11" t="s">
        <v>9748</v>
      </c>
      <c r="Q1403" s="11" t="s">
        <v>150</v>
      </c>
      <c r="R1403" s="11"/>
      <c r="S1403" s="11" t="s">
        <v>71</v>
      </c>
      <c r="T1403" s="11" t="s">
        <v>69</v>
      </c>
      <c r="U1403" s="11" t="s">
        <v>150</v>
      </c>
      <c r="V1403" s="11" t="s">
        <v>152</v>
      </c>
      <c r="W1403" s="11" t="s">
        <v>69</v>
      </c>
      <c r="X1403" s="11">
        <v>17</v>
      </c>
      <c r="Y1403" s="11" t="s">
        <v>5796</v>
      </c>
      <c r="Z1403" s="11">
        <v>80</v>
      </c>
      <c r="AA1403" s="11">
        <v>0</v>
      </c>
      <c r="AB1403" s="12">
        <v>0</v>
      </c>
    </row>
    <row r="1404" spans="1:28" x14ac:dyDescent="0.2">
      <c r="A1404" s="7">
        <v>24767</v>
      </c>
      <c r="B1404" s="8" t="s">
        <v>9749</v>
      </c>
      <c r="C1404" s="8" t="s">
        <v>9750</v>
      </c>
      <c r="D1404" s="8" t="s">
        <v>3747</v>
      </c>
      <c r="E1404" s="8"/>
      <c r="F1404" s="8" t="s">
        <v>9751</v>
      </c>
      <c r="G1404" s="8" t="s">
        <v>556</v>
      </c>
      <c r="H1404" s="8" t="s">
        <v>557</v>
      </c>
      <c r="I1404" s="8" t="s">
        <v>9752</v>
      </c>
      <c r="J1404" s="8" t="s">
        <v>9753</v>
      </c>
      <c r="K1404" s="8" t="s">
        <v>560</v>
      </c>
      <c r="L1404" s="8" t="s">
        <v>229</v>
      </c>
      <c r="M1404" s="8" t="s">
        <v>9754</v>
      </c>
      <c r="N1404" s="8" t="s">
        <v>128</v>
      </c>
      <c r="O1404" s="8" t="s">
        <v>9755</v>
      </c>
      <c r="P1404" s="8" t="s">
        <v>8292</v>
      </c>
      <c r="Q1404" s="8" t="s">
        <v>150</v>
      </c>
      <c r="R1404" s="8"/>
      <c r="S1404" s="8" t="s">
        <v>71</v>
      </c>
      <c r="T1404" s="8" t="s">
        <v>69</v>
      </c>
      <c r="U1404" s="8" t="s">
        <v>150</v>
      </c>
      <c r="V1404" s="8" t="s">
        <v>152</v>
      </c>
      <c r="W1404" s="8" t="s">
        <v>69</v>
      </c>
      <c r="X1404" s="8">
        <v>17</v>
      </c>
      <c r="Y1404" s="8" t="s">
        <v>5796</v>
      </c>
      <c r="Z1404" s="8">
        <v>80</v>
      </c>
      <c r="AA1404" s="8">
        <v>0</v>
      </c>
      <c r="AB1404" s="9">
        <v>0</v>
      </c>
    </row>
    <row r="1405" spans="1:28" x14ac:dyDescent="0.2">
      <c r="A1405" s="10">
        <v>25066</v>
      </c>
      <c r="B1405" s="11" t="s">
        <v>9756</v>
      </c>
      <c r="C1405" s="11" t="s">
        <v>3335</v>
      </c>
      <c r="D1405" s="11" t="s">
        <v>1215</v>
      </c>
      <c r="E1405" s="11" t="s">
        <v>9757</v>
      </c>
      <c r="F1405" s="11" t="s">
        <v>3337</v>
      </c>
      <c r="G1405" s="11" t="s">
        <v>328</v>
      </c>
      <c r="H1405" s="11" t="s">
        <v>329</v>
      </c>
      <c r="I1405" s="11" t="s">
        <v>9758</v>
      </c>
      <c r="J1405" s="11" t="s">
        <v>7199</v>
      </c>
      <c r="K1405" s="11" t="s">
        <v>332</v>
      </c>
      <c r="L1405" s="11" t="s">
        <v>333</v>
      </c>
      <c r="M1405" s="11" t="s">
        <v>9759</v>
      </c>
      <c r="N1405" s="11" t="s">
        <v>128</v>
      </c>
      <c r="O1405" s="11" t="s">
        <v>9760</v>
      </c>
      <c r="P1405" s="11"/>
      <c r="Q1405" s="11" t="s">
        <v>740</v>
      </c>
      <c r="R1405" s="11"/>
      <c r="S1405" s="11" t="s">
        <v>7203</v>
      </c>
      <c r="T1405" s="11" t="s">
        <v>1745</v>
      </c>
      <c r="U1405" s="11" t="s">
        <v>134</v>
      </c>
      <c r="V1405" s="11" t="s">
        <v>740</v>
      </c>
      <c r="W1405" s="11" t="s">
        <v>1745</v>
      </c>
      <c r="X1405" s="11">
        <v>17</v>
      </c>
      <c r="Y1405" s="11" t="s">
        <v>5796</v>
      </c>
      <c r="Z1405" s="11">
        <v>80</v>
      </c>
      <c r="AA1405" s="11">
        <v>0</v>
      </c>
      <c r="AB1405" s="12">
        <v>0</v>
      </c>
    </row>
    <row r="1406" spans="1:28" x14ac:dyDescent="0.2">
      <c r="A1406" s="7">
        <v>25294</v>
      </c>
      <c r="B1406" s="8" t="s">
        <v>9761</v>
      </c>
      <c r="C1406" s="8" t="s">
        <v>8753</v>
      </c>
      <c r="D1406" s="8" t="s">
        <v>138</v>
      </c>
      <c r="E1406" s="8" t="s">
        <v>9762</v>
      </c>
      <c r="F1406" s="8" t="s">
        <v>353</v>
      </c>
      <c r="G1406" s="8" t="s">
        <v>3929</v>
      </c>
      <c r="H1406" s="8" t="s">
        <v>704</v>
      </c>
      <c r="I1406" s="8" t="s">
        <v>8755</v>
      </c>
      <c r="J1406" s="8" t="s">
        <v>8756</v>
      </c>
      <c r="K1406" s="8" t="s">
        <v>850</v>
      </c>
      <c r="L1406" s="8" t="s">
        <v>126</v>
      </c>
      <c r="M1406" s="8" t="s">
        <v>9763</v>
      </c>
      <c r="N1406" s="8" t="s">
        <v>128</v>
      </c>
      <c r="O1406" s="8" t="s">
        <v>9764</v>
      </c>
      <c r="P1406" s="8" t="s">
        <v>9765</v>
      </c>
      <c r="Q1406" s="8" t="s">
        <v>740</v>
      </c>
      <c r="R1406" s="8"/>
      <c r="S1406" s="8" t="s">
        <v>8760</v>
      </c>
      <c r="T1406" s="8" t="s">
        <v>741</v>
      </c>
      <c r="U1406" s="8" t="s">
        <v>134</v>
      </c>
      <c r="V1406" s="8" t="s">
        <v>740</v>
      </c>
      <c r="W1406" s="8" t="s">
        <v>741</v>
      </c>
      <c r="X1406" s="8">
        <v>17</v>
      </c>
      <c r="Y1406" s="8" t="s">
        <v>5796</v>
      </c>
      <c r="Z1406" s="8">
        <v>80</v>
      </c>
      <c r="AA1406" s="8">
        <v>0</v>
      </c>
      <c r="AB1406" s="9">
        <v>0</v>
      </c>
    </row>
    <row r="1407" spans="1:28" x14ac:dyDescent="0.2">
      <c r="A1407" s="10">
        <v>25426</v>
      </c>
      <c r="B1407" s="11" t="s">
        <v>9766</v>
      </c>
      <c r="C1407" s="11" t="s">
        <v>9767</v>
      </c>
      <c r="D1407" s="11" t="s">
        <v>9768</v>
      </c>
      <c r="E1407" s="11" t="s">
        <v>9769</v>
      </c>
      <c r="F1407" s="11" t="s">
        <v>353</v>
      </c>
      <c r="G1407" s="11" t="s">
        <v>5116</v>
      </c>
      <c r="H1407" s="11" t="s">
        <v>122</v>
      </c>
      <c r="I1407" s="11" t="s">
        <v>9770</v>
      </c>
      <c r="J1407" s="11" t="s">
        <v>9771</v>
      </c>
      <c r="K1407" s="11" t="s">
        <v>125</v>
      </c>
      <c r="L1407" s="11" t="s">
        <v>126</v>
      </c>
      <c r="M1407" s="11" t="s">
        <v>9772</v>
      </c>
      <c r="N1407" s="11" t="s">
        <v>128</v>
      </c>
      <c r="O1407" s="11" t="s">
        <v>9773</v>
      </c>
      <c r="P1407" s="11"/>
      <c r="Q1407" s="11" t="s">
        <v>249</v>
      </c>
      <c r="R1407" s="11"/>
      <c r="S1407" s="11" t="s">
        <v>9774</v>
      </c>
      <c r="T1407" s="11" t="s">
        <v>1523</v>
      </c>
      <c r="U1407" s="11" t="s">
        <v>134</v>
      </c>
      <c r="V1407" s="11" t="s">
        <v>249</v>
      </c>
      <c r="W1407" s="11" t="s">
        <v>1523</v>
      </c>
      <c r="X1407" s="11">
        <v>17</v>
      </c>
      <c r="Y1407" s="11" t="s">
        <v>5796</v>
      </c>
      <c r="Z1407" s="11">
        <v>80</v>
      </c>
      <c r="AA1407" s="11">
        <v>0</v>
      </c>
      <c r="AB1407" s="12">
        <v>0</v>
      </c>
    </row>
    <row r="1408" spans="1:28" x14ac:dyDescent="0.2">
      <c r="A1408" s="7">
        <v>20847</v>
      </c>
      <c r="B1408" s="8" t="s">
        <v>9775</v>
      </c>
      <c r="C1408" s="8" t="s">
        <v>9776</v>
      </c>
      <c r="D1408" s="8" t="s">
        <v>7907</v>
      </c>
      <c r="E1408" s="8" t="s">
        <v>281</v>
      </c>
      <c r="F1408" s="8" t="s">
        <v>353</v>
      </c>
      <c r="G1408" s="8" t="s">
        <v>4831</v>
      </c>
      <c r="H1408" s="8" t="s">
        <v>122</v>
      </c>
      <c r="I1408" s="8" t="s">
        <v>9777</v>
      </c>
      <c r="J1408" s="8" t="s">
        <v>9778</v>
      </c>
      <c r="K1408" s="8" t="s">
        <v>1051</v>
      </c>
      <c r="L1408" s="8" t="s">
        <v>126</v>
      </c>
      <c r="M1408" s="8" t="s">
        <v>9779</v>
      </c>
      <c r="N1408" s="8" t="s">
        <v>128</v>
      </c>
      <c r="O1408" s="8" t="s">
        <v>9780</v>
      </c>
      <c r="P1408" s="8" t="s">
        <v>9781</v>
      </c>
      <c r="Q1408" s="8" t="s">
        <v>150</v>
      </c>
      <c r="R1408" s="8"/>
      <c r="S1408" s="8" t="s">
        <v>71</v>
      </c>
      <c r="T1408" s="8" t="s">
        <v>289</v>
      </c>
      <c r="U1408" s="8" t="s">
        <v>150</v>
      </c>
      <c r="V1408" s="8" t="s">
        <v>289</v>
      </c>
      <c r="W1408" s="8" t="s">
        <v>289</v>
      </c>
      <c r="X1408" s="8">
        <v>16</v>
      </c>
      <c r="Y1408" s="8" t="s">
        <v>5796</v>
      </c>
      <c r="Z1408" s="8">
        <v>80</v>
      </c>
      <c r="AA1408" s="8">
        <v>0</v>
      </c>
      <c r="AB1408" s="9">
        <v>0</v>
      </c>
    </row>
    <row r="1409" spans="1:28" x14ac:dyDescent="0.2">
      <c r="A1409" s="10">
        <v>26118</v>
      </c>
      <c r="B1409" s="11" t="s">
        <v>9782</v>
      </c>
      <c r="C1409" s="11" t="s">
        <v>9783</v>
      </c>
      <c r="D1409" s="11" t="s">
        <v>9784</v>
      </c>
      <c r="E1409" s="11"/>
      <c r="F1409" s="11" t="s">
        <v>1344</v>
      </c>
      <c r="G1409" s="11" t="s">
        <v>141</v>
      </c>
      <c r="H1409" s="11" t="s">
        <v>142</v>
      </c>
      <c r="I1409" s="11" t="s">
        <v>9785</v>
      </c>
      <c r="J1409" s="11" t="s">
        <v>9786</v>
      </c>
      <c r="K1409" s="11" t="s">
        <v>651</v>
      </c>
      <c r="L1409" s="11" t="s">
        <v>146</v>
      </c>
      <c r="M1409" s="11" t="s">
        <v>9787</v>
      </c>
      <c r="N1409" s="11" t="s">
        <v>128</v>
      </c>
      <c r="O1409" s="11" t="s">
        <v>9788</v>
      </c>
      <c r="P1409" s="11" t="s">
        <v>9789</v>
      </c>
      <c r="Q1409" s="11" t="s">
        <v>150</v>
      </c>
      <c r="R1409" s="11"/>
      <c r="S1409" s="11" t="s">
        <v>71</v>
      </c>
      <c r="T1409" s="11" t="s">
        <v>289</v>
      </c>
      <c r="U1409" s="11" t="s">
        <v>150</v>
      </c>
      <c r="V1409" s="11" t="s">
        <v>289</v>
      </c>
      <c r="W1409" s="11" t="s">
        <v>289</v>
      </c>
      <c r="X1409" s="11">
        <v>16</v>
      </c>
      <c r="Y1409" s="11" t="s">
        <v>5796</v>
      </c>
      <c r="Z1409" s="11">
        <v>80</v>
      </c>
      <c r="AA1409" s="11">
        <v>0</v>
      </c>
      <c r="AB1409" s="12">
        <v>0</v>
      </c>
    </row>
    <row r="1410" spans="1:28" x14ac:dyDescent="0.2">
      <c r="A1410" s="7">
        <v>21559</v>
      </c>
      <c r="B1410" s="8" t="s">
        <v>9790</v>
      </c>
      <c r="C1410" s="8" t="s">
        <v>9791</v>
      </c>
      <c r="D1410" s="8" t="s">
        <v>9792</v>
      </c>
      <c r="E1410" s="8" t="s">
        <v>255</v>
      </c>
      <c r="F1410" s="8" t="s">
        <v>353</v>
      </c>
      <c r="G1410" s="8" t="s">
        <v>2510</v>
      </c>
      <c r="H1410" s="8" t="s">
        <v>2511</v>
      </c>
      <c r="I1410" s="8" t="s">
        <v>9793</v>
      </c>
      <c r="J1410" s="8" t="s">
        <v>9794</v>
      </c>
      <c r="K1410" s="8" t="s">
        <v>1562</v>
      </c>
      <c r="L1410" s="8" t="s">
        <v>229</v>
      </c>
      <c r="M1410" s="8" t="s">
        <v>9795</v>
      </c>
      <c r="N1410" s="8" t="s">
        <v>128</v>
      </c>
      <c r="O1410" s="8" t="s">
        <v>9796</v>
      </c>
      <c r="P1410" s="8" t="s">
        <v>9797</v>
      </c>
      <c r="Q1410" s="8" t="s">
        <v>150</v>
      </c>
      <c r="R1410" s="8"/>
      <c r="S1410" s="8" t="s">
        <v>71</v>
      </c>
      <c r="T1410" s="8" t="s">
        <v>67</v>
      </c>
      <c r="U1410" s="8" t="s">
        <v>150</v>
      </c>
      <c r="V1410" s="8" t="s">
        <v>152</v>
      </c>
      <c r="W1410" s="8" t="s">
        <v>67</v>
      </c>
      <c r="X1410" s="8">
        <v>16</v>
      </c>
      <c r="Y1410" s="8" t="s">
        <v>5796</v>
      </c>
      <c r="Z1410" s="8">
        <v>80</v>
      </c>
      <c r="AA1410" s="8">
        <v>0</v>
      </c>
      <c r="AB1410" s="9">
        <v>0</v>
      </c>
    </row>
    <row r="1411" spans="1:28" x14ac:dyDescent="0.2">
      <c r="A1411" s="10">
        <v>26366</v>
      </c>
      <c r="B1411" s="11" t="s">
        <v>9798</v>
      </c>
      <c r="C1411" s="11" t="s">
        <v>9799</v>
      </c>
      <c r="D1411" s="11" t="s">
        <v>9800</v>
      </c>
      <c r="E1411" s="11"/>
      <c r="F1411" s="11" t="s">
        <v>9353</v>
      </c>
      <c r="G1411" s="11" t="s">
        <v>400</v>
      </c>
      <c r="H1411" s="11" t="s">
        <v>142</v>
      </c>
      <c r="I1411" s="11" t="s">
        <v>9619</v>
      </c>
      <c r="J1411" s="11" t="s">
        <v>9801</v>
      </c>
      <c r="K1411" s="11" t="s">
        <v>403</v>
      </c>
      <c r="L1411" s="11" t="s">
        <v>146</v>
      </c>
      <c r="M1411" s="11" t="s">
        <v>9802</v>
      </c>
      <c r="N1411" s="11" t="s">
        <v>128</v>
      </c>
      <c r="O1411" s="11" t="s">
        <v>9803</v>
      </c>
      <c r="P1411" s="11" t="s">
        <v>9071</v>
      </c>
      <c r="Q1411" s="11" t="s">
        <v>150</v>
      </c>
      <c r="R1411" s="11"/>
      <c r="S1411" s="11" t="s">
        <v>71</v>
      </c>
      <c r="T1411" s="11" t="s">
        <v>67</v>
      </c>
      <c r="U1411" s="11" t="s">
        <v>150</v>
      </c>
      <c r="V1411" s="11" t="s">
        <v>152</v>
      </c>
      <c r="W1411" s="11" t="s">
        <v>67</v>
      </c>
      <c r="X1411" s="11">
        <v>16</v>
      </c>
      <c r="Y1411" s="11" t="s">
        <v>5796</v>
      </c>
      <c r="Z1411" s="11">
        <v>80</v>
      </c>
      <c r="AA1411" s="11">
        <v>0</v>
      </c>
      <c r="AB1411" s="12">
        <v>0</v>
      </c>
    </row>
    <row r="1412" spans="1:28" x14ac:dyDescent="0.2">
      <c r="A1412" s="7">
        <v>86730</v>
      </c>
      <c r="B1412" s="8" t="s">
        <v>9804</v>
      </c>
      <c r="C1412" s="8" t="s">
        <v>9805</v>
      </c>
      <c r="D1412" s="8" t="s">
        <v>9806</v>
      </c>
      <c r="E1412" s="8"/>
      <c r="F1412" s="8" t="s">
        <v>9807</v>
      </c>
      <c r="G1412" s="8" t="s">
        <v>1852</v>
      </c>
      <c r="H1412" s="8" t="s">
        <v>671</v>
      </c>
      <c r="I1412" s="8" t="s">
        <v>9808</v>
      </c>
      <c r="J1412" s="8" t="s">
        <v>9809</v>
      </c>
      <c r="K1412" s="8" t="s">
        <v>572</v>
      </c>
      <c r="L1412" s="8" t="s">
        <v>333</v>
      </c>
      <c r="M1412" s="8" t="s">
        <v>9810</v>
      </c>
      <c r="N1412" s="8" t="s">
        <v>128</v>
      </c>
      <c r="O1412" s="8" t="s">
        <v>9811</v>
      </c>
      <c r="P1412" s="8" t="s">
        <v>9812</v>
      </c>
      <c r="Q1412" s="8" t="s">
        <v>150</v>
      </c>
      <c r="R1412" s="8"/>
      <c r="S1412" s="8" t="s">
        <v>71</v>
      </c>
      <c r="T1412" s="8" t="s">
        <v>67</v>
      </c>
      <c r="U1412" s="8" t="s">
        <v>150</v>
      </c>
      <c r="V1412" s="8" t="s">
        <v>152</v>
      </c>
      <c r="W1412" s="8" t="s">
        <v>67</v>
      </c>
      <c r="X1412" s="8">
        <v>16</v>
      </c>
      <c r="Y1412" s="8" t="s">
        <v>5796</v>
      </c>
      <c r="Z1412" s="8">
        <v>80</v>
      </c>
      <c r="AA1412" s="8">
        <v>0</v>
      </c>
      <c r="AB1412" s="9">
        <v>0</v>
      </c>
    </row>
    <row r="1413" spans="1:28" x14ac:dyDescent="0.2">
      <c r="A1413" s="10">
        <v>21385</v>
      </c>
      <c r="B1413" s="11" t="s">
        <v>9813</v>
      </c>
      <c r="C1413" s="11" t="s">
        <v>9814</v>
      </c>
      <c r="D1413" s="11" t="s">
        <v>9815</v>
      </c>
      <c r="E1413" s="11"/>
      <c r="F1413" s="11" t="s">
        <v>9816</v>
      </c>
      <c r="G1413" s="11" t="s">
        <v>190</v>
      </c>
      <c r="H1413" s="11" t="s">
        <v>191</v>
      </c>
      <c r="I1413" s="11" t="s">
        <v>9817</v>
      </c>
      <c r="J1413" s="11" t="s">
        <v>9818</v>
      </c>
      <c r="K1413" s="11" t="s">
        <v>194</v>
      </c>
      <c r="L1413" s="11" t="s">
        <v>163</v>
      </c>
      <c r="M1413" s="11" t="s">
        <v>9819</v>
      </c>
      <c r="N1413" s="11" t="s">
        <v>128</v>
      </c>
      <c r="O1413" s="11" t="s">
        <v>9820</v>
      </c>
      <c r="P1413" s="11" t="s">
        <v>9821</v>
      </c>
      <c r="Q1413" s="11" t="s">
        <v>150</v>
      </c>
      <c r="R1413" s="11"/>
      <c r="S1413" s="11" t="s">
        <v>9822</v>
      </c>
      <c r="T1413" s="11" t="s">
        <v>67</v>
      </c>
      <c r="U1413" s="11" t="s">
        <v>150</v>
      </c>
      <c r="V1413" s="11" t="s">
        <v>152</v>
      </c>
      <c r="W1413" s="11" t="s">
        <v>67</v>
      </c>
      <c r="X1413" s="11">
        <v>16</v>
      </c>
      <c r="Y1413" s="11" t="s">
        <v>5796</v>
      </c>
      <c r="Z1413" s="11">
        <v>80</v>
      </c>
      <c r="AA1413" s="11">
        <v>0</v>
      </c>
      <c r="AB1413" s="12">
        <v>0</v>
      </c>
    </row>
    <row r="1414" spans="1:28" x14ac:dyDescent="0.2">
      <c r="A1414" s="7">
        <v>26293</v>
      </c>
      <c r="B1414" s="8" t="s">
        <v>9823</v>
      </c>
      <c r="C1414" s="8" t="s">
        <v>9824</v>
      </c>
      <c r="D1414" s="8" t="s">
        <v>9825</v>
      </c>
      <c r="E1414" s="8"/>
      <c r="F1414" s="8" t="s">
        <v>9826</v>
      </c>
      <c r="G1414" s="8" t="s">
        <v>1852</v>
      </c>
      <c r="H1414" s="8" t="s">
        <v>671</v>
      </c>
      <c r="I1414" s="8" t="s">
        <v>9827</v>
      </c>
      <c r="J1414" s="8" t="s">
        <v>9828</v>
      </c>
      <c r="K1414" s="8" t="s">
        <v>572</v>
      </c>
      <c r="L1414" s="8" t="s">
        <v>333</v>
      </c>
      <c r="M1414" s="8" t="s">
        <v>9829</v>
      </c>
      <c r="N1414" s="8" t="s">
        <v>128</v>
      </c>
      <c r="O1414" s="8" t="s">
        <v>9830</v>
      </c>
      <c r="P1414" s="8" t="s">
        <v>9831</v>
      </c>
      <c r="Q1414" s="8" t="s">
        <v>150</v>
      </c>
      <c r="R1414" s="8"/>
      <c r="S1414" s="8" t="s">
        <v>9832</v>
      </c>
      <c r="T1414" s="8" t="s">
        <v>67</v>
      </c>
      <c r="U1414" s="8" t="s">
        <v>150</v>
      </c>
      <c r="V1414" s="8" t="s">
        <v>152</v>
      </c>
      <c r="W1414" s="8" t="s">
        <v>67</v>
      </c>
      <c r="X1414" s="8">
        <v>16</v>
      </c>
      <c r="Y1414" s="8" t="s">
        <v>5796</v>
      </c>
      <c r="Z1414" s="8">
        <v>80</v>
      </c>
      <c r="AA1414" s="8">
        <v>0</v>
      </c>
      <c r="AB1414" s="9">
        <v>0</v>
      </c>
    </row>
    <row r="1415" spans="1:28" x14ac:dyDescent="0.2">
      <c r="A1415" s="10">
        <v>126073</v>
      </c>
      <c r="B1415" s="11" t="s">
        <v>9833</v>
      </c>
      <c r="C1415" s="11" t="s">
        <v>9834</v>
      </c>
      <c r="D1415" s="11" t="s">
        <v>2091</v>
      </c>
      <c r="E1415" s="11" t="s">
        <v>9835</v>
      </c>
      <c r="F1415" s="11" t="s">
        <v>9836</v>
      </c>
      <c r="G1415" s="11" t="s">
        <v>6409</v>
      </c>
      <c r="H1415" s="11" t="s">
        <v>6410</v>
      </c>
      <c r="I1415" s="11" t="s">
        <v>9837</v>
      </c>
      <c r="J1415" s="11" t="s">
        <v>9838</v>
      </c>
      <c r="K1415" s="11" t="s">
        <v>1956</v>
      </c>
      <c r="L1415" s="11" t="s">
        <v>526</v>
      </c>
      <c r="M1415" s="11" t="s">
        <v>9839</v>
      </c>
      <c r="N1415" s="11" t="s">
        <v>128</v>
      </c>
      <c r="O1415" s="11" t="s">
        <v>9840</v>
      </c>
      <c r="P1415" s="11" t="s">
        <v>9841</v>
      </c>
      <c r="Q1415" s="11" t="s">
        <v>150</v>
      </c>
      <c r="R1415" s="11"/>
      <c r="S1415" s="11" t="s">
        <v>71</v>
      </c>
      <c r="T1415" s="11" t="s">
        <v>70</v>
      </c>
      <c r="U1415" s="11" t="s">
        <v>150</v>
      </c>
      <c r="V1415" s="11" t="s">
        <v>70</v>
      </c>
      <c r="W1415" s="11" t="s">
        <v>70</v>
      </c>
      <c r="X1415" s="11">
        <v>16</v>
      </c>
      <c r="Y1415" s="11" t="s">
        <v>5796</v>
      </c>
      <c r="Z1415" s="11">
        <v>80</v>
      </c>
      <c r="AA1415" s="11">
        <v>0</v>
      </c>
      <c r="AB1415" s="12">
        <v>0</v>
      </c>
    </row>
    <row r="1416" spans="1:28" x14ac:dyDescent="0.2">
      <c r="A1416" s="7">
        <v>23286</v>
      </c>
      <c r="B1416" s="8" t="s">
        <v>9842</v>
      </c>
      <c r="C1416" s="8" t="s">
        <v>2172</v>
      </c>
      <c r="D1416" s="8" t="s">
        <v>9843</v>
      </c>
      <c r="E1416" s="8"/>
      <c r="F1416" s="8" t="s">
        <v>353</v>
      </c>
      <c r="G1416" s="8" t="s">
        <v>2175</v>
      </c>
      <c r="H1416" s="8" t="s">
        <v>2176</v>
      </c>
      <c r="I1416" s="8" t="s">
        <v>9844</v>
      </c>
      <c r="J1416" s="8" t="s">
        <v>9845</v>
      </c>
      <c r="K1416" s="8" t="s">
        <v>194</v>
      </c>
      <c r="L1416" s="8" t="s">
        <v>163</v>
      </c>
      <c r="M1416" s="8" t="s">
        <v>9846</v>
      </c>
      <c r="N1416" s="8" t="s">
        <v>128</v>
      </c>
      <c r="O1416" s="8" t="s">
        <v>9847</v>
      </c>
      <c r="P1416" s="8" t="s">
        <v>9848</v>
      </c>
      <c r="Q1416" s="8" t="s">
        <v>150</v>
      </c>
      <c r="R1416" s="8"/>
      <c r="S1416" s="8" t="s">
        <v>71</v>
      </c>
      <c r="T1416" s="8" t="s">
        <v>70</v>
      </c>
      <c r="U1416" s="8" t="s">
        <v>150</v>
      </c>
      <c r="V1416" s="8" t="s">
        <v>70</v>
      </c>
      <c r="W1416" s="8" t="s">
        <v>70</v>
      </c>
      <c r="X1416" s="8">
        <v>16</v>
      </c>
      <c r="Y1416" s="8" t="s">
        <v>5796</v>
      </c>
      <c r="Z1416" s="8">
        <v>80</v>
      </c>
      <c r="AA1416" s="8">
        <v>0</v>
      </c>
      <c r="AB1416" s="9">
        <v>0</v>
      </c>
    </row>
    <row r="1417" spans="1:28" x14ac:dyDescent="0.2">
      <c r="A1417" s="10">
        <v>49844</v>
      </c>
      <c r="B1417" s="11" t="s">
        <v>9849</v>
      </c>
      <c r="C1417" s="11" t="s">
        <v>9850</v>
      </c>
      <c r="D1417" s="11" t="s">
        <v>224</v>
      </c>
      <c r="E1417" s="11"/>
      <c r="F1417" s="11" t="s">
        <v>225</v>
      </c>
      <c r="G1417" s="11" t="s">
        <v>224</v>
      </c>
      <c r="H1417" s="11" t="s">
        <v>225</v>
      </c>
      <c r="I1417" s="11" t="s">
        <v>9851</v>
      </c>
      <c r="J1417" s="11" t="s">
        <v>9852</v>
      </c>
      <c r="K1417" s="11" t="s">
        <v>228</v>
      </c>
      <c r="L1417" s="11" t="s">
        <v>229</v>
      </c>
      <c r="M1417" s="11" t="s">
        <v>9853</v>
      </c>
      <c r="N1417" s="11" t="s">
        <v>128</v>
      </c>
      <c r="O1417" s="11" t="s">
        <v>9854</v>
      </c>
      <c r="P1417" s="11" t="s">
        <v>9855</v>
      </c>
      <c r="Q1417" s="11" t="s">
        <v>150</v>
      </c>
      <c r="R1417" s="11"/>
      <c r="S1417" s="11" t="s">
        <v>71</v>
      </c>
      <c r="T1417" s="11" t="s">
        <v>70</v>
      </c>
      <c r="U1417" s="11" t="s">
        <v>150</v>
      </c>
      <c r="V1417" s="11" t="s">
        <v>70</v>
      </c>
      <c r="W1417" s="11" t="s">
        <v>70</v>
      </c>
      <c r="X1417" s="11">
        <v>16</v>
      </c>
      <c r="Y1417" s="11" t="s">
        <v>5796</v>
      </c>
      <c r="Z1417" s="11">
        <v>80</v>
      </c>
      <c r="AA1417" s="11">
        <v>0</v>
      </c>
      <c r="AB1417" s="12">
        <v>0</v>
      </c>
    </row>
    <row r="1418" spans="1:28" x14ac:dyDescent="0.2">
      <c r="A1418" s="7">
        <v>23415</v>
      </c>
      <c r="B1418" s="8" t="s">
        <v>9856</v>
      </c>
      <c r="C1418" s="8" t="s">
        <v>9286</v>
      </c>
      <c r="D1418" s="8" t="s">
        <v>2071</v>
      </c>
      <c r="E1418" s="8"/>
      <c r="F1418" s="8" t="s">
        <v>9288</v>
      </c>
      <c r="G1418" s="8" t="s">
        <v>1614</v>
      </c>
      <c r="H1418" s="8" t="s">
        <v>142</v>
      </c>
      <c r="I1418" s="8" t="s">
        <v>9857</v>
      </c>
      <c r="J1418" s="8" t="s">
        <v>9858</v>
      </c>
      <c r="K1418" s="8" t="s">
        <v>717</v>
      </c>
      <c r="L1418" s="8" t="s">
        <v>464</v>
      </c>
      <c r="M1418" s="8" t="s">
        <v>9859</v>
      </c>
      <c r="N1418" s="8" t="s">
        <v>128</v>
      </c>
      <c r="O1418" s="8" t="s">
        <v>9860</v>
      </c>
      <c r="P1418" s="8" t="s">
        <v>9861</v>
      </c>
      <c r="Q1418" s="8" t="s">
        <v>150</v>
      </c>
      <c r="R1418" s="8"/>
      <c r="S1418" s="8" t="s">
        <v>71</v>
      </c>
      <c r="T1418" s="8" t="s">
        <v>1415</v>
      </c>
      <c r="U1418" s="8" t="s">
        <v>150</v>
      </c>
      <c r="V1418" s="8" t="s">
        <v>1415</v>
      </c>
      <c r="W1418" s="8" t="s">
        <v>1415</v>
      </c>
      <c r="X1418" s="8">
        <v>16</v>
      </c>
      <c r="Y1418" s="8" t="s">
        <v>5796</v>
      </c>
      <c r="Z1418" s="8">
        <v>80</v>
      </c>
      <c r="AA1418" s="8">
        <v>0</v>
      </c>
      <c r="AB1418" s="9">
        <v>0</v>
      </c>
    </row>
    <row r="1419" spans="1:28" x14ac:dyDescent="0.2">
      <c r="A1419" s="10">
        <v>23732</v>
      </c>
      <c r="B1419" s="11" t="s">
        <v>9862</v>
      </c>
      <c r="C1419" s="11" t="s">
        <v>9863</v>
      </c>
      <c r="D1419" s="11" t="s">
        <v>9864</v>
      </c>
      <c r="E1419" s="11" t="s">
        <v>4007</v>
      </c>
      <c r="F1419" s="11" t="s">
        <v>9865</v>
      </c>
      <c r="G1419" s="11" t="s">
        <v>4513</v>
      </c>
      <c r="H1419" s="11" t="s">
        <v>847</v>
      </c>
      <c r="I1419" s="11" t="s">
        <v>9866</v>
      </c>
      <c r="J1419" s="11" t="s">
        <v>9867</v>
      </c>
      <c r="K1419" s="11" t="s">
        <v>1091</v>
      </c>
      <c r="L1419" s="11" t="s">
        <v>126</v>
      </c>
      <c r="M1419" s="11" t="s">
        <v>9868</v>
      </c>
      <c r="N1419" s="11" t="s">
        <v>128</v>
      </c>
      <c r="O1419" s="11" t="s">
        <v>9869</v>
      </c>
      <c r="P1419" s="11" t="s">
        <v>9870</v>
      </c>
      <c r="Q1419" s="11" t="s">
        <v>150</v>
      </c>
      <c r="R1419" s="11"/>
      <c r="S1419" s="11" t="s">
        <v>71</v>
      </c>
      <c r="T1419" s="11" t="s">
        <v>168</v>
      </c>
      <c r="U1419" s="11" t="s">
        <v>150</v>
      </c>
      <c r="V1419" s="11" t="s">
        <v>168</v>
      </c>
      <c r="W1419" s="11" t="s">
        <v>168</v>
      </c>
      <c r="X1419" s="11">
        <v>16</v>
      </c>
      <c r="Y1419" s="11" t="s">
        <v>5796</v>
      </c>
      <c r="Z1419" s="11">
        <v>80</v>
      </c>
      <c r="AA1419" s="11">
        <v>0</v>
      </c>
      <c r="AB1419" s="12">
        <v>0</v>
      </c>
    </row>
    <row r="1420" spans="1:28" x14ac:dyDescent="0.2">
      <c r="A1420" s="7">
        <v>23893</v>
      </c>
      <c r="B1420" s="8" t="s">
        <v>9871</v>
      </c>
      <c r="C1420" s="8" t="s">
        <v>2497</v>
      </c>
      <c r="D1420" s="8" t="s">
        <v>1395</v>
      </c>
      <c r="E1420" s="8"/>
      <c r="F1420" s="8" t="s">
        <v>353</v>
      </c>
      <c r="G1420" s="8" t="s">
        <v>648</v>
      </c>
      <c r="H1420" s="8" t="s">
        <v>142</v>
      </c>
      <c r="I1420" s="8" t="s">
        <v>9872</v>
      </c>
      <c r="J1420" s="8" t="s">
        <v>9873</v>
      </c>
      <c r="K1420" s="8" t="s">
        <v>651</v>
      </c>
      <c r="L1420" s="8" t="s">
        <v>146</v>
      </c>
      <c r="M1420" s="8" t="s">
        <v>9874</v>
      </c>
      <c r="N1420" s="8" t="s">
        <v>128</v>
      </c>
      <c r="O1420" s="8" t="s">
        <v>9875</v>
      </c>
      <c r="P1420" s="8" t="s">
        <v>1484</v>
      </c>
      <c r="Q1420" s="8" t="s">
        <v>150</v>
      </c>
      <c r="R1420" s="8"/>
      <c r="S1420" s="8" t="s">
        <v>71</v>
      </c>
      <c r="T1420" s="8" t="s">
        <v>168</v>
      </c>
      <c r="U1420" s="8" t="s">
        <v>150</v>
      </c>
      <c r="V1420" s="8" t="s">
        <v>168</v>
      </c>
      <c r="W1420" s="8" t="s">
        <v>168</v>
      </c>
      <c r="X1420" s="8">
        <v>16</v>
      </c>
      <c r="Y1420" s="8" t="s">
        <v>5796</v>
      </c>
      <c r="Z1420" s="8">
        <v>80</v>
      </c>
      <c r="AA1420" s="8">
        <v>0</v>
      </c>
      <c r="AB1420" s="9">
        <v>0</v>
      </c>
    </row>
    <row r="1421" spans="1:28" x14ac:dyDescent="0.2">
      <c r="A1421" s="10">
        <v>23705</v>
      </c>
      <c r="B1421" s="11" t="s">
        <v>9876</v>
      </c>
      <c r="C1421" s="11" t="s">
        <v>9877</v>
      </c>
      <c r="D1421" s="11" t="s">
        <v>9878</v>
      </c>
      <c r="E1421" s="11"/>
      <c r="F1421" s="11"/>
      <c r="G1421" s="11" t="s">
        <v>1813</v>
      </c>
      <c r="H1421" s="11" t="s">
        <v>142</v>
      </c>
      <c r="I1421" s="11" t="s">
        <v>1814</v>
      </c>
      <c r="J1421" s="11" t="s">
        <v>9879</v>
      </c>
      <c r="K1421" s="11" t="s">
        <v>974</v>
      </c>
      <c r="L1421" s="11" t="s">
        <v>146</v>
      </c>
      <c r="M1421" s="11" t="s">
        <v>9880</v>
      </c>
      <c r="N1421" s="11" t="s">
        <v>128</v>
      </c>
      <c r="O1421" s="11" t="s">
        <v>9881</v>
      </c>
      <c r="P1421" s="11" t="s">
        <v>295</v>
      </c>
      <c r="Q1421" s="11" t="s">
        <v>150</v>
      </c>
      <c r="R1421" s="11"/>
      <c r="S1421" s="11" t="s">
        <v>71</v>
      </c>
      <c r="T1421" s="11" t="s">
        <v>168</v>
      </c>
      <c r="U1421" s="11" t="s">
        <v>150</v>
      </c>
      <c r="V1421" s="11" t="s">
        <v>168</v>
      </c>
      <c r="W1421" s="11" t="s">
        <v>168</v>
      </c>
      <c r="X1421" s="11">
        <v>16</v>
      </c>
      <c r="Y1421" s="11" t="s">
        <v>5796</v>
      </c>
      <c r="Z1421" s="11">
        <v>80</v>
      </c>
      <c r="AA1421" s="11">
        <v>0</v>
      </c>
      <c r="AB1421" s="12">
        <v>0</v>
      </c>
    </row>
    <row r="1422" spans="1:28" x14ac:dyDescent="0.2">
      <c r="A1422" s="7">
        <v>31452</v>
      </c>
      <c r="B1422" s="8" t="s">
        <v>9882</v>
      </c>
      <c r="C1422" s="8" t="s">
        <v>4855</v>
      </c>
      <c r="D1422" s="8" t="s">
        <v>9883</v>
      </c>
      <c r="E1422" s="8"/>
      <c r="F1422" s="8" t="s">
        <v>353</v>
      </c>
      <c r="G1422" s="8" t="s">
        <v>4856</v>
      </c>
      <c r="H1422" s="8" t="s">
        <v>847</v>
      </c>
      <c r="I1422" s="8"/>
      <c r="J1422" s="8" t="s">
        <v>9884</v>
      </c>
      <c r="K1422" s="8" t="s">
        <v>850</v>
      </c>
      <c r="L1422" s="8" t="s">
        <v>126</v>
      </c>
      <c r="M1422" s="8" t="s">
        <v>9885</v>
      </c>
      <c r="N1422" s="8" t="s">
        <v>128</v>
      </c>
      <c r="O1422" s="8" t="s">
        <v>9886</v>
      </c>
      <c r="P1422" s="8"/>
      <c r="Q1422" s="8" t="s">
        <v>249</v>
      </c>
      <c r="R1422" s="8"/>
      <c r="S1422" s="8" t="s">
        <v>71</v>
      </c>
      <c r="T1422" s="8" t="s">
        <v>1523</v>
      </c>
      <c r="U1422" s="8" t="s">
        <v>134</v>
      </c>
      <c r="V1422" s="8" t="s">
        <v>249</v>
      </c>
      <c r="W1422" s="8" t="s">
        <v>1523</v>
      </c>
      <c r="X1422" s="8">
        <v>16</v>
      </c>
      <c r="Y1422" s="8" t="s">
        <v>5796</v>
      </c>
      <c r="Z1422" s="8">
        <v>80</v>
      </c>
      <c r="AA1422" s="8">
        <v>0</v>
      </c>
      <c r="AB1422" s="9">
        <v>0</v>
      </c>
    </row>
    <row r="1423" spans="1:28" x14ac:dyDescent="0.2">
      <c r="A1423" s="10">
        <v>25570</v>
      </c>
      <c r="B1423" s="11" t="s">
        <v>9887</v>
      </c>
      <c r="C1423" s="11" t="s">
        <v>9888</v>
      </c>
      <c r="D1423" s="11" t="s">
        <v>1064</v>
      </c>
      <c r="E1423" s="11" t="s">
        <v>9889</v>
      </c>
      <c r="F1423" s="11" t="s">
        <v>9890</v>
      </c>
      <c r="G1423" s="11" t="s">
        <v>3454</v>
      </c>
      <c r="H1423" s="11" t="s">
        <v>142</v>
      </c>
      <c r="I1423" s="11" t="s">
        <v>9891</v>
      </c>
      <c r="J1423" s="11" t="s">
        <v>9892</v>
      </c>
      <c r="K1423" s="11" t="s">
        <v>1673</v>
      </c>
      <c r="L1423" s="11" t="s">
        <v>464</v>
      </c>
      <c r="M1423" s="11" t="s">
        <v>9893</v>
      </c>
      <c r="N1423" s="11" t="s">
        <v>128</v>
      </c>
      <c r="O1423" s="11" t="s">
        <v>9894</v>
      </c>
      <c r="P1423" s="11" t="s">
        <v>9895</v>
      </c>
      <c r="Q1423" s="11" t="s">
        <v>249</v>
      </c>
      <c r="R1423" s="11"/>
      <c r="S1423" s="11" t="s">
        <v>9896</v>
      </c>
      <c r="T1423" s="11" t="s">
        <v>250</v>
      </c>
      <c r="U1423" s="11" t="s">
        <v>134</v>
      </c>
      <c r="V1423" s="11" t="s">
        <v>249</v>
      </c>
      <c r="W1423" s="11" t="s">
        <v>250</v>
      </c>
      <c r="X1423" s="11">
        <v>16</v>
      </c>
      <c r="Y1423" s="11" t="s">
        <v>5796</v>
      </c>
      <c r="Z1423" s="11">
        <v>80</v>
      </c>
      <c r="AA1423" s="11">
        <v>0</v>
      </c>
      <c r="AB1423" s="12">
        <v>0</v>
      </c>
    </row>
    <row r="1424" spans="1:28" x14ac:dyDescent="0.2">
      <c r="A1424" s="7">
        <v>21165</v>
      </c>
      <c r="B1424" s="8" t="s">
        <v>9897</v>
      </c>
      <c r="C1424" s="8" t="s">
        <v>9898</v>
      </c>
      <c r="D1424" s="8" t="s">
        <v>138</v>
      </c>
      <c r="E1424" s="8"/>
      <c r="F1424" s="8" t="s">
        <v>9899</v>
      </c>
      <c r="G1424" s="8" t="s">
        <v>2035</v>
      </c>
      <c r="H1424" s="8" t="s">
        <v>142</v>
      </c>
      <c r="I1424" s="8" t="s">
        <v>9900</v>
      </c>
      <c r="J1424" s="8" t="s">
        <v>9901</v>
      </c>
      <c r="K1424" s="8" t="s">
        <v>779</v>
      </c>
      <c r="L1424" s="8" t="s">
        <v>464</v>
      </c>
      <c r="M1424" s="8" t="s">
        <v>9902</v>
      </c>
      <c r="N1424" s="8" t="s">
        <v>128</v>
      </c>
      <c r="O1424" s="8" t="s">
        <v>9903</v>
      </c>
      <c r="P1424" s="8" t="s">
        <v>9904</v>
      </c>
      <c r="Q1424" s="8" t="s">
        <v>150</v>
      </c>
      <c r="R1424" s="8"/>
      <c r="S1424" s="8" t="s">
        <v>71</v>
      </c>
      <c r="T1424" s="8" t="s">
        <v>289</v>
      </c>
      <c r="U1424" s="8" t="s">
        <v>150</v>
      </c>
      <c r="V1424" s="8" t="s">
        <v>289</v>
      </c>
      <c r="W1424" s="8" t="s">
        <v>289</v>
      </c>
      <c r="X1424" s="8">
        <v>15</v>
      </c>
      <c r="Y1424" s="8" t="s">
        <v>5796</v>
      </c>
      <c r="Z1424" s="8">
        <v>80</v>
      </c>
      <c r="AA1424" s="8">
        <v>0</v>
      </c>
      <c r="AB1424" s="9">
        <v>0</v>
      </c>
    </row>
    <row r="1425" spans="1:28" x14ac:dyDescent="0.2">
      <c r="A1425" s="10">
        <v>21311</v>
      </c>
      <c r="B1425" s="11" t="s">
        <v>9905</v>
      </c>
      <c r="C1425" s="11" t="s">
        <v>9906</v>
      </c>
      <c r="D1425" s="11" t="s">
        <v>9907</v>
      </c>
      <c r="E1425" s="11" t="s">
        <v>9908</v>
      </c>
      <c r="F1425" s="11" t="s">
        <v>9161</v>
      </c>
      <c r="G1425" s="11" t="s">
        <v>141</v>
      </c>
      <c r="H1425" s="11" t="s">
        <v>142</v>
      </c>
      <c r="I1425" s="11" t="s">
        <v>9162</v>
      </c>
      <c r="J1425" s="11" t="s">
        <v>9909</v>
      </c>
      <c r="K1425" s="11" t="s">
        <v>403</v>
      </c>
      <c r="L1425" s="11" t="s">
        <v>146</v>
      </c>
      <c r="M1425" s="11" t="s">
        <v>9910</v>
      </c>
      <c r="N1425" s="11" t="s">
        <v>128</v>
      </c>
      <c r="O1425" s="11" t="s">
        <v>9911</v>
      </c>
      <c r="P1425" s="11" t="s">
        <v>9912</v>
      </c>
      <c r="Q1425" s="11" t="s">
        <v>150</v>
      </c>
      <c r="R1425" s="11"/>
      <c r="S1425" s="11" t="s">
        <v>71</v>
      </c>
      <c r="T1425" s="11" t="s">
        <v>67</v>
      </c>
      <c r="U1425" s="11" t="s">
        <v>150</v>
      </c>
      <c r="V1425" s="11" t="s">
        <v>152</v>
      </c>
      <c r="W1425" s="11" t="s">
        <v>67</v>
      </c>
      <c r="X1425" s="11">
        <v>15</v>
      </c>
      <c r="Y1425" s="11" t="s">
        <v>5796</v>
      </c>
      <c r="Z1425" s="11">
        <v>80</v>
      </c>
      <c r="AA1425" s="11">
        <v>0</v>
      </c>
      <c r="AB1425" s="12">
        <v>0</v>
      </c>
    </row>
    <row r="1426" spans="1:28" x14ac:dyDescent="0.2">
      <c r="A1426" s="7">
        <v>21724</v>
      </c>
      <c r="B1426" s="8" t="s">
        <v>9913</v>
      </c>
      <c r="C1426" s="8" t="s">
        <v>9914</v>
      </c>
      <c r="D1426" s="8" t="s">
        <v>138</v>
      </c>
      <c r="E1426" s="8" t="s">
        <v>9915</v>
      </c>
      <c r="F1426" s="8" t="s">
        <v>9916</v>
      </c>
      <c r="G1426" s="8" t="s">
        <v>224</v>
      </c>
      <c r="H1426" s="8" t="s">
        <v>225</v>
      </c>
      <c r="I1426" s="8" t="s">
        <v>9917</v>
      </c>
      <c r="J1426" s="8" t="s">
        <v>9918</v>
      </c>
      <c r="K1426" s="8" t="s">
        <v>228</v>
      </c>
      <c r="L1426" s="8" t="s">
        <v>229</v>
      </c>
      <c r="M1426" s="8" t="s">
        <v>9919</v>
      </c>
      <c r="N1426" s="8" t="s">
        <v>128</v>
      </c>
      <c r="O1426" s="8" t="s">
        <v>9920</v>
      </c>
      <c r="P1426" s="8" t="s">
        <v>9921</v>
      </c>
      <c r="Q1426" s="8" t="s">
        <v>150</v>
      </c>
      <c r="R1426" s="8"/>
      <c r="S1426" s="8" t="s">
        <v>71</v>
      </c>
      <c r="T1426" s="8" t="s">
        <v>67</v>
      </c>
      <c r="U1426" s="8" t="s">
        <v>150</v>
      </c>
      <c r="V1426" s="8" t="s">
        <v>152</v>
      </c>
      <c r="W1426" s="8" t="s">
        <v>67</v>
      </c>
      <c r="X1426" s="8">
        <v>15</v>
      </c>
      <c r="Y1426" s="8" t="s">
        <v>5796</v>
      </c>
      <c r="Z1426" s="8">
        <v>80</v>
      </c>
      <c r="AA1426" s="8">
        <v>0</v>
      </c>
      <c r="AB1426" s="9">
        <v>0</v>
      </c>
    </row>
    <row r="1427" spans="1:28" x14ac:dyDescent="0.2">
      <c r="A1427" s="10">
        <v>21737</v>
      </c>
      <c r="B1427" s="11" t="s">
        <v>9922</v>
      </c>
      <c r="C1427" s="11" t="s">
        <v>9923</v>
      </c>
      <c r="D1427" s="11" t="s">
        <v>7578</v>
      </c>
      <c r="E1427" s="11" t="s">
        <v>1112</v>
      </c>
      <c r="F1427" s="11" t="s">
        <v>9924</v>
      </c>
      <c r="G1427" s="11" t="s">
        <v>328</v>
      </c>
      <c r="H1427" s="11" t="s">
        <v>329</v>
      </c>
      <c r="I1427" s="11" t="s">
        <v>9925</v>
      </c>
      <c r="J1427" s="11" t="s">
        <v>9926</v>
      </c>
      <c r="K1427" s="11" t="s">
        <v>415</v>
      </c>
      <c r="L1427" s="11" t="s">
        <v>333</v>
      </c>
      <c r="M1427" s="11" t="s">
        <v>9927</v>
      </c>
      <c r="N1427" s="11" t="s">
        <v>128</v>
      </c>
      <c r="O1427" s="11" t="s">
        <v>9928</v>
      </c>
      <c r="P1427" s="11" t="s">
        <v>8242</v>
      </c>
      <c r="Q1427" s="11" t="s">
        <v>150</v>
      </c>
      <c r="R1427" s="11"/>
      <c r="S1427" s="11" t="s">
        <v>71</v>
      </c>
      <c r="T1427" s="11" t="s">
        <v>67</v>
      </c>
      <c r="U1427" s="11" t="s">
        <v>150</v>
      </c>
      <c r="V1427" s="11" t="s">
        <v>152</v>
      </c>
      <c r="W1427" s="11" t="s">
        <v>67</v>
      </c>
      <c r="X1427" s="11">
        <v>15</v>
      </c>
      <c r="Y1427" s="11" t="s">
        <v>5796</v>
      </c>
      <c r="Z1427" s="11">
        <v>80</v>
      </c>
      <c r="AA1427" s="11">
        <v>0</v>
      </c>
      <c r="AB1427" s="12">
        <v>0</v>
      </c>
    </row>
    <row r="1428" spans="1:28" x14ac:dyDescent="0.2">
      <c r="A1428" s="7">
        <v>21345</v>
      </c>
      <c r="B1428" s="8" t="s">
        <v>9929</v>
      </c>
      <c r="C1428" s="8" t="s">
        <v>9930</v>
      </c>
      <c r="D1428" s="8" t="s">
        <v>4418</v>
      </c>
      <c r="E1428" s="8" t="s">
        <v>9931</v>
      </c>
      <c r="F1428" s="8" t="s">
        <v>9932</v>
      </c>
      <c r="G1428" s="8" t="s">
        <v>328</v>
      </c>
      <c r="H1428" s="8" t="s">
        <v>329</v>
      </c>
      <c r="I1428" s="8" t="s">
        <v>9933</v>
      </c>
      <c r="J1428" s="8" t="s">
        <v>9934</v>
      </c>
      <c r="K1428" s="8" t="s">
        <v>332</v>
      </c>
      <c r="L1428" s="8" t="s">
        <v>333</v>
      </c>
      <c r="M1428" s="8" t="s">
        <v>9935</v>
      </c>
      <c r="N1428" s="8" t="s">
        <v>128</v>
      </c>
      <c r="O1428" s="8" t="s">
        <v>9936</v>
      </c>
      <c r="P1428" s="8" t="s">
        <v>9937</v>
      </c>
      <c r="Q1428" s="8" t="s">
        <v>150</v>
      </c>
      <c r="R1428" s="8"/>
      <c r="S1428" s="8" t="s">
        <v>9938</v>
      </c>
      <c r="T1428" s="8" t="s">
        <v>67</v>
      </c>
      <c r="U1428" s="8" t="s">
        <v>150</v>
      </c>
      <c r="V1428" s="8" t="s">
        <v>152</v>
      </c>
      <c r="W1428" s="8" t="s">
        <v>67</v>
      </c>
      <c r="X1428" s="8">
        <v>15</v>
      </c>
      <c r="Y1428" s="8" t="s">
        <v>5796</v>
      </c>
      <c r="Z1428" s="8">
        <v>80</v>
      </c>
      <c r="AA1428" s="8">
        <v>0</v>
      </c>
      <c r="AB1428" s="9">
        <v>0</v>
      </c>
    </row>
    <row r="1429" spans="1:28" x14ac:dyDescent="0.2">
      <c r="A1429" s="10">
        <v>115588</v>
      </c>
      <c r="B1429" s="11" t="s">
        <v>9939</v>
      </c>
      <c r="C1429" s="11" t="s">
        <v>9940</v>
      </c>
      <c r="D1429" s="11" t="s">
        <v>9941</v>
      </c>
      <c r="E1429" s="11"/>
      <c r="F1429" s="11" t="s">
        <v>9942</v>
      </c>
      <c r="G1429" s="11" t="s">
        <v>9598</v>
      </c>
      <c r="H1429" s="11" t="s">
        <v>704</v>
      </c>
      <c r="I1429" s="11" t="s">
        <v>9599</v>
      </c>
      <c r="J1429" s="11" t="s">
        <v>9943</v>
      </c>
      <c r="K1429" s="11" t="s">
        <v>707</v>
      </c>
      <c r="L1429" s="11" t="s">
        <v>126</v>
      </c>
      <c r="M1429" s="11" t="s">
        <v>9944</v>
      </c>
      <c r="N1429" s="11" t="s">
        <v>128</v>
      </c>
      <c r="O1429" s="11" t="s">
        <v>9945</v>
      </c>
      <c r="P1429" s="11" t="s">
        <v>9946</v>
      </c>
      <c r="Q1429" s="11" t="s">
        <v>150</v>
      </c>
      <c r="R1429" s="11"/>
      <c r="S1429" s="11" t="s">
        <v>71</v>
      </c>
      <c r="T1429" s="11" t="s">
        <v>67</v>
      </c>
      <c r="U1429" s="11" t="s">
        <v>150</v>
      </c>
      <c r="V1429" s="11" t="s">
        <v>152</v>
      </c>
      <c r="W1429" s="11" t="s">
        <v>67</v>
      </c>
      <c r="X1429" s="11">
        <v>15</v>
      </c>
      <c r="Y1429" s="11" t="s">
        <v>5796</v>
      </c>
      <c r="Z1429" s="11">
        <v>80</v>
      </c>
      <c r="AA1429" s="11">
        <v>0</v>
      </c>
      <c r="AB1429" s="12">
        <v>0</v>
      </c>
    </row>
    <row r="1430" spans="1:28" x14ac:dyDescent="0.2">
      <c r="A1430" s="7">
        <v>22612</v>
      </c>
      <c r="B1430" s="8" t="s">
        <v>9947</v>
      </c>
      <c r="C1430" s="8" t="s">
        <v>1911</v>
      </c>
      <c r="D1430" s="8" t="s">
        <v>9948</v>
      </c>
      <c r="E1430" s="8" t="s">
        <v>281</v>
      </c>
      <c r="F1430" s="8" t="s">
        <v>757</v>
      </c>
      <c r="G1430" s="8" t="s">
        <v>1915</v>
      </c>
      <c r="H1430" s="8" t="s">
        <v>122</v>
      </c>
      <c r="I1430" s="8" t="s">
        <v>9949</v>
      </c>
      <c r="J1430" s="8" t="s">
        <v>9950</v>
      </c>
      <c r="K1430" s="8" t="s">
        <v>1051</v>
      </c>
      <c r="L1430" s="8" t="s">
        <v>126</v>
      </c>
      <c r="M1430" s="8" t="s">
        <v>9951</v>
      </c>
      <c r="N1430" s="8" t="s">
        <v>128</v>
      </c>
      <c r="O1430" s="8" t="s">
        <v>9952</v>
      </c>
      <c r="P1430" s="8" t="s">
        <v>9953</v>
      </c>
      <c r="Q1430" s="8" t="s">
        <v>150</v>
      </c>
      <c r="R1430" s="8"/>
      <c r="S1430" s="8" t="s">
        <v>71</v>
      </c>
      <c r="T1430" s="8" t="s">
        <v>2697</v>
      </c>
      <c r="U1430" s="8" t="s">
        <v>150</v>
      </c>
      <c r="V1430" s="8" t="s">
        <v>2697</v>
      </c>
      <c r="W1430" s="8" t="s">
        <v>2697</v>
      </c>
      <c r="X1430" s="8">
        <v>15</v>
      </c>
      <c r="Y1430" s="8" t="s">
        <v>5796</v>
      </c>
      <c r="Z1430" s="8">
        <v>80</v>
      </c>
      <c r="AA1430" s="8">
        <v>0</v>
      </c>
      <c r="AB1430" s="9">
        <v>0</v>
      </c>
    </row>
    <row r="1431" spans="1:28" x14ac:dyDescent="0.2">
      <c r="A1431" s="10">
        <v>23143</v>
      </c>
      <c r="B1431" s="11" t="s">
        <v>9954</v>
      </c>
      <c r="C1431" s="11" t="s">
        <v>2347</v>
      </c>
      <c r="D1431" s="11" t="s">
        <v>2153</v>
      </c>
      <c r="E1431" s="11" t="s">
        <v>9955</v>
      </c>
      <c r="F1431" s="11" t="s">
        <v>353</v>
      </c>
      <c r="G1431" s="11" t="s">
        <v>1784</v>
      </c>
      <c r="H1431" s="11" t="s">
        <v>329</v>
      </c>
      <c r="I1431" s="11" t="s">
        <v>9956</v>
      </c>
      <c r="J1431" s="11" t="s">
        <v>9957</v>
      </c>
      <c r="K1431" s="11" t="s">
        <v>431</v>
      </c>
      <c r="L1431" s="11" t="s">
        <v>333</v>
      </c>
      <c r="M1431" s="11" t="s">
        <v>9958</v>
      </c>
      <c r="N1431" s="11" t="s">
        <v>128</v>
      </c>
      <c r="O1431" s="11" t="s">
        <v>9959</v>
      </c>
      <c r="P1431" s="11" t="s">
        <v>5679</v>
      </c>
      <c r="Q1431" s="11" t="s">
        <v>150</v>
      </c>
      <c r="R1431" s="11"/>
      <c r="S1431" s="11" t="s">
        <v>71</v>
      </c>
      <c r="T1431" s="11" t="s">
        <v>70</v>
      </c>
      <c r="U1431" s="11" t="s">
        <v>150</v>
      </c>
      <c r="V1431" s="11" t="s">
        <v>70</v>
      </c>
      <c r="W1431" s="11" t="s">
        <v>70</v>
      </c>
      <c r="X1431" s="11">
        <v>15</v>
      </c>
      <c r="Y1431" s="11" t="s">
        <v>5796</v>
      </c>
      <c r="Z1431" s="11">
        <v>80</v>
      </c>
      <c r="AA1431" s="11">
        <v>0</v>
      </c>
      <c r="AB1431" s="12">
        <v>0</v>
      </c>
    </row>
    <row r="1432" spans="1:28" x14ac:dyDescent="0.2">
      <c r="A1432" s="7">
        <v>23275</v>
      </c>
      <c r="B1432" s="8" t="s">
        <v>9960</v>
      </c>
      <c r="C1432" s="8" t="s">
        <v>8184</v>
      </c>
      <c r="D1432" s="8" t="s">
        <v>8185</v>
      </c>
      <c r="E1432" s="8" t="s">
        <v>1010</v>
      </c>
      <c r="F1432" s="8" t="s">
        <v>353</v>
      </c>
      <c r="G1432" s="8" t="s">
        <v>3643</v>
      </c>
      <c r="H1432" s="8" t="s">
        <v>142</v>
      </c>
      <c r="I1432" s="8" t="s">
        <v>9056</v>
      </c>
      <c r="J1432" s="8" t="s">
        <v>4616</v>
      </c>
      <c r="K1432" s="8" t="s">
        <v>651</v>
      </c>
      <c r="L1432" s="8" t="s">
        <v>146</v>
      </c>
      <c r="M1432" s="8" t="s">
        <v>9961</v>
      </c>
      <c r="N1432" s="8" t="s">
        <v>128</v>
      </c>
      <c r="O1432" s="8" t="s">
        <v>9962</v>
      </c>
      <c r="P1432" s="8" t="s">
        <v>9963</v>
      </c>
      <c r="Q1432" s="8" t="s">
        <v>150</v>
      </c>
      <c r="R1432" s="8"/>
      <c r="S1432" s="8" t="s">
        <v>4620</v>
      </c>
      <c r="T1432" s="8" t="s">
        <v>70</v>
      </c>
      <c r="U1432" s="8" t="s">
        <v>150</v>
      </c>
      <c r="V1432" s="8" t="s">
        <v>70</v>
      </c>
      <c r="W1432" s="8" t="s">
        <v>70</v>
      </c>
      <c r="X1432" s="8">
        <v>15</v>
      </c>
      <c r="Y1432" s="8" t="s">
        <v>5796</v>
      </c>
      <c r="Z1432" s="8">
        <v>80</v>
      </c>
      <c r="AA1432" s="8">
        <v>0</v>
      </c>
      <c r="AB1432" s="9">
        <v>0</v>
      </c>
    </row>
    <row r="1433" spans="1:28" x14ac:dyDescent="0.2">
      <c r="A1433" s="10">
        <v>123932</v>
      </c>
      <c r="B1433" s="11" t="s">
        <v>9964</v>
      </c>
      <c r="C1433" s="11" t="s">
        <v>9965</v>
      </c>
      <c r="D1433" s="11" t="s">
        <v>9966</v>
      </c>
      <c r="E1433" s="11"/>
      <c r="F1433" s="11" t="s">
        <v>9967</v>
      </c>
      <c r="G1433" s="11" t="s">
        <v>4175</v>
      </c>
      <c r="H1433" s="11" t="s">
        <v>329</v>
      </c>
      <c r="I1433" s="11" t="s">
        <v>9968</v>
      </c>
      <c r="J1433" s="11" t="s">
        <v>9969</v>
      </c>
      <c r="K1433" s="11" t="s">
        <v>415</v>
      </c>
      <c r="L1433" s="11" t="s">
        <v>333</v>
      </c>
      <c r="M1433" s="11" t="s">
        <v>9970</v>
      </c>
      <c r="N1433" s="11" t="s">
        <v>128</v>
      </c>
      <c r="O1433" s="11" t="s">
        <v>9971</v>
      </c>
      <c r="P1433" s="11" t="s">
        <v>9972</v>
      </c>
      <c r="Q1433" s="11" t="s">
        <v>150</v>
      </c>
      <c r="R1433" s="11"/>
      <c r="S1433" s="11" t="s">
        <v>9973</v>
      </c>
      <c r="T1433" s="11" t="s">
        <v>70</v>
      </c>
      <c r="U1433" s="11" t="s">
        <v>150</v>
      </c>
      <c r="V1433" s="11" t="s">
        <v>70</v>
      </c>
      <c r="W1433" s="11" t="s">
        <v>70</v>
      </c>
      <c r="X1433" s="11">
        <v>15</v>
      </c>
      <c r="Y1433" s="11" t="s">
        <v>5796</v>
      </c>
      <c r="Z1433" s="11">
        <v>80</v>
      </c>
      <c r="AA1433" s="11">
        <v>0</v>
      </c>
      <c r="AB1433" s="12">
        <v>0</v>
      </c>
    </row>
    <row r="1434" spans="1:28" x14ac:dyDescent="0.2">
      <c r="A1434" s="7">
        <v>23808</v>
      </c>
      <c r="B1434" s="8" t="s">
        <v>9974</v>
      </c>
      <c r="C1434" s="8" t="s">
        <v>409</v>
      </c>
      <c r="D1434" s="8" t="s">
        <v>9975</v>
      </c>
      <c r="E1434" s="8"/>
      <c r="F1434" s="8" t="s">
        <v>353</v>
      </c>
      <c r="G1434" s="8" t="s">
        <v>3929</v>
      </c>
      <c r="H1434" s="8" t="s">
        <v>704</v>
      </c>
      <c r="I1434" s="8" t="s">
        <v>9976</v>
      </c>
      <c r="J1434" s="8" t="s">
        <v>9977</v>
      </c>
      <c r="K1434" s="8" t="s">
        <v>850</v>
      </c>
      <c r="L1434" s="8" t="s">
        <v>126</v>
      </c>
      <c r="M1434" s="8" t="s">
        <v>9978</v>
      </c>
      <c r="N1434" s="8" t="s">
        <v>128</v>
      </c>
      <c r="O1434" s="8" t="s">
        <v>9979</v>
      </c>
      <c r="P1434" s="8" t="s">
        <v>9980</v>
      </c>
      <c r="Q1434" s="8" t="s">
        <v>150</v>
      </c>
      <c r="R1434" s="8"/>
      <c r="S1434" s="8" t="s">
        <v>71</v>
      </c>
      <c r="T1434" s="8" t="s">
        <v>168</v>
      </c>
      <c r="U1434" s="8" t="s">
        <v>150</v>
      </c>
      <c r="V1434" s="8" t="s">
        <v>168</v>
      </c>
      <c r="W1434" s="8" t="s">
        <v>168</v>
      </c>
      <c r="X1434" s="8">
        <v>15</v>
      </c>
      <c r="Y1434" s="8" t="s">
        <v>5796</v>
      </c>
      <c r="Z1434" s="8">
        <v>80</v>
      </c>
      <c r="AA1434" s="8">
        <v>0</v>
      </c>
      <c r="AB1434" s="9">
        <v>0</v>
      </c>
    </row>
    <row r="1435" spans="1:28" x14ac:dyDescent="0.2">
      <c r="A1435" s="10">
        <v>92280</v>
      </c>
      <c r="B1435" s="11" t="s">
        <v>9981</v>
      </c>
      <c r="C1435" s="11" t="s">
        <v>9982</v>
      </c>
      <c r="D1435" s="11" t="s">
        <v>1283</v>
      </c>
      <c r="E1435" s="11"/>
      <c r="F1435" s="11" t="s">
        <v>353</v>
      </c>
      <c r="G1435" s="11" t="s">
        <v>9983</v>
      </c>
      <c r="H1435" s="11" t="s">
        <v>557</v>
      </c>
      <c r="I1435" s="11" t="s">
        <v>9984</v>
      </c>
      <c r="J1435" s="11" t="s">
        <v>9985</v>
      </c>
      <c r="K1435" s="11" t="s">
        <v>560</v>
      </c>
      <c r="L1435" s="11" t="s">
        <v>229</v>
      </c>
      <c r="M1435" s="11" t="s">
        <v>9986</v>
      </c>
      <c r="N1435" s="11" t="s">
        <v>128</v>
      </c>
      <c r="O1435" s="11" t="s">
        <v>9987</v>
      </c>
      <c r="P1435" s="11" t="s">
        <v>9988</v>
      </c>
      <c r="Q1435" s="11" t="s">
        <v>150</v>
      </c>
      <c r="R1435" s="11"/>
      <c r="S1435" s="11" t="s">
        <v>71</v>
      </c>
      <c r="T1435" s="11" t="s">
        <v>168</v>
      </c>
      <c r="U1435" s="11" t="s">
        <v>150</v>
      </c>
      <c r="V1435" s="11" t="s">
        <v>168</v>
      </c>
      <c r="W1435" s="11" t="s">
        <v>168</v>
      </c>
      <c r="X1435" s="11">
        <v>15</v>
      </c>
      <c r="Y1435" s="11" t="s">
        <v>5796</v>
      </c>
      <c r="Z1435" s="11">
        <v>80</v>
      </c>
      <c r="AA1435" s="11">
        <v>0</v>
      </c>
      <c r="AB1435" s="12">
        <v>0</v>
      </c>
    </row>
    <row r="1436" spans="1:28" x14ac:dyDescent="0.2">
      <c r="A1436" s="7">
        <v>93133</v>
      </c>
      <c r="B1436" s="8" t="s">
        <v>9989</v>
      </c>
      <c r="C1436" s="8" t="s">
        <v>3335</v>
      </c>
      <c r="D1436" s="8" t="s">
        <v>8205</v>
      </c>
      <c r="E1436" s="8"/>
      <c r="F1436" s="8" t="s">
        <v>3337</v>
      </c>
      <c r="G1436" s="8" t="s">
        <v>2721</v>
      </c>
      <c r="H1436" s="8" t="s">
        <v>329</v>
      </c>
      <c r="I1436" s="8" t="s">
        <v>4145</v>
      </c>
      <c r="J1436" s="8" t="s">
        <v>9990</v>
      </c>
      <c r="K1436" s="8" t="s">
        <v>332</v>
      </c>
      <c r="L1436" s="8" t="s">
        <v>333</v>
      </c>
      <c r="M1436" s="8" t="s">
        <v>9991</v>
      </c>
      <c r="N1436" s="8" t="s">
        <v>128</v>
      </c>
      <c r="O1436" s="8" t="s">
        <v>9992</v>
      </c>
      <c r="P1436" s="8" t="s">
        <v>9993</v>
      </c>
      <c r="Q1436" s="8" t="s">
        <v>150</v>
      </c>
      <c r="R1436" s="8"/>
      <c r="S1436" s="8" t="s">
        <v>71</v>
      </c>
      <c r="T1436" s="8" t="s">
        <v>168</v>
      </c>
      <c r="U1436" s="8" t="s">
        <v>150</v>
      </c>
      <c r="V1436" s="8" t="s">
        <v>168</v>
      </c>
      <c r="W1436" s="8" t="s">
        <v>168</v>
      </c>
      <c r="X1436" s="8">
        <v>15</v>
      </c>
      <c r="Y1436" s="8" t="s">
        <v>5796</v>
      </c>
      <c r="Z1436" s="8">
        <v>80</v>
      </c>
      <c r="AA1436" s="8">
        <v>0</v>
      </c>
      <c r="AB1436" s="9">
        <v>0</v>
      </c>
    </row>
    <row r="1437" spans="1:28" x14ac:dyDescent="0.2">
      <c r="A1437" s="10">
        <v>24585</v>
      </c>
      <c r="B1437" s="11" t="s">
        <v>9994</v>
      </c>
      <c r="C1437" s="11" t="s">
        <v>6840</v>
      </c>
      <c r="D1437" s="11" t="s">
        <v>9995</v>
      </c>
      <c r="E1437" s="11" t="s">
        <v>9996</v>
      </c>
      <c r="F1437" s="11" t="s">
        <v>353</v>
      </c>
      <c r="G1437" s="11" t="s">
        <v>2642</v>
      </c>
      <c r="H1437" s="11" t="s">
        <v>329</v>
      </c>
      <c r="I1437" s="11" t="s">
        <v>9997</v>
      </c>
      <c r="J1437" s="11" t="s">
        <v>9998</v>
      </c>
      <c r="K1437" s="11" t="s">
        <v>572</v>
      </c>
      <c r="L1437" s="11" t="s">
        <v>333</v>
      </c>
      <c r="M1437" s="11" t="s">
        <v>9999</v>
      </c>
      <c r="N1437" s="11" t="s">
        <v>128</v>
      </c>
      <c r="O1437" s="11" t="s">
        <v>10000</v>
      </c>
      <c r="P1437" s="11" t="s">
        <v>4518</v>
      </c>
      <c r="Q1437" s="11" t="s">
        <v>150</v>
      </c>
      <c r="R1437" s="11"/>
      <c r="S1437" s="11" t="s">
        <v>71</v>
      </c>
      <c r="T1437" s="11" t="s">
        <v>69</v>
      </c>
      <c r="U1437" s="11" t="s">
        <v>150</v>
      </c>
      <c r="V1437" s="11" t="s">
        <v>152</v>
      </c>
      <c r="W1437" s="11" t="s">
        <v>69</v>
      </c>
      <c r="X1437" s="11">
        <v>15</v>
      </c>
      <c r="Y1437" s="11" t="s">
        <v>5796</v>
      </c>
      <c r="Z1437" s="11">
        <v>80</v>
      </c>
      <c r="AA1437" s="11">
        <v>0</v>
      </c>
      <c r="AB1437" s="12">
        <v>0</v>
      </c>
    </row>
    <row r="1438" spans="1:28" x14ac:dyDescent="0.2">
      <c r="A1438" s="7">
        <v>92282</v>
      </c>
      <c r="B1438" s="8" t="s">
        <v>10001</v>
      </c>
      <c r="C1438" s="8" t="s">
        <v>9982</v>
      </c>
      <c r="D1438" s="8" t="s">
        <v>534</v>
      </c>
      <c r="E1438" s="8" t="s">
        <v>10002</v>
      </c>
      <c r="F1438" s="8" t="s">
        <v>353</v>
      </c>
      <c r="G1438" s="8" t="s">
        <v>9983</v>
      </c>
      <c r="H1438" s="8" t="s">
        <v>557</v>
      </c>
      <c r="I1438" s="8" t="s">
        <v>9984</v>
      </c>
      <c r="J1438" s="8" t="s">
        <v>10003</v>
      </c>
      <c r="K1438" s="8" t="s">
        <v>560</v>
      </c>
      <c r="L1438" s="8" t="s">
        <v>229</v>
      </c>
      <c r="M1438" s="8" t="s">
        <v>10004</v>
      </c>
      <c r="N1438" s="8" t="s">
        <v>128</v>
      </c>
      <c r="O1438" s="8" t="s">
        <v>10005</v>
      </c>
      <c r="P1438" s="8" t="s">
        <v>10006</v>
      </c>
      <c r="Q1438" s="8" t="s">
        <v>150</v>
      </c>
      <c r="R1438" s="8"/>
      <c r="S1438" s="8" t="s">
        <v>71</v>
      </c>
      <c r="T1438" s="8" t="s">
        <v>67</v>
      </c>
      <c r="U1438" s="8" t="s">
        <v>150</v>
      </c>
      <c r="V1438" s="8" t="s">
        <v>152</v>
      </c>
      <c r="W1438" s="8" t="s">
        <v>67</v>
      </c>
      <c r="X1438" s="8">
        <v>14</v>
      </c>
      <c r="Y1438" s="8" t="s">
        <v>5796</v>
      </c>
      <c r="Z1438" s="8">
        <v>80</v>
      </c>
      <c r="AA1438" s="8">
        <v>0</v>
      </c>
      <c r="AB1438" s="9">
        <v>0</v>
      </c>
    </row>
    <row r="1439" spans="1:28" x14ac:dyDescent="0.2">
      <c r="A1439" s="10">
        <v>21504</v>
      </c>
      <c r="B1439" s="11" t="s">
        <v>10007</v>
      </c>
      <c r="C1439" s="11" t="s">
        <v>10008</v>
      </c>
      <c r="D1439" s="11" t="s">
        <v>9825</v>
      </c>
      <c r="E1439" s="11" t="s">
        <v>10009</v>
      </c>
      <c r="F1439" s="11" t="s">
        <v>353</v>
      </c>
      <c r="G1439" s="11" t="s">
        <v>1813</v>
      </c>
      <c r="H1439" s="11" t="s">
        <v>142</v>
      </c>
      <c r="I1439" s="11" t="s">
        <v>8369</v>
      </c>
      <c r="J1439" s="11" t="s">
        <v>10010</v>
      </c>
      <c r="K1439" s="11" t="s">
        <v>974</v>
      </c>
      <c r="L1439" s="11" t="s">
        <v>146</v>
      </c>
      <c r="M1439" s="11" t="s">
        <v>10011</v>
      </c>
      <c r="N1439" s="11" t="s">
        <v>128</v>
      </c>
      <c r="O1439" s="11" t="s">
        <v>10012</v>
      </c>
      <c r="P1439" s="11" t="s">
        <v>7313</v>
      </c>
      <c r="Q1439" s="11" t="s">
        <v>150</v>
      </c>
      <c r="R1439" s="11"/>
      <c r="S1439" s="11" t="s">
        <v>71</v>
      </c>
      <c r="T1439" s="11" t="s">
        <v>67</v>
      </c>
      <c r="U1439" s="11" t="s">
        <v>150</v>
      </c>
      <c r="V1439" s="11" t="s">
        <v>152</v>
      </c>
      <c r="W1439" s="11" t="s">
        <v>67</v>
      </c>
      <c r="X1439" s="11">
        <v>14</v>
      </c>
      <c r="Y1439" s="11" t="s">
        <v>5796</v>
      </c>
      <c r="Z1439" s="11">
        <v>80</v>
      </c>
      <c r="AA1439" s="11">
        <v>0</v>
      </c>
      <c r="AB1439" s="12">
        <v>0</v>
      </c>
    </row>
    <row r="1440" spans="1:28" x14ac:dyDescent="0.2">
      <c r="A1440" s="7">
        <v>21523</v>
      </c>
      <c r="B1440" s="8" t="s">
        <v>10013</v>
      </c>
      <c r="C1440" s="8" t="s">
        <v>10014</v>
      </c>
      <c r="D1440" s="8" t="s">
        <v>9706</v>
      </c>
      <c r="E1440" s="8" t="s">
        <v>10015</v>
      </c>
      <c r="F1440" s="8" t="s">
        <v>10016</v>
      </c>
      <c r="G1440" s="8" t="s">
        <v>141</v>
      </c>
      <c r="H1440" s="8" t="s">
        <v>142</v>
      </c>
      <c r="I1440" s="8" t="s">
        <v>10017</v>
      </c>
      <c r="J1440" s="8" t="s">
        <v>10018</v>
      </c>
      <c r="K1440" s="8" t="s">
        <v>145</v>
      </c>
      <c r="L1440" s="8" t="s">
        <v>146</v>
      </c>
      <c r="M1440" s="8" t="s">
        <v>10019</v>
      </c>
      <c r="N1440" s="8" t="s">
        <v>128</v>
      </c>
      <c r="O1440" s="8" t="s">
        <v>10020</v>
      </c>
      <c r="P1440" s="8" t="s">
        <v>3792</v>
      </c>
      <c r="Q1440" s="8" t="s">
        <v>150</v>
      </c>
      <c r="R1440" s="8"/>
      <c r="S1440" s="8" t="s">
        <v>71</v>
      </c>
      <c r="T1440" s="8" t="s">
        <v>67</v>
      </c>
      <c r="U1440" s="8" t="s">
        <v>150</v>
      </c>
      <c r="V1440" s="8" t="s">
        <v>152</v>
      </c>
      <c r="W1440" s="8" t="s">
        <v>67</v>
      </c>
      <c r="X1440" s="8">
        <v>14</v>
      </c>
      <c r="Y1440" s="8" t="s">
        <v>5796</v>
      </c>
      <c r="Z1440" s="8">
        <v>80</v>
      </c>
      <c r="AA1440" s="8">
        <v>0</v>
      </c>
      <c r="AB1440" s="9">
        <v>0</v>
      </c>
    </row>
    <row r="1441" spans="1:28" x14ac:dyDescent="0.2">
      <c r="A1441" s="10">
        <v>21538</v>
      </c>
      <c r="B1441" s="11" t="s">
        <v>10021</v>
      </c>
      <c r="C1441" s="11" t="s">
        <v>10022</v>
      </c>
      <c r="D1441" s="11" t="s">
        <v>138</v>
      </c>
      <c r="E1441" s="11"/>
      <c r="F1441" s="11" t="s">
        <v>353</v>
      </c>
      <c r="G1441" s="11" t="s">
        <v>224</v>
      </c>
      <c r="H1441" s="11" t="s">
        <v>225</v>
      </c>
      <c r="I1441" s="11" t="s">
        <v>10023</v>
      </c>
      <c r="J1441" s="11" t="s">
        <v>10024</v>
      </c>
      <c r="K1441" s="11" t="s">
        <v>228</v>
      </c>
      <c r="L1441" s="11" t="s">
        <v>229</v>
      </c>
      <c r="M1441" s="11" t="s">
        <v>10025</v>
      </c>
      <c r="N1441" s="11" t="s">
        <v>128</v>
      </c>
      <c r="O1441" s="11"/>
      <c r="P1441" s="11" t="s">
        <v>10026</v>
      </c>
      <c r="Q1441" s="11" t="s">
        <v>150</v>
      </c>
      <c r="R1441" s="11"/>
      <c r="S1441" s="11" t="s">
        <v>71</v>
      </c>
      <c r="T1441" s="11" t="s">
        <v>67</v>
      </c>
      <c r="U1441" s="11" t="s">
        <v>150</v>
      </c>
      <c r="V1441" s="11" t="s">
        <v>152</v>
      </c>
      <c r="W1441" s="11" t="s">
        <v>67</v>
      </c>
      <c r="X1441" s="11">
        <v>14</v>
      </c>
      <c r="Y1441" s="11" t="s">
        <v>5796</v>
      </c>
      <c r="Z1441" s="11">
        <v>80</v>
      </c>
      <c r="AA1441" s="11">
        <v>0</v>
      </c>
      <c r="AB1441" s="12">
        <v>0</v>
      </c>
    </row>
    <row r="1442" spans="1:28" x14ac:dyDescent="0.2">
      <c r="A1442" s="7">
        <v>106322</v>
      </c>
      <c r="B1442" s="8" t="s">
        <v>10027</v>
      </c>
      <c r="C1442" s="8" t="s">
        <v>10028</v>
      </c>
      <c r="D1442" s="8" t="s">
        <v>774</v>
      </c>
      <c r="E1442" s="8"/>
      <c r="F1442" s="8" t="s">
        <v>10029</v>
      </c>
      <c r="G1442" s="8" t="s">
        <v>3189</v>
      </c>
      <c r="H1442" s="8" t="s">
        <v>142</v>
      </c>
      <c r="I1442" s="8" t="s">
        <v>10030</v>
      </c>
      <c r="J1442" s="8" t="s">
        <v>10031</v>
      </c>
      <c r="K1442" s="8" t="s">
        <v>472</v>
      </c>
      <c r="L1442" s="8" t="s">
        <v>146</v>
      </c>
      <c r="M1442" s="8" t="s">
        <v>10032</v>
      </c>
      <c r="N1442" s="8" t="s">
        <v>128</v>
      </c>
      <c r="O1442" s="8" t="s">
        <v>10033</v>
      </c>
      <c r="P1442" s="8" t="s">
        <v>10034</v>
      </c>
      <c r="Q1442" s="8" t="s">
        <v>150</v>
      </c>
      <c r="R1442" s="8"/>
      <c r="S1442" s="8" t="s">
        <v>10035</v>
      </c>
      <c r="T1442" s="8" t="s">
        <v>67</v>
      </c>
      <c r="U1442" s="8" t="s">
        <v>150</v>
      </c>
      <c r="V1442" s="8" t="s">
        <v>152</v>
      </c>
      <c r="W1442" s="8" t="s">
        <v>67</v>
      </c>
      <c r="X1442" s="8">
        <v>14</v>
      </c>
      <c r="Y1442" s="8" t="s">
        <v>5796</v>
      </c>
      <c r="Z1442" s="8">
        <v>80</v>
      </c>
      <c r="AA1442" s="8">
        <v>0</v>
      </c>
      <c r="AB1442" s="9">
        <v>0</v>
      </c>
    </row>
    <row r="1443" spans="1:28" x14ac:dyDescent="0.2">
      <c r="A1443" s="10">
        <v>26202</v>
      </c>
      <c r="B1443" s="11" t="s">
        <v>10036</v>
      </c>
      <c r="C1443" s="11" t="s">
        <v>10037</v>
      </c>
      <c r="D1443" s="11" t="s">
        <v>4080</v>
      </c>
      <c r="E1443" s="11"/>
      <c r="F1443" s="11" t="s">
        <v>10038</v>
      </c>
      <c r="G1443" s="11" t="s">
        <v>1852</v>
      </c>
      <c r="H1443" s="11" t="s">
        <v>671</v>
      </c>
      <c r="I1443" s="11" t="s">
        <v>10039</v>
      </c>
      <c r="J1443" s="11" t="s">
        <v>10040</v>
      </c>
      <c r="K1443" s="11" t="s">
        <v>572</v>
      </c>
      <c r="L1443" s="11" t="s">
        <v>333</v>
      </c>
      <c r="M1443" s="11" t="s">
        <v>10041</v>
      </c>
      <c r="N1443" s="11" t="s">
        <v>128</v>
      </c>
      <c r="O1443" s="11" t="s">
        <v>10042</v>
      </c>
      <c r="P1443" s="11" t="s">
        <v>726</v>
      </c>
      <c r="Q1443" s="11" t="s">
        <v>150</v>
      </c>
      <c r="R1443" s="11"/>
      <c r="S1443" s="11" t="s">
        <v>10043</v>
      </c>
      <c r="T1443" s="11" t="s">
        <v>67</v>
      </c>
      <c r="U1443" s="11" t="s">
        <v>150</v>
      </c>
      <c r="V1443" s="11" t="s">
        <v>152</v>
      </c>
      <c r="W1443" s="11" t="s">
        <v>67</v>
      </c>
      <c r="X1443" s="11">
        <v>14</v>
      </c>
      <c r="Y1443" s="11" t="s">
        <v>5796</v>
      </c>
      <c r="Z1443" s="11">
        <v>80</v>
      </c>
      <c r="AA1443" s="11">
        <v>0</v>
      </c>
      <c r="AB1443" s="12">
        <v>0</v>
      </c>
    </row>
    <row r="1444" spans="1:28" x14ac:dyDescent="0.2">
      <c r="A1444" s="7">
        <v>32120</v>
      </c>
      <c r="B1444" s="8" t="s">
        <v>10044</v>
      </c>
      <c r="C1444" s="8" t="s">
        <v>324</v>
      </c>
      <c r="D1444" s="8" t="s">
        <v>10045</v>
      </c>
      <c r="E1444" s="8"/>
      <c r="F1444" s="8" t="s">
        <v>7725</v>
      </c>
      <c r="G1444" s="8" t="s">
        <v>328</v>
      </c>
      <c r="H1444" s="8" t="s">
        <v>329</v>
      </c>
      <c r="I1444" s="8" t="s">
        <v>10046</v>
      </c>
      <c r="J1444" s="8" t="s">
        <v>10047</v>
      </c>
      <c r="K1444" s="8" t="s">
        <v>332</v>
      </c>
      <c r="L1444" s="8" t="s">
        <v>333</v>
      </c>
      <c r="M1444" s="8" t="s">
        <v>10048</v>
      </c>
      <c r="N1444" s="8" t="s">
        <v>128</v>
      </c>
      <c r="O1444" s="8" t="s">
        <v>10049</v>
      </c>
      <c r="P1444" s="8" t="s">
        <v>10050</v>
      </c>
      <c r="Q1444" s="8" t="s">
        <v>150</v>
      </c>
      <c r="R1444" s="8"/>
      <c r="S1444" s="8" t="s">
        <v>10051</v>
      </c>
      <c r="T1444" s="8" t="s">
        <v>67</v>
      </c>
      <c r="U1444" s="8" t="s">
        <v>150</v>
      </c>
      <c r="V1444" s="8" t="s">
        <v>152</v>
      </c>
      <c r="W1444" s="8" t="s">
        <v>67</v>
      </c>
      <c r="X1444" s="8">
        <v>14</v>
      </c>
      <c r="Y1444" s="8" t="s">
        <v>5796</v>
      </c>
      <c r="Z1444" s="8">
        <v>80</v>
      </c>
      <c r="AA1444" s="8">
        <v>0</v>
      </c>
      <c r="AB1444" s="9">
        <v>0</v>
      </c>
    </row>
    <row r="1445" spans="1:28" x14ac:dyDescent="0.2">
      <c r="A1445" s="10">
        <v>112872</v>
      </c>
      <c r="B1445" s="11" t="s">
        <v>10052</v>
      </c>
      <c r="C1445" s="11" t="s">
        <v>1860</v>
      </c>
      <c r="D1445" s="11" t="s">
        <v>138</v>
      </c>
      <c r="E1445" s="11"/>
      <c r="F1445" s="11" t="s">
        <v>223</v>
      </c>
      <c r="G1445" s="11" t="s">
        <v>224</v>
      </c>
      <c r="H1445" s="11" t="s">
        <v>225</v>
      </c>
      <c r="I1445" s="11" t="s">
        <v>1861</v>
      </c>
      <c r="J1445" s="11" t="s">
        <v>1862</v>
      </c>
      <c r="K1445" s="11" t="s">
        <v>228</v>
      </c>
      <c r="L1445" s="11" t="s">
        <v>229</v>
      </c>
      <c r="M1445" s="11" t="s">
        <v>10053</v>
      </c>
      <c r="N1445" s="11" t="s">
        <v>128</v>
      </c>
      <c r="O1445" s="11" t="s">
        <v>10054</v>
      </c>
      <c r="P1445" s="11"/>
      <c r="Q1445" s="11" t="s">
        <v>131</v>
      </c>
      <c r="R1445" s="11"/>
      <c r="S1445" s="11" t="s">
        <v>1866</v>
      </c>
      <c r="T1445" s="11" t="s">
        <v>983</v>
      </c>
      <c r="U1445" s="11" t="s">
        <v>134</v>
      </c>
      <c r="V1445" s="11" t="s">
        <v>131</v>
      </c>
      <c r="W1445" s="11" t="s">
        <v>983</v>
      </c>
      <c r="X1445" s="11">
        <v>14</v>
      </c>
      <c r="Y1445" s="11" t="s">
        <v>5796</v>
      </c>
      <c r="Z1445" s="11">
        <v>80</v>
      </c>
      <c r="AA1445" s="11">
        <v>0</v>
      </c>
      <c r="AB1445" s="12">
        <v>0</v>
      </c>
    </row>
    <row r="1446" spans="1:28" x14ac:dyDescent="0.2">
      <c r="A1446" s="7">
        <v>23306</v>
      </c>
      <c r="B1446" s="8" t="s">
        <v>10055</v>
      </c>
      <c r="C1446" s="8" t="s">
        <v>1361</v>
      </c>
      <c r="D1446" s="8" t="s">
        <v>1362</v>
      </c>
      <c r="E1446" s="8" t="s">
        <v>10056</v>
      </c>
      <c r="F1446" s="8" t="s">
        <v>353</v>
      </c>
      <c r="G1446" s="8" t="s">
        <v>1364</v>
      </c>
      <c r="H1446" s="8" t="s">
        <v>329</v>
      </c>
      <c r="I1446" s="8" t="s">
        <v>1365</v>
      </c>
      <c r="J1446" s="8" t="s">
        <v>4531</v>
      </c>
      <c r="K1446" s="8" t="s">
        <v>431</v>
      </c>
      <c r="L1446" s="8" t="s">
        <v>333</v>
      </c>
      <c r="M1446" s="8" t="s">
        <v>10057</v>
      </c>
      <c r="N1446" s="8" t="s">
        <v>128</v>
      </c>
      <c r="O1446" s="8" t="s">
        <v>10058</v>
      </c>
      <c r="P1446" s="8" t="s">
        <v>10059</v>
      </c>
      <c r="Q1446" s="8" t="s">
        <v>150</v>
      </c>
      <c r="R1446" s="8"/>
      <c r="S1446" s="8" t="s">
        <v>1370</v>
      </c>
      <c r="T1446" s="8" t="s">
        <v>70</v>
      </c>
      <c r="U1446" s="8" t="s">
        <v>150</v>
      </c>
      <c r="V1446" s="8" t="s">
        <v>70</v>
      </c>
      <c r="W1446" s="8" t="s">
        <v>70</v>
      </c>
      <c r="X1446" s="8">
        <v>14</v>
      </c>
      <c r="Y1446" s="8" t="s">
        <v>5796</v>
      </c>
      <c r="Z1446" s="8">
        <v>80</v>
      </c>
      <c r="AA1446" s="8">
        <v>0</v>
      </c>
      <c r="AB1446" s="9">
        <v>0</v>
      </c>
    </row>
    <row r="1447" spans="1:28" x14ac:dyDescent="0.2">
      <c r="A1447" s="10">
        <v>23830</v>
      </c>
      <c r="B1447" s="11" t="s">
        <v>10060</v>
      </c>
      <c r="C1447" s="11" t="s">
        <v>2481</v>
      </c>
      <c r="D1447" s="11" t="s">
        <v>10061</v>
      </c>
      <c r="E1447" s="11"/>
      <c r="F1447" s="11" t="s">
        <v>353</v>
      </c>
      <c r="G1447" s="11" t="s">
        <v>10062</v>
      </c>
      <c r="H1447" s="11" t="s">
        <v>142</v>
      </c>
      <c r="I1447" s="11"/>
      <c r="J1447" s="11" t="s">
        <v>10063</v>
      </c>
      <c r="K1447" s="11" t="s">
        <v>1029</v>
      </c>
      <c r="L1447" s="11" t="s">
        <v>464</v>
      </c>
      <c r="M1447" s="11" t="s">
        <v>10064</v>
      </c>
      <c r="N1447" s="11" t="s">
        <v>128</v>
      </c>
      <c r="O1447" s="11" t="s">
        <v>10065</v>
      </c>
      <c r="P1447" s="11" t="s">
        <v>10066</v>
      </c>
      <c r="Q1447" s="11" t="s">
        <v>150</v>
      </c>
      <c r="R1447" s="11"/>
      <c r="S1447" s="11" t="s">
        <v>71</v>
      </c>
      <c r="T1447" s="11" t="s">
        <v>168</v>
      </c>
      <c r="U1447" s="11" t="s">
        <v>150</v>
      </c>
      <c r="V1447" s="11" t="s">
        <v>168</v>
      </c>
      <c r="W1447" s="11" t="s">
        <v>168</v>
      </c>
      <c r="X1447" s="11">
        <v>14</v>
      </c>
      <c r="Y1447" s="11" t="s">
        <v>5796</v>
      </c>
      <c r="Z1447" s="11">
        <v>80</v>
      </c>
      <c r="AA1447" s="11">
        <v>0</v>
      </c>
      <c r="AB1447" s="12">
        <v>0</v>
      </c>
    </row>
    <row r="1448" spans="1:28" x14ac:dyDescent="0.2">
      <c r="A1448" s="7">
        <v>23708</v>
      </c>
      <c r="B1448" s="8" t="s">
        <v>10067</v>
      </c>
      <c r="C1448" s="8" t="s">
        <v>10068</v>
      </c>
      <c r="D1448" s="8" t="s">
        <v>7422</v>
      </c>
      <c r="E1448" s="8"/>
      <c r="F1448" s="8" t="s">
        <v>10069</v>
      </c>
      <c r="G1448" s="8" t="s">
        <v>10070</v>
      </c>
      <c r="H1448" s="8" t="s">
        <v>122</v>
      </c>
      <c r="I1448" s="8" t="s">
        <v>10071</v>
      </c>
      <c r="J1448" s="8" t="s">
        <v>10072</v>
      </c>
      <c r="K1448" s="8" t="s">
        <v>125</v>
      </c>
      <c r="L1448" s="8" t="s">
        <v>126</v>
      </c>
      <c r="M1448" s="8" t="s">
        <v>10073</v>
      </c>
      <c r="N1448" s="8" t="s">
        <v>128</v>
      </c>
      <c r="O1448" s="8" t="s">
        <v>10074</v>
      </c>
      <c r="P1448" s="8" t="s">
        <v>3480</v>
      </c>
      <c r="Q1448" s="8" t="s">
        <v>150</v>
      </c>
      <c r="R1448" s="8"/>
      <c r="S1448" s="8" t="s">
        <v>71</v>
      </c>
      <c r="T1448" s="8" t="s">
        <v>168</v>
      </c>
      <c r="U1448" s="8" t="s">
        <v>150</v>
      </c>
      <c r="V1448" s="8" t="s">
        <v>168</v>
      </c>
      <c r="W1448" s="8" t="s">
        <v>168</v>
      </c>
      <c r="X1448" s="8">
        <v>14</v>
      </c>
      <c r="Y1448" s="8" t="s">
        <v>5796</v>
      </c>
      <c r="Z1448" s="8">
        <v>80</v>
      </c>
      <c r="AA1448" s="8">
        <v>0</v>
      </c>
      <c r="AB1448" s="9">
        <v>0</v>
      </c>
    </row>
    <row r="1449" spans="1:28" x14ac:dyDescent="0.2">
      <c r="A1449" s="10">
        <v>21176</v>
      </c>
      <c r="B1449" s="11" t="s">
        <v>10075</v>
      </c>
      <c r="C1449" s="11" t="s">
        <v>4521</v>
      </c>
      <c r="D1449" s="11" t="s">
        <v>138</v>
      </c>
      <c r="E1449" s="11" t="s">
        <v>8270</v>
      </c>
      <c r="F1449" s="11" t="s">
        <v>4523</v>
      </c>
      <c r="G1449" s="11" t="s">
        <v>4513</v>
      </c>
      <c r="H1449" s="11" t="s">
        <v>847</v>
      </c>
      <c r="I1449" s="11" t="s">
        <v>4524</v>
      </c>
      <c r="J1449" s="11" t="s">
        <v>10076</v>
      </c>
      <c r="K1449" s="11" t="s">
        <v>1091</v>
      </c>
      <c r="L1449" s="11" t="s">
        <v>126</v>
      </c>
      <c r="M1449" s="11" t="s">
        <v>10077</v>
      </c>
      <c r="N1449" s="11" t="s">
        <v>128</v>
      </c>
      <c r="O1449" s="11" t="s">
        <v>10078</v>
      </c>
      <c r="P1449" s="11" t="s">
        <v>10079</v>
      </c>
      <c r="Q1449" s="11" t="s">
        <v>150</v>
      </c>
      <c r="R1449" s="11"/>
      <c r="S1449" s="11" t="s">
        <v>4528</v>
      </c>
      <c r="T1449" s="11" t="s">
        <v>289</v>
      </c>
      <c r="U1449" s="11" t="s">
        <v>150</v>
      </c>
      <c r="V1449" s="11" t="s">
        <v>289</v>
      </c>
      <c r="W1449" s="11" t="s">
        <v>289</v>
      </c>
      <c r="X1449" s="11">
        <v>13</v>
      </c>
      <c r="Y1449" s="11" t="s">
        <v>5796</v>
      </c>
      <c r="Z1449" s="11">
        <v>80</v>
      </c>
      <c r="AA1449" s="11">
        <v>0</v>
      </c>
      <c r="AB1449" s="12">
        <v>0</v>
      </c>
    </row>
    <row r="1450" spans="1:28" x14ac:dyDescent="0.2">
      <c r="A1450" s="7">
        <v>20792</v>
      </c>
      <c r="B1450" s="8" t="s">
        <v>10080</v>
      </c>
      <c r="C1450" s="8" t="s">
        <v>10081</v>
      </c>
      <c r="D1450" s="8" t="s">
        <v>6658</v>
      </c>
      <c r="E1450" s="8"/>
      <c r="F1450" s="8" t="s">
        <v>10082</v>
      </c>
      <c r="G1450" s="8" t="s">
        <v>469</v>
      </c>
      <c r="H1450" s="8" t="s">
        <v>142</v>
      </c>
      <c r="I1450" s="8" t="s">
        <v>10083</v>
      </c>
      <c r="J1450" s="8" t="s">
        <v>10084</v>
      </c>
      <c r="K1450" s="8" t="s">
        <v>472</v>
      </c>
      <c r="L1450" s="8" t="s">
        <v>146</v>
      </c>
      <c r="M1450" s="8" t="s">
        <v>10085</v>
      </c>
      <c r="N1450" s="8" t="s">
        <v>128</v>
      </c>
      <c r="O1450" s="8" t="s">
        <v>10086</v>
      </c>
      <c r="P1450" s="8" t="s">
        <v>10087</v>
      </c>
      <c r="Q1450" s="8" t="s">
        <v>150</v>
      </c>
      <c r="R1450" s="8"/>
      <c r="S1450" s="8" t="s">
        <v>71</v>
      </c>
      <c r="T1450" s="8" t="s">
        <v>289</v>
      </c>
      <c r="U1450" s="8" t="s">
        <v>150</v>
      </c>
      <c r="V1450" s="8" t="s">
        <v>289</v>
      </c>
      <c r="W1450" s="8" t="s">
        <v>289</v>
      </c>
      <c r="X1450" s="8">
        <v>13</v>
      </c>
      <c r="Y1450" s="8" t="s">
        <v>5796</v>
      </c>
      <c r="Z1450" s="8">
        <v>80</v>
      </c>
      <c r="AA1450" s="8">
        <v>0</v>
      </c>
      <c r="AB1450" s="9">
        <v>0</v>
      </c>
    </row>
    <row r="1451" spans="1:28" x14ac:dyDescent="0.2">
      <c r="A1451" s="10">
        <v>21601</v>
      </c>
      <c r="B1451" s="11" t="s">
        <v>10088</v>
      </c>
      <c r="C1451" s="11" t="s">
        <v>10089</v>
      </c>
      <c r="D1451" s="11" t="s">
        <v>10090</v>
      </c>
      <c r="E1451" s="11" t="s">
        <v>10091</v>
      </c>
      <c r="F1451" s="11" t="s">
        <v>10092</v>
      </c>
      <c r="G1451" s="11" t="s">
        <v>328</v>
      </c>
      <c r="H1451" s="11" t="s">
        <v>329</v>
      </c>
      <c r="I1451" s="11" t="s">
        <v>10093</v>
      </c>
      <c r="J1451" s="11" t="s">
        <v>10094</v>
      </c>
      <c r="K1451" s="11" t="s">
        <v>572</v>
      </c>
      <c r="L1451" s="11" t="s">
        <v>333</v>
      </c>
      <c r="M1451" s="11" t="s">
        <v>10095</v>
      </c>
      <c r="N1451" s="11" t="s">
        <v>128</v>
      </c>
      <c r="O1451" s="11" t="s">
        <v>10096</v>
      </c>
      <c r="P1451" s="11" t="s">
        <v>10097</v>
      </c>
      <c r="Q1451" s="11" t="s">
        <v>150</v>
      </c>
      <c r="R1451" s="11"/>
      <c r="S1451" s="11" t="s">
        <v>71</v>
      </c>
      <c r="T1451" s="11" t="s">
        <v>67</v>
      </c>
      <c r="U1451" s="11" t="s">
        <v>150</v>
      </c>
      <c r="V1451" s="11" t="s">
        <v>152</v>
      </c>
      <c r="W1451" s="11" t="s">
        <v>67</v>
      </c>
      <c r="X1451" s="11">
        <v>13</v>
      </c>
      <c r="Y1451" s="11" t="s">
        <v>5796</v>
      </c>
      <c r="Z1451" s="11">
        <v>80</v>
      </c>
      <c r="AA1451" s="11">
        <v>0</v>
      </c>
      <c r="AB1451" s="12">
        <v>0</v>
      </c>
    </row>
    <row r="1452" spans="1:28" x14ac:dyDescent="0.2">
      <c r="A1452" s="7">
        <v>21264</v>
      </c>
      <c r="B1452" s="8" t="s">
        <v>10098</v>
      </c>
      <c r="C1452" s="8" t="s">
        <v>10099</v>
      </c>
      <c r="D1452" s="8" t="s">
        <v>10100</v>
      </c>
      <c r="E1452" s="8" t="s">
        <v>10101</v>
      </c>
      <c r="F1452" s="8" t="s">
        <v>10102</v>
      </c>
      <c r="G1452" s="8" t="s">
        <v>556</v>
      </c>
      <c r="H1452" s="8" t="s">
        <v>557</v>
      </c>
      <c r="I1452" s="8" t="s">
        <v>10103</v>
      </c>
      <c r="J1452" s="8" t="s">
        <v>10104</v>
      </c>
      <c r="K1452" s="8" t="s">
        <v>560</v>
      </c>
      <c r="L1452" s="8" t="s">
        <v>229</v>
      </c>
      <c r="M1452" s="8" t="s">
        <v>10105</v>
      </c>
      <c r="N1452" s="8" t="s">
        <v>128</v>
      </c>
      <c r="O1452" s="8" t="s">
        <v>10106</v>
      </c>
      <c r="P1452" s="8" t="s">
        <v>10107</v>
      </c>
      <c r="Q1452" s="8" t="s">
        <v>150</v>
      </c>
      <c r="R1452" s="8"/>
      <c r="S1452" s="8" t="s">
        <v>71</v>
      </c>
      <c r="T1452" s="8" t="s">
        <v>67</v>
      </c>
      <c r="U1452" s="8" t="s">
        <v>150</v>
      </c>
      <c r="V1452" s="8" t="s">
        <v>152</v>
      </c>
      <c r="W1452" s="8" t="s">
        <v>67</v>
      </c>
      <c r="X1452" s="8">
        <v>13</v>
      </c>
      <c r="Y1452" s="8" t="s">
        <v>5796</v>
      </c>
      <c r="Z1452" s="8">
        <v>80</v>
      </c>
      <c r="AA1452" s="8">
        <v>0</v>
      </c>
      <c r="AB1452" s="9">
        <v>0</v>
      </c>
    </row>
    <row r="1453" spans="1:28" x14ac:dyDescent="0.2">
      <c r="A1453" s="10">
        <v>21341</v>
      </c>
      <c r="B1453" s="11" t="s">
        <v>10108</v>
      </c>
      <c r="C1453" s="11" t="s">
        <v>10109</v>
      </c>
      <c r="D1453" s="11" t="s">
        <v>7326</v>
      </c>
      <c r="E1453" s="11"/>
      <c r="F1453" s="11" t="s">
        <v>10110</v>
      </c>
      <c r="G1453" s="11" t="s">
        <v>1813</v>
      </c>
      <c r="H1453" s="11" t="s">
        <v>142</v>
      </c>
      <c r="I1453" s="11" t="s">
        <v>10111</v>
      </c>
      <c r="J1453" s="11" t="s">
        <v>10112</v>
      </c>
      <c r="K1453" s="11" t="s">
        <v>974</v>
      </c>
      <c r="L1453" s="11" t="s">
        <v>146</v>
      </c>
      <c r="M1453" s="11" t="s">
        <v>10113</v>
      </c>
      <c r="N1453" s="11" t="s">
        <v>128</v>
      </c>
      <c r="O1453" s="11" t="s">
        <v>10114</v>
      </c>
      <c r="P1453" s="11" t="s">
        <v>10115</v>
      </c>
      <c r="Q1453" s="11" t="s">
        <v>150</v>
      </c>
      <c r="R1453" s="11"/>
      <c r="S1453" s="11" t="s">
        <v>71</v>
      </c>
      <c r="T1453" s="11" t="s">
        <v>67</v>
      </c>
      <c r="U1453" s="11" t="s">
        <v>150</v>
      </c>
      <c r="V1453" s="11" t="s">
        <v>152</v>
      </c>
      <c r="W1453" s="11" t="s">
        <v>67</v>
      </c>
      <c r="X1453" s="11">
        <v>13</v>
      </c>
      <c r="Y1453" s="11" t="s">
        <v>5796</v>
      </c>
      <c r="Z1453" s="11">
        <v>80</v>
      </c>
      <c r="AA1453" s="11">
        <v>0</v>
      </c>
      <c r="AB1453" s="12">
        <v>0</v>
      </c>
    </row>
    <row r="1454" spans="1:28" x14ac:dyDescent="0.2">
      <c r="A1454" s="7">
        <v>85238</v>
      </c>
      <c r="B1454" s="8" t="s">
        <v>10116</v>
      </c>
      <c r="C1454" s="8" t="s">
        <v>10117</v>
      </c>
      <c r="D1454" s="8" t="s">
        <v>10118</v>
      </c>
      <c r="E1454" s="8"/>
      <c r="F1454" s="8" t="s">
        <v>10119</v>
      </c>
      <c r="G1454" s="8" t="s">
        <v>4675</v>
      </c>
      <c r="H1454" s="8" t="s">
        <v>191</v>
      </c>
      <c r="I1454" s="8" t="s">
        <v>10120</v>
      </c>
      <c r="J1454" s="8" t="s">
        <v>10121</v>
      </c>
      <c r="K1454" s="8" t="s">
        <v>194</v>
      </c>
      <c r="L1454" s="8" t="s">
        <v>163</v>
      </c>
      <c r="M1454" s="8" t="s">
        <v>10122</v>
      </c>
      <c r="N1454" s="8" t="s">
        <v>128</v>
      </c>
      <c r="O1454" s="8" t="s">
        <v>10123</v>
      </c>
      <c r="P1454" s="8" t="s">
        <v>10124</v>
      </c>
      <c r="Q1454" s="8" t="s">
        <v>150</v>
      </c>
      <c r="R1454" s="8"/>
      <c r="S1454" s="8" t="s">
        <v>10125</v>
      </c>
      <c r="T1454" s="8" t="s">
        <v>67</v>
      </c>
      <c r="U1454" s="8" t="s">
        <v>150</v>
      </c>
      <c r="V1454" s="8" t="s">
        <v>152</v>
      </c>
      <c r="W1454" s="8" t="s">
        <v>67</v>
      </c>
      <c r="X1454" s="8">
        <v>13</v>
      </c>
      <c r="Y1454" s="8" t="s">
        <v>5796</v>
      </c>
      <c r="Z1454" s="8">
        <v>80</v>
      </c>
      <c r="AA1454" s="8">
        <v>0</v>
      </c>
      <c r="AB1454" s="9">
        <v>0</v>
      </c>
    </row>
    <row r="1455" spans="1:28" x14ac:dyDescent="0.2">
      <c r="A1455" s="10">
        <v>22841</v>
      </c>
      <c r="B1455" s="11" t="s">
        <v>10126</v>
      </c>
      <c r="C1455" s="11" t="s">
        <v>9767</v>
      </c>
      <c r="D1455" s="11" t="s">
        <v>9768</v>
      </c>
      <c r="E1455" s="11" t="s">
        <v>10127</v>
      </c>
      <c r="F1455" s="11" t="s">
        <v>353</v>
      </c>
      <c r="G1455" s="11" t="s">
        <v>5116</v>
      </c>
      <c r="H1455" s="11" t="s">
        <v>122</v>
      </c>
      <c r="I1455" s="11" t="s">
        <v>9770</v>
      </c>
      <c r="J1455" s="11" t="s">
        <v>9771</v>
      </c>
      <c r="K1455" s="11" t="s">
        <v>125</v>
      </c>
      <c r="L1455" s="11" t="s">
        <v>126</v>
      </c>
      <c r="M1455" s="11" t="s">
        <v>10128</v>
      </c>
      <c r="N1455" s="11" t="s">
        <v>128</v>
      </c>
      <c r="O1455" s="11" t="s">
        <v>10129</v>
      </c>
      <c r="P1455" s="11" t="s">
        <v>1283</v>
      </c>
      <c r="Q1455" s="11" t="s">
        <v>150</v>
      </c>
      <c r="R1455" s="11"/>
      <c r="S1455" s="11" t="s">
        <v>9774</v>
      </c>
      <c r="T1455" s="11" t="s">
        <v>7189</v>
      </c>
      <c r="U1455" s="11" t="s">
        <v>150</v>
      </c>
      <c r="V1455" s="11" t="s">
        <v>7189</v>
      </c>
      <c r="W1455" s="11" t="s">
        <v>7189</v>
      </c>
      <c r="X1455" s="11">
        <v>13</v>
      </c>
      <c r="Y1455" s="11" t="s">
        <v>5796</v>
      </c>
      <c r="Z1455" s="11">
        <v>80</v>
      </c>
      <c r="AA1455" s="11">
        <v>0</v>
      </c>
      <c r="AB1455" s="12">
        <v>0</v>
      </c>
    </row>
    <row r="1456" spans="1:28" x14ac:dyDescent="0.2">
      <c r="A1456" s="7">
        <v>37864</v>
      </c>
      <c r="B1456" s="8" t="s">
        <v>10130</v>
      </c>
      <c r="C1456" s="8" t="s">
        <v>10131</v>
      </c>
      <c r="D1456" s="8" t="s">
        <v>10132</v>
      </c>
      <c r="E1456" s="8"/>
      <c r="F1456" s="8" t="s">
        <v>10133</v>
      </c>
      <c r="G1456" s="8" t="s">
        <v>190</v>
      </c>
      <c r="H1456" s="8" t="s">
        <v>191</v>
      </c>
      <c r="I1456" s="8" t="s">
        <v>10134</v>
      </c>
      <c r="J1456" s="8" t="s">
        <v>10135</v>
      </c>
      <c r="K1456" s="8" t="s">
        <v>194</v>
      </c>
      <c r="L1456" s="8" t="s">
        <v>163</v>
      </c>
      <c r="M1456" s="8" t="s">
        <v>10136</v>
      </c>
      <c r="N1456" s="8" t="s">
        <v>128</v>
      </c>
      <c r="O1456" s="8" t="s">
        <v>10137</v>
      </c>
      <c r="P1456" s="8" t="s">
        <v>7691</v>
      </c>
      <c r="Q1456" s="8" t="s">
        <v>150</v>
      </c>
      <c r="R1456" s="8"/>
      <c r="S1456" s="8" t="s">
        <v>71</v>
      </c>
      <c r="T1456" s="8" t="s">
        <v>168</v>
      </c>
      <c r="U1456" s="8" t="s">
        <v>150</v>
      </c>
      <c r="V1456" s="8" t="s">
        <v>168</v>
      </c>
      <c r="W1456" s="8" t="s">
        <v>168</v>
      </c>
      <c r="X1456" s="8">
        <v>13</v>
      </c>
      <c r="Y1456" s="8" t="s">
        <v>5796</v>
      </c>
      <c r="Z1456" s="8">
        <v>80</v>
      </c>
      <c r="AA1456" s="8">
        <v>0</v>
      </c>
      <c r="AB1456" s="9">
        <v>0</v>
      </c>
    </row>
    <row r="1457" spans="1:28" x14ac:dyDescent="0.2">
      <c r="A1457" s="10">
        <v>92311</v>
      </c>
      <c r="B1457" s="11" t="s">
        <v>10138</v>
      </c>
      <c r="C1457" s="11" t="s">
        <v>10139</v>
      </c>
      <c r="D1457" s="11" t="s">
        <v>8328</v>
      </c>
      <c r="E1457" s="11"/>
      <c r="F1457" s="11" t="s">
        <v>10140</v>
      </c>
      <c r="G1457" s="11" t="s">
        <v>4675</v>
      </c>
      <c r="H1457" s="11" t="s">
        <v>191</v>
      </c>
      <c r="I1457" s="11" t="s">
        <v>10141</v>
      </c>
      <c r="J1457" s="11" t="s">
        <v>10142</v>
      </c>
      <c r="K1457" s="11" t="s">
        <v>194</v>
      </c>
      <c r="L1457" s="11" t="s">
        <v>163</v>
      </c>
      <c r="M1457" s="11" t="s">
        <v>10143</v>
      </c>
      <c r="N1457" s="11" t="s">
        <v>128</v>
      </c>
      <c r="O1457" s="11" t="s">
        <v>10144</v>
      </c>
      <c r="P1457" s="11" t="s">
        <v>10145</v>
      </c>
      <c r="Q1457" s="11" t="s">
        <v>150</v>
      </c>
      <c r="R1457" s="11"/>
      <c r="S1457" s="11" t="s">
        <v>71</v>
      </c>
      <c r="T1457" s="11" t="s">
        <v>168</v>
      </c>
      <c r="U1457" s="11" t="s">
        <v>150</v>
      </c>
      <c r="V1457" s="11" t="s">
        <v>168</v>
      </c>
      <c r="W1457" s="11" t="s">
        <v>168</v>
      </c>
      <c r="X1457" s="11">
        <v>13</v>
      </c>
      <c r="Y1457" s="11" t="s">
        <v>5796</v>
      </c>
      <c r="Z1457" s="11">
        <v>80</v>
      </c>
      <c r="AA1457" s="11">
        <v>0</v>
      </c>
      <c r="AB1457" s="12">
        <v>0</v>
      </c>
    </row>
    <row r="1458" spans="1:28" x14ac:dyDescent="0.2">
      <c r="A1458" s="7">
        <v>24649</v>
      </c>
      <c r="B1458" s="8" t="s">
        <v>10146</v>
      </c>
      <c r="C1458" s="8" t="s">
        <v>10147</v>
      </c>
      <c r="D1458" s="8" t="s">
        <v>2690</v>
      </c>
      <c r="E1458" s="8" t="s">
        <v>10148</v>
      </c>
      <c r="F1458" s="8" t="s">
        <v>10149</v>
      </c>
      <c r="G1458" s="8" t="s">
        <v>3654</v>
      </c>
      <c r="H1458" s="8" t="s">
        <v>142</v>
      </c>
      <c r="I1458" s="8" t="s">
        <v>10150</v>
      </c>
      <c r="J1458" s="8" t="s">
        <v>10151</v>
      </c>
      <c r="K1458" s="8" t="s">
        <v>1029</v>
      </c>
      <c r="L1458" s="8" t="s">
        <v>464</v>
      </c>
      <c r="M1458" s="8" t="s">
        <v>10152</v>
      </c>
      <c r="N1458" s="8" t="s">
        <v>128</v>
      </c>
      <c r="O1458" s="8" t="s">
        <v>10153</v>
      </c>
      <c r="P1458" s="8" t="s">
        <v>10154</v>
      </c>
      <c r="Q1458" s="8" t="s">
        <v>150</v>
      </c>
      <c r="R1458" s="8"/>
      <c r="S1458" s="8" t="s">
        <v>10155</v>
      </c>
      <c r="T1458" s="8" t="s">
        <v>69</v>
      </c>
      <c r="U1458" s="8" t="s">
        <v>150</v>
      </c>
      <c r="V1458" s="8" t="s">
        <v>152</v>
      </c>
      <c r="W1458" s="8" t="s">
        <v>69</v>
      </c>
      <c r="X1458" s="8">
        <v>13</v>
      </c>
      <c r="Y1458" s="8" t="s">
        <v>5796</v>
      </c>
      <c r="Z1458" s="8">
        <v>80</v>
      </c>
      <c r="AA1458" s="8">
        <v>0</v>
      </c>
      <c r="AB1458" s="9">
        <v>0</v>
      </c>
    </row>
    <row r="1459" spans="1:28" x14ac:dyDescent="0.2">
      <c r="A1459" s="10">
        <v>111400</v>
      </c>
      <c r="B1459" s="11" t="s">
        <v>10156</v>
      </c>
      <c r="C1459" s="11" t="s">
        <v>3919</v>
      </c>
      <c r="D1459" s="11" t="s">
        <v>4913</v>
      </c>
      <c r="E1459" s="11" t="s">
        <v>10157</v>
      </c>
      <c r="F1459" s="11" t="s">
        <v>353</v>
      </c>
      <c r="G1459" s="11" t="s">
        <v>3921</v>
      </c>
      <c r="H1459" s="11" t="s">
        <v>122</v>
      </c>
      <c r="I1459" s="11" t="s">
        <v>3922</v>
      </c>
      <c r="J1459" s="11" t="s">
        <v>10158</v>
      </c>
      <c r="K1459" s="11" t="s">
        <v>1051</v>
      </c>
      <c r="L1459" s="11" t="s">
        <v>126</v>
      </c>
      <c r="M1459" s="11" t="s">
        <v>10159</v>
      </c>
      <c r="N1459" s="11" t="s">
        <v>128</v>
      </c>
      <c r="O1459" s="11" t="s">
        <v>10160</v>
      </c>
      <c r="P1459" s="11"/>
      <c r="Q1459" s="11" t="s">
        <v>740</v>
      </c>
      <c r="R1459" s="11"/>
      <c r="S1459" s="11" t="s">
        <v>71</v>
      </c>
      <c r="T1459" s="11" t="s">
        <v>1745</v>
      </c>
      <c r="U1459" s="11" t="s">
        <v>134</v>
      </c>
      <c r="V1459" s="11" t="s">
        <v>740</v>
      </c>
      <c r="W1459" s="11" t="s">
        <v>1745</v>
      </c>
      <c r="X1459" s="11">
        <v>13</v>
      </c>
      <c r="Y1459" s="11" t="s">
        <v>5796</v>
      </c>
      <c r="Z1459" s="11">
        <v>80</v>
      </c>
      <c r="AA1459" s="11">
        <v>0</v>
      </c>
      <c r="AB1459" s="12">
        <v>0</v>
      </c>
    </row>
    <row r="1460" spans="1:28" x14ac:dyDescent="0.2">
      <c r="A1460" s="7">
        <v>31155</v>
      </c>
      <c r="B1460" s="8" t="s">
        <v>10161</v>
      </c>
      <c r="C1460" s="8" t="s">
        <v>10162</v>
      </c>
      <c r="D1460" s="8" t="s">
        <v>10163</v>
      </c>
      <c r="E1460" s="8"/>
      <c r="F1460" s="8" t="s">
        <v>10164</v>
      </c>
      <c r="G1460" s="8" t="s">
        <v>224</v>
      </c>
      <c r="H1460" s="8" t="s">
        <v>225</v>
      </c>
      <c r="I1460" s="8" t="s">
        <v>1861</v>
      </c>
      <c r="J1460" s="8" t="s">
        <v>10165</v>
      </c>
      <c r="K1460" s="8" t="s">
        <v>228</v>
      </c>
      <c r="L1460" s="8" t="s">
        <v>229</v>
      </c>
      <c r="M1460" s="8" t="s">
        <v>10166</v>
      </c>
      <c r="N1460" s="8" t="s">
        <v>128</v>
      </c>
      <c r="O1460" s="8"/>
      <c r="P1460" s="8"/>
      <c r="Q1460" s="8" t="s">
        <v>740</v>
      </c>
      <c r="R1460" s="8"/>
      <c r="S1460" s="8" t="s">
        <v>1866</v>
      </c>
      <c r="T1460" s="8" t="s">
        <v>741</v>
      </c>
      <c r="U1460" s="8" t="s">
        <v>134</v>
      </c>
      <c r="V1460" s="8" t="s">
        <v>740</v>
      </c>
      <c r="W1460" s="8" t="s">
        <v>741</v>
      </c>
      <c r="X1460" s="8">
        <v>13</v>
      </c>
      <c r="Y1460" s="8" t="s">
        <v>5796</v>
      </c>
      <c r="Z1460" s="8">
        <v>80</v>
      </c>
      <c r="AA1460" s="8">
        <v>0</v>
      </c>
      <c r="AB1460" s="9">
        <v>0</v>
      </c>
    </row>
    <row r="1461" spans="1:28" x14ac:dyDescent="0.2">
      <c r="A1461" s="10">
        <v>21149</v>
      </c>
      <c r="B1461" s="11" t="s">
        <v>10167</v>
      </c>
      <c r="C1461" s="11" t="s">
        <v>10168</v>
      </c>
      <c r="D1461" s="11" t="s">
        <v>10169</v>
      </c>
      <c r="E1461" s="11" t="s">
        <v>10170</v>
      </c>
      <c r="F1461" s="11" t="s">
        <v>120</v>
      </c>
      <c r="G1461" s="11" t="s">
        <v>121</v>
      </c>
      <c r="H1461" s="11" t="s">
        <v>122</v>
      </c>
      <c r="I1461" s="11" t="s">
        <v>10171</v>
      </c>
      <c r="J1461" s="11" t="s">
        <v>10172</v>
      </c>
      <c r="K1461" s="11" t="s">
        <v>1051</v>
      </c>
      <c r="L1461" s="11" t="s">
        <v>126</v>
      </c>
      <c r="M1461" s="11" t="s">
        <v>10173</v>
      </c>
      <c r="N1461" s="11" t="s">
        <v>128</v>
      </c>
      <c r="O1461" s="11" t="s">
        <v>10174</v>
      </c>
      <c r="P1461" s="11" t="s">
        <v>10175</v>
      </c>
      <c r="Q1461" s="11" t="s">
        <v>150</v>
      </c>
      <c r="R1461" s="11"/>
      <c r="S1461" s="11" t="s">
        <v>71</v>
      </c>
      <c r="T1461" s="11" t="s">
        <v>289</v>
      </c>
      <c r="U1461" s="11" t="s">
        <v>150</v>
      </c>
      <c r="V1461" s="11" t="s">
        <v>289</v>
      </c>
      <c r="W1461" s="11" t="s">
        <v>289</v>
      </c>
      <c r="X1461" s="11">
        <v>12</v>
      </c>
      <c r="Y1461" s="11" t="s">
        <v>5796</v>
      </c>
      <c r="Z1461" s="11">
        <v>80</v>
      </c>
      <c r="AA1461" s="11">
        <v>0</v>
      </c>
      <c r="AB1461" s="12">
        <v>0</v>
      </c>
    </row>
    <row r="1462" spans="1:28" x14ac:dyDescent="0.2">
      <c r="A1462" s="7">
        <v>38000</v>
      </c>
      <c r="B1462" s="8" t="s">
        <v>10176</v>
      </c>
      <c r="C1462" s="8" t="s">
        <v>10177</v>
      </c>
      <c r="D1462" s="8" t="s">
        <v>10178</v>
      </c>
      <c r="E1462" s="8"/>
      <c r="F1462" s="8"/>
      <c r="G1462" s="8" t="s">
        <v>2618</v>
      </c>
      <c r="H1462" s="8" t="s">
        <v>142</v>
      </c>
      <c r="I1462" s="8" t="s">
        <v>10179</v>
      </c>
      <c r="J1462" s="8" t="s">
        <v>10180</v>
      </c>
      <c r="K1462" s="8" t="s">
        <v>651</v>
      </c>
      <c r="L1462" s="8" t="s">
        <v>146</v>
      </c>
      <c r="M1462" s="8" t="s">
        <v>10181</v>
      </c>
      <c r="N1462" s="8" t="s">
        <v>128</v>
      </c>
      <c r="O1462" s="8" t="s">
        <v>10182</v>
      </c>
      <c r="P1462" s="8" t="s">
        <v>10183</v>
      </c>
      <c r="Q1462" s="8" t="s">
        <v>150</v>
      </c>
      <c r="R1462" s="8"/>
      <c r="S1462" s="8" t="s">
        <v>71</v>
      </c>
      <c r="T1462" s="8" t="s">
        <v>289</v>
      </c>
      <c r="U1462" s="8" t="s">
        <v>150</v>
      </c>
      <c r="V1462" s="8" t="s">
        <v>289</v>
      </c>
      <c r="W1462" s="8" t="s">
        <v>289</v>
      </c>
      <c r="X1462" s="8">
        <v>12</v>
      </c>
      <c r="Y1462" s="8" t="s">
        <v>5796</v>
      </c>
      <c r="Z1462" s="8">
        <v>80</v>
      </c>
      <c r="AA1462" s="8">
        <v>0</v>
      </c>
      <c r="AB1462" s="9">
        <v>0</v>
      </c>
    </row>
    <row r="1463" spans="1:28" x14ac:dyDescent="0.2">
      <c r="A1463" s="10">
        <v>21442</v>
      </c>
      <c r="B1463" s="11" t="s">
        <v>10184</v>
      </c>
      <c r="C1463" s="11" t="s">
        <v>10185</v>
      </c>
      <c r="D1463" s="11" t="s">
        <v>505</v>
      </c>
      <c r="E1463" s="11" t="s">
        <v>7721</v>
      </c>
      <c r="F1463" s="11" t="s">
        <v>353</v>
      </c>
      <c r="G1463" s="11" t="s">
        <v>7653</v>
      </c>
      <c r="H1463" s="11" t="s">
        <v>142</v>
      </c>
      <c r="I1463" s="11" t="s">
        <v>10186</v>
      </c>
      <c r="J1463" s="11" t="s">
        <v>10187</v>
      </c>
      <c r="K1463" s="11" t="s">
        <v>717</v>
      </c>
      <c r="L1463" s="11" t="s">
        <v>464</v>
      </c>
      <c r="M1463" s="11" t="s">
        <v>10188</v>
      </c>
      <c r="N1463" s="11" t="s">
        <v>128</v>
      </c>
      <c r="O1463" s="11" t="s">
        <v>10189</v>
      </c>
      <c r="P1463" s="11" t="s">
        <v>10190</v>
      </c>
      <c r="Q1463" s="11" t="s">
        <v>150</v>
      </c>
      <c r="R1463" s="11"/>
      <c r="S1463" s="11" t="s">
        <v>71</v>
      </c>
      <c r="T1463" s="11" t="s">
        <v>67</v>
      </c>
      <c r="U1463" s="11" t="s">
        <v>150</v>
      </c>
      <c r="V1463" s="11" t="s">
        <v>152</v>
      </c>
      <c r="W1463" s="11" t="s">
        <v>67</v>
      </c>
      <c r="X1463" s="11">
        <v>12</v>
      </c>
      <c r="Y1463" s="11" t="s">
        <v>5796</v>
      </c>
      <c r="Z1463" s="11">
        <v>80</v>
      </c>
      <c r="AA1463" s="11">
        <v>0</v>
      </c>
      <c r="AB1463" s="12">
        <v>0</v>
      </c>
    </row>
    <row r="1464" spans="1:28" x14ac:dyDescent="0.2">
      <c r="A1464" s="7">
        <v>21554</v>
      </c>
      <c r="B1464" s="8" t="s">
        <v>10191</v>
      </c>
      <c r="C1464" s="8" t="s">
        <v>10192</v>
      </c>
      <c r="D1464" s="8" t="s">
        <v>5994</v>
      </c>
      <c r="E1464" s="8" t="s">
        <v>10193</v>
      </c>
      <c r="F1464" s="8" t="s">
        <v>6117</v>
      </c>
      <c r="G1464" s="8" t="s">
        <v>141</v>
      </c>
      <c r="H1464" s="8" t="s">
        <v>142</v>
      </c>
      <c r="I1464" s="8" t="s">
        <v>10194</v>
      </c>
      <c r="J1464" s="8" t="s">
        <v>10195</v>
      </c>
      <c r="K1464" s="8" t="s">
        <v>584</v>
      </c>
      <c r="L1464" s="8" t="s">
        <v>146</v>
      </c>
      <c r="M1464" s="8" t="s">
        <v>10196</v>
      </c>
      <c r="N1464" s="8" t="s">
        <v>4651</v>
      </c>
      <c r="O1464" s="8" t="s">
        <v>10197</v>
      </c>
      <c r="P1464" s="8" t="s">
        <v>10198</v>
      </c>
      <c r="Q1464" s="8" t="s">
        <v>150</v>
      </c>
      <c r="R1464" s="8"/>
      <c r="S1464" s="8" t="s">
        <v>71</v>
      </c>
      <c r="T1464" s="8" t="s">
        <v>67</v>
      </c>
      <c r="U1464" s="8" t="s">
        <v>150</v>
      </c>
      <c r="V1464" s="8" t="s">
        <v>152</v>
      </c>
      <c r="W1464" s="8" t="s">
        <v>67</v>
      </c>
      <c r="X1464" s="8">
        <v>12</v>
      </c>
      <c r="Y1464" s="8" t="s">
        <v>5796</v>
      </c>
      <c r="Z1464" s="8">
        <v>80</v>
      </c>
      <c r="AA1464" s="8">
        <v>0</v>
      </c>
      <c r="AB1464" s="9">
        <v>0</v>
      </c>
    </row>
    <row r="1465" spans="1:28" x14ac:dyDescent="0.2">
      <c r="A1465" s="10">
        <v>21379</v>
      </c>
      <c r="B1465" s="11" t="s">
        <v>10199</v>
      </c>
      <c r="C1465" s="11" t="s">
        <v>10200</v>
      </c>
      <c r="D1465" s="11" t="s">
        <v>7869</v>
      </c>
      <c r="E1465" s="11" t="s">
        <v>10201</v>
      </c>
      <c r="F1465" s="11" t="s">
        <v>10202</v>
      </c>
      <c r="G1465" s="11" t="s">
        <v>2423</v>
      </c>
      <c r="H1465" s="11" t="s">
        <v>557</v>
      </c>
      <c r="I1465" s="11" t="s">
        <v>10203</v>
      </c>
      <c r="J1465" s="11" t="s">
        <v>10204</v>
      </c>
      <c r="K1465" s="11" t="s">
        <v>1562</v>
      </c>
      <c r="L1465" s="11" t="s">
        <v>229</v>
      </c>
      <c r="M1465" s="11" t="s">
        <v>10205</v>
      </c>
      <c r="N1465" s="11" t="s">
        <v>128</v>
      </c>
      <c r="O1465" s="11" t="s">
        <v>10206</v>
      </c>
      <c r="P1465" s="11" t="s">
        <v>10207</v>
      </c>
      <c r="Q1465" s="11" t="s">
        <v>150</v>
      </c>
      <c r="R1465" s="11"/>
      <c r="S1465" s="11" t="s">
        <v>71</v>
      </c>
      <c r="T1465" s="11" t="s">
        <v>67</v>
      </c>
      <c r="U1465" s="11" t="s">
        <v>150</v>
      </c>
      <c r="V1465" s="11" t="s">
        <v>152</v>
      </c>
      <c r="W1465" s="11" t="s">
        <v>67</v>
      </c>
      <c r="X1465" s="11">
        <v>12</v>
      </c>
      <c r="Y1465" s="11" t="s">
        <v>5796</v>
      </c>
      <c r="Z1465" s="11">
        <v>80</v>
      </c>
      <c r="AA1465" s="11">
        <v>0</v>
      </c>
      <c r="AB1465" s="12">
        <v>0</v>
      </c>
    </row>
    <row r="1466" spans="1:28" x14ac:dyDescent="0.2">
      <c r="A1466" s="7">
        <v>26178</v>
      </c>
      <c r="B1466" s="8" t="s">
        <v>10208</v>
      </c>
      <c r="C1466" s="8" t="s">
        <v>10209</v>
      </c>
      <c r="D1466" s="8" t="s">
        <v>10210</v>
      </c>
      <c r="E1466" s="8"/>
      <c r="F1466" s="8" t="s">
        <v>353</v>
      </c>
      <c r="G1466" s="8" t="s">
        <v>2166</v>
      </c>
      <c r="H1466" s="8" t="s">
        <v>142</v>
      </c>
      <c r="I1466" s="8" t="s">
        <v>5091</v>
      </c>
      <c r="J1466" s="8" t="s">
        <v>10211</v>
      </c>
      <c r="K1466" s="8" t="s">
        <v>1199</v>
      </c>
      <c r="L1466" s="8" t="s">
        <v>464</v>
      </c>
      <c r="M1466" s="8" t="s">
        <v>10212</v>
      </c>
      <c r="N1466" s="8" t="s">
        <v>128</v>
      </c>
      <c r="O1466" s="8"/>
      <c r="P1466" s="8" t="s">
        <v>9544</v>
      </c>
      <c r="Q1466" s="8" t="s">
        <v>150</v>
      </c>
      <c r="R1466" s="8"/>
      <c r="S1466" s="8" t="s">
        <v>71</v>
      </c>
      <c r="T1466" s="8" t="s">
        <v>67</v>
      </c>
      <c r="U1466" s="8" t="s">
        <v>150</v>
      </c>
      <c r="V1466" s="8" t="s">
        <v>152</v>
      </c>
      <c r="W1466" s="8" t="s">
        <v>67</v>
      </c>
      <c r="X1466" s="8">
        <v>12</v>
      </c>
      <c r="Y1466" s="8" t="s">
        <v>5796</v>
      </c>
      <c r="Z1466" s="8">
        <v>80</v>
      </c>
      <c r="AA1466" s="8">
        <v>0</v>
      </c>
      <c r="AB1466" s="9">
        <v>0</v>
      </c>
    </row>
    <row r="1467" spans="1:28" x14ac:dyDescent="0.2">
      <c r="A1467" s="10">
        <v>37946</v>
      </c>
      <c r="B1467" s="11" t="s">
        <v>10213</v>
      </c>
      <c r="C1467" s="11" t="s">
        <v>9202</v>
      </c>
      <c r="D1467" s="11" t="s">
        <v>10214</v>
      </c>
      <c r="E1467" s="11"/>
      <c r="F1467" s="11" t="s">
        <v>8101</v>
      </c>
      <c r="G1467" s="11" t="s">
        <v>190</v>
      </c>
      <c r="H1467" s="11" t="s">
        <v>191</v>
      </c>
      <c r="I1467" s="11" t="s">
        <v>10215</v>
      </c>
      <c r="J1467" s="11" t="s">
        <v>10216</v>
      </c>
      <c r="K1467" s="11" t="s">
        <v>194</v>
      </c>
      <c r="L1467" s="11" t="s">
        <v>163</v>
      </c>
      <c r="M1467" s="11" t="s">
        <v>10217</v>
      </c>
      <c r="N1467" s="11" t="s">
        <v>128</v>
      </c>
      <c r="O1467" s="11" t="s">
        <v>10218</v>
      </c>
      <c r="P1467" s="11" t="s">
        <v>9005</v>
      </c>
      <c r="Q1467" s="11" t="s">
        <v>150</v>
      </c>
      <c r="R1467" s="11"/>
      <c r="S1467" s="11" t="s">
        <v>71</v>
      </c>
      <c r="T1467" s="11" t="s">
        <v>67</v>
      </c>
      <c r="U1467" s="11" t="s">
        <v>150</v>
      </c>
      <c r="V1467" s="11" t="s">
        <v>152</v>
      </c>
      <c r="W1467" s="11" t="s">
        <v>67</v>
      </c>
      <c r="X1467" s="11">
        <v>12</v>
      </c>
      <c r="Y1467" s="11" t="s">
        <v>5796</v>
      </c>
      <c r="Z1467" s="11">
        <v>80</v>
      </c>
      <c r="AA1467" s="11">
        <v>0</v>
      </c>
      <c r="AB1467" s="12">
        <v>0</v>
      </c>
    </row>
    <row r="1468" spans="1:28" x14ac:dyDescent="0.2">
      <c r="A1468" s="7">
        <v>110272</v>
      </c>
      <c r="B1468" s="8" t="s">
        <v>10219</v>
      </c>
      <c r="C1468" s="8" t="s">
        <v>10220</v>
      </c>
      <c r="D1468" s="8" t="s">
        <v>7623</v>
      </c>
      <c r="E1468" s="8"/>
      <c r="F1468" s="8" t="s">
        <v>10221</v>
      </c>
      <c r="G1468" s="8" t="s">
        <v>190</v>
      </c>
      <c r="H1468" s="8" t="s">
        <v>191</v>
      </c>
      <c r="I1468" s="8" t="s">
        <v>10222</v>
      </c>
      <c r="J1468" s="8" t="s">
        <v>10223</v>
      </c>
      <c r="K1468" s="8" t="s">
        <v>194</v>
      </c>
      <c r="L1468" s="8" t="s">
        <v>163</v>
      </c>
      <c r="M1468" s="8" t="s">
        <v>10224</v>
      </c>
      <c r="N1468" s="8" t="s">
        <v>128</v>
      </c>
      <c r="O1468" s="8" t="s">
        <v>10225</v>
      </c>
      <c r="P1468" s="8" t="s">
        <v>10226</v>
      </c>
      <c r="Q1468" s="8" t="s">
        <v>150</v>
      </c>
      <c r="R1468" s="8"/>
      <c r="S1468" s="8" t="s">
        <v>71</v>
      </c>
      <c r="T1468" s="8" t="s">
        <v>67</v>
      </c>
      <c r="U1468" s="8" t="s">
        <v>150</v>
      </c>
      <c r="V1468" s="8" t="s">
        <v>152</v>
      </c>
      <c r="W1468" s="8" t="s">
        <v>67</v>
      </c>
      <c r="X1468" s="8">
        <v>12</v>
      </c>
      <c r="Y1468" s="8" t="s">
        <v>5796</v>
      </c>
      <c r="Z1468" s="8">
        <v>80</v>
      </c>
      <c r="AA1468" s="8">
        <v>0</v>
      </c>
      <c r="AB1468" s="9">
        <v>0</v>
      </c>
    </row>
    <row r="1469" spans="1:28" x14ac:dyDescent="0.2">
      <c r="A1469" s="10">
        <v>22561</v>
      </c>
      <c r="B1469" s="11" t="s">
        <v>10227</v>
      </c>
      <c r="C1469" s="11" t="s">
        <v>7992</v>
      </c>
      <c r="D1469" s="11" t="s">
        <v>2776</v>
      </c>
      <c r="E1469" s="11" t="s">
        <v>5691</v>
      </c>
      <c r="F1469" s="11" t="s">
        <v>10228</v>
      </c>
      <c r="G1469" s="11" t="s">
        <v>2652</v>
      </c>
      <c r="H1469" s="11" t="s">
        <v>1843</v>
      </c>
      <c r="I1469" s="11" t="s">
        <v>8633</v>
      </c>
      <c r="J1469" s="11" t="s">
        <v>10229</v>
      </c>
      <c r="K1469" s="11" t="s">
        <v>1562</v>
      </c>
      <c r="L1469" s="11" t="s">
        <v>229</v>
      </c>
      <c r="M1469" s="11" t="s">
        <v>10230</v>
      </c>
      <c r="N1469" s="11" t="s">
        <v>128</v>
      </c>
      <c r="O1469" s="11" t="s">
        <v>10231</v>
      </c>
      <c r="P1469" s="11" t="s">
        <v>10232</v>
      </c>
      <c r="Q1469" s="11" t="s">
        <v>150</v>
      </c>
      <c r="R1469" s="11"/>
      <c r="S1469" s="11" t="s">
        <v>71</v>
      </c>
      <c r="T1469" s="11" t="s">
        <v>7898</v>
      </c>
      <c r="U1469" s="11" t="s">
        <v>150</v>
      </c>
      <c r="V1469" s="11" t="s">
        <v>7898</v>
      </c>
      <c r="W1469" s="11" t="s">
        <v>7898</v>
      </c>
      <c r="X1469" s="11">
        <v>12</v>
      </c>
      <c r="Y1469" s="11" t="s">
        <v>5796</v>
      </c>
      <c r="Z1469" s="11">
        <v>80</v>
      </c>
      <c r="AA1469" s="11">
        <v>0</v>
      </c>
      <c r="AB1469" s="12">
        <v>0</v>
      </c>
    </row>
    <row r="1470" spans="1:28" x14ac:dyDescent="0.2">
      <c r="A1470" s="7">
        <v>22590</v>
      </c>
      <c r="B1470" s="8" t="s">
        <v>10233</v>
      </c>
      <c r="C1470" s="8" t="s">
        <v>10234</v>
      </c>
      <c r="D1470" s="8" t="s">
        <v>3958</v>
      </c>
      <c r="E1470" s="8"/>
      <c r="F1470" s="8" t="s">
        <v>10235</v>
      </c>
      <c r="G1470" s="8" t="s">
        <v>4513</v>
      </c>
      <c r="H1470" s="8" t="s">
        <v>847</v>
      </c>
      <c r="I1470" s="8" t="s">
        <v>10236</v>
      </c>
      <c r="J1470" s="8" t="s">
        <v>10237</v>
      </c>
      <c r="K1470" s="8" t="s">
        <v>1091</v>
      </c>
      <c r="L1470" s="8" t="s">
        <v>126</v>
      </c>
      <c r="M1470" s="8" t="s">
        <v>10238</v>
      </c>
      <c r="N1470" s="8" t="s">
        <v>128</v>
      </c>
      <c r="O1470" s="8" t="s">
        <v>10239</v>
      </c>
      <c r="P1470" s="8" t="s">
        <v>10240</v>
      </c>
      <c r="Q1470" s="8" t="s">
        <v>150</v>
      </c>
      <c r="R1470" s="8"/>
      <c r="S1470" s="8" t="s">
        <v>71</v>
      </c>
      <c r="T1470" s="8" t="s">
        <v>2697</v>
      </c>
      <c r="U1470" s="8" t="s">
        <v>150</v>
      </c>
      <c r="V1470" s="8" t="s">
        <v>2697</v>
      </c>
      <c r="W1470" s="8" t="s">
        <v>2697</v>
      </c>
      <c r="X1470" s="8">
        <v>12</v>
      </c>
      <c r="Y1470" s="8" t="s">
        <v>5796</v>
      </c>
      <c r="Z1470" s="8">
        <v>80</v>
      </c>
      <c r="AA1470" s="8">
        <v>0</v>
      </c>
      <c r="AB1470" s="9">
        <v>0</v>
      </c>
    </row>
    <row r="1471" spans="1:28" x14ac:dyDescent="0.2">
      <c r="A1471" s="10">
        <v>23393</v>
      </c>
      <c r="B1471" s="11" t="s">
        <v>10241</v>
      </c>
      <c r="C1471" s="11" t="s">
        <v>10242</v>
      </c>
      <c r="D1471" s="11" t="s">
        <v>10243</v>
      </c>
      <c r="E1471" s="11"/>
      <c r="F1471" s="11" t="s">
        <v>353</v>
      </c>
      <c r="G1471" s="11" t="s">
        <v>10244</v>
      </c>
      <c r="H1471" s="11" t="s">
        <v>142</v>
      </c>
      <c r="I1471" s="11" t="s">
        <v>10245</v>
      </c>
      <c r="J1471" s="11" t="s">
        <v>10246</v>
      </c>
      <c r="K1471" s="11" t="s">
        <v>779</v>
      </c>
      <c r="L1471" s="11" t="s">
        <v>464</v>
      </c>
      <c r="M1471" s="11" t="s">
        <v>10247</v>
      </c>
      <c r="N1471" s="11" t="s">
        <v>128</v>
      </c>
      <c r="O1471" s="11" t="s">
        <v>10248</v>
      </c>
      <c r="P1471" s="11" t="s">
        <v>10249</v>
      </c>
      <c r="Q1471" s="11" t="s">
        <v>150</v>
      </c>
      <c r="R1471" s="11"/>
      <c r="S1471" s="11" t="s">
        <v>71</v>
      </c>
      <c r="T1471" s="11" t="s">
        <v>1415</v>
      </c>
      <c r="U1471" s="11" t="s">
        <v>150</v>
      </c>
      <c r="V1471" s="11" t="s">
        <v>1415</v>
      </c>
      <c r="W1471" s="11" t="s">
        <v>1415</v>
      </c>
      <c r="X1471" s="11">
        <v>12</v>
      </c>
      <c r="Y1471" s="11" t="s">
        <v>5796</v>
      </c>
      <c r="Z1471" s="11">
        <v>80</v>
      </c>
      <c r="AA1471" s="11">
        <v>0</v>
      </c>
      <c r="AB1471" s="12">
        <v>0</v>
      </c>
    </row>
    <row r="1472" spans="1:28" x14ac:dyDescent="0.2">
      <c r="A1472" s="7">
        <v>23453</v>
      </c>
      <c r="B1472" s="8" t="s">
        <v>10250</v>
      </c>
      <c r="C1472" s="8" t="s">
        <v>10251</v>
      </c>
      <c r="D1472" s="8" t="s">
        <v>4623</v>
      </c>
      <c r="E1472" s="8"/>
      <c r="F1472" s="8" t="s">
        <v>353</v>
      </c>
      <c r="G1472" s="8" t="s">
        <v>10252</v>
      </c>
      <c r="H1472" s="8" t="s">
        <v>142</v>
      </c>
      <c r="I1472" s="8" t="s">
        <v>10253</v>
      </c>
      <c r="J1472" s="8" t="s">
        <v>10254</v>
      </c>
      <c r="K1472" s="8" t="s">
        <v>472</v>
      </c>
      <c r="L1472" s="8" t="s">
        <v>146</v>
      </c>
      <c r="M1472" s="8" t="s">
        <v>10255</v>
      </c>
      <c r="N1472" s="8" t="s">
        <v>128</v>
      </c>
      <c r="O1472" s="8" t="s">
        <v>10256</v>
      </c>
      <c r="P1472" s="8" t="s">
        <v>10257</v>
      </c>
      <c r="Q1472" s="8" t="s">
        <v>150</v>
      </c>
      <c r="R1472" s="8"/>
      <c r="S1472" s="8" t="s">
        <v>71</v>
      </c>
      <c r="T1472" s="8" t="s">
        <v>1415</v>
      </c>
      <c r="U1472" s="8" t="s">
        <v>150</v>
      </c>
      <c r="V1472" s="8" t="s">
        <v>1415</v>
      </c>
      <c r="W1472" s="8" t="s">
        <v>1415</v>
      </c>
      <c r="X1472" s="8">
        <v>12</v>
      </c>
      <c r="Y1472" s="8" t="s">
        <v>5796</v>
      </c>
      <c r="Z1472" s="8">
        <v>80</v>
      </c>
      <c r="AA1472" s="8">
        <v>0</v>
      </c>
      <c r="AB1472" s="9">
        <v>0</v>
      </c>
    </row>
    <row r="1473" spans="1:28" x14ac:dyDescent="0.2">
      <c r="A1473" s="10">
        <v>23456</v>
      </c>
      <c r="B1473" s="11" t="s">
        <v>10258</v>
      </c>
      <c r="C1473" s="11" t="s">
        <v>10259</v>
      </c>
      <c r="D1473" s="11" t="s">
        <v>187</v>
      </c>
      <c r="E1473" s="11"/>
      <c r="F1473" s="11" t="s">
        <v>353</v>
      </c>
      <c r="G1473" s="11" t="s">
        <v>1813</v>
      </c>
      <c r="H1473" s="11" t="s">
        <v>142</v>
      </c>
      <c r="I1473" s="11" t="s">
        <v>10260</v>
      </c>
      <c r="J1473" s="11" t="s">
        <v>10261</v>
      </c>
      <c r="K1473" s="11" t="s">
        <v>974</v>
      </c>
      <c r="L1473" s="11" t="s">
        <v>146</v>
      </c>
      <c r="M1473" s="11" t="s">
        <v>10262</v>
      </c>
      <c r="N1473" s="11" t="s">
        <v>128</v>
      </c>
      <c r="O1473" s="11" t="s">
        <v>10263</v>
      </c>
      <c r="P1473" s="11" t="s">
        <v>10264</v>
      </c>
      <c r="Q1473" s="11" t="s">
        <v>150</v>
      </c>
      <c r="R1473" s="11"/>
      <c r="S1473" s="11" t="s">
        <v>71</v>
      </c>
      <c r="T1473" s="11" t="s">
        <v>1415</v>
      </c>
      <c r="U1473" s="11" t="s">
        <v>150</v>
      </c>
      <c r="V1473" s="11" t="s">
        <v>1415</v>
      </c>
      <c r="W1473" s="11" t="s">
        <v>1415</v>
      </c>
      <c r="X1473" s="11">
        <v>12</v>
      </c>
      <c r="Y1473" s="11" t="s">
        <v>5796</v>
      </c>
      <c r="Z1473" s="11">
        <v>80</v>
      </c>
      <c r="AA1473" s="11">
        <v>0</v>
      </c>
      <c r="AB1473" s="12">
        <v>0</v>
      </c>
    </row>
    <row r="1474" spans="1:28" x14ac:dyDescent="0.2">
      <c r="A1474" s="7">
        <v>23471</v>
      </c>
      <c r="B1474" s="8" t="s">
        <v>10265</v>
      </c>
      <c r="C1474" s="8" t="s">
        <v>5519</v>
      </c>
      <c r="D1474" s="8" t="s">
        <v>3369</v>
      </c>
      <c r="E1474" s="8"/>
      <c r="F1474" s="8" t="s">
        <v>353</v>
      </c>
      <c r="G1474" s="8" t="s">
        <v>5522</v>
      </c>
      <c r="H1474" s="8" t="s">
        <v>142</v>
      </c>
      <c r="I1474" s="8" t="s">
        <v>5523</v>
      </c>
      <c r="J1474" s="8" t="s">
        <v>10266</v>
      </c>
      <c r="K1474" s="8" t="s">
        <v>651</v>
      </c>
      <c r="L1474" s="8" t="s">
        <v>146</v>
      </c>
      <c r="M1474" s="8" t="s">
        <v>10267</v>
      </c>
      <c r="N1474" s="8" t="s">
        <v>128</v>
      </c>
      <c r="O1474" s="8" t="s">
        <v>10268</v>
      </c>
      <c r="P1474" s="8" t="s">
        <v>10269</v>
      </c>
      <c r="Q1474" s="8" t="s">
        <v>150</v>
      </c>
      <c r="R1474" s="8"/>
      <c r="S1474" s="8" t="s">
        <v>71</v>
      </c>
      <c r="T1474" s="8" t="s">
        <v>1415</v>
      </c>
      <c r="U1474" s="8" t="s">
        <v>150</v>
      </c>
      <c r="V1474" s="8" t="s">
        <v>1415</v>
      </c>
      <c r="W1474" s="8" t="s">
        <v>1415</v>
      </c>
      <c r="X1474" s="8">
        <v>12</v>
      </c>
      <c r="Y1474" s="8" t="s">
        <v>5796</v>
      </c>
      <c r="Z1474" s="8">
        <v>80</v>
      </c>
      <c r="AA1474" s="8">
        <v>0</v>
      </c>
      <c r="AB1474" s="9">
        <v>0</v>
      </c>
    </row>
    <row r="1475" spans="1:28" x14ac:dyDescent="0.2">
      <c r="A1475" s="10">
        <v>23786</v>
      </c>
      <c r="B1475" s="11" t="s">
        <v>10270</v>
      </c>
      <c r="C1475" s="11" t="s">
        <v>10271</v>
      </c>
      <c r="D1475" s="11" t="s">
        <v>10272</v>
      </c>
      <c r="E1475" s="11" t="s">
        <v>10273</v>
      </c>
      <c r="F1475" s="11" t="s">
        <v>9916</v>
      </c>
      <c r="G1475" s="11" t="s">
        <v>224</v>
      </c>
      <c r="H1475" s="11" t="s">
        <v>225</v>
      </c>
      <c r="I1475" s="11" t="s">
        <v>10274</v>
      </c>
      <c r="J1475" s="11" t="s">
        <v>10275</v>
      </c>
      <c r="K1475" s="11" t="s">
        <v>228</v>
      </c>
      <c r="L1475" s="11" t="s">
        <v>229</v>
      </c>
      <c r="M1475" s="11" t="s">
        <v>10276</v>
      </c>
      <c r="N1475" s="11" t="s">
        <v>128</v>
      </c>
      <c r="O1475" s="11" t="s">
        <v>10277</v>
      </c>
      <c r="P1475" s="11" t="s">
        <v>1594</v>
      </c>
      <c r="Q1475" s="11" t="s">
        <v>150</v>
      </c>
      <c r="R1475" s="11"/>
      <c r="S1475" s="11" t="s">
        <v>71</v>
      </c>
      <c r="T1475" s="11" t="s">
        <v>168</v>
      </c>
      <c r="U1475" s="11" t="s">
        <v>150</v>
      </c>
      <c r="V1475" s="11" t="s">
        <v>168</v>
      </c>
      <c r="W1475" s="11" t="s">
        <v>168</v>
      </c>
      <c r="X1475" s="11">
        <v>12</v>
      </c>
      <c r="Y1475" s="11" t="s">
        <v>5796</v>
      </c>
      <c r="Z1475" s="11">
        <v>80</v>
      </c>
      <c r="AA1475" s="11">
        <v>0</v>
      </c>
      <c r="AB1475" s="12">
        <v>0</v>
      </c>
    </row>
    <row r="1476" spans="1:28" x14ac:dyDescent="0.2">
      <c r="A1476" s="7">
        <v>23569</v>
      </c>
      <c r="B1476" s="8" t="s">
        <v>10278</v>
      </c>
      <c r="C1476" s="8" t="s">
        <v>10099</v>
      </c>
      <c r="D1476" s="8" t="s">
        <v>10279</v>
      </c>
      <c r="E1476" s="8" t="s">
        <v>135</v>
      </c>
      <c r="F1476" s="8" t="s">
        <v>10280</v>
      </c>
      <c r="G1476" s="8" t="s">
        <v>556</v>
      </c>
      <c r="H1476" s="8" t="s">
        <v>557</v>
      </c>
      <c r="I1476" s="8" t="s">
        <v>10281</v>
      </c>
      <c r="J1476" s="8" t="s">
        <v>10282</v>
      </c>
      <c r="K1476" s="8" t="s">
        <v>560</v>
      </c>
      <c r="L1476" s="8" t="s">
        <v>229</v>
      </c>
      <c r="M1476" s="8" t="s">
        <v>10283</v>
      </c>
      <c r="N1476" s="8" t="s">
        <v>128</v>
      </c>
      <c r="O1476" s="8" t="s">
        <v>10284</v>
      </c>
      <c r="P1476" s="8" t="s">
        <v>4704</v>
      </c>
      <c r="Q1476" s="8" t="s">
        <v>150</v>
      </c>
      <c r="R1476" s="8"/>
      <c r="S1476" s="8" t="s">
        <v>71</v>
      </c>
      <c r="T1476" s="8" t="s">
        <v>168</v>
      </c>
      <c r="U1476" s="8" t="s">
        <v>150</v>
      </c>
      <c r="V1476" s="8" t="s">
        <v>168</v>
      </c>
      <c r="W1476" s="8" t="s">
        <v>168</v>
      </c>
      <c r="X1476" s="8">
        <v>12</v>
      </c>
      <c r="Y1476" s="8" t="s">
        <v>5796</v>
      </c>
      <c r="Z1476" s="8">
        <v>80</v>
      </c>
      <c r="AA1476" s="8">
        <v>0</v>
      </c>
      <c r="AB1476" s="9">
        <v>0</v>
      </c>
    </row>
    <row r="1477" spans="1:28" x14ac:dyDescent="0.2">
      <c r="A1477" s="10">
        <v>23745</v>
      </c>
      <c r="B1477" s="11" t="s">
        <v>10285</v>
      </c>
      <c r="C1477" s="11" t="s">
        <v>10286</v>
      </c>
      <c r="D1477" s="11" t="s">
        <v>10287</v>
      </c>
      <c r="E1477" s="11" t="s">
        <v>3241</v>
      </c>
      <c r="F1477" s="11" t="s">
        <v>10288</v>
      </c>
      <c r="G1477" s="11" t="s">
        <v>2423</v>
      </c>
      <c r="H1477" s="11" t="s">
        <v>557</v>
      </c>
      <c r="I1477" s="11" t="s">
        <v>10289</v>
      </c>
      <c r="J1477" s="11" t="s">
        <v>10290</v>
      </c>
      <c r="K1477" s="11" t="s">
        <v>1562</v>
      </c>
      <c r="L1477" s="11" t="s">
        <v>229</v>
      </c>
      <c r="M1477" s="11" t="s">
        <v>10291</v>
      </c>
      <c r="N1477" s="11" t="s">
        <v>128</v>
      </c>
      <c r="O1477" s="11" t="s">
        <v>10292</v>
      </c>
      <c r="P1477" s="11" t="s">
        <v>10293</v>
      </c>
      <c r="Q1477" s="11" t="s">
        <v>150</v>
      </c>
      <c r="R1477" s="11"/>
      <c r="S1477" s="11" t="s">
        <v>71</v>
      </c>
      <c r="T1477" s="11" t="s">
        <v>168</v>
      </c>
      <c r="U1477" s="11" t="s">
        <v>150</v>
      </c>
      <c r="V1477" s="11" t="s">
        <v>168</v>
      </c>
      <c r="W1477" s="11" t="s">
        <v>168</v>
      </c>
      <c r="X1477" s="11">
        <v>12</v>
      </c>
      <c r="Y1477" s="11" t="s">
        <v>5796</v>
      </c>
      <c r="Z1477" s="11">
        <v>80</v>
      </c>
      <c r="AA1477" s="11">
        <v>0</v>
      </c>
      <c r="AB1477" s="12">
        <v>0</v>
      </c>
    </row>
    <row r="1478" spans="1:28" x14ac:dyDescent="0.2">
      <c r="A1478" s="7">
        <v>23594</v>
      </c>
      <c r="B1478" s="8" t="s">
        <v>10294</v>
      </c>
      <c r="C1478" s="8" t="s">
        <v>4777</v>
      </c>
      <c r="D1478" s="8" t="s">
        <v>10295</v>
      </c>
      <c r="E1478" s="8"/>
      <c r="F1478" s="8" t="s">
        <v>353</v>
      </c>
      <c r="G1478" s="8" t="s">
        <v>7402</v>
      </c>
      <c r="H1478" s="8" t="s">
        <v>847</v>
      </c>
      <c r="I1478" s="8" t="s">
        <v>7403</v>
      </c>
      <c r="J1478" s="8" t="s">
        <v>10296</v>
      </c>
      <c r="K1478" s="8" t="s">
        <v>1091</v>
      </c>
      <c r="L1478" s="8" t="s">
        <v>126</v>
      </c>
      <c r="M1478" s="8" t="s">
        <v>10297</v>
      </c>
      <c r="N1478" s="8" t="s">
        <v>128</v>
      </c>
      <c r="O1478" s="8" t="s">
        <v>10298</v>
      </c>
      <c r="P1478" s="8" t="s">
        <v>7341</v>
      </c>
      <c r="Q1478" s="8" t="s">
        <v>150</v>
      </c>
      <c r="R1478" s="8"/>
      <c r="S1478" s="8" t="s">
        <v>71</v>
      </c>
      <c r="T1478" s="8" t="s">
        <v>168</v>
      </c>
      <c r="U1478" s="8" t="s">
        <v>150</v>
      </c>
      <c r="V1478" s="8" t="s">
        <v>168</v>
      </c>
      <c r="W1478" s="8" t="s">
        <v>168</v>
      </c>
      <c r="X1478" s="8">
        <v>12</v>
      </c>
      <c r="Y1478" s="8" t="s">
        <v>5796</v>
      </c>
      <c r="Z1478" s="8">
        <v>80</v>
      </c>
      <c r="AA1478" s="8">
        <v>0</v>
      </c>
      <c r="AB1478" s="9">
        <v>0</v>
      </c>
    </row>
    <row r="1479" spans="1:28" x14ac:dyDescent="0.2">
      <c r="A1479" s="10">
        <v>29200</v>
      </c>
      <c r="B1479" s="11" t="s">
        <v>10299</v>
      </c>
      <c r="C1479" s="11" t="s">
        <v>5165</v>
      </c>
      <c r="D1479" s="11" t="s">
        <v>1283</v>
      </c>
      <c r="E1479" s="11"/>
      <c r="F1479" s="11" t="s">
        <v>10300</v>
      </c>
      <c r="G1479" s="11" t="s">
        <v>4856</v>
      </c>
      <c r="H1479" s="11" t="s">
        <v>847</v>
      </c>
      <c r="I1479" s="11" t="s">
        <v>10301</v>
      </c>
      <c r="J1479" s="11" t="s">
        <v>10302</v>
      </c>
      <c r="K1479" s="11" t="s">
        <v>850</v>
      </c>
      <c r="L1479" s="11" t="s">
        <v>126</v>
      </c>
      <c r="M1479" s="11" t="s">
        <v>10303</v>
      </c>
      <c r="N1479" s="11" t="s">
        <v>128</v>
      </c>
      <c r="O1479" s="11"/>
      <c r="P1479" s="11"/>
      <c r="Q1479" s="11" t="s">
        <v>150</v>
      </c>
      <c r="R1479" s="11"/>
      <c r="S1479" s="11" t="s">
        <v>71</v>
      </c>
      <c r="T1479" s="11" t="s">
        <v>10304</v>
      </c>
      <c r="U1479" s="11" t="s">
        <v>150</v>
      </c>
      <c r="V1479" s="11" t="s">
        <v>10304</v>
      </c>
      <c r="W1479" s="11" t="s">
        <v>10304</v>
      </c>
      <c r="X1479" s="11">
        <v>12</v>
      </c>
      <c r="Y1479" s="11" t="s">
        <v>5796</v>
      </c>
      <c r="Z1479" s="11">
        <v>80</v>
      </c>
      <c r="AA1479" s="11">
        <v>0</v>
      </c>
      <c r="AB1479" s="12">
        <v>0</v>
      </c>
    </row>
    <row r="1480" spans="1:28" x14ac:dyDescent="0.2">
      <c r="A1480" s="7">
        <v>126011</v>
      </c>
      <c r="B1480" s="8" t="s">
        <v>10305</v>
      </c>
      <c r="C1480" s="8" t="s">
        <v>842</v>
      </c>
      <c r="D1480" s="8" t="s">
        <v>4482</v>
      </c>
      <c r="E1480" s="8"/>
      <c r="F1480" s="8" t="s">
        <v>353</v>
      </c>
      <c r="G1480" s="8" t="s">
        <v>1488</v>
      </c>
      <c r="H1480" s="8" t="s">
        <v>329</v>
      </c>
      <c r="I1480" s="8" t="s">
        <v>4484</v>
      </c>
      <c r="J1480" s="8" t="s">
        <v>10306</v>
      </c>
      <c r="K1480" s="8" t="s">
        <v>415</v>
      </c>
      <c r="L1480" s="8" t="s">
        <v>333</v>
      </c>
      <c r="M1480" s="8" t="s">
        <v>10307</v>
      </c>
      <c r="N1480" s="8" t="s">
        <v>128</v>
      </c>
      <c r="O1480" s="8" t="s">
        <v>10308</v>
      </c>
      <c r="P1480" s="8"/>
      <c r="Q1480" s="8" t="s">
        <v>150</v>
      </c>
      <c r="R1480" s="8"/>
      <c r="S1480" s="8" t="s">
        <v>4489</v>
      </c>
      <c r="T1480" s="8" t="s">
        <v>4755</v>
      </c>
      <c r="U1480" s="8" t="s">
        <v>150</v>
      </c>
      <c r="V1480" s="8" t="s">
        <v>4755</v>
      </c>
      <c r="W1480" s="8" t="s">
        <v>4755</v>
      </c>
      <c r="X1480" s="8">
        <v>12</v>
      </c>
      <c r="Y1480" s="8" t="s">
        <v>5796</v>
      </c>
      <c r="Z1480" s="8">
        <v>80</v>
      </c>
      <c r="AA1480" s="8">
        <v>0</v>
      </c>
      <c r="AB1480" s="9">
        <v>0</v>
      </c>
    </row>
    <row r="1481" spans="1:28" x14ac:dyDescent="0.2">
      <c r="A1481" s="10">
        <v>25428</v>
      </c>
      <c r="B1481" s="11" t="s">
        <v>10309</v>
      </c>
      <c r="C1481" s="11" t="s">
        <v>2649</v>
      </c>
      <c r="D1481" s="11" t="s">
        <v>861</v>
      </c>
      <c r="E1481" s="11" t="s">
        <v>10310</v>
      </c>
      <c r="F1481" s="11" t="s">
        <v>2651</v>
      </c>
      <c r="G1481" s="11" t="s">
        <v>2652</v>
      </c>
      <c r="H1481" s="11" t="s">
        <v>1843</v>
      </c>
      <c r="I1481" s="11" t="s">
        <v>2653</v>
      </c>
      <c r="J1481" s="11" t="s">
        <v>2654</v>
      </c>
      <c r="K1481" s="11" t="s">
        <v>1562</v>
      </c>
      <c r="L1481" s="11" t="s">
        <v>229</v>
      </c>
      <c r="M1481" s="11" t="s">
        <v>10311</v>
      </c>
      <c r="N1481" s="11" t="s">
        <v>128</v>
      </c>
      <c r="O1481" s="11" t="s">
        <v>10312</v>
      </c>
      <c r="P1481" s="11" t="s">
        <v>10313</v>
      </c>
      <c r="Q1481" s="11" t="s">
        <v>249</v>
      </c>
      <c r="R1481" s="11"/>
      <c r="S1481" s="11" t="s">
        <v>2657</v>
      </c>
      <c r="T1481" s="11" t="s">
        <v>250</v>
      </c>
      <c r="U1481" s="11" t="s">
        <v>134</v>
      </c>
      <c r="V1481" s="11" t="s">
        <v>249</v>
      </c>
      <c r="W1481" s="11" t="s">
        <v>250</v>
      </c>
      <c r="X1481" s="11">
        <v>12</v>
      </c>
      <c r="Y1481" s="11" t="s">
        <v>5796</v>
      </c>
      <c r="Z1481" s="11">
        <v>80</v>
      </c>
      <c r="AA1481" s="11">
        <v>0</v>
      </c>
      <c r="AB1481" s="12">
        <v>0</v>
      </c>
    </row>
    <row r="1482" spans="1:28" x14ac:dyDescent="0.2">
      <c r="A1482" s="7">
        <v>21167</v>
      </c>
      <c r="B1482" s="8" t="s">
        <v>10314</v>
      </c>
      <c r="C1482" s="8" t="s">
        <v>10315</v>
      </c>
      <c r="D1482" s="8" t="s">
        <v>138</v>
      </c>
      <c r="E1482" s="8" t="s">
        <v>10316</v>
      </c>
      <c r="F1482" s="8" t="s">
        <v>10317</v>
      </c>
      <c r="G1482" s="8" t="s">
        <v>1196</v>
      </c>
      <c r="H1482" s="8" t="s">
        <v>142</v>
      </c>
      <c r="I1482" s="8" t="s">
        <v>10318</v>
      </c>
      <c r="J1482" s="8" t="s">
        <v>10319</v>
      </c>
      <c r="K1482" s="8" t="s">
        <v>1199</v>
      </c>
      <c r="L1482" s="8" t="s">
        <v>464</v>
      </c>
      <c r="M1482" s="8" t="s">
        <v>10320</v>
      </c>
      <c r="N1482" s="8" t="s">
        <v>128</v>
      </c>
      <c r="O1482" s="8" t="s">
        <v>10321</v>
      </c>
      <c r="P1482" s="8" t="s">
        <v>10322</v>
      </c>
      <c r="Q1482" s="8" t="s">
        <v>150</v>
      </c>
      <c r="R1482" s="8"/>
      <c r="S1482" s="8" t="s">
        <v>71</v>
      </c>
      <c r="T1482" s="8" t="s">
        <v>289</v>
      </c>
      <c r="U1482" s="8" t="s">
        <v>150</v>
      </c>
      <c r="V1482" s="8" t="s">
        <v>289</v>
      </c>
      <c r="W1482" s="8" t="s">
        <v>289</v>
      </c>
      <c r="X1482" s="8">
        <v>11</v>
      </c>
      <c r="Y1482" s="8" t="s">
        <v>5796</v>
      </c>
      <c r="Z1482" s="8">
        <v>80</v>
      </c>
      <c r="AA1482" s="8">
        <v>0</v>
      </c>
      <c r="AB1482" s="9">
        <v>0</v>
      </c>
    </row>
    <row r="1483" spans="1:28" x14ac:dyDescent="0.2">
      <c r="A1483" s="10">
        <v>38002</v>
      </c>
      <c r="B1483" s="11" t="s">
        <v>10323</v>
      </c>
      <c r="C1483" s="11" t="s">
        <v>10324</v>
      </c>
      <c r="D1483" s="11" t="s">
        <v>10178</v>
      </c>
      <c r="E1483" s="11"/>
      <c r="F1483" s="11" t="s">
        <v>10325</v>
      </c>
      <c r="G1483" s="11" t="s">
        <v>2618</v>
      </c>
      <c r="H1483" s="11" t="s">
        <v>142</v>
      </c>
      <c r="I1483" s="11" t="s">
        <v>10326</v>
      </c>
      <c r="J1483" s="11" t="s">
        <v>10327</v>
      </c>
      <c r="K1483" s="11" t="s">
        <v>651</v>
      </c>
      <c r="L1483" s="11" t="s">
        <v>146</v>
      </c>
      <c r="M1483" s="11" t="s">
        <v>10328</v>
      </c>
      <c r="N1483" s="11" t="s">
        <v>128</v>
      </c>
      <c r="O1483" s="11" t="s">
        <v>10329</v>
      </c>
      <c r="P1483" s="11" t="s">
        <v>10330</v>
      </c>
      <c r="Q1483" s="11" t="s">
        <v>150</v>
      </c>
      <c r="R1483" s="11"/>
      <c r="S1483" s="11" t="s">
        <v>71</v>
      </c>
      <c r="T1483" s="11" t="s">
        <v>289</v>
      </c>
      <c r="U1483" s="11" t="s">
        <v>150</v>
      </c>
      <c r="V1483" s="11" t="s">
        <v>289</v>
      </c>
      <c r="W1483" s="11" t="s">
        <v>289</v>
      </c>
      <c r="X1483" s="11">
        <v>11</v>
      </c>
      <c r="Y1483" s="11" t="s">
        <v>5796</v>
      </c>
      <c r="Z1483" s="11">
        <v>80</v>
      </c>
      <c r="AA1483" s="11">
        <v>0</v>
      </c>
      <c r="AB1483" s="12">
        <v>0</v>
      </c>
    </row>
    <row r="1484" spans="1:28" x14ac:dyDescent="0.2">
      <c r="A1484" s="7">
        <v>21163</v>
      </c>
      <c r="B1484" s="8" t="s">
        <v>10331</v>
      </c>
      <c r="C1484" s="8" t="s">
        <v>10332</v>
      </c>
      <c r="D1484" s="8" t="s">
        <v>10333</v>
      </c>
      <c r="E1484" s="8"/>
      <c r="F1484" s="8" t="s">
        <v>10334</v>
      </c>
      <c r="G1484" s="8" t="s">
        <v>270</v>
      </c>
      <c r="H1484" s="8" t="s">
        <v>271</v>
      </c>
      <c r="I1484" s="8" t="s">
        <v>10335</v>
      </c>
      <c r="J1484" s="8" t="s">
        <v>10336</v>
      </c>
      <c r="K1484" s="8" t="s">
        <v>274</v>
      </c>
      <c r="L1484" s="8" t="s">
        <v>163</v>
      </c>
      <c r="M1484" s="8" t="s">
        <v>10337</v>
      </c>
      <c r="N1484" s="8" t="s">
        <v>128</v>
      </c>
      <c r="O1484" s="8" t="s">
        <v>10338</v>
      </c>
      <c r="P1484" s="8"/>
      <c r="Q1484" s="8" t="s">
        <v>150</v>
      </c>
      <c r="R1484" s="8"/>
      <c r="S1484" s="8" t="s">
        <v>10339</v>
      </c>
      <c r="T1484" s="8" t="s">
        <v>289</v>
      </c>
      <c r="U1484" s="8" t="s">
        <v>150</v>
      </c>
      <c r="V1484" s="8" t="s">
        <v>289</v>
      </c>
      <c r="W1484" s="8" t="s">
        <v>289</v>
      </c>
      <c r="X1484" s="8">
        <v>11</v>
      </c>
      <c r="Y1484" s="8" t="s">
        <v>5796</v>
      </c>
      <c r="Z1484" s="8">
        <v>80</v>
      </c>
      <c r="AA1484" s="8">
        <v>0</v>
      </c>
      <c r="AB1484" s="9">
        <v>0</v>
      </c>
    </row>
    <row r="1485" spans="1:28" x14ac:dyDescent="0.2">
      <c r="A1485" s="10">
        <v>21447</v>
      </c>
      <c r="B1485" s="11" t="s">
        <v>10340</v>
      </c>
      <c r="C1485" s="11" t="s">
        <v>10341</v>
      </c>
      <c r="D1485" s="11" t="s">
        <v>10342</v>
      </c>
      <c r="E1485" s="11" t="s">
        <v>10343</v>
      </c>
      <c r="F1485" s="11" t="s">
        <v>10344</v>
      </c>
      <c r="G1485" s="11" t="s">
        <v>141</v>
      </c>
      <c r="H1485" s="11" t="s">
        <v>142</v>
      </c>
      <c r="I1485" s="11" t="s">
        <v>10345</v>
      </c>
      <c r="J1485" s="11" t="s">
        <v>10346</v>
      </c>
      <c r="K1485" s="11" t="s">
        <v>145</v>
      </c>
      <c r="L1485" s="11" t="s">
        <v>146</v>
      </c>
      <c r="M1485" s="11" t="s">
        <v>10347</v>
      </c>
      <c r="N1485" s="11" t="s">
        <v>128</v>
      </c>
      <c r="O1485" s="11" t="s">
        <v>10348</v>
      </c>
      <c r="P1485" s="11" t="s">
        <v>10349</v>
      </c>
      <c r="Q1485" s="11" t="s">
        <v>150</v>
      </c>
      <c r="R1485" s="11"/>
      <c r="S1485" s="11" t="s">
        <v>71</v>
      </c>
      <c r="T1485" s="11" t="s">
        <v>67</v>
      </c>
      <c r="U1485" s="11" t="s">
        <v>150</v>
      </c>
      <c r="V1485" s="11" t="s">
        <v>152</v>
      </c>
      <c r="W1485" s="11" t="s">
        <v>67</v>
      </c>
      <c r="X1485" s="11">
        <v>11</v>
      </c>
      <c r="Y1485" s="11" t="s">
        <v>5796</v>
      </c>
      <c r="Z1485" s="11">
        <v>80</v>
      </c>
      <c r="AA1485" s="11">
        <v>0</v>
      </c>
      <c r="AB1485" s="12">
        <v>0</v>
      </c>
    </row>
    <row r="1486" spans="1:28" x14ac:dyDescent="0.2">
      <c r="A1486" s="7">
        <v>26218</v>
      </c>
      <c r="B1486" s="8" t="s">
        <v>10350</v>
      </c>
      <c r="C1486" s="8" t="s">
        <v>10351</v>
      </c>
      <c r="D1486" s="8" t="s">
        <v>4351</v>
      </c>
      <c r="E1486" s="8"/>
      <c r="F1486" s="8"/>
      <c r="G1486" s="8" t="s">
        <v>1852</v>
      </c>
      <c r="H1486" s="8" t="s">
        <v>671</v>
      </c>
      <c r="I1486" s="8" t="s">
        <v>10352</v>
      </c>
      <c r="J1486" s="8" t="s">
        <v>10353</v>
      </c>
      <c r="K1486" s="8" t="s">
        <v>572</v>
      </c>
      <c r="L1486" s="8" t="s">
        <v>333</v>
      </c>
      <c r="M1486" s="8" t="s">
        <v>10354</v>
      </c>
      <c r="N1486" s="8" t="s">
        <v>128</v>
      </c>
      <c r="O1486" s="8" t="s">
        <v>10355</v>
      </c>
      <c r="P1486" s="8" t="s">
        <v>7621</v>
      </c>
      <c r="Q1486" s="8" t="s">
        <v>150</v>
      </c>
      <c r="R1486" s="8"/>
      <c r="S1486" s="8" t="s">
        <v>71</v>
      </c>
      <c r="T1486" s="8" t="s">
        <v>67</v>
      </c>
      <c r="U1486" s="8" t="s">
        <v>150</v>
      </c>
      <c r="V1486" s="8" t="s">
        <v>152</v>
      </c>
      <c r="W1486" s="8" t="s">
        <v>67</v>
      </c>
      <c r="X1486" s="8">
        <v>11</v>
      </c>
      <c r="Y1486" s="8" t="s">
        <v>5796</v>
      </c>
      <c r="Z1486" s="8">
        <v>80</v>
      </c>
      <c r="AA1486" s="8">
        <v>0</v>
      </c>
      <c r="AB1486" s="9">
        <v>0</v>
      </c>
    </row>
    <row r="1487" spans="1:28" x14ac:dyDescent="0.2">
      <c r="A1487" s="10">
        <v>26198</v>
      </c>
      <c r="B1487" s="11" t="s">
        <v>10356</v>
      </c>
      <c r="C1487" s="11" t="s">
        <v>10177</v>
      </c>
      <c r="D1487" s="11" t="s">
        <v>10357</v>
      </c>
      <c r="E1487" s="11"/>
      <c r="F1487" s="11" t="s">
        <v>10358</v>
      </c>
      <c r="G1487" s="11" t="s">
        <v>2618</v>
      </c>
      <c r="H1487" s="11" t="s">
        <v>142</v>
      </c>
      <c r="I1487" s="11" t="s">
        <v>10359</v>
      </c>
      <c r="J1487" s="11" t="s">
        <v>10360</v>
      </c>
      <c r="K1487" s="11" t="s">
        <v>651</v>
      </c>
      <c r="L1487" s="11" t="s">
        <v>146</v>
      </c>
      <c r="M1487" s="11" t="s">
        <v>10361</v>
      </c>
      <c r="N1487" s="11" t="s">
        <v>128</v>
      </c>
      <c r="O1487" s="11"/>
      <c r="P1487" s="11" t="s">
        <v>10362</v>
      </c>
      <c r="Q1487" s="11" t="s">
        <v>150</v>
      </c>
      <c r="R1487" s="11"/>
      <c r="S1487" s="11" t="s">
        <v>71</v>
      </c>
      <c r="T1487" s="11" t="s">
        <v>67</v>
      </c>
      <c r="U1487" s="11" t="s">
        <v>150</v>
      </c>
      <c r="V1487" s="11" t="s">
        <v>152</v>
      </c>
      <c r="W1487" s="11" t="s">
        <v>67</v>
      </c>
      <c r="X1487" s="11">
        <v>11</v>
      </c>
      <c r="Y1487" s="11" t="s">
        <v>5796</v>
      </c>
      <c r="Z1487" s="11">
        <v>80</v>
      </c>
      <c r="AA1487" s="11">
        <v>0</v>
      </c>
      <c r="AB1487" s="12">
        <v>0</v>
      </c>
    </row>
    <row r="1488" spans="1:28" x14ac:dyDescent="0.2">
      <c r="A1488" s="7">
        <v>26268</v>
      </c>
      <c r="B1488" s="8" t="s">
        <v>10363</v>
      </c>
      <c r="C1488" s="8" t="s">
        <v>3942</v>
      </c>
      <c r="D1488" s="8" t="s">
        <v>10364</v>
      </c>
      <c r="E1488" s="8"/>
      <c r="F1488" s="8" t="s">
        <v>10365</v>
      </c>
      <c r="G1488" s="8" t="s">
        <v>10252</v>
      </c>
      <c r="H1488" s="8" t="s">
        <v>142</v>
      </c>
      <c r="I1488" s="8" t="s">
        <v>10366</v>
      </c>
      <c r="J1488" s="8" t="s">
        <v>10367</v>
      </c>
      <c r="K1488" s="8" t="s">
        <v>472</v>
      </c>
      <c r="L1488" s="8" t="s">
        <v>146</v>
      </c>
      <c r="M1488" s="8" t="s">
        <v>10368</v>
      </c>
      <c r="N1488" s="8" t="s">
        <v>128</v>
      </c>
      <c r="O1488" s="8" t="s">
        <v>10369</v>
      </c>
      <c r="P1488" s="8" t="s">
        <v>10370</v>
      </c>
      <c r="Q1488" s="8" t="s">
        <v>150</v>
      </c>
      <c r="R1488" s="8"/>
      <c r="S1488" s="8" t="s">
        <v>71</v>
      </c>
      <c r="T1488" s="8" t="s">
        <v>67</v>
      </c>
      <c r="U1488" s="8" t="s">
        <v>150</v>
      </c>
      <c r="V1488" s="8" t="s">
        <v>152</v>
      </c>
      <c r="W1488" s="8" t="s">
        <v>67</v>
      </c>
      <c r="X1488" s="8">
        <v>11</v>
      </c>
      <c r="Y1488" s="8" t="s">
        <v>5796</v>
      </c>
      <c r="Z1488" s="8">
        <v>80</v>
      </c>
      <c r="AA1488" s="8">
        <v>0</v>
      </c>
      <c r="AB1488" s="9">
        <v>0</v>
      </c>
    </row>
    <row r="1489" spans="1:28" x14ac:dyDescent="0.2">
      <c r="A1489" s="10">
        <v>114863</v>
      </c>
      <c r="B1489" s="11" t="s">
        <v>10371</v>
      </c>
      <c r="C1489" s="11" t="s">
        <v>10372</v>
      </c>
      <c r="D1489" s="11" t="s">
        <v>10373</v>
      </c>
      <c r="E1489" s="11"/>
      <c r="F1489" s="11" t="s">
        <v>10374</v>
      </c>
      <c r="G1489" s="11" t="s">
        <v>224</v>
      </c>
      <c r="H1489" s="11" t="s">
        <v>225</v>
      </c>
      <c r="I1489" s="11" t="s">
        <v>10375</v>
      </c>
      <c r="J1489" s="11" t="s">
        <v>10376</v>
      </c>
      <c r="K1489" s="11" t="s">
        <v>228</v>
      </c>
      <c r="L1489" s="11" t="s">
        <v>229</v>
      </c>
      <c r="M1489" s="11" t="s">
        <v>10377</v>
      </c>
      <c r="N1489" s="11" t="s">
        <v>128</v>
      </c>
      <c r="O1489" s="11" t="s">
        <v>10378</v>
      </c>
      <c r="P1489" s="11" t="s">
        <v>10379</v>
      </c>
      <c r="Q1489" s="11" t="s">
        <v>150</v>
      </c>
      <c r="R1489" s="11"/>
      <c r="S1489" s="11" t="s">
        <v>71</v>
      </c>
      <c r="T1489" s="11" t="s">
        <v>67</v>
      </c>
      <c r="U1489" s="11" t="s">
        <v>150</v>
      </c>
      <c r="V1489" s="11" t="s">
        <v>152</v>
      </c>
      <c r="W1489" s="11" t="s">
        <v>67</v>
      </c>
      <c r="X1489" s="11">
        <v>11</v>
      </c>
      <c r="Y1489" s="11" t="s">
        <v>5796</v>
      </c>
      <c r="Z1489" s="11">
        <v>80</v>
      </c>
      <c r="AA1489" s="11">
        <v>0</v>
      </c>
      <c r="AB1489" s="12">
        <v>0</v>
      </c>
    </row>
    <row r="1490" spans="1:28" x14ac:dyDescent="0.2">
      <c r="A1490" s="7">
        <v>26264</v>
      </c>
      <c r="B1490" s="8" t="s">
        <v>10380</v>
      </c>
      <c r="C1490" s="8" t="s">
        <v>10381</v>
      </c>
      <c r="D1490" s="8" t="s">
        <v>10382</v>
      </c>
      <c r="E1490" s="8"/>
      <c r="F1490" s="8" t="s">
        <v>1994</v>
      </c>
      <c r="G1490" s="8" t="s">
        <v>4012</v>
      </c>
      <c r="H1490" s="8" t="s">
        <v>671</v>
      </c>
      <c r="I1490" s="8" t="s">
        <v>10383</v>
      </c>
      <c r="J1490" s="8" t="s">
        <v>10384</v>
      </c>
      <c r="K1490" s="8" t="s">
        <v>572</v>
      </c>
      <c r="L1490" s="8" t="s">
        <v>333</v>
      </c>
      <c r="M1490" s="8" t="s">
        <v>10385</v>
      </c>
      <c r="N1490" s="8" t="s">
        <v>128</v>
      </c>
      <c r="O1490" s="8" t="s">
        <v>10386</v>
      </c>
      <c r="P1490" s="8" t="s">
        <v>10387</v>
      </c>
      <c r="Q1490" s="8" t="s">
        <v>150</v>
      </c>
      <c r="R1490" s="8"/>
      <c r="S1490" s="8" t="s">
        <v>10388</v>
      </c>
      <c r="T1490" s="8" t="s">
        <v>67</v>
      </c>
      <c r="U1490" s="8" t="s">
        <v>150</v>
      </c>
      <c r="V1490" s="8" t="s">
        <v>152</v>
      </c>
      <c r="W1490" s="8" t="s">
        <v>67</v>
      </c>
      <c r="X1490" s="8">
        <v>11</v>
      </c>
      <c r="Y1490" s="8" t="s">
        <v>5796</v>
      </c>
      <c r="Z1490" s="8">
        <v>80</v>
      </c>
      <c r="AA1490" s="8">
        <v>0</v>
      </c>
      <c r="AB1490" s="9">
        <v>0</v>
      </c>
    </row>
    <row r="1491" spans="1:28" x14ac:dyDescent="0.2">
      <c r="A1491" s="10">
        <v>23414</v>
      </c>
      <c r="B1491" s="11" t="s">
        <v>10389</v>
      </c>
      <c r="C1491" s="11" t="s">
        <v>10390</v>
      </c>
      <c r="D1491" s="11" t="s">
        <v>4623</v>
      </c>
      <c r="E1491" s="11"/>
      <c r="F1491" s="11" t="s">
        <v>353</v>
      </c>
      <c r="G1491" s="11" t="s">
        <v>10391</v>
      </c>
      <c r="H1491" s="11" t="s">
        <v>142</v>
      </c>
      <c r="I1491" s="11" t="s">
        <v>10392</v>
      </c>
      <c r="J1491" s="11" t="s">
        <v>10393</v>
      </c>
      <c r="K1491" s="11" t="s">
        <v>472</v>
      </c>
      <c r="L1491" s="11" t="s">
        <v>146</v>
      </c>
      <c r="M1491" s="11" t="s">
        <v>10394</v>
      </c>
      <c r="N1491" s="11" t="s">
        <v>128</v>
      </c>
      <c r="O1491" s="11" t="s">
        <v>10395</v>
      </c>
      <c r="P1491" s="11" t="s">
        <v>10396</v>
      </c>
      <c r="Q1491" s="11" t="s">
        <v>150</v>
      </c>
      <c r="R1491" s="11"/>
      <c r="S1491" s="11" t="s">
        <v>71</v>
      </c>
      <c r="T1491" s="11" t="s">
        <v>1415</v>
      </c>
      <c r="U1491" s="11" t="s">
        <v>150</v>
      </c>
      <c r="V1491" s="11" t="s">
        <v>1415</v>
      </c>
      <c r="W1491" s="11" t="s">
        <v>1415</v>
      </c>
      <c r="X1491" s="11">
        <v>11</v>
      </c>
      <c r="Y1491" s="11" t="s">
        <v>5796</v>
      </c>
      <c r="Z1491" s="11">
        <v>80</v>
      </c>
      <c r="AA1491" s="11">
        <v>0</v>
      </c>
      <c r="AB1491" s="12">
        <v>0</v>
      </c>
    </row>
    <row r="1492" spans="1:28" x14ac:dyDescent="0.2">
      <c r="A1492" s="7">
        <v>23449</v>
      </c>
      <c r="B1492" s="8" t="s">
        <v>10397</v>
      </c>
      <c r="C1492" s="8" t="s">
        <v>4578</v>
      </c>
      <c r="D1492" s="8" t="s">
        <v>10398</v>
      </c>
      <c r="E1492" s="8"/>
      <c r="F1492" s="8" t="s">
        <v>353</v>
      </c>
      <c r="G1492" s="8" t="s">
        <v>1626</v>
      </c>
      <c r="H1492" s="8" t="s">
        <v>142</v>
      </c>
      <c r="I1492" s="8" t="s">
        <v>10399</v>
      </c>
      <c r="J1492" s="8" t="s">
        <v>10400</v>
      </c>
      <c r="K1492" s="8" t="s">
        <v>472</v>
      </c>
      <c r="L1492" s="8" t="s">
        <v>146</v>
      </c>
      <c r="M1492" s="8" t="s">
        <v>10401</v>
      </c>
      <c r="N1492" s="8" t="s">
        <v>128</v>
      </c>
      <c r="O1492" s="8" t="s">
        <v>10402</v>
      </c>
      <c r="P1492" s="8" t="s">
        <v>10403</v>
      </c>
      <c r="Q1492" s="8" t="s">
        <v>150</v>
      </c>
      <c r="R1492" s="8"/>
      <c r="S1492" s="8" t="s">
        <v>71</v>
      </c>
      <c r="T1492" s="8" t="s">
        <v>1415</v>
      </c>
      <c r="U1492" s="8" t="s">
        <v>150</v>
      </c>
      <c r="V1492" s="8" t="s">
        <v>1415</v>
      </c>
      <c r="W1492" s="8" t="s">
        <v>1415</v>
      </c>
      <c r="X1492" s="8">
        <v>11</v>
      </c>
      <c r="Y1492" s="8" t="s">
        <v>5796</v>
      </c>
      <c r="Z1492" s="8">
        <v>80</v>
      </c>
      <c r="AA1492" s="8">
        <v>0</v>
      </c>
      <c r="AB1492" s="9">
        <v>0</v>
      </c>
    </row>
    <row r="1493" spans="1:28" x14ac:dyDescent="0.2">
      <c r="A1493" s="10">
        <v>28708</v>
      </c>
      <c r="B1493" s="11" t="s">
        <v>10404</v>
      </c>
      <c r="C1493" s="11" t="s">
        <v>10405</v>
      </c>
      <c r="D1493" s="11" t="s">
        <v>10406</v>
      </c>
      <c r="E1493" s="11"/>
      <c r="F1493" s="11" t="s">
        <v>353</v>
      </c>
      <c r="G1493" s="11" t="s">
        <v>10407</v>
      </c>
      <c r="H1493" s="11" t="s">
        <v>142</v>
      </c>
      <c r="I1493" s="11" t="s">
        <v>10408</v>
      </c>
      <c r="J1493" s="11" t="s">
        <v>10409</v>
      </c>
      <c r="K1493" s="11" t="s">
        <v>472</v>
      </c>
      <c r="L1493" s="11" t="s">
        <v>146</v>
      </c>
      <c r="M1493" s="11" t="s">
        <v>10410</v>
      </c>
      <c r="N1493" s="11" t="s">
        <v>128</v>
      </c>
      <c r="O1493" s="11" t="s">
        <v>10411</v>
      </c>
      <c r="P1493" s="11" t="s">
        <v>10412</v>
      </c>
      <c r="Q1493" s="11" t="s">
        <v>150</v>
      </c>
      <c r="R1493" s="11"/>
      <c r="S1493" s="11" t="s">
        <v>71</v>
      </c>
      <c r="T1493" s="11" t="s">
        <v>1415</v>
      </c>
      <c r="U1493" s="11" t="s">
        <v>150</v>
      </c>
      <c r="V1493" s="11" t="s">
        <v>1415</v>
      </c>
      <c r="W1493" s="11" t="s">
        <v>1415</v>
      </c>
      <c r="X1493" s="11">
        <v>11</v>
      </c>
      <c r="Y1493" s="11" t="s">
        <v>5796</v>
      </c>
      <c r="Z1493" s="11">
        <v>80</v>
      </c>
      <c r="AA1493" s="11">
        <v>0</v>
      </c>
      <c r="AB1493" s="12">
        <v>0</v>
      </c>
    </row>
    <row r="1494" spans="1:28" x14ac:dyDescent="0.2">
      <c r="A1494" s="7">
        <v>28819</v>
      </c>
      <c r="B1494" s="8" t="s">
        <v>10413</v>
      </c>
      <c r="C1494" s="8" t="s">
        <v>5879</v>
      </c>
      <c r="D1494" s="8" t="s">
        <v>7542</v>
      </c>
      <c r="E1494" s="8"/>
      <c r="F1494" s="8" t="s">
        <v>353</v>
      </c>
      <c r="G1494" s="8" t="s">
        <v>10414</v>
      </c>
      <c r="H1494" s="8" t="s">
        <v>191</v>
      </c>
      <c r="I1494" s="8" t="s">
        <v>10415</v>
      </c>
      <c r="J1494" s="8" t="s">
        <v>10416</v>
      </c>
      <c r="K1494" s="8" t="s">
        <v>194</v>
      </c>
      <c r="L1494" s="8" t="s">
        <v>163</v>
      </c>
      <c r="M1494" s="8" t="s">
        <v>10417</v>
      </c>
      <c r="N1494" s="8" t="s">
        <v>128</v>
      </c>
      <c r="O1494" s="8" t="s">
        <v>10418</v>
      </c>
      <c r="P1494" s="8" t="s">
        <v>10419</v>
      </c>
      <c r="Q1494" s="8" t="s">
        <v>150</v>
      </c>
      <c r="R1494" s="8"/>
      <c r="S1494" s="8" t="s">
        <v>71</v>
      </c>
      <c r="T1494" s="8" t="s">
        <v>168</v>
      </c>
      <c r="U1494" s="8" t="s">
        <v>150</v>
      </c>
      <c r="V1494" s="8" t="s">
        <v>168</v>
      </c>
      <c r="W1494" s="8" t="s">
        <v>168</v>
      </c>
      <c r="X1494" s="8">
        <v>11</v>
      </c>
      <c r="Y1494" s="8" t="s">
        <v>5796</v>
      </c>
      <c r="Z1494" s="8">
        <v>80</v>
      </c>
      <c r="AA1494" s="8">
        <v>0</v>
      </c>
      <c r="AB1494" s="9">
        <v>0</v>
      </c>
    </row>
    <row r="1495" spans="1:28" x14ac:dyDescent="0.2">
      <c r="A1495" s="10">
        <v>235335</v>
      </c>
      <c r="B1495" s="11" t="s">
        <v>10420</v>
      </c>
      <c r="C1495" s="11" t="s">
        <v>10421</v>
      </c>
      <c r="D1495" s="11" t="s">
        <v>922</v>
      </c>
      <c r="E1495" s="11"/>
      <c r="F1495" s="11" t="s">
        <v>353</v>
      </c>
      <c r="G1495" s="11" t="s">
        <v>10422</v>
      </c>
      <c r="H1495" s="11" t="s">
        <v>142</v>
      </c>
      <c r="I1495" s="11" t="s">
        <v>10423</v>
      </c>
      <c r="J1495" s="11" t="s">
        <v>10424</v>
      </c>
      <c r="K1495" s="11" t="s">
        <v>472</v>
      </c>
      <c r="L1495" s="11" t="s">
        <v>146</v>
      </c>
      <c r="M1495" s="11" t="s">
        <v>10425</v>
      </c>
      <c r="N1495" s="11" t="s">
        <v>128</v>
      </c>
      <c r="O1495" s="11" t="s">
        <v>10426</v>
      </c>
      <c r="P1495" s="11" t="s">
        <v>6937</v>
      </c>
      <c r="Q1495" s="11" t="s">
        <v>150</v>
      </c>
      <c r="R1495" s="11"/>
      <c r="S1495" s="11" t="s">
        <v>71</v>
      </c>
      <c r="T1495" s="11" t="s">
        <v>168</v>
      </c>
      <c r="U1495" s="11" t="s">
        <v>150</v>
      </c>
      <c r="V1495" s="11" t="s">
        <v>168</v>
      </c>
      <c r="W1495" s="11" t="s">
        <v>168</v>
      </c>
      <c r="X1495" s="11">
        <v>11</v>
      </c>
      <c r="Y1495" s="11" t="s">
        <v>5796</v>
      </c>
      <c r="Z1495" s="11">
        <v>80</v>
      </c>
      <c r="AA1495" s="11">
        <v>0</v>
      </c>
      <c r="AB1495" s="12">
        <v>0</v>
      </c>
    </row>
    <row r="1496" spans="1:28" x14ac:dyDescent="0.2">
      <c r="A1496" s="7">
        <v>23760</v>
      </c>
      <c r="B1496" s="8" t="s">
        <v>10427</v>
      </c>
      <c r="C1496" s="8" t="s">
        <v>10428</v>
      </c>
      <c r="D1496" s="8" t="s">
        <v>10429</v>
      </c>
      <c r="E1496" s="8"/>
      <c r="F1496" s="8" t="s">
        <v>10430</v>
      </c>
      <c r="G1496" s="8" t="s">
        <v>190</v>
      </c>
      <c r="H1496" s="8" t="s">
        <v>191</v>
      </c>
      <c r="I1496" s="8" t="s">
        <v>10431</v>
      </c>
      <c r="J1496" s="8" t="s">
        <v>10432</v>
      </c>
      <c r="K1496" s="8" t="s">
        <v>194</v>
      </c>
      <c r="L1496" s="8" t="s">
        <v>163</v>
      </c>
      <c r="M1496" s="8" t="s">
        <v>10433</v>
      </c>
      <c r="N1496" s="8" t="s">
        <v>128</v>
      </c>
      <c r="O1496" s="8" t="s">
        <v>10434</v>
      </c>
      <c r="P1496" s="8" t="s">
        <v>10435</v>
      </c>
      <c r="Q1496" s="8" t="s">
        <v>150</v>
      </c>
      <c r="R1496" s="8"/>
      <c r="S1496" s="8" t="s">
        <v>71</v>
      </c>
      <c r="T1496" s="8" t="s">
        <v>168</v>
      </c>
      <c r="U1496" s="8" t="s">
        <v>150</v>
      </c>
      <c r="V1496" s="8" t="s">
        <v>168</v>
      </c>
      <c r="W1496" s="8" t="s">
        <v>168</v>
      </c>
      <c r="X1496" s="8">
        <v>11</v>
      </c>
      <c r="Y1496" s="8" t="s">
        <v>5796</v>
      </c>
      <c r="Z1496" s="8">
        <v>80</v>
      </c>
      <c r="AA1496" s="8">
        <v>0</v>
      </c>
      <c r="AB1496" s="9">
        <v>0</v>
      </c>
    </row>
    <row r="1497" spans="1:28" x14ac:dyDescent="0.2">
      <c r="A1497" s="10">
        <v>86736</v>
      </c>
      <c r="B1497" s="11" t="s">
        <v>10436</v>
      </c>
      <c r="C1497" s="11" t="s">
        <v>10437</v>
      </c>
      <c r="D1497" s="11" t="s">
        <v>4534</v>
      </c>
      <c r="E1497" s="11"/>
      <c r="F1497" s="11" t="s">
        <v>10438</v>
      </c>
      <c r="G1497" s="11" t="s">
        <v>328</v>
      </c>
      <c r="H1497" s="11" t="s">
        <v>329</v>
      </c>
      <c r="I1497" s="11" t="s">
        <v>9925</v>
      </c>
      <c r="J1497" s="11" t="s">
        <v>10439</v>
      </c>
      <c r="K1497" s="11" t="s">
        <v>415</v>
      </c>
      <c r="L1497" s="11" t="s">
        <v>333</v>
      </c>
      <c r="M1497" s="11" t="s">
        <v>10440</v>
      </c>
      <c r="N1497" s="11" t="s">
        <v>128</v>
      </c>
      <c r="O1497" s="11" t="s">
        <v>10441</v>
      </c>
      <c r="P1497" s="11" t="s">
        <v>10442</v>
      </c>
      <c r="Q1497" s="11" t="s">
        <v>150</v>
      </c>
      <c r="R1497" s="11"/>
      <c r="S1497" s="11" t="s">
        <v>71</v>
      </c>
      <c r="T1497" s="11" t="s">
        <v>168</v>
      </c>
      <c r="U1497" s="11" t="s">
        <v>150</v>
      </c>
      <c r="V1497" s="11" t="s">
        <v>168</v>
      </c>
      <c r="W1497" s="11" t="s">
        <v>168</v>
      </c>
      <c r="X1497" s="11">
        <v>11</v>
      </c>
      <c r="Y1497" s="11" t="s">
        <v>5796</v>
      </c>
      <c r="Z1497" s="11">
        <v>80</v>
      </c>
      <c r="AA1497" s="11">
        <v>0</v>
      </c>
      <c r="AB1497" s="12">
        <v>0</v>
      </c>
    </row>
    <row r="1498" spans="1:28" x14ac:dyDescent="0.2">
      <c r="A1498" s="7">
        <v>24709</v>
      </c>
      <c r="B1498" s="8" t="s">
        <v>10443</v>
      </c>
      <c r="C1498" s="8" t="s">
        <v>10089</v>
      </c>
      <c r="D1498" s="8" t="s">
        <v>10444</v>
      </c>
      <c r="E1498" s="8" t="s">
        <v>10445</v>
      </c>
      <c r="F1498" s="8" t="s">
        <v>10092</v>
      </c>
      <c r="G1498" s="8" t="s">
        <v>328</v>
      </c>
      <c r="H1498" s="8" t="s">
        <v>329</v>
      </c>
      <c r="I1498" s="8" t="s">
        <v>10093</v>
      </c>
      <c r="J1498" s="8" t="s">
        <v>10446</v>
      </c>
      <c r="K1498" s="8" t="s">
        <v>572</v>
      </c>
      <c r="L1498" s="8" t="s">
        <v>333</v>
      </c>
      <c r="M1498" s="8" t="s">
        <v>10447</v>
      </c>
      <c r="N1498" s="8" t="s">
        <v>128</v>
      </c>
      <c r="O1498" s="8" t="s">
        <v>10448</v>
      </c>
      <c r="P1498" s="8" t="s">
        <v>10449</v>
      </c>
      <c r="Q1498" s="8" t="s">
        <v>150</v>
      </c>
      <c r="R1498" s="8"/>
      <c r="S1498" s="8" t="s">
        <v>71</v>
      </c>
      <c r="T1498" s="8" t="s">
        <v>69</v>
      </c>
      <c r="U1498" s="8" t="s">
        <v>150</v>
      </c>
      <c r="V1498" s="8" t="s">
        <v>152</v>
      </c>
      <c r="W1498" s="8" t="s">
        <v>69</v>
      </c>
      <c r="X1498" s="8">
        <v>11</v>
      </c>
      <c r="Y1498" s="8" t="s">
        <v>5796</v>
      </c>
      <c r="Z1498" s="8">
        <v>80</v>
      </c>
      <c r="AA1498" s="8">
        <v>0</v>
      </c>
      <c r="AB1498" s="9">
        <v>0</v>
      </c>
    </row>
    <row r="1499" spans="1:28" x14ac:dyDescent="0.2">
      <c r="A1499" s="10">
        <v>20746</v>
      </c>
      <c r="B1499" s="11" t="s">
        <v>10450</v>
      </c>
      <c r="C1499" s="11" t="s">
        <v>6004</v>
      </c>
      <c r="D1499" s="11" t="s">
        <v>351</v>
      </c>
      <c r="E1499" s="11"/>
      <c r="F1499" s="11" t="s">
        <v>353</v>
      </c>
      <c r="G1499" s="11" t="s">
        <v>6005</v>
      </c>
      <c r="H1499" s="11" t="s">
        <v>5805</v>
      </c>
      <c r="I1499" s="11" t="s">
        <v>10451</v>
      </c>
      <c r="J1499" s="11" t="s">
        <v>10452</v>
      </c>
      <c r="K1499" s="11" t="s">
        <v>274</v>
      </c>
      <c r="L1499" s="11" t="s">
        <v>163</v>
      </c>
      <c r="M1499" s="11" t="s">
        <v>10453</v>
      </c>
      <c r="N1499" s="11" t="s">
        <v>128</v>
      </c>
      <c r="O1499" s="11" t="s">
        <v>10454</v>
      </c>
      <c r="P1499" s="11"/>
      <c r="Q1499" s="11" t="s">
        <v>150</v>
      </c>
      <c r="R1499" s="11"/>
      <c r="S1499" s="11" t="s">
        <v>71</v>
      </c>
      <c r="T1499" s="11" t="s">
        <v>8111</v>
      </c>
      <c r="U1499" s="11" t="s">
        <v>150</v>
      </c>
      <c r="V1499" s="11" t="s">
        <v>8111</v>
      </c>
      <c r="W1499" s="11" t="s">
        <v>8111</v>
      </c>
      <c r="X1499" s="11">
        <v>10</v>
      </c>
      <c r="Y1499" s="11" t="s">
        <v>5796</v>
      </c>
      <c r="Z1499" s="11">
        <v>80</v>
      </c>
      <c r="AA1499" s="11">
        <v>0</v>
      </c>
      <c r="AB1499" s="12">
        <v>0</v>
      </c>
    </row>
    <row r="1500" spans="1:28" x14ac:dyDescent="0.2">
      <c r="A1500" s="7">
        <v>38001</v>
      </c>
      <c r="B1500" s="8" t="s">
        <v>10455</v>
      </c>
      <c r="C1500" s="8" t="s">
        <v>10456</v>
      </c>
      <c r="D1500" s="8" t="s">
        <v>10457</v>
      </c>
      <c r="E1500" s="8" t="s">
        <v>281</v>
      </c>
      <c r="F1500" s="8" t="s">
        <v>10458</v>
      </c>
      <c r="G1500" s="8" t="s">
        <v>2618</v>
      </c>
      <c r="H1500" s="8" t="s">
        <v>142</v>
      </c>
      <c r="I1500" s="8" t="s">
        <v>10459</v>
      </c>
      <c r="J1500" s="8" t="s">
        <v>10460</v>
      </c>
      <c r="K1500" s="8" t="s">
        <v>651</v>
      </c>
      <c r="L1500" s="8" t="s">
        <v>146</v>
      </c>
      <c r="M1500" s="8" t="s">
        <v>10461</v>
      </c>
      <c r="N1500" s="8" t="s">
        <v>128</v>
      </c>
      <c r="O1500" s="8" t="s">
        <v>10462</v>
      </c>
      <c r="P1500" s="8" t="s">
        <v>10463</v>
      </c>
      <c r="Q1500" s="8" t="s">
        <v>150</v>
      </c>
      <c r="R1500" s="8"/>
      <c r="S1500" s="8" t="s">
        <v>71</v>
      </c>
      <c r="T1500" s="8" t="s">
        <v>289</v>
      </c>
      <c r="U1500" s="8" t="s">
        <v>150</v>
      </c>
      <c r="V1500" s="8" t="s">
        <v>289</v>
      </c>
      <c r="W1500" s="8" t="s">
        <v>289</v>
      </c>
      <c r="X1500" s="8">
        <v>10</v>
      </c>
      <c r="Y1500" s="8" t="s">
        <v>5796</v>
      </c>
      <c r="Z1500" s="8">
        <v>80</v>
      </c>
      <c r="AA1500" s="8">
        <v>0</v>
      </c>
      <c r="AB1500" s="9">
        <v>0</v>
      </c>
    </row>
    <row r="1501" spans="1:28" x14ac:dyDescent="0.2">
      <c r="A1501" s="10">
        <v>21365</v>
      </c>
      <c r="B1501" s="11" t="s">
        <v>10464</v>
      </c>
      <c r="C1501" s="11" t="s">
        <v>10465</v>
      </c>
      <c r="D1501" s="11" t="s">
        <v>10466</v>
      </c>
      <c r="E1501" s="11" t="s">
        <v>10467</v>
      </c>
      <c r="F1501" s="11" t="s">
        <v>353</v>
      </c>
      <c r="G1501" s="11" t="s">
        <v>1253</v>
      </c>
      <c r="H1501" s="11" t="s">
        <v>142</v>
      </c>
      <c r="I1501" s="11" t="s">
        <v>10468</v>
      </c>
      <c r="J1501" s="11" t="s">
        <v>10469</v>
      </c>
      <c r="K1501" s="11" t="s">
        <v>1199</v>
      </c>
      <c r="L1501" s="11" t="s">
        <v>464</v>
      </c>
      <c r="M1501" s="11" t="s">
        <v>10470</v>
      </c>
      <c r="N1501" s="11" t="s">
        <v>128</v>
      </c>
      <c r="O1501" s="11" t="s">
        <v>10471</v>
      </c>
      <c r="P1501" s="11" t="s">
        <v>10472</v>
      </c>
      <c r="Q1501" s="11" t="s">
        <v>150</v>
      </c>
      <c r="R1501" s="11"/>
      <c r="S1501" s="11" t="s">
        <v>10473</v>
      </c>
      <c r="T1501" s="11" t="s">
        <v>67</v>
      </c>
      <c r="U1501" s="11" t="s">
        <v>150</v>
      </c>
      <c r="V1501" s="11" t="s">
        <v>152</v>
      </c>
      <c r="W1501" s="11" t="s">
        <v>67</v>
      </c>
      <c r="X1501" s="11">
        <v>10</v>
      </c>
      <c r="Y1501" s="11" t="s">
        <v>5796</v>
      </c>
      <c r="Z1501" s="11">
        <v>80</v>
      </c>
      <c r="AA1501" s="11">
        <v>0</v>
      </c>
      <c r="AB1501" s="12">
        <v>0</v>
      </c>
    </row>
    <row r="1502" spans="1:28" x14ac:dyDescent="0.2">
      <c r="A1502" s="7">
        <v>26211</v>
      </c>
      <c r="B1502" s="8" t="s">
        <v>10474</v>
      </c>
      <c r="C1502" s="8" t="s">
        <v>5879</v>
      </c>
      <c r="D1502" s="8" t="s">
        <v>10475</v>
      </c>
      <c r="E1502" s="8"/>
      <c r="F1502" s="8" t="s">
        <v>353</v>
      </c>
      <c r="G1502" s="8" t="s">
        <v>10414</v>
      </c>
      <c r="H1502" s="8" t="s">
        <v>191</v>
      </c>
      <c r="I1502" s="8" t="s">
        <v>10415</v>
      </c>
      <c r="J1502" s="8" t="s">
        <v>10476</v>
      </c>
      <c r="K1502" s="8" t="s">
        <v>194</v>
      </c>
      <c r="L1502" s="8" t="s">
        <v>163</v>
      </c>
      <c r="M1502" s="8" t="s">
        <v>10477</v>
      </c>
      <c r="N1502" s="8" t="s">
        <v>128</v>
      </c>
      <c r="O1502" s="8" t="s">
        <v>10478</v>
      </c>
      <c r="P1502" s="8" t="s">
        <v>380</v>
      </c>
      <c r="Q1502" s="8" t="s">
        <v>150</v>
      </c>
      <c r="R1502" s="8"/>
      <c r="S1502" s="8" t="s">
        <v>71</v>
      </c>
      <c r="T1502" s="8" t="s">
        <v>67</v>
      </c>
      <c r="U1502" s="8" t="s">
        <v>150</v>
      </c>
      <c r="V1502" s="8" t="s">
        <v>152</v>
      </c>
      <c r="W1502" s="8" t="s">
        <v>67</v>
      </c>
      <c r="X1502" s="8">
        <v>10</v>
      </c>
      <c r="Y1502" s="8" t="s">
        <v>5796</v>
      </c>
      <c r="Z1502" s="8">
        <v>80</v>
      </c>
      <c r="AA1502" s="8">
        <v>0</v>
      </c>
      <c r="AB1502" s="9">
        <v>0</v>
      </c>
    </row>
    <row r="1503" spans="1:28" x14ac:dyDescent="0.2">
      <c r="A1503" s="10">
        <v>26197</v>
      </c>
      <c r="B1503" s="11" t="s">
        <v>10479</v>
      </c>
      <c r="C1503" s="11" t="s">
        <v>10480</v>
      </c>
      <c r="D1503" s="11" t="s">
        <v>10481</v>
      </c>
      <c r="E1503" s="11"/>
      <c r="F1503" s="11" t="s">
        <v>10482</v>
      </c>
      <c r="G1503" s="11" t="s">
        <v>141</v>
      </c>
      <c r="H1503" s="11" t="s">
        <v>142</v>
      </c>
      <c r="I1503" s="11" t="s">
        <v>10483</v>
      </c>
      <c r="J1503" s="11" t="s">
        <v>10484</v>
      </c>
      <c r="K1503" s="11" t="s">
        <v>472</v>
      </c>
      <c r="L1503" s="11" t="s">
        <v>146</v>
      </c>
      <c r="M1503" s="11" t="s">
        <v>10485</v>
      </c>
      <c r="N1503" s="11" t="s">
        <v>128</v>
      </c>
      <c r="O1503" s="11"/>
      <c r="P1503" s="11" t="s">
        <v>10486</v>
      </c>
      <c r="Q1503" s="11" t="s">
        <v>150</v>
      </c>
      <c r="R1503" s="11"/>
      <c r="S1503" s="11" t="s">
        <v>71</v>
      </c>
      <c r="T1503" s="11" t="s">
        <v>67</v>
      </c>
      <c r="U1503" s="11" t="s">
        <v>150</v>
      </c>
      <c r="V1503" s="11" t="s">
        <v>152</v>
      </c>
      <c r="W1503" s="11" t="s">
        <v>67</v>
      </c>
      <c r="X1503" s="11">
        <v>10</v>
      </c>
      <c r="Y1503" s="11" t="s">
        <v>5796</v>
      </c>
      <c r="Z1503" s="11">
        <v>80</v>
      </c>
      <c r="AA1503" s="11">
        <v>0</v>
      </c>
      <c r="AB1503" s="12">
        <v>0</v>
      </c>
    </row>
    <row r="1504" spans="1:28" x14ac:dyDescent="0.2">
      <c r="A1504" s="7">
        <v>26393</v>
      </c>
      <c r="B1504" s="8" t="s">
        <v>10487</v>
      </c>
      <c r="C1504" s="8" t="s">
        <v>10488</v>
      </c>
      <c r="D1504" s="8" t="s">
        <v>7068</v>
      </c>
      <c r="E1504" s="8"/>
      <c r="F1504" s="8" t="s">
        <v>10489</v>
      </c>
      <c r="G1504" s="8" t="s">
        <v>141</v>
      </c>
      <c r="H1504" s="8" t="s">
        <v>142</v>
      </c>
      <c r="I1504" s="8" t="s">
        <v>10423</v>
      </c>
      <c r="J1504" s="8" t="s">
        <v>10490</v>
      </c>
      <c r="K1504" s="8" t="s">
        <v>472</v>
      </c>
      <c r="L1504" s="8" t="s">
        <v>146</v>
      </c>
      <c r="M1504" s="8" t="s">
        <v>10491</v>
      </c>
      <c r="N1504" s="8" t="s">
        <v>128</v>
      </c>
      <c r="O1504" s="8" t="s">
        <v>10492</v>
      </c>
      <c r="P1504" s="8" t="s">
        <v>9691</v>
      </c>
      <c r="Q1504" s="8" t="s">
        <v>150</v>
      </c>
      <c r="R1504" s="8"/>
      <c r="S1504" s="8" t="s">
        <v>71</v>
      </c>
      <c r="T1504" s="8" t="s">
        <v>67</v>
      </c>
      <c r="U1504" s="8" t="s">
        <v>150</v>
      </c>
      <c r="V1504" s="8" t="s">
        <v>152</v>
      </c>
      <c r="W1504" s="8" t="s">
        <v>67</v>
      </c>
      <c r="X1504" s="8">
        <v>10</v>
      </c>
      <c r="Y1504" s="8" t="s">
        <v>5796</v>
      </c>
      <c r="Z1504" s="8">
        <v>80</v>
      </c>
      <c r="AA1504" s="8">
        <v>0</v>
      </c>
      <c r="AB1504" s="9">
        <v>0</v>
      </c>
    </row>
    <row r="1505" spans="1:28" x14ac:dyDescent="0.2">
      <c r="A1505" s="10">
        <v>106141</v>
      </c>
      <c r="B1505" s="11" t="s">
        <v>10493</v>
      </c>
      <c r="C1505" s="11" t="s">
        <v>10494</v>
      </c>
      <c r="D1505" s="11" t="s">
        <v>10495</v>
      </c>
      <c r="E1505" s="11"/>
      <c r="F1505" s="11" t="s">
        <v>10496</v>
      </c>
      <c r="G1505" s="11" t="s">
        <v>10497</v>
      </c>
      <c r="H1505" s="11" t="s">
        <v>6410</v>
      </c>
      <c r="I1505" s="11" t="s">
        <v>10498</v>
      </c>
      <c r="J1505" s="11" t="s">
        <v>10499</v>
      </c>
      <c r="K1505" s="11" t="s">
        <v>1956</v>
      </c>
      <c r="L1505" s="11" t="s">
        <v>526</v>
      </c>
      <c r="M1505" s="11" t="s">
        <v>10500</v>
      </c>
      <c r="N1505" s="11" t="s">
        <v>128</v>
      </c>
      <c r="O1505" s="11" t="s">
        <v>10501</v>
      </c>
      <c r="P1505" s="11" t="s">
        <v>10502</v>
      </c>
      <c r="Q1505" s="11" t="s">
        <v>150</v>
      </c>
      <c r="R1505" s="11"/>
      <c r="S1505" s="11" t="s">
        <v>10503</v>
      </c>
      <c r="T1505" s="11" t="s">
        <v>67</v>
      </c>
      <c r="U1505" s="11" t="s">
        <v>150</v>
      </c>
      <c r="V1505" s="11" t="s">
        <v>152</v>
      </c>
      <c r="W1505" s="11" t="s">
        <v>67</v>
      </c>
      <c r="X1505" s="11">
        <v>10</v>
      </c>
      <c r="Y1505" s="11" t="s">
        <v>5796</v>
      </c>
      <c r="Z1505" s="11">
        <v>80</v>
      </c>
      <c r="AA1505" s="11">
        <v>0</v>
      </c>
      <c r="AB1505" s="12">
        <v>0</v>
      </c>
    </row>
    <row r="1506" spans="1:28" x14ac:dyDescent="0.2">
      <c r="A1506" s="7">
        <v>123933</v>
      </c>
      <c r="B1506" s="8" t="s">
        <v>10504</v>
      </c>
      <c r="C1506" s="8" t="s">
        <v>9965</v>
      </c>
      <c r="D1506" s="8" t="s">
        <v>9966</v>
      </c>
      <c r="E1506" s="8"/>
      <c r="F1506" s="8" t="s">
        <v>10505</v>
      </c>
      <c r="G1506" s="8" t="s">
        <v>4175</v>
      </c>
      <c r="H1506" s="8" t="s">
        <v>329</v>
      </c>
      <c r="I1506" s="8" t="s">
        <v>10506</v>
      </c>
      <c r="J1506" s="8" t="s">
        <v>9969</v>
      </c>
      <c r="K1506" s="8" t="s">
        <v>415</v>
      </c>
      <c r="L1506" s="8" t="s">
        <v>333</v>
      </c>
      <c r="M1506" s="8" t="s">
        <v>10507</v>
      </c>
      <c r="N1506" s="8" t="s">
        <v>128</v>
      </c>
      <c r="O1506" s="8" t="s">
        <v>10508</v>
      </c>
      <c r="P1506" s="8" t="s">
        <v>10509</v>
      </c>
      <c r="Q1506" s="8" t="s">
        <v>150</v>
      </c>
      <c r="R1506" s="8"/>
      <c r="S1506" s="8" t="s">
        <v>9973</v>
      </c>
      <c r="T1506" s="8" t="s">
        <v>67</v>
      </c>
      <c r="U1506" s="8" t="s">
        <v>150</v>
      </c>
      <c r="V1506" s="8" t="s">
        <v>152</v>
      </c>
      <c r="W1506" s="8" t="s">
        <v>67</v>
      </c>
      <c r="X1506" s="8">
        <v>10</v>
      </c>
      <c r="Y1506" s="8" t="s">
        <v>5796</v>
      </c>
      <c r="Z1506" s="8">
        <v>80</v>
      </c>
      <c r="AA1506" s="8">
        <v>0</v>
      </c>
      <c r="AB1506" s="9">
        <v>0</v>
      </c>
    </row>
    <row r="1507" spans="1:28" x14ac:dyDescent="0.2">
      <c r="A1507" s="10">
        <v>23522</v>
      </c>
      <c r="B1507" s="11" t="s">
        <v>10510</v>
      </c>
      <c r="C1507" s="11" t="s">
        <v>6071</v>
      </c>
      <c r="D1507" s="11" t="s">
        <v>4118</v>
      </c>
      <c r="E1507" s="11"/>
      <c r="F1507" s="11" t="s">
        <v>353</v>
      </c>
      <c r="G1507" s="11" t="s">
        <v>1915</v>
      </c>
      <c r="H1507" s="11" t="s">
        <v>122</v>
      </c>
      <c r="I1507" s="11" t="s">
        <v>10511</v>
      </c>
      <c r="J1507" s="11" t="s">
        <v>10512</v>
      </c>
      <c r="K1507" s="11" t="s">
        <v>1051</v>
      </c>
      <c r="L1507" s="11" t="s">
        <v>126</v>
      </c>
      <c r="M1507" s="11" t="s">
        <v>10513</v>
      </c>
      <c r="N1507" s="11" t="s">
        <v>128</v>
      </c>
      <c r="O1507" s="11" t="s">
        <v>10514</v>
      </c>
      <c r="P1507" s="11" t="s">
        <v>10515</v>
      </c>
      <c r="Q1507" s="11" t="s">
        <v>150</v>
      </c>
      <c r="R1507" s="11"/>
      <c r="S1507" s="11" t="s">
        <v>71</v>
      </c>
      <c r="T1507" s="11" t="s">
        <v>6736</v>
      </c>
      <c r="U1507" s="11" t="s">
        <v>150</v>
      </c>
      <c r="V1507" s="11" t="s">
        <v>6736</v>
      </c>
      <c r="W1507" s="11" t="s">
        <v>6736</v>
      </c>
      <c r="X1507" s="11">
        <v>10</v>
      </c>
      <c r="Y1507" s="11" t="s">
        <v>5796</v>
      </c>
      <c r="Z1507" s="11">
        <v>80</v>
      </c>
      <c r="AA1507" s="11">
        <v>0</v>
      </c>
      <c r="AB1507" s="12">
        <v>0</v>
      </c>
    </row>
    <row r="1508" spans="1:28" x14ac:dyDescent="0.2">
      <c r="A1508" s="7">
        <v>27790</v>
      </c>
      <c r="B1508" s="8" t="s">
        <v>10516</v>
      </c>
      <c r="C1508" s="8" t="s">
        <v>8780</v>
      </c>
      <c r="D1508" s="8" t="s">
        <v>861</v>
      </c>
      <c r="E1508" s="8"/>
      <c r="F1508" s="8" t="s">
        <v>10517</v>
      </c>
      <c r="G1508" s="8" t="s">
        <v>1325</v>
      </c>
      <c r="H1508" s="8" t="s">
        <v>142</v>
      </c>
      <c r="I1508" s="8" t="s">
        <v>8783</v>
      </c>
      <c r="J1508" s="8" t="s">
        <v>10518</v>
      </c>
      <c r="K1508" s="8" t="s">
        <v>974</v>
      </c>
      <c r="L1508" s="8" t="s">
        <v>146</v>
      </c>
      <c r="M1508" s="8" t="s">
        <v>10519</v>
      </c>
      <c r="N1508" s="8" t="s">
        <v>128</v>
      </c>
      <c r="O1508" s="8" t="s">
        <v>10520</v>
      </c>
      <c r="P1508" s="8" t="s">
        <v>10521</v>
      </c>
      <c r="Q1508" s="8" t="s">
        <v>150</v>
      </c>
      <c r="R1508" s="8"/>
      <c r="S1508" s="8" t="s">
        <v>71</v>
      </c>
      <c r="T1508" s="8" t="s">
        <v>2697</v>
      </c>
      <c r="U1508" s="8" t="s">
        <v>150</v>
      </c>
      <c r="V1508" s="8" t="s">
        <v>2697</v>
      </c>
      <c r="W1508" s="8" t="s">
        <v>2697</v>
      </c>
      <c r="X1508" s="8">
        <v>10</v>
      </c>
      <c r="Y1508" s="8" t="s">
        <v>5796</v>
      </c>
      <c r="Z1508" s="8">
        <v>80</v>
      </c>
      <c r="AA1508" s="8">
        <v>0</v>
      </c>
      <c r="AB1508" s="9">
        <v>0</v>
      </c>
    </row>
    <row r="1509" spans="1:28" x14ac:dyDescent="0.2">
      <c r="A1509" s="10">
        <v>22938</v>
      </c>
      <c r="B1509" s="11" t="s">
        <v>10522</v>
      </c>
      <c r="C1509" s="11" t="s">
        <v>552</v>
      </c>
      <c r="D1509" s="11" t="s">
        <v>789</v>
      </c>
      <c r="E1509" s="11" t="s">
        <v>10523</v>
      </c>
      <c r="F1509" s="11" t="s">
        <v>1479</v>
      </c>
      <c r="G1509" s="11" t="s">
        <v>556</v>
      </c>
      <c r="H1509" s="11" t="s">
        <v>557</v>
      </c>
      <c r="I1509" s="11" t="s">
        <v>558</v>
      </c>
      <c r="J1509" s="11" t="s">
        <v>2579</v>
      </c>
      <c r="K1509" s="11" t="s">
        <v>560</v>
      </c>
      <c r="L1509" s="11" t="s">
        <v>229</v>
      </c>
      <c r="M1509" s="11" t="s">
        <v>10524</v>
      </c>
      <c r="N1509" s="11" t="s">
        <v>128</v>
      </c>
      <c r="O1509" s="11" t="s">
        <v>10525</v>
      </c>
      <c r="P1509" s="11" t="s">
        <v>10526</v>
      </c>
      <c r="Q1509" s="11" t="s">
        <v>150</v>
      </c>
      <c r="R1509" s="11"/>
      <c r="S1509" s="11" t="s">
        <v>796</v>
      </c>
      <c r="T1509" s="11" t="s">
        <v>70</v>
      </c>
      <c r="U1509" s="11" t="s">
        <v>150</v>
      </c>
      <c r="V1509" s="11" t="s">
        <v>70</v>
      </c>
      <c r="W1509" s="11" t="s">
        <v>70</v>
      </c>
      <c r="X1509" s="11">
        <v>10</v>
      </c>
      <c r="Y1509" s="11" t="s">
        <v>5796</v>
      </c>
      <c r="Z1509" s="11">
        <v>80</v>
      </c>
      <c r="AA1509" s="11">
        <v>0</v>
      </c>
      <c r="AB1509" s="12">
        <v>0</v>
      </c>
    </row>
    <row r="1510" spans="1:28" x14ac:dyDescent="0.2">
      <c r="A1510" s="7">
        <v>92278</v>
      </c>
      <c r="B1510" s="8" t="s">
        <v>10527</v>
      </c>
      <c r="C1510" s="8" t="s">
        <v>9982</v>
      </c>
      <c r="D1510" s="8" t="s">
        <v>9706</v>
      </c>
      <c r="E1510" s="8"/>
      <c r="F1510" s="8" t="s">
        <v>353</v>
      </c>
      <c r="G1510" s="8" t="s">
        <v>9983</v>
      </c>
      <c r="H1510" s="8" t="s">
        <v>557</v>
      </c>
      <c r="I1510" s="8" t="s">
        <v>9984</v>
      </c>
      <c r="J1510" s="8" t="s">
        <v>10528</v>
      </c>
      <c r="K1510" s="8" t="s">
        <v>560</v>
      </c>
      <c r="L1510" s="8" t="s">
        <v>229</v>
      </c>
      <c r="M1510" s="8" t="s">
        <v>10529</v>
      </c>
      <c r="N1510" s="8" t="s">
        <v>128</v>
      </c>
      <c r="O1510" s="8" t="s">
        <v>10530</v>
      </c>
      <c r="P1510" s="8" t="s">
        <v>10531</v>
      </c>
      <c r="Q1510" s="8" t="s">
        <v>150</v>
      </c>
      <c r="R1510" s="8"/>
      <c r="S1510" s="8" t="s">
        <v>71</v>
      </c>
      <c r="T1510" s="8" t="s">
        <v>70</v>
      </c>
      <c r="U1510" s="8" t="s">
        <v>150</v>
      </c>
      <c r="V1510" s="8" t="s">
        <v>70</v>
      </c>
      <c r="W1510" s="8" t="s">
        <v>70</v>
      </c>
      <c r="X1510" s="8">
        <v>10</v>
      </c>
      <c r="Y1510" s="8" t="s">
        <v>5796</v>
      </c>
      <c r="Z1510" s="8">
        <v>80</v>
      </c>
      <c r="AA1510" s="8">
        <v>0</v>
      </c>
      <c r="AB1510" s="9">
        <v>0</v>
      </c>
    </row>
    <row r="1511" spans="1:28" x14ac:dyDescent="0.2">
      <c r="A1511" s="10">
        <v>124249</v>
      </c>
      <c r="B1511" s="11" t="s">
        <v>10532</v>
      </c>
      <c r="C1511" s="11" t="s">
        <v>10533</v>
      </c>
      <c r="D1511" s="11" t="s">
        <v>10534</v>
      </c>
      <c r="E1511" s="11"/>
      <c r="F1511" s="11" t="s">
        <v>353</v>
      </c>
      <c r="G1511" s="11" t="s">
        <v>10391</v>
      </c>
      <c r="H1511" s="11" t="s">
        <v>142</v>
      </c>
      <c r="I1511" s="11" t="s">
        <v>10535</v>
      </c>
      <c r="J1511" s="11" t="s">
        <v>10536</v>
      </c>
      <c r="K1511" s="11" t="s">
        <v>472</v>
      </c>
      <c r="L1511" s="11" t="s">
        <v>146</v>
      </c>
      <c r="M1511" s="11" t="s">
        <v>10537</v>
      </c>
      <c r="N1511" s="11" t="s">
        <v>128</v>
      </c>
      <c r="O1511" s="11" t="s">
        <v>10538</v>
      </c>
      <c r="P1511" s="11" t="s">
        <v>10539</v>
      </c>
      <c r="Q1511" s="11" t="s">
        <v>150</v>
      </c>
      <c r="R1511" s="11"/>
      <c r="S1511" s="11" t="s">
        <v>71</v>
      </c>
      <c r="T1511" s="11" t="s">
        <v>1415</v>
      </c>
      <c r="U1511" s="11" t="s">
        <v>150</v>
      </c>
      <c r="V1511" s="11" t="s">
        <v>1415</v>
      </c>
      <c r="W1511" s="11" t="s">
        <v>1415</v>
      </c>
      <c r="X1511" s="11">
        <v>10</v>
      </c>
      <c r="Y1511" s="11" t="s">
        <v>5796</v>
      </c>
      <c r="Z1511" s="11">
        <v>80</v>
      </c>
      <c r="AA1511" s="11">
        <v>0</v>
      </c>
      <c r="AB1511" s="12">
        <v>0</v>
      </c>
    </row>
    <row r="1512" spans="1:28" x14ac:dyDescent="0.2">
      <c r="A1512" s="7">
        <v>124288</v>
      </c>
      <c r="B1512" s="8" t="s">
        <v>10540</v>
      </c>
      <c r="C1512" s="8" t="s">
        <v>10541</v>
      </c>
      <c r="D1512" s="8" t="s">
        <v>4623</v>
      </c>
      <c r="E1512" s="8"/>
      <c r="F1512" s="8" t="s">
        <v>10542</v>
      </c>
      <c r="G1512" s="8" t="s">
        <v>10543</v>
      </c>
      <c r="H1512" s="8" t="s">
        <v>142</v>
      </c>
      <c r="I1512" s="8" t="s">
        <v>10544</v>
      </c>
      <c r="J1512" s="8" t="s">
        <v>10545</v>
      </c>
      <c r="K1512" s="8" t="s">
        <v>974</v>
      </c>
      <c r="L1512" s="8" t="s">
        <v>146</v>
      </c>
      <c r="M1512" s="8" t="s">
        <v>10546</v>
      </c>
      <c r="N1512" s="8" t="s">
        <v>128</v>
      </c>
      <c r="O1512" s="8" t="s">
        <v>10547</v>
      </c>
      <c r="P1512" s="8" t="s">
        <v>10548</v>
      </c>
      <c r="Q1512" s="8" t="s">
        <v>150</v>
      </c>
      <c r="R1512" s="8"/>
      <c r="S1512" s="8" t="s">
        <v>71</v>
      </c>
      <c r="T1512" s="8" t="s">
        <v>1415</v>
      </c>
      <c r="U1512" s="8" t="s">
        <v>150</v>
      </c>
      <c r="V1512" s="8" t="s">
        <v>1415</v>
      </c>
      <c r="W1512" s="8" t="s">
        <v>1415</v>
      </c>
      <c r="X1512" s="8">
        <v>10</v>
      </c>
      <c r="Y1512" s="8" t="s">
        <v>5796</v>
      </c>
      <c r="Z1512" s="8">
        <v>80</v>
      </c>
      <c r="AA1512" s="8">
        <v>0</v>
      </c>
      <c r="AB1512" s="9">
        <v>0</v>
      </c>
    </row>
    <row r="1513" spans="1:28" x14ac:dyDescent="0.2">
      <c r="A1513" s="10">
        <v>25371</v>
      </c>
      <c r="B1513" s="11" t="s">
        <v>10549</v>
      </c>
      <c r="C1513" s="11" t="s">
        <v>1928</v>
      </c>
      <c r="D1513" s="11" t="s">
        <v>4209</v>
      </c>
      <c r="E1513" s="11" t="s">
        <v>10550</v>
      </c>
      <c r="F1513" s="11" t="s">
        <v>4211</v>
      </c>
      <c r="G1513" s="11" t="s">
        <v>2510</v>
      </c>
      <c r="H1513" s="11" t="s">
        <v>2511</v>
      </c>
      <c r="I1513" s="11" t="s">
        <v>10551</v>
      </c>
      <c r="J1513" s="11" t="s">
        <v>4213</v>
      </c>
      <c r="K1513" s="11" t="s">
        <v>1562</v>
      </c>
      <c r="L1513" s="11" t="s">
        <v>229</v>
      </c>
      <c r="M1513" s="11" t="s">
        <v>10552</v>
      </c>
      <c r="N1513" s="11" t="s">
        <v>128</v>
      </c>
      <c r="O1513" s="11" t="s">
        <v>10553</v>
      </c>
      <c r="P1513" s="11" t="s">
        <v>10554</v>
      </c>
      <c r="Q1513" s="11" t="s">
        <v>249</v>
      </c>
      <c r="R1513" s="11"/>
      <c r="S1513" s="11" t="s">
        <v>4217</v>
      </c>
      <c r="T1513" s="11" t="s">
        <v>250</v>
      </c>
      <c r="U1513" s="11" t="s">
        <v>134</v>
      </c>
      <c r="V1513" s="11" t="s">
        <v>249</v>
      </c>
      <c r="W1513" s="11" t="s">
        <v>250</v>
      </c>
      <c r="X1513" s="11">
        <v>10</v>
      </c>
      <c r="Y1513" s="11" t="s">
        <v>5796</v>
      </c>
      <c r="Z1513" s="11">
        <v>80</v>
      </c>
      <c r="AA1513" s="11">
        <v>0</v>
      </c>
      <c r="AB1513" s="12">
        <v>0</v>
      </c>
    </row>
    <row r="1514" spans="1:28" x14ac:dyDescent="0.2">
      <c r="A1514" s="7">
        <v>21159</v>
      </c>
      <c r="B1514" s="8" t="s">
        <v>10555</v>
      </c>
      <c r="C1514" s="8" t="s">
        <v>10556</v>
      </c>
      <c r="D1514" s="8" t="s">
        <v>904</v>
      </c>
      <c r="E1514" s="8"/>
      <c r="F1514" s="8" t="s">
        <v>10557</v>
      </c>
      <c r="G1514" s="8" t="s">
        <v>8614</v>
      </c>
      <c r="H1514" s="8" t="s">
        <v>142</v>
      </c>
      <c r="I1514" s="8" t="s">
        <v>10558</v>
      </c>
      <c r="J1514" s="8" t="s">
        <v>10559</v>
      </c>
      <c r="K1514" s="8" t="s">
        <v>1199</v>
      </c>
      <c r="L1514" s="8" t="s">
        <v>464</v>
      </c>
      <c r="M1514" s="8" t="s">
        <v>10560</v>
      </c>
      <c r="N1514" s="8" t="s">
        <v>128</v>
      </c>
      <c r="O1514" s="8" t="s">
        <v>10561</v>
      </c>
      <c r="P1514" s="8" t="s">
        <v>10562</v>
      </c>
      <c r="Q1514" s="8" t="s">
        <v>150</v>
      </c>
      <c r="R1514" s="8"/>
      <c r="S1514" s="8" t="s">
        <v>71</v>
      </c>
      <c r="T1514" s="8" t="s">
        <v>289</v>
      </c>
      <c r="U1514" s="8" t="s">
        <v>150</v>
      </c>
      <c r="V1514" s="8" t="s">
        <v>289</v>
      </c>
      <c r="W1514" s="8" t="s">
        <v>289</v>
      </c>
      <c r="X1514" s="8">
        <v>9</v>
      </c>
      <c r="Y1514" s="8" t="s">
        <v>5796</v>
      </c>
      <c r="Z1514" s="8">
        <v>80</v>
      </c>
      <c r="AA1514" s="8">
        <v>0</v>
      </c>
      <c r="AB1514" s="9">
        <v>0</v>
      </c>
    </row>
    <row r="1515" spans="1:28" x14ac:dyDescent="0.2">
      <c r="A1515" s="10">
        <v>21460</v>
      </c>
      <c r="B1515" s="11" t="s">
        <v>10563</v>
      </c>
      <c r="C1515" s="11" t="s">
        <v>10117</v>
      </c>
      <c r="D1515" s="11" t="s">
        <v>138</v>
      </c>
      <c r="E1515" s="11" t="s">
        <v>10564</v>
      </c>
      <c r="F1515" s="11" t="s">
        <v>10565</v>
      </c>
      <c r="G1515" s="11" t="s">
        <v>1813</v>
      </c>
      <c r="H1515" s="11" t="s">
        <v>142</v>
      </c>
      <c r="I1515" s="11" t="s">
        <v>10566</v>
      </c>
      <c r="J1515" s="11" t="s">
        <v>10567</v>
      </c>
      <c r="K1515" s="11" t="s">
        <v>974</v>
      </c>
      <c r="L1515" s="11" t="s">
        <v>146</v>
      </c>
      <c r="M1515" s="11" t="s">
        <v>10568</v>
      </c>
      <c r="N1515" s="11" t="s">
        <v>128</v>
      </c>
      <c r="O1515" s="11" t="s">
        <v>10569</v>
      </c>
      <c r="P1515" s="11" t="s">
        <v>10570</v>
      </c>
      <c r="Q1515" s="11" t="s">
        <v>150</v>
      </c>
      <c r="R1515" s="11"/>
      <c r="S1515" s="11" t="s">
        <v>71</v>
      </c>
      <c r="T1515" s="11" t="s">
        <v>67</v>
      </c>
      <c r="U1515" s="11" t="s">
        <v>150</v>
      </c>
      <c r="V1515" s="11" t="s">
        <v>152</v>
      </c>
      <c r="W1515" s="11" t="s">
        <v>67</v>
      </c>
      <c r="X1515" s="11">
        <v>9</v>
      </c>
      <c r="Y1515" s="11" t="s">
        <v>5796</v>
      </c>
      <c r="Z1515" s="11">
        <v>80</v>
      </c>
      <c r="AA1515" s="11">
        <v>0</v>
      </c>
      <c r="AB1515" s="12">
        <v>0</v>
      </c>
    </row>
    <row r="1516" spans="1:28" x14ac:dyDescent="0.2">
      <c r="A1516" s="7">
        <v>21606</v>
      </c>
      <c r="B1516" s="8" t="s">
        <v>10571</v>
      </c>
      <c r="C1516" s="8" t="s">
        <v>10572</v>
      </c>
      <c r="D1516" s="8" t="s">
        <v>10573</v>
      </c>
      <c r="E1516" s="8" t="s">
        <v>135</v>
      </c>
      <c r="F1516" s="8" t="s">
        <v>3819</v>
      </c>
      <c r="G1516" s="8" t="s">
        <v>328</v>
      </c>
      <c r="H1516" s="8" t="s">
        <v>329</v>
      </c>
      <c r="I1516" s="8" t="s">
        <v>10574</v>
      </c>
      <c r="J1516" s="8" t="s">
        <v>10575</v>
      </c>
      <c r="K1516" s="8" t="s">
        <v>431</v>
      </c>
      <c r="L1516" s="8" t="s">
        <v>333</v>
      </c>
      <c r="M1516" s="8" t="s">
        <v>10576</v>
      </c>
      <c r="N1516" s="8" t="s">
        <v>128</v>
      </c>
      <c r="O1516" s="8" t="s">
        <v>10577</v>
      </c>
      <c r="P1516" s="8" t="s">
        <v>10578</v>
      </c>
      <c r="Q1516" s="8" t="s">
        <v>150</v>
      </c>
      <c r="R1516" s="8"/>
      <c r="S1516" s="8" t="s">
        <v>71</v>
      </c>
      <c r="T1516" s="8" t="s">
        <v>67</v>
      </c>
      <c r="U1516" s="8" t="s">
        <v>150</v>
      </c>
      <c r="V1516" s="8" t="s">
        <v>152</v>
      </c>
      <c r="W1516" s="8" t="s">
        <v>67</v>
      </c>
      <c r="X1516" s="8">
        <v>9</v>
      </c>
      <c r="Y1516" s="8" t="s">
        <v>5796</v>
      </c>
      <c r="Z1516" s="8">
        <v>80</v>
      </c>
      <c r="AA1516" s="8">
        <v>0</v>
      </c>
      <c r="AB1516" s="9">
        <v>0</v>
      </c>
    </row>
    <row r="1517" spans="1:28" x14ac:dyDescent="0.2">
      <c r="A1517" s="10">
        <v>21627</v>
      </c>
      <c r="B1517" s="11" t="s">
        <v>10579</v>
      </c>
      <c r="C1517" s="11" t="s">
        <v>10580</v>
      </c>
      <c r="D1517" s="11" t="s">
        <v>10581</v>
      </c>
      <c r="E1517" s="11" t="s">
        <v>10582</v>
      </c>
      <c r="F1517" s="11" t="s">
        <v>10583</v>
      </c>
      <c r="G1517" s="11" t="s">
        <v>328</v>
      </c>
      <c r="H1517" s="11" t="s">
        <v>329</v>
      </c>
      <c r="I1517" s="11" t="s">
        <v>10584</v>
      </c>
      <c r="J1517" s="11" t="s">
        <v>10585</v>
      </c>
      <c r="K1517" s="11" t="s">
        <v>415</v>
      </c>
      <c r="L1517" s="11" t="s">
        <v>333</v>
      </c>
      <c r="M1517" s="11" t="s">
        <v>10586</v>
      </c>
      <c r="N1517" s="11" t="s">
        <v>128</v>
      </c>
      <c r="O1517" s="11" t="s">
        <v>10587</v>
      </c>
      <c r="P1517" s="11" t="s">
        <v>10481</v>
      </c>
      <c r="Q1517" s="11" t="s">
        <v>150</v>
      </c>
      <c r="R1517" s="11"/>
      <c r="S1517" s="11" t="s">
        <v>71</v>
      </c>
      <c r="T1517" s="11" t="s">
        <v>67</v>
      </c>
      <c r="U1517" s="11" t="s">
        <v>150</v>
      </c>
      <c r="V1517" s="11" t="s">
        <v>152</v>
      </c>
      <c r="W1517" s="11" t="s">
        <v>67</v>
      </c>
      <c r="X1517" s="11">
        <v>9</v>
      </c>
      <c r="Y1517" s="11" t="s">
        <v>5796</v>
      </c>
      <c r="Z1517" s="11">
        <v>80</v>
      </c>
      <c r="AA1517" s="11">
        <v>0</v>
      </c>
      <c r="AB1517" s="12">
        <v>0</v>
      </c>
    </row>
    <row r="1518" spans="1:28" x14ac:dyDescent="0.2">
      <c r="A1518" s="7">
        <v>26281</v>
      </c>
      <c r="B1518" s="8" t="s">
        <v>10588</v>
      </c>
      <c r="C1518" s="8" t="s">
        <v>10589</v>
      </c>
      <c r="D1518" s="8" t="s">
        <v>10590</v>
      </c>
      <c r="E1518" s="8" t="s">
        <v>10591</v>
      </c>
      <c r="F1518" s="8" t="s">
        <v>10592</v>
      </c>
      <c r="G1518" s="8" t="s">
        <v>3643</v>
      </c>
      <c r="H1518" s="8" t="s">
        <v>142</v>
      </c>
      <c r="I1518" s="8" t="s">
        <v>10593</v>
      </c>
      <c r="J1518" s="8" t="s">
        <v>10594</v>
      </c>
      <c r="K1518" s="8" t="s">
        <v>651</v>
      </c>
      <c r="L1518" s="8" t="s">
        <v>146</v>
      </c>
      <c r="M1518" s="8" t="s">
        <v>10595</v>
      </c>
      <c r="N1518" s="8" t="s">
        <v>128</v>
      </c>
      <c r="O1518" s="8" t="s">
        <v>10596</v>
      </c>
      <c r="P1518" s="8" t="s">
        <v>10597</v>
      </c>
      <c r="Q1518" s="8" t="s">
        <v>150</v>
      </c>
      <c r="R1518" s="8"/>
      <c r="S1518" s="8" t="s">
        <v>71</v>
      </c>
      <c r="T1518" s="8" t="s">
        <v>67</v>
      </c>
      <c r="U1518" s="8" t="s">
        <v>150</v>
      </c>
      <c r="V1518" s="8" t="s">
        <v>152</v>
      </c>
      <c r="W1518" s="8" t="s">
        <v>67</v>
      </c>
      <c r="X1518" s="8">
        <v>9</v>
      </c>
      <c r="Y1518" s="8" t="s">
        <v>5796</v>
      </c>
      <c r="Z1518" s="8">
        <v>80</v>
      </c>
      <c r="AA1518" s="8">
        <v>0</v>
      </c>
      <c r="AB1518" s="9">
        <v>0</v>
      </c>
    </row>
    <row r="1519" spans="1:28" x14ac:dyDescent="0.2">
      <c r="A1519" s="10">
        <v>86790</v>
      </c>
      <c r="B1519" s="11" t="s">
        <v>10598</v>
      </c>
      <c r="C1519" s="11" t="s">
        <v>10599</v>
      </c>
      <c r="D1519" s="11" t="s">
        <v>10600</v>
      </c>
      <c r="E1519" s="11"/>
      <c r="F1519" s="11" t="s">
        <v>353</v>
      </c>
      <c r="G1519" s="11" t="s">
        <v>10601</v>
      </c>
      <c r="H1519" s="11" t="s">
        <v>557</v>
      </c>
      <c r="I1519" s="11" t="s">
        <v>10602</v>
      </c>
      <c r="J1519" s="11" t="s">
        <v>10603</v>
      </c>
      <c r="K1519" s="11" t="s">
        <v>560</v>
      </c>
      <c r="L1519" s="11" t="s">
        <v>229</v>
      </c>
      <c r="M1519" s="11" t="s">
        <v>10604</v>
      </c>
      <c r="N1519" s="11" t="s">
        <v>128</v>
      </c>
      <c r="O1519" s="11" t="s">
        <v>10605</v>
      </c>
      <c r="P1519" s="11" t="s">
        <v>10606</v>
      </c>
      <c r="Q1519" s="11" t="s">
        <v>150</v>
      </c>
      <c r="R1519" s="11"/>
      <c r="S1519" s="11" t="s">
        <v>71</v>
      </c>
      <c r="T1519" s="11" t="s">
        <v>67</v>
      </c>
      <c r="U1519" s="11" t="s">
        <v>150</v>
      </c>
      <c r="V1519" s="11" t="s">
        <v>152</v>
      </c>
      <c r="W1519" s="11" t="s">
        <v>67</v>
      </c>
      <c r="X1519" s="11">
        <v>9</v>
      </c>
      <c r="Y1519" s="11" t="s">
        <v>5796</v>
      </c>
      <c r="Z1519" s="11">
        <v>80</v>
      </c>
      <c r="AA1519" s="11">
        <v>0</v>
      </c>
      <c r="AB1519" s="12">
        <v>0</v>
      </c>
    </row>
    <row r="1520" spans="1:28" x14ac:dyDescent="0.2">
      <c r="A1520" s="7">
        <v>22239</v>
      </c>
      <c r="B1520" s="8" t="s">
        <v>10607</v>
      </c>
      <c r="C1520" s="8" t="s">
        <v>8632</v>
      </c>
      <c r="D1520" s="8" t="s">
        <v>8189</v>
      </c>
      <c r="E1520" s="8"/>
      <c r="F1520" s="8" t="s">
        <v>10228</v>
      </c>
      <c r="G1520" s="8" t="s">
        <v>2652</v>
      </c>
      <c r="H1520" s="8" t="s">
        <v>1843</v>
      </c>
      <c r="I1520" s="8" t="s">
        <v>8633</v>
      </c>
      <c r="J1520" s="8" t="s">
        <v>10608</v>
      </c>
      <c r="K1520" s="8" t="s">
        <v>1562</v>
      </c>
      <c r="L1520" s="8" t="s">
        <v>229</v>
      </c>
      <c r="M1520" s="8" t="s">
        <v>10609</v>
      </c>
      <c r="N1520" s="8" t="s">
        <v>128</v>
      </c>
      <c r="O1520" s="8" t="s">
        <v>10610</v>
      </c>
      <c r="P1520" s="8" t="s">
        <v>10611</v>
      </c>
      <c r="Q1520" s="8" t="s">
        <v>150</v>
      </c>
      <c r="R1520" s="8"/>
      <c r="S1520" s="8" t="s">
        <v>71</v>
      </c>
      <c r="T1520" s="8" t="s">
        <v>10612</v>
      </c>
      <c r="U1520" s="8" t="s">
        <v>150</v>
      </c>
      <c r="V1520" s="8" t="s">
        <v>10612</v>
      </c>
      <c r="W1520" s="8" t="s">
        <v>10612</v>
      </c>
      <c r="X1520" s="8">
        <v>9</v>
      </c>
      <c r="Y1520" s="8" t="s">
        <v>5796</v>
      </c>
      <c r="Z1520" s="8">
        <v>80</v>
      </c>
      <c r="AA1520" s="8">
        <v>0</v>
      </c>
      <c r="AB1520" s="9">
        <v>0</v>
      </c>
    </row>
    <row r="1521" spans="1:28" x14ac:dyDescent="0.2">
      <c r="A1521" s="10">
        <v>116194</v>
      </c>
      <c r="B1521" s="11" t="s">
        <v>10613</v>
      </c>
      <c r="C1521" s="11" t="s">
        <v>10614</v>
      </c>
      <c r="D1521" s="11" t="s">
        <v>10615</v>
      </c>
      <c r="E1521" s="11"/>
      <c r="F1521" s="11" t="s">
        <v>10616</v>
      </c>
      <c r="G1521" s="11" t="s">
        <v>521</v>
      </c>
      <c r="H1521" s="11" t="s">
        <v>522</v>
      </c>
      <c r="I1521" s="11" t="s">
        <v>10617</v>
      </c>
      <c r="J1521" s="11" t="s">
        <v>10618</v>
      </c>
      <c r="K1521" s="11" t="s">
        <v>525</v>
      </c>
      <c r="L1521" s="11" t="s">
        <v>526</v>
      </c>
      <c r="M1521" s="11" t="s">
        <v>10619</v>
      </c>
      <c r="N1521" s="11" t="s">
        <v>128</v>
      </c>
      <c r="O1521" s="11" t="s">
        <v>10620</v>
      </c>
      <c r="P1521" s="11"/>
      <c r="Q1521" s="11" t="s">
        <v>150</v>
      </c>
      <c r="R1521" s="11"/>
      <c r="S1521" s="11" t="s">
        <v>10621</v>
      </c>
      <c r="T1521" s="11" t="s">
        <v>2702</v>
      </c>
      <c r="U1521" s="11" t="s">
        <v>150</v>
      </c>
      <c r="V1521" s="11" t="s">
        <v>2702</v>
      </c>
      <c r="W1521" s="11" t="s">
        <v>2702</v>
      </c>
      <c r="X1521" s="11">
        <v>9</v>
      </c>
      <c r="Y1521" s="11" t="s">
        <v>5796</v>
      </c>
      <c r="Z1521" s="11">
        <v>80</v>
      </c>
      <c r="AA1521" s="11">
        <v>0</v>
      </c>
      <c r="AB1521" s="12">
        <v>0</v>
      </c>
    </row>
    <row r="1522" spans="1:28" x14ac:dyDescent="0.2">
      <c r="A1522" s="7">
        <v>23135</v>
      </c>
      <c r="B1522" s="8" t="s">
        <v>10622</v>
      </c>
      <c r="C1522" s="8" t="s">
        <v>10623</v>
      </c>
      <c r="D1522" s="8" t="s">
        <v>4630</v>
      </c>
      <c r="E1522" s="8" t="s">
        <v>5398</v>
      </c>
      <c r="F1522" s="8" t="s">
        <v>10496</v>
      </c>
      <c r="G1522" s="8" t="s">
        <v>10624</v>
      </c>
      <c r="H1522" s="8" t="s">
        <v>6410</v>
      </c>
      <c r="I1522" s="8" t="s">
        <v>10498</v>
      </c>
      <c r="J1522" s="8" t="s">
        <v>10625</v>
      </c>
      <c r="K1522" s="8" t="s">
        <v>1956</v>
      </c>
      <c r="L1522" s="8" t="s">
        <v>526</v>
      </c>
      <c r="M1522" s="8" t="s">
        <v>10626</v>
      </c>
      <c r="N1522" s="8" t="s">
        <v>128</v>
      </c>
      <c r="O1522" s="8" t="s">
        <v>10627</v>
      </c>
      <c r="P1522" s="8" t="s">
        <v>9610</v>
      </c>
      <c r="Q1522" s="8" t="s">
        <v>150</v>
      </c>
      <c r="R1522" s="8"/>
      <c r="S1522" s="8" t="s">
        <v>10503</v>
      </c>
      <c r="T1522" s="8" t="s">
        <v>70</v>
      </c>
      <c r="U1522" s="8" t="s">
        <v>150</v>
      </c>
      <c r="V1522" s="8" t="s">
        <v>70</v>
      </c>
      <c r="W1522" s="8" t="s">
        <v>70</v>
      </c>
      <c r="X1522" s="8">
        <v>9</v>
      </c>
      <c r="Y1522" s="8" t="s">
        <v>5796</v>
      </c>
      <c r="Z1522" s="8">
        <v>80</v>
      </c>
      <c r="AA1522" s="8">
        <v>0</v>
      </c>
      <c r="AB1522" s="9">
        <v>0</v>
      </c>
    </row>
    <row r="1523" spans="1:28" x14ac:dyDescent="0.2">
      <c r="A1523" s="10">
        <v>23329</v>
      </c>
      <c r="B1523" s="11" t="s">
        <v>10628</v>
      </c>
      <c r="C1523" s="11" t="s">
        <v>10629</v>
      </c>
      <c r="D1523" s="11" t="s">
        <v>10630</v>
      </c>
      <c r="E1523" s="11"/>
      <c r="F1523" s="11"/>
      <c r="G1523" s="11" t="s">
        <v>4625</v>
      </c>
      <c r="H1523" s="11" t="s">
        <v>142</v>
      </c>
      <c r="I1523" s="11" t="s">
        <v>10631</v>
      </c>
      <c r="J1523" s="11" t="s">
        <v>10632</v>
      </c>
      <c r="K1523" s="11" t="s">
        <v>651</v>
      </c>
      <c r="L1523" s="11" t="s">
        <v>146</v>
      </c>
      <c r="M1523" s="11" t="s">
        <v>10633</v>
      </c>
      <c r="N1523" s="11" t="s">
        <v>128</v>
      </c>
      <c r="O1523" s="11" t="s">
        <v>10634</v>
      </c>
      <c r="P1523" s="11" t="s">
        <v>10635</v>
      </c>
      <c r="Q1523" s="11" t="s">
        <v>150</v>
      </c>
      <c r="R1523" s="11"/>
      <c r="S1523" s="11" t="s">
        <v>71</v>
      </c>
      <c r="T1523" s="11" t="s">
        <v>70</v>
      </c>
      <c r="U1523" s="11" t="s">
        <v>150</v>
      </c>
      <c r="V1523" s="11" t="s">
        <v>70</v>
      </c>
      <c r="W1523" s="11" t="s">
        <v>70</v>
      </c>
      <c r="X1523" s="11">
        <v>9</v>
      </c>
      <c r="Y1523" s="11" t="s">
        <v>5796</v>
      </c>
      <c r="Z1523" s="11">
        <v>80</v>
      </c>
      <c r="AA1523" s="11">
        <v>0</v>
      </c>
      <c r="AB1523" s="12">
        <v>0</v>
      </c>
    </row>
    <row r="1524" spans="1:28" x14ac:dyDescent="0.2">
      <c r="A1524" s="7">
        <v>28496</v>
      </c>
      <c r="B1524" s="8" t="s">
        <v>10636</v>
      </c>
      <c r="C1524" s="8" t="s">
        <v>10637</v>
      </c>
      <c r="D1524" s="8" t="s">
        <v>10615</v>
      </c>
      <c r="E1524" s="8"/>
      <c r="F1524" s="8" t="s">
        <v>10616</v>
      </c>
      <c r="G1524" s="8" t="s">
        <v>521</v>
      </c>
      <c r="H1524" s="8" t="s">
        <v>522</v>
      </c>
      <c r="I1524" s="8" t="s">
        <v>10617</v>
      </c>
      <c r="J1524" s="8" t="s">
        <v>10638</v>
      </c>
      <c r="K1524" s="8" t="s">
        <v>525</v>
      </c>
      <c r="L1524" s="8" t="s">
        <v>526</v>
      </c>
      <c r="M1524" s="8" t="s">
        <v>10639</v>
      </c>
      <c r="N1524" s="8" t="s">
        <v>128</v>
      </c>
      <c r="O1524" s="8" t="s">
        <v>10640</v>
      </c>
      <c r="P1524" s="8" t="s">
        <v>8452</v>
      </c>
      <c r="Q1524" s="8" t="s">
        <v>150</v>
      </c>
      <c r="R1524" s="8"/>
      <c r="S1524" s="8" t="s">
        <v>10621</v>
      </c>
      <c r="T1524" s="8" t="s">
        <v>70</v>
      </c>
      <c r="U1524" s="8" t="s">
        <v>150</v>
      </c>
      <c r="V1524" s="8" t="s">
        <v>70</v>
      </c>
      <c r="W1524" s="8" t="s">
        <v>70</v>
      </c>
      <c r="X1524" s="8">
        <v>9</v>
      </c>
      <c r="Y1524" s="8" t="s">
        <v>5796</v>
      </c>
      <c r="Z1524" s="8">
        <v>80</v>
      </c>
      <c r="AA1524" s="8">
        <v>0</v>
      </c>
      <c r="AB1524" s="9">
        <v>0</v>
      </c>
    </row>
    <row r="1525" spans="1:28" x14ac:dyDescent="0.2">
      <c r="A1525" s="10">
        <v>124210</v>
      </c>
      <c r="B1525" s="11" t="s">
        <v>10641</v>
      </c>
      <c r="C1525" s="11" t="s">
        <v>10421</v>
      </c>
      <c r="D1525" s="11" t="s">
        <v>7542</v>
      </c>
      <c r="E1525" s="11"/>
      <c r="F1525" s="11" t="s">
        <v>353</v>
      </c>
      <c r="G1525" s="11" t="s">
        <v>10422</v>
      </c>
      <c r="H1525" s="11" t="s">
        <v>142</v>
      </c>
      <c r="I1525" s="11" t="s">
        <v>10642</v>
      </c>
      <c r="J1525" s="11" t="s">
        <v>10643</v>
      </c>
      <c r="K1525" s="11" t="s">
        <v>472</v>
      </c>
      <c r="L1525" s="11" t="s">
        <v>146</v>
      </c>
      <c r="M1525" s="11" t="s">
        <v>10644</v>
      </c>
      <c r="N1525" s="11" t="s">
        <v>128</v>
      </c>
      <c r="O1525" s="11" t="s">
        <v>10645</v>
      </c>
      <c r="P1525" s="11" t="s">
        <v>10646</v>
      </c>
      <c r="Q1525" s="11" t="s">
        <v>150</v>
      </c>
      <c r="R1525" s="11"/>
      <c r="S1525" s="11" t="s">
        <v>71</v>
      </c>
      <c r="T1525" s="11" t="s">
        <v>1415</v>
      </c>
      <c r="U1525" s="11" t="s">
        <v>150</v>
      </c>
      <c r="V1525" s="11" t="s">
        <v>1415</v>
      </c>
      <c r="W1525" s="11" t="s">
        <v>1415</v>
      </c>
      <c r="X1525" s="11">
        <v>9</v>
      </c>
      <c r="Y1525" s="11" t="s">
        <v>5796</v>
      </c>
      <c r="Z1525" s="11">
        <v>80</v>
      </c>
      <c r="AA1525" s="11">
        <v>0</v>
      </c>
      <c r="AB1525" s="12">
        <v>0</v>
      </c>
    </row>
    <row r="1526" spans="1:28" x14ac:dyDescent="0.2">
      <c r="A1526" s="7">
        <v>28686</v>
      </c>
      <c r="B1526" s="8" t="s">
        <v>10647</v>
      </c>
      <c r="C1526" s="8" t="s">
        <v>10648</v>
      </c>
      <c r="D1526" s="8" t="s">
        <v>10649</v>
      </c>
      <c r="E1526" s="8"/>
      <c r="F1526" s="8"/>
      <c r="G1526" s="8" t="s">
        <v>141</v>
      </c>
      <c r="H1526" s="8" t="s">
        <v>142</v>
      </c>
      <c r="I1526" s="8" t="s">
        <v>10650</v>
      </c>
      <c r="J1526" s="8" t="s">
        <v>10651</v>
      </c>
      <c r="K1526" s="8" t="s">
        <v>145</v>
      </c>
      <c r="L1526" s="8" t="s">
        <v>146</v>
      </c>
      <c r="M1526" s="8" t="s">
        <v>10652</v>
      </c>
      <c r="N1526" s="8" t="s">
        <v>128</v>
      </c>
      <c r="O1526" s="8" t="s">
        <v>10653</v>
      </c>
      <c r="P1526" s="8" t="s">
        <v>10654</v>
      </c>
      <c r="Q1526" s="8" t="s">
        <v>150</v>
      </c>
      <c r="R1526" s="8"/>
      <c r="S1526" s="8" t="s">
        <v>71</v>
      </c>
      <c r="T1526" s="8" t="s">
        <v>1415</v>
      </c>
      <c r="U1526" s="8" t="s">
        <v>150</v>
      </c>
      <c r="V1526" s="8" t="s">
        <v>1415</v>
      </c>
      <c r="W1526" s="8" t="s">
        <v>1415</v>
      </c>
      <c r="X1526" s="8">
        <v>9</v>
      </c>
      <c r="Y1526" s="8" t="s">
        <v>5796</v>
      </c>
      <c r="Z1526" s="8">
        <v>80</v>
      </c>
      <c r="AA1526" s="8">
        <v>0</v>
      </c>
      <c r="AB1526" s="9">
        <v>0</v>
      </c>
    </row>
    <row r="1527" spans="1:28" x14ac:dyDescent="0.2">
      <c r="A1527" s="10">
        <v>28699</v>
      </c>
      <c r="B1527" s="11" t="s">
        <v>10655</v>
      </c>
      <c r="C1527" s="11" t="s">
        <v>5281</v>
      </c>
      <c r="D1527" s="11" t="s">
        <v>10656</v>
      </c>
      <c r="E1527" s="11"/>
      <c r="F1527" s="11"/>
      <c r="G1527" s="11" t="s">
        <v>141</v>
      </c>
      <c r="H1527" s="11" t="s">
        <v>142</v>
      </c>
      <c r="I1527" s="11" t="s">
        <v>5284</v>
      </c>
      <c r="J1527" s="11" t="s">
        <v>10657</v>
      </c>
      <c r="K1527" s="11" t="s">
        <v>145</v>
      </c>
      <c r="L1527" s="11" t="s">
        <v>146</v>
      </c>
      <c r="M1527" s="11" t="s">
        <v>10658</v>
      </c>
      <c r="N1527" s="11" t="s">
        <v>128</v>
      </c>
      <c r="O1527" s="11" t="s">
        <v>10659</v>
      </c>
      <c r="P1527" s="11" t="s">
        <v>10660</v>
      </c>
      <c r="Q1527" s="11" t="s">
        <v>150</v>
      </c>
      <c r="R1527" s="11"/>
      <c r="S1527" s="11" t="s">
        <v>71</v>
      </c>
      <c r="T1527" s="11" t="s">
        <v>1415</v>
      </c>
      <c r="U1527" s="11" t="s">
        <v>150</v>
      </c>
      <c r="V1527" s="11" t="s">
        <v>1415</v>
      </c>
      <c r="W1527" s="11" t="s">
        <v>1415</v>
      </c>
      <c r="X1527" s="11">
        <v>9</v>
      </c>
      <c r="Y1527" s="11" t="s">
        <v>5796</v>
      </c>
      <c r="Z1527" s="11">
        <v>80</v>
      </c>
      <c r="AA1527" s="11">
        <v>0</v>
      </c>
      <c r="AB1527" s="12">
        <v>0</v>
      </c>
    </row>
    <row r="1528" spans="1:28" x14ac:dyDescent="0.2">
      <c r="A1528" s="7">
        <v>23458</v>
      </c>
      <c r="B1528" s="8" t="s">
        <v>10661</v>
      </c>
      <c r="C1528" s="8" t="s">
        <v>10662</v>
      </c>
      <c r="D1528" s="8" t="s">
        <v>10663</v>
      </c>
      <c r="E1528" s="8"/>
      <c r="F1528" s="8" t="s">
        <v>10664</v>
      </c>
      <c r="G1528" s="8" t="s">
        <v>5601</v>
      </c>
      <c r="H1528" s="8" t="s">
        <v>142</v>
      </c>
      <c r="I1528" s="8" t="s">
        <v>5602</v>
      </c>
      <c r="J1528" s="8" t="s">
        <v>10665</v>
      </c>
      <c r="K1528" s="8" t="s">
        <v>974</v>
      </c>
      <c r="L1528" s="8" t="s">
        <v>146</v>
      </c>
      <c r="M1528" s="8" t="s">
        <v>10666</v>
      </c>
      <c r="N1528" s="8" t="s">
        <v>128</v>
      </c>
      <c r="O1528" s="8" t="s">
        <v>10667</v>
      </c>
      <c r="P1528" s="8" t="s">
        <v>10668</v>
      </c>
      <c r="Q1528" s="8" t="s">
        <v>150</v>
      </c>
      <c r="R1528" s="8"/>
      <c r="S1528" s="8" t="s">
        <v>71</v>
      </c>
      <c r="T1528" s="8" t="s">
        <v>1415</v>
      </c>
      <c r="U1528" s="8" t="s">
        <v>150</v>
      </c>
      <c r="V1528" s="8" t="s">
        <v>1415</v>
      </c>
      <c r="W1528" s="8" t="s">
        <v>1415</v>
      </c>
      <c r="X1528" s="8">
        <v>9</v>
      </c>
      <c r="Y1528" s="8" t="s">
        <v>5796</v>
      </c>
      <c r="Z1528" s="8">
        <v>80</v>
      </c>
      <c r="AA1528" s="8">
        <v>0</v>
      </c>
      <c r="AB1528" s="9">
        <v>0</v>
      </c>
    </row>
    <row r="1529" spans="1:28" x14ac:dyDescent="0.2">
      <c r="A1529" s="10">
        <v>23671</v>
      </c>
      <c r="B1529" s="11" t="s">
        <v>10669</v>
      </c>
      <c r="C1529" s="11" t="s">
        <v>10670</v>
      </c>
      <c r="D1529" s="11" t="s">
        <v>7213</v>
      </c>
      <c r="E1529" s="11" t="s">
        <v>10671</v>
      </c>
      <c r="F1529" s="11" t="s">
        <v>353</v>
      </c>
      <c r="G1529" s="11" t="s">
        <v>10672</v>
      </c>
      <c r="H1529" s="11" t="s">
        <v>847</v>
      </c>
      <c r="I1529" s="11" t="s">
        <v>10673</v>
      </c>
      <c r="J1529" s="11" t="s">
        <v>10674</v>
      </c>
      <c r="K1529" s="11" t="s">
        <v>1091</v>
      </c>
      <c r="L1529" s="11" t="s">
        <v>126</v>
      </c>
      <c r="M1529" s="11" t="s">
        <v>10675</v>
      </c>
      <c r="N1529" s="11" t="s">
        <v>128</v>
      </c>
      <c r="O1529" s="11" t="s">
        <v>10676</v>
      </c>
      <c r="P1529" s="11" t="s">
        <v>10677</v>
      </c>
      <c r="Q1529" s="11" t="s">
        <v>150</v>
      </c>
      <c r="R1529" s="11"/>
      <c r="S1529" s="11" t="s">
        <v>71</v>
      </c>
      <c r="T1529" s="11" t="s">
        <v>168</v>
      </c>
      <c r="U1529" s="11" t="s">
        <v>150</v>
      </c>
      <c r="V1529" s="11" t="s">
        <v>168</v>
      </c>
      <c r="W1529" s="11" t="s">
        <v>168</v>
      </c>
      <c r="X1529" s="11">
        <v>9</v>
      </c>
      <c r="Y1529" s="11" t="s">
        <v>5796</v>
      </c>
      <c r="Z1529" s="11">
        <v>80</v>
      </c>
      <c r="AA1529" s="11">
        <v>0</v>
      </c>
      <c r="AB1529" s="12">
        <v>0</v>
      </c>
    </row>
    <row r="1530" spans="1:28" x14ac:dyDescent="0.2">
      <c r="A1530" s="7">
        <v>28925</v>
      </c>
      <c r="B1530" s="8" t="s">
        <v>10678</v>
      </c>
      <c r="C1530" s="8" t="s">
        <v>409</v>
      </c>
      <c r="D1530" s="8" t="s">
        <v>10679</v>
      </c>
      <c r="E1530" s="8"/>
      <c r="F1530" s="8" t="s">
        <v>353</v>
      </c>
      <c r="G1530" s="8" t="s">
        <v>10680</v>
      </c>
      <c r="H1530" s="8" t="s">
        <v>142</v>
      </c>
      <c r="I1530" s="8" t="s">
        <v>10681</v>
      </c>
      <c r="J1530" s="8" t="s">
        <v>10682</v>
      </c>
      <c r="K1530" s="8" t="s">
        <v>1029</v>
      </c>
      <c r="L1530" s="8" t="s">
        <v>464</v>
      </c>
      <c r="M1530" s="8" t="s">
        <v>10683</v>
      </c>
      <c r="N1530" s="8" t="s">
        <v>128</v>
      </c>
      <c r="O1530" s="8" t="s">
        <v>10684</v>
      </c>
      <c r="P1530" s="8" t="s">
        <v>340</v>
      </c>
      <c r="Q1530" s="8" t="s">
        <v>150</v>
      </c>
      <c r="R1530" s="8"/>
      <c r="S1530" s="8" t="s">
        <v>71</v>
      </c>
      <c r="T1530" s="8" t="s">
        <v>168</v>
      </c>
      <c r="U1530" s="8" t="s">
        <v>150</v>
      </c>
      <c r="V1530" s="8" t="s">
        <v>168</v>
      </c>
      <c r="W1530" s="8" t="s">
        <v>168</v>
      </c>
      <c r="X1530" s="8">
        <v>9</v>
      </c>
      <c r="Y1530" s="8" t="s">
        <v>5796</v>
      </c>
      <c r="Z1530" s="8">
        <v>80</v>
      </c>
      <c r="AA1530" s="8">
        <v>0</v>
      </c>
      <c r="AB1530" s="9">
        <v>0</v>
      </c>
    </row>
    <row r="1531" spans="1:28" x14ac:dyDescent="0.2">
      <c r="A1531" s="10">
        <v>114866</v>
      </c>
      <c r="B1531" s="11" t="s">
        <v>10685</v>
      </c>
      <c r="C1531" s="11" t="s">
        <v>10686</v>
      </c>
      <c r="D1531" s="11" t="s">
        <v>138</v>
      </c>
      <c r="E1531" s="11"/>
      <c r="F1531" s="11" t="s">
        <v>10687</v>
      </c>
      <c r="G1531" s="11" t="s">
        <v>450</v>
      </c>
      <c r="H1531" s="11" t="s">
        <v>301</v>
      </c>
      <c r="I1531" s="11" t="s">
        <v>10688</v>
      </c>
      <c r="J1531" s="11" t="s">
        <v>10689</v>
      </c>
      <c r="K1531" s="11" t="s">
        <v>304</v>
      </c>
      <c r="L1531" s="11" t="s">
        <v>229</v>
      </c>
      <c r="M1531" s="11" t="s">
        <v>10690</v>
      </c>
      <c r="N1531" s="11" t="s">
        <v>128</v>
      </c>
      <c r="O1531" s="11" t="s">
        <v>10691</v>
      </c>
      <c r="P1531" s="11" t="s">
        <v>10692</v>
      </c>
      <c r="Q1531" s="11" t="s">
        <v>150</v>
      </c>
      <c r="R1531" s="11"/>
      <c r="S1531" s="11" t="s">
        <v>71</v>
      </c>
      <c r="T1531" s="11" t="s">
        <v>168</v>
      </c>
      <c r="U1531" s="11" t="s">
        <v>150</v>
      </c>
      <c r="V1531" s="11" t="s">
        <v>168</v>
      </c>
      <c r="W1531" s="11" t="s">
        <v>168</v>
      </c>
      <c r="X1531" s="11">
        <v>9</v>
      </c>
      <c r="Y1531" s="11" t="s">
        <v>5796</v>
      </c>
      <c r="Z1531" s="11">
        <v>80</v>
      </c>
      <c r="AA1531" s="11">
        <v>0</v>
      </c>
      <c r="AB1531" s="12">
        <v>0</v>
      </c>
    </row>
    <row r="1532" spans="1:28" x14ac:dyDescent="0.2">
      <c r="A1532" s="7">
        <v>23655</v>
      </c>
      <c r="B1532" s="8" t="s">
        <v>10693</v>
      </c>
      <c r="C1532" s="8" t="s">
        <v>10694</v>
      </c>
      <c r="D1532" s="8" t="s">
        <v>3074</v>
      </c>
      <c r="E1532" s="8"/>
      <c r="F1532" s="8" t="s">
        <v>10695</v>
      </c>
      <c r="G1532" s="8" t="s">
        <v>2618</v>
      </c>
      <c r="H1532" s="8" t="s">
        <v>142</v>
      </c>
      <c r="I1532" s="8" t="s">
        <v>10696</v>
      </c>
      <c r="J1532" s="8" t="s">
        <v>10697</v>
      </c>
      <c r="K1532" s="8" t="s">
        <v>651</v>
      </c>
      <c r="L1532" s="8" t="s">
        <v>146</v>
      </c>
      <c r="M1532" s="8" t="s">
        <v>10698</v>
      </c>
      <c r="N1532" s="8" t="s">
        <v>128</v>
      </c>
      <c r="O1532" s="8" t="s">
        <v>10699</v>
      </c>
      <c r="P1532" s="8" t="s">
        <v>3651</v>
      </c>
      <c r="Q1532" s="8" t="s">
        <v>150</v>
      </c>
      <c r="R1532" s="8"/>
      <c r="S1532" s="8" t="s">
        <v>71</v>
      </c>
      <c r="T1532" s="8" t="s">
        <v>168</v>
      </c>
      <c r="U1532" s="8" t="s">
        <v>150</v>
      </c>
      <c r="V1532" s="8" t="s">
        <v>168</v>
      </c>
      <c r="W1532" s="8" t="s">
        <v>168</v>
      </c>
      <c r="X1532" s="8">
        <v>9</v>
      </c>
      <c r="Y1532" s="8" t="s">
        <v>5796</v>
      </c>
      <c r="Z1532" s="8">
        <v>80</v>
      </c>
      <c r="AA1532" s="8">
        <v>0</v>
      </c>
      <c r="AB1532" s="9">
        <v>0</v>
      </c>
    </row>
    <row r="1533" spans="1:28" x14ac:dyDescent="0.2">
      <c r="A1533" s="10">
        <v>109184</v>
      </c>
      <c r="B1533" s="11" t="s">
        <v>10700</v>
      </c>
      <c r="C1533" s="11" t="s">
        <v>4777</v>
      </c>
      <c r="D1533" s="11" t="s">
        <v>10701</v>
      </c>
      <c r="E1533" s="11"/>
      <c r="F1533" s="11" t="s">
        <v>10702</v>
      </c>
      <c r="G1533" s="11" t="s">
        <v>3259</v>
      </c>
      <c r="H1533" s="11" t="s">
        <v>557</v>
      </c>
      <c r="I1533" s="11" t="s">
        <v>10703</v>
      </c>
      <c r="J1533" s="11" t="s">
        <v>10704</v>
      </c>
      <c r="K1533" s="11" t="s">
        <v>1562</v>
      </c>
      <c r="L1533" s="11" t="s">
        <v>229</v>
      </c>
      <c r="M1533" s="11" t="s">
        <v>10705</v>
      </c>
      <c r="N1533" s="11" t="s">
        <v>128</v>
      </c>
      <c r="O1533" s="11" t="s">
        <v>10706</v>
      </c>
      <c r="P1533" s="11" t="s">
        <v>10707</v>
      </c>
      <c r="Q1533" s="11" t="s">
        <v>150</v>
      </c>
      <c r="R1533" s="11"/>
      <c r="S1533" s="11" t="s">
        <v>10708</v>
      </c>
      <c r="T1533" s="11" t="s">
        <v>168</v>
      </c>
      <c r="U1533" s="11" t="s">
        <v>150</v>
      </c>
      <c r="V1533" s="11" t="s">
        <v>168</v>
      </c>
      <c r="W1533" s="11" t="s">
        <v>168</v>
      </c>
      <c r="X1533" s="11">
        <v>9</v>
      </c>
      <c r="Y1533" s="11" t="s">
        <v>5796</v>
      </c>
      <c r="Z1533" s="11">
        <v>80</v>
      </c>
      <c r="AA1533" s="11">
        <v>0</v>
      </c>
      <c r="AB1533" s="12">
        <v>0</v>
      </c>
    </row>
    <row r="1534" spans="1:28" x14ac:dyDescent="0.2">
      <c r="A1534" s="7">
        <v>20803</v>
      </c>
      <c r="B1534" s="8" t="s">
        <v>10709</v>
      </c>
      <c r="C1534" s="8" t="s">
        <v>1622</v>
      </c>
      <c r="D1534" s="8" t="s">
        <v>10710</v>
      </c>
      <c r="E1534" s="8" t="s">
        <v>10711</v>
      </c>
      <c r="F1534" s="8" t="s">
        <v>1625</v>
      </c>
      <c r="G1534" s="8" t="s">
        <v>1626</v>
      </c>
      <c r="H1534" s="8" t="s">
        <v>142</v>
      </c>
      <c r="I1534" s="8" t="s">
        <v>8540</v>
      </c>
      <c r="J1534" s="8" t="s">
        <v>10712</v>
      </c>
      <c r="K1534" s="8" t="s">
        <v>472</v>
      </c>
      <c r="L1534" s="8" t="s">
        <v>146</v>
      </c>
      <c r="M1534" s="8" t="s">
        <v>10713</v>
      </c>
      <c r="N1534" s="8" t="s">
        <v>128</v>
      </c>
      <c r="O1534" s="8"/>
      <c r="P1534" s="8" t="s">
        <v>10714</v>
      </c>
      <c r="Q1534" s="8" t="s">
        <v>150</v>
      </c>
      <c r="R1534" s="8"/>
      <c r="S1534" s="8" t="s">
        <v>10715</v>
      </c>
      <c r="T1534" s="8" t="s">
        <v>289</v>
      </c>
      <c r="U1534" s="8" t="s">
        <v>150</v>
      </c>
      <c r="V1534" s="8" t="s">
        <v>289</v>
      </c>
      <c r="W1534" s="8" t="s">
        <v>289</v>
      </c>
      <c r="X1534" s="8">
        <v>8</v>
      </c>
      <c r="Y1534" s="8" t="s">
        <v>5796</v>
      </c>
      <c r="Z1534" s="8">
        <v>80</v>
      </c>
      <c r="AA1534" s="8">
        <v>0</v>
      </c>
      <c r="AB1534" s="9">
        <v>0</v>
      </c>
    </row>
    <row r="1535" spans="1:28" x14ac:dyDescent="0.2">
      <c r="A1535" s="10">
        <v>21499</v>
      </c>
      <c r="B1535" s="11" t="s">
        <v>10716</v>
      </c>
      <c r="C1535" s="11" t="s">
        <v>808</v>
      </c>
      <c r="D1535" s="11" t="s">
        <v>10717</v>
      </c>
      <c r="E1535" s="11" t="s">
        <v>10718</v>
      </c>
      <c r="F1535" s="11" t="s">
        <v>10719</v>
      </c>
      <c r="G1535" s="11" t="s">
        <v>141</v>
      </c>
      <c r="H1535" s="11" t="s">
        <v>142</v>
      </c>
      <c r="I1535" s="11" t="s">
        <v>9354</v>
      </c>
      <c r="J1535" s="11" t="s">
        <v>10720</v>
      </c>
      <c r="K1535" s="11" t="s">
        <v>403</v>
      </c>
      <c r="L1535" s="11" t="s">
        <v>146</v>
      </c>
      <c r="M1535" s="11" t="s">
        <v>10721</v>
      </c>
      <c r="N1535" s="11" t="s">
        <v>128</v>
      </c>
      <c r="O1535" s="11" t="s">
        <v>10722</v>
      </c>
      <c r="P1535" s="11" t="s">
        <v>10723</v>
      </c>
      <c r="Q1535" s="11" t="s">
        <v>150</v>
      </c>
      <c r="R1535" s="11"/>
      <c r="S1535" s="11" t="s">
        <v>71</v>
      </c>
      <c r="T1535" s="11" t="s">
        <v>67</v>
      </c>
      <c r="U1535" s="11" t="s">
        <v>150</v>
      </c>
      <c r="V1535" s="11" t="s">
        <v>152</v>
      </c>
      <c r="W1535" s="11" t="s">
        <v>67</v>
      </c>
      <c r="X1535" s="11">
        <v>8</v>
      </c>
      <c r="Y1535" s="11" t="s">
        <v>5796</v>
      </c>
      <c r="Z1535" s="11">
        <v>80</v>
      </c>
      <c r="AA1535" s="11">
        <v>0</v>
      </c>
      <c r="AB1535" s="12">
        <v>0</v>
      </c>
    </row>
    <row r="1536" spans="1:28" x14ac:dyDescent="0.2">
      <c r="A1536" s="7">
        <v>21430</v>
      </c>
      <c r="B1536" s="8" t="s">
        <v>10724</v>
      </c>
      <c r="C1536" s="8" t="s">
        <v>10725</v>
      </c>
      <c r="D1536" s="8" t="s">
        <v>4136</v>
      </c>
      <c r="E1536" s="8" t="s">
        <v>10726</v>
      </c>
      <c r="F1536" s="8" t="s">
        <v>10727</v>
      </c>
      <c r="G1536" s="8" t="s">
        <v>2093</v>
      </c>
      <c r="H1536" s="8" t="s">
        <v>142</v>
      </c>
      <c r="I1536" s="8" t="s">
        <v>10728</v>
      </c>
      <c r="J1536" s="8" t="s">
        <v>10729</v>
      </c>
      <c r="K1536" s="8" t="s">
        <v>651</v>
      </c>
      <c r="L1536" s="8" t="s">
        <v>146</v>
      </c>
      <c r="M1536" s="8" t="s">
        <v>10730</v>
      </c>
      <c r="N1536" s="8" t="s">
        <v>128</v>
      </c>
      <c r="O1536" s="8" t="s">
        <v>10731</v>
      </c>
      <c r="P1536" s="8" t="s">
        <v>10732</v>
      </c>
      <c r="Q1536" s="8" t="s">
        <v>150</v>
      </c>
      <c r="R1536" s="8"/>
      <c r="S1536" s="8" t="s">
        <v>71</v>
      </c>
      <c r="T1536" s="8" t="s">
        <v>67</v>
      </c>
      <c r="U1536" s="8" t="s">
        <v>150</v>
      </c>
      <c r="V1536" s="8" t="s">
        <v>152</v>
      </c>
      <c r="W1536" s="8" t="s">
        <v>67</v>
      </c>
      <c r="X1536" s="8">
        <v>8</v>
      </c>
      <c r="Y1536" s="8" t="s">
        <v>5796</v>
      </c>
      <c r="Z1536" s="8">
        <v>80</v>
      </c>
      <c r="AA1536" s="8">
        <v>0</v>
      </c>
      <c r="AB1536" s="9">
        <v>0</v>
      </c>
    </row>
    <row r="1537" spans="1:28" x14ac:dyDescent="0.2">
      <c r="A1537" s="10">
        <v>26221</v>
      </c>
      <c r="B1537" s="11" t="s">
        <v>10733</v>
      </c>
      <c r="C1537" s="11" t="s">
        <v>10734</v>
      </c>
      <c r="D1537" s="11" t="s">
        <v>904</v>
      </c>
      <c r="E1537" s="11"/>
      <c r="F1537" s="11" t="s">
        <v>10735</v>
      </c>
      <c r="G1537" s="11" t="s">
        <v>670</v>
      </c>
      <c r="H1537" s="11" t="s">
        <v>671</v>
      </c>
      <c r="I1537" s="11" t="s">
        <v>10736</v>
      </c>
      <c r="J1537" s="11" t="s">
        <v>10737</v>
      </c>
      <c r="K1537" s="11" t="s">
        <v>572</v>
      </c>
      <c r="L1537" s="11" t="s">
        <v>333</v>
      </c>
      <c r="M1537" s="11" t="s">
        <v>10738</v>
      </c>
      <c r="N1537" s="11" t="s">
        <v>128</v>
      </c>
      <c r="O1537" s="11"/>
      <c r="P1537" s="11" t="s">
        <v>10739</v>
      </c>
      <c r="Q1537" s="11" t="s">
        <v>150</v>
      </c>
      <c r="R1537" s="11"/>
      <c r="S1537" s="11" t="s">
        <v>10740</v>
      </c>
      <c r="T1537" s="11" t="s">
        <v>67</v>
      </c>
      <c r="U1537" s="11" t="s">
        <v>150</v>
      </c>
      <c r="V1537" s="11" t="s">
        <v>152</v>
      </c>
      <c r="W1537" s="11" t="s">
        <v>67</v>
      </c>
      <c r="X1537" s="11">
        <v>8</v>
      </c>
      <c r="Y1537" s="11" t="s">
        <v>5796</v>
      </c>
      <c r="Z1537" s="11">
        <v>80</v>
      </c>
      <c r="AA1537" s="11">
        <v>0</v>
      </c>
      <c r="AB1537" s="12">
        <v>0</v>
      </c>
    </row>
    <row r="1538" spans="1:28" x14ac:dyDescent="0.2">
      <c r="A1538" s="7">
        <v>21848</v>
      </c>
      <c r="B1538" s="8" t="s">
        <v>10741</v>
      </c>
      <c r="C1538" s="8" t="s">
        <v>10742</v>
      </c>
      <c r="D1538" s="8" t="s">
        <v>10743</v>
      </c>
      <c r="E1538" s="8"/>
      <c r="F1538" s="8" t="s">
        <v>10744</v>
      </c>
      <c r="G1538" s="8" t="s">
        <v>5116</v>
      </c>
      <c r="H1538" s="8" t="s">
        <v>122</v>
      </c>
      <c r="I1538" s="8" t="s">
        <v>10745</v>
      </c>
      <c r="J1538" s="8" t="s">
        <v>10746</v>
      </c>
      <c r="K1538" s="8" t="s">
        <v>125</v>
      </c>
      <c r="L1538" s="8" t="s">
        <v>126</v>
      </c>
      <c r="M1538" s="8" t="s">
        <v>10747</v>
      </c>
      <c r="N1538" s="8" t="s">
        <v>128</v>
      </c>
      <c r="O1538" s="8" t="s">
        <v>10748</v>
      </c>
      <c r="P1538" s="8" t="s">
        <v>10749</v>
      </c>
      <c r="Q1538" s="8" t="s">
        <v>131</v>
      </c>
      <c r="R1538" s="8"/>
      <c r="S1538" s="8" t="s">
        <v>10750</v>
      </c>
      <c r="T1538" s="8" t="s">
        <v>133</v>
      </c>
      <c r="U1538" s="8" t="s">
        <v>134</v>
      </c>
      <c r="V1538" s="8" t="s">
        <v>131</v>
      </c>
      <c r="W1538" s="8" t="s">
        <v>133</v>
      </c>
      <c r="X1538" s="8">
        <v>8</v>
      </c>
      <c r="Y1538" s="8" t="s">
        <v>5796</v>
      </c>
      <c r="Z1538" s="8">
        <v>80</v>
      </c>
      <c r="AA1538" s="8">
        <v>0</v>
      </c>
      <c r="AB1538" s="9">
        <v>0</v>
      </c>
    </row>
    <row r="1539" spans="1:28" x14ac:dyDescent="0.2">
      <c r="A1539" s="10">
        <v>23293</v>
      </c>
      <c r="B1539" s="11" t="s">
        <v>10751</v>
      </c>
      <c r="C1539" s="11" t="s">
        <v>6071</v>
      </c>
      <c r="D1539" s="11" t="s">
        <v>10752</v>
      </c>
      <c r="E1539" s="11" t="s">
        <v>135</v>
      </c>
      <c r="F1539" s="11" t="s">
        <v>10753</v>
      </c>
      <c r="G1539" s="11" t="s">
        <v>1915</v>
      </c>
      <c r="H1539" s="11" t="s">
        <v>122</v>
      </c>
      <c r="I1539" s="11" t="s">
        <v>10754</v>
      </c>
      <c r="J1539" s="11" t="s">
        <v>10755</v>
      </c>
      <c r="K1539" s="11" t="s">
        <v>1051</v>
      </c>
      <c r="L1539" s="11" t="s">
        <v>126</v>
      </c>
      <c r="M1539" s="11" t="s">
        <v>10756</v>
      </c>
      <c r="N1539" s="11" t="s">
        <v>128</v>
      </c>
      <c r="O1539" s="11" t="s">
        <v>10757</v>
      </c>
      <c r="P1539" s="11" t="s">
        <v>3917</v>
      </c>
      <c r="Q1539" s="11" t="s">
        <v>150</v>
      </c>
      <c r="R1539" s="11"/>
      <c r="S1539" s="11" t="s">
        <v>71</v>
      </c>
      <c r="T1539" s="11" t="s">
        <v>70</v>
      </c>
      <c r="U1539" s="11" t="s">
        <v>150</v>
      </c>
      <c r="V1539" s="11" t="s">
        <v>70</v>
      </c>
      <c r="W1539" s="11" t="s">
        <v>70</v>
      </c>
      <c r="X1539" s="11">
        <v>8</v>
      </c>
      <c r="Y1539" s="11" t="s">
        <v>5796</v>
      </c>
      <c r="Z1539" s="11">
        <v>80</v>
      </c>
      <c r="AA1539" s="11">
        <v>0</v>
      </c>
      <c r="AB1539" s="12">
        <v>0</v>
      </c>
    </row>
    <row r="1540" spans="1:28" x14ac:dyDescent="0.2">
      <c r="A1540" s="7">
        <v>23045</v>
      </c>
      <c r="B1540" s="8" t="s">
        <v>10758</v>
      </c>
      <c r="C1540" s="8" t="s">
        <v>4711</v>
      </c>
      <c r="D1540" s="8" t="s">
        <v>4829</v>
      </c>
      <c r="E1540" s="8" t="s">
        <v>10759</v>
      </c>
      <c r="F1540" s="8" t="s">
        <v>353</v>
      </c>
      <c r="G1540" s="8" t="s">
        <v>4831</v>
      </c>
      <c r="H1540" s="8" t="s">
        <v>122</v>
      </c>
      <c r="I1540" s="8" t="s">
        <v>4832</v>
      </c>
      <c r="J1540" s="8" t="s">
        <v>10760</v>
      </c>
      <c r="K1540" s="8" t="s">
        <v>1051</v>
      </c>
      <c r="L1540" s="8" t="s">
        <v>126</v>
      </c>
      <c r="M1540" s="8" t="s">
        <v>10761</v>
      </c>
      <c r="N1540" s="8" t="s">
        <v>128</v>
      </c>
      <c r="O1540" s="8" t="s">
        <v>10762</v>
      </c>
      <c r="P1540" s="8" t="s">
        <v>10763</v>
      </c>
      <c r="Q1540" s="8" t="s">
        <v>150</v>
      </c>
      <c r="R1540" s="8"/>
      <c r="S1540" s="8" t="s">
        <v>4837</v>
      </c>
      <c r="T1540" s="8" t="s">
        <v>70</v>
      </c>
      <c r="U1540" s="8" t="s">
        <v>150</v>
      </c>
      <c r="V1540" s="8" t="s">
        <v>70</v>
      </c>
      <c r="W1540" s="8" t="s">
        <v>70</v>
      </c>
      <c r="X1540" s="8">
        <v>8</v>
      </c>
      <c r="Y1540" s="8" t="s">
        <v>5796</v>
      </c>
      <c r="Z1540" s="8">
        <v>80</v>
      </c>
      <c r="AA1540" s="8">
        <v>0</v>
      </c>
      <c r="AB1540" s="9">
        <v>0</v>
      </c>
    </row>
    <row r="1541" spans="1:28" x14ac:dyDescent="0.2">
      <c r="A1541" s="10">
        <v>23104</v>
      </c>
      <c r="B1541" s="11" t="s">
        <v>10764</v>
      </c>
      <c r="C1541" s="11" t="s">
        <v>10765</v>
      </c>
      <c r="D1541" s="11" t="s">
        <v>10766</v>
      </c>
      <c r="E1541" s="11"/>
      <c r="F1541" s="11" t="s">
        <v>353</v>
      </c>
      <c r="G1541" s="11" t="s">
        <v>5943</v>
      </c>
      <c r="H1541" s="11" t="s">
        <v>191</v>
      </c>
      <c r="I1541" s="11" t="s">
        <v>10767</v>
      </c>
      <c r="J1541" s="11" t="s">
        <v>10768</v>
      </c>
      <c r="K1541" s="11" t="s">
        <v>194</v>
      </c>
      <c r="L1541" s="11" t="s">
        <v>163</v>
      </c>
      <c r="M1541" s="11" t="s">
        <v>10769</v>
      </c>
      <c r="N1541" s="11" t="s">
        <v>128</v>
      </c>
      <c r="O1541" s="11" t="s">
        <v>10770</v>
      </c>
      <c r="P1541" s="11" t="s">
        <v>10771</v>
      </c>
      <c r="Q1541" s="11" t="s">
        <v>150</v>
      </c>
      <c r="R1541" s="11"/>
      <c r="S1541" s="11" t="s">
        <v>71</v>
      </c>
      <c r="T1541" s="11" t="s">
        <v>70</v>
      </c>
      <c r="U1541" s="11" t="s">
        <v>150</v>
      </c>
      <c r="V1541" s="11" t="s">
        <v>70</v>
      </c>
      <c r="W1541" s="11" t="s">
        <v>70</v>
      </c>
      <c r="X1541" s="11">
        <v>8</v>
      </c>
      <c r="Y1541" s="11" t="s">
        <v>5796</v>
      </c>
      <c r="Z1541" s="11">
        <v>80</v>
      </c>
      <c r="AA1541" s="11">
        <v>0</v>
      </c>
      <c r="AB1541" s="12">
        <v>0</v>
      </c>
    </row>
    <row r="1542" spans="1:28" x14ac:dyDescent="0.2">
      <c r="A1542" s="7">
        <v>114572</v>
      </c>
      <c r="B1542" s="8" t="s">
        <v>10772</v>
      </c>
      <c r="C1542" s="8" t="s">
        <v>409</v>
      </c>
      <c r="D1542" s="8" t="s">
        <v>2191</v>
      </c>
      <c r="E1542" s="8"/>
      <c r="F1542" s="8" t="s">
        <v>353</v>
      </c>
      <c r="G1542" s="8" t="s">
        <v>10680</v>
      </c>
      <c r="H1542" s="8" t="s">
        <v>142</v>
      </c>
      <c r="I1542" s="8" t="s">
        <v>10681</v>
      </c>
      <c r="J1542" s="8" t="s">
        <v>10773</v>
      </c>
      <c r="K1542" s="8" t="s">
        <v>1029</v>
      </c>
      <c r="L1542" s="8" t="s">
        <v>464</v>
      </c>
      <c r="M1542" s="8" t="s">
        <v>10774</v>
      </c>
      <c r="N1542" s="8" t="s">
        <v>128</v>
      </c>
      <c r="O1542" s="8" t="s">
        <v>10775</v>
      </c>
      <c r="P1542" s="8" t="s">
        <v>10776</v>
      </c>
      <c r="Q1542" s="8" t="s">
        <v>150</v>
      </c>
      <c r="R1542" s="8"/>
      <c r="S1542" s="8" t="s">
        <v>71</v>
      </c>
      <c r="T1542" s="8" t="s">
        <v>1415</v>
      </c>
      <c r="U1542" s="8" t="s">
        <v>150</v>
      </c>
      <c r="V1542" s="8" t="s">
        <v>1415</v>
      </c>
      <c r="W1542" s="8" t="s">
        <v>1415</v>
      </c>
      <c r="X1542" s="8">
        <v>8</v>
      </c>
      <c r="Y1542" s="8" t="s">
        <v>5796</v>
      </c>
      <c r="Z1542" s="8">
        <v>80</v>
      </c>
      <c r="AA1542" s="8">
        <v>0</v>
      </c>
      <c r="AB1542" s="9">
        <v>0</v>
      </c>
    </row>
    <row r="1543" spans="1:28" x14ac:dyDescent="0.2">
      <c r="A1543" s="10">
        <v>23411</v>
      </c>
      <c r="B1543" s="11" t="s">
        <v>10777</v>
      </c>
      <c r="C1543" s="11" t="s">
        <v>10778</v>
      </c>
      <c r="D1543" s="11" t="s">
        <v>4518</v>
      </c>
      <c r="E1543" s="11"/>
      <c r="F1543" s="11" t="s">
        <v>10779</v>
      </c>
      <c r="G1543" s="11" t="s">
        <v>10780</v>
      </c>
      <c r="H1543" s="11" t="s">
        <v>142</v>
      </c>
      <c r="I1543" s="11" t="s">
        <v>10781</v>
      </c>
      <c r="J1543" s="11" t="s">
        <v>10782</v>
      </c>
      <c r="K1543" s="11" t="s">
        <v>1199</v>
      </c>
      <c r="L1543" s="11" t="s">
        <v>464</v>
      </c>
      <c r="M1543" s="11" t="s">
        <v>10783</v>
      </c>
      <c r="N1543" s="11" t="s">
        <v>128</v>
      </c>
      <c r="O1543" s="11" t="s">
        <v>10784</v>
      </c>
      <c r="P1543" s="11" t="s">
        <v>10785</v>
      </c>
      <c r="Q1543" s="11" t="s">
        <v>150</v>
      </c>
      <c r="R1543" s="11"/>
      <c r="S1543" s="11" t="s">
        <v>71</v>
      </c>
      <c r="T1543" s="11" t="s">
        <v>1415</v>
      </c>
      <c r="U1543" s="11" t="s">
        <v>150</v>
      </c>
      <c r="V1543" s="11" t="s">
        <v>1415</v>
      </c>
      <c r="W1543" s="11" t="s">
        <v>1415</v>
      </c>
      <c r="X1543" s="11">
        <v>8</v>
      </c>
      <c r="Y1543" s="11" t="s">
        <v>5796</v>
      </c>
      <c r="Z1543" s="11">
        <v>80</v>
      </c>
      <c r="AA1543" s="11">
        <v>0</v>
      </c>
      <c r="AB1543" s="12">
        <v>0</v>
      </c>
    </row>
    <row r="1544" spans="1:28" x14ac:dyDescent="0.2">
      <c r="A1544" s="7">
        <v>23418</v>
      </c>
      <c r="B1544" s="8" t="s">
        <v>10786</v>
      </c>
      <c r="C1544" s="8" t="s">
        <v>10787</v>
      </c>
      <c r="D1544" s="8" t="s">
        <v>4068</v>
      </c>
      <c r="E1544" s="8"/>
      <c r="F1544" s="8" t="s">
        <v>10788</v>
      </c>
      <c r="G1544" s="8" t="s">
        <v>1325</v>
      </c>
      <c r="H1544" s="8" t="s">
        <v>142</v>
      </c>
      <c r="I1544" s="8" t="s">
        <v>10789</v>
      </c>
      <c r="J1544" s="8" t="s">
        <v>10790</v>
      </c>
      <c r="K1544" s="8" t="s">
        <v>974</v>
      </c>
      <c r="L1544" s="8" t="s">
        <v>146</v>
      </c>
      <c r="M1544" s="8" t="s">
        <v>10791</v>
      </c>
      <c r="N1544" s="8" t="s">
        <v>128</v>
      </c>
      <c r="O1544" s="8" t="s">
        <v>10792</v>
      </c>
      <c r="P1544" s="8" t="s">
        <v>10793</v>
      </c>
      <c r="Q1544" s="8" t="s">
        <v>150</v>
      </c>
      <c r="R1544" s="8"/>
      <c r="S1544" s="8" t="s">
        <v>71</v>
      </c>
      <c r="T1544" s="8" t="s">
        <v>1415</v>
      </c>
      <c r="U1544" s="8" t="s">
        <v>150</v>
      </c>
      <c r="V1544" s="8" t="s">
        <v>1415</v>
      </c>
      <c r="W1544" s="8" t="s">
        <v>1415</v>
      </c>
      <c r="X1544" s="8">
        <v>8</v>
      </c>
      <c r="Y1544" s="8" t="s">
        <v>5796</v>
      </c>
      <c r="Z1544" s="8">
        <v>80</v>
      </c>
      <c r="AA1544" s="8">
        <v>0</v>
      </c>
      <c r="AB1544" s="9">
        <v>0</v>
      </c>
    </row>
    <row r="1545" spans="1:28" x14ac:dyDescent="0.2">
      <c r="A1545" s="10">
        <v>124291</v>
      </c>
      <c r="B1545" s="11" t="s">
        <v>10794</v>
      </c>
      <c r="C1545" s="11" t="s">
        <v>10795</v>
      </c>
      <c r="D1545" s="11" t="s">
        <v>9256</v>
      </c>
      <c r="E1545" s="11"/>
      <c r="F1545" s="11" t="s">
        <v>10796</v>
      </c>
      <c r="G1545" s="11" t="s">
        <v>5601</v>
      </c>
      <c r="H1545" s="11" t="s">
        <v>142</v>
      </c>
      <c r="I1545" s="11" t="s">
        <v>10797</v>
      </c>
      <c r="J1545" s="11" t="s">
        <v>10798</v>
      </c>
      <c r="K1545" s="11" t="s">
        <v>974</v>
      </c>
      <c r="L1545" s="11" t="s">
        <v>146</v>
      </c>
      <c r="M1545" s="11" t="s">
        <v>10799</v>
      </c>
      <c r="N1545" s="11" t="s">
        <v>128</v>
      </c>
      <c r="O1545" s="11" t="s">
        <v>10800</v>
      </c>
      <c r="P1545" s="11" t="s">
        <v>10801</v>
      </c>
      <c r="Q1545" s="11" t="s">
        <v>150</v>
      </c>
      <c r="R1545" s="11"/>
      <c r="S1545" s="11" t="s">
        <v>71</v>
      </c>
      <c r="T1545" s="11" t="s">
        <v>1415</v>
      </c>
      <c r="U1545" s="11" t="s">
        <v>150</v>
      </c>
      <c r="V1545" s="11" t="s">
        <v>1415</v>
      </c>
      <c r="W1545" s="11" t="s">
        <v>1415</v>
      </c>
      <c r="X1545" s="11">
        <v>8</v>
      </c>
      <c r="Y1545" s="11" t="s">
        <v>5796</v>
      </c>
      <c r="Z1545" s="11">
        <v>80</v>
      </c>
      <c r="AA1545" s="11">
        <v>0</v>
      </c>
      <c r="AB1545" s="12">
        <v>0</v>
      </c>
    </row>
    <row r="1546" spans="1:28" x14ac:dyDescent="0.2">
      <c r="A1546" s="7">
        <v>23820</v>
      </c>
      <c r="B1546" s="8" t="s">
        <v>10802</v>
      </c>
      <c r="C1546" s="8" t="s">
        <v>8105</v>
      </c>
      <c r="D1546" s="8" t="s">
        <v>6612</v>
      </c>
      <c r="E1546" s="8" t="s">
        <v>7623</v>
      </c>
      <c r="F1546" s="8" t="s">
        <v>353</v>
      </c>
      <c r="G1546" s="8" t="s">
        <v>5804</v>
      </c>
      <c r="H1546" s="8" t="s">
        <v>5805</v>
      </c>
      <c r="I1546" s="8" t="s">
        <v>10803</v>
      </c>
      <c r="J1546" s="8" t="s">
        <v>10804</v>
      </c>
      <c r="K1546" s="8" t="s">
        <v>274</v>
      </c>
      <c r="L1546" s="8" t="s">
        <v>163</v>
      </c>
      <c r="M1546" s="8" t="s">
        <v>10805</v>
      </c>
      <c r="N1546" s="8" t="s">
        <v>128</v>
      </c>
      <c r="O1546" s="8" t="s">
        <v>10806</v>
      </c>
      <c r="P1546" s="8" t="s">
        <v>10807</v>
      </c>
      <c r="Q1546" s="8" t="s">
        <v>150</v>
      </c>
      <c r="R1546" s="8"/>
      <c r="S1546" s="8" t="s">
        <v>71</v>
      </c>
      <c r="T1546" s="8" t="s">
        <v>168</v>
      </c>
      <c r="U1546" s="8" t="s">
        <v>150</v>
      </c>
      <c r="V1546" s="8" t="s">
        <v>168</v>
      </c>
      <c r="W1546" s="8" t="s">
        <v>168</v>
      </c>
      <c r="X1546" s="8">
        <v>8</v>
      </c>
      <c r="Y1546" s="8" t="s">
        <v>5796</v>
      </c>
      <c r="Z1546" s="8">
        <v>80</v>
      </c>
      <c r="AA1546" s="8">
        <v>0</v>
      </c>
      <c r="AB1546" s="9">
        <v>0</v>
      </c>
    </row>
    <row r="1547" spans="1:28" x14ac:dyDescent="0.2">
      <c r="A1547" s="10">
        <v>23740</v>
      </c>
      <c r="B1547" s="11" t="s">
        <v>10808</v>
      </c>
      <c r="C1547" s="11" t="s">
        <v>10809</v>
      </c>
      <c r="D1547" s="11" t="s">
        <v>10810</v>
      </c>
      <c r="E1547" s="11"/>
      <c r="F1547" s="11" t="s">
        <v>353</v>
      </c>
      <c r="G1547" s="11" t="s">
        <v>5601</v>
      </c>
      <c r="H1547" s="11" t="s">
        <v>142</v>
      </c>
      <c r="I1547" s="11" t="s">
        <v>5602</v>
      </c>
      <c r="J1547" s="11" t="s">
        <v>10811</v>
      </c>
      <c r="K1547" s="11" t="s">
        <v>974</v>
      </c>
      <c r="L1547" s="11" t="s">
        <v>146</v>
      </c>
      <c r="M1547" s="11" t="s">
        <v>10812</v>
      </c>
      <c r="N1547" s="11" t="s">
        <v>128</v>
      </c>
      <c r="O1547" s="11" t="s">
        <v>10813</v>
      </c>
      <c r="P1547" s="11" t="s">
        <v>10814</v>
      </c>
      <c r="Q1547" s="11" t="s">
        <v>150</v>
      </c>
      <c r="R1547" s="11"/>
      <c r="S1547" s="11" t="s">
        <v>71</v>
      </c>
      <c r="T1547" s="11" t="s">
        <v>168</v>
      </c>
      <c r="U1547" s="11" t="s">
        <v>150</v>
      </c>
      <c r="V1547" s="11" t="s">
        <v>168</v>
      </c>
      <c r="W1547" s="11" t="s">
        <v>168</v>
      </c>
      <c r="X1547" s="11">
        <v>8</v>
      </c>
      <c r="Y1547" s="11" t="s">
        <v>5796</v>
      </c>
      <c r="Z1547" s="11">
        <v>80</v>
      </c>
      <c r="AA1547" s="11">
        <v>0</v>
      </c>
      <c r="AB1547" s="12">
        <v>0</v>
      </c>
    </row>
    <row r="1548" spans="1:28" x14ac:dyDescent="0.2">
      <c r="A1548" s="7">
        <v>23958</v>
      </c>
      <c r="B1548" s="8" t="s">
        <v>10815</v>
      </c>
      <c r="C1548" s="8" t="s">
        <v>10286</v>
      </c>
      <c r="D1548" s="8" t="s">
        <v>10816</v>
      </c>
      <c r="E1548" s="8"/>
      <c r="F1548" s="8" t="s">
        <v>353</v>
      </c>
      <c r="G1548" s="8" t="s">
        <v>5116</v>
      </c>
      <c r="H1548" s="8" t="s">
        <v>122</v>
      </c>
      <c r="I1548" s="8" t="s">
        <v>10817</v>
      </c>
      <c r="J1548" s="8" t="s">
        <v>10818</v>
      </c>
      <c r="K1548" s="8" t="s">
        <v>125</v>
      </c>
      <c r="L1548" s="8" t="s">
        <v>126</v>
      </c>
      <c r="M1548" s="8" t="s">
        <v>10819</v>
      </c>
      <c r="N1548" s="8" t="s">
        <v>128</v>
      </c>
      <c r="O1548" s="8" t="s">
        <v>10820</v>
      </c>
      <c r="P1548" s="8" t="s">
        <v>1300</v>
      </c>
      <c r="Q1548" s="8" t="s">
        <v>150</v>
      </c>
      <c r="R1548" s="8"/>
      <c r="S1548" s="8" t="s">
        <v>71</v>
      </c>
      <c r="T1548" s="8" t="s">
        <v>168</v>
      </c>
      <c r="U1548" s="8" t="s">
        <v>150</v>
      </c>
      <c r="V1548" s="8" t="s">
        <v>168</v>
      </c>
      <c r="W1548" s="8" t="s">
        <v>168</v>
      </c>
      <c r="X1548" s="8">
        <v>8</v>
      </c>
      <c r="Y1548" s="8" t="s">
        <v>5796</v>
      </c>
      <c r="Z1548" s="8">
        <v>80</v>
      </c>
      <c r="AA1548" s="8">
        <v>0</v>
      </c>
      <c r="AB1548" s="9">
        <v>0</v>
      </c>
    </row>
    <row r="1549" spans="1:28" x14ac:dyDescent="0.2">
      <c r="A1549" s="10">
        <v>23748</v>
      </c>
      <c r="B1549" s="11" t="s">
        <v>10821</v>
      </c>
      <c r="C1549" s="11" t="s">
        <v>611</v>
      </c>
      <c r="D1549" s="11" t="s">
        <v>5236</v>
      </c>
      <c r="E1549" s="11"/>
      <c r="F1549" s="11" t="s">
        <v>10822</v>
      </c>
      <c r="G1549" s="11" t="s">
        <v>615</v>
      </c>
      <c r="H1549" s="11" t="s">
        <v>616</v>
      </c>
      <c r="I1549" s="11" t="s">
        <v>10823</v>
      </c>
      <c r="J1549" s="11" t="s">
        <v>10824</v>
      </c>
      <c r="K1549" s="11" t="s">
        <v>619</v>
      </c>
      <c r="L1549" s="11" t="s">
        <v>163</v>
      </c>
      <c r="M1549" s="11" t="s">
        <v>10825</v>
      </c>
      <c r="N1549" s="11" t="s">
        <v>128</v>
      </c>
      <c r="O1549" s="11" t="s">
        <v>10826</v>
      </c>
      <c r="P1549" s="11" t="s">
        <v>10827</v>
      </c>
      <c r="Q1549" s="11" t="s">
        <v>150</v>
      </c>
      <c r="R1549" s="11"/>
      <c r="S1549" s="11" t="s">
        <v>71</v>
      </c>
      <c r="T1549" s="11" t="s">
        <v>168</v>
      </c>
      <c r="U1549" s="11" t="s">
        <v>150</v>
      </c>
      <c r="V1549" s="11" t="s">
        <v>168</v>
      </c>
      <c r="W1549" s="11" t="s">
        <v>168</v>
      </c>
      <c r="X1549" s="11">
        <v>8</v>
      </c>
      <c r="Y1549" s="11" t="s">
        <v>5796</v>
      </c>
      <c r="Z1549" s="11">
        <v>80</v>
      </c>
      <c r="AA1549" s="11">
        <v>0</v>
      </c>
      <c r="AB1549" s="12">
        <v>0</v>
      </c>
    </row>
    <row r="1550" spans="1:28" x14ac:dyDescent="0.2">
      <c r="A1550" s="7">
        <v>24684</v>
      </c>
      <c r="B1550" s="8" t="s">
        <v>10828</v>
      </c>
      <c r="C1550" s="8" t="s">
        <v>10829</v>
      </c>
      <c r="D1550" s="8" t="s">
        <v>138</v>
      </c>
      <c r="E1550" s="8" t="s">
        <v>10830</v>
      </c>
      <c r="F1550" s="8" t="s">
        <v>9916</v>
      </c>
      <c r="G1550" s="8" t="s">
        <v>224</v>
      </c>
      <c r="H1550" s="8" t="s">
        <v>225</v>
      </c>
      <c r="I1550" s="8" t="s">
        <v>10831</v>
      </c>
      <c r="J1550" s="8" t="s">
        <v>10832</v>
      </c>
      <c r="K1550" s="8" t="s">
        <v>228</v>
      </c>
      <c r="L1550" s="8" t="s">
        <v>229</v>
      </c>
      <c r="M1550" s="8" t="s">
        <v>10833</v>
      </c>
      <c r="N1550" s="8" t="s">
        <v>128</v>
      </c>
      <c r="O1550" s="8" t="s">
        <v>10834</v>
      </c>
      <c r="P1550" s="8" t="s">
        <v>10835</v>
      </c>
      <c r="Q1550" s="8" t="s">
        <v>150</v>
      </c>
      <c r="R1550" s="8"/>
      <c r="S1550" s="8" t="s">
        <v>71</v>
      </c>
      <c r="T1550" s="8" t="s">
        <v>69</v>
      </c>
      <c r="U1550" s="8" t="s">
        <v>150</v>
      </c>
      <c r="V1550" s="8" t="s">
        <v>152</v>
      </c>
      <c r="W1550" s="8" t="s">
        <v>69</v>
      </c>
      <c r="X1550" s="8">
        <v>8</v>
      </c>
      <c r="Y1550" s="8" t="s">
        <v>5796</v>
      </c>
      <c r="Z1550" s="8">
        <v>80</v>
      </c>
      <c r="AA1550" s="8">
        <v>0</v>
      </c>
      <c r="AB1550" s="9">
        <v>0</v>
      </c>
    </row>
    <row r="1551" spans="1:28" x14ac:dyDescent="0.2">
      <c r="A1551" s="10">
        <v>21626</v>
      </c>
      <c r="B1551" s="11" t="s">
        <v>10836</v>
      </c>
      <c r="C1551" s="11" t="s">
        <v>10837</v>
      </c>
      <c r="D1551" s="11" t="s">
        <v>3249</v>
      </c>
      <c r="E1551" s="11" t="s">
        <v>10838</v>
      </c>
      <c r="F1551" s="11" t="s">
        <v>10839</v>
      </c>
      <c r="G1551" s="11" t="s">
        <v>328</v>
      </c>
      <c r="H1551" s="11" t="s">
        <v>329</v>
      </c>
      <c r="I1551" s="11" t="s">
        <v>10840</v>
      </c>
      <c r="J1551" s="11" t="s">
        <v>10841</v>
      </c>
      <c r="K1551" s="11" t="s">
        <v>572</v>
      </c>
      <c r="L1551" s="11" t="s">
        <v>333</v>
      </c>
      <c r="M1551" s="11" t="s">
        <v>10842</v>
      </c>
      <c r="N1551" s="11" t="s">
        <v>128</v>
      </c>
      <c r="O1551" s="11" t="s">
        <v>10843</v>
      </c>
      <c r="P1551" s="11" t="s">
        <v>4267</v>
      </c>
      <c r="Q1551" s="11" t="s">
        <v>150</v>
      </c>
      <c r="R1551" s="11"/>
      <c r="S1551" s="11" t="s">
        <v>71</v>
      </c>
      <c r="T1551" s="11" t="s">
        <v>67</v>
      </c>
      <c r="U1551" s="11" t="s">
        <v>150</v>
      </c>
      <c r="V1551" s="11" t="s">
        <v>152</v>
      </c>
      <c r="W1551" s="11" t="s">
        <v>67</v>
      </c>
      <c r="X1551" s="11">
        <v>7</v>
      </c>
      <c r="Y1551" s="11" t="s">
        <v>5796</v>
      </c>
      <c r="Z1551" s="11">
        <v>80</v>
      </c>
      <c r="AA1551" s="11">
        <v>0</v>
      </c>
      <c r="AB1551" s="12">
        <v>0</v>
      </c>
    </row>
    <row r="1552" spans="1:28" x14ac:dyDescent="0.2">
      <c r="A1552" s="7">
        <v>26345</v>
      </c>
      <c r="B1552" s="8" t="s">
        <v>10844</v>
      </c>
      <c r="C1552" s="8" t="s">
        <v>10845</v>
      </c>
      <c r="D1552" s="8" t="s">
        <v>10163</v>
      </c>
      <c r="E1552" s="8"/>
      <c r="F1552" s="8" t="s">
        <v>353</v>
      </c>
      <c r="G1552" s="8" t="s">
        <v>10846</v>
      </c>
      <c r="H1552" s="8" t="s">
        <v>142</v>
      </c>
      <c r="I1552" s="8" t="s">
        <v>10847</v>
      </c>
      <c r="J1552" s="8" t="s">
        <v>10848</v>
      </c>
      <c r="K1552" s="8" t="s">
        <v>779</v>
      </c>
      <c r="L1552" s="8" t="s">
        <v>464</v>
      </c>
      <c r="M1552" s="8" t="s">
        <v>10849</v>
      </c>
      <c r="N1552" s="8" t="s">
        <v>128</v>
      </c>
      <c r="O1552" s="8" t="s">
        <v>10850</v>
      </c>
      <c r="P1552" s="8" t="s">
        <v>10851</v>
      </c>
      <c r="Q1552" s="8" t="s">
        <v>150</v>
      </c>
      <c r="R1552" s="8"/>
      <c r="S1552" s="8" t="s">
        <v>71</v>
      </c>
      <c r="T1552" s="8" t="s">
        <v>67</v>
      </c>
      <c r="U1552" s="8" t="s">
        <v>150</v>
      </c>
      <c r="V1552" s="8" t="s">
        <v>152</v>
      </c>
      <c r="W1552" s="8" t="s">
        <v>67</v>
      </c>
      <c r="X1552" s="8">
        <v>7</v>
      </c>
      <c r="Y1552" s="8" t="s">
        <v>5796</v>
      </c>
      <c r="Z1552" s="8">
        <v>80</v>
      </c>
      <c r="AA1552" s="8">
        <v>0</v>
      </c>
      <c r="AB1552" s="9">
        <v>0</v>
      </c>
    </row>
    <row r="1553" spans="1:28" x14ac:dyDescent="0.2">
      <c r="A1553" s="10">
        <v>26353</v>
      </c>
      <c r="B1553" s="11" t="s">
        <v>10852</v>
      </c>
      <c r="C1553" s="11" t="s">
        <v>10853</v>
      </c>
      <c r="D1553" s="11" t="s">
        <v>138</v>
      </c>
      <c r="E1553" s="11"/>
      <c r="F1553" s="11" t="s">
        <v>4796</v>
      </c>
      <c r="G1553" s="11" t="s">
        <v>141</v>
      </c>
      <c r="H1553" s="11" t="s">
        <v>142</v>
      </c>
      <c r="I1553" s="11" t="s">
        <v>10854</v>
      </c>
      <c r="J1553" s="11" t="s">
        <v>10855</v>
      </c>
      <c r="K1553" s="11" t="s">
        <v>145</v>
      </c>
      <c r="L1553" s="11" t="s">
        <v>146</v>
      </c>
      <c r="M1553" s="11" t="s">
        <v>10856</v>
      </c>
      <c r="N1553" s="11" t="s">
        <v>128</v>
      </c>
      <c r="O1553" s="11" t="s">
        <v>10857</v>
      </c>
      <c r="P1553" s="11" t="s">
        <v>10858</v>
      </c>
      <c r="Q1553" s="11" t="s">
        <v>150</v>
      </c>
      <c r="R1553" s="11"/>
      <c r="S1553" s="11" t="s">
        <v>71</v>
      </c>
      <c r="T1553" s="11" t="s">
        <v>67</v>
      </c>
      <c r="U1553" s="11" t="s">
        <v>150</v>
      </c>
      <c r="V1553" s="11" t="s">
        <v>152</v>
      </c>
      <c r="W1553" s="11" t="s">
        <v>67</v>
      </c>
      <c r="X1553" s="11">
        <v>7</v>
      </c>
      <c r="Y1553" s="11" t="s">
        <v>5796</v>
      </c>
      <c r="Z1553" s="11">
        <v>80</v>
      </c>
      <c r="AA1553" s="11">
        <v>0</v>
      </c>
      <c r="AB1553" s="12">
        <v>0</v>
      </c>
    </row>
    <row r="1554" spans="1:28" x14ac:dyDescent="0.2">
      <c r="A1554" s="7">
        <v>240321</v>
      </c>
      <c r="B1554" s="8" t="s">
        <v>10859</v>
      </c>
      <c r="C1554" s="8" t="s">
        <v>10860</v>
      </c>
      <c r="D1554" s="8" t="s">
        <v>10861</v>
      </c>
      <c r="E1554" s="8"/>
      <c r="F1554" s="8" t="s">
        <v>10862</v>
      </c>
      <c r="G1554" s="8" t="s">
        <v>4856</v>
      </c>
      <c r="H1554" s="8" t="s">
        <v>847</v>
      </c>
      <c r="I1554" s="8" t="s">
        <v>10863</v>
      </c>
      <c r="J1554" s="8" t="s">
        <v>10864</v>
      </c>
      <c r="K1554" s="8" t="s">
        <v>850</v>
      </c>
      <c r="L1554" s="8" t="s">
        <v>126</v>
      </c>
      <c r="M1554" s="8" t="s">
        <v>10865</v>
      </c>
      <c r="N1554" s="8" t="s">
        <v>128</v>
      </c>
      <c r="O1554" s="8" t="s">
        <v>10866</v>
      </c>
      <c r="P1554" s="8" t="s">
        <v>10867</v>
      </c>
      <c r="Q1554" s="8" t="s">
        <v>150</v>
      </c>
      <c r="R1554" s="8"/>
      <c r="S1554" s="8" t="s">
        <v>71</v>
      </c>
      <c r="T1554" s="8" t="s">
        <v>2697</v>
      </c>
      <c r="U1554" s="8" t="s">
        <v>150</v>
      </c>
      <c r="V1554" s="8" t="s">
        <v>2697</v>
      </c>
      <c r="W1554" s="8" t="s">
        <v>2697</v>
      </c>
      <c r="X1554" s="8">
        <v>7</v>
      </c>
      <c r="Y1554" s="8" t="s">
        <v>5796</v>
      </c>
      <c r="Z1554" s="8">
        <v>80</v>
      </c>
      <c r="AA1554" s="8">
        <v>0</v>
      </c>
      <c r="AB1554" s="9">
        <v>0</v>
      </c>
    </row>
    <row r="1555" spans="1:28" x14ac:dyDescent="0.2">
      <c r="A1555" s="10">
        <v>37858</v>
      </c>
      <c r="B1555" s="11" t="s">
        <v>10868</v>
      </c>
      <c r="C1555" s="11" t="s">
        <v>10117</v>
      </c>
      <c r="D1555" s="11" t="s">
        <v>10118</v>
      </c>
      <c r="E1555" s="11" t="s">
        <v>10869</v>
      </c>
      <c r="F1555" s="11" t="s">
        <v>353</v>
      </c>
      <c r="G1555" s="11" t="s">
        <v>10870</v>
      </c>
      <c r="H1555" s="11" t="s">
        <v>191</v>
      </c>
      <c r="I1555" s="11" t="s">
        <v>10120</v>
      </c>
      <c r="J1555" s="11" t="s">
        <v>10871</v>
      </c>
      <c r="K1555" s="11" t="s">
        <v>194</v>
      </c>
      <c r="L1555" s="11" t="s">
        <v>163</v>
      </c>
      <c r="M1555" s="11" t="s">
        <v>10872</v>
      </c>
      <c r="N1555" s="11" t="s">
        <v>128</v>
      </c>
      <c r="O1555" s="11" t="s">
        <v>10873</v>
      </c>
      <c r="P1555" s="11" t="s">
        <v>3747</v>
      </c>
      <c r="Q1555" s="11" t="s">
        <v>150</v>
      </c>
      <c r="R1555" s="11"/>
      <c r="S1555" s="11" t="s">
        <v>10125</v>
      </c>
      <c r="T1555" s="11" t="s">
        <v>70</v>
      </c>
      <c r="U1555" s="11" t="s">
        <v>150</v>
      </c>
      <c r="V1555" s="11" t="s">
        <v>70</v>
      </c>
      <c r="W1555" s="11" t="s">
        <v>70</v>
      </c>
      <c r="X1555" s="11">
        <v>7</v>
      </c>
      <c r="Y1555" s="11" t="s">
        <v>5796</v>
      </c>
      <c r="Z1555" s="11">
        <v>80</v>
      </c>
      <c r="AA1555" s="11">
        <v>0</v>
      </c>
      <c r="AB1555" s="12">
        <v>0</v>
      </c>
    </row>
    <row r="1556" spans="1:28" x14ac:dyDescent="0.2">
      <c r="A1556" s="7">
        <v>23028</v>
      </c>
      <c r="B1556" s="8" t="s">
        <v>10874</v>
      </c>
      <c r="C1556" s="8" t="s">
        <v>10875</v>
      </c>
      <c r="D1556" s="8" t="s">
        <v>9815</v>
      </c>
      <c r="E1556" s="8" t="s">
        <v>10876</v>
      </c>
      <c r="F1556" s="8" t="s">
        <v>9816</v>
      </c>
      <c r="G1556" s="8" t="s">
        <v>190</v>
      </c>
      <c r="H1556" s="8" t="s">
        <v>191</v>
      </c>
      <c r="I1556" s="8" t="s">
        <v>9817</v>
      </c>
      <c r="J1556" s="8" t="s">
        <v>10877</v>
      </c>
      <c r="K1556" s="8" t="s">
        <v>194</v>
      </c>
      <c r="L1556" s="8" t="s">
        <v>163</v>
      </c>
      <c r="M1556" s="8" t="s">
        <v>10878</v>
      </c>
      <c r="N1556" s="8" t="s">
        <v>128</v>
      </c>
      <c r="O1556" s="8" t="s">
        <v>10879</v>
      </c>
      <c r="P1556" s="8" t="s">
        <v>10880</v>
      </c>
      <c r="Q1556" s="8" t="s">
        <v>150</v>
      </c>
      <c r="R1556" s="8"/>
      <c r="S1556" s="8" t="s">
        <v>9822</v>
      </c>
      <c r="T1556" s="8" t="s">
        <v>70</v>
      </c>
      <c r="U1556" s="8" t="s">
        <v>150</v>
      </c>
      <c r="V1556" s="8" t="s">
        <v>70</v>
      </c>
      <c r="W1556" s="8" t="s">
        <v>70</v>
      </c>
      <c r="X1556" s="8">
        <v>7</v>
      </c>
      <c r="Y1556" s="8" t="s">
        <v>5796</v>
      </c>
      <c r="Z1556" s="8">
        <v>80</v>
      </c>
      <c r="AA1556" s="8">
        <v>0</v>
      </c>
      <c r="AB1556" s="9">
        <v>0</v>
      </c>
    </row>
    <row r="1557" spans="1:28" x14ac:dyDescent="0.2">
      <c r="A1557" s="10">
        <v>23435</v>
      </c>
      <c r="B1557" s="11" t="s">
        <v>10881</v>
      </c>
      <c r="C1557" s="11" t="s">
        <v>10882</v>
      </c>
      <c r="D1557" s="11" t="s">
        <v>1283</v>
      </c>
      <c r="E1557" s="11"/>
      <c r="F1557" s="11" t="s">
        <v>353</v>
      </c>
      <c r="G1557" s="11" t="s">
        <v>10883</v>
      </c>
      <c r="H1557" s="11" t="s">
        <v>142</v>
      </c>
      <c r="I1557" s="11" t="s">
        <v>10884</v>
      </c>
      <c r="J1557" s="11" t="s">
        <v>10885</v>
      </c>
      <c r="K1557" s="11" t="s">
        <v>1029</v>
      </c>
      <c r="L1557" s="11" t="s">
        <v>464</v>
      </c>
      <c r="M1557" s="11" t="s">
        <v>10886</v>
      </c>
      <c r="N1557" s="11" t="s">
        <v>128</v>
      </c>
      <c r="O1557" s="11" t="s">
        <v>10887</v>
      </c>
      <c r="P1557" s="11" t="s">
        <v>10888</v>
      </c>
      <c r="Q1557" s="11" t="s">
        <v>150</v>
      </c>
      <c r="R1557" s="11"/>
      <c r="S1557" s="11" t="s">
        <v>71</v>
      </c>
      <c r="T1557" s="11" t="s">
        <v>1415</v>
      </c>
      <c r="U1557" s="11" t="s">
        <v>150</v>
      </c>
      <c r="V1557" s="11" t="s">
        <v>1415</v>
      </c>
      <c r="W1557" s="11" t="s">
        <v>1415</v>
      </c>
      <c r="X1557" s="11">
        <v>7</v>
      </c>
      <c r="Y1557" s="11" t="s">
        <v>5796</v>
      </c>
      <c r="Z1557" s="11">
        <v>80</v>
      </c>
      <c r="AA1557" s="11">
        <v>0</v>
      </c>
      <c r="AB1557" s="12">
        <v>0</v>
      </c>
    </row>
    <row r="1558" spans="1:28" x14ac:dyDescent="0.2">
      <c r="A1558" s="7">
        <v>23707</v>
      </c>
      <c r="B1558" s="8" t="s">
        <v>10889</v>
      </c>
      <c r="C1558" s="8" t="s">
        <v>10890</v>
      </c>
      <c r="D1558" s="8" t="s">
        <v>5530</v>
      </c>
      <c r="E1558" s="8"/>
      <c r="F1558" s="8" t="s">
        <v>353</v>
      </c>
      <c r="G1558" s="8" t="s">
        <v>10891</v>
      </c>
      <c r="H1558" s="8" t="s">
        <v>122</v>
      </c>
      <c r="I1558" s="8" t="s">
        <v>10892</v>
      </c>
      <c r="J1558" s="8" t="s">
        <v>10893</v>
      </c>
      <c r="K1558" s="8" t="s">
        <v>125</v>
      </c>
      <c r="L1558" s="8" t="s">
        <v>126</v>
      </c>
      <c r="M1558" s="8" t="s">
        <v>10894</v>
      </c>
      <c r="N1558" s="8" t="s">
        <v>128</v>
      </c>
      <c r="O1558" s="8" t="s">
        <v>10895</v>
      </c>
      <c r="P1558" s="8" t="s">
        <v>10896</v>
      </c>
      <c r="Q1558" s="8" t="s">
        <v>150</v>
      </c>
      <c r="R1558" s="8"/>
      <c r="S1558" s="8" t="s">
        <v>71</v>
      </c>
      <c r="T1558" s="8" t="s">
        <v>168</v>
      </c>
      <c r="U1558" s="8" t="s">
        <v>150</v>
      </c>
      <c r="V1558" s="8" t="s">
        <v>168</v>
      </c>
      <c r="W1558" s="8" t="s">
        <v>168</v>
      </c>
      <c r="X1558" s="8">
        <v>7</v>
      </c>
      <c r="Y1558" s="8" t="s">
        <v>5796</v>
      </c>
      <c r="Z1558" s="8">
        <v>80</v>
      </c>
      <c r="AA1558" s="8">
        <v>0</v>
      </c>
      <c r="AB1558" s="9">
        <v>0</v>
      </c>
    </row>
    <row r="1559" spans="1:28" x14ac:dyDescent="0.2">
      <c r="A1559" s="10">
        <v>28858</v>
      </c>
      <c r="B1559" s="11" t="s">
        <v>10897</v>
      </c>
      <c r="C1559" s="11" t="s">
        <v>10898</v>
      </c>
      <c r="D1559" s="11"/>
      <c r="E1559" s="11"/>
      <c r="F1559" s="11" t="s">
        <v>353</v>
      </c>
      <c r="G1559" s="11" t="s">
        <v>10899</v>
      </c>
      <c r="H1559" s="11" t="s">
        <v>142</v>
      </c>
      <c r="I1559" s="11" t="s">
        <v>10900</v>
      </c>
      <c r="J1559" s="11" t="s">
        <v>10901</v>
      </c>
      <c r="K1559" s="11" t="s">
        <v>1029</v>
      </c>
      <c r="L1559" s="11" t="s">
        <v>464</v>
      </c>
      <c r="M1559" s="11" t="s">
        <v>10902</v>
      </c>
      <c r="N1559" s="11" t="s">
        <v>128</v>
      </c>
      <c r="O1559" s="11" t="s">
        <v>10903</v>
      </c>
      <c r="P1559" s="11" t="s">
        <v>155</v>
      </c>
      <c r="Q1559" s="11" t="s">
        <v>150</v>
      </c>
      <c r="R1559" s="11"/>
      <c r="S1559" s="11" t="s">
        <v>71</v>
      </c>
      <c r="T1559" s="11" t="s">
        <v>168</v>
      </c>
      <c r="U1559" s="11" t="s">
        <v>150</v>
      </c>
      <c r="V1559" s="11" t="s">
        <v>168</v>
      </c>
      <c r="W1559" s="11" t="s">
        <v>168</v>
      </c>
      <c r="X1559" s="11">
        <v>7</v>
      </c>
      <c r="Y1559" s="11" t="s">
        <v>5796</v>
      </c>
      <c r="Z1559" s="11">
        <v>80</v>
      </c>
      <c r="AA1559" s="11">
        <v>0</v>
      </c>
      <c r="AB1559" s="12">
        <v>0</v>
      </c>
    </row>
    <row r="1560" spans="1:28" x14ac:dyDescent="0.2">
      <c r="A1560" s="7">
        <v>28839</v>
      </c>
      <c r="B1560" s="8" t="s">
        <v>10904</v>
      </c>
      <c r="C1560" s="8" t="s">
        <v>10905</v>
      </c>
      <c r="D1560" s="8" t="s">
        <v>10906</v>
      </c>
      <c r="E1560" s="8"/>
      <c r="F1560" s="8"/>
      <c r="G1560" s="8" t="s">
        <v>1915</v>
      </c>
      <c r="H1560" s="8" t="s">
        <v>122</v>
      </c>
      <c r="I1560" s="8"/>
      <c r="J1560" s="8" t="s">
        <v>10907</v>
      </c>
      <c r="K1560" s="8" t="s">
        <v>1051</v>
      </c>
      <c r="L1560" s="8" t="s">
        <v>126</v>
      </c>
      <c r="M1560" s="8" t="s">
        <v>10908</v>
      </c>
      <c r="N1560" s="8" t="s">
        <v>128</v>
      </c>
      <c r="O1560" s="8" t="s">
        <v>10909</v>
      </c>
      <c r="P1560" s="8" t="s">
        <v>2034</v>
      </c>
      <c r="Q1560" s="8" t="s">
        <v>150</v>
      </c>
      <c r="R1560" s="8"/>
      <c r="S1560" s="8" t="s">
        <v>71</v>
      </c>
      <c r="T1560" s="8" t="s">
        <v>168</v>
      </c>
      <c r="U1560" s="8" t="s">
        <v>150</v>
      </c>
      <c r="V1560" s="8" t="s">
        <v>168</v>
      </c>
      <c r="W1560" s="8" t="s">
        <v>168</v>
      </c>
      <c r="X1560" s="8">
        <v>7</v>
      </c>
      <c r="Y1560" s="8" t="s">
        <v>5796</v>
      </c>
      <c r="Z1560" s="8">
        <v>80</v>
      </c>
      <c r="AA1560" s="8">
        <v>0</v>
      </c>
      <c r="AB1560" s="9">
        <v>0</v>
      </c>
    </row>
    <row r="1561" spans="1:28" x14ac:dyDescent="0.2">
      <c r="A1561" s="10">
        <v>24673</v>
      </c>
      <c r="B1561" s="11" t="s">
        <v>10910</v>
      </c>
      <c r="C1561" s="11" t="s">
        <v>808</v>
      </c>
      <c r="D1561" s="11" t="s">
        <v>10911</v>
      </c>
      <c r="E1561" s="11" t="s">
        <v>10912</v>
      </c>
      <c r="F1561" s="11" t="s">
        <v>10719</v>
      </c>
      <c r="G1561" s="11" t="s">
        <v>141</v>
      </c>
      <c r="H1561" s="11" t="s">
        <v>142</v>
      </c>
      <c r="I1561" s="11" t="s">
        <v>9354</v>
      </c>
      <c r="J1561" s="11" t="s">
        <v>10913</v>
      </c>
      <c r="K1561" s="11" t="s">
        <v>403</v>
      </c>
      <c r="L1561" s="11" t="s">
        <v>146</v>
      </c>
      <c r="M1561" s="11" t="s">
        <v>10914</v>
      </c>
      <c r="N1561" s="11" t="s">
        <v>128</v>
      </c>
      <c r="O1561" s="11" t="s">
        <v>10915</v>
      </c>
      <c r="P1561" s="11" t="s">
        <v>1206</v>
      </c>
      <c r="Q1561" s="11" t="s">
        <v>150</v>
      </c>
      <c r="R1561" s="11"/>
      <c r="S1561" s="11" t="s">
        <v>71</v>
      </c>
      <c r="T1561" s="11" t="s">
        <v>69</v>
      </c>
      <c r="U1561" s="11" t="s">
        <v>150</v>
      </c>
      <c r="V1561" s="11" t="s">
        <v>152</v>
      </c>
      <c r="W1561" s="11" t="s">
        <v>69</v>
      </c>
      <c r="X1561" s="11">
        <v>7</v>
      </c>
      <c r="Y1561" s="11" t="s">
        <v>5796</v>
      </c>
      <c r="Z1561" s="11">
        <v>80</v>
      </c>
      <c r="AA1561" s="11">
        <v>0</v>
      </c>
      <c r="AB1561" s="12">
        <v>0</v>
      </c>
    </row>
    <row r="1562" spans="1:28" x14ac:dyDescent="0.2">
      <c r="A1562" s="7">
        <v>20761</v>
      </c>
      <c r="B1562" s="8" t="s">
        <v>10916</v>
      </c>
      <c r="C1562" s="8" t="s">
        <v>10917</v>
      </c>
      <c r="D1562" s="8" t="s">
        <v>10918</v>
      </c>
      <c r="E1562" s="8" t="s">
        <v>10919</v>
      </c>
      <c r="F1562" s="8" t="s">
        <v>10920</v>
      </c>
      <c r="G1562" s="8" t="s">
        <v>521</v>
      </c>
      <c r="H1562" s="8" t="s">
        <v>522</v>
      </c>
      <c r="I1562" s="8" t="s">
        <v>10921</v>
      </c>
      <c r="J1562" s="8" t="s">
        <v>10922</v>
      </c>
      <c r="K1562" s="8" t="s">
        <v>525</v>
      </c>
      <c r="L1562" s="8" t="s">
        <v>526</v>
      </c>
      <c r="M1562" s="8" t="s">
        <v>10923</v>
      </c>
      <c r="N1562" s="8" t="s">
        <v>128</v>
      </c>
      <c r="O1562" s="8" t="s">
        <v>10924</v>
      </c>
      <c r="P1562" s="8" t="s">
        <v>10925</v>
      </c>
      <c r="Q1562" s="8" t="s">
        <v>150</v>
      </c>
      <c r="R1562" s="8"/>
      <c r="S1562" s="8" t="s">
        <v>10925</v>
      </c>
      <c r="T1562" s="8" t="s">
        <v>531</v>
      </c>
      <c r="U1562" s="8" t="s">
        <v>150</v>
      </c>
      <c r="V1562" s="8" t="s">
        <v>531</v>
      </c>
      <c r="W1562" s="8" t="s">
        <v>531</v>
      </c>
      <c r="X1562" s="8">
        <v>6</v>
      </c>
      <c r="Y1562" s="8" t="s">
        <v>5796</v>
      </c>
      <c r="Z1562" s="8">
        <v>80</v>
      </c>
      <c r="AA1562" s="8">
        <v>0</v>
      </c>
      <c r="AB1562" s="9">
        <v>0</v>
      </c>
    </row>
    <row r="1563" spans="1:28" x14ac:dyDescent="0.2">
      <c r="A1563" s="10">
        <v>21438</v>
      </c>
      <c r="B1563" s="11" t="s">
        <v>10926</v>
      </c>
      <c r="C1563" s="11" t="s">
        <v>10890</v>
      </c>
      <c r="D1563" s="11" t="s">
        <v>10927</v>
      </c>
      <c r="E1563" s="11" t="s">
        <v>3523</v>
      </c>
      <c r="F1563" s="11" t="s">
        <v>353</v>
      </c>
      <c r="G1563" s="11" t="s">
        <v>10891</v>
      </c>
      <c r="H1563" s="11" t="s">
        <v>122</v>
      </c>
      <c r="I1563" s="11" t="s">
        <v>10928</v>
      </c>
      <c r="J1563" s="11" t="s">
        <v>10929</v>
      </c>
      <c r="K1563" s="11" t="s">
        <v>125</v>
      </c>
      <c r="L1563" s="11" t="s">
        <v>126</v>
      </c>
      <c r="M1563" s="11" t="s">
        <v>10930</v>
      </c>
      <c r="N1563" s="11" t="s">
        <v>128</v>
      </c>
      <c r="O1563" s="11" t="s">
        <v>10931</v>
      </c>
      <c r="P1563" s="11" t="s">
        <v>10932</v>
      </c>
      <c r="Q1563" s="11" t="s">
        <v>150</v>
      </c>
      <c r="R1563" s="11"/>
      <c r="S1563" s="11" t="s">
        <v>71</v>
      </c>
      <c r="T1563" s="11" t="s">
        <v>67</v>
      </c>
      <c r="U1563" s="11" t="s">
        <v>150</v>
      </c>
      <c r="V1563" s="11" t="s">
        <v>152</v>
      </c>
      <c r="W1563" s="11" t="s">
        <v>67</v>
      </c>
      <c r="X1563" s="11">
        <v>6</v>
      </c>
      <c r="Y1563" s="11" t="s">
        <v>5796</v>
      </c>
      <c r="Z1563" s="11">
        <v>80</v>
      </c>
      <c r="AA1563" s="11">
        <v>0</v>
      </c>
      <c r="AB1563" s="12">
        <v>0</v>
      </c>
    </row>
    <row r="1564" spans="1:28" x14ac:dyDescent="0.2">
      <c r="A1564" s="7">
        <v>214753</v>
      </c>
      <c r="B1564" s="8" t="s">
        <v>10933</v>
      </c>
      <c r="C1564" s="8" t="s">
        <v>10934</v>
      </c>
      <c r="D1564" s="8" t="s">
        <v>10935</v>
      </c>
      <c r="E1564" s="8"/>
      <c r="F1564" s="8" t="s">
        <v>3136</v>
      </c>
      <c r="G1564" s="8" t="s">
        <v>190</v>
      </c>
      <c r="H1564" s="8" t="s">
        <v>191</v>
      </c>
      <c r="I1564" s="8" t="s">
        <v>10936</v>
      </c>
      <c r="J1564" s="8" t="s">
        <v>10937</v>
      </c>
      <c r="K1564" s="8" t="s">
        <v>194</v>
      </c>
      <c r="L1564" s="8" t="s">
        <v>163</v>
      </c>
      <c r="M1564" s="8" t="s">
        <v>10938</v>
      </c>
      <c r="N1564" s="8" t="s">
        <v>128</v>
      </c>
      <c r="O1564" s="8" t="s">
        <v>10939</v>
      </c>
      <c r="P1564" s="8" t="s">
        <v>8500</v>
      </c>
      <c r="Q1564" s="8" t="s">
        <v>150</v>
      </c>
      <c r="R1564" s="8"/>
      <c r="S1564" s="8" t="s">
        <v>71</v>
      </c>
      <c r="T1564" s="8" t="s">
        <v>67</v>
      </c>
      <c r="U1564" s="8" t="s">
        <v>150</v>
      </c>
      <c r="V1564" s="8" t="s">
        <v>152</v>
      </c>
      <c r="W1564" s="8" t="s">
        <v>67</v>
      </c>
      <c r="X1564" s="8">
        <v>6</v>
      </c>
      <c r="Y1564" s="8" t="s">
        <v>5796</v>
      </c>
      <c r="Z1564" s="8">
        <v>80</v>
      </c>
      <c r="AA1564" s="8">
        <v>0</v>
      </c>
      <c r="AB1564" s="9">
        <v>0</v>
      </c>
    </row>
    <row r="1565" spans="1:28" x14ac:dyDescent="0.2">
      <c r="A1565" s="10">
        <v>22051</v>
      </c>
      <c r="B1565" s="11" t="s">
        <v>10940</v>
      </c>
      <c r="C1565" s="11" t="s">
        <v>6796</v>
      </c>
      <c r="D1565" s="11" t="s">
        <v>6797</v>
      </c>
      <c r="E1565" s="11" t="s">
        <v>10941</v>
      </c>
      <c r="F1565" s="11" t="s">
        <v>353</v>
      </c>
      <c r="G1565" s="11" t="s">
        <v>556</v>
      </c>
      <c r="H1565" s="11" t="s">
        <v>557</v>
      </c>
      <c r="I1565" s="11" t="s">
        <v>8414</v>
      </c>
      <c r="J1565" s="11" t="s">
        <v>6800</v>
      </c>
      <c r="K1565" s="11" t="s">
        <v>560</v>
      </c>
      <c r="L1565" s="11" t="s">
        <v>229</v>
      </c>
      <c r="M1565" s="11" t="s">
        <v>10942</v>
      </c>
      <c r="N1565" s="11" t="s">
        <v>128</v>
      </c>
      <c r="O1565" s="11" t="s">
        <v>10943</v>
      </c>
      <c r="P1565" s="11" t="s">
        <v>1035</v>
      </c>
      <c r="Q1565" s="11" t="s">
        <v>131</v>
      </c>
      <c r="R1565" s="11"/>
      <c r="S1565" s="11" t="s">
        <v>6804</v>
      </c>
      <c r="T1565" s="11" t="s">
        <v>133</v>
      </c>
      <c r="U1565" s="11" t="s">
        <v>134</v>
      </c>
      <c r="V1565" s="11" t="s">
        <v>131</v>
      </c>
      <c r="W1565" s="11" t="s">
        <v>133</v>
      </c>
      <c r="X1565" s="11">
        <v>6</v>
      </c>
      <c r="Y1565" s="11" t="s">
        <v>5796</v>
      </c>
      <c r="Z1565" s="11">
        <v>80</v>
      </c>
      <c r="AA1565" s="11">
        <v>0</v>
      </c>
      <c r="AB1565" s="12">
        <v>0</v>
      </c>
    </row>
    <row r="1566" spans="1:28" x14ac:dyDescent="0.2">
      <c r="A1566" s="7">
        <v>26660</v>
      </c>
      <c r="B1566" s="8" t="s">
        <v>10944</v>
      </c>
      <c r="C1566" s="8" t="s">
        <v>10945</v>
      </c>
      <c r="D1566" s="8" t="s">
        <v>4768</v>
      </c>
      <c r="E1566" s="8"/>
      <c r="F1566" s="8" t="s">
        <v>4770</v>
      </c>
      <c r="G1566" s="8" t="s">
        <v>4465</v>
      </c>
      <c r="H1566" s="8" t="s">
        <v>4466</v>
      </c>
      <c r="I1566" s="8" t="s">
        <v>8598</v>
      </c>
      <c r="J1566" s="8" t="s">
        <v>10946</v>
      </c>
      <c r="K1566" s="8" t="s">
        <v>525</v>
      </c>
      <c r="L1566" s="8" t="s">
        <v>526</v>
      </c>
      <c r="M1566" s="8" t="s">
        <v>10947</v>
      </c>
      <c r="N1566" s="8" t="s">
        <v>128</v>
      </c>
      <c r="O1566" s="8" t="s">
        <v>10948</v>
      </c>
      <c r="P1566" s="8" t="s">
        <v>10949</v>
      </c>
      <c r="Q1566" s="8" t="s">
        <v>131</v>
      </c>
      <c r="R1566" s="8"/>
      <c r="S1566" s="8" t="s">
        <v>4775</v>
      </c>
      <c r="T1566" s="8" t="s">
        <v>133</v>
      </c>
      <c r="U1566" s="8" t="s">
        <v>134</v>
      </c>
      <c r="V1566" s="8" t="s">
        <v>131</v>
      </c>
      <c r="W1566" s="8" t="s">
        <v>133</v>
      </c>
      <c r="X1566" s="8">
        <v>6</v>
      </c>
      <c r="Y1566" s="8" t="s">
        <v>5796</v>
      </c>
      <c r="Z1566" s="8">
        <v>80</v>
      </c>
      <c r="AA1566" s="8">
        <v>0</v>
      </c>
      <c r="AB1566" s="9">
        <v>0</v>
      </c>
    </row>
    <row r="1567" spans="1:28" x14ac:dyDescent="0.2">
      <c r="A1567" s="10">
        <v>235540</v>
      </c>
      <c r="B1567" s="11" t="s">
        <v>10950</v>
      </c>
      <c r="C1567" s="11" t="s">
        <v>10951</v>
      </c>
      <c r="D1567" s="11" t="s">
        <v>7510</v>
      </c>
      <c r="E1567" s="11"/>
      <c r="F1567" s="11" t="s">
        <v>353</v>
      </c>
      <c r="G1567" s="11" t="s">
        <v>10952</v>
      </c>
      <c r="H1567" s="11" t="s">
        <v>1843</v>
      </c>
      <c r="I1567" s="11" t="s">
        <v>10953</v>
      </c>
      <c r="J1567" s="11" t="s">
        <v>10954</v>
      </c>
      <c r="K1567" s="11" t="s">
        <v>1562</v>
      </c>
      <c r="L1567" s="11" t="s">
        <v>229</v>
      </c>
      <c r="M1567" s="11" t="s">
        <v>10955</v>
      </c>
      <c r="N1567" s="11" t="s">
        <v>128</v>
      </c>
      <c r="O1567" s="11" t="s">
        <v>10956</v>
      </c>
      <c r="P1567" s="11" t="s">
        <v>10957</v>
      </c>
      <c r="Q1567" s="11" t="s">
        <v>150</v>
      </c>
      <c r="R1567" s="11"/>
      <c r="S1567" s="11" t="s">
        <v>71</v>
      </c>
      <c r="T1567" s="11" t="s">
        <v>7898</v>
      </c>
      <c r="U1567" s="11" t="s">
        <v>150</v>
      </c>
      <c r="V1567" s="11" t="s">
        <v>7898</v>
      </c>
      <c r="W1567" s="11" t="s">
        <v>7898</v>
      </c>
      <c r="X1567" s="11">
        <v>6</v>
      </c>
      <c r="Y1567" s="11" t="s">
        <v>5796</v>
      </c>
      <c r="Z1567" s="11">
        <v>80</v>
      </c>
      <c r="AA1567" s="11">
        <v>0</v>
      </c>
      <c r="AB1567" s="12">
        <v>0</v>
      </c>
    </row>
    <row r="1568" spans="1:28" x14ac:dyDescent="0.2">
      <c r="A1568" s="7">
        <v>23244</v>
      </c>
      <c r="B1568" s="8" t="s">
        <v>10958</v>
      </c>
      <c r="C1568" s="8" t="s">
        <v>10959</v>
      </c>
      <c r="D1568" s="8" t="s">
        <v>2859</v>
      </c>
      <c r="E1568" s="8" t="s">
        <v>10960</v>
      </c>
      <c r="F1568" s="8" t="s">
        <v>8772</v>
      </c>
      <c r="G1568" s="8" t="s">
        <v>158</v>
      </c>
      <c r="H1568" s="8" t="s">
        <v>159</v>
      </c>
      <c r="I1568" s="8" t="s">
        <v>10961</v>
      </c>
      <c r="J1568" s="8" t="s">
        <v>10962</v>
      </c>
      <c r="K1568" s="8" t="s">
        <v>274</v>
      </c>
      <c r="L1568" s="8" t="s">
        <v>163</v>
      </c>
      <c r="M1568" s="8" t="s">
        <v>10963</v>
      </c>
      <c r="N1568" s="8" t="s">
        <v>128</v>
      </c>
      <c r="O1568" s="8" t="s">
        <v>10964</v>
      </c>
      <c r="P1568" s="8" t="s">
        <v>10965</v>
      </c>
      <c r="Q1568" s="8" t="s">
        <v>150</v>
      </c>
      <c r="R1568" s="8"/>
      <c r="S1568" s="8" t="s">
        <v>10966</v>
      </c>
      <c r="T1568" s="8" t="s">
        <v>70</v>
      </c>
      <c r="U1568" s="8" t="s">
        <v>150</v>
      </c>
      <c r="V1568" s="8" t="s">
        <v>70</v>
      </c>
      <c r="W1568" s="8" t="s">
        <v>70</v>
      </c>
      <c r="X1568" s="8">
        <v>6</v>
      </c>
      <c r="Y1568" s="8" t="s">
        <v>5796</v>
      </c>
      <c r="Z1568" s="8">
        <v>80</v>
      </c>
      <c r="AA1568" s="8">
        <v>0</v>
      </c>
      <c r="AB1568" s="9">
        <v>0</v>
      </c>
    </row>
    <row r="1569" spans="1:28" x14ac:dyDescent="0.2">
      <c r="A1569" s="10">
        <v>23479</v>
      </c>
      <c r="B1569" s="11" t="s">
        <v>10967</v>
      </c>
      <c r="C1569" s="11" t="s">
        <v>2615</v>
      </c>
      <c r="D1569" s="11" t="s">
        <v>1437</v>
      </c>
      <c r="E1569" s="11"/>
      <c r="F1569" s="11" t="s">
        <v>353</v>
      </c>
      <c r="G1569" s="11" t="s">
        <v>10846</v>
      </c>
      <c r="H1569" s="11" t="s">
        <v>142</v>
      </c>
      <c r="I1569" s="11" t="s">
        <v>10968</v>
      </c>
      <c r="J1569" s="11" t="s">
        <v>10969</v>
      </c>
      <c r="K1569" s="11" t="s">
        <v>779</v>
      </c>
      <c r="L1569" s="11" t="s">
        <v>464</v>
      </c>
      <c r="M1569" s="11" t="s">
        <v>10970</v>
      </c>
      <c r="N1569" s="11" t="s">
        <v>128</v>
      </c>
      <c r="O1569" s="11" t="s">
        <v>10971</v>
      </c>
      <c r="P1569" s="11" t="s">
        <v>10972</v>
      </c>
      <c r="Q1569" s="11" t="s">
        <v>150</v>
      </c>
      <c r="R1569" s="11"/>
      <c r="S1569" s="11" t="s">
        <v>71</v>
      </c>
      <c r="T1569" s="11" t="s">
        <v>1415</v>
      </c>
      <c r="U1569" s="11" t="s">
        <v>150</v>
      </c>
      <c r="V1569" s="11" t="s">
        <v>1415</v>
      </c>
      <c r="W1569" s="11" t="s">
        <v>1415</v>
      </c>
      <c r="X1569" s="11">
        <v>6</v>
      </c>
      <c r="Y1569" s="11" t="s">
        <v>5796</v>
      </c>
      <c r="Z1569" s="11">
        <v>80</v>
      </c>
      <c r="AA1569" s="11">
        <v>0</v>
      </c>
      <c r="AB1569" s="12">
        <v>0</v>
      </c>
    </row>
    <row r="1570" spans="1:28" x14ac:dyDescent="0.2">
      <c r="A1570" s="7">
        <v>28701</v>
      </c>
      <c r="B1570" s="8" t="s">
        <v>10973</v>
      </c>
      <c r="C1570" s="8" t="s">
        <v>10974</v>
      </c>
      <c r="D1570" s="8" t="s">
        <v>7115</v>
      </c>
      <c r="E1570" s="8"/>
      <c r="F1570" s="8"/>
      <c r="G1570" s="8" t="s">
        <v>141</v>
      </c>
      <c r="H1570" s="8" t="s">
        <v>142</v>
      </c>
      <c r="I1570" s="8" t="s">
        <v>10975</v>
      </c>
      <c r="J1570" s="8" t="s">
        <v>10976</v>
      </c>
      <c r="K1570" s="8" t="s">
        <v>145</v>
      </c>
      <c r="L1570" s="8" t="s">
        <v>146</v>
      </c>
      <c r="M1570" s="8" t="s">
        <v>10977</v>
      </c>
      <c r="N1570" s="8" t="s">
        <v>128</v>
      </c>
      <c r="O1570" s="8" t="s">
        <v>10978</v>
      </c>
      <c r="P1570" s="8" t="s">
        <v>10979</v>
      </c>
      <c r="Q1570" s="8" t="s">
        <v>150</v>
      </c>
      <c r="R1570" s="8"/>
      <c r="S1570" s="8" t="s">
        <v>71</v>
      </c>
      <c r="T1570" s="8" t="s">
        <v>1415</v>
      </c>
      <c r="U1570" s="8" t="s">
        <v>150</v>
      </c>
      <c r="V1570" s="8" t="s">
        <v>1415</v>
      </c>
      <c r="W1570" s="8" t="s">
        <v>1415</v>
      </c>
      <c r="X1570" s="8">
        <v>6</v>
      </c>
      <c r="Y1570" s="8" t="s">
        <v>5796</v>
      </c>
      <c r="Z1570" s="8">
        <v>80</v>
      </c>
      <c r="AA1570" s="8">
        <v>0</v>
      </c>
      <c r="AB1570" s="9">
        <v>0</v>
      </c>
    </row>
    <row r="1571" spans="1:28" x14ac:dyDescent="0.2">
      <c r="A1571" s="10">
        <v>23475</v>
      </c>
      <c r="B1571" s="11" t="s">
        <v>10980</v>
      </c>
      <c r="C1571" s="11" t="s">
        <v>10981</v>
      </c>
      <c r="D1571" s="11" t="s">
        <v>9571</v>
      </c>
      <c r="E1571" s="11"/>
      <c r="F1571" s="11" t="s">
        <v>10982</v>
      </c>
      <c r="G1571" s="11" t="s">
        <v>10983</v>
      </c>
      <c r="H1571" s="11" t="s">
        <v>142</v>
      </c>
      <c r="I1571" s="11" t="s">
        <v>10984</v>
      </c>
      <c r="J1571" s="11" t="s">
        <v>10985</v>
      </c>
      <c r="K1571" s="11" t="s">
        <v>1199</v>
      </c>
      <c r="L1571" s="11" t="s">
        <v>464</v>
      </c>
      <c r="M1571" s="11" t="s">
        <v>10986</v>
      </c>
      <c r="N1571" s="11" t="s">
        <v>128</v>
      </c>
      <c r="O1571" s="11"/>
      <c r="P1571" s="11"/>
      <c r="Q1571" s="11" t="s">
        <v>150</v>
      </c>
      <c r="R1571" s="11"/>
      <c r="S1571" s="11" t="s">
        <v>10987</v>
      </c>
      <c r="T1571" s="11" t="s">
        <v>1415</v>
      </c>
      <c r="U1571" s="11" t="s">
        <v>150</v>
      </c>
      <c r="V1571" s="11" t="s">
        <v>1415</v>
      </c>
      <c r="W1571" s="11" t="s">
        <v>1415</v>
      </c>
      <c r="X1571" s="11">
        <v>6</v>
      </c>
      <c r="Y1571" s="11" t="s">
        <v>5796</v>
      </c>
      <c r="Z1571" s="11">
        <v>80</v>
      </c>
      <c r="AA1571" s="11">
        <v>0</v>
      </c>
      <c r="AB1571" s="12">
        <v>0</v>
      </c>
    </row>
    <row r="1572" spans="1:28" x14ac:dyDescent="0.2">
      <c r="A1572" s="7">
        <v>23909</v>
      </c>
      <c r="B1572" s="8" t="s">
        <v>10988</v>
      </c>
      <c r="C1572" s="8" t="s">
        <v>10989</v>
      </c>
      <c r="D1572" s="8" t="s">
        <v>2983</v>
      </c>
      <c r="E1572" s="8"/>
      <c r="F1572" s="8" t="s">
        <v>353</v>
      </c>
      <c r="G1572" s="8" t="s">
        <v>10846</v>
      </c>
      <c r="H1572" s="8" t="s">
        <v>142</v>
      </c>
      <c r="I1572" s="8" t="s">
        <v>10990</v>
      </c>
      <c r="J1572" s="8" t="s">
        <v>10991</v>
      </c>
      <c r="K1572" s="8" t="s">
        <v>779</v>
      </c>
      <c r="L1572" s="8" t="s">
        <v>464</v>
      </c>
      <c r="M1572" s="8" t="s">
        <v>10992</v>
      </c>
      <c r="N1572" s="8" t="s">
        <v>128</v>
      </c>
      <c r="O1572" s="8" t="s">
        <v>10993</v>
      </c>
      <c r="P1572" s="8" t="s">
        <v>10994</v>
      </c>
      <c r="Q1572" s="8" t="s">
        <v>150</v>
      </c>
      <c r="R1572" s="8"/>
      <c r="S1572" s="8" t="s">
        <v>71</v>
      </c>
      <c r="T1572" s="8" t="s">
        <v>168</v>
      </c>
      <c r="U1572" s="8" t="s">
        <v>150</v>
      </c>
      <c r="V1572" s="8" t="s">
        <v>168</v>
      </c>
      <c r="W1572" s="8" t="s">
        <v>168</v>
      </c>
      <c r="X1572" s="8">
        <v>6</v>
      </c>
      <c r="Y1572" s="8" t="s">
        <v>5796</v>
      </c>
      <c r="Z1572" s="8">
        <v>80</v>
      </c>
      <c r="AA1572" s="8">
        <v>0</v>
      </c>
      <c r="AB1572" s="9">
        <v>0</v>
      </c>
    </row>
    <row r="1573" spans="1:28" x14ac:dyDescent="0.2">
      <c r="A1573" s="10">
        <v>24944</v>
      </c>
      <c r="B1573" s="11" t="s">
        <v>10995</v>
      </c>
      <c r="C1573" s="11" t="s">
        <v>10996</v>
      </c>
      <c r="D1573" s="11" t="s">
        <v>138</v>
      </c>
      <c r="E1573" s="11" t="s">
        <v>10997</v>
      </c>
      <c r="F1573" s="11" t="s">
        <v>353</v>
      </c>
      <c r="G1573" s="11" t="s">
        <v>10998</v>
      </c>
      <c r="H1573" s="11" t="s">
        <v>159</v>
      </c>
      <c r="I1573" s="11" t="s">
        <v>10999</v>
      </c>
      <c r="J1573" s="11" t="s">
        <v>11000</v>
      </c>
      <c r="K1573" s="11" t="s">
        <v>274</v>
      </c>
      <c r="L1573" s="11" t="s">
        <v>163</v>
      </c>
      <c r="M1573" s="11" t="s">
        <v>11001</v>
      </c>
      <c r="N1573" s="11" t="s">
        <v>128</v>
      </c>
      <c r="O1573" s="11" t="s">
        <v>11002</v>
      </c>
      <c r="P1573" s="11" t="s">
        <v>11003</v>
      </c>
      <c r="Q1573" s="11" t="s">
        <v>150</v>
      </c>
      <c r="R1573" s="11"/>
      <c r="S1573" s="11" t="s">
        <v>11004</v>
      </c>
      <c r="T1573" s="11" t="s">
        <v>1738</v>
      </c>
      <c r="U1573" s="11" t="s">
        <v>150</v>
      </c>
      <c r="V1573" s="11" t="s">
        <v>1738</v>
      </c>
      <c r="W1573" s="11" t="s">
        <v>1738</v>
      </c>
      <c r="X1573" s="11">
        <v>6</v>
      </c>
      <c r="Y1573" s="11" t="s">
        <v>5796</v>
      </c>
      <c r="Z1573" s="11">
        <v>80</v>
      </c>
      <c r="AA1573" s="11">
        <v>0</v>
      </c>
      <c r="AB1573" s="12">
        <v>0</v>
      </c>
    </row>
    <row r="1574" spans="1:28" x14ac:dyDescent="0.2">
      <c r="A1574" s="7">
        <v>21386</v>
      </c>
      <c r="B1574" s="8" t="s">
        <v>11005</v>
      </c>
      <c r="C1574" s="8" t="s">
        <v>11006</v>
      </c>
      <c r="D1574" s="8" t="s">
        <v>2871</v>
      </c>
      <c r="E1574" s="8" t="s">
        <v>11007</v>
      </c>
      <c r="F1574" s="8" t="s">
        <v>11008</v>
      </c>
      <c r="G1574" s="8" t="s">
        <v>328</v>
      </c>
      <c r="H1574" s="8" t="s">
        <v>329</v>
      </c>
      <c r="I1574" s="8" t="s">
        <v>11009</v>
      </c>
      <c r="J1574" s="8" t="s">
        <v>11010</v>
      </c>
      <c r="K1574" s="8" t="s">
        <v>572</v>
      </c>
      <c r="L1574" s="8" t="s">
        <v>333</v>
      </c>
      <c r="M1574" s="8" t="s">
        <v>11011</v>
      </c>
      <c r="N1574" s="8" t="s">
        <v>128</v>
      </c>
      <c r="O1574" s="8" t="s">
        <v>11012</v>
      </c>
      <c r="P1574" s="8" t="s">
        <v>11013</v>
      </c>
      <c r="Q1574" s="8" t="s">
        <v>150</v>
      </c>
      <c r="R1574" s="8"/>
      <c r="S1574" s="8" t="s">
        <v>11014</v>
      </c>
      <c r="T1574" s="8" t="s">
        <v>67</v>
      </c>
      <c r="U1574" s="8" t="s">
        <v>150</v>
      </c>
      <c r="V1574" s="8" t="s">
        <v>152</v>
      </c>
      <c r="W1574" s="8" t="s">
        <v>67</v>
      </c>
      <c r="X1574" s="8">
        <v>5</v>
      </c>
      <c r="Y1574" s="8" t="s">
        <v>5796</v>
      </c>
      <c r="Z1574" s="8">
        <v>80</v>
      </c>
      <c r="AA1574" s="8">
        <v>0</v>
      </c>
      <c r="AB1574" s="9">
        <v>0</v>
      </c>
    </row>
    <row r="1575" spans="1:28" x14ac:dyDescent="0.2">
      <c r="A1575" s="10">
        <v>37949</v>
      </c>
      <c r="B1575" s="11" t="s">
        <v>11015</v>
      </c>
      <c r="C1575" s="11" t="s">
        <v>11016</v>
      </c>
      <c r="D1575" s="11" t="s">
        <v>1064</v>
      </c>
      <c r="E1575" s="11" t="s">
        <v>11017</v>
      </c>
      <c r="F1575" s="11" t="s">
        <v>11018</v>
      </c>
      <c r="G1575" s="11" t="s">
        <v>328</v>
      </c>
      <c r="H1575" s="11" t="s">
        <v>329</v>
      </c>
      <c r="I1575" s="11" t="s">
        <v>11019</v>
      </c>
      <c r="J1575" s="11" t="s">
        <v>11020</v>
      </c>
      <c r="K1575" s="11" t="s">
        <v>572</v>
      </c>
      <c r="L1575" s="11" t="s">
        <v>333</v>
      </c>
      <c r="M1575" s="11" t="s">
        <v>11021</v>
      </c>
      <c r="N1575" s="11" t="s">
        <v>128</v>
      </c>
      <c r="O1575" s="11" t="s">
        <v>11022</v>
      </c>
      <c r="P1575" s="11" t="s">
        <v>11023</v>
      </c>
      <c r="Q1575" s="11" t="s">
        <v>150</v>
      </c>
      <c r="R1575" s="11"/>
      <c r="S1575" s="11" t="s">
        <v>11024</v>
      </c>
      <c r="T1575" s="11" t="s">
        <v>67</v>
      </c>
      <c r="U1575" s="11" t="s">
        <v>150</v>
      </c>
      <c r="V1575" s="11" t="s">
        <v>152</v>
      </c>
      <c r="W1575" s="11" t="s">
        <v>67</v>
      </c>
      <c r="X1575" s="11">
        <v>5</v>
      </c>
      <c r="Y1575" s="11" t="s">
        <v>5796</v>
      </c>
      <c r="Z1575" s="11">
        <v>80</v>
      </c>
      <c r="AA1575" s="11">
        <v>0</v>
      </c>
      <c r="AB1575" s="12">
        <v>0</v>
      </c>
    </row>
    <row r="1576" spans="1:28" x14ac:dyDescent="0.2">
      <c r="A1576" s="7">
        <v>208887</v>
      </c>
      <c r="B1576" s="8" t="s">
        <v>11025</v>
      </c>
      <c r="C1576" s="8" t="s">
        <v>11026</v>
      </c>
      <c r="D1576" s="8" t="s">
        <v>11027</v>
      </c>
      <c r="E1576" s="8" t="s">
        <v>11028</v>
      </c>
      <c r="F1576" s="8" t="s">
        <v>11029</v>
      </c>
      <c r="G1576" s="8" t="s">
        <v>11030</v>
      </c>
      <c r="H1576" s="8" t="s">
        <v>616</v>
      </c>
      <c r="I1576" s="8" t="s">
        <v>11031</v>
      </c>
      <c r="J1576" s="8" t="s">
        <v>11032</v>
      </c>
      <c r="K1576" s="8" t="s">
        <v>619</v>
      </c>
      <c r="L1576" s="8" t="s">
        <v>163</v>
      </c>
      <c r="M1576" s="8" t="s">
        <v>11033</v>
      </c>
      <c r="N1576" s="8" t="s">
        <v>128</v>
      </c>
      <c r="O1576" s="8" t="s">
        <v>11034</v>
      </c>
      <c r="P1576" s="8" t="s">
        <v>11035</v>
      </c>
      <c r="Q1576" s="8" t="s">
        <v>150</v>
      </c>
      <c r="R1576" s="8"/>
      <c r="S1576" s="8" t="s">
        <v>11036</v>
      </c>
      <c r="T1576" s="8" t="s">
        <v>67</v>
      </c>
      <c r="U1576" s="8" t="s">
        <v>150</v>
      </c>
      <c r="V1576" s="8" t="s">
        <v>152</v>
      </c>
      <c r="W1576" s="8" t="s">
        <v>67</v>
      </c>
      <c r="X1576" s="8">
        <v>5</v>
      </c>
      <c r="Y1576" s="8" t="s">
        <v>5796</v>
      </c>
      <c r="Z1576" s="8">
        <v>80</v>
      </c>
      <c r="AA1576" s="8">
        <v>0</v>
      </c>
      <c r="AB1576" s="9">
        <v>0</v>
      </c>
    </row>
    <row r="1577" spans="1:28" x14ac:dyDescent="0.2">
      <c r="A1577" s="10">
        <v>21516</v>
      </c>
      <c r="B1577" s="11" t="s">
        <v>11037</v>
      </c>
      <c r="C1577" s="11" t="s">
        <v>11038</v>
      </c>
      <c r="D1577" s="11" t="s">
        <v>11039</v>
      </c>
      <c r="E1577" s="11"/>
      <c r="F1577" s="11" t="s">
        <v>353</v>
      </c>
      <c r="G1577" s="11" t="s">
        <v>10846</v>
      </c>
      <c r="H1577" s="11" t="s">
        <v>142</v>
      </c>
      <c r="I1577" s="11" t="s">
        <v>11040</v>
      </c>
      <c r="J1577" s="11" t="s">
        <v>11041</v>
      </c>
      <c r="K1577" s="11" t="s">
        <v>779</v>
      </c>
      <c r="L1577" s="11" t="s">
        <v>464</v>
      </c>
      <c r="M1577" s="11" t="s">
        <v>11042</v>
      </c>
      <c r="N1577" s="11" t="s">
        <v>128</v>
      </c>
      <c r="O1577" s="11" t="s">
        <v>11043</v>
      </c>
      <c r="P1577" s="11" t="s">
        <v>1695</v>
      </c>
      <c r="Q1577" s="11" t="s">
        <v>150</v>
      </c>
      <c r="R1577" s="11"/>
      <c r="S1577" s="11" t="s">
        <v>71</v>
      </c>
      <c r="T1577" s="11" t="s">
        <v>67</v>
      </c>
      <c r="U1577" s="11" t="s">
        <v>150</v>
      </c>
      <c r="V1577" s="11" t="s">
        <v>152</v>
      </c>
      <c r="W1577" s="11" t="s">
        <v>67</v>
      </c>
      <c r="X1577" s="11">
        <v>5</v>
      </c>
      <c r="Y1577" s="11" t="s">
        <v>5796</v>
      </c>
      <c r="Z1577" s="11">
        <v>80</v>
      </c>
      <c r="AA1577" s="11">
        <v>0</v>
      </c>
      <c r="AB1577" s="12">
        <v>0</v>
      </c>
    </row>
    <row r="1578" spans="1:28" x14ac:dyDescent="0.2">
      <c r="A1578" s="7">
        <v>26201</v>
      </c>
      <c r="B1578" s="8" t="s">
        <v>11044</v>
      </c>
      <c r="C1578" s="8" t="s">
        <v>11045</v>
      </c>
      <c r="D1578" s="8" t="s">
        <v>6841</v>
      </c>
      <c r="E1578" s="8"/>
      <c r="F1578" s="8" t="s">
        <v>11046</v>
      </c>
      <c r="G1578" s="8" t="s">
        <v>141</v>
      </c>
      <c r="H1578" s="8" t="s">
        <v>142</v>
      </c>
      <c r="I1578" s="8" t="s">
        <v>11047</v>
      </c>
      <c r="J1578" s="8" t="s">
        <v>11048</v>
      </c>
      <c r="K1578" s="8" t="s">
        <v>145</v>
      </c>
      <c r="L1578" s="8" t="s">
        <v>146</v>
      </c>
      <c r="M1578" s="8" t="s">
        <v>11049</v>
      </c>
      <c r="N1578" s="8" t="s">
        <v>128</v>
      </c>
      <c r="O1578" s="8"/>
      <c r="P1578" s="8" t="s">
        <v>11050</v>
      </c>
      <c r="Q1578" s="8" t="s">
        <v>150</v>
      </c>
      <c r="R1578" s="8"/>
      <c r="S1578" s="8" t="s">
        <v>71</v>
      </c>
      <c r="T1578" s="8" t="s">
        <v>67</v>
      </c>
      <c r="U1578" s="8" t="s">
        <v>150</v>
      </c>
      <c r="V1578" s="8" t="s">
        <v>152</v>
      </c>
      <c r="W1578" s="8" t="s">
        <v>67</v>
      </c>
      <c r="X1578" s="8">
        <v>5</v>
      </c>
      <c r="Y1578" s="8" t="s">
        <v>5796</v>
      </c>
      <c r="Z1578" s="8">
        <v>80</v>
      </c>
      <c r="AA1578" s="8">
        <v>0</v>
      </c>
      <c r="AB1578" s="9">
        <v>0</v>
      </c>
    </row>
    <row r="1579" spans="1:28" x14ac:dyDescent="0.2">
      <c r="A1579" s="10">
        <v>26237</v>
      </c>
      <c r="B1579" s="11" t="s">
        <v>11051</v>
      </c>
      <c r="C1579" s="11" t="s">
        <v>11052</v>
      </c>
      <c r="D1579" s="11" t="s">
        <v>11053</v>
      </c>
      <c r="E1579" s="11"/>
      <c r="F1579" s="11" t="s">
        <v>11054</v>
      </c>
      <c r="G1579" s="11" t="s">
        <v>3643</v>
      </c>
      <c r="H1579" s="11" t="s">
        <v>142</v>
      </c>
      <c r="I1579" s="11" t="s">
        <v>11055</v>
      </c>
      <c r="J1579" s="11" t="s">
        <v>11056</v>
      </c>
      <c r="K1579" s="11" t="s">
        <v>651</v>
      </c>
      <c r="L1579" s="11" t="s">
        <v>146</v>
      </c>
      <c r="M1579" s="11" t="s">
        <v>11057</v>
      </c>
      <c r="N1579" s="11" t="s">
        <v>128</v>
      </c>
      <c r="O1579" s="11"/>
      <c r="P1579" s="11" t="s">
        <v>11058</v>
      </c>
      <c r="Q1579" s="11" t="s">
        <v>150</v>
      </c>
      <c r="R1579" s="11"/>
      <c r="S1579" s="11" t="s">
        <v>71</v>
      </c>
      <c r="T1579" s="11" t="s">
        <v>67</v>
      </c>
      <c r="U1579" s="11" t="s">
        <v>150</v>
      </c>
      <c r="V1579" s="11" t="s">
        <v>152</v>
      </c>
      <c r="W1579" s="11" t="s">
        <v>67</v>
      </c>
      <c r="X1579" s="11">
        <v>5</v>
      </c>
      <c r="Y1579" s="11" t="s">
        <v>5796</v>
      </c>
      <c r="Z1579" s="11">
        <v>80</v>
      </c>
      <c r="AA1579" s="11">
        <v>0</v>
      </c>
      <c r="AB1579" s="12">
        <v>0</v>
      </c>
    </row>
    <row r="1580" spans="1:28" x14ac:dyDescent="0.2">
      <c r="A1580" s="7">
        <v>126739</v>
      </c>
      <c r="B1580" s="8" t="s">
        <v>11059</v>
      </c>
      <c r="C1580" s="8" t="s">
        <v>11060</v>
      </c>
      <c r="D1580" s="8" t="s">
        <v>138</v>
      </c>
      <c r="E1580" s="8"/>
      <c r="F1580" s="8" t="s">
        <v>11061</v>
      </c>
      <c r="G1580" s="8" t="s">
        <v>190</v>
      </c>
      <c r="H1580" s="8" t="s">
        <v>191</v>
      </c>
      <c r="I1580" s="8" t="s">
        <v>11062</v>
      </c>
      <c r="J1580" s="8" t="s">
        <v>11063</v>
      </c>
      <c r="K1580" s="8" t="s">
        <v>194</v>
      </c>
      <c r="L1580" s="8" t="s">
        <v>163</v>
      </c>
      <c r="M1580" s="8" t="s">
        <v>11064</v>
      </c>
      <c r="N1580" s="8" t="s">
        <v>128</v>
      </c>
      <c r="O1580" s="8" t="s">
        <v>11065</v>
      </c>
      <c r="P1580" s="8" t="s">
        <v>11066</v>
      </c>
      <c r="Q1580" s="8" t="s">
        <v>150</v>
      </c>
      <c r="R1580" s="8"/>
      <c r="S1580" s="8" t="s">
        <v>71</v>
      </c>
      <c r="T1580" s="8" t="s">
        <v>67</v>
      </c>
      <c r="U1580" s="8" t="s">
        <v>150</v>
      </c>
      <c r="V1580" s="8" t="s">
        <v>152</v>
      </c>
      <c r="W1580" s="8" t="s">
        <v>67</v>
      </c>
      <c r="X1580" s="8">
        <v>5</v>
      </c>
      <c r="Y1580" s="8" t="s">
        <v>5796</v>
      </c>
      <c r="Z1580" s="8">
        <v>80</v>
      </c>
      <c r="AA1580" s="8">
        <v>0</v>
      </c>
      <c r="AB1580" s="9">
        <v>0</v>
      </c>
    </row>
    <row r="1581" spans="1:28" x14ac:dyDescent="0.2">
      <c r="A1581" s="10">
        <v>214751</v>
      </c>
      <c r="B1581" s="11" t="s">
        <v>11067</v>
      </c>
      <c r="C1581" s="11" t="s">
        <v>11068</v>
      </c>
      <c r="D1581" s="11" t="s">
        <v>9995</v>
      </c>
      <c r="E1581" s="11"/>
      <c r="F1581" s="11" t="s">
        <v>11069</v>
      </c>
      <c r="G1581" s="11" t="s">
        <v>190</v>
      </c>
      <c r="H1581" s="11" t="s">
        <v>191</v>
      </c>
      <c r="I1581" s="11" t="s">
        <v>11070</v>
      </c>
      <c r="J1581" s="11" t="s">
        <v>11071</v>
      </c>
      <c r="K1581" s="11" t="s">
        <v>194</v>
      </c>
      <c r="L1581" s="11" t="s">
        <v>163</v>
      </c>
      <c r="M1581" s="11" t="s">
        <v>11072</v>
      </c>
      <c r="N1581" s="11" t="s">
        <v>128</v>
      </c>
      <c r="O1581" s="11" t="s">
        <v>11073</v>
      </c>
      <c r="P1581" s="11" t="s">
        <v>11074</v>
      </c>
      <c r="Q1581" s="11" t="s">
        <v>150</v>
      </c>
      <c r="R1581" s="11"/>
      <c r="S1581" s="11" t="s">
        <v>71</v>
      </c>
      <c r="T1581" s="11" t="s">
        <v>67</v>
      </c>
      <c r="U1581" s="11" t="s">
        <v>150</v>
      </c>
      <c r="V1581" s="11" t="s">
        <v>152</v>
      </c>
      <c r="W1581" s="11" t="s">
        <v>67</v>
      </c>
      <c r="X1581" s="11">
        <v>5</v>
      </c>
      <c r="Y1581" s="11" t="s">
        <v>5796</v>
      </c>
      <c r="Z1581" s="11">
        <v>80</v>
      </c>
      <c r="AA1581" s="11">
        <v>0</v>
      </c>
      <c r="AB1581" s="12">
        <v>0</v>
      </c>
    </row>
    <row r="1582" spans="1:28" x14ac:dyDescent="0.2">
      <c r="A1582" s="7">
        <v>22654</v>
      </c>
      <c r="B1582" s="8" t="s">
        <v>11075</v>
      </c>
      <c r="C1582" s="8" t="s">
        <v>11076</v>
      </c>
      <c r="D1582" s="8" t="s">
        <v>11077</v>
      </c>
      <c r="E1582" s="8" t="s">
        <v>4958</v>
      </c>
      <c r="F1582" s="8" t="s">
        <v>10069</v>
      </c>
      <c r="G1582" s="8" t="s">
        <v>1253</v>
      </c>
      <c r="H1582" s="8" t="s">
        <v>142</v>
      </c>
      <c r="I1582" s="8" t="s">
        <v>11078</v>
      </c>
      <c r="J1582" s="8" t="s">
        <v>11079</v>
      </c>
      <c r="K1582" s="8" t="s">
        <v>1199</v>
      </c>
      <c r="L1582" s="8" t="s">
        <v>464</v>
      </c>
      <c r="M1582" s="8" t="s">
        <v>11080</v>
      </c>
      <c r="N1582" s="8" t="s">
        <v>128</v>
      </c>
      <c r="O1582" s="8"/>
      <c r="P1582" s="8"/>
      <c r="Q1582" s="8" t="s">
        <v>131</v>
      </c>
      <c r="R1582" s="8"/>
      <c r="S1582" s="8" t="s">
        <v>10473</v>
      </c>
      <c r="T1582" s="8" t="s">
        <v>983</v>
      </c>
      <c r="U1582" s="8" t="s">
        <v>134</v>
      </c>
      <c r="V1582" s="8" t="s">
        <v>131</v>
      </c>
      <c r="W1582" s="8" t="s">
        <v>983</v>
      </c>
      <c r="X1582" s="8">
        <v>5</v>
      </c>
      <c r="Y1582" s="8" t="s">
        <v>5796</v>
      </c>
      <c r="Z1582" s="8">
        <v>80</v>
      </c>
      <c r="AA1582" s="8">
        <v>0</v>
      </c>
      <c r="AB1582" s="9">
        <v>0</v>
      </c>
    </row>
    <row r="1583" spans="1:28" x14ac:dyDescent="0.2">
      <c r="A1583" s="10">
        <v>22974</v>
      </c>
      <c r="B1583" s="11" t="s">
        <v>11081</v>
      </c>
      <c r="C1583" s="11" t="s">
        <v>10742</v>
      </c>
      <c r="D1583" s="11" t="s">
        <v>10743</v>
      </c>
      <c r="E1583" s="11" t="s">
        <v>11082</v>
      </c>
      <c r="F1583" s="11" t="s">
        <v>10744</v>
      </c>
      <c r="G1583" s="11" t="s">
        <v>5116</v>
      </c>
      <c r="H1583" s="11" t="s">
        <v>122</v>
      </c>
      <c r="I1583" s="11" t="s">
        <v>10745</v>
      </c>
      <c r="J1583" s="11" t="s">
        <v>11083</v>
      </c>
      <c r="K1583" s="11" t="s">
        <v>125</v>
      </c>
      <c r="L1583" s="11" t="s">
        <v>126</v>
      </c>
      <c r="M1583" s="11" t="s">
        <v>11084</v>
      </c>
      <c r="N1583" s="11" t="s">
        <v>128</v>
      </c>
      <c r="O1583" s="11" t="s">
        <v>11085</v>
      </c>
      <c r="P1583" s="11" t="s">
        <v>11086</v>
      </c>
      <c r="Q1583" s="11" t="s">
        <v>150</v>
      </c>
      <c r="R1583" s="11"/>
      <c r="S1583" s="11" t="s">
        <v>10750</v>
      </c>
      <c r="T1583" s="11" t="s">
        <v>70</v>
      </c>
      <c r="U1583" s="11" t="s">
        <v>150</v>
      </c>
      <c r="V1583" s="11" t="s">
        <v>70</v>
      </c>
      <c r="W1583" s="11" t="s">
        <v>70</v>
      </c>
      <c r="X1583" s="11">
        <v>5</v>
      </c>
      <c r="Y1583" s="11" t="s">
        <v>5796</v>
      </c>
      <c r="Z1583" s="11">
        <v>80</v>
      </c>
      <c r="AA1583" s="11">
        <v>0</v>
      </c>
      <c r="AB1583" s="12">
        <v>0</v>
      </c>
    </row>
    <row r="1584" spans="1:28" x14ac:dyDescent="0.2">
      <c r="A1584" s="7">
        <v>124287</v>
      </c>
      <c r="B1584" s="8" t="s">
        <v>11087</v>
      </c>
      <c r="C1584" s="8" t="s">
        <v>11088</v>
      </c>
      <c r="D1584" s="8" t="s">
        <v>11089</v>
      </c>
      <c r="E1584" s="8"/>
      <c r="F1584" s="8" t="s">
        <v>353</v>
      </c>
      <c r="G1584" s="8" t="s">
        <v>11090</v>
      </c>
      <c r="H1584" s="8" t="s">
        <v>142</v>
      </c>
      <c r="I1584" s="8" t="s">
        <v>11091</v>
      </c>
      <c r="J1584" s="8" t="s">
        <v>11092</v>
      </c>
      <c r="K1584" s="8" t="s">
        <v>651</v>
      </c>
      <c r="L1584" s="8" t="s">
        <v>146</v>
      </c>
      <c r="M1584" s="8" t="s">
        <v>11093</v>
      </c>
      <c r="N1584" s="8" t="s">
        <v>128</v>
      </c>
      <c r="O1584" s="8" t="s">
        <v>11094</v>
      </c>
      <c r="P1584" s="8" t="s">
        <v>11095</v>
      </c>
      <c r="Q1584" s="8" t="s">
        <v>150</v>
      </c>
      <c r="R1584" s="8"/>
      <c r="S1584" s="8" t="s">
        <v>71</v>
      </c>
      <c r="T1584" s="8" t="s">
        <v>1415</v>
      </c>
      <c r="U1584" s="8" t="s">
        <v>150</v>
      </c>
      <c r="V1584" s="8" t="s">
        <v>1415</v>
      </c>
      <c r="W1584" s="8" t="s">
        <v>1415</v>
      </c>
      <c r="X1584" s="8">
        <v>5</v>
      </c>
      <c r="Y1584" s="8" t="s">
        <v>5796</v>
      </c>
      <c r="Z1584" s="8">
        <v>80</v>
      </c>
      <c r="AA1584" s="8">
        <v>0</v>
      </c>
      <c r="AB1584" s="9">
        <v>0</v>
      </c>
    </row>
    <row r="1585" spans="1:28" x14ac:dyDescent="0.2">
      <c r="A1585" s="10">
        <v>214558</v>
      </c>
      <c r="B1585" s="11" t="s">
        <v>11096</v>
      </c>
      <c r="C1585" s="11" t="s">
        <v>11097</v>
      </c>
      <c r="D1585" s="11" t="s">
        <v>11098</v>
      </c>
      <c r="E1585" s="11"/>
      <c r="F1585" s="11" t="s">
        <v>11069</v>
      </c>
      <c r="G1585" s="11" t="s">
        <v>190</v>
      </c>
      <c r="H1585" s="11" t="s">
        <v>191</v>
      </c>
      <c r="I1585" s="11" t="s">
        <v>11099</v>
      </c>
      <c r="J1585" s="11" t="s">
        <v>11100</v>
      </c>
      <c r="K1585" s="11" t="s">
        <v>194</v>
      </c>
      <c r="L1585" s="11" t="s">
        <v>163</v>
      </c>
      <c r="M1585" s="11" t="s">
        <v>11101</v>
      </c>
      <c r="N1585" s="11" t="s">
        <v>128</v>
      </c>
      <c r="O1585" s="11" t="s">
        <v>11102</v>
      </c>
      <c r="P1585" s="11" t="s">
        <v>4191</v>
      </c>
      <c r="Q1585" s="11" t="s">
        <v>150</v>
      </c>
      <c r="R1585" s="11"/>
      <c r="S1585" s="11" t="s">
        <v>71</v>
      </c>
      <c r="T1585" s="11" t="s">
        <v>168</v>
      </c>
      <c r="U1585" s="11" t="s">
        <v>150</v>
      </c>
      <c r="V1585" s="11" t="s">
        <v>168</v>
      </c>
      <c r="W1585" s="11" t="s">
        <v>168</v>
      </c>
      <c r="X1585" s="11">
        <v>5</v>
      </c>
      <c r="Y1585" s="11" t="s">
        <v>5796</v>
      </c>
      <c r="Z1585" s="11">
        <v>80</v>
      </c>
      <c r="AA1585" s="11">
        <v>0</v>
      </c>
      <c r="AB1585" s="12">
        <v>0</v>
      </c>
    </row>
    <row r="1586" spans="1:28" x14ac:dyDescent="0.2">
      <c r="A1586" s="7">
        <v>214616</v>
      </c>
      <c r="B1586" s="8" t="s">
        <v>11103</v>
      </c>
      <c r="C1586" s="8" t="s">
        <v>11026</v>
      </c>
      <c r="D1586" s="8" t="s">
        <v>11027</v>
      </c>
      <c r="E1586" s="8"/>
      <c r="F1586" s="8" t="s">
        <v>11029</v>
      </c>
      <c r="G1586" s="8" t="s">
        <v>11030</v>
      </c>
      <c r="H1586" s="8" t="s">
        <v>616</v>
      </c>
      <c r="I1586" s="8" t="s">
        <v>11104</v>
      </c>
      <c r="J1586" s="8" t="s">
        <v>11032</v>
      </c>
      <c r="K1586" s="8" t="s">
        <v>619</v>
      </c>
      <c r="L1586" s="8" t="s">
        <v>163</v>
      </c>
      <c r="M1586" s="8" t="s">
        <v>11105</v>
      </c>
      <c r="N1586" s="8" t="s">
        <v>128</v>
      </c>
      <c r="O1586" s="8" t="s">
        <v>11106</v>
      </c>
      <c r="P1586" s="8" t="s">
        <v>11107</v>
      </c>
      <c r="Q1586" s="8" t="s">
        <v>150</v>
      </c>
      <c r="R1586" s="8"/>
      <c r="S1586" s="8" t="s">
        <v>11036</v>
      </c>
      <c r="T1586" s="8" t="s">
        <v>168</v>
      </c>
      <c r="U1586" s="8" t="s">
        <v>150</v>
      </c>
      <c r="V1586" s="8" t="s">
        <v>168</v>
      </c>
      <c r="W1586" s="8" t="s">
        <v>168</v>
      </c>
      <c r="X1586" s="8">
        <v>5</v>
      </c>
      <c r="Y1586" s="8" t="s">
        <v>5796</v>
      </c>
      <c r="Z1586" s="8">
        <v>80</v>
      </c>
      <c r="AA1586" s="8">
        <v>0</v>
      </c>
      <c r="AB1586" s="9">
        <v>0</v>
      </c>
    </row>
    <row r="1587" spans="1:28" x14ac:dyDescent="0.2">
      <c r="A1587" s="10">
        <v>25566</v>
      </c>
      <c r="B1587" s="11" t="s">
        <v>11108</v>
      </c>
      <c r="C1587" s="11" t="s">
        <v>8753</v>
      </c>
      <c r="D1587" s="11" t="s">
        <v>138</v>
      </c>
      <c r="E1587" s="11" t="s">
        <v>11109</v>
      </c>
      <c r="F1587" s="11" t="s">
        <v>353</v>
      </c>
      <c r="G1587" s="11" t="s">
        <v>3929</v>
      </c>
      <c r="H1587" s="11" t="s">
        <v>704</v>
      </c>
      <c r="I1587" s="11" t="s">
        <v>11110</v>
      </c>
      <c r="J1587" s="11" t="s">
        <v>8756</v>
      </c>
      <c r="K1587" s="11" t="s">
        <v>850</v>
      </c>
      <c r="L1587" s="11" t="s">
        <v>126</v>
      </c>
      <c r="M1587" s="11" t="s">
        <v>11111</v>
      </c>
      <c r="N1587" s="11" t="s">
        <v>128</v>
      </c>
      <c r="O1587" s="11" t="s">
        <v>11112</v>
      </c>
      <c r="P1587" s="11" t="s">
        <v>11113</v>
      </c>
      <c r="Q1587" s="11" t="s">
        <v>249</v>
      </c>
      <c r="R1587" s="11"/>
      <c r="S1587" s="11" t="s">
        <v>8760</v>
      </c>
      <c r="T1587" s="11" t="s">
        <v>250</v>
      </c>
      <c r="U1587" s="11" t="s">
        <v>134</v>
      </c>
      <c r="V1587" s="11" t="s">
        <v>249</v>
      </c>
      <c r="W1587" s="11" t="s">
        <v>250</v>
      </c>
      <c r="X1587" s="11">
        <v>5</v>
      </c>
      <c r="Y1587" s="11" t="s">
        <v>5796</v>
      </c>
      <c r="Z1587" s="11">
        <v>80</v>
      </c>
      <c r="AA1587" s="11">
        <v>0</v>
      </c>
      <c r="AB1587" s="12">
        <v>0</v>
      </c>
    </row>
    <row r="1588" spans="1:28" x14ac:dyDescent="0.2">
      <c r="A1588" s="7">
        <v>26251</v>
      </c>
      <c r="B1588" s="8" t="s">
        <v>11114</v>
      </c>
      <c r="C1588" s="8" t="s">
        <v>5281</v>
      </c>
      <c r="D1588" s="8" t="s">
        <v>11115</v>
      </c>
      <c r="E1588" s="8"/>
      <c r="F1588" s="8" t="s">
        <v>11116</v>
      </c>
      <c r="G1588" s="8" t="s">
        <v>141</v>
      </c>
      <c r="H1588" s="8" t="s">
        <v>142</v>
      </c>
      <c r="I1588" s="8" t="s">
        <v>11117</v>
      </c>
      <c r="J1588" s="8" t="s">
        <v>11118</v>
      </c>
      <c r="K1588" s="8" t="s">
        <v>145</v>
      </c>
      <c r="L1588" s="8" t="s">
        <v>146</v>
      </c>
      <c r="M1588" s="8" t="s">
        <v>11119</v>
      </c>
      <c r="N1588" s="8" t="s">
        <v>128</v>
      </c>
      <c r="O1588" s="8" t="s">
        <v>11120</v>
      </c>
      <c r="P1588" s="8" t="s">
        <v>11121</v>
      </c>
      <c r="Q1588" s="8" t="s">
        <v>150</v>
      </c>
      <c r="R1588" s="8"/>
      <c r="S1588" s="8" t="s">
        <v>71</v>
      </c>
      <c r="T1588" s="8" t="s">
        <v>67</v>
      </c>
      <c r="U1588" s="8" t="s">
        <v>150</v>
      </c>
      <c r="V1588" s="8" t="s">
        <v>152</v>
      </c>
      <c r="W1588" s="8" t="s">
        <v>67</v>
      </c>
      <c r="X1588" s="8">
        <v>4</v>
      </c>
      <c r="Y1588" s="8" t="s">
        <v>5796</v>
      </c>
      <c r="Z1588" s="8">
        <v>80</v>
      </c>
      <c r="AA1588" s="8">
        <v>0</v>
      </c>
      <c r="AB1588" s="9">
        <v>0</v>
      </c>
    </row>
    <row r="1589" spans="1:28" x14ac:dyDescent="0.2">
      <c r="A1589" s="10">
        <v>28724</v>
      </c>
      <c r="B1589" s="11" t="s">
        <v>11122</v>
      </c>
      <c r="C1589" s="11" t="s">
        <v>11123</v>
      </c>
      <c r="D1589" s="11" t="s">
        <v>8224</v>
      </c>
      <c r="E1589" s="11"/>
      <c r="F1589" s="11" t="s">
        <v>353</v>
      </c>
      <c r="G1589" s="11" t="s">
        <v>11124</v>
      </c>
      <c r="H1589" s="11" t="s">
        <v>122</v>
      </c>
      <c r="I1589" s="11" t="s">
        <v>11125</v>
      </c>
      <c r="J1589" s="11" t="s">
        <v>11126</v>
      </c>
      <c r="K1589" s="11" t="s">
        <v>1051</v>
      </c>
      <c r="L1589" s="11" t="s">
        <v>126</v>
      </c>
      <c r="M1589" s="11" t="s">
        <v>11127</v>
      </c>
      <c r="N1589" s="11" t="s">
        <v>128</v>
      </c>
      <c r="O1589" s="11" t="s">
        <v>11128</v>
      </c>
      <c r="P1589" s="11" t="s">
        <v>2091</v>
      </c>
      <c r="Q1589" s="11" t="s">
        <v>150</v>
      </c>
      <c r="R1589" s="11"/>
      <c r="S1589" s="11" t="s">
        <v>71</v>
      </c>
      <c r="T1589" s="11" t="s">
        <v>6736</v>
      </c>
      <c r="U1589" s="11" t="s">
        <v>150</v>
      </c>
      <c r="V1589" s="11" t="s">
        <v>6736</v>
      </c>
      <c r="W1589" s="11" t="s">
        <v>6736</v>
      </c>
      <c r="X1589" s="11">
        <v>4</v>
      </c>
      <c r="Y1589" s="11" t="s">
        <v>5796</v>
      </c>
      <c r="Z1589" s="11">
        <v>80</v>
      </c>
      <c r="AA1589" s="11">
        <v>0</v>
      </c>
      <c r="AB1589" s="12">
        <v>0</v>
      </c>
    </row>
    <row r="1590" spans="1:28" x14ac:dyDescent="0.2">
      <c r="A1590" s="7">
        <v>22585</v>
      </c>
      <c r="B1590" s="8" t="s">
        <v>11129</v>
      </c>
      <c r="C1590" s="8" t="s">
        <v>5879</v>
      </c>
      <c r="D1590" s="8" t="s">
        <v>11039</v>
      </c>
      <c r="E1590" s="8" t="s">
        <v>702</v>
      </c>
      <c r="F1590" s="8" t="s">
        <v>353</v>
      </c>
      <c r="G1590" s="8" t="s">
        <v>11130</v>
      </c>
      <c r="H1590" s="8" t="s">
        <v>704</v>
      </c>
      <c r="I1590" s="8" t="s">
        <v>11131</v>
      </c>
      <c r="J1590" s="8" t="s">
        <v>11132</v>
      </c>
      <c r="K1590" s="8" t="s">
        <v>850</v>
      </c>
      <c r="L1590" s="8" t="s">
        <v>126</v>
      </c>
      <c r="M1590" s="8" t="s">
        <v>11133</v>
      </c>
      <c r="N1590" s="8" t="s">
        <v>128</v>
      </c>
      <c r="O1590" s="8" t="s">
        <v>11134</v>
      </c>
      <c r="P1590" s="8" t="s">
        <v>11135</v>
      </c>
      <c r="Q1590" s="8" t="s">
        <v>150</v>
      </c>
      <c r="R1590" s="8"/>
      <c r="S1590" s="8" t="s">
        <v>11136</v>
      </c>
      <c r="T1590" s="8" t="s">
        <v>2697</v>
      </c>
      <c r="U1590" s="8" t="s">
        <v>150</v>
      </c>
      <c r="V1590" s="8" t="s">
        <v>2697</v>
      </c>
      <c r="W1590" s="8" t="s">
        <v>2697</v>
      </c>
      <c r="X1590" s="8">
        <v>4</v>
      </c>
      <c r="Y1590" s="8" t="s">
        <v>5796</v>
      </c>
      <c r="Z1590" s="8">
        <v>80</v>
      </c>
      <c r="AA1590" s="8">
        <v>0</v>
      </c>
      <c r="AB1590" s="9">
        <v>0</v>
      </c>
    </row>
    <row r="1591" spans="1:28" x14ac:dyDescent="0.2">
      <c r="A1591" s="10">
        <v>23466</v>
      </c>
      <c r="B1591" s="11" t="s">
        <v>11137</v>
      </c>
      <c r="C1591" s="11" t="s">
        <v>2785</v>
      </c>
      <c r="D1591" s="11" t="s">
        <v>3870</v>
      </c>
      <c r="E1591" s="11"/>
      <c r="F1591" s="11" t="s">
        <v>353</v>
      </c>
      <c r="G1591" s="11" t="s">
        <v>11138</v>
      </c>
      <c r="H1591" s="11" t="s">
        <v>142</v>
      </c>
      <c r="I1591" s="11" t="s">
        <v>11139</v>
      </c>
      <c r="J1591" s="11" t="s">
        <v>11140</v>
      </c>
      <c r="K1591" s="11" t="s">
        <v>1199</v>
      </c>
      <c r="L1591" s="11" t="s">
        <v>464</v>
      </c>
      <c r="M1591" s="11" t="s">
        <v>11141</v>
      </c>
      <c r="N1591" s="11" t="s">
        <v>128</v>
      </c>
      <c r="O1591" s="11" t="s">
        <v>11142</v>
      </c>
      <c r="P1591" s="11" t="s">
        <v>11143</v>
      </c>
      <c r="Q1591" s="11" t="s">
        <v>150</v>
      </c>
      <c r="R1591" s="11"/>
      <c r="S1591" s="11" t="s">
        <v>71</v>
      </c>
      <c r="T1591" s="11" t="s">
        <v>1415</v>
      </c>
      <c r="U1591" s="11" t="s">
        <v>150</v>
      </c>
      <c r="V1591" s="11" t="s">
        <v>1415</v>
      </c>
      <c r="W1591" s="11" t="s">
        <v>1415</v>
      </c>
      <c r="X1591" s="11">
        <v>4</v>
      </c>
      <c r="Y1591" s="11" t="s">
        <v>5796</v>
      </c>
      <c r="Z1591" s="11">
        <v>80</v>
      </c>
      <c r="AA1591" s="11">
        <v>0</v>
      </c>
      <c r="AB1591" s="12">
        <v>0</v>
      </c>
    </row>
    <row r="1592" spans="1:28" x14ac:dyDescent="0.2">
      <c r="A1592" s="7">
        <v>214468</v>
      </c>
      <c r="B1592" s="8" t="s">
        <v>11144</v>
      </c>
      <c r="C1592" s="8" t="s">
        <v>3783</v>
      </c>
      <c r="D1592" s="8" t="s">
        <v>6206</v>
      </c>
      <c r="E1592" s="8"/>
      <c r="F1592" s="8" t="s">
        <v>353</v>
      </c>
      <c r="G1592" s="8" t="s">
        <v>11145</v>
      </c>
      <c r="H1592" s="8" t="s">
        <v>5805</v>
      </c>
      <c r="I1592" s="8" t="s">
        <v>11146</v>
      </c>
      <c r="J1592" s="8" t="s">
        <v>11147</v>
      </c>
      <c r="K1592" s="8" t="s">
        <v>274</v>
      </c>
      <c r="L1592" s="8" t="s">
        <v>163</v>
      </c>
      <c r="M1592" s="8" t="s">
        <v>11148</v>
      </c>
      <c r="N1592" s="8" t="s">
        <v>128</v>
      </c>
      <c r="O1592" s="8" t="s">
        <v>11149</v>
      </c>
      <c r="P1592" s="8" t="s">
        <v>8211</v>
      </c>
      <c r="Q1592" s="8" t="s">
        <v>150</v>
      </c>
      <c r="R1592" s="8"/>
      <c r="S1592" s="8" t="s">
        <v>71</v>
      </c>
      <c r="T1592" s="8" t="s">
        <v>168</v>
      </c>
      <c r="U1592" s="8" t="s">
        <v>150</v>
      </c>
      <c r="V1592" s="8" t="s">
        <v>168</v>
      </c>
      <c r="W1592" s="8" t="s">
        <v>168</v>
      </c>
      <c r="X1592" s="8">
        <v>4</v>
      </c>
      <c r="Y1592" s="8" t="s">
        <v>5796</v>
      </c>
      <c r="Z1592" s="8">
        <v>80</v>
      </c>
      <c r="AA1592" s="8">
        <v>0</v>
      </c>
      <c r="AB1592" s="9">
        <v>0</v>
      </c>
    </row>
    <row r="1593" spans="1:28" x14ac:dyDescent="0.2">
      <c r="A1593" s="10">
        <v>24917</v>
      </c>
      <c r="B1593" s="11" t="s">
        <v>11150</v>
      </c>
      <c r="C1593" s="11" t="s">
        <v>6572</v>
      </c>
      <c r="D1593" s="11" t="s">
        <v>7132</v>
      </c>
      <c r="E1593" s="11"/>
      <c r="F1593" s="11" t="s">
        <v>353</v>
      </c>
      <c r="G1593" s="11" t="s">
        <v>5943</v>
      </c>
      <c r="H1593" s="11" t="s">
        <v>191</v>
      </c>
      <c r="I1593" s="11" t="s">
        <v>7133</v>
      </c>
      <c r="J1593" s="11" t="s">
        <v>11151</v>
      </c>
      <c r="K1593" s="11" t="s">
        <v>194</v>
      </c>
      <c r="L1593" s="11" t="s">
        <v>163</v>
      </c>
      <c r="M1593" s="11" t="s">
        <v>11152</v>
      </c>
      <c r="N1593" s="11" t="s">
        <v>128</v>
      </c>
      <c r="O1593" s="11" t="s">
        <v>11153</v>
      </c>
      <c r="P1593" s="11" t="s">
        <v>11154</v>
      </c>
      <c r="Q1593" s="11" t="s">
        <v>150</v>
      </c>
      <c r="R1593" s="11"/>
      <c r="S1593" s="11" t="s">
        <v>71</v>
      </c>
      <c r="T1593" s="11" t="s">
        <v>1738</v>
      </c>
      <c r="U1593" s="11" t="s">
        <v>150</v>
      </c>
      <c r="V1593" s="11" t="s">
        <v>1738</v>
      </c>
      <c r="W1593" s="11" t="s">
        <v>1738</v>
      </c>
      <c r="X1593" s="11">
        <v>4</v>
      </c>
      <c r="Y1593" s="11" t="s">
        <v>5796</v>
      </c>
      <c r="Z1593" s="11">
        <v>80</v>
      </c>
      <c r="AA1593" s="11">
        <v>0</v>
      </c>
      <c r="AB1593" s="12">
        <v>0</v>
      </c>
    </row>
    <row r="1594" spans="1:28" x14ac:dyDescent="0.2">
      <c r="A1594" s="7">
        <v>21124</v>
      </c>
      <c r="B1594" s="8" t="s">
        <v>11155</v>
      </c>
      <c r="C1594" s="8" t="s">
        <v>5548</v>
      </c>
      <c r="D1594" s="8" t="s">
        <v>11156</v>
      </c>
      <c r="E1594" s="8"/>
      <c r="F1594" s="8" t="s">
        <v>11157</v>
      </c>
      <c r="G1594" s="8" t="s">
        <v>7653</v>
      </c>
      <c r="H1594" s="8" t="s">
        <v>142</v>
      </c>
      <c r="I1594" s="8" t="s">
        <v>11158</v>
      </c>
      <c r="J1594" s="8" t="s">
        <v>11159</v>
      </c>
      <c r="K1594" s="8" t="s">
        <v>717</v>
      </c>
      <c r="L1594" s="8" t="s">
        <v>464</v>
      </c>
      <c r="M1594" s="8" t="s">
        <v>11160</v>
      </c>
      <c r="N1594" s="8" t="s">
        <v>128</v>
      </c>
      <c r="O1594" s="8" t="s">
        <v>11161</v>
      </c>
      <c r="P1594" s="8" t="s">
        <v>11162</v>
      </c>
      <c r="Q1594" s="8" t="s">
        <v>150</v>
      </c>
      <c r="R1594" s="8"/>
      <c r="S1594" s="8" t="s">
        <v>71</v>
      </c>
      <c r="T1594" s="8" t="s">
        <v>289</v>
      </c>
      <c r="U1594" s="8" t="s">
        <v>150</v>
      </c>
      <c r="V1594" s="8" t="s">
        <v>289</v>
      </c>
      <c r="W1594" s="8" t="s">
        <v>289</v>
      </c>
      <c r="X1594" s="8">
        <v>3</v>
      </c>
      <c r="Y1594" s="8" t="s">
        <v>5796</v>
      </c>
      <c r="Z1594" s="8">
        <v>80</v>
      </c>
      <c r="AA1594" s="8">
        <v>0</v>
      </c>
      <c r="AB1594" s="9">
        <v>0</v>
      </c>
    </row>
    <row r="1595" spans="1:28" x14ac:dyDescent="0.2">
      <c r="A1595" s="10">
        <v>105824</v>
      </c>
      <c r="B1595" s="11" t="s">
        <v>11163</v>
      </c>
      <c r="C1595" s="11" t="s">
        <v>10117</v>
      </c>
      <c r="D1595" s="11" t="s">
        <v>10118</v>
      </c>
      <c r="E1595" s="11"/>
      <c r="F1595" s="11" t="s">
        <v>10119</v>
      </c>
      <c r="G1595" s="11" t="s">
        <v>10119</v>
      </c>
      <c r="H1595" s="11" t="s">
        <v>191</v>
      </c>
      <c r="I1595" s="11" t="s">
        <v>10120</v>
      </c>
      <c r="J1595" s="11" t="s">
        <v>11164</v>
      </c>
      <c r="K1595" s="11" t="s">
        <v>194</v>
      </c>
      <c r="L1595" s="11" t="s">
        <v>163</v>
      </c>
      <c r="M1595" s="11" t="s">
        <v>11165</v>
      </c>
      <c r="N1595" s="11" t="s">
        <v>128</v>
      </c>
      <c r="O1595" s="11" t="s">
        <v>11166</v>
      </c>
      <c r="P1595" s="11"/>
      <c r="Q1595" s="11" t="s">
        <v>131</v>
      </c>
      <c r="R1595" s="11"/>
      <c r="S1595" s="11" t="s">
        <v>10125</v>
      </c>
      <c r="T1595" s="11" t="s">
        <v>983</v>
      </c>
      <c r="U1595" s="11" t="s">
        <v>134</v>
      </c>
      <c r="V1595" s="11" t="s">
        <v>131</v>
      </c>
      <c r="W1595" s="11" t="s">
        <v>983</v>
      </c>
      <c r="X1595" s="11">
        <v>3</v>
      </c>
      <c r="Y1595" s="11" t="s">
        <v>5796</v>
      </c>
      <c r="Z1595" s="11">
        <v>80</v>
      </c>
      <c r="AA1595" s="11">
        <v>0</v>
      </c>
      <c r="AB1595" s="12">
        <v>0</v>
      </c>
    </row>
    <row r="1596" spans="1:28" x14ac:dyDescent="0.2">
      <c r="A1596" s="7">
        <v>106595</v>
      </c>
      <c r="B1596" s="8" t="s">
        <v>11167</v>
      </c>
      <c r="C1596" s="8" t="s">
        <v>11168</v>
      </c>
      <c r="D1596" s="8" t="s">
        <v>11169</v>
      </c>
      <c r="E1596" s="8"/>
      <c r="F1596" s="8" t="s">
        <v>353</v>
      </c>
      <c r="G1596" s="8" t="s">
        <v>11170</v>
      </c>
      <c r="H1596" s="8" t="s">
        <v>191</v>
      </c>
      <c r="I1596" s="8" t="s">
        <v>11171</v>
      </c>
      <c r="J1596" s="8" t="s">
        <v>11172</v>
      </c>
      <c r="K1596" s="8" t="s">
        <v>194</v>
      </c>
      <c r="L1596" s="8" t="s">
        <v>163</v>
      </c>
      <c r="M1596" s="8" t="s">
        <v>11173</v>
      </c>
      <c r="N1596" s="8" t="s">
        <v>128</v>
      </c>
      <c r="O1596" s="8" t="s">
        <v>11174</v>
      </c>
      <c r="P1596" s="8"/>
      <c r="Q1596" s="8" t="s">
        <v>150</v>
      </c>
      <c r="R1596" s="8"/>
      <c r="S1596" s="8" t="s">
        <v>71</v>
      </c>
      <c r="T1596" s="8" t="s">
        <v>5470</v>
      </c>
      <c r="U1596" s="8" t="s">
        <v>150</v>
      </c>
      <c r="V1596" s="8" t="s">
        <v>5470</v>
      </c>
      <c r="W1596" s="8" t="s">
        <v>5470</v>
      </c>
      <c r="X1596" s="8">
        <v>3</v>
      </c>
      <c r="Y1596" s="8" t="s">
        <v>5796</v>
      </c>
      <c r="Z1596" s="8">
        <v>80</v>
      </c>
      <c r="AA1596" s="8">
        <v>0</v>
      </c>
      <c r="AB1596" s="9">
        <v>0</v>
      </c>
    </row>
    <row r="1597" spans="1:28" x14ac:dyDescent="0.2">
      <c r="A1597" s="10">
        <v>28705</v>
      </c>
      <c r="B1597" s="11" t="s">
        <v>11175</v>
      </c>
      <c r="C1597" s="11" t="s">
        <v>11176</v>
      </c>
      <c r="D1597" s="11" t="s">
        <v>10663</v>
      </c>
      <c r="E1597" s="11"/>
      <c r="F1597" s="11" t="s">
        <v>353</v>
      </c>
      <c r="G1597" s="11" t="s">
        <v>11177</v>
      </c>
      <c r="H1597" s="11" t="s">
        <v>142</v>
      </c>
      <c r="I1597" s="11" t="s">
        <v>11178</v>
      </c>
      <c r="J1597" s="11" t="s">
        <v>11179</v>
      </c>
      <c r="K1597" s="11" t="s">
        <v>1199</v>
      </c>
      <c r="L1597" s="11" t="s">
        <v>464</v>
      </c>
      <c r="M1597" s="11" t="s">
        <v>11180</v>
      </c>
      <c r="N1597" s="11" t="s">
        <v>128</v>
      </c>
      <c r="O1597" s="11" t="s">
        <v>11181</v>
      </c>
      <c r="P1597" s="11" t="s">
        <v>11182</v>
      </c>
      <c r="Q1597" s="11" t="s">
        <v>150</v>
      </c>
      <c r="R1597" s="11"/>
      <c r="S1597" s="11" t="s">
        <v>71</v>
      </c>
      <c r="T1597" s="11" t="s">
        <v>1415</v>
      </c>
      <c r="U1597" s="11" t="s">
        <v>150</v>
      </c>
      <c r="V1597" s="11" t="s">
        <v>1415</v>
      </c>
      <c r="W1597" s="11" t="s">
        <v>1415</v>
      </c>
      <c r="X1597" s="11">
        <v>3</v>
      </c>
      <c r="Y1597" s="11" t="s">
        <v>5796</v>
      </c>
      <c r="Z1597" s="11">
        <v>80</v>
      </c>
      <c r="AA1597" s="11">
        <v>0</v>
      </c>
      <c r="AB1597" s="12">
        <v>0</v>
      </c>
    </row>
    <row r="1598" spans="1:28" x14ac:dyDescent="0.2">
      <c r="A1598" s="7">
        <v>28867</v>
      </c>
      <c r="B1598" s="8" t="s">
        <v>11183</v>
      </c>
      <c r="C1598" s="8" t="s">
        <v>4099</v>
      </c>
      <c r="D1598" s="8" t="s">
        <v>11184</v>
      </c>
      <c r="E1598" s="8"/>
      <c r="F1598" s="8" t="s">
        <v>353</v>
      </c>
      <c r="G1598" s="8" t="s">
        <v>4856</v>
      </c>
      <c r="H1598" s="8" t="s">
        <v>847</v>
      </c>
      <c r="I1598" s="8"/>
      <c r="J1598" s="8" t="s">
        <v>11185</v>
      </c>
      <c r="K1598" s="8" t="s">
        <v>850</v>
      </c>
      <c r="L1598" s="8" t="s">
        <v>126</v>
      </c>
      <c r="M1598" s="8" t="s">
        <v>11186</v>
      </c>
      <c r="N1598" s="8" t="s">
        <v>128</v>
      </c>
      <c r="O1598" s="8" t="s">
        <v>11187</v>
      </c>
      <c r="P1598" s="8" t="s">
        <v>3523</v>
      </c>
      <c r="Q1598" s="8" t="s">
        <v>150</v>
      </c>
      <c r="R1598" s="8"/>
      <c r="S1598" s="8" t="s">
        <v>71</v>
      </c>
      <c r="T1598" s="8" t="s">
        <v>168</v>
      </c>
      <c r="U1598" s="8" t="s">
        <v>150</v>
      </c>
      <c r="V1598" s="8" t="s">
        <v>168</v>
      </c>
      <c r="W1598" s="8" t="s">
        <v>168</v>
      </c>
      <c r="X1598" s="8">
        <v>3</v>
      </c>
      <c r="Y1598" s="8" t="s">
        <v>5796</v>
      </c>
      <c r="Z1598" s="8">
        <v>80</v>
      </c>
      <c r="AA1598" s="8">
        <v>0</v>
      </c>
      <c r="AB1598" s="9">
        <v>0</v>
      </c>
    </row>
    <row r="1599" spans="1:28" x14ac:dyDescent="0.2">
      <c r="A1599" s="10">
        <v>126738</v>
      </c>
      <c r="B1599" s="11" t="s">
        <v>11188</v>
      </c>
      <c r="C1599" s="11" t="s">
        <v>11189</v>
      </c>
      <c r="D1599" s="11" t="s">
        <v>11190</v>
      </c>
      <c r="E1599" s="11"/>
      <c r="F1599" s="11" t="s">
        <v>11061</v>
      </c>
      <c r="G1599" s="11" t="s">
        <v>190</v>
      </c>
      <c r="H1599" s="11" t="s">
        <v>191</v>
      </c>
      <c r="I1599" s="11" t="s">
        <v>11191</v>
      </c>
      <c r="J1599" s="11" t="s">
        <v>11192</v>
      </c>
      <c r="K1599" s="11" t="s">
        <v>194</v>
      </c>
      <c r="L1599" s="11" t="s">
        <v>163</v>
      </c>
      <c r="M1599" s="11" t="s">
        <v>11193</v>
      </c>
      <c r="N1599" s="11" t="s">
        <v>128</v>
      </c>
      <c r="O1599" s="11" t="s">
        <v>11194</v>
      </c>
      <c r="P1599" s="11" t="s">
        <v>11195</v>
      </c>
      <c r="Q1599" s="11" t="s">
        <v>150</v>
      </c>
      <c r="R1599" s="11"/>
      <c r="S1599" s="11" t="s">
        <v>71</v>
      </c>
      <c r="T1599" s="11" t="s">
        <v>168</v>
      </c>
      <c r="U1599" s="11" t="s">
        <v>150</v>
      </c>
      <c r="V1599" s="11" t="s">
        <v>168</v>
      </c>
      <c r="W1599" s="11" t="s">
        <v>168</v>
      </c>
      <c r="X1599" s="11">
        <v>3</v>
      </c>
      <c r="Y1599" s="11" t="s">
        <v>5796</v>
      </c>
      <c r="Z1599" s="11">
        <v>80</v>
      </c>
      <c r="AA1599" s="11">
        <v>0</v>
      </c>
      <c r="AB1599" s="12">
        <v>0</v>
      </c>
    </row>
    <row r="1600" spans="1:28" x14ac:dyDescent="0.2">
      <c r="A1600" s="7">
        <v>26743</v>
      </c>
      <c r="B1600" s="8" t="s">
        <v>11196</v>
      </c>
      <c r="C1600" s="8" t="s">
        <v>11197</v>
      </c>
      <c r="D1600" s="8" t="s">
        <v>138</v>
      </c>
      <c r="E1600" s="8"/>
      <c r="F1600" s="8" t="s">
        <v>353</v>
      </c>
      <c r="G1600" s="8" t="s">
        <v>3643</v>
      </c>
      <c r="H1600" s="8" t="s">
        <v>142</v>
      </c>
      <c r="I1600" s="8" t="s">
        <v>9056</v>
      </c>
      <c r="J1600" s="8" t="s">
        <v>11198</v>
      </c>
      <c r="K1600" s="8" t="s">
        <v>651</v>
      </c>
      <c r="L1600" s="8" t="s">
        <v>146</v>
      </c>
      <c r="M1600" s="8" t="s">
        <v>11199</v>
      </c>
      <c r="N1600" s="8" t="s">
        <v>4651</v>
      </c>
      <c r="O1600" s="8"/>
      <c r="P1600" s="8"/>
      <c r="Q1600" s="8" t="s">
        <v>131</v>
      </c>
      <c r="R1600" s="8"/>
      <c r="S1600" s="8" t="s">
        <v>4620</v>
      </c>
      <c r="T1600" s="8" t="s">
        <v>133</v>
      </c>
      <c r="U1600" s="8" t="s">
        <v>134</v>
      </c>
      <c r="V1600" s="8" t="s">
        <v>131</v>
      </c>
      <c r="W1600" s="8" t="s">
        <v>133</v>
      </c>
      <c r="X1600" s="8">
        <v>2</v>
      </c>
      <c r="Y1600" s="8" t="s">
        <v>5796</v>
      </c>
      <c r="Z1600" s="8">
        <v>80</v>
      </c>
      <c r="AA1600" s="8">
        <v>0</v>
      </c>
      <c r="AB1600" s="9">
        <v>0</v>
      </c>
    </row>
    <row r="1601" spans="1:28" x14ac:dyDescent="0.2">
      <c r="A1601" s="10">
        <v>22621</v>
      </c>
      <c r="B1601" s="11" t="s">
        <v>11200</v>
      </c>
      <c r="C1601" s="11" t="s">
        <v>11201</v>
      </c>
      <c r="D1601" s="11" t="s">
        <v>7112</v>
      </c>
      <c r="E1601" s="11" t="s">
        <v>281</v>
      </c>
      <c r="F1601" s="11" t="s">
        <v>11202</v>
      </c>
      <c r="G1601" s="11" t="s">
        <v>5541</v>
      </c>
      <c r="H1601" s="11" t="s">
        <v>704</v>
      </c>
      <c r="I1601" s="11" t="s">
        <v>11203</v>
      </c>
      <c r="J1601" s="11" t="s">
        <v>11204</v>
      </c>
      <c r="K1601" s="11" t="s">
        <v>850</v>
      </c>
      <c r="L1601" s="11" t="s">
        <v>126</v>
      </c>
      <c r="M1601" s="11" t="s">
        <v>11205</v>
      </c>
      <c r="N1601" s="11" t="s">
        <v>128</v>
      </c>
      <c r="O1601" s="11" t="s">
        <v>11206</v>
      </c>
      <c r="P1601" s="11" t="s">
        <v>11207</v>
      </c>
      <c r="Q1601" s="11" t="s">
        <v>150</v>
      </c>
      <c r="R1601" s="11"/>
      <c r="S1601" s="11" t="s">
        <v>71</v>
      </c>
      <c r="T1601" s="11" t="s">
        <v>2697</v>
      </c>
      <c r="U1601" s="11" t="s">
        <v>150</v>
      </c>
      <c r="V1601" s="11" t="s">
        <v>2697</v>
      </c>
      <c r="W1601" s="11" t="s">
        <v>2697</v>
      </c>
      <c r="X1601" s="11">
        <v>2</v>
      </c>
      <c r="Y1601" s="11" t="s">
        <v>5796</v>
      </c>
      <c r="Z1601" s="11">
        <v>80</v>
      </c>
      <c r="AA1601" s="11">
        <v>0</v>
      </c>
      <c r="AB1601" s="12">
        <v>0</v>
      </c>
    </row>
    <row r="1602" spans="1:28" x14ac:dyDescent="0.2">
      <c r="A1602" s="7">
        <v>22572</v>
      </c>
      <c r="B1602" s="8" t="s">
        <v>11208</v>
      </c>
      <c r="C1602" s="8" t="s">
        <v>11209</v>
      </c>
      <c r="D1602" s="8" t="s">
        <v>826</v>
      </c>
      <c r="E1602" s="8"/>
      <c r="F1602" s="8"/>
      <c r="G1602" s="8" t="s">
        <v>5541</v>
      </c>
      <c r="H1602" s="8" t="s">
        <v>704</v>
      </c>
      <c r="I1602" s="8" t="s">
        <v>11210</v>
      </c>
      <c r="J1602" s="8" t="s">
        <v>11211</v>
      </c>
      <c r="K1602" s="8" t="s">
        <v>850</v>
      </c>
      <c r="L1602" s="8" t="s">
        <v>126</v>
      </c>
      <c r="M1602" s="8" t="s">
        <v>11212</v>
      </c>
      <c r="N1602" s="8" t="s">
        <v>128</v>
      </c>
      <c r="O1602" s="8" t="s">
        <v>11213</v>
      </c>
      <c r="P1602" s="8" t="s">
        <v>11214</v>
      </c>
      <c r="Q1602" s="8" t="s">
        <v>150</v>
      </c>
      <c r="R1602" s="8"/>
      <c r="S1602" s="8" t="s">
        <v>71</v>
      </c>
      <c r="T1602" s="8" t="s">
        <v>2697</v>
      </c>
      <c r="U1602" s="8" t="s">
        <v>150</v>
      </c>
      <c r="V1602" s="8" t="s">
        <v>2697</v>
      </c>
      <c r="W1602" s="8" t="s">
        <v>2697</v>
      </c>
      <c r="X1602" s="8">
        <v>2</v>
      </c>
      <c r="Y1602" s="8" t="s">
        <v>5796</v>
      </c>
      <c r="Z1602" s="8">
        <v>80</v>
      </c>
      <c r="AA1602" s="8">
        <v>0</v>
      </c>
      <c r="AB1602" s="9">
        <v>0</v>
      </c>
    </row>
    <row r="1603" spans="1:28" x14ac:dyDescent="0.2">
      <c r="A1603" s="10">
        <v>240332</v>
      </c>
      <c r="B1603" s="11" t="s">
        <v>11215</v>
      </c>
      <c r="C1603" s="11" t="s">
        <v>11216</v>
      </c>
      <c r="D1603" s="11" t="s">
        <v>11217</v>
      </c>
      <c r="E1603" s="11"/>
      <c r="F1603" s="11" t="s">
        <v>353</v>
      </c>
      <c r="G1603" s="11" t="s">
        <v>11218</v>
      </c>
      <c r="H1603" s="11" t="s">
        <v>616</v>
      </c>
      <c r="I1603" s="11" t="s">
        <v>11219</v>
      </c>
      <c r="J1603" s="11" t="s">
        <v>11220</v>
      </c>
      <c r="K1603" s="11" t="s">
        <v>619</v>
      </c>
      <c r="L1603" s="11" t="s">
        <v>163</v>
      </c>
      <c r="M1603" s="11" t="s">
        <v>11221</v>
      </c>
      <c r="N1603" s="11" t="s">
        <v>128</v>
      </c>
      <c r="O1603" s="11" t="s">
        <v>11222</v>
      </c>
      <c r="P1603" s="11" t="s">
        <v>2417</v>
      </c>
      <c r="Q1603" s="11" t="s">
        <v>150</v>
      </c>
      <c r="R1603" s="11"/>
      <c r="S1603" s="11" t="s">
        <v>11223</v>
      </c>
      <c r="T1603" s="11" t="s">
        <v>70</v>
      </c>
      <c r="U1603" s="11" t="s">
        <v>150</v>
      </c>
      <c r="V1603" s="11" t="s">
        <v>70</v>
      </c>
      <c r="W1603" s="11" t="s">
        <v>70</v>
      </c>
      <c r="X1603" s="11">
        <v>2</v>
      </c>
      <c r="Y1603" s="11" t="s">
        <v>5796</v>
      </c>
      <c r="Z1603" s="11">
        <v>80</v>
      </c>
      <c r="AA1603" s="11">
        <v>0</v>
      </c>
      <c r="AB1603" s="12">
        <v>0</v>
      </c>
    </row>
    <row r="1604" spans="1:28" x14ac:dyDescent="0.2">
      <c r="A1604" s="7">
        <v>214428</v>
      </c>
      <c r="B1604" s="8" t="s">
        <v>11224</v>
      </c>
      <c r="C1604" s="8" t="s">
        <v>11225</v>
      </c>
      <c r="D1604" s="8" t="s">
        <v>11217</v>
      </c>
      <c r="E1604" s="8"/>
      <c r="F1604" s="8" t="s">
        <v>353</v>
      </c>
      <c r="G1604" s="8" t="s">
        <v>11218</v>
      </c>
      <c r="H1604" s="8" t="s">
        <v>616</v>
      </c>
      <c r="I1604" s="8" t="s">
        <v>11219</v>
      </c>
      <c r="J1604" s="8" t="s">
        <v>11220</v>
      </c>
      <c r="K1604" s="8" t="s">
        <v>619</v>
      </c>
      <c r="L1604" s="8" t="s">
        <v>163</v>
      </c>
      <c r="M1604" s="8" t="s">
        <v>11226</v>
      </c>
      <c r="N1604" s="8" t="s">
        <v>128</v>
      </c>
      <c r="O1604" s="8" t="s">
        <v>11227</v>
      </c>
      <c r="P1604" s="8" t="s">
        <v>8068</v>
      </c>
      <c r="Q1604" s="8" t="s">
        <v>150</v>
      </c>
      <c r="R1604" s="8"/>
      <c r="S1604" s="8" t="s">
        <v>11223</v>
      </c>
      <c r="T1604" s="8" t="s">
        <v>168</v>
      </c>
      <c r="U1604" s="8" t="s">
        <v>150</v>
      </c>
      <c r="V1604" s="8" t="s">
        <v>168</v>
      </c>
      <c r="W1604" s="8" t="s">
        <v>168</v>
      </c>
      <c r="X1604" s="8">
        <v>2</v>
      </c>
      <c r="Y1604" s="8" t="s">
        <v>5796</v>
      </c>
      <c r="Z1604" s="8">
        <v>80</v>
      </c>
      <c r="AA1604" s="8">
        <v>0</v>
      </c>
      <c r="AB1604" s="9">
        <v>0</v>
      </c>
    </row>
    <row r="1605" spans="1:28" x14ac:dyDescent="0.2">
      <c r="A1605" s="10">
        <v>23437</v>
      </c>
      <c r="B1605" s="11" t="s">
        <v>11228</v>
      </c>
      <c r="C1605" s="11" t="s">
        <v>11229</v>
      </c>
      <c r="D1605" s="11" t="s">
        <v>904</v>
      </c>
      <c r="E1605" s="11"/>
      <c r="F1605" s="11" t="s">
        <v>353</v>
      </c>
      <c r="G1605" s="11" t="s">
        <v>11230</v>
      </c>
      <c r="H1605" s="11" t="s">
        <v>142</v>
      </c>
      <c r="I1605" s="11" t="s">
        <v>11231</v>
      </c>
      <c r="J1605" s="11" t="s">
        <v>11232</v>
      </c>
      <c r="K1605" s="11" t="s">
        <v>1199</v>
      </c>
      <c r="L1605" s="11" t="s">
        <v>464</v>
      </c>
      <c r="M1605" s="11" t="s">
        <v>11233</v>
      </c>
      <c r="N1605" s="11" t="s">
        <v>128</v>
      </c>
      <c r="O1605" s="11" t="s">
        <v>11234</v>
      </c>
      <c r="P1605" s="11" t="s">
        <v>11235</v>
      </c>
      <c r="Q1605" s="11" t="s">
        <v>150</v>
      </c>
      <c r="R1605" s="11"/>
      <c r="S1605" s="11" t="s">
        <v>71</v>
      </c>
      <c r="T1605" s="11" t="s">
        <v>1415</v>
      </c>
      <c r="U1605" s="11" t="s">
        <v>150</v>
      </c>
      <c r="V1605" s="11" t="s">
        <v>1415</v>
      </c>
      <c r="W1605" s="11" t="s">
        <v>1415</v>
      </c>
      <c r="X1605" s="11">
        <v>1</v>
      </c>
      <c r="Y1605" s="11" t="s">
        <v>5796</v>
      </c>
      <c r="Z1605" s="11">
        <v>80</v>
      </c>
      <c r="AA1605" s="11">
        <v>0</v>
      </c>
      <c r="AB1605" s="12">
        <v>0</v>
      </c>
    </row>
    <row r="1606" spans="1:28" x14ac:dyDescent="0.2">
      <c r="A1606" s="7">
        <v>23442</v>
      </c>
      <c r="B1606" s="8" t="s">
        <v>11236</v>
      </c>
      <c r="C1606" s="8" t="s">
        <v>9202</v>
      </c>
      <c r="D1606" s="8" t="s">
        <v>4511</v>
      </c>
      <c r="E1606" s="8"/>
      <c r="F1606" s="8" t="s">
        <v>353</v>
      </c>
      <c r="G1606" s="8" t="s">
        <v>11237</v>
      </c>
      <c r="H1606" s="8" t="s">
        <v>142</v>
      </c>
      <c r="I1606" s="8" t="s">
        <v>11238</v>
      </c>
      <c r="J1606" s="8" t="s">
        <v>11239</v>
      </c>
      <c r="K1606" s="8" t="s">
        <v>1199</v>
      </c>
      <c r="L1606" s="8" t="s">
        <v>464</v>
      </c>
      <c r="M1606" s="8" t="s">
        <v>11240</v>
      </c>
      <c r="N1606" s="8" t="s">
        <v>128</v>
      </c>
      <c r="O1606" s="8" t="s">
        <v>11241</v>
      </c>
      <c r="P1606" s="8" t="s">
        <v>11242</v>
      </c>
      <c r="Q1606" s="8" t="s">
        <v>150</v>
      </c>
      <c r="R1606" s="8"/>
      <c r="S1606" s="8" t="s">
        <v>71</v>
      </c>
      <c r="T1606" s="8" t="s">
        <v>1415</v>
      </c>
      <c r="U1606" s="8" t="s">
        <v>150</v>
      </c>
      <c r="V1606" s="8" t="s">
        <v>1415</v>
      </c>
      <c r="W1606" s="8" t="s">
        <v>1415</v>
      </c>
      <c r="X1606" s="8">
        <v>1</v>
      </c>
      <c r="Y1606" s="8" t="s">
        <v>5796</v>
      </c>
      <c r="Z1606" s="8">
        <v>80</v>
      </c>
      <c r="AA1606" s="8">
        <v>0</v>
      </c>
      <c r="AB1606" s="9">
        <v>0</v>
      </c>
    </row>
    <row r="1607" spans="1:28" x14ac:dyDescent="0.2">
      <c r="A1607" s="10">
        <v>124279</v>
      </c>
      <c r="B1607" s="11" t="s">
        <v>11243</v>
      </c>
      <c r="C1607" s="11" t="s">
        <v>11244</v>
      </c>
      <c r="D1607" s="11" t="s">
        <v>7950</v>
      </c>
      <c r="E1607" s="11"/>
      <c r="F1607" s="11" t="s">
        <v>353</v>
      </c>
      <c r="G1607" s="11" t="s">
        <v>11245</v>
      </c>
      <c r="H1607" s="11" t="s">
        <v>142</v>
      </c>
      <c r="I1607" s="11" t="s">
        <v>11246</v>
      </c>
      <c r="J1607" s="11" t="s">
        <v>11247</v>
      </c>
      <c r="K1607" s="11" t="s">
        <v>1199</v>
      </c>
      <c r="L1607" s="11" t="s">
        <v>464</v>
      </c>
      <c r="M1607" s="11" t="s">
        <v>11248</v>
      </c>
      <c r="N1607" s="11" t="s">
        <v>128</v>
      </c>
      <c r="O1607" s="11" t="s">
        <v>11249</v>
      </c>
      <c r="P1607" s="11" t="s">
        <v>11250</v>
      </c>
      <c r="Q1607" s="11" t="s">
        <v>150</v>
      </c>
      <c r="R1607" s="11"/>
      <c r="S1607" s="11" t="s">
        <v>71</v>
      </c>
      <c r="T1607" s="11" t="s">
        <v>1415</v>
      </c>
      <c r="U1607" s="11" t="s">
        <v>150</v>
      </c>
      <c r="V1607" s="11" t="s">
        <v>1415</v>
      </c>
      <c r="W1607" s="11" t="s">
        <v>1415</v>
      </c>
      <c r="X1607" s="11">
        <v>1</v>
      </c>
      <c r="Y1607" s="11" t="s">
        <v>5796</v>
      </c>
      <c r="Z1607" s="11">
        <v>80</v>
      </c>
      <c r="AA1607" s="11">
        <v>0</v>
      </c>
      <c r="AB1607" s="12">
        <v>0</v>
      </c>
    </row>
    <row r="1608" spans="1:28" x14ac:dyDescent="0.2">
      <c r="A1608" s="7">
        <v>28817</v>
      </c>
      <c r="B1608" s="8" t="s">
        <v>11251</v>
      </c>
      <c r="C1608" s="8" t="s">
        <v>11252</v>
      </c>
      <c r="D1608" s="8" t="s">
        <v>6146</v>
      </c>
      <c r="E1608" s="8"/>
      <c r="F1608" s="8"/>
      <c r="G1608" s="8" t="s">
        <v>190</v>
      </c>
      <c r="H1608" s="8" t="s">
        <v>191</v>
      </c>
      <c r="I1608" s="8" t="s">
        <v>11253</v>
      </c>
      <c r="J1608" s="8" t="s">
        <v>11254</v>
      </c>
      <c r="K1608" s="8" t="s">
        <v>194</v>
      </c>
      <c r="L1608" s="8" t="s">
        <v>163</v>
      </c>
      <c r="M1608" s="8" t="s">
        <v>11255</v>
      </c>
      <c r="N1608" s="8" t="s">
        <v>128</v>
      </c>
      <c r="O1608" s="8" t="s">
        <v>11256</v>
      </c>
      <c r="P1608" s="8" t="s">
        <v>11257</v>
      </c>
      <c r="Q1608" s="8" t="s">
        <v>150</v>
      </c>
      <c r="R1608" s="8"/>
      <c r="S1608" s="8" t="s">
        <v>71</v>
      </c>
      <c r="T1608" s="8" t="s">
        <v>168</v>
      </c>
      <c r="U1608" s="8" t="s">
        <v>150</v>
      </c>
      <c r="V1608" s="8" t="s">
        <v>168</v>
      </c>
      <c r="W1608" s="8" t="s">
        <v>168</v>
      </c>
      <c r="X1608" s="8">
        <v>1</v>
      </c>
      <c r="Y1608" s="8" t="s">
        <v>5796</v>
      </c>
      <c r="Z1608" s="8">
        <v>80</v>
      </c>
      <c r="AA1608" s="8">
        <v>0</v>
      </c>
      <c r="AB1608" s="9">
        <v>0</v>
      </c>
    </row>
    <row r="1609" spans="1:28" x14ac:dyDescent="0.2">
      <c r="A1609" s="10">
        <v>25433</v>
      </c>
      <c r="B1609" s="11" t="s">
        <v>11258</v>
      </c>
      <c r="C1609" s="11" t="s">
        <v>457</v>
      </c>
      <c r="D1609" s="11" t="s">
        <v>477</v>
      </c>
      <c r="E1609" s="11" t="s">
        <v>11259</v>
      </c>
      <c r="F1609" s="11" t="s">
        <v>459</v>
      </c>
      <c r="G1609" s="11" t="s">
        <v>141</v>
      </c>
      <c r="H1609" s="11" t="s">
        <v>142</v>
      </c>
      <c r="I1609" s="11" t="s">
        <v>460</v>
      </c>
      <c r="J1609" s="11" t="s">
        <v>479</v>
      </c>
      <c r="K1609" s="11" t="s">
        <v>403</v>
      </c>
      <c r="L1609" s="11" t="s">
        <v>146</v>
      </c>
      <c r="M1609" s="11" t="s">
        <v>11260</v>
      </c>
      <c r="N1609" s="11" t="s">
        <v>128</v>
      </c>
      <c r="O1609" s="11" t="s">
        <v>11261</v>
      </c>
      <c r="P1609" s="11" t="s">
        <v>11262</v>
      </c>
      <c r="Q1609" s="11" t="s">
        <v>249</v>
      </c>
      <c r="R1609" s="11"/>
      <c r="S1609" s="11" t="s">
        <v>68</v>
      </c>
      <c r="T1609" s="11" t="s">
        <v>250</v>
      </c>
      <c r="U1609" s="11" t="s">
        <v>134</v>
      </c>
      <c r="V1609" s="11" t="s">
        <v>249</v>
      </c>
      <c r="W1609" s="11" t="s">
        <v>250</v>
      </c>
      <c r="X1609" s="11">
        <v>71</v>
      </c>
      <c r="Y1609" s="11" t="s">
        <v>11263</v>
      </c>
      <c r="Z1609" s="11">
        <v>20</v>
      </c>
      <c r="AA1609" s="11">
        <v>0</v>
      </c>
      <c r="AB1609" s="12">
        <v>0</v>
      </c>
    </row>
    <row r="1610" spans="1:28" x14ac:dyDescent="0.2">
      <c r="A1610" s="7">
        <v>23003</v>
      </c>
      <c r="B1610" s="8" t="s">
        <v>11264</v>
      </c>
      <c r="C1610" s="8" t="s">
        <v>644</v>
      </c>
      <c r="D1610" s="8" t="s">
        <v>645</v>
      </c>
      <c r="E1610" s="8" t="s">
        <v>11265</v>
      </c>
      <c r="F1610" s="8" t="s">
        <v>647</v>
      </c>
      <c r="G1610" s="8" t="s">
        <v>648</v>
      </c>
      <c r="H1610" s="8" t="s">
        <v>142</v>
      </c>
      <c r="I1610" s="8" t="s">
        <v>649</v>
      </c>
      <c r="J1610" s="8" t="s">
        <v>650</v>
      </c>
      <c r="K1610" s="8" t="s">
        <v>651</v>
      </c>
      <c r="L1610" s="8" t="s">
        <v>146</v>
      </c>
      <c r="M1610" s="8" t="s">
        <v>11266</v>
      </c>
      <c r="N1610" s="8" t="s">
        <v>128</v>
      </c>
      <c r="O1610" s="8" t="s">
        <v>11267</v>
      </c>
      <c r="P1610" s="8" t="s">
        <v>11268</v>
      </c>
      <c r="Q1610" s="8" t="s">
        <v>150</v>
      </c>
      <c r="R1610" s="8"/>
      <c r="S1610" s="8" t="s">
        <v>655</v>
      </c>
      <c r="T1610" s="8" t="s">
        <v>70</v>
      </c>
      <c r="U1610" s="8" t="s">
        <v>150</v>
      </c>
      <c r="V1610" s="8" t="s">
        <v>70</v>
      </c>
      <c r="W1610" s="8" t="s">
        <v>70</v>
      </c>
      <c r="X1610" s="8">
        <v>65</v>
      </c>
      <c r="Y1610" s="8" t="s">
        <v>11263</v>
      </c>
      <c r="Z1610" s="8">
        <v>20</v>
      </c>
      <c r="AA1610" s="8">
        <v>0</v>
      </c>
      <c r="AB1610" s="9">
        <v>0</v>
      </c>
    </row>
    <row r="1611" spans="1:28" x14ac:dyDescent="0.2">
      <c r="A1611" s="10">
        <v>22052</v>
      </c>
      <c r="B1611" s="11" t="s">
        <v>11269</v>
      </c>
      <c r="C1611" s="11" t="s">
        <v>11270</v>
      </c>
      <c r="D1611" s="11" t="s">
        <v>10649</v>
      </c>
      <c r="E1611" s="11" t="s">
        <v>11271</v>
      </c>
      <c r="F1611" s="11" t="s">
        <v>11272</v>
      </c>
      <c r="G1611" s="11" t="s">
        <v>141</v>
      </c>
      <c r="H1611" s="11" t="s">
        <v>142</v>
      </c>
      <c r="I1611" s="11" t="s">
        <v>11273</v>
      </c>
      <c r="J1611" s="11" t="s">
        <v>11274</v>
      </c>
      <c r="K1611" s="11" t="s">
        <v>991</v>
      </c>
      <c r="L1611" s="11" t="s">
        <v>146</v>
      </c>
      <c r="M1611" s="11" t="s">
        <v>11275</v>
      </c>
      <c r="N1611" s="11" t="s">
        <v>128</v>
      </c>
      <c r="O1611" s="11" t="s">
        <v>11276</v>
      </c>
      <c r="P1611" s="11" t="s">
        <v>11277</v>
      </c>
      <c r="Q1611" s="11" t="s">
        <v>131</v>
      </c>
      <c r="R1611" s="11"/>
      <c r="S1611" s="11" t="s">
        <v>11278</v>
      </c>
      <c r="T1611" s="11" t="s">
        <v>133</v>
      </c>
      <c r="U1611" s="11" t="s">
        <v>134</v>
      </c>
      <c r="V1611" s="11" t="s">
        <v>131</v>
      </c>
      <c r="W1611" s="11" t="s">
        <v>133</v>
      </c>
      <c r="X1611" s="11">
        <v>64</v>
      </c>
      <c r="Y1611" s="11" t="s">
        <v>11263</v>
      </c>
      <c r="Z1611" s="11">
        <v>20</v>
      </c>
      <c r="AA1611" s="11">
        <v>0</v>
      </c>
      <c r="AB1611" s="12">
        <v>0</v>
      </c>
    </row>
    <row r="1612" spans="1:28" x14ac:dyDescent="0.2">
      <c r="A1612" s="7">
        <v>22034</v>
      </c>
      <c r="B1612" s="8" t="s">
        <v>11279</v>
      </c>
      <c r="C1612" s="8" t="s">
        <v>11280</v>
      </c>
      <c r="D1612" s="8" t="s">
        <v>5801</v>
      </c>
      <c r="E1612" s="8" t="s">
        <v>11281</v>
      </c>
      <c r="F1612" s="8" t="s">
        <v>5803</v>
      </c>
      <c r="G1612" s="8" t="s">
        <v>5804</v>
      </c>
      <c r="H1612" s="8" t="s">
        <v>5805</v>
      </c>
      <c r="I1612" s="8" t="s">
        <v>5806</v>
      </c>
      <c r="J1612" s="8" t="s">
        <v>5807</v>
      </c>
      <c r="K1612" s="8" t="s">
        <v>274</v>
      </c>
      <c r="L1612" s="8" t="s">
        <v>163</v>
      </c>
      <c r="M1612" s="8" t="s">
        <v>11282</v>
      </c>
      <c r="N1612" s="8" t="s">
        <v>128</v>
      </c>
      <c r="O1612" s="8" t="s">
        <v>11283</v>
      </c>
      <c r="P1612" s="8" t="s">
        <v>11284</v>
      </c>
      <c r="Q1612" s="8" t="s">
        <v>131</v>
      </c>
      <c r="R1612" s="8"/>
      <c r="S1612" s="8" t="s">
        <v>5811</v>
      </c>
      <c r="T1612" s="8" t="s">
        <v>133</v>
      </c>
      <c r="U1612" s="8" t="s">
        <v>134</v>
      </c>
      <c r="V1612" s="8" t="s">
        <v>131</v>
      </c>
      <c r="W1612" s="8" t="s">
        <v>133</v>
      </c>
      <c r="X1612" s="8">
        <v>64</v>
      </c>
      <c r="Y1612" s="8" t="s">
        <v>11263</v>
      </c>
      <c r="Z1612" s="8">
        <v>20</v>
      </c>
      <c r="AA1612" s="8">
        <v>0</v>
      </c>
      <c r="AB1612" s="9">
        <v>0</v>
      </c>
    </row>
    <row r="1613" spans="1:28" x14ac:dyDescent="0.2">
      <c r="A1613" s="10">
        <v>21870</v>
      </c>
      <c r="B1613" s="11" t="s">
        <v>11285</v>
      </c>
      <c r="C1613" s="11" t="s">
        <v>644</v>
      </c>
      <c r="D1613" s="11" t="s">
        <v>645</v>
      </c>
      <c r="E1613" s="11" t="s">
        <v>11286</v>
      </c>
      <c r="F1613" s="11" t="s">
        <v>647</v>
      </c>
      <c r="G1613" s="11" t="s">
        <v>648</v>
      </c>
      <c r="H1613" s="11" t="s">
        <v>142</v>
      </c>
      <c r="I1613" s="11" t="s">
        <v>649</v>
      </c>
      <c r="J1613" s="11" t="s">
        <v>650</v>
      </c>
      <c r="K1613" s="11" t="s">
        <v>651</v>
      </c>
      <c r="L1613" s="11" t="s">
        <v>146</v>
      </c>
      <c r="M1613" s="11" t="s">
        <v>11287</v>
      </c>
      <c r="N1613" s="11" t="s">
        <v>128</v>
      </c>
      <c r="O1613" s="11" t="s">
        <v>11288</v>
      </c>
      <c r="P1613" s="11" t="s">
        <v>11289</v>
      </c>
      <c r="Q1613" s="11" t="s">
        <v>131</v>
      </c>
      <c r="R1613" s="11"/>
      <c r="S1613" s="11" t="s">
        <v>655</v>
      </c>
      <c r="T1613" s="11" t="s">
        <v>133</v>
      </c>
      <c r="U1613" s="11" t="s">
        <v>134</v>
      </c>
      <c r="V1613" s="11" t="s">
        <v>131</v>
      </c>
      <c r="W1613" s="11" t="s">
        <v>133</v>
      </c>
      <c r="X1613" s="11">
        <v>60</v>
      </c>
      <c r="Y1613" s="11" t="s">
        <v>11263</v>
      </c>
      <c r="Z1613" s="11">
        <v>20</v>
      </c>
      <c r="AA1613" s="11">
        <v>0</v>
      </c>
      <c r="AB1613" s="12">
        <v>0</v>
      </c>
    </row>
    <row r="1614" spans="1:28" x14ac:dyDescent="0.2">
      <c r="A1614" s="7">
        <v>21813</v>
      </c>
      <c r="B1614" s="8" t="s">
        <v>11290</v>
      </c>
      <c r="C1614" s="8" t="s">
        <v>5843</v>
      </c>
      <c r="D1614" s="8" t="s">
        <v>5844</v>
      </c>
      <c r="E1614" s="8" t="s">
        <v>11291</v>
      </c>
      <c r="F1614" s="8" t="s">
        <v>5845</v>
      </c>
      <c r="G1614" s="8" t="s">
        <v>5846</v>
      </c>
      <c r="H1614" s="8" t="s">
        <v>159</v>
      </c>
      <c r="I1614" s="8" t="s">
        <v>6046</v>
      </c>
      <c r="J1614" s="8" t="s">
        <v>6047</v>
      </c>
      <c r="K1614" s="8" t="s">
        <v>162</v>
      </c>
      <c r="L1614" s="8" t="s">
        <v>163</v>
      </c>
      <c r="M1614" s="8" t="s">
        <v>11292</v>
      </c>
      <c r="N1614" s="8" t="s">
        <v>128</v>
      </c>
      <c r="O1614" s="8" t="s">
        <v>11293</v>
      </c>
      <c r="P1614" s="8" t="s">
        <v>11294</v>
      </c>
      <c r="Q1614" s="8" t="s">
        <v>131</v>
      </c>
      <c r="R1614" s="8"/>
      <c r="S1614" s="8" t="s">
        <v>5852</v>
      </c>
      <c r="T1614" s="8" t="s">
        <v>133</v>
      </c>
      <c r="U1614" s="8" t="s">
        <v>134</v>
      </c>
      <c r="V1614" s="8" t="s">
        <v>131</v>
      </c>
      <c r="W1614" s="8" t="s">
        <v>133</v>
      </c>
      <c r="X1614" s="8">
        <v>60</v>
      </c>
      <c r="Y1614" s="8" t="s">
        <v>11263</v>
      </c>
      <c r="Z1614" s="8">
        <v>20</v>
      </c>
      <c r="AA1614" s="8">
        <v>0</v>
      </c>
      <c r="AB1614" s="9">
        <v>0</v>
      </c>
    </row>
    <row r="1615" spans="1:28" x14ac:dyDescent="0.2">
      <c r="A1615" s="10">
        <v>119346</v>
      </c>
      <c r="B1615" s="11" t="s">
        <v>11295</v>
      </c>
      <c r="C1615" s="11" t="s">
        <v>5843</v>
      </c>
      <c r="D1615" s="11" t="s">
        <v>5844</v>
      </c>
      <c r="E1615" s="11"/>
      <c r="F1615" s="11" t="s">
        <v>5845</v>
      </c>
      <c r="G1615" s="11" t="s">
        <v>5846</v>
      </c>
      <c r="H1615" s="11" t="s">
        <v>159</v>
      </c>
      <c r="I1615" s="11" t="s">
        <v>5847</v>
      </c>
      <c r="J1615" s="11" t="s">
        <v>6047</v>
      </c>
      <c r="K1615" s="11" t="s">
        <v>162</v>
      </c>
      <c r="L1615" s="11" t="s">
        <v>163</v>
      </c>
      <c r="M1615" s="11" t="s">
        <v>11296</v>
      </c>
      <c r="N1615" s="11" t="s">
        <v>128</v>
      </c>
      <c r="O1615" s="11" t="s">
        <v>11297</v>
      </c>
      <c r="P1615" s="11" t="s">
        <v>11298</v>
      </c>
      <c r="Q1615" s="11" t="s">
        <v>740</v>
      </c>
      <c r="R1615" s="11"/>
      <c r="S1615" s="11" t="s">
        <v>5852</v>
      </c>
      <c r="T1615" s="11" t="s">
        <v>741</v>
      </c>
      <c r="U1615" s="11" t="s">
        <v>134</v>
      </c>
      <c r="V1615" s="11" t="s">
        <v>740</v>
      </c>
      <c r="W1615" s="11" t="s">
        <v>741</v>
      </c>
      <c r="X1615" s="11">
        <v>60</v>
      </c>
      <c r="Y1615" s="11" t="s">
        <v>11263</v>
      </c>
      <c r="Z1615" s="11">
        <v>20</v>
      </c>
      <c r="AA1615" s="11">
        <v>0</v>
      </c>
      <c r="AB1615" s="12">
        <v>0</v>
      </c>
    </row>
    <row r="1616" spans="1:28" x14ac:dyDescent="0.2">
      <c r="A1616" s="7">
        <v>25376</v>
      </c>
      <c r="B1616" s="8" t="s">
        <v>11299</v>
      </c>
      <c r="C1616" s="8" t="s">
        <v>200</v>
      </c>
      <c r="D1616" s="8" t="s">
        <v>201</v>
      </c>
      <c r="E1616" s="8" t="s">
        <v>11300</v>
      </c>
      <c r="F1616" s="8" t="s">
        <v>203</v>
      </c>
      <c r="G1616" s="8" t="s">
        <v>141</v>
      </c>
      <c r="H1616" s="8" t="s">
        <v>142</v>
      </c>
      <c r="I1616" s="8" t="s">
        <v>204</v>
      </c>
      <c r="J1616" s="8" t="s">
        <v>205</v>
      </c>
      <c r="K1616" s="8" t="s">
        <v>145</v>
      </c>
      <c r="L1616" s="8" t="s">
        <v>146</v>
      </c>
      <c r="M1616" s="8" t="s">
        <v>11301</v>
      </c>
      <c r="N1616" s="8" t="s">
        <v>128</v>
      </c>
      <c r="O1616" s="8" t="s">
        <v>11302</v>
      </c>
      <c r="P1616" s="8" t="s">
        <v>11303</v>
      </c>
      <c r="Q1616" s="8" t="s">
        <v>249</v>
      </c>
      <c r="R1616" s="8"/>
      <c r="S1616" s="8" t="s">
        <v>209</v>
      </c>
      <c r="T1616" s="8" t="s">
        <v>250</v>
      </c>
      <c r="U1616" s="8" t="s">
        <v>134</v>
      </c>
      <c r="V1616" s="8" t="s">
        <v>249</v>
      </c>
      <c r="W1616" s="8" t="s">
        <v>250</v>
      </c>
      <c r="X1616" s="8">
        <v>60</v>
      </c>
      <c r="Y1616" s="8" t="s">
        <v>11263</v>
      </c>
      <c r="Z1616" s="8">
        <v>20</v>
      </c>
      <c r="AA1616" s="8">
        <v>0</v>
      </c>
      <c r="AB1616" s="9">
        <v>0</v>
      </c>
    </row>
    <row r="1617" spans="1:28" x14ac:dyDescent="0.2">
      <c r="A1617" s="10">
        <v>23822</v>
      </c>
      <c r="B1617" s="11" t="s">
        <v>11304</v>
      </c>
      <c r="C1617" s="11" t="s">
        <v>11305</v>
      </c>
      <c r="D1617" s="11" t="s">
        <v>11306</v>
      </c>
      <c r="E1617" s="11" t="s">
        <v>5691</v>
      </c>
      <c r="F1617" s="11" t="s">
        <v>581</v>
      </c>
      <c r="G1617" s="11" t="s">
        <v>141</v>
      </c>
      <c r="H1617" s="11" t="s">
        <v>142</v>
      </c>
      <c r="I1617" s="11" t="s">
        <v>11307</v>
      </c>
      <c r="J1617" s="11" t="s">
        <v>11308</v>
      </c>
      <c r="K1617" s="11" t="s">
        <v>584</v>
      </c>
      <c r="L1617" s="11" t="s">
        <v>146</v>
      </c>
      <c r="M1617" s="11" t="s">
        <v>11309</v>
      </c>
      <c r="N1617" s="11" t="s">
        <v>128</v>
      </c>
      <c r="O1617" s="11" t="s">
        <v>11310</v>
      </c>
      <c r="P1617" s="11" t="s">
        <v>11311</v>
      </c>
      <c r="Q1617" s="11" t="s">
        <v>150</v>
      </c>
      <c r="R1617" s="11"/>
      <c r="S1617" s="11" t="s">
        <v>71</v>
      </c>
      <c r="T1617" s="11" t="s">
        <v>168</v>
      </c>
      <c r="U1617" s="11" t="s">
        <v>150</v>
      </c>
      <c r="V1617" s="11" t="s">
        <v>168</v>
      </c>
      <c r="W1617" s="11" t="s">
        <v>168</v>
      </c>
      <c r="X1617" s="11">
        <v>59</v>
      </c>
      <c r="Y1617" s="11" t="s">
        <v>11263</v>
      </c>
      <c r="Z1617" s="11">
        <v>20</v>
      </c>
      <c r="AA1617" s="11">
        <v>0</v>
      </c>
      <c r="AB1617" s="12">
        <v>0</v>
      </c>
    </row>
    <row r="1618" spans="1:28" x14ac:dyDescent="0.2">
      <c r="A1618" s="7">
        <v>25298</v>
      </c>
      <c r="B1618" s="8" t="s">
        <v>11312</v>
      </c>
      <c r="C1618" s="8" t="s">
        <v>11270</v>
      </c>
      <c r="D1618" s="8" t="s">
        <v>10649</v>
      </c>
      <c r="E1618" s="8" t="s">
        <v>11313</v>
      </c>
      <c r="F1618" s="8" t="s">
        <v>11272</v>
      </c>
      <c r="G1618" s="8" t="s">
        <v>141</v>
      </c>
      <c r="H1618" s="8" t="s">
        <v>142</v>
      </c>
      <c r="I1618" s="8" t="s">
        <v>11273</v>
      </c>
      <c r="J1618" s="8" t="s">
        <v>11274</v>
      </c>
      <c r="K1618" s="8" t="s">
        <v>991</v>
      </c>
      <c r="L1618" s="8" t="s">
        <v>146</v>
      </c>
      <c r="M1618" s="8" t="s">
        <v>11314</v>
      </c>
      <c r="N1618" s="8" t="s">
        <v>128</v>
      </c>
      <c r="O1618" s="8" t="s">
        <v>11315</v>
      </c>
      <c r="P1618" s="8" t="s">
        <v>11316</v>
      </c>
      <c r="Q1618" s="8" t="s">
        <v>740</v>
      </c>
      <c r="R1618" s="8"/>
      <c r="S1618" s="8" t="s">
        <v>11278</v>
      </c>
      <c r="T1618" s="8" t="s">
        <v>741</v>
      </c>
      <c r="U1618" s="8" t="s">
        <v>134</v>
      </c>
      <c r="V1618" s="8" t="s">
        <v>740</v>
      </c>
      <c r="W1618" s="8" t="s">
        <v>741</v>
      </c>
      <c r="X1618" s="8">
        <v>59</v>
      </c>
      <c r="Y1618" s="8" t="s">
        <v>11263</v>
      </c>
      <c r="Z1618" s="8">
        <v>20</v>
      </c>
      <c r="AA1618" s="8">
        <v>0</v>
      </c>
      <c r="AB1618" s="9">
        <v>0</v>
      </c>
    </row>
    <row r="1619" spans="1:28" x14ac:dyDescent="0.2">
      <c r="A1619" s="10">
        <v>25512</v>
      </c>
      <c r="B1619" s="11" t="s">
        <v>11317</v>
      </c>
      <c r="C1619" s="11" t="s">
        <v>396</v>
      </c>
      <c r="D1619" s="11" t="s">
        <v>397</v>
      </c>
      <c r="E1619" s="11" t="s">
        <v>11318</v>
      </c>
      <c r="F1619" s="11" t="s">
        <v>399</v>
      </c>
      <c r="G1619" s="11" t="s">
        <v>400</v>
      </c>
      <c r="H1619" s="11" t="s">
        <v>142</v>
      </c>
      <c r="I1619" s="11" t="s">
        <v>401</v>
      </c>
      <c r="J1619" s="11" t="s">
        <v>402</v>
      </c>
      <c r="K1619" s="11" t="s">
        <v>403</v>
      </c>
      <c r="L1619" s="11" t="s">
        <v>146</v>
      </c>
      <c r="M1619" s="11" t="s">
        <v>11319</v>
      </c>
      <c r="N1619" s="11" t="s">
        <v>128</v>
      </c>
      <c r="O1619" s="11" t="s">
        <v>11320</v>
      </c>
      <c r="P1619" s="11" t="s">
        <v>11321</v>
      </c>
      <c r="Q1619" s="11" t="s">
        <v>249</v>
      </c>
      <c r="R1619" s="11"/>
      <c r="S1619" s="11" t="s">
        <v>407</v>
      </c>
      <c r="T1619" s="11" t="s">
        <v>250</v>
      </c>
      <c r="U1619" s="11" t="s">
        <v>134</v>
      </c>
      <c r="V1619" s="11" t="s">
        <v>249</v>
      </c>
      <c r="W1619" s="11" t="s">
        <v>250</v>
      </c>
      <c r="X1619" s="11">
        <v>58</v>
      </c>
      <c r="Y1619" s="11" t="s">
        <v>11263</v>
      </c>
      <c r="Z1619" s="11">
        <v>20</v>
      </c>
      <c r="AA1619" s="11">
        <v>0</v>
      </c>
      <c r="AB1619" s="12">
        <v>0</v>
      </c>
    </row>
    <row r="1620" spans="1:28" x14ac:dyDescent="0.2">
      <c r="A1620" s="7">
        <v>106043</v>
      </c>
      <c r="B1620" s="8" t="s">
        <v>11322</v>
      </c>
      <c r="C1620" s="8" t="s">
        <v>7664</v>
      </c>
      <c r="D1620" s="8" t="s">
        <v>410</v>
      </c>
      <c r="E1620" s="8"/>
      <c r="F1620" s="8" t="s">
        <v>7666</v>
      </c>
      <c r="G1620" s="8" t="s">
        <v>11323</v>
      </c>
      <c r="H1620" s="8" t="s">
        <v>6410</v>
      </c>
      <c r="I1620" s="8" t="s">
        <v>7667</v>
      </c>
      <c r="J1620" s="8" t="s">
        <v>7668</v>
      </c>
      <c r="K1620" s="8" t="s">
        <v>1956</v>
      </c>
      <c r="L1620" s="8" t="s">
        <v>526</v>
      </c>
      <c r="M1620" s="8" t="s">
        <v>11324</v>
      </c>
      <c r="N1620" s="8" t="s">
        <v>128</v>
      </c>
      <c r="O1620" s="8" t="s">
        <v>11325</v>
      </c>
      <c r="P1620" s="8" t="s">
        <v>11326</v>
      </c>
      <c r="Q1620" s="8" t="s">
        <v>150</v>
      </c>
      <c r="R1620" s="8"/>
      <c r="S1620" s="8" t="s">
        <v>7138</v>
      </c>
      <c r="T1620" s="8" t="s">
        <v>67</v>
      </c>
      <c r="U1620" s="8" t="s">
        <v>150</v>
      </c>
      <c r="V1620" s="8" t="s">
        <v>152</v>
      </c>
      <c r="W1620" s="8" t="s">
        <v>67</v>
      </c>
      <c r="X1620" s="8">
        <v>57</v>
      </c>
      <c r="Y1620" s="8" t="s">
        <v>11263</v>
      </c>
      <c r="Z1620" s="8">
        <v>20</v>
      </c>
      <c r="AA1620" s="8">
        <v>0</v>
      </c>
      <c r="AB1620" s="9">
        <v>0</v>
      </c>
    </row>
    <row r="1621" spans="1:28" x14ac:dyDescent="0.2">
      <c r="A1621" s="10">
        <v>23765</v>
      </c>
      <c r="B1621" s="11" t="s">
        <v>11327</v>
      </c>
      <c r="C1621" s="11" t="s">
        <v>2497</v>
      </c>
      <c r="D1621" s="11" t="s">
        <v>11328</v>
      </c>
      <c r="E1621" s="11"/>
      <c r="F1621" s="11" t="s">
        <v>353</v>
      </c>
      <c r="G1621" s="11" t="s">
        <v>2117</v>
      </c>
      <c r="H1621" s="11" t="s">
        <v>142</v>
      </c>
      <c r="I1621" s="11" t="s">
        <v>2500</v>
      </c>
      <c r="J1621" s="11" t="s">
        <v>11329</v>
      </c>
      <c r="K1621" s="11" t="s">
        <v>1673</v>
      </c>
      <c r="L1621" s="11" t="s">
        <v>464</v>
      </c>
      <c r="M1621" s="11" t="s">
        <v>11330</v>
      </c>
      <c r="N1621" s="11" t="s">
        <v>128</v>
      </c>
      <c r="O1621" s="11" t="s">
        <v>11331</v>
      </c>
      <c r="P1621" s="11" t="s">
        <v>8364</v>
      </c>
      <c r="Q1621" s="11" t="s">
        <v>150</v>
      </c>
      <c r="R1621" s="11"/>
      <c r="S1621" s="11" t="s">
        <v>71</v>
      </c>
      <c r="T1621" s="11" t="s">
        <v>168</v>
      </c>
      <c r="U1621" s="11" t="s">
        <v>150</v>
      </c>
      <c r="V1621" s="11" t="s">
        <v>168</v>
      </c>
      <c r="W1621" s="11" t="s">
        <v>168</v>
      </c>
      <c r="X1621" s="11">
        <v>57</v>
      </c>
      <c r="Y1621" s="11" t="s">
        <v>11263</v>
      </c>
      <c r="Z1621" s="11">
        <v>20</v>
      </c>
      <c r="AA1621" s="11">
        <v>0</v>
      </c>
      <c r="AB1621" s="12">
        <v>0</v>
      </c>
    </row>
    <row r="1622" spans="1:28" x14ac:dyDescent="0.2">
      <c r="A1622" s="7">
        <v>24765</v>
      </c>
      <c r="B1622" s="8" t="s">
        <v>11332</v>
      </c>
      <c r="C1622" s="8" t="s">
        <v>1936</v>
      </c>
      <c r="D1622" s="8" t="s">
        <v>10293</v>
      </c>
      <c r="E1622" s="8" t="s">
        <v>7115</v>
      </c>
      <c r="F1622" s="8" t="s">
        <v>353</v>
      </c>
      <c r="G1622" s="8" t="s">
        <v>1937</v>
      </c>
      <c r="H1622" s="8" t="s">
        <v>142</v>
      </c>
      <c r="I1622" s="8" t="s">
        <v>1938</v>
      </c>
      <c r="J1622" s="8" t="s">
        <v>11333</v>
      </c>
      <c r="K1622" s="8" t="s">
        <v>1673</v>
      </c>
      <c r="L1622" s="8" t="s">
        <v>464</v>
      </c>
      <c r="M1622" s="8" t="s">
        <v>11334</v>
      </c>
      <c r="N1622" s="8" t="s">
        <v>128</v>
      </c>
      <c r="O1622" s="8" t="s">
        <v>11335</v>
      </c>
      <c r="P1622" s="8" t="s">
        <v>5206</v>
      </c>
      <c r="Q1622" s="8" t="s">
        <v>150</v>
      </c>
      <c r="R1622" s="8"/>
      <c r="S1622" s="8" t="s">
        <v>71</v>
      </c>
      <c r="T1622" s="8" t="s">
        <v>69</v>
      </c>
      <c r="U1622" s="8" t="s">
        <v>150</v>
      </c>
      <c r="V1622" s="8" t="s">
        <v>152</v>
      </c>
      <c r="W1622" s="8" t="s">
        <v>69</v>
      </c>
      <c r="X1622" s="8">
        <v>56</v>
      </c>
      <c r="Y1622" s="8" t="s">
        <v>11263</v>
      </c>
      <c r="Z1622" s="8">
        <v>20</v>
      </c>
      <c r="AA1622" s="8">
        <v>0</v>
      </c>
      <c r="AB1622" s="9">
        <v>0</v>
      </c>
    </row>
    <row r="1623" spans="1:28" x14ac:dyDescent="0.2">
      <c r="A1623" s="10">
        <v>25146</v>
      </c>
      <c r="B1623" s="11" t="s">
        <v>11336</v>
      </c>
      <c r="C1623" s="11" t="s">
        <v>953</v>
      </c>
      <c r="D1623" s="11" t="s">
        <v>954</v>
      </c>
      <c r="E1623" s="11"/>
      <c r="F1623" s="11" t="s">
        <v>11337</v>
      </c>
      <c r="G1623" s="11" t="s">
        <v>776</v>
      </c>
      <c r="H1623" s="11" t="s">
        <v>142</v>
      </c>
      <c r="I1623" s="11" t="s">
        <v>957</v>
      </c>
      <c r="J1623" s="11" t="s">
        <v>11338</v>
      </c>
      <c r="K1623" s="11" t="s">
        <v>779</v>
      </c>
      <c r="L1623" s="11" t="s">
        <v>464</v>
      </c>
      <c r="M1623" s="11" t="s">
        <v>11339</v>
      </c>
      <c r="N1623" s="11" t="s">
        <v>128</v>
      </c>
      <c r="O1623" s="11" t="s">
        <v>11340</v>
      </c>
      <c r="P1623" s="11" t="s">
        <v>11341</v>
      </c>
      <c r="Q1623" s="11" t="s">
        <v>740</v>
      </c>
      <c r="R1623" s="11"/>
      <c r="S1623" s="11" t="s">
        <v>962</v>
      </c>
      <c r="T1623" s="11" t="s">
        <v>741</v>
      </c>
      <c r="U1623" s="11" t="s">
        <v>134</v>
      </c>
      <c r="V1623" s="11" t="s">
        <v>740</v>
      </c>
      <c r="W1623" s="11" t="s">
        <v>741</v>
      </c>
      <c r="X1623" s="11">
        <v>56</v>
      </c>
      <c r="Y1623" s="11" t="s">
        <v>11263</v>
      </c>
      <c r="Z1623" s="11">
        <v>20</v>
      </c>
      <c r="AA1623" s="11">
        <v>0</v>
      </c>
      <c r="AB1623" s="12">
        <v>0</v>
      </c>
    </row>
    <row r="1624" spans="1:28" x14ac:dyDescent="0.2">
      <c r="A1624" s="7">
        <v>24728</v>
      </c>
      <c r="B1624" s="8" t="s">
        <v>11342</v>
      </c>
      <c r="C1624" s="8" t="s">
        <v>7227</v>
      </c>
      <c r="D1624" s="8" t="s">
        <v>4534</v>
      </c>
      <c r="E1624" s="8" t="s">
        <v>11343</v>
      </c>
      <c r="F1624" s="8" t="s">
        <v>7228</v>
      </c>
      <c r="G1624" s="8" t="s">
        <v>1833</v>
      </c>
      <c r="H1624" s="8" t="s">
        <v>329</v>
      </c>
      <c r="I1624" s="8" t="s">
        <v>11344</v>
      </c>
      <c r="J1624" s="8" t="s">
        <v>11345</v>
      </c>
      <c r="K1624" s="8" t="s">
        <v>431</v>
      </c>
      <c r="L1624" s="8" t="s">
        <v>333</v>
      </c>
      <c r="M1624" s="8" t="s">
        <v>11346</v>
      </c>
      <c r="N1624" s="8" t="s">
        <v>128</v>
      </c>
      <c r="O1624" s="8" t="s">
        <v>11347</v>
      </c>
      <c r="P1624" s="8" t="s">
        <v>669</v>
      </c>
      <c r="Q1624" s="8" t="s">
        <v>150</v>
      </c>
      <c r="R1624" s="8"/>
      <c r="S1624" s="8" t="s">
        <v>71</v>
      </c>
      <c r="T1624" s="8" t="s">
        <v>69</v>
      </c>
      <c r="U1624" s="8" t="s">
        <v>150</v>
      </c>
      <c r="V1624" s="8" t="s">
        <v>152</v>
      </c>
      <c r="W1624" s="8" t="s">
        <v>69</v>
      </c>
      <c r="X1624" s="8">
        <v>55</v>
      </c>
      <c r="Y1624" s="8" t="s">
        <v>11263</v>
      </c>
      <c r="Z1624" s="8">
        <v>20</v>
      </c>
      <c r="AA1624" s="8">
        <v>0</v>
      </c>
      <c r="AB1624" s="9">
        <v>0</v>
      </c>
    </row>
    <row r="1625" spans="1:28" x14ac:dyDescent="0.2">
      <c r="A1625" s="10">
        <v>20726</v>
      </c>
      <c r="B1625" s="11" t="s">
        <v>11348</v>
      </c>
      <c r="C1625" s="11" t="s">
        <v>1723</v>
      </c>
      <c r="D1625" s="11" t="s">
        <v>1724</v>
      </c>
      <c r="E1625" s="11"/>
      <c r="F1625" s="11" t="s">
        <v>1726</v>
      </c>
      <c r="G1625" s="11" t="s">
        <v>1727</v>
      </c>
      <c r="H1625" s="11" t="s">
        <v>557</v>
      </c>
      <c r="I1625" s="11" t="s">
        <v>1728</v>
      </c>
      <c r="J1625" s="11" t="s">
        <v>11349</v>
      </c>
      <c r="K1625" s="11" t="s">
        <v>1562</v>
      </c>
      <c r="L1625" s="11" t="s">
        <v>229</v>
      </c>
      <c r="M1625" s="11" t="s">
        <v>11350</v>
      </c>
      <c r="N1625" s="11" t="s">
        <v>128</v>
      </c>
      <c r="O1625" s="11" t="s">
        <v>11351</v>
      </c>
      <c r="P1625" s="11"/>
      <c r="Q1625" s="11" t="s">
        <v>150</v>
      </c>
      <c r="R1625" s="11"/>
      <c r="S1625" s="11" t="s">
        <v>1732</v>
      </c>
      <c r="T1625" s="11" t="s">
        <v>11352</v>
      </c>
      <c r="U1625" s="11" t="s">
        <v>150</v>
      </c>
      <c r="V1625" s="11" t="s">
        <v>11352</v>
      </c>
      <c r="W1625" s="11" t="s">
        <v>11352</v>
      </c>
      <c r="X1625" s="11">
        <v>54</v>
      </c>
      <c r="Y1625" s="11" t="s">
        <v>11263</v>
      </c>
      <c r="Z1625" s="11">
        <v>20</v>
      </c>
      <c r="AA1625" s="11">
        <v>0</v>
      </c>
      <c r="AB1625" s="12">
        <v>0</v>
      </c>
    </row>
    <row r="1626" spans="1:28" x14ac:dyDescent="0.2">
      <c r="A1626" s="7">
        <v>23679</v>
      </c>
      <c r="B1626" s="8" t="s">
        <v>11353</v>
      </c>
      <c r="C1626" s="8" t="s">
        <v>11354</v>
      </c>
      <c r="D1626" s="8" t="s">
        <v>11355</v>
      </c>
      <c r="E1626" s="8" t="s">
        <v>281</v>
      </c>
      <c r="F1626" s="8" t="s">
        <v>353</v>
      </c>
      <c r="G1626" s="8" t="s">
        <v>846</v>
      </c>
      <c r="H1626" s="8" t="s">
        <v>847</v>
      </c>
      <c r="I1626" s="8" t="s">
        <v>11356</v>
      </c>
      <c r="J1626" s="8" t="s">
        <v>11357</v>
      </c>
      <c r="K1626" s="8" t="s">
        <v>850</v>
      </c>
      <c r="L1626" s="8" t="s">
        <v>126</v>
      </c>
      <c r="M1626" s="8" t="s">
        <v>11358</v>
      </c>
      <c r="N1626" s="8" t="s">
        <v>128</v>
      </c>
      <c r="O1626" s="8" t="s">
        <v>11359</v>
      </c>
      <c r="P1626" s="8" t="s">
        <v>11360</v>
      </c>
      <c r="Q1626" s="8" t="s">
        <v>150</v>
      </c>
      <c r="R1626" s="8"/>
      <c r="S1626" s="8" t="s">
        <v>71</v>
      </c>
      <c r="T1626" s="8" t="s">
        <v>168</v>
      </c>
      <c r="U1626" s="8" t="s">
        <v>150</v>
      </c>
      <c r="V1626" s="8" t="s">
        <v>168</v>
      </c>
      <c r="W1626" s="8" t="s">
        <v>168</v>
      </c>
      <c r="X1626" s="8">
        <v>50</v>
      </c>
      <c r="Y1626" s="8" t="s">
        <v>11263</v>
      </c>
      <c r="Z1626" s="8">
        <v>20</v>
      </c>
      <c r="AA1626" s="8">
        <v>0</v>
      </c>
      <c r="AB1626" s="9">
        <v>0</v>
      </c>
    </row>
    <row r="1627" spans="1:28" x14ac:dyDescent="0.2">
      <c r="A1627" s="10">
        <v>25226</v>
      </c>
      <c r="B1627" s="11" t="s">
        <v>11361</v>
      </c>
      <c r="C1627" s="11" t="s">
        <v>1634</v>
      </c>
      <c r="D1627" s="11" t="s">
        <v>1635</v>
      </c>
      <c r="E1627" s="11" t="s">
        <v>11362</v>
      </c>
      <c r="F1627" s="11" t="s">
        <v>1637</v>
      </c>
      <c r="G1627" s="11" t="s">
        <v>328</v>
      </c>
      <c r="H1627" s="11" t="s">
        <v>329</v>
      </c>
      <c r="I1627" s="11" t="s">
        <v>1638</v>
      </c>
      <c r="J1627" s="11" t="s">
        <v>1639</v>
      </c>
      <c r="K1627" s="11" t="s">
        <v>572</v>
      </c>
      <c r="L1627" s="11" t="s">
        <v>333</v>
      </c>
      <c r="M1627" s="11" t="s">
        <v>11363</v>
      </c>
      <c r="N1627" s="11" t="s">
        <v>128</v>
      </c>
      <c r="O1627" s="11" t="s">
        <v>11364</v>
      </c>
      <c r="P1627" s="11" t="s">
        <v>11365</v>
      </c>
      <c r="Q1627" s="11" t="s">
        <v>740</v>
      </c>
      <c r="R1627" s="11"/>
      <c r="S1627" s="11" t="s">
        <v>1643</v>
      </c>
      <c r="T1627" s="11" t="s">
        <v>741</v>
      </c>
      <c r="U1627" s="11" t="s">
        <v>134</v>
      </c>
      <c r="V1627" s="11" t="s">
        <v>740</v>
      </c>
      <c r="W1627" s="11" t="s">
        <v>741</v>
      </c>
      <c r="X1627" s="11">
        <v>50</v>
      </c>
      <c r="Y1627" s="11" t="s">
        <v>11263</v>
      </c>
      <c r="Z1627" s="11">
        <v>20</v>
      </c>
      <c r="AA1627" s="11">
        <v>0</v>
      </c>
      <c r="AB1627" s="12">
        <v>0</v>
      </c>
    </row>
    <row r="1628" spans="1:28" x14ac:dyDescent="0.2">
      <c r="A1628" s="7">
        <v>25234</v>
      </c>
      <c r="B1628" s="8" t="s">
        <v>11366</v>
      </c>
      <c r="C1628" s="8" t="s">
        <v>6904</v>
      </c>
      <c r="D1628" s="8" t="s">
        <v>4623</v>
      </c>
      <c r="E1628" s="8" t="s">
        <v>11367</v>
      </c>
      <c r="F1628" s="8" t="s">
        <v>6906</v>
      </c>
      <c r="G1628" s="8" t="s">
        <v>141</v>
      </c>
      <c r="H1628" s="8" t="s">
        <v>142</v>
      </c>
      <c r="I1628" s="8" t="s">
        <v>6907</v>
      </c>
      <c r="J1628" s="8" t="s">
        <v>6908</v>
      </c>
      <c r="K1628" s="8" t="s">
        <v>991</v>
      </c>
      <c r="L1628" s="8" t="s">
        <v>146</v>
      </c>
      <c r="M1628" s="8" t="s">
        <v>11368</v>
      </c>
      <c r="N1628" s="8" t="s">
        <v>128</v>
      </c>
      <c r="O1628" s="8" t="s">
        <v>11369</v>
      </c>
      <c r="P1628" s="8" t="s">
        <v>11370</v>
      </c>
      <c r="Q1628" s="8" t="s">
        <v>740</v>
      </c>
      <c r="R1628" s="8"/>
      <c r="S1628" s="8" t="s">
        <v>6911</v>
      </c>
      <c r="T1628" s="8" t="s">
        <v>741</v>
      </c>
      <c r="U1628" s="8" t="s">
        <v>134</v>
      </c>
      <c r="V1628" s="8" t="s">
        <v>740</v>
      </c>
      <c r="W1628" s="8" t="s">
        <v>741</v>
      </c>
      <c r="X1628" s="8">
        <v>49</v>
      </c>
      <c r="Y1628" s="8" t="s">
        <v>11263</v>
      </c>
      <c r="Z1628" s="8">
        <v>20</v>
      </c>
      <c r="AA1628" s="8">
        <v>0</v>
      </c>
      <c r="AB1628" s="9">
        <v>0</v>
      </c>
    </row>
    <row r="1629" spans="1:28" x14ac:dyDescent="0.2">
      <c r="A1629" s="10">
        <v>235339</v>
      </c>
      <c r="B1629" s="11" t="s">
        <v>11371</v>
      </c>
      <c r="C1629" s="11" t="s">
        <v>339</v>
      </c>
      <c r="D1629" s="11" t="s">
        <v>340</v>
      </c>
      <c r="E1629" s="11" t="s">
        <v>11372</v>
      </c>
      <c r="F1629" s="11" t="s">
        <v>342</v>
      </c>
      <c r="G1629" s="11" t="s">
        <v>328</v>
      </c>
      <c r="H1629" s="11" t="s">
        <v>329</v>
      </c>
      <c r="I1629" s="11" t="s">
        <v>343</v>
      </c>
      <c r="J1629" s="11" t="s">
        <v>344</v>
      </c>
      <c r="K1629" s="11" t="s">
        <v>332</v>
      </c>
      <c r="L1629" s="11" t="s">
        <v>333</v>
      </c>
      <c r="M1629" s="11" t="s">
        <v>11373</v>
      </c>
      <c r="N1629" s="11" t="s">
        <v>128</v>
      </c>
      <c r="O1629" s="11" t="s">
        <v>11374</v>
      </c>
      <c r="P1629" s="11" t="s">
        <v>11375</v>
      </c>
      <c r="Q1629" s="11" t="s">
        <v>249</v>
      </c>
      <c r="R1629" s="11"/>
      <c r="S1629" s="11" t="s">
        <v>348</v>
      </c>
      <c r="T1629" s="11" t="s">
        <v>250</v>
      </c>
      <c r="U1629" s="11" t="s">
        <v>134</v>
      </c>
      <c r="V1629" s="11" t="s">
        <v>249</v>
      </c>
      <c r="W1629" s="11" t="s">
        <v>250</v>
      </c>
      <c r="X1629" s="11">
        <v>48</v>
      </c>
      <c r="Y1629" s="11" t="s">
        <v>11263</v>
      </c>
      <c r="Z1629" s="11">
        <v>20</v>
      </c>
      <c r="AA1629" s="11">
        <v>0</v>
      </c>
      <c r="AB1629" s="12">
        <v>0</v>
      </c>
    </row>
    <row r="1630" spans="1:28" x14ac:dyDescent="0.2">
      <c r="A1630" s="7">
        <v>23301</v>
      </c>
      <c r="B1630" s="8" t="s">
        <v>11376</v>
      </c>
      <c r="C1630" s="8" t="s">
        <v>7531</v>
      </c>
      <c r="D1630" s="8" t="s">
        <v>7532</v>
      </c>
      <c r="E1630" s="8" t="s">
        <v>11377</v>
      </c>
      <c r="F1630" s="8" t="s">
        <v>353</v>
      </c>
      <c r="G1630" s="8" t="s">
        <v>1670</v>
      </c>
      <c r="H1630" s="8" t="s">
        <v>142</v>
      </c>
      <c r="I1630" s="8" t="s">
        <v>11378</v>
      </c>
      <c r="J1630" s="8" t="s">
        <v>7535</v>
      </c>
      <c r="K1630" s="8" t="s">
        <v>1673</v>
      </c>
      <c r="L1630" s="8" t="s">
        <v>464</v>
      </c>
      <c r="M1630" s="8" t="s">
        <v>11379</v>
      </c>
      <c r="N1630" s="8" t="s">
        <v>128</v>
      </c>
      <c r="O1630" s="8" t="s">
        <v>11380</v>
      </c>
      <c r="P1630" s="8" t="s">
        <v>1359</v>
      </c>
      <c r="Q1630" s="8" t="s">
        <v>150</v>
      </c>
      <c r="R1630" s="8"/>
      <c r="S1630" s="8" t="s">
        <v>7539</v>
      </c>
      <c r="T1630" s="8" t="s">
        <v>70</v>
      </c>
      <c r="U1630" s="8" t="s">
        <v>150</v>
      </c>
      <c r="V1630" s="8" t="s">
        <v>70</v>
      </c>
      <c r="W1630" s="8" t="s">
        <v>70</v>
      </c>
      <c r="X1630" s="8">
        <v>47</v>
      </c>
      <c r="Y1630" s="8" t="s">
        <v>11263</v>
      </c>
      <c r="Z1630" s="8">
        <v>20</v>
      </c>
      <c r="AA1630" s="8">
        <v>0</v>
      </c>
      <c r="AB1630" s="9">
        <v>0</v>
      </c>
    </row>
    <row r="1631" spans="1:28" x14ac:dyDescent="0.2">
      <c r="A1631" s="10">
        <v>23017</v>
      </c>
      <c r="B1631" s="11" t="s">
        <v>11381</v>
      </c>
      <c r="C1631" s="11" t="s">
        <v>137</v>
      </c>
      <c r="D1631" s="11" t="s">
        <v>138</v>
      </c>
      <c r="E1631" s="11" t="s">
        <v>11382</v>
      </c>
      <c r="F1631" s="11" t="s">
        <v>140</v>
      </c>
      <c r="G1631" s="11" t="s">
        <v>141</v>
      </c>
      <c r="H1631" s="11" t="s">
        <v>142</v>
      </c>
      <c r="I1631" s="11" t="s">
        <v>7277</v>
      </c>
      <c r="J1631" s="11" t="s">
        <v>144</v>
      </c>
      <c r="K1631" s="11" t="s">
        <v>145</v>
      </c>
      <c r="L1631" s="11" t="s">
        <v>146</v>
      </c>
      <c r="M1631" s="11" t="s">
        <v>11383</v>
      </c>
      <c r="N1631" s="11" t="s">
        <v>128</v>
      </c>
      <c r="O1631" s="11" t="s">
        <v>11384</v>
      </c>
      <c r="P1631" s="11" t="s">
        <v>11385</v>
      </c>
      <c r="Q1631" s="11" t="s">
        <v>150</v>
      </c>
      <c r="R1631" s="11"/>
      <c r="S1631" s="11" t="s">
        <v>151</v>
      </c>
      <c r="T1631" s="11" t="s">
        <v>70</v>
      </c>
      <c r="U1631" s="11" t="s">
        <v>150</v>
      </c>
      <c r="V1631" s="11" t="s">
        <v>70</v>
      </c>
      <c r="W1631" s="11" t="s">
        <v>70</v>
      </c>
      <c r="X1631" s="11">
        <v>47</v>
      </c>
      <c r="Y1631" s="11" t="s">
        <v>11263</v>
      </c>
      <c r="Z1631" s="11">
        <v>20</v>
      </c>
      <c r="AA1631" s="11">
        <v>0</v>
      </c>
      <c r="AB1631" s="12">
        <v>0</v>
      </c>
    </row>
    <row r="1632" spans="1:28" x14ac:dyDescent="0.2">
      <c r="A1632" s="7">
        <v>116419</v>
      </c>
      <c r="B1632" s="8" t="s">
        <v>11386</v>
      </c>
      <c r="C1632" s="8" t="s">
        <v>4172</v>
      </c>
      <c r="D1632" s="8" t="s">
        <v>11387</v>
      </c>
      <c r="E1632" s="8"/>
      <c r="F1632" s="8" t="s">
        <v>353</v>
      </c>
      <c r="G1632" s="8" t="s">
        <v>4175</v>
      </c>
      <c r="H1632" s="8" t="s">
        <v>329</v>
      </c>
      <c r="I1632" s="8" t="s">
        <v>5867</v>
      </c>
      <c r="J1632" s="8" t="s">
        <v>11388</v>
      </c>
      <c r="K1632" s="8" t="s">
        <v>415</v>
      </c>
      <c r="L1632" s="8" t="s">
        <v>333</v>
      </c>
      <c r="M1632" s="8" t="s">
        <v>11389</v>
      </c>
      <c r="N1632" s="8" t="s">
        <v>128</v>
      </c>
      <c r="O1632" s="8" t="s">
        <v>11390</v>
      </c>
      <c r="P1632" s="8" t="s">
        <v>11023</v>
      </c>
      <c r="Q1632" s="8" t="s">
        <v>150</v>
      </c>
      <c r="R1632" s="8"/>
      <c r="S1632" s="8" t="s">
        <v>71</v>
      </c>
      <c r="T1632" s="8" t="s">
        <v>168</v>
      </c>
      <c r="U1632" s="8" t="s">
        <v>150</v>
      </c>
      <c r="V1632" s="8" t="s">
        <v>168</v>
      </c>
      <c r="W1632" s="8" t="s">
        <v>168</v>
      </c>
      <c r="X1632" s="8">
        <v>47</v>
      </c>
      <c r="Y1632" s="8" t="s">
        <v>11263</v>
      </c>
      <c r="Z1632" s="8">
        <v>20</v>
      </c>
      <c r="AA1632" s="8">
        <v>0</v>
      </c>
      <c r="AB1632" s="9">
        <v>0</v>
      </c>
    </row>
    <row r="1633" spans="1:28" x14ac:dyDescent="0.2">
      <c r="A1633" s="10">
        <v>23726</v>
      </c>
      <c r="B1633" s="11" t="s">
        <v>11391</v>
      </c>
      <c r="C1633" s="11" t="s">
        <v>11392</v>
      </c>
      <c r="D1633" s="11" t="s">
        <v>2091</v>
      </c>
      <c r="E1633" s="11"/>
      <c r="F1633" s="11" t="s">
        <v>11393</v>
      </c>
      <c r="G1633" s="11" t="s">
        <v>11394</v>
      </c>
      <c r="H1633" s="11" t="s">
        <v>704</v>
      </c>
      <c r="I1633" s="11" t="s">
        <v>11395</v>
      </c>
      <c r="J1633" s="11" t="s">
        <v>11396</v>
      </c>
      <c r="K1633" s="11" t="s">
        <v>707</v>
      </c>
      <c r="L1633" s="11" t="s">
        <v>126</v>
      </c>
      <c r="M1633" s="11" t="s">
        <v>11397</v>
      </c>
      <c r="N1633" s="11" t="s">
        <v>128</v>
      </c>
      <c r="O1633" s="11" t="s">
        <v>11398</v>
      </c>
      <c r="P1633" s="11" t="s">
        <v>2078</v>
      </c>
      <c r="Q1633" s="11" t="s">
        <v>150</v>
      </c>
      <c r="R1633" s="11"/>
      <c r="S1633" s="11" t="s">
        <v>11399</v>
      </c>
      <c r="T1633" s="11" t="s">
        <v>168</v>
      </c>
      <c r="U1633" s="11" t="s">
        <v>150</v>
      </c>
      <c r="V1633" s="11" t="s">
        <v>168</v>
      </c>
      <c r="W1633" s="11" t="s">
        <v>168</v>
      </c>
      <c r="X1633" s="11">
        <v>47</v>
      </c>
      <c r="Y1633" s="11" t="s">
        <v>11263</v>
      </c>
      <c r="Z1633" s="11">
        <v>20</v>
      </c>
      <c r="AA1633" s="11">
        <v>0</v>
      </c>
      <c r="AB1633" s="12">
        <v>0</v>
      </c>
    </row>
    <row r="1634" spans="1:28" x14ac:dyDescent="0.2">
      <c r="A1634" s="7">
        <v>25497</v>
      </c>
      <c r="B1634" s="8" t="s">
        <v>11400</v>
      </c>
      <c r="C1634" s="8" t="s">
        <v>11401</v>
      </c>
      <c r="D1634" s="8" t="s">
        <v>1569</v>
      </c>
      <c r="E1634" s="8" t="s">
        <v>11402</v>
      </c>
      <c r="F1634" s="8" t="s">
        <v>11403</v>
      </c>
      <c r="G1634" s="8" t="s">
        <v>556</v>
      </c>
      <c r="H1634" s="8" t="s">
        <v>557</v>
      </c>
      <c r="I1634" s="8" t="s">
        <v>11404</v>
      </c>
      <c r="J1634" s="8" t="s">
        <v>11405</v>
      </c>
      <c r="K1634" s="8" t="s">
        <v>560</v>
      </c>
      <c r="L1634" s="8" t="s">
        <v>229</v>
      </c>
      <c r="M1634" s="8" t="s">
        <v>11406</v>
      </c>
      <c r="N1634" s="8" t="s">
        <v>128</v>
      </c>
      <c r="O1634" s="8" t="s">
        <v>11407</v>
      </c>
      <c r="P1634" s="8" t="s">
        <v>11408</v>
      </c>
      <c r="Q1634" s="8" t="s">
        <v>249</v>
      </c>
      <c r="R1634" s="8"/>
      <c r="S1634" s="8" t="s">
        <v>71</v>
      </c>
      <c r="T1634" s="8" t="s">
        <v>250</v>
      </c>
      <c r="U1634" s="8" t="s">
        <v>134</v>
      </c>
      <c r="V1634" s="8" t="s">
        <v>249</v>
      </c>
      <c r="W1634" s="8" t="s">
        <v>250</v>
      </c>
      <c r="X1634" s="8">
        <v>47</v>
      </c>
      <c r="Y1634" s="8" t="s">
        <v>11263</v>
      </c>
      <c r="Z1634" s="8">
        <v>20</v>
      </c>
      <c r="AA1634" s="8">
        <v>0</v>
      </c>
      <c r="AB1634" s="9">
        <v>0</v>
      </c>
    </row>
    <row r="1635" spans="1:28" x14ac:dyDescent="0.2">
      <c r="A1635" s="10">
        <v>85456</v>
      </c>
      <c r="B1635" s="11" t="s">
        <v>11409</v>
      </c>
      <c r="C1635" s="11" t="s">
        <v>11410</v>
      </c>
      <c r="D1635" s="11" t="s">
        <v>11411</v>
      </c>
      <c r="E1635" s="11"/>
      <c r="F1635" s="11" t="s">
        <v>10438</v>
      </c>
      <c r="G1635" s="11" t="s">
        <v>328</v>
      </c>
      <c r="H1635" s="11" t="s">
        <v>329</v>
      </c>
      <c r="I1635" s="11" t="s">
        <v>11412</v>
      </c>
      <c r="J1635" s="11" t="s">
        <v>11413</v>
      </c>
      <c r="K1635" s="11" t="s">
        <v>415</v>
      </c>
      <c r="L1635" s="11" t="s">
        <v>333</v>
      </c>
      <c r="M1635" s="11" t="s">
        <v>11414</v>
      </c>
      <c r="N1635" s="11" t="s">
        <v>128</v>
      </c>
      <c r="O1635" s="11" t="s">
        <v>11415</v>
      </c>
      <c r="P1635" s="11" t="s">
        <v>11416</v>
      </c>
      <c r="Q1635" s="11" t="s">
        <v>150</v>
      </c>
      <c r="R1635" s="11"/>
      <c r="S1635" s="11" t="s">
        <v>71</v>
      </c>
      <c r="T1635" s="11" t="s">
        <v>168</v>
      </c>
      <c r="U1635" s="11" t="s">
        <v>150</v>
      </c>
      <c r="V1635" s="11" t="s">
        <v>168</v>
      </c>
      <c r="W1635" s="11" t="s">
        <v>168</v>
      </c>
      <c r="X1635" s="11">
        <v>46</v>
      </c>
      <c r="Y1635" s="11" t="s">
        <v>11263</v>
      </c>
      <c r="Z1635" s="11">
        <v>20</v>
      </c>
      <c r="AA1635" s="11">
        <v>0</v>
      </c>
      <c r="AB1635" s="12">
        <v>0</v>
      </c>
    </row>
    <row r="1636" spans="1:28" x14ac:dyDescent="0.2">
      <c r="A1636" s="7">
        <v>25378</v>
      </c>
      <c r="B1636" s="8" t="s">
        <v>11417</v>
      </c>
      <c r="C1636" s="8" t="s">
        <v>6307</v>
      </c>
      <c r="D1636" s="8" t="s">
        <v>6384</v>
      </c>
      <c r="E1636" s="8" t="s">
        <v>6385</v>
      </c>
      <c r="F1636" s="8" t="s">
        <v>6386</v>
      </c>
      <c r="G1636" s="8" t="s">
        <v>121</v>
      </c>
      <c r="H1636" s="8" t="s">
        <v>122</v>
      </c>
      <c r="I1636" s="8" t="s">
        <v>6309</v>
      </c>
      <c r="J1636" s="8" t="s">
        <v>6388</v>
      </c>
      <c r="K1636" s="8" t="s">
        <v>1051</v>
      </c>
      <c r="L1636" s="8" t="s">
        <v>126</v>
      </c>
      <c r="M1636" s="8" t="s">
        <v>11418</v>
      </c>
      <c r="N1636" s="8" t="s">
        <v>128</v>
      </c>
      <c r="O1636" s="8" t="s">
        <v>11419</v>
      </c>
      <c r="P1636" s="8" t="s">
        <v>11420</v>
      </c>
      <c r="Q1636" s="8" t="s">
        <v>249</v>
      </c>
      <c r="R1636" s="8"/>
      <c r="S1636" s="8" t="s">
        <v>6392</v>
      </c>
      <c r="T1636" s="8" t="s">
        <v>250</v>
      </c>
      <c r="U1636" s="8" t="s">
        <v>134</v>
      </c>
      <c r="V1636" s="8" t="s">
        <v>249</v>
      </c>
      <c r="W1636" s="8" t="s">
        <v>250</v>
      </c>
      <c r="X1636" s="8">
        <v>46</v>
      </c>
      <c r="Y1636" s="8" t="s">
        <v>11263</v>
      </c>
      <c r="Z1636" s="8">
        <v>20</v>
      </c>
      <c r="AA1636" s="8">
        <v>0</v>
      </c>
      <c r="AB1636" s="9">
        <v>0</v>
      </c>
    </row>
    <row r="1637" spans="1:28" x14ac:dyDescent="0.2">
      <c r="A1637" s="10">
        <v>21830</v>
      </c>
      <c r="B1637" s="11" t="s">
        <v>11421</v>
      </c>
      <c r="C1637" s="11" t="s">
        <v>11422</v>
      </c>
      <c r="D1637" s="11" t="s">
        <v>4623</v>
      </c>
      <c r="E1637" s="11" t="s">
        <v>6116</v>
      </c>
      <c r="F1637" s="11" t="s">
        <v>11423</v>
      </c>
      <c r="G1637" s="11" t="s">
        <v>6409</v>
      </c>
      <c r="H1637" s="11" t="s">
        <v>6410</v>
      </c>
      <c r="I1637" s="11" t="s">
        <v>11424</v>
      </c>
      <c r="J1637" s="11" t="s">
        <v>11425</v>
      </c>
      <c r="K1637" s="11" t="s">
        <v>1956</v>
      </c>
      <c r="L1637" s="11" t="s">
        <v>526</v>
      </c>
      <c r="M1637" s="11" t="s">
        <v>11426</v>
      </c>
      <c r="N1637" s="11" t="s">
        <v>128</v>
      </c>
      <c r="O1637" s="11" t="s">
        <v>11427</v>
      </c>
      <c r="P1637" s="11" t="s">
        <v>11428</v>
      </c>
      <c r="Q1637" s="11" t="s">
        <v>131</v>
      </c>
      <c r="R1637" s="11"/>
      <c r="S1637" s="11" t="s">
        <v>7314</v>
      </c>
      <c r="T1637" s="11" t="s">
        <v>133</v>
      </c>
      <c r="U1637" s="11" t="s">
        <v>134</v>
      </c>
      <c r="V1637" s="11" t="s">
        <v>131</v>
      </c>
      <c r="W1637" s="11" t="s">
        <v>133</v>
      </c>
      <c r="X1637" s="11">
        <v>44</v>
      </c>
      <c r="Y1637" s="11" t="s">
        <v>11263</v>
      </c>
      <c r="Z1637" s="11">
        <v>20</v>
      </c>
      <c r="AA1637" s="11">
        <v>0</v>
      </c>
      <c r="AB1637" s="12">
        <v>0</v>
      </c>
    </row>
    <row r="1638" spans="1:28" x14ac:dyDescent="0.2">
      <c r="A1638" s="7">
        <v>21953</v>
      </c>
      <c r="B1638" s="8" t="s">
        <v>11429</v>
      </c>
      <c r="C1638" s="8" t="s">
        <v>808</v>
      </c>
      <c r="D1638" s="8" t="s">
        <v>809</v>
      </c>
      <c r="E1638" s="8" t="s">
        <v>11430</v>
      </c>
      <c r="F1638" s="8" t="s">
        <v>811</v>
      </c>
      <c r="G1638" s="8" t="s">
        <v>141</v>
      </c>
      <c r="H1638" s="8" t="s">
        <v>142</v>
      </c>
      <c r="I1638" s="8" t="s">
        <v>812</v>
      </c>
      <c r="J1638" s="8" t="s">
        <v>813</v>
      </c>
      <c r="K1638" s="8" t="s">
        <v>403</v>
      </c>
      <c r="L1638" s="8" t="s">
        <v>146</v>
      </c>
      <c r="M1638" s="8" t="s">
        <v>11431</v>
      </c>
      <c r="N1638" s="8" t="s">
        <v>128</v>
      </c>
      <c r="O1638" s="8" t="s">
        <v>11432</v>
      </c>
      <c r="P1638" s="8" t="s">
        <v>11433</v>
      </c>
      <c r="Q1638" s="8" t="s">
        <v>131</v>
      </c>
      <c r="R1638" s="8"/>
      <c r="S1638" s="8" t="s">
        <v>817</v>
      </c>
      <c r="T1638" s="8" t="s">
        <v>133</v>
      </c>
      <c r="U1638" s="8" t="s">
        <v>134</v>
      </c>
      <c r="V1638" s="8" t="s">
        <v>131</v>
      </c>
      <c r="W1638" s="8" t="s">
        <v>133</v>
      </c>
      <c r="X1638" s="8">
        <v>43</v>
      </c>
      <c r="Y1638" s="8" t="s">
        <v>11263</v>
      </c>
      <c r="Z1638" s="8">
        <v>20</v>
      </c>
      <c r="AA1638" s="8">
        <v>0</v>
      </c>
      <c r="AB1638" s="9">
        <v>0</v>
      </c>
    </row>
    <row r="1639" spans="1:28" x14ac:dyDescent="0.2">
      <c r="A1639" s="10">
        <v>25188</v>
      </c>
      <c r="B1639" s="11" t="s">
        <v>11434</v>
      </c>
      <c r="C1639" s="11" t="s">
        <v>6061</v>
      </c>
      <c r="D1639" s="11" t="s">
        <v>6062</v>
      </c>
      <c r="E1639" s="11"/>
      <c r="F1639" s="11" t="s">
        <v>11435</v>
      </c>
      <c r="G1639" s="11" t="s">
        <v>1937</v>
      </c>
      <c r="H1639" s="11" t="s">
        <v>142</v>
      </c>
      <c r="I1639" s="11" t="s">
        <v>11436</v>
      </c>
      <c r="J1639" s="11" t="s">
        <v>11437</v>
      </c>
      <c r="K1639" s="11" t="s">
        <v>1673</v>
      </c>
      <c r="L1639" s="11" t="s">
        <v>464</v>
      </c>
      <c r="M1639" s="11" t="s">
        <v>11438</v>
      </c>
      <c r="N1639" s="11" t="s">
        <v>128</v>
      </c>
      <c r="O1639" s="11"/>
      <c r="P1639" s="11"/>
      <c r="Q1639" s="11" t="s">
        <v>740</v>
      </c>
      <c r="R1639" s="11"/>
      <c r="S1639" s="11" t="s">
        <v>6069</v>
      </c>
      <c r="T1639" s="11" t="s">
        <v>1745</v>
      </c>
      <c r="U1639" s="11" t="s">
        <v>134</v>
      </c>
      <c r="V1639" s="11" t="s">
        <v>740</v>
      </c>
      <c r="W1639" s="11" t="s">
        <v>1745</v>
      </c>
      <c r="X1639" s="11">
        <v>43</v>
      </c>
      <c r="Y1639" s="11" t="s">
        <v>11263</v>
      </c>
      <c r="Z1639" s="11">
        <v>20</v>
      </c>
      <c r="AA1639" s="11">
        <v>0</v>
      </c>
      <c r="AB1639" s="12">
        <v>0</v>
      </c>
    </row>
    <row r="1640" spans="1:28" x14ac:dyDescent="0.2">
      <c r="A1640" s="7">
        <v>30952</v>
      </c>
      <c r="B1640" s="8" t="s">
        <v>11439</v>
      </c>
      <c r="C1640" s="8" t="s">
        <v>11440</v>
      </c>
      <c r="D1640" s="8" t="s">
        <v>7716</v>
      </c>
      <c r="E1640" s="8"/>
      <c r="F1640" s="8" t="s">
        <v>353</v>
      </c>
      <c r="G1640" s="8" t="s">
        <v>536</v>
      </c>
      <c r="H1640" s="8" t="s">
        <v>329</v>
      </c>
      <c r="I1640" s="8" t="s">
        <v>926</v>
      </c>
      <c r="J1640" s="8" t="s">
        <v>11441</v>
      </c>
      <c r="K1640" s="8" t="s">
        <v>431</v>
      </c>
      <c r="L1640" s="8" t="s">
        <v>333</v>
      </c>
      <c r="M1640" s="8" t="s">
        <v>11442</v>
      </c>
      <c r="N1640" s="8" t="s">
        <v>128</v>
      </c>
      <c r="O1640" s="8"/>
      <c r="P1640" s="8"/>
      <c r="Q1640" s="8" t="s">
        <v>740</v>
      </c>
      <c r="R1640" s="8"/>
      <c r="S1640" s="8" t="s">
        <v>71</v>
      </c>
      <c r="T1640" s="8" t="s">
        <v>1745</v>
      </c>
      <c r="U1640" s="8" t="s">
        <v>134</v>
      </c>
      <c r="V1640" s="8" t="s">
        <v>740</v>
      </c>
      <c r="W1640" s="8" t="s">
        <v>1745</v>
      </c>
      <c r="X1640" s="8">
        <v>42</v>
      </c>
      <c r="Y1640" s="8" t="s">
        <v>11263</v>
      </c>
      <c r="Z1640" s="8">
        <v>20</v>
      </c>
      <c r="AA1640" s="8">
        <v>0</v>
      </c>
      <c r="AB1640" s="9">
        <v>0</v>
      </c>
    </row>
    <row r="1641" spans="1:28" x14ac:dyDescent="0.2">
      <c r="A1641" s="10">
        <v>21406</v>
      </c>
      <c r="B1641" s="11" t="s">
        <v>11443</v>
      </c>
      <c r="C1641" s="11" t="s">
        <v>7393</v>
      </c>
      <c r="D1641" s="11" t="s">
        <v>5994</v>
      </c>
      <c r="E1641" s="11" t="s">
        <v>11444</v>
      </c>
      <c r="F1641" s="11" t="s">
        <v>7395</v>
      </c>
      <c r="G1641" s="11" t="s">
        <v>2175</v>
      </c>
      <c r="H1641" s="11" t="s">
        <v>2176</v>
      </c>
      <c r="I1641" s="11" t="s">
        <v>5997</v>
      </c>
      <c r="J1641" s="11" t="s">
        <v>7396</v>
      </c>
      <c r="K1641" s="11" t="s">
        <v>194</v>
      </c>
      <c r="L1641" s="11" t="s">
        <v>163</v>
      </c>
      <c r="M1641" s="11" t="s">
        <v>11445</v>
      </c>
      <c r="N1641" s="11" t="s">
        <v>128</v>
      </c>
      <c r="O1641" s="11" t="s">
        <v>11446</v>
      </c>
      <c r="P1641" s="11" t="s">
        <v>11447</v>
      </c>
      <c r="Q1641" s="11" t="s">
        <v>150</v>
      </c>
      <c r="R1641" s="11"/>
      <c r="S1641" s="11" t="s">
        <v>6002</v>
      </c>
      <c r="T1641" s="11" t="s">
        <v>67</v>
      </c>
      <c r="U1641" s="11" t="s">
        <v>150</v>
      </c>
      <c r="V1641" s="11" t="s">
        <v>152</v>
      </c>
      <c r="W1641" s="11" t="s">
        <v>67</v>
      </c>
      <c r="X1641" s="11">
        <v>41</v>
      </c>
      <c r="Y1641" s="11" t="s">
        <v>11263</v>
      </c>
      <c r="Z1641" s="11">
        <v>20</v>
      </c>
      <c r="AA1641" s="11">
        <v>0</v>
      </c>
      <c r="AB1641" s="12">
        <v>0</v>
      </c>
    </row>
    <row r="1642" spans="1:28" x14ac:dyDescent="0.2">
      <c r="A1642" s="7">
        <v>23914</v>
      </c>
      <c r="B1642" s="8" t="s">
        <v>11448</v>
      </c>
      <c r="C1642" s="8" t="s">
        <v>11449</v>
      </c>
      <c r="D1642" s="8" t="s">
        <v>1980</v>
      </c>
      <c r="E1642" s="8"/>
      <c r="F1642" s="8" t="s">
        <v>7746</v>
      </c>
      <c r="G1642" s="8" t="s">
        <v>141</v>
      </c>
      <c r="H1642" s="8" t="s">
        <v>142</v>
      </c>
      <c r="I1642" s="8" t="s">
        <v>11450</v>
      </c>
      <c r="J1642" s="8" t="s">
        <v>11451</v>
      </c>
      <c r="K1642" s="8" t="s">
        <v>584</v>
      </c>
      <c r="L1642" s="8" t="s">
        <v>146</v>
      </c>
      <c r="M1642" s="8" t="s">
        <v>11452</v>
      </c>
      <c r="N1642" s="8" t="s">
        <v>128</v>
      </c>
      <c r="O1642" s="8" t="s">
        <v>11453</v>
      </c>
      <c r="P1642" s="8" t="s">
        <v>11454</v>
      </c>
      <c r="Q1642" s="8" t="s">
        <v>150</v>
      </c>
      <c r="R1642" s="8"/>
      <c r="S1642" s="8" t="s">
        <v>71</v>
      </c>
      <c r="T1642" s="8" t="s">
        <v>168</v>
      </c>
      <c r="U1642" s="8" t="s">
        <v>150</v>
      </c>
      <c r="V1642" s="8" t="s">
        <v>168</v>
      </c>
      <c r="W1642" s="8" t="s">
        <v>168</v>
      </c>
      <c r="X1642" s="8">
        <v>41</v>
      </c>
      <c r="Y1642" s="8" t="s">
        <v>11263</v>
      </c>
      <c r="Z1642" s="8">
        <v>20</v>
      </c>
      <c r="AA1642" s="8">
        <v>0</v>
      </c>
      <c r="AB1642" s="9">
        <v>0</v>
      </c>
    </row>
    <row r="1643" spans="1:28" x14ac:dyDescent="0.2">
      <c r="A1643" s="10">
        <v>25348</v>
      </c>
      <c r="B1643" s="11" t="s">
        <v>11455</v>
      </c>
      <c r="C1643" s="11" t="s">
        <v>533</v>
      </c>
      <c r="D1643" s="11" t="s">
        <v>10066</v>
      </c>
      <c r="E1643" s="11" t="s">
        <v>11456</v>
      </c>
      <c r="F1643" s="11" t="s">
        <v>353</v>
      </c>
      <c r="G1643" s="11" t="s">
        <v>536</v>
      </c>
      <c r="H1643" s="11" t="s">
        <v>329</v>
      </c>
      <c r="I1643" s="11" t="s">
        <v>11457</v>
      </c>
      <c r="J1643" s="11" t="s">
        <v>11458</v>
      </c>
      <c r="K1643" s="11" t="s">
        <v>431</v>
      </c>
      <c r="L1643" s="11" t="s">
        <v>333</v>
      </c>
      <c r="M1643" s="11" t="s">
        <v>11459</v>
      </c>
      <c r="N1643" s="11" t="s">
        <v>128</v>
      </c>
      <c r="O1643" s="11" t="s">
        <v>11460</v>
      </c>
      <c r="P1643" s="11"/>
      <c r="Q1643" s="11" t="s">
        <v>740</v>
      </c>
      <c r="R1643" s="11"/>
      <c r="S1643" s="11" t="s">
        <v>71</v>
      </c>
      <c r="T1643" s="11" t="s">
        <v>1745</v>
      </c>
      <c r="U1643" s="11" t="s">
        <v>134</v>
      </c>
      <c r="V1643" s="11" t="s">
        <v>740</v>
      </c>
      <c r="W1643" s="11" t="s">
        <v>1745</v>
      </c>
      <c r="X1643" s="11">
        <v>41</v>
      </c>
      <c r="Y1643" s="11" t="s">
        <v>11263</v>
      </c>
      <c r="Z1643" s="11">
        <v>20</v>
      </c>
      <c r="AA1643" s="11">
        <v>0</v>
      </c>
      <c r="AB1643" s="12">
        <v>0</v>
      </c>
    </row>
    <row r="1644" spans="1:28" x14ac:dyDescent="0.2">
      <c r="A1644" s="7">
        <v>25333</v>
      </c>
      <c r="B1644" s="8" t="s">
        <v>11461</v>
      </c>
      <c r="C1644" s="8" t="s">
        <v>11462</v>
      </c>
      <c r="D1644" s="8" t="s">
        <v>3109</v>
      </c>
      <c r="E1644" s="8"/>
      <c r="F1644" s="8" t="s">
        <v>3111</v>
      </c>
      <c r="G1644" s="8" t="s">
        <v>615</v>
      </c>
      <c r="H1644" s="8" t="s">
        <v>616</v>
      </c>
      <c r="I1644" s="8" t="s">
        <v>3112</v>
      </c>
      <c r="J1644" s="8" t="s">
        <v>5929</v>
      </c>
      <c r="K1644" s="8" t="s">
        <v>619</v>
      </c>
      <c r="L1644" s="8" t="s">
        <v>163</v>
      </c>
      <c r="M1644" s="8" t="s">
        <v>11463</v>
      </c>
      <c r="N1644" s="8" t="s">
        <v>128</v>
      </c>
      <c r="O1644" s="8" t="s">
        <v>11464</v>
      </c>
      <c r="P1644" s="8" t="s">
        <v>11465</v>
      </c>
      <c r="Q1644" s="8" t="s">
        <v>740</v>
      </c>
      <c r="R1644" s="8"/>
      <c r="S1644" s="8" t="s">
        <v>3117</v>
      </c>
      <c r="T1644" s="8" t="s">
        <v>1745</v>
      </c>
      <c r="U1644" s="8" t="s">
        <v>134</v>
      </c>
      <c r="V1644" s="8" t="s">
        <v>740</v>
      </c>
      <c r="W1644" s="8" t="s">
        <v>1745</v>
      </c>
      <c r="X1644" s="8">
        <v>41</v>
      </c>
      <c r="Y1644" s="8" t="s">
        <v>11263</v>
      </c>
      <c r="Z1644" s="8">
        <v>20</v>
      </c>
      <c r="AA1644" s="8">
        <v>0</v>
      </c>
      <c r="AB1644" s="9">
        <v>0</v>
      </c>
    </row>
    <row r="1645" spans="1:28" x14ac:dyDescent="0.2">
      <c r="A1645" s="10">
        <v>107607</v>
      </c>
      <c r="B1645" s="11" t="s">
        <v>11466</v>
      </c>
      <c r="C1645" s="11" t="s">
        <v>6796</v>
      </c>
      <c r="D1645" s="11" t="s">
        <v>6797</v>
      </c>
      <c r="E1645" s="11"/>
      <c r="F1645" s="11" t="s">
        <v>353</v>
      </c>
      <c r="G1645" s="11" t="s">
        <v>556</v>
      </c>
      <c r="H1645" s="11" t="s">
        <v>557</v>
      </c>
      <c r="I1645" s="11" t="s">
        <v>11467</v>
      </c>
      <c r="J1645" s="11" t="s">
        <v>9258</v>
      </c>
      <c r="K1645" s="11" t="s">
        <v>560</v>
      </c>
      <c r="L1645" s="11" t="s">
        <v>229</v>
      </c>
      <c r="M1645" s="11" t="s">
        <v>11468</v>
      </c>
      <c r="N1645" s="11" t="s">
        <v>128</v>
      </c>
      <c r="O1645" s="11" t="s">
        <v>11469</v>
      </c>
      <c r="P1645" s="11"/>
      <c r="Q1645" s="11" t="s">
        <v>131</v>
      </c>
      <c r="R1645" s="11"/>
      <c r="S1645" s="11" t="s">
        <v>6804</v>
      </c>
      <c r="T1645" s="11" t="s">
        <v>983</v>
      </c>
      <c r="U1645" s="11" t="s">
        <v>134</v>
      </c>
      <c r="V1645" s="11" t="s">
        <v>131</v>
      </c>
      <c r="W1645" s="11" t="s">
        <v>983</v>
      </c>
      <c r="X1645" s="11">
        <v>40</v>
      </c>
      <c r="Y1645" s="11" t="s">
        <v>11263</v>
      </c>
      <c r="Z1645" s="11">
        <v>20</v>
      </c>
      <c r="AA1645" s="11">
        <v>0</v>
      </c>
      <c r="AB1645" s="12">
        <v>0</v>
      </c>
    </row>
    <row r="1646" spans="1:28" x14ac:dyDescent="0.2">
      <c r="A1646" s="7">
        <v>21894</v>
      </c>
      <c r="B1646" s="8" t="s">
        <v>11470</v>
      </c>
      <c r="C1646" s="8" t="s">
        <v>6061</v>
      </c>
      <c r="D1646" s="8" t="s">
        <v>6062</v>
      </c>
      <c r="E1646" s="8" t="s">
        <v>11471</v>
      </c>
      <c r="F1646" s="8" t="s">
        <v>6064</v>
      </c>
      <c r="G1646" s="8" t="s">
        <v>1937</v>
      </c>
      <c r="H1646" s="8" t="s">
        <v>142</v>
      </c>
      <c r="I1646" s="8" t="s">
        <v>6065</v>
      </c>
      <c r="J1646" s="8" t="s">
        <v>6066</v>
      </c>
      <c r="K1646" s="8" t="s">
        <v>1673</v>
      </c>
      <c r="L1646" s="8" t="s">
        <v>464</v>
      </c>
      <c r="M1646" s="8" t="s">
        <v>11472</v>
      </c>
      <c r="N1646" s="8" t="s">
        <v>128</v>
      </c>
      <c r="O1646" s="8" t="s">
        <v>11473</v>
      </c>
      <c r="P1646" s="8"/>
      <c r="Q1646" s="8" t="s">
        <v>131</v>
      </c>
      <c r="R1646" s="8"/>
      <c r="S1646" s="8" t="s">
        <v>6069</v>
      </c>
      <c r="T1646" s="8" t="s">
        <v>133</v>
      </c>
      <c r="U1646" s="8" t="s">
        <v>134</v>
      </c>
      <c r="V1646" s="8" t="s">
        <v>131</v>
      </c>
      <c r="W1646" s="8" t="s">
        <v>133</v>
      </c>
      <c r="X1646" s="8">
        <v>40</v>
      </c>
      <c r="Y1646" s="8" t="s">
        <v>11263</v>
      </c>
      <c r="Z1646" s="8">
        <v>20</v>
      </c>
      <c r="AA1646" s="8">
        <v>0</v>
      </c>
      <c r="AB1646" s="9">
        <v>0</v>
      </c>
    </row>
    <row r="1647" spans="1:28" x14ac:dyDescent="0.2">
      <c r="A1647" s="10">
        <v>22943</v>
      </c>
      <c r="B1647" s="11" t="s">
        <v>11474</v>
      </c>
      <c r="C1647" s="11" t="s">
        <v>324</v>
      </c>
      <c r="D1647" s="11" t="s">
        <v>7723</v>
      </c>
      <c r="E1647" s="11" t="s">
        <v>11475</v>
      </c>
      <c r="F1647" s="11" t="s">
        <v>7725</v>
      </c>
      <c r="G1647" s="11" t="s">
        <v>328</v>
      </c>
      <c r="H1647" s="11" t="s">
        <v>329</v>
      </c>
      <c r="I1647" s="11" t="s">
        <v>7726</v>
      </c>
      <c r="J1647" s="11" t="s">
        <v>7727</v>
      </c>
      <c r="K1647" s="11" t="s">
        <v>332</v>
      </c>
      <c r="L1647" s="11" t="s">
        <v>333</v>
      </c>
      <c r="M1647" s="11" t="s">
        <v>11476</v>
      </c>
      <c r="N1647" s="11" t="s">
        <v>128</v>
      </c>
      <c r="O1647" s="11" t="s">
        <v>11477</v>
      </c>
      <c r="P1647" s="11" t="s">
        <v>11478</v>
      </c>
      <c r="Q1647" s="11" t="s">
        <v>150</v>
      </c>
      <c r="R1647" s="11"/>
      <c r="S1647" s="11" t="s">
        <v>7729</v>
      </c>
      <c r="T1647" s="11" t="s">
        <v>70</v>
      </c>
      <c r="U1647" s="11" t="s">
        <v>150</v>
      </c>
      <c r="V1647" s="11" t="s">
        <v>70</v>
      </c>
      <c r="W1647" s="11" t="s">
        <v>70</v>
      </c>
      <c r="X1647" s="11">
        <v>39</v>
      </c>
      <c r="Y1647" s="11" t="s">
        <v>11263</v>
      </c>
      <c r="Z1647" s="11">
        <v>20</v>
      </c>
      <c r="AA1647" s="11">
        <v>0</v>
      </c>
      <c r="AB1647" s="12">
        <v>0</v>
      </c>
    </row>
    <row r="1648" spans="1:28" x14ac:dyDescent="0.2">
      <c r="A1648" s="7">
        <v>23149</v>
      </c>
      <c r="B1648" s="8" t="s">
        <v>11479</v>
      </c>
      <c r="C1648" s="8" t="s">
        <v>11480</v>
      </c>
      <c r="D1648" s="8" t="s">
        <v>1451</v>
      </c>
      <c r="E1648" s="8"/>
      <c r="F1648" s="8" t="s">
        <v>237</v>
      </c>
      <c r="G1648" s="8" t="s">
        <v>141</v>
      </c>
      <c r="H1648" s="8" t="s">
        <v>142</v>
      </c>
      <c r="I1648" s="8" t="s">
        <v>1335</v>
      </c>
      <c r="J1648" s="8" t="s">
        <v>11481</v>
      </c>
      <c r="K1648" s="8" t="s">
        <v>216</v>
      </c>
      <c r="L1648" s="8" t="s">
        <v>146</v>
      </c>
      <c r="M1648" s="8" t="s">
        <v>11482</v>
      </c>
      <c r="N1648" s="8" t="s">
        <v>128</v>
      </c>
      <c r="O1648" s="8" t="s">
        <v>11483</v>
      </c>
      <c r="P1648" s="8" t="s">
        <v>11484</v>
      </c>
      <c r="Q1648" s="8" t="s">
        <v>150</v>
      </c>
      <c r="R1648" s="8"/>
      <c r="S1648" s="8" t="s">
        <v>71</v>
      </c>
      <c r="T1648" s="8" t="s">
        <v>70</v>
      </c>
      <c r="U1648" s="8" t="s">
        <v>150</v>
      </c>
      <c r="V1648" s="8" t="s">
        <v>70</v>
      </c>
      <c r="W1648" s="8" t="s">
        <v>70</v>
      </c>
      <c r="X1648" s="8">
        <v>39</v>
      </c>
      <c r="Y1648" s="8" t="s">
        <v>11263</v>
      </c>
      <c r="Z1648" s="8">
        <v>20</v>
      </c>
      <c r="AA1648" s="8">
        <v>0</v>
      </c>
      <c r="AB1648" s="9">
        <v>0</v>
      </c>
    </row>
    <row r="1649" spans="1:28" x14ac:dyDescent="0.2">
      <c r="A1649" s="10">
        <v>24882</v>
      </c>
      <c r="B1649" s="11" t="s">
        <v>11485</v>
      </c>
      <c r="C1649" s="11" t="s">
        <v>3108</v>
      </c>
      <c r="D1649" s="11" t="s">
        <v>3109</v>
      </c>
      <c r="E1649" s="11"/>
      <c r="F1649" s="11" t="s">
        <v>11486</v>
      </c>
      <c r="G1649" s="11" t="s">
        <v>615</v>
      </c>
      <c r="H1649" s="11" t="s">
        <v>616</v>
      </c>
      <c r="I1649" s="11" t="s">
        <v>11487</v>
      </c>
      <c r="J1649" s="11" t="s">
        <v>5929</v>
      </c>
      <c r="K1649" s="11" t="s">
        <v>619</v>
      </c>
      <c r="L1649" s="11" t="s">
        <v>163</v>
      </c>
      <c r="M1649" s="11" t="s">
        <v>11488</v>
      </c>
      <c r="N1649" s="11" t="s">
        <v>128</v>
      </c>
      <c r="O1649" s="11" t="s">
        <v>11489</v>
      </c>
      <c r="P1649" s="11" t="s">
        <v>11490</v>
      </c>
      <c r="Q1649" s="11" t="s">
        <v>150</v>
      </c>
      <c r="R1649" s="11"/>
      <c r="S1649" s="11" t="s">
        <v>3117</v>
      </c>
      <c r="T1649" s="11" t="s">
        <v>1738</v>
      </c>
      <c r="U1649" s="11" t="s">
        <v>150</v>
      </c>
      <c r="V1649" s="11" t="s">
        <v>1738</v>
      </c>
      <c r="W1649" s="11" t="s">
        <v>1738</v>
      </c>
      <c r="X1649" s="11">
        <v>39</v>
      </c>
      <c r="Y1649" s="11" t="s">
        <v>11263</v>
      </c>
      <c r="Z1649" s="11">
        <v>20</v>
      </c>
      <c r="AA1649" s="11">
        <v>0</v>
      </c>
      <c r="AB1649" s="12">
        <v>0</v>
      </c>
    </row>
    <row r="1650" spans="1:28" x14ac:dyDescent="0.2">
      <c r="A1650" s="7">
        <v>22657</v>
      </c>
      <c r="B1650" s="8" t="s">
        <v>11491</v>
      </c>
      <c r="C1650" s="8" t="s">
        <v>6301</v>
      </c>
      <c r="D1650" s="8" t="s">
        <v>10449</v>
      </c>
      <c r="E1650" s="8"/>
      <c r="F1650" s="8" t="s">
        <v>353</v>
      </c>
      <c r="G1650" s="8" t="s">
        <v>1670</v>
      </c>
      <c r="H1650" s="8" t="s">
        <v>142</v>
      </c>
      <c r="I1650" s="8" t="s">
        <v>11492</v>
      </c>
      <c r="J1650" s="8" t="s">
        <v>11493</v>
      </c>
      <c r="K1650" s="8" t="s">
        <v>1673</v>
      </c>
      <c r="L1650" s="8" t="s">
        <v>464</v>
      </c>
      <c r="M1650" s="8" t="s">
        <v>11494</v>
      </c>
      <c r="N1650" s="8" t="s">
        <v>128</v>
      </c>
      <c r="O1650" s="8" t="s">
        <v>11495</v>
      </c>
      <c r="P1650" s="8"/>
      <c r="Q1650" s="8" t="s">
        <v>131</v>
      </c>
      <c r="R1650" s="8"/>
      <c r="S1650" s="8" t="s">
        <v>71</v>
      </c>
      <c r="T1650" s="8" t="s">
        <v>983</v>
      </c>
      <c r="U1650" s="8" t="s">
        <v>134</v>
      </c>
      <c r="V1650" s="8" t="s">
        <v>131</v>
      </c>
      <c r="W1650" s="8" t="s">
        <v>983</v>
      </c>
      <c r="X1650" s="8">
        <v>37</v>
      </c>
      <c r="Y1650" s="8" t="s">
        <v>11263</v>
      </c>
      <c r="Z1650" s="8">
        <v>20</v>
      </c>
      <c r="AA1650" s="8">
        <v>0</v>
      </c>
      <c r="AB1650" s="9">
        <v>0</v>
      </c>
    </row>
    <row r="1651" spans="1:28" x14ac:dyDescent="0.2">
      <c r="A1651" s="10">
        <v>23698</v>
      </c>
      <c r="B1651" s="11" t="s">
        <v>11496</v>
      </c>
      <c r="C1651" s="11" t="s">
        <v>11497</v>
      </c>
      <c r="D1651" s="11" t="s">
        <v>5527</v>
      </c>
      <c r="E1651" s="11"/>
      <c r="F1651" s="11" t="s">
        <v>11498</v>
      </c>
      <c r="G1651" s="11" t="s">
        <v>1952</v>
      </c>
      <c r="H1651" s="11" t="s">
        <v>1953</v>
      </c>
      <c r="I1651" s="11" t="s">
        <v>11499</v>
      </c>
      <c r="J1651" s="11" t="s">
        <v>11500</v>
      </c>
      <c r="K1651" s="11" t="s">
        <v>1956</v>
      </c>
      <c r="L1651" s="11" t="s">
        <v>526</v>
      </c>
      <c r="M1651" s="11" t="s">
        <v>11501</v>
      </c>
      <c r="N1651" s="11" t="s">
        <v>128</v>
      </c>
      <c r="O1651" s="11" t="s">
        <v>11502</v>
      </c>
      <c r="P1651" s="11" t="s">
        <v>7074</v>
      </c>
      <c r="Q1651" s="11" t="s">
        <v>150</v>
      </c>
      <c r="R1651" s="11"/>
      <c r="S1651" s="11" t="s">
        <v>71</v>
      </c>
      <c r="T1651" s="11" t="s">
        <v>168</v>
      </c>
      <c r="U1651" s="11" t="s">
        <v>150</v>
      </c>
      <c r="V1651" s="11" t="s">
        <v>168</v>
      </c>
      <c r="W1651" s="11" t="s">
        <v>168</v>
      </c>
      <c r="X1651" s="11">
        <v>37</v>
      </c>
      <c r="Y1651" s="11" t="s">
        <v>11263</v>
      </c>
      <c r="Z1651" s="11">
        <v>20</v>
      </c>
      <c r="AA1651" s="11">
        <v>0</v>
      </c>
      <c r="AB1651" s="12">
        <v>0</v>
      </c>
    </row>
    <row r="1652" spans="1:28" x14ac:dyDescent="0.2">
      <c r="A1652" s="7">
        <v>23577</v>
      </c>
      <c r="B1652" s="8" t="s">
        <v>11503</v>
      </c>
      <c r="C1652" s="8" t="s">
        <v>11504</v>
      </c>
      <c r="D1652" s="8" t="s">
        <v>11505</v>
      </c>
      <c r="E1652" s="8" t="s">
        <v>281</v>
      </c>
      <c r="F1652" s="8" t="s">
        <v>11506</v>
      </c>
      <c r="G1652" s="8" t="s">
        <v>141</v>
      </c>
      <c r="H1652" s="8" t="s">
        <v>142</v>
      </c>
      <c r="I1652" s="8" t="s">
        <v>11507</v>
      </c>
      <c r="J1652" s="8" t="s">
        <v>11508</v>
      </c>
      <c r="K1652" s="8" t="s">
        <v>991</v>
      </c>
      <c r="L1652" s="8" t="s">
        <v>146</v>
      </c>
      <c r="M1652" s="8" t="s">
        <v>11509</v>
      </c>
      <c r="N1652" s="8" t="s">
        <v>128</v>
      </c>
      <c r="O1652" s="8" t="s">
        <v>11510</v>
      </c>
      <c r="P1652" s="8" t="s">
        <v>11511</v>
      </c>
      <c r="Q1652" s="8" t="s">
        <v>150</v>
      </c>
      <c r="R1652" s="8"/>
      <c r="S1652" s="8" t="s">
        <v>9131</v>
      </c>
      <c r="T1652" s="8" t="s">
        <v>168</v>
      </c>
      <c r="U1652" s="8" t="s">
        <v>150</v>
      </c>
      <c r="V1652" s="8" t="s">
        <v>168</v>
      </c>
      <c r="W1652" s="8" t="s">
        <v>168</v>
      </c>
      <c r="X1652" s="8">
        <v>36</v>
      </c>
      <c r="Y1652" s="8" t="s">
        <v>11263</v>
      </c>
      <c r="Z1652" s="8">
        <v>20</v>
      </c>
      <c r="AA1652" s="8">
        <v>0</v>
      </c>
      <c r="AB1652" s="9">
        <v>0</v>
      </c>
    </row>
    <row r="1653" spans="1:28" x14ac:dyDescent="0.2">
      <c r="A1653" s="10">
        <v>25579</v>
      </c>
      <c r="B1653" s="11" t="s">
        <v>11512</v>
      </c>
      <c r="C1653" s="11" t="s">
        <v>8217</v>
      </c>
      <c r="D1653" s="11" t="s">
        <v>138</v>
      </c>
      <c r="E1653" s="11"/>
      <c r="F1653" s="11" t="s">
        <v>5214</v>
      </c>
      <c r="G1653" s="11" t="s">
        <v>224</v>
      </c>
      <c r="H1653" s="11" t="s">
        <v>225</v>
      </c>
      <c r="I1653" s="11" t="s">
        <v>11513</v>
      </c>
      <c r="J1653" s="11" t="s">
        <v>11514</v>
      </c>
      <c r="K1653" s="11" t="s">
        <v>228</v>
      </c>
      <c r="L1653" s="11" t="s">
        <v>229</v>
      </c>
      <c r="M1653" s="11" t="s">
        <v>11515</v>
      </c>
      <c r="N1653" s="11" t="s">
        <v>128</v>
      </c>
      <c r="O1653" s="11" t="s">
        <v>11516</v>
      </c>
      <c r="P1653" s="11" t="s">
        <v>11517</v>
      </c>
      <c r="Q1653" s="11" t="s">
        <v>249</v>
      </c>
      <c r="R1653" s="11"/>
      <c r="S1653" s="11" t="s">
        <v>3061</v>
      </c>
      <c r="T1653" s="11" t="s">
        <v>250</v>
      </c>
      <c r="U1653" s="11" t="s">
        <v>134</v>
      </c>
      <c r="V1653" s="11" t="s">
        <v>249</v>
      </c>
      <c r="W1653" s="11" t="s">
        <v>250</v>
      </c>
      <c r="X1653" s="11">
        <v>36</v>
      </c>
      <c r="Y1653" s="11" t="s">
        <v>11263</v>
      </c>
      <c r="Z1653" s="11">
        <v>20</v>
      </c>
      <c r="AA1653" s="11">
        <v>0</v>
      </c>
      <c r="AB1653" s="12">
        <v>0</v>
      </c>
    </row>
    <row r="1654" spans="1:28" x14ac:dyDescent="0.2">
      <c r="A1654" s="7">
        <v>105828</v>
      </c>
      <c r="B1654" s="8" t="s">
        <v>11518</v>
      </c>
      <c r="C1654" s="8" t="s">
        <v>2989</v>
      </c>
      <c r="D1654" s="8" t="s">
        <v>11519</v>
      </c>
      <c r="E1654" s="8"/>
      <c r="F1654" s="8" t="s">
        <v>353</v>
      </c>
      <c r="G1654" s="8" t="s">
        <v>11520</v>
      </c>
      <c r="H1654" s="8" t="s">
        <v>122</v>
      </c>
      <c r="I1654" s="8" t="s">
        <v>2993</v>
      </c>
      <c r="J1654" s="8" t="s">
        <v>11521</v>
      </c>
      <c r="K1654" s="8" t="s">
        <v>125</v>
      </c>
      <c r="L1654" s="8" t="s">
        <v>126</v>
      </c>
      <c r="M1654" s="8" t="s">
        <v>11522</v>
      </c>
      <c r="N1654" s="8" t="s">
        <v>128</v>
      </c>
      <c r="O1654" s="8" t="s">
        <v>11523</v>
      </c>
      <c r="P1654" s="8" t="s">
        <v>11524</v>
      </c>
      <c r="Q1654" s="8" t="s">
        <v>150</v>
      </c>
      <c r="R1654" s="8"/>
      <c r="S1654" s="8" t="s">
        <v>71</v>
      </c>
      <c r="T1654" s="8" t="s">
        <v>70</v>
      </c>
      <c r="U1654" s="8" t="s">
        <v>150</v>
      </c>
      <c r="V1654" s="8" t="s">
        <v>70</v>
      </c>
      <c r="W1654" s="8" t="s">
        <v>70</v>
      </c>
      <c r="X1654" s="8">
        <v>35</v>
      </c>
      <c r="Y1654" s="8" t="s">
        <v>11263</v>
      </c>
      <c r="Z1654" s="8">
        <v>20</v>
      </c>
      <c r="AA1654" s="8">
        <v>0</v>
      </c>
      <c r="AB1654" s="9">
        <v>0</v>
      </c>
    </row>
    <row r="1655" spans="1:28" x14ac:dyDescent="0.2">
      <c r="A1655" s="10">
        <v>23799</v>
      </c>
      <c r="B1655" s="11" t="s">
        <v>11525</v>
      </c>
      <c r="C1655" s="11" t="s">
        <v>10192</v>
      </c>
      <c r="D1655" s="11" t="s">
        <v>11526</v>
      </c>
      <c r="E1655" s="11"/>
      <c r="F1655" s="11" t="s">
        <v>6117</v>
      </c>
      <c r="G1655" s="11" t="s">
        <v>141</v>
      </c>
      <c r="H1655" s="11" t="s">
        <v>142</v>
      </c>
      <c r="I1655" s="11" t="s">
        <v>10194</v>
      </c>
      <c r="J1655" s="11" t="s">
        <v>11527</v>
      </c>
      <c r="K1655" s="11" t="s">
        <v>584</v>
      </c>
      <c r="L1655" s="11" t="s">
        <v>146</v>
      </c>
      <c r="M1655" s="11" t="s">
        <v>11528</v>
      </c>
      <c r="N1655" s="11" t="s">
        <v>128</v>
      </c>
      <c r="O1655" s="11" t="s">
        <v>11529</v>
      </c>
      <c r="P1655" s="11" t="s">
        <v>11530</v>
      </c>
      <c r="Q1655" s="11" t="s">
        <v>150</v>
      </c>
      <c r="R1655" s="11"/>
      <c r="S1655" s="11" t="s">
        <v>71</v>
      </c>
      <c r="T1655" s="11" t="s">
        <v>168</v>
      </c>
      <c r="U1655" s="11" t="s">
        <v>150</v>
      </c>
      <c r="V1655" s="11" t="s">
        <v>168</v>
      </c>
      <c r="W1655" s="11" t="s">
        <v>168</v>
      </c>
      <c r="X1655" s="11">
        <v>34</v>
      </c>
      <c r="Y1655" s="11" t="s">
        <v>11263</v>
      </c>
      <c r="Z1655" s="11">
        <v>20</v>
      </c>
      <c r="AA1655" s="11">
        <v>0</v>
      </c>
      <c r="AB1655" s="12">
        <v>0</v>
      </c>
    </row>
    <row r="1656" spans="1:28" x14ac:dyDescent="0.2">
      <c r="A1656" s="7">
        <v>21635</v>
      </c>
      <c r="B1656" s="8" t="s">
        <v>11531</v>
      </c>
      <c r="C1656" s="8" t="s">
        <v>7773</v>
      </c>
      <c r="D1656" s="8" t="s">
        <v>2918</v>
      </c>
      <c r="E1656" s="8" t="s">
        <v>281</v>
      </c>
      <c r="F1656" s="8" t="s">
        <v>353</v>
      </c>
      <c r="G1656" s="8" t="s">
        <v>1813</v>
      </c>
      <c r="H1656" s="8" t="s">
        <v>142</v>
      </c>
      <c r="I1656" s="8" t="s">
        <v>11532</v>
      </c>
      <c r="J1656" s="8" t="s">
        <v>11533</v>
      </c>
      <c r="K1656" s="8" t="s">
        <v>974</v>
      </c>
      <c r="L1656" s="8" t="s">
        <v>146</v>
      </c>
      <c r="M1656" s="8" t="s">
        <v>11534</v>
      </c>
      <c r="N1656" s="8" t="s">
        <v>128</v>
      </c>
      <c r="O1656" s="8" t="s">
        <v>11535</v>
      </c>
      <c r="P1656" s="8" t="s">
        <v>7614</v>
      </c>
      <c r="Q1656" s="8" t="s">
        <v>150</v>
      </c>
      <c r="R1656" s="8"/>
      <c r="S1656" s="8" t="s">
        <v>71</v>
      </c>
      <c r="T1656" s="8" t="s">
        <v>67</v>
      </c>
      <c r="U1656" s="8" t="s">
        <v>150</v>
      </c>
      <c r="V1656" s="8" t="s">
        <v>152</v>
      </c>
      <c r="W1656" s="8" t="s">
        <v>67</v>
      </c>
      <c r="X1656" s="8">
        <v>33</v>
      </c>
      <c r="Y1656" s="8" t="s">
        <v>11263</v>
      </c>
      <c r="Z1656" s="8">
        <v>20</v>
      </c>
      <c r="AA1656" s="8">
        <v>0</v>
      </c>
      <c r="AB1656" s="9">
        <v>0</v>
      </c>
    </row>
    <row r="1657" spans="1:28" x14ac:dyDescent="0.2">
      <c r="A1657" s="10">
        <v>27849</v>
      </c>
      <c r="B1657" s="11" t="s">
        <v>11536</v>
      </c>
      <c r="C1657" s="11" t="s">
        <v>11537</v>
      </c>
      <c r="D1657" s="11" t="s">
        <v>1369</v>
      </c>
      <c r="E1657" s="11"/>
      <c r="F1657" s="11" t="s">
        <v>353</v>
      </c>
      <c r="G1657" s="11" t="s">
        <v>3454</v>
      </c>
      <c r="H1657" s="11" t="s">
        <v>142</v>
      </c>
      <c r="I1657" s="11"/>
      <c r="J1657" s="11" t="s">
        <v>11538</v>
      </c>
      <c r="K1657" s="11" t="s">
        <v>1673</v>
      </c>
      <c r="L1657" s="11" t="s">
        <v>464</v>
      </c>
      <c r="M1657" s="11" t="s">
        <v>11539</v>
      </c>
      <c r="N1657" s="11" t="s">
        <v>128</v>
      </c>
      <c r="O1657" s="11"/>
      <c r="P1657" s="11"/>
      <c r="Q1657" s="11" t="s">
        <v>131</v>
      </c>
      <c r="R1657" s="11"/>
      <c r="S1657" s="11" t="s">
        <v>71</v>
      </c>
      <c r="T1657" s="11" t="s">
        <v>983</v>
      </c>
      <c r="U1657" s="11" t="s">
        <v>134</v>
      </c>
      <c r="V1657" s="11" t="s">
        <v>131</v>
      </c>
      <c r="W1657" s="11" t="s">
        <v>983</v>
      </c>
      <c r="X1657" s="11">
        <v>33</v>
      </c>
      <c r="Y1657" s="11" t="s">
        <v>11263</v>
      </c>
      <c r="Z1657" s="11">
        <v>20</v>
      </c>
      <c r="AA1657" s="11">
        <v>0</v>
      </c>
      <c r="AB1657" s="12">
        <v>0</v>
      </c>
    </row>
    <row r="1658" spans="1:28" x14ac:dyDescent="0.2">
      <c r="A1658" s="7">
        <v>110280</v>
      </c>
      <c r="B1658" s="8" t="s">
        <v>11540</v>
      </c>
      <c r="C1658" s="8" t="s">
        <v>11541</v>
      </c>
      <c r="D1658" s="8" t="s">
        <v>138</v>
      </c>
      <c r="E1658" s="8"/>
      <c r="F1658" s="8" t="s">
        <v>4062</v>
      </c>
      <c r="G1658" s="8" t="s">
        <v>4063</v>
      </c>
      <c r="H1658" s="8" t="s">
        <v>301</v>
      </c>
      <c r="I1658" s="8" t="s">
        <v>9669</v>
      </c>
      <c r="J1658" s="8" t="s">
        <v>11542</v>
      </c>
      <c r="K1658" s="8" t="s">
        <v>228</v>
      </c>
      <c r="L1658" s="8" t="s">
        <v>229</v>
      </c>
      <c r="M1658" s="8" t="s">
        <v>11543</v>
      </c>
      <c r="N1658" s="8" t="s">
        <v>128</v>
      </c>
      <c r="O1658" s="8" t="s">
        <v>11544</v>
      </c>
      <c r="P1658" s="8"/>
      <c r="Q1658" s="8" t="s">
        <v>249</v>
      </c>
      <c r="R1658" s="8"/>
      <c r="S1658" s="8" t="s">
        <v>71</v>
      </c>
      <c r="T1658" s="8" t="s">
        <v>1523</v>
      </c>
      <c r="U1658" s="8" t="s">
        <v>134</v>
      </c>
      <c r="V1658" s="8" t="s">
        <v>249</v>
      </c>
      <c r="W1658" s="8" t="s">
        <v>1523</v>
      </c>
      <c r="X1658" s="8">
        <v>33</v>
      </c>
      <c r="Y1658" s="8" t="s">
        <v>11263</v>
      </c>
      <c r="Z1658" s="8">
        <v>20</v>
      </c>
      <c r="AA1658" s="8">
        <v>0</v>
      </c>
      <c r="AB1658" s="9">
        <v>0</v>
      </c>
    </row>
    <row r="1659" spans="1:28" x14ac:dyDescent="0.2">
      <c r="A1659" s="10">
        <v>21279</v>
      </c>
      <c r="B1659" s="11" t="s">
        <v>11545</v>
      </c>
      <c r="C1659" s="11" t="s">
        <v>1125</v>
      </c>
      <c r="D1659" s="11" t="s">
        <v>11546</v>
      </c>
      <c r="E1659" s="11" t="s">
        <v>11547</v>
      </c>
      <c r="F1659" s="11" t="s">
        <v>7985</v>
      </c>
      <c r="G1659" s="11" t="s">
        <v>450</v>
      </c>
      <c r="H1659" s="11" t="s">
        <v>301</v>
      </c>
      <c r="I1659" s="11" t="s">
        <v>11548</v>
      </c>
      <c r="J1659" s="11" t="s">
        <v>11549</v>
      </c>
      <c r="K1659" s="11" t="s">
        <v>304</v>
      </c>
      <c r="L1659" s="11" t="s">
        <v>229</v>
      </c>
      <c r="M1659" s="11" t="s">
        <v>11550</v>
      </c>
      <c r="N1659" s="11" t="s">
        <v>128</v>
      </c>
      <c r="O1659" s="11" t="s">
        <v>11551</v>
      </c>
      <c r="P1659" s="11" t="s">
        <v>5841</v>
      </c>
      <c r="Q1659" s="11" t="s">
        <v>150</v>
      </c>
      <c r="R1659" s="11"/>
      <c r="S1659" s="11" t="s">
        <v>71</v>
      </c>
      <c r="T1659" s="11" t="s">
        <v>67</v>
      </c>
      <c r="U1659" s="11" t="s">
        <v>150</v>
      </c>
      <c r="V1659" s="11" t="s">
        <v>152</v>
      </c>
      <c r="W1659" s="11" t="s">
        <v>67</v>
      </c>
      <c r="X1659" s="11">
        <v>32</v>
      </c>
      <c r="Y1659" s="11" t="s">
        <v>11263</v>
      </c>
      <c r="Z1659" s="11">
        <v>20</v>
      </c>
      <c r="AA1659" s="11">
        <v>0</v>
      </c>
      <c r="AB1659" s="12">
        <v>0</v>
      </c>
    </row>
    <row r="1660" spans="1:28" x14ac:dyDescent="0.2">
      <c r="A1660" s="7">
        <v>112863</v>
      </c>
      <c r="B1660" s="8" t="s">
        <v>11552</v>
      </c>
      <c r="C1660" s="8" t="s">
        <v>1928</v>
      </c>
      <c r="D1660" s="8" t="s">
        <v>11553</v>
      </c>
      <c r="E1660" s="8" t="s">
        <v>11554</v>
      </c>
      <c r="F1660" s="8" t="s">
        <v>353</v>
      </c>
      <c r="G1660" s="8" t="s">
        <v>1727</v>
      </c>
      <c r="H1660" s="8" t="s">
        <v>557</v>
      </c>
      <c r="I1660" s="8" t="s">
        <v>11555</v>
      </c>
      <c r="J1660" s="8" t="s">
        <v>11556</v>
      </c>
      <c r="K1660" s="8" t="s">
        <v>1562</v>
      </c>
      <c r="L1660" s="8" t="s">
        <v>229</v>
      </c>
      <c r="M1660" s="8" t="s">
        <v>11557</v>
      </c>
      <c r="N1660" s="8" t="s">
        <v>128</v>
      </c>
      <c r="O1660" s="8" t="s">
        <v>11558</v>
      </c>
      <c r="P1660" s="8" t="s">
        <v>11559</v>
      </c>
      <c r="Q1660" s="8" t="s">
        <v>131</v>
      </c>
      <c r="R1660" s="8"/>
      <c r="S1660" s="8" t="s">
        <v>71</v>
      </c>
      <c r="T1660" s="8" t="s">
        <v>133</v>
      </c>
      <c r="U1660" s="8" t="s">
        <v>134</v>
      </c>
      <c r="V1660" s="8" t="s">
        <v>131</v>
      </c>
      <c r="W1660" s="8" t="s">
        <v>133</v>
      </c>
      <c r="X1660" s="8">
        <v>32</v>
      </c>
      <c r="Y1660" s="8" t="s">
        <v>11263</v>
      </c>
      <c r="Z1660" s="8">
        <v>20</v>
      </c>
      <c r="AA1660" s="8">
        <v>0</v>
      </c>
      <c r="AB1660" s="9">
        <v>0</v>
      </c>
    </row>
    <row r="1661" spans="1:28" x14ac:dyDescent="0.2">
      <c r="A1661" s="10">
        <v>214045</v>
      </c>
      <c r="B1661" s="11" t="s">
        <v>11560</v>
      </c>
      <c r="C1661" s="11" t="s">
        <v>11561</v>
      </c>
      <c r="D1661" s="11" t="s">
        <v>11562</v>
      </c>
      <c r="E1661" s="11"/>
      <c r="F1661" s="11" t="s">
        <v>11563</v>
      </c>
      <c r="G1661" s="11" t="s">
        <v>141</v>
      </c>
      <c r="H1661" s="11" t="s">
        <v>142</v>
      </c>
      <c r="I1661" s="11" t="s">
        <v>11564</v>
      </c>
      <c r="J1661" s="11" t="s">
        <v>11565</v>
      </c>
      <c r="K1661" s="11" t="s">
        <v>991</v>
      </c>
      <c r="L1661" s="11" t="s">
        <v>146</v>
      </c>
      <c r="M1661" s="11" t="s">
        <v>11566</v>
      </c>
      <c r="N1661" s="11" t="s">
        <v>128</v>
      </c>
      <c r="O1661" s="11" t="s">
        <v>11567</v>
      </c>
      <c r="P1661" s="11" t="s">
        <v>11568</v>
      </c>
      <c r="Q1661" s="11" t="s">
        <v>150</v>
      </c>
      <c r="R1661" s="11"/>
      <c r="S1661" s="11" t="s">
        <v>71</v>
      </c>
      <c r="T1661" s="11" t="s">
        <v>70</v>
      </c>
      <c r="U1661" s="11" t="s">
        <v>150</v>
      </c>
      <c r="V1661" s="11" t="s">
        <v>70</v>
      </c>
      <c r="W1661" s="11" t="s">
        <v>70</v>
      </c>
      <c r="X1661" s="11">
        <v>32</v>
      </c>
      <c r="Y1661" s="11" t="s">
        <v>11263</v>
      </c>
      <c r="Z1661" s="11">
        <v>20</v>
      </c>
      <c r="AA1661" s="11">
        <v>0</v>
      </c>
      <c r="AB1661" s="12">
        <v>0</v>
      </c>
    </row>
    <row r="1662" spans="1:28" x14ac:dyDescent="0.2">
      <c r="A1662" s="7">
        <v>25219</v>
      </c>
      <c r="B1662" s="8" t="s">
        <v>11569</v>
      </c>
      <c r="C1662" s="8" t="s">
        <v>2664</v>
      </c>
      <c r="D1662" s="8" t="s">
        <v>2665</v>
      </c>
      <c r="E1662" s="8" t="s">
        <v>11570</v>
      </c>
      <c r="F1662" s="8" t="s">
        <v>2667</v>
      </c>
      <c r="G1662" s="8" t="s">
        <v>190</v>
      </c>
      <c r="H1662" s="8" t="s">
        <v>191</v>
      </c>
      <c r="I1662" s="8" t="s">
        <v>2668</v>
      </c>
      <c r="J1662" s="8" t="s">
        <v>2669</v>
      </c>
      <c r="K1662" s="8" t="s">
        <v>194</v>
      </c>
      <c r="L1662" s="8" t="s">
        <v>163</v>
      </c>
      <c r="M1662" s="8" t="s">
        <v>11571</v>
      </c>
      <c r="N1662" s="8" t="s">
        <v>128</v>
      </c>
      <c r="O1662" s="8" t="s">
        <v>11572</v>
      </c>
      <c r="P1662" s="8" t="s">
        <v>11573</v>
      </c>
      <c r="Q1662" s="8" t="s">
        <v>740</v>
      </c>
      <c r="R1662" s="8"/>
      <c r="S1662" s="8" t="s">
        <v>2672</v>
      </c>
      <c r="T1662" s="8" t="s">
        <v>741</v>
      </c>
      <c r="U1662" s="8" t="s">
        <v>134</v>
      </c>
      <c r="V1662" s="8" t="s">
        <v>740</v>
      </c>
      <c r="W1662" s="8" t="s">
        <v>741</v>
      </c>
      <c r="X1662" s="8">
        <v>32</v>
      </c>
      <c r="Y1662" s="8" t="s">
        <v>11263</v>
      </c>
      <c r="Z1662" s="8">
        <v>20</v>
      </c>
      <c r="AA1662" s="8">
        <v>0</v>
      </c>
      <c r="AB1662" s="9">
        <v>0</v>
      </c>
    </row>
    <row r="1663" spans="1:28" x14ac:dyDescent="0.2">
      <c r="A1663" s="10">
        <v>25501</v>
      </c>
      <c r="B1663" s="11" t="s">
        <v>11574</v>
      </c>
      <c r="C1663" s="11" t="s">
        <v>8262</v>
      </c>
      <c r="D1663" s="11" t="s">
        <v>2690</v>
      </c>
      <c r="E1663" s="11" t="s">
        <v>11575</v>
      </c>
      <c r="F1663" s="11" t="s">
        <v>353</v>
      </c>
      <c r="G1663" s="11" t="s">
        <v>2618</v>
      </c>
      <c r="H1663" s="11" t="s">
        <v>142</v>
      </c>
      <c r="I1663" s="11" t="s">
        <v>11576</v>
      </c>
      <c r="J1663" s="11" t="s">
        <v>8265</v>
      </c>
      <c r="K1663" s="11" t="s">
        <v>651</v>
      </c>
      <c r="L1663" s="11" t="s">
        <v>146</v>
      </c>
      <c r="M1663" s="11" t="s">
        <v>11577</v>
      </c>
      <c r="N1663" s="11" t="s">
        <v>128</v>
      </c>
      <c r="O1663" s="11" t="s">
        <v>11578</v>
      </c>
      <c r="P1663" s="11" t="s">
        <v>11579</v>
      </c>
      <c r="Q1663" s="11" t="s">
        <v>249</v>
      </c>
      <c r="R1663" s="11"/>
      <c r="S1663" s="11" t="s">
        <v>8268</v>
      </c>
      <c r="T1663" s="11" t="s">
        <v>250</v>
      </c>
      <c r="U1663" s="11" t="s">
        <v>134</v>
      </c>
      <c r="V1663" s="11" t="s">
        <v>249</v>
      </c>
      <c r="W1663" s="11" t="s">
        <v>250</v>
      </c>
      <c r="X1663" s="11">
        <v>32</v>
      </c>
      <c r="Y1663" s="11" t="s">
        <v>11263</v>
      </c>
      <c r="Z1663" s="11">
        <v>20</v>
      </c>
      <c r="AA1663" s="11">
        <v>0</v>
      </c>
      <c r="AB1663" s="12">
        <v>0</v>
      </c>
    </row>
    <row r="1664" spans="1:28" x14ac:dyDescent="0.2">
      <c r="A1664" s="7">
        <v>23691</v>
      </c>
      <c r="B1664" s="8" t="s">
        <v>11580</v>
      </c>
      <c r="C1664" s="8" t="s">
        <v>8345</v>
      </c>
      <c r="D1664" s="8" t="s">
        <v>11581</v>
      </c>
      <c r="E1664" s="8"/>
      <c r="F1664" s="8" t="s">
        <v>353</v>
      </c>
      <c r="G1664" s="8" t="s">
        <v>8346</v>
      </c>
      <c r="H1664" s="8" t="s">
        <v>142</v>
      </c>
      <c r="I1664" s="8" t="s">
        <v>8347</v>
      </c>
      <c r="J1664" s="8" t="s">
        <v>11582</v>
      </c>
      <c r="K1664" s="8" t="s">
        <v>717</v>
      </c>
      <c r="L1664" s="8" t="s">
        <v>464</v>
      </c>
      <c r="M1664" s="8" t="s">
        <v>11583</v>
      </c>
      <c r="N1664" s="8" t="s">
        <v>128</v>
      </c>
      <c r="O1664" s="8" t="s">
        <v>11584</v>
      </c>
      <c r="P1664" s="8" t="s">
        <v>11585</v>
      </c>
      <c r="Q1664" s="8" t="s">
        <v>150</v>
      </c>
      <c r="R1664" s="8"/>
      <c r="S1664" s="8" t="s">
        <v>71</v>
      </c>
      <c r="T1664" s="8" t="s">
        <v>168</v>
      </c>
      <c r="U1664" s="8" t="s">
        <v>150</v>
      </c>
      <c r="V1664" s="8" t="s">
        <v>168</v>
      </c>
      <c r="W1664" s="8" t="s">
        <v>168</v>
      </c>
      <c r="X1664" s="8">
        <v>31</v>
      </c>
      <c r="Y1664" s="8" t="s">
        <v>11263</v>
      </c>
      <c r="Z1664" s="8">
        <v>20</v>
      </c>
      <c r="AA1664" s="8">
        <v>0</v>
      </c>
      <c r="AB1664" s="9">
        <v>0</v>
      </c>
    </row>
    <row r="1665" spans="1:28" x14ac:dyDescent="0.2">
      <c r="A1665" s="10">
        <v>23801</v>
      </c>
      <c r="B1665" s="11" t="s">
        <v>11586</v>
      </c>
      <c r="C1665" s="11" t="s">
        <v>10488</v>
      </c>
      <c r="D1665" s="11" t="s">
        <v>341</v>
      </c>
      <c r="E1665" s="11"/>
      <c r="F1665" s="11" t="s">
        <v>353</v>
      </c>
      <c r="G1665" s="11" t="s">
        <v>5804</v>
      </c>
      <c r="H1665" s="11" t="s">
        <v>5805</v>
      </c>
      <c r="I1665" s="11" t="s">
        <v>11587</v>
      </c>
      <c r="J1665" s="11" t="s">
        <v>11588</v>
      </c>
      <c r="K1665" s="11" t="s">
        <v>274</v>
      </c>
      <c r="L1665" s="11" t="s">
        <v>163</v>
      </c>
      <c r="M1665" s="11" t="s">
        <v>11589</v>
      </c>
      <c r="N1665" s="11" t="s">
        <v>128</v>
      </c>
      <c r="O1665" s="11" t="s">
        <v>11590</v>
      </c>
      <c r="P1665" s="11" t="s">
        <v>11591</v>
      </c>
      <c r="Q1665" s="11" t="s">
        <v>150</v>
      </c>
      <c r="R1665" s="11"/>
      <c r="S1665" s="11" t="s">
        <v>71</v>
      </c>
      <c r="T1665" s="11" t="s">
        <v>168</v>
      </c>
      <c r="U1665" s="11" t="s">
        <v>150</v>
      </c>
      <c r="V1665" s="11" t="s">
        <v>168</v>
      </c>
      <c r="W1665" s="11" t="s">
        <v>168</v>
      </c>
      <c r="X1665" s="11">
        <v>31</v>
      </c>
      <c r="Y1665" s="11" t="s">
        <v>11263</v>
      </c>
      <c r="Z1665" s="11">
        <v>20</v>
      </c>
      <c r="AA1665" s="11">
        <v>0</v>
      </c>
      <c r="AB1665" s="12">
        <v>0</v>
      </c>
    </row>
    <row r="1666" spans="1:28" x14ac:dyDescent="0.2">
      <c r="A1666" s="7">
        <v>24597</v>
      </c>
      <c r="B1666" s="8" t="s">
        <v>11592</v>
      </c>
      <c r="C1666" s="8" t="s">
        <v>11593</v>
      </c>
      <c r="D1666" s="8" t="s">
        <v>11594</v>
      </c>
      <c r="E1666" s="8"/>
      <c r="F1666" s="8" t="s">
        <v>11595</v>
      </c>
      <c r="G1666" s="8" t="s">
        <v>121</v>
      </c>
      <c r="H1666" s="8" t="s">
        <v>122</v>
      </c>
      <c r="I1666" s="8" t="s">
        <v>11596</v>
      </c>
      <c r="J1666" s="8" t="s">
        <v>11597</v>
      </c>
      <c r="K1666" s="8" t="s">
        <v>1051</v>
      </c>
      <c r="L1666" s="8" t="s">
        <v>126</v>
      </c>
      <c r="M1666" s="8" t="s">
        <v>11598</v>
      </c>
      <c r="N1666" s="8" t="s">
        <v>128</v>
      </c>
      <c r="O1666" s="8" t="s">
        <v>11599</v>
      </c>
      <c r="P1666" s="8" t="s">
        <v>2102</v>
      </c>
      <c r="Q1666" s="8" t="s">
        <v>150</v>
      </c>
      <c r="R1666" s="8"/>
      <c r="S1666" s="8" t="s">
        <v>71</v>
      </c>
      <c r="T1666" s="8" t="s">
        <v>69</v>
      </c>
      <c r="U1666" s="8" t="s">
        <v>150</v>
      </c>
      <c r="V1666" s="8" t="s">
        <v>152</v>
      </c>
      <c r="W1666" s="8" t="s">
        <v>69</v>
      </c>
      <c r="X1666" s="8">
        <v>31</v>
      </c>
      <c r="Y1666" s="8" t="s">
        <v>11263</v>
      </c>
      <c r="Z1666" s="8">
        <v>20</v>
      </c>
      <c r="AA1666" s="8">
        <v>0</v>
      </c>
      <c r="AB1666" s="9">
        <v>0</v>
      </c>
    </row>
    <row r="1667" spans="1:28" x14ac:dyDescent="0.2">
      <c r="A1667" s="10">
        <v>25212</v>
      </c>
      <c r="B1667" s="11" t="s">
        <v>11600</v>
      </c>
      <c r="C1667" s="11" t="s">
        <v>2431</v>
      </c>
      <c r="D1667" s="11" t="s">
        <v>2432</v>
      </c>
      <c r="E1667" s="11" t="s">
        <v>11601</v>
      </c>
      <c r="F1667" s="11" t="s">
        <v>2434</v>
      </c>
      <c r="G1667" s="11" t="s">
        <v>2435</v>
      </c>
      <c r="H1667" s="11" t="s">
        <v>142</v>
      </c>
      <c r="I1667" s="11" t="s">
        <v>2436</v>
      </c>
      <c r="J1667" s="11" t="s">
        <v>2437</v>
      </c>
      <c r="K1667" s="11" t="s">
        <v>1029</v>
      </c>
      <c r="L1667" s="11" t="s">
        <v>464</v>
      </c>
      <c r="M1667" s="11" t="s">
        <v>11602</v>
      </c>
      <c r="N1667" s="11" t="s">
        <v>128</v>
      </c>
      <c r="O1667" s="11" t="s">
        <v>11603</v>
      </c>
      <c r="P1667" s="11"/>
      <c r="Q1667" s="11" t="s">
        <v>740</v>
      </c>
      <c r="R1667" s="11"/>
      <c r="S1667" s="11" t="s">
        <v>2441</v>
      </c>
      <c r="T1667" s="11" t="s">
        <v>1745</v>
      </c>
      <c r="U1667" s="11" t="s">
        <v>134</v>
      </c>
      <c r="V1667" s="11" t="s">
        <v>740</v>
      </c>
      <c r="W1667" s="11" t="s">
        <v>1745</v>
      </c>
      <c r="X1667" s="11">
        <v>31</v>
      </c>
      <c r="Y1667" s="11" t="s">
        <v>11263</v>
      </c>
      <c r="Z1667" s="11">
        <v>20</v>
      </c>
      <c r="AA1667" s="11">
        <v>0</v>
      </c>
      <c r="AB1667" s="12">
        <v>0</v>
      </c>
    </row>
    <row r="1668" spans="1:28" x14ac:dyDescent="0.2">
      <c r="A1668" s="7">
        <v>21604</v>
      </c>
      <c r="B1668" s="8" t="s">
        <v>11604</v>
      </c>
      <c r="C1668" s="8" t="s">
        <v>11605</v>
      </c>
      <c r="D1668" s="8" t="s">
        <v>1926</v>
      </c>
      <c r="E1668" s="8"/>
      <c r="F1668" s="8" t="s">
        <v>353</v>
      </c>
      <c r="G1668" s="8" t="s">
        <v>8899</v>
      </c>
      <c r="H1668" s="8" t="s">
        <v>142</v>
      </c>
      <c r="I1668" s="8" t="s">
        <v>8900</v>
      </c>
      <c r="J1668" s="8" t="s">
        <v>11606</v>
      </c>
      <c r="K1668" s="8" t="s">
        <v>717</v>
      </c>
      <c r="L1668" s="8" t="s">
        <v>464</v>
      </c>
      <c r="M1668" s="8" t="s">
        <v>11607</v>
      </c>
      <c r="N1668" s="8" t="s">
        <v>128</v>
      </c>
      <c r="O1668" s="8" t="s">
        <v>11608</v>
      </c>
      <c r="P1668" s="8" t="s">
        <v>11609</v>
      </c>
      <c r="Q1668" s="8" t="s">
        <v>150</v>
      </c>
      <c r="R1668" s="8"/>
      <c r="S1668" s="8" t="s">
        <v>71</v>
      </c>
      <c r="T1668" s="8" t="s">
        <v>67</v>
      </c>
      <c r="U1668" s="8" t="s">
        <v>150</v>
      </c>
      <c r="V1668" s="8" t="s">
        <v>152</v>
      </c>
      <c r="W1668" s="8" t="s">
        <v>67</v>
      </c>
      <c r="X1668" s="8">
        <v>30</v>
      </c>
      <c r="Y1668" s="8" t="s">
        <v>11263</v>
      </c>
      <c r="Z1668" s="8">
        <v>20</v>
      </c>
      <c r="AA1668" s="8">
        <v>0</v>
      </c>
      <c r="AB1668" s="9">
        <v>0</v>
      </c>
    </row>
    <row r="1669" spans="1:28" x14ac:dyDescent="0.2">
      <c r="A1669" s="10">
        <v>23302</v>
      </c>
      <c r="B1669" s="11" t="s">
        <v>11610</v>
      </c>
      <c r="C1669" s="11" t="s">
        <v>11611</v>
      </c>
      <c r="D1669" s="11" t="s">
        <v>10362</v>
      </c>
      <c r="E1669" s="11"/>
      <c r="F1669" s="11" t="s">
        <v>353</v>
      </c>
      <c r="G1669" s="11" t="s">
        <v>2510</v>
      </c>
      <c r="H1669" s="11" t="s">
        <v>2511</v>
      </c>
      <c r="I1669" s="11" t="s">
        <v>11612</v>
      </c>
      <c r="J1669" s="11" t="s">
        <v>11613</v>
      </c>
      <c r="K1669" s="11" t="s">
        <v>1562</v>
      </c>
      <c r="L1669" s="11" t="s">
        <v>229</v>
      </c>
      <c r="M1669" s="11" t="s">
        <v>11614</v>
      </c>
      <c r="N1669" s="11" t="s">
        <v>128</v>
      </c>
      <c r="O1669" s="11" t="s">
        <v>11615</v>
      </c>
      <c r="P1669" s="11" t="s">
        <v>11616</v>
      </c>
      <c r="Q1669" s="11" t="s">
        <v>150</v>
      </c>
      <c r="R1669" s="11"/>
      <c r="S1669" s="11" t="s">
        <v>71</v>
      </c>
      <c r="T1669" s="11" t="s">
        <v>70</v>
      </c>
      <c r="U1669" s="11" t="s">
        <v>150</v>
      </c>
      <c r="V1669" s="11" t="s">
        <v>70</v>
      </c>
      <c r="W1669" s="11" t="s">
        <v>70</v>
      </c>
      <c r="X1669" s="11">
        <v>30</v>
      </c>
      <c r="Y1669" s="11" t="s">
        <v>11263</v>
      </c>
      <c r="Z1669" s="11">
        <v>20</v>
      </c>
      <c r="AA1669" s="11">
        <v>0</v>
      </c>
      <c r="AB1669" s="12">
        <v>0</v>
      </c>
    </row>
    <row r="1670" spans="1:28" x14ac:dyDescent="0.2">
      <c r="A1670" s="7">
        <v>21860</v>
      </c>
      <c r="B1670" s="8" t="s">
        <v>11617</v>
      </c>
      <c r="C1670" s="8" t="s">
        <v>1214</v>
      </c>
      <c r="D1670" s="8" t="s">
        <v>1215</v>
      </c>
      <c r="E1670" s="8" t="s">
        <v>11618</v>
      </c>
      <c r="F1670" s="8" t="s">
        <v>353</v>
      </c>
      <c r="G1670" s="8" t="s">
        <v>536</v>
      </c>
      <c r="H1670" s="8" t="s">
        <v>329</v>
      </c>
      <c r="I1670" s="8" t="s">
        <v>1216</v>
      </c>
      <c r="J1670" s="8" t="s">
        <v>1217</v>
      </c>
      <c r="K1670" s="8" t="s">
        <v>431</v>
      </c>
      <c r="L1670" s="8" t="s">
        <v>333</v>
      </c>
      <c r="M1670" s="8" t="s">
        <v>11619</v>
      </c>
      <c r="N1670" s="8" t="s">
        <v>128</v>
      </c>
      <c r="O1670" s="8" t="s">
        <v>11620</v>
      </c>
      <c r="P1670" s="8" t="s">
        <v>11621</v>
      </c>
      <c r="Q1670" s="8" t="s">
        <v>131</v>
      </c>
      <c r="R1670" s="8"/>
      <c r="S1670" s="8" t="s">
        <v>1221</v>
      </c>
      <c r="T1670" s="8" t="s">
        <v>133</v>
      </c>
      <c r="U1670" s="8" t="s">
        <v>134</v>
      </c>
      <c r="V1670" s="8" t="s">
        <v>131</v>
      </c>
      <c r="W1670" s="8" t="s">
        <v>133</v>
      </c>
      <c r="X1670" s="8">
        <v>29</v>
      </c>
      <c r="Y1670" s="8" t="s">
        <v>11263</v>
      </c>
      <c r="Z1670" s="8">
        <v>20</v>
      </c>
      <c r="AA1670" s="8">
        <v>0</v>
      </c>
      <c r="AB1670" s="9">
        <v>0</v>
      </c>
    </row>
    <row r="1671" spans="1:28" x14ac:dyDescent="0.2">
      <c r="A1671" s="10">
        <v>23761</v>
      </c>
      <c r="B1671" s="11" t="s">
        <v>11622</v>
      </c>
      <c r="C1671" s="11" t="s">
        <v>4794</v>
      </c>
      <c r="D1671" s="11" t="s">
        <v>11623</v>
      </c>
      <c r="E1671" s="11" t="s">
        <v>8086</v>
      </c>
      <c r="F1671" s="11" t="s">
        <v>11624</v>
      </c>
      <c r="G1671" s="11" t="s">
        <v>141</v>
      </c>
      <c r="H1671" s="11" t="s">
        <v>142</v>
      </c>
      <c r="I1671" s="11" t="s">
        <v>4797</v>
      </c>
      <c r="J1671" s="11" t="s">
        <v>11625</v>
      </c>
      <c r="K1671" s="11" t="s">
        <v>145</v>
      </c>
      <c r="L1671" s="11" t="s">
        <v>146</v>
      </c>
      <c r="M1671" s="11" t="s">
        <v>11626</v>
      </c>
      <c r="N1671" s="11" t="s">
        <v>128</v>
      </c>
      <c r="O1671" s="11" t="s">
        <v>11627</v>
      </c>
      <c r="P1671" s="11" t="s">
        <v>6898</v>
      </c>
      <c r="Q1671" s="11" t="s">
        <v>150</v>
      </c>
      <c r="R1671" s="11"/>
      <c r="S1671" s="11" t="s">
        <v>71</v>
      </c>
      <c r="T1671" s="11" t="s">
        <v>168</v>
      </c>
      <c r="U1671" s="11" t="s">
        <v>150</v>
      </c>
      <c r="V1671" s="11" t="s">
        <v>168</v>
      </c>
      <c r="W1671" s="11" t="s">
        <v>168</v>
      </c>
      <c r="X1671" s="11">
        <v>29</v>
      </c>
      <c r="Y1671" s="11" t="s">
        <v>11263</v>
      </c>
      <c r="Z1671" s="11">
        <v>20</v>
      </c>
      <c r="AA1671" s="11">
        <v>0</v>
      </c>
      <c r="AB1671" s="12">
        <v>0</v>
      </c>
    </row>
    <row r="1672" spans="1:28" x14ac:dyDescent="0.2">
      <c r="A1672" s="7">
        <v>24598</v>
      </c>
      <c r="B1672" s="8" t="s">
        <v>11628</v>
      </c>
      <c r="C1672" s="8" t="s">
        <v>3091</v>
      </c>
      <c r="D1672" s="8" t="s">
        <v>2720</v>
      </c>
      <c r="E1672" s="8"/>
      <c r="F1672" s="8" t="s">
        <v>342</v>
      </c>
      <c r="G1672" s="8" t="s">
        <v>328</v>
      </c>
      <c r="H1672" s="8" t="s">
        <v>329</v>
      </c>
      <c r="I1672" s="8" t="s">
        <v>11629</v>
      </c>
      <c r="J1672" s="8" t="s">
        <v>11630</v>
      </c>
      <c r="K1672" s="8" t="s">
        <v>332</v>
      </c>
      <c r="L1672" s="8" t="s">
        <v>333</v>
      </c>
      <c r="M1672" s="8" t="s">
        <v>11631</v>
      </c>
      <c r="N1672" s="8" t="s">
        <v>128</v>
      </c>
      <c r="O1672" s="8" t="s">
        <v>11632</v>
      </c>
      <c r="P1672" s="8" t="s">
        <v>11633</v>
      </c>
      <c r="Q1672" s="8" t="s">
        <v>150</v>
      </c>
      <c r="R1672" s="8"/>
      <c r="S1672" s="8" t="s">
        <v>71</v>
      </c>
      <c r="T1672" s="8" t="s">
        <v>69</v>
      </c>
      <c r="U1672" s="8" t="s">
        <v>150</v>
      </c>
      <c r="V1672" s="8" t="s">
        <v>152</v>
      </c>
      <c r="W1672" s="8" t="s">
        <v>69</v>
      </c>
      <c r="X1672" s="8">
        <v>28</v>
      </c>
      <c r="Y1672" s="8" t="s">
        <v>11263</v>
      </c>
      <c r="Z1672" s="8">
        <v>20</v>
      </c>
      <c r="AA1672" s="8">
        <v>0</v>
      </c>
      <c r="AB1672" s="9">
        <v>0</v>
      </c>
    </row>
    <row r="1673" spans="1:28" x14ac:dyDescent="0.2">
      <c r="A1673" s="10">
        <v>37885</v>
      </c>
      <c r="B1673" s="11" t="s">
        <v>11634</v>
      </c>
      <c r="C1673" s="11" t="s">
        <v>2090</v>
      </c>
      <c r="D1673" s="11" t="s">
        <v>2091</v>
      </c>
      <c r="E1673" s="11"/>
      <c r="F1673" s="11" t="s">
        <v>353</v>
      </c>
      <c r="G1673" s="11" t="s">
        <v>2093</v>
      </c>
      <c r="H1673" s="11" t="s">
        <v>142</v>
      </c>
      <c r="I1673" s="11" t="s">
        <v>11635</v>
      </c>
      <c r="J1673" s="11" t="s">
        <v>3439</v>
      </c>
      <c r="K1673" s="11" t="s">
        <v>651</v>
      </c>
      <c r="L1673" s="11" t="s">
        <v>146</v>
      </c>
      <c r="M1673" s="11" t="s">
        <v>11636</v>
      </c>
      <c r="N1673" s="11" t="s">
        <v>128</v>
      </c>
      <c r="O1673" s="11" t="s">
        <v>11637</v>
      </c>
      <c r="P1673" s="11"/>
      <c r="Q1673" s="11" t="s">
        <v>249</v>
      </c>
      <c r="R1673" s="11"/>
      <c r="S1673" s="11" t="s">
        <v>2099</v>
      </c>
      <c r="T1673" s="11" t="s">
        <v>1523</v>
      </c>
      <c r="U1673" s="11" t="s">
        <v>134</v>
      </c>
      <c r="V1673" s="11" t="s">
        <v>249</v>
      </c>
      <c r="W1673" s="11" t="s">
        <v>1523</v>
      </c>
      <c r="X1673" s="11">
        <v>28</v>
      </c>
      <c r="Y1673" s="11" t="s">
        <v>11263</v>
      </c>
      <c r="Z1673" s="11">
        <v>20</v>
      </c>
      <c r="AA1673" s="11">
        <v>0</v>
      </c>
      <c r="AB1673" s="12">
        <v>0</v>
      </c>
    </row>
    <row r="1674" spans="1:28" x14ac:dyDescent="0.2">
      <c r="A1674" s="7">
        <v>21274</v>
      </c>
      <c r="B1674" s="8" t="s">
        <v>11638</v>
      </c>
      <c r="C1674" s="8" t="s">
        <v>11639</v>
      </c>
      <c r="D1674" s="8" t="s">
        <v>11640</v>
      </c>
      <c r="E1674" s="8" t="s">
        <v>11641</v>
      </c>
      <c r="F1674" s="8" t="s">
        <v>11642</v>
      </c>
      <c r="G1674" s="8" t="s">
        <v>2117</v>
      </c>
      <c r="H1674" s="8" t="s">
        <v>142</v>
      </c>
      <c r="I1674" s="8" t="s">
        <v>11643</v>
      </c>
      <c r="J1674" s="8" t="s">
        <v>11644</v>
      </c>
      <c r="K1674" s="8" t="s">
        <v>1673</v>
      </c>
      <c r="L1674" s="8" t="s">
        <v>464</v>
      </c>
      <c r="M1674" s="8" t="s">
        <v>11645</v>
      </c>
      <c r="N1674" s="8" t="s">
        <v>128</v>
      </c>
      <c r="O1674" s="8" t="s">
        <v>11646</v>
      </c>
      <c r="P1674" s="8" t="s">
        <v>11647</v>
      </c>
      <c r="Q1674" s="8" t="s">
        <v>150</v>
      </c>
      <c r="R1674" s="8"/>
      <c r="S1674" s="8" t="s">
        <v>11648</v>
      </c>
      <c r="T1674" s="8" t="s">
        <v>67</v>
      </c>
      <c r="U1674" s="8" t="s">
        <v>150</v>
      </c>
      <c r="V1674" s="8" t="s">
        <v>152</v>
      </c>
      <c r="W1674" s="8" t="s">
        <v>67</v>
      </c>
      <c r="X1674" s="8">
        <v>27</v>
      </c>
      <c r="Y1674" s="8" t="s">
        <v>11263</v>
      </c>
      <c r="Z1674" s="8">
        <v>20</v>
      </c>
      <c r="AA1674" s="8">
        <v>0</v>
      </c>
      <c r="AB1674" s="9">
        <v>0</v>
      </c>
    </row>
    <row r="1675" spans="1:28" x14ac:dyDescent="0.2">
      <c r="A1675" s="10">
        <v>116196</v>
      </c>
      <c r="B1675" s="11" t="s">
        <v>11649</v>
      </c>
      <c r="C1675" s="11" t="s">
        <v>2257</v>
      </c>
      <c r="D1675" s="11" t="s">
        <v>11650</v>
      </c>
      <c r="E1675" s="11"/>
      <c r="F1675" s="11" t="s">
        <v>11651</v>
      </c>
      <c r="G1675" s="11" t="s">
        <v>521</v>
      </c>
      <c r="H1675" s="11" t="s">
        <v>522</v>
      </c>
      <c r="I1675" s="11" t="s">
        <v>11652</v>
      </c>
      <c r="J1675" s="11" t="s">
        <v>11653</v>
      </c>
      <c r="K1675" s="11" t="s">
        <v>525</v>
      </c>
      <c r="L1675" s="11" t="s">
        <v>526</v>
      </c>
      <c r="M1675" s="11" t="s">
        <v>11654</v>
      </c>
      <c r="N1675" s="11" t="s">
        <v>128</v>
      </c>
      <c r="O1675" s="11" t="s">
        <v>11655</v>
      </c>
      <c r="P1675" s="11" t="s">
        <v>11656</v>
      </c>
      <c r="Q1675" s="11" t="s">
        <v>150</v>
      </c>
      <c r="R1675" s="11"/>
      <c r="S1675" s="11" t="s">
        <v>2265</v>
      </c>
      <c r="T1675" s="11" t="s">
        <v>67</v>
      </c>
      <c r="U1675" s="11" t="s">
        <v>150</v>
      </c>
      <c r="V1675" s="11" t="s">
        <v>152</v>
      </c>
      <c r="W1675" s="11" t="s">
        <v>67</v>
      </c>
      <c r="X1675" s="11">
        <v>27</v>
      </c>
      <c r="Y1675" s="11" t="s">
        <v>11263</v>
      </c>
      <c r="Z1675" s="11">
        <v>20</v>
      </c>
      <c r="AA1675" s="11">
        <v>0</v>
      </c>
      <c r="AB1675" s="12">
        <v>0</v>
      </c>
    </row>
    <row r="1676" spans="1:28" x14ac:dyDescent="0.2">
      <c r="A1676" s="7">
        <v>111066</v>
      </c>
      <c r="B1676" s="8" t="s">
        <v>11657</v>
      </c>
      <c r="C1676" s="8" t="s">
        <v>842</v>
      </c>
      <c r="D1676" s="8" t="s">
        <v>4482</v>
      </c>
      <c r="E1676" s="8"/>
      <c r="F1676" s="8" t="s">
        <v>353</v>
      </c>
      <c r="G1676" s="8" t="s">
        <v>1488</v>
      </c>
      <c r="H1676" s="8" t="s">
        <v>329</v>
      </c>
      <c r="I1676" s="8" t="s">
        <v>4484</v>
      </c>
      <c r="J1676" s="8" t="s">
        <v>10306</v>
      </c>
      <c r="K1676" s="8" t="s">
        <v>415</v>
      </c>
      <c r="L1676" s="8" t="s">
        <v>333</v>
      </c>
      <c r="M1676" s="8" t="s">
        <v>11658</v>
      </c>
      <c r="N1676" s="8" t="s">
        <v>128</v>
      </c>
      <c r="O1676" s="8" t="s">
        <v>11659</v>
      </c>
      <c r="P1676" s="8"/>
      <c r="Q1676" s="8" t="s">
        <v>131</v>
      </c>
      <c r="R1676" s="8"/>
      <c r="S1676" s="8" t="s">
        <v>4489</v>
      </c>
      <c r="T1676" s="8" t="s">
        <v>983</v>
      </c>
      <c r="U1676" s="8" t="s">
        <v>134</v>
      </c>
      <c r="V1676" s="8" t="s">
        <v>131</v>
      </c>
      <c r="W1676" s="8" t="s">
        <v>983</v>
      </c>
      <c r="X1676" s="8">
        <v>27</v>
      </c>
      <c r="Y1676" s="8" t="s">
        <v>11263</v>
      </c>
      <c r="Z1676" s="8">
        <v>20</v>
      </c>
      <c r="AA1676" s="8">
        <v>0</v>
      </c>
      <c r="AB1676" s="9">
        <v>0</v>
      </c>
    </row>
    <row r="1677" spans="1:28" x14ac:dyDescent="0.2">
      <c r="A1677" s="10">
        <v>235559</v>
      </c>
      <c r="B1677" s="11" t="s">
        <v>11660</v>
      </c>
      <c r="C1677" s="11" t="s">
        <v>11661</v>
      </c>
      <c r="D1677" s="11" t="s">
        <v>11662</v>
      </c>
      <c r="E1677" s="11"/>
      <c r="F1677" s="11" t="s">
        <v>11663</v>
      </c>
      <c r="G1677" s="11" t="s">
        <v>4465</v>
      </c>
      <c r="H1677" s="11" t="s">
        <v>4466</v>
      </c>
      <c r="I1677" s="11" t="s">
        <v>11664</v>
      </c>
      <c r="J1677" s="11" t="s">
        <v>11665</v>
      </c>
      <c r="K1677" s="11" t="s">
        <v>525</v>
      </c>
      <c r="L1677" s="11" t="s">
        <v>526</v>
      </c>
      <c r="M1677" s="11" t="s">
        <v>11666</v>
      </c>
      <c r="N1677" s="11" t="s">
        <v>128</v>
      </c>
      <c r="O1677" s="11" t="s">
        <v>11667</v>
      </c>
      <c r="P1677" s="11" t="s">
        <v>11668</v>
      </c>
      <c r="Q1677" s="11" t="s">
        <v>150</v>
      </c>
      <c r="R1677" s="11"/>
      <c r="S1677" s="11" t="s">
        <v>71</v>
      </c>
      <c r="T1677" s="11" t="s">
        <v>7898</v>
      </c>
      <c r="U1677" s="11" t="s">
        <v>150</v>
      </c>
      <c r="V1677" s="11" t="s">
        <v>7898</v>
      </c>
      <c r="W1677" s="11" t="s">
        <v>7898</v>
      </c>
      <c r="X1677" s="11">
        <v>27</v>
      </c>
      <c r="Y1677" s="11" t="s">
        <v>11263</v>
      </c>
      <c r="Z1677" s="11">
        <v>20</v>
      </c>
      <c r="AA1677" s="11">
        <v>0</v>
      </c>
      <c r="AB1677" s="12">
        <v>0</v>
      </c>
    </row>
    <row r="1678" spans="1:28" x14ac:dyDescent="0.2">
      <c r="A1678" s="7">
        <v>85417</v>
      </c>
      <c r="B1678" s="8" t="s">
        <v>11669</v>
      </c>
      <c r="C1678" s="8" t="s">
        <v>11176</v>
      </c>
      <c r="D1678" s="8" t="s">
        <v>11670</v>
      </c>
      <c r="E1678" s="8"/>
      <c r="F1678" s="8" t="s">
        <v>6430</v>
      </c>
      <c r="G1678" s="8" t="s">
        <v>7808</v>
      </c>
      <c r="H1678" s="8" t="s">
        <v>142</v>
      </c>
      <c r="I1678" s="8" t="s">
        <v>11671</v>
      </c>
      <c r="J1678" s="8" t="s">
        <v>11672</v>
      </c>
      <c r="K1678" s="8" t="s">
        <v>779</v>
      </c>
      <c r="L1678" s="8" t="s">
        <v>464</v>
      </c>
      <c r="M1678" s="8" t="s">
        <v>11673</v>
      </c>
      <c r="N1678" s="8" t="s">
        <v>128</v>
      </c>
      <c r="O1678" s="8" t="s">
        <v>11674</v>
      </c>
      <c r="P1678" s="8" t="s">
        <v>11675</v>
      </c>
      <c r="Q1678" s="8" t="s">
        <v>150</v>
      </c>
      <c r="R1678" s="8"/>
      <c r="S1678" s="8" t="s">
        <v>71</v>
      </c>
      <c r="T1678" s="8" t="s">
        <v>1415</v>
      </c>
      <c r="U1678" s="8" t="s">
        <v>150</v>
      </c>
      <c r="V1678" s="8" t="s">
        <v>1415</v>
      </c>
      <c r="W1678" s="8" t="s">
        <v>1415</v>
      </c>
      <c r="X1678" s="8">
        <v>27</v>
      </c>
      <c r="Y1678" s="8" t="s">
        <v>11263</v>
      </c>
      <c r="Z1678" s="8">
        <v>20</v>
      </c>
      <c r="AA1678" s="8">
        <v>0</v>
      </c>
      <c r="AB1678" s="9">
        <v>0</v>
      </c>
    </row>
    <row r="1679" spans="1:28" x14ac:dyDescent="0.2">
      <c r="A1679" s="10">
        <v>25266</v>
      </c>
      <c r="B1679" s="11" t="s">
        <v>11676</v>
      </c>
      <c r="C1679" s="11" t="s">
        <v>5789</v>
      </c>
      <c r="D1679" s="11" t="s">
        <v>4739</v>
      </c>
      <c r="E1679" s="11" t="s">
        <v>281</v>
      </c>
      <c r="F1679" s="11" t="s">
        <v>353</v>
      </c>
      <c r="G1679" s="11" t="s">
        <v>121</v>
      </c>
      <c r="H1679" s="11" t="s">
        <v>122</v>
      </c>
      <c r="I1679" s="11" t="s">
        <v>11677</v>
      </c>
      <c r="J1679" s="11" t="s">
        <v>11678</v>
      </c>
      <c r="K1679" s="11" t="s">
        <v>125</v>
      </c>
      <c r="L1679" s="11" t="s">
        <v>126</v>
      </c>
      <c r="M1679" s="11" t="s">
        <v>11679</v>
      </c>
      <c r="N1679" s="11" t="s">
        <v>128</v>
      </c>
      <c r="O1679" s="11" t="s">
        <v>11680</v>
      </c>
      <c r="P1679" s="11" t="s">
        <v>11681</v>
      </c>
      <c r="Q1679" s="11" t="s">
        <v>740</v>
      </c>
      <c r="R1679" s="11"/>
      <c r="S1679" s="11" t="s">
        <v>71</v>
      </c>
      <c r="T1679" s="11" t="s">
        <v>741</v>
      </c>
      <c r="U1679" s="11" t="s">
        <v>134</v>
      </c>
      <c r="V1679" s="11" t="s">
        <v>740</v>
      </c>
      <c r="W1679" s="11" t="s">
        <v>741</v>
      </c>
      <c r="X1679" s="11">
        <v>27</v>
      </c>
      <c r="Y1679" s="11" t="s">
        <v>11263</v>
      </c>
      <c r="Z1679" s="11">
        <v>20</v>
      </c>
      <c r="AA1679" s="11">
        <v>0</v>
      </c>
      <c r="AB1679" s="12">
        <v>0</v>
      </c>
    </row>
    <row r="1680" spans="1:28" x14ac:dyDescent="0.2">
      <c r="A1680" s="7">
        <v>22158</v>
      </c>
      <c r="B1680" s="8" t="s">
        <v>11682</v>
      </c>
      <c r="C1680" s="8" t="s">
        <v>5789</v>
      </c>
      <c r="D1680" s="8" t="s">
        <v>6923</v>
      </c>
      <c r="E1680" s="8"/>
      <c r="F1680" s="8" t="s">
        <v>353</v>
      </c>
      <c r="G1680" s="8" t="s">
        <v>121</v>
      </c>
      <c r="H1680" s="8" t="s">
        <v>122</v>
      </c>
      <c r="I1680" s="8" t="s">
        <v>7815</v>
      </c>
      <c r="J1680" s="8" t="s">
        <v>11683</v>
      </c>
      <c r="K1680" s="8" t="s">
        <v>125</v>
      </c>
      <c r="L1680" s="8" t="s">
        <v>126</v>
      </c>
      <c r="M1680" s="8" t="s">
        <v>11684</v>
      </c>
      <c r="N1680" s="8" t="s">
        <v>128</v>
      </c>
      <c r="O1680" s="8" t="s">
        <v>11685</v>
      </c>
      <c r="P1680" s="8"/>
      <c r="Q1680" s="8" t="s">
        <v>249</v>
      </c>
      <c r="R1680" s="8"/>
      <c r="S1680" s="8" t="s">
        <v>71</v>
      </c>
      <c r="T1680" s="8" t="s">
        <v>1523</v>
      </c>
      <c r="U1680" s="8" t="s">
        <v>134</v>
      </c>
      <c r="V1680" s="8" t="s">
        <v>249</v>
      </c>
      <c r="W1680" s="8" t="s">
        <v>1523</v>
      </c>
      <c r="X1680" s="8">
        <v>27</v>
      </c>
      <c r="Y1680" s="8" t="s">
        <v>11263</v>
      </c>
      <c r="Z1680" s="8">
        <v>20</v>
      </c>
      <c r="AA1680" s="8">
        <v>0</v>
      </c>
      <c r="AB1680" s="9">
        <v>0</v>
      </c>
    </row>
    <row r="1681" spans="1:28" x14ac:dyDescent="0.2">
      <c r="A1681" s="10">
        <v>23166</v>
      </c>
      <c r="B1681" s="11" t="s">
        <v>11686</v>
      </c>
      <c r="C1681" s="11" t="s">
        <v>6970</v>
      </c>
      <c r="D1681" s="11" t="s">
        <v>9667</v>
      </c>
      <c r="E1681" s="11"/>
      <c r="F1681" s="11" t="s">
        <v>7915</v>
      </c>
      <c r="G1681" s="11" t="s">
        <v>8338</v>
      </c>
      <c r="H1681" s="11" t="s">
        <v>301</v>
      </c>
      <c r="I1681" s="11" t="s">
        <v>11687</v>
      </c>
      <c r="J1681" s="11" t="s">
        <v>11688</v>
      </c>
      <c r="K1681" s="11" t="s">
        <v>228</v>
      </c>
      <c r="L1681" s="11" t="s">
        <v>229</v>
      </c>
      <c r="M1681" s="11" t="s">
        <v>11689</v>
      </c>
      <c r="N1681" s="11" t="s">
        <v>128</v>
      </c>
      <c r="O1681" s="11" t="s">
        <v>11690</v>
      </c>
      <c r="P1681" s="11" t="s">
        <v>3523</v>
      </c>
      <c r="Q1681" s="11" t="s">
        <v>150</v>
      </c>
      <c r="R1681" s="11"/>
      <c r="S1681" s="11" t="s">
        <v>71</v>
      </c>
      <c r="T1681" s="11" t="s">
        <v>70</v>
      </c>
      <c r="U1681" s="11" t="s">
        <v>150</v>
      </c>
      <c r="V1681" s="11" t="s">
        <v>70</v>
      </c>
      <c r="W1681" s="11" t="s">
        <v>70</v>
      </c>
      <c r="X1681" s="11">
        <v>26</v>
      </c>
      <c r="Y1681" s="11" t="s">
        <v>11263</v>
      </c>
      <c r="Z1681" s="11">
        <v>20</v>
      </c>
      <c r="AA1681" s="11">
        <v>0</v>
      </c>
      <c r="AB1681" s="12">
        <v>0</v>
      </c>
    </row>
    <row r="1682" spans="1:28" x14ac:dyDescent="0.2">
      <c r="A1682" s="7">
        <v>219340</v>
      </c>
      <c r="B1682" s="8" t="s">
        <v>11691</v>
      </c>
      <c r="C1682" s="8" t="s">
        <v>8860</v>
      </c>
      <c r="D1682" s="8" t="s">
        <v>4623</v>
      </c>
      <c r="E1682" s="8" t="s">
        <v>11692</v>
      </c>
      <c r="F1682" s="8" t="s">
        <v>8772</v>
      </c>
      <c r="G1682" s="8" t="s">
        <v>1488</v>
      </c>
      <c r="H1682" s="8" t="s">
        <v>329</v>
      </c>
      <c r="I1682" s="8" t="s">
        <v>8862</v>
      </c>
      <c r="J1682" s="8" t="s">
        <v>8863</v>
      </c>
      <c r="K1682" s="8" t="s">
        <v>415</v>
      </c>
      <c r="L1682" s="8" t="s">
        <v>333</v>
      </c>
      <c r="M1682" s="8" t="s">
        <v>11693</v>
      </c>
      <c r="N1682" s="8" t="s">
        <v>128</v>
      </c>
      <c r="O1682" s="8" t="s">
        <v>11694</v>
      </c>
      <c r="P1682" s="8" t="s">
        <v>7483</v>
      </c>
      <c r="Q1682" s="8" t="s">
        <v>150</v>
      </c>
      <c r="R1682" s="8"/>
      <c r="S1682" s="8" t="s">
        <v>8778</v>
      </c>
      <c r="T1682" s="8" t="s">
        <v>168</v>
      </c>
      <c r="U1682" s="8" t="s">
        <v>150</v>
      </c>
      <c r="V1682" s="8" t="s">
        <v>168</v>
      </c>
      <c r="W1682" s="8" t="s">
        <v>168</v>
      </c>
      <c r="X1682" s="8">
        <v>26</v>
      </c>
      <c r="Y1682" s="8" t="s">
        <v>11263</v>
      </c>
      <c r="Z1682" s="8">
        <v>20</v>
      </c>
      <c r="AA1682" s="8">
        <v>0</v>
      </c>
      <c r="AB1682" s="9">
        <v>0</v>
      </c>
    </row>
    <row r="1683" spans="1:28" x14ac:dyDescent="0.2">
      <c r="A1683" s="10">
        <v>92918</v>
      </c>
      <c r="B1683" s="11" t="s">
        <v>11695</v>
      </c>
      <c r="C1683" s="11" t="s">
        <v>1936</v>
      </c>
      <c r="D1683" s="11" t="s">
        <v>3240</v>
      </c>
      <c r="E1683" s="11"/>
      <c r="F1683" s="11" t="s">
        <v>353</v>
      </c>
      <c r="G1683" s="11" t="s">
        <v>11696</v>
      </c>
      <c r="H1683" s="11" t="s">
        <v>142</v>
      </c>
      <c r="I1683" s="11" t="s">
        <v>1938</v>
      </c>
      <c r="J1683" s="11" t="s">
        <v>11697</v>
      </c>
      <c r="K1683" s="11" t="s">
        <v>1673</v>
      </c>
      <c r="L1683" s="11" t="s">
        <v>464</v>
      </c>
      <c r="M1683" s="11" t="s">
        <v>11698</v>
      </c>
      <c r="N1683" s="11" t="s">
        <v>128</v>
      </c>
      <c r="O1683" s="11" t="s">
        <v>11699</v>
      </c>
      <c r="P1683" s="11"/>
      <c r="Q1683" s="11" t="s">
        <v>740</v>
      </c>
      <c r="R1683" s="11"/>
      <c r="S1683" s="11" t="s">
        <v>71</v>
      </c>
      <c r="T1683" s="11" t="s">
        <v>1745</v>
      </c>
      <c r="U1683" s="11" t="s">
        <v>134</v>
      </c>
      <c r="V1683" s="11" t="s">
        <v>740</v>
      </c>
      <c r="W1683" s="11" t="s">
        <v>1745</v>
      </c>
      <c r="X1683" s="11">
        <v>26</v>
      </c>
      <c r="Y1683" s="11" t="s">
        <v>11263</v>
      </c>
      <c r="Z1683" s="11">
        <v>20</v>
      </c>
      <c r="AA1683" s="11">
        <v>0</v>
      </c>
      <c r="AB1683" s="12">
        <v>0</v>
      </c>
    </row>
    <row r="1684" spans="1:28" x14ac:dyDescent="0.2">
      <c r="A1684" s="7">
        <v>24907</v>
      </c>
      <c r="B1684" s="8" t="s">
        <v>11700</v>
      </c>
      <c r="C1684" s="8" t="s">
        <v>8433</v>
      </c>
      <c r="D1684" s="8" t="s">
        <v>4630</v>
      </c>
      <c r="E1684" s="8"/>
      <c r="F1684" s="8" t="s">
        <v>11701</v>
      </c>
      <c r="G1684" s="8" t="s">
        <v>4270</v>
      </c>
      <c r="H1684" s="8" t="s">
        <v>4271</v>
      </c>
      <c r="I1684" s="8" t="s">
        <v>8436</v>
      </c>
      <c r="J1684" s="8" t="s">
        <v>11702</v>
      </c>
      <c r="K1684" s="8" t="s">
        <v>619</v>
      </c>
      <c r="L1684" s="8" t="s">
        <v>163</v>
      </c>
      <c r="M1684" s="8" t="s">
        <v>11703</v>
      </c>
      <c r="N1684" s="8" t="s">
        <v>128</v>
      </c>
      <c r="O1684" s="8"/>
      <c r="P1684" s="8"/>
      <c r="Q1684" s="8" t="s">
        <v>150</v>
      </c>
      <c r="R1684" s="8"/>
      <c r="S1684" s="8" t="s">
        <v>8441</v>
      </c>
      <c r="T1684" s="8" t="s">
        <v>1738</v>
      </c>
      <c r="U1684" s="8" t="s">
        <v>150</v>
      </c>
      <c r="V1684" s="8" t="s">
        <v>1738</v>
      </c>
      <c r="W1684" s="8" t="s">
        <v>1738</v>
      </c>
      <c r="X1684" s="8">
        <v>25</v>
      </c>
      <c r="Y1684" s="8" t="s">
        <v>11263</v>
      </c>
      <c r="Z1684" s="8">
        <v>20</v>
      </c>
      <c r="AA1684" s="8">
        <v>0</v>
      </c>
      <c r="AB1684" s="9">
        <v>0</v>
      </c>
    </row>
    <row r="1685" spans="1:28" x14ac:dyDescent="0.2">
      <c r="A1685" s="10">
        <v>21752</v>
      </c>
      <c r="B1685" s="11" t="s">
        <v>11704</v>
      </c>
      <c r="C1685" s="11" t="s">
        <v>8217</v>
      </c>
      <c r="D1685" s="11" t="s">
        <v>138</v>
      </c>
      <c r="E1685" s="11" t="s">
        <v>11705</v>
      </c>
      <c r="F1685" s="11" t="s">
        <v>878</v>
      </c>
      <c r="G1685" s="11" t="s">
        <v>224</v>
      </c>
      <c r="H1685" s="11" t="s">
        <v>225</v>
      </c>
      <c r="I1685" s="11" t="s">
        <v>11513</v>
      </c>
      <c r="J1685" s="11" t="s">
        <v>11706</v>
      </c>
      <c r="K1685" s="11" t="s">
        <v>228</v>
      </c>
      <c r="L1685" s="11" t="s">
        <v>229</v>
      </c>
      <c r="M1685" s="11" t="s">
        <v>11707</v>
      </c>
      <c r="N1685" s="11" t="s">
        <v>128</v>
      </c>
      <c r="O1685" s="11" t="s">
        <v>11708</v>
      </c>
      <c r="P1685" s="11"/>
      <c r="Q1685" s="11" t="s">
        <v>131</v>
      </c>
      <c r="R1685" s="11"/>
      <c r="S1685" s="11" t="s">
        <v>3061</v>
      </c>
      <c r="T1685" s="11" t="s">
        <v>983</v>
      </c>
      <c r="U1685" s="11" t="s">
        <v>134</v>
      </c>
      <c r="V1685" s="11" t="s">
        <v>131</v>
      </c>
      <c r="W1685" s="11" t="s">
        <v>983</v>
      </c>
      <c r="X1685" s="11">
        <v>24</v>
      </c>
      <c r="Y1685" s="11" t="s">
        <v>11263</v>
      </c>
      <c r="Z1685" s="11">
        <v>20</v>
      </c>
      <c r="AA1685" s="11">
        <v>0</v>
      </c>
      <c r="AB1685" s="12">
        <v>0</v>
      </c>
    </row>
    <row r="1686" spans="1:28" x14ac:dyDescent="0.2">
      <c r="A1686" s="7">
        <v>26571</v>
      </c>
      <c r="B1686" s="8" t="s">
        <v>11709</v>
      </c>
      <c r="C1686" s="8" t="s">
        <v>1125</v>
      </c>
      <c r="D1686" s="8" t="s">
        <v>1126</v>
      </c>
      <c r="E1686" s="8"/>
      <c r="F1686" s="8"/>
      <c r="G1686" s="8" t="s">
        <v>450</v>
      </c>
      <c r="H1686" s="8" t="s">
        <v>301</v>
      </c>
      <c r="I1686" s="8" t="s">
        <v>1129</v>
      </c>
      <c r="J1686" s="8" t="s">
        <v>11710</v>
      </c>
      <c r="K1686" s="8" t="s">
        <v>304</v>
      </c>
      <c r="L1686" s="8" t="s">
        <v>229</v>
      </c>
      <c r="M1686" s="8" t="s">
        <v>11711</v>
      </c>
      <c r="N1686" s="8" t="s">
        <v>128</v>
      </c>
      <c r="O1686" s="8" t="s">
        <v>11712</v>
      </c>
      <c r="P1686" s="8"/>
      <c r="Q1686" s="8" t="s">
        <v>131</v>
      </c>
      <c r="R1686" s="8"/>
      <c r="S1686" s="8" t="s">
        <v>11713</v>
      </c>
      <c r="T1686" s="8" t="s">
        <v>983</v>
      </c>
      <c r="U1686" s="8" t="s">
        <v>134</v>
      </c>
      <c r="V1686" s="8" t="s">
        <v>131</v>
      </c>
      <c r="W1686" s="8" t="s">
        <v>983</v>
      </c>
      <c r="X1686" s="8">
        <v>24</v>
      </c>
      <c r="Y1686" s="8" t="s">
        <v>11263</v>
      </c>
      <c r="Z1686" s="8">
        <v>20</v>
      </c>
      <c r="AA1686" s="8">
        <v>0</v>
      </c>
      <c r="AB1686" s="9">
        <v>0</v>
      </c>
    </row>
    <row r="1687" spans="1:28" x14ac:dyDescent="0.2">
      <c r="A1687" s="10">
        <v>21423</v>
      </c>
      <c r="B1687" s="11" t="s">
        <v>11714</v>
      </c>
      <c r="C1687" s="11" t="s">
        <v>11715</v>
      </c>
      <c r="D1687" s="11" t="s">
        <v>1942</v>
      </c>
      <c r="E1687" s="11" t="s">
        <v>11716</v>
      </c>
      <c r="F1687" s="11" t="s">
        <v>11717</v>
      </c>
      <c r="G1687" s="11" t="s">
        <v>141</v>
      </c>
      <c r="H1687" s="11" t="s">
        <v>142</v>
      </c>
      <c r="I1687" s="11" t="s">
        <v>11718</v>
      </c>
      <c r="J1687" s="11" t="s">
        <v>11719</v>
      </c>
      <c r="K1687" s="11" t="s">
        <v>145</v>
      </c>
      <c r="L1687" s="11" t="s">
        <v>146</v>
      </c>
      <c r="M1687" s="11" t="s">
        <v>11720</v>
      </c>
      <c r="N1687" s="11" t="s">
        <v>128</v>
      </c>
      <c r="O1687" s="11" t="s">
        <v>11721</v>
      </c>
      <c r="P1687" s="11" t="s">
        <v>11722</v>
      </c>
      <c r="Q1687" s="11" t="s">
        <v>150</v>
      </c>
      <c r="R1687" s="11"/>
      <c r="S1687" s="11" t="s">
        <v>71</v>
      </c>
      <c r="T1687" s="11" t="s">
        <v>67</v>
      </c>
      <c r="U1687" s="11" t="s">
        <v>150</v>
      </c>
      <c r="V1687" s="11" t="s">
        <v>152</v>
      </c>
      <c r="W1687" s="11" t="s">
        <v>67</v>
      </c>
      <c r="X1687" s="11">
        <v>23</v>
      </c>
      <c r="Y1687" s="11" t="s">
        <v>11263</v>
      </c>
      <c r="Z1687" s="11">
        <v>20</v>
      </c>
      <c r="AA1687" s="11">
        <v>0</v>
      </c>
      <c r="AB1687" s="12">
        <v>0</v>
      </c>
    </row>
    <row r="1688" spans="1:28" x14ac:dyDescent="0.2">
      <c r="A1688" s="7">
        <v>21214</v>
      </c>
      <c r="B1688" s="8" t="s">
        <v>11723</v>
      </c>
      <c r="C1688" s="8" t="s">
        <v>1214</v>
      </c>
      <c r="D1688" s="8" t="s">
        <v>1215</v>
      </c>
      <c r="E1688" s="8" t="s">
        <v>11724</v>
      </c>
      <c r="F1688" s="8" t="s">
        <v>353</v>
      </c>
      <c r="G1688" s="8" t="s">
        <v>536</v>
      </c>
      <c r="H1688" s="8" t="s">
        <v>329</v>
      </c>
      <c r="I1688" s="8" t="s">
        <v>1216</v>
      </c>
      <c r="J1688" s="8" t="s">
        <v>1217</v>
      </c>
      <c r="K1688" s="8" t="s">
        <v>431</v>
      </c>
      <c r="L1688" s="8" t="s">
        <v>333</v>
      </c>
      <c r="M1688" s="8" t="s">
        <v>11725</v>
      </c>
      <c r="N1688" s="8" t="s">
        <v>128</v>
      </c>
      <c r="O1688" s="8" t="s">
        <v>11726</v>
      </c>
      <c r="P1688" s="8" t="s">
        <v>11727</v>
      </c>
      <c r="Q1688" s="8" t="s">
        <v>150</v>
      </c>
      <c r="R1688" s="8"/>
      <c r="S1688" s="8" t="s">
        <v>1221</v>
      </c>
      <c r="T1688" s="8" t="s">
        <v>642</v>
      </c>
      <c r="U1688" s="8" t="s">
        <v>150</v>
      </c>
      <c r="V1688" s="8" t="s">
        <v>642</v>
      </c>
      <c r="W1688" s="8" t="s">
        <v>642</v>
      </c>
      <c r="X1688" s="8">
        <v>22</v>
      </c>
      <c r="Y1688" s="8" t="s">
        <v>11263</v>
      </c>
      <c r="Z1688" s="8">
        <v>20</v>
      </c>
      <c r="AA1688" s="8">
        <v>0</v>
      </c>
      <c r="AB1688" s="9">
        <v>0</v>
      </c>
    </row>
    <row r="1689" spans="1:28" x14ac:dyDescent="0.2">
      <c r="A1689" s="10">
        <v>22867</v>
      </c>
      <c r="B1689" s="11" t="s">
        <v>11728</v>
      </c>
      <c r="C1689" s="11" t="s">
        <v>11729</v>
      </c>
      <c r="D1689" s="11" t="s">
        <v>11505</v>
      </c>
      <c r="E1689" s="11"/>
      <c r="F1689" s="11" t="s">
        <v>11730</v>
      </c>
      <c r="G1689" s="11" t="s">
        <v>141</v>
      </c>
      <c r="H1689" s="11" t="s">
        <v>142</v>
      </c>
      <c r="I1689" s="11" t="s">
        <v>11731</v>
      </c>
      <c r="J1689" s="11" t="s">
        <v>11732</v>
      </c>
      <c r="K1689" s="11" t="s">
        <v>584</v>
      </c>
      <c r="L1689" s="11" t="s">
        <v>146</v>
      </c>
      <c r="M1689" s="11" t="s">
        <v>11733</v>
      </c>
      <c r="N1689" s="11" t="s">
        <v>128</v>
      </c>
      <c r="O1689" s="11" t="s">
        <v>11734</v>
      </c>
      <c r="P1689" s="11" t="s">
        <v>11735</v>
      </c>
      <c r="Q1689" s="11" t="s">
        <v>150</v>
      </c>
      <c r="R1689" s="11"/>
      <c r="S1689" s="11" t="s">
        <v>71</v>
      </c>
      <c r="T1689" s="11" t="s">
        <v>1415</v>
      </c>
      <c r="U1689" s="11" t="s">
        <v>150</v>
      </c>
      <c r="V1689" s="11" t="s">
        <v>1415</v>
      </c>
      <c r="W1689" s="11" t="s">
        <v>1415</v>
      </c>
      <c r="X1689" s="11">
        <v>22</v>
      </c>
      <c r="Y1689" s="11" t="s">
        <v>11263</v>
      </c>
      <c r="Z1689" s="11">
        <v>20</v>
      </c>
      <c r="AA1689" s="11">
        <v>0</v>
      </c>
      <c r="AB1689" s="12">
        <v>0</v>
      </c>
    </row>
    <row r="1690" spans="1:28" x14ac:dyDescent="0.2">
      <c r="A1690" s="7">
        <v>92314</v>
      </c>
      <c r="B1690" s="8" t="s">
        <v>11736</v>
      </c>
      <c r="C1690" s="8" t="s">
        <v>4673</v>
      </c>
      <c r="D1690" s="8" t="s">
        <v>7807</v>
      </c>
      <c r="E1690" s="8"/>
      <c r="F1690" s="8" t="s">
        <v>4674</v>
      </c>
      <c r="G1690" s="8" t="s">
        <v>4675</v>
      </c>
      <c r="H1690" s="8" t="s">
        <v>191</v>
      </c>
      <c r="I1690" s="8" t="s">
        <v>4676</v>
      </c>
      <c r="J1690" s="8" t="s">
        <v>11737</v>
      </c>
      <c r="K1690" s="8" t="s">
        <v>194</v>
      </c>
      <c r="L1690" s="8" t="s">
        <v>163</v>
      </c>
      <c r="M1690" s="8" t="s">
        <v>11738</v>
      </c>
      <c r="N1690" s="8" t="s">
        <v>128</v>
      </c>
      <c r="O1690" s="8" t="s">
        <v>11739</v>
      </c>
      <c r="P1690" s="8" t="s">
        <v>11740</v>
      </c>
      <c r="Q1690" s="8" t="s">
        <v>150</v>
      </c>
      <c r="R1690" s="8"/>
      <c r="S1690" s="8" t="s">
        <v>71</v>
      </c>
      <c r="T1690" s="8" t="s">
        <v>5007</v>
      </c>
      <c r="U1690" s="8" t="s">
        <v>150</v>
      </c>
      <c r="V1690" s="8" t="s">
        <v>5007</v>
      </c>
      <c r="W1690" s="8" t="s">
        <v>5007</v>
      </c>
      <c r="X1690" s="8">
        <v>22</v>
      </c>
      <c r="Y1690" s="8" t="s">
        <v>11263</v>
      </c>
      <c r="Z1690" s="8">
        <v>20</v>
      </c>
      <c r="AA1690" s="8">
        <v>0</v>
      </c>
      <c r="AB1690" s="9">
        <v>0</v>
      </c>
    </row>
    <row r="1691" spans="1:28" x14ac:dyDescent="0.2">
      <c r="A1691" s="10">
        <v>24892</v>
      </c>
      <c r="B1691" s="11" t="s">
        <v>11741</v>
      </c>
      <c r="C1691" s="11" t="s">
        <v>7976</v>
      </c>
      <c r="D1691" s="11" t="s">
        <v>1646</v>
      </c>
      <c r="E1691" s="11"/>
      <c r="F1691" s="11" t="s">
        <v>353</v>
      </c>
      <c r="G1691" s="11" t="s">
        <v>4513</v>
      </c>
      <c r="H1691" s="11" t="s">
        <v>847</v>
      </c>
      <c r="I1691" s="11" t="s">
        <v>11742</v>
      </c>
      <c r="J1691" s="11" t="s">
        <v>11743</v>
      </c>
      <c r="K1691" s="11" t="s">
        <v>1091</v>
      </c>
      <c r="L1691" s="11" t="s">
        <v>126</v>
      </c>
      <c r="M1691" s="11" t="s">
        <v>11744</v>
      </c>
      <c r="N1691" s="11" t="s">
        <v>128</v>
      </c>
      <c r="O1691" s="11" t="s">
        <v>11745</v>
      </c>
      <c r="P1691" s="11" t="s">
        <v>11746</v>
      </c>
      <c r="Q1691" s="11" t="s">
        <v>150</v>
      </c>
      <c r="R1691" s="11"/>
      <c r="S1691" s="11" t="s">
        <v>71</v>
      </c>
      <c r="T1691" s="11" t="s">
        <v>1738</v>
      </c>
      <c r="U1691" s="11" t="s">
        <v>150</v>
      </c>
      <c r="V1691" s="11" t="s">
        <v>1738</v>
      </c>
      <c r="W1691" s="11" t="s">
        <v>1738</v>
      </c>
      <c r="X1691" s="11">
        <v>22</v>
      </c>
      <c r="Y1691" s="11" t="s">
        <v>11263</v>
      </c>
      <c r="Z1691" s="11">
        <v>20</v>
      </c>
      <c r="AA1691" s="11">
        <v>0</v>
      </c>
      <c r="AB1691" s="12">
        <v>0</v>
      </c>
    </row>
    <row r="1692" spans="1:28" x14ac:dyDescent="0.2">
      <c r="A1692" s="7">
        <v>31459</v>
      </c>
      <c r="B1692" s="8" t="s">
        <v>11747</v>
      </c>
      <c r="C1692" s="8" t="s">
        <v>11748</v>
      </c>
      <c r="D1692" s="8" t="s">
        <v>138</v>
      </c>
      <c r="E1692" s="8"/>
      <c r="F1692" s="8" t="s">
        <v>353</v>
      </c>
      <c r="G1692" s="8" t="s">
        <v>1196</v>
      </c>
      <c r="H1692" s="8" t="s">
        <v>142</v>
      </c>
      <c r="I1692" s="8"/>
      <c r="J1692" s="8" t="s">
        <v>11749</v>
      </c>
      <c r="K1692" s="8" t="s">
        <v>1199</v>
      </c>
      <c r="L1692" s="8" t="s">
        <v>464</v>
      </c>
      <c r="M1692" s="8" t="s">
        <v>11750</v>
      </c>
      <c r="N1692" s="8" t="s">
        <v>128</v>
      </c>
      <c r="O1692" s="8" t="s">
        <v>11751</v>
      </c>
      <c r="P1692" s="8" t="s">
        <v>11752</v>
      </c>
      <c r="Q1692" s="8" t="s">
        <v>249</v>
      </c>
      <c r="R1692" s="8"/>
      <c r="S1692" s="8" t="s">
        <v>71</v>
      </c>
      <c r="T1692" s="8" t="s">
        <v>250</v>
      </c>
      <c r="U1692" s="8" t="s">
        <v>134</v>
      </c>
      <c r="V1692" s="8" t="s">
        <v>249</v>
      </c>
      <c r="W1692" s="8" t="s">
        <v>250</v>
      </c>
      <c r="X1692" s="8">
        <v>22</v>
      </c>
      <c r="Y1692" s="8" t="s">
        <v>11263</v>
      </c>
      <c r="Z1692" s="8">
        <v>20</v>
      </c>
      <c r="AA1692" s="8">
        <v>0</v>
      </c>
      <c r="AB1692" s="9">
        <v>0</v>
      </c>
    </row>
    <row r="1693" spans="1:28" x14ac:dyDescent="0.2">
      <c r="A1693" s="10">
        <v>20744</v>
      </c>
      <c r="B1693" s="11" t="s">
        <v>11753</v>
      </c>
      <c r="C1693" s="11" t="s">
        <v>5894</v>
      </c>
      <c r="D1693" s="11" t="s">
        <v>5895</v>
      </c>
      <c r="E1693" s="11" t="s">
        <v>11754</v>
      </c>
      <c r="F1693" s="11" t="s">
        <v>353</v>
      </c>
      <c r="G1693" s="11" t="s">
        <v>5804</v>
      </c>
      <c r="H1693" s="11" t="s">
        <v>5805</v>
      </c>
      <c r="I1693" s="11" t="s">
        <v>5897</v>
      </c>
      <c r="J1693" s="11" t="s">
        <v>5898</v>
      </c>
      <c r="K1693" s="11" t="s">
        <v>274</v>
      </c>
      <c r="L1693" s="11" t="s">
        <v>163</v>
      </c>
      <c r="M1693" s="11" t="s">
        <v>11755</v>
      </c>
      <c r="N1693" s="11" t="s">
        <v>128</v>
      </c>
      <c r="O1693" s="11" t="s">
        <v>11756</v>
      </c>
      <c r="P1693" s="11"/>
      <c r="Q1693" s="11" t="s">
        <v>150</v>
      </c>
      <c r="R1693" s="11"/>
      <c r="S1693" s="11" t="s">
        <v>5902</v>
      </c>
      <c r="T1693" s="11" t="s">
        <v>8111</v>
      </c>
      <c r="U1693" s="11" t="s">
        <v>150</v>
      </c>
      <c r="V1693" s="11" t="s">
        <v>8111</v>
      </c>
      <c r="W1693" s="11" t="s">
        <v>8111</v>
      </c>
      <c r="X1693" s="11">
        <v>21</v>
      </c>
      <c r="Y1693" s="11" t="s">
        <v>11263</v>
      </c>
      <c r="Z1693" s="11">
        <v>20</v>
      </c>
      <c r="AA1693" s="11">
        <v>0</v>
      </c>
      <c r="AB1693" s="12">
        <v>0</v>
      </c>
    </row>
    <row r="1694" spans="1:28" x14ac:dyDescent="0.2">
      <c r="A1694" s="7">
        <v>26151</v>
      </c>
      <c r="B1694" s="8" t="s">
        <v>11757</v>
      </c>
      <c r="C1694" s="8" t="s">
        <v>7372</v>
      </c>
      <c r="D1694" s="8" t="s">
        <v>7326</v>
      </c>
      <c r="E1694" s="8"/>
      <c r="F1694" s="8"/>
      <c r="G1694" s="8" t="s">
        <v>412</v>
      </c>
      <c r="H1694" s="8" t="s">
        <v>329</v>
      </c>
      <c r="I1694" s="8" t="s">
        <v>11758</v>
      </c>
      <c r="J1694" s="8" t="s">
        <v>11759</v>
      </c>
      <c r="K1694" s="8" t="s">
        <v>415</v>
      </c>
      <c r="L1694" s="8" t="s">
        <v>333</v>
      </c>
      <c r="M1694" s="8" t="s">
        <v>11760</v>
      </c>
      <c r="N1694" s="8" t="s">
        <v>128</v>
      </c>
      <c r="O1694" s="8" t="s">
        <v>11761</v>
      </c>
      <c r="P1694" s="8" t="s">
        <v>11762</v>
      </c>
      <c r="Q1694" s="8" t="s">
        <v>150</v>
      </c>
      <c r="R1694" s="8"/>
      <c r="S1694" s="8" t="s">
        <v>71</v>
      </c>
      <c r="T1694" s="8" t="s">
        <v>642</v>
      </c>
      <c r="U1694" s="8" t="s">
        <v>150</v>
      </c>
      <c r="V1694" s="8" t="s">
        <v>642</v>
      </c>
      <c r="W1694" s="8" t="s">
        <v>642</v>
      </c>
      <c r="X1694" s="8">
        <v>19</v>
      </c>
      <c r="Y1694" s="8" t="s">
        <v>11263</v>
      </c>
      <c r="Z1694" s="8">
        <v>20</v>
      </c>
      <c r="AA1694" s="8">
        <v>0</v>
      </c>
      <c r="AB1694" s="9">
        <v>0</v>
      </c>
    </row>
    <row r="1695" spans="1:28" x14ac:dyDescent="0.2">
      <c r="A1695" s="10">
        <v>22532</v>
      </c>
      <c r="B1695" s="11" t="s">
        <v>11763</v>
      </c>
      <c r="C1695" s="11" t="s">
        <v>4316</v>
      </c>
      <c r="D1695" s="11" t="s">
        <v>138</v>
      </c>
      <c r="E1695" s="11" t="s">
        <v>11764</v>
      </c>
      <c r="F1695" s="11" t="s">
        <v>4318</v>
      </c>
      <c r="G1695" s="11" t="s">
        <v>4063</v>
      </c>
      <c r="H1695" s="11" t="s">
        <v>301</v>
      </c>
      <c r="I1695" s="11" t="s">
        <v>3964</v>
      </c>
      <c r="J1695" s="11" t="s">
        <v>4319</v>
      </c>
      <c r="K1695" s="11" t="s">
        <v>228</v>
      </c>
      <c r="L1695" s="11" t="s">
        <v>229</v>
      </c>
      <c r="M1695" s="11" t="s">
        <v>11765</v>
      </c>
      <c r="N1695" s="11" t="s">
        <v>128</v>
      </c>
      <c r="O1695" s="11" t="s">
        <v>11766</v>
      </c>
      <c r="P1695" s="11" t="s">
        <v>11767</v>
      </c>
      <c r="Q1695" s="11" t="s">
        <v>150</v>
      </c>
      <c r="R1695" s="11"/>
      <c r="S1695" s="11" t="s">
        <v>3968</v>
      </c>
      <c r="T1695" s="11" t="s">
        <v>869</v>
      </c>
      <c r="U1695" s="11" t="s">
        <v>150</v>
      </c>
      <c r="V1695" s="11" t="s">
        <v>869</v>
      </c>
      <c r="W1695" s="11" t="s">
        <v>869</v>
      </c>
      <c r="X1695" s="11">
        <v>19</v>
      </c>
      <c r="Y1695" s="11" t="s">
        <v>11263</v>
      </c>
      <c r="Z1695" s="11">
        <v>20</v>
      </c>
      <c r="AA1695" s="11">
        <v>0</v>
      </c>
      <c r="AB1695" s="12">
        <v>0</v>
      </c>
    </row>
    <row r="1696" spans="1:28" x14ac:dyDescent="0.2">
      <c r="A1696" s="7">
        <v>22712</v>
      </c>
      <c r="B1696" s="8" t="s">
        <v>11768</v>
      </c>
      <c r="C1696" s="8" t="s">
        <v>2257</v>
      </c>
      <c r="D1696" s="8" t="s">
        <v>11769</v>
      </c>
      <c r="E1696" s="8"/>
      <c r="F1696" s="8" t="s">
        <v>353</v>
      </c>
      <c r="G1696" s="8" t="s">
        <v>521</v>
      </c>
      <c r="H1696" s="8" t="s">
        <v>522</v>
      </c>
      <c r="I1696" s="8" t="s">
        <v>2260</v>
      </c>
      <c r="J1696" s="8" t="s">
        <v>11770</v>
      </c>
      <c r="K1696" s="8" t="s">
        <v>525</v>
      </c>
      <c r="L1696" s="8" t="s">
        <v>526</v>
      </c>
      <c r="M1696" s="8" t="s">
        <v>11771</v>
      </c>
      <c r="N1696" s="8" t="s">
        <v>128</v>
      </c>
      <c r="O1696" s="8" t="s">
        <v>11772</v>
      </c>
      <c r="P1696" s="8"/>
      <c r="Q1696" s="8" t="s">
        <v>150</v>
      </c>
      <c r="R1696" s="8"/>
      <c r="S1696" s="8" t="s">
        <v>2265</v>
      </c>
      <c r="T1696" s="8" t="s">
        <v>2702</v>
      </c>
      <c r="U1696" s="8" t="s">
        <v>150</v>
      </c>
      <c r="V1696" s="8" t="s">
        <v>2702</v>
      </c>
      <c r="W1696" s="8" t="s">
        <v>2702</v>
      </c>
      <c r="X1696" s="8">
        <v>19</v>
      </c>
      <c r="Y1696" s="8" t="s">
        <v>11263</v>
      </c>
      <c r="Z1696" s="8">
        <v>20</v>
      </c>
      <c r="AA1696" s="8">
        <v>0</v>
      </c>
      <c r="AB1696" s="9">
        <v>0</v>
      </c>
    </row>
    <row r="1697" spans="1:28" x14ac:dyDescent="0.2">
      <c r="A1697" s="10">
        <v>23575</v>
      </c>
      <c r="B1697" s="11" t="s">
        <v>11773</v>
      </c>
      <c r="C1697" s="11" t="s">
        <v>601</v>
      </c>
      <c r="D1697" s="11" t="s">
        <v>602</v>
      </c>
      <c r="E1697" s="11" t="s">
        <v>603</v>
      </c>
      <c r="F1697" s="11" t="s">
        <v>604</v>
      </c>
      <c r="G1697" s="11" t="s">
        <v>450</v>
      </c>
      <c r="H1697" s="11" t="s">
        <v>301</v>
      </c>
      <c r="I1697" s="11" t="s">
        <v>605</v>
      </c>
      <c r="J1697" s="11" t="s">
        <v>11774</v>
      </c>
      <c r="K1697" s="11" t="s">
        <v>304</v>
      </c>
      <c r="L1697" s="11" t="s">
        <v>229</v>
      </c>
      <c r="M1697" s="11" t="s">
        <v>11775</v>
      </c>
      <c r="N1697" s="11" t="s">
        <v>128</v>
      </c>
      <c r="O1697" s="11" t="s">
        <v>11776</v>
      </c>
      <c r="P1697" s="11" t="s">
        <v>11777</v>
      </c>
      <c r="Q1697" s="11" t="s">
        <v>150</v>
      </c>
      <c r="R1697" s="11"/>
      <c r="S1697" s="11" t="s">
        <v>11778</v>
      </c>
      <c r="T1697" s="11" t="s">
        <v>168</v>
      </c>
      <c r="U1697" s="11" t="s">
        <v>150</v>
      </c>
      <c r="V1697" s="11" t="s">
        <v>168</v>
      </c>
      <c r="W1697" s="11" t="s">
        <v>168</v>
      </c>
      <c r="X1697" s="11">
        <v>19</v>
      </c>
      <c r="Y1697" s="11" t="s">
        <v>11263</v>
      </c>
      <c r="Z1697" s="11">
        <v>20</v>
      </c>
      <c r="AA1697" s="11">
        <v>0</v>
      </c>
      <c r="AB1697" s="12">
        <v>0</v>
      </c>
    </row>
    <row r="1698" spans="1:28" x14ac:dyDescent="0.2">
      <c r="A1698" s="7">
        <v>86583</v>
      </c>
      <c r="B1698" s="8" t="s">
        <v>11779</v>
      </c>
      <c r="C1698" s="8" t="s">
        <v>6840</v>
      </c>
      <c r="D1698" s="8" t="s">
        <v>10896</v>
      </c>
      <c r="E1698" s="8"/>
      <c r="F1698" s="8" t="s">
        <v>11780</v>
      </c>
      <c r="G1698" s="8" t="s">
        <v>2642</v>
      </c>
      <c r="H1698" s="8" t="s">
        <v>329</v>
      </c>
      <c r="I1698" s="8" t="s">
        <v>11781</v>
      </c>
      <c r="J1698" s="8" t="s">
        <v>11782</v>
      </c>
      <c r="K1698" s="8" t="s">
        <v>572</v>
      </c>
      <c r="L1698" s="8" t="s">
        <v>333</v>
      </c>
      <c r="M1698" s="8" t="s">
        <v>11783</v>
      </c>
      <c r="N1698" s="8" t="s">
        <v>128</v>
      </c>
      <c r="O1698" s="8" t="s">
        <v>11784</v>
      </c>
      <c r="P1698" s="8" t="s">
        <v>10486</v>
      </c>
      <c r="Q1698" s="8" t="s">
        <v>150</v>
      </c>
      <c r="R1698" s="8"/>
      <c r="S1698" s="8" t="s">
        <v>71</v>
      </c>
      <c r="T1698" s="8" t="s">
        <v>168</v>
      </c>
      <c r="U1698" s="8" t="s">
        <v>150</v>
      </c>
      <c r="V1698" s="8" t="s">
        <v>168</v>
      </c>
      <c r="W1698" s="8" t="s">
        <v>168</v>
      </c>
      <c r="X1698" s="8">
        <v>19</v>
      </c>
      <c r="Y1698" s="8" t="s">
        <v>11263</v>
      </c>
      <c r="Z1698" s="8">
        <v>20</v>
      </c>
      <c r="AA1698" s="8">
        <v>0</v>
      </c>
      <c r="AB1698" s="9">
        <v>0</v>
      </c>
    </row>
    <row r="1699" spans="1:28" x14ac:dyDescent="0.2">
      <c r="A1699" s="10">
        <v>24591</v>
      </c>
      <c r="B1699" s="11" t="s">
        <v>11785</v>
      </c>
      <c r="C1699" s="11" t="s">
        <v>9150</v>
      </c>
      <c r="D1699" s="11" t="s">
        <v>11786</v>
      </c>
      <c r="E1699" s="11"/>
      <c r="F1699" s="11" t="s">
        <v>9152</v>
      </c>
      <c r="G1699" s="11" t="s">
        <v>121</v>
      </c>
      <c r="H1699" s="11" t="s">
        <v>122</v>
      </c>
      <c r="I1699" s="11" t="s">
        <v>11787</v>
      </c>
      <c r="J1699" s="11" t="s">
        <v>11788</v>
      </c>
      <c r="K1699" s="11" t="s">
        <v>125</v>
      </c>
      <c r="L1699" s="11" t="s">
        <v>126</v>
      </c>
      <c r="M1699" s="11" t="s">
        <v>11789</v>
      </c>
      <c r="N1699" s="11" t="s">
        <v>128</v>
      </c>
      <c r="O1699" s="11" t="s">
        <v>11790</v>
      </c>
      <c r="P1699" s="11" t="s">
        <v>5166</v>
      </c>
      <c r="Q1699" s="11" t="s">
        <v>150</v>
      </c>
      <c r="R1699" s="11"/>
      <c r="S1699" s="11" t="s">
        <v>71</v>
      </c>
      <c r="T1699" s="11" t="s">
        <v>69</v>
      </c>
      <c r="U1699" s="11" t="s">
        <v>150</v>
      </c>
      <c r="V1699" s="11" t="s">
        <v>152</v>
      </c>
      <c r="W1699" s="11" t="s">
        <v>69</v>
      </c>
      <c r="X1699" s="11">
        <v>19</v>
      </c>
      <c r="Y1699" s="11" t="s">
        <v>11263</v>
      </c>
      <c r="Z1699" s="11">
        <v>20</v>
      </c>
      <c r="AA1699" s="11">
        <v>0</v>
      </c>
      <c r="AB1699" s="12">
        <v>0</v>
      </c>
    </row>
    <row r="1700" spans="1:28" x14ac:dyDescent="0.2">
      <c r="A1700" s="7">
        <v>22833</v>
      </c>
      <c r="B1700" s="8" t="s">
        <v>11791</v>
      </c>
      <c r="C1700" s="8" t="s">
        <v>9150</v>
      </c>
      <c r="D1700" s="8" t="s">
        <v>7074</v>
      </c>
      <c r="E1700" s="8"/>
      <c r="F1700" s="8" t="s">
        <v>9152</v>
      </c>
      <c r="G1700" s="8" t="s">
        <v>121</v>
      </c>
      <c r="H1700" s="8" t="s">
        <v>122</v>
      </c>
      <c r="I1700" s="8" t="s">
        <v>9153</v>
      </c>
      <c r="J1700" s="8" t="s">
        <v>11792</v>
      </c>
      <c r="K1700" s="8" t="s">
        <v>125</v>
      </c>
      <c r="L1700" s="8" t="s">
        <v>126</v>
      </c>
      <c r="M1700" s="8" t="s">
        <v>11793</v>
      </c>
      <c r="N1700" s="8" t="s">
        <v>128</v>
      </c>
      <c r="O1700" s="8" t="s">
        <v>11794</v>
      </c>
      <c r="P1700" s="8" t="s">
        <v>6374</v>
      </c>
      <c r="Q1700" s="8" t="s">
        <v>150</v>
      </c>
      <c r="R1700" s="8"/>
      <c r="S1700" s="8" t="s">
        <v>71</v>
      </c>
      <c r="T1700" s="8" t="s">
        <v>7189</v>
      </c>
      <c r="U1700" s="8" t="s">
        <v>150</v>
      </c>
      <c r="V1700" s="8" t="s">
        <v>7189</v>
      </c>
      <c r="W1700" s="8" t="s">
        <v>7189</v>
      </c>
      <c r="X1700" s="8">
        <v>18</v>
      </c>
      <c r="Y1700" s="8" t="s">
        <v>11263</v>
      </c>
      <c r="Z1700" s="8">
        <v>20</v>
      </c>
      <c r="AA1700" s="8">
        <v>0</v>
      </c>
      <c r="AB1700" s="9">
        <v>0</v>
      </c>
    </row>
    <row r="1701" spans="1:28" x14ac:dyDescent="0.2">
      <c r="A1701" s="10">
        <v>24956</v>
      </c>
      <c r="B1701" s="11" t="s">
        <v>11795</v>
      </c>
      <c r="C1701" s="11" t="s">
        <v>8241</v>
      </c>
      <c r="D1701" s="11" t="s">
        <v>2454</v>
      </c>
      <c r="E1701" s="11" t="s">
        <v>11796</v>
      </c>
      <c r="F1701" s="11" t="s">
        <v>353</v>
      </c>
      <c r="G1701" s="11" t="s">
        <v>4270</v>
      </c>
      <c r="H1701" s="11" t="s">
        <v>4271</v>
      </c>
      <c r="I1701" s="11" t="s">
        <v>8243</v>
      </c>
      <c r="J1701" s="11" t="s">
        <v>11797</v>
      </c>
      <c r="K1701" s="11" t="s">
        <v>619</v>
      </c>
      <c r="L1701" s="11" t="s">
        <v>163</v>
      </c>
      <c r="M1701" s="11" t="s">
        <v>11798</v>
      </c>
      <c r="N1701" s="11" t="s">
        <v>128</v>
      </c>
      <c r="O1701" s="11" t="s">
        <v>11799</v>
      </c>
      <c r="P1701" s="11" t="s">
        <v>11800</v>
      </c>
      <c r="Q1701" s="11" t="s">
        <v>150</v>
      </c>
      <c r="R1701" s="11"/>
      <c r="S1701" s="11" t="s">
        <v>71</v>
      </c>
      <c r="T1701" s="11" t="s">
        <v>1738</v>
      </c>
      <c r="U1701" s="11" t="s">
        <v>150</v>
      </c>
      <c r="V1701" s="11" t="s">
        <v>1738</v>
      </c>
      <c r="W1701" s="11" t="s">
        <v>1738</v>
      </c>
      <c r="X1701" s="11">
        <v>18</v>
      </c>
      <c r="Y1701" s="11" t="s">
        <v>11263</v>
      </c>
      <c r="Z1701" s="11">
        <v>20</v>
      </c>
      <c r="AA1701" s="11">
        <v>0</v>
      </c>
      <c r="AB1701" s="12">
        <v>0</v>
      </c>
    </row>
    <row r="1702" spans="1:28" x14ac:dyDescent="0.2">
      <c r="A1702" s="7">
        <v>20749</v>
      </c>
      <c r="B1702" s="8" t="s">
        <v>11801</v>
      </c>
      <c r="C1702" s="8" t="s">
        <v>3335</v>
      </c>
      <c r="D1702" s="8" t="s">
        <v>1215</v>
      </c>
      <c r="E1702" s="8" t="s">
        <v>11802</v>
      </c>
      <c r="F1702" s="8" t="s">
        <v>3337</v>
      </c>
      <c r="G1702" s="8" t="s">
        <v>328</v>
      </c>
      <c r="H1702" s="8" t="s">
        <v>329</v>
      </c>
      <c r="I1702" s="8" t="s">
        <v>9758</v>
      </c>
      <c r="J1702" s="8" t="s">
        <v>7199</v>
      </c>
      <c r="K1702" s="8" t="s">
        <v>332</v>
      </c>
      <c r="L1702" s="8" t="s">
        <v>333</v>
      </c>
      <c r="M1702" s="8" t="s">
        <v>11803</v>
      </c>
      <c r="N1702" s="8" t="s">
        <v>128</v>
      </c>
      <c r="O1702" s="8" t="s">
        <v>11804</v>
      </c>
      <c r="P1702" s="8"/>
      <c r="Q1702" s="8" t="s">
        <v>131</v>
      </c>
      <c r="R1702" s="8"/>
      <c r="S1702" s="8" t="s">
        <v>7203</v>
      </c>
      <c r="T1702" s="8" t="s">
        <v>983</v>
      </c>
      <c r="U1702" s="8" t="s">
        <v>134</v>
      </c>
      <c r="V1702" s="8" t="s">
        <v>131</v>
      </c>
      <c r="W1702" s="8" t="s">
        <v>983</v>
      </c>
      <c r="X1702" s="8">
        <v>17</v>
      </c>
      <c r="Y1702" s="8" t="s">
        <v>11263</v>
      </c>
      <c r="Z1702" s="8">
        <v>20</v>
      </c>
      <c r="AA1702" s="8">
        <v>0</v>
      </c>
      <c r="AB1702" s="9">
        <v>0</v>
      </c>
    </row>
    <row r="1703" spans="1:28" x14ac:dyDescent="0.2">
      <c r="A1703" s="10">
        <v>23389</v>
      </c>
      <c r="B1703" s="11" t="s">
        <v>11805</v>
      </c>
      <c r="C1703" s="11" t="s">
        <v>4190</v>
      </c>
      <c r="D1703" s="11" t="s">
        <v>4351</v>
      </c>
      <c r="E1703" s="11"/>
      <c r="F1703" s="11" t="s">
        <v>3273</v>
      </c>
      <c r="G1703" s="11" t="s">
        <v>3274</v>
      </c>
      <c r="H1703" s="11" t="s">
        <v>329</v>
      </c>
      <c r="I1703" s="11" t="s">
        <v>4192</v>
      </c>
      <c r="J1703" s="11" t="s">
        <v>11806</v>
      </c>
      <c r="K1703" s="11" t="s">
        <v>431</v>
      </c>
      <c r="L1703" s="11" t="s">
        <v>333</v>
      </c>
      <c r="M1703" s="11" t="s">
        <v>11807</v>
      </c>
      <c r="N1703" s="11" t="s">
        <v>128</v>
      </c>
      <c r="O1703" s="11" t="s">
        <v>11808</v>
      </c>
      <c r="P1703" s="11" t="s">
        <v>11809</v>
      </c>
      <c r="Q1703" s="11" t="s">
        <v>150</v>
      </c>
      <c r="R1703" s="11"/>
      <c r="S1703" s="11" t="s">
        <v>71</v>
      </c>
      <c r="T1703" s="11" t="s">
        <v>1415</v>
      </c>
      <c r="U1703" s="11" t="s">
        <v>150</v>
      </c>
      <c r="V1703" s="11" t="s">
        <v>1415</v>
      </c>
      <c r="W1703" s="11" t="s">
        <v>1415</v>
      </c>
      <c r="X1703" s="11">
        <v>17</v>
      </c>
      <c r="Y1703" s="11" t="s">
        <v>11263</v>
      </c>
      <c r="Z1703" s="11">
        <v>20</v>
      </c>
      <c r="AA1703" s="11">
        <v>0</v>
      </c>
      <c r="AB1703" s="12">
        <v>0</v>
      </c>
    </row>
    <row r="1704" spans="1:28" x14ac:dyDescent="0.2">
      <c r="A1704" s="7">
        <v>24941</v>
      </c>
      <c r="B1704" s="8" t="s">
        <v>11810</v>
      </c>
      <c r="C1704" s="8" t="s">
        <v>11811</v>
      </c>
      <c r="D1704" s="8" t="s">
        <v>6738</v>
      </c>
      <c r="E1704" s="8" t="s">
        <v>4585</v>
      </c>
      <c r="F1704" s="8" t="s">
        <v>1951</v>
      </c>
      <c r="G1704" s="8" t="s">
        <v>1952</v>
      </c>
      <c r="H1704" s="8" t="s">
        <v>1953</v>
      </c>
      <c r="I1704" s="8" t="s">
        <v>6742</v>
      </c>
      <c r="J1704" s="8" t="s">
        <v>11812</v>
      </c>
      <c r="K1704" s="8" t="s">
        <v>1956</v>
      </c>
      <c r="L1704" s="8" t="s">
        <v>526</v>
      </c>
      <c r="M1704" s="8" t="s">
        <v>11813</v>
      </c>
      <c r="N1704" s="8" t="s">
        <v>128</v>
      </c>
      <c r="O1704" s="8" t="s">
        <v>11814</v>
      </c>
      <c r="P1704" s="8" t="s">
        <v>11815</v>
      </c>
      <c r="Q1704" s="8" t="s">
        <v>150</v>
      </c>
      <c r="R1704" s="8"/>
      <c r="S1704" s="8" t="s">
        <v>6747</v>
      </c>
      <c r="T1704" s="8" t="s">
        <v>1738</v>
      </c>
      <c r="U1704" s="8" t="s">
        <v>150</v>
      </c>
      <c r="V1704" s="8" t="s">
        <v>1738</v>
      </c>
      <c r="W1704" s="8" t="s">
        <v>1738</v>
      </c>
      <c r="X1704" s="8">
        <v>17</v>
      </c>
      <c r="Y1704" s="8" t="s">
        <v>11263</v>
      </c>
      <c r="Z1704" s="8">
        <v>20</v>
      </c>
      <c r="AA1704" s="8">
        <v>0</v>
      </c>
      <c r="AB1704" s="9">
        <v>0</v>
      </c>
    </row>
    <row r="1705" spans="1:28" x14ac:dyDescent="0.2">
      <c r="A1705" s="10">
        <v>22904</v>
      </c>
      <c r="B1705" s="11" t="s">
        <v>11816</v>
      </c>
      <c r="C1705" s="11" t="s">
        <v>2257</v>
      </c>
      <c r="D1705" s="11" t="s">
        <v>11650</v>
      </c>
      <c r="E1705" s="11" t="s">
        <v>11817</v>
      </c>
      <c r="F1705" s="11" t="s">
        <v>2259</v>
      </c>
      <c r="G1705" s="11" t="s">
        <v>521</v>
      </c>
      <c r="H1705" s="11" t="s">
        <v>522</v>
      </c>
      <c r="I1705" s="11" t="s">
        <v>11652</v>
      </c>
      <c r="J1705" s="11" t="s">
        <v>11818</v>
      </c>
      <c r="K1705" s="11" t="s">
        <v>525</v>
      </c>
      <c r="L1705" s="11" t="s">
        <v>526</v>
      </c>
      <c r="M1705" s="11" t="s">
        <v>11819</v>
      </c>
      <c r="N1705" s="11" t="s">
        <v>128</v>
      </c>
      <c r="O1705" s="11" t="s">
        <v>11820</v>
      </c>
      <c r="P1705" s="11" t="s">
        <v>11821</v>
      </c>
      <c r="Q1705" s="11" t="s">
        <v>150</v>
      </c>
      <c r="R1705" s="11"/>
      <c r="S1705" s="11" t="s">
        <v>2265</v>
      </c>
      <c r="T1705" s="11" t="s">
        <v>70</v>
      </c>
      <c r="U1705" s="11" t="s">
        <v>150</v>
      </c>
      <c r="V1705" s="11" t="s">
        <v>70</v>
      </c>
      <c r="W1705" s="11" t="s">
        <v>70</v>
      </c>
      <c r="X1705" s="11">
        <v>15</v>
      </c>
      <c r="Y1705" s="11" t="s">
        <v>11263</v>
      </c>
      <c r="Z1705" s="11">
        <v>20</v>
      </c>
      <c r="AA1705" s="11">
        <v>0</v>
      </c>
      <c r="AB1705" s="12">
        <v>0</v>
      </c>
    </row>
    <row r="1706" spans="1:28" x14ac:dyDescent="0.2">
      <c r="A1706" s="7">
        <v>22983</v>
      </c>
      <c r="B1706" s="8" t="s">
        <v>11822</v>
      </c>
      <c r="C1706" s="8" t="s">
        <v>9930</v>
      </c>
      <c r="D1706" s="8" t="s">
        <v>4418</v>
      </c>
      <c r="E1706" s="8" t="s">
        <v>10163</v>
      </c>
      <c r="F1706" s="8" t="s">
        <v>9932</v>
      </c>
      <c r="G1706" s="8" t="s">
        <v>328</v>
      </c>
      <c r="H1706" s="8" t="s">
        <v>329</v>
      </c>
      <c r="I1706" s="8" t="s">
        <v>9933</v>
      </c>
      <c r="J1706" s="8" t="s">
        <v>9934</v>
      </c>
      <c r="K1706" s="8" t="s">
        <v>332</v>
      </c>
      <c r="L1706" s="8" t="s">
        <v>333</v>
      </c>
      <c r="M1706" s="8" t="s">
        <v>11823</v>
      </c>
      <c r="N1706" s="8" t="s">
        <v>128</v>
      </c>
      <c r="O1706" s="8" t="s">
        <v>11824</v>
      </c>
      <c r="P1706" s="8" t="s">
        <v>11825</v>
      </c>
      <c r="Q1706" s="8" t="s">
        <v>150</v>
      </c>
      <c r="R1706" s="8"/>
      <c r="S1706" s="8" t="s">
        <v>9938</v>
      </c>
      <c r="T1706" s="8" t="s">
        <v>70</v>
      </c>
      <c r="U1706" s="8" t="s">
        <v>150</v>
      </c>
      <c r="V1706" s="8" t="s">
        <v>70</v>
      </c>
      <c r="W1706" s="8" t="s">
        <v>70</v>
      </c>
      <c r="X1706" s="8">
        <v>15</v>
      </c>
      <c r="Y1706" s="8" t="s">
        <v>11263</v>
      </c>
      <c r="Z1706" s="8">
        <v>20</v>
      </c>
      <c r="AA1706" s="8">
        <v>0</v>
      </c>
      <c r="AB1706" s="9">
        <v>0</v>
      </c>
    </row>
    <row r="1707" spans="1:28" x14ac:dyDescent="0.2">
      <c r="A1707" s="10">
        <v>23652</v>
      </c>
      <c r="B1707" s="11" t="s">
        <v>11826</v>
      </c>
      <c r="C1707" s="11" t="s">
        <v>10465</v>
      </c>
      <c r="D1707" s="11" t="s">
        <v>10466</v>
      </c>
      <c r="E1707" s="11" t="s">
        <v>4875</v>
      </c>
      <c r="F1707" s="11" t="s">
        <v>353</v>
      </c>
      <c r="G1707" s="11" t="s">
        <v>1253</v>
      </c>
      <c r="H1707" s="11" t="s">
        <v>142</v>
      </c>
      <c r="I1707" s="11" t="s">
        <v>10468</v>
      </c>
      <c r="J1707" s="11" t="s">
        <v>10469</v>
      </c>
      <c r="K1707" s="11" t="s">
        <v>1199</v>
      </c>
      <c r="L1707" s="11" t="s">
        <v>464</v>
      </c>
      <c r="M1707" s="11" t="s">
        <v>11827</v>
      </c>
      <c r="N1707" s="11" t="s">
        <v>128</v>
      </c>
      <c r="O1707" s="11" t="s">
        <v>11828</v>
      </c>
      <c r="P1707" s="11" t="s">
        <v>11829</v>
      </c>
      <c r="Q1707" s="11" t="s">
        <v>150</v>
      </c>
      <c r="R1707" s="11"/>
      <c r="S1707" s="11" t="s">
        <v>10473</v>
      </c>
      <c r="T1707" s="11" t="s">
        <v>168</v>
      </c>
      <c r="U1707" s="11" t="s">
        <v>150</v>
      </c>
      <c r="V1707" s="11" t="s">
        <v>168</v>
      </c>
      <c r="W1707" s="11" t="s">
        <v>168</v>
      </c>
      <c r="X1707" s="11">
        <v>15</v>
      </c>
      <c r="Y1707" s="11" t="s">
        <v>11263</v>
      </c>
      <c r="Z1707" s="11">
        <v>20</v>
      </c>
      <c r="AA1707" s="11">
        <v>0</v>
      </c>
      <c r="AB1707" s="12">
        <v>0</v>
      </c>
    </row>
    <row r="1708" spans="1:28" x14ac:dyDescent="0.2">
      <c r="A1708" s="7">
        <v>23710</v>
      </c>
      <c r="B1708" s="8" t="s">
        <v>11830</v>
      </c>
      <c r="C1708" s="8" t="s">
        <v>10185</v>
      </c>
      <c r="D1708" s="8" t="s">
        <v>11831</v>
      </c>
      <c r="E1708" s="8"/>
      <c r="F1708" s="8" t="s">
        <v>353</v>
      </c>
      <c r="G1708" s="8" t="s">
        <v>7653</v>
      </c>
      <c r="H1708" s="8" t="s">
        <v>142</v>
      </c>
      <c r="I1708" s="8" t="s">
        <v>11832</v>
      </c>
      <c r="J1708" s="8" t="s">
        <v>11833</v>
      </c>
      <c r="K1708" s="8" t="s">
        <v>717</v>
      </c>
      <c r="L1708" s="8" t="s">
        <v>464</v>
      </c>
      <c r="M1708" s="8" t="s">
        <v>11834</v>
      </c>
      <c r="N1708" s="8" t="s">
        <v>128</v>
      </c>
      <c r="O1708" s="8" t="s">
        <v>11835</v>
      </c>
      <c r="P1708" s="8" t="s">
        <v>11836</v>
      </c>
      <c r="Q1708" s="8" t="s">
        <v>150</v>
      </c>
      <c r="R1708" s="8"/>
      <c r="S1708" s="8" t="s">
        <v>71</v>
      </c>
      <c r="T1708" s="8" t="s">
        <v>168</v>
      </c>
      <c r="U1708" s="8" t="s">
        <v>150</v>
      </c>
      <c r="V1708" s="8" t="s">
        <v>168</v>
      </c>
      <c r="W1708" s="8" t="s">
        <v>168</v>
      </c>
      <c r="X1708" s="8">
        <v>15</v>
      </c>
      <c r="Y1708" s="8" t="s">
        <v>11263</v>
      </c>
      <c r="Z1708" s="8">
        <v>20</v>
      </c>
      <c r="AA1708" s="8">
        <v>0</v>
      </c>
      <c r="AB1708" s="9">
        <v>0</v>
      </c>
    </row>
    <row r="1709" spans="1:28" x14ac:dyDescent="0.2">
      <c r="A1709" s="10">
        <v>25350</v>
      </c>
      <c r="B1709" s="11" t="s">
        <v>11837</v>
      </c>
      <c r="C1709" s="11" t="s">
        <v>1982</v>
      </c>
      <c r="D1709" s="11" t="s">
        <v>1983</v>
      </c>
      <c r="E1709" s="11" t="s">
        <v>11838</v>
      </c>
      <c r="F1709" s="11" t="s">
        <v>1985</v>
      </c>
      <c r="G1709" s="11" t="s">
        <v>428</v>
      </c>
      <c r="H1709" s="11" t="s">
        <v>329</v>
      </c>
      <c r="I1709" s="11" t="s">
        <v>1986</v>
      </c>
      <c r="J1709" s="11" t="s">
        <v>1987</v>
      </c>
      <c r="K1709" s="11" t="s">
        <v>431</v>
      </c>
      <c r="L1709" s="11" t="s">
        <v>333</v>
      </c>
      <c r="M1709" s="11" t="s">
        <v>11839</v>
      </c>
      <c r="N1709" s="11" t="s">
        <v>128</v>
      </c>
      <c r="O1709" s="11" t="s">
        <v>11840</v>
      </c>
      <c r="P1709" s="11" t="s">
        <v>11841</v>
      </c>
      <c r="Q1709" s="11" t="s">
        <v>740</v>
      </c>
      <c r="R1709" s="11"/>
      <c r="S1709" s="11" t="s">
        <v>1991</v>
      </c>
      <c r="T1709" s="11" t="s">
        <v>1745</v>
      </c>
      <c r="U1709" s="11" t="s">
        <v>134</v>
      </c>
      <c r="V1709" s="11" t="s">
        <v>740</v>
      </c>
      <c r="W1709" s="11" t="s">
        <v>1745</v>
      </c>
      <c r="X1709" s="11">
        <v>15</v>
      </c>
      <c r="Y1709" s="11" t="s">
        <v>11263</v>
      </c>
      <c r="Z1709" s="11">
        <v>20</v>
      </c>
      <c r="AA1709" s="11">
        <v>0</v>
      </c>
      <c r="AB1709" s="12">
        <v>0</v>
      </c>
    </row>
    <row r="1710" spans="1:28" x14ac:dyDescent="0.2">
      <c r="A1710" s="7">
        <v>26226</v>
      </c>
      <c r="B1710" s="8" t="s">
        <v>11842</v>
      </c>
      <c r="C1710" s="8" t="s">
        <v>11843</v>
      </c>
      <c r="D1710" s="8" t="s">
        <v>11844</v>
      </c>
      <c r="E1710" s="8" t="s">
        <v>11845</v>
      </c>
      <c r="F1710" s="8" t="s">
        <v>11846</v>
      </c>
      <c r="G1710" s="8" t="s">
        <v>450</v>
      </c>
      <c r="H1710" s="8" t="s">
        <v>301</v>
      </c>
      <c r="I1710" s="8" t="s">
        <v>11847</v>
      </c>
      <c r="J1710" s="8" t="s">
        <v>11848</v>
      </c>
      <c r="K1710" s="8" t="s">
        <v>304</v>
      </c>
      <c r="L1710" s="8" t="s">
        <v>229</v>
      </c>
      <c r="M1710" s="8" t="s">
        <v>11849</v>
      </c>
      <c r="N1710" s="8" t="s">
        <v>128</v>
      </c>
      <c r="O1710" s="8" t="s">
        <v>11850</v>
      </c>
      <c r="P1710" s="8" t="s">
        <v>6746</v>
      </c>
      <c r="Q1710" s="8" t="s">
        <v>150</v>
      </c>
      <c r="R1710" s="8"/>
      <c r="S1710" s="8" t="s">
        <v>71</v>
      </c>
      <c r="T1710" s="8" t="s">
        <v>67</v>
      </c>
      <c r="U1710" s="8" t="s">
        <v>150</v>
      </c>
      <c r="V1710" s="8" t="s">
        <v>152</v>
      </c>
      <c r="W1710" s="8" t="s">
        <v>67</v>
      </c>
      <c r="X1710" s="8">
        <v>14</v>
      </c>
      <c r="Y1710" s="8" t="s">
        <v>11263</v>
      </c>
      <c r="Z1710" s="8">
        <v>20</v>
      </c>
      <c r="AA1710" s="8">
        <v>0</v>
      </c>
      <c r="AB1710" s="9">
        <v>0</v>
      </c>
    </row>
    <row r="1711" spans="1:28" x14ac:dyDescent="0.2">
      <c r="A1711" s="10">
        <v>106600</v>
      </c>
      <c r="B1711" s="11" t="s">
        <v>11851</v>
      </c>
      <c r="C1711" s="11" t="s">
        <v>10117</v>
      </c>
      <c r="D1711" s="11" t="s">
        <v>11852</v>
      </c>
      <c r="E1711" s="11"/>
      <c r="F1711" s="11" t="s">
        <v>10119</v>
      </c>
      <c r="G1711" s="11" t="s">
        <v>190</v>
      </c>
      <c r="H1711" s="11" t="s">
        <v>191</v>
      </c>
      <c r="I1711" s="11" t="s">
        <v>11853</v>
      </c>
      <c r="J1711" s="11" t="s">
        <v>11854</v>
      </c>
      <c r="K1711" s="11" t="s">
        <v>194</v>
      </c>
      <c r="L1711" s="11" t="s">
        <v>163</v>
      </c>
      <c r="M1711" s="11" t="s">
        <v>11855</v>
      </c>
      <c r="N1711" s="11" t="s">
        <v>128</v>
      </c>
      <c r="O1711" s="11" t="s">
        <v>11856</v>
      </c>
      <c r="P1711" s="11" t="s">
        <v>11857</v>
      </c>
      <c r="Q1711" s="11" t="s">
        <v>150</v>
      </c>
      <c r="R1711" s="11"/>
      <c r="S1711" s="11" t="s">
        <v>71</v>
      </c>
      <c r="T1711" s="11" t="s">
        <v>67</v>
      </c>
      <c r="U1711" s="11" t="s">
        <v>150</v>
      </c>
      <c r="V1711" s="11" t="s">
        <v>152</v>
      </c>
      <c r="W1711" s="11" t="s">
        <v>67</v>
      </c>
      <c r="X1711" s="11">
        <v>14</v>
      </c>
      <c r="Y1711" s="11" t="s">
        <v>11263</v>
      </c>
      <c r="Z1711" s="11">
        <v>20</v>
      </c>
      <c r="AA1711" s="11">
        <v>0</v>
      </c>
      <c r="AB1711" s="12">
        <v>0</v>
      </c>
    </row>
    <row r="1712" spans="1:28" x14ac:dyDescent="0.2">
      <c r="A1712" s="7">
        <v>26745</v>
      </c>
      <c r="B1712" s="8" t="s">
        <v>11858</v>
      </c>
      <c r="C1712" s="8" t="s">
        <v>3919</v>
      </c>
      <c r="D1712" s="8" t="s">
        <v>11859</v>
      </c>
      <c r="E1712" s="8"/>
      <c r="F1712" s="8" t="s">
        <v>353</v>
      </c>
      <c r="G1712" s="8" t="s">
        <v>3921</v>
      </c>
      <c r="H1712" s="8" t="s">
        <v>122</v>
      </c>
      <c r="I1712" s="8" t="s">
        <v>3922</v>
      </c>
      <c r="J1712" s="8" t="s">
        <v>11860</v>
      </c>
      <c r="K1712" s="8" t="s">
        <v>1051</v>
      </c>
      <c r="L1712" s="8" t="s">
        <v>126</v>
      </c>
      <c r="M1712" s="8" t="s">
        <v>11861</v>
      </c>
      <c r="N1712" s="8" t="s">
        <v>128</v>
      </c>
      <c r="O1712" s="8" t="s">
        <v>11862</v>
      </c>
      <c r="P1712" s="8" t="s">
        <v>11863</v>
      </c>
      <c r="Q1712" s="8" t="s">
        <v>131</v>
      </c>
      <c r="R1712" s="8"/>
      <c r="S1712" s="8" t="s">
        <v>71</v>
      </c>
      <c r="T1712" s="8" t="s">
        <v>133</v>
      </c>
      <c r="U1712" s="8" t="s">
        <v>134</v>
      </c>
      <c r="V1712" s="8" t="s">
        <v>131</v>
      </c>
      <c r="W1712" s="8" t="s">
        <v>133</v>
      </c>
      <c r="X1712" s="8">
        <v>14</v>
      </c>
      <c r="Y1712" s="8" t="s">
        <v>11263</v>
      </c>
      <c r="Z1712" s="8">
        <v>20</v>
      </c>
      <c r="AA1712" s="8">
        <v>0</v>
      </c>
      <c r="AB1712" s="9">
        <v>0</v>
      </c>
    </row>
    <row r="1713" spans="1:28" x14ac:dyDescent="0.2">
      <c r="A1713" s="10">
        <v>28229</v>
      </c>
      <c r="B1713" s="11" t="s">
        <v>11864</v>
      </c>
      <c r="C1713" s="11" t="s">
        <v>11865</v>
      </c>
      <c r="D1713" s="11" t="s">
        <v>7225</v>
      </c>
      <c r="E1713" s="11"/>
      <c r="F1713" s="11" t="s">
        <v>353</v>
      </c>
      <c r="G1713" s="11" t="s">
        <v>6409</v>
      </c>
      <c r="H1713" s="11" t="s">
        <v>6410</v>
      </c>
      <c r="I1713" s="11" t="s">
        <v>11866</v>
      </c>
      <c r="J1713" s="11" t="s">
        <v>11867</v>
      </c>
      <c r="K1713" s="11" t="s">
        <v>1956</v>
      </c>
      <c r="L1713" s="11" t="s">
        <v>526</v>
      </c>
      <c r="M1713" s="11" t="s">
        <v>11868</v>
      </c>
      <c r="N1713" s="11" t="s">
        <v>128</v>
      </c>
      <c r="O1713" s="11"/>
      <c r="P1713" s="11" t="s">
        <v>11869</v>
      </c>
      <c r="Q1713" s="11" t="s">
        <v>150</v>
      </c>
      <c r="R1713" s="11"/>
      <c r="S1713" s="11" t="s">
        <v>71</v>
      </c>
      <c r="T1713" s="11" t="s">
        <v>5470</v>
      </c>
      <c r="U1713" s="11" t="s">
        <v>150</v>
      </c>
      <c r="V1713" s="11" t="s">
        <v>5470</v>
      </c>
      <c r="W1713" s="11" t="s">
        <v>5470</v>
      </c>
      <c r="X1713" s="11">
        <v>14</v>
      </c>
      <c r="Y1713" s="11" t="s">
        <v>11263</v>
      </c>
      <c r="Z1713" s="11">
        <v>20</v>
      </c>
      <c r="AA1713" s="11">
        <v>0</v>
      </c>
      <c r="AB1713" s="12">
        <v>0</v>
      </c>
    </row>
    <row r="1714" spans="1:28" x14ac:dyDescent="0.2">
      <c r="A1714" s="7">
        <v>22569</v>
      </c>
      <c r="B1714" s="8" t="s">
        <v>11870</v>
      </c>
      <c r="C1714" s="8" t="s">
        <v>2664</v>
      </c>
      <c r="D1714" s="8" t="s">
        <v>2665</v>
      </c>
      <c r="E1714" s="8" t="s">
        <v>281</v>
      </c>
      <c r="F1714" s="8" t="s">
        <v>2667</v>
      </c>
      <c r="G1714" s="8" t="s">
        <v>190</v>
      </c>
      <c r="H1714" s="8" t="s">
        <v>191</v>
      </c>
      <c r="I1714" s="8" t="s">
        <v>2668</v>
      </c>
      <c r="J1714" s="8" t="s">
        <v>11871</v>
      </c>
      <c r="K1714" s="8" t="s">
        <v>194</v>
      </c>
      <c r="L1714" s="8" t="s">
        <v>163</v>
      </c>
      <c r="M1714" s="8" t="s">
        <v>11872</v>
      </c>
      <c r="N1714" s="8" t="s">
        <v>128</v>
      </c>
      <c r="O1714" s="8" t="s">
        <v>11873</v>
      </c>
      <c r="P1714" s="8" t="s">
        <v>11874</v>
      </c>
      <c r="Q1714" s="8" t="s">
        <v>150</v>
      </c>
      <c r="R1714" s="8"/>
      <c r="S1714" s="8" t="s">
        <v>2672</v>
      </c>
      <c r="T1714" s="8" t="s">
        <v>5007</v>
      </c>
      <c r="U1714" s="8" t="s">
        <v>150</v>
      </c>
      <c r="V1714" s="8" t="s">
        <v>5007</v>
      </c>
      <c r="W1714" s="8" t="s">
        <v>5007</v>
      </c>
      <c r="X1714" s="8">
        <v>14</v>
      </c>
      <c r="Y1714" s="8" t="s">
        <v>11263</v>
      </c>
      <c r="Z1714" s="8">
        <v>20</v>
      </c>
      <c r="AA1714" s="8">
        <v>0</v>
      </c>
      <c r="AB1714" s="9">
        <v>0</v>
      </c>
    </row>
    <row r="1715" spans="1:28" x14ac:dyDescent="0.2">
      <c r="A1715" s="10">
        <v>25593</v>
      </c>
      <c r="B1715" s="11" t="s">
        <v>11875</v>
      </c>
      <c r="C1715" s="11" t="s">
        <v>4099</v>
      </c>
      <c r="D1715" s="11" t="s">
        <v>6210</v>
      </c>
      <c r="E1715" s="11"/>
      <c r="F1715" s="11" t="s">
        <v>353</v>
      </c>
      <c r="G1715" s="11" t="s">
        <v>3929</v>
      </c>
      <c r="H1715" s="11" t="s">
        <v>704</v>
      </c>
      <c r="I1715" s="11" t="s">
        <v>9976</v>
      </c>
      <c r="J1715" s="11" t="s">
        <v>11876</v>
      </c>
      <c r="K1715" s="11" t="s">
        <v>850</v>
      </c>
      <c r="L1715" s="11" t="s">
        <v>126</v>
      </c>
      <c r="M1715" s="11" t="s">
        <v>11877</v>
      </c>
      <c r="N1715" s="11" t="s">
        <v>128</v>
      </c>
      <c r="O1715" s="11"/>
      <c r="P1715" s="11"/>
      <c r="Q1715" s="11" t="s">
        <v>249</v>
      </c>
      <c r="R1715" s="11"/>
      <c r="S1715" s="11" t="s">
        <v>71</v>
      </c>
      <c r="T1715" s="11" t="s">
        <v>1523</v>
      </c>
      <c r="U1715" s="11" t="s">
        <v>134</v>
      </c>
      <c r="V1715" s="11" t="s">
        <v>249</v>
      </c>
      <c r="W1715" s="11" t="s">
        <v>1523</v>
      </c>
      <c r="X1715" s="11">
        <v>14</v>
      </c>
      <c r="Y1715" s="11" t="s">
        <v>11263</v>
      </c>
      <c r="Z1715" s="11">
        <v>20</v>
      </c>
      <c r="AA1715" s="11">
        <v>0</v>
      </c>
      <c r="AB1715" s="12">
        <v>0</v>
      </c>
    </row>
    <row r="1716" spans="1:28" x14ac:dyDescent="0.2">
      <c r="A1716" s="7">
        <v>25563</v>
      </c>
      <c r="B1716" s="8" t="s">
        <v>11878</v>
      </c>
      <c r="C1716" s="8" t="s">
        <v>9583</v>
      </c>
      <c r="D1716" s="8" t="s">
        <v>911</v>
      </c>
      <c r="E1716" s="8"/>
      <c r="F1716" s="8" t="s">
        <v>353</v>
      </c>
      <c r="G1716" s="8" t="s">
        <v>4606</v>
      </c>
      <c r="H1716" s="8" t="s">
        <v>142</v>
      </c>
      <c r="I1716" s="8" t="s">
        <v>11879</v>
      </c>
      <c r="J1716" s="8" t="s">
        <v>11880</v>
      </c>
      <c r="K1716" s="8" t="s">
        <v>1029</v>
      </c>
      <c r="L1716" s="8" t="s">
        <v>464</v>
      </c>
      <c r="M1716" s="8" t="s">
        <v>11881</v>
      </c>
      <c r="N1716" s="8" t="s">
        <v>128</v>
      </c>
      <c r="O1716" s="8" t="s">
        <v>11882</v>
      </c>
      <c r="P1716" s="8" t="s">
        <v>11883</v>
      </c>
      <c r="Q1716" s="8" t="s">
        <v>249</v>
      </c>
      <c r="R1716" s="8"/>
      <c r="S1716" s="8" t="s">
        <v>71</v>
      </c>
      <c r="T1716" s="8" t="s">
        <v>250</v>
      </c>
      <c r="U1716" s="8" t="s">
        <v>134</v>
      </c>
      <c r="V1716" s="8" t="s">
        <v>249</v>
      </c>
      <c r="W1716" s="8" t="s">
        <v>250</v>
      </c>
      <c r="X1716" s="8">
        <v>14</v>
      </c>
      <c r="Y1716" s="8" t="s">
        <v>11263</v>
      </c>
      <c r="Z1716" s="8">
        <v>20</v>
      </c>
      <c r="AA1716" s="8">
        <v>0</v>
      </c>
      <c r="AB1716" s="9">
        <v>0</v>
      </c>
    </row>
    <row r="1717" spans="1:28" x14ac:dyDescent="0.2">
      <c r="A1717" s="10">
        <v>24679</v>
      </c>
      <c r="B1717" s="11" t="s">
        <v>11884</v>
      </c>
      <c r="C1717" s="11" t="s">
        <v>8927</v>
      </c>
      <c r="D1717" s="11" t="s">
        <v>5901</v>
      </c>
      <c r="E1717" s="11" t="s">
        <v>702</v>
      </c>
      <c r="F1717" s="11" t="s">
        <v>9431</v>
      </c>
      <c r="G1717" s="11" t="s">
        <v>328</v>
      </c>
      <c r="H1717" s="11" t="s">
        <v>329</v>
      </c>
      <c r="I1717" s="11" t="s">
        <v>11885</v>
      </c>
      <c r="J1717" s="11" t="s">
        <v>11886</v>
      </c>
      <c r="K1717" s="11" t="s">
        <v>415</v>
      </c>
      <c r="L1717" s="11" t="s">
        <v>333</v>
      </c>
      <c r="M1717" s="11" t="s">
        <v>11887</v>
      </c>
      <c r="N1717" s="11" t="s">
        <v>128</v>
      </c>
      <c r="O1717" s="11" t="s">
        <v>11888</v>
      </c>
      <c r="P1717" s="11" t="s">
        <v>8140</v>
      </c>
      <c r="Q1717" s="11" t="s">
        <v>150</v>
      </c>
      <c r="R1717" s="11"/>
      <c r="S1717" s="11" t="s">
        <v>71</v>
      </c>
      <c r="T1717" s="11" t="s">
        <v>69</v>
      </c>
      <c r="U1717" s="11" t="s">
        <v>150</v>
      </c>
      <c r="V1717" s="11" t="s">
        <v>152</v>
      </c>
      <c r="W1717" s="11" t="s">
        <v>69</v>
      </c>
      <c r="X1717" s="11">
        <v>13</v>
      </c>
      <c r="Y1717" s="11" t="s">
        <v>11263</v>
      </c>
      <c r="Z1717" s="11">
        <v>20</v>
      </c>
      <c r="AA1717" s="11">
        <v>0</v>
      </c>
      <c r="AB1717" s="12">
        <v>0</v>
      </c>
    </row>
    <row r="1718" spans="1:28" x14ac:dyDescent="0.2">
      <c r="A1718" s="7">
        <v>21745</v>
      </c>
      <c r="B1718" s="8" t="s">
        <v>11889</v>
      </c>
      <c r="C1718" s="8" t="s">
        <v>11890</v>
      </c>
      <c r="D1718" s="8" t="s">
        <v>138</v>
      </c>
      <c r="E1718" s="8" t="s">
        <v>2174</v>
      </c>
      <c r="F1718" s="8" t="s">
        <v>484</v>
      </c>
      <c r="G1718" s="8" t="s">
        <v>224</v>
      </c>
      <c r="H1718" s="8" t="s">
        <v>225</v>
      </c>
      <c r="I1718" s="8" t="s">
        <v>11891</v>
      </c>
      <c r="J1718" s="8" t="s">
        <v>11892</v>
      </c>
      <c r="K1718" s="8" t="s">
        <v>228</v>
      </c>
      <c r="L1718" s="8" t="s">
        <v>229</v>
      </c>
      <c r="M1718" s="8" t="s">
        <v>11893</v>
      </c>
      <c r="N1718" s="8" t="s">
        <v>128</v>
      </c>
      <c r="O1718" s="8" t="s">
        <v>11894</v>
      </c>
      <c r="P1718" s="8" t="s">
        <v>11895</v>
      </c>
      <c r="Q1718" s="8" t="s">
        <v>150</v>
      </c>
      <c r="R1718" s="8"/>
      <c r="S1718" s="8" t="s">
        <v>71</v>
      </c>
      <c r="T1718" s="8" t="s">
        <v>67</v>
      </c>
      <c r="U1718" s="8" t="s">
        <v>150</v>
      </c>
      <c r="V1718" s="8" t="s">
        <v>152</v>
      </c>
      <c r="W1718" s="8" t="s">
        <v>67</v>
      </c>
      <c r="X1718" s="8">
        <v>12</v>
      </c>
      <c r="Y1718" s="8" t="s">
        <v>11263</v>
      </c>
      <c r="Z1718" s="8">
        <v>20</v>
      </c>
      <c r="AA1718" s="8">
        <v>0</v>
      </c>
      <c r="AB1718" s="9">
        <v>0</v>
      </c>
    </row>
    <row r="1719" spans="1:28" x14ac:dyDescent="0.2">
      <c r="A1719" s="10">
        <v>24847</v>
      </c>
      <c r="B1719" s="11" t="s">
        <v>11896</v>
      </c>
      <c r="C1719" s="11" t="s">
        <v>7307</v>
      </c>
      <c r="D1719" s="11" t="s">
        <v>3539</v>
      </c>
      <c r="E1719" s="11" t="s">
        <v>11897</v>
      </c>
      <c r="F1719" s="11" t="s">
        <v>11898</v>
      </c>
      <c r="G1719" s="11" t="s">
        <v>6409</v>
      </c>
      <c r="H1719" s="11" t="s">
        <v>6410</v>
      </c>
      <c r="I1719" s="11" t="s">
        <v>7309</v>
      </c>
      <c r="J1719" s="11" t="s">
        <v>11899</v>
      </c>
      <c r="K1719" s="11" t="s">
        <v>1956</v>
      </c>
      <c r="L1719" s="11" t="s">
        <v>526</v>
      </c>
      <c r="M1719" s="11" t="s">
        <v>11900</v>
      </c>
      <c r="N1719" s="11" t="s">
        <v>128</v>
      </c>
      <c r="O1719" s="11" t="s">
        <v>11901</v>
      </c>
      <c r="P1719" s="11" t="s">
        <v>2976</v>
      </c>
      <c r="Q1719" s="11" t="s">
        <v>150</v>
      </c>
      <c r="R1719" s="11"/>
      <c r="S1719" s="11" t="s">
        <v>7314</v>
      </c>
      <c r="T1719" s="11" t="s">
        <v>1738</v>
      </c>
      <c r="U1719" s="11" t="s">
        <v>150</v>
      </c>
      <c r="V1719" s="11" t="s">
        <v>1738</v>
      </c>
      <c r="W1719" s="11" t="s">
        <v>1738</v>
      </c>
      <c r="X1719" s="11">
        <v>12</v>
      </c>
      <c r="Y1719" s="11" t="s">
        <v>11263</v>
      </c>
      <c r="Z1719" s="11">
        <v>20</v>
      </c>
      <c r="AA1719" s="11">
        <v>0</v>
      </c>
      <c r="AB1719" s="12">
        <v>0</v>
      </c>
    </row>
    <row r="1720" spans="1:28" x14ac:dyDescent="0.2">
      <c r="A1720" s="7">
        <v>25508</v>
      </c>
      <c r="B1720" s="8" t="s">
        <v>11902</v>
      </c>
      <c r="C1720" s="8" t="s">
        <v>4521</v>
      </c>
      <c r="D1720" s="8" t="s">
        <v>138</v>
      </c>
      <c r="E1720" s="8" t="s">
        <v>10056</v>
      </c>
      <c r="F1720" s="8" t="s">
        <v>4523</v>
      </c>
      <c r="G1720" s="8" t="s">
        <v>4513</v>
      </c>
      <c r="H1720" s="8" t="s">
        <v>847</v>
      </c>
      <c r="I1720" s="8" t="s">
        <v>11903</v>
      </c>
      <c r="J1720" s="8" t="s">
        <v>4525</v>
      </c>
      <c r="K1720" s="8" t="s">
        <v>1091</v>
      </c>
      <c r="L1720" s="8" t="s">
        <v>126</v>
      </c>
      <c r="M1720" s="8" t="s">
        <v>11904</v>
      </c>
      <c r="N1720" s="8" t="s">
        <v>128</v>
      </c>
      <c r="O1720" s="8" t="s">
        <v>11905</v>
      </c>
      <c r="P1720" s="8" t="s">
        <v>11906</v>
      </c>
      <c r="Q1720" s="8" t="s">
        <v>249</v>
      </c>
      <c r="R1720" s="8"/>
      <c r="S1720" s="8" t="s">
        <v>4528</v>
      </c>
      <c r="T1720" s="8" t="s">
        <v>250</v>
      </c>
      <c r="U1720" s="8" t="s">
        <v>134</v>
      </c>
      <c r="V1720" s="8" t="s">
        <v>249</v>
      </c>
      <c r="W1720" s="8" t="s">
        <v>250</v>
      </c>
      <c r="X1720" s="8">
        <v>12</v>
      </c>
      <c r="Y1720" s="8" t="s">
        <v>11263</v>
      </c>
      <c r="Z1720" s="8">
        <v>20</v>
      </c>
      <c r="AA1720" s="8">
        <v>0</v>
      </c>
      <c r="AB1720" s="9">
        <v>0</v>
      </c>
    </row>
    <row r="1721" spans="1:28" x14ac:dyDescent="0.2">
      <c r="A1721" s="10">
        <v>21238</v>
      </c>
      <c r="B1721" s="11" t="s">
        <v>11907</v>
      </c>
      <c r="C1721" s="11" t="s">
        <v>3335</v>
      </c>
      <c r="D1721" s="11" t="s">
        <v>1215</v>
      </c>
      <c r="E1721" s="11" t="s">
        <v>1225</v>
      </c>
      <c r="F1721" s="11" t="s">
        <v>3337</v>
      </c>
      <c r="G1721" s="11" t="s">
        <v>328</v>
      </c>
      <c r="H1721" s="11" t="s">
        <v>329</v>
      </c>
      <c r="I1721" s="11" t="s">
        <v>9758</v>
      </c>
      <c r="J1721" s="11" t="s">
        <v>7199</v>
      </c>
      <c r="K1721" s="11" t="s">
        <v>332</v>
      </c>
      <c r="L1721" s="11" t="s">
        <v>333</v>
      </c>
      <c r="M1721" s="11" t="s">
        <v>11908</v>
      </c>
      <c r="N1721" s="11" t="s">
        <v>128</v>
      </c>
      <c r="O1721" s="11" t="s">
        <v>11909</v>
      </c>
      <c r="P1721" s="11" t="s">
        <v>11910</v>
      </c>
      <c r="Q1721" s="11" t="s">
        <v>150</v>
      </c>
      <c r="R1721" s="11"/>
      <c r="S1721" s="11" t="s">
        <v>7203</v>
      </c>
      <c r="T1721" s="11" t="s">
        <v>642</v>
      </c>
      <c r="U1721" s="11" t="s">
        <v>150</v>
      </c>
      <c r="V1721" s="11" t="s">
        <v>642</v>
      </c>
      <c r="W1721" s="11" t="s">
        <v>642</v>
      </c>
      <c r="X1721" s="11">
        <v>11</v>
      </c>
      <c r="Y1721" s="11" t="s">
        <v>11263</v>
      </c>
      <c r="Z1721" s="11">
        <v>20</v>
      </c>
      <c r="AA1721" s="11">
        <v>0</v>
      </c>
      <c r="AB1721" s="12">
        <v>0</v>
      </c>
    </row>
    <row r="1722" spans="1:28" x14ac:dyDescent="0.2">
      <c r="A1722" s="7">
        <v>23518</v>
      </c>
      <c r="B1722" s="8" t="s">
        <v>11911</v>
      </c>
      <c r="C1722" s="8" t="s">
        <v>9767</v>
      </c>
      <c r="D1722" s="8" t="s">
        <v>9768</v>
      </c>
      <c r="E1722" s="8" t="s">
        <v>11912</v>
      </c>
      <c r="F1722" s="8" t="s">
        <v>353</v>
      </c>
      <c r="G1722" s="8" t="s">
        <v>5116</v>
      </c>
      <c r="H1722" s="8" t="s">
        <v>122</v>
      </c>
      <c r="I1722" s="8" t="s">
        <v>9770</v>
      </c>
      <c r="J1722" s="8" t="s">
        <v>9771</v>
      </c>
      <c r="K1722" s="8" t="s">
        <v>125</v>
      </c>
      <c r="L1722" s="8" t="s">
        <v>126</v>
      </c>
      <c r="M1722" s="8" t="s">
        <v>11913</v>
      </c>
      <c r="N1722" s="8" t="s">
        <v>128</v>
      </c>
      <c r="O1722" s="8" t="s">
        <v>11914</v>
      </c>
      <c r="P1722" s="8" t="s">
        <v>11915</v>
      </c>
      <c r="Q1722" s="8" t="s">
        <v>150</v>
      </c>
      <c r="R1722" s="8"/>
      <c r="S1722" s="8" t="s">
        <v>9774</v>
      </c>
      <c r="T1722" s="8" t="s">
        <v>6736</v>
      </c>
      <c r="U1722" s="8" t="s">
        <v>150</v>
      </c>
      <c r="V1722" s="8" t="s">
        <v>6736</v>
      </c>
      <c r="W1722" s="8" t="s">
        <v>6736</v>
      </c>
      <c r="X1722" s="8">
        <v>11</v>
      </c>
      <c r="Y1722" s="8" t="s">
        <v>11263</v>
      </c>
      <c r="Z1722" s="8">
        <v>20</v>
      </c>
      <c r="AA1722" s="8">
        <v>0</v>
      </c>
      <c r="AB1722" s="9">
        <v>0</v>
      </c>
    </row>
    <row r="1723" spans="1:28" x14ac:dyDescent="0.2">
      <c r="A1723" s="10">
        <v>23859</v>
      </c>
      <c r="B1723" s="11" t="s">
        <v>11916</v>
      </c>
      <c r="C1723" s="11" t="s">
        <v>9653</v>
      </c>
      <c r="D1723" s="11" t="s">
        <v>1362</v>
      </c>
      <c r="E1723" s="11"/>
      <c r="F1723" s="11" t="s">
        <v>353</v>
      </c>
      <c r="G1723" s="11" t="s">
        <v>10244</v>
      </c>
      <c r="H1723" s="11" t="s">
        <v>142</v>
      </c>
      <c r="I1723" s="11" t="s">
        <v>11917</v>
      </c>
      <c r="J1723" s="11" t="s">
        <v>11918</v>
      </c>
      <c r="K1723" s="11" t="s">
        <v>779</v>
      </c>
      <c r="L1723" s="11" t="s">
        <v>464</v>
      </c>
      <c r="M1723" s="11" t="s">
        <v>11919</v>
      </c>
      <c r="N1723" s="11" t="s">
        <v>128</v>
      </c>
      <c r="O1723" s="11" t="s">
        <v>11920</v>
      </c>
      <c r="P1723" s="11" t="s">
        <v>6279</v>
      </c>
      <c r="Q1723" s="11" t="s">
        <v>150</v>
      </c>
      <c r="R1723" s="11"/>
      <c r="S1723" s="11" t="s">
        <v>71</v>
      </c>
      <c r="T1723" s="11" t="s">
        <v>168</v>
      </c>
      <c r="U1723" s="11" t="s">
        <v>150</v>
      </c>
      <c r="V1723" s="11" t="s">
        <v>168</v>
      </c>
      <c r="W1723" s="11" t="s">
        <v>168</v>
      </c>
      <c r="X1723" s="11">
        <v>11</v>
      </c>
      <c r="Y1723" s="11" t="s">
        <v>11263</v>
      </c>
      <c r="Z1723" s="11">
        <v>20</v>
      </c>
      <c r="AA1723" s="11">
        <v>0</v>
      </c>
      <c r="AB1723" s="12">
        <v>0</v>
      </c>
    </row>
    <row r="1724" spans="1:28" x14ac:dyDescent="0.2">
      <c r="A1724" s="7">
        <v>23651</v>
      </c>
      <c r="B1724" s="8" t="s">
        <v>11921</v>
      </c>
      <c r="C1724" s="8" t="s">
        <v>4803</v>
      </c>
      <c r="D1724" s="8" t="s">
        <v>10429</v>
      </c>
      <c r="E1724" s="8"/>
      <c r="F1724" s="8" t="s">
        <v>3749</v>
      </c>
      <c r="G1724" s="8" t="s">
        <v>141</v>
      </c>
      <c r="H1724" s="8" t="s">
        <v>142</v>
      </c>
      <c r="I1724" s="8" t="s">
        <v>4806</v>
      </c>
      <c r="J1724" s="8" t="s">
        <v>11922</v>
      </c>
      <c r="K1724" s="8" t="s">
        <v>584</v>
      </c>
      <c r="L1724" s="8" t="s">
        <v>146</v>
      </c>
      <c r="M1724" s="8" t="s">
        <v>11923</v>
      </c>
      <c r="N1724" s="8" t="s">
        <v>128</v>
      </c>
      <c r="O1724" s="8" t="s">
        <v>11924</v>
      </c>
      <c r="P1724" s="8" t="s">
        <v>4630</v>
      </c>
      <c r="Q1724" s="8" t="s">
        <v>150</v>
      </c>
      <c r="R1724" s="8"/>
      <c r="S1724" s="8" t="s">
        <v>71</v>
      </c>
      <c r="T1724" s="8" t="s">
        <v>168</v>
      </c>
      <c r="U1724" s="8" t="s">
        <v>150</v>
      </c>
      <c r="V1724" s="8" t="s">
        <v>168</v>
      </c>
      <c r="W1724" s="8" t="s">
        <v>168</v>
      </c>
      <c r="X1724" s="8">
        <v>11</v>
      </c>
      <c r="Y1724" s="8" t="s">
        <v>11263</v>
      </c>
      <c r="Z1724" s="8">
        <v>20</v>
      </c>
      <c r="AA1724" s="8">
        <v>0</v>
      </c>
      <c r="AB1724" s="9">
        <v>0</v>
      </c>
    </row>
    <row r="1725" spans="1:28" x14ac:dyDescent="0.2">
      <c r="A1725" s="10">
        <v>24098</v>
      </c>
      <c r="B1725" s="11" t="s">
        <v>11925</v>
      </c>
      <c r="C1725" s="11" t="s">
        <v>8731</v>
      </c>
      <c r="D1725" s="11" t="s">
        <v>11926</v>
      </c>
      <c r="E1725" s="11"/>
      <c r="F1725" s="11" t="s">
        <v>8733</v>
      </c>
      <c r="G1725" s="11" t="s">
        <v>846</v>
      </c>
      <c r="H1725" s="11" t="s">
        <v>847</v>
      </c>
      <c r="I1725" s="11" t="s">
        <v>8734</v>
      </c>
      <c r="J1725" s="11" t="s">
        <v>11927</v>
      </c>
      <c r="K1725" s="11" t="s">
        <v>850</v>
      </c>
      <c r="L1725" s="11" t="s">
        <v>126</v>
      </c>
      <c r="M1725" s="11" t="s">
        <v>11928</v>
      </c>
      <c r="N1725" s="11" t="s">
        <v>128</v>
      </c>
      <c r="O1725" s="11" t="s">
        <v>11929</v>
      </c>
      <c r="P1725" s="11"/>
      <c r="Q1725" s="11" t="s">
        <v>150</v>
      </c>
      <c r="R1725" s="11"/>
      <c r="S1725" s="11" t="s">
        <v>71</v>
      </c>
      <c r="T1725" s="11" t="s">
        <v>10304</v>
      </c>
      <c r="U1725" s="11" t="s">
        <v>150</v>
      </c>
      <c r="V1725" s="11" t="s">
        <v>10304</v>
      </c>
      <c r="W1725" s="11" t="s">
        <v>10304</v>
      </c>
      <c r="X1725" s="11">
        <v>11</v>
      </c>
      <c r="Y1725" s="11" t="s">
        <v>11263</v>
      </c>
      <c r="Z1725" s="11">
        <v>20</v>
      </c>
      <c r="AA1725" s="11">
        <v>0</v>
      </c>
      <c r="AB1725" s="12">
        <v>0</v>
      </c>
    </row>
    <row r="1726" spans="1:28" x14ac:dyDescent="0.2">
      <c r="A1726" s="7">
        <v>37987</v>
      </c>
      <c r="B1726" s="8" t="s">
        <v>11930</v>
      </c>
      <c r="C1726" s="8" t="s">
        <v>11931</v>
      </c>
      <c r="D1726" s="8" t="s">
        <v>11932</v>
      </c>
      <c r="E1726" s="8"/>
      <c r="F1726" s="8" t="s">
        <v>11933</v>
      </c>
      <c r="G1726" s="8" t="s">
        <v>4063</v>
      </c>
      <c r="H1726" s="8" t="s">
        <v>301</v>
      </c>
      <c r="I1726" s="8" t="s">
        <v>3964</v>
      </c>
      <c r="J1726" s="8" t="s">
        <v>11934</v>
      </c>
      <c r="K1726" s="8" t="s">
        <v>228</v>
      </c>
      <c r="L1726" s="8" t="s">
        <v>229</v>
      </c>
      <c r="M1726" s="8" t="s">
        <v>11935</v>
      </c>
      <c r="N1726" s="8" t="s">
        <v>128</v>
      </c>
      <c r="O1726" s="8" t="s">
        <v>11936</v>
      </c>
      <c r="P1726" s="8" t="s">
        <v>11937</v>
      </c>
      <c r="Q1726" s="8" t="s">
        <v>740</v>
      </c>
      <c r="R1726" s="8"/>
      <c r="S1726" s="8" t="s">
        <v>3968</v>
      </c>
      <c r="T1726" s="8" t="s">
        <v>741</v>
      </c>
      <c r="U1726" s="8" t="s">
        <v>134</v>
      </c>
      <c r="V1726" s="8" t="s">
        <v>740</v>
      </c>
      <c r="W1726" s="8" t="s">
        <v>741</v>
      </c>
      <c r="X1726" s="8">
        <v>11</v>
      </c>
      <c r="Y1726" s="8" t="s">
        <v>11263</v>
      </c>
      <c r="Z1726" s="8">
        <v>20</v>
      </c>
      <c r="AA1726" s="8">
        <v>0</v>
      </c>
      <c r="AB1726" s="9">
        <v>0</v>
      </c>
    </row>
    <row r="1727" spans="1:28" x14ac:dyDescent="0.2">
      <c r="A1727" s="10">
        <v>21142</v>
      </c>
      <c r="B1727" s="11" t="s">
        <v>11938</v>
      </c>
      <c r="C1727" s="11" t="s">
        <v>11939</v>
      </c>
      <c r="D1727" s="11" t="s">
        <v>11940</v>
      </c>
      <c r="E1727" s="11"/>
      <c r="F1727" s="11" t="s">
        <v>581</v>
      </c>
      <c r="G1727" s="11" t="s">
        <v>141</v>
      </c>
      <c r="H1727" s="11" t="s">
        <v>142</v>
      </c>
      <c r="I1727" s="11" t="s">
        <v>11941</v>
      </c>
      <c r="J1727" s="11" t="s">
        <v>11942</v>
      </c>
      <c r="K1727" s="11" t="s">
        <v>584</v>
      </c>
      <c r="L1727" s="11" t="s">
        <v>146</v>
      </c>
      <c r="M1727" s="11" t="s">
        <v>11943</v>
      </c>
      <c r="N1727" s="11" t="s">
        <v>128</v>
      </c>
      <c r="O1727" s="11" t="s">
        <v>11944</v>
      </c>
      <c r="P1727" s="11" t="s">
        <v>11945</v>
      </c>
      <c r="Q1727" s="11" t="s">
        <v>150</v>
      </c>
      <c r="R1727" s="11"/>
      <c r="S1727" s="11" t="s">
        <v>71</v>
      </c>
      <c r="T1727" s="11" t="s">
        <v>289</v>
      </c>
      <c r="U1727" s="11" t="s">
        <v>150</v>
      </c>
      <c r="V1727" s="11" t="s">
        <v>289</v>
      </c>
      <c r="W1727" s="11" t="s">
        <v>289</v>
      </c>
      <c r="X1727" s="11">
        <v>10</v>
      </c>
      <c r="Y1727" s="11" t="s">
        <v>11263</v>
      </c>
      <c r="Z1727" s="11">
        <v>20</v>
      </c>
      <c r="AA1727" s="11">
        <v>0</v>
      </c>
      <c r="AB1727" s="12">
        <v>0</v>
      </c>
    </row>
    <row r="1728" spans="1:28" x14ac:dyDescent="0.2">
      <c r="A1728" s="7">
        <v>21245</v>
      </c>
      <c r="B1728" s="8" t="s">
        <v>11946</v>
      </c>
      <c r="C1728" s="8" t="s">
        <v>11947</v>
      </c>
      <c r="D1728" s="8" t="s">
        <v>4623</v>
      </c>
      <c r="E1728" s="8" t="s">
        <v>11948</v>
      </c>
      <c r="F1728" s="8" t="s">
        <v>353</v>
      </c>
      <c r="G1728" s="8" t="s">
        <v>1784</v>
      </c>
      <c r="H1728" s="8" t="s">
        <v>329</v>
      </c>
      <c r="I1728" s="8" t="s">
        <v>11949</v>
      </c>
      <c r="J1728" s="8" t="s">
        <v>11950</v>
      </c>
      <c r="K1728" s="8" t="s">
        <v>431</v>
      </c>
      <c r="L1728" s="8" t="s">
        <v>333</v>
      </c>
      <c r="M1728" s="8" t="s">
        <v>11951</v>
      </c>
      <c r="N1728" s="8" t="s">
        <v>128</v>
      </c>
      <c r="O1728" s="8" t="s">
        <v>11952</v>
      </c>
      <c r="P1728" s="8" t="s">
        <v>11953</v>
      </c>
      <c r="Q1728" s="8" t="s">
        <v>150</v>
      </c>
      <c r="R1728" s="8"/>
      <c r="S1728" s="8" t="s">
        <v>11954</v>
      </c>
      <c r="T1728" s="8" t="s">
        <v>642</v>
      </c>
      <c r="U1728" s="8" t="s">
        <v>150</v>
      </c>
      <c r="V1728" s="8" t="s">
        <v>642</v>
      </c>
      <c r="W1728" s="8" t="s">
        <v>642</v>
      </c>
      <c r="X1728" s="8">
        <v>10</v>
      </c>
      <c r="Y1728" s="8" t="s">
        <v>11263</v>
      </c>
      <c r="Z1728" s="8">
        <v>20</v>
      </c>
      <c r="AA1728" s="8">
        <v>0</v>
      </c>
      <c r="AB1728" s="9">
        <v>0</v>
      </c>
    </row>
    <row r="1729" spans="1:28" x14ac:dyDescent="0.2">
      <c r="A1729" s="10">
        <v>21301</v>
      </c>
      <c r="B1729" s="11" t="s">
        <v>11955</v>
      </c>
      <c r="C1729" s="11" t="s">
        <v>4777</v>
      </c>
      <c r="D1729" s="11" t="s">
        <v>11956</v>
      </c>
      <c r="E1729" s="11" t="s">
        <v>11957</v>
      </c>
      <c r="F1729" s="11" t="s">
        <v>11958</v>
      </c>
      <c r="G1729" s="11" t="s">
        <v>328</v>
      </c>
      <c r="H1729" s="11" t="s">
        <v>329</v>
      </c>
      <c r="I1729" s="11" t="s">
        <v>11959</v>
      </c>
      <c r="J1729" s="11" t="s">
        <v>11960</v>
      </c>
      <c r="K1729" s="11" t="s">
        <v>572</v>
      </c>
      <c r="L1729" s="11" t="s">
        <v>333</v>
      </c>
      <c r="M1729" s="11" t="s">
        <v>11961</v>
      </c>
      <c r="N1729" s="11" t="s">
        <v>128</v>
      </c>
      <c r="O1729" s="11" t="s">
        <v>11962</v>
      </c>
      <c r="P1729" s="11" t="s">
        <v>11963</v>
      </c>
      <c r="Q1729" s="11" t="s">
        <v>150</v>
      </c>
      <c r="R1729" s="11"/>
      <c r="S1729" s="11" t="s">
        <v>11964</v>
      </c>
      <c r="T1729" s="11" t="s">
        <v>67</v>
      </c>
      <c r="U1729" s="11" t="s">
        <v>150</v>
      </c>
      <c r="V1729" s="11" t="s">
        <v>152</v>
      </c>
      <c r="W1729" s="11" t="s">
        <v>67</v>
      </c>
      <c r="X1729" s="11">
        <v>10</v>
      </c>
      <c r="Y1729" s="11" t="s">
        <v>11263</v>
      </c>
      <c r="Z1729" s="11">
        <v>20</v>
      </c>
      <c r="AA1729" s="11">
        <v>0</v>
      </c>
      <c r="AB1729" s="12">
        <v>0</v>
      </c>
    </row>
    <row r="1730" spans="1:28" x14ac:dyDescent="0.2">
      <c r="A1730" s="7">
        <v>27800</v>
      </c>
      <c r="B1730" s="8" t="s">
        <v>11965</v>
      </c>
      <c r="C1730" s="8" t="s">
        <v>4099</v>
      </c>
      <c r="D1730" s="8" t="s">
        <v>11966</v>
      </c>
      <c r="E1730" s="8"/>
      <c r="F1730" s="8" t="s">
        <v>353</v>
      </c>
      <c r="G1730" s="8" t="s">
        <v>7562</v>
      </c>
      <c r="H1730" s="8" t="s">
        <v>847</v>
      </c>
      <c r="I1730" s="8" t="s">
        <v>7563</v>
      </c>
      <c r="J1730" s="8" t="s">
        <v>11967</v>
      </c>
      <c r="K1730" s="8" t="s">
        <v>850</v>
      </c>
      <c r="L1730" s="8" t="s">
        <v>126</v>
      </c>
      <c r="M1730" s="8" t="s">
        <v>11968</v>
      </c>
      <c r="N1730" s="8" t="s">
        <v>128</v>
      </c>
      <c r="O1730" s="8"/>
      <c r="P1730" s="8"/>
      <c r="Q1730" s="8" t="s">
        <v>150</v>
      </c>
      <c r="R1730" s="8"/>
      <c r="S1730" s="8" t="s">
        <v>71</v>
      </c>
      <c r="T1730" s="8" t="s">
        <v>2697</v>
      </c>
      <c r="U1730" s="8" t="s">
        <v>150</v>
      </c>
      <c r="V1730" s="8" t="s">
        <v>2697</v>
      </c>
      <c r="W1730" s="8" t="s">
        <v>2697</v>
      </c>
      <c r="X1730" s="8">
        <v>10</v>
      </c>
      <c r="Y1730" s="8" t="s">
        <v>11263</v>
      </c>
      <c r="Z1730" s="8">
        <v>20</v>
      </c>
      <c r="AA1730" s="8">
        <v>0</v>
      </c>
      <c r="AB1730" s="9">
        <v>0</v>
      </c>
    </row>
    <row r="1731" spans="1:28" x14ac:dyDescent="0.2">
      <c r="A1731" s="10">
        <v>23183</v>
      </c>
      <c r="B1731" s="11" t="s">
        <v>11969</v>
      </c>
      <c r="C1731" s="11" t="s">
        <v>4521</v>
      </c>
      <c r="D1731" s="11" t="s">
        <v>138</v>
      </c>
      <c r="E1731" s="11" t="s">
        <v>702</v>
      </c>
      <c r="F1731" s="11" t="s">
        <v>4523</v>
      </c>
      <c r="G1731" s="11" t="s">
        <v>4513</v>
      </c>
      <c r="H1731" s="11" t="s">
        <v>847</v>
      </c>
      <c r="I1731" s="11" t="s">
        <v>11970</v>
      </c>
      <c r="J1731" s="11" t="s">
        <v>4525</v>
      </c>
      <c r="K1731" s="11" t="s">
        <v>1091</v>
      </c>
      <c r="L1731" s="11" t="s">
        <v>126</v>
      </c>
      <c r="M1731" s="11" t="s">
        <v>11971</v>
      </c>
      <c r="N1731" s="11" t="s">
        <v>128</v>
      </c>
      <c r="O1731" s="11" t="s">
        <v>11972</v>
      </c>
      <c r="P1731" s="11" t="s">
        <v>11973</v>
      </c>
      <c r="Q1731" s="11" t="s">
        <v>150</v>
      </c>
      <c r="R1731" s="11"/>
      <c r="S1731" s="11" t="s">
        <v>4528</v>
      </c>
      <c r="T1731" s="11" t="s">
        <v>70</v>
      </c>
      <c r="U1731" s="11" t="s">
        <v>150</v>
      </c>
      <c r="V1731" s="11" t="s">
        <v>70</v>
      </c>
      <c r="W1731" s="11" t="s">
        <v>70</v>
      </c>
      <c r="X1731" s="11">
        <v>10</v>
      </c>
      <c r="Y1731" s="11" t="s">
        <v>11263</v>
      </c>
      <c r="Z1731" s="11">
        <v>20</v>
      </c>
      <c r="AA1731" s="11">
        <v>0</v>
      </c>
      <c r="AB1731" s="12">
        <v>0</v>
      </c>
    </row>
    <row r="1732" spans="1:28" x14ac:dyDescent="0.2">
      <c r="A1732" s="7">
        <v>23257</v>
      </c>
      <c r="B1732" s="8" t="s">
        <v>11974</v>
      </c>
      <c r="C1732" s="8" t="s">
        <v>11975</v>
      </c>
      <c r="D1732" s="8" t="s">
        <v>11976</v>
      </c>
      <c r="E1732" s="8" t="s">
        <v>1725</v>
      </c>
      <c r="F1732" s="8" t="s">
        <v>11977</v>
      </c>
      <c r="G1732" s="8" t="s">
        <v>158</v>
      </c>
      <c r="H1732" s="8" t="s">
        <v>159</v>
      </c>
      <c r="I1732" s="8" t="s">
        <v>11978</v>
      </c>
      <c r="J1732" s="8" t="s">
        <v>11979</v>
      </c>
      <c r="K1732" s="8" t="s">
        <v>274</v>
      </c>
      <c r="L1732" s="8" t="s">
        <v>163</v>
      </c>
      <c r="M1732" s="8" t="s">
        <v>11980</v>
      </c>
      <c r="N1732" s="8" t="s">
        <v>128</v>
      </c>
      <c r="O1732" s="8" t="s">
        <v>11981</v>
      </c>
      <c r="P1732" s="8" t="s">
        <v>11982</v>
      </c>
      <c r="Q1732" s="8" t="s">
        <v>150</v>
      </c>
      <c r="R1732" s="8"/>
      <c r="S1732" s="8" t="s">
        <v>11983</v>
      </c>
      <c r="T1732" s="8" t="s">
        <v>70</v>
      </c>
      <c r="U1732" s="8" t="s">
        <v>150</v>
      </c>
      <c r="V1732" s="8" t="s">
        <v>70</v>
      </c>
      <c r="W1732" s="8" t="s">
        <v>70</v>
      </c>
      <c r="X1732" s="8">
        <v>10</v>
      </c>
      <c r="Y1732" s="8" t="s">
        <v>11263</v>
      </c>
      <c r="Z1732" s="8">
        <v>20</v>
      </c>
      <c r="AA1732" s="8">
        <v>0</v>
      </c>
      <c r="AB1732" s="9">
        <v>0</v>
      </c>
    </row>
    <row r="1733" spans="1:28" x14ac:dyDescent="0.2">
      <c r="A1733" s="10">
        <v>23225</v>
      </c>
      <c r="B1733" s="11" t="s">
        <v>11984</v>
      </c>
      <c r="C1733" s="11" t="s">
        <v>5529</v>
      </c>
      <c r="D1733" s="11" t="s">
        <v>11985</v>
      </c>
      <c r="E1733" s="11"/>
      <c r="F1733" s="11" t="s">
        <v>5532</v>
      </c>
      <c r="G1733" s="11" t="s">
        <v>648</v>
      </c>
      <c r="H1733" s="11" t="s">
        <v>142</v>
      </c>
      <c r="I1733" s="11" t="s">
        <v>5533</v>
      </c>
      <c r="J1733" s="11" t="s">
        <v>11986</v>
      </c>
      <c r="K1733" s="11" t="s">
        <v>651</v>
      </c>
      <c r="L1733" s="11" t="s">
        <v>146</v>
      </c>
      <c r="M1733" s="11" t="s">
        <v>11987</v>
      </c>
      <c r="N1733" s="11" t="s">
        <v>128</v>
      </c>
      <c r="O1733" s="11" t="s">
        <v>11988</v>
      </c>
      <c r="P1733" s="11" t="s">
        <v>11989</v>
      </c>
      <c r="Q1733" s="11" t="s">
        <v>150</v>
      </c>
      <c r="R1733" s="11"/>
      <c r="S1733" s="11" t="s">
        <v>71</v>
      </c>
      <c r="T1733" s="11" t="s">
        <v>70</v>
      </c>
      <c r="U1733" s="11" t="s">
        <v>150</v>
      </c>
      <c r="V1733" s="11" t="s">
        <v>70</v>
      </c>
      <c r="W1733" s="11" t="s">
        <v>70</v>
      </c>
      <c r="X1733" s="11">
        <v>10</v>
      </c>
      <c r="Y1733" s="11" t="s">
        <v>11263</v>
      </c>
      <c r="Z1733" s="11">
        <v>20</v>
      </c>
      <c r="AA1733" s="11">
        <v>0</v>
      </c>
      <c r="AB1733" s="12">
        <v>0</v>
      </c>
    </row>
    <row r="1734" spans="1:28" x14ac:dyDescent="0.2">
      <c r="A1734" s="7">
        <v>124280</v>
      </c>
      <c r="B1734" s="8" t="s">
        <v>11990</v>
      </c>
      <c r="C1734" s="8" t="s">
        <v>3187</v>
      </c>
      <c r="D1734" s="8" t="s">
        <v>11991</v>
      </c>
      <c r="E1734" s="8"/>
      <c r="F1734" s="8" t="s">
        <v>11992</v>
      </c>
      <c r="G1734" s="8" t="s">
        <v>776</v>
      </c>
      <c r="H1734" s="8" t="s">
        <v>142</v>
      </c>
      <c r="I1734" s="8" t="s">
        <v>11993</v>
      </c>
      <c r="J1734" s="8" t="s">
        <v>11994</v>
      </c>
      <c r="K1734" s="8" t="s">
        <v>779</v>
      </c>
      <c r="L1734" s="8" t="s">
        <v>464</v>
      </c>
      <c r="M1734" s="8" t="s">
        <v>11995</v>
      </c>
      <c r="N1734" s="8" t="s">
        <v>128</v>
      </c>
      <c r="O1734" s="8" t="s">
        <v>11996</v>
      </c>
      <c r="P1734" s="8" t="s">
        <v>11997</v>
      </c>
      <c r="Q1734" s="8" t="s">
        <v>150</v>
      </c>
      <c r="R1734" s="8"/>
      <c r="S1734" s="8" t="s">
        <v>71</v>
      </c>
      <c r="T1734" s="8" t="s">
        <v>1415</v>
      </c>
      <c r="U1734" s="8" t="s">
        <v>150</v>
      </c>
      <c r="V1734" s="8" t="s">
        <v>1415</v>
      </c>
      <c r="W1734" s="8" t="s">
        <v>1415</v>
      </c>
      <c r="X1734" s="8">
        <v>10</v>
      </c>
      <c r="Y1734" s="8" t="s">
        <v>11263</v>
      </c>
      <c r="Z1734" s="8">
        <v>20</v>
      </c>
      <c r="AA1734" s="8">
        <v>0</v>
      </c>
      <c r="AB1734" s="9">
        <v>0</v>
      </c>
    </row>
    <row r="1735" spans="1:28" x14ac:dyDescent="0.2">
      <c r="A1735" s="10">
        <v>25338</v>
      </c>
      <c r="B1735" s="11" t="s">
        <v>11998</v>
      </c>
      <c r="C1735" s="11" t="s">
        <v>9767</v>
      </c>
      <c r="D1735" s="11" t="s">
        <v>9768</v>
      </c>
      <c r="E1735" s="11" t="s">
        <v>11999</v>
      </c>
      <c r="F1735" s="11" t="s">
        <v>353</v>
      </c>
      <c r="G1735" s="11" t="s">
        <v>5116</v>
      </c>
      <c r="H1735" s="11" t="s">
        <v>122</v>
      </c>
      <c r="I1735" s="11" t="s">
        <v>9770</v>
      </c>
      <c r="J1735" s="11" t="s">
        <v>9771</v>
      </c>
      <c r="K1735" s="11" t="s">
        <v>125</v>
      </c>
      <c r="L1735" s="11" t="s">
        <v>126</v>
      </c>
      <c r="M1735" s="11" t="s">
        <v>12000</v>
      </c>
      <c r="N1735" s="11" t="s">
        <v>128</v>
      </c>
      <c r="O1735" s="11" t="s">
        <v>12001</v>
      </c>
      <c r="P1735" s="11"/>
      <c r="Q1735" s="11" t="s">
        <v>740</v>
      </c>
      <c r="R1735" s="11"/>
      <c r="S1735" s="11" t="s">
        <v>9774</v>
      </c>
      <c r="T1735" s="11" t="s">
        <v>1745</v>
      </c>
      <c r="U1735" s="11" t="s">
        <v>134</v>
      </c>
      <c r="V1735" s="11" t="s">
        <v>740</v>
      </c>
      <c r="W1735" s="11" t="s">
        <v>1745</v>
      </c>
      <c r="X1735" s="11">
        <v>10</v>
      </c>
      <c r="Y1735" s="11" t="s">
        <v>11263</v>
      </c>
      <c r="Z1735" s="11">
        <v>20</v>
      </c>
      <c r="AA1735" s="11">
        <v>0</v>
      </c>
      <c r="AB1735" s="12">
        <v>0</v>
      </c>
    </row>
    <row r="1736" spans="1:28" x14ac:dyDescent="0.2">
      <c r="A1736" s="7">
        <v>21512</v>
      </c>
      <c r="B1736" s="8" t="s">
        <v>12002</v>
      </c>
      <c r="C1736" s="8" t="s">
        <v>12003</v>
      </c>
      <c r="D1736" s="8" t="s">
        <v>3054</v>
      </c>
      <c r="E1736" s="8" t="s">
        <v>12004</v>
      </c>
      <c r="F1736" s="8" t="s">
        <v>10982</v>
      </c>
      <c r="G1736" s="8" t="s">
        <v>10983</v>
      </c>
      <c r="H1736" s="8" t="s">
        <v>142</v>
      </c>
      <c r="I1736" s="8" t="s">
        <v>12005</v>
      </c>
      <c r="J1736" s="8" t="s">
        <v>12006</v>
      </c>
      <c r="K1736" s="8" t="s">
        <v>1199</v>
      </c>
      <c r="L1736" s="8" t="s">
        <v>464</v>
      </c>
      <c r="M1736" s="8" t="s">
        <v>12007</v>
      </c>
      <c r="N1736" s="8" t="s">
        <v>128</v>
      </c>
      <c r="O1736" s="8" t="s">
        <v>12008</v>
      </c>
      <c r="P1736" s="8" t="s">
        <v>12009</v>
      </c>
      <c r="Q1736" s="8" t="s">
        <v>150</v>
      </c>
      <c r="R1736" s="8"/>
      <c r="S1736" s="8" t="s">
        <v>71</v>
      </c>
      <c r="T1736" s="8" t="s">
        <v>67</v>
      </c>
      <c r="U1736" s="8" t="s">
        <v>150</v>
      </c>
      <c r="V1736" s="8" t="s">
        <v>152</v>
      </c>
      <c r="W1736" s="8" t="s">
        <v>67</v>
      </c>
      <c r="X1736" s="8">
        <v>9</v>
      </c>
      <c r="Y1736" s="8" t="s">
        <v>11263</v>
      </c>
      <c r="Z1736" s="8">
        <v>20</v>
      </c>
      <c r="AA1736" s="8">
        <v>0</v>
      </c>
      <c r="AB1736" s="9">
        <v>0</v>
      </c>
    </row>
    <row r="1737" spans="1:28" x14ac:dyDescent="0.2">
      <c r="A1737" s="10">
        <v>21304</v>
      </c>
      <c r="B1737" s="11" t="s">
        <v>12010</v>
      </c>
      <c r="C1737" s="11" t="s">
        <v>4777</v>
      </c>
      <c r="D1737" s="11" t="s">
        <v>12011</v>
      </c>
      <c r="E1737" s="11" t="s">
        <v>12012</v>
      </c>
      <c r="F1737" s="11" t="s">
        <v>12013</v>
      </c>
      <c r="G1737" s="11" t="s">
        <v>3259</v>
      </c>
      <c r="H1737" s="11" t="s">
        <v>557</v>
      </c>
      <c r="I1737" s="11" t="s">
        <v>10703</v>
      </c>
      <c r="J1737" s="11" t="s">
        <v>12014</v>
      </c>
      <c r="K1737" s="11" t="s">
        <v>1562</v>
      </c>
      <c r="L1737" s="11" t="s">
        <v>229</v>
      </c>
      <c r="M1737" s="11" t="s">
        <v>12015</v>
      </c>
      <c r="N1737" s="11" t="s">
        <v>128</v>
      </c>
      <c r="O1737" s="11" t="s">
        <v>12016</v>
      </c>
      <c r="P1737" s="11" t="s">
        <v>12017</v>
      </c>
      <c r="Q1737" s="11" t="s">
        <v>150</v>
      </c>
      <c r="R1737" s="11"/>
      <c r="S1737" s="11" t="s">
        <v>10708</v>
      </c>
      <c r="T1737" s="11" t="s">
        <v>67</v>
      </c>
      <c r="U1737" s="11" t="s">
        <v>150</v>
      </c>
      <c r="V1737" s="11" t="s">
        <v>152</v>
      </c>
      <c r="W1737" s="11" t="s">
        <v>67</v>
      </c>
      <c r="X1737" s="11">
        <v>9</v>
      </c>
      <c r="Y1737" s="11" t="s">
        <v>11263</v>
      </c>
      <c r="Z1737" s="11">
        <v>20</v>
      </c>
      <c r="AA1737" s="11">
        <v>0</v>
      </c>
      <c r="AB1737" s="12">
        <v>0</v>
      </c>
    </row>
    <row r="1738" spans="1:28" x14ac:dyDescent="0.2">
      <c r="A1738" s="7">
        <v>21471</v>
      </c>
      <c r="B1738" s="8" t="s">
        <v>12018</v>
      </c>
      <c r="C1738" s="8" t="s">
        <v>10324</v>
      </c>
      <c r="D1738" s="8" t="s">
        <v>12019</v>
      </c>
      <c r="E1738" s="8"/>
      <c r="F1738" s="8"/>
      <c r="G1738" s="8" t="s">
        <v>2618</v>
      </c>
      <c r="H1738" s="8" t="s">
        <v>142</v>
      </c>
      <c r="I1738" s="8" t="s">
        <v>12020</v>
      </c>
      <c r="J1738" s="8" t="s">
        <v>12021</v>
      </c>
      <c r="K1738" s="8" t="s">
        <v>651</v>
      </c>
      <c r="L1738" s="8" t="s">
        <v>146</v>
      </c>
      <c r="M1738" s="8" t="s">
        <v>12022</v>
      </c>
      <c r="N1738" s="8" t="s">
        <v>128</v>
      </c>
      <c r="O1738" s="8" t="s">
        <v>12023</v>
      </c>
      <c r="P1738" s="8" t="s">
        <v>11385</v>
      </c>
      <c r="Q1738" s="8" t="s">
        <v>150</v>
      </c>
      <c r="R1738" s="8"/>
      <c r="S1738" s="8" t="s">
        <v>71</v>
      </c>
      <c r="T1738" s="8" t="s">
        <v>67</v>
      </c>
      <c r="U1738" s="8" t="s">
        <v>150</v>
      </c>
      <c r="V1738" s="8" t="s">
        <v>152</v>
      </c>
      <c r="W1738" s="8" t="s">
        <v>67</v>
      </c>
      <c r="X1738" s="8">
        <v>9</v>
      </c>
      <c r="Y1738" s="8" t="s">
        <v>11263</v>
      </c>
      <c r="Z1738" s="8">
        <v>20</v>
      </c>
      <c r="AA1738" s="8">
        <v>0</v>
      </c>
      <c r="AB1738" s="9">
        <v>0</v>
      </c>
    </row>
    <row r="1739" spans="1:28" x14ac:dyDescent="0.2">
      <c r="A1739" s="10">
        <v>128998</v>
      </c>
      <c r="B1739" s="11" t="s">
        <v>12024</v>
      </c>
      <c r="C1739" s="11" t="s">
        <v>10905</v>
      </c>
      <c r="D1739" s="11" t="s">
        <v>12025</v>
      </c>
      <c r="E1739" s="11"/>
      <c r="F1739" s="11" t="s">
        <v>353</v>
      </c>
      <c r="G1739" s="11" t="s">
        <v>328</v>
      </c>
      <c r="H1739" s="11" t="s">
        <v>329</v>
      </c>
      <c r="I1739" s="11" t="s">
        <v>12026</v>
      </c>
      <c r="J1739" s="11" t="s">
        <v>12027</v>
      </c>
      <c r="K1739" s="11" t="s">
        <v>415</v>
      </c>
      <c r="L1739" s="11" t="s">
        <v>333</v>
      </c>
      <c r="M1739" s="11" t="s">
        <v>12028</v>
      </c>
      <c r="N1739" s="11" t="s">
        <v>128</v>
      </c>
      <c r="O1739" s="11" t="s">
        <v>12029</v>
      </c>
      <c r="P1739" s="11"/>
      <c r="Q1739" s="11" t="s">
        <v>131</v>
      </c>
      <c r="R1739" s="11"/>
      <c r="S1739" s="11" t="s">
        <v>71</v>
      </c>
      <c r="T1739" s="11" t="s">
        <v>983</v>
      </c>
      <c r="U1739" s="11" t="s">
        <v>134</v>
      </c>
      <c r="V1739" s="11" t="s">
        <v>131</v>
      </c>
      <c r="W1739" s="11" t="s">
        <v>983</v>
      </c>
      <c r="X1739" s="11">
        <v>9</v>
      </c>
      <c r="Y1739" s="11" t="s">
        <v>11263</v>
      </c>
      <c r="Z1739" s="11">
        <v>20</v>
      </c>
      <c r="AA1739" s="11">
        <v>0</v>
      </c>
      <c r="AB1739" s="12">
        <v>0</v>
      </c>
    </row>
    <row r="1740" spans="1:28" x14ac:dyDescent="0.2">
      <c r="A1740" s="7">
        <v>116646</v>
      </c>
      <c r="B1740" s="8" t="s">
        <v>12030</v>
      </c>
      <c r="C1740" s="8" t="s">
        <v>12031</v>
      </c>
      <c r="D1740" s="8" t="s">
        <v>2637</v>
      </c>
      <c r="E1740" s="8"/>
      <c r="F1740" s="8" t="s">
        <v>4239</v>
      </c>
      <c r="G1740" s="8" t="s">
        <v>3643</v>
      </c>
      <c r="H1740" s="8" t="s">
        <v>142</v>
      </c>
      <c r="I1740" s="8" t="s">
        <v>12032</v>
      </c>
      <c r="J1740" s="8" t="s">
        <v>12033</v>
      </c>
      <c r="K1740" s="8" t="s">
        <v>651</v>
      </c>
      <c r="L1740" s="8" t="s">
        <v>146</v>
      </c>
      <c r="M1740" s="8" t="s">
        <v>12034</v>
      </c>
      <c r="N1740" s="8" t="s">
        <v>128</v>
      </c>
      <c r="O1740" s="8" t="s">
        <v>12035</v>
      </c>
      <c r="P1740" s="8" t="s">
        <v>12036</v>
      </c>
      <c r="Q1740" s="8" t="s">
        <v>150</v>
      </c>
      <c r="R1740" s="8"/>
      <c r="S1740" s="8" t="s">
        <v>71</v>
      </c>
      <c r="T1740" s="8" t="s">
        <v>2697</v>
      </c>
      <c r="U1740" s="8" t="s">
        <v>150</v>
      </c>
      <c r="V1740" s="8" t="s">
        <v>2697</v>
      </c>
      <c r="W1740" s="8" t="s">
        <v>2697</v>
      </c>
      <c r="X1740" s="8">
        <v>9</v>
      </c>
      <c r="Y1740" s="8" t="s">
        <v>11263</v>
      </c>
      <c r="Z1740" s="8">
        <v>20</v>
      </c>
      <c r="AA1740" s="8">
        <v>0</v>
      </c>
      <c r="AB1740" s="9">
        <v>0</v>
      </c>
    </row>
    <row r="1741" spans="1:28" x14ac:dyDescent="0.2">
      <c r="A1741" s="10">
        <v>22980</v>
      </c>
      <c r="B1741" s="11" t="s">
        <v>12037</v>
      </c>
      <c r="C1741" s="11" t="s">
        <v>12038</v>
      </c>
      <c r="D1741" s="11" t="s">
        <v>12039</v>
      </c>
      <c r="E1741" s="11" t="s">
        <v>12040</v>
      </c>
      <c r="F1741" s="11" t="s">
        <v>1207</v>
      </c>
      <c r="G1741" s="11" t="s">
        <v>615</v>
      </c>
      <c r="H1741" s="11" t="s">
        <v>616</v>
      </c>
      <c r="I1741" s="11" t="s">
        <v>12041</v>
      </c>
      <c r="J1741" s="11" t="s">
        <v>12042</v>
      </c>
      <c r="K1741" s="11" t="s">
        <v>619</v>
      </c>
      <c r="L1741" s="11" t="s">
        <v>163</v>
      </c>
      <c r="M1741" s="11" t="s">
        <v>12043</v>
      </c>
      <c r="N1741" s="11" t="s">
        <v>128</v>
      </c>
      <c r="O1741" s="11" t="s">
        <v>12044</v>
      </c>
      <c r="P1741" s="11" t="s">
        <v>12045</v>
      </c>
      <c r="Q1741" s="11" t="s">
        <v>150</v>
      </c>
      <c r="R1741" s="11"/>
      <c r="S1741" s="11" t="s">
        <v>12046</v>
      </c>
      <c r="T1741" s="11" t="s">
        <v>70</v>
      </c>
      <c r="U1741" s="11" t="s">
        <v>150</v>
      </c>
      <c r="V1741" s="11" t="s">
        <v>70</v>
      </c>
      <c r="W1741" s="11" t="s">
        <v>70</v>
      </c>
      <c r="X1741" s="11">
        <v>9</v>
      </c>
      <c r="Y1741" s="11" t="s">
        <v>11263</v>
      </c>
      <c r="Z1741" s="11">
        <v>20</v>
      </c>
      <c r="AA1741" s="11">
        <v>0</v>
      </c>
      <c r="AB1741" s="12">
        <v>0</v>
      </c>
    </row>
    <row r="1742" spans="1:28" x14ac:dyDescent="0.2">
      <c r="A1742" s="7">
        <v>23236</v>
      </c>
      <c r="B1742" s="8" t="s">
        <v>12047</v>
      </c>
      <c r="C1742" s="8" t="s">
        <v>12048</v>
      </c>
      <c r="D1742" s="8" t="s">
        <v>9706</v>
      </c>
      <c r="E1742" s="8"/>
      <c r="F1742" s="8" t="s">
        <v>12049</v>
      </c>
      <c r="G1742" s="8" t="s">
        <v>328</v>
      </c>
      <c r="H1742" s="8" t="s">
        <v>329</v>
      </c>
      <c r="I1742" s="8" t="s">
        <v>12050</v>
      </c>
      <c r="J1742" s="8" t="s">
        <v>12051</v>
      </c>
      <c r="K1742" s="8" t="s">
        <v>415</v>
      </c>
      <c r="L1742" s="8" t="s">
        <v>333</v>
      </c>
      <c r="M1742" s="8" t="s">
        <v>12052</v>
      </c>
      <c r="N1742" s="8" t="s">
        <v>128</v>
      </c>
      <c r="O1742" s="8" t="s">
        <v>12053</v>
      </c>
      <c r="P1742" s="8" t="s">
        <v>12054</v>
      </c>
      <c r="Q1742" s="8" t="s">
        <v>150</v>
      </c>
      <c r="R1742" s="8"/>
      <c r="S1742" s="8" t="s">
        <v>71</v>
      </c>
      <c r="T1742" s="8" t="s">
        <v>70</v>
      </c>
      <c r="U1742" s="8" t="s">
        <v>150</v>
      </c>
      <c r="V1742" s="8" t="s">
        <v>70</v>
      </c>
      <c r="W1742" s="8" t="s">
        <v>70</v>
      </c>
      <c r="X1742" s="8">
        <v>9</v>
      </c>
      <c r="Y1742" s="8" t="s">
        <v>11263</v>
      </c>
      <c r="Z1742" s="8">
        <v>20</v>
      </c>
      <c r="AA1742" s="8">
        <v>0</v>
      </c>
      <c r="AB1742" s="9">
        <v>0</v>
      </c>
    </row>
    <row r="1743" spans="1:28" x14ac:dyDescent="0.2">
      <c r="A1743" s="10">
        <v>124043</v>
      </c>
      <c r="B1743" s="11" t="s">
        <v>12055</v>
      </c>
      <c r="C1743" s="11" t="s">
        <v>12056</v>
      </c>
      <c r="D1743" s="11" t="s">
        <v>12057</v>
      </c>
      <c r="E1743" s="11"/>
      <c r="F1743" s="11" t="s">
        <v>10221</v>
      </c>
      <c r="G1743" s="11" t="s">
        <v>190</v>
      </c>
      <c r="H1743" s="11" t="s">
        <v>191</v>
      </c>
      <c r="I1743" s="11" t="s">
        <v>10222</v>
      </c>
      <c r="J1743" s="11" t="s">
        <v>12058</v>
      </c>
      <c r="K1743" s="11" t="s">
        <v>194</v>
      </c>
      <c r="L1743" s="11" t="s">
        <v>163</v>
      </c>
      <c r="M1743" s="11" t="s">
        <v>12059</v>
      </c>
      <c r="N1743" s="11" t="s">
        <v>128</v>
      </c>
      <c r="O1743" s="11" t="s">
        <v>12060</v>
      </c>
      <c r="P1743" s="11" t="s">
        <v>12061</v>
      </c>
      <c r="Q1743" s="11" t="s">
        <v>150</v>
      </c>
      <c r="R1743" s="11"/>
      <c r="S1743" s="11" t="s">
        <v>71</v>
      </c>
      <c r="T1743" s="11" t="s">
        <v>70</v>
      </c>
      <c r="U1743" s="11" t="s">
        <v>150</v>
      </c>
      <c r="V1743" s="11" t="s">
        <v>70</v>
      </c>
      <c r="W1743" s="11" t="s">
        <v>70</v>
      </c>
      <c r="X1743" s="11">
        <v>9</v>
      </c>
      <c r="Y1743" s="11" t="s">
        <v>11263</v>
      </c>
      <c r="Z1743" s="11">
        <v>20</v>
      </c>
      <c r="AA1743" s="11">
        <v>0</v>
      </c>
      <c r="AB1743" s="12">
        <v>0</v>
      </c>
    </row>
    <row r="1744" spans="1:28" x14ac:dyDescent="0.2">
      <c r="A1744" s="7">
        <v>23419</v>
      </c>
      <c r="B1744" s="8" t="s">
        <v>12062</v>
      </c>
      <c r="C1744" s="8" t="s">
        <v>12063</v>
      </c>
      <c r="D1744" s="8" t="s">
        <v>2043</v>
      </c>
      <c r="E1744" s="8"/>
      <c r="F1744" s="8" t="s">
        <v>353</v>
      </c>
      <c r="G1744" s="8" t="s">
        <v>7069</v>
      </c>
      <c r="H1744" s="8" t="s">
        <v>142</v>
      </c>
      <c r="I1744" s="8" t="s">
        <v>12064</v>
      </c>
      <c r="J1744" s="8" t="s">
        <v>12065</v>
      </c>
      <c r="K1744" s="8" t="s">
        <v>472</v>
      </c>
      <c r="L1744" s="8" t="s">
        <v>146</v>
      </c>
      <c r="M1744" s="8" t="s">
        <v>12066</v>
      </c>
      <c r="N1744" s="8" t="s">
        <v>128</v>
      </c>
      <c r="O1744" s="8" t="s">
        <v>12067</v>
      </c>
      <c r="P1744" s="8" t="s">
        <v>12068</v>
      </c>
      <c r="Q1744" s="8" t="s">
        <v>150</v>
      </c>
      <c r="R1744" s="8"/>
      <c r="S1744" s="8" t="s">
        <v>71</v>
      </c>
      <c r="T1744" s="8" t="s">
        <v>1415</v>
      </c>
      <c r="U1744" s="8" t="s">
        <v>150</v>
      </c>
      <c r="V1744" s="8" t="s">
        <v>1415</v>
      </c>
      <c r="W1744" s="8" t="s">
        <v>1415</v>
      </c>
      <c r="X1744" s="8">
        <v>9</v>
      </c>
      <c r="Y1744" s="8" t="s">
        <v>11263</v>
      </c>
      <c r="Z1744" s="8">
        <v>20</v>
      </c>
      <c r="AA1744" s="8">
        <v>0</v>
      </c>
      <c r="AB1744" s="9">
        <v>0</v>
      </c>
    </row>
    <row r="1745" spans="1:28" x14ac:dyDescent="0.2">
      <c r="A1745" s="10">
        <v>86789</v>
      </c>
      <c r="B1745" s="11" t="s">
        <v>12069</v>
      </c>
      <c r="C1745" s="11" t="s">
        <v>12070</v>
      </c>
      <c r="D1745" s="11" t="s">
        <v>7037</v>
      </c>
      <c r="E1745" s="11"/>
      <c r="F1745" s="11" t="s">
        <v>353</v>
      </c>
      <c r="G1745" s="11" t="s">
        <v>10601</v>
      </c>
      <c r="H1745" s="11" t="s">
        <v>557</v>
      </c>
      <c r="I1745" s="11" t="s">
        <v>12071</v>
      </c>
      <c r="J1745" s="11" t="s">
        <v>12072</v>
      </c>
      <c r="K1745" s="11" t="s">
        <v>560</v>
      </c>
      <c r="L1745" s="11" t="s">
        <v>229</v>
      </c>
      <c r="M1745" s="11" t="s">
        <v>12073</v>
      </c>
      <c r="N1745" s="11" t="s">
        <v>128</v>
      </c>
      <c r="O1745" s="11" t="s">
        <v>12074</v>
      </c>
      <c r="P1745" s="11" t="s">
        <v>12075</v>
      </c>
      <c r="Q1745" s="11" t="s">
        <v>150</v>
      </c>
      <c r="R1745" s="11"/>
      <c r="S1745" s="11" t="s">
        <v>71</v>
      </c>
      <c r="T1745" s="11" t="s">
        <v>168</v>
      </c>
      <c r="U1745" s="11" t="s">
        <v>150</v>
      </c>
      <c r="V1745" s="11" t="s">
        <v>168</v>
      </c>
      <c r="W1745" s="11" t="s">
        <v>168</v>
      </c>
      <c r="X1745" s="11">
        <v>9</v>
      </c>
      <c r="Y1745" s="11" t="s">
        <v>11263</v>
      </c>
      <c r="Z1745" s="11">
        <v>20</v>
      </c>
      <c r="AA1745" s="11">
        <v>0</v>
      </c>
      <c r="AB1745" s="12">
        <v>0</v>
      </c>
    </row>
    <row r="1746" spans="1:28" x14ac:dyDescent="0.2">
      <c r="A1746" s="7">
        <v>218067</v>
      </c>
      <c r="B1746" s="8" t="s">
        <v>12076</v>
      </c>
      <c r="C1746" s="8" t="s">
        <v>5800</v>
      </c>
      <c r="D1746" s="8" t="s">
        <v>138</v>
      </c>
      <c r="E1746" s="8"/>
      <c r="F1746" s="8" t="s">
        <v>353</v>
      </c>
      <c r="G1746" s="8" t="s">
        <v>11145</v>
      </c>
      <c r="H1746" s="8" t="s">
        <v>5805</v>
      </c>
      <c r="I1746" s="8" t="s">
        <v>12077</v>
      </c>
      <c r="J1746" s="8" t="s">
        <v>12078</v>
      </c>
      <c r="K1746" s="8" t="s">
        <v>274</v>
      </c>
      <c r="L1746" s="8" t="s">
        <v>163</v>
      </c>
      <c r="M1746" s="8" t="s">
        <v>12079</v>
      </c>
      <c r="N1746" s="8" t="s">
        <v>128</v>
      </c>
      <c r="O1746" s="8" t="s">
        <v>12080</v>
      </c>
      <c r="P1746" s="8"/>
      <c r="Q1746" s="8" t="s">
        <v>150</v>
      </c>
      <c r="R1746" s="8"/>
      <c r="S1746" s="8" t="s">
        <v>71</v>
      </c>
      <c r="T1746" s="8" t="s">
        <v>8111</v>
      </c>
      <c r="U1746" s="8" t="s">
        <v>150</v>
      </c>
      <c r="V1746" s="8" t="s">
        <v>8111</v>
      </c>
      <c r="W1746" s="8" t="s">
        <v>8111</v>
      </c>
      <c r="X1746" s="8">
        <v>8</v>
      </c>
      <c r="Y1746" s="8" t="s">
        <v>11263</v>
      </c>
      <c r="Z1746" s="8">
        <v>20</v>
      </c>
      <c r="AA1746" s="8">
        <v>0</v>
      </c>
      <c r="AB1746" s="9">
        <v>0</v>
      </c>
    </row>
    <row r="1747" spans="1:28" x14ac:dyDescent="0.2">
      <c r="A1747" s="10">
        <v>21216</v>
      </c>
      <c r="B1747" s="11" t="s">
        <v>12081</v>
      </c>
      <c r="C1747" s="11" t="s">
        <v>12082</v>
      </c>
      <c r="D1747" s="11" t="s">
        <v>11831</v>
      </c>
      <c r="E1747" s="11" t="s">
        <v>702</v>
      </c>
      <c r="F1747" s="11" t="s">
        <v>353</v>
      </c>
      <c r="G1747" s="11" t="s">
        <v>1364</v>
      </c>
      <c r="H1747" s="11" t="s">
        <v>329</v>
      </c>
      <c r="I1747" s="11" t="s">
        <v>12083</v>
      </c>
      <c r="J1747" s="11" t="s">
        <v>12084</v>
      </c>
      <c r="K1747" s="11" t="s">
        <v>431</v>
      </c>
      <c r="L1747" s="11" t="s">
        <v>333</v>
      </c>
      <c r="M1747" s="11" t="s">
        <v>12085</v>
      </c>
      <c r="N1747" s="11" t="s">
        <v>128</v>
      </c>
      <c r="O1747" s="11" t="s">
        <v>12086</v>
      </c>
      <c r="P1747" s="11" t="s">
        <v>12087</v>
      </c>
      <c r="Q1747" s="11" t="s">
        <v>150</v>
      </c>
      <c r="R1747" s="11"/>
      <c r="S1747" s="11" t="s">
        <v>71</v>
      </c>
      <c r="T1747" s="11" t="s">
        <v>642</v>
      </c>
      <c r="U1747" s="11" t="s">
        <v>150</v>
      </c>
      <c r="V1747" s="11" t="s">
        <v>642</v>
      </c>
      <c r="W1747" s="11" t="s">
        <v>642</v>
      </c>
      <c r="X1747" s="11">
        <v>8</v>
      </c>
      <c r="Y1747" s="11" t="s">
        <v>11263</v>
      </c>
      <c r="Z1747" s="11">
        <v>20</v>
      </c>
      <c r="AA1747" s="11">
        <v>0</v>
      </c>
      <c r="AB1747" s="12">
        <v>0</v>
      </c>
    </row>
    <row r="1748" spans="1:28" x14ac:dyDescent="0.2">
      <c r="A1748" s="7">
        <v>26215</v>
      </c>
      <c r="B1748" s="8" t="s">
        <v>12088</v>
      </c>
      <c r="C1748" s="8" t="s">
        <v>12089</v>
      </c>
      <c r="D1748" s="8" t="s">
        <v>4718</v>
      </c>
      <c r="E1748" s="8"/>
      <c r="F1748" s="8"/>
      <c r="G1748" s="8" t="s">
        <v>12090</v>
      </c>
      <c r="H1748" s="8" t="s">
        <v>671</v>
      </c>
      <c r="I1748" s="8" t="s">
        <v>12091</v>
      </c>
      <c r="J1748" s="8" t="s">
        <v>12092</v>
      </c>
      <c r="K1748" s="8" t="s">
        <v>572</v>
      </c>
      <c r="L1748" s="8" t="s">
        <v>333</v>
      </c>
      <c r="M1748" s="8" t="s">
        <v>12093</v>
      </c>
      <c r="N1748" s="8" t="s">
        <v>128</v>
      </c>
      <c r="O1748" s="8" t="s">
        <v>12094</v>
      </c>
      <c r="P1748" s="8" t="s">
        <v>8308</v>
      </c>
      <c r="Q1748" s="8" t="s">
        <v>150</v>
      </c>
      <c r="R1748" s="8"/>
      <c r="S1748" s="8" t="s">
        <v>71</v>
      </c>
      <c r="T1748" s="8" t="s">
        <v>67</v>
      </c>
      <c r="U1748" s="8" t="s">
        <v>150</v>
      </c>
      <c r="V1748" s="8" t="s">
        <v>152</v>
      </c>
      <c r="W1748" s="8" t="s">
        <v>67</v>
      </c>
      <c r="X1748" s="8">
        <v>8</v>
      </c>
      <c r="Y1748" s="8" t="s">
        <v>11263</v>
      </c>
      <c r="Z1748" s="8">
        <v>20</v>
      </c>
      <c r="AA1748" s="8">
        <v>0</v>
      </c>
      <c r="AB1748" s="9">
        <v>0</v>
      </c>
    </row>
    <row r="1749" spans="1:28" x14ac:dyDescent="0.2">
      <c r="A1749" s="10">
        <v>107523</v>
      </c>
      <c r="B1749" s="11" t="s">
        <v>12095</v>
      </c>
      <c r="C1749" s="11" t="s">
        <v>8798</v>
      </c>
      <c r="D1749" s="11" t="s">
        <v>1333</v>
      </c>
      <c r="E1749" s="11" t="s">
        <v>12096</v>
      </c>
      <c r="F1749" s="11" t="s">
        <v>12097</v>
      </c>
      <c r="G1749" s="11" t="s">
        <v>141</v>
      </c>
      <c r="H1749" s="11" t="s">
        <v>142</v>
      </c>
      <c r="I1749" s="11" t="s">
        <v>8801</v>
      </c>
      <c r="J1749" s="11" t="s">
        <v>8802</v>
      </c>
      <c r="K1749" s="11" t="s">
        <v>145</v>
      </c>
      <c r="L1749" s="11" t="s">
        <v>146</v>
      </c>
      <c r="M1749" s="11" t="s">
        <v>12098</v>
      </c>
      <c r="N1749" s="11" t="s">
        <v>128</v>
      </c>
      <c r="O1749" s="11" t="s">
        <v>12099</v>
      </c>
      <c r="P1749" s="11"/>
      <c r="Q1749" s="11" t="s">
        <v>131</v>
      </c>
      <c r="R1749" s="11"/>
      <c r="S1749" s="11" t="s">
        <v>8805</v>
      </c>
      <c r="T1749" s="11" t="s">
        <v>983</v>
      </c>
      <c r="U1749" s="11" t="s">
        <v>134</v>
      </c>
      <c r="V1749" s="11" t="s">
        <v>131</v>
      </c>
      <c r="W1749" s="11" t="s">
        <v>983</v>
      </c>
      <c r="X1749" s="11">
        <v>8</v>
      </c>
      <c r="Y1749" s="11" t="s">
        <v>11263</v>
      </c>
      <c r="Z1749" s="11">
        <v>20</v>
      </c>
      <c r="AA1749" s="11">
        <v>0</v>
      </c>
      <c r="AB1749" s="12">
        <v>0</v>
      </c>
    </row>
    <row r="1750" spans="1:28" x14ac:dyDescent="0.2">
      <c r="A1750" s="7">
        <v>124261</v>
      </c>
      <c r="B1750" s="8" t="s">
        <v>12100</v>
      </c>
      <c r="C1750" s="8" t="s">
        <v>12101</v>
      </c>
      <c r="D1750" s="8" t="s">
        <v>4881</v>
      </c>
      <c r="E1750" s="8"/>
      <c r="F1750" s="8" t="s">
        <v>353</v>
      </c>
      <c r="G1750" s="8" t="s">
        <v>2332</v>
      </c>
      <c r="H1750" s="8" t="s">
        <v>142</v>
      </c>
      <c r="I1750" s="8" t="s">
        <v>12102</v>
      </c>
      <c r="J1750" s="8" t="s">
        <v>12103</v>
      </c>
      <c r="K1750" s="8" t="s">
        <v>779</v>
      </c>
      <c r="L1750" s="8" t="s">
        <v>464</v>
      </c>
      <c r="M1750" s="8" t="s">
        <v>12104</v>
      </c>
      <c r="N1750" s="8" t="s">
        <v>128</v>
      </c>
      <c r="O1750" s="8" t="s">
        <v>12105</v>
      </c>
      <c r="P1750" s="8" t="s">
        <v>12106</v>
      </c>
      <c r="Q1750" s="8" t="s">
        <v>150</v>
      </c>
      <c r="R1750" s="8"/>
      <c r="S1750" s="8" t="s">
        <v>71</v>
      </c>
      <c r="T1750" s="8" t="s">
        <v>1415</v>
      </c>
      <c r="U1750" s="8" t="s">
        <v>150</v>
      </c>
      <c r="V1750" s="8" t="s">
        <v>1415</v>
      </c>
      <c r="W1750" s="8" t="s">
        <v>1415</v>
      </c>
      <c r="X1750" s="8">
        <v>8</v>
      </c>
      <c r="Y1750" s="8" t="s">
        <v>11263</v>
      </c>
      <c r="Z1750" s="8">
        <v>20</v>
      </c>
      <c r="AA1750" s="8">
        <v>0</v>
      </c>
      <c r="AB1750" s="9">
        <v>0</v>
      </c>
    </row>
    <row r="1751" spans="1:28" x14ac:dyDescent="0.2">
      <c r="A1751" s="10">
        <v>124266</v>
      </c>
      <c r="B1751" s="11" t="s">
        <v>12107</v>
      </c>
      <c r="C1751" s="11" t="s">
        <v>11088</v>
      </c>
      <c r="D1751" s="11" t="s">
        <v>7326</v>
      </c>
      <c r="E1751" s="11"/>
      <c r="F1751" s="11" t="s">
        <v>353</v>
      </c>
      <c r="G1751" s="11" t="s">
        <v>12108</v>
      </c>
      <c r="H1751" s="11" t="s">
        <v>847</v>
      </c>
      <c r="I1751" s="11" t="s">
        <v>12109</v>
      </c>
      <c r="J1751" s="11" t="s">
        <v>12110</v>
      </c>
      <c r="K1751" s="11" t="s">
        <v>1091</v>
      </c>
      <c r="L1751" s="11" t="s">
        <v>126</v>
      </c>
      <c r="M1751" s="11" t="s">
        <v>12111</v>
      </c>
      <c r="N1751" s="11" t="s">
        <v>128</v>
      </c>
      <c r="O1751" s="11" t="s">
        <v>12112</v>
      </c>
      <c r="P1751" s="11" t="s">
        <v>12113</v>
      </c>
      <c r="Q1751" s="11" t="s">
        <v>150</v>
      </c>
      <c r="R1751" s="11"/>
      <c r="S1751" s="11" t="s">
        <v>71</v>
      </c>
      <c r="T1751" s="11" t="s">
        <v>1415</v>
      </c>
      <c r="U1751" s="11" t="s">
        <v>150</v>
      </c>
      <c r="V1751" s="11" t="s">
        <v>1415</v>
      </c>
      <c r="W1751" s="11" t="s">
        <v>1415</v>
      </c>
      <c r="X1751" s="11">
        <v>8</v>
      </c>
      <c r="Y1751" s="11" t="s">
        <v>11263</v>
      </c>
      <c r="Z1751" s="11">
        <v>20</v>
      </c>
      <c r="AA1751" s="11">
        <v>0</v>
      </c>
      <c r="AB1751" s="12">
        <v>0</v>
      </c>
    </row>
    <row r="1752" spans="1:28" x14ac:dyDescent="0.2">
      <c r="A1752" s="7">
        <v>85237</v>
      </c>
      <c r="B1752" s="8" t="s">
        <v>12114</v>
      </c>
      <c r="C1752" s="8" t="s">
        <v>10898</v>
      </c>
      <c r="D1752" s="8" t="s">
        <v>1409</v>
      </c>
      <c r="E1752" s="8"/>
      <c r="F1752" s="8" t="s">
        <v>12115</v>
      </c>
      <c r="G1752" s="8" t="s">
        <v>10899</v>
      </c>
      <c r="H1752" s="8" t="s">
        <v>142</v>
      </c>
      <c r="I1752" s="8" t="s">
        <v>10900</v>
      </c>
      <c r="J1752" s="8" t="s">
        <v>12116</v>
      </c>
      <c r="K1752" s="8" t="s">
        <v>1029</v>
      </c>
      <c r="L1752" s="8" t="s">
        <v>464</v>
      </c>
      <c r="M1752" s="8" t="s">
        <v>12117</v>
      </c>
      <c r="N1752" s="8" t="s">
        <v>128</v>
      </c>
      <c r="O1752" s="8" t="s">
        <v>12118</v>
      </c>
      <c r="P1752" s="8" t="s">
        <v>12119</v>
      </c>
      <c r="Q1752" s="8" t="s">
        <v>150</v>
      </c>
      <c r="R1752" s="8"/>
      <c r="S1752" s="8" t="s">
        <v>71</v>
      </c>
      <c r="T1752" s="8" t="s">
        <v>1415</v>
      </c>
      <c r="U1752" s="8" t="s">
        <v>150</v>
      </c>
      <c r="V1752" s="8" t="s">
        <v>1415</v>
      </c>
      <c r="W1752" s="8" t="s">
        <v>1415</v>
      </c>
      <c r="X1752" s="8">
        <v>8</v>
      </c>
      <c r="Y1752" s="8" t="s">
        <v>11263</v>
      </c>
      <c r="Z1752" s="8">
        <v>20</v>
      </c>
      <c r="AA1752" s="8">
        <v>0</v>
      </c>
      <c r="AB1752" s="9">
        <v>0</v>
      </c>
    </row>
    <row r="1753" spans="1:28" x14ac:dyDescent="0.2">
      <c r="A1753" s="10">
        <v>21750</v>
      </c>
      <c r="B1753" s="11" t="s">
        <v>12120</v>
      </c>
      <c r="C1753" s="11" t="s">
        <v>10670</v>
      </c>
      <c r="D1753" s="11" t="s">
        <v>12121</v>
      </c>
      <c r="E1753" s="11"/>
      <c r="F1753" s="11" t="s">
        <v>353</v>
      </c>
      <c r="G1753" s="11" t="s">
        <v>10672</v>
      </c>
      <c r="H1753" s="11" t="s">
        <v>847</v>
      </c>
      <c r="I1753" s="11" t="s">
        <v>10673</v>
      </c>
      <c r="J1753" s="11" t="s">
        <v>12122</v>
      </c>
      <c r="K1753" s="11" t="s">
        <v>1091</v>
      </c>
      <c r="L1753" s="11" t="s">
        <v>126</v>
      </c>
      <c r="M1753" s="11" t="s">
        <v>12123</v>
      </c>
      <c r="N1753" s="11" t="s">
        <v>128</v>
      </c>
      <c r="O1753" s="11" t="s">
        <v>12124</v>
      </c>
      <c r="P1753" s="11" t="s">
        <v>12125</v>
      </c>
      <c r="Q1753" s="11" t="s">
        <v>150</v>
      </c>
      <c r="R1753" s="11"/>
      <c r="S1753" s="11" t="s">
        <v>71</v>
      </c>
      <c r="T1753" s="11" t="s">
        <v>67</v>
      </c>
      <c r="U1753" s="11" t="s">
        <v>150</v>
      </c>
      <c r="V1753" s="11" t="s">
        <v>152</v>
      </c>
      <c r="W1753" s="11" t="s">
        <v>67</v>
      </c>
      <c r="X1753" s="11">
        <v>7</v>
      </c>
      <c r="Y1753" s="11" t="s">
        <v>11263</v>
      </c>
      <c r="Z1753" s="11">
        <v>20</v>
      </c>
      <c r="AA1753" s="11">
        <v>0</v>
      </c>
      <c r="AB1753" s="12">
        <v>0</v>
      </c>
    </row>
    <row r="1754" spans="1:28" x14ac:dyDescent="0.2">
      <c r="A1754" s="7">
        <v>109199</v>
      </c>
      <c r="B1754" s="8" t="s">
        <v>12126</v>
      </c>
      <c r="C1754" s="8" t="s">
        <v>12127</v>
      </c>
      <c r="D1754" s="8" t="s">
        <v>3166</v>
      </c>
      <c r="E1754" s="8"/>
      <c r="F1754" s="8" t="s">
        <v>353</v>
      </c>
      <c r="G1754" s="8" t="s">
        <v>12128</v>
      </c>
      <c r="H1754" s="8" t="s">
        <v>142</v>
      </c>
      <c r="I1754" s="8" t="s">
        <v>12129</v>
      </c>
      <c r="J1754" s="8" t="s">
        <v>12130</v>
      </c>
      <c r="K1754" s="8" t="s">
        <v>1029</v>
      </c>
      <c r="L1754" s="8" t="s">
        <v>464</v>
      </c>
      <c r="M1754" s="8" t="s">
        <v>12131</v>
      </c>
      <c r="N1754" s="8" t="s">
        <v>128</v>
      </c>
      <c r="O1754" s="8" t="s">
        <v>12132</v>
      </c>
      <c r="P1754" s="8" t="s">
        <v>12133</v>
      </c>
      <c r="Q1754" s="8" t="s">
        <v>150</v>
      </c>
      <c r="R1754" s="8"/>
      <c r="S1754" s="8" t="s">
        <v>71</v>
      </c>
      <c r="T1754" s="8" t="s">
        <v>67</v>
      </c>
      <c r="U1754" s="8" t="s">
        <v>150</v>
      </c>
      <c r="V1754" s="8" t="s">
        <v>152</v>
      </c>
      <c r="W1754" s="8" t="s">
        <v>67</v>
      </c>
      <c r="X1754" s="8">
        <v>7</v>
      </c>
      <c r="Y1754" s="8" t="s">
        <v>11263</v>
      </c>
      <c r="Z1754" s="8">
        <v>20</v>
      </c>
      <c r="AA1754" s="8">
        <v>0</v>
      </c>
      <c r="AB1754" s="9">
        <v>0</v>
      </c>
    </row>
    <row r="1755" spans="1:28" x14ac:dyDescent="0.2">
      <c r="A1755" s="10">
        <v>21633</v>
      </c>
      <c r="B1755" s="11" t="s">
        <v>12134</v>
      </c>
      <c r="C1755" s="11" t="s">
        <v>12135</v>
      </c>
      <c r="D1755" s="11" t="s">
        <v>340</v>
      </c>
      <c r="E1755" s="11"/>
      <c r="F1755" s="11" t="s">
        <v>12136</v>
      </c>
      <c r="G1755" s="11" t="s">
        <v>400</v>
      </c>
      <c r="H1755" s="11" t="s">
        <v>142</v>
      </c>
      <c r="I1755" s="11" t="s">
        <v>12137</v>
      </c>
      <c r="J1755" s="11" t="s">
        <v>12138</v>
      </c>
      <c r="K1755" s="11" t="s">
        <v>403</v>
      </c>
      <c r="L1755" s="11" t="s">
        <v>146</v>
      </c>
      <c r="M1755" s="11" t="s">
        <v>12139</v>
      </c>
      <c r="N1755" s="11" t="s">
        <v>128</v>
      </c>
      <c r="O1755" s="11" t="s">
        <v>12140</v>
      </c>
      <c r="P1755" s="11" t="s">
        <v>12141</v>
      </c>
      <c r="Q1755" s="11" t="s">
        <v>150</v>
      </c>
      <c r="R1755" s="11"/>
      <c r="S1755" s="11" t="s">
        <v>71</v>
      </c>
      <c r="T1755" s="11" t="s">
        <v>67</v>
      </c>
      <c r="U1755" s="11" t="s">
        <v>150</v>
      </c>
      <c r="V1755" s="11" t="s">
        <v>152</v>
      </c>
      <c r="W1755" s="11" t="s">
        <v>67</v>
      </c>
      <c r="X1755" s="11">
        <v>7</v>
      </c>
      <c r="Y1755" s="11" t="s">
        <v>11263</v>
      </c>
      <c r="Z1755" s="11">
        <v>20</v>
      </c>
      <c r="AA1755" s="11">
        <v>0</v>
      </c>
      <c r="AB1755" s="12">
        <v>0</v>
      </c>
    </row>
    <row r="1756" spans="1:28" x14ac:dyDescent="0.2">
      <c r="A1756" s="7">
        <v>86788</v>
      </c>
      <c r="B1756" s="8" t="s">
        <v>12142</v>
      </c>
      <c r="C1756" s="8" t="s">
        <v>12143</v>
      </c>
      <c r="D1756" s="8" t="s">
        <v>208</v>
      </c>
      <c r="E1756" s="8" t="s">
        <v>12144</v>
      </c>
      <c r="F1756" s="8" t="s">
        <v>12145</v>
      </c>
      <c r="G1756" s="8" t="s">
        <v>615</v>
      </c>
      <c r="H1756" s="8" t="s">
        <v>616</v>
      </c>
      <c r="I1756" s="8" t="s">
        <v>12146</v>
      </c>
      <c r="J1756" s="8" t="s">
        <v>12147</v>
      </c>
      <c r="K1756" s="8" t="s">
        <v>619</v>
      </c>
      <c r="L1756" s="8" t="s">
        <v>163</v>
      </c>
      <c r="M1756" s="8" t="s">
        <v>12148</v>
      </c>
      <c r="N1756" s="8" t="s">
        <v>128</v>
      </c>
      <c r="O1756" s="8" t="s">
        <v>12149</v>
      </c>
      <c r="P1756" s="8" t="s">
        <v>4480</v>
      </c>
      <c r="Q1756" s="8" t="s">
        <v>150</v>
      </c>
      <c r="R1756" s="8"/>
      <c r="S1756" s="8" t="s">
        <v>12150</v>
      </c>
      <c r="T1756" s="8" t="s">
        <v>70</v>
      </c>
      <c r="U1756" s="8" t="s">
        <v>150</v>
      </c>
      <c r="V1756" s="8" t="s">
        <v>70</v>
      </c>
      <c r="W1756" s="8" t="s">
        <v>70</v>
      </c>
      <c r="X1756" s="8">
        <v>7</v>
      </c>
      <c r="Y1756" s="8" t="s">
        <v>11263</v>
      </c>
      <c r="Z1756" s="8">
        <v>20</v>
      </c>
      <c r="AA1756" s="8">
        <v>0</v>
      </c>
      <c r="AB1756" s="9">
        <v>0</v>
      </c>
    </row>
    <row r="1757" spans="1:28" x14ac:dyDescent="0.2">
      <c r="A1757" s="10">
        <v>37868</v>
      </c>
      <c r="B1757" s="11" t="s">
        <v>12151</v>
      </c>
      <c r="C1757" s="11" t="s">
        <v>10882</v>
      </c>
      <c r="D1757" s="11" t="s">
        <v>10107</v>
      </c>
      <c r="E1757" s="11"/>
      <c r="F1757" s="11" t="s">
        <v>353</v>
      </c>
      <c r="G1757" s="11" t="s">
        <v>10883</v>
      </c>
      <c r="H1757" s="11" t="s">
        <v>142</v>
      </c>
      <c r="I1757" s="11" t="s">
        <v>10884</v>
      </c>
      <c r="J1757" s="11" t="s">
        <v>12152</v>
      </c>
      <c r="K1757" s="11" t="s">
        <v>1029</v>
      </c>
      <c r="L1757" s="11" t="s">
        <v>464</v>
      </c>
      <c r="M1757" s="11" t="s">
        <v>12153</v>
      </c>
      <c r="N1757" s="11" t="s">
        <v>128</v>
      </c>
      <c r="O1757" s="11" t="s">
        <v>12154</v>
      </c>
      <c r="P1757" s="11" t="s">
        <v>6374</v>
      </c>
      <c r="Q1757" s="11" t="s">
        <v>150</v>
      </c>
      <c r="R1757" s="11"/>
      <c r="S1757" s="11" t="s">
        <v>71</v>
      </c>
      <c r="T1757" s="11" t="s">
        <v>168</v>
      </c>
      <c r="U1757" s="11" t="s">
        <v>150</v>
      </c>
      <c r="V1757" s="11" t="s">
        <v>168</v>
      </c>
      <c r="W1757" s="11" t="s">
        <v>168</v>
      </c>
      <c r="X1757" s="11">
        <v>7</v>
      </c>
      <c r="Y1757" s="11" t="s">
        <v>11263</v>
      </c>
      <c r="Z1757" s="11">
        <v>20</v>
      </c>
      <c r="AA1757" s="11">
        <v>0</v>
      </c>
      <c r="AB1757" s="12">
        <v>0</v>
      </c>
    </row>
    <row r="1758" spans="1:28" x14ac:dyDescent="0.2">
      <c r="A1758" s="7">
        <v>125871</v>
      </c>
      <c r="B1758" s="8" t="s">
        <v>12155</v>
      </c>
      <c r="C1758" s="8" t="s">
        <v>11410</v>
      </c>
      <c r="D1758" s="8" t="s">
        <v>12057</v>
      </c>
      <c r="E1758" s="8"/>
      <c r="F1758" s="8" t="s">
        <v>353</v>
      </c>
      <c r="G1758" s="8" t="s">
        <v>328</v>
      </c>
      <c r="H1758" s="8" t="s">
        <v>329</v>
      </c>
      <c r="I1758" s="8" t="s">
        <v>12156</v>
      </c>
      <c r="J1758" s="8" t="s">
        <v>12157</v>
      </c>
      <c r="K1758" s="8" t="s">
        <v>415</v>
      </c>
      <c r="L1758" s="8" t="s">
        <v>333</v>
      </c>
      <c r="M1758" s="8" t="s">
        <v>12158</v>
      </c>
      <c r="N1758" s="8" t="s">
        <v>128</v>
      </c>
      <c r="O1758" s="8" t="s">
        <v>12159</v>
      </c>
      <c r="P1758" s="8"/>
      <c r="Q1758" s="8" t="s">
        <v>150</v>
      </c>
      <c r="R1758" s="8"/>
      <c r="S1758" s="8" t="s">
        <v>71</v>
      </c>
      <c r="T1758" s="8" t="s">
        <v>4755</v>
      </c>
      <c r="U1758" s="8" t="s">
        <v>150</v>
      </c>
      <c r="V1758" s="8" t="s">
        <v>4755</v>
      </c>
      <c r="W1758" s="8" t="s">
        <v>4755</v>
      </c>
      <c r="X1758" s="8">
        <v>7</v>
      </c>
      <c r="Y1758" s="8" t="s">
        <v>11263</v>
      </c>
      <c r="Z1758" s="8">
        <v>20</v>
      </c>
      <c r="AA1758" s="8">
        <v>0</v>
      </c>
      <c r="AB1758" s="9">
        <v>0</v>
      </c>
    </row>
    <row r="1759" spans="1:28" x14ac:dyDescent="0.2">
      <c r="A1759" s="10">
        <v>21162</v>
      </c>
      <c r="B1759" s="11" t="s">
        <v>12160</v>
      </c>
      <c r="C1759" s="11" t="s">
        <v>12161</v>
      </c>
      <c r="D1759" s="11" t="s">
        <v>12162</v>
      </c>
      <c r="E1759" s="11"/>
      <c r="F1759" s="11"/>
      <c r="G1759" s="11" t="s">
        <v>141</v>
      </c>
      <c r="H1759" s="11" t="s">
        <v>142</v>
      </c>
      <c r="I1759" s="11" t="s">
        <v>12163</v>
      </c>
      <c r="J1759" s="11" t="s">
        <v>12164</v>
      </c>
      <c r="K1759" s="11" t="s">
        <v>403</v>
      </c>
      <c r="L1759" s="11" t="s">
        <v>146</v>
      </c>
      <c r="M1759" s="11" t="s">
        <v>12165</v>
      </c>
      <c r="N1759" s="11" t="s">
        <v>128</v>
      </c>
      <c r="O1759" s="11" t="s">
        <v>12166</v>
      </c>
      <c r="P1759" s="11" t="s">
        <v>12167</v>
      </c>
      <c r="Q1759" s="11" t="s">
        <v>150</v>
      </c>
      <c r="R1759" s="11"/>
      <c r="S1759" s="11" t="s">
        <v>71</v>
      </c>
      <c r="T1759" s="11" t="s">
        <v>289</v>
      </c>
      <c r="U1759" s="11" t="s">
        <v>150</v>
      </c>
      <c r="V1759" s="11" t="s">
        <v>289</v>
      </c>
      <c r="W1759" s="11" t="s">
        <v>289</v>
      </c>
      <c r="X1759" s="11">
        <v>6</v>
      </c>
      <c r="Y1759" s="11" t="s">
        <v>11263</v>
      </c>
      <c r="Z1759" s="11">
        <v>20</v>
      </c>
      <c r="AA1759" s="11">
        <v>0</v>
      </c>
      <c r="AB1759" s="12">
        <v>0</v>
      </c>
    </row>
    <row r="1760" spans="1:28" x14ac:dyDescent="0.2">
      <c r="A1760" s="7">
        <v>21497</v>
      </c>
      <c r="B1760" s="8" t="s">
        <v>12168</v>
      </c>
      <c r="C1760" s="8" t="s">
        <v>3942</v>
      </c>
      <c r="D1760" s="8" t="s">
        <v>12169</v>
      </c>
      <c r="E1760" s="8" t="s">
        <v>12170</v>
      </c>
      <c r="F1760" s="8" t="s">
        <v>12171</v>
      </c>
      <c r="G1760" s="8" t="s">
        <v>141</v>
      </c>
      <c r="H1760" s="8" t="s">
        <v>142</v>
      </c>
      <c r="I1760" s="8" t="s">
        <v>12172</v>
      </c>
      <c r="J1760" s="8" t="s">
        <v>12173</v>
      </c>
      <c r="K1760" s="8" t="s">
        <v>403</v>
      </c>
      <c r="L1760" s="8" t="s">
        <v>146</v>
      </c>
      <c r="M1760" s="8" t="s">
        <v>12174</v>
      </c>
      <c r="N1760" s="8" t="s">
        <v>128</v>
      </c>
      <c r="O1760" s="8" t="s">
        <v>12175</v>
      </c>
      <c r="P1760" s="8" t="s">
        <v>12176</v>
      </c>
      <c r="Q1760" s="8" t="s">
        <v>150</v>
      </c>
      <c r="R1760" s="8"/>
      <c r="S1760" s="8" t="s">
        <v>71</v>
      </c>
      <c r="T1760" s="8" t="s">
        <v>67</v>
      </c>
      <c r="U1760" s="8" t="s">
        <v>150</v>
      </c>
      <c r="V1760" s="8" t="s">
        <v>152</v>
      </c>
      <c r="W1760" s="8" t="s">
        <v>67</v>
      </c>
      <c r="X1760" s="8">
        <v>6</v>
      </c>
      <c r="Y1760" s="8" t="s">
        <v>11263</v>
      </c>
      <c r="Z1760" s="8">
        <v>20</v>
      </c>
      <c r="AA1760" s="8">
        <v>0</v>
      </c>
      <c r="AB1760" s="9">
        <v>0</v>
      </c>
    </row>
    <row r="1761" spans="1:28" x14ac:dyDescent="0.2">
      <c r="A1761" s="10">
        <v>115692</v>
      </c>
      <c r="B1761" s="11" t="s">
        <v>12177</v>
      </c>
      <c r="C1761" s="11" t="s">
        <v>12178</v>
      </c>
      <c r="D1761" s="11" t="s">
        <v>11058</v>
      </c>
      <c r="E1761" s="11"/>
      <c r="F1761" s="11" t="s">
        <v>353</v>
      </c>
      <c r="G1761" s="11" t="s">
        <v>12179</v>
      </c>
      <c r="H1761" s="11" t="s">
        <v>142</v>
      </c>
      <c r="I1761" s="11" t="s">
        <v>12180</v>
      </c>
      <c r="J1761" s="11" t="s">
        <v>12181</v>
      </c>
      <c r="K1761" s="11" t="s">
        <v>717</v>
      </c>
      <c r="L1761" s="11" t="s">
        <v>464</v>
      </c>
      <c r="M1761" s="11" t="s">
        <v>12182</v>
      </c>
      <c r="N1761" s="11" t="s">
        <v>128</v>
      </c>
      <c r="O1761" s="11" t="s">
        <v>12183</v>
      </c>
      <c r="P1761" s="11" t="s">
        <v>12184</v>
      </c>
      <c r="Q1761" s="11" t="s">
        <v>150</v>
      </c>
      <c r="R1761" s="11"/>
      <c r="S1761" s="11" t="s">
        <v>71</v>
      </c>
      <c r="T1761" s="11" t="s">
        <v>67</v>
      </c>
      <c r="U1761" s="11" t="s">
        <v>150</v>
      </c>
      <c r="V1761" s="11" t="s">
        <v>152</v>
      </c>
      <c r="W1761" s="11" t="s">
        <v>67</v>
      </c>
      <c r="X1761" s="11">
        <v>6</v>
      </c>
      <c r="Y1761" s="11" t="s">
        <v>11263</v>
      </c>
      <c r="Z1761" s="11">
        <v>20</v>
      </c>
      <c r="AA1761" s="11">
        <v>0</v>
      </c>
      <c r="AB1761" s="12">
        <v>0</v>
      </c>
    </row>
    <row r="1762" spans="1:28" x14ac:dyDescent="0.2">
      <c r="A1762" s="7">
        <v>23523</v>
      </c>
      <c r="B1762" s="8" t="s">
        <v>12185</v>
      </c>
      <c r="C1762" s="8" t="s">
        <v>6071</v>
      </c>
      <c r="D1762" s="8" t="s">
        <v>12186</v>
      </c>
      <c r="E1762" s="8"/>
      <c r="F1762" s="8" t="s">
        <v>353</v>
      </c>
      <c r="G1762" s="8" t="s">
        <v>1915</v>
      </c>
      <c r="H1762" s="8" t="s">
        <v>122</v>
      </c>
      <c r="I1762" s="8" t="s">
        <v>10511</v>
      </c>
      <c r="J1762" s="8" t="s">
        <v>10512</v>
      </c>
      <c r="K1762" s="8" t="s">
        <v>1051</v>
      </c>
      <c r="L1762" s="8" t="s">
        <v>126</v>
      </c>
      <c r="M1762" s="8" t="s">
        <v>12187</v>
      </c>
      <c r="N1762" s="8" t="s">
        <v>128</v>
      </c>
      <c r="O1762" s="8" t="s">
        <v>12188</v>
      </c>
      <c r="P1762" s="8" t="s">
        <v>701</v>
      </c>
      <c r="Q1762" s="8" t="s">
        <v>150</v>
      </c>
      <c r="R1762" s="8"/>
      <c r="S1762" s="8" t="s">
        <v>71</v>
      </c>
      <c r="T1762" s="8" t="s">
        <v>6736</v>
      </c>
      <c r="U1762" s="8" t="s">
        <v>150</v>
      </c>
      <c r="V1762" s="8" t="s">
        <v>6736</v>
      </c>
      <c r="W1762" s="8" t="s">
        <v>6736</v>
      </c>
      <c r="X1762" s="8">
        <v>6</v>
      </c>
      <c r="Y1762" s="8" t="s">
        <v>11263</v>
      </c>
      <c r="Z1762" s="8">
        <v>20</v>
      </c>
      <c r="AA1762" s="8">
        <v>0</v>
      </c>
      <c r="AB1762" s="9">
        <v>0</v>
      </c>
    </row>
    <row r="1763" spans="1:28" x14ac:dyDescent="0.2">
      <c r="A1763" s="10">
        <v>235545</v>
      </c>
      <c r="B1763" s="11" t="s">
        <v>12189</v>
      </c>
      <c r="C1763" s="11" t="s">
        <v>10951</v>
      </c>
      <c r="D1763" s="11" t="s">
        <v>11360</v>
      </c>
      <c r="E1763" s="11"/>
      <c r="F1763" s="11" t="s">
        <v>12190</v>
      </c>
      <c r="G1763" s="11" t="s">
        <v>10952</v>
      </c>
      <c r="H1763" s="11" t="s">
        <v>1843</v>
      </c>
      <c r="I1763" s="11" t="s">
        <v>12191</v>
      </c>
      <c r="J1763" s="11" t="s">
        <v>12192</v>
      </c>
      <c r="K1763" s="11" t="s">
        <v>1562</v>
      </c>
      <c r="L1763" s="11" t="s">
        <v>229</v>
      </c>
      <c r="M1763" s="11" t="s">
        <v>12193</v>
      </c>
      <c r="N1763" s="11" t="s">
        <v>128</v>
      </c>
      <c r="O1763" s="11" t="s">
        <v>12194</v>
      </c>
      <c r="P1763" s="11"/>
      <c r="Q1763" s="11" t="s">
        <v>150</v>
      </c>
      <c r="R1763" s="11"/>
      <c r="S1763" s="11" t="s">
        <v>71</v>
      </c>
      <c r="T1763" s="11" t="s">
        <v>10612</v>
      </c>
      <c r="U1763" s="11" t="s">
        <v>150</v>
      </c>
      <c r="V1763" s="11" t="s">
        <v>10612</v>
      </c>
      <c r="W1763" s="11" t="s">
        <v>10612</v>
      </c>
      <c r="X1763" s="11">
        <v>6</v>
      </c>
      <c r="Y1763" s="11" t="s">
        <v>11263</v>
      </c>
      <c r="Z1763" s="11">
        <v>20</v>
      </c>
      <c r="AA1763" s="11">
        <v>0</v>
      </c>
      <c r="AB1763" s="12">
        <v>0</v>
      </c>
    </row>
    <row r="1764" spans="1:28" x14ac:dyDescent="0.2">
      <c r="A1764" s="7">
        <v>23122</v>
      </c>
      <c r="B1764" s="8" t="s">
        <v>12195</v>
      </c>
      <c r="C1764" s="8" t="s">
        <v>611</v>
      </c>
      <c r="D1764" s="8" t="s">
        <v>12196</v>
      </c>
      <c r="E1764" s="8" t="s">
        <v>12197</v>
      </c>
      <c r="F1764" s="8" t="s">
        <v>10822</v>
      </c>
      <c r="G1764" s="8" t="s">
        <v>615</v>
      </c>
      <c r="H1764" s="8" t="s">
        <v>616</v>
      </c>
      <c r="I1764" s="8" t="s">
        <v>10823</v>
      </c>
      <c r="J1764" s="8" t="s">
        <v>12198</v>
      </c>
      <c r="K1764" s="8" t="s">
        <v>619</v>
      </c>
      <c r="L1764" s="8" t="s">
        <v>163</v>
      </c>
      <c r="M1764" s="8" t="s">
        <v>12199</v>
      </c>
      <c r="N1764" s="8" t="s">
        <v>128</v>
      </c>
      <c r="O1764" s="8" t="s">
        <v>12200</v>
      </c>
      <c r="P1764" s="8" t="s">
        <v>12201</v>
      </c>
      <c r="Q1764" s="8" t="s">
        <v>150</v>
      </c>
      <c r="R1764" s="8"/>
      <c r="S1764" s="8" t="s">
        <v>12202</v>
      </c>
      <c r="T1764" s="8" t="s">
        <v>70</v>
      </c>
      <c r="U1764" s="8" t="s">
        <v>150</v>
      </c>
      <c r="V1764" s="8" t="s">
        <v>70</v>
      </c>
      <c r="W1764" s="8" t="s">
        <v>70</v>
      </c>
      <c r="X1764" s="8">
        <v>6</v>
      </c>
      <c r="Y1764" s="8" t="s">
        <v>11263</v>
      </c>
      <c r="Z1764" s="8">
        <v>20</v>
      </c>
      <c r="AA1764" s="8">
        <v>0</v>
      </c>
      <c r="AB1764" s="9">
        <v>0</v>
      </c>
    </row>
    <row r="1765" spans="1:28" x14ac:dyDescent="0.2">
      <c r="A1765" s="10">
        <v>28603</v>
      </c>
      <c r="B1765" s="11" t="s">
        <v>12203</v>
      </c>
      <c r="C1765" s="11" t="s">
        <v>12204</v>
      </c>
      <c r="D1765" s="11" t="s">
        <v>12205</v>
      </c>
      <c r="E1765" s="11"/>
      <c r="F1765" s="11"/>
      <c r="G1765" s="11" t="s">
        <v>141</v>
      </c>
      <c r="H1765" s="11" t="s">
        <v>142</v>
      </c>
      <c r="I1765" s="11" t="s">
        <v>12206</v>
      </c>
      <c r="J1765" s="11" t="s">
        <v>12207</v>
      </c>
      <c r="K1765" s="11" t="s">
        <v>651</v>
      </c>
      <c r="L1765" s="11" t="s">
        <v>146</v>
      </c>
      <c r="M1765" s="11" t="s">
        <v>12208</v>
      </c>
      <c r="N1765" s="11" t="s">
        <v>128</v>
      </c>
      <c r="O1765" s="11" t="s">
        <v>12209</v>
      </c>
      <c r="P1765" s="11" t="s">
        <v>12210</v>
      </c>
      <c r="Q1765" s="11" t="s">
        <v>150</v>
      </c>
      <c r="R1765" s="11"/>
      <c r="S1765" s="11" t="s">
        <v>71</v>
      </c>
      <c r="T1765" s="11" t="s">
        <v>70</v>
      </c>
      <c r="U1765" s="11" t="s">
        <v>150</v>
      </c>
      <c r="V1765" s="11" t="s">
        <v>70</v>
      </c>
      <c r="W1765" s="11" t="s">
        <v>70</v>
      </c>
      <c r="X1765" s="11">
        <v>6</v>
      </c>
      <c r="Y1765" s="11" t="s">
        <v>11263</v>
      </c>
      <c r="Z1765" s="11">
        <v>20</v>
      </c>
      <c r="AA1765" s="11">
        <v>0</v>
      </c>
      <c r="AB1765" s="12">
        <v>0</v>
      </c>
    </row>
    <row r="1766" spans="1:28" x14ac:dyDescent="0.2">
      <c r="A1766" s="7">
        <v>23483</v>
      </c>
      <c r="B1766" s="8" t="s">
        <v>12211</v>
      </c>
      <c r="C1766" s="8" t="s">
        <v>12212</v>
      </c>
      <c r="D1766" s="8" t="s">
        <v>6139</v>
      </c>
      <c r="E1766" s="8"/>
      <c r="F1766" s="8" t="s">
        <v>353</v>
      </c>
      <c r="G1766" s="8" t="s">
        <v>12213</v>
      </c>
      <c r="H1766" s="8" t="s">
        <v>142</v>
      </c>
      <c r="I1766" s="8" t="s">
        <v>12214</v>
      </c>
      <c r="J1766" s="8" t="s">
        <v>12215</v>
      </c>
      <c r="K1766" s="8" t="s">
        <v>1029</v>
      </c>
      <c r="L1766" s="8" t="s">
        <v>464</v>
      </c>
      <c r="M1766" s="8" t="s">
        <v>12216</v>
      </c>
      <c r="N1766" s="8" t="s">
        <v>128</v>
      </c>
      <c r="O1766" s="8" t="s">
        <v>12217</v>
      </c>
      <c r="P1766" s="8" t="s">
        <v>12218</v>
      </c>
      <c r="Q1766" s="8" t="s">
        <v>150</v>
      </c>
      <c r="R1766" s="8"/>
      <c r="S1766" s="8" t="s">
        <v>71</v>
      </c>
      <c r="T1766" s="8" t="s">
        <v>1415</v>
      </c>
      <c r="U1766" s="8" t="s">
        <v>150</v>
      </c>
      <c r="V1766" s="8" t="s">
        <v>1415</v>
      </c>
      <c r="W1766" s="8" t="s">
        <v>1415</v>
      </c>
      <c r="X1766" s="8">
        <v>6</v>
      </c>
      <c r="Y1766" s="8" t="s">
        <v>11263</v>
      </c>
      <c r="Z1766" s="8">
        <v>20</v>
      </c>
      <c r="AA1766" s="8">
        <v>0</v>
      </c>
      <c r="AB1766" s="9">
        <v>0</v>
      </c>
    </row>
    <row r="1767" spans="1:28" x14ac:dyDescent="0.2">
      <c r="A1767" s="10">
        <v>115691</v>
      </c>
      <c r="B1767" s="11" t="s">
        <v>12219</v>
      </c>
      <c r="C1767" s="11" t="s">
        <v>12178</v>
      </c>
      <c r="D1767" s="11" t="s">
        <v>12220</v>
      </c>
      <c r="E1767" s="11"/>
      <c r="F1767" s="11" t="s">
        <v>353</v>
      </c>
      <c r="G1767" s="11" t="s">
        <v>12179</v>
      </c>
      <c r="H1767" s="11" t="s">
        <v>142</v>
      </c>
      <c r="I1767" s="11" t="s">
        <v>12221</v>
      </c>
      <c r="J1767" s="11" t="s">
        <v>12222</v>
      </c>
      <c r="K1767" s="11" t="s">
        <v>717</v>
      </c>
      <c r="L1767" s="11" t="s">
        <v>464</v>
      </c>
      <c r="M1767" s="11" t="s">
        <v>12223</v>
      </c>
      <c r="N1767" s="11" t="s">
        <v>128</v>
      </c>
      <c r="O1767" s="11" t="s">
        <v>12224</v>
      </c>
      <c r="P1767" s="11" t="s">
        <v>12225</v>
      </c>
      <c r="Q1767" s="11" t="s">
        <v>150</v>
      </c>
      <c r="R1767" s="11"/>
      <c r="S1767" s="11" t="s">
        <v>71</v>
      </c>
      <c r="T1767" s="11" t="s">
        <v>1415</v>
      </c>
      <c r="U1767" s="11" t="s">
        <v>150</v>
      </c>
      <c r="V1767" s="11" t="s">
        <v>1415</v>
      </c>
      <c r="W1767" s="11" t="s">
        <v>1415</v>
      </c>
      <c r="X1767" s="11">
        <v>6</v>
      </c>
      <c r="Y1767" s="11" t="s">
        <v>11263</v>
      </c>
      <c r="Z1767" s="11">
        <v>20</v>
      </c>
      <c r="AA1767" s="11">
        <v>0</v>
      </c>
      <c r="AB1767" s="12">
        <v>0</v>
      </c>
    </row>
    <row r="1768" spans="1:28" x14ac:dyDescent="0.2">
      <c r="A1768" s="7">
        <v>238171</v>
      </c>
      <c r="B1768" s="8" t="s">
        <v>12226</v>
      </c>
      <c r="C1768" s="8" t="s">
        <v>5879</v>
      </c>
      <c r="D1768" s="8" t="s">
        <v>5927</v>
      </c>
      <c r="E1768" s="8"/>
      <c r="F1768" s="8" t="s">
        <v>353</v>
      </c>
      <c r="G1768" s="8" t="s">
        <v>12227</v>
      </c>
      <c r="H1768" s="8" t="s">
        <v>329</v>
      </c>
      <c r="I1768" s="8" t="s">
        <v>12228</v>
      </c>
      <c r="J1768" s="8" t="s">
        <v>12229</v>
      </c>
      <c r="K1768" s="8" t="s">
        <v>415</v>
      </c>
      <c r="L1768" s="8" t="s">
        <v>333</v>
      </c>
      <c r="M1768" s="8" t="s">
        <v>12230</v>
      </c>
      <c r="N1768" s="8" t="s">
        <v>128</v>
      </c>
      <c r="O1768" s="8" t="s">
        <v>12231</v>
      </c>
      <c r="P1768" s="8"/>
      <c r="Q1768" s="8" t="s">
        <v>150</v>
      </c>
      <c r="R1768" s="8"/>
      <c r="S1768" s="8" t="s">
        <v>71</v>
      </c>
      <c r="T1768" s="8" t="s">
        <v>168</v>
      </c>
      <c r="U1768" s="8" t="s">
        <v>150</v>
      </c>
      <c r="V1768" s="8" t="s">
        <v>168</v>
      </c>
      <c r="W1768" s="8" t="s">
        <v>168</v>
      </c>
      <c r="X1768" s="8">
        <v>6</v>
      </c>
      <c r="Y1768" s="8" t="s">
        <v>11263</v>
      </c>
      <c r="Z1768" s="8">
        <v>20</v>
      </c>
      <c r="AA1768" s="8">
        <v>0</v>
      </c>
      <c r="AB1768" s="9">
        <v>0</v>
      </c>
    </row>
    <row r="1769" spans="1:28" x14ac:dyDescent="0.2">
      <c r="A1769" s="10">
        <v>235544</v>
      </c>
      <c r="B1769" s="11" t="s">
        <v>12232</v>
      </c>
      <c r="C1769" s="11" t="s">
        <v>12233</v>
      </c>
      <c r="D1769" s="11" t="s">
        <v>6759</v>
      </c>
      <c r="E1769" s="11"/>
      <c r="F1769" s="11" t="s">
        <v>353</v>
      </c>
      <c r="G1769" s="11" t="s">
        <v>10952</v>
      </c>
      <c r="H1769" s="11" t="s">
        <v>1843</v>
      </c>
      <c r="I1769" s="11" t="s">
        <v>12234</v>
      </c>
      <c r="J1769" s="11" t="s">
        <v>12235</v>
      </c>
      <c r="K1769" s="11" t="s">
        <v>1562</v>
      </c>
      <c r="L1769" s="11" t="s">
        <v>229</v>
      </c>
      <c r="M1769" s="11" t="s">
        <v>12236</v>
      </c>
      <c r="N1769" s="11" t="s">
        <v>128</v>
      </c>
      <c r="O1769" s="11" t="s">
        <v>12237</v>
      </c>
      <c r="P1769" s="11"/>
      <c r="Q1769" s="11" t="s">
        <v>150</v>
      </c>
      <c r="R1769" s="11"/>
      <c r="S1769" s="11" t="s">
        <v>71</v>
      </c>
      <c r="T1769" s="11" t="s">
        <v>10612</v>
      </c>
      <c r="U1769" s="11" t="s">
        <v>150</v>
      </c>
      <c r="V1769" s="11" t="s">
        <v>10612</v>
      </c>
      <c r="W1769" s="11" t="s">
        <v>10612</v>
      </c>
      <c r="X1769" s="11">
        <v>5</v>
      </c>
      <c r="Y1769" s="11" t="s">
        <v>11263</v>
      </c>
      <c r="Z1769" s="11">
        <v>20</v>
      </c>
      <c r="AA1769" s="11">
        <v>0</v>
      </c>
      <c r="AB1769" s="12">
        <v>0</v>
      </c>
    </row>
    <row r="1770" spans="1:28" x14ac:dyDescent="0.2">
      <c r="A1770" s="7">
        <v>23843</v>
      </c>
      <c r="B1770" s="8" t="s">
        <v>12238</v>
      </c>
      <c r="C1770" s="8" t="s">
        <v>12239</v>
      </c>
      <c r="D1770" s="8" t="s">
        <v>12240</v>
      </c>
      <c r="E1770" s="8" t="s">
        <v>12241</v>
      </c>
      <c r="F1770" s="8" t="s">
        <v>12242</v>
      </c>
      <c r="G1770" s="8" t="s">
        <v>615</v>
      </c>
      <c r="H1770" s="8" t="s">
        <v>616</v>
      </c>
      <c r="I1770" s="8" t="s">
        <v>12243</v>
      </c>
      <c r="J1770" s="8" t="s">
        <v>12244</v>
      </c>
      <c r="K1770" s="8" t="s">
        <v>619</v>
      </c>
      <c r="L1770" s="8" t="s">
        <v>163</v>
      </c>
      <c r="M1770" s="8" t="s">
        <v>12245</v>
      </c>
      <c r="N1770" s="8" t="s">
        <v>128</v>
      </c>
      <c r="O1770" s="8" t="s">
        <v>12246</v>
      </c>
      <c r="P1770" s="8" t="s">
        <v>12247</v>
      </c>
      <c r="Q1770" s="8" t="s">
        <v>150</v>
      </c>
      <c r="R1770" s="8"/>
      <c r="S1770" s="8" t="s">
        <v>12248</v>
      </c>
      <c r="T1770" s="8" t="s">
        <v>168</v>
      </c>
      <c r="U1770" s="8" t="s">
        <v>150</v>
      </c>
      <c r="V1770" s="8" t="s">
        <v>168</v>
      </c>
      <c r="W1770" s="8" t="s">
        <v>168</v>
      </c>
      <c r="X1770" s="8">
        <v>5</v>
      </c>
      <c r="Y1770" s="8" t="s">
        <v>11263</v>
      </c>
      <c r="Z1770" s="8">
        <v>20</v>
      </c>
      <c r="AA1770" s="8">
        <v>0</v>
      </c>
      <c r="AB1770" s="9">
        <v>0</v>
      </c>
    </row>
    <row r="1771" spans="1:28" x14ac:dyDescent="0.2">
      <c r="A1771" s="10">
        <v>107148</v>
      </c>
      <c r="B1771" s="11" t="s">
        <v>12249</v>
      </c>
      <c r="C1771" s="11" t="s">
        <v>12250</v>
      </c>
      <c r="D1771" s="11" t="s">
        <v>2188</v>
      </c>
      <c r="E1771" s="11"/>
      <c r="F1771" s="11" t="s">
        <v>353</v>
      </c>
      <c r="G1771" s="11" t="s">
        <v>11124</v>
      </c>
      <c r="H1771" s="11" t="s">
        <v>122</v>
      </c>
      <c r="I1771" s="11" t="s">
        <v>11125</v>
      </c>
      <c r="J1771" s="11" t="s">
        <v>12251</v>
      </c>
      <c r="K1771" s="11" t="s">
        <v>1051</v>
      </c>
      <c r="L1771" s="11" t="s">
        <v>126</v>
      </c>
      <c r="M1771" s="11" t="s">
        <v>12252</v>
      </c>
      <c r="N1771" s="11" t="s">
        <v>128</v>
      </c>
      <c r="O1771" s="11" t="s">
        <v>12253</v>
      </c>
      <c r="P1771" s="11" t="s">
        <v>12254</v>
      </c>
      <c r="Q1771" s="11" t="s">
        <v>150</v>
      </c>
      <c r="R1771" s="11"/>
      <c r="S1771" s="11" t="s">
        <v>71</v>
      </c>
      <c r="T1771" s="11" t="s">
        <v>168</v>
      </c>
      <c r="U1771" s="11" t="s">
        <v>150</v>
      </c>
      <c r="V1771" s="11" t="s">
        <v>168</v>
      </c>
      <c r="W1771" s="11" t="s">
        <v>168</v>
      </c>
      <c r="X1771" s="11">
        <v>5</v>
      </c>
      <c r="Y1771" s="11" t="s">
        <v>11263</v>
      </c>
      <c r="Z1771" s="11">
        <v>20</v>
      </c>
      <c r="AA1771" s="11">
        <v>0</v>
      </c>
      <c r="AB1771" s="12">
        <v>0</v>
      </c>
    </row>
    <row r="1772" spans="1:28" x14ac:dyDescent="0.2">
      <c r="A1772" s="7">
        <v>22134</v>
      </c>
      <c r="B1772" s="8" t="s">
        <v>12255</v>
      </c>
      <c r="C1772" s="8" t="s">
        <v>10742</v>
      </c>
      <c r="D1772" s="8" t="s">
        <v>10743</v>
      </c>
      <c r="E1772" s="8" t="s">
        <v>12256</v>
      </c>
      <c r="F1772" s="8" t="s">
        <v>10744</v>
      </c>
      <c r="G1772" s="8" t="s">
        <v>5116</v>
      </c>
      <c r="H1772" s="8" t="s">
        <v>122</v>
      </c>
      <c r="I1772" s="8" t="s">
        <v>10745</v>
      </c>
      <c r="J1772" s="8" t="s">
        <v>11083</v>
      </c>
      <c r="K1772" s="8" t="s">
        <v>125</v>
      </c>
      <c r="L1772" s="8" t="s">
        <v>126</v>
      </c>
      <c r="M1772" s="8" t="s">
        <v>12257</v>
      </c>
      <c r="N1772" s="8" t="s">
        <v>128</v>
      </c>
      <c r="O1772" s="8" t="s">
        <v>12258</v>
      </c>
      <c r="P1772" s="8"/>
      <c r="Q1772" s="8" t="s">
        <v>249</v>
      </c>
      <c r="R1772" s="8"/>
      <c r="S1772" s="8" t="s">
        <v>10750</v>
      </c>
      <c r="T1772" s="8" t="s">
        <v>1523</v>
      </c>
      <c r="U1772" s="8" t="s">
        <v>134</v>
      </c>
      <c r="V1772" s="8" t="s">
        <v>249</v>
      </c>
      <c r="W1772" s="8" t="s">
        <v>1523</v>
      </c>
      <c r="X1772" s="8">
        <v>5</v>
      </c>
      <c r="Y1772" s="8" t="s">
        <v>11263</v>
      </c>
      <c r="Z1772" s="8">
        <v>20</v>
      </c>
      <c r="AA1772" s="8">
        <v>0</v>
      </c>
      <c r="AB1772" s="9">
        <v>0</v>
      </c>
    </row>
    <row r="1773" spans="1:28" x14ac:dyDescent="0.2">
      <c r="A1773" s="10">
        <v>28917</v>
      </c>
      <c r="B1773" s="11" t="s">
        <v>12259</v>
      </c>
      <c r="C1773" s="11" t="s">
        <v>12260</v>
      </c>
      <c r="D1773" s="11" t="s">
        <v>12261</v>
      </c>
      <c r="E1773" s="11"/>
      <c r="F1773" s="11" t="s">
        <v>353</v>
      </c>
      <c r="G1773" s="11" t="s">
        <v>12262</v>
      </c>
      <c r="H1773" s="11" t="s">
        <v>704</v>
      </c>
      <c r="I1773" s="11" t="s">
        <v>12263</v>
      </c>
      <c r="J1773" s="11" t="s">
        <v>12264</v>
      </c>
      <c r="K1773" s="11" t="s">
        <v>707</v>
      </c>
      <c r="L1773" s="11" t="s">
        <v>126</v>
      </c>
      <c r="M1773" s="11" t="s">
        <v>12265</v>
      </c>
      <c r="N1773" s="11" t="s">
        <v>128</v>
      </c>
      <c r="O1773" s="11" t="s">
        <v>12266</v>
      </c>
      <c r="P1773" s="11" t="s">
        <v>2301</v>
      </c>
      <c r="Q1773" s="11" t="s">
        <v>150</v>
      </c>
      <c r="R1773" s="11"/>
      <c r="S1773" s="11" t="s">
        <v>71</v>
      </c>
      <c r="T1773" s="11" t="s">
        <v>168</v>
      </c>
      <c r="U1773" s="11" t="s">
        <v>150</v>
      </c>
      <c r="V1773" s="11" t="s">
        <v>168</v>
      </c>
      <c r="W1773" s="11" t="s">
        <v>168</v>
      </c>
      <c r="X1773" s="11">
        <v>4</v>
      </c>
      <c r="Y1773" s="11" t="s">
        <v>11263</v>
      </c>
      <c r="Z1773" s="11">
        <v>20</v>
      </c>
      <c r="AA1773" s="11">
        <v>0</v>
      </c>
      <c r="AB1773" s="12">
        <v>0</v>
      </c>
    </row>
    <row r="1774" spans="1:28" x14ac:dyDescent="0.2">
      <c r="A1774" s="7">
        <v>235536</v>
      </c>
      <c r="B1774" s="8" t="s">
        <v>12267</v>
      </c>
      <c r="C1774" s="8" t="s">
        <v>12233</v>
      </c>
      <c r="D1774" s="8" t="s">
        <v>7741</v>
      </c>
      <c r="E1774" s="8"/>
      <c r="F1774" s="8" t="s">
        <v>353</v>
      </c>
      <c r="G1774" s="8" t="s">
        <v>10952</v>
      </c>
      <c r="H1774" s="8" t="s">
        <v>1843</v>
      </c>
      <c r="I1774" s="8" t="s">
        <v>12268</v>
      </c>
      <c r="J1774" s="8" t="s">
        <v>12269</v>
      </c>
      <c r="K1774" s="8" t="s">
        <v>1562</v>
      </c>
      <c r="L1774" s="8" t="s">
        <v>229</v>
      </c>
      <c r="M1774" s="8" t="s">
        <v>12270</v>
      </c>
      <c r="N1774" s="8" t="s">
        <v>128</v>
      </c>
      <c r="O1774" s="8" t="s">
        <v>12271</v>
      </c>
      <c r="P1774" s="8" t="s">
        <v>10600</v>
      </c>
      <c r="Q1774" s="8" t="s">
        <v>150</v>
      </c>
      <c r="R1774" s="8"/>
      <c r="S1774" s="8" t="s">
        <v>71</v>
      </c>
      <c r="T1774" s="8" t="s">
        <v>69</v>
      </c>
      <c r="U1774" s="8" t="s">
        <v>150</v>
      </c>
      <c r="V1774" s="8" t="s">
        <v>152</v>
      </c>
      <c r="W1774" s="8" t="s">
        <v>69</v>
      </c>
      <c r="X1774" s="8">
        <v>4</v>
      </c>
      <c r="Y1774" s="8" t="s">
        <v>11263</v>
      </c>
      <c r="Z1774" s="8">
        <v>20</v>
      </c>
      <c r="AA1774" s="8">
        <v>0</v>
      </c>
      <c r="AB1774" s="9">
        <v>0</v>
      </c>
    </row>
    <row r="1775" spans="1:28" x14ac:dyDescent="0.2">
      <c r="A1775" s="10">
        <v>124272</v>
      </c>
      <c r="B1775" s="11" t="s">
        <v>12272</v>
      </c>
      <c r="C1775" s="11" t="s">
        <v>12273</v>
      </c>
      <c r="D1775" s="11" t="s">
        <v>1206</v>
      </c>
      <c r="E1775" s="11"/>
      <c r="F1775" s="11" t="s">
        <v>12274</v>
      </c>
      <c r="G1775" s="11" t="s">
        <v>10983</v>
      </c>
      <c r="H1775" s="11" t="s">
        <v>142</v>
      </c>
      <c r="I1775" s="11" t="s">
        <v>12275</v>
      </c>
      <c r="J1775" s="11" t="s">
        <v>12276</v>
      </c>
      <c r="K1775" s="11" t="s">
        <v>1199</v>
      </c>
      <c r="L1775" s="11" t="s">
        <v>464</v>
      </c>
      <c r="M1775" s="11" t="s">
        <v>12277</v>
      </c>
      <c r="N1775" s="11" t="s">
        <v>128</v>
      </c>
      <c r="O1775" s="11" t="s">
        <v>12278</v>
      </c>
      <c r="P1775" s="11" t="s">
        <v>12279</v>
      </c>
      <c r="Q1775" s="11" t="s">
        <v>150</v>
      </c>
      <c r="R1775" s="11"/>
      <c r="S1775" s="11" t="s">
        <v>71</v>
      </c>
      <c r="T1775" s="11" t="s">
        <v>1415</v>
      </c>
      <c r="U1775" s="11" t="s">
        <v>150</v>
      </c>
      <c r="V1775" s="11" t="s">
        <v>1415</v>
      </c>
      <c r="W1775" s="11" t="s">
        <v>1415</v>
      </c>
      <c r="X1775" s="11">
        <v>3</v>
      </c>
      <c r="Y1775" s="11" t="s">
        <v>11263</v>
      </c>
      <c r="Z1775" s="11">
        <v>20</v>
      </c>
      <c r="AA1775" s="11">
        <v>0</v>
      </c>
      <c r="AB1775" s="12">
        <v>0</v>
      </c>
    </row>
    <row r="1776" spans="1:28" x14ac:dyDescent="0.2">
      <c r="A1776" s="7">
        <v>24982</v>
      </c>
      <c r="B1776" s="8" t="s">
        <v>12280</v>
      </c>
      <c r="C1776" s="8" t="s">
        <v>2172</v>
      </c>
      <c r="D1776" s="8" t="s">
        <v>7993</v>
      </c>
      <c r="E1776" s="8"/>
      <c r="F1776" s="8" t="s">
        <v>353</v>
      </c>
      <c r="G1776" s="8" t="s">
        <v>2175</v>
      </c>
      <c r="H1776" s="8" t="s">
        <v>2176</v>
      </c>
      <c r="I1776" s="8" t="s">
        <v>9844</v>
      </c>
      <c r="J1776" s="8" t="s">
        <v>12281</v>
      </c>
      <c r="K1776" s="8" t="s">
        <v>194</v>
      </c>
      <c r="L1776" s="8" t="s">
        <v>163</v>
      </c>
      <c r="M1776" s="8" t="s">
        <v>12282</v>
      </c>
      <c r="N1776" s="8" t="s">
        <v>128</v>
      </c>
      <c r="O1776" s="8" t="s">
        <v>12283</v>
      </c>
      <c r="P1776" s="8" t="s">
        <v>418</v>
      </c>
      <c r="Q1776" s="8" t="s">
        <v>150</v>
      </c>
      <c r="R1776" s="8"/>
      <c r="S1776" s="8" t="s">
        <v>71</v>
      </c>
      <c r="T1776" s="8" t="s">
        <v>1738</v>
      </c>
      <c r="U1776" s="8" t="s">
        <v>150</v>
      </c>
      <c r="V1776" s="8" t="s">
        <v>1738</v>
      </c>
      <c r="W1776" s="8" t="s">
        <v>1738</v>
      </c>
      <c r="X1776" s="8">
        <v>3</v>
      </c>
      <c r="Y1776" s="8" t="s">
        <v>11263</v>
      </c>
      <c r="Z1776" s="8">
        <v>20</v>
      </c>
      <c r="AA1776" s="8">
        <v>0</v>
      </c>
      <c r="AB1776" s="9">
        <v>0</v>
      </c>
    </row>
    <row r="1777" spans="1:28" x14ac:dyDescent="0.2">
      <c r="A1777" s="10">
        <v>21287</v>
      </c>
      <c r="B1777" s="11" t="s">
        <v>12284</v>
      </c>
      <c r="C1777" s="11" t="s">
        <v>12285</v>
      </c>
      <c r="D1777" s="11" t="s">
        <v>12286</v>
      </c>
      <c r="E1777" s="11" t="s">
        <v>12287</v>
      </c>
      <c r="F1777" s="11" t="s">
        <v>12288</v>
      </c>
      <c r="G1777" s="11" t="s">
        <v>1364</v>
      </c>
      <c r="H1777" s="11" t="s">
        <v>329</v>
      </c>
      <c r="I1777" s="11" t="s">
        <v>12289</v>
      </c>
      <c r="J1777" s="11" t="s">
        <v>12290</v>
      </c>
      <c r="K1777" s="11" t="s">
        <v>431</v>
      </c>
      <c r="L1777" s="11" t="s">
        <v>333</v>
      </c>
      <c r="M1777" s="11" t="s">
        <v>12291</v>
      </c>
      <c r="N1777" s="11" t="s">
        <v>128</v>
      </c>
      <c r="O1777" s="11" t="s">
        <v>12292</v>
      </c>
      <c r="P1777" s="11" t="s">
        <v>12293</v>
      </c>
      <c r="Q1777" s="11" t="s">
        <v>150</v>
      </c>
      <c r="R1777" s="11"/>
      <c r="S1777" s="11" t="s">
        <v>71</v>
      </c>
      <c r="T1777" s="11" t="s">
        <v>67</v>
      </c>
      <c r="U1777" s="11" t="s">
        <v>150</v>
      </c>
      <c r="V1777" s="11" t="s">
        <v>152</v>
      </c>
      <c r="W1777" s="11" t="s">
        <v>67</v>
      </c>
      <c r="X1777" s="11">
        <v>2</v>
      </c>
      <c r="Y1777" s="11" t="s">
        <v>11263</v>
      </c>
      <c r="Z1777" s="11">
        <v>20</v>
      </c>
      <c r="AA1777" s="11">
        <v>0</v>
      </c>
      <c r="AB1777" s="12">
        <v>0</v>
      </c>
    </row>
    <row r="1778" spans="1:28" x14ac:dyDescent="0.2">
      <c r="A1778" s="7">
        <v>125696</v>
      </c>
      <c r="B1778" s="8" t="s">
        <v>12294</v>
      </c>
      <c r="C1778" s="8" t="s">
        <v>12295</v>
      </c>
      <c r="D1778" s="8" t="s">
        <v>12296</v>
      </c>
      <c r="E1778" s="8"/>
      <c r="F1778" s="8" t="s">
        <v>353</v>
      </c>
      <c r="G1778" s="8" t="s">
        <v>12297</v>
      </c>
      <c r="H1778" s="8" t="s">
        <v>2511</v>
      </c>
      <c r="I1778" s="8" t="s">
        <v>12298</v>
      </c>
      <c r="J1778" s="8" t="s">
        <v>12299</v>
      </c>
      <c r="K1778" s="8" t="s">
        <v>1562</v>
      </c>
      <c r="L1778" s="8" t="s">
        <v>229</v>
      </c>
      <c r="M1778" s="8" t="s">
        <v>12300</v>
      </c>
      <c r="N1778" s="8" t="s">
        <v>128</v>
      </c>
      <c r="O1778" s="8" t="s">
        <v>12301</v>
      </c>
      <c r="P1778" s="8" t="s">
        <v>12302</v>
      </c>
      <c r="Q1778" s="8" t="s">
        <v>150</v>
      </c>
      <c r="R1778" s="8"/>
      <c r="S1778" s="8" t="s">
        <v>71</v>
      </c>
      <c r="T1778" s="8" t="s">
        <v>67</v>
      </c>
      <c r="U1778" s="8" t="s">
        <v>150</v>
      </c>
      <c r="V1778" s="8" t="s">
        <v>152</v>
      </c>
      <c r="W1778" s="8" t="s">
        <v>67</v>
      </c>
      <c r="X1778" s="8">
        <v>2</v>
      </c>
      <c r="Y1778" s="8" t="s">
        <v>11263</v>
      </c>
      <c r="Z1778" s="8">
        <v>20</v>
      </c>
      <c r="AA1778" s="8">
        <v>0</v>
      </c>
      <c r="AB1778" s="9">
        <v>0</v>
      </c>
    </row>
    <row r="1779" spans="1:28" x14ac:dyDescent="0.2">
      <c r="A1779" s="10">
        <v>214734</v>
      </c>
      <c r="B1779" s="11" t="s">
        <v>12303</v>
      </c>
      <c r="C1779" s="11" t="s">
        <v>12304</v>
      </c>
      <c r="D1779" s="11" t="s">
        <v>11217</v>
      </c>
      <c r="E1779" s="11"/>
      <c r="F1779" s="11" t="s">
        <v>353</v>
      </c>
      <c r="G1779" s="11" t="s">
        <v>11218</v>
      </c>
      <c r="H1779" s="11" t="s">
        <v>616</v>
      </c>
      <c r="I1779" s="11" t="s">
        <v>11219</v>
      </c>
      <c r="J1779" s="11" t="s">
        <v>11220</v>
      </c>
      <c r="K1779" s="11" t="s">
        <v>619</v>
      </c>
      <c r="L1779" s="11" t="s">
        <v>163</v>
      </c>
      <c r="M1779" s="11" t="s">
        <v>12305</v>
      </c>
      <c r="N1779" s="11" t="s">
        <v>128</v>
      </c>
      <c r="O1779" s="11" t="s">
        <v>12306</v>
      </c>
      <c r="P1779" s="11" t="s">
        <v>4464</v>
      </c>
      <c r="Q1779" s="11" t="s">
        <v>150</v>
      </c>
      <c r="R1779" s="11"/>
      <c r="S1779" s="11" t="s">
        <v>11223</v>
      </c>
      <c r="T1779" s="11" t="s">
        <v>67</v>
      </c>
      <c r="U1779" s="11" t="s">
        <v>150</v>
      </c>
      <c r="V1779" s="11" t="s">
        <v>152</v>
      </c>
      <c r="W1779" s="11" t="s">
        <v>67</v>
      </c>
      <c r="X1779" s="11">
        <v>2</v>
      </c>
      <c r="Y1779" s="11" t="s">
        <v>11263</v>
      </c>
      <c r="Z1779" s="11">
        <v>20</v>
      </c>
      <c r="AA1779" s="11">
        <v>0</v>
      </c>
      <c r="AB1779" s="12">
        <v>0</v>
      </c>
    </row>
    <row r="1780" spans="1:28" x14ac:dyDescent="0.2">
      <c r="A1780" s="7">
        <v>22592</v>
      </c>
      <c r="B1780" s="8" t="s">
        <v>12307</v>
      </c>
      <c r="C1780" s="8" t="s">
        <v>12308</v>
      </c>
      <c r="D1780" s="8" t="s">
        <v>12309</v>
      </c>
      <c r="E1780" s="8"/>
      <c r="F1780" s="8" t="s">
        <v>12310</v>
      </c>
      <c r="G1780" s="8" t="s">
        <v>12311</v>
      </c>
      <c r="H1780" s="8" t="s">
        <v>122</v>
      </c>
      <c r="I1780" s="8" t="s">
        <v>12312</v>
      </c>
      <c r="J1780" s="8" t="s">
        <v>12313</v>
      </c>
      <c r="K1780" s="8" t="s">
        <v>125</v>
      </c>
      <c r="L1780" s="8" t="s">
        <v>126</v>
      </c>
      <c r="M1780" s="8" t="s">
        <v>12314</v>
      </c>
      <c r="N1780" s="8" t="s">
        <v>128</v>
      </c>
      <c r="O1780" s="8" t="s">
        <v>12315</v>
      </c>
      <c r="P1780" s="8" t="s">
        <v>12316</v>
      </c>
      <c r="Q1780" s="8" t="s">
        <v>150</v>
      </c>
      <c r="R1780" s="8"/>
      <c r="S1780" s="8" t="s">
        <v>71</v>
      </c>
      <c r="T1780" s="8" t="s">
        <v>2697</v>
      </c>
      <c r="U1780" s="8" t="s">
        <v>150</v>
      </c>
      <c r="V1780" s="8" t="s">
        <v>2697</v>
      </c>
      <c r="W1780" s="8" t="s">
        <v>2697</v>
      </c>
      <c r="X1780" s="8">
        <v>2</v>
      </c>
      <c r="Y1780" s="8" t="s">
        <v>11263</v>
      </c>
      <c r="Z1780" s="8">
        <v>20</v>
      </c>
      <c r="AA1780" s="8">
        <v>0</v>
      </c>
      <c r="AB1780" s="9">
        <v>0</v>
      </c>
    </row>
    <row r="1781" spans="1:28" x14ac:dyDescent="0.2">
      <c r="A1781" s="10">
        <v>23454</v>
      </c>
      <c r="B1781" s="11" t="s">
        <v>12317</v>
      </c>
      <c r="C1781" s="11" t="s">
        <v>2291</v>
      </c>
      <c r="D1781" s="11" t="s">
        <v>11184</v>
      </c>
      <c r="E1781" s="11"/>
      <c r="F1781" s="11" t="s">
        <v>353</v>
      </c>
      <c r="G1781" s="11" t="s">
        <v>12318</v>
      </c>
      <c r="H1781" s="11" t="s">
        <v>142</v>
      </c>
      <c r="I1781" s="11" t="s">
        <v>12319</v>
      </c>
      <c r="J1781" s="11" t="s">
        <v>12320</v>
      </c>
      <c r="K1781" s="11" t="s">
        <v>1199</v>
      </c>
      <c r="L1781" s="11" t="s">
        <v>464</v>
      </c>
      <c r="M1781" s="11" t="s">
        <v>12321</v>
      </c>
      <c r="N1781" s="11" t="s">
        <v>128</v>
      </c>
      <c r="O1781" s="11" t="s">
        <v>12322</v>
      </c>
      <c r="P1781" s="11" t="s">
        <v>12323</v>
      </c>
      <c r="Q1781" s="11" t="s">
        <v>150</v>
      </c>
      <c r="R1781" s="11"/>
      <c r="S1781" s="11" t="s">
        <v>71</v>
      </c>
      <c r="T1781" s="11" t="s">
        <v>1415</v>
      </c>
      <c r="U1781" s="11" t="s">
        <v>150</v>
      </c>
      <c r="V1781" s="11" t="s">
        <v>1415</v>
      </c>
      <c r="W1781" s="11" t="s">
        <v>1415</v>
      </c>
      <c r="X1781" s="11">
        <v>2</v>
      </c>
      <c r="Y1781" s="11" t="s">
        <v>11263</v>
      </c>
      <c r="Z1781" s="11">
        <v>20</v>
      </c>
      <c r="AA1781" s="11">
        <v>0</v>
      </c>
      <c r="AB1781" s="12">
        <v>0</v>
      </c>
    </row>
    <row r="1782" spans="1:28" x14ac:dyDescent="0.2">
      <c r="A1782" s="7">
        <v>28707</v>
      </c>
      <c r="B1782" s="8" t="s">
        <v>12324</v>
      </c>
      <c r="C1782" s="8" t="s">
        <v>12325</v>
      </c>
      <c r="D1782" s="8" t="s">
        <v>7326</v>
      </c>
      <c r="E1782" s="8"/>
      <c r="F1782" s="8" t="s">
        <v>12326</v>
      </c>
      <c r="G1782" s="8" t="s">
        <v>12327</v>
      </c>
      <c r="H1782" s="8" t="s">
        <v>142</v>
      </c>
      <c r="I1782" s="8" t="s">
        <v>12328</v>
      </c>
      <c r="J1782" s="8" t="s">
        <v>12329</v>
      </c>
      <c r="K1782" s="8" t="s">
        <v>1199</v>
      </c>
      <c r="L1782" s="8" t="s">
        <v>464</v>
      </c>
      <c r="M1782" s="8" t="s">
        <v>12330</v>
      </c>
      <c r="N1782" s="8" t="s">
        <v>128</v>
      </c>
      <c r="O1782" s="8" t="s">
        <v>12331</v>
      </c>
      <c r="P1782" s="8" t="s">
        <v>12332</v>
      </c>
      <c r="Q1782" s="8" t="s">
        <v>150</v>
      </c>
      <c r="R1782" s="8"/>
      <c r="S1782" s="8" t="s">
        <v>71</v>
      </c>
      <c r="T1782" s="8" t="s">
        <v>1415</v>
      </c>
      <c r="U1782" s="8" t="s">
        <v>150</v>
      </c>
      <c r="V1782" s="8" t="s">
        <v>1415</v>
      </c>
      <c r="W1782" s="8" t="s">
        <v>1415</v>
      </c>
      <c r="X1782" s="8">
        <v>2</v>
      </c>
      <c r="Y1782" s="8" t="s">
        <v>11263</v>
      </c>
      <c r="Z1782" s="8">
        <v>20</v>
      </c>
      <c r="AA1782" s="8">
        <v>0</v>
      </c>
      <c r="AB1782" s="9">
        <v>0</v>
      </c>
    </row>
    <row r="1783" spans="1:28" x14ac:dyDescent="0.2">
      <c r="A1783" s="10">
        <v>124293</v>
      </c>
      <c r="B1783" s="11" t="s">
        <v>12333</v>
      </c>
      <c r="C1783" s="11" t="s">
        <v>6823</v>
      </c>
      <c r="D1783" s="11" t="s">
        <v>12334</v>
      </c>
      <c r="E1783" s="11"/>
      <c r="F1783" s="11" t="s">
        <v>8896</v>
      </c>
      <c r="G1783" s="11" t="s">
        <v>2035</v>
      </c>
      <c r="H1783" s="11" t="s">
        <v>142</v>
      </c>
      <c r="I1783" s="11" t="s">
        <v>12335</v>
      </c>
      <c r="J1783" s="11" t="s">
        <v>12336</v>
      </c>
      <c r="K1783" s="11" t="s">
        <v>779</v>
      </c>
      <c r="L1783" s="11" t="s">
        <v>464</v>
      </c>
      <c r="M1783" s="11" t="s">
        <v>12337</v>
      </c>
      <c r="N1783" s="11" t="s">
        <v>128</v>
      </c>
      <c r="O1783" s="11" t="s">
        <v>12338</v>
      </c>
      <c r="P1783" s="11" t="s">
        <v>12339</v>
      </c>
      <c r="Q1783" s="11" t="s">
        <v>150</v>
      </c>
      <c r="R1783" s="11"/>
      <c r="S1783" s="11" t="s">
        <v>71</v>
      </c>
      <c r="T1783" s="11" t="s">
        <v>1415</v>
      </c>
      <c r="U1783" s="11" t="s">
        <v>150</v>
      </c>
      <c r="V1783" s="11" t="s">
        <v>1415</v>
      </c>
      <c r="W1783" s="11" t="s">
        <v>1415</v>
      </c>
      <c r="X1783" s="11">
        <v>2</v>
      </c>
      <c r="Y1783" s="11" t="s">
        <v>11263</v>
      </c>
      <c r="Z1783" s="11">
        <v>20</v>
      </c>
      <c r="AA1783" s="11">
        <v>0</v>
      </c>
      <c r="AB1783" s="12">
        <v>0</v>
      </c>
    </row>
    <row r="1784" spans="1:28" x14ac:dyDescent="0.2">
      <c r="A1784" s="7">
        <v>23543</v>
      </c>
      <c r="B1784" s="8" t="s">
        <v>12340</v>
      </c>
      <c r="C1784" s="8" t="s">
        <v>2615</v>
      </c>
      <c r="D1784" s="8" t="s">
        <v>12341</v>
      </c>
      <c r="E1784" s="8"/>
      <c r="F1784" s="8" t="s">
        <v>353</v>
      </c>
      <c r="G1784" s="8" t="s">
        <v>5943</v>
      </c>
      <c r="H1784" s="8" t="s">
        <v>191</v>
      </c>
      <c r="I1784" s="8" t="s">
        <v>7710</v>
      </c>
      <c r="J1784" s="8" t="s">
        <v>12342</v>
      </c>
      <c r="K1784" s="8" t="s">
        <v>194</v>
      </c>
      <c r="L1784" s="8" t="s">
        <v>163</v>
      </c>
      <c r="M1784" s="8" t="s">
        <v>12343</v>
      </c>
      <c r="N1784" s="8" t="s">
        <v>128</v>
      </c>
      <c r="O1784" s="8" t="s">
        <v>12344</v>
      </c>
      <c r="P1784" s="8"/>
      <c r="Q1784" s="8" t="s">
        <v>150</v>
      </c>
      <c r="R1784" s="8"/>
      <c r="S1784" s="8" t="s">
        <v>71</v>
      </c>
      <c r="T1784" s="8" t="s">
        <v>5007</v>
      </c>
      <c r="U1784" s="8" t="s">
        <v>150</v>
      </c>
      <c r="V1784" s="8" t="s">
        <v>5007</v>
      </c>
      <c r="W1784" s="8" t="s">
        <v>5007</v>
      </c>
      <c r="X1784" s="8">
        <v>2</v>
      </c>
      <c r="Y1784" s="8" t="s">
        <v>11263</v>
      </c>
      <c r="Z1784" s="8">
        <v>20</v>
      </c>
      <c r="AA1784" s="8">
        <v>0</v>
      </c>
      <c r="AB1784" s="9">
        <v>0</v>
      </c>
    </row>
    <row r="1785" spans="1:28" x14ac:dyDescent="0.2">
      <c r="A1785" s="10">
        <v>23444</v>
      </c>
      <c r="B1785" s="11" t="s">
        <v>12345</v>
      </c>
      <c r="C1785" s="11" t="s">
        <v>8130</v>
      </c>
      <c r="D1785" s="11" t="s">
        <v>2871</v>
      </c>
      <c r="E1785" s="11"/>
      <c r="F1785" s="11"/>
      <c r="G1785" s="11" t="s">
        <v>12346</v>
      </c>
      <c r="H1785" s="11" t="s">
        <v>142</v>
      </c>
      <c r="I1785" s="11" t="s">
        <v>12347</v>
      </c>
      <c r="J1785" s="11" t="s">
        <v>12348</v>
      </c>
      <c r="K1785" s="11" t="s">
        <v>1199</v>
      </c>
      <c r="L1785" s="11" t="s">
        <v>464</v>
      </c>
      <c r="M1785" s="11" t="s">
        <v>12349</v>
      </c>
      <c r="N1785" s="11" t="s">
        <v>128</v>
      </c>
      <c r="O1785" s="11" t="s">
        <v>12350</v>
      </c>
      <c r="P1785" s="11" t="s">
        <v>12351</v>
      </c>
      <c r="Q1785" s="11" t="s">
        <v>150</v>
      </c>
      <c r="R1785" s="11"/>
      <c r="S1785" s="11" t="s">
        <v>71</v>
      </c>
      <c r="T1785" s="11" t="s">
        <v>1415</v>
      </c>
      <c r="U1785" s="11" t="s">
        <v>150</v>
      </c>
      <c r="V1785" s="11" t="s">
        <v>1415</v>
      </c>
      <c r="W1785" s="11" t="s">
        <v>1415</v>
      </c>
      <c r="X1785" s="11">
        <v>1</v>
      </c>
      <c r="Y1785" s="11" t="s">
        <v>11263</v>
      </c>
      <c r="Z1785" s="11">
        <v>20</v>
      </c>
      <c r="AA1785" s="11">
        <v>0</v>
      </c>
      <c r="AB1785" s="12">
        <v>0</v>
      </c>
    </row>
    <row r="1786" spans="1:28" x14ac:dyDescent="0.2">
      <c r="A1786" s="7">
        <v>24784</v>
      </c>
      <c r="B1786" s="8" t="s">
        <v>12352</v>
      </c>
      <c r="C1786" s="8" t="s">
        <v>10488</v>
      </c>
      <c r="D1786" s="8" t="s">
        <v>12353</v>
      </c>
      <c r="E1786" s="8" t="s">
        <v>629</v>
      </c>
      <c r="F1786" s="8" t="s">
        <v>10069</v>
      </c>
      <c r="G1786" s="8" t="s">
        <v>141</v>
      </c>
      <c r="H1786" s="8" t="s">
        <v>142</v>
      </c>
      <c r="I1786" s="8" t="s">
        <v>12354</v>
      </c>
      <c r="J1786" s="8" t="s">
        <v>12355</v>
      </c>
      <c r="K1786" s="8" t="s">
        <v>991</v>
      </c>
      <c r="L1786" s="8" t="s">
        <v>146</v>
      </c>
      <c r="M1786" s="8" t="s">
        <v>12356</v>
      </c>
      <c r="N1786" s="8" t="s">
        <v>128</v>
      </c>
      <c r="O1786" s="8" t="s">
        <v>12357</v>
      </c>
      <c r="P1786" s="8"/>
      <c r="Q1786" s="8" t="s">
        <v>740</v>
      </c>
      <c r="R1786" s="8"/>
      <c r="S1786" s="8" t="s">
        <v>12358</v>
      </c>
      <c r="T1786" s="8" t="s">
        <v>741</v>
      </c>
      <c r="U1786" s="8" t="s">
        <v>134</v>
      </c>
      <c r="V1786" s="8" t="s">
        <v>740</v>
      </c>
      <c r="W1786" s="8" t="s">
        <v>741</v>
      </c>
      <c r="X1786" s="8">
        <v>67</v>
      </c>
      <c r="Y1786" s="8" t="s">
        <v>12359</v>
      </c>
      <c r="Z1786" s="8">
        <v>20</v>
      </c>
      <c r="AA1786" s="8">
        <v>0</v>
      </c>
      <c r="AB1786" s="9">
        <v>0</v>
      </c>
    </row>
    <row r="1787" spans="1:28" x14ac:dyDescent="0.2">
      <c r="A1787" s="10">
        <v>24188</v>
      </c>
      <c r="B1787" s="11" t="s">
        <v>12360</v>
      </c>
      <c r="C1787" s="11" t="s">
        <v>798</v>
      </c>
      <c r="D1787" s="11" t="s">
        <v>799</v>
      </c>
      <c r="E1787" s="11" t="s">
        <v>12361</v>
      </c>
      <c r="F1787" s="11" t="s">
        <v>237</v>
      </c>
      <c r="G1787" s="11" t="s">
        <v>158</v>
      </c>
      <c r="H1787" s="11" t="s">
        <v>159</v>
      </c>
      <c r="I1787" s="11" t="s">
        <v>801</v>
      </c>
      <c r="J1787" s="11" t="s">
        <v>802</v>
      </c>
      <c r="K1787" s="11" t="s">
        <v>274</v>
      </c>
      <c r="L1787" s="11" t="s">
        <v>163</v>
      </c>
      <c r="M1787" s="11" t="s">
        <v>12362</v>
      </c>
      <c r="N1787" s="11" t="s">
        <v>128</v>
      </c>
      <c r="O1787" s="11" t="s">
        <v>12363</v>
      </c>
      <c r="P1787" s="11" t="s">
        <v>12364</v>
      </c>
      <c r="Q1787" s="11" t="s">
        <v>740</v>
      </c>
      <c r="R1787" s="11"/>
      <c r="S1787" s="11" t="s">
        <v>806</v>
      </c>
      <c r="T1787" s="11" t="s">
        <v>1745</v>
      </c>
      <c r="U1787" s="11" t="s">
        <v>134</v>
      </c>
      <c r="V1787" s="11" t="s">
        <v>740</v>
      </c>
      <c r="W1787" s="11" t="s">
        <v>1745</v>
      </c>
      <c r="X1787" s="11">
        <v>66</v>
      </c>
      <c r="Y1787" s="11" t="s">
        <v>12359</v>
      </c>
      <c r="Z1787" s="11">
        <v>20</v>
      </c>
      <c r="AA1787" s="11">
        <v>0</v>
      </c>
      <c r="AB1787" s="12">
        <v>0</v>
      </c>
    </row>
    <row r="1788" spans="1:28" x14ac:dyDescent="0.2">
      <c r="A1788" s="7">
        <v>21983</v>
      </c>
      <c r="B1788" s="8" t="s">
        <v>12365</v>
      </c>
      <c r="C1788" s="8" t="s">
        <v>10488</v>
      </c>
      <c r="D1788" s="8" t="s">
        <v>12353</v>
      </c>
      <c r="E1788" s="8" t="s">
        <v>12366</v>
      </c>
      <c r="F1788" s="8" t="s">
        <v>10069</v>
      </c>
      <c r="G1788" s="8" t="s">
        <v>141</v>
      </c>
      <c r="H1788" s="8" t="s">
        <v>142</v>
      </c>
      <c r="I1788" s="8" t="s">
        <v>12354</v>
      </c>
      <c r="J1788" s="8" t="s">
        <v>12355</v>
      </c>
      <c r="K1788" s="8" t="s">
        <v>991</v>
      </c>
      <c r="L1788" s="8" t="s">
        <v>146</v>
      </c>
      <c r="M1788" s="8" t="s">
        <v>12367</v>
      </c>
      <c r="N1788" s="8" t="s">
        <v>128</v>
      </c>
      <c r="O1788" s="8" t="s">
        <v>12368</v>
      </c>
      <c r="P1788" s="8" t="s">
        <v>7930</v>
      </c>
      <c r="Q1788" s="8" t="s">
        <v>131</v>
      </c>
      <c r="R1788" s="8"/>
      <c r="S1788" s="8" t="s">
        <v>12358</v>
      </c>
      <c r="T1788" s="8" t="s">
        <v>133</v>
      </c>
      <c r="U1788" s="8" t="s">
        <v>134</v>
      </c>
      <c r="V1788" s="8" t="s">
        <v>131</v>
      </c>
      <c r="W1788" s="8" t="s">
        <v>133</v>
      </c>
      <c r="X1788" s="8">
        <v>65</v>
      </c>
      <c r="Y1788" s="8" t="s">
        <v>12359</v>
      </c>
      <c r="Z1788" s="8">
        <v>20</v>
      </c>
      <c r="AA1788" s="8">
        <v>0</v>
      </c>
      <c r="AB1788" s="9">
        <v>0</v>
      </c>
    </row>
    <row r="1789" spans="1:28" x14ac:dyDescent="0.2">
      <c r="A1789" s="10">
        <v>25168</v>
      </c>
      <c r="B1789" s="11" t="s">
        <v>12369</v>
      </c>
      <c r="C1789" s="11" t="s">
        <v>798</v>
      </c>
      <c r="D1789" s="11" t="s">
        <v>799</v>
      </c>
      <c r="E1789" s="11" t="s">
        <v>12370</v>
      </c>
      <c r="F1789" s="11" t="s">
        <v>237</v>
      </c>
      <c r="G1789" s="11" t="s">
        <v>158</v>
      </c>
      <c r="H1789" s="11" t="s">
        <v>159</v>
      </c>
      <c r="I1789" s="11" t="s">
        <v>801</v>
      </c>
      <c r="J1789" s="11" t="s">
        <v>802</v>
      </c>
      <c r="K1789" s="11" t="s">
        <v>274</v>
      </c>
      <c r="L1789" s="11" t="s">
        <v>163</v>
      </c>
      <c r="M1789" s="11" t="s">
        <v>12371</v>
      </c>
      <c r="N1789" s="11" t="s">
        <v>128</v>
      </c>
      <c r="O1789" s="11" t="s">
        <v>12372</v>
      </c>
      <c r="P1789" s="11" t="s">
        <v>12373</v>
      </c>
      <c r="Q1789" s="11" t="s">
        <v>740</v>
      </c>
      <c r="R1789" s="11"/>
      <c r="S1789" s="11" t="s">
        <v>806</v>
      </c>
      <c r="T1789" s="11" t="s">
        <v>741</v>
      </c>
      <c r="U1789" s="11" t="s">
        <v>134</v>
      </c>
      <c r="V1789" s="11" t="s">
        <v>740</v>
      </c>
      <c r="W1789" s="11" t="s">
        <v>741</v>
      </c>
      <c r="X1789" s="11">
        <v>65</v>
      </c>
      <c r="Y1789" s="11" t="s">
        <v>12359</v>
      </c>
      <c r="Z1789" s="11">
        <v>20</v>
      </c>
      <c r="AA1789" s="11">
        <v>0</v>
      </c>
      <c r="AB1789" s="12">
        <v>0</v>
      </c>
    </row>
    <row r="1790" spans="1:28" x14ac:dyDescent="0.2">
      <c r="A1790" s="7">
        <v>27697</v>
      </c>
      <c r="B1790" s="8" t="s">
        <v>12374</v>
      </c>
      <c r="C1790" s="8" t="s">
        <v>644</v>
      </c>
      <c r="D1790" s="8" t="s">
        <v>645</v>
      </c>
      <c r="E1790" s="8"/>
      <c r="F1790" s="8" t="s">
        <v>647</v>
      </c>
      <c r="G1790" s="8" t="s">
        <v>648</v>
      </c>
      <c r="H1790" s="8" t="s">
        <v>142</v>
      </c>
      <c r="I1790" s="8" t="s">
        <v>649</v>
      </c>
      <c r="J1790" s="8" t="s">
        <v>12375</v>
      </c>
      <c r="K1790" s="8" t="s">
        <v>651</v>
      </c>
      <c r="L1790" s="8" t="s">
        <v>146</v>
      </c>
      <c r="M1790" s="8" t="s">
        <v>12376</v>
      </c>
      <c r="N1790" s="8" t="s">
        <v>128</v>
      </c>
      <c r="O1790" s="8" t="s">
        <v>12377</v>
      </c>
      <c r="P1790" s="8"/>
      <c r="Q1790" s="8" t="s">
        <v>131</v>
      </c>
      <c r="R1790" s="8"/>
      <c r="S1790" s="8" t="s">
        <v>655</v>
      </c>
      <c r="T1790" s="8" t="s">
        <v>983</v>
      </c>
      <c r="U1790" s="8" t="s">
        <v>134</v>
      </c>
      <c r="V1790" s="8" t="s">
        <v>131</v>
      </c>
      <c r="W1790" s="8" t="s">
        <v>983</v>
      </c>
      <c r="X1790" s="8">
        <v>64</v>
      </c>
      <c r="Y1790" s="8" t="s">
        <v>12359</v>
      </c>
      <c r="Z1790" s="8">
        <v>20</v>
      </c>
      <c r="AA1790" s="8">
        <v>0</v>
      </c>
      <c r="AB1790" s="9">
        <v>0</v>
      </c>
    </row>
    <row r="1791" spans="1:28" x14ac:dyDescent="0.2">
      <c r="A1791" s="10">
        <v>24025</v>
      </c>
      <c r="B1791" s="11" t="s">
        <v>12378</v>
      </c>
      <c r="C1791" s="11" t="s">
        <v>457</v>
      </c>
      <c r="D1791" s="11" t="s">
        <v>477</v>
      </c>
      <c r="E1791" s="11"/>
      <c r="F1791" s="11" t="s">
        <v>459</v>
      </c>
      <c r="G1791" s="11" t="s">
        <v>141</v>
      </c>
      <c r="H1791" s="11" t="s">
        <v>142</v>
      </c>
      <c r="I1791" s="11" t="s">
        <v>460</v>
      </c>
      <c r="J1791" s="11" t="s">
        <v>479</v>
      </c>
      <c r="K1791" s="11" t="s">
        <v>403</v>
      </c>
      <c r="L1791" s="11" t="s">
        <v>146</v>
      </c>
      <c r="M1791" s="11" t="s">
        <v>12379</v>
      </c>
      <c r="N1791" s="11" t="s">
        <v>128</v>
      </c>
      <c r="O1791" s="11" t="s">
        <v>12380</v>
      </c>
      <c r="P1791" s="11" t="s">
        <v>12381</v>
      </c>
      <c r="Q1791" s="11" t="s">
        <v>740</v>
      </c>
      <c r="R1791" s="11"/>
      <c r="S1791" s="11" t="s">
        <v>68</v>
      </c>
      <c r="T1791" s="11" t="s">
        <v>1745</v>
      </c>
      <c r="U1791" s="11" t="s">
        <v>134</v>
      </c>
      <c r="V1791" s="11" t="s">
        <v>740</v>
      </c>
      <c r="W1791" s="11" t="s">
        <v>1745</v>
      </c>
      <c r="X1791" s="11">
        <v>64</v>
      </c>
      <c r="Y1791" s="11" t="s">
        <v>12359</v>
      </c>
      <c r="Z1791" s="11">
        <v>20</v>
      </c>
      <c r="AA1791" s="11">
        <v>0</v>
      </c>
      <c r="AB1791" s="12">
        <v>0</v>
      </c>
    </row>
    <row r="1792" spans="1:28" x14ac:dyDescent="0.2">
      <c r="A1792" s="7">
        <v>25176</v>
      </c>
      <c r="B1792" s="8" t="s">
        <v>12382</v>
      </c>
      <c r="C1792" s="8" t="s">
        <v>644</v>
      </c>
      <c r="D1792" s="8" t="s">
        <v>645</v>
      </c>
      <c r="E1792" s="8" t="s">
        <v>12370</v>
      </c>
      <c r="F1792" s="8" t="s">
        <v>647</v>
      </c>
      <c r="G1792" s="8" t="s">
        <v>648</v>
      </c>
      <c r="H1792" s="8" t="s">
        <v>142</v>
      </c>
      <c r="I1792" s="8" t="s">
        <v>649</v>
      </c>
      <c r="J1792" s="8" t="s">
        <v>650</v>
      </c>
      <c r="K1792" s="8" t="s">
        <v>651</v>
      </c>
      <c r="L1792" s="8" t="s">
        <v>146</v>
      </c>
      <c r="M1792" s="8" t="s">
        <v>12383</v>
      </c>
      <c r="N1792" s="8" t="s">
        <v>128</v>
      </c>
      <c r="O1792" s="8" t="s">
        <v>12384</v>
      </c>
      <c r="P1792" s="8" t="s">
        <v>12385</v>
      </c>
      <c r="Q1792" s="8" t="s">
        <v>740</v>
      </c>
      <c r="R1792" s="8"/>
      <c r="S1792" s="8" t="s">
        <v>655</v>
      </c>
      <c r="T1792" s="8" t="s">
        <v>741</v>
      </c>
      <c r="U1792" s="8" t="s">
        <v>134</v>
      </c>
      <c r="V1792" s="8" t="s">
        <v>740</v>
      </c>
      <c r="W1792" s="8" t="s">
        <v>741</v>
      </c>
      <c r="X1792" s="8">
        <v>64</v>
      </c>
      <c r="Y1792" s="8" t="s">
        <v>12359</v>
      </c>
      <c r="Z1792" s="8">
        <v>20</v>
      </c>
      <c r="AA1792" s="8">
        <v>0</v>
      </c>
      <c r="AB1792" s="9">
        <v>0</v>
      </c>
    </row>
    <row r="1793" spans="1:28" x14ac:dyDescent="0.2">
      <c r="A1793" s="10">
        <v>25247</v>
      </c>
      <c r="B1793" s="11" t="s">
        <v>12386</v>
      </c>
      <c r="C1793" s="11" t="s">
        <v>1809</v>
      </c>
      <c r="D1793" s="11" t="s">
        <v>1810</v>
      </c>
      <c r="E1793" s="11" t="s">
        <v>12387</v>
      </c>
      <c r="F1793" s="11" t="s">
        <v>1812</v>
      </c>
      <c r="G1793" s="11" t="s">
        <v>1813</v>
      </c>
      <c r="H1793" s="11" t="s">
        <v>142</v>
      </c>
      <c r="I1793" s="11" t="s">
        <v>1814</v>
      </c>
      <c r="J1793" s="11" t="s">
        <v>1815</v>
      </c>
      <c r="K1793" s="11" t="s">
        <v>974</v>
      </c>
      <c r="L1793" s="11" t="s">
        <v>146</v>
      </c>
      <c r="M1793" s="11" t="s">
        <v>12388</v>
      </c>
      <c r="N1793" s="11" t="s">
        <v>128</v>
      </c>
      <c r="O1793" s="11" t="s">
        <v>12389</v>
      </c>
      <c r="P1793" s="11" t="s">
        <v>12390</v>
      </c>
      <c r="Q1793" s="11" t="s">
        <v>740</v>
      </c>
      <c r="R1793" s="11"/>
      <c r="S1793" s="11" t="s">
        <v>1819</v>
      </c>
      <c r="T1793" s="11" t="s">
        <v>741</v>
      </c>
      <c r="U1793" s="11" t="s">
        <v>134</v>
      </c>
      <c r="V1793" s="11" t="s">
        <v>740</v>
      </c>
      <c r="W1793" s="11" t="s">
        <v>741</v>
      </c>
      <c r="X1793" s="11">
        <v>62</v>
      </c>
      <c r="Y1793" s="11" t="s">
        <v>12359</v>
      </c>
      <c r="Z1793" s="11">
        <v>20</v>
      </c>
      <c r="AA1793" s="11">
        <v>0</v>
      </c>
      <c r="AB1793" s="12">
        <v>0</v>
      </c>
    </row>
    <row r="1794" spans="1:28" x14ac:dyDescent="0.2">
      <c r="A1794" s="7">
        <v>26826</v>
      </c>
      <c r="B1794" s="8" t="s">
        <v>12391</v>
      </c>
      <c r="C1794" s="8" t="s">
        <v>11280</v>
      </c>
      <c r="D1794" s="8" t="s">
        <v>5801</v>
      </c>
      <c r="E1794" s="8"/>
      <c r="F1794" s="8" t="s">
        <v>5803</v>
      </c>
      <c r="G1794" s="8" t="s">
        <v>5804</v>
      </c>
      <c r="H1794" s="8" t="s">
        <v>5805</v>
      </c>
      <c r="I1794" s="8" t="s">
        <v>5806</v>
      </c>
      <c r="J1794" s="8" t="s">
        <v>12392</v>
      </c>
      <c r="K1794" s="8" t="s">
        <v>274</v>
      </c>
      <c r="L1794" s="8" t="s">
        <v>163</v>
      </c>
      <c r="M1794" s="8" t="s">
        <v>12393</v>
      </c>
      <c r="N1794" s="8" t="s">
        <v>128</v>
      </c>
      <c r="O1794" s="8" t="s">
        <v>12394</v>
      </c>
      <c r="P1794" s="8"/>
      <c r="Q1794" s="8" t="s">
        <v>131</v>
      </c>
      <c r="R1794" s="8"/>
      <c r="S1794" s="8" t="s">
        <v>5811</v>
      </c>
      <c r="T1794" s="8" t="s">
        <v>983</v>
      </c>
      <c r="U1794" s="8" t="s">
        <v>134</v>
      </c>
      <c r="V1794" s="8" t="s">
        <v>131</v>
      </c>
      <c r="W1794" s="8" t="s">
        <v>983</v>
      </c>
      <c r="X1794" s="8">
        <v>60</v>
      </c>
      <c r="Y1794" s="8" t="s">
        <v>12359</v>
      </c>
      <c r="Z1794" s="8">
        <v>20</v>
      </c>
      <c r="AA1794" s="8">
        <v>0</v>
      </c>
      <c r="AB1794" s="9">
        <v>0</v>
      </c>
    </row>
    <row r="1795" spans="1:28" x14ac:dyDescent="0.2">
      <c r="A1795" s="10">
        <v>23788</v>
      </c>
      <c r="B1795" s="11" t="s">
        <v>12395</v>
      </c>
      <c r="C1795" s="11" t="s">
        <v>6585</v>
      </c>
      <c r="D1795" s="11" t="s">
        <v>6586</v>
      </c>
      <c r="E1795" s="11"/>
      <c r="F1795" s="11" t="s">
        <v>6588</v>
      </c>
      <c r="G1795" s="11" t="s">
        <v>1952</v>
      </c>
      <c r="H1795" s="11" t="s">
        <v>1953</v>
      </c>
      <c r="I1795" s="11" t="s">
        <v>6589</v>
      </c>
      <c r="J1795" s="11" t="s">
        <v>12396</v>
      </c>
      <c r="K1795" s="11" t="s">
        <v>1956</v>
      </c>
      <c r="L1795" s="11" t="s">
        <v>526</v>
      </c>
      <c r="M1795" s="11" t="s">
        <v>12397</v>
      </c>
      <c r="N1795" s="11" t="s">
        <v>128</v>
      </c>
      <c r="O1795" s="11" t="s">
        <v>12398</v>
      </c>
      <c r="P1795" s="11" t="s">
        <v>8123</v>
      </c>
      <c r="Q1795" s="11" t="s">
        <v>150</v>
      </c>
      <c r="R1795" s="11"/>
      <c r="S1795" s="11" t="s">
        <v>6594</v>
      </c>
      <c r="T1795" s="11" t="s">
        <v>168</v>
      </c>
      <c r="U1795" s="11" t="s">
        <v>150</v>
      </c>
      <c r="V1795" s="11" t="s">
        <v>168</v>
      </c>
      <c r="W1795" s="11" t="s">
        <v>168</v>
      </c>
      <c r="X1795" s="11">
        <v>60</v>
      </c>
      <c r="Y1795" s="11" t="s">
        <v>12359</v>
      </c>
      <c r="Z1795" s="11">
        <v>20</v>
      </c>
      <c r="AA1795" s="11">
        <v>0</v>
      </c>
      <c r="AB1795" s="12">
        <v>0</v>
      </c>
    </row>
    <row r="1796" spans="1:28" x14ac:dyDescent="0.2">
      <c r="A1796" s="7">
        <v>24191</v>
      </c>
      <c r="B1796" s="8" t="s">
        <v>12399</v>
      </c>
      <c r="C1796" s="8" t="s">
        <v>5800</v>
      </c>
      <c r="D1796" s="8" t="s">
        <v>5801</v>
      </c>
      <c r="E1796" s="8" t="s">
        <v>12400</v>
      </c>
      <c r="F1796" s="8" t="s">
        <v>5803</v>
      </c>
      <c r="G1796" s="8" t="s">
        <v>5804</v>
      </c>
      <c r="H1796" s="8" t="s">
        <v>5805</v>
      </c>
      <c r="I1796" s="8" t="s">
        <v>5806</v>
      </c>
      <c r="J1796" s="8" t="s">
        <v>5807</v>
      </c>
      <c r="K1796" s="8" t="s">
        <v>274</v>
      </c>
      <c r="L1796" s="8" t="s">
        <v>163</v>
      </c>
      <c r="M1796" s="8" t="s">
        <v>12401</v>
      </c>
      <c r="N1796" s="8" t="s">
        <v>128</v>
      </c>
      <c r="O1796" s="8" t="s">
        <v>12402</v>
      </c>
      <c r="P1796" s="8" t="s">
        <v>12403</v>
      </c>
      <c r="Q1796" s="8" t="s">
        <v>740</v>
      </c>
      <c r="R1796" s="8"/>
      <c r="S1796" s="8" t="s">
        <v>5811</v>
      </c>
      <c r="T1796" s="8" t="s">
        <v>1745</v>
      </c>
      <c r="U1796" s="8" t="s">
        <v>134</v>
      </c>
      <c r="V1796" s="8" t="s">
        <v>740</v>
      </c>
      <c r="W1796" s="8" t="s">
        <v>1745</v>
      </c>
      <c r="X1796" s="8">
        <v>60</v>
      </c>
      <c r="Y1796" s="8" t="s">
        <v>12359</v>
      </c>
      <c r="Z1796" s="8">
        <v>20</v>
      </c>
      <c r="AA1796" s="8">
        <v>0</v>
      </c>
      <c r="AB1796" s="9">
        <v>0</v>
      </c>
    </row>
    <row r="1797" spans="1:28" x14ac:dyDescent="0.2">
      <c r="A1797" s="10">
        <v>25334</v>
      </c>
      <c r="B1797" s="11" t="s">
        <v>12404</v>
      </c>
      <c r="C1797" s="11" t="s">
        <v>903</v>
      </c>
      <c r="D1797" s="11" t="s">
        <v>904</v>
      </c>
      <c r="E1797" s="11"/>
      <c r="F1797" s="11" t="s">
        <v>906</v>
      </c>
      <c r="G1797" s="11" t="s">
        <v>615</v>
      </c>
      <c r="H1797" s="11" t="s">
        <v>616</v>
      </c>
      <c r="I1797" s="11" t="s">
        <v>907</v>
      </c>
      <c r="J1797" s="11" t="s">
        <v>1146</v>
      </c>
      <c r="K1797" s="11" t="s">
        <v>619</v>
      </c>
      <c r="L1797" s="11" t="s">
        <v>163</v>
      </c>
      <c r="M1797" s="11" t="s">
        <v>12405</v>
      </c>
      <c r="N1797" s="11" t="s">
        <v>128</v>
      </c>
      <c r="O1797" s="11" t="s">
        <v>12406</v>
      </c>
      <c r="P1797" s="11"/>
      <c r="Q1797" s="11" t="s">
        <v>740</v>
      </c>
      <c r="R1797" s="11"/>
      <c r="S1797" s="11" t="s">
        <v>912</v>
      </c>
      <c r="T1797" s="11" t="s">
        <v>1745</v>
      </c>
      <c r="U1797" s="11" t="s">
        <v>134</v>
      </c>
      <c r="V1797" s="11" t="s">
        <v>740</v>
      </c>
      <c r="W1797" s="11" t="s">
        <v>1745</v>
      </c>
      <c r="X1797" s="11">
        <v>60</v>
      </c>
      <c r="Y1797" s="11" t="s">
        <v>12359</v>
      </c>
      <c r="Z1797" s="11">
        <v>20</v>
      </c>
      <c r="AA1797" s="11">
        <v>0</v>
      </c>
      <c r="AB1797" s="12">
        <v>0</v>
      </c>
    </row>
    <row r="1798" spans="1:28" x14ac:dyDescent="0.2">
      <c r="A1798" s="7">
        <v>25511</v>
      </c>
      <c r="B1798" s="8" t="s">
        <v>12407</v>
      </c>
      <c r="C1798" s="8" t="s">
        <v>1809</v>
      </c>
      <c r="D1798" s="8" t="s">
        <v>1810</v>
      </c>
      <c r="E1798" s="8" t="s">
        <v>12408</v>
      </c>
      <c r="F1798" s="8" t="s">
        <v>1812</v>
      </c>
      <c r="G1798" s="8" t="s">
        <v>1813</v>
      </c>
      <c r="H1798" s="8" t="s">
        <v>142</v>
      </c>
      <c r="I1798" s="8" t="s">
        <v>12409</v>
      </c>
      <c r="J1798" s="8" t="s">
        <v>1815</v>
      </c>
      <c r="K1798" s="8" t="s">
        <v>974</v>
      </c>
      <c r="L1798" s="8" t="s">
        <v>146</v>
      </c>
      <c r="M1798" s="8" t="s">
        <v>12410</v>
      </c>
      <c r="N1798" s="8" t="s">
        <v>128</v>
      </c>
      <c r="O1798" s="8" t="s">
        <v>12411</v>
      </c>
      <c r="P1798" s="8" t="s">
        <v>12412</v>
      </c>
      <c r="Q1798" s="8" t="s">
        <v>249</v>
      </c>
      <c r="R1798" s="8"/>
      <c r="S1798" s="8" t="s">
        <v>1819</v>
      </c>
      <c r="T1798" s="8" t="s">
        <v>250</v>
      </c>
      <c r="U1798" s="8" t="s">
        <v>134</v>
      </c>
      <c r="V1798" s="8" t="s">
        <v>249</v>
      </c>
      <c r="W1798" s="8" t="s">
        <v>250</v>
      </c>
      <c r="X1798" s="8">
        <v>60</v>
      </c>
      <c r="Y1798" s="8" t="s">
        <v>12359</v>
      </c>
      <c r="Z1798" s="8">
        <v>20</v>
      </c>
      <c r="AA1798" s="8">
        <v>0</v>
      </c>
      <c r="AB1798" s="9">
        <v>0</v>
      </c>
    </row>
    <row r="1799" spans="1:28" x14ac:dyDescent="0.2">
      <c r="A1799" s="10">
        <v>21889</v>
      </c>
      <c r="B1799" s="11" t="s">
        <v>12413</v>
      </c>
      <c r="C1799" s="11" t="s">
        <v>3108</v>
      </c>
      <c r="D1799" s="11" t="s">
        <v>3109</v>
      </c>
      <c r="E1799" s="11"/>
      <c r="F1799" s="11" t="s">
        <v>12414</v>
      </c>
      <c r="G1799" s="11" t="s">
        <v>615</v>
      </c>
      <c r="H1799" s="11" t="s">
        <v>616</v>
      </c>
      <c r="I1799" s="11" t="s">
        <v>6749</v>
      </c>
      <c r="J1799" s="11" t="s">
        <v>5929</v>
      </c>
      <c r="K1799" s="11" t="s">
        <v>619</v>
      </c>
      <c r="L1799" s="11" t="s">
        <v>163</v>
      </c>
      <c r="M1799" s="11" t="s">
        <v>12415</v>
      </c>
      <c r="N1799" s="11" t="s">
        <v>128</v>
      </c>
      <c r="O1799" s="11" t="s">
        <v>12416</v>
      </c>
      <c r="P1799" s="11" t="s">
        <v>12417</v>
      </c>
      <c r="Q1799" s="11" t="s">
        <v>131</v>
      </c>
      <c r="R1799" s="11"/>
      <c r="S1799" s="11" t="s">
        <v>3117</v>
      </c>
      <c r="T1799" s="11" t="s">
        <v>133</v>
      </c>
      <c r="U1799" s="11" t="s">
        <v>134</v>
      </c>
      <c r="V1799" s="11" t="s">
        <v>131</v>
      </c>
      <c r="W1799" s="11" t="s">
        <v>133</v>
      </c>
      <c r="X1799" s="11">
        <v>59</v>
      </c>
      <c r="Y1799" s="11" t="s">
        <v>12359</v>
      </c>
      <c r="Z1799" s="11">
        <v>20</v>
      </c>
      <c r="AA1799" s="11">
        <v>0</v>
      </c>
      <c r="AB1799" s="12">
        <v>0</v>
      </c>
    </row>
    <row r="1800" spans="1:28" x14ac:dyDescent="0.2">
      <c r="A1800" s="7">
        <v>23794</v>
      </c>
      <c r="B1800" s="8" t="s">
        <v>12418</v>
      </c>
      <c r="C1800" s="8" t="s">
        <v>12419</v>
      </c>
      <c r="D1800" s="8" t="s">
        <v>8644</v>
      </c>
      <c r="E1800" s="8"/>
      <c r="F1800" s="8" t="s">
        <v>6740</v>
      </c>
      <c r="G1800" s="8" t="s">
        <v>6741</v>
      </c>
      <c r="H1800" s="8" t="s">
        <v>1953</v>
      </c>
      <c r="I1800" s="8" t="s">
        <v>6742</v>
      </c>
      <c r="J1800" s="8" t="s">
        <v>12420</v>
      </c>
      <c r="K1800" s="8" t="s">
        <v>1956</v>
      </c>
      <c r="L1800" s="8" t="s">
        <v>526</v>
      </c>
      <c r="M1800" s="8" t="s">
        <v>12421</v>
      </c>
      <c r="N1800" s="8" t="s">
        <v>128</v>
      </c>
      <c r="O1800" s="8" t="s">
        <v>12422</v>
      </c>
      <c r="P1800" s="8" t="s">
        <v>977</v>
      </c>
      <c r="Q1800" s="8" t="s">
        <v>150</v>
      </c>
      <c r="R1800" s="8"/>
      <c r="S1800" s="8" t="s">
        <v>6747</v>
      </c>
      <c r="T1800" s="8" t="s">
        <v>168</v>
      </c>
      <c r="U1800" s="8" t="s">
        <v>150</v>
      </c>
      <c r="V1800" s="8" t="s">
        <v>168</v>
      </c>
      <c r="W1800" s="8" t="s">
        <v>168</v>
      </c>
      <c r="X1800" s="8">
        <v>59</v>
      </c>
      <c r="Y1800" s="8" t="s">
        <v>12359</v>
      </c>
      <c r="Z1800" s="8">
        <v>20</v>
      </c>
      <c r="AA1800" s="8">
        <v>0</v>
      </c>
      <c r="AB1800" s="9">
        <v>0</v>
      </c>
    </row>
    <row r="1801" spans="1:28" x14ac:dyDescent="0.2">
      <c r="A1801" s="10">
        <v>25380</v>
      </c>
      <c r="B1801" s="11" t="s">
        <v>12423</v>
      </c>
      <c r="C1801" s="11" t="s">
        <v>5843</v>
      </c>
      <c r="D1801" s="11" t="s">
        <v>5844</v>
      </c>
      <c r="E1801" s="11" t="s">
        <v>12424</v>
      </c>
      <c r="F1801" s="11" t="s">
        <v>5845</v>
      </c>
      <c r="G1801" s="11" t="s">
        <v>5846</v>
      </c>
      <c r="H1801" s="11" t="s">
        <v>159</v>
      </c>
      <c r="I1801" s="11" t="s">
        <v>5847</v>
      </c>
      <c r="J1801" s="11" t="s">
        <v>6047</v>
      </c>
      <c r="K1801" s="11" t="s">
        <v>162</v>
      </c>
      <c r="L1801" s="11" t="s">
        <v>163</v>
      </c>
      <c r="M1801" s="11" t="s">
        <v>12425</v>
      </c>
      <c r="N1801" s="11" t="s">
        <v>128</v>
      </c>
      <c r="O1801" s="11" t="s">
        <v>12426</v>
      </c>
      <c r="P1801" s="11" t="s">
        <v>12427</v>
      </c>
      <c r="Q1801" s="11" t="s">
        <v>249</v>
      </c>
      <c r="R1801" s="11"/>
      <c r="S1801" s="11" t="s">
        <v>5852</v>
      </c>
      <c r="T1801" s="11" t="s">
        <v>250</v>
      </c>
      <c r="U1801" s="11" t="s">
        <v>134</v>
      </c>
      <c r="V1801" s="11" t="s">
        <v>249</v>
      </c>
      <c r="W1801" s="11" t="s">
        <v>250</v>
      </c>
      <c r="X1801" s="11">
        <v>59</v>
      </c>
      <c r="Y1801" s="11" t="s">
        <v>12359</v>
      </c>
      <c r="Z1801" s="11">
        <v>20</v>
      </c>
      <c r="AA1801" s="11">
        <v>0</v>
      </c>
      <c r="AB1801" s="12">
        <v>0</v>
      </c>
    </row>
    <row r="1802" spans="1:28" x14ac:dyDescent="0.2">
      <c r="A1802" s="7">
        <v>172198</v>
      </c>
      <c r="B1802" s="8" t="s">
        <v>12428</v>
      </c>
      <c r="C1802" s="8" t="s">
        <v>6029</v>
      </c>
      <c r="D1802" s="8" t="s">
        <v>6030</v>
      </c>
      <c r="E1802" s="8"/>
      <c r="F1802" s="8" t="s">
        <v>6032</v>
      </c>
      <c r="G1802" s="8" t="s">
        <v>141</v>
      </c>
      <c r="H1802" s="8" t="s">
        <v>142</v>
      </c>
      <c r="I1802" s="8" t="s">
        <v>6033</v>
      </c>
      <c r="J1802" s="8" t="s">
        <v>6034</v>
      </c>
      <c r="K1802" s="8" t="s">
        <v>991</v>
      </c>
      <c r="L1802" s="8" t="s">
        <v>146</v>
      </c>
      <c r="M1802" s="8" t="s">
        <v>12429</v>
      </c>
      <c r="N1802" s="8" t="s">
        <v>128</v>
      </c>
      <c r="O1802" s="8" t="s">
        <v>12430</v>
      </c>
      <c r="P1802" s="8"/>
      <c r="Q1802" s="8" t="s">
        <v>131</v>
      </c>
      <c r="R1802" s="8"/>
      <c r="S1802" s="8" t="s">
        <v>6038</v>
      </c>
      <c r="T1802" s="8" t="s">
        <v>983</v>
      </c>
      <c r="U1802" s="8" t="s">
        <v>134</v>
      </c>
      <c r="V1802" s="8" t="s">
        <v>131</v>
      </c>
      <c r="W1802" s="8" t="s">
        <v>983</v>
      </c>
      <c r="X1802" s="8">
        <v>58</v>
      </c>
      <c r="Y1802" s="8" t="s">
        <v>12359</v>
      </c>
      <c r="Z1802" s="8">
        <v>20</v>
      </c>
      <c r="AA1802" s="8">
        <v>0</v>
      </c>
      <c r="AB1802" s="9">
        <v>0</v>
      </c>
    </row>
    <row r="1803" spans="1:28" x14ac:dyDescent="0.2">
      <c r="A1803" s="10">
        <v>21809</v>
      </c>
      <c r="B1803" s="11" t="s">
        <v>12431</v>
      </c>
      <c r="C1803" s="11" t="s">
        <v>6307</v>
      </c>
      <c r="D1803" s="11" t="s">
        <v>6384</v>
      </c>
      <c r="E1803" s="11" t="s">
        <v>12432</v>
      </c>
      <c r="F1803" s="11" t="s">
        <v>6386</v>
      </c>
      <c r="G1803" s="11" t="s">
        <v>121</v>
      </c>
      <c r="H1803" s="11" t="s">
        <v>122</v>
      </c>
      <c r="I1803" s="11" t="s">
        <v>6387</v>
      </c>
      <c r="J1803" s="11" t="s">
        <v>6388</v>
      </c>
      <c r="K1803" s="11" t="s">
        <v>1051</v>
      </c>
      <c r="L1803" s="11" t="s">
        <v>126</v>
      </c>
      <c r="M1803" s="11" t="s">
        <v>12433</v>
      </c>
      <c r="N1803" s="11" t="s">
        <v>128</v>
      </c>
      <c r="O1803" s="11" t="s">
        <v>12434</v>
      </c>
      <c r="P1803" s="11" t="s">
        <v>12435</v>
      </c>
      <c r="Q1803" s="11" t="s">
        <v>131</v>
      </c>
      <c r="R1803" s="11"/>
      <c r="S1803" s="11" t="s">
        <v>6392</v>
      </c>
      <c r="T1803" s="11" t="s">
        <v>133</v>
      </c>
      <c r="U1803" s="11" t="s">
        <v>134</v>
      </c>
      <c r="V1803" s="11" t="s">
        <v>131</v>
      </c>
      <c r="W1803" s="11" t="s">
        <v>133</v>
      </c>
      <c r="X1803" s="11">
        <v>58</v>
      </c>
      <c r="Y1803" s="11" t="s">
        <v>12359</v>
      </c>
      <c r="Z1803" s="11">
        <v>20</v>
      </c>
      <c r="AA1803" s="11">
        <v>0</v>
      </c>
      <c r="AB1803" s="12">
        <v>0</v>
      </c>
    </row>
    <row r="1804" spans="1:28" x14ac:dyDescent="0.2">
      <c r="A1804" s="7">
        <v>22210</v>
      </c>
      <c r="B1804" s="8" t="s">
        <v>12436</v>
      </c>
      <c r="C1804" s="8" t="s">
        <v>5958</v>
      </c>
      <c r="D1804" s="8" t="s">
        <v>5959</v>
      </c>
      <c r="E1804" s="8" t="s">
        <v>12437</v>
      </c>
      <c r="F1804" s="8" t="s">
        <v>5960</v>
      </c>
      <c r="G1804" s="8" t="s">
        <v>615</v>
      </c>
      <c r="H1804" s="8" t="s">
        <v>616</v>
      </c>
      <c r="I1804" s="8" t="s">
        <v>5961</v>
      </c>
      <c r="J1804" s="8" t="s">
        <v>5962</v>
      </c>
      <c r="K1804" s="8" t="s">
        <v>619</v>
      </c>
      <c r="L1804" s="8" t="s">
        <v>163</v>
      </c>
      <c r="M1804" s="8" t="s">
        <v>12438</v>
      </c>
      <c r="N1804" s="8" t="s">
        <v>128</v>
      </c>
      <c r="O1804" s="8" t="s">
        <v>12439</v>
      </c>
      <c r="P1804" s="8"/>
      <c r="Q1804" s="8" t="s">
        <v>740</v>
      </c>
      <c r="R1804" s="8"/>
      <c r="S1804" s="8" t="s">
        <v>5966</v>
      </c>
      <c r="T1804" s="8" t="s">
        <v>1745</v>
      </c>
      <c r="U1804" s="8" t="s">
        <v>134</v>
      </c>
      <c r="V1804" s="8" t="s">
        <v>740</v>
      </c>
      <c r="W1804" s="8" t="s">
        <v>1745</v>
      </c>
      <c r="X1804" s="8">
        <v>58</v>
      </c>
      <c r="Y1804" s="8" t="s">
        <v>12359</v>
      </c>
      <c r="Z1804" s="8">
        <v>20</v>
      </c>
      <c r="AA1804" s="8">
        <v>0</v>
      </c>
      <c r="AB1804" s="9">
        <v>0</v>
      </c>
    </row>
    <row r="1805" spans="1:28" x14ac:dyDescent="0.2">
      <c r="A1805" s="10">
        <v>25422</v>
      </c>
      <c r="B1805" s="11" t="s">
        <v>12440</v>
      </c>
      <c r="C1805" s="11" t="s">
        <v>798</v>
      </c>
      <c r="D1805" s="11" t="s">
        <v>799</v>
      </c>
      <c r="E1805" s="11" t="s">
        <v>12441</v>
      </c>
      <c r="F1805" s="11" t="s">
        <v>237</v>
      </c>
      <c r="G1805" s="11" t="s">
        <v>158</v>
      </c>
      <c r="H1805" s="11" t="s">
        <v>159</v>
      </c>
      <c r="I1805" s="11" t="s">
        <v>801</v>
      </c>
      <c r="J1805" s="11" t="s">
        <v>802</v>
      </c>
      <c r="K1805" s="11" t="s">
        <v>274</v>
      </c>
      <c r="L1805" s="11" t="s">
        <v>163</v>
      </c>
      <c r="M1805" s="11" t="s">
        <v>12442</v>
      </c>
      <c r="N1805" s="11" t="s">
        <v>128</v>
      </c>
      <c r="O1805" s="11" t="s">
        <v>12443</v>
      </c>
      <c r="P1805" s="11" t="s">
        <v>12444</v>
      </c>
      <c r="Q1805" s="11" t="s">
        <v>249</v>
      </c>
      <c r="R1805" s="11"/>
      <c r="S1805" s="11" t="s">
        <v>806</v>
      </c>
      <c r="T1805" s="11" t="s">
        <v>250</v>
      </c>
      <c r="U1805" s="11" t="s">
        <v>134</v>
      </c>
      <c r="V1805" s="11" t="s">
        <v>249</v>
      </c>
      <c r="W1805" s="11" t="s">
        <v>250</v>
      </c>
      <c r="X1805" s="11">
        <v>58</v>
      </c>
      <c r="Y1805" s="11" t="s">
        <v>12359</v>
      </c>
      <c r="Z1805" s="11">
        <v>20</v>
      </c>
      <c r="AA1805" s="11">
        <v>0</v>
      </c>
      <c r="AB1805" s="12">
        <v>0</v>
      </c>
    </row>
    <row r="1806" spans="1:28" x14ac:dyDescent="0.2">
      <c r="A1806" s="7">
        <v>25535</v>
      </c>
      <c r="B1806" s="8" t="s">
        <v>12445</v>
      </c>
      <c r="C1806" s="8" t="s">
        <v>6029</v>
      </c>
      <c r="D1806" s="8" t="s">
        <v>6030</v>
      </c>
      <c r="E1806" s="8"/>
      <c r="F1806" s="8" t="s">
        <v>6032</v>
      </c>
      <c r="G1806" s="8" t="s">
        <v>141</v>
      </c>
      <c r="H1806" s="8" t="s">
        <v>142</v>
      </c>
      <c r="I1806" s="8" t="s">
        <v>12446</v>
      </c>
      <c r="J1806" s="8" t="s">
        <v>12447</v>
      </c>
      <c r="K1806" s="8" t="s">
        <v>991</v>
      </c>
      <c r="L1806" s="8" t="s">
        <v>146</v>
      </c>
      <c r="M1806" s="8" t="s">
        <v>12448</v>
      </c>
      <c r="N1806" s="8" t="s">
        <v>128</v>
      </c>
      <c r="O1806" s="8" t="s">
        <v>12449</v>
      </c>
      <c r="P1806" s="8" t="s">
        <v>12450</v>
      </c>
      <c r="Q1806" s="8" t="s">
        <v>249</v>
      </c>
      <c r="R1806" s="8"/>
      <c r="S1806" s="8" t="s">
        <v>6038</v>
      </c>
      <c r="T1806" s="8" t="s">
        <v>250</v>
      </c>
      <c r="U1806" s="8" t="s">
        <v>134</v>
      </c>
      <c r="V1806" s="8" t="s">
        <v>249</v>
      </c>
      <c r="W1806" s="8" t="s">
        <v>250</v>
      </c>
      <c r="X1806" s="8">
        <v>58</v>
      </c>
      <c r="Y1806" s="8" t="s">
        <v>12359</v>
      </c>
      <c r="Z1806" s="8">
        <v>20</v>
      </c>
      <c r="AA1806" s="8">
        <v>0</v>
      </c>
      <c r="AB1806" s="9">
        <v>0</v>
      </c>
    </row>
    <row r="1807" spans="1:28" x14ac:dyDescent="0.2">
      <c r="A1807" s="10">
        <v>23562</v>
      </c>
      <c r="B1807" s="11" t="s">
        <v>12451</v>
      </c>
      <c r="C1807" s="11" t="s">
        <v>6345</v>
      </c>
      <c r="D1807" s="11" t="s">
        <v>1362</v>
      </c>
      <c r="E1807" s="11" t="s">
        <v>7326</v>
      </c>
      <c r="F1807" s="11" t="s">
        <v>353</v>
      </c>
      <c r="G1807" s="11" t="s">
        <v>1253</v>
      </c>
      <c r="H1807" s="11" t="s">
        <v>142</v>
      </c>
      <c r="I1807" s="11" t="s">
        <v>6347</v>
      </c>
      <c r="J1807" s="11" t="s">
        <v>12452</v>
      </c>
      <c r="K1807" s="11" t="s">
        <v>1199</v>
      </c>
      <c r="L1807" s="11" t="s">
        <v>464</v>
      </c>
      <c r="M1807" s="11" t="s">
        <v>12453</v>
      </c>
      <c r="N1807" s="11" t="s">
        <v>128</v>
      </c>
      <c r="O1807" s="11" t="s">
        <v>12454</v>
      </c>
      <c r="P1807" s="11" t="s">
        <v>3641</v>
      </c>
      <c r="Q1807" s="11" t="s">
        <v>150</v>
      </c>
      <c r="R1807" s="11"/>
      <c r="S1807" s="11" t="s">
        <v>71</v>
      </c>
      <c r="T1807" s="11" t="s">
        <v>168</v>
      </c>
      <c r="U1807" s="11" t="s">
        <v>150</v>
      </c>
      <c r="V1807" s="11" t="s">
        <v>168</v>
      </c>
      <c r="W1807" s="11" t="s">
        <v>168</v>
      </c>
      <c r="X1807" s="11">
        <v>57</v>
      </c>
      <c r="Y1807" s="11" t="s">
        <v>12359</v>
      </c>
      <c r="Z1807" s="11">
        <v>20</v>
      </c>
      <c r="AA1807" s="11">
        <v>0</v>
      </c>
      <c r="AB1807" s="12">
        <v>0</v>
      </c>
    </row>
    <row r="1808" spans="1:28" x14ac:dyDescent="0.2">
      <c r="A1808" s="7">
        <v>25572</v>
      </c>
      <c r="B1808" s="8" t="s">
        <v>12455</v>
      </c>
      <c r="C1808" s="8" t="s">
        <v>11270</v>
      </c>
      <c r="D1808" s="8" t="s">
        <v>10649</v>
      </c>
      <c r="E1808" s="8" t="s">
        <v>12456</v>
      </c>
      <c r="F1808" s="8" t="s">
        <v>11272</v>
      </c>
      <c r="G1808" s="8" t="s">
        <v>141</v>
      </c>
      <c r="H1808" s="8" t="s">
        <v>142</v>
      </c>
      <c r="I1808" s="8" t="s">
        <v>11273</v>
      </c>
      <c r="J1808" s="8" t="s">
        <v>11274</v>
      </c>
      <c r="K1808" s="8" t="s">
        <v>991</v>
      </c>
      <c r="L1808" s="8" t="s">
        <v>146</v>
      </c>
      <c r="M1808" s="8" t="s">
        <v>12457</v>
      </c>
      <c r="N1808" s="8" t="s">
        <v>128</v>
      </c>
      <c r="O1808" s="8" t="s">
        <v>12458</v>
      </c>
      <c r="P1808" s="8" t="s">
        <v>12459</v>
      </c>
      <c r="Q1808" s="8" t="s">
        <v>249</v>
      </c>
      <c r="R1808" s="8"/>
      <c r="S1808" s="8" t="s">
        <v>11278</v>
      </c>
      <c r="T1808" s="8" t="s">
        <v>250</v>
      </c>
      <c r="U1808" s="8" t="s">
        <v>134</v>
      </c>
      <c r="V1808" s="8" t="s">
        <v>249</v>
      </c>
      <c r="W1808" s="8" t="s">
        <v>250</v>
      </c>
      <c r="X1808" s="8">
        <v>57</v>
      </c>
      <c r="Y1808" s="8" t="s">
        <v>12359</v>
      </c>
      <c r="Z1808" s="8">
        <v>20</v>
      </c>
      <c r="AA1808" s="8">
        <v>0</v>
      </c>
      <c r="AB1808" s="9">
        <v>0</v>
      </c>
    </row>
    <row r="1809" spans="1:28" x14ac:dyDescent="0.2">
      <c r="A1809" s="10">
        <v>22014</v>
      </c>
      <c r="B1809" s="11" t="s">
        <v>12460</v>
      </c>
      <c r="C1809" s="11" t="s">
        <v>6029</v>
      </c>
      <c r="D1809" s="11" t="s">
        <v>6030</v>
      </c>
      <c r="E1809" s="11" t="s">
        <v>12461</v>
      </c>
      <c r="F1809" s="11" t="s">
        <v>6032</v>
      </c>
      <c r="G1809" s="11" t="s">
        <v>141</v>
      </c>
      <c r="H1809" s="11" t="s">
        <v>142</v>
      </c>
      <c r="I1809" s="11" t="s">
        <v>6033</v>
      </c>
      <c r="J1809" s="11" t="s">
        <v>6034</v>
      </c>
      <c r="K1809" s="11" t="s">
        <v>991</v>
      </c>
      <c r="L1809" s="11" t="s">
        <v>146</v>
      </c>
      <c r="M1809" s="11" t="s">
        <v>12462</v>
      </c>
      <c r="N1809" s="11" t="s">
        <v>128</v>
      </c>
      <c r="O1809" s="11" t="s">
        <v>12463</v>
      </c>
      <c r="P1809" s="11" t="s">
        <v>12464</v>
      </c>
      <c r="Q1809" s="11" t="s">
        <v>131</v>
      </c>
      <c r="R1809" s="11"/>
      <c r="S1809" s="11" t="s">
        <v>6038</v>
      </c>
      <c r="T1809" s="11" t="s">
        <v>133</v>
      </c>
      <c r="U1809" s="11" t="s">
        <v>134</v>
      </c>
      <c r="V1809" s="11" t="s">
        <v>131</v>
      </c>
      <c r="W1809" s="11" t="s">
        <v>133</v>
      </c>
      <c r="X1809" s="11">
        <v>56</v>
      </c>
      <c r="Y1809" s="11" t="s">
        <v>12359</v>
      </c>
      <c r="Z1809" s="11">
        <v>20</v>
      </c>
      <c r="AA1809" s="11">
        <v>0</v>
      </c>
      <c r="AB1809" s="12">
        <v>0</v>
      </c>
    </row>
    <row r="1810" spans="1:28" x14ac:dyDescent="0.2">
      <c r="A1810" s="7">
        <v>21961</v>
      </c>
      <c r="B1810" s="8" t="s">
        <v>12465</v>
      </c>
      <c r="C1810" s="8" t="s">
        <v>12466</v>
      </c>
      <c r="D1810" s="8" t="s">
        <v>6586</v>
      </c>
      <c r="E1810" s="8"/>
      <c r="F1810" s="8" t="s">
        <v>6588</v>
      </c>
      <c r="G1810" s="8" t="s">
        <v>1952</v>
      </c>
      <c r="H1810" s="8" t="s">
        <v>1953</v>
      </c>
      <c r="I1810" s="8" t="s">
        <v>6589</v>
      </c>
      <c r="J1810" s="8" t="s">
        <v>12467</v>
      </c>
      <c r="K1810" s="8" t="s">
        <v>1956</v>
      </c>
      <c r="L1810" s="8" t="s">
        <v>526</v>
      </c>
      <c r="M1810" s="8" t="s">
        <v>12468</v>
      </c>
      <c r="N1810" s="8" t="s">
        <v>128</v>
      </c>
      <c r="O1810" s="8" t="s">
        <v>12469</v>
      </c>
      <c r="P1810" s="8" t="s">
        <v>12470</v>
      </c>
      <c r="Q1810" s="8" t="s">
        <v>131</v>
      </c>
      <c r="R1810" s="8"/>
      <c r="S1810" s="8" t="s">
        <v>6594</v>
      </c>
      <c r="T1810" s="8" t="s">
        <v>133</v>
      </c>
      <c r="U1810" s="8" t="s">
        <v>134</v>
      </c>
      <c r="V1810" s="8" t="s">
        <v>131</v>
      </c>
      <c r="W1810" s="8" t="s">
        <v>133</v>
      </c>
      <c r="X1810" s="8">
        <v>56</v>
      </c>
      <c r="Y1810" s="8" t="s">
        <v>12359</v>
      </c>
      <c r="Z1810" s="8">
        <v>20</v>
      </c>
      <c r="AA1810" s="8">
        <v>0</v>
      </c>
      <c r="AB1810" s="9">
        <v>0</v>
      </c>
    </row>
    <row r="1811" spans="1:28" x14ac:dyDescent="0.2">
      <c r="A1811" s="10">
        <v>23933</v>
      </c>
      <c r="B1811" s="11" t="s">
        <v>12471</v>
      </c>
      <c r="C1811" s="11" t="s">
        <v>12472</v>
      </c>
      <c r="D1811" s="11" t="s">
        <v>138</v>
      </c>
      <c r="E1811" s="11"/>
      <c r="F1811" s="11" t="s">
        <v>353</v>
      </c>
      <c r="G1811" s="11" t="s">
        <v>6409</v>
      </c>
      <c r="H1811" s="11" t="s">
        <v>6410</v>
      </c>
      <c r="I1811" s="11" t="s">
        <v>12473</v>
      </c>
      <c r="J1811" s="11" t="s">
        <v>12474</v>
      </c>
      <c r="K1811" s="11" t="s">
        <v>1956</v>
      </c>
      <c r="L1811" s="11" t="s">
        <v>526</v>
      </c>
      <c r="M1811" s="11" t="s">
        <v>12475</v>
      </c>
      <c r="N1811" s="11" t="s">
        <v>128</v>
      </c>
      <c r="O1811" s="11" t="s">
        <v>12476</v>
      </c>
      <c r="P1811" s="11" t="s">
        <v>9921</v>
      </c>
      <c r="Q1811" s="11" t="s">
        <v>150</v>
      </c>
      <c r="R1811" s="11"/>
      <c r="S1811" s="11" t="s">
        <v>71</v>
      </c>
      <c r="T1811" s="11" t="s">
        <v>168</v>
      </c>
      <c r="U1811" s="11" t="s">
        <v>150</v>
      </c>
      <c r="V1811" s="11" t="s">
        <v>168</v>
      </c>
      <c r="W1811" s="11" t="s">
        <v>168</v>
      </c>
      <c r="X1811" s="11">
        <v>56</v>
      </c>
      <c r="Y1811" s="11" t="s">
        <v>12359</v>
      </c>
      <c r="Z1811" s="11">
        <v>20</v>
      </c>
      <c r="AA1811" s="11">
        <v>0</v>
      </c>
      <c r="AB1811" s="12">
        <v>0</v>
      </c>
    </row>
    <row r="1812" spans="1:28" x14ac:dyDescent="0.2">
      <c r="A1812" s="7">
        <v>49693</v>
      </c>
      <c r="B1812" s="8" t="s">
        <v>12477</v>
      </c>
      <c r="C1812" s="8" t="s">
        <v>12478</v>
      </c>
      <c r="D1812" s="8" t="s">
        <v>3134</v>
      </c>
      <c r="E1812" s="8"/>
      <c r="F1812" s="8" t="s">
        <v>12479</v>
      </c>
      <c r="G1812" s="8" t="s">
        <v>190</v>
      </c>
      <c r="H1812" s="8" t="s">
        <v>191</v>
      </c>
      <c r="I1812" s="8" t="s">
        <v>3205</v>
      </c>
      <c r="J1812" s="8" t="s">
        <v>12480</v>
      </c>
      <c r="K1812" s="8" t="s">
        <v>194</v>
      </c>
      <c r="L1812" s="8" t="s">
        <v>163</v>
      </c>
      <c r="M1812" s="8" t="s">
        <v>12481</v>
      </c>
      <c r="N1812" s="8" t="s">
        <v>128</v>
      </c>
      <c r="O1812" s="8" t="s">
        <v>12482</v>
      </c>
      <c r="P1812" s="8"/>
      <c r="Q1812" s="8" t="s">
        <v>740</v>
      </c>
      <c r="R1812" s="8"/>
      <c r="S1812" s="8" t="s">
        <v>3142</v>
      </c>
      <c r="T1812" s="8" t="s">
        <v>1745</v>
      </c>
      <c r="U1812" s="8" t="s">
        <v>134</v>
      </c>
      <c r="V1812" s="8" t="s">
        <v>740</v>
      </c>
      <c r="W1812" s="8" t="s">
        <v>1745</v>
      </c>
      <c r="X1812" s="8">
        <v>56</v>
      </c>
      <c r="Y1812" s="8" t="s">
        <v>12359</v>
      </c>
      <c r="Z1812" s="8">
        <v>20</v>
      </c>
      <c r="AA1812" s="8">
        <v>0</v>
      </c>
      <c r="AB1812" s="9">
        <v>0</v>
      </c>
    </row>
    <row r="1813" spans="1:28" x14ac:dyDescent="0.2">
      <c r="A1813" s="10">
        <v>25160</v>
      </c>
      <c r="B1813" s="11" t="s">
        <v>12483</v>
      </c>
      <c r="C1813" s="11" t="s">
        <v>5800</v>
      </c>
      <c r="D1813" s="11" t="s">
        <v>7037</v>
      </c>
      <c r="E1813" s="11" t="s">
        <v>12484</v>
      </c>
      <c r="F1813" s="11" t="s">
        <v>5803</v>
      </c>
      <c r="G1813" s="11" t="s">
        <v>5804</v>
      </c>
      <c r="H1813" s="11" t="s">
        <v>5805</v>
      </c>
      <c r="I1813" s="11" t="s">
        <v>12485</v>
      </c>
      <c r="J1813" s="11" t="s">
        <v>12486</v>
      </c>
      <c r="K1813" s="11" t="s">
        <v>274</v>
      </c>
      <c r="L1813" s="11" t="s">
        <v>163</v>
      </c>
      <c r="M1813" s="11" t="s">
        <v>12487</v>
      </c>
      <c r="N1813" s="11" t="s">
        <v>128</v>
      </c>
      <c r="O1813" s="11" t="s">
        <v>12488</v>
      </c>
      <c r="P1813" s="11" t="s">
        <v>12489</v>
      </c>
      <c r="Q1813" s="11" t="s">
        <v>740</v>
      </c>
      <c r="R1813" s="11"/>
      <c r="S1813" s="11" t="s">
        <v>5811</v>
      </c>
      <c r="T1813" s="11" t="s">
        <v>741</v>
      </c>
      <c r="U1813" s="11" t="s">
        <v>134</v>
      </c>
      <c r="V1813" s="11" t="s">
        <v>740</v>
      </c>
      <c r="W1813" s="11" t="s">
        <v>741</v>
      </c>
      <c r="X1813" s="11">
        <v>56</v>
      </c>
      <c r="Y1813" s="11" t="s">
        <v>12359</v>
      </c>
      <c r="Z1813" s="11">
        <v>20</v>
      </c>
      <c r="AA1813" s="11">
        <v>0</v>
      </c>
      <c r="AB1813" s="12">
        <v>0</v>
      </c>
    </row>
    <row r="1814" spans="1:28" x14ac:dyDescent="0.2">
      <c r="A1814" s="7">
        <v>22260</v>
      </c>
      <c r="B1814" s="8" t="s">
        <v>12490</v>
      </c>
      <c r="C1814" s="8" t="s">
        <v>457</v>
      </c>
      <c r="D1814" s="8" t="s">
        <v>477</v>
      </c>
      <c r="E1814" s="8" t="s">
        <v>8263</v>
      </c>
      <c r="F1814" s="8" t="s">
        <v>459</v>
      </c>
      <c r="G1814" s="8" t="s">
        <v>141</v>
      </c>
      <c r="H1814" s="8" t="s">
        <v>142</v>
      </c>
      <c r="I1814" s="8" t="s">
        <v>460</v>
      </c>
      <c r="J1814" s="8" t="s">
        <v>479</v>
      </c>
      <c r="K1814" s="8" t="s">
        <v>403</v>
      </c>
      <c r="L1814" s="8" t="s">
        <v>146</v>
      </c>
      <c r="M1814" s="8" t="s">
        <v>12491</v>
      </c>
      <c r="N1814" s="8" t="s">
        <v>128</v>
      </c>
      <c r="O1814" s="8" t="s">
        <v>12492</v>
      </c>
      <c r="P1814" s="8"/>
      <c r="Q1814" s="8" t="s">
        <v>131</v>
      </c>
      <c r="R1814" s="8"/>
      <c r="S1814" s="8" t="s">
        <v>68</v>
      </c>
      <c r="T1814" s="8" t="s">
        <v>983</v>
      </c>
      <c r="U1814" s="8" t="s">
        <v>134</v>
      </c>
      <c r="V1814" s="8" t="s">
        <v>131</v>
      </c>
      <c r="W1814" s="8" t="s">
        <v>983</v>
      </c>
      <c r="X1814" s="8">
        <v>55</v>
      </c>
      <c r="Y1814" s="8" t="s">
        <v>12359</v>
      </c>
      <c r="Z1814" s="8">
        <v>20</v>
      </c>
      <c r="AA1814" s="8">
        <v>0</v>
      </c>
      <c r="AB1814" s="9">
        <v>0</v>
      </c>
    </row>
    <row r="1815" spans="1:28" x14ac:dyDescent="0.2">
      <c r="A1815" s="10">
        <v>23189</v>
      </c>
      <c r="B1815" s="11" t="s">
        <v>12493</v>
      </c>
      <c r="C1815" s="11" t="s">
        <v>1809</v>
      </c>
      <c r="D1815" s="11"/>
      <c r="E1815" s="11" t="s">
        <v>12494</v>
      </c>
      <c r="F1815" s="11" t="s">
        <v>1812</v>
      </c>
      <c r="G1815" s="11" t="s">
        <v>1813</v>
      </c>
      <c r="H1815" s="11" t="s">
        <v>142</v>
      </c>
      <c r="I1815" s="11" t="s">
        <v>1814</v>
      </c>
      <c r="J1815" s="11" t="s">
        <v>1815</v>
      </c>
      <c r="K1815" s="11" t="s">
        <v>974</v>
      </c>
      <c r="L1815" s="11" t="s">
        <v>146</v>
      </c>
      <c r="M1815" s="11" t="s">
        <v>12495</v>
      </c>
      <c r="N1815" s="11" t="s">
        <v>128</v>
      </c>
      <c r="O1815" s="11" t="s">
        <v>12496</v>
      </c>
      <c r="P1815" s="11" t="s">
        <v>12497</v>
      </c>
      <c r="Q1815" s="11" t="s">
        <v>150</v>
      </c>
      <c r="R1815" s="11"/>
      <c r="S1815" s="11" t="s">
        <v>1819</v>
      </c>
      <c r="T1815" s="11" t="s">
        <v>70</v>
      </c>
      <c r="U1815" s="11" t="s">
        <v>150</v>
      </c>
      <c r="V1815" s="11" t="s">
        <v>70</v>
      </c>
      <c r="W1815" s="11" t="s">
        <v>70</v>
      </c>
      <c r="X1815" s="11">
        <v>55</v>
      </c>
      <c r="Y1815" s="11" t="s">
        <v>12359</v>
      </c>
      <c r="Z1815" s="11">
        <v>20</v>
      </c>
      <c r="AA1815" s="11">
        <v>0</v>
      </c>
      <c r="AB1815" s="12">
        <v>0</v>
      </c>
    </row>
    <row r="1816" spans="1:28" x14ac:dyDescent="0.2">
      <c r="A1816" s="7">
        <v>124429</v>
      </c>
      <c r="B1816" s="8" t="s">
        <v>12498</v>
      </c>
      <c r="C1816" s="8" t="s">
        <v>1950</v>
      </c>
      <c r="D1816" s="8" t="s">
        <v>826</v>
      </c>
      <c r="E1816" s="8" t="s">
        <v>12499</v>
      </c>
      <c r="F1816" s="8" t="s">
        <v>353</v>
      </c>
      <c r="G1816" s="8" t="s">
        <v>6741</v>
      </c>
      <c r="H1816" s="8" t="s">
        <v>1953</v>
      </c>
      <c r="I1816" s="8" t="s">
        <v>12500</v>
      </c>
      <c r="J1816" s="8" t="s">
        <v>12501</v>
      </c>
      <c r="K1816" s="8" t="s">
        <v>1956</v>
      </c>
      <c r="L1816" s="8" t="s">
        <v>526</v>
      </c>
      <c r="M1816" s="8" t="s">
        <v>12502</v>
      </c>
      <c r="N1816" s="8" t="s">
        <v>128</v>
      </c>
      <c r="O1816" s="8" t="s">
        <v>12503</v>
      </c>
      <c r="P1816" s="8" t="s">
        <v>9071</v>
      </c>
      <c r="Q1816" s="8" t="s">
        <v>150</v>
      </c>
      <c r="R1816" s="8"/>
      <c r="S1816" s="8" t="s">
        <v>71</v>
      </c>
      <c r="T1816" s="8" t="s">
        <v>168</v>
      </c>
      <c r="U1816" s="8" t="s">
        <v>150</v>
      </c>
      <c r="V1816" s="8" t="s">
        <v>168</v>
      </c>
      <c r="W1816" s="8" t="s">
        <v>168</v>
      </c>
      <c r="X1816" s="8">
        <v>55</v>
      </c>
      <c r="Y1816" s="8" t="s">
        <v>12359</v>
      </c>
      <c r="Z1816" s="8">
        <v>20</v>
      </c>
      <c r="AA1816" s="8">
        <v>0</v>
      </c>
      <c r="AB1816" s="9">
        <v>0</v>
      </c>
    </row>
    <row r="1817" spans="1:28" x14ac:dyDescent="0.2">
      <c r="A1817" s="10">
        <v>24985</v>
      </c>
      <c r="B1817" s="11" t="s">
        <v>12504</v>
      </c>
      <c r="C1817" s="11" t="s">
        <v>12505</v>
      </c>
      <c r="D1817" s="11" t="s">
        <v>5801</v>
      </c>
      <c r="E1817" s="11" t="s">
        <v>281</v>
      </c>
      <c r="F1817" s="11" t="s">
        <v>5803</v>
      </c>
      <c r="G1817" s="11" t="s">
        <v>5804</v>
      </c>
      <c r="H1817" s="11" t="s">
        <v>5805</v>
      </c>
      <c r="I1817" s="11" t="s">
        <v>5806</v>
      </c>
      <c r="J1817" s="11" t="s">
        <v>12392</v>
      </c>
      <c r="K1817" s="11" t="s">
        <v>274</v>
      </c>
      <c r="L1817" s="11" t="s">
        <v>163</v>
      </c>
      <c r="M1817" s="11" t="s">
        <v>12506</v>
      </c>
      <c r="N1817" s="11" t="s">
        <v>128</v>
      </c>
      <c r="O1817" s="11" t="s">
        <v>12507</v>
      </c>
      <c r="P1817" s="11" t="s">
        <v>6562</v>
      </c>
      <c r="Q1817" s="11" t="s">
        <v>150</v>
      </c>
      <c r="R1817" s="11"/>
      <c r="S1817" s="11" t="s">
        <v>5811</v>
      </c>
      <c r="T1817" s="11" t="s">
        <v>1738</v>
      </c>
      <c r="U1817" s="11" t="s">
        <v>150</v>
      </c>
      <c r="V1817" s="11" t="s">
        <v>1738</v>
      </c>
      <c r="W1817" s="11" t="s">
        <v>1738</v>
      </c>
      <c r="X1817" s="11">
        <v>55</v>
      </c>
      <c r="Y1817" s="11" t="s">
        <v>12359</v>
      </c>
      <c r="Z1817" s="11">
        <v>20</v>
      </c>
      <c r="AA1817" s="11">
        <v>0</v>
      </c>
      <c r="AB1817" s="12">
        <v>0</v>
      </c>
    </row>
    <row r="1818" spans="1:28" x14ac:dyDescent="0.2">
      <c r="A1818" s="7">
        <v>46722</v>
      </c>
      <c r="B1818" s="8" t="s">
        <v>12508</v>
      </c>
      <c r="C1818" s="8" t="s">
        <v>1261</v>
      </c>
      <c r="D1818" s="8" t="s">
        <v>1262</v>
      </c>
      <c r="E1818" s="8"/>
      <c r="F1818" s="8" t="s">
        <v>12509</v>
      </c>
      <c r="G1818" s="8" t="s">
        <v>521</v>
      </c>
      <c r="H1818" s="8" t="s">
        <v>522</v>
      </c>
      <c r="I1818" s="8" t="s">
        <v>12510</v>
      </c>
      <c r="J1818" s="8" t="s">
        <v>12511</v>
      </c>
      <c r="K1818" s="8" t="s">
        <v>525</v>
      </c>
      <c r="L1818" s="8" t="s">
        <v>526</v>
      </c>
      <c r="M1818" s="8" t="s">
        <v>12512</v>
      </c>
      <c r="N1818" s="8" t="s">
        <v>128</v>
      </c>
      <c r="O1818" s="8" t="s">
        <v>12513</v>
      </c>
      <c r="P1818" s="8"/>
      <c r="Q1818" s="8" t="s">
        <v>249</v>
      </c>
      <c r="R1818" s="8"/>
      <c r="S1818" s="8" t="s">
        <v>1269</v>
      </c>
      <c r="T1818" s="8" t="s">
        <v>1523</v>
      </c>
      <c r="U1818" s="8" t="s">
        <v>134</v>
      </c>
      <c r="V1818" s="8" t="s">
        <v>249</v>
      </c>
      <c r="W1818" s="8" t="s">
        <v>1523</v>
      </c>
      <c r="X1818" s="8">
        <v>55</v>
      </c>
      <c r="Y1818" s="8" t="s">
        <v>12359</v>
      </c>
      <c r="Z1818" s="8">
        <v>20</v>
      </c>
      <c r="AA1818" s="8">
        <v>0</v>
      </c>
      <c r="AB1818" s="9">
        <v>0</v>
      </c>
    </row>
    <row r="1819" spans="1:28" x14ac:dyDescent="0.2">
      <c r="A1819" s="10">
        <v>21859</v>
      </c>
      <c r="B1819" s="11" t="s">
        <v>12514</v>
      </c>
      <c r="C1819" s="11" t="s">
        <v>2090</v>
      </c>
      <c r="D1819" s="11" t="s">
        <v>2091</v>
      </c>
      <c r="E1819" s="11"/>
      <c r="F1819" s="11" t="s">
        <v>353</v>
      </c>
      <c r="G1819" s="11" t="s">
        <v>2093</v>
      </c>
      <c r="H1819" s="11" t="s">
        <v>142</v>
      </c>
      <c r="I1819" s="11" t="s">
        <v>11635</v>
      </c>
      <c r="J1819" s="11" t="s">
        <v>3439</v>
      </c>
      <c r="K1819" s="11" t="s">
        <v>651</v>
      </c>
      <c r="L1819" s="11" t="s">
        <v>146</v>
      </c>
      <c r="M1819" s="11" t="s">
        <v>12515</v>
      </c>
      <c r="N1819" s="11" t="s">
        <v>128</v>
      </c>
      <c r="O1819" s="11" t="s">
        <v>12516</v>
      </c>
      <c r="P1819" s="11" t="s">
        <v>12517</v>
      </c>
      <c r="Q1819" s="11" t="s">
        <v>131</v>
      </c>
      <c r="R1819" s="11"/>
      <c r="S1819" s="11" t="s">
        <v>2099</v>
      </c>
      <c r="T1819" s="11" t="s">
        <v>133</v>
      </c>
      <c r="U1819" s="11" t="s">
        <v>134</v>
      </c>
      <c r="V1819" s="11" t="s">
        <v>131</v>
      </c>
      <c r="W1819" s="11" t="s">
        <v>133</v>
      </c>
      <c r="X1819" s="11">
        <v>53</v>
      </c>
      <c r="Y1819" s="11" t="s">
        <v>12359</v>
      </c>
      <c r="Z1819" s="11">
        <v>20</v>
      </c>
      <c r="AA1819" s="11">
        <v>0</v>
      </c>
      <c r="AB1819" s="12">
        <v>0</v>
      </c>
    </row>
    <row r="1820" spans="1:28" x14ac:dyDescent="0.2">
      <c r="A1820" s="7">
        <v>25205</v>
      </c>
      <c r="B1820" s="8" t="s">
        <v>12518</v>
      </c>
      <c r="C1820" s="8" t="s">
        <v>12519</v>
      </c>
      <c r="D1820" s="8" t="s">
        <v>4630</v>
      </c>
      <c r="E1820" s="8" t="s">
        <v>12520</v>
      </c>
      <c r="F1820" s="8" t="s">
        <v>12521</v>
      </c>
      <c r="G1820" s="8" t="s">
        <v>6409</v>
      </c>
      <c r="H1820" s="8" t="s">
        <v>6410</v>
      </c>
      <c r="I1820" s="8" t="s">
        <v>12522</v>
      </c>
      <c r="J1820" s="8" t="s">
        <v>12523</v>
      </c>
      <c r="K1820" s="8" t="s">
        <v>1956</v>
      </c>
      <c r="L1820" s="8" t="s">
        <v>526</v>
      </c>
      <c r="M1820" s="8" t="s">
        <v>12524</v>
      </c>
      <c r="N1820" s="8" t="s">
        <v>128</v>
      </c>
      <c r="O1820" s="8" t="s">
        <v>12525</v>
      </c>
      <c r="P1820" s="8" t="s">
        <v>12526</v>
      </c>
      <c r="Q1820" s="8" t="s">
        <v>740</v>
      </c>
      <c r="R1820" s="8"/>
      <c r="S1820" s="8" t="s">
        <v>12527</v>
      </c>
      <c r="T1820" s="8" t="s">
        <v>741</v>
      </c>
      <c r="U1820" s="8" t="s">
        <v>134</v>
      </c>
      <c r="V1820" s="8" t="s">
        <v>740</v>
      </c>
      <c r="W1820" s="8" t="s">
        <v>741</v>
      </c>
      <c r="X1820" s="8">
        <v>53</v>
      </c>
      <c r="Y1820" s="8" t="s">
        <v>12359</v>
      </c>
      <c r="Z1820" s="8">
        <v>20</v>
      </c>
      <c r="AA1820" s="8">
        <v>0</v>
      </c>
      <c r="AB1820" s="9">
        <v>0</v>
      </c>
    </row>
    <row r="1821" spans="1:28" x14ac:dyDescent="0.2">
      <c r="A1821" s="10">
        <v>23063</v>
      </c>
      <c r="B1821" s="11" t="s">
        <v>12528</v>
      </c>
      <c r="C1821" s="11" t="s">
        <v>466</v>
      </c>
      <c r="D1821" s="11" t="s">
        <v>467</v>
      </c>
      <c r="E1821" s="11" t="s">
        <v>12529</v>
      </c>
      <c r="F1821" s="11" t="s">
        <v>468</v>
      </c>
      <c r="G1821" s="11" t="s">
        <v>469</v>
      </c>
      <c r="H1821" s="11" t="s">
        <v>142</v>
      </c>
      <c r="I1821" s="11" t="s">
        <v>470</v>
      </c>
      <c r="J1821" s="11" t="s">
        <v>471</v>
      </c>
      <c r="K1821" s="11" t="s">
        <v>472</v>
      </c>
      <c r="L1821" s="11" t="s">
        <v>146</v>
      </c>
      <c r="M1821" s="11" t="s">
        <v>12530</v>
      </c>
      <c r="N1821" s="11" t="s">
        <v>128</v>
      </c>
      <c r="O1821" s="11" t="s">
        <v>12531</v>
      </c>
      <c r="P1821" s="11" t="s">
        <v>12532</v>
      </c>
      <c r="Q1821" s="11" t="s">
        <v>150</v>
      </c>
      <c r="R1821" s="11"/>
      <c r="S1821" s="11" t="s">
        <v>476</v>
      </c>
      <c r="T1821" s="11" t="s">
        <v>70</v>
      </c>
      <c r="U1821" s="11" t="s">
        <v>150</v>
      </c>
      <c r="V1821" s="11" t="s">
        <v>70</v>
      </c>
      <c r="W1821" s="11" t="s">
        <v>70</v>
      </c>
      <c r="X1821" s="11">
        <v>52</v>
      </c>
      <c r="Y1821" s="11" t="s">
        <v>12359</v>
      </c>
      <c r="Z1821" s="11">
        <v>20</v>
      </c>
      <c r="AA1821" s="11">
        <v>0</v>
      </c>
      <c r="AB1821" s="12">
        <v>0</v>
      </c>
    </row>
    <row r="1822" spans="1:28" x14ac:dyDescent="0.2">
      <c r="A1822" s="7">
        <v>25134</v>
      </c>
      <c r="B1822" s="8" t="s">
        <v>12533</v>
      </c>
      <c r="C1822" s="8" t="s">
        <v>5958</v>
      </c>
      <c r="D1822" s="8" t="s">
        <v>5959</v>
      </c>
      <c r="E1822" s="8" t="s">
        <v>12534</v>
      </c>
      <c r="F1822" s="8" t="s">
        <v>5960</v>
      </c>
      <c r="G1822" s="8" t="s">
        <v>615</v>
      </c>
      <c r="H1822" s="8" t="s">
        <v>616</v>
      </c>
      <c r="I1822" s="8" t="s">
        <v>5961</v>
      </c>
      <c r="J1822" s="8" t="s">
        <v>5962</v>
      </c>
      <c r="K1822" s="8" t="s">
        <v>619</v>
      </c>
      <c r="L1822" s="8" t="s">
        <v>163</v>
      </c>
      <c r="M1822" s="8" t="s">
        <v>12535</v>
      </c>
      <c r="N1822" s="8" t="s">
        <v>128</v>
      </c>
      <c r="O1822" s="8" t="s">
        <v>12536</v>
      </c>
      <c r="P1822" s="8" t="s">
        <v>12537</v>
      </c>
      <c r="Q1822" s="8" t="s">
        <v>740</v>
      </c>
      <c r="R1822" s="8"/>
      <c r="S1822" s="8" t="s">
        <v>5966</v>
      </c>
      <c r="T1822" s="8" t="s">
        <v>741</v>
      </c>
      <c r="U1822" s="8" t="s">
        <v>134</v>
      </c>
      <c r="V1822" s="8" t="s">
        <v>740</v>
      </c>
      <c r="W1822" s="8" t="s">
        <v>741</v>
      </c>
      <c r="X1822" s="8">
        <v>52</v>
      </c>
      <c r="Y1822" s="8" t="s">
        <v>12359</v>
      </c>
      <c r="Z1822" s="8">
        <v>20</v>
      </c>
      <c r="AA1822" s="8">
        <v>0</v>
      </c>
      <c r="AB1822" s="9">
        <v>0</v>
      </c>
    </row>
    <row r="1823" spans="1:28" x14ac:dyDescent="0.2">
      <c r="A1823" s="10">
        <v>21653</v>
      </c>
      <c r="B1823" s="11" t="s">
        <v>12538</v>
      </c>
      <c r="C1823" s="11" t="s">
        <v>12539</v>
      </c>
      <c r="D1823" s="11" t="s">
        <v>7799</v>
      </c>
      <c r="E1823" s="11" t="s">
        <v>12540</v>
      </c>
      <c r="F1823" s="11" t="s">
        <v>353</v>
      </c>
      <c r="G1823" s="11" t="s">
        <v>6565</v>
      </c>
      <c r="H1823" s="11" t="s">
        <v>142</v>
      </c>
      <c r="I1823" s="11" t="s">
        <v>6566</v>
      </c>
      <c r="J1823" s="11" t="s">
        <v>12541</v>
      </c>
      <c r="K1823" s="11" t="s">
        <v>1673</v>
      </c>
      <c r="L1823" s="11" t="s">
        <v>464</v>
      </c>
      <c r="M1823" s="11" t="s">
        <v>12542</v>
      </c>
      <c r="N1823" s="11" t="s">
        <v>128</v>
      </c>
      <c r="O1823" s="11" t="s">
        <v>12543</v>
      </c>
      <c r="P1823" s="11" t="s">
        <v>12544</v>
      </c>
      <c r="Q1823" s="11" t="s">
        <v>150</v>
      </c>
      <c r="R1823" s="11"/>
      <c r="S1823" s="11" t="s">
        <v>71</v>
      </c>
      <c r="T1823" s="11" t="s">
        <v>67</v>
      </c>
      <c r="U1823" s="11" t="s">
        <v>150</v>
      </c>
      <c r="V1823" s="11" t="s">
        <v>152</v>
      </c>
      <c r="W1823" s="11" t="s">
        <v>67</v>
      </c>
      <c r="X1823" s="11">
        <v>51</v>
      </c>
      <c r="Y1823" s="11" t="s">
        <v>12359</v>
      </c>
      <c r="Z1823" s="11">
        <v>20</v>
      </c>
      <c r="AA1823" s="11">
        <v>0</v>
      </c>
      <c r="AB1823" s="12">
        <v>0</v>
      </c>
    </row>
    <row r="1824" spans="1:28" x14ac:dyDescent="0.2">
      <c r="A1824" s="7">
        <v>172195</v>
      </c>
      <c r="B1824" s="8" t="s">
        <v>12545</v>
      </c>
      <c r="C1824" s="8" t="s">
        <v>903</v>
      </c>
      <c r="D1824" s="8" t="s">
        <v>904</v>
      </c>
      <c r="E1824" s="8" t="s">
        <v>12546</v>
      </c>
      <c r="F1824" s="8" t="s">
        <v>906</v>
      </c>
      <c r="G1824" s="8" t="s">
        <v>615</v>
      </c>
      <c r="H1824" s="8" t="s">
        <v>616</v>
      </c>
      <c r="I1824" s="8" t="s">
        <v>907</v>
      </c>
      <c r="J1824" s="8" t="s">
        <v>908</v>
      </c>
      <c r="K1824" s="8" t="s">
        <v>619</v>
      </c>
      <c r="L1824" s="8" t="s">
        <v>163</v>
      </c>
      <c r="M1824" s="8" t="s">
        <v>12547</v>
      </c>
      <c r="N1824" s="8" t="s">
        <v>128</v>
      </c>
      <c r="O1824" s="8" t="s">
        <v>12548</v>
      </c>
      <c r="P1824" s="8"/>
      <c r="Q1824" s="8" t="s">
        <v>131</v>
      </c>
      <c r="R1824" s="8"/>
      <c r="S1824" s="8" t="s">
        <v>912</v>
      </c>
      <c r="T1824" s="8" t="s">
        <v>983</v>
      </c>
      <c r="U1824" s="8" t="s">
        <v>134</v>
      </c>
      <c r="V1824" s="8" t="s">
        <v>131</v>
      </c>
      <c r="W1824" s="8" t="s">
        <v>983</v>
      </c>
      <c r="X1824" s="8">
        <v>51</v>
      </c>
      <c r="Y1824" s="8" t="s">
        <v>12359</v>
      </c>
      <c r="Z1824" s="8">
        <v>20</v>
      </c>
      <c r="AA1824" s="8">
        <v>0</v>
      </c>
      <c r="AB1824" s="9">
        <v>0</v>
      </c>
    </row>
    <row r="1825" spans="1:28" x14ac:dyDescent="0.2">
      <c r="A1825" s="10">
        <v>105817</v>
      </c>
      <c r="B1825" s="11" t="s">
        <v>12549</v>
      </c>
      <c r="C1825" s="11" t="s">
        <v>10488</v>
      </c>
      <c r="D1825" s="11" t="s">
        <v>12353</v>
      </c>
      <c r="E1825" s="11"/>
      <c r="F1825" s="11" t="s">
        <v>10069</v>
      </c>
      <c r="G1825" s="11" t="s">
        <v>12550</v>
      </c>
      <c r="H1825" s="11" t="s">
        <v>142</v>
      </c>
      <c r="I1825" s="11" t="s">
        <v>12551</v>
      </c>
      <c r="J1825" s="11" t="s">
        <v>12552</v>
      </c>
      <c r="K1825" s="11" t="s">
        <v>991</v>
      </c>
      <c r="L1825" s="11" t="s">
        <v>146</v>
      </c>
      <c r="M1825" s="11" t="s">
        <v>12553</v>
      </c>
      <c r="N1825" s="11" t="s">
        <v>128</v>
      </c>
      <c r="O1825" s="11" t="s">
        <v>12554</v>
      </c>
      <c r="P1825" s="11"/>
      <c r="Q1825" s="11" t="s">
        <v>131</v>
      </c>
      <c r="R1825" s="11"/>
      <c r="S1825" s="11" t="s">
        <v>12358</v>
      </c>
      <c r="T1825" s="11" t="s">
        <v>983</v>
      </c>
      <c r="U1825" s="11" t="s">
        <v>134</v>
      </c>
      <c r="V1825" s="11" t="s">
        <v>131</v>
      </c>
      <c r="W1825" s="11" t="s">
        <v>983</v>
      </c>
      <c r="X1825" s="11">
        <v>51</v>
      </c>
      <c r="Y1825" s="11" t="s">
        <v>12359</v>
      </c>
      <c r="Z1825" s="11">
        <v>20</v>
      </c>
      <c r="AA1825" s="11">
        <v>0</v>
      </c>
      <c r="AB1825" s="12">
        <v>0</v>
      </c>
    </row>
    <row r="1826" spans="1:28" x14ac:dyDescent="0.2">
      <c r="A1826" s="7">
        <v>26655</v>
      </c>
      <c r="B1826" s="8" t="s">
        <v>12555</v>
      </c>
      <c r="C1826" s="8" t="s">
        <v>12556</v>
      </c>
      <c r="D1826" s="8" t="s">
        <v>4630</v>
      </c>
      <c r="E1826" s="8"/>
      <c r="F1826" s="8" t="s">
        <v>12557</v>
      </c>
      <c r="G1826" s="8" t="s">
        <v>4270</v>
      </c>
      <c r="H1826" s="8" t="s">
        <v>4271</v>
      </c>
      <c r="I1826" s="8" t="s">
        <v>8436</v>
      </c>
      <c r="J1826" s="8" t="s">
        <v>12558</v>
      </c>
      <c r="K1826" s="8" t="s">
        <v>619</v>
      </c>
      <c r="L1826" s="8" t="s">
        <v>163</v>
      </c>
      <c r="M1826" s="8" t="s">
        <v>12559</v>
      </c>
      <c r="N1826" s="8" t="s">
        <v>128</v>
      </c>
      <c r="O1826" s="8" t="s">
        <v>12560</v>
      </c>
      <c r="P1826" s="8" t="s">
        <v>12561</v>
      </c>
      <c r="Q1826" s="8" t="s">
        <v>131</v>
      </c>
      <c r="R1826" s="8"/>
      <c r="S1826" s="8" t="s">
        <v>8441</v>
      </c>
      <c r="T1826" s="8" t="s">
        <v>133</v>
      </c>
      <c r="U1826" s="8" t="s">
        <v>134</v>
      </c>
      <c r="V1826" s="8" t="s">
        <v>131</v>
      </c>
      <c r="W1826" s="8" t="s">
        <v>133</v>
      </c>
      <c r="X1826" s="8">
        <v>51</v>
      </c>
      <c r="Y1826" s="8" t="s">
        <v>12359</v>
      </c>
      <c r="Z1826" s="8">
        <v>20</v>
      </c>
      <c r="AA1826" s="8">
        <v>0</v>
      </c>
      <c r="AB1826" s="9">
        <v>0</v>
      </c>
    </row>
    <row r="1827" spans="1:28" x14ac:dyDescent="0.2">
      <c r="A1827" s="10">
        <v>22947</v>
      </c>
      <c r="B1827" s="11" t="s">
        <v>12562</v>
      </c>
      <c r="C1827" s="11" t="s">
        <v>953</v>
      </c>
      <c r="D1827" s="11" t="s">
        <v>954</v>
      </c>
      <c r="E1827" s="11" t="s">
        <v>12563</v>
      </c>
      <c r="F1827" s="11" t="s">
        <v>956</v>
      </c>
      <c r="G1827" s="11" t="s">
        <v>776</v>
      </c>
      <c r="H1827" s="11" t="s">
        <v>142</v>
      </c>
      <c r="I1827" s="11" t="s">
        <v>6717</v>
      </c>
      <c r="J1827" s="11" t="s">
        <v>958</v>
      </c>
      <c r="K1827" s="11" t="s">
        <v>779</v>
      </c>
      <c r="L1827" s="11" t="s">
        <v>464</v>
      </c>
      <c r="M1827" s="11" t="s">
        <v>12564</v>
      </c>
      <c r="N1827" s="11" t="s">
        <v>128</v>
      </c>
      <c r="O1827" s="11" t="s">
        <v>12565</v>
      </c>
      <c r="P1827" s="11" t="s">
        <v>12566</v>
      </c>
      <c r="Q1827" s="11" t="s">
        <v>150</v>
      </c>
      <c r="R1827" s="11"/>
      <c r="S1827" s="11" t="s">
        <v>962</v>
      </c>
      <c r="T1827" s="11" t="s">
        <v>70</v>
      </c>
      <c r="U1827" s="11" t="s">
        <v>150</v>
      </c>
      <c r="V1827" s="11" t="s">
        <v>70</v>
      </c>
      <c r="W1827" s="11" t="s">
        <v>70</v>
      </c>
      <c r="X1827" s="11">
        <v>51</v>
      </c>
      <c r="Y1827" s="11" t="s">
        <v>12359</v>
      </c>
      <c r="Z1827" s="11">
        <v>20</v>
      </c>
      <c r="AA1827" s="11">
        <v>0</v>
      </c>
      <c r="AB1827" s="12">
        <v>0</v>
      </c>
    </row>
    <row r="1828" spans="1:28" x14ac:dyDescent="0.2">
      <c r="A1828" s="7">
        <v>93146</v>
      </c>
      <c r="B1828" s="8" t="s">
        <v>12567</v>
      </c>
      <c r="C1828" s="8" t="s">
        <v>4844</v>
      </c>
      <c r="D1828" s="8" t="s">
        <v>4351</v>
      </c>
      <c r="E1828" s="8"/>
      <c r="F1828" s="8" t="s">
        <v>12568</v>
      </c>
      <c r="G1828" s="8" t="s">
        <v>12550</v>
      </c>
      <c r="H1828" s="8" t="s">
        <v>142</v>
      </c>
      <c r="I1828" s="8" t="s">
        <v>8276</v>
      </c>
      <c r="J1828" s="8" t="s">
        <v>8277</v>
      </c>
      <c r="K1828" s="8" t="s">
        <v>584</v>
      </c>
      <c r="L1828" s="8" t="s">
        <v>146</v>
      </c>
      <c r="M1828" s="8" t="s">
        <v>12569</v>
      </c>
      <c r="N1828" s="8" t="s">
        <v>128</v>
      </c>
      <c r="O1828" s="8" t="s">
        <v>12570</v>
      </c>
      <c r="P1828" s="8" t="s">
        <v>12571</v>
      </c>
      <c r="Q1828" s="8" t="s">
        <v>150</v>
      </c>
      <c r="R1828" s="8"/>
      <c r="S1828" s="8" t="s">
        <v>8281</v>
      </c>
      <c r="T1828" s="8" t="s">
        <v>168</v>
      </c>
      <c r="U1828" s="8" t="s">
        <v>150</v>
      </c>
      <c r="V1828" s="8" t="s">
        <v>168</v>
      </c>
      <c r="W1828" s="8" t="s">
        <v>168</v>
      </c>
      <c r="X1828" s="8">
        <v>51</v>
      </c>
      <c r="Y1828" s="8" t="s">
        <v>12359</v>
      </c>
      <c r="Z1828" s="8">
        <v>20</v>
      </c>
      <c r="AA1828" s="8">
        <v>0</v>
      </c>
      <c r="AB1828" s="9">
        <v>0</v>
      </c>
    </row>
    <row r="1829" spans="1:28" x14ac:dyDescent="0.2">
      <c r="A1829" s="10">
        <v>25553</v>
      </c>
      <c r="B1829" s="11" t="s">
        <v>12572</v>
      </c>
      <c r="C1829" s="11" t="s">
        <v>11280</v>
      </c>
      <c r="D1829" s="11" t="s">
        <v>5801</v>
      </c>
      <c r="E1829" s="11" t="s">
        <v>281</v>
      </c>
      <c r="F1829" s="11" t="s">
        <v>5803</v>
      </c>
      <c r="G1829" s="11" t="s">
        <v>5804</v>
      </c>
      <c r="H1829" s="11" t="s">
        <v>5805</v>
      </c>
      <c r="I1829" s="11" t="s">
        <v>5806</v>
      </c>
      <c r="J1829" s="11" t="s">
        <v>12392</v>
      </c>
      <c r="K1829" s="11" t="s">
        <v>274</v>
      </c>
      <c r="L1829" s="11" t="s">
        <v>163</v>
      </c>
      <c r="M1829" s="11" t="s">
        <v>12573</v>
      </c>
      <c r="N1829" s="11" t="s">
        <v>128</v>
      </c>
      <c r="O1829" s="11" t="s">
        <v>12574</v>
      </c>
      <c r="P1829" s="11" t="s">
        <v>12575</v>
      </c>
      <c r="Q1829" s="11" t="s">
        <v>249</v>
      </c>
      <c r="R1829" s="11"/>
      <c r="S1829" s="11" t="s">
        <v>5811</v>
      </c>
      <c r="T1829" s="11" t="s">
        <v>250</v>
      </c>
      <c r="U1829" s="11" t="s">
        <v>134</v>
      </c>
      <c r="V1829" s="11" t="s">
        <v>249</v>
      </c>
      <c r="W1829" s="11" t="s">
        <v>250</v>
      </c>
      <c r="X1829" s="11">
        <v>51</v>
      </c>
      <c r="Y1829" s="11" t="s">
        <v>12359</v>
      </c>
      <c r="Z1829" s="11">
        <v>20</v>
      </c>
      <c r="AA1829" s="11">
        <v>0</v>
      </c>
      <c r="AB1829" s="12">
        <v>0</v>
      </c>
    </row>
    <row r="1830" spans="1:28" x14ac:dyDescent="0.2">
      <c r="A1830" s="7">
        <v>21446</v>
      </c>
      <c r="B1830" s="8" t="s">
        <v>12576</v>
      </c>
      <c r="C1830" s="8" t="s">
        <v>4844</v>
      </c>
      <c r="D1830" s="8" t="s">
        <v>4351</v>
      </c>
      <c r="E1830" s="8" t="s">
        <v>12577</v>
      </c>
      <c r="F1830" s="8" t="s">
        <v>8275</v>
      </c>
      <c r="G1830" s="8" t="s">
        <v>141</v>
      </c>
      <c r="H1830" s="8" t="s">
        <v>142</v>
      </c>
      <c r="I1830" s="8" t="s">
        <v>8276</v>
      </c>
      <c r="J1830" s="8" t="s">
        <v>8277</v>
      </c>
      <c r="K1830" s="8" t="s">
        <v>584</v>
      </c>
      <c r="L1830" s="8" t="s">
        <v>146</v>
      </c>
      <c r="M1830" s="8" t="s">
        <v>12578</v>
      </c>
      <c r="N1830" s="8" t="s">
        <v>128</v>
      </c>
      <c r="O1830" s="8" t="s">
        <v>12579</v>
      </c>
      <c r="P1830" s="8" t="s">
        <v>12580</v>
      </c>
      <c r="Q1830" s="8" t="s">
        <v>150</v>
      </c>
      <c r="R1830" s="8"/>
      <c r="S1830" s="8" t="s">
        <v>8281</v>
      </c>
      <c r="T1830" s="8" t="s">
        <v>67</v>
      </c>
      <c r="U1830" s="8" t="s">
        <v>150</v>
      </c>
      <c r="V1830" s="8" t="s">
        <v>152</v>
      </c>
      <c r="W1830" s="8" t="s">
        <v>67</v>
      </c>
      <c r="X1830" s="8">
        <v>50</v>
      </c>
      <c r="Y1830" s="8" t="s">
        <v>12359</v>
      </c>
      <c r="Z1830" s="8">
        <v>20</v>
      </c>
      <c r="AA1830" s="8">
        <v>0</v>
      </c>
      <c r="AB1830" s="9">
        <v>0</v>
      </c>
    </row>
    <row r="1831" spans="1:28" x14ac:dyDescent="0.2">
      <c r="A1831" s="10">
        <v>23770</v>
      </c>
      <c r="B1831" s="11" t="s">
        <v>12581</v>
      </c>
      <c r="C1831" s="11" t="s">
        <v>12582</v>
      </c>
      <c r="D1831" s="11" t="s">
        <v>10457</v>
      </c>
      <c r="E1831" s="11"/>
      <c r="F1831" s="11" t="s">
        <v>353</v>
      </c>
      <c r="G1831" s="11" t="s">
        <v>6565</v>
      </c>
      <c r="H1831" s="11" t="s">
        <v>142</v>
      </c>
      <c r="I1831" s="11" t="s">
        <v>12583</v>
      </c>
      <c r="J1831" s="11" t="s">
        <v>12584</v>
      </c>
      <c r="K1831" s="11" t="s">
        <v>1673</v>
      </c>
      <c r="L1831" s="11" t="s">
        <v>464</v>
      </c>
      <c r="M1831" s="11" t="s">
        <v>12585</v>
      </c>
      <c r="N1831" s="11" t="s">
        <v>128</v>
      </c>
      <c r="O1831" s="11" t="s">
        <v>12586</v>
      </c>
      <c r="P1831" s="11" t="s">
        <v>7373</v>
      </c>
      <c r="Q1831" s="11" t="s">
        <v>150</v>
      </c>
      <c r="R1831" s="11"/>
      <c r="S1831" s="11" t="s">
        <v>71</v>
      </c>
      <c r="T1831" s="11" t="s">
        <v>168</v>
      </c>
      <c r="U1831" s="11" t="s">
        <v>150</v>
      </c>
      <c r="V1831" s="11" t="s">
        <v>168</v>
      </c>
      <c r="W1831" s="11" t="s">
        <v>168</v>
      </c>
      <c r="X1831" s="11">
        <v>50</v>
      </c>
      <c r="Y1831" s="11" t="s">
        <v>12359</v>
      </c>
      <c r="Z1831" s="11">
        <v>20</v>
      </c>
      <c r="AA1831" s="11">
        <v>0</v>
      </c>
      <c r="AB1831" s="12">
        <v>0</v>
      </c>
    </row>
    <row r="1832" spans="1:28" x14ac:dyDescent="0.2">
      <c r="A1832" s="7">
        <v>25499</v>
      </c>
      <c r="B1832" s="8" t="s">
        <v>12587</v>
      </c>
      <c r="C1832" s="8" t="s">
        <v>6904</v>
      </c>
      <c r="D1832" s="8" t="s">
        <v>4623</v>
      </c>
      <c r="E1832" s="8"/>
      <c r="F1832" s="8" t="s">
        <v>12588</v>
      </c>
      <c r="G1832" s="8" t="s">
        <v>141</v>
      </c>
      <c r="H1832" s="8" t="s">
        <v>142</v>
      </c>
      <c r="I1832" s="8" t="s">
        <v>12589</v>
      </c>
      <c r="J1832" s="8" t="s">
        <v>12590</v>
      </c>
      <c r="K1832" s="8" t="s">
        <v>991</v>
      </c>
      <c r="L1832" s="8" t="s">
        <v>146</v>
      </c>
      <c r="M1832" s="8" t="s">
        <v>12591</v>
      </c>
      <c r="N1832" s="8" t="s">
        <v>128</v>
      </c>
      <c r="O1832" s="8" t="s">
        <v>12592</v>
      </c>
      <c r="P1832" s="8" t="s">
        <v>12593</v>
      </c>
      <c r="Q1832" s="8" t="s">
        <v>249</v>
      </c>
      <c r="R1832" s="8"/>
      <c r="S1832" s="8" t="s">
        <v>6911</v>
      </c>
      <c r="T1832" s="8" t="s">
        <v>250</v>
      </c>
      <c r="U1832" s="8" t="s">
        <v>134</v>
      </c>
      <c r="V1832" s="8" t="s">
        <v>249</v>
      </c>
      <c r="W1832" s="8" t="s">
        <v>250</v>
      </c>
      <c r="X1832" s="8">
        <v>50</v>
      </c>
      <c r="Y1832" s="8" t="s">
        <v>12359</v>
      </c>
      <c r="Z1832" s="8">
        <v>20</v>
      </c>
      <c r="AA1832" s="8">
        <v>0</v>
      </c>
      <c r="AB1832" s="9">
        <v>0</v>
      </c>
    </row>
    <row r="1833" spans="1:28" x14ac:dyDescent="0.2">
      <c r="A1833" s="10">
        <v>25468</v>
      </c>
      <c r="B1833" s="11" t="s">
        <v>12594</v>
      </c>
      <c r="C1833" s="11" t="s">
        <v>12519</v>
      </c>
      <c r="D1833" s="11" t="s">
        <v>4630</v>
      </c>
      <c r="E1833" s="11"/>
      <c r="F1833" s="11" t="s">
        <v>12595</v>
      </c>
      <c r="G1833" s="11" t="s">
        <v>6409</v>
      </c>
      <c r="H1833" s="11" t="s">
        <v>6410</v>
      </c>
      <c r="I1833" s="11" t="s">
        <v>12522</v>
      </c>
      <c r="J1833" s="11" t="s">
        <v>12596</v>
      </c>
      <c r="K1833" s="11" t="s">
        <v>1956</v>
      </c>
      <c r="L1833" s="11" t="s">
        <v>526</v>
      </c>
      <c r="M1833" s="11" t="s">
        <v>12597</v>
      </c>
      <c r="N1833" s="11" t="s">
        <v>128</v>
      </c>
      <c r="O1833" s="11" t="s">
        <v>12598</v>
      </c>
      <c r="P1833" s="11" t="s">
        <v>12599</v>
      </c>
      <c r="Q1833" s="11" t="s">
        <v>249</v>
      </c>
      <c r="R1833" s="11"/>
      <c r="S1833" s="11" t="s">
        <v>12527</v>
      </c>
      <c r="T1833" s="11" t="s">
        <v>250</v>
      </c>
      <c r="U1833" s="11" t="s">
        <v>134</v>
      </c>
      <c r="V1833" s="11" t="s">
        <v>249</v>
      </c>
      <c r="W1833" s="11" t="s">
        <v>250</v>
      </c>
      <c r="X1833" s="11">
        <v>49</v>
      </c>
      <c r="Y1833" s="11" t="s">
        <v>12359</v>
      </c>
      <c r="Z1833" s="11">
        <v>20</v>
      </c>
      <c r="AA1833" s="11">
        <v>0</v>
      </c>
      <c r="AB1833" s="12">
        <v>0</v>
      </c>
    </row>
    <row r="1834" spans="1:28" x14ac:dyDescent="0.2">
      <c r="A1834" s="7">
        <v>23120</v>
      </c>
      <c r="B1834" s="8" t="s">
        <v>12600</v>
      </c>
      <c r="C1834" s="8" t="s">
        <v>3025</v>
      </c>
      <c r="D1834" s="8" t="s">
        <v>2557</v>
      </c>
      <c r="E1834" s="8" t="s">
        <v>12601</v>
      </c>
      <c r="F1834" s="8" t="s">
        <v>2911</v>
      </c>
      <c r="G1834" s="8" t="s">
        <v>1952</v>
      </c>
      <c r="H1834" s="8" t="s">
        <v>1953</v>
      </c>
      <c r="I1834" s="8" t="s">
        <v>2559</v>
      </c>
      <c r="J1834" s="8" t="s">
        <v>3026</v>
      </c>
      <c r="K1834" s="8" t="s">
        <v>1956</v>
      </c>
      <c r="L1834" s="8" t="s">
        <v>526</v>
      </c>
      <c r="M1834" s="8" t="s">
        <v>12602</v>
      </c>
      <c r="N1834" s="8" t="s">
        <v>128</v>
      </c>
      <c r="O1834" s="8" t="s">
        <v>12603</v>
      </c>
      <c r="P1834" s="8" t="s">
        <v>12604</v>
      </c>
      <c r="Q1834" s="8" t="s">
        <v>150</v>
      </c>
      <c r="R1834" s="8"/>
      <c r="S1834" s="8" t="s">
        <v>2564</v>
      </c>
      <c r="T1834" s="8" t="s">
        <v>70</v>
      </c>
      <c r="U1834" s="8" t="s">
        <v>150</v>
      </c>
      <c r="V1834" s="8" t="s">
        <v>70</v>
      </c>
      <c r="W1834" s="8" t="s">
        <v>70</v>
      </c>
      <c r="X1834" s="8">
        <v>48</v>
      </c>
      <c r="Y1834" s="8" t="s">
        <v>12359</v>
      </c>
      <c r="Z1834" s="8">
        <v>20</v>
      </c>
      <c r="AA1834" s="8">
        <v>0</v>
      </c>
      <c r="AB1834" s="9">
        <v>0</v>
      </c>
    </row>
    <row r="1835" spans="1:28" x14ac:dyDescent="0.2">
      <c r="A1835" s="10">
        <v>20712</v>
      </c>
      <c r="B1835" s="11" t="s">
        <v>12605</v>
      </c>
      <c r="C1835" s="11" t="s">
        <v>552</v>
      </c>
      <c r="D1835" s="11" t="s">
        <v>789</v>
      </c>
      <c r="E1835" s="11" t="s">
        <v>12606</v>
      </c>
      <c r="F1835" s="11" t="s">
        <v>1479</v>
      </c>
      <c r="G1835" s="11" t="s">
        <v>556</v>
      </c>
      <c r="H1835" s="11" t="s">
        <v>557</v>
      </c>
      <c r="I1835" s="11" t="s">
        <v>2578</v>
      </c>
      <c r="J1835" s="11" t="s">
        <v>2579</v>
      </c>
      <c r="K1835" s="11" t="s">
        <v>560</v>
      </c>
      <c r="L1835" s="11" t="s">
        <v>229</v>
      </c>
      <c r="M1835" s="11" t="s">
        <v>12607</v>
      </c>
      <c r="N1835" s="11" t="s">
        <v>128</v>
      </c>
      <c r="O1835" s="11" t="s">
        <v>12608</v>
      </c>
      <c r="P1835" s="11" t="s">
        <v>12609</v>
      </c>
      <c r="Q1835" s="11" t="s">
        <v>740</v>
      </c>
      <c r="R1835" s="11"/>
      <c r="S1835" s="11" t="s">
        <v>796</v>
      </c>
      <c r="T1835" s="11" t="s">
        <v>1745</v>
      </c>
      <c r="U1835" s="11" t="s">
        <v>134</v>
      </c>
      <c r="V1835" s="11" t="s">
        <v>740</v>
      </c>
      <c r="W1835" s="11" t="s">
        <v>1745</v>
      </c>
      <c r="X1835" s="11">
        <v>48</v>
      </c>
      <c r="Y1835" s="11" t="s">
        <v>12359</v>
      </c>
      <c r="Z1835" s="11">
        <v>20</v>
      </c>
      <c r="AA1835" s="11">
        <v>0</v>
      </c>
      <c r="AB1835" s="12">
        <v>0</v>
      </c>
    </row>
    <row r="1836" spans="1:28" x14ac:dyDescent="0.2">
      <c r="A1836" s="7">
        <v>31210</v>
      </c>
      <c r="B1836" s="8" t="s">
        <v>12610</v>
      </c>
      <c r="C1836" s="8" t="s">
        <v>8433</v>
      </c>
      <c r="D1836" s="8" t="s">
        <v>4630</v>
      </c>
      <c r="E1836" s="8"/>
      <c r="F1836" s="8" t="s">
        <v>11701</v>
      </c>
      <c r="G1836" s="8" t="s">
        <v>4270</v>
      </c>
      <c r="H1836" s="8" t="s">
        <v>4271</v>
      </c>
      <c r="I1836" s="8" t="s">
        <v>8436</v>
      </c>
      <c r="J1836" s="8" t="s">
        <v>11702</v>
      </c>
      <c r="K1836" s="8" t="s">
        <v>619</v>
      </c>
      <c r="L1836" s="8" t="s">
        <v>163</v>
      </c>
      <c r="M1836" s="8" t="s">
        <v>12611</v>
      </c>
      <c r="N1836" s="8" t="s">
        <v>128</v>
      </c>
      <c r="O1836" s="8" t="s">
        <v>12612</v>
      </c>
      <c r="P1836" s="8" t="s">
        <v>12613</v>
      </c>
      <c r="Q1836" s="8" t="s">
        <v>740</v>
      </c>
      <c r="R1836" s="8"/>
      <c r="S1836" s="8" t="s">
        <v>8441</v>
      </c>
      <c r="T1836" s="8" t="s">
        <v>741</v>
      </c>
      <c r="U1836" s="8" t="s">
        <v>134</v>
      </c>
      <c r="V1836" s="8" t="s">
        <v>740</v>
      </c>
      <c r="W1836" s="8" t="s">
        <v>741</v>
      </c>
      <c r="X1836" s="8">
        <v>48</v>
      </c>
      <c r="Y1836" s="8" t="s">
        <v>12359</v>
      </c>
      <c r="Z1836" s="8">
        <v>20</v>
      </c>
      <c r="AA1836" s="8">
        <v>0</v>
      </c>
      <c r="AB1836" s="9">
        <v>0</v>
      </c>
    </row>
    <row r="1837" spans="1:28" x14ac:dyDescent="0.2">
      <c r="A1837" s="10">
        <v>23340</v>
      </c>
      <c r="B1837" s="11" t="s">
        <v>12614</v>
      </c>
      <c r="C1837" s="11" t="s">
        <v>6482</v>
      </c>
      <c r="D1837" s="11" t="s">
        <v>12615</v>
      </c>
      <c r="E1837" s="11" t="s">
        <v>702</v>
      </c>
      <c r="F1837" s="11" t="s">
        <v>630</v>
      </c>
      <c r="G1837" s="11" t="s">
        <v>141</v>
      </c>
      <c r="H1837" s="11" t="s">
        <v>142</v>
      </c>
      <c r="I1837" s="11" t="s">
        <v>12616</v>
      </c>
      <c r="J1837" s="11" t="s">
        <v>12617</v>
      </c>
      <c r="K1837" s="11" t="s">
        <v>991</v>
      </c>
      <c r="L1837" s="11" t="s">
        <v>146</v>
      </c>
      <c r="M1837" s="11" t="s">
        <v>12618</v>
      </c>
      <c r="N1837" s="11" t="s">
        <v>128</v>
      </c>
      <c r="O1837" s="11" t="s">
        <v>12619</v>
      </c>
      <c r="P1837" s="11" t="s">
        <v>12620</v>
      </c>
      <c r="Q1837" s="11" t="s">
        <v>150</v>
      </c>
      <c r="R1837" s="11"/>
      <c r="S1837" s="11" t="s">
        <v>71</v>
      </c>
      <c r="T1837" s="11" t="s">
        <v>70</v>
      </c>
      <c r="U1837" s="11" t="s">
        <v>150</v>
      </c>
      <c r="V1837" s="11" t="s">
        <v>70</v>
      </c>
      <c r="W1837" s="11" t="s">
        <v>70</v>
      </c>
      <c r="X1837" s="11">
        <v>47</v>
      </c>
      <c r="Y1837" s="11" t="s">
        <v>12359</v>
      </c>
      <c r="Z1837" s="11">
        <v>20</v>
      </c>
      <c r="AA1837" s="11">
        <v>0</v>
      </c>
      <c r="AB1837" s="12">
        <v>0</v>
      </c>
    </row>
    <row r="1838" spans="1:28" x14ac:dyDescent="0.2">
      <c r="A1838" s="7">
        <v>22991</v>
      </c>
      <c r="B1838" s="8" t="s">
        <v>12621</v>
      </c>
      <c r="C1838" s="8" t="s">
        <v>2090</v>
      </c>
      <c r="D1838" s="8" t="s">
        <v>2091</v>
      </c>
      <c r="E1838" s="8" t="s">
        <v>12622</v>
      </c>
      <c r="F1838" s="8" t="s">
        <v>353</v>
      </c>
      <c r="G1838" s="8" t="s">
        <v>2093</v>
      </c>
      <c r="H1838" s="8" t="s">
        <v>142</v>
      </c>
      <c r="I1838" s="8" t="s">
        <v>2413</v>
      </c>
      <c r="J1838" s="8" t="s">
        <v>2095</v>
      </c>
      <c r="K1838" s="8" t="s">
        <v>651</v>
      </c>
      <c r="L1838" s="8" t="s">
        <v>146</v>
      </c>
      <c r="M1838" s="8" t="s">
        <v>12623</v>
      </c>
      <c r="N1838" s="8" t="s">
        <v>128</v>
      </c>
      <c r="O1838" s="8" t="s">
        <v>12624</v>
      </c>
      <c r="P1838" s="8" t="s">
        <v>12625</v>
      </c>
      <c r="Q1838" s="8" t="s">
        <v>150</v>
      </c>
      <c r="R1838" s="8"/>
      <c r="S1838" s="8" t="s">
        <v>2099</v>
      </c>
      <c r="T1838" s="8" t="s">
        <v>70</v>
      </c>
      <c r="U1838" s="8" t="s">
        <v>150</v>
      </c>
      <c r="V1838" s="8" t="s">
        <v>70</v>
      </c>
      <c r="W1838" s="8" t="s">
        <v>70</v>
      </c>
      <c r="X1838" s="8">
        <v>47</v>
      </c>
      <c r="Y1838" s="8" t="s">
        <v>12359</v>
      </c>
      <c r="Z1838" s="8">
        <v>20</v>
      </c>
      <c r="AA1838" s="8">
        <v>0</v>
      </c>
      <c r="AB1838" s="9">
        <v>0</v>
      </c>
    </row>
    <row r="1839" spans="1:28" x14ac:dyDescent="0.2">
      <c r="A1839" s="10">
        <v>23192</v>
      </c>
      <c r="B1839" s="11" t="s">
        <v>12626</v>
      </c>
      <c r="C1839" s="11" t="s">
        <v>396</v>
      </c>
      <c r="D1839" s="11" t="s">
        <v>397</v>
      </c>
      <c r="E1839" s="11" t="s">
        <v>12627</v>
      </c>
      <c r="F1839" s="11" t="s">
        <v>399</v>
      </c>
      <c r="G1839" s="11" t="s">
        <v>400</v>
      </c>
      <c r="H1839" s="11" t="s">
        <v>142</v>
      </c>
      <c r="I1839" s="11" t="s">
        <v>401</v>
      </c>
      <c r="J1839" s="11" t="s">
        <v>402</v>
      </c>
      <c r="K1839" s="11" t="s">
        <v>403</v>
      </c>
      <c r="L1839" s="11" t="s">
        <v>146</v>
      </c>
      <c r="M1839" s="11" t="s">
        <v>12628</v>
      </c>
      <c r="N1839" s="11" t="s">
        <v>128</v>
      </c>
      <c r="O1839" s="11" t="s">
        <v>12629</v>
      </c>
      <c r="P1839" s="11" t="s">
        <v>4539</v>
      </c>
      <c r="Q1839" s="11" t="s">
        <v>150</v>
      </c>
      <c r="R1839" s="11"/>
      <c r="S1839" s="11" t="s">
        <v>407</v>
      </c>
      <c r="T1839" s="11" t="s">
        <v>70</v>
      </c>
      <c r="U1839" s="11" t="s">
        <v>150</v>
      </c>
      <c r="V1839" s="11" t="s">
        <v>70</v>
      </c>
      <c r="W1839" s="11" t="s">
        <v>70</v>
      </c>
      <c r="X1839" s="11">
        <v>47</v>
      </c>
      <c r="Y1839" s="11" t="s">
        <v>12359</v>
      </c>
      <c r="Z1839" s="11">
        <v>20</v>
      </c>
      <c r="AA1839" s="11">
        <v>0</v>
      </c>
      <c r="AB1839" s="12">
        <v>0</v>
      </c>
    </row>
    <row r="1840" spans="1:28" x14ac:dyDescent="0.2">
      <c r="A1840" s="7">
        <v>23721</v>
      </c>
      <c r="B1840" s="8" t="s">
        <v>12630</v>
      </c>
      <c r="C1840" s="8" t="s">
        <v>3187</v>
      </c>
      <c r="D1840" s="8" t="s">
        <v>12631</v>
      </c>
      <c r="E1840" s="8" t="s">
        <v>12632</v>
      </c>
      <c r="F1840" s="8" t="s">
        <v>353</v>
      </c>
      <c r="G1840" s="8" t="s">
        <v>3189</v>
      </c>
      <c r="H1840" s="8" t="s">
        <v>142</v>
      </c>
      <c r="I1840" s="8" t="s">
        <v>3190</v>
      </c>
      <c r="J1840" s="8" t="s">
        <v>12633</v>
      </c>
      <c r="K1840" s="8" t="s">
        <v>472</v>
      </c>
      <c r="L1840" s="8" t="s">
        <v>146</v>
      </c>
      <c r="M1840" s="8" t="s">
        <v>12634</v>
      </c>
      <c r="N1840" s="8" t="s">
        <v>128</v>
      </c>
      <c r="O1840" s="8" t="s">
        <v>12635</v>
      </c>
      <c r="P1840" s="8" t="s">
        <v>12636</v>
      </c>
      <c r="Q1840" s="8" t="s">
        <v>150</v>
      </c>
      <c r="R1840" s="8"/>
      <c r="S1840" s="8" t="s">
        <v>71</v>
      </c>
      <c r="T1840" s="8" t="s">
        <v>168</v>
      </c>
      <c r="U1840" s="8" t="s">
        <v>150</v>
      </c>
      <c r="V1840" s="8" t="s">
        <v>168</v>
      </c>
      <c r="W1840" s="8" t="s">
        <v>168</v>
      </c>
      <c r="X1840" s="8">
        <v>47</v>
      </c>
      <c r="Y1840" s="8" t="s">
        <v>12359</v>
      </c>
      <c r="Z1840" s="8">
        <v>20</v>
      </c>
      <c r="AA1840" s="8">
        <v>0</v>
      </c>
      <c r="AB1840" s="9">
        <v>0</v>
      </c>
    </row>
    <row r="1841" spans="1:28" x14ac:dyDescent="0.2">
      <c r="A1841" s="10">
        <v>25640</v>
      </c>
      <c r="B1841" s="11" t="s">
        <v>12637</v>
      </c>
      <c r="C1841" s="11" t="s">
        <v>10488</v>
      </c>
      <c r="D1841" s="11" t="s">
        <v>12353</v>
      </c>
      <c r="E1841" s="11" t="s">
        <v>12638</v>
      </c>
      <c r="F1841" s="11" t="s">
        <v>10069</v>
      </c>
      <c r="G1841" s="11" t="s">
        <v>141</v>
      </c>
      <c r="H1841" s="11" t="s">
        <v>142</v>
      </c>
      <c r="I1841" s="11" t="s">
        <v>12354</v>
      </c>
      <c r="J1841" s="11" t="s">
        <v>12552</v>
      </c>
      <c r="K1841" s="11" t="s">
        <v>991</v>
      </c>
      <c r="L1841" s="11" t="s">
        <v>146</v>
      </c>
      <c r="M1841" s="11" t="s">
        <v>12639</v>
      </c>
      <c r="N1841" s="11" t="s">
        <v>128</v>
      </c>
      <c r="O1841" s="11" t="s">
        <v>12640</v>
      </c>
      <c r="P1841" s="11"/>
      <c r="Q1841" s="11" t="s">
        <v>249</v>
      </c>
      <c r="R1841" s="11"/>
      <c r="S1841" s="11" t="s">
        <v>12358</v>
      </c>
      <c r="T1841" s="11" t="s">
        <v>1523</v>
      </c>
      <c r="U1841" s="11" t="s">
        <v>134</v>
      </c>
      <c r="V1841" s="11" t="s">
        <v>249</v>
      </c>
      <c r="W1841" s="11" t="s">
        <v>1523</v>
      </c>
      <c r="X1841" s="11">
        <v>47</v>
      </c>
      <c r="Y1841" s="11" t="s">
        <v>12359</v>
      </c>
      <c r="Z1841" s="11">
        <v>20</v>
      </c>
      <c r="AA1841" s="11">
        <v>0</v>
      </c>
      <c r="AB1841" s="12">
        <v>0</v>
      </c>
    </row>
    <row r="1842" spans="1:28" x14ac:dyDescent="0.2">
      <c r="A1842" s="7">
        <v>25517</v>
      </c>
      <c r="B1842" s="8" t="s">
        <v>12641</v>
      </c>
      <c r="C1842" s="8" t="s">
        <v>10488</v>
      </c>
      <c r="D1842" s="8" t="s">
        <v>12353</v>
      </c>
      <c r="E1842" s="8" t="s">
        <v>4769</v>
      </c>
      <c r="F1842" s="8" t="s">
        <v>10069</v>
      </c>
      <c r="G1842" s="8" t="s">
        <v>141</v>
      </c>
      <c r="H1842" s="8" t="s">
        <v>142</v>
      </c>
      <c r="I1842" s="8" t="s">
        <v>12354</v>
      </c>
      <c r="J1842" s="8" t="s">
        <v>12355</v>
      </c>
      <c r="K1842" s="8" t="s">
        <v>991</v>
      </c>
      <c r="L1842" s="8" t="s">
        <v>146</v>
      </c>
      <c r="M1842" s="8" t="s">
        <v>12642</v>
      </c>
      <c r="N1842" s="8" t="s">
        <v>128</v>
      </c>
      <c r="O1842" s="8" t="s">
        <v>12643</v>
      </c>
      <c r="P1842" s="8" t="s">
        <v>12644</v>
      </c>
      <c r="Q1842" s="8" t="s">
        <v>249</v>
      </c>
      <c r="R1842" s="8"/>
      <c r="S1842" s="8" t="s">
        <v>12358</v>
      </c>
      <c r="T1842" s="8" t="s">
        <v>250</v>
      </c>
      <c r="U1842" s="8" t="s">
        <v>134</v>
      </c>
      <c r="V1842" s="8" t="s">
        <v>249</v>
      </c>
      <c r="W1842" s="8" t="s">
        <v>250</v>
      </c>
      <c r="X1842" s="8">
        <v>47</v>
      </c>
      <c r="Y1842" s="8" t="s">
        <v>12359</v>
      </c>
      <c r="Z1842" s="8">
        <v>20</v>
      </c>
      <c r="AA1842" s="8">
        <v>0</v>
      </c>
      <c r="AB1842" s="9">
        <v>0</v>
      </c>
    </row>
    <row r="1843" spans="1:28" x14ac:dyDescent="0.2">
      <c r="A1843" s="10">
        <v>23299</v>
      </c>
      <c r="B1843" s="11" t="s">
        <v>12645</v>
      </c>
      <c r="C1843" s="11" t="s">
        <v>5800</v>
      </c>
      <c r="D1843" s="11" t="s">
        <v>5801</v>
      </c>
      <c r="E1843" s="11" t="s">
        <v>12646</v>
      </c>
      <c r="F1843" s="11" t="s">
        <v>5803</v>
      </c>
      <c r="G1843" s="11" t="s">
        <v>5804</v>
      </c>
      <c r="H1843" s="11" t="s">
        <v>5805</v>
      </c>
      <c r="I1843" s="11" t="s">
        <v>12647</v>
      </c>
      <c r="J1843" s="11" t="s">
        <v>5807</v>
      </c>
      <c r="K1843" s="11" t="s">
        <v>274</v>
      </c>
      <c r="L1843" s="11" t="s">
        <v>163</v>
      </c>
      <c r="M1843" s="11" t="s">
        <v>12648</v>
      </c>
      <c r="N1843" s="11" t="s">
        <v>128</v>
      </c>
      <c r="O1843" s="11" t="s">
        <v>12649</v>
      </c>
      <c r="P1843" s="11" t="s">
        <v>12650</v>
      </c>
      <c r="Q1843" s="11" t="s">
        <v>150</v>
      </c>
      <c r="R1843" s="11"/>
      <c r="S1843" s="11" t="s">
        <v>5811</v>
      </c>
      <c r="T1843" s="11" t="s">
        <v>70</v>
      </c>
      <c r="U1843" s="11" t="s">
        <v>150</v>
      </c>
      <c r="V1843" s="11" t="s">
        <v>70</v>
      </c>
      <c r="W1843" s="11" t="s">
        <v>70</v>
      </c>
      <c r="X1843" s="11">
        <v>46</v>
      </c>
      <c r="Y1843" s="11" t="s">
        <v>12359</v>
      </c>
      <c r="Z1843" s="11">
        <v>20</v>
      </c>
      <c r="AA1843" s="11">
        <v>0</v>
      </c>
      <c r="AB1843" s="12">
        <v>0</v>
      </c>
    </row>
    <row r="1844" spans="1:28" x14ac:dyDescent="0.2">
      <c r="A1844" s="7">
        <v>23599</v>
      </c>
      <c r="B1844" s="8" t="s">
        <v>12651</v>
      </c>
      <c r="C1844" s="8" t="s">
        <v>12652</v>
      </c>
      <c r="D1844" s="8" t="s">
        <v>7958</v>
      </c>
      <c r="E1844" s="8" t="s">
        <v>12653</v>
      </c>
      <c r="F1844" s="8" t="s">
        <v>353</v>
      </c>
      <c r="G1844" s="8" t="s">
        <v>7069</v>
      </c>
      <c r="H1844" s="8" t="s">
        <v>142</v>
      </c>
      <c r="I1844" s="8" t="s">
        <v>7070</v>
      </c>
      <c r="J1844" s="8" t="s">
        <v>12654</v>
      </c>
      <c r="K1844" s="8" t="s">
        <v>472</v>
      </c>
      <c r="L1844" s="8" t="s">
        <v>146</v>
      </c>
      <c r="M1844" s="8" t="s">
        <v>12655</v>
      </c>
      <c r="N1844" s="8" t="s">
        <v>128</v>
      </c>
      <c r="O1844" s="8" t="s">
        <v>12656</v>
      </c>
      <c r="P1844" s="8" t="s">
        <v>12631</v>
      </c>
      <c r="Q1844" s="8" t="s">
        <v>150</v>
      </c>
      <c r="R1844" s="8"/>
      <c r="S1844" s="8" t="s">
        <v>71</v>
      </c>
      <c r="T1844" s="8" t="s">
        <v>168</v>
      </c>
      <c r="U1844" s="8" t="s">
        <v>150</v>
      </c>
      <c r="V1844" s="8" t="s">
        <v>168</v>
      </c>
      <c r="W1844" s="8" t="s">
        <v>168</v>
      </c>
      <c r="X1844" s="8">
        <v>46</v>
      </c>
      <c r="Y1844" s="8" t="s">
        <v>12359</v>
      </c>
      <c r="Z1844" s="8">
        <v>20</v>
      </c>
      <c r="AA1844" s="8">
        <v>0</v>
      </c>
      <c r="AB1844" s="9">
        <v>0</v>
      </c>
    </row>
    <row r="1845" spans="1:28" x14ac:dyDescent="0.2">
      <c r="A1845" s="10">
        <v>214569</v>
      </c>
      <c r="B1845" s="11" t="s">
        <v>12657</v>
      </c>
      <c r="C1845" s="11" t="s">
        <v>12658</v>
      </c>
      <c r="D1845" s="11" t="s">
        <v>1300</v>
      </c>
      <c r="E1845" s="11"/>
      <c r="F1845" s="11" t="s">
        <v>12659</v>
      </c>
      <c r="G1845" s="11" t="s">
        <v>1952</v>
      </c>
      <c r="H1845" s="11" t="s">
        <v>1953</v>
      </c>
      <c r="I1845" s="11" t="s">
        <v>12660</v>
      </c>
      <c r="J1845" s="11" t="s">
        <v>12661</v>
      </c>
      <c r="K1845" s="11" t="s">
        <v>1956</v>
      </c>
      <c r="L1845" s="11" t="s">
        <v>526</v>
      </c>
      <c r="M1845" s="11" t="s">
        <v>12662</v>
      </c>
      <c r="N1845" s="11" t="s">
        <v>128</v>
      </c>
      <c r="O1845" s="11" t="s">
        <v>12663</v>
      </c>
      <c r="P1845" s="11" t="s">
        <v>12664</v>
      </c>
      <c r="Q1845" s="11" t="s">
        <v>150</v>
      </c>
      <c r="R1845" s="11"/>
      <c r="S1845" s="11" t="s">
        <v>71</v>
      </c>
      <c r="T1845" s="11" t="s">
        <v>168</v>
      </c>
      <c r="U1845" s="11" t="s">
        <v>150</v>
      </c>
      <c r="V1845" s="11" t="s">
        <v>168</v>
      </c>
      <c r="W1845" s="11" t="s">
        <v>168</v>
      </c>
      <c r="X1845" s="11">
        <v>46</v>
      </c>
      <c r="Y1845" s="11" t="s">
        <v>12359</v>
      </c>
      <c r="Z1845" s="11">
        <v>20</v>
      </c>
      <c r="AA1845" s="11">
        <v>0</v>
      </c>
      <c r="AB1845" s="12">
        <v>0</v>
      </c>
    </row>
    <row r="1846" spans="1:28" x14ac:dyDescent="0.2">
      <c r="A1846" s="7">
        <v>30440</v>
      </c>
      <c r="B1846" s="8" t="s">
        <v>12665</v>
      </c>
      <c r="C1846" s="8" t="s">
        <v>6029</v>
      </c>
      <c r="D1846" s="8" t="s">
        <v>6030</v>
      </c>
      <c r="E1846" s="8"/>
      <c r="F1846" s="8" t="s">
        <v>6032</v>
      </c>
      <c r="G1846" s="8" t="s">
        <v>141</v>
      </c>
      <c r="H1846" s="8" t="s">
        <v>142</v>
      </c>
      <c r="I1846" s="8" t="s">
        <v>6033</v>
      </c>
      <c r="J1846" s="8" t="s">
        <v>12447</v>
      </c>
      <c r="K1846" s="8" t="s">
        <v>991</v>
      </c>
      <c r="L1846" s="8" t="s">
        <v>146</v>
      </c>
      <c r="M1846" s="8" t="s">
        <v>12666</v>
      </c>
      <c r="N1846" s="8" t="s">
        <v>128</v>
      </c>
      <c r="O1846" s="8" t="s">
        <v>12667</v>
      </c>
      <c r="P1846" s="8" t="s">
        <v>12668</v>
      </c>
      <c r="Q1846" s="8" t="s">
        <v>740</v>
      </c>
      <c r="R1846" s="8"/>
      <c r="S1846" s="8" t="s">
        <v>6038</v>
      </c>
      <c r="T1846" s="8" t="s">
        <v>1745</v>
      </c>
      <c r="U1846" s="8" t="s">
        <v>134</v>
      </c>
      <c r="V1846" s="8" t="s">
        <v>740</v>
      </c>
      <c r="W1846" s="8" t="s">
        <v>1745</v>
      </c>
      <c r="X1846" s="8">
        <v>46</v>
      </c>
      <c r="Y1846" s="8" t="s">
        <v>12359</v>
      </c>
      <c r="Z1846" s="8">
        <v>20</v>
      </c>
      <c r="AA1846" s="8">
        <v>0</v>
      </c>
      <c r="AB1846" s="9">
        <v>0</v>
      </c>
    </row>
    <row r="1847" spans="1:28" x14ac:dyDescent="0.2">
      <c r="A1847" s="10">
        <v>106041</v>
      </c>
      <c r="B1847" s="11" t="s">
        <v>12669</v>
      </c>
      <c r="C1847" s="11" t="s">
        <v>12472</v>
      </c>
      <c r="D1847" s="11" t="s">
        <v>7225</v>
      </c>
      <c r="E1847" s="11"/>
      <c r="F1847" s="11" t="s">
        <v>353</v>
      </c>
      <c r="G1847" s="11" t="s">
        <v>11323</v>
      </c>
      <c r="H1847" s="11" t="s">
        <v>6410</v>
      </c>
      <c r="I1847" s="11" t="s">
        <v>11866</v>
      </c>
      <c r="J1847" s="11" t="s">
        <v>12670</v>
      </c>
      <c r="K1847" s="11" t="s">
        <v>1956</v>
      </c>
      <c r="L1847" s="11" t="s">
        <v>526</v>
      </c>
      <c r="M1847" s="11" t="s">
        <v>12671</v>
      </c>
      <c r="N1847" s="11" t="s">
        <v>128</v>
      </c>
      <c r="O1847" s="11" t="s">
        <v>12672</v>
      </c>
      <c r="P1847" s="11" t="s">
        <v>12673</v>
      </c>
      <c r="Q1847" s="11" t="s">
        <v>150</v>
      </c>
      <c r="R1847" s="11"/>
      <c r="S1847" s="11" t="s">
        <v>71</v>
      </c>
      <c r="T1847" s="11" t="s">
        <v>67</v>
      </c>
      <c r="U1847" s="11" t="s">
        <v>150</v>
      </c>
      <c r="V1847" s="11" t="s">
        <v>152</v>
      </c>
      <c r="W1847" s="11" t="s">
        <v>67</v>
      </c>
      <c r="X1847" s="11">
        <v>45</v>
      </c>
      <c r="Y1847" s="11" t="s">
        <v>12359</v>
      </c>
      <c r="Z1847" s="11">
        <v>20</v>
      </c>
      <c r="AA1847" s="11">
        <v>0</v>
      </c>
      <c r="AB1847" s="12">
        <v>0</v>
      </c>
    </row>
    <row r="1848" spans="1:28" x14ac:dyDescent="0.2">
      <c r="A1848" s="7">
        <v>21842</v>
      </c>
      <c r="B1848" s="8" t="s">
        <v>12674</v>
      </c>
      <c r="C1848" s="8" t="s">
        <v>1622</v>
      </c>
      <c r="D1848" s="8" t="s">
        <v>1623</v>
      </c>
      <c r="E1848" s="8" t="s">
        <v>12675</v>
      </c>
      <c r="F1848" s="8" t="s">
        <v>1625</v>
      </c>
      <c r="G1848" s="8" t="s">
        <v>1626</v>
      </c>
      <c r="H1848" s="8" t="s">
        <v>142</v>
      </c>
      <c r="I1848" s="8" t="s">
        <v>1627</v>
      </c>
      <c r="J1848" s="8" t="s">
        <v>1628</v>
      </c>
      <c r="K1848" s="8" t="s">
        <v>472</v>
      </c>
      <c r="L1848" s="8" t="s">
        <v>146</v>
      </c>
      <c r="M1848" s="8" t="s">
        <v>12676</v>
      </c>
      <c r="N1848" s="8" t="s">
        <v>128</v>
      </c>
      <c r="O1848" s="8" t="s">
        <v>12677</v>
      </c>
      <c r="P1848" s="8" t="s">
        <v>2417</v>
      </c>
      <c r="Q1848" s="8" t="s">
        <v>131</v>
      </c>
      <c r="R1848" s="8"/>
      <c r="S1848" s="8" t="s">
        <v>1632</v>
      </c>
      <c r="T1848" s="8" t="s">
        <v>133</v>
      </c>
      <c r="U1848" s="8" t="s">
        <v>134</v>
      </c>
      <c r="V1848" s="8" t="s">
        <v>131</v>
      </c>
      <c r="W1848" s="8" t="s">
        <v>133</v>
      </c>
      <c r="X1848" s="8">
        <v>45</v>
      </c>
      <c r="Y1848" s="8" t="s">
        <v>12359</v>
      </c>
      <c r="Z1848" s="8">
        <v>20</v>
      </c>
      <c r="AA1848" s="8">
        <v>0</v>
      </c>
      <c r="AB1848" s="9">
        <v>0</v>
      </c>
    </row>
    <row r="1849" spans="1:28" x14ac:dyDescent="0.2">
      <c r="A1849" s="10">
        <v>23083</v>
      </c>
      <c r="B1849" s="11" t="s">
        <v>12678</v>
      </c>
      <c r="C1849" s="11" t="s">
        <v>8433</v>
      </c>
      <c r="D1849" s="11" t="s">
        <v>4630</v>
      </c>
      <c r="E1849" s="11" t="s">
        <v>12679</v>
      </c>
      <c r="F1849" s="11" t="s">
        <v>8435</v>
      </c>
      <c r="G1849" s="11" t="s">
        <v>4270</v>
      </c>
      <c r="H1849" s="11" t="s">
        <v>4271</v>
      </c>
      <c r="I1849" s="11" t="s">
        <v>8436</v>
      </c>
      <c r="J1849" s="11" t="s">
        <v>8437</v>
      </c>
      <c r="K1849" s="11" t="s">
        <v>619</v>
      </c>
      <c r="L1849" s="11" t="s">
        <v>163</v>
      </c>
      <c r="M1849" s="11" t="s">
        <v>12680</v>
      </c>
      <c r="N1849" s="11" t="s">
        <v>128</v>
      </c>
      <c r="O1849" s="11" t="s">
        <v>12681</v>
      </c>
      <c r="P1849" s="11" t="s">
        <v>12682</v>
      </c>
      <c r="Q1849" s="11" t="s">
        <v>150</v>
      </c>
      <c r="R1849" s="11"/>
      <c r="S1849" s="11" t="s">
        <v>8441</v>
      </c>
      <c r="T1849" s="11" t="s">
        <v>70</v>
      </c>
      <c r="U1849" s="11" t="s">
        <v>150</v>
      </c>
      <c r="V1849" s="11" t="s">
        <v>70</v>
      </c>
      <c r="W1849" s="11" t="s">
        <v>70</v>
      </c>
      <c r="X1849" s="11">
        <v>45</v>
      </c>
      <c r="Y1849" s="11" t="s">
        <v>12359</v>
      </c>
      <c r="Z1849" s="11">
        <v>20</v>
      </c>
      <c r="AA1849" s="11">
        <v>0</v>
      </c>
      <c r="AB1849" s="12">
        <v>0</v>
      </c>
    </row>
    <row r="1850" spans="1:28" x14ac:dyDescent="0.2">
      <c r="A1850" s="7">
        <v>23077</v>
      </c>
      <c r="B1850" s="8" t="s">
        <v>12683</v>
      </c>
      <c r="C1850" s="8" t="s">
        <v>12519</v>
      </c>
      <c r="D1850" s="8" t="s">
        <v>4630</v>
      </c>
      <c r="E1850" s="8" t="s">
        <v>12684</v>
      </c>
      <c r="F1850" s="8" t="s">
        <v>12521</v>
      </c>
      <c r="G1850" s="8" t="s">
        <v>6409</v>
      </c>
      <c r="H1850" s="8" t="s">
        <v>6410</v>
      </c>
      <c r="I1850" s="8" t="s">
        <v>12522</v>
      </c>
      <c r="J1850" s="8" t="s">
        <v>12523</v>
      </c>
      <c r="K1850" s="8" t="s">
        <v>1956</v>
      </c>
      <c r="L1850" s="8" t="s">
        <v>526</v>
      </c>
      <c r="M1850" s="8" t="s">
        <v>12685</v>
      </c>
      <c r="N1850" s="8" t="s">
        <v>128</v>
      </c>
      <c r="O1850" s="8" t="s">
        <v>12686</v>
      </c>
      <c r="P1850" s="8" t="s">
        <v>12687</v>
      </c>
      <c r="Q1850" s="8" t="s">
        <v>150</v>
      </c>
      <c r="R1850" s="8"/>
      <c r="S1850" s="8" t="s">
        <v>12527</v>
      </c>
      <c r="T1850" s="8" t="s">
        <v>70</v>
      </c>
      <c r="U1850" s="8" t="s">
        <v>150</v>
      </c>
      <c r="V1850" s="8" t="s">
        <v>70</v>
      </c>
      <c r="W1850" s="8" t="s">
        <v>70</v>
      </c>
      <c r="X1850" s="8">
        <v>45</v>
      </c>
      <c r="Y1850" s="8" t="s">
        <v>12359</v>
      </c>
      <c r="Z1850" s="8">
        <v>20</v>
      </c>
      <c r="AA1850" s="8">
        <v>0</v>
      </c>
      <c r="AB1850" s="9">
        <v>0</v>
      </c>
    </row>
    <row r="1851" spans="1:28" x14ac:dyDescent="0.2">
      <c r="A1851" s="10">
        <v>25185</v>
      </c>
      <c r="B1851" s="11" t="s">
        <v>12688</v>
      </c>
      <c r="C1851" s="11" t="s">
        <v>6071</v>
      </c>
      <c r="D1851" s="11" t="s">
        <v>12689</v>
      </c>
      <c r="E1851" s="11"/>
      <c r="F1851" s="11" t="s">
        <v>353</v>
      </c>
      <c r="G1851" s="11" t="s">
        <v>1915</v>
      </c>
      <c r="H1851" s="11" t="s">
        <v>122</v>
      </c>
      <c r="I1851" s="11" t="s">
        <v>10511</v>
      </c>
      <c r="J1851" s="11" t="s">
        <v>12690</v>
      </c>
      <c r="K1851" s="11" t="s">
        <v>1051</v>
      </c>
      <c r="L1851" s="11" t="s">
        <v>126</v>
      </c>
      <c r="M1851" s="11" t="s">
        <v>12691</v>
      </c>
      <c r="N1851" s="11" t="s">
        <v>128</v>
      </c>
      <c r="O1851" s="11" t="s">
        <v>12692</v>
      </c>
      <c r="P1851" s="11" t="s">
        <v>12693</v>
      </c>
      <c r="Q1851" s="11" t="s">
        <v>740</v>
      </c>
      <c r="R1851" s="11"/>
      <c r="S1851" s="11" t="s">
        <v>71</v>
      </c>
      <c r="T1851" s="11" t="s">
        <v>741</v>
      </c>
      <c r="U1851" s="11" t="s">
        <v>134</v>
      </c>
      <c r="V1851" s="11" t="s">
        <v>740</v>
      </c>
      <c r="W1851" s="11" t="s">
        <v>741</v>
      </c>
      <c r="X1851" s="11">
        <v>45</v>
      </c>
      <c r="Y1851" s="11" t="s">
        <v>12359</v>
      </c>
      <c r="Z1851" s="11">
        <v>20</v>
      </c>
      <c r="AA1851" s="11">
        <v>0</v>
      </c>
      <c r="AB1851" s="12">
        <v>0</v>
      </c>
    </row>
    <row r="1852" spans="1:28" x14ac:dyDescent="0.2">
      <c r="A1852" s="7">
        <v>25526</v>
      </c>
      <c r="B1852" s="8" t="s">
        <v>12694</v>
      </c>
      <c r="C1852" s="8" t="s">
        <v>12695</v>
      </c>
      <c r="D1852" s="8" t="s">
        <v>10509</v>
      </c>
      <c r="E1852" s="8"/>
      <c r="F1852" s="8" t="s">
        <v>12696</v>
      </c>
      <c r="G1852" s="8" t="s">
        <v>141</v>
      </c>
      <c r="H1852" s="8" t="s">
        <v>142</v>
      </c>
      <c r="I1852" s="8" t="s">
        <v>12697</v>
      </c>
      <c r="J1852" s="8" t="s">
        <v>12698</v>
      </c>
      <c r="K1852" s="8" t="s">
        <v>991</v>
      </c>
      <c r="L1852" s="8" t="s">
        <v>146</v>
      </c>
      <c r="M1852" s="8" t="s">
        <v>12699</v>
      </c>
      <c r="N1852" s="8" t="s">
        <v>128</v>
      </c>
      <c r="O1852" s="8" t="s">
        <v>12700</v>
      </c>
      <c r="P1852" s="8" t="s">
        <v>12701</v>
      </c>
      <c r="Q1852" s="8" t="s">
        <v>249</v>
      </c>
      <c r="R1852" s="8"/>
      <c r="S1852" s="8" t="s">
        <v>12702</v>
      </c>
      <c r="T1852" s="8" t="s">
        <v>250</v>
      </c>
      <c r="U1852" s="8" t="s">
        <v>134</v>
      </c>
      <c r="V1852" s="8" t="s">
        <v>249</v>
      </c>
      <c r="W1852" s="8" t="s">
        <v>250</v>
      </c>
      <c r="X1852" s="8">
        <v>45</v>
      </c>
      <c r="Y1852" s="8" t="s">
        <v>12359</v>
      </c>
      <c r="Z1852" s="8">
        <v>20</v>
      </c>
      <c r="AA1852" s="8">
        <v>0</v>
      </c>
      <c r="AB1852" s="9">
        <v>0</v>
      </c>
    </row>
    <row r="1853" spans="1:28" x14ac:dyDescent="0.2">
      <c r="A1853" s="10">
        <v>21878</v>
      </c>
      <c r="B1853" s="11" t="s">
        <v>12703</v>
      </c>
      <c r="C1853" s="11" t="s">
        <v>137</v>
      </c>
      <c r="D1853" s="11" t="s">
        <v>138</v>
      </c>
      <c r="E1853" s="11" t="s">
        <v>6553</v>
      </c>
      <c r="F1853" s="11" t="s">
        <v>140</v>
      </c>
      <c r="G1853" s="11" t="s">
        <v>141</v>
      </c>
      <c r="H1853" s="11" t="s">
        <v>142</v>
      </c>
      <c r="I1853" s="11" t="s">
        <v>143</v>
      </c>
      <c r="J1853" s="11" t="s">
        <v>144</v>
      </c>
      <c r="K1853" s="11" t="s">
        <v>145</v>
      </c>
      <c r="L1853" s="11" t="s">
        <v>146</v>
      </c>
      <c r="M1853" s="11" t="s">
        <v>12704</v>
      </c>
      <c r="N1853" s="11" t="s">
        <v>128</v>
      </c>
      <c r="O1853" s="11" t="s">
        <v>12705</v>
      </c>
      <c r="P1853" s="11" t="s">
        <v>12706</v>
      </c>
      <c r="Q1853" s="11" t="s">
        <v>131</v>
      </c>
      <c r="R1853" s="11"/>
      <c r="S1853" s="11" t="s">
        <v>151</v>
      </c>
      <c r="T1853" s="11" t="s">
        <v>983</v>
      </c>
      <c r="U1853" s="11" t="s">
        <v>134</v>
      </c>
      <c r="V1853" s="11" t="s">
        <v>131</v>
      </c>
      <c r="W1853" s="11" t="s">
        <v>983</v>
      </c>
      <c r="X1853" s="11">
        <v>44</v>
      </c>
      <c r="Y1853" s="11" t="s">
        <v>12359</v>
      </c>
      <c r="Z1853" s="11">
        <v>20</v>
      </c>
      <c r="AA1853" s="11">
        <v>0</v>
      </c>
      <c r="AB1853" s="12">
        <v>0</v>
      </c>
    </row>
    <row r="1854" spans="1:28" x14ac:dyDescent="0.2">
      <c r="A1854" s="7">
        <v>25310</v>
      </c>
      <c r="B1854" s="8" t="s">
        <v>12707</v>
      </c>
      <c r="C1854" s="8" t="s">
        <v>6285</v>
      </c>
      <c r="D1854" s="8" t="s">
        <v>6286</v>
      </c>
      <c r="E1854" s="8" t="s">
        <v>12708</v>
      </c>
      <c r="F1854" s="8" t="s">
        <v>6288</v>
      </c>
      <c r="G1854" s="8" t="s">
        <v>2035</v>
      </c>
      <c r="H1854" s="8" t="s">
        <v>142</v>
      </c>
      <c r="I1854" s="8" t="s">
        <v>6289</v>
      </c>
      <c r="J1854" s="8" t="s">
        <v>6290</v>
      </c>
      <c r="K1854" s="8" t="s">
        <v>779</v>
      </c>
      <c r="L1854" s="8" t="s">
        <v>464</v>
      </c>
      <c r="M1854" s="8" t="s">
        <v>12709</v>
      </c>
      <c r="N1854" s="8" t="s">
        <v>128</v>
      </c>
      <c r="O1854" s="8" t="s">
        <v>12710</v>
      </c>
      <c r="P1854" s="8" t="s">
        <v>12711</v>
      </c>
      <c r="Q1854" s="8" t="s">
        <v>740</v>
      </c>
      <c r="R1854" s="8"/>
      <c r="S1854" s="8" t="s">
        <v>6294</v>
      </c>
      <c r="T1854" s="8" t="s">
        <v>1745</v>
      </c>
      <c r="U1854" s="8" t="s">
        <v>134</v>
      </c>
      <c r="V1854" s="8" t="s">
        <v>740</v>
      </c>
      <c r="W1854" s="8" t="s">
        <v>1745</v>
      </c>
      <c r="X1854" s="8">
        <v>44</v>
      </c>
      <c r="Y1854" s="8" t="s">
        <v>12359</v>
      </c>
      <c r="Z1854" s="8">
        <v>20</v>
      </c>
      <c r="AA1854" s="8">
        <v>0</v>
      </c>
      <c r="AB1854" s="9">
        <v>0</v>
      </c>
    </row>
    <row r="1855" spans="1:28" x14ac:dyDescent="0.2">
      <c r="A1855" s="10">
        <v>25167</v>
      </c>
      <c r="B1855" s="11" t="s">
        <v>12712</v>
      </c>
      <c r="C1855" s="11" t="s">
        <v>12713</v>
      </c>
      <c r="D1855" s="11" t="s">
        <v>12714</v>
      </c>
      <c r="E1855" s="11"/>
      <c r="F1855" s="11" t="s">
        <v>5577</v>
      </c>
      <c r="G1855" s="11" t="s">
        <v>141</v>
      </c>
      <c r="H1855" s="11" t="s">
        <v>142</v>
      </c>
      <c r="I1855" s="11" t="s">
        <v>12715</v>
      </c>
      <c r="J1855" s="11" t="s">
        <v>12716</v>
      </c>
      <c r="K1855" s="11" t="s">
        <v>403</v>
      </c>
      <c r="L1855" s="11" t="s">
        <v>146</v>
      </c>
      <c r="M1855" s="11" t="s">
        <v>12717</v>
      </c>
      <c r="N1855" s="11" t="s">
        <v>128</v>
      </c>
      <c r="O1855" s="11" t="s">
        <v>12718</v>
      </c>
      <c r="P1855" s="11" t="s">
        <v>12719</v>
      </c>
      <c r="Q1855" s="11" t="s">
        <v>740</v>
      </c>
      <c r="R1855" s="11"/>
      <c r="S1855" s="11" t="s">
        <v>12720</v>
      </c>
      <c r="T1855" s="11" t="s">
        <v>741</v>
      </c>
      <c r="U1855" s="11" t="s">
        <v>134</v>
      </c>
      <c r="V1855" s="11" t="s">
        <v>740</v>
      </c>
      <c r="W1855" s="11" t="s">
        <v>741</v>
      </c>
      <c r="X1855" s="11">
        <v>44</v>
      </c>
      <c r="Y1855" s="11" t="s">
        <v>12359</v>
      </c>
      <c r="Z1855" s="11">
        <v>20</v>
      </c>
      <c r="AA1855" s="11">
        <v>0</v>
      </c>
      <c r="AB1855" s="12">
        <v>0</v>
      </c>
    </row>
    <row r="1856" spans="1:28" x14ac:dyDescent="0.2">
      <c r="A1856" s="7">
        <v>25278</v>
      </c>
      <c r="B1856" s="8" t="s">
        <v>12721</v>
      </c>
      <c r="C1856" s="8" t="s">
        <v>903</v>
      </c>
      <c r="D1856" s="8" t="s">
        <v>904</v>
      </c>
      <c r="E1856" s="8"/>
      <c r="F1856" s="8" t="s">
        <v>906</v>
      </c>
      <c r="G1856" s="8" t="s">
        <v>615</v>
      </c>
      <c r="H1856" s="8" t="s">
        <v>616</v>
      </c>
      <c r="I1856" s="8" t="s">
        <v>907</v>
      </c>
      <c r="J1856" s="8" t="s">
        <v>908</v>
      </c>
      <c r="K1856" s="8" t="s">
        <v>619</v>
      </c>
      <c r="L1856" s="8" t="s">
        <v>163</v>
      </c>
      <c r="M1856" s="8" t="s">
        <v>12722</v>
      </c>
      <c r="N1856" s="8" t="s">
        <v>128</v>
      </c>
      <c r="O1856" s="8" t="s">
        <v>12723</v>
      </c>
      <c r="P1856" s="8" t="s">
        <v>12724</v>
      </c>
      <c r="Q1856" s="8" t="s">
        <v>740</v>
      </c>
      <c r="R1856" s="8"/>
      <c r="S1856" s="8" t="s">
        <v>912</v>
      </c>
      <c r="T1856" s="8" t="s">
        <v>741</v>
      </c>
      <c r="U1856" s="8" t="s">
        <v>134</v>
      </c>
      <c r="V1856" s="8" t="s">
        <v>740</v>
      </c>
      <c r="W1856" s="8" t="s">
        <v>741</v>
      </c>
      <c r="X1856" s="8">
        <v>44</v>
      </c>
      <c r="Y1856" s="8" t="s">
        <v>12359</v>
      </c>
      <c r="Z1856" s="8">
        <v>20</v>
      </c>
      <c r="AA1856" s="8">
        <v>0</v>
      </c>
      <c r="AB1856" s="9">
        <v>0</v>
      </c>
    </row>
    <row r="1857" spans="1:28" x14ac:dyDescent="0.2">
      <c r="A1857" s="10">
        <v>21303</v>
      </c>
      <c r="B1857" s="11" t="s">
        <v>12725</v>
      </c>
      <c r="C1857" s="11" t="s">
        <v>4777</v>
      </c>
      <c r="D1857" s="11" t="s">
        <v>12726</v>
      </c>
      <c r="E1857" s="11"/>
      <c r="F1857" s="11" t="s">
        <v>353</v>
      </c>
      <c r="G1857" s="11" t="s">
        <v>7402</v>
      </c>
      <c r="H1857" s="11" t="s">
        <v>847</v>
      </c>
      <c r="I1857" s="11" t="s">
        <v>7403</v>
      </c>
      <c r="J1857" s="11" t="s">
        <v>12727</v>
      </c>
      <c r="K1857" s="11" t="s">
        <v>1091</v>
      </c>
      <c r="L1857" s="11" t="s">
        <v>126</v>
      </c>
      <c r="M1857" s="11" t="s">
        <v>12728</v>
      </c>
      <c r="N1857" s="11" t="s">
        <v>128</v>
      </c>
      <c r="O1857" s="11" t="s">
        <v>12729</v>
      </c>
      <c r="P1857" s="11" t="s">
        <v>12730</v>
      </c>
      <c r="Q1857" s="11" t="s">
        <v>150</v>
      </c>
      <c r="R1857" s="11"/>
      <c r="S1857" s="11" t="s">
        <v>71</v>
      </c>
      <c r="T1857" s="11" t="s">
        <v>67</v>
      </c>
      <c r="U1857" s="11" t="s">
        <v>150</v>
      </c>
      <c r="V1857" s="11" t="s">
        <v>152</v>
      </c>
      <c r="W1857" s="11" t="s">
        <v>67</v>
      </c>
      <c r="X1857" s="11">
        <v>43</v>
      </c>
      <c r="Y1857" s="11" t="s">
        <v>12359</v>
      </c>
      <c r="Z1857" s="11">
        <v>20</v>
      </c>
      <c r="AA1857" s="11">
        <v>0</v>
      </c>
      <c r="AB1857" s="12">
        <v>0</v>
      </c>
    </row>
    <row r="1858" spans="1:28" x14ac:dyDescent="0.2">
      <c r="A1858" s="7">
        <v>30531</v>
      </c>
      <c r="B1858" s="8" t="s">
        <v>12731</v>
      </c>
      <c r="C1858" s="8" t="s">
        <v>6585</v>
      </c>
      <c r="D1858" s="8" t="s">
        <v>6586</v>
      </c>
      <c r="E1858" s="8" t="s">
        <v>12732</v>
      </c>
      <c r="F1858" s="8" t="s">
        <v>6588</v>
      </c>
      <c r="G1858" s="8" t="s">
        <v>1952</v>
      </c>
      <c r="H1858" s="8" t="s">
        <v>1953</v>
      </c>
      <c r="I1858" s="8" t="s">
        <v>6589</v>
      </c>
      <c r="J1858" s="8" t="s">
        <v>6590</v>
      </c>
      <c r="K1858" s="8" t="s">
        <v>1956</v>
      </c>
      <c r="L1858" s="8" t="s">
        <v>526</v>
      </c>
      <c r="M1858" s="8" t="s">
        <v>12733</v>
      </c>
      <c r="N1858" s="8" t="s">
        <v>128</v>
      </c>
      <c r="O1858" s="8" t="s">
        <v>12734</v>
      </c>
      <c r="P1858" s="8" t="s">
        <v>495</v>
      </c>
      <c r="Q1858" s="8" t="s">
        <v>150</v>
      </c>
      <c r="R1858" s="8"/>
      <c r="S1858" s="8" t="s">
        <v>6594</v>
      </c>
      <c r="T1858" s="8" t="s">
        <v>1738</v>
      </c>
      <c r="U1858" s="8" t="s">
        <v>150</v>
      </c>
      <c r="V1858" s="8" t="s">
        <v>1738</v>
      </c>
      <c r="W1858" s="8" t="s">
        <v>1738</v>
      </c>
      <c r="X1858" s="8">
        <v>43</v>
      </c>
      <c r="Y1858" s="8" t="s">
        <v>12359</v>
      </c>
      <c r="Z1858" s="8">
        <v>20</v>
      </c>
      <c r="AA1858" s="8">
        <v>0</v>
      </c>
      <c r="AB1858" s="9">
        <v>0</v>
      </c>
    </row>
    <row r="1859" spans="1:28" x14ac:dyDescent="0.2">
      <c r="A1859" s="10">
        <v>22131</v>
      </c>
      <c r="B1859" s="11" t="s">
        <v>12735</v>
      </c>
      <c r="C1859" s="11" t="s">
        <v>953</v>
      </c>
      <c r="D1859" s="11" t="s">
        <v>954</v>
      </c>
      <c r="E1859" s="11"/>
      <c r="F1859" s="11"/>
      <c r="G1859" s="11" t="s">
        <v>776</v>
      </c>
      <c r="H1859" s="11" t="s">
        <v>142</v>
      </c>
      <c r="I1859" s="11" t="s">
        <v>957</v>
      </c>
      <c r="J1859" s="11" t="s">
        <v>11338</v>
      </c>
      <c r="K1859" s="11" t="s">
        <v>779</v>
      </c>
      <c r="L1859" s="11" t="s">
        <v>464</v>
      </c>
      <c r="M1859" s="11" t="s">
        <v>12736</v>
      </c>
      <c r="N1859" s="11" t="s">
        <v>128</v>
      </c>
      <c r="O1859" s="11" t="s">
        <v>12737</v>
      </c>
      <c r="P1859" s="11"/>
      <c r="Q1859" s="11" t="s">
        <v>249</v>
      </c>
      <c r="R1859" s="11"/>
      <c r="S1859" s="11" t="s">
        <v>962</v>
      </c>
      <c r="T1859" s="11" t="s">
        <v>1523</v>
      </c>
      <c r="U1859" s="11" t="s">
        <v>134</v>
      </c>
      <c r="V1859" s="11" t="s">
        <v>249</v>
      </c>
      <c r="W1859" s="11" t="s">
        <v>1523</v>
      </c>
      <c r="X1859" s="11">
        <v>43</v>
      </c>
      <c r="Y1859" s="11" t="s">
        <v>12359</v>
      </c>
      <c r="Z1859" s="11">
        <v>20</v>
      </c>
      <c r="AA1859" s="11">
        <v>0</v>
      </c>
      <c r="AB1859" s="12">
        <v>0</v>
      </c>
    </row>
    <row r="1860" spans="1:28" x14ac:dyDescent="0.2">
      <c r="A1860" s="7">
        <v>25480</v>
      </c>
      <c r="B1860" s="8" t="s">
        <v>12738</v>
      </c>
      <c r="C1860" s="8" t="s">
        <v>7664</v>
      </c>
      <c r="D1860" s="8" t="s">
        <v>410</v>
      </c>
      <c r="E1860" s="8" t="s">
        <v>12739</v>
      </c>
      <c r="F1860" s="8" t="s">
        <v>7666</v>
      </c>
      <c r="G1860" s="8" t="s">
        <v>6409</v>
      </c>
      <c r="H1860" s="8" t="s">
        <v>6410</v>
      </c>
      <c r="I1860" s="8" t="s">
        <v>7667</v>
      </c>
      <c r="J1860" s="8" t="s">
        <v>7668</v>
      </c>
      <c r="K1860" s="8" t="s">
        <v>1956</v>
      </c>
      <c r="L1860" s="8" t="s">
        <v>526</v>
      </c>
      <c r="M1860" s="8" t="s">
        <v>12740</v>
      </c>
      <c r="N1860" s="8" t="s">
        <v>128</v>
      </c>
      <c r="O1860" s="8" t="s">
        <v>12741</v>
      </c>
      <c r="P1860" s="8" t="s">
        <v>12742</v>
      </c>
      <c r="Q1860" s="8" t="s">
        <v>249</v>
      </c>
      <c r="R1860" s="8"/>
      <c r="S1860" s="8" t="s">
        <v>7138</v>
      </c>
      <c r="T1860" s="8" t="s">
        <v>250</v>
      </c>
      <c r="U1860" s="8" t="s">
        <v>134</v>
      </c>
      <c r="V1860" s="8" t="s">
        <v>249</v>
      </c>
      <c r="W1860" s="8" t="s">
        <v>250</v>
      </c>
      <c r="X1860" s="8">
        <v>43</v>
      </c>
      <c r="Y1860" s="8" t="s">
        <v>12359</v>
      </c>
      <c r="Z1860" s="8">
        <v>20</v>
      </c>
      <c r="AA1860" s="8">
        <v>0</v>
      </c>
      <c r="AB1860" s="9">
        <v>0</v>
      </c>
    </row>
    <row r="1861" spans="1:28" x14ac:dyDescent="0.2">
      <c r="A1861" s="10">
        <v>31458</v>
      </c>
      <c r="B1861" s="11" t="s">
        <v>12743</v>
      </c>
      <c r="C1861" s="11" t="s">
        <v>5958</v>
      </c>
      <c r="D1861" s="11" t="s">
        <v>5959</v>
      </c>
      <c r="E1861" s="11"/>
      <c r="F1861" s="11"/>
      <c r="G1861" s="11" t="s">
        <v>615</v>
      </c>
      <c r="H1861" s="11" t="s">
        <v>616</v>
      </c>
      <c r="I1861" s="11" t="s">
        <v>5961</v>
      </c>
      <c r="J1861" s="11" t="s">
        <v>12744</v>
      </c>
      <c r="K1861" s="11" t="s">
        <v>619</v>
      </c>
      <c r="L1861" s="11" t="s">
        <v>163</v>
      </c>
      <c r="M1861" s="11" t="s">
        <v>12745</v>
      </c>
      <c r="N1861" s="11" t="s">
        <v>128</v>
      </c>
      <c r="O1861" s="11" t="s">
        <v>12746</v>
      </c>
      <c r="P1861" s="11" t="s">
        <v>12747</v>
      </c>
      <c r="Q1861" s="11" t="s">
        <v>249</v>
      </c>
      <c r="R1861" s="11"/>
      <c r="S1861" s="11" t="s">
        <v>5966</v>
      </c>
      <c r="T1861" s="11" t="s">
        <v>250</v>
      </c>
      <c r="U1861" s="11" t="s">
        <v>134</v>
      </c>
      <c r="V1861" s="11" t="s">
        <v>249</v>
      </c>
      <c r="W1861" s="11" t="s">
        <v>250</v>
      </c>
      <c r="X1861" s="11">
        <v>43</v>
      </c>
      <c r="Y1861" s="11" t="s">
        <v>12359</v>
      </c>
      <c r="Z1861" s="11">
        <v>20</v>
      </c>
      <c r="AA1861" s="11">
        <v>0</v>
      </c>
      <c r="AB1861" s="12">
        <v>0</v>
      </c>
    </row>
    <row r="1862" spans="1:28" x14ac:dyDescent="0.2">
      <c r="A1862" s="7">
        <v>22483</v>
      </c>
      <c r="B1862" s="8" t="s">
        <v>12748</v>
      </c>
      <c r="C1862" s="8" t="s">
        <v>1809</v>
      </c>
      <c r="D1862" s="8" t="s">
        <v>12749</v>
      </c>
      <c r="E1862" s="8" t="s">
        <v>12750</v>
      </c>
      <c r="F1862" s="8" t="s">
        <v>1812</v>
      </c>
      <c r="G1862" s="8" t="s">
        <v>1813</v>
      </c>
      <c r="H1862" s="8" t="s">
        <v>142</v>
      </c>
      <c r="I1862" s="8" t="s">
        <v>1814</v>
      </c>
      <c r="J1862" s="8" t="s">
        <v>12751</v>
      </c>
      <c r="K1862" s="8" t="s">
        <v>974</v>
      </c>
      <c r="L1862" s="8" t="s">
        <v>146</v>
      </c>
      <c r="M1862" s="8" t="s">
        <v>12752</v>
      </c>
      <c r="N1862" s="8" t="s">
        <v>128</v>
      </c>
      <c r="O1862" s="8" t="s">
        <v>12753</v>
      </c>
      <c r="P1862" s="8"/>
      <c r="Q1862" s="8" t="s">
        <v>131</v>
      </c>
      <c r="R1862" s="8"/>
      <c r="S1862" s="8" t="s">
        <v>1819</v>
      </c>
      <c r="T1862" s="8" t="s">
        <v>983</v>
      </c>
      <c r="U1862" s="8" t="s">
        <v>134</v>
      </c>
      <c r="V1862" s="8" t="s">
        <v>131</v>
      </c>
      <c r="W1862" s="8" t="s">
        <v>983</v>
      </c>
      <c r="X1862" s="8">
        <v>41</v>
      </c>
      <c r="Y1862" s="8" t="s">
        <v>12359</v>
      </c>
      <c r="Z1862" s="8">
        <v>20</v>
      </c>
      <c r="AA1862" s="8">
        <v>0</v>
      </c>
      <c r="AB1862" s="9">
        <v>0</v>
      </c>
    </row>
    <row r="1863" spans="1:28" x14ac:dyDescent="0.2">
      <c r="A1863" s="10">
        <v>21978</v>
      </c>
      <c r="B1863" s="11" t="s">
        <v>12754</v>
      </c>
      <c r="C1863" s="11" t="s">
        <v>6508</v>
      </c>
      <c r="D1863" s="11" t="s">
        <v>6509</v>
      </c>
      <c r="E1863" s="11" t="s">
        <v>12755</v>
      </c>
      <c r="F1863" s="11" t="s">
        <v>6510</v>
      </c>
      <c r="G1863" s="11" t="s">
        <v>141</v>
      </c>
      <c r="H1863" s="11" t="s">
        <v>142</v>
      </c>
      <c r="I1863" s="11" t="s">
        <v>6511</v>
      </c>
      <c r="J1863" s="11" t="s">
        <v>6512</v>
      </c>
      <c r="K1863" s="11" t="s">
        <v>472</v>
      </c>
      <c r="L1863" s="11" t="s">
        <v>146</v>
      </c>
      <c r="M1863" s="11" t="s">
        <v>12756</v>
      </c>
      <c r="N1863" s="11" t="s">
        <v>128</v>
      </c>
      <c r="O1863" s="11" t="s">
        <v>12757</v>
      </c>
      <c r="P1863" s="11" t="s">
        <v>12758</v>
      </c>
      <c r="Q1863" s="11" t="s">
        <v>131</v>
      </c>
      <c r="R1863" s="11"/>
      <c r="S1863" s="11" t="s">
        <v>6516</v>
      </c>
      <c r="T1863" s="11" t="s">
        <v>133</v>
      </c>
      <c r="U1863" s="11" t="s">
        <v>134</v>
      </c>
      <c r="V1863" s="11" t="s">
        <v>131</v>
      </c>
      <c r="W1863" s="11" t="s">
        <v>133</v>
      </c>
      <c r="X1863" s="11">
        <v>41</v>
      </c>
      <c r="Y1863" s="11" t="s">
        <v>12359</v>
      </c>
      <c r="Z1863" s="11">
        <v>20</v>
      </c>
      <c r="AA1863" s="11">
        <v>0</v>
      </c>
      <c r="AB1863" s="12">
        <v>0</v>
      </c>
    </row>
    <row r="1864" spans="1:28" x14ac:dyDescent="0.2">
      <c r="A1864" s="7">
        <v>21976</v>
      </c>
      <c r="B1864" s="8" t="s">
        <v>12759</v>
      </c>
      <c r="C1864" s="8" t="s">
        <v>1809</v>
      </c>
      <c r="D1864" s="8" t="s">
        <v>1810</v>
      </c>
      <c r="E1864" s="8" t="s">
        <v>12760</v>
      </c>
      <c r="F1864" s="8" t="s">
        <v>1812</v>
      </c>
      <c r="G1864" s="8" t="s">
        <v>1813</v>
      </c>
      <c r="H1864" s="8" t="s">
        <v>142</v>
      </c>
      <c r="I1864" s="8" t="s">
        <v>1814</v>
      </c>
      <c r="J1864" s="8" t="s">
        <v>1815</v>
      </c>
      <c r="K1864" s="8" t="s">
        <v>974</v>
      </c>
      <c r="L1864" s="8" t="s">
        <v>146</v>
      </c>
      <c r="M1864" s="8" t="s">
        <v>12761</v>
      </c>
      <c r="N1864" s="8" t="s">
        <v>128</v>
      </c>
      <c r="O1864" s="8" t="s">
        <v>12762</v>
      </c>
      <c r="P1864" s="8" t="s">
        <v>8869</v>
      </c>
      <c r="Q1864" s="8" t="s">
        <v>131</v>
      </c>
      <c r="R1864" s="8"/>
      <c r="S1864" s="8" t="s">
        <v>1819</v>
      </c>
      <c r="T1864" s="8" t="s">
        <v>133</v>
      </c>
      <c r="U1864" s="8" t="s">
        <v>134</v>
      </c>
      <c r="V1864" s="8" t="s">
        <v>131</v>
      </c>
      <c r="W1864" s="8" t="s">
        <v>133</v>
      </c>
      <c r="X1864" s="8">
        <v>41</v>
      </c>
      <c r="Y1864" s="8" t="s">
        <v>12359</v>
      </c>
      <c r="Z1864" s="8">
        <v>20</v>
      </c>
      <c r="AA1864" s="8">
        <v>0</v>
      </c>
      <c r="AB1864" s="9">
        <v>0</v>
      </c>
    </row>
    <row r="1865" spans="1:28" x14ac:dyDescent="0.2">
      <c r="A1865" s="10">
        <v>23677</v>
      </c>
      <c r="B1865" s="11" t="s">
        <v>12763</v>
      </c>
      <c r="C1865" s="11" t="s">
        <v>2615</v>
      </c>
      <c r="D1865" s="11" t="s">
        <v>3641</v>
      </c>
      <c r="E1865" s="11"/>
      <c r="F1865" s="11" t="s">
        <v>353</v>
      </c>
      <c r="G1865" s="11" t="s">
        <v>846</v>
      </c>
      <c r="H1865" s="11" t="s">
        <v>847</v>
      </c>
      <c r="I1865" s="11" t="s">
        <v>12764</v>
      </c>
      <c r="J1865" s="11" t="s">
        <v>12765</v>
      </c>
      <c r="K1865" s="11" t="s">
        <v>850</v>
      </c>
      <c r="L1865" s="11" t="s">
        <v>126</v>
      </c>
      <c r="M1865" s="11" t="s">
        <v>12766</v>
      </c>
      <c r="N1865" s="11" t="s">
        <v>128</v>
      </c>
      <c r="O1865" s="11" t="s">
        <v>12767</v>
      </c>
      <c r="P1865" s="11" t="s">
        <v>2191</v>
      </c>
      <c r="Q1865" s="11" t="s">
        <v>150</v>
      </c>
      <c r="R1865" s="11"/>
      <c r="S1865" s="11" t="s">
        <v>71</v>
      </c>
      <c r="T1865" s="11" t="s">
        <v>168</v>
      </c>
      <c r="U1865" s="11" t="s">
        <v>150</v>
      </c>
      <c r="V1865" s="11" t="s">
        <v>168</v>
      </c>
      <c r="W1865" s="11" t="s">
        <v>168</v>
      </c>
      <c r="X1865" s="11">
        <v>41</v>
      </c>
      <c r="Y1865" s="11" t="s">
        <v>12359</v>
      </c>
      <c r="Z1865" s="11">
        <v>20</v>
      </c>
      <c r="AA1865" s="11">
        <v>0</v>
      </c>
      <c r="AB1865" s="12">
        <v>0</v>
      </c>
    </row>
    <row r="1866" spans="1:28" x14ac:dyDescent="0.2">
      <c r="A1866" s="7">
        <v>25142</v>
      </c>
      <c r="B1866" s="8" t="s">
        <v>12768</v>
      </c>
      <c r="C1866" s="8" t="s">
        <v>7307</v>
      </c>
      <c r="D1866" s="8" t="s">
        <v>3539</v>
      </c>
      <c r="E1866" s="8"/>
      <c r="F1866" s="8" t="s">
        <v>11898</v>
      </c>
      <c r="G1866" s="8" t="s">
        <v>6409</v>
      </c>
      <c r="H1866" s="8" t="s">
        <v>6410</v>
      </c>
      <c r="I1866" s="8" t="s">
        <v>7309</v>
      </c>
      <c r="J1866" s="8" t="s">
        <v>11899</v>
      </c>
      <c r="K1866" s="8" t="s">
        <v>1956</v>
      </c>
      <c r="L1866" s="8" t="s">
        <v>526</v>
      </c>
      <c r="M1866" s="8" t="s">
        <v>12769</v>
      </c>
      <c r="N1866" s="8" t="s">
        <v>128</v>
      </c>
      <c r="O1866" s="8" t="s">
        <v>12770</v>
      </c>
      <c r="P1866" s="8" t="s">
        <v>12771</v>
      </c>
      <c r="Q1866" s="8" t="s">
        <v>740</v>
      </c>
      <c r="R1866" s="8"/>
      <c r="S1866" s="8" t="s">
        <v>7314</v>
      </c>
      <c r="T1866" s="8" t="s">
        <v>741</v>
      </c>
      <c r="U1866" s="8" t="s">
        <v>134</v>
      </c>
      <c r="V1866" s="8" t="s">
        <v>740</v>
      </c>
      <c r="W1866" s="8" t="s">
        <v>741</v>
      </c>
      <c r="X1866" s="8">
        <v>41</v>
      </c>
      <c r="Y1866" s="8" t="s">
        <v>12359</v>
      </c>
      <c r="Z1866" s="8">
        <v>20</v>
      </c>
      <c r="AA1866" s="8">
        <v>0</v>
      </c>
      <c r="AB1866" s="9">
        <v>0</v>
      </c>
    </row>
    <row r="1867" spans="1:28" x14ac:dyDescent="0.2">
      <c r="A1867" s="10">
        <v>214663</v>
      </c>
      <c r="B1867" s="11" t="s">
        <v>12772</v>
      </c>
      <c r="C1867" s="11" t="s">
        <v>12773</v>
      </c>
      <c r="D1867" s="11" t="s">
        <v>12774</v>
      </c>
      <c r="E1867" s="11"/>
      <c r="F1867" s="11" t="s">
        <v>353</v>
      </c>
      <c r="G1867" s="11" t="s">
        <v>6741</v>
      </c>
      <c r="H1867" s="11" t="s">
        <v>1953</v>
      </c>
      <c r="I1867" s="11" t="s">
        <v>12500</v>
      </c>
      <c r="J1867" s="11" t="s">
        <v>12775</v>
      </c>
      <c r="K1867" s="11" t="s">
        <v>1956</v>
      </c>
      <c r="L1867" s="11" t="s">
        <v>526</v>
      </c>
      <c r="M1867" s="11" t="s">
        <v>12776</v>
      </c>
      <c r="N1867" s="11" t="s">
        <v>128</v>
      </c>
      <c r="O1867" s="11" t="s">
        <v>12777</v>
      </c>
      <c r="P1867" s="11" t="s">
        <v>12778</v>
      </c>
      <c r="Q1867" s="11" t="s">
        <v>150</v>
      </c>
      <c r="R1867" s="11"/>
      <c r="S1867" s="11" t="s">
        <v>71</v>
      </c>
      <c r="T1867" s="11" t="s">
        <v>67</v>
      </c>
      <c r="U1867" s="11" t="s">
        <v>150</v>
      </c>
      <c r="V1867" s="11" t="s">
        <v>152</v>
      </c>
      <c r="W1867" s="11" t="s">
        <v>67</v>
      </c>
      <c r="X1867" s="11">
        <v>40</v>
      </c>
      <c r="Y1867" s="11" t="s">
        <v>12359</v>
      </c>
      <c r="Z1867" s="11">
        <v>20</v>
      </c>
      <c r="AA1867" s="11">
        <v>0</v>
      </c>
      <c r="AB1867" s="12">
        <v>0</v>
      </c>
    </row>
    <row r="1868" spans="1:28" x14ac:dyDescent="0.2">
      <c r="A1868" s="7">
        <v>22602</v>
      </c>
      <c r="B1868" s="8" t="s">
        <v>12779</v>
      </c>
      <c r="C1868" s="8" t="s">
        <v>12780</v>
      </c>
      <c r="D1868" s="8" t="s">
        <v>2690</v>
      </c>
      <c r="E1868" s="8"/>
      <c r="F1868" s="8" t="s">
        <v>12781</v>
      </c>
      <c r="G1868" s="8" t="s">
        <v>6946</v>
      </c>
      <c r="H1868" s="8" t="s">
        <v>847</v>
      </c>
      <c r="I1868" s="8" t="s">
        <v>12782</v>
      </c>
      <c r="J1868" s="8" t="s">
        <v>12783</v>
      </c>
      <c r="K1868" s="8" t="s">
        <v>850</v>
      </c>
      <c r="L1868" s="8" t="s">
        <v>126</v>
      </c>
      <c r="M1868" s="8" t="s">
        <v>12784</v>
      </c>
      <c r="N1868" s="8" t="s">
        <v>128</v>
      </c>
      <c r="O1868" s="8" t="s">
        <v>12785</v>
      </c>
      <c r="P1868" s="8" t="s">
        <v>12786</v>
      </c>
      <c r="Q1868" s="8" t="s">
        <v>150</v>
      </c>
      <c r="R1868" s="8"/>
      <c r="S1868" s="8" t="s">
        <v>71</v>
      </c>
      <c r="T1868" s="8" t="s">
        <v>2697</v>
      </c>
      <c r="U1868" s="8" t="s">
        <v>150</v>
      </c>
      <c r="V1868" s="8" t="s">
        <v>2697</v>
      </c>
      <c r="W1868" s="8" t="s">
        <v>2697</v>
      </c>
      <c r="X1868" s="8">
        <v>40</v>
      </c>
      <c r="Y1868" s="8" t="s">
        <v>12359</v>
      </c>
      <c r="Z1868" s="8">
        <v>20</v>
      </c>
      <c r="AA1868" s="8">
        <v>0</v>
      </c>
      <c r="AB1868" s="9">
        <v>0</v>
      </c>
    </row>
    <row r="1869" spans="1:28" x14ac:dyDescent="0.2">
      <c r="A1869" s="10">
        <v>23258</v>
      </c>
      <c r="B1869" s="11" t="s">
        <v>12787</v>
      </c>
      <c r="C1869" s="11" t="s">
        <v>6357</v>
      </c>
      <c r="D1869" s="11" t="s">
        <v>6358</v>
      </c>
      <c r="E1869" s="11"/>
      <c r="F1869" s="11" t="s">
        <v>6360</v>
      </c>
      <c r="G1869" s="11" t="s">
        <v>4226</v>
      </c>
      <c r="H1869" s="11" t="s">
        <v>329</v>
      </c>
      <c r="I1869" s="11" t="s">
        <v>6361</v>
      </c>
      <c r="J1869" s="11" t="s">
        <v>6362</v>
      </c>
      <c r="K1869" s="11" t="s">
        <v>415</v>
      </c>
      <c r="L1869" s="11" t="s">
        <v>333</v>
      </c>
      <c r="M1869" s="11" t="s">
        <v>12788</v>
      </c>
      <c r="N1869" s="11" t="s">
        <v>128</v>
      </c>
      <c r="O1869" s="11" t="s">
        <v>12789</v>
      </c>
      <c r="P1869" s="11" t="s">
        <v>12790</v>
      </c>
      <c r="Q1869" s="11" t="s">
        <v>150</v>
      </c>
      <c r="R1869" s="11"/>
      <c r="S1869" s="11" t="s">
        <v>6366</v>
      </c>
      <c r="T1869" s="11" t="s">
        <v>70</v>
      </c>
      <c r="U1869" s="11" t="s">
        <v>150</v>
      </c>
      <c r="V1869" s="11" t="s">
        <v>70</v>
      </c>
      <c r="W1869" s="11" t="s">
        <v>70</v>
      </c>
      <c r="X1869" s="11">
        <v>40</v>
      </c>
      <c r="Y1869" s="11" t="s">
        <v>12359</v>
      </c>
      <c r="Z1869" s="11">
        <v>20</v>
      </c>
      <c r="AA1869" s="11">
        <v>0</v>
      </c>
      <c r="AB1869" s="12">
        <v>0</v>
      </c>
    </row>
    <row r="1870" spans="1:28" x14ac:dyDescent="0.2">
      <c r="A1870" s="7">
        <v>23947</v>
      </c>
      <c r="B1870" s="8" t="s">
        <v>12791</v>
      </c>
      <c r="C1870" s="8" t="s">
        <v>773</v>
      </c>
      <c r="D1870" s="8" t="s">
        <v>1747</v>
      </c>
      <c r="E1870" s="8" t="s">
        <v>281</v>
      </c>
      <c r="F1870" s="8" t="s">
        <v>12792</v>
      </c>
      <c r="G1870" s="8" t="s">
        <v>1952</v>
      </c>
      <c r="H1870" s="8" t="s">
        <v>1953</v>
      </c>
      <c r="I1870" s="8" t="s">
        <v>12793</v>
      </c>
      <c r="J1870" s="8" t="s">
        <v>12794</v>
      </c>
      <c r="K1870" s="8" t="s">
        <v>1956</v>
      </c>
      <c r="L1870" s="8" t="s">
        <v>526</v>
      </c>
      <c r="M1870" s="8" t="s">
        <v>12795</v>
      </c>
      <c r="N1870" s="8" t="s">
        <v>128</v>
      </c>
      <c r="O1870" s="8" t="s">
        <v>12796</v>
      </c>
      <c r="P1870" s="8" t="s">
        <v>9841</v>
      </c>
      <c r="Q1870" s="8" t="s">
        <v>150</v>
      </c>
      <c r="R1870" s="8"/>
      <c r="S1870" s="8" t="s">
        <v>71</v>
      </c>
      <c r="T1870" s="8" t="s">
        <v>168</v>
      </c>
      <c r="U1870" s="8" t="s">
        <v>150</v>
      </c>
      <c r="V1870" s="8" t="s">
        <v>168</v>
      </c>
      <c r="W1870" s="8" t="s">
        <v>168</v>
      </c>
      <c r="X1870" s="8">
        <v>40</v>
      </c>
      <c r="Y1870" s="8" t="s">
        <v>12359</v>
      </c>
      <c r="Z1870" s="8">
        <v>20</v>
      </c>
      <c r="AA1870" s="8">
        <v>0</v>
      </c>
      <c r="AB1870" s="9">
        <v>0</v>
      </c>
    </row>
    <row r="1871" spans="1:28" x14ac:dyDescent="0.2">
      <c r="A1871" s="10">
        <v>26452</v>
      </c>
      <c r="B1871" s="11" t="s">
        <v>12797</v>
      </c>
      <c r="C1871" s="11" t="s">
        <v>6475</v>
      </c>
      <c r="D1871" s="11" t="s">
        <v>2918</v>
      </c>
      <c r="E1871" s="11"/>
      <c r="F1871" s="11" t="s">
        <v>353</v>
      </c>
      <c r="G1871" s="11" t="s">
        <v>141</v>
      </c>
      <c r="H1871" s="11" t="s">
        <v>142</v>
      </c>
      <c r="I1871" s="11" t="s">
        <v>6476</v>
      </c>
      <c r="J1871" s="11" t="s">
        <v>6477</v>
      </c>
      <c r="K1871" s="11" t="s">
        <v>991</v>
      </c>
      <c r="L1871" s="11" t="s">
        <v>146</v>
      </c>
      <c r="M1871" s="11" t="s">
        <v>12798</v>
      </c>
      <c r="N1871" s="11" t="s">
        <v>128</v>
      </c>
      <c r="O1871" s="11" t="s">
        <v>12799</v>
      </c>
      <c r="P1871" s="11" t="s">
        <v>12800</v>
      </c>
      <c r="Q1871" s="11" t="s">
        <v>740</v>
      </c>
      <c r="R1871" s="11"/>
      <c r="S1871" s="11" t="s">
        <v>6480</v>
      </c>
      <c r="T1871" s="11" t="s">
        <v>1745</v>
      </c>
      <c r="U1871" s="11" t="s">
        <v>134</v>
      </c>
      <c r="V1871" s="11" t="s">
        <v>740</v>
      </c>
      <c r="W1871" s="11" t="s">
        <v>1745</v>
      </c>
      <c r="X1871" s="11">
        <v>40</v>
      </c>
      <c r="Y1871" s="11" t="s">
        <v>12359</v>
      </c>
      <c r="Z1871" s="11">
        <v>20</v>
      </c>
      <c r="AA1871" s="11">
        <v>0</v>
      </c>
      <c r="AB1871" s="12">
        <v>0</v>
      </c>
    </row>
    <row r="1872" spans="1:28" x14ac:dyDescent="0.2">
      <c r="A1872" s="7">
        <v>21392</v>
      </c>
      <c r="B1872" s="8" t="s">
        <v>12801</v>
      </c>
      <c r="C1872" s="8" t="s">
        <v>2615</v>
      </c>
      <c r="D1872" s="8" t="s">
        <v>12802</v>
      </c>
      <c r="E1872" s="8"/>
      <c r="F1872" s="8" t="s">
        <v>353</v>
      </c>
      <c r="G1872" s="8" t="s">
        <v>846</v>
      </c>
      <c r="H1872" s="8" t="s">
        <v>847</v>
      </c>
      <c r="I1872" s="8" t="s">
        <v>12764</v>
      </c>
      <c r="J1872" s="8" t="s">
        <v>12803</v>
      </c>
      <c r="K1872" s="8" t="s">
        <v>850</v>
      </c>
      <c r="L1872" s="8" t="s">
        <v>126</v>
      </c>
      <c r="M1872" s="8" t="s">
        <v>12804</v>
      </c>
      <c r="N1872" s="8" t="s">
        <v>128</v>
      </c>
      <c r="O1872" s="8" t="s">
        <v>12805</v>
      </c>
      <c r="P1872" s="8" t="s">
        <v>12806</v>
      </c>
      <c r="Q1872" s="8" t="s">
        <v>150</v>
      </c>
      <c r="R1872" s="8"/>
      <c r="S1872" s="8" t="s">
        <v>71</v>
      </c>
      <c r="T1872" s="8" t="s">
        <v>67</v>
      </c>
      <c r="U1872" s="8" t="s">
        <v>150</v>
      </c>
      <c r="V1872" s="8" t="s">
        <v>152</v>
      </c>
      <c r="W1872" s="8" t="s">
        <v>67</v>
      </c>
      <c r="X1872" s="8">
        <v>39</v>
      </c>
      <c r="Y1872" s="8" t="s">
        <v>12359</v>
      </c>
      <c r="Z1872" s="8">
        <v>20</v>
      </c>
      <c r="AA1872" s="8">
        <v>0</v>
      </c>
      <c r="AB1872" s="9">
        <v>0</v>
      </c>
    </row>
    <row r="1873" spans="1:28" x14ac:dyDescent="0.2">
      <c r="A1873" s="10">
        <v>23511</v>
      </c>
      <c r="B1873" s="11" t="s">
        <v>12807</v>
      </c>
      <c r="C1873" s="11" t="s">
        <v>350</v>
      </c>
      <c r="D1873" s="11" t="s">
        <v>12808</v>
      </c>
      <c r="E1873" s="11" t="s">
        <v>12809</v>
      </c>
      <c r="F1873" s="11" t="s">
        <v>353</v>
      </c>
      <c r="G1873" s="11" t="s">
        <v>121</v>
      </c>
      <c r="H1873" s="11" t="s">
        <v>122</v>
      </c>
      <c r="I1873" s="11" t="s">
        <v>354</v>
      </c>
      <c r="J1873" s="11" t="s">
        <v>12810</v>
      </c>
      <c r="K1873" s="11" t="s">
        <v>125</v>
      </c>
      <c r="L1873" s="11" t="s">
        <v>126</v>
      </c>
      <c r="M1873" s="11" t="s">
        <v>12811</v>
      </c>
      <c r="N1873" s="11" t="s">
        <v>128</v>
      </c>
      <c r="O1873" s="11" t="s">
        <v>12812</v>
      </c>
      <c r="P1873" s="11" t="s">
        <v>4666</v>
      </c>
      <c r="Q1873" s="11" t="s">
        <v>150</v>
      </c>
      <c r="R1873" s="11"/>
      <c r="S1873" s="11" t="s">
        <v>71</v>
      </c>
      <c r="T1873" s="11" t="s">
        <v>6736</v>
      </c>
      <c r="U1873" s="11" t="s">
        <v>150</v>
      </c>
      <c r="V1873" s="11" t="s">
        <v>6736</v>
      </c>
      <c r="W1873" s="11" t="s">
        <v>6736</v>
      </c>
      <c r="X1873" s="11">
        <v>39</v>
      </c>
      <c r="Y1873" s="11" t="s">
        <v>12359</v>
      </c>
      <c r="Z1873" s="11">
        <v>20</v>
      </c>
      <c r="AA1873" s="11">
        <v>0</v>
      </c>
      <c r="AB1873" s="12">
        <v>0</v>
      </c>
    </row>
    <row r="1874" spans="1:28" x14ac:dyDescent="0.2">
      <c r="A1874" s="7">
        <v>28534</v>
      </c>
      <c r="B1874" s="8" t="s">
        <v>12813</v>
      </c>
      <c r="C1874" s="8" t="s">
        <v>12814</v>
      </c>
      <c r="D1874" s="8" t="s">
        <v>787</v>
      </c>
      <c r="E1874" s="8"/>
      <c r="F1874" s="8" t="s">
        <v>12815</v>
      </c>
      <c r="G1874" s="8" t="s">
        <v>556</v>
      </c>
      <c r="H1874" s="8" t="s">
        <v>557</v>
      </c>
      <c r="I1874" s="8" t="s">
        <v>12816</v>
      </c>
      <c r="J1874" s="8" t="s">
        <v>12817</v>
      </c>
      <c r="K1874" s="8" t="s">
        <v>560</v>
      </c>
      <c r="L1874" s="8" t="s">
        <v>229</v>
      </c>
      <c r="M1874" s="8" t="s">
        <v>12818</v>
      </c>
      <c r="N1874" s="8" t="s">
        <v>128</v>
      </c>
      <c r="O1874" s="8" t="s">
        <v>12819</v>
      </c>
      <c r="P1874" s="8" t="s">
        <v>12820</v>
      </c>
      <c r="Q1874" s="8" t="s">
        <v>150</v>
      </c>
      <c r="R1874" s="8"/>
      <c r="S1874" s="8" t="s">
        <v>71</v>
      </c>
      <c r="T1874" s="8" t="s">
        <v>70</v>
      </c>
      <c r="U1874" s="8" t="s">
        <v>150</v>
      </c>
      <c r="V1874" s="8" t="s">
        <v>70</v>
      </c>
      <c r="W1874" s="8" t="s">
        <v>70</v>
      </c>
      <c r="X1874" s="8">
        <v>39</v>
      </c>
      <c r="Y1874" s="8" t="s">
        <v>12359</v>
      </c>
      <c r="Z1874" s="8">
        <v>20</v>
      </c>
      <c r="AA1874" s="8">
        <v>0</v>
      </c>
      <c r="AB1874" s="9">
        <v>0</v>
      </c>
    </row>
    <row r="1875" spans="1:28" x14ac:dyDescent="0.2">
      <c r="A1875" s="10">
        <v>25193</v>
      </c>
      <c r="B1875" s="11" t="s">
        <v>12821</v>
      </c>
      <c r="C1875" s="11" t="s">
        <v>12822</v>
      </c>
      <c r="D1875" s="11" t="s">
        <v>1262</v>
      </c>
      <c r="E1875" s="11" t="s">
        <v>281</v>
      </c>
      <c r="F1875" s="11" t="s">
        <v>757</v>
      </c>
      <c r="G1875" s="11" t="s">
        <v>521</v>
      </c>
      <c r="H1875" s="11" t="s">
        <v>522</v>
      </c>
      <c r="I1875" s="11" t="s">
        <v>1264</v>
      </c>
      <c r="J1875" s="11" t="s">
        <v>12823</v>
      </c>
      <c r="K1875" s="11" t="s">
        <v>525</v>
      </c>
      <c r="L1875" s="11" t="s">
        <v>526</v>
      </c>
      <c r="M1875" s="11" t="s">
        <v>12824</v>
      </c>
      <c r="N1875" s="11" t="s">
        <v>128</v>
      </c>
      <c r="O1875" s="11" t="s">
        <v>12825</v>
      </c>
      <c r="P1875" s="11"/>
      <c r="Q1875" s="11" t="s">
        <v>740</v>
      </c>
      <c r="R1875" s="11"/>
      <c r="S1875" s="11" t="s">
        <v>1269</v>
      </c>
      <c r="T1875" s="11" t="s">
        <v>1745</v>
      </c>
      <c r="U1875" s="11" t="s">
        <v>134</v>
      </c>
      <c r="V1875" s="11" t="s">
        <v>740</v>
      </c>
      <c r="W1875" s="11" t="s">
        <v>1745</v>
      </c>
      <c r="X1875" s="11">
        <v>39</v>
      </c>
      <c r="Y1875" s="11" t="s">
        <v>12359</v>
      </c>
      <c r="Z1875" s="11">
        <v>20</v>
      </c>
      <c r="AA1875" s="11">
        <v>0</v>
      </c>
      <c r="AB1875" s="12">
        <v>0</v>
      </c>
    </row>
    <row r="1876" spans="1:28" x14ac:dyDescent="0.2">
      <c r="A1876" s="7">
        <v>26957</v>
      </c>
      <c r="B1876" s="8" t="s">
        <v>12826</v>
      </c>
      <c r="C1876" s="8" t="s">
        <v>6475</v>
      </c>
      <c r="D1876" s="8" t="s">
        <v>2918</v>
      </c>
      <c r="E1876" s="8"/>
      <c r="F1876" s="8" t="s">
        <v>353</v>
      </c>
      <c r="G1876" s="8" t="s">
        <v>141</v>
      </c>
      <c r="H1876" s="8" t="s">
        <v>142</v>
      </c>
      <c r="I1876" s="8" t="s">
        <v>6476</v>
      </c>
      <c r="J1876" s="8" t="s">
        <v>6477</v>
      </c>
      <c r="K1876" s="8" t="s">
        <v>991</v>
      </c>
      <c r="L1876" s="8" t="s">
        <v>146</v>
      </c>
      <c r="M1876" s="8" t="s">
        <v>12827</v>
      </c>
      <c r="N1876" s="8" t="s">
        <v>128</v>
      </c>
      <c r="O1876" s="8" t="s">
        <v>12828</v>
      </c>
      <c r="P1876" s="8"/>
      <c r="Q1876" s="8" t="s">
        <v>249</v>
      </c>
      <c r="R1876" s="8"/>
      <c r="S1876" s="8" t="s">
        <v>6480</v>
      </c>
      <c r="T1876" s="8" t="s">
        <v>1523</v>
      </c>
      <c r="U1876" s="8" t="s">
        <v>134</v>
      </c>
      <c r="V1876" s="8" t="s">
        <v>249</v>
      </c>
      <c r="W1876" s="8" t="s">
        <v>1523</v>
      </c>
      <c r="X1876" s="8">
        <v>39</v>
      </c>
      <c r="Y1876" s="8" t="s">
        <v>12359</v>
      </c>
      <c r="Z1876" s="8">
        <v>20</v>
      </c>
      <c r="AA1876" s="8">
        <v>0</v>
      </c>
      <c r="AB1876" s="9">
        <v>0</v>
      </c>
    </row>
    <row r="1877" spans="1:28" x14ac:dyDescent="0.2">
      <c r="A1877" s="10">
        <v>25460</v>
      </c>
      <c r="B1877" s="11" t="s">
        <v>12829</v>
      </c>
      <c r="C1877" s="11" t="s">
        <v>466</v>
      </c>
      <c r="D1877" s="11" t="s">
        <v>467</v>
      </c>
      <c r="E1877" s="11" t="s">
        <v>12830</v>
      </c>
      <c r="F1877" s="11" t="s">
        <v>468</v>
      </c>
      <c r="G1877" s="11" t="s">
        <v>469</v>
      </c>
      <c r="H1877" s="11" t="s">
        <v>142</v>
      </c>
      <c r="I1877" s="11" t="s">
        <v>470</v>
      </c>
      <c r="J1877" s="11" t="s">
        <v>471</v>
      </c>
      <c r="K1877" s="11" t="s">
        <v>472</v>
      </c>
      <c r="L1877" s="11" t="s">
        <v>146</v>
      </c>
      <c r="M1877" s="11" t="s">
        <v>12831</v>
      </c>
      <c r="N1877" s="11" t="s">
        <v>128</v>
      </c>
      <c r="O1877" s="11" t="s">
        <v>12832</v>
      </c>
      <c r="P1877" s="11" t="s">
        <v>12833</v>
      </c>
      <c r="Q1877" s="11" t="s">
        <v>249</v>
      </c>
      <c r="R1877" s="11"/>
      <c r="S1877" s="11" t="s">
        <v>476</v>
      </c>
      <c r="T1877" s="11" t="s">
        <v>250</v>
      </c>
      <c r="U1877" s="11" t="s">
        <v>134</v>
      </c>
      <c r="V1877" s="11" t="s">
        <v>249</v>
      </c>
      <c r="W1877" s="11" t="s">
        <v>250</v>
      </c>
      <c r="X1877" s="11">
        <v>39</v>
      </c>
      <c r="Y1877" s="11" t="s">
        <v>12359</v>
      </c>
      <c r="Z1877" s="11">
        <v>20</v>
      </c>
      <c r="AA1877" s="11">
        <v>0</v>
      </c>
      <c r="AB1877" s="12">
        <v>0</v>
      </c>
    </row>
    <row r="1878" spans="1:28" x14ac:dyDescent="0.2">
      <c r="A1878" s="7">
        <v>167264</v>
      </c>
      <c r="B1878" s="8" t="s">
        <v>12834</v>
      </c>
      <c r="C1878" s="8" t="s">
        <v>5800</v>
      </c>
      <c r="D1878" s="8" t="s">
        <v>12835</v>
      </c>
      <c r="E1878" s="8"/>
      <c r="F1878" s="8" t="s">
        <v>5803</v>
      </c>
      <c r="G1878" s="8" t="s">
        <v>5804</v>
      </c>
      <c r="H1878" s="8" t="s">
        <v>5805</v>
      </c>
      <c r="I1878" s="8" t="s">
        <v>5806</v>
      </c>
      <c r="J1878" s="8" t="s">
        <v>5807</v>
      </c>
      <c r="K1878" s="8" t="s">
        <v>274</v>
      </c>
      <c r="L1878" s="8" t="s">
        <v>163</v>
      </c>
      <c r="M1878" s="8" t="s">
        <v>12836</v>
      </c>
      <c r="N1878" s="8" t="s">
        <v>128</v>
      </c>
      <c r="O1878" s="8" t="s">
        <v>12837</v>
      </c>
      <c r="P1878" s="8" t="s">
        <v>12838</v>
      </c>
      <c r="Q1878" s="8" t="s">
        <v>249</v>
      </c>
      <c r="R1878" s="8"/>
      <c r="S1878" s="8" t="s">
        <v>5811</v>
      </c>
      <c r="T1878" s="8" t="s">
        <v>250</v>
      </c>
      <c r="U1878" s="8" t="s">
        <v>134</v>
      </c>
      <c r="V1878" s="8" t="s">
        <v>249</v>
      </c>
      <c r="W1878" s="8" t="s">
        <v>250</v>
      </c>
      <c r="X1878" s="8">
        <v>39</v>
      </c>
      <c r="Y1878" s="8" t="s">
        <v>12359</v>
      </c>
      <c r="Z1878" s="8">
        <v>20</v>
      </c>
      <c r="AA1878" s="8">
        <v>0</v>
      </c>
      <c r="AB1878" s="9">
        <v>0</v>
      </c>
    </row>
    <row r="1879" spans="1:28" x14ac:dyDescent="0.2">
      <c r="A1879" s="10">
        <v>21374</v>
      </c>
      <c r="B1879" s="11" t="s">
        <v>12839</v>
      </c>
      <c r="C1879" s="11" t="s">
        <v>8058</v>
      </c>
      <c r="D1879" s="11" t="s">
        <v>448</v>
      </c>
      <c r="E1879" s="11" t="s">
        <v>12840</v>
      </c>
      <c r="F1879" s="11" t="s">
        <v>8060</v>
      </c>
      <c r="G1879" s="11" t="s">
        <v>1196</v>
      </c>
      <c r="H1879" s="11" t="s">
        <v>142</v>
      </c>
      <c r="I1879" s="11" t="s">
        <v>8061</v>
      </c>
      <c r="J1879" s="11" t="s">
        <v>8062</v>
      </c>
      <c r="K1879" s="11" t="s">
        <v>1199</v>
      </c>
      <c r="L1879" s="11" t="s">
        <v>464</v>
      </c>
      <c r="M1879" s="11" t="s">
        <v>12841</v>
      </c>
      <c r="N1879" s="11" t="s">
        <v>128</v>
      </c>
      <c r="O1879" s="11" t="s">
        <v>12842</v>
      </c>
      <c r="P1879" s="11" t="s">
        <v>12843</v>
      </c>
      <c r="Q1879" s="11" t="s">
        <v>150</v>
      </c>
      <c r="R1879" s="11"/>
      <c r="S1879" s="11" t="s">
        <v>8066</v>
      </c>
      <c r="T1879" s="11" t="s">
        <v>67</v>
      </c>
      <c r="U1879" s="11" t="s">
        <v>150</v>
      </c>
      <c r="V1879" s="11" t="s">
        <v>152</v>
      </c>
      <c r="W1879" s="11" t="s">
        <v>67</v>
      </c>
      <c r="X1879" s="11">
        <v>38</v>
      </c>
      <c r="Y1879" s="11" t="s">
        <v>12359</v>
      </c>
      <c r="Z1879" s="11">
        <v>20</v>
      </c>
      <c r="AA1879" s="11">
        <v>0</v>
      </c>
      <c r="AB1879" s="12">
        <v>0</v>
      </c>
    </row>
    <row r="1880" spans="1:28" x14ac:dyDescent="0.2">
      <c r="A1880" s="7">
        <v>238164</v>
      </c>
      <c r="B1880" s="8" t="s">
        <v>12844</v>
      </c>
      <c r="C1880" s="8" t="s">
        <v>1567</v>
      </c>
      <c r="D1880" s="8" t="s">
        <v>10475</v>
      </c>
      <c r="E1880" s="8"/>
      <c r="F1880" s="8" t="s">
        <v>353</v>
      </c>
      <c r="G1880" s="8" t="s">
        <v>714</v>
      </c>
      <c r="H1880" s="8" t="s">
        <v>142</v>
      </c>
      <c r="I1880" s="8" t="s">
        <v>12845</v>
      </c>
      <c r="J1880" s="8" t="s">
        <v>12846</v>
      </c>
      <c r="K1880" s="8" t="s">
        <v>717</v>
      </c>
      <c r="L1880" s="8" t="s">
        <v>464</v>
      </c>
      <c r="M1880" s="8" t="s">
        <v>12847</v>
      </c>
      <c r="N1880" s="8" t="s">
        <v>128</v>
      </c>
      <c r="O1880" s="8" t="s">
        <v>12848</v>
      </c>
      <c r="P1880" s="8"/>
      <c r="Q1880" s="8" t="s">
        <v>131</v>
      </c>
      <c r="R1880" s="8"/>
      <c r="S1880" s="8" t="s">
        <v>71</v>
      </c>
      <c r="T1880" s="8" t="s">
        <v>983</v>
      </c>
      <c r="U1880" s="8" t="s">
        <v>134</v>
      </c>
      <c r="V1880" s="8" t="s">
        <v>131</v>
      </c>
      <c r="W1880" s="8" t="s">
        <v>983</v>
      </c>
      <c r="X1880" s="8">
        <v>38</v>
      </c>
      <c r="Y1880" s="8" t="s">
        <v>12359</v>
      </c>
      <c r="Z1880" s="8">
        <v>20</v>
      </c>
      <c r="AA1880" s="8">
        <v>0</v>
      </c>
      <c r="AB1880" s="9">
        <v>0</v>
      </c>
    </row>
    <row r="1881" spans="1:28" x14ac:dyDescent="0.2">
      <c r="A1881" s="10">
        <v>23512</v>
      </c>
      <c r="B1881" s="11" t="s">
        <v>12849</v>
      </c>
      <c r="C1881" s="11" t="s">
        <v>350</v>
      </c>
      <c r="D1881" s="11" t="s">
        <v>12850</v>
      </c>
      <c r="E1881" s="11" t="s">
        <v>713</v>
      </c>
      <c r="F1881" s="11" t="s">
        <v>353</v>
      </c>
      <c r="G1881" s="11" t="s">
        <v>121</v>
      </c>
      <c r="H1881" s="11" t="s">
        <v>122</v>
      </c>
      <c r="I1881" s="11" t="s">
        <v>354</v>
      </c>
      <c r="J1881" s="11" t="s">
        <v>12851</v>
      </c>
      <c r="K1881" s="11" t="s">
        <v>125</v>
      </c>
      <c r="L1881" s="11" t="s">
        <v>126</v>
      </c>
      <c r="M1881" s="11" t="s">
        <v>12852</v>
      </c>
      <c r="N1881" s="11" t="s">
        <v>128</v>
      </c>
      <c r="O1881" s="11" t="s">
        <v>12853</v>
      </c>
      <c r="P1881" s="11" t="s">
        <v>12854</v>
      </c>
      <c r="Q1881" s="11" t="s">
        <v>150</v>
      </c>
      <c r="R1881" s="11"/>
      <c r="S1881" s="11" t="s">
        <v>71</v>
      </c>
      <c r="T1881" s="11" t="s">
        <v>6736</v>
      </c>
      <c r="U1881" s="11" t="s">
        <v>150</v>
      </c>
      <c r="V1881" s="11" t="s">
        <v>6736</v>
      </c>
      <c r="W1881" s="11" t="s">
        <v>6736</v>
      </c>
      <c r="X1881" s="11">
        <v>38</v>
      </c>
      <c r="Y1881" s="11" t="s">
        <v>12359</v>
      </c>
      <c r="Z1881" s="11">
        <v>20</v>
      </c>
      <c r="AA1881" s="11">
        <v>0</v>
      </c>
      <c r="AB1881" s="12">
        <v>0</v>
      </c>
    </row>
    <row r="1882" spans="1:28" x14ac:dyDescent="0.2">
      <c r="A1882" s="7">
        <v>23141</v>
      </c>
      <c r="B1882" s="8" t="s">
        <v>12855</v>
      </c>
      <c r="C1882" s="8" t="s">
        <v>1645</v>
      </c>
      <c r="D1882" s="8" t="s">
        <v>1792</v>
      </c>
      <c r="E1882" s="8" t="s">
        <v>12856</v>
      </c>
      <c r="F1882" s="8" t="s">
        <v>1648</v>
      </c>
      <c r="G1882" s="8" t="s">
        <v>328</v>
      </c>
      <c r="H1882" s="8" t="s">
        <v>329</v>
      </c>
      <c r="I1882" s="8" t="s">
        <v>8678</v>
      </c>
      <c r="J1882" s="8" t="s">
        <v>12857</v>
      </c>
      <c r="K1882" s="8" t="s">
        <v>572</v>
      </c>
      <c r="L1882" s="8" t="s">
        <v>333</v>
      </c>
      <c r="M1882" s="8" t="s">
        <v>12858</v>
      </c>
      <c r="N1882" s="8" t="s">
        <v>128</v>
      </c>
      <c r="O1882" s="8" t="s">
        <v>12859</v>
      </c>
      <c r="P1882" s="8" t="s">
        <v>12860</v>
      </c>
      <c r="Q1882" s="8" t="s">
        <v>150</v>
      </c>
      <c r="R1882" s="8"/>
      <c r="S1882" s="8" t="s">
        <v>71</v>
      </c>
      <c r="T1882" s="8" t="s">
        <v>70</v>
      </c>
      <c r="U1882" s="8" t="s">
        <v>150</v>
      </c>
      <c r="V1882" s="8" t="s">
        <v>70</v>
      </c>
      <c r="W1882" s="8" t="s">
        <v>70</v>
      </c>
      <c r="X1882" s="8">
        <v>38</v>
      </c>
      <c r="Y1882" s="8" t="s">
        <v>12359</v>
      </c>
      <c r="Z1882" s="8">
        <v>20</v>
      </c>
      <c r="AA1882" s="8">
        <v>0</v>
      </c>
      <c r="AB1882" s="9">
        <v>0</v>
      </c>
    </row>
    <row r="1883" spans="1:28" x14ac:dyDescent="0.2">
      <c r="A1883" s="10">
        <v>22988</v>
      </c>
      <c r="B1883" s="11" t="s">
        <v>12861</v>
      </c>
      <c r="C1883" s="11" t="s">
        <v>12713</v>
      </c>
      <c r="D1883" s="11" t="s">
        <v>12714</v>
      </c>
      <c r="E1883" s="11" t="s">
        <v>12862</v>
      </c>
      <c r="F1883" s="11" t="s">
        <v>5577</v>
      </c>
      <c r="G1883" s="11" t="s">
        <v>141</v>
      </c>
      <c r="H1883" s="11" t="s">
        <v>142</v>
      </c>
      <c r="I1883" s="11" t="s">
        <v>12715</v>
      </c>
      <c r="J1883" s="11" t="s">
        <v>12716</v>
      </c>
      <c r="K1883" s="11" t="s">
        <v>403</v>
      </c>
      <c r="L1883" s="11" t="s">
        <v>146</v>
      </c>
      <c r="M1883" s="11" t="s">
        <v>12863</v>
      </c>
      <c r="N1883" s="11" t="s">
        <v>128</v>
      </c>
      <c r="O1883" s="11" t="s">
        <v>12864</v>
      </c>
      <c r="P1883" s="11" t="s">
        <v>4365</v>
      </c>
      <c r="Q1883" s="11" t="s">
        <v>150</v>
      </c>
      <c r="R1883" s="11"/>
      <c r="S1883" s="11" t="s">
        <v>12720</v>
      </c>
      <c r="T1883" s="11" t="s">
        <v>70</v>
      </c>
      <c r="U1883" s="11" t="s">
        <v>150</v>
      </c>
      <c r="V1883" s="11" t="s">
        <v>70</v>
      </c>
      <c r="W1883" s="11" t="s">
        <v>70</v>
      </c>
      <c r="X1883" s="11">
        <v>38</v>
      </c>
      <c r="Y1883" s="11" t="s">
        <v>12359</v>
      </c>
      <c r="Z1883" s="11">
        <v>20</v>
      </c>
      <c r="AA1883" s="11">
        <v>0</v>
      </c>
      <c r="AB1883" s="12">
        <v>0</v>
      </c>
    </row>
    <row r="1884" spans="1:28" x14ac:dyDescent="0.2">
      <c r="A1884" s="7">
        <v>23950</v>
      </c>
      <c r="B1884" s="8" t="s">
        <v>12865</v>
      </c>
      <c r="C1884" s="8" t="s">
        <v>12866</v>
      </c>
      <c r="D1884" s="8" t="s">
        <v>12867</v>
      </c>
      <c r="E1884" s="8" t="s">
        <v>281</v>
      </c>
      <c r="F1884" s="8" t="s">
        <v>12792</v>
      </c>
      <c r="G1884" s="8" t="s">
        <v>1952</v>
      </c>
      <c r="H1884" s="8" t="s">
        <v>1953</v>
      </c>
      <c r="I1884" s="8" t="s">
        <v>12868</v>
      </c>
      <c r="J1884" s="8" t="s">
        <v>12869</v>
      </c>
      <c r="K1884" s="8" t="s">
        <v>1956</v>
      </c>
      <c r="L1884" s="8" t="s">
        <v>526</v>
      </c>
      <c r="M1884" s="8" t="s">
        <v>12870</v>
      </c>
      <c r="N1884" s="8" t="s">
        <v>128</v>
      </c>
      <c r="O1884" s="8" t="s">
        <v>12871</v>
      </c>
      <c r="P1884" s="8" t="s">
        <v>11121</v>
      </c>
      <c r="Q1884" s="8" t="s">
        <v>150</v>
      </c>
      <c r="R1884" s="8"/>
      <c r="S1884" s="8" t="s">
        <v>71</v>
      </c>
      <c r="T1884" s="8" t="s">
        <v>168</v>
      </c>
      <c r="U1884" s="8" t="s">
        <v>150</v>
      </c>
      <c r="V1884" s="8" t="s">
        <v>168</v>
      </c>
      <c r="W1884" s="8" t="s">
        <v>168</v>
      </c>
      <c r="X1884" s="8">
        <v>38</v>
      </c>
      <c r="Y1884" s="8" t="s">
        <v>12359</v>
      </c>
      <c r="Z1884" s="8">
        <v>20</v>
      </c>
      <c r="AA1884" s="8">
        <v>0</v>
      </c>
      <c r="AB1884" s="9">
        <v>0</v>
      </c>
    </row>
    <row r="1885" spans="1:28" x14ac:dyDescent="0.2">
      <c r="A1885" s="10">
        <v>22140</v>
      </c>
      <c r="B1885" s="11" t="s">
        <v>12872</v>
      </c>
      <c r="C1885" s="11" t="s">
        <v>644</v>
      </c>
      <c r="D1885" s="11" t="s">
        <v>645</v>
      </c>
      <c r="E1885" s="11" t="s">
        <v>12873</v>
      </c>
      <c r="F1885" s="11" t="s">
        <v>647</v>
      </c>
      <c r="G1885" s="11" t="s">
        <v>648</v>
      </c>
      <c r="H1885" s="11" t="s">
        <v>142</v>
      </c>
      <c r="I1885" s="11" t="s">
        <v>649</v>
      </c>
      <c r="J1885" s="11" t="s">
        <v>650</v>
      </c>
      <c r="K1885" s="11" t="s">
        <v>651</v>
      </c>
      <c r="L1885" s="11" t="s">
        <v>146</v>
      </c>
      <c r="M1885" s="11" t="s">
        <v>12874</v>
      </c>
      <c r="N1885" s="11" t="s">
        <v>128</v>
      </c>
      <c r="O1885" s="11" t="s">
        <v>12875</v>
      </c>
      <c r="P1885" s="11"/>
      <c r="Q1885" s="11" t="s">
        <v>249</v>
      </c>
      <c r="R1885" s="11"/>
      <c r="S1885" s="11" t="s">
        <v>655</v>
      </c>
      <c r="T1885" s="11" t="s">
        <v>1523</v>
      </c>
      <c r="U1885" s="11" t="s">
        <v>134</v>
      </c>
      <c r="V1885" s="11" t="s">
        <v>249</v>
      </c>
      <c r="W1885" s="11" t="s">
        <v>1523</v>
      </c>
      <c r="X1885" s="11">
        <v>38</v>
      </c>
      <c r="Y1885" s="11" t="s">
        <v>12359</v>
      </c>
      <c r="Z1885" s="11">
        <v>20</v>
      </c>
      <c r="AA1885" s="11">
        <v>0</v>
      </c>
      <c r="AB1885" s="12">
        <v>0</v>
      </c>
    </row>
    <row r="1886" spans="1:28" x14ac:dyDescent="0.2">
      <c r="A1886" s="7">
        <v>25421</v>
      </c>
      <c r="B1886" s="8" t="s">
        <v>12876</v>
      </c>
      <c r="C1886" s="8" t="s">
        <v>12713</v>
      </c>
      <c r="D1886" s="8" t="s">
        <v>12714</v>
      </c>
      <c r="E1886" s="8" t="s">
        <v>12877</v>
      </c>
      <c r="F1886" s="8" t="s">
        <v>5577</v>
      </c>
      <c r="G1886" s="8" t="s">
        <v>141</v>
      </c>
      <c r="H1886" s="8" t="s">
        <v>142</v>
      </c>
      <c r="I1886" s="8" t="s">
        <v>12715</v>
      </c>
      <c r="J1886" s="8" t="s">
        <v>12716</v>
      </c>
      <c r="K1886" s="8" t="s">
        <v>403</v>
      </c>
      <c r="L1886" s="8" t="s">
        <v>146</v>
      </c>
      <c r="M1886" s="8" t="s">
        <v>12878</v>
      </c>
      <c r="N1886" s="8" t="s">
        <v>128</v>
      </c>
      <c r="O1886" s="8" t="s">
        <v>12879</v>
      </c>
      <c r="P1886" s="8" t="s">
        <v>12880</v>
      </c>
      <c r="Q1886" s="8" t="s">
        <v>249</v>
      </c>
      <c r="R1886" s="8"/>
      <c r="S1886" s="8" t="s">
        <v>12720</v>
      </c>
      <c r="T1886" s="8" t="s">
        <v>250</v>
      </c>
      <c r="U1886" s="8" t="s">
        <v>134</v>
      </c>
      <c r="V1886" s="8" t="s">
        <v>249</v>
      </c>
      <c r="W1886" s="8" t="s">
        <v>250</v>
      </c>
      <c r="X1886" s="8">
        <v>38</v>
      </c>
      <c r="Y1886" s="8" t="s">
        <v>12359</v>
      </c>
      <c r="Z1886" s="8">
        <v>20</v>
      </c>
      <c r="AA1886" s="8">
        <v>0</v>
      </c>
      <c r="AB1886" s="9">
        <v>0</v>
      </c>
    </row>
    <row r="1887" spans="1:28" x14ac:dyDescent="0.2">
      <c r="A1887" s="10">
        <v>126082</v>
      </c>
      <c r="B1887" s="11" t="s">
        <v>12881</v>
      </c>
      <c r="C1887" s="11" t="s">
        <v>12882</v>
      </c>
      <c r="D1887" s="11" t="s">
        <v>12883</v>
      </c>
      <c r="E1887" s="11"/>
      <c r="F1887" s="11" t="s">
        <v>7228</v>
      </c>
      <c r="G1887" s="11" t="s">
        <v>4226</v>
      </c>
      <c r="H1887" s="11" t="s">
        <v>329</v>
      </c>
      <c r="I1887" s="11" t="s">
        <v>12884</v>
      </c>
      <c r="J1887" s="11" t="s">
        <v>12885</v>
      </c>
      <c r="K1887" s="11" t="s">
        <v>415</v>
      </c>
      <c r="L1887" s="11" t="s">
        <v>333</v>
      </c>
      <c r="M1887" s="11" t="s">
        <v>12886</v>
      </c>
      <c r="N1887" s="11" t="s">
        <v>128</v>
      </c>
      <c r="O1887" s="11" t="s">
        <v>12887</v>
      </c>
      <c r="P1887" s="11" t="s">
        <v>12888</v>
      </c>
      <c r="Q1887" s="11" t="s">
        <v>150</v>
      </c>
      <c r="R1887" s="11"/>
      <c r="S1887" s="11" t="s">
        <v>71</v>
      </c>
      <c r="T1887" s="11" t="s">
        <v>289</v>
      </c>
      <c r="U1887" s="11" t="s">
        <v>150</v>
      </c>
      <c r="V1887" s="11" t="s">
        <v>289</v>
      </c>
      <c r="W1887" s="11" t="s">
        <v>289</v>
      </c>
      <c r="X1887" s="11">
        <v>37</v>
      </c>
      <c r="Y1887" s="11" t="s">
        <v>12359</v>
      </c>
      <c r="Z1887" s="11">
        <v>20</v>
      </c>
      <c r="AA1887" s="11">
        <v>0</v>
      </c>
      <c r="AB1887" s="12">
        <v>0</v>
      </c>
    </row>
    <row r="1888" spans="1:28" x14ac:dyDescent="0.2">
      <c r="A1888" s="7">
        <v>107963</v>
      </c>
      <c r="B1888" s="8" t="s">
        <v>12889</v>
      </c>
      <c r="C1888" s="8" t="s">
        <v>6307</v>
      </c>
      <c r="D1888" s="8" t="s">
        <v>6384</v>
      </c>
      <c r="E1888" s="8" t="s">
        <v>8263</v>
      </c>
      <c r="F1888" s="8" t="s">
        <v>6386</v>
      </c>
      <c r="G1888" s="8" t="s">
        <v>121</v>
      </c>
      <c r="H1888" s="8" t="s">
        <v>122</v>
      </c>
      <c r="I1888" s="8" t="s">
        <v>6387</v>
      </c>
      <c r="J1888" s="8" t="s">
        <v>12890</v>
      </c>
      <c r="K1888" s="8" t="s">
        <v>1051</v>
      </c>
      <c r="L1888" s="8" t="s">
        <v>126</v>
      </c>
      <c r="M1888" s="8" t="s">
        <v>12891</v>
      </c>
      <c r="N1888" s="8" t="s">
        <v>128</v>
      </c>
      <c r="O1888" s="8" t="s">
        <v>12892</v>
      </c>
      <c r="P1888" s="8"/>
      <c r="Q1888" s="8" t="s">
        <v>131</v>
      </c>
      <c r="R1888" s="8"/>
      <c r="S1888" s="8" t="s">
        <v>6392</v>
      </c>
      <c r="T1888" s="8" t="s">
        <v>983</v>
      </c>
      <c r="U1888" s="8" t="s">
        <v>134</v>
      </c>
      <c r="V1888" s="8" t="s">
        <v>131</v>
      </c>
      <c r="W1888" s="8" t="s">
        <v>983</v>
      </c>
      <c r="X1888" s="8">
        <v>37</v>
      </c>
      <c r="Y1888" s="8" t="s">
        <v>12359</v>
      </c>
      <c r="Z1888" s="8">
        <v>20</v>
      </c>
      <c r="AA1888" s="8">
        <v>0</v>
      </c>
      <c r="AB1888" s="9">
        <v>0</v>
      </c>
    </row>
    <row r="1889" spans="1:28" x14ac:dyDescent="0.2">
      <c r="A1889" s="10">
        <v>22659</v>
      </c>
      <c r="B1889" s="11" t="s">
        <v>12893</v>
      </c>
      <c r="C1889" s="11" t="s">
        <v>12894</v>
      </c>
      <c r="D1889" s="11" t="s">
        <v>12895</v>
      </c>
      <c r="E1889" s="11"/>
      <c r="F1889" s="11" t="s">
        <v>353</v>
      </c>
      <c r="G1889" s="11" t="s">
        <v>2435</v>
      </c>
      <c r="H1889" s="11" t="s">
        <v>142</v>
      </c>
      <c r="I1889" s="11" t="s">
        <v>3847</v>
      </c>
      <c r="J1889" s="11" t="s">
        <v>12896</v>
      </c>
      <c r="K1889" s="11" t="s">
        <v>1029</v>
      </c>
      <c r="L1889" s="11" t="s">
        <v>464</v>
      </c>
      <c r="M1889" s="11" t="s">
        <v>12897</v>
      </c>
      <c r="N1889" s="11" t="s">
        <v>128</v>
      </c>
      <c r="O1889" s="11" t="s">
        <v>12898</v>
      </c>
      <c r="P1889" s="11"/>
      <c r="Q1889" s="11" t="s">
        <v>131</v>
      </c>
      <c r="R1889" s="11"/>
      <c r="S1889" s="11" t="s">
        <v>71</v>
      </c>
      <c r="T1889" s="11" t="s">
        <v>983</v>
      </c>
      <c r="U1889" s="11" t="s">
        <v>134</v>
      </c>
      <c r="V1889" s="11" t="s">
        <v>131</v>
      </c>
      <c r="W1889" s="11" t="s">
        <v>983</v>
      </c>
      <c r="X1889" s="11">
        <v>37</v>
      </c>
      <c r="Y1889" s="11" t="s">
        <v>12359</v>
      </c>
      <c r="Z1889" s="11">
        <v>20</v>
      </c>
      <c r="AA1889" s="11">
        <v>0</v>
      </c>
      <c r="AB1889" s="12">
        <v>0</v>
      </c>
    </row>
    <row r="1890" spans="1:28" x14ac:dyDescent="0.2">
      <c r="A1890" s="7">
        <v>21853</v>
      </c>
      <c r="B1890" s="8" t="s">
        <v>12899</v>
      </c>
      <c r="C1890" s="8" t="s">
        <v>9124</v>
      </c>
      <c r="D1890" s="8" t="s">
        <v>138</v>
      </c>
      <c r="E1890" s="8" t="s">
        <v>12900</v>
      </c>
      <c r="F1890" s="8" t="s">
        <v>9125</v>
      </c>
      <c r="G1890" s="8" t="s">
        <v>141</v>
      </c>
      <c r="H1890" s="8" t="s">
        <v>142</v>
      </c>
      <c r="I1890" s="8" t="s">
        <v>11507</v>
      </c>
      <c r="J1890" s="8" t="s">
        <v>9127</v>
      </c>
      <c r="K1890" s="8" t="s">
        <v>991</v>
      </c>
      <c r="L1890" s="8" t="s">
        <v>146</v>
      </c>
      <c r="M1890" s="8" t="s">
        <v>12901</v>
      </c>
      <c r="N1890" s="8" t="s">
        <v>128</v>
      </c>
      <c r="O1890" s="8" t="s">
        <v>12902</v>
      </c>
      <c r="P1890" s="8" t="s">
        <v>12903</v>
      </c>
      <c r="Q1890" s="8" t="s">
        <v>131</v>
      </c>
      <c r="R1890" s="8"/>
      <c r="S1890" s="8" t="s">
        <v>9131</v>
      </c>
      <c r="T1890" s="8" t="s">
        <v>133</v>
      </c>
      <c r="U1890" s="8" t="s">
        <v>134</v>
      </c>
      <c r="V1890" s="8" t="s">
        <v>131</v>
      </c>
      <c r="W1890" s="8" t="s">
        <v>133</v>
      </c>
      <c r="X1890" s="8">
        <v>37</v>
      </c>
      <c r="Y1890" s="8" t="s">
        <v>12359</v>
      </c>
      <c r="Z1890" s="8">
        <v>20</v>
      </c>
      <c r="AA1890" s="8">
        <v>0</v>
      </c>
      <c r="AB1890" s="9">
        <v>0</v>
      </c>
    </row>
    <row r="1891" spans="1:28" x14ac:dyDescent="0.2">
      <c r="A1891" s="10">
        <v>21815</v>
      </c>
      <c r="B1891" s="11" t="s">
        <v>12904</v>
      </c>
      <c r="C1891" s="11" t="s">
        <v>5958</v>
      </c>
      <c r="D1891" s="11" t="s">
        <v>5959</v>
      </c>
      <c r="E1891" s="11" t="s">
        <v>12905</v>
      </c>
      <c r="F1891" s="11" t="s">
        <v>5960</v>
      </c>
      <c r="G1891" s="11" t="s">
        <v>615</v>
      </c>
      <c r="H1891" s="11" t="s">
        <v>616</v>
      </c>
      <c r="I1891" s="11" t="s">
        <v>5961</v>
      </c>
      <c r="J1891" s="11" t="s">
        <v>5962</v>
      </c>
      <c r="K1891" s="11" t="s">
        <v>619</v>
      </c>
      <c r="L1891" s="11" t="s">
        <v>163</v>
      </c>
      <c r="M1891" s="11" t="s">
        <v>12906</v>
      </c>
      <c r="N1891" s="11" t="s">
        <v>128</v>
      </c>
      <c r="O1891" s="11" t="s">
        <v>12907</v>
      </c>
      <c r="P1891" s="11" t="s">
        <v>12908</v>
      </c>
      <c r="Q1891" s="11" t="s">
        <v>131</v>
      </c>
      <c r="R1891" s="11"/>
      <c r="S1891" s="11" t="s">
        <v>5966</v>
      </c>
      <c r="T1891" s="11" t="s">
        <v>133</v>
      </c>
      <c r="U1891" s="11" t="s">
        <v>134</v>
      </c>
      <c r="V1891" s="11" t="s">
        <v>131</v>
      </c>
      <c r="W1891" s="11" t="s">
        <v>133</v>
      </c>
      <c r="X1891" s="11">
        <v>37</v>
      </c>
      <c r="Y1891" s="11" t="s">
        <v>12359</v>
      </c>
      <c r="Z1891" s="11">
        <v>20</v>
      </c>
      <c r="AA1891" s="11">
        <v>0</v>
      </c>
      <c r="AB1891" s="12">
        <v>0</v>
      </c>
    </row>
    <row r="1892" spans="1:28" x14ac:dyDescent="0.2">
      <c r="A1892" s="7">
        <v>22900</v>
      </c>
      <c r="B1892" s="8" t="s">
        <v>12909</v>
      </c>
      <c r="C1892" s="8" t="s">
        <v>6953</v>
      </c>
      <c r="D1892" s="8" t="s">
        <v>6954</v>
      </c>
      <c r="E1892" s="8" t="s">
        <v>12910</v>
      </c>
      <c r="F1892" s="8" t="s">
        <v>6956</v>
      </c>
      <c r="G1892" s="8" t="s">
        <v>2332</v>
      </c>
      <c r="H1892" s="8" t="s">
        <v>142</v>
      </c>
      <c r="I1892" s="8" t="s">
        <v>6957</v>
      </c>
      <c r="J1892" s="8" t="s">
        <v>6958</v>
      </c>
      <c r="K1892" s="8" t="s">
        <v>779</v>
      </c>
      <c r="L1892" s="8" t="s">
        <v>464</v>
      </c>
      <c r="M1892" s="8" t="s">
        <v>12911</v>
      </c>
      <c r="N1892" s="8" t="s">
        <v>128</v>
      </c>
      <c r="O1892" s="8" t="s">
        <v>12912</v>
      </c>
      <c r="P1892" s="8" t="s">
        <v>12913</v>
      </c>
      <c r="Q1892" s="8" t="s">
        <v>150</v>
      </c>
      <c r="R1892" s="8"/>
      <c r="S1892" s="8" t="s">
        <v>6961</v>
      </c>
      <c r="T1892" s="8" t="s">
        <v>70</v>
      </c>
      <c r="U1892" s="8" t="s">
        <v>150</v>
      </c>
      <c r="V1892" s="8" t="s">
        <v>70</v>
      </c>
      <c r="W1892" s="8" t="s">
        <v>70</v>
      </c>
      <c r="X1892" s="8">
        <v>37</v>
      </c>
      <c r="Y1892" s="8" t="s">
        <v>12359</v>
      </c>
      <c r="Z1892" s="8">
        <v>20</v>
      </c>
      <c r="AA1892" s="8">
        <v>0</v>
      </c>
      <c r="AB1892" s="9">
        <v>0</v>
      </c>
    </row>
    <row r="1893" spans="1:28" x14ac:dyDescent="0.2">
      <c r="A1893" s="10">
        <v>85455</v>
      </c>
      <c r="B1893" s="11" t="s">
        <v>12914</v>
      </c>
      <c r="C1893" s="11" t="s">
        <v>8051</v>
      </c>
      <c r="D1893" s="11" t="s">
        <v>12915</v>
      </c>
      <c r="E1893" s="11"/>
      <c r="F1893" s="11" t="s">
        <v>6430</v>
      </c>
      <c r="G1893" s="11" t="s">
        <v>1488</v>
      </c>
      <c r="H1893" s="11" t="s">
        <v>329</v>
      </c>
      <c r="I1893" s="11" t="s">
        <v>7383</v>
      </c>
      <c r="J1893" s="11" t="s">
        <v>12916</v>
      </c>
      <c r="K1893" s="11" t="s">
        <v>415</v>
      </c>
      <c r="L1893" s="11" t="s">
        <v>333</v>
      </c>
      <c r="M1893" s="11" t="s">
        <v>12917</v>
      </c>
      <c r="N1893" s="11" t="s">
        <v>128</v>
      </c>
      <c r="O1893" s="11" t="s">
        <v>12918</v>
      </c>
      <c r="P1893" s="11" t="s">
        <v>12919</v>
      </c>
      <c r="Q1893" s="11" t="s">
        <v>150</v>
      </c>
      <c r="R1893" s="11"/>
      <c r="S1893" s="11" t="s">
        <v>71</v>
      </c>
      <c r="T1893" s="11" t="s">
        <v>168</v>
      </c>
      <c r="U1893" s="11" t="s">
        <v>150</v>
      </c>
      <c r="V1893" s="11" t="s">
        <v>168</v>
      </c>
      <c r="W1893" s="11" t="s">
        <v>168</v>
      </c>
      <c r="X1893" s="11">
        <v>37</v>
      </c>
      <c r="Y1893" s="11" t="s">
        <v>12359</v>
      </c>
      <c r="Z1893" s="11">
        <v>20</v>
      </c>
      <c r="AA1893" s="11">
        <v>0</v>
      </c>
      <c r="AB1893" s="12">
        <v>0</v>
      </c>
    </row>
    <row r="1894" spans="1:28" x14ac:dyDescent="0.2">
      <c r="A1894" s="7">
        <v>24991</v>
      </c>
      <c r="B1894" s="8" t="s">
        <v>12920</v>
      </c>
      <c r="C1894" s="8" t="s">
        <v>12472</v>
      </c>
      <c r="D1894" s="8" t="s">
        <v>9529</v>
      </c>
      <c r="E1894" s="8"/>
      <c r="F1894" s="8" t="s">
        <v>353</v>
      </c>
      <c r="G1894" s="8" t="s">
        <v>6409</v>
      </c>
      <c r="H1894" s="8" t="s">
        <v>6410</v>
      </c>
      <c r="I1894" s="8" t="s">
        <v>12921</v>
      </c>
      <c r="J1894" s="8" t="s">
        <v>12922</v>
      </c>
      <c r="K1894" s="8" t="s">
        <v>1956</v>
      </c>
      <c r="L1894" s="8" t="s">
        <v>526</v>
      </c>
      <c r="M1894" s="8" t="s">
        <v>12923</v>
      </c>
      <c r="N1894" s="8" t="s">
        <v>128</v>
      </c>
      <c r="O1894" s="8" t="s">
        <v>12924</v>
      </c>
      <c r="P1894" s="8" t="s">
        <v>5798</v>
      </c>
      <c r="Q1894" s="8" t="s">
        <v>150</v>
      </c>
      <c r="R1894" s="8"/>
      <c r="S1894" s="8" t="s">
        <v>71</v>
      </c>
      <c r="T1894" s="8" t="s">
        <v>1738</v>
      </c>
      <c r="U1894" s="8" t="s">
        <v>150</v>
      </c>
      <c r="V1894" s="8" t="s">
        <v>1738</v>
      </c>
      <c r="W1894" s="8" t="s">
        <v>1738</v>
      </c>
      <c r="X1894" s="8">
        <v>37</v>
      </c>
      <c r="Y1894" s="8" t="s">
        <v>12359</v>
      </c>
      <c r="Z1894" s="8">
        <v>20</v>
      </c>
      <c r="AA1894" s="8">
        <v>0</v>
      </c>
      <c r="AB1894" s="9">
        <v>0</v>
      </c>
    </row>
    <row r="1895" spans="1:28" x14ac:dyDescent="0.2">
      <c r="A1895" s="10">
        <v>25285</v>
      </c>
      <c r="B1895" s="11" t="s">
        <v>12925</v>
      </c>
      <c r="C1895" s="11" t="s">
        <v>12926</v>
      </c>
      <c r="D1895" s="11" t="s">
        <v>7341</v>
      </c>
      <c r="E1895" s="11"/>
      <c r="F1895" s="11" t="s">
        <v>12927</v>
      </c>
      <c r="G1895" s="11" t="s">
        <v>1196</v>
      </c>
      <c r="H1895" s="11" t="s">
        <v>142</v>
      </c>
      <c r="I1895" s="11" t="s">
        <v>7365</v>
      </c>
      <c r="J1895" s="11" t="s">
        <v>12928</v>
      </c>
      <c r="K1895" s="11" t="s">
        <v>1199</v>
      </c>
      <c r="L1895" s="11" t="s">
        <v>464</v>
      </c>
      <c r="M1895" s="11" t="s">
        <v>12929</v>
      </c>
      <c r="N1895" s="11" t="s">
        <v>128</v>
      </c>
      <c r="O1895" s="11" t="s">
        <v>12930</v>
      </c>
      <c r="P1895" s="11" t="s">
        <v>12931</v>
      </c>
      <c r="Q1895" s="11" t="s">
        <v>740</v>
      </c>
      <c r="R1895" s="11"/>
      <c r="S1895" s="11" t="s">
        <v>7370</v>
      </c>
      <c r="T1895" s="11" t="s">
        <v>741</v>
      </c>
      <c r="U1895" s="11" t="s">
        <v>134</v>
      </c>
      <c r="V1895" s="11" t="s">
        <v>740</v>
      </c>
      <c r="W1895" s="11" t="s">
        <v>741</v>
      </c>
      <c r="X1895" s="11">
        <v>37</v>
      </c>
      <c r="Y1895" s="11" t="s">
        <v>12359</v>
      </c>
      <c r="Z1895" s="11">
        <v>20</v>
      </c>
      <c r="AA1895" s="11">
        <v>0</v>
      </c>
      <c r="AB1895" s="12">
        <v>0</v>
      </c>
    </row>
    <row r="1896" spans="1:28" x14ac:dyDescent="0.2">
      <c r="A1896" s="7">
        <v>25516</v>
      </c>
      <c r="B1896" s="8" t="s">
        <v>12932</v>
      </c>
      <c r="C1896" s="8" t="s">
        <v>12933</v>
      </c>
      <c r="D1896" s="8" t="s">
        <v>904</v>
      </c>
      <c r="E1896" s="8"/>
      <c r="F1896" s="8" t="s">
        <v>12934</v>
      </c>
      <c r="G1896" s="8" t="s">
        <v>2642</v>
      </c>
      <c r="H1896" s="8" t="s">
        <v>329</v>
      </c>
      <c r="I1896" s="8" t="s">
        <v>12935</v>
      </c>
      <c r="J1896" s="8" t="s">
        <v>12936</v>
      </c>
      <c r="K1896" s="8" t="s">
        <v>572</v>
      </c>
      <c r="L1896" s="8" t="s">
        <v>333</v>
      </c>
      <c r="M1896" s="8" t="s">
        <v>12937</v>
      </c>
      <c r="N1896" s="8" t="s">
        <v>128</v>
      </c>
      <c r="O1896" s="8" t="s">
        <v>12938</v>
      </c>
      <c r="P1896" s="8" t="s">
        <v>12939</v>
      </c>
      <c r="Q1896" s="8" t="s">
        <v>249</v>
      </c>
      <c r="R1896" s="8"/>
      <c r="S1896" s="8" t="s">
        <v>12940</v>
      </c>
      <c r="T1896" s="8" t="s">
        <v>250</v>
      </c>
      <c r="U1896" s="8" t="s">
        <v>134</v>
      </c>
      <c r="V1896" s="8" t="s">
        <v>249</v>
      </c>
      <c r="W1896" s="8" t="s">
        <v>250</v>
      </c>
      <c r="X1896" s="8">
        <v>37</v>
      </c>
      <c r="Y1896" s="8" t="s">
        <v>12359</v>
      </c>
      <c r="Z1896" s="8">
        <v>20</v>
      </c>
      <c r="AA1896" s="8">
        <v>0</v>
      </c>
      <c r="AB1896" s="9">
        <v>0</v>
      </c>
    </row>
    <row r="1897" spans="1:28" x14ac:dyDescent="0.2">
      <c r="A1897" s="10">
        <v>21332</v>
      </c>
      <c r="B1897" s="11" t="s">
        <v>12941</v>
      </c>
      <c r="C1897" s="11" t="s">
        <v>8906</v>
      </c>
      <c r="D1897" s="11" t="s">
        <v>1807</v>
      </c>
      <c r="E1897" s="11"/>
      <c r="F1897" s="11" t="s">
        <v>12942</v>
      </c>
      <c r="G1897" s="11" t="s">
        <v>7038</v>
      </c>
      <c r="H1897" s="11" t="s">
        <v>142</v>
      </c>
      <c r="I1897" s="11" t="s">
        <v>12943</v>
      </c>
      <c r="J1897" s="11" t="s">
        <v>12944</v>
      </c>
      <c r="K1897" s="11" t="s">
        <v>974</v>
      </c>
      <c r="L1897" s="11" t="s">
        <v>146</v>
      </c>
      <c r="M1897" s="11" t="s">
        <v>12945</v>
      </c>
      <c r="N1897" s="11" t="s">
        <v>128</v>
      </c>
      <c r="O1897" s="11" t="s">
        <v>12946</v>
      </c>
      <c r="P1897" s="11" t="s">
        <v>12947</v>
      </c>
      <c r="Q1897" s="11" t="s">
        <v>150</v>
      </c>
      <c r="R1897" s="11"/>
      <c r="S1897" s="11" t="s">
        <v>71</v>
      </c>
      <c r="T1897" s="11" t="s">
        <v>67</v>
      </c>
      <c r="U1897" s="11" t="s">
        <v>150</v>
      </c>
      <c r="V1897" s="11" t="s">
        <v>152</v>
      </c>
      <c r="W1897" s="11" t="s">
        <v>67</v>
      </c>
      <c r="X1897" s="11">
        <v>36</v>
      </c>
      <c r="Y1897" s="11" t="s">
        <v>12359</v>
      </c>
      <c r="Z1897" s="11">
        <v>20</v>
      </c>
      <c r="AA1897" s="11">
        <v>0</v>
      </c>
      <c r="AB1897" s="12">
        <v>0</v>
      </c>
    </row>
    <row r="1898" spans="1:28" x14ac:dyDescent="0.2">
      <c r="A1898" s="7">
        <v>21915</v>
      </c>
      <c r="B1898" s="8" t="s">
        <v>12948</v>
      </c>
      <c r="C1898" s="8" t="s">
        <v>466</v>
      </c>
      <c r="D1898" s="8" t="s">
        <v>467</v>
      </c>
      <c r="E1898" s="8"/>
      <c r="F1898" s="8" t="s">
        <v>468</v>
      </c>
      <c r="G1898" s="8" t="s">
        <v>469</v>
      </c>
      <c r="H1898" s="8" t="s">
        <v>142</v>
      </c>
      <c r="I1898" s="8" t="s">
        <v>470</v>
      </c>
      <c r="J1898" s="8" t="s">
        <v>471</v>
      </c>
      <c r="K1898" s="8" t="s">
        <v>472</v>
      </c>
      <c r="L1898" s="8" t="s">
        <v>146</v>
      </c>
      <c r="M1898" s="8" t="s">
        <v>12949</v>
      </c>
      <c r="N1898" s="8" t="s">
        <v>128</v>
      </c>
      <c r="O1898" s="8" t="s">
        <v>12950</v>
      </c>
      <c r="P1898" s="8" t="s">
        <v>12951</v>
      </c>
      <c r="Q1898" s="8" t="s">
        <v>131</v>
      </c>
      <c r="R1898" s="8"/>
      <c r="S1898" s="8" t="s">
        <v>476</v>
      </c>
      <c r="T1898" s="8" t="s">
        <v>133</v>
      </c>
      <c r="U1898" s="8" t="s">
        <v>134</v>
      </c>
      <c r="V1898" s="8" t="s">
        <v>131</v>
      </c>
      <c r="W1898" s="8" t="s">
        <v>133</v>
      </c>
      <c r="X1898" s="8">
        <v>36</v>
      </c>
      <c r="Y1898" s="8" t="s">
        <v>12359</v>
      </c>
      <c r="Z1898" s="8">
        <v>20</v>
      </c>
      <c r="AA1898" s="8">
        <v>0</v>
      </c>
      <c r="AB1898" s="9">
        <v>0</v>
      </c>
    </row>
    <row r="1899" spans="1:28" x14ac:dyDescent="0.2">
      <c r="A1899" s="10">
        <v>23152</v>
      </c>
      <c r="B1899" s="11" t="s">
        <v>12952</v>
      </c>
      <c r="C1899" s="11" t="s">
        <v>12953</v>
      </c>
      <c r="D1899" s="11" t="s">
        <v>7623</v>
      </c>
      <c r="E1899" s="11" t="s">
        <v>1206</v>
      </c>
      <c r="F1899" s="11" t="s">
        <v>12954</v>
      </c>
      <c r="G1899" s="11" t="s">
        <v>2642</v>
      </c>
      <c r="H1899" s="11" t="s">
        <v>329</v>
      </c>
      <c r="I1899" s="11" t="s">
        <v>12955</v>
      </c>
      <c r="J1899" s="11" t="s">
        <v>12956</v>
      </c>
      <c r="K1899" s="11" t="s">
        <v>572</v>
      </c>
      <c r="L1899" s="11" t="s">
        <v>333</v>
      </c>
      <c r="M1899" s="11" t="s">
        <v>12957</v>
      </c>
      <c r="N1899" s="11" t="s">
        <v>128</v>
      </c>
      <c r="O1899" s="11" t="s">
        <v>12958</v>
      </c>
      <c r="P1899" s="11" t="s">
        <v>12959</v>
      </c>
      <c r="Q1899" s="11" t="s">
        <v>150</v>
      </c>
      <c r="R1899" s="11"/>
      <c r="S1899" s="11" t="s">
        <v>71</v>
      </c>
      <c r="T1899" s="11" t="s">
        <v>70</v>
      </c>
      <c r="U1899" s="11" t="s">
        <v>150</v>
      </c>
      <c r="V1899" s="11" t="s">
        <v>70</v>
      </c>
      <c r="W1899" s="11" t="s">
        <v>70</v>
      </c>
      <c r="X1899" s="11">
        <v>36</v>
      </c>
      <c r="Y1899" s="11" t="s">
        <v>12359</v>
      </c>
      <c r="Z1899" s="11">
        <v>20</v>
      </c>
      <c r="AA1899" s="11">
        <v>0</v>
      </c>
      <c r="AB1899" s="12">
        <v>0</v>
      </c>
    </row>
    <row r="1900" spans="1:28" x14ac:dyDescent="0.2">
      <c r="A1900" s="7">
        <v>23943</v>
      </c>
      <c r="B1900" s="8" t="s">
        <v>12960</v>
      </c>
      <c r="C1900" s="8" t="s">
        <v>842</v>
      </c>
      <c r="D1900" s="8" t="s">
        <v>3870</v>
      </c>
      <c r="E1900" s="8" t="s">
        <v>135</v>
      </c>
      <c r="F1900" s="8" t="s">
        <v>3464</v>
      </c>
      <c r="G1900" s="8" t="s">
        <v>1419</v>
      </c>
      <c r="H1900" s="8" t="s">
        <v>704</v>
      </c>
      <c r="I1900" s="8" t="s">
        <v>12961</v>
      </c>
      <c r="J1900" s="8" t="s">
        <v>12962</v>
      </c>
      <c r="K1900" s="8" t="s">
        <v>707</v>
      </c>
      <c r="L1900" s="8" t="s">
        <v>126</v>
      </c>
      <c r="M1900" s="8" t="s">
        <v>12963</v>
      </c>
      <c r="N1900" s="8" t="s">
        <v>128</v>
      </c>
      <c r="O1900" s="8" t="s">
        <v>12964</v>
      </c>
      <c r="P1900" s="8" t="s">
        <v>12965</v>
      </c>
      <c r="Q1900" s="8" t="s">
        <v>150</v>
      </c>
      <c r="R1900" s="8"/>
      <c r="S1900" s="8" t="s">
        <v>71</v>
      </c>
      <c r="T1900" s="8" t="s">
        <v>168</v>
      </c>
      <c r="U1900" s="8" t="s">
        <v>150</v>
      </c>
      <c r="V1900" s="8" t="s">
        <v>168</v>
      </c>
      <c r="W1900" s="8" t="s">
        <v>168</v>
      </c>
      <c r="X1900" s="8">
        <v>36</v>
      </c>
      <c r="Y1900" s="8" t="s">
        <v>12359</v>
      </c>
      <c r="Z1900" s="8">
        <v>20</v>
      </c>
      <c r="AA1900" s="8">
        <v>0</v>
      </c>
      <c r="AB1900" s="9">
        <v>0</v>
      </c>
    </row>
    <row r="1901" spans="1:28" x14ac:dyDescent="0.2">
      <c r="A1901" s="10">
        <v>23873</v>
      </c>
      <c r="B1901" s="11" t="s">
        <v>12966</v>
      </c>
      <c r="C1901" s="11" t="s">
        <v>7773</v>
      </c>
      <c r="D1901" s="11" t="s">
        <v>8299</v>
      </c>
      <c r="E1901" s="11"/>
      <c r="F1901" s="11" t="s">
        <v>353</v>
      </c>
      <c r="G1901" s="11" t="s">
        <v>1813</v>
      </c>
      <c r="H1901" s="11" t="s">
        <v>142</v>
      </c>
      <c r="I1901" s="11" t="s">
        <v>7774</v>
      </c>
      <c r="J1901" s="11" t="s">
        <v>12967</v>
      </c>
      <c r="K1901" s="11" t="s">
        <v>974</v>
      </c>
      <c r="L1901" s="11" t="s">
        <v>146</v>
      </c>
      <c r="M1901" s="11" t="s">
        <v>12968</v>
      </c>
      <c r="N1901" s="11" t="s">
        <v>128</v>
      </c>
      <c r="O1901" s="11" t="s">
        <v>12969</v>
      </c>
      <c r="P1901" s="11" t="s">
        <v>12970</v>
      </c>
      <c r="Q1901" s="11" t="s">
        <v>150</v>
      </c>
      <c r="R1901" s="11"/>
      <c r="S1901" s="11" t="s">
        <v>71</v>
      </c>
      <c r="T1901" s="11" t="s">
        <v>168</v>
      </c>
      <c r="U1901" s="11" t="s">
        <v>150</v>
      </c>
      <c r="V1901" s="11" t="s">
        <v>168</v>
      </c>
      <c r="W1901" s="11" t="s">
        <v>168</v>
      </c>
      <c r="X1901" s="11">
        <v>36</v>
      </c>
      <c r="Y1901" s="11" t="s">
        <v>12359</v>
      </c>
      <c r="Z1901" s="11">
        <v>20</v>
      </c>
      <c r="AA1901" s="11">
        <v>0</v>
      </c>
      <c r="AB1901" s="12">
        <v>0</v>
      </c>
    </row>
    <row r="1902" spans="1:28" x14ac:dyDescent="0.2">
      <c r="A1902" s="7">
        <v>25199</v>
      </c>
      <c r="B1902" s="8" t="s">
        <v>12971</v>
      </c>
      <c r="C1902" s="8" t="s">
        <v>466</v>
      </c>
      <c r="D1902" s="8" t="s">
        <v>467</v>
      </c>
      <c r="E1902" s="8" t="s">
        <v>12972</v>
      </c>
      <c r="F1902" s="8" t="s">
        <v>12973</v>
      </c>
      <c r="G1902" s="8" t="s">
        <v>141</v>
      </c>
      <c r="H1902" s="8" t="s">
        <v>142</v>
      </c>
      <c r="I1902" s="8" t="s">
        <v>12974</v>
      </c>
      <c r="J1902" s="8" t="s">
        <v>12975</v>
      </c>
      <c r="K1902" s="8" t="s">
        <v>472</v>
      </c>
      <c r="L1902" s="8" t="s">
        <v>146</v>
      </c>
      <c r="M1902" s="8" t="s">
        <v>12976</v>
      </c>
      <c r="N1902" s="8" t="s">
        <v>128</v>
      </c>
      <c r="O1902" s="8" t="s">
        <v>12977</v>
      </c>
      <c r="P1902" s="8"/>
      <c r="Q1902" s="8" t="s">
        <v>740</v>
      </c>
      <c r="R1902" s="8"/>
      <c r="S1902" s="8" t="s">
        <v>476</v>
      </c>
      <c r="T1902" s="8" t="s">
        <v>1745</v>
      </c>
      <c r="U1902" s="8" t="s">
        <v>134</v>
      </c>
      <c r="V1902" s="8" t="s">
        <v>740</v>
      </c>
      <c r="W1902" s="8" t="s">
        <v>1745</v>
      </c>
      <c r="X1902" s="8">
        <v>36</v>
      </c>
      <c r="Y1902" s="8" t="s">
        <v>12359</v>
      </c>
      <c r="Z1902" s="8">
        <v>20</v>
      </c>
      <c r="AA1902" s="8">
        <v>0</v>
      </c>
      <c r="AB1902" s="9">
        <v>0</v>
      </c>
    </row>
    <row r="1903" spans="1:28" x14ac:dyDescent="0.2">
      <c r="A1903" s="10">
        <v>25248</v>
      </c>
      <c r="B1903" s="11" t="s">
        <v>12978</v>
      </c>
      <c r="C1903" s="11" t="s">
        <v>396</v>
      </c>
      <c r="D1903" s="11" t="s">
        <v>397</v>
      </c>
      <c r="E1903" s="11" t="s">
        <v>12979</v>
      </c>
      <c r="F1903" s="11" t="s">
        <v>399</v>
      </c>
      <c r="G1903" s="11" t="s">
        <v>400</v>
      </c>
      <c r="H1903" s="11" t="s">
        <v>142</v>
      </c>
      <c r="I1903" s="11" t="s">
        <v>401</v>
      </c>
      <c r="J1903" s="11" t="s">
        <v>402</v>
      </c>
      <c r="K1903" s="11" t="s">
        <v>403</v>
      </c>
      <c r="L1903" s="11" t="s">
        <v>146</v>
      </c>
      <c r="M1903" s="11" t="s">
        <v>12980</v>
      </c>
      <c r="N1903" s="11" t="s">
        <v>128</v>
      </c>
      <c r="O1903" s="11" t="s">
        <v>12981</v>
      </c>
      <c r="P1903" s="11" t="s">
        <v>12982</v>
      </c>
      <c r="Q1903" s="11" t="s">
        <v>740</v>
      </c>
      <c r="R1903" s="11"/>
      <c r="S1903" s="11" t="s">
        <v>407</v>
      </c>
      <c r="T1903" s="11" t="s">
        <v>1745</v>
      </c>
      <c r="U1903" s="11" t="s">
        <v>134</v>
      </c>
      <c r="V1903" s="11" t="s">
        <v>740</v>
      </c>
      <c r="W1903" s="11" t="s">
        <v>1745</v>
      </c>
      <c r="X1903" s="11">
        <v>36</v>
      </c>
      <c r="Y1903" s="11" t="s">
        <v>12359</v>
      </c>
      <c r="Z1903" s="11">
        <v>20</v>
      </c>
      <c r="AA1903" s="11">
        <v>0</v>
      </c>
      <c r="AB1903" s="12">
        <v>0</v>
      </c>
    </row>
    <row r="1904" spans="1:28" x14ac:dyDescent="0.2">
      <c r="A1904" s="7">
        <v>85127</v>
      </c>
      <c r="B1904" s="8" t="s">
        <v>12983</v>
      </c>
      <c r="C1904" s="8" t="s">
        <v>9219</v>
      </c>
      <c r="D1904" s="8" t="s">
        <v>138</v>
      </c>
      <c r="E1904" s="8" t="s">
        <v>12984</v>
      </c>
      <c r="F1904" s="8" t="s">
        <v>9221</v>
      </c>
      <c r="G1904" s="8" t="s">
        <v>9222</v>
      </c>
      <c r="H1904" s="8" t="s">
        <v>159</v>
      </c>
      <c r="I1904" s="8" t="s">
        <v>9223</v>
      </c>
      <c r="J1904" s="8" t="s">
        <v>9224</v>
      </c>
      <c r="K1904" s="8" t="s">
        <v>274</v>
      </c>
      <c r="L1904" s="8" t="s">
        <v>163</v>
      </c>
      <c r="M1904" s="8" t="s">
        <v>12985</v>
      </c>
      <c r="N1904" s="8" t="s">
        <v>128</v>
      </c>
      <c r="O1904" s="8" t="s">
        <v>12986</v>
      </c>
      <c r="P1904" s="8" t="s">
        <v>12987</v>
      </c>
      <c r="Q1904" s="8" t="s">
        <v>740</v>
      </c>
      <c r="R1904" s="8"/>
      <c r="S1904" s="8" t="s">
        <v>9228</v>
      </c>
      <c r="T1904" s="8" t="s">
        <v>1745</v>
      </c>
      <c r="U1904" s="8" t="s">
        <v>134</v>
      </c>
      <c r="V1904" s="8" t="s">
        <v>740</v>
      </c>
      <c r="W1904" s="8" t="s">
        <v>1745</v>
      </c>
      <c r="X1904" s="8">
        <v>36</v>
      </c>
      <c r="Y1904" s="8" t="s">
        <v>12359</v>
      </c>
      <c r="Z1904" s="8">
        <v>20</v>
      </c>
      <c r="AA1904" s="8">
        <v>0</v>
      </c>
      <c r="AB1904" s="9">
        <v>0</v>
      </c>
    </row>
    <row r="1905" spans="1:28" x14ac:dyDescent="0.2">
      <c r="A1905" s="10">
        <v>235548</v>
      </c>
      <c r="B1905" s="11" t="s">
        <v>12988</v>
      </c>
      <c r="C1905" s="11" t="s">
        <v>6823</v>
      </c>
      <c r="D1905" s="11" t="s">
        <v>138</v>
      </c>
      <c r="E1905" s="11"/>
      <c r="F1905" s="11" t="s">
        <v>6825</v>
      </c>
      <c r="G1905" s="11" t="s">
        <v>300</v>
      </c>
      <c r="H1905" s="11" t="s">
        <v>301</v>
      </c>
      <c r="I1905" s="11" t="s">
        <v>12989</v>
      </c>
      <c r="J1905" s="11" t="s">
        <v>7631</v>
      </c>
      <c r="K1905" s="11" t="s">
        <v>304</v>
      </c>
      <c r="L1905" s="11" t="s">
        <v>229</v>
      </c>
      <c r="M1905" s="11" t="s">
        <v>12990</v>
      </c>
      <c r="N1905" s="11" t="s">
        <v>128</v>
      </c>
      <c r="O1905" s="11" t="s">
        <v>12991</v>
      </c>
      <c r="P1905" s="11"/>
      <c r="Q1905" s="11" t="s">
        <v>249</v>
      </c>
      <c r="R1905" s="11"/>
      <c r="S1905" s="11" t="s">
        <v>6831</v>
      </c>
      <c r="T1905" s="11" t="s">
        <v>1523</v>
      </c>
      <c r="U1905" s="11" t="s">
        <v>134</v>
      </c>
      <c r="V1905" s="11" t="s">
        <v>249</v>
      </c>
      <c r="W1905" s="11" t="s">
        <v>1523</v>
      </c>
      <c r="X1905" s="11">
        <v>36</v>
      </c>
      <c r="Y1905" s="11" t="s">
        <v>12359</v>
      </c>
      <c r="Z1905" s="11">
        <v>20</v>
      </c>
      <c r="AA1905" s="11">
        <v>0</v>
      </c>
      <c r="AB1905" s="12">
        <v>0</v>
      </c>
    </row>
    <row r="1906" spans="1:28" x14ac:dyDescent="0.2">
      <c r="A1906" s="7">
        <v>25418</v>
      </c>
      <c r="B1906" s="8" t="s">
        <v>12992</v>
      </c>
      <c r="C1906" s="8" t="s">
        <v>9124</v>
      </c>
      <c r="D1906" s="8" t="s">
        <v>138</v>
      </c>
      <c r="E1906" s="8" t="s">
        <v>12993</v>
      </c>
      <c r="F1906" s="8" t="s">
        <v>9125</v>
      </c>
      <c r="G1906" s="8" t="s">
        <v>141</v>
      </c>
      <c r="H1906" s="8" t="s">
        <v>142</v>
      </c>
      <c r="I1906" s="8" t="s">
        <v>12994</v>
      </c>
      <c r="J1906" s="8" t="s">
        <v>9127</v>
      </c>
      <c r="K1906" s="8" t="s">
        <v>991</v>
      </c>
      <c r="L1906" s="8" t="s">
        <v>146</v>
      </c>
      <c r="M1906" s="8" t="s">
        <v>12995</v>
      </c>
      <c r="N1906" s="8" t="s">
        <v>128</v>
      </c>
      <c r="O1906" s="8" t="s">
        <v>12996</v>
      </c>
      <c r="P1906" s="8" t="s">
        <v>12997</v>
      </c>
      <c r="Q1906" s="8" t="s">
        <v>249</v>
      </c>
      <c r="R1906" s="8"/>
      <c r="S1906" s="8" t="s">
        <v>9131</v>
      </c>
      <c r="T1906" s="8" t="s">
        <v>250</v>
      </c>
      <c r="U1906" s="8" t="s">
        <v>134</v>
      </c>
      <c r="V1906" s="8" t="s">
        <v>249</v>
      </c>
      <c r="W1906" s="8" t="s">
        <v>250</v>
      </c>
      <c r="X1906" s="8">
        <v>36</v>
      </c>
      <c r="Y1906" s="8" t="s">
        <v>12359</v>
      </c>
      <c r="Z1906" s="8">
        <v>20</v>
      </c>
      <c r="AA1906" s="8">
        <v>0</v>
      </c>
      <c r="AB1906" s="9">
        <v>0</v>
      </c>
    </row>
    <row r="1907" spans="1:28" x14ac:dyDescent="0.2">
      <c r="A1907" s="10">
        <v>25432</v>
      </c>
      <c r="B1907" s="11" t="s">
        <v>12998</v>
      </c>
      <c r="C1907" s="11" t="s">
        <v>644</v>
      </c>
      <c r="D1907" s="11" t="s">
        <v>645</v>
      </c>
      <c r="E1907" s="11" t="s">
        <v>12999</v>
      </c>
      <c r="F1907" s="11" t="s">
        <v>647</v>
      </c>
      <c r="G1907" s="11" t="s">
        <v>648</v>
      </c>
      <c r="H1907" s="11" t="s">
        <v>142</v>
      </c>
      <c r="I1907" s="11" t="s">
        <v>649</v>
      </c>
      <c r="J1907" s="11" t="s">
        <v>650</v>
      </c>
      <c r="K1907" s="11" t="s">
        <v>651</v>
      </c>
      <c r="L1907" s="11" t="s">
        <v>146</v>
      </c>
      <c r="M1907" s="11" t="s">
        <v>13000</v>
      </c>
      <c r="N1907" s="11" t="s">
        <v>128</v>
      </c>
      <c r="O1907" s="11" t="s">
        <v>13001</v>
      </c>
      <c r="P1907" s="11" t="s">
        <v>13002</v>
      </c>
      <c r="Q1907" s="11" t="s">
        <v>249</v>
      </c>
      <c r="R1907" s="11"/>
      <c r="S1907" s="11" t="s">
        <v>655</v>
      </c>
      <c r="T1907" s="11" t="s">
        <v>250</v>
      </c>
      <c r="U1907" s="11" t="s">
        <v>134</v>
      </c>
      <c r="V1907" s="11" t="s">
        <v>249</v>
      </c>
      <c r="W1907" s="11" t="s">
        <v>250</v>
      </c>
      <c r="X1907" s="11">
        <v>36</v>
      </c>
      <c r="Y1907" s="11" t="s">
        <v>12359</v>
      </c>
      <c r="Z1907" s="11">
        <v>20</v>
      </c>
      <c r="AA1907" s="11">
        <v>0</v>
      </c>
      <c r="AB1907" s="12">
        <v>0</v>
      </c>
    </row>
    <row r="1908" spans="1:28" x14ac:dyDescent="0.2">
      <c r="A1908" s="7">
        <v>25478</v>
      </c>
      <c r="B1908" s="8" t="s">
        <v>13003</v>
      </c>
      <c r="C1908" s="8" t="s">
        <v>11392</v>
      </c>
      <c r="D1908" s="8" t="s">
        <v>2091</v>
      </c>
      <c r="E1908" s="8"/>
      <c r="F1908" s="8" t="s">
        <v>11393</v>
      </c>
      <c r="G1908" s="8" t="s">
        <v>11394</v>
      </c>
      <c r="H1908" s="8" t="s">
        <v>704</v>
      </c>
      <c r="I1908" s="8" t="s">
        <v>11395</v>
      </c>
      <c r="J1908" s="8" t="s">
        <v>13004</v>
      </c>
      <c r="K1908" s="8" t="s">
        <v>707</v>
      </c>
      <c r="L1908" s="8" t="s">
        <v>126</v>
      </c>
      <c r="M1908" s="8" t="s">
        <v>13005</v>
      </c>
      <c r="N1908" s="8" t="s">
        <v>128</v>
      </c>
      <c r="O1908" s="8" t="s">
        <v>13006</v>
      </c>
      <c r="P1908" s="8" t="s">
        <v>13007</v>
      </c>
      <c r="Q1908" s="8" t="s">
        <v>249</v>
      </c>
      <c r="R1908" s="8"/>
      <c r="S1908" s="8" t="s">
        <v>11399</v>
      </c>
      <c r="T1908" s="8" t="s">
        <v>250</v>
      </c>
      <c r="U1908" s="8" t="s">
        <v>134</v>
      </c>
      <c r="V1908" s="8" t="s">
        <v>249</v>
      </c>
      <c r="W1908" s="8" t="s">
        <v>250</v>
      </c>
      <c r="X1908" s="8">
        <v>36</v>
      </c>
      <c r="Y1908" s="8" t="s">
        <v>12359</v>
      </c>
      <c r="Z1908" s="8">
        <v>20</v>
      </c>
      <c r="AA1908" s="8">
        <v>0</v>
      </c>
      <c r="AB1908" s="9">
        <v>0</v>
      </c>
    </row>
    <row r="1909" spans="1:28" x14ac:dyDescent="0.2">
      <c r="A1909" s="10">
        <v>22497</v>
      </c>
      <c r="B1909" s="11" t="s">
        <v>13008</v>
      </c>
      <c r="C1909" s="11" t="s">
        <v>3791</v>
      </c>
      <c r="D1909" s="11" t="s">
        <v>13009</v>
      </c>
      <c r="E1909" s="11"/>
      <c r="F1909" s="11" t="s">
        <v>3464</v>
      </c>
      <c r="G1909" s="11" t="s">
        <v>450</v>
      </c>
      <c r="H1909" s="11" t="s">
        <v>301</v>
      </c>
      <c r="I1909" s="11" t="s">
        <v>3795</v>
      </c>
      <c r="J1909" s="11" t="s">
        <v>13010</v>
      </c>
      <c r="K1909" s="11" t="s">
        <v>304</v>
      </c>
      <c r="L1909" s="11" t="s">
        <v>229</v>
      </c>
      <c r="M1909" s="11" t="s">
        <v>13011</v>
      </c>
      <c r="N1909" s="11" t="s">
        <v>128</v>
      </c>
      <c r="O1909" s="11" t="s">
        <v>13012</v>
      </c>
      <c r="P1909" s="11" t="s">
        <v>13013</v>
      </c>
      <c r="Q1909" s="11" t="s">
        <v>150</v>
      </c>
      <c r="R1909" s="11"/>
      <c r="S1909" s="11" t="s">
        <v>71</v>
      </c>
      <c r="T1909" s="11" t="s">
        <v>869</v>
      </c>
      <c r="U1909" s="11" t="s">
        <v>150</v>
      </c>
      <c r="V1909" s="11" t="s">
        <v>869</v>
      </c>
      <c r="W1909" s="11" t="s">
        <v>869</v>
      </c>
      <c r="X1909" s="11">
        <v>35</v>
      </c>
      <c r="Y1909" s="11" t="s">
        <v>12359</v>
      </c>
      <c r="Z1909" s="11">
        <v>20</v>
      </c>
      <c r="AA1909" s="11">
        <v>0</v>
      </c>
      <c r="AB1909" s="12">
        <v>0</v>
      </c>
    </row>
    <row r="1910" spans="1:28" x14ac:dyDescent="0.2">
      <c r="A1910" s="7">
        <v>23069</v>
      </c>
      <c r="B1910" s="8" t="s">
        <v>13014</v>
      </c>
      <c r="C1910" s="8" t="s">
        <v>2506</v>
      </c>
      <c r="D1910" s="8" t="s">
        <v>2507</v>
      </c>
      <c r="E1910" s="8" t="s">
        <v>13015</v>
      </c>
      <c r="F1910" s="8" t="s">
        <v>2509</v>
      </c>
      <c r="G1910" s="8" t="s">
        <v>2510</v>
      </c>
      <c r="H1910" s="8" t="s">
        <v>2511</v>
      </c>
      <c r="I1910" s="8" t="s">
        <v>13016</v>
      </c>
      <c r="J1910" s="8" t="s">
        <v>2513</v>
      </c>
      <c r="K1910" s="8" t="s">
        <v>1562</v>
      </c>
      <c r="L1910" s="8" t="s">
        <v>229</v>
      </c>
      <c r="M1910" s="8" t="s">
        <v>13017</v>
      </c>
      <c r="N1910" s="8" t="s">
        <v>128</v>
      </c>
      <c r="O1910" s="8" t="s">
        <v>13018</v>
      </c>
      <c r="P1910" s="8" t="s">
        <v>654</v>
      </c>
      <c r="Q1910" s="8" t="s">
        <v>150</v>
      </c>
      <c r="R1910" s="8"/>
      <c r="S1910" s="8" t="s">
        <v>2517</v>
      </c>
      <c r="T1910" s="8" t="s">
        <v>70</v>
      </c>
      <c r="U1910" s="8" t="s">
        <v>150</v>
      </c>
      <c r="V1910" s="8" t="s">
        <v>70</v>
      </c>
      <c r="W1910" s="8" t="s">
        <v>70</v>
      </c>
      <c r="X1910" s="8">
        <v>35</v>
      </c>
      <c r="Y1910" s="8" t="s">
        <v>12359</v>
      </c>
      <c r="Z1910" s="8">
        <v>20</v>
      </c>
      <c r="AA1910" s="8">
        <v>0</v>
      </c>
      <c r="AB1910" s="9">
        <v>0</v>
      </c>
    </row>
    <row r="1911" spans="1:28" x14ac:dyDescent="0.2">
      <c r="A1911" s="10">
        <v>214620</v>
      </c>
      <c r="B1911" s="11" t="s">
        <v>13019</v>
      </c>
      <c r="C1911" s="11" t="s">
        <v>13020</v>
      </c>
      <c r="D1911" s="11" t="s">
        <v>138</v>
      </c>
      <c r="E1911" s="11"/>
      <c r="F1911" s="11" t="s">
        <v>13021</v>
      </c>
      <c r="G1911" s="11" t="s">
        <v>7329</v>
      </c>
      <c r="H1911" s="11" t="s">
        <v>1953</v>
      </c>
      <c r="I1911" s="11" t="s">
        <v>13022</v>
      </c>
      <c r="J1911" s="11" t="s">
        <v>13023</v>
      </c>
      <c r="K1911" s="11" t="s">
        <v>1956</v>
      </c>
      <c r="L1911" s="11" t="s">
        <v>526</v>
      </c>
      <c r="M1911" s="11" t="s">
        <v>13024</v>
      </c>
      <c r="N1911" s="11" t="s">
        <v>128</v>
      </c>
      <c r="O1911" s="11" t="s">
        <v>13025</v>
      </c>
      <c r="P1911" s="11" t="s">
        <v>10597</v>
      </c>
      <c r="Q1911" s="11" t="s">
        <v>150</v>
      </c>
      <c r="R1911" s="11"/>
      <c r="S1911" s="11" t="s">
        <v>13026</v>
      </c>
      <c r="T1911" s="11" t="s">
        <v>168</v>
      </c>
      <c r="U1911" s="11" t="s">
        <v>150</v>
      </c>
      <c r="V1911" s="11" t="s">
        <v>168</v>
      </c>
      <c r="W1911" s="11" t="s">
        <v>168</v>
      </c>
      <c r="X1911" s="11">
        <v>35</v>
      </c>
      <c r="Y1911" s="11" t="s">
        <v>12359</v>
      </c>
      <c r="Z1911" s="11">
        <v>20</v>
      </c>
      <c r="AA1911" s="11">
        <v>0</v>
      </c>
      <c r="AB1911" s="12">
        <v>0</v>
      </c>
    </row>
    <row r="1912" spans="1:28" x14ac:dyDescent="0.2">
      <c r="A1912" s="7">
        <v>24834</v>
      </c>
      <c r="B1912" s="8" t="s">
        <v>13027</v>
      </c>
      <c r="C1912" s="8" t="s">
        <v>5958</v>
      </c>
      <c r="D1912" s="8" t="s">
        <v>5959</v>
      </c>
      <c r="E1912" s="8" t="s">
        <v>13028</v>
      </c>
      <c r="F1912" s="8" t="s">
        <v>5960</v>
      </c>
      <c r="G1912" s="8" t="s">
        <v>615</v>
      </c>
      <c r="H1912" s="8" t="s">
        <v>616</v>
      </c>
      <c r="I1912" s="8" t="s">
        <v>5961</v>
      </c>
      <c r="J1912" s="8" t="s">
        <v>5962</v>
      </c>
      <c r="K1912" s="8" t="s">
        <v>619</v>
      </c>
      <c r="L1912" s="8" t="s">
        <v>163</v>
      </c>
      <c r="M1912" s="8" t="s">
        <v>13029</v>
      </c>
      <c r="N1912" s="8" t="s">
        <v>128</v>
      </c>
      <c r="O1912" s="8" t="s">
        <v>13030</v>
      </c>
      <c r="P1912" s="8" t="s">
        <v>4994</v>
      </c>
      <c r="Q1912" s="8" t="s">
        <v>150</v>
      </c>
      <c r="R1912" s="8"/>
      <c r="S1912" s="8" t="s">
        <v>5966</v>
      </c>
      <c r="T1912" s="8" t="s">
        <v>1738</v>
      </c>
      <c r="U1912" s="8" t="s">
        <v>150</v>
      </c>
      <c r="V1912" s="8" t="s">
        <v>1738</v>
      </c>
      <c r="W1912" s="8" t="s">
        <v>1738</v>
      </c>
      <c r="X1912" s="8">
        <v>35</v>
      </c>
      <c r="Y1912" s="8" t="s">
        <v>12359</v>
      </c>
      <c r="Z1912" s="8">
        <v>20</v>
      </c>
      <c r="AA1912" s="8">
        <v>0</v>
      </c>
      <c r="AB1912" s="9">
        <v>0</v>
      </c>
    </row>
    <row r="1913" spans="1:28" x14ac:dyDescent="0.2">
      <c r="A1913" s="10">
        <v>20722</v>
      </c>
      <c r="B1913" s="11" t="s">
        <v>13031</v>
      </c>
      <c r="C1913" s="11" t="s">
        <v>339</v>
      </c>
      <c r="D1913" s="11" t="s">
        <v>340</v>
      </c>
      <c r="E1913" s="11" t="s">
        <v>6321</v>
      </c>
      <c r="F1913" s="11" t="s">
        <v>342</v>
      </c>
      <c r="G1913" s="11" t="s">
        <v>328</v>
      </c>
      <c r="H1913" s="11" t="s">
        <v>329</v>
      </c>
      <c r="I1913" s="11" t="s">
        <v>343</v>
      </c>
      <c r="J1913" s="11" t="s">
        <v>344</v>
      </c>
      <c r="K1913" s="11" t="s">
        <v>332</v>
      </c>
      <c r="L1913" s="11" t="s">
        <v>333</v>
      </c>
      <c r="M1913" s="11" t="s">
        <v>13032</v>
      </c>
      <c r="N1913" s="11" t="s">
        <v>128</v>
      </c>
      <c r="O1913" s="11" t="s">
        <v>13033</v>
      </c>
      <c r="P1913" s="11" t="s">
        <v>13034</v>
      </c>
      <c r="Q1913" s="11" t="s">
        <v>740</v>
      </c>
      <c r="R1913" s="11"/>
      <c r="S1913" s="11" t="s">
        <v>348</v>
      </c>
      <c r="T1913" s="11" t="s">
        <v>1745</v>
      </c>
      <c r="U1913" s="11" t="s">
        <v>134</v>
      </c>
      <c r="V1913" s="11" t="s">
        <v>740</v>
      </c>
      <c r="W1913" s="11" t="s">
        <v>1745</v>
      </c>
      <c r="X1913" s="11">
        <v>35</v>
      </c>
      <c r="Y1913" s="11" t="s">
        <v>12359</v>
      </c>
      <c r="Z1913" s="11">
        <v>20</v>
      </c>
      <c r="AA1913" s="11">
        <v>0</v>
      </c>
      <c r="AB1913" s="12">
        <v>0</v>
      </c>
    </row>
    <row r="1914" spans="1:28" x14ac:dyDescent="0.2">
      <c r="A1914" s="7">
        <v>25549</v>
      </c>
      <c r="B1914" s="8" t="s">
        <v>13035</v>
      </c>
      <c r="C1914" s="8" t="s">
        <v>7362</v>
      </c>
      <c r="D1914" s="8" t="s">
        <v>7341</v>
      </c>
      <c r="E1914" s="8" t="s">
        <v>13036</v>
      </c>
      <c r="F1914" s="8" t="s">
        <v>7364</v>
      </c>
      <c r="G1914" s="8" t="s">
        <v>1196</v>
      </c>
      <c r="H1914" s="8" t="s">
        <v>142</v>
      </c>
      <c r="I1914" s="8" t="s">
        <v>7365</v>
      </c>
      <c r="J1914" s="8" t="s">
        <v>7366</v>
      </c>
      <c r="K1914" s="8" t="s">
        <v>1199</v>
      </c>
      <c r="L1914" s="8" t="s">
        <v>464</v>
      </c>
      <c r="M1914" s="8" t="s">
        <v>13037</v>
      </c>
      <c r="N1914" s="8" t="s">
        <v>128</v>
      </c>
      <c r="O1914" s="8" t="s">
        <v>13038</v>
      </c>
      <c r="P1914" s="8" t="s">
        <v>13039</v>
      </c>
      <c r="Q1914" s="8" t="s">
        <v>249</v>
      </c>
      <c r="R1914" s="8"/>
      <c r="S1914" s="8" t="s">
        <v>7370</v>
      </c>
      <c r="T1914" s="8" t="s">
        <v>250</v>
      </c>
      <c r="U1914" s="8" t="s">
        <v>134</v>
      </c>
      <c r="V1914" s="8" t="s">
        <v>249</v>
      </c>
      <c r="W1914" s="8" t="s">
        <v>250</v>
      </c>
      <c r="X1914" s="8">
        <v>35</v>
      </c>
      <c r="Y1914" s="8" t="s">
        <v>12359</v>
      </c>
      <c r="Z1914" s="8">
        <v>20</v>
      </c>
      <c r="AA1914" s="8">
        <v>0</v>
      </c>
      <c r="AB1914" s="9">
        <v>0</v>
      </c>
    </row>
    <row r="1915" spans="1:28" x14ac:dyDescent="0.2">
      <c r="A1915" s="10">
        <v>31497</v>
      </c>
      <c r="B1915" s="11" t="s">
        <v>13040</v>
      </c>
      <c r="C1915" s="11" t="s">
        <v>3108</v>
      </c>
      <c r="D1915" s="11" t="s">
        <v>3109</v>
      </c>
      <c r="E1915" s="11"/>
      <c r="F1915" s="11" t="s">
        <v>13041</v>
      </c>
      <c r="G1915" s="11" t="s">
        <v>615</v>
      </c>
      <c r="H1915" s="11" t="s">
        <v>616</v>
      </c>
      <c r="I1915" s="11" t="s">
        <v>6749</v>
      </c>
      <c r="J1915" s="11" t="s">
        <v>5929</v>
      </c>
      <c r="K1915" s="11" t="s">
        <v>619</v>
      </c>
      <c r="L1915" s="11" t="s">
        <v>163</v>
      </c>
      <c r="M1915" s="11" t="s">
        <v>13042</v>
      </c>
      <c r="N1915" s="11" t="s">
        <v>128</v>
      </c>
      <c r="O1915" s="11" t="s">
        <v>13043</v>
      </c>
      <c r="P1915" s="11" t="s">
        <v>13044</v>
      </c>
      <c r="Q1915" s="11" t="s">
        <v>249</v>
      </c>
      <c r="R1915" s="11"/>
      <c r="S1915" s="11" t="s">
        <v>3117</v>
      </c>
      <c r="T1915" s="11" t="s">
        <v>250</v>
      </c>
      <c r="U1915" s="11" t="s">
        <v>134</v>
      </c>
      <c r="V1915" s="11" t="s">
        <v>249</v>
      </c>
      <c r="W1915" s="11" t="s">
        <v>250</v>
      </c>
      <c r="X1915" s="11">
        <v>35</v>
      </c>
      <c r="Y1915" s="11" t="s">
        <v>12359</v>
      </c>
      <c r="Z1915" s="11">
        <v>20</v>
      </c>
      <c r="AA1915" s="11">
        <v>0</v>
      </c>
      <c r="AB1915" s="12">
        <v>0</v>
      </c>
    </row>
    <row r="1916" spans="1:28" x14ac:dyDescent="0.2">
      <c r="A1916" s="7">
        <v>214687</v>
      </c>
      <c r="B1916" s="8" t="s">
        <v>13045</v>
      </c>
      <c r="C1916" s="8" t="s">
        <v>13020</v>
      </c>
      <c r="D1916" s="8" t="s">
        <v>138</v>
      </c>
      <c r="E1916" s="8"/>
      <c r="F1916" s="8" t="s">
        <v>13021</v>
      </c>
      <c r="G1916" s="8" t="s">
        <v>7329</v>
      </c>
      <c r="H1916" s="8" t="s">
        <v>1953</v>
      </c>
      <c r="I1916" s="8" t="s">
        <v>13022</v>
      </c>
      <c r="J1916" s="8" t="s">
        <v>13023</v>
      </c>
      <c r="K1916" s="8" t="s">
        <v>1956</v>
      </c>
      <c r="L1916" s="8" t="s">
        <v>526</v>
      </c>
      <c r="M1916" s="8" t="s">
        <v>13046</v>
      </c>
      <c r="N1916" s="8" t="s">
        <v>128</v>
      </c>
      <c r="O1916" s="8" t="s">
        <v>13047</v>
      </c>
      <c r="P1916" s="8" t="s">
        <v>7504</v>
      </c>
      <c r="Q1916" s="8" t="s">
        <v>150</v>
      </c>
      <c r="R1916" s="8"/>
      <c r="S1916" s="8" t="s">
        <v>13026</v>
      </c>
      <c r="T1916" s="8" t="s">
        <v>67</v>
      </c>
      <c r="U1916" s="8" t="s">
        <v>150</v>
      </c>
      <c r="V1916" s="8" t="s">
        <v>152</v>
      </c>
      <c r="W1916" s="8" t="s">
        <v>67</v>
      </c>
      <c r="X1916" s="8">
        <v>34</v>
      </c>
      <c r="Y1916" s="8" t="s">
        <v>12359</v>
      </c>
      <c r="Z1916" s="8">
        <v>20</v>
      </c>
      <c r="AA1916" s="8">
        <v>0</v>
      </c>
      <c r="AB1916" s="9">
        <v>0</v>
      </c>
    </row>
    <row r="1917" spans="1:28" x14ac:dyDescent="0.2">
      <c r="A1917" s="10">
        <v>112864</v>
      </c>
      <c r="B1917" s="11" t="s">
        <v>13048</v>
      </c>
      <c r="C1917" s="11" t="s">
        <v>1723</v>
      </c>
      <c r="D1917" s="11" t="s">
        <v>1724</v>
      </c>
      <c r="E1917" s="11" t="s">
        <v>13049</v>
      </c>
      <c r="F1917" s="11" t="s">
        <v>1726</v>
      </c>
      <c r="G1917" s="11" t="s">
        <v>1727</v>
      </c>
      <c r="H1917" s="11" t="s">
        <v>557</v>
      </c>
      <c r="I1917" s="11" t="s">
        <v>13050</v>
      </c>
      <c r="J1917" s="11" t="s">
        <v>11349</v>
      </c>
      <c r="K1917" s="11" t="s">
        <v>1562</v>
      </c>
      <c r="L1917" s="11" t="s">
        <v>229</v>
      </c>
      <c r="M1917" s="11" t="s">
        <v>13051</v>
      </c>
      <c r="N1917" s="11" t="s">
        <v>128</v>
      </c>
      <c r="O1917" s="11" t="s">
        <v>13052</v>
      </c>
      <c r="P1917" s="11"/>
      <c r="Q1917" s="11" t="s">
        <v>131</v>
      </c>
      <c r="R1917" s="11"/>
      <c r="S1917" s="11" t="s">
        <v>1732</v>
      </c>
      <c r="T1917" s="11" t="s">
        <v>983</v>
      </c>
      <c r="U1917" s="11" t="s">
        <v>134</v>
      </c>
      <c r="V1917" s="11" t="s">
        <v>131</v>
      </c>
      <c r="W1917" s="11" t="s">
        <v>983</v>
      </c>
      <c r="X1917" s="11">
        <v>34</v>
      </c>
      <c r="Y1917" s="11" t="s">
        <v>12359</v>
      </c>
      <c r="Z1917" s="11">
        <v>20</v>
      </c>
      <c r="AA1917" s="11">
        <v>0</v>
      </c>
      <c r="AB1917" s="12">
        <v>0</v>
      </c>
    </row>
    <row r="1918" spans="1:28" x14ac:dyDescent="0.2">
      <c r="A1918" s="7">
        <v>115689</v>
      </c>
      <c r="B1918" s="8" t="s">
        <v>13053</v>
      </c>
      <c r="C1918" s="8" t="s">
        <v>9219</v>
      </c>
      <c r="D1918" s="8" t="s">
        <v>138</v>
      </c>
      <c r="E1918" s="8" t="s">
        <v>13054</v>
      </c>
      <c r="F1918" s="8" t="s">
        <v>9221</v>
      </c>
      <c r="G1918" s="8" t="s">
        <v>9222</v>
      </c>
      <c r="H1918" s="8" t="s">
        <v>159</v>
      </c>
      <c r="I1918" s="8" t="s">
        <v>13055</v>
      </c>
      <c r="J1918" s="8" t="s">
        <v>13056</v>
      </c>
      <c r="K1918" s="8" t="s">
        <v>274</v>
      </c>
      <c r="L1918" s="8" t="s">
        <v>163</v>
      </c>
      <c r="M1918" s="8" t="s">
        <v>13057</v>
      </c>
      <c r="N1918" s="8" t="s">
        <v>128</v>
      </c>
      <c r="O1918" s="8" t="s">
        <v>13058</v>
      </c>
      <c r="P1918" s="8"/>
      <c r="Q1918" s="8" t="s">
        <v>131</v>
      </c>
      <c r="R1918" s="8"/>
      <c r="S1918" s="8" t="s">
        <v>9228</v>
      </c>
      <c r="T1918" s="8" t="s">
        <v>983</v>
      </c>
      <c r="U1918" s="8" t="s">
        <v>134</v>
      </c>
      <c r="V1918" s="8" t="s">
        <v>131</v>
      </c>
      <c r="W1918" s="8" t="s">
        <v>983</v>
      </c>
      <c r="X1918" s="8">
        <v>34</v>
      </c>
      <c r="Y1918" s="8" t="s">
        <v>12359</v>
      </c>
      <c r="Z1918" s="8">
        <v>20</v>
      </c>
      <c r="AA1918" s="8">
        <v>0</v>
      </c>
      <c r="AB1918" s="9">
        <v>0</v>
      </c>
    </row>
    <row r="1919" spans="1:28" x14ac:dyDescent="0.2">
      <c r="A1919" s="10">
        <v>21855</v>
      </c>
      <c r="B1919" s="11" t="s">
        <v>13059</v>
      </c>
      <c r="C1919" s="11" t="s">
        <v>12713</v>
      </c>
      <c r="D1919" s="11" t="s">
        <v>12714</v>
      </c>
      <c r="E1919" s="11" t="s">
        <v>13060</v>
      </c>
      <c r="F1919" s="11" t="s">
        <v>5577</v>
      </c>
      <c r="G1919" s="11" t="s">
        <v>141</v>
      </c>
      <c r="H1919" s="11" t="s">
        <v>142</v>
      </c>
      <c r="I1919" s="11" t="s">
        <v>12715</v>
      </c>
      <c r="J1919" s="11" t="s">
        <v>12716</v>
      </c>
      <c r="K1919" s="11" t="s">
        <v>403</v>
      </c>
      <c r="L1919" s="11" t="s">
        <v>146</v>
      </c>
      <c r="M1919" s="11" t="s">
        <v>13061</v>
      </c>
      <c r="N1919" s="11" t="s">
        <v>128</v>
      </c>
      <c r="O1919" s="11" t="s">
        <v>13062</v>
      </c>
      <c r="P1919" s="11" t="s">
        <v>13063</v>
      </c>
      <c r="Q1919" s="11" t="s">
        <v>131</v>
      </c>
      <c r="R1919" s="11"/>
      <c r="S1919" s="11" t="s">
        <v>12720</v>
      </c>
      <c r="T1919" s="11" t="s">
        <v>133</v>
      </c>
      <c r="U1919" s="11" t="s">
        <v>134</v>
      </c>
      <c r="V1919" s="11" t="s">
        <v>131</v>
      </c>
      <c r="W1919" s="11" t="s">
        <v>133</v>
      </c>
      <c r="X1919" s="11">
        <v>34</v>
      </c>
      <c r="Y1919" s="11" t="s">
        <v>12359</v>
      </c>
      <c r="Z1919" s="11">
        <v>20</v>
      </c>
      <c r="AA1919" s="11">
        <v>0</v>
      </c>
      <c r="AB1919" s="12">
        <v>0</v>
      </c>
    </row>
    <row r="1920" spans="1:28" x14ac:dyDescent="0.2">
      <c r="A1920" s="7">
        <v>21805</v>
      </c>
      <c r="B1920" s="8" t="s">
        <v>13064</v>
      </c>
      <c r="C1920" s="8" t="s">
        <v>6953</v>
      </c>
      <c r="D1920" s="8" t="s">
        <v>6954</v>
      </c>
      <c r="E1920" s="8"/>
      <c r="F1920" s="8" t="s">
        <v>6956</v>
      </c>
      <c r="G1920" s="8" t="s">
        <v>2332</v>
      </c>
      <c r="H1920" s="8" t="s">
        <v>142</v>
      </c>
      <c r="I1920" s="8" t="s">
        <v>6957</v>
      </c>
      <c r="J1920" s="8" t="s">
        <v>13065</v>
      </c>
      <c r="K1920" s="8" t="s">
        <v>779</v>
      </c>
      <c r="L1920" s="8" t="s">
        <v>464</v>
      </c>
      <c r="M1920" s="8" t="s">
        <v>13066</v>
      </c>
      <c r="N1920" s="8" t="s">
        <v>128</v>
      </c>
      <c r="O1920" s="8" t="s">
        <v>13067</v>
      </c>
      <c r="P1920" s="8" t="s">
        <v>13068</v>
      </c>
      <c r="Q1920" s="8" t="s">
        <v>131</v>
      </c>
      <c r="R1920" s="8"/>
      <c r="S1920" s="8" t="s">
        <v>6961</v>
      </c>
      <c r="T1920" s="8" t="s">
        <v>133</v>
      </c>
      <c r="U1920" s="8" t="s">
        <v>134</v>
      </c>
      <c r="V1920" s="8" t="s">
        <v>131</v>
      </c>
      <c r="W1920" s="8" t="s">
        <v>133</v>
      </c>
      <c r="X1920" s="8">
        <v>34</v>
      </c>
      <c r="Y1920" s="8" t="s">
        <v>12359</v>
      </c>
      <c r="Z1920" s="8">
        <v>20</v>
      </c>
      <c r="AA1920" s="8">
        <v>0</v>
      </c>
      <c r="AB1920" s="9">
        <v>0</v>
      </c>
    </row>
    <row r="1921" spans="1:28" x14ac:dyDescent="0.2">
      <c r="A1921" s="10">
        <v>21817</v>
      </c>
      <c r="B1921" s="11" t="s">
        <v>13069</v>
      </c>
      <c r="C1921" s="11" t="s">
        <v>1136</v>
      </c>
      <c r="D1921" s="11" t="s">
        <v>235</v>
      </c>
      <c r="E1921" s="11"/>
      <c r="F1921" s="11" t="s">
        <v>8852</v>
      </c>
      <c r="G1921" s="11" t="s">
        <v>2652</v>
      </c>
      <c r="H1921" s="11" t="s">
        <v>1843</v>
      </c>
      <c r="I1921" s="11" t="s">
        <v>13070</v>
      </c>
      <c r="J1921" s="11" t="s">
        <v>13071</v>
      </c>
      <c r="K1921" s="11" t="s">
        <v>1562</v>
      </c>
      <c r="L1921" s="11" t="s">
        <v>229</v>
      </c>
      <c r="M1921" s="11" t="s">
        <v>13072</v>
      </c>
      <c r="N1921" s="11" t="s">
        <v>128</v>
      </c>
      <c r="O1921" s="11" t="s">
        <v>13073</v>
      </c>
      <c r="P1921" s="11" t="s">
        <v>13074</v>
      </c>
      <c r="Q1921" s="11" t="s">
        <v>131</v>
      </c>
      <c r="R1921" s="11"/>
      <c r="S1921" s="11" t="s">
        <v>8858</v>
      </c>
      <c r="T1921" s="11" t="s">
        <v>133</v>
      </c>
      <c r="U1921" s="11" t="s">
        <v>134</v>
      </c>
      <c r="V1921" s="11" t="s">
        <v>131</v>
      </c>
      <c r="W1921" s="11" t="s">
        <v>133</v>
      </c>
      <c r="X1921" s="11">
        <v>34</v>
      </c>
      <c r="Y1921" s="11" t="s">
        <v>12359</v>
      </c>
      <c r="Z1921" s="11">
        <v>20</v>
      </c>
      <c r="AA1921" s="11">
        <v>0</v>
      </c>
      <c r="AB1921" s="12">
        <v>0</v>
      </c>
    </row>
    <row r="1922" spans="1:28" x14ac:dyDescent="0.2">
      <c r="A1922" s="7">
        <v>23116</v>
      </c>
      <c r="B1922" s="8" t="s">
        <v>13075</v>
      </c>
      <c r="C1922" s="8" t="s">
        <v>6018</v>
      </c>
      <c r="D1922" s="8" t="s">
        <v>6019</v>
      </c>
      <c r="E1922" s="8" t="s">
        <v>13076</v>
      </c>
      <c r="F1922" s="8" t="s">
        <v>6021</v>
      </c>
      <c r="G1922" s="8" t="s">
        <v>1325</v>
      </c>
      <c r="H1922" s="8" t="s">
        <v>142</v>
      </c>
      <c r="I1922" s="8" t="s">
        <v>13077</v>
      </c>
      <c r="J1922" s="8" t="s">
        <v>6023</v>
      </c>
      <c r="K1922" s="8" t="s">
        <v>974</v>
      </c>
      <c r="L1922" s="8" t="s">
        <v>146</v>
      </c>
      <c r="M1922" s="8" t="s">
        <v>13078</v>
      </c>
      <c r="N1922" s="8" t="s">
        <v>128</v>
      </c>
      <c r="O1922" s="8" t="s">
        <v>13079</v>
      </c>
      <c r="P1922" s="8" t="s">
        <v>5264</v>
      </c>
      <c r="Q1922" s="8" t="s">
        <v>150</v>
      </c>
      <c r="R1922" s="8"/>
      <c r="S1922" s="8" t="s">
        <v>6027</v>
      </c>
      <c r="T1922" s="8" t="s">
        <v>70</v>
      </c>
      <c r="U1922" s="8" t="s">
        <v>150</v>
      </c>
      <c r="V1922" s="8" t="s">
        <v>70</v>
      </c>
      <c r="W1922" s="8" t="s">
        <v>70</v>
      </c>
      <c r="X1922" s="8">
        <v>34</v>
      </c>
      <c r="Y1922" s="8" t="s">
        <v>12359</v>
      </c>
      <c r="Z1922" s="8">
        <v>20</v>
      </c>
      <c r="AA1922" s="8">
        <v>0</v>
      </c>
      <c r="AB1922" s="9">
        <v>0</v>
      </c>
    </row>
    <row r="1923" spans="1:28" x14ac:dyDescent="0.2">
      <c r="A1923" s="10">
        <v>38099</v>
      </c>
      <c r="B1923" s="11" t="s">
        <v>13080</v>
      </c>
      <c r="C1923" s="11" t="s">
        <v>13081</v>
      </c>
      <c r="D1923" s="11" t="s">
        <v>13082</v>
      </c>
      <c r="E1923" s="11"/>
      <c r="F1923" s="11" t="s">
        <v>13083</v>
      </c>
      <c r="G1923" s="11" t="s">
        <v>1952</v>
      </c>
      <c r="H1923" s="11" t="s">
        <v>1953</v>
      </c>
      <c r="I1923" s="11" t="s">
        <v>13084</v>
      </c>
      <c r="J1923" s="11" t="s">
        <v>13085</v>
      </c>
      <c r="K1923" s="11" t="s">
        <v>1956</v>
      </c>
      <c r="L1923" s="11" t="s">
        <v>526</v>
      </c>
      <c r="M1923" s="11" t="s">
        <v>13086</v>
      </c>
      <c r="N1923" s="11" t="s">
        <v>128</v>
      </c>
      <c r="O1923" s="11" t="s">
        <v>13087</v>
      </c>
      <c r="P1923" s="11" t="s">
        <v>13088</v>
      </c>
      <c r="Q1923" s="11" t="s">
        <v>150</v>
      </c>
      <c r="R1923" s="11"/>
      <c r="S1923" s="11" t="s">
        <v>71</v>
      </c>
      <c r="T1923" s="11" t="s">
        <v>70</v>
      </c>
      <c r="U1923" s="11" t="s">
        <v>150</v>
      </c>
      <c r="V1923" s="11" t="s">
        <v>70</v>
      </c>
      <c r="W1923" s="11" t="s">
        <v>70</v>
      </c>
      <c r="X1923" s="11">
        <v>34</v>
      </c>
      <c r="Y1923" s="11" t="s">
        <v>12359</v>
      </c>
      <c r="Z1923" s="11">
        <v>20</v>
      </c>
      <c r="AA1923" s="11">
        <v>0</v>
      </c>
      <c r="AB1923" s="12">
        <v>0</v>
      </c>
    </row>
    <row r="1924" spans="1:28" x14ac:dyDescent="0.2">
      <c r="A1924" s="7">
        <v>23913</v>
      </c>
      <c r="B1924" s="8" t="s">
        <v>13089</v>
      </c>
      <c r="C1924" s="8" t="s">
        <v>4019</v>
      </c>
      <c r="D1924" s="8" t="s">
        <v>4020</v>
      </c>
      <c r="E1924" s="8"/>
      <c r="F1924" s="8" t="s">
        <v>4021</v>
      </c>
      <c r="G1924" s="8" t="s">
        <v>846</v>
      </c>
      <c r="H1924" s="8" t="s">
        <v>847</v>
      </c>
      <c r="I1924" s="8" t="s">
        <v>13090</v>
      </c>
      <c r="J1924" s="8" t="s">
        <v>13091</v>
      </c>
      <c r="K1924" s="8" t="s">
        <v>850</v>
      </c>
      <c r="L1924" s="8" t="s">
        <v>126</v>
      </c>
      <c r="M1924" s="8" t="s">
        <v>13092</v>
      </c>
      <c r="N1924" s="8" t="s">
        <v>128</v>
      </c>
      <c r="O1924" s="8" t="s">
        <v>13093</v>
      </c>
      <c r="P1924" s="8" t="s">
        <v>2880</v>
      </c>
      <c r="Q1924" s="8" t="s">
        <v>150</v>
      </c>
      <c r="R1924" s="8"/>
      <c r="S1924" s="8" t="s">
        <v>71</v>
      </c>
      <c r="T1924" s="8" t="s">
        <v>168</v>
      </c>
      <c r="U1924" s="8" t="s">
        <v>150</v>
      </c>
      <c r="V1924" s="8" t="s">
        <v>168</v>
      </c>
      <c r="W1924" s="8" t="s">
        <v>168</v>
      </c>
      <c r="X1924" s="8">
        <v>34</v>
      </c>
      <c r="Y1924" s="8" t="s">
        <v>12359</v>
      </c>
      <c r="Z1924" s="8">
        <v>20</v>
      </c>
      <c r="AA1924" s="8">
        <v>0</v>
      </c>
      <c r="AB1924" s="9">
        <v>0</v>
      </c>
    </row>
    <row r="1925" spans="1:28" x14ac:dyDescent="0.2">
      <c r="A1925" s="10">
        <v>93568</v>
      </c>
      <c r="B1925" s="11" t="s">
        <v>13094</v>
      </c>
      <c r="C1925" s="11" t="s">
        <v>10390</v>
      </c>
      <c r="D1925" s="11" t="s">
        <v>3375</v>
      </c>
      <c r="E1925" s="11"/>
      <c r="F1925" s="11" t="s">
        <v>13095</v>
      </c>
      <c r="G1925" s="11" t="s">
        <v>10396</v>
      </c>
      <c r="H1925" s="11" t="s">
        <v>142</v>
      </c>
      <c r="I1925" s="11" t="s">
        <v>13096</v>
      </c>
      <c r="J1925" s="11" t="s">
        <v>13097</v>
      </c>
      <c r="K1925" s="11" t="s">
        <v>472</v>
      </c>
      <c r="L1925" s="11" t="s">
        <v>146</v>
      </c>
      <c r="M1925" s="11" t="s">
        <v>13098</v>
      </c>
      <c r="N1925" s="11" t="s">
        <v>128</v>
      </c>
      <c r="O1925" s="11" t="s">
        <v>13099</v>
      </c>
      <c r="P1925" s="11" t="s">
        <v>13100</v>
      </c>
      <c r="Q1925" s="11" t="s">
        <v>150</v>
      </c>
      <c r="R1925" s="11"/>
      <c r="S1925" s="11" t="s">
        <v>71</v>
      </c>
      <c r="T1925" s="11" t="s">
        <v>168</v>
      </c>
      <c r="U1925" s="11" t="s">
        <v>150</v>
      </c>
      <c r="V1925" s="11" t="s">
        <v>168</v>
      </c>
      <c r="W1925" s="11" t="s">
        <v>168</v>
      </c>
      <c r="X1925" s="11">
        <v>34</v>
      </c>
      <c r="Y1925" s="11" t="s">
        <v>12359</v>
      </c>
      <c r="Z1925" s="11">
        <v>20</v>
      </c>
      <c r="AA1925" s="11">
        <v>0</v>
      </c>
      <c r="AB1925" s="12">
        <v>0</v>
      </c>
    </row>
    <row r="1926" spans="1:28" x14ac:dyDescent="0.2">
      <c r="A1926" s="7">
        <v>21753</v>
      </c>
      <c r="B1926" s="8" t="s">
        <v>13101</v>
      </c>
      <c r="C1926" s="8" t="s">
        <v>200</v>
      </c>
      <c r="D1926" s="8" t="s">
        <v>201</v>
      </c>
      <c r="E1926" s="8" t="s">
        <v>13102</v>
      </c>
      <c r="F1926" s="8" t="s">
        <v>203</v>
      </c>
      <c r="G1926" s="8" t="s">
        <v>141</v>
      </c>
      <c r="H1926" s="8" t="s">
        <v>142</v>
      </c>
      <c r="I1926" s="8" t="s">
        <v>204</v>
      </c>
      <c r="J1926" s="8" t="s">
        <v>205</v>
      </c>
      <c r="K1926" s="8" t="s">
        <v>145</v>
      </c>
      <c r="L1926" s="8" t="s">
        <v>146</v>
      </c>
      <c r="M1926" s="8" t="s">
        <v>13103</v>
      </c>
      <c r="N1926" s="8" t="s">
        <v>128</v>
      </c>
      <c r="O1926" s="8" t="s">
        <v>13104</v>
      </c>
      <c r="P1926" s="8" t="s">
        <v>13105</v>
      </c>
      <c r="Q1926" s="8" t="s">
        <v>740</v>
      </c>
      <c r="R1926" s="8"/>
      <c r="S1926" s="8" t="s">
        <v>209</v>
      </c>
      <c r="T1926" s="8" t="s">
        <v>1745</v>
      </c>
      <c r="U1926" s="8" t="s">
        <v>134</v>
      </c>
      <c r="V1926" s="8" t="s">
        <v>740</v>
      </c>
      <c r="W1926" s="8" t="s">
        <v>1745</v>
      </c>
      <c r="X1926" s="8">
        <v>34</v>
      </c>
      <c r="Y1926" s="8" t="s">
        <v>12359</v>
      </c>
      <c r="Z1926" s="8">
        <v>20</v>
      </c>
      <c r="AA1926" s="8">
        <v>0</v>
      </c>
      <c r="AB1926" s="9">
        <v>0</v>
      </c>
    </row>
    <row r="1927" spans="1:28" x14ac:dyDescent="0.2">
      <c r="A1927" s="10">
        <v>24782</v>
      </c>
      <c r="B1927" s="11" t="s">
        <v>13106</v>
      </c>
      <c r="C1927" s="11" t="s">
        <v>200</v>
      </c>
      <c r="D1927" s="11" t="s">
        <v>201</v>
      </c>
      <c r="E1927" s="11"/>
      <c r="F1927" s="11" t="s">
        <v>13107</v>
      </c>
      <c r="G1927" s="11" t="s">
        <v>141</v>
      </c>
      <c r="H1927" s="11" t="s">
        <v>142</v>
      </c>
      <c r="I1927" s="11" t="s">
        <v>204</v>
      </c>
      <c r="J1927" s="11" t="s">
        <v>13108</v>
      </c>
      <c r="K1927" s="11" t="s">
        <v>145</v>
      </c>
      <c r="L1927" s="11" t="s">
        <v>146</v>
      </c>
      <c r="M1927" s="11" t="s">
        <v>13109</v>
      </c>
      <c r="N1927" s="11" t="s">
        <v>128</v>
      </c>
      <c r="O1927" s="11" t="s">
        <v>13110</v>
      </c>
      <c r="P1927" s="11" t="s">
        <v>13111</v>
      </c>
      <c r="Q1927" s="11" t="s">
        <v>740</v>
      </c>
      <c r="R1927" s="11"/>
      <c r="S1927" s="11" t="s">
        <v>209</v>
      </c>
      <c r="T1927" s="11" t="s">
        <v>1745</v>
      </c>
      <c r="U1927" s="11" t="s">
        <v>134</v>
      </c>
      <c r="V1927" s="11" t="s">
        <v>740</v>
      </c>
      <c r="W1927" s="11" t="s">
        <v>1745</v>
      </c>
      <c r="X1927" s="11">
        <v>34</v>
      </c>
      <c r="Y1927" s="11" t="s">
        <v>12359</v>
      </c>
      <c r="Z1927" s="11">
        <v>20</v>
      </c>
      <c r="AA1927" s="11">
        <v>0</v>
      </c>
      <c r="AB1927" s="12">
        <v>0</v>
      </c>
    </row>
    <row r="1928" spans="1:28" x14ac:dyDescent="0.2">
      <c r="A1928" s="7">
        <v>115586</v>
      </c>
      <c r="B1928" s="8" t="s">
        <v>13112</v>
      </c>
      <c r="C1928" s="8" t="s">
        <v>2481</v>
      </c>
      <c r="D1928" s="8" t="s">
        <v>13113</v>
      </c>
      <c r="E1928" s="8"/>
      <c r="F1928" s="8" t="s">
        <v>353</v>
      </c>
      <c r="G1928" s="8" t="s">
        <v>1253</v>
      </c>
      <c r="H1928" s="8" t="s">
        <v>142</v>
      </c>
      <c r="I1928" s="8" t="s">
        <v>13114</v>
      </c>
      <c r="J1928" s="8" t="s">
        <v>13115</v>
      </c>
      <c r="K1928" s="8" t="s">
        <v>1199</v>
      </c>
      <c r="L1928" s="8" t="s">
        <v>464</v>
      </c>
      <c r="M1928" s="8" t="s">
        <v>13116</v>
      </c>
      <c r="N1928" s="8" t="s">
        <v>128</v>
      </c>
      <c r="O1928" s="8" t="s">
        <v>13117</v>
      </c>
      <c r="P1928" s="8"/>
      <c r="Q1928" s="8" t="s">
        <v>249</v>
      </c>
      <c r="R1928" s="8"/>
      <c r="S1928" s="8" t="s">
        <v>71</v>
      </c>
      <c r="T1928" s="8" t="s">
        <v>1523</v>
      </c>
      <c r="U1928" s="8" t="s">
        <v>134</v>
      </c>
      <c r="V1928" s="8" t="s">
        <v>249</v>
      </c>
      <c r="W1928" s="8" t="s">
        <v>1523</v>
      </c>
      <c r="X1928" s="8">
        <v>34</v>
      </c>
      <c r="Y1928" s="8" t="s">
        <v>12359</v>
      </c>
      <c r="Z1928" s="8">
        <v>20</v>
      </c>
      <c r="AA1928" s="8">
        <v>0</v>
      </c>
      <c r="AB1928" s="9">
        <v>0</v>
      </c>
    </row>
    <row r="1929" spans="1:28" x14ac:dyDescent="0.2">
      <c r="A1929" s="10">
        <v>25544</v>
      </c>
      <c r="B1929" s="11" t="s">
        <v>13118</v>
      </c>
      <c r="C1929" s="11" t="s">
        <v>2935</v>
      </c>
      <c r="D1929" s="11" t="s">
        <v>2936</v>
      </c>
      <c r="E1929" s="11" t="s">
        <v>13119</v>
      </c>
      <c r="F1929" s="11" t="s">
        <v>353</v>
      </c>
      <c r="G1929" s="11" t="s">
        <v>714</v>
      </c>
      <c r="H1929" s="11" t="s">
        <v>142</v>
      </c>
      <c r="I1929" s="11" t="s">
        <v>2938</v>
      </c>
      <c r="J1929" s="11" t="s">
        <v>2939</v>
      </c>
      <c r="K1929" s="11" t="s">
        <v>717</v>
      </c>
      <c r="L1929" s="11" t="s">
        <v>464</v>
      </c>
      <c r="M1929" s="11" t="s">
        <v>13120</v>
      </c>
      <c r="N1929" s="11" t="s">
        <v>128</v>
      </c>
      <c r="O1929" s="11" t="s">
        <v>13121</v>
      </c>
      <c r="P1929" s="11" t="s">
        <v>13122</v>
      </c>
      <c r="Q1929" s="11" t="s">
        <v>249</v>
      </c>
      <c r="R1929" s="11"/>
      <c r="S1929" s="11" t="s">
        <v>2943</v>
      </c>
      <c r="T1929" s="11" t="s">
        <v>250</v>
      </c>
      <c r="U1929" s="11" t="s">
        <v>134</v>
      </c>
      <c r="V1929" s="11" t="s">
        <v>249</v>
      </c>
      <c r="W1929" s="11" t="s">
        <v>250</v>
      </c>
      <c r="X1929" s="11">
        <v>34</v>
      </c>
      <c r="Y1929" s="11" t="s">
        <v>12359</v>
      </c>
      <c r="Z1929" s="11">
        <v>20</v>
      </c>
      <c r="AA1929" s="11">
        <v>0</v>
      </c>
      <c r="AB1929" s="12">
        <v>0</v>
      </c>
    </row>
    <row r="1930" spans="1:28" x14ac:dyDescent="0.2">
      <c r="A1930" s="7">
        <v>21546</v>
      </c>
      <c r="B1930" s="8" t="s">
        <v>13123</v>
      </c>
      <c r="C1930" s="8" t="s">
        <v>13124</v>
      </c>
      <c r="D1930" s="8" t="s">
        <v>6738</v>
      </c>
      <c r="E1930" s="8"/>
      <c r="F1930" s="8" t="s">
        <v>6740</v>
      </c>
      <c r="G1930" s="8" t="s">
        <v>6741</v>
      </c>
      <c r="H1930" s="8" t="s">
        <v>1953</v>
      </c>
      <c r="I1930" s="8" t="s">
        <v>6742</v>
      </c>
      <c r="J1930" s="8" t="s">
        <v>13125</v>
      </c>
      <c r="K1930" s="8" t="s">
        <v>1956</v>
      </c>
      <c r="L1930" s="8" t="s">
        <v>526</v>
      </c>
      <c r="M1930" s="8" t="s">
        <v>13126</v>
      </c>
      <c r="N1930" s="8" t="s">
        <v>128</v>
      </c>
      <c r="O1930" s="8" t="s">
        <v>13127</v>
      </c>
      <c r="P1930" s="8" t="s">
        <v>13128</v>
      </c>
      <c r="Q1930" s="8" t="s">
        <v>150</v>
      </c>
      <c r="R1930" s="8"/>
      <c r="S1930" s="8" t="s">
        <v>6747</v>
      </c>
      <c r="T1930" s="8" t="s">
        <v>67</v>
      </c>
      <c r="U1930" s="8" t="s">
        <v>150</v>
      </c>
      <c r="V1930" s="8" t="s">
        <v>152</v>
      </c>
      <c r="W1930" s="8" t="s">
        <v>67</v>
      </c>
      <c r="X1930" s="8">
        <v>33</v>
      </c>
      <c r="Y1930" s="8" t="s">
        <v>12359</v>
      </c>
      <c r="Z1930" s="8">
        <v>20</v>
      </c>
      <c r="AA1930" s="8">
        <v>0</v>
      </c>
      <c r="AB1930" s="9">
        <v>0</v>
      </c>
    </row>
    <row r="1931" spans="1:28" x14ac:dyDescent="0.2">
      <c r="A1931" s="10">
        <v>22030</v>
      </c>
      <c r="B1931" s="11" t="s">
        <v>13129</v>
      </c>
      <c r="C1931" s="11" t="s">
        <v>7362</v>
      </c>
      <c r="D1931" s="11" t="s">
        <v>7341</v>
      </c>
      <c r="E1931" s="11" t="s">
        <v>13130</v>
      </c>
      <c r="F1931" s="11" t="s">
        <v>7364</v>
      </c>
      <c r="G1931" s="11" t="s">
        <v>1196</v>
      </c>
      <c r="H1931" s="11" t="s">
        <v>142</v>
      </c>
      <c r="I1931" s="11" t="s">
        <v>7365</v>
      </c>
      <c r="J1931" s="11" t="s">
        <v>7366</v>
      </c>
      <c r="K1931" s="11" t="s">
        <v>1199</v>
      </c>
      <c r="L1931" s="11" t="s">
        <v>464</v>
      </c>
      <c r="M1931" s="11" t="s">
        <v>13131</v>
      </c>
      <c r="N1931" s="11" t="s">
        <v>128</v>
      </c>
      <c r="O1931" s="11" t="s">
        <v>13132</v>
      </c>
      <c r="P1931" s="11" t="s">
        <v>13133</v>
      </c>
      <c r="Q1931" s="11" t="s">
        <v>131</v>
      </c>
      <c r="R1931" s="11"/>
      <c r="S1931" s="11" t="s">
        <v>7370</v>
      </c>
      <c r="T1931" s="11" t="s">
        <v>133</v>
      </c>
      <c r="U1931" s="11" t="s">
        <v>134</v>
      </c>
      <c r="V1931" s="11" t="s">
        <v>131</v>
      </c>
      <c r="W1931" s="11" t="s">
        <v>133</v>
      </c>
      <c r="X1931" s="11">
        <v>33</v>
      </c>
      <c r="Y1931" s="11" t="s">
        <v>12359</v>
      </c>
      <c r="Z1931" s="11">
        <v>20</v>
      </c>
      <c r="AA1931" s="11">
        <v>0</v>
      </c>
      <c r="AB1931" s="12">
        <v>0</v>
      </c>
    </row>
    <row r="1932" spans="1:28" x14ac:dyDescent="0.2">
      <c r="A1932" s="7">
        <v>23269</v>
      </c>
      <c r="B1932" s="8" t="s">
        <v>13134</v>
      </c>
      <c r="C1932" s="8" t="s">
        <v>2497</v>
      </c>
      <c r="D1932" s="8" t="s">
        <v>13135</v>
      </c>
      <c r="E1932" s="8" t="s">
        <v>13136</v>
      </c>
      <c r="F1932" s="8" t="s">
        <v>353</v>
      </c>
      <c r="G1932" s="8" t="s">
        <v>2117</v>
      </c>
      <c r="H1932" s="8" t="s">
        <v>142</v>
      </c>
      <c r="I1932" s="8" t="s">
        <v>2500</v>
      </c>
      <c r="J1932" s="8" t="s">
        <v>13137</v>
      </c>
      <c r="K1932" s="8" t="s">
        <v>1673</v>
      </c>
      <c r="L1932" s="8" t="s">
        <v>464</v>
      </c>
      <c r="M1932" s="8" t="s">
        <v>13138</v>
      </c>
      <c r="N1932" s="8" t="s">
        <v>128</v>
      </c>
      <c r="O1932" s="8" t="s">
        <v>13139</v>
      </c>
      <c r="P1932" s="8" t="s">
        <v>5401</v>
      </c>
      <c r="Q1932" s="8" t="s">
        <v>150</v>
      </c>
      <c r="R1932" s="8"/>
      <c r="S1932" s="8" t="s">
        <v>71</v>
      </c>
      <c r="T1932" s="8" t="s">
        <v>70</v>
      </c>
      <c r="U1932" s="8" t="s">
        <v>150</v>
      </c>
      <c r="V1932" s="8" t="s">
        <v>70</v>
      </c>
      <c r="W1932" s="8" t="s">
        <v>70</v>
      </c>
      <c r="X1932" s="8">
        <v>33</v>
      </c>
      <c r="Y1932" s="8" t="s">
        <v>12359</v>
      </c>
      <c r="Z1932" s="8">
        <v>20</v>
      </c>
      <c r="AA1932" s="8">
        <v>0</v>
      </c>
      <c r="AB1932" s="9">
        <v>0</v>
      </c>
    </row>
    <row r="1933" spans="1:28" x14ac:dyDescent="0.2">
      <c r="A1933" s="10">
        <v>118257</v>
      </c>
      <c r="B1933" s="11" t="s">
        <v>13140</v>
      </c>
      <c r="C1933" s="11" t="s">
        <v>13141</v>
      </c>
      <c r="D1933" s="11" t="s">
        <v>410</v>
      </c>
      <c r="E1933" s="11" t="s">
        <v>13142</v>
      </c>
      <c r="F1933" s="11" t="s">
        <v>13143</v>
      </c>
      <c r="G1933" s="11" t="s">
        <v>6741</v>
      </c>
      <c r="H1933" s="11" t="s">
        <v>1953</v>
      </c>
      <c r="I1933" s="11" t="s">
        <v>13144</v>
      </c>
      <c r="J1933" s="11" t="s">
        <v>13145</v>
      </c>
      <c r="K1933" s="11" t="s">
        <v>1956</v>
      </c>
      <c r="L1933" s="11" t="s">
        <v>526</v>
      </c>
      <c r="M1933" s="11" t="s">
        <v>13146</v>
      </c>
      <c r="N1933" s="11" t="s">
        <v>128</v>
      </c>
      <c r="O1933" s="11" t="s">
        <v>13147</v>
      </c>
      <c r="P1933" s="11" t="s">
        <v>11609</v>
      </c>
      <c r="Q1933" s="11" t="s">
        <v>150</v>
      </c>
      <c r="R1933" s="11"/>
      <c r="S1933" s="11" t="s">
        <v>71</v>
      </c>
      <c r="T1933" s="11" t="s">
        <v>70</v>
      </c>
      <c r="U1933" s="11" t="s">
        <v>150</v>
      </c>
      <c r="V1933" s="11" t="s">
        <v>70</v>
      </c>
      <c r="W1933" s="11" t="s">
        <v>70</v>
      </c>
      <c r="X1933" s="11">
        <v>33</v>
      </c>
      <c r="Y1933" s="11" t="s">
        <v>12359</v>
      </c>
      <c r="Z1933" s="11">
        <v>20</v>
      </c>
      <c r="AA1933" s="11">
        <v>0</v>
      </c>
      <c r="AB1933" s="12">
        <v>0</v>
      </c>
    </row>
    <row r="1934" spans="1:28" x14ac:dyDescent="0.2">
      <c r="A1934" s="7">
        <v>22880</v>
      </c>
      <c r="B1934" s="8" t="s">
        <v>13148</v>
      </c>
      <c r="C1934" s="8" t="s">
        <v>7260</v>
      </c>
      <c r="D1934" s="8" t="s">
        <v>2348</v>
      </c>
      <c r="E1934" s="8" t="s">
        <v>13149</v>
      </c>
      <c r="F1934" s="8" t="s">
        <v>353</v>
      </c>
      <c r="G1934" s="8" t="s">
        <v>5872</v>
      </c>
      <c r="H1934" s="8" t="s">
        <v>142</v>
      </c>
      <c r="I1934" s="8" t="s">
        <v>5873</v>
      </c>
      <c r="J1934" s="8" t="s">
        <v>13150</v>
      </c>
      <c r="K1934" s="8" t="s">
        <v>403</v>
      </c>
      <c r="L1934" s="8" t="s">
        <v>146</v>
      </c>
      <c r="M1934" s="8" t="s">
        <v>13151</v>
      </c>
      <c r="N1934" s="8" t="s">
        <v>128</v>
      </c>
      <c r="O1934" s="8" t="s">
        <v>13152</v>
      </c>
      <c r="P1934" s="8" t="s">
        <v>295</v>
      </c>
      <c r="Q1934" s="8" t="s">
        <v>150</v>
      </c>
      <c r="R1934" s="8"/>
      <c r="S1934" s="8" t="s">
        <v>13153</v>
      </c>
      <c r="T1934" s="8" t="s">
        <v>70</v>
      </c>
      <c r="U1934" s="8" t="s">
        <v>150</v>
      </c>
      <c r="V1934" s="8" t="s">
        <v>70</v>
      </c>
      <c r="W1934" s="8" t="s">
        <v>70</v>
      </c>
      <c r="X1934" s="8">
        <v>33</v>
      </c>
      <c r="Y1934" s="8" t="s">
        <v>12359</v>
      </c>
      <c r="Z1934" s="8">
        <v>20</v>
      </c>
      <c r="AA1934" s="8">
        <v>0</v>
      </c>
      <c r="AB1934" s="9">
        <v>0</v>
      </c>
    </row>
    <row r="1935" spans="1:28" x14ac:dyDescent="0.2">
      <c r="A1935" s="10">
        <v>28514</v>
      </c>
      <c r="B1935" s="11" t="s">
        <v>13154</v>
      </c>
      <c r="C1935" s="11" t="s">
        <v>11497</v>
      </c>
      <c r="D1935" s="11" t="s">
        <v>13155</v>
      </c>
      <c r="E1935" s="11"/>
      <c r="F1935" s="11" t="s">
        <v>11498</v>
      </c>
      <c r="G1935" s="11" t="s">
        <v>1952</v>
      </c>
      <c r="H1935" s="11" t="s">
        <v>1953</v>
      </c>
      <c r="I1935" s="11" t="s">
        <v>13156</v>
      </c>
      <c r="J1935" s="11" t="s">
        <v>13157</v>
      </c>
      <c r="K1935" s="11" t="s">
        <v>1956</v>
      </c>
      <c r="L1935" s="11" t="s">
        <v>526</v>
      </c>
      <c r="M1935" s="11" t="s">
        <v>13158</v>
      </c>
      <c r="N1935" s="11" t="s">
        <v>128</v>
      </c>
      <c r="O1935" s="11" t="s">
        <v>13159</v>
      </c>
      <c r="P1935" s="11" t="s">
        <v>13160</v>
      </c>
      <c r="Q1935" s="11" t="s">
        <v>150</v>
      </c>
      <c r="R1935" s="11"/>
      <c r="S1935" s="11" t="s">
        <v>71</v>
      </c>
      <c r="T1935" s="11" t="s">
        <v>70</v>
      </c>
      <c r="U1935" s="11" t="s">
        <v>150</v>
      </c>
      <c r="V1935" s="11" t="s">
        <v>70</v>
      </c>
      <c r="W1935" s="11" t="s">
        <v>70</v>
      </c>
      <c r="X1935" s="11">
        <v>33</v>
      </c>
      <c r="Y1935" s="11" t="s">
        <v>12359</v>
      </c>
      <c r="Z1935" s="11">
        <v>20</v>
      </c>
      <c r="AA1935" s="11">
        <v>0</v>
      </c>
      <c r="AB1935" s="12">
        <v>0</v>
      </c>
    </row>
    <row r="1936" spans="1:28" x14ac:dyDescent="0.2">
      <c r="A1936" s="7">
        <v>24664</v>
      </c>
      <c r="B1936" s="8" t="s">
        <v>13161</v>
      </c>
      <c r="C1936" s="8" t="s">
        <v>7792</v>
      </c>
      <c r="D1936" s="8" t="s">
        <v>10475</v>
      </c>
      <c r="E1936" s="8" t="s">
        <v>10495</v>
      </c>
      <c r="F1936" s="8" t="s">
        <v>353</v>
      </c>
      <c r="G1936" s="8" t="s">
        <v>3643</v>
      </c>
      <c r="H1936" s="8" t="s">
        <v>142</v>
      </c>
      <c r="I1936" s="8" t="s">
        <v>7794</v>
      </c>
      <c r="J1936" s="8" t="s">
        <v>13162</v>
      </c>
      <c r="K1936" s="8" t="s">
        <v>651</v>
      </c>
      <c r="L1936" s="8" t="s">
        <v>146</v>
      </c>
      <c r="M1936" s="8" t="s">
        <v>13163</v>
      </c>
      <c r="N1936" s="8" t="s">
        <v>128</v>
      </c>
      <c r="O1936" s="8" t="s">
        <v>13164</v>
      </c>
      <c r="P1936" s="8" t="s">
        <v>5951</v>
      </c>
      <c r="Q1936" s="8" t="s">
        <v>150</v>
      </c>
      <c r="R1936" s="8"/>
      <c r="S1936" s="8" t="s">
        <v>71</v>
      </c>
      <c r="T1936" s="8" t="s">
        <v>69</v>
      </c>
      <c r="U1936" s="8" t="s">
        <v>150</v>
      </c>
      <c r="V1936" s="8" t="s">
        <v>152</v>
      </c>
      <c r="W1936" s="8" t="s">
        <v>69</v>
      </c>
      <c r="X1936" s="8">
        <v>33</v>
      </c>
      <c r="Y1936" s="8" t="s">
        <v>12359</v>
      </c>
      <c r="Z1936" s="8">
        <v>20</v>
      </c>
      <c r="AA1936" s="8">
        <v>0</v>
      </c>
      <c r="AB1936" s="9">
        <v>0</v>
      </c>
    </row>
    <row r="1937" spans="1:28" x14ac:dyDescent="0.2">
      <c r="A1937" s="10">
        <v>25373</v>
      </c>
      <c r="B1937" s="11" t="s">
        <v>13165</v>
      </c>
      <c r="C1937" s="11" t="s">
        <v>1928</v>
      </c>
      <c r="D1937" s="11" t="s">
        <v>1587</v>
      </c>
      <c r="E1937" s="11" t="s">
        <v>1547</v>
      </c>
      <c r="F1937" s="11" t="s">
        <v>353</v>
      </c>
      <c r="G1937" s="11" t="s">
        <v>556</v>
      </c>
      <c r="H1937" s="11" t="s">
        <v>557</v>
      </c>
      <c r="I1937" s="11" t="s">
        <v>13166</v>
      </c>
      <c r="J1937" s="11" t="s">
        <v>13167</v>
      </c>
      <c r="K1937" s="11" t="s">
        <v>560</v>
      </c>
      <c r="L1937" s="11" t="s">
        <v>229</v>
      </c>
      <c r="M1937" s="11" t="s">
        <v>13168</v>
      </c>
      <c r="N1937" s="11" t="s">
        <v>128</v>
      </c>
      <c r="O1937" s="11" t="s">
        <v>13169</v>
      </c>
      <c r="P1937" s="11" t="s">
        <v>13170</v>
      </c>
      <c r="Q1937" s="11" t="s">
        <v>249</v>
      </c>
      <c r="R1937" s="11"/>
      <c r="S1937" s="11" t="s">
        <v>71</v>
      </c>
      <c r="T1937" s="11" t="s">
        <v>250</v>
      </c>
      <c r="U1937" s="11" t="s">
        <v>134</v>
      </c>
      <c r="V1937" s="11" t="s">
        <v>249</v>
      </c>
      <c r="W1937" s="11" t="s">
        <v>250</v>
      </c>
      <c r="X1937" s="11">
        <v>33</v>
      </c>
      <c r="Y1937" s="11" t="s">
        <v>12359</v>
      </c>
      <c r="Z1937" s="11">
        <v>20</v>
      </c>
      <c r="AA1937" s="11">
        <v>0</v>
      </c>
      <c r="AB1937" s="12">
        <v>0</v>
      </c>
    </row>
    <row r="1938" spans="1:28" x14ac:dyDescent="0.2">
      <c r="A1938" s="7">
        <v>25528</v>
      </c>
      <c r="B1938" s="8" t="s">
        <v>13171</v>
      </c>
      <c r="C1938" s="8" t="s">
        <v>13172</v>
      </c>
      <c r="D1938" s="8" t="s">
        <v>13173</v>
      </c>
      <c r="E1938" s="8"/>
      <c r="F1938" s="8" t="s">
        <v>353</v>
      </c>
      <c r="G1938" s="8" t="s">
        <v>2117</v>
      </c>
      <c r="H1938" s="8" t="s">
        <v>142</v>
      </c>
      <c r="I1938" s="8" t="s">
        <v>13174</v>
      </c>
      <c r="J1938" s="8" t="s">
        <v>13175</v>
      </c>
      <c r="K1938" s="8" t="s">
        <v>1673</v>
      </c>
      <c r="L1938" s="8" t="s">
        <v>464</v>
      </c>
      <c r="M1938" s="8" t="s">
        <v>13176</v>
      </c>
      <c r="N1938" s="8" t="s">
        <v>128</v>
      </c>
      <c r="O1938" s="8" t="s">
        <v>13177</v>
      </c>
      <c r="P1938" s="8" t="s">
        <v>13178</v>
      </c>
      <c r="Q1938" s="8" t="s">
        <v>249</v>
      </c>
      <c r="R1938" s="8"/>
      <c r="S1938" s="8" t="s">
        <v>71</v>
      </c>
      <c r="T1938" s="8" t="s">
        <v>250</v>
      </c>
      <c r="U1938" s="8" t="s">
        <v>134</v>
      </c>
      <c r="V1938" s="8" t="s">
        <v>249</v>
      </c>
      <c r="W1938" s="8" t="s">
        <v>250</v>
      </c>
      <c r="X1938" s="8">
        <v>33</v>
      </c>
      <c r="Y1938" s="8" t="s">
        <v>12359</v>
      </c>
      <c r="Z1938" s="8">
        <v>20</v>
      </c>
      <c r="AA1938" s="8">
        <v>0</v>
      </c>
      <c r="AB1938" s="9">
        <v>0</v>
      </c>
    </row>
    <row r="1939" spans="1:28" x14ac:dyDescent="0.2">
      <c r="A1939" s="10">
        <v>21118</v>
      </c>
      <c r="B1939" s="11" t="s">
        <v>13179</v>
      </c>
      <c r="C1939" s="11" t="s">
        <v>2742</v>
      </c>
      <c r="D1939" s="11" t="s">
        <v>13180</v>
      </c>
      <c r="E1939" s="11"/>
      <c r="F1939" s="11" t="s">
        <v>237</v>
      </c>
      <c r="G1939" s="11" t="s">
        <v>141</v>
      </c>
      <c r="H1939" s="11" t="s">
        <v>142</v>
      </c>
      <c r="I1939" s="11" t="s">
        <v>13181</v>
      </c>
      <c r="J1939" s="11" t="s">
        <v>13182</v>
      </c>
      <c r="K1939" s="11" t="s">
        <v>216</v>
      </c>
      <c r="L1939" s="11" t="s">
        <v>146</v>
      </c>
      <c r="M1939" s="11" t="s">
        <v>13183</v>
      </c>
      <c r="N1939" s="11" t="s">
        <v>128</v>
      </c>
      <c r="O1939" s="11" t="s">
        <v>13184</v>
      </c>
      <c r="P1939" s="11" t="s">
        <v>13185</v>
      </c>
      <c r="Q1939" s="11" t="s">
        <v>150</v>
      </c>
      <c r="R1939" s="11"/>
      <c r="S1939" s="11" t="s">
        <v>71</v>
      </c>
      <c r="T1939" s="11" t="s">
        <v>289</v>
      </c>
      <c r="U1939" s="11" t="s">
        <v>150</v>
      </c>
      <c r="V1939" s="11" t="s">
        <v>289</v>
      </c>
      <c r="W1939" s="11" t="s">
        <v>289</v>
      </c>
      <c r="X1939" s="11">
        <v>32</v>
      </c>
      <c r="Y1939" s="11" t="s">
        <v>12359</v>
      </c>
      <c r="Z1939" s="11">
        <v>20</v>
      </c>
      <c r="AA1939" s="11">
        <v>0</v>
      </c>
      <c r="AB1939" s="12">
        <v>0</v>
      </c>
    </row>
    <row r="1940" spans="1:28" x14ac:dyDescent="0.2">
      <c r="A1940" s="7">
        <v>21376</v>
      </c>
      <c r="B1940" s="8" t="s">
        <v>13186</v>
      </c>
      <c r="C1940" s="8" t="s">
        <v>13187</v>
      </c>
      <c r="D1940" s="8" t="s">
        <v>13188</v>
      </c>
      <c r="E1940" s="8" t="s">
        <v>13189</v>
      </c>
      <c r="F1940" s="8" t="s">
        <v>13190</v>
      </c>
      <c r="G1940" s="8" t="s">
        <v>2117</v>
      </c>
      <c r="H1940" s="8" t="s">
        <v>142</v>
      </c>
      <c r="I1940" s="8" t="s">
        <v>13191</v>
      </c>
      <c r="J1940" s="8" t="s">
        <v>13192</v>
      </c>
      <c r="K1940" s="8" t="s">
        <v>1673</v>
      </c>
      <c r="L1940" s="8" t="s">
        <v>464</v>
      </c>
      <c r="M1940" s="8" t="s">
        <v>13193</v>
      </c>
      <c r="N1940" s="8" t="s">
        <v>128</v>
      </c>
      <c r="O1940" s="8" t="s">
        <v>13194</v>
      </c>
      <c r="P1940" s="8" t="s">
        <v>5757</v>
      </c>
      <c r="Q1940" s="8" t="s">
        <v>150</v>
      </c>
      <c r="R1940" s="8"/>
      <c r="S1940" s="8" t="s">
        <v>13195</v>
      </c>
      <c r="T1940" s="8" t="s">
        <v>67</v>
      </c>
      <c r="U1940" s="8" t="s">
        <v>150</v>
      </c>
      <c r="V1940" s="8" t="s">
        <v>152</v>
      </c>
      <c r="W1940" s="8" t="s">
        <v>67</v>
      </c>
      <c r="X1940" s="8">
        <v>32</v>
      </c>
      <c r="Y1940" s="8" t="s">
        <v>12359</v>
      </c>
      <c r="Z1940" s="8">
        <v>20</v>
      </c>
      <c r="AA1940" s="8">
        <v>0</v>
      </c>
      <c r="AB1940" s="9">
        <v>0</v>
      </c>
    </row>
    <row r="1941" spans="1:28" x14ac:dyDescent="0.2">
      <c r="A1941" s="10">
        <v>21411</v>
      </c>
      <c r="B1941" s="11" t="s">
        <v>13196</v>
      </c>
      <c r="C1941" s="11" t="s">
        <v>10390</v>
      </c>
      <c r="D1941" s="11" t="s">
        <v>13197</v>
      </c>
      <c r="E1941" s="11"/>
      <c r="F1941" s="11" t="s">
        <v>353</v>
      </c>
      <c r="G1941" s="11" t="s">
        <v>10391</v>
      </c>
      <c r="H1941" s="11" t="s">
        <v>142</v>
      </c>
      <c r="I1941" s="11" t="s">
        <v>13096</v>
      </c>
      <c r="J1941" s="11" t="s">
        <v>13198</v>
      </c>
      <c r="K1941" s="11" t="s">
        <v>472</v>
      </c>
      <c r="L1941" s="11" t="s">
        <v>146</v>
      </c>
      <c r="M1941" s="11" t="s">
        <v>13199</v>
      </c>
      <c r="N1941" s="11" t="s">
        <v>128</v>
      </c>
      <c r="O1941" s="11" t="s">
        <v>13200</v>
      </c>
      <c r="P1941" s="11" t="s">
        <v>13201</v>
      </c>
      <c r="Q1941" s="11" t="s">
        <v>150</v>
      </c>
      <c r="R1941" s="11"/>
      <c r="S1941" s="11" t="s">
        <v>71</v>
      </c>
      <c r="T1941" s="11" t="s">
        <v>67</v>
      </c>
      <c r="U1941" s="11" t="s">
        <v>150</v>
      </c>
      <c r="V1941" s="11" t="s">
        <v>152</v>
      </c>
      <c r="W1941" s="11" t="s">
        <v>67</v>
      </c>
      <c r="X1941" s="11">
        <v>32</v>
      </c>
      <c r="Y1941" s="11" t="s">
        <v>12359</v>
      </c>
      <c r="Z1941" s="11">
        <v>20</v>
      </c>
      <c r="AA1941" s="11">
        <v>0</v>
      </c>
      <c r="AB1941" s="12">
        <v>0</v>
      </c>
    </row>
    <row r="1942" spans="1:28" x14ac:dyDescent="0.2">
      <c r="A1942" s="7">
        <v>21436</v>
      </c>
      <c r="B1942" s="8" t="s">
        <v>13202</v>
      </c>
      <c r="C1942" s="8" t="s">
        <v>842</v>
      </c>
      <c r="D1942" s="8" t="s">
        <v>645</v>
      </c>
      <c r="E1942" s="8"/>
      <c r="F1942" s="8" t="s">
        <v>3464</v>
      </c>
      <c r="G1942" s="8" t="s">
        <v>1419</v>
      </c>
      <c r="H1942" s="8" t="s">
        <v>704</v>
      </c>
      <c r="I1942" s="8" t="s">
        <v>12961</v>
      </c>
      <c r="J1942" s="8" t="s">
        <v>13203</v>
      </c>
      <c r="K1942" s="8" t="s">
        <v>707</v>
      </c>
      <c r="L1942" s="8" t="s">
        <v>126</v>
      </c>
      <c r="M1942" s="8" t="s">
        <v>13204</v>
      </c>
      <c r="N1942" s="8" t="s">
        <v>128</v>
      </c>
      <c r="O1942" s="8" t="s">
        <v>13205</v>
      </c>
      <c r="P1942" s="8" t="s">
        <v>13206</v>
      </c>
      <c r="Q1942" s="8" t="s">
        <v>150</v>
      </c>
      <c r="R1942" s="8"/>
      <c r="S1942" s="8" t="s">
        <v>71</v>
      </c>
      <c r="T1942" s="8" t="s">
        <v>67</v>
      </c>
      <c r="U1942" s="8" t="s">
        <v>150</v>
      </c>
      <c r="V1942" s="8" t="s">
        <v>152</v>
      </c>
      <c r="W1942" s="8" t="s">
        <v>67</v>
      </c>
      <c r="X1942" s="8">
        <v>32</v>
      </c>
      <c r="Y1942" s="8" t="s">
        <v>12359</v>
      </c>
      <c r="Z1942" s="8">
        <v>20</v>
      </c>
      <c r="AA1942" s="8">
        <v>0</v>
      </c>
      <c r="AB1942" s="9">
        <v>0</v>
      </c>
    </row>
    <row r="1943" spans="1:28" x14ac:dyDescent="0.2">
      <c r="A1943" s="10">
        <v>118163</v>
      </c>
      <c r="B1943" s="11" t="s">
        <v>13207</v>
      </c>
      <c r="C1943" s="11" t="s">
        <v>10917</v>
      </c>
      <c r="D1943" s="11" t="s">
        <v>13208</v>
      </c>
      <c r="E1943" s="11"/>
      <c r="F1943" s="11" t="s">
        <v>13209</v>
      </c>
      <c r="G1943" s="11" t="s">
        <v>521</v>
      </c>
      <c r="H1943" s="11" t="s">
        <v>522</v>
      </c>
      <c r="I1943" s="11" t="s">
        <v>13210</v>
      </c>
      <c r="J1943" s="11" t="s">
        <v>13211</v>
      </c>
      <c r="K1943" s="11" t="s">
        <v>525</v>
      </c>
      <c r="L1943" s="11" t="s">
        <v>526</v>
      </c>
      <c r="M1943" s="11" t="s">
        <v>13212</v>
      </c>
      <c r="N1943" s="11" t="s">
        <v>128</v>
      </c>
      <c r="O1943" s="11" t="s">
        <v>13213</v>
      </c>
      <c r="P1943" s="11" t="s">
        <v>13214</v>
      </c>
      <c r="Q1943" s="11" t="s">
        <v>150</v>
      </c>
      <c r="R1943" s="11"/>
      <c r="S1943" s="11" t="s">
        <v>71</v>
      </c>
      <c r="T1943" s="11" t="s">
        <v>67</v>
      </c>
      <c r="U1943" s="11" t="s">
        <v>150</v>
      </c>
      <c r="V1943" s="11" t="s">
        <v>152</v>
      </c>
      <c r="W1943" s="11" t="s">
        <v>67</v>
      </c>
      <c r="X1943" s="11">
        <v>32</v>
      </c>
      <c r="Y1943" s="11" t="s">
        <v>12359</v>
      </c>
      <c r="Z1943" s="11">
        <v>20</v>
      </c>
      <c r="AA1943" s="11">
        <v>0</v>
      </c>
      <c r="AB1943" s="12">
        <v>0</v>
      </c>
    </row>
    <row r="1944" spans="1:28" x14ac:dyDescent="0.2">
      <c r="A1944" s="7">
        <v>21829</v>
      </c>
      <c r="B1944" s="8" t="s">
        <v>13215</v>
      </c>
      <c r="C1944" s="8" t="s">
        <v>13216</v>
      </c>
      <c r="D1944" s="8" t="s">
        <v>1999</v>
      </c>
      <c r="E1944" s="8" t="s">
        <v>13217</v>
      </c>
      <c r="F1944" s="8" t="s">
        <v>13218</v>
      </c>
      <c r="G1944" s="8" t="s">
        <v>556</v>
      </c>
      <c r="H1944" s="8" t="s">
        <v>557</v>
      </c>
      <c r="I1944" s="8" t="s">
        <v>13219</v>
      </c>
      <c r="J1944" s="8" t="s">
        <v>13220</v>
      </c>
      <c r="K1944" s="8" t="s">
        <v>560</v>
      </c>
      <c r="L1944" s="8" t="s">
        <v>229</v>
      </c>
      <c r="M1944" s="8" t="s">
        <v>13221</v>
      </c>
      <c r="N1944" s="8" t="s">
        <v>128</v>
      </c>
      <c r="O1944" s="8" t="s">
        <v>13222</v>
      </c>
      <c r="P1944" s="8" t="s">
        <v>13223</v>
      </c>
      <c r="Q1944" s="8" t="s">
        <v>131</v>
      </c>
      <c r="R1944" s="8"/>
      <c r="S1944" s="8" t="s">
        <v>71</v>
      </c>
      <c r="T1944" s="8" t="s">
        <v>133</v>
      </c>
      <c r="U1944" s="8" t="s">
        <v>134</v>
      </c>
      <c r="V1944" s="8" t="s">
        <v>131</v>
      </c>
      <c r="W1944" s="8" t="s">
        <v>133</v>
      </c>
      <c r="X1944" s="8">
        <v>32</v>
      </c>
      <c r="Y1944" s="8" t="s">
        <v>12359</v>
      </c>
      <c r="Z1944" s="8">
        <v>20</v>
      </c>
      <c r="AA1944" s="8">
        <v>0</v>
      </c>
      <c r="AB1944" s="9">
        <v>0</v>
      </c>
    </row>
    <row r="1945" spans="1:28" x14ac:dyDescent="0.2">
      <c r="A1945" s="10">
        <v>23249</v>
      </c>
      <c r="B1945" s="11" t="s">
        <v>13224</v>
      </c>
      <c r="C1945" s="11" t="s">
        <v>1656</v>
      </c>
      <c r="D1945" s="11" t="s">
        <v>138</v>
      </c>
      <c r="E1945" s="11" t="s">
        <v>13225</v>
      </c>
      <c r="F1945" s="11" t="s">
        <v>1658</v>
      </c>
      <c r="G1945" s="11" t="s">
        <v>141</v>
      </c>
      <c r="H1945" s="11" t="s">
        <v>142</v>
      </c>
      <c r="I1945" s="11" t="s">
        <v>1659</v>
      </c>
      <c r="J1945" s="11" t="s">
        <v>1660</v>
      </c>
      <c r="K1945" s="11" t="s">
        <v>145</v>
      </c>
      <c r="L1945" s="11" t="s">
        <v>146</v>
      </c>
      <c r="M1945" s="11" t="s">
        <v>13226</v>
      </c>
      <c r="N1945" s="11" t="s">
        <v>128</v>
      </c>
      <c r="O1945" s="11" t="s">
        <v>13227</v>
      </c>
      <c r="P1945" s="11" t="s">
        <v>13228</v>
      </c>
      <c r="Q1945" s="11" t="s">
        <v>150</v>
      </c>
      <c r="R1945" s="11"/>
      <c r="S1945" s="11" t="s">
        <v>1664</v>
      </c>
      <c r="T1945" s="11" t="s">
        <v>70</v>
      </c>
      <c r="U1945" s="11" t="s">
        <v>150</v>
      </c>
      <c r="V1945" s="11" t="s">
        <v>70</v>
      </c>
      <c r="W1945" s="11" t="s">
        <v>70</v>
      </c>
      <c r="X1945" s="11">
        <v>32</v>
      </c>
      <c r="Y1945" s="11" t="s">
        <v>12359</v>
      </c>
      <c r="Z1945" s="11">
        <v>20</v>
      </c>
      <c r="AA1945" s="11">
        <v>0</v>
      </c>
      <c r="AB1945" s="12">
        <v>0</v>
      </c>
    </row>
    <row r="1946" spans="1:28" x14ac:dyDescent="0.2">
      <c r="A1946" s="7">
        <v>85092</v>
      </c>
      <c r="B1946" s="8" t="s">
        <v>13229</v>
      </c>
      <c r="C1946" s="8" t="s">
        <v>13230</v>
      </c>
      <c r="D1946" s="8" t="s">
        <v>8288</v>
      </c>
      <c r="E1946" s="8"/>
      <c r="F1946" s="8" t="s">
        <v>6430</v>
      </c>
      <c r="G1946" s="8" t="s">
        <v>2676</v>
      </c>
      <c r="H1946" s="8" t="s">
        <v>142</v>
      </c>
      <c r="I1946" s="8" t="s">
        <v>13231</v>
      </c>
      <c r="J1946" s="8" t="s">
        <v>13232</v>
      </c>
      <c r="K1946" s="8" t="s">
        <v>779</v>
      </c>
      <c r="L1946" s="8" t="s">
        <v>464</v>
      </c>
      <c r="M1946" s="8" t="s">
        <v>13233</v>
      </c>
      <c r="N1946" s="8" t="s">
        <v>128</v>
      </c>
      <c r="O1946" s="8" t="s">
        <v>13234</v>
      </c>
      <c r="P1946" s="8" t="s">
        <v>13235</v>
      </c>
      <c r="Q1946" s="8" t="s">
        <v>150</v>
      </c>
      <c r="R1946" s="8"/>
      <c r="S1946" s="8" t="s">
        <v>71</v>
      </c>
      <c r="T1946" s="8" t="s">
        <v>70</v>
      </c>
      <c r="U1946" s="8" t="s">
        <v>150</v>
      </c>
      <c r="V1946" s="8" t="s">
        <v>70</v>
      </c>
      <c r="W1946" s="8" t="s">
        <v>70</v>
      </c>
      <c r="X1946" s="8">
        <v>32</v>
      </c>
      <c r="Y1946" s="8" t="s">
        <v>12359</v>
      </c>
      <c r="Z1946" s="8">
        <v>20</v>
      </c>
      <c r="AA1946" s="8">
        <v>0</v>
      </c>
      <c r="AB1946" s="9">
        <v>0</v>
      </c>
    </row>
    <row r="1947" spans="1:28" x14ac:dyDescent="0.2">
      <c r="A1947" s="10">
        <v>24672</v>
      </c>
      <c r="B1947" s="11" t="s">
        <v>13236</v>
      </c>
      <c r="C1947" s="11" t="s">
        <v>13237</v>
      </c>
      <c r="D1947" s="11" t="s">
        <v>2690</v>
      </c>
      <c r="E1947" s="11" t="s">
        <v>13238</v>
      </c>
      <c r="F1947" s="11" t="s">
        <v>13239</v>
      </c>
      <c r="G1947" s="11" t="s">
        <v>6604</v>
      </c>
      <c r="H1947" s="11" t="s">
        <v>329</v>
      </c>
      <c r="I1947" s="11" t="s">
        <v>7046</v>
      </c>
      <c r="J1947" s="11" t="s">
        <v>13240</v>
      </c>
      <c r="K1947" s="11" t="s">
        <v>332</v>
      </c>
      <c r="L1947" s="11" t="s">
        <v>333</v>
      </c>
      <c r="M1947" s="11" t="s">
        <v>13241</v>
      </c>
      <c r="N1947" s="11" t="s">
        <v>128</v>
      </c>
      <c r="O1947" s="11" t="s">
        <v>13242</v>
      </c>
      <c r="P1947" s="11" t="s">
        <v>1428</v>
      </c>
      <c r="Q1947" s="11" t="s">
        <v>150</v>
      </c>
      <c r="R1947" s="11"/>
      <c r="S1947" s="11" t="s">
        <v>13243</v>
      </c>
      <c r="T1947" s="11" t="s">
        <v>69</v>
      </c>
      <c r="U1947" s="11" t="s">
        <v>150</v>
      </c>
      <c r="V1947" s="11" t="s">
        <v>152</v>
      </c>
      <c r="W1947" s="11" t="s">
        <v>69</v>
      </c>
      <c r="X1947" s="11">
        <v>32</v>
      </c>
      <c r="Y1947" s="11" t="s">
        <v>12359</v>
      </c>
      <c r="Z1947" s="11">
        <v>20</v>
      </c>
      <c r="AA1947" s="11">
        <v>0</v>
      </c>
      <c r="AB1947" s="12">
        <v>0</v>
      </c>
    </row>
    <row r="1948" spans="1:28" x14ac:dyDescent="0.2">
      <c r="A1948" s="7">
        <v>20714</v>
      </c>
      <c r="B1948" s="8" t="s">
        <v>13244</v>
      </c>
      <c r="C1948" s="8" t="s">
        <v>644</v>
      </c>
      <c r="D1948" s="8" t="s">
        <v>645</v>
      </c>
      <c r="E1948" s="8"/>
      <c r="F1948" s="8" t="s">
        <v>353</v>
      </c>
      <c r="G1948" s="8" t="s">
        <v>648</v>
      </c>
      <c r="H1948" s="8" t="s">
        <v>142</v>
      </c>
      <c r="I1948" s="8" t="s">
        <v>13245</v>
      </c>
      <c r="J1948" s="8" t="s">
        <v>13246</v>
      </c>
      <c r="K1948" s="8" t="s">
        <v>651</v>
      </c>
      <c r="L1948" s="8" t="s">
        <v>146</v>
      </c>
      <c r="M1948" s="8" t="s">
        <v>13247</v>
      </c>
      <c r="N1948" s="8" t="s">
        <v>128</v>
      </c>
      <c r="O1948" s="8" t="s">
        <v>13248</v>
      </c>
      <c r="P1948" s="8" t="s">
        <v>13249</v>
      </c>
      <c r="Q1948" s="8" t="s">
        <v>740</v>
      </c>
      <c r="R1948" s="8"/>
      <c r="S1948" s="8" t="s">
        <v>655</v>
      </c>
      <c r="T1948" s="8" t="s">
        <v>1745</v>
      </c>
      <c r="U1948" s="8" t="s">
        <v>134</v>
      </c>
      <c r="V1948" s="8" t="s">
        <v>740</v>
      </c>
      <c r="W1948" s="8" t="s">
        <v>1745</v>
      </c>
      <c r="X1948" s="8">
        <v>32</v>
      </c>
      <c r="Y1948" s="8" t="s">
        <v>12359</v>
      </c>
      <c r="Z1948" s="8">
        <v>20</v>
      </c>
      <c r="AA1948" s="8">
        <v>0</v>
      </c>
      <c r="AB1948" s="9">
        <v>0</v>
      </c>
    </row>
    <row r="1949" spans="1:28" x14ac:dyDescent="0.2">
      <c r="A1949" s="10">
        <v>21770</v>
      </c>
      <c r="B1949" s="11" t="s">
        <v>13250</v>
      </c>
      <c r="C1949" s="11" t="s">
        <v>5885</v>
      </c>
      <c r="D1949" s="11" t="s">
        <v>5114</v>
      </c>
      <c r="E1949" s="11" t="s">
        <v>281</v>
      </c>
      <c r="F1949" s="11" t="s">
        <v>1994</v>
      </c>
      <c r="G1949" s="11" t="s">
        <v>328</v>
      </c>
      <c r="H1949" s="11" t="s">
        <v>329</v>
      </c>
      <c r="I1949" s="11" t="s">
        <v>13251</v>
      </c>
      <c r="J1949" s="11" t="s">
        <v>13252</v>
      </c>
      <c r="K1949" s="11" t="s">
        <v>332</v>
      </c>
      <c r="L1949" s="11" t="s">
        <v>333</v>
      </c>
      <c r="M1949" s="11" t="s">
        <v>13253</v>
      </c>
      <c r="N1949" s="11" t="s">
        <v>128</v>
      </c>
      <c r="O1949" s="11"/>
      <c r="P1949" s="11"/>
      <c r="Q1949" s="11" t="s">
        <v>249</v>
      </c>
      <c r="R1949" s="11"/>
      <c r="S1949" s="11" t="s">
        <v>5892</v>
      </c>
      <c r="T1949" s="11" t="s">
        <v>1523</v>
      </c>
      <c r="U1949" s="11" t="s">
        <v>134</v>
      </c>
      <c r="V1949" s="11" t="s">
        <v>249</v>
      </c>
      <c r="W1949" s="11" t="s">
        <v>1523</v>
      </c>
      <c r="X1949" s="11">
        <v>32</v>
      </c>
      <c r="Y1949" s="11" t="s">
        <v>12359</v>
      </c>
      <c r="Z1949" s="11">
        <v>20</v>
      </c>
      <c r="AA1949" s="11">
        <v>0</v>
      </c>
      <c r="AB1949" s="12">
        <v>0</v>
      </c>
    </row>
    <row r="1950" spans="1:28" x14ac:dyDescent="0.2">
      <c r="A1950" s="7">
        <v>21991</v>
      </c>
      <c r="B1950" s="8" t="s">
        <v>13254</v>
      </c>
      <c r="C1950" s="8" t="s">
        <v>2989</v>
      </c>
      <c r="D1950" s="8" t="s">
        <v>13255</v>
      </c>
      <c r="E1950" s="8"/>
      <c r="F1950" s="8" t="s">
        <v>353</v>
      </c>
      <c r="G1950" s="8" t="s">
        <v>2992</v>
      </c>
      <c r="H1950" s="8" t="s">
        <v>122</v>
      </c>
      <c r="I1950" s="8" t="s">
        <v>2993</v>
      </c>
      <c r="J1950" s="8" t="s">
        <v>13256</v>
      </c>
      <c r="K1950" s="8" t="s">
        <v>125</v>
      </c>
      <c r="L1950" s="8" t="s">
        <v>126</v>
      </c>
      <c r="M1950" s="8" t="s">
        <v>13257</v>
      </c>
      <c r="N1950" s="8" t="s">
        <v>128</v>
      </c>
      <c r="O1950" s="8" t="s">
        <v>13258</v>
      </c>
      <c r="P1950" s="8" t="s">
        <v>13259</v>
      </c>
      <c r="Q1950" s="8" t="s">
        <v>131</v>
      </c>
      <c r="R1950" s="8"/>
      <c r="S1950" s="8" t="s">
        <v>71</v>
      </c>
      <c r="T1950" s="8" t="s">
        <v>133</v>
      </c>
      <c r="U1950" s="8" t="s">
        <v>134</v>
      </c>
      <c r="V1950" s="8" t="s">
        <v>131</v>
      </c>
      <c r="W1950" s="8" t="s">
        <v>133</v>
      </c>
      <c r="X1950" s="8">
        <v>31</v>
      </c>
      <c r="Y1950" s="8" t="s">
        <v>12359</v>
      </c>
      <c r="Z1950" s="8">
        <v>20</v>
      </c>
      <c r="AA1950" s="8">
        <v>0</v>
      </c>
      <c r="AB1950" s="9">
        <v>0</v>
      </c>
    </row>
    <row r="1951" spans="1:28" x14ac:dyDescent="0.2">
      <c r="A1951" s="10">
        <v>124150</v>
      </c>
      <c r="B1951" s="11" t="s">
        <v>13260</v>
      </c>
      <c r="C1951" s="11" t="s">
        <v>1840</v>
      </c>
      <c r="D1951" s="11" t="s">
        <v>13261</v>
      </c>
      <c r="E1951" s="11"/>
      <c r="F1951" s="11" t="s">
        <v>6873</v>
      </c>
      <c r="G1951" s="11" t="s">
        <v>1842</v>
      </c>
      <c r="H1951" s="11" t="s">
        <v>1843</v>
      </c>
      <c r="I1951" s="11" t="s">
        <v>1844</v>
      </c>
      <c r="J1951" s="11" t="s">
        <v>13262</v>
      </c>
      <c r="K1951" s="11" t="s">
        <v>1562</v>
      </c>
      <c r="L1951" s="11" t="s">
        <v>229</v>
      </c>
      <c r="M1951" s="11" t="s">
        <v>13263</v>
      </c>
      <c r="N1951" s="11" t="s">
        <v>128</v>
      </c>
      <c r="O1951" s="11" t="s">
        <v>13264</v>
      </c>
      <c r="P1951" s="11" t="s">
        <v>4860</v>
      </c>
      <c r="Q1951" s="11" t="s">
        <v>150</v>
      </c>
      <c r="R1951" s="11"/>
      <c r="S1951" s="11" t="s">
        <v>71</v>
      </c>
      <c r="T1951" s="11" t="s">
        <v>7898</v>
      </c>
      <c r="U1951" s="11" t="s">
        <v>150</v>
      </c>
      <c r="V1951" s="11" t="s">
        <v>7898</v>
      </c>
      <c r="W1951" s="11" t="s">
        <v>7898</v>
      </c>
      <c r="X1951" s="11">
        <v>31</v>
      </c>
      <c r="Y1951" s="11" t="s">
        <v>12359</v>
      </c>
      <c r="Z1951" s="11">
        <v>20</v>
      </c>
      <c r="AA1951" s="11">
        <v>0</v>
      </c>
      <c r="AB1951" s="12">
        <v>0</v>
      </c>
    </row>
    <row r="1952" spans="1:28" x14ac:dyDescent="0.2">
      <c r="A1952" s="7">
        <v>23781</v>
      </c>
      <c r="B1952" s="8" t="s">
        <v>13265</v>
      </c>
      <c r="C1952" s="8" t="s">
        <v>13266</v>
      </c>
      <c r="D1952" s="8" t="s">
        <v>3134</v>
      </c>
      <c r="E1952" s="8"/>
      <c r="F1952" s="8" t="s">
        <v>353</v>
      </c>
      <c r="G1952" s="8" t="s">
        <v>3855</v>
      </c>
      <c r="H1952" s="8" t="s">
        <v>142</v>
      </c>
      <c r="I1952" s="8" t="s">
        <v>13267</v>
      </c>
      <c r="J1952" s="8" t="s">
        <v>13268</v>
      </c>
      <c r="K1952" s="8" t="s">
        <v>1673</v>
      </c>
      <c r="L1952" s="8" t="s">
        <v>464</v>
      </c>
      <c r="M1952" s="8" t="s">
        <v>13269</v>
      </c>
      <c r="N1952" s="8" t="s">
        <v>128</v>
      </c>
      <c r="O1952" s="8" t="s">
        <v>13270</v>
      </c>
      <c r="P1952" s="8" t="s">
        <v>13271</v>
      </c>
      <c r="Q1952" s="8" t="s">
        <v>150</v>
      </c>
      <c r="R1952" s="8"/>
      <c r="S1952" s="8" t="s">
        <v>71</v>
      </c>
      <c r="T1952" s="8" t="s">
        <v>168</v>
      </c>
      <c r="U1952" s="8" t="s">
        <v>150</v>
      </c>
      <c r="V1952" s="8" t="s">
        <v>168</v>
      </c>
      <c r="W1952" s="8" t="s">
        <v>168</v>
      </c>
      <c r="X1952" s="8">
        <v>31</v>
      </c>
      <c r="Y1952" s="8" t="s">
        <v>12359</v>
      </c>
      <c r="Z1952" s="8">
        <v>20</v>
      </c>
      <c r="AA1952" s="8">
        <v>0</v>
      </c>
      <c r="AB1952" s="9">
        <v>0</v>
      </c>
    </row>
    <row r="1953" spans="1:28" x14ac:dyDescent="0.2">
      <c r="A1953" s="10">
        <v>20740</v>
      </c>
      <c r="B1953" s="11" t="s">
        <v>13272</v>
      </c>
      <c r="C1953" s="11" t="s">
        <v>11076</v>
      </c>
      <c r="D1953" s="11" t="s">
        <v>11077</v>
      </c>
      <c r="E1953" s="11"/>
      <c r="F1953" s="11" t="s">
        <v>10069</v>
      </c>
      <c r="G1953" s="11" t="s">
        <v>141</v>
      </c>
      <c r="H1953" s="11" t="s">
        <v>142</v>
      </c>
      <c r="I1953" s="11" t="s">
        <v>11078</v>
      </c>
      <c r="J1953" s="11" t="s">
        <v>13273</v>
      </c>
      <c r="K1953" s="11" t="s">
        <v>991</v>
      </c>
      <c r="L1953" s="11" t="s">
        <v>146</v>
      </c>
      <c r="M1953" s="11" t="s">
        <v>13274</v>
      </c>
      <c r="N1953" s="11" t="s">
        <v>128</v>
      </c>
      <c r="O1953" s="11" t="s">
        <v>13275</v>
      </c>
      <c r="P1953" s="11" t="s">
        <v>13276</v>
      </c>
      <c r="Q1953" s="11" t="s">
        <v>740</v>
      </c>
      <c r="R1953" s="11"/>
      <c r="S1953" s="11" t="s">
        <v>13277</v>
      </c>
      <c r="T1953" s="11" t="s">
        <v>1745</v>
      </c>
      <c r="U1953" s="11" t="s">
        <v>134</v>
      </c>
      <c r="V1953" s="11" t="s">
        <v>740</v>
      </c>
      <c r="W1953" s="11" t="s">
        <v>1745</v>
      </c>
      <c r="X1953" s="11">
        <v>31</v>
      </c>
      <c r="Y1953" s="11" t="s">
        <v>12359</v>
      </c>
      <c r="Z1953" s="11">
        <v>20</v>
      </c>
      <c r="AA1953" s="11">
        <v>0</v>
      </c>
      <c r="AB1953" s="12">
        <v>0</v>
      </c>
    </row>
    <row r="1954" spans="1:28" x14ac:dyDescent="0.2">
      <c r="A1954" s="7">
        <v>124503</v>
      </c>
      <c r="B1954" s="8" t="s">
        <v>13278</v>
      </c>
      <c r="C1954" s="8" t="s">
        <v>1791</v>
      </c>
      <c r="D1954" s="8" t="s">
        <v>612</v>
      </c>
      <c r="E1954" s="8"/>
      <c r="F1954" s="8" t="s">
        <v>353</v>
      </c>
      <c r="G1954" s="8" t="s">
        <v>1794</v>
      </c>
      <c r="H1954" s="8" t="s">
        <v>142</v>
      </c>
      <c r="I1954" s="8" t="s">
        <v>1795</v>
      </c>
      <c r="J1954" s="8" t="s">
        <v>13279</v>
      </c>
      <c r="K1954" s="8" t="s">
        <v>779</v>
      </c>
      <c r="L1954" s="8" t="s">
        <v>464</v>
      </c>
      <c r="M1954" s="8" t="s">
        <v>13280</v>
      </c>
      <c r="N1954" s="8" t="s">
        <v>128</v>
      </c>
      <c r="O1954" s="8" t="s">
        <v>13281</v>
      </c>
      <c r="P1954" s="8"/>
      <c r="Q1954" s="8" t="s">
        <v>740</v>
      </c>
      <c r="R1954" s="8"/>
      <c r="S1954" s="8" t="s">
        <v>71</v>
      </c>
      <c r="T1954" s="8" t="s">
        <v>1745</v>
      </c>
      <c r="U1954" s="8" t="s">
        <v>134</v>
      </c>
      <c r="V1954" s="8" t="s">
        <v>740</v>
      </c>
      <c r="W1954" s="8" t="s">
        <v>1745</v>
      </c>
      <c r="X1954" s="8">
        <v>31</v>
      </c>
      <c r="Y1954" s="8" t="s">
        <v>12359</v>
      </c>
      <c r="Z1954" s="8">
        <v>20</v>
      </c>
      <c r="AA1954" s="8">
        <v>0</v>
      </c>
      <c r="AB1954" s="9">
        <v>0</v>
      </c>
    </row>
    <row r="1955" spans="1:28" x14ac:dyDescent="0.2">
      <c r="A1955" s="10">
        <v>25217</v>
      </c>
      <c r="B1955" s="11" t="s">
        <v>13282</v>
      </c>
      <c r="C1955" s="11" t="s">
        <v>11392</v>
      </c>
      <c r="D1955" s="11" t="s">
        <v>2091</v>
      </c>
      <c r="E1955" s="11" t="s">
        <v>13283</v>
      </c>
      <c r="F1955" s="11" t="s">
        <v>11393</v>
      </c>
      <c r="G1955" s="11" t="s">
        <v>11394</v>
      </c>
      <c r="H1955" s="11" t="s">
        <v>704</v>
      </c>
      <c r="I1955" s="11" t="s">
        <v>11395</v>
      </c>
      <c r="J1955" s="11" t="s">
        <v>13284</v>
      </c>
      <c r="K1955" s="11" t="s">
        <v>707</v>
      </c>
      <c r="L1955" s="11" t="s">
        <v>126</v>
      </c>
      <c r="M1955" s="11" t="s">
        <v>13285</v>
      </c>
      <c r="N1955" s="11" t="s">
        <v>128</v>
      </c>
      <c r="O1955" s="11" t="s">
        <v>13286</v>
      </c>
      <c r="P1955" s="11" t="s">
        <v>13287</v>
      </c>
      <c r="Q1955" s="11" t="s">
        <v>740</v>
      </c>
      <c r="R1955" s="11"/>
      <c r="S1955" s="11" t="s">
        <v>11399</v>
      </c>
      <c r="T1955" s="11" t="s">
        <v>741</v>
      </c>
      <c r="U1955" s="11" t="s">
        <v>134</v>
      </c>
      <c r="V1955" s="11" t="s">
        <v>740</v>
      </c>
      <c r="W1955" s="11" t="s">
        <v>741</v>
      </c>
      <c r="X1955" s="11">
        <v>31</v>
      </c>
      <c r="Y1955" s="11" t="s">
        <v>12359</v>
      </c>
      <c r="Z1955" s="11">
        <v>20</v>
      </c>
      <c r="AA1955" s="11">
        <v>0</v>
      </c>
      <c r="AB1955" s="12">
        <v>0</v>
      </c>
    </row>
    <row r="1956" spans="1:28" x14ac:dyDescent="0.2">
      <c r="A1956" s="7">
        <v>119856</v>
      </c>
      <c r="B1956" s="8" t="s">
        <v>13288</v>
      </c>
      <c r="C1956" s="8" t="s">
        <v>7393</v>
      </c>
      <c r="D1956" s="8" t="s">
        <v>5994</v>
      </c>
      <c r="E1956" s="8"/>
      <c r="F1956" s="8" t="s">
        <v>7395</v>
      </c>
      <c r="G1956" s="8" t="s">
        <v>2175</v>
      </c>
      <c r="H1956" s="8" t="s">
        <v>2176</v>
      </c>
      <c r="I1956" s="8" t="s">
        <v>5997</v>
      </c>
      <c r="J1956" s="8" t="s">
        <v>7396</v>
      </c>
      <c r="K1956" s="8" t="s">
        <v>194</v>
      </c>
      <c r="L1956" s="8" t="s">
        <v>163</v>
      </c>
      <c r="M1956" s="8" t="s">
        <v>13289</v>
      </c>
      <c r="N1956" s="8" t="s">
        <v>128</v>
      </c>
      <c r="O1956" s="8" t="s">
        <v>13290</v>
      </c>
      <c r="P1956" s="8"/>
      <c r="Q1956" s="8" t="s">
        <v>249</v>
      </c>
      <c r="R1956" s="8"/>
      <c r="S1956" s="8" t="s">
        <v>6002</v>
      </c>
      <c r="T1956" s="8" t="s">
        <v>1523</v>
      </c>
      <c r="U1956" s="8" t="s">
        <v>134</v>
      </c>
      <c r="V1956" s="8" t="s">
        <v>249</v>
      </c>
      <c r="W1956" s="8" t="s">
        <v>1523</v>
      </c>
      <c r="X1956" s="8">
        <v>31</v>
      </c>
      <c r="Y1956" s="8" t="s">
        <v>12359</v>
      </c>
      <c r="Z1956" s="8">
        <v>20</v>
      </c>
      <c r="AA1956" s="8">
        <v>0</v>
      </c>
      <c r="AB1956" s="9">
        <v>0</v>
      </c>
    </row>
    <row r="1957" spans="1:28" x14ac:dyDescent="0.2">
      <c r="A1957" s="10">
        <v>235340</v>
      </c>
      <c r="B1957" s="11" t="s">
        <v>13291</v>
      </c>
      <c r="C1957" s="11" t="s">
        <v>7009</v>
      </c>
      <c r="D1957" s="11" t="s">
        <v>7010</v>
      </c>
      <c r="E1957" s="11"/>
      <c r="F1957" s="11" t="s">
        <v>13292</v>
      </c>
      <c r="G1957" s="11" t="s">
        <v>328</v>
      </c>
      <c r="H1957" s="11" t="s">
        <v>329</v>
      </c>
      <c r="I1957" s="11" t="s">
        <v>13293</v>
      </c>
      <c r="J1957" s="11" t="s">
        <v>7013</v>
      </c>
      <c r="K1957" s="11" t="s">
        <v>332</v>
      </c>
      <c r="L1957" s="11" t="s">
        <v>333</v>
      </c>
      <c r="M1957" s="11" t="s">
        <v>13294</v>
      </c>
      <c r="N1957" s="11" t="s">
        <v>128</v>
      </c>
      <c r="O1957" s="11" t="s">
        <v>13295</v>
      </c>
      <c r="P1957" s="11" t="s">
        <v>13296</v>
      </c>
      <c r="Q1957" s="11" t="s">
        <v>249</v>
      </c>
      <c r="R1957" s="11"/>
      <c r="S1957" s="11" t="s">
        <v>7017</v>
      </c>
      <c r="T1957" s="11" t="s">
        <v>250</v>
      </c>
      <c r="U1957" s="11" t="s">
        <v>134</v>
      </c>
      <c r="V1957" s="11" t="s">
        <v>249</v>
      </c>
      <c r="W1957" s="11" t="s">
        <v>250</v>
      </c>
      <c r="X1957" s="11">
        <v>31</v>
      </c>
      <c r="Y1957" s="11" t="s">
        <v>12359</v>
      </c>
      <c r="Z1957" s="11">
        <v>20</v>
      </c>
      <c r="AA1957" s="11">
        <v>0</v>
      </c>
      <c r="AB1957" s="12">
        <v>0</v>
      </c>
    </row>
    <row r="1958" spans="1:28" x14ac:dyDescent="0.2">
      <c r="A1958" s="7">
        <v>21810</v>
      </c>
      <c r="B1958" s="8" t="s">
        <v>13297</v>
      </c>
      <c r="C1958" s="8" t="s">
        <v>1610</v>
      </c>
      <c r="D1958" s="8" t="s">
        <v>1611</v>
      </c>
      <c r="E1958" s="8" t="s">
        <v>13298</v>
      </c>
      <c r="F1958" s="8" t="s">
        <v>1613</v>
      </c>
      <c r="G1958" s="8" t="s">
        <v>1614</v>
      </c>
      <c r="H1958" s="8" t="s">
        <v>142</v>
      </c>
      <c r="I1958" s="8" t="s">
        <v>1615</v>
      </c>
      <c r="J1958" s="8" t="s">
        <v>1616</v>
      </c>
      <c r="K1958" s="8" t="s">
        <v>717</v>
      </c>
      <c r="L1958" s="8" t="s">
        <v>464</v>
      </c>
      <c r="M1958" s="8" t="s">
        <v>13299</v>
      </c>
      <c r="N1958" s="8" t="s">
        <v>128</v>
      </c>
      <c r="O1958" s="8" t="s">
        <v>13300</v>
      </c>
      <c r="P1958" s="8" t="s">
        <v>13301</v>
      </c>
      <c r="Q1958" s="8" t="s">
        <v>131</v>
      </c>
      <c r="R1958" s="8"/>
      <c r="S1958" s="8" t="s">
        <v>1620</v>
      </c>
      <c r="T1958" s="8" t="s">
        <v>133</v>
      </c>
      <c r="U1958" s="8" t="s">
        <v>134</v>
      </c>
      <c r="V1958" s="8" t="s">
        <v>131</v>
      </c>
      <c r="W1958" s="8" t="s">
        <v>133</v>
      </c>
      <c r="X1958" s="8">
        <v>30</v>
      </c>
      <c r="Y1958" s="8" t="s">
        <v>12359</v>
      </c>
      <c r="Z1958" s="8">
        <v>20</v>
      </c>
      <c r="AA1958" s="8">
        <v>0</v>
      </c>
      <c r="AB1958" s="9">
        <v>0</v>
      </c>
    </row>
    <row r="1959" spans="1:28" x14ac:dyDescent="0.2">
      <c r="A1959" s="10">
        <v>21816</v>
      </c>
      <c r="B1959" s="11" t="s">
        <v>13302</v>
      </c>
      <c r="C1959" s="11" t="s">
        <v>4777</v>
      </c>
      <c r="D1959" s="11" t="s">
        <v>13303</v>
      </c>
      <c r="E1959" s="11" t="s">
        <v>13304</v>
      </c>
      <c r="F1959" s="11" t="s">
        <v>13305</v>
      </c>
      <c r="G1959" s="11" t="s">
        <v>7402</v>
      </c>
      <c r="H1959" s="11" t="s">
        <v>847</v>
      </c>
      <c r="I1959" s="11" t="s">
        <v>7403</v>
      </c>
      <c r="J1959" s="11" t="s">
        <v>13306</v>
      </c>
      <c r="K1959" s="11" t="s">
        <v>1091</v>
      </c>
      <c r="L1959" s="11" t="s">
        <v>126</v>
      </c>
      <c r="M1959" s="11" t="s">
        <v>13307</v>
      </c>
      <c r="N1959" s="11" t="s">
        <v>128</v>
      </c>
      <c r="O1959" s="11" t="s">
        <v>13308</v>
      </c>
      <c r="P1959" s="11" t="s">
        <v>13309</v>
      </c>
      <c r="Q1959" s="11" t="s">
        <v>131</v>
      </c>
      <c r="R1959" s="11"/>
      <c r="S1959" s="11" t="s">
        <v>71</v>
      </c>
      <c r="T1959" s="11" t="s">
        <v>133</v>
      </c>
      <c r="U1959" s="11" t="s">
        <v>134</v>
      </c>
      <c r="V1959" s="11" t="s">
        <v>131</v>
      </c>
      <c r="W1959" s="11" t="s">
        <v>133</v>
      </c>
      <c r="X1959" s="11">
        <v>30</v>
      </c>
      <c r="Y1959" s="11" t="s">
        <v>12359</v>
      </c>
      <c r="Z1959" s="11">
        <v>20</v>
      </c>
      <c r="AA1959" s="11">
        <v>0</v>
      </c>
      <c r="AB1959" s="12">
        <v>0</v>
      </c>
    </row>
    <row r="1960" spans="1:28" x14ac:dyDescent="0.2">
      <c r="A1960" s="7">
        <v>23502</v>
      </c>
      <c r="B1960" s="8" t="s">
        <v>13310</v>
      </c>
      <c r="C1960" s="8" t="s">
        <v>6307</v>
      </c>
      <c r="D1960" s="8" t="s">
        <v>6384</v>
      </c>
      <c r="E1960" s="8" t="s">
        <v>13311</v>
      </c>
      <c r="F1960" s="8" t="s">
        <v>6386</v>
      </c>
      <c r="G1960" s="8" t="s">
        <v>121</v>
      </c>
      <c r="H1960" s="8" t="s">
        <v>122</v>
      </c>
      <c r="I1960" s="8" t="s">
        <v>6387</v>
      </c>
      <c r="J1960" s="8" t="s">
        <v>6388</v>
      </c>
      <c r="K1960" s="8" t="s">
        <v>1051</v>
      </c>
      <c r="L1960" s="8" t="s">
        <v>126</v>
      </c>
      <c r="M1960" s="8" t="s">
        <v>13312</v>
      </c>
      <c r="N1960" s="8" t="s">
        <v>128</v>
      </c>
      <c r="O1960" s="8" t="s">
        <v>13313</v>
      </c>
      <c r="P1960" s="8" t="s">
        <v>13314</v>
      </c>
      <c r="Q1960" s="8" t="s">
        <v>150</v>
      </c>
      <c r="R1960" s="8"/>
      <c r="S1960" s="8" t="s">
        <v>6392</v>
      </c>
      <c r="T1960" s="8" t="s">
        <v>6736</v>
      </c>
      <c r="U1960" s="8" t="s">
        <v>150</v>
      </c>
      <c r="V1960" s="8" t="s">
        <v>6736</v>
      </c>
      <c r="W1960" s="8" t="s">
        <v>6736</v>
      </c>
      <c r="X1960" s="8">
        <v>30</v>
      </c>
      <c r="Y1960" s="8" t="s">
        <v>12359</v>
      </c>
      <c r="Z1960" s="8">
        <v>20</v>
      </c>
      <c r="AA1960" s="8">
        <v>0</v>
      </c>
      <c r="AB1960" s="9">
        <v>0</v>
      </c>
    </row>
    <row r="1961" spans="1:28" x14ac:dyDescent="0.2">
      <c r="A1961" s="10">
        <v>22108</v>
      </c>
      <c r="B1961" s="11" t="s">
        <v>13315</v>
      </c>
      <c r="C1961" s="11" t="s">
        <v>2989</v>
      </c>
      <c r="D1961" s="11" t="s">
        <v>13316</v>
      </c>
      <c r="E1961" s="11"/>
      <c r="F1961" s="11" t="s">
        <v>353</v>
      </c>
      <c r="G1961" s="11" t="s">
        <v>2992</v>
      </c>
      <c r="H1961" s="11" t="s">
        <v>122</v>
      </c>
      <c r="I1961" s="11" t="s">
        <v>2993</v>
      </c>
      <c r="J1961" s="11" t="s">
        <v>13317</v>
      </c>
      <c r="K1961" s="11" t="s">
        <v>125</v>
      </c>
      <c r="L1961" s="11" t="s">
        <v>126</v>
      </c>
      <c r="M1961" s="11" t="s">
        <v>13318</v>
      </c>
      <c r="N1961" s="11" t="s">
        <v>128</v>
      </c>
      <c r="O1961" s="11" t="s">
        <v>13319</v>
      </c>
      <c r="P1961" s="11" t="s">
        <v>6612</v>
      </c>
      <c r="Q1961" s="11" t="s">
        <v>150</v>
      </c>
      <c r="R1961" s="11"/>
      <c r="S1961" s="11" t="s">
        <v>71</v>
      </c>
      <c r="T1961" s="11" t="s">
        <v>6736</v>
      </c>
      <c r="U1961" s="11" t="s">
        <v>150</v>
      </c>
      <c r="V1961" s="11" t="s">
        <v>6736</v>
      </c>
      <c r="W1961" s="11" t="s">
        <v>6736</v>
      </c>
      <c r="X1961" s="11">
        <v>30</v>
      </c>
      <c r="Y1961" s="11" t="s">
        <v>12359</v>
      </c>
      <c r="Z1961" s="11">
        <v>20</v>
      </c>
      <c r="AA1961" s="11">
        <v>0</v>
      </c>
      <c r="AB1961" s="12">
        <v>0</v>
      </c>
    </row>
    <row r="1962" spans="1:28" x14ac:dyDescent="0.2">
      <c r="A1962" s="7">
        <v>23000</v>
      </c>
      <c r="B1962" s="8" t="s">
        <v>13320</v>
      </c>
      <c r="C1962" s="8" t="s">
        <v>13321</v>
      </c>
      <c r="D1962" s="8" t="s">
        <v>138</v>
      </c>
      <c r="E1962" s="8" t="s">
        <v>13322</v>
      </c>
      <c r="F1962" s="8" t="s">
        <v>13323</v>
      </c>
      <c r="G1962" s="8" t="s">
        <v>300</v>
      </c>
      <c r="H1962" s="8" t="s">
        <v>301</v>
      </c>
      <c r="I1962" s="8" t="s">
        <v>13324</v>
      </c>
      <c r="J1962" s="8" t="s">
        <v>7631</v>
      </c>
      <c r="K1962" s="8" t="s">
        <v>304</v>
      </c>
      <c r="L1962" s="8" t="s">
        <v>229</v>
      </c>
      <c r="M1962" s="8" t="s">
        <v>13325</v>
      </c>
      <c r="N1962" s="8" t="s">
        <v>128</v>
      </c>
      <c r="O1962" s="8" t="s">
        <v>13326</v>
      </c>
      <c r="P1962" s="8" t="s">
        <v>2447</v>
      </c>
      <c r="Q1962" s="8" t="s">
        <v>150</v>
      </c>
      <c r="R1962" s="8"/>
      <c r="S1962" s="8" t="s">
        <v>6831</v>
      </c>
      <c r="T1962" s="8" t="s">
        <v>70</v>
      </c>
      <c r="U1962" s="8" t="s">
        <v>150</v>
      </c>
      <c r="V1962" s="8" t="s">
        <v>70</v>
      </c>
      <c r="W1962" s="8" t="s">
        <v>70</v>
      </c>
      <c r="X1962" s="8">
        <v>30</v>
      </c>
      <c r="Y1962" s="8" t="s">
        <v>12359</v>
      </c>
      <c r="Z1962" s="8">
        <v>20</v>
      </c>
      <c r="AA1962" s="8">
        <v>0</v>
      </c>
      <c r="AB1962" s="9">
        <v>0</v>
      </c>
    </row>
    <row r="1963" spans="1:28" x14ac:dyDescent="0.2">
      <c r="A1963" s="10">
        <v>22966</v>
      </c>
      <c r="B1963" s="11" t="s">
        <v>13327</v>
      </c>
      <c r="C1963" s="11" t="s">
        <v>3676</v>
      </c>
      <c r="D1963" s="11" t="s">
        <v>3677</v>
      </c>
      <c r="E1963" s="11" t="s">
        <v>13328</v>
      </c>
      <c r="F1963" s="11" t="s">
        <v>3678</v>
      </c>
      <c r="G1963" s="11" t="s">
        <v>141</v>
      </c>
      <c r="H1963" s="11" t="s">
        <v>142</v>
      </c>
      <c r="I1963" s="11" t="s">
        <v>3679</v>
      </c>
      <c r="J1963" s="11" t="s">
        <v>3680</v>
      </c>
      <c r="K1963" s="11" t="s">
        <v>584</v>
      </c>
      <c r="L1963" s="11" t="s">
        <v>146</v>
      </c>
      <c r="M1963" s="11" t="s">
        <v>13329</v>
      </c>
      <c r="N1963" s="11" t="s">
        <v>128</v>
      </c>
      <c r="O1963" s="11" t="s">
        <v>13330</v>
      </c>
      <c r="P1963" s="11" t="s">
        <v>13331</v>
      </c>
      <c r="Q1963" s="11" t="s">
        <v>150</v>
      </c>
      <c r="R1963" s="11"/>
      <c r="S1963" s="11" t="s">
        <v>3684</v>
      </c>
      <c r="T1963" s="11" t="s">
        <v>70</v>
      </c>
      <c r="U1963" s="11" t="s">
        <v>150</v>
      </c>
      <c r="V1963" s="11" t="s">
        <v>70</v>
      </c>
      <c r="W1963" s="11" t="s">
        <v>70</v>
      </c>
      <c r="X1963" s="11">
        <v>30</v>
      </c>
      <c r="Y1963" s="11" t="s">
        <v>12359</v>
      </c>
      <c r="Z1963" s="11">
        <v>20</v>
      </c>
      <c r="AA1963" s="11">
        <v>0</v>
      </c>
      <c r="AB1963" s="12">
        <v>0</v>
      </c>
    </row>
    <row r="1964" spans="1:28" x14ac:dyDescent="0.2">
      <c r="A1964" s="7">
        <v>23602</v>
      </c>
      <c r="B1964" s="8" t="s">
        <v>13332</v>
      </c>
      <c r="C1964" s="8" t="s">
        <v>8898</v>
      </c>
      <c r="D1964" s="8" t="s">
        <v>2859</v>
      </c>
      <c r="E1964" s="8"/>
      <c r="F1964" s="8" t="s">
        <v>353</v>
      </c>
      <c r="G1964" s="8" t="s">
        <v>8899</v>
      </c>
      <c r="H1964" s="8" t="s">
        <v>142</v>
      </c>
      <c r="I1964" s="8" t="s">
        <v>8900</v>
      </c>
      <c r="J1964" s="8" t="s">
        <v>13333</v>
      </c>
      <c r="K1964" s="8" t="s">
        <v>717</v>
      </c>
      <c r="L1964" s="8" t="s">
        <v>464</v>
      </c>
      <c r="M1964" s="8" t="s">
        <v>13334</v>
      </c>
      <c r="N1964" s="8" t="s">
        <v>128</v>
      </c>
      <c r="O1964" s="8" t="s">
        <v>13335</v>
      </c>
      <c r="P1964" s="8" t="s">
        <v>13336</v>
      </c>
      <c r="Q1964" s="8" t="s">
        <v>150</v>
      </c>
      <c r="R1964" s="8"/>
      <c r="S1964" s="8" t="s">
        <v>71</v>
      </c>
      <c r="T1964" s="8" t="s">
        <v>168</v>
      </c>
      <c r="U1964" s="8" t="s">
        <v>150</v>
      </c>
      <c r="V1964" s="8" t="s">
        <v>168</v>
      </c>
      <c r="W1964" s="8" t="s">
        <v>168</v>
      </c>
      <c r="X1964" s="8">
        <v>30</v>
      </c>
      <c r="Y1964" s="8" t="s">
        <v>12359</v>
      </c>
      <c r="Z1964" s="8">
        <v>20</v>
      </c>
      <c r="AA1964" s="8">
        <v>0</v>
      </c>
      <c r="AB1964" s="9">
        <v>0</v>
      </c>
    </row>
    <row r="1965" spans="1:28" x14ac:dyDescent="0.2">
      <c r="A1965" s="10">
        <v>25328</v>
      </c>
      <c r="B1965" s="11" t="s">
        <v>13337</v>
      </c>
      <c r="C1965" s="11" t="s">
        <v>2101</v>
      </c>
      <c r="D1965" s="11" t="s">
        <v>2102</v>
      </c>
      <c r="E1965" s="11" t="s">
        <v>4296</v>
      </c>
      <c r="F1965" s="11" t="s">
        <v>353</v>
      </c>
      <c r="G1965" s="11" t="s">
        <v>1626</v>
      </c>
      <c r="H1965" s="11" t="s">
        <v>142</v>
      </c>
      <c r="I1965" s="11" t="s">
        <v>2103</v>
      </c>
      <c r="J1965" s="11" t="s">
        <v>2104</v>
      </c>
      <c r="K1965" s="11" t="s">
        <v>472</v>
      </c>
      <c r="L1965" s="11" t="s">
        <v>146</v>
      </c>
      <c r="M1965" s="11" t="s">
        <v>13338</v>
      </c>
      <c r="N1965" s="11" t="s">
        <v>128</v>
      </c>
      <c r="O1965" s="11" t="s">
        <v>13339</v>
      </c>
      <c r="P1965" s="11" t="s">
        <v>13340</v>
      </c>
      <c r="Q1965" s="11" t="s">
        <v>740</v>
      </c>
      <c r="R1965" s="11"/>
      <c r="S1965" s="11" t="s">
        <v>2108</v>
      </c>
      <c r="T1965" s="11" t="s">
        <v>1745</v>
      </c>
      <c r="U1965" s="11" t="s">
        <v>134</v>
      </c>
      <c r="V1965" s="11" t="s">
        <v>740</v>
      </c>
      <c r="W1965" s="11" t="s">
        <v>1745</v>
      </c>
      <c r="X1965" s="11">
        <v>30</v>
      </c>
      <c r="Y1965" s="11" t="s">
        <v>12359</v>
      </c>
      <c r="Z1965" s="11">
        <v>20</v>
      </c>
      <c r="AA1965" s="11">
        <v>0</v>
      </c>
      <c r="AB1965" s="12">
        <v>0</v>
      </c>
    </row>
    <row r="1966" spans="1:28" x14ac:dyDescent="0.2">
      <c r="A1966" s="7">
        <v>49748</v>
      </c>
      <c r="B1966" s="8" t="s">
        <v>13341</v>
      </c>
      <c r="C1966" s="8" t="s">
        <v>13342</v>
      </c>
      <c r="D1966" s="8" t="s">
        <v>1813</v>
      </c>
      <c r="E1966" s="8" t="s">
        <v>13343</v>
      </c>
      <c r="F1966" s="8" t="s">
        <v>1812</v>
      </c>
      <c r="G1966" s="8" t="s">
        <v>1813</v>
      </c>
      <c r="H1966" s="8" t="s">
        <v>142</v>
      </c>
      <c r="I1966" s="8" t="s">
        <v>1814</v>
      </c>
      <c r="J1966" s="8" t="s">
        <v>13344</v>
      </c>
      <c r="K1966" s="8" t="s">
        <v>974</v>
      </c>
      <c r="L1966" s="8" t="s">
        <v>146</v>
      </c>
      <c r="M1966" s="8" t="s">
        <v>13345</v>
      </c>
      <c r="N1966" s="8" t="s">
        <v>128</v>
      </c>
      <c r="O1966" s="8" t="s">
        <v>13346</v>
      </c>
      <c r="P1966" s="8" t="s">
        <v>13347</v>
      </c>
      <c r="Q1966" s="8" t="s">
        <v>740</v>
      </c>
      <c r="R1966" s="8"/>
      <c r="S1966" s="8" t="s">
        <v>1819</v>
      </c>
      <c r="T1966" s="8" t="s">
        <v>1745</v>
      </c>
      <c r="U1966" s="8" t="s">
        <v>134</v>
      </c>
      <c r="V1966" s="8" t="s">
        <v>740</v>
      </c>
      <c r="W1966" s="8" t="s">
        <v>1745</v>
      </c>
      <c r="X1966" s="8">
        <v>30</v>
      </c>
      <c r="Y1966" s="8" t="s">
        <v>12359</v>
      </c>
      <c r="Z1966" s="8">
        <v>20</v>
      </c>
      <c r="AA1966" s="8">
        <v>0</v>
      </c>
      <c r="AB1966" s="9">
        <v>0</v>
      </c>
    </row>
    <row r="1967" spans="1:28" x14ac:dyDescent="0.2">
      <c r="A1967" s="10">
        <v>117292</v>
      </c>
      <c r="B1967" s="11" t="s">
        <v>13348</v>
      </c>
      <c r="C1967" s="11" t="s">
        <v>137</v>
      </c>
      <c r="D1967" s="11" t="s">
        <v>138</v>
      </c>
      <c r="E1967" s="11"/>
      <c r="F1967" s="11" t="s">
        <v>140</v>
      </c>
      <c r="G1967" s="11" t="s">
        <v>141</v>
      </c>
      <c r="H1967" s="11" t="s">
        <v>142</v>
      </c>
      <c r="I1967" s="11" t="s">
        <v>13349</v>
      </c>
      <c r="J1967" s="11" t="s">
        <v>144</v>
      </c>
      <c r="K1967" s="11" t="s">
        <v>145</v>
      </c>
      <c r="L1967" s="11" t="s">
        <v>146</v>
      </c>
      <c r="M1967" s="11" t="s">
        <v>13350</v>
      </c>
      <c r="N1967" s="11" t="s">
        <v>128</v>
      </c>
      <c r="O1967" s="11" t="s">
        <v>13351</v>
      </c>
      <c r="P1967" s="11"/>
      <c r="Q1967" s="11" t="s">
        <v>131</v>
      </c>
      <c r="R1967" s="11"/>
      <c r="S1967" s="11" t="s">
        <v>151</v>
      </c>
      <c r="T1967" s="11" t="s">
        <v>983</v>
      </c>
      <c r="U1967" s="11" t="s">
        <v>134</v>
      </c>
      <c r="V1967" s="11" t="s">
        <v>131</v>
      </c>
      <c r="W1967" s="11" t="s">
        <v>983</v>
      </c>
      <c r="X1967" s="11">
        <v>29</v>
      </c>
      <c r="Y1967" s="11" t="s">
        <v>12359</v>
      </c>
      <c r="Z1967" s="11">
        <v>20</v>
      </c>
      <c r="AA1967" s="11">
        <v>0</v>
      </c>
      <c r="AB1967" s="12">
        <v>0</v>
      </c>
    </row>
    <row r="1968" spans="1:28" x14ac:dyDescent="0.2">
      <c r="A1968" s="7">
        <v>119450</v>
      </c>
      <c r="B1968" s="8" t="s">
        <v>13352</v>
      </c>
      <c r="C1968" s="8" t="s">
        <v>13353</v>
      </c>
      <c r="D1968" s="8" t="s">
        <v>3328</v>
      </c>
      <c r="E1968" s="8"/>
      <c r="F1968" s="8" t="s">
        <v>353</v>
      </c>
      <c r="G1968" s="8" t="s">
        <v>1438</v>
      </c>
      <c r="H1968" s="8" t="s">
        <v>122</v>
      </c>
      <c r="I1968" s="8" t="s">
        <v>13354</v>
      </c>
      <c r="J1968" s="8" t="s">
        <v>13355</v>
      </c>
      <c r="K1968" s="8" t="s">
        <v>125</v>
      </c>
      <c r="L1968" s="8" t="s">
        <v>126</v>
      </c>
      <c r="M1968" s="8" t="s">
        <v>13356</v>
      </c>
      <c r="N1968" s="8" t="s">
        <v>128</v>
      </c>
      <c r="O1968" s="8" t="s">
        <v>13357</v>
      </c>
      <c r="P1968" s="8"/>
      <c r="Q1968" s="8" t="s">
        <v>131</v>
      </c>
      <c r="R1968" s="8"/>
      <c r="S1968" s="8" t="s">
        <v>71</v>
      </c>
      <c r="T1968" s="8" t="s">
        <v>983</v>
      </c>
      <c r="U1968" s="8" t="s">
        <v>134</v>
      </c>
      <c r="V1968" s="8" t="s">
        <v>131</v>
      </c>
      <c r="W1968" s="8" t="s">
        <v>983</v>
      </c>
      <c r="X1968" s="8">
        <v>29</v>
      </c>
      <c r="Y1968" s="8" t="s">
        <v>12359</v>
      </c>
      <c r="Z1968" s="8">
        <v>20</v>
      </c>
      <c r="AA1968" s="8">
        <v>0</v>
      </c>
      <c r="AB1968" s="9">
        <v>0</v>
      </c>
    </row>
    <row r="1969" spans="1:28" x14ac:dyDescent="0.2">
      <c r="A1969" s="10">
        <v>21897</v>
      </c>
      <c r="B1969" s="11" t="s">
        <v>13358</v>
      </c>
      <c r="C1969" s="11" t="s">
        <v>13359</v>
      </c>
      <c r="D1969" s="11" t="s">
        <v>1464</v>
      </c>
      <c r="E1969" s="11" t="s">
        <v>13360</v>
      </c>
      <c r="F1969" s="11" t="s">
        <v>2788</v>
      </c>
      <c r="G1969" s="11" t="s">
        <v>1286</v>
      </c>
      <c r="H1969" s="11" t="s">
        <v>142</v>
      </c>
      <c r="I1969" s="11" t="s">
        <v>13361</v>
      </c>
      <c r="J1969" s="11" t="s">
        <v>13362</v>
      </c>
      <c r="K1969" s="11" t="s">
        <v>717</v>
      </c>
      <c r="L1969" s="11" t="s">
        <v>464</v>
      </c>
      <c r="M1969" s="11" t="s">
        <v>13363</v>
      </c>
      <c r="N1969" s="11" t="s">
        <v>128</v>
      </c>
      <c r="O1969" s="11" t="s">
        <v>13364</v>
      </c>
      <c r="P1969" s="11" t="s">
        <v>7744</v>
      </c>
      <c r="Q1969" s="11" t="s">
        <v>131</v>
      </c>
      <c r="R1969" s="11"/>
      <c r="S1969" s="11" t="s">
        <v>13365</v>
      </c>
      <c r="T1969" s="11" t="s">
        <v>133</v>
      </c>
      <c r="U1969" s="11" t="s">
        <v>134</v>
      </c>
      <c r="V1969" s="11" t="s">
        <v>131</v>
      </c>
      <c r="W1969" s="11" t="s">
        <v>133</v>
      </c>
      <c r="X1969" s="11">
        <v>29</v>
      </c>
      <c r="Y1969" s="11" t="s">
        <v>12359</v>
      </c>
      <c r="Z1969" s="11">
        <v>20</v>
      </c>
      <c r="AA1969" s="11">
        <v>0</v>
      </c>
      <c r="AB1969" s="12">
        <v>0</v>
      </c>
    </row>
    <row r="1970" spans="1:28" x14ac:dyDescent="0.2">
      <c r="A1970" s="7">
        <v>21922</v>
      </c>
      <c r="B1970" s="8" t="s">
        <v>13366</v>
      </c>
      <c r="C1970" s="8" t="s">
        <v>12519</v>
      </c>
      <c r="D1970" s="8" t="s">
        <v>4630</v>
      </c>
      <c r="E1970" s="8"/>
      <c r="F1970" s="8" t="s">
        <v>12595</v>
      </c>
      <c r="G1970" s="8" t="s">
        <v>6409</v>
      </c>
      <c r="H1970" s="8" t="s">
        <v>6410</v>
      </c>
      <c r="I1970" s="8" t="s">
        <v>13367</v>
      </c>
      <c r="J1970" s="8" t="s">
        <v>12596</v>
      </c>
      <c r="K1970" s="8" t="s">
        <v>1956</v>
      </c>
      <c r="L1970" s="8" t="s">
        <v>526</v>
      </c>
      <c r="M1970" s="8" t="s">
        <v>13368</v>
      </c>
      <c r="N1970" s="8" t="s">
        <v>128</v>
      </c>
      <c r="O1970" s="8" t="s">
        <v>13369</v>
      </c>
      <c r="P1970" s="8" t="s">
        <v>13370</v>
      </c>
      <c r="Q1970" s="8" t="s">
        <v>131</v>
      </c>
      <c r="R1970" s="8"/>
      <c r="S1970" s="8" t="s">
        <v>12527</v>
      </c>
      <c r="T1970" s="8" t="s">
        <v>133</v>
      </c>
      <c r="U1970" s="8" t="s">
        <v>134</v>
      </c>
      <c r="V1970" s="8" t="s">
        <v>131</v>
      </c>
      <c r="W1970" s="8" t="s">
        <v>133</v>
      </c>
      <c r="X1970" s="8">
        <v>29</v>
      </c>
      <c r="Y1970" s="8" t="s">
        <v>12359</v>
      </c>
      <c r="Z1970" s="8">
        <v>20</v>
      </c>
      <c r="AA1970" s="8">
        <v>0</v>
      </c>
      <c r="AB1970" s="9">
        <v>0</v>
      </c>
    </row>
    <row r="1971" spans="1:28" x14ac:dyDescent="0.2">
      <c r="A1971" s="10">
        <v>235558</v>
      </c>
      <c r="B1971" s="11" t="s">
        <v>13371</v>
      </c>
      <c r="C1971" s="11" t="s">
        <v>13372</v>
      </c>
      <c r="D1971" s="11" t="s">
        <v>13373</v>
      </c>
      <c r="E1971" s="11"/>
      <c r="F1971" s="11" t="s">
        <v>13374</v>
      </c>
      <c r="G1971" s="11" t="s">
        <v>4465</v>
      </c>
      <c r="H1971" s="11" t="s">
        <v>4466</v>
      </c>
      <c r="I1971" s="11" t="s">
        <v>13375</v>
      </c>
      <c r="J1971" s="11" t="s">
        <v>13376</v>
      </c>
      <c r="K1971" s="11" t="s">
        <v>525</v>
      </c>
      <c r="L1971" s="11" t="s">
        <v>526</v>
      </c>
      <c r="M1971" s="11" t="s">
        <v>13377</v>
      </c>
      <c r="N1971" s="11" t="s">
        <v>128</v>
      </c>
      <c r="O1971" s="11" t="s">
        <v>13378</v>
      </c>
      <c r="P1971" s="11" t="s">
        <v>13379</v>
      </c>
      <c r="Q1971" s="11" t="s">
        <v>150</v>
      </c>
      <c r="R1971" s="11"/>
      <c r="S1971" s="11" t="s">
        <v>71</v>
      </c>
      <c r="T1971" s="11" t="s">
        <v>7898</v>
      </c>
      <c r="U1971" s="11" t="s">
        <v>150</v>
      </c>
      <c r="V1971" s="11" t="s">
        <v>7898</v>
      </c>
      <c r="W1971" s="11" t="s">
        <v>7898</v>
      </c>
      <c r="X1971" s="11">
        <v>29</v>
      </c>
      <c r="Y1971" s="11" t="s">
        <v>12359</v>
      </c>
      <c r="Z1971" s="11">
        <v>20</v>
      </c>
      <c r="AA1971" s="11">
        <v>0</v>
      </c>
      <c r="AB1971" s="12">
        <v>0</v>
      </c>
    </row>
    <row r="1972" spans="1:28" x14ac:dyDescent="0.2">
      <c r="A1972" s="7">
        <v>25349</v>
      </c>
      <c r="B1972" s="8" t="s">
        <v>13380</v>
      </c>
      <c r="C1972" s="8" t="s">
        <v>5885</v>
      </c>
      <c r="D1972" s="8" t="s">
        <v>5114</v>
      </c>
      <c r="E1972" s="8" t="s">
        <v>13381</v>
      </c>
      <c r="F1972" s="8" t="s">
        <v>353</v>
      </c>
      <c r="G1972" s="8" t="s">
        <v>328</v>
      </c>
      <c r="H1972" s="8" t="s">
        <v>329</v>
      </c>
      <c r="I1972" s="8" t="s">
        <v>6041</v>
      </c>
      <c r="J1972" s="8" t="s">
        <v>5888</v>
      </c>
      <c r="K1972" s="8" t="s">
        <v>332</v>
      </c>
      <c r="L1972" s="8" t="s">
        <v>333</v>
      </c>
      <c r="M1972" s="8" t="s">
        <v>13382</v>
      </c>
      <c r="N1972" s="8" t="s">
        <v>128</v>
      </c>
      <c r="O1972" s="8" t="s">
        <v>13383</v>
      </c>
      <c r="P1972" s="8"/>
      <c r="Q1972" s="8" t="s">
        <v>740</v>
      </c>
      <c r="R1972" s="8"/>
      <c r="S1972" s="8" t="s">
        <v>5892</v>
      </c>
      <c r="T1972" s="8" t="s">
        <v>1745</v>
      </c>
      <c r="U1972" s="8" t="s">
        <v>134</v>
      </c>
      <c r="V1972" s="8" t="s">
        <v>740</v>
      </c>
      <c r="W1972" s="8" t="s">
        <v>1745</v>
      </c>
      <c r="X1972" s="8">
        <v>29</v>
      </c>
      <c r="Y1972" s="8" t="s">
        <v>12359</v>
      </c>
      <c r="Z1972" s="8">
        <v>20</v>
      </c>
      <c r="AA1972" s="8">
        <v>0</v>
      </c>
      <c r="AB1972" s="9">
        <v>0</v>
      </c>
    </row>
    <row r="1973" spans="1:28" x14ac:dyDescent="0.2">
      <c r="A1973" s="10">
        <v>25315</v>
      </c>
      <c r="B1973" s="11" t="s">
        <v>13384</v>
      </c>
      <c r="C1973" s="11" t="s">
        <v>1622</v>
      </c>
      <c r="D1973" s="11" t="s">
        <v>1623</v>
      </c>
      <c r="E1973" s="11" t="s">
        <v>13385</v>
      </c>
      <c r="F1973" s="11" t="s">
        <v>1625</v>
      </c>
      <c r="G1973" s="11" t="s">
        <v>1626</v>
      </c>
      <c r="H1973" s="11" t="s">
        <v>142</v>
      </c>
      <c r="I1973" s="11" t="s">
        <v>1627</v>
      </c>
      <c r="J1973" s="11" t="s">
        <v>1628</v>
      </c>
      <c r="K1973" s="11" t="s">
        <v>472</v>
      </c>
      <c r="L1973" s="11" t="s">
        <v>146</v>
      </c>
      <c r="M1973" s="11" t="s">
        <v>13386</v>
      </c>
      <c r="N1973" s="11" t="s">
        <v>128</v>
      </c>
      <c r="O1973" s="11" t="s">
        <v>13387</v>
      </c>
      <c r="P1973" s="11" t="s">
        <v>13388</v>
      </c>
      <c r="Q1973" s="11" t="s">
        <v>740</v>
      </c>
      <c r="R1973" s="11"/>
      <c r="S1973" s="11" t="s">
        <v>1632</v>
      </c>
      <c r="T1973" s="11" t="s">
        <v>1745</v>
      </c>
      <c r="U1973" s="11" t="s">
        <v>134</v>
      </c>
      <c r="V1973" s="11" t="s">
        <v>740</v>
      </c>
      <c r="W1973" s="11" t="s">
        <v>1745</v>
      </c>
      <c r="X1973" s="11">
        <v>29</v>
      </c>
      <c r="Y1973" s="11" t="s">
        <v>12359</v>
      </c>
      <c r="Z1973" s="11">
        <v>20</v>
      </c>
      <c r="AA1973" s="11">
        <v>0</v>
      </c>
      <c r="AB1973" s="12">
        <v>0</v>
      </c>
    </row>
    <row r="1974" spans="1:28" x14ac:dyDescent="0.2">
      <c r="A1974" s="7">
        <v>25227</v>
      </c>
      <c r="B1974" s="8" t="s">
        <v>13389</v>
      </c>
      <c r="C1974" s="8" t="s">
        <v>13390</v>
      </c>
      <c r="D1974" s="8" t="s">
        <v>242</v>
      </c>
      <c r="E1974" s="8"/>
      <c r="F1974" s="8" t="s">
        <v>353</v>
      </c>
      <c r="G1974" s="8" t="s">
        <v>3758</v>
      </c>
      <c r="H1974" s="8" t="s">
        <v>847</v>
      </c>
      <c r="I1974" s="8" t="s">
        <v>13391</v>
      </c>
      <c r="J1974" s="8" t="s">
        <v>13392</v>
      </c>
      <c r="K1974" s="8" t="s">
        <v>1091</v>
      </c>
      <c r="L1974" s="8" t="s">
        <v>126</v>
      </c>
      <c r="M1974" s="8" t="s">
        <v>13393</v>
      </c>
      <c r="N1974" s="8" t="s">
        <v>128</v>
      </c>
      <c r="O1974" s="8" t="s">
        <v>13394</v>
      </c>
      <c r="P1974" s="8"/>
      <c r="Q1974" s="8" t="s">
        <v>740</v>
      </c>
      <c r="R1974" s="8"/>
      <c r="S1974" s="8" t="s">
        <v>71</v>
      </c>
      <c r="T1974" s="8" t="s">
        <v>1745</v>
      </c>
      <c r="U1974" s="8" t="s">
        <v>134</v>
      </c>
      <c r="V1974" s="8" t="s">
        <v>740</v>
      </c>
      <c r="W1974" s="8" t="s">
        <v>1745</v>
      </c>
      <c r="X1974" s="8">
        <v>29</v>
      </c>
      <c r="Y1974" s="8" t="s">
        <v>12359</v>
      </c>
      <c r="Z1974" s="8">
        <v>20</v>
      </c>
      <c r="AA1974" s="8">
        <v>0</v>
      </c>
      <c r="AB1974" s="9">
        <v>0</v>
      </c>
    </row>
    <row r="1975" spans="1:28" x14ac:dyDescent="0.2">
      <c r="A1975" s="10">
        <v>125368</v>
      </c>
      <c r="B1975" s="11" t="s">
        <v>13395</v>
      </c>
      <c r="C1975" s="11" t="s">
        <v>1645</v>
      </c>
      <c r="D1975" s="11" t="s">
        <v>3082</v>
      </c>
      <c r="E1975" s="11"/>
      <c r="F1975" s="11" t="s">
        <v>1648</v>
      </c>
      <c r="G1975" s="11" t="s">
        <v>328</v>
      </c>
      <c r="H1975" s="11" t="s">
        <v>329</v>
      </c>
      <c r="I1975" s="11" t="s">
        <v>1649</v>
      </c>
      <c r="J1975" s="11" t="s">
        <v>13396</v>
      </c>
      <c r="K1975" s="11" t="s">
        <v>572</v>
      </c>
      <c r="L1975" s="11" t="s">
        <v>333</v>
      </c>
      <c r="M1975" s="11" t="s">
        <v>13397</v>
      </c>
      <c r="N1975" s="11" t="s">
        <v>128</v>
      </c>
      <c r="O1975" s="11" t="s">
        <v>13398</v>
      </c>
      <c r="P1975" s="11" t="s">
        <v>13399</v>
      </c>
      <c r="Q1975" s="11" t="s">
        <v>740</v>
      </c>
      <c r="R1975" s="11"/>
      <c r="S1975" s="11" t="s">
        <v>71</v>
      </c>
      <c r="T1975" s="11" t="s">
        <v>741</v>
      </c>
      <c r="U1975" s="11" t="s">
        <v>134</v>
      </c>
      <c r="V1975" s="11" t="s">
        <v>740</v>
      </c>
      <c r="W1975" s="11" t="s">
        <v>741</v>
      </c>
      <c r="X1975" s="11">
        <v>29</v>
      </c>
      <c r="Y1975" s="11" t="s">
        <v>12359</v>
      </c>
      <c r="Z1975" s="11">
        <v>20</v>
      </c>
      <c r="AA1975" s="11">
        <v>0</v>
      </c>
      <c r="AB1975" s="12">
        <v>0</v>
      </c>
    </row>
    <row r="1976" spans="1:28" x14ac:dyDescent="0.2">
      <c r="A1976" s="7">
        <v>31193</v>
      </c>
      <c r="B1976" s="8" t="s">
        <v>13400</v>
      </c>
      <c r="C1976" s="8" t="s">
        <v>8058</v>
      </c>
      <c r="D1976" s="8" t="s">
        <v>448</v>
      </c>
      <c r="E1976" s="8"/>
      <c r="F1976" s="8" t="s">
        <v>13401</v>
      </c>
      <c r="G1976" s="8" t="s">
        <v>1196</v>
      </c>
      <c r="H1976" s="8" t="s">
        <v>142</v>
      </c>
      <c r="I1976" s="8" t="s">
        <v>8061</v>
      </c>
      <c r="J1976" s="8" t="s">
        <v>13402</v>
      </c>
      <c r="K1976" s="8" t="s">
        <v>1199</v>
      </c>
      <c r="L1976" s="8" t="s">
        <v>464</v>
      </c>
      <c r="M1976" s="8" t="s">
        <v>13403</v>
      </c>
      <c r="N1976" s="8" t="s">
        <v>128</v>
      </c>
      <c r="O1976" s="8"/>
      <c r="P1976" s="8"/>
      <c r="Q1976" s="8" t="s">
        <v>740</v>
      </c>
      <c r="R1976" s="8"/>
      <c r="S1976" s="8" t="s">
        <v>8066</v>
      </c>
      <c r="T1976" s="8" t="s">
        <v>741</v>
      </c>
      <c r="U1976" s="8" t="s">
        <v>134</v>
      </c>
      <c r="V1976" s="8" t="s">
        <v>740</v>
      </c>
      <c r="W1976" s="8" t="s">
        <v>741</v>
      </c>
      <c r="X1976" s="8">
        <v>29</v>
      </c>
      <c r="Y1976" s="8" t="s">
        <v>12359</v>
      </c>
      <c r="Z1976" s="8">
        <v>20</v>
      </c>
      <c r="AA1976" s="8">
        <v>0</v>
      </c>
      <c r="AB1976" s="9">
        <v>0</v>
      </c>
    </row>
    <row r="1977" spans="1:28" x14ac:dyDescent="0.2">
      <c r="A1977" s="10">
        <v>25637</v>
      </c>
      <c r="B1977" s="11" t="s">
        <v>13404</v>
      </c>
      <c r="C1977" s="11" t="s">
        <v>11076</v>
      </c>
      <c r="D1977" s="11" t="s">
        <v>11077</v>
      </c>
      <c r="E1977" s="11"/>
      <c r="F1977" s="11" t="s">
        <v>353</v>
      </c>
      <c r="G1977" s="11" t="s">
        <v>141</v>
      </c>
      <c r="H1977" s="11" t="s">
        <v>142</v>
      </c>
      <c r="I1977" s="11" t="s">
        <v>11078</v>
      </c>
      <c r="J1977" s="11" t="s">
        <v>13273</v>
      </c>
      <c r="K1977" s="11" t="s">
        <v>991</v>
      </c>
      <c r="L1977" s="11" t="s">
        <v>146</v>
      </c>
      <c r="M1977" s="11" t="s">
        <v>13405</v>
      </c>
      <c r="N1977" s="11" t="s">
        <v>128</v>
      </c>
      <c r="O1977" s="11" t="s">
        <v>13406</v>
      </c>
      <c r="P1977" s="11"/>
      <c r="Q1977" s="11" t="s">
        <v>249</v>
      </c>
      <c r="R1977" s="11"/>
      <c r="S1977" s="11" t="s">
        <v>13277</v>
      </c>
      <c r="T1977" s="11" t="s">
        <v>1523</v>
      </c>
      <c r="U1977" s="11" t="s">
        <v>134</v>
      </c>
      <c r="V1977" s="11" t="s">
        <v>249</v>
      </c>
      <c r="W1977" s="11" t="s">
        <v>1523</v>
      </c>
      <c r="X1977" s="11">
        <v>29</v>
      </c>
      <c r="Y1977" s="11" t="s">
        <v>12359</v>
      </c>
      <c r="Z1977" s="11">
        <v>20</v>
      </c>
      <c r="AA1977" s="11">
        <v>0</v>
      </c>
      <c r="AB1977" s="12">
        <v>0</v>
      </c>
    </row>
    <row r="1978" spans="1:28" x14ac:dyDescent="0.2">
      <c r="A1978" s="7">
        <v>31462</v>
      </c>
      <c r="B1978" s="8" t="s">
        <v>13407</v>
      </c>
      <c r="C1978" s="8" t="s">
        <v>668</v>
      </c>
      <c r="D1978" s="8" t="s">
        <v>10435</v>
      </c>
      <c r="E1978" s="8"/>
      <c r="F1978" s="8"/>
      <c r="G1978" s="8" t="s">
        <v>670</v>
      </c>
      <c r="H1978" s="8" t="s">
        <v>671</v>
      </c>
      <c r="I1978" s="8" t="s">
        <v>672</v>
      </c>
      <c r="J1978" s="8" t="s">
        <v>13408</v>
      </c>
      <c r="K1978" s="8" t="s">
        <v>572</v>
      </c>
      <c r="L1978" s="8" t="s">
        <v>333</v>
      </c>
      <c r="M1978" s="8" t="s">
        <v>13409</v>
      </c>
      <c r="N1978" s="8" t="s">
        <v>128</v>
      </c>
      <c r="O1978" s="8" t="s">
        <v>13410</v>
      </c>
      <c r="P1978" s="8" t="s">
        <v>13411</v>
      </c>
      <c r="Q1978" s="8" t="s">
        <v>249</v>
      </c>
      <c r="R1978" s="8"/>
      <c r="S1978" s="8" t="s">
        <v>71</v>
      </c>
      <c r="T1978" s="8" t="s">
        <v>250</v>
      </c>
      <c r="U1978" s="8" t="s">
        <v>134</v>
      </c>
      <c r="V1978" s="8" t="s">
        <v>249</v>
      </c>
      <c r="W1978" s="8" t="s">
        <v>250</v>
      </c>
      <c r="X1978" s="8">
        <v>29</v>
      </c>
      <c r="Y1978" s="8" t="s">
        <v>12359</v>
      </c>
      <c r="Z1978" s="8">
        <v>20</v>
      </c>
      <c r="AA1978" s="8">
        <v>0</v>
      </c>
      <c r="AB1978" s="9">
        <v>0</v>
      </c>
    </row>
    <row r="1979" spans="1:28" x14ac:dyDescent="0.2">
      <c r="A1979" s="10">
        <v>21208</v>
      </c>
      <c r="B1979" s="11" t="s">
        <v>13412</v>
      </c>
      <c r="C1979" s="11" t="s">
        <v>324</v>
      </c>
      <c r="D1979" s="11" t="s">
        <v>7723</v>
      </c>
      <c r="E1979" s="11"/>
      <c r="F1979" s="11" t="s">
        <v>7725</v>
      </c>
      <c r="G1979" s="11" t="s">
        <v>328</v>
      </c>
      <c r="H1979" s="11" t="s">
        <v>329</v>
      </c>
      <c r="I1979" s="11" t="s">
        <v>7726</v>
      </c>
      <c r="J1979" s="11" t="s">
        <v>13413</v>
      </c>
      <c r="K1979" s="11" t="s">
        <v>332</v>
      </c>
      <c r="L1979" s="11" t="s">
        <v>333</v>
      </c>
      <c r="M1979" s="11" t="s">
        <v>13414</v>
      </c>
      <c r="N1979" s="11" t="s">
        <v>128</v>
      </c>
      <c r="O1979" s="11" t="s">
        <v>13415</v>
      </c>
      <c r="P1979" s="11"/>
      <c r="Q1979" s="11" t="s">
        <v>150</v>
      </c>
      <c r="R1979" s="11"/>
      <c r="S1979" s="11" t="s">
        <v>7729</v>
      </c>
      <c r="T1979" s="11" t="s">
        <v>642</v>
      </c>
      <c r="U1979" s="11" t="s">
        <v>150</v>
      </c>
      <c r="V1979" s="11" t="s">
        <v>642</v>
      </c>
      <c r="W1979" s="11" t="s">
        <v>642</v>
      </c>
      <c r="X1979" s="11">
        <v>28</v>
      </c>
      <c r="Y1979" s="11" t="s">
        <v>12359</v>
      </c>
      <c r="Z1979" s="11">
        <v>20</v>
      </c>
      <c r="AA1979" s="11">
        <v>0</v>
      </c>
      <c r="AB1979" s="12">
        <v>0</v>
      </c>
    </row>
    <row r="1980" spans="1:28" x14ac:dyDescent="0.2">
      <c r="A1980" s="7">
        <v>85125</v>
      </c>
      <c r="B1980" s="8" t="s">
        <v>13416</v>
      </c>
      <c r="C1980" s="8" t="s">
        <v>9219</v>
      </c>
      <c r="D1980" s="8" t="s">
        <v>138</v>
      </c>
      <c r="E1980" s="8"/>
      <c r="F1980" s="8" t="s">
        <v>9221</v>
      </c>
      <c r="G1980" s="8" t="s">
        <v>9222</v>
      </c>
      <c r="H1980" s="8" t="s">
        <v>159</v>
      </c>
      <c r="I1980" s="8" t="s">
        <v>9223</v>
      </c>
      <c r="J1980" s="8" t="s">
        <v>13417</v>
      </c>
      <c r="K1980" s="8" t="s">
        <v>274</v>
      </c>
      <c r="L1980" s="8" t="s">
        <v>163</v>
      </c>
      <c r="M1980" s="8" t="s">
        <v>13418</v>
      </c>
      <c r="N1980" s="8" t="s">
        <v>128</v>
      </c>
      <c r="O1980" s="8" t="s">
        <v>13419</v>
      </c>
      <c r="P1980" s="8" t="s">
        <v>13420</v>
      </c>
      <c r="Q1980" s="8" t="s">
        <v>150</v>
      </c>
      <c r="R1980" s="8"/>
      <c r="S1980" s="8" t="s">
        <v>9228</v>
      </c>
      <c r="T1980" s="8" t="s">
        <v>67</v>
      </c>
      <c r="U1980" s="8" t="s">
        <v>150</v>
      </c>
      <c r="V1980" s="8" t="s">
        <v>152</v>
      </c>
      <c r="W1980" s="8" t="s">
        <v>67</v>
      </c>
      <c r="X1980" s="8">
        <v>28</v>
      </c>
      <c r="Y1980" s="8" t="s">
        <v>12359</v>
      </c>
      <c r="Z1980" s="8">
        <v>20</v>
      </c>
      <c r="AA1980" s="8">
        <v>0</v>
      </c>
      <c r="AB1980" s="9">
        <v>0</v>
      </c>
    </row>
    <row r="1981" spans="1:28" x14ac:dyDescent="0.2">
      <c r="A1981" s="10">
        <v>22480</v>
      </c>
      <c r="B1981" s="11" t="s">
        <v>13421</v>
      </c>
      <c r="C1981" s="11" t="s">
        <v>1610</v>
      </c>
      <c r="D1981" s="11" t="s">
        <v>1611</v>
      </c>
      <c r="E1981" s="11" t="s">
        <v>13422</v>
      </c>
      <c r="F1981" s="11" t="s">
        <v>1613</v>
      </c>
      <c r="G1981" s="11" t="s">
        <v>1614</v>
      </c>
      <c r="H1981" s="11" t="s">
        <v>142</v>
      </c>
      <c r="I1981" s="11" t="s">
        <v>1615</v>
      </c>
      <c r="J1981" s="11" t="s">
        <v>13423</v>
      </c>
      <c r="K1981" s="11" t="s">
        <v>717</v>
      </c>
      <c r="L1981" s="11" t="s">
        <v>464</v>
      </c>
      <c r="M1981" s="11" t="s">
        <v>13424</v>
      </c>
      <c r="N1981" s="11" t="s">
        <v>128</v>
      </c>
      <c r="O1981" s="11" t="s">
        <v>13425</v>
      </c>
      <c r="P1981" s="11"/>
      <c r="Q1981" s="11" t="s">
        <v>131</v>
      </c>
      <c r="R1981" s="11"/>
      <c r="S1981" s="11" t="s">
        <v>1620</v>
      </c>
      <c r="T1981" s="11" t="s">
        <v>983</v>
      </c>
      <c r="U1981" s="11" t="s">
        <v>134</v>
      </c>
      <c r="V1981" s="11" t="s">
        <v>131</v>
      </c>
      <c r="W1981" s="11" t="s">
        <v>983</v>
      </c>
      <c r="X1981" s="11">
        <v>28</v>
      </c>
      <c r="Y1981" s="11" t="s">
        <v>12359</v>
      </c>
      <c r="Z1981" s="11">
        <v>20</v>
      </c>
      <c r="AA1981" s="11">
        <v>0</v>
      </c>
      <c r="AB1981" s="12">
        <v>0</v>
      </c>
    </row>
    <row r="1982" spans="1:28" x14ac:dyDescent="0.2">
      <c r="A1982" s="7">
        <v>24570</v>
      </c>
      <c r="B1982" s="8" t="s">
        <v>13426</v>
      </c>
      <c r="C1982" s="8" t="s">
        <v>5979</v>
      </c>
      <c r="D1982" s="8" t="s">
        <v>5139</v>
      </c>
      <c r="E1982" s="8" t="s">
        <v>1010</v>
      </c>
      <c r="F1982" s="8" t="s">
        <v>1994</v>
      </c>
      <c r="G1982" s="8" t="s">
        <v>328</v>
      </c>
      <c r="H1982" s="8" t="s">
        <v>329</v>
      </c>
      <c r="I1982" s="8" t="s">
        <v>6092</v>
      </c>
      <c r="J1982" s="8" t="s">
        <v>5982</v>
      </c>
      <c r="K1982" s="8" t="s">
        <v>332</v>
      </c>
      <c r="L1982" s="8" t="s">
        <v>333</v>
      </c>
      <c r="M1982" s="8" t="s">
        <v>13427</v>
      </c>
      <c r="N1982" s="8" t="s">
        <v>128</v>
      </c>
      <c r="O1982" s="8" t="s">
        <v>13428</v>
      </c>
      <c r="P1982" s="8"/>
      <c r="Q1982" s="8" t="s">
        <v>131</v>
      </c>
      <c r="R1982" s="8"/>
      <c r="S1982" s="8" t="s">
        <v>5986</v>
      </c>
      <c r="T1982" s="8" t="s">
        <v>983</v>
      </c>
      <c r="U1982" s="8" t="s">
        <v>134</v>
      </c>
      <c r="V1982" s="8" t="s">
        <v>131</v>
      </c>
      <c r="W1982" s="8" t="s">
        <v>983</v>
      </c>
      <c r="X1982" s="8">
        <v>28</v>
      </c>
      <c r="Y1982" s="8" t="s">
        <v>12359</v>
      </c>
      <c r="Z1982" s="8">
        <v>20</v>
      </c>
      <c r="AA1982" s="8">
        <v>0</v>
      </c>
      <c r="AB1982" s="9">
        <v>0</v>
      </c>
    </row>
    <row r="1983" spans="1:28" x14ac:dyDescent="0.2">
      <c r="A1983" s="10">
        <v>22015</v>
      </c>
      <c r="B1983" s="11" t="s">
        <v>13429</v>
      </c>
      <c r="C1983" s="11" t="s">
        <v>13430</v>
      </c>
      <c r="D1983" s="11" t="s">
        <v>138</v>
      </c>
      <c r="E1983" s="11" t="s">
        <v>13431</v>
      </c>
      <c r="F1983" s="11" t="s">
        <v>3136</v>
      </c>
      <c r="G1983" s="11" t="s">
        <v>190</v>
      </c>
      <c r="H1983" s="11" t="s">
        <v>191</v>
      </c>
      <c r="I1983" s="11" t="s">
        <v>3137</v>
      </c>
      <c r="J1983" s="11" t="s">
        <v>13432</v>
      </c>
      <c r="K1983" s="11" t="s">
        <v>194</v>
      </c>
      <c r="L1983" s="11" t="s">
        <v>163</v>
      </c>
      <c r="M1983" s="11" t="s">
        <v>13433</v>
      </c>
      <c r="N1983" s="11" t="s">
        <v>128</v>
      </c>
      <c r="O1983" s="11" t="s">
        <v>13434</v>
      </c>
      <c r="P1983" s="11" t="s">
        <v>13435</v>
      </c>
      <c r="Q1983" s="11" t="s">
        <v>131</v>
      </c>
      <c r="R1983" s="11"/>
      <c r="S1983" s="11" t="s">
        <v>3142</v>
      </c>
      <c r="T1983" s="11" t="s">
        <v>983</v>
      </c>
      <c r="U1983" s="11" t="s">
        <v>134</v>
      </c>
      <c r="V1983" s="11" t="s">
        <v>131</v>
      </c>
      <c r="W1983" s="11" t="s">
        <v>983</v>
      </c>
      <c r="X1983" s="11">
        <v>28</v>
      </c>
      <c r="Y1983" s="11" t="s">
        <v>12359</v>
      </c>
      <c r="Z1983" s="11">
        <v>20</v>
      </c>
      <c r="AA1983" s="11">
        <v>0</v>
      </c>
      <c r="AB1983" s="12">
        <v>0</v>
      </c>
    </row>
    <row r="1984" spans="1:28" x14ac:dyDescent="0.2">
      <c r="A1984" s="7">
        <v>22002</v>
      </c>
      <c r="B1984" s="8" t="s">
        <v>13436</v>
      </c>
      <c r="C1984" s="8" t="s">
        <v>13437</v>
      </c>
      <c r="D1984" s="8" t="s">
        <v>9100</v>
      </c>
      <c r="E1984" s="8"/>
      <c r="F1984" s="8" t="s">
        <v>353</v>
      </c>
      <c r="G1984" s="8" t="s">
        <v>7116</v>
      </c>
      <c r="H1984" s="8" t="s">
        <v>142</v>
      </c>
      <c r="I1984" s="8" t="s">
        <v>13438</v>
      </c>
      <c r="J1984" s="8" t="s">
        <v>13439</v>
      </c>
      <c r="K1984" s="8" t="s">
        <v>1199</v>
      </c>
      <c r="L1984" s="8" t="s">
        <v>464</v>
      </c>
      <c r="M1984" s="8" t="s">
        <v>13440</v>
      </c>
      <c r="N1984" s="8" t="s">
        <v>128</v>
      </c>
      <c r="O1984" s="8" t="s">
        <v>13441</v>
      </c>
      <c r="P1984" s="8"/>
      <c r="Q1984" s="8" t="s">
        <v>131</v>
      </c>
      <c r="R1984" s="8"/>
      <c r="S1984" s="8" t="s">
        <v>13442</v>
      </c>
      <c r="T1984" s="8" t="s">
        <v>983</v>
      </c>
      <c r="U1984" s="8" t="s">
        <v>134</v>
      </c>
      <c r="V1984" s="8" t="s">
        <v>131</v>
      </c>
      <c r="W1984" s="8" t="s">
        <v>983</v>
      </c>
      <c r="X1984" s="8">
        <v>28</v>
      </c>
      <c r="Y1984" s="8" t="s">
        <v>12359</v>
      </c>
      <c r="Z1984" s="8">
        <v>20</v>
      </c>
      <c r="AA1984" s="8">
        <v>0</v>
      </c>
      <c r="AB1984" s="9">
        <v>0</v>
      </c>
    </row>
    <row r="1985" spans="1:28" x14ac:dyDescent="0.2">
      <c r="A1985" s="10">
        <v>27860</v>
      </c>
      <c r="B1985" s="11" t="s">
        <v>13443</v>
      </c>
      <c r="C1985" s="11" t="s">
        <v>13444</v>
      </c>
      <c r="D1985" s="11" t="s">
        <v>4880</v>
      </c>
      <c r="E1985" s="11"/>
      <c r="F1985" s="11" t="s">
        <v>353</v>
      </c>
      <c r="G1985" s="11" t="s">
        <v>1253</v>
      </c>
      <c r="H1985" s="11" t="s">
        <v>142</v>
      </c>
      <c r="I1985" s="11"/>
      <c r="J1985" s="11" t="s">
        <v>13445</v>
      </c>
      <c r="K1985" s="11" t="s">
        <v>1199</v>
      </c>
      <c r="L1985" s="11" t="s">
        <v>464</v>
      </c>
      <c r="M1985" s="11" t="s">
        <v>13446</v>
      </c>
      <c r="N1985" s="11" t="s">
        <v>128</v>
      </c>
      <c r="O1985" s="11" t="s">
        <v>13447</v>
      </c>
      <c r="P1985" s="11"/>
      <c r="Q1985" s="11" t="s">
        <v>131</v>
      </c>
      <c r="R1985" s="11"/>
      <c r="S1985" s="11" t="s">
        <v>71</v>
      </c>
      <c r="T1985" s="11" t="s">
        <v>983</v>
      </c>
      <c r="U1985" s="11" t="s">
        <v>134</v>
      </c>
      <c r="V1985" s="11" t="s">
        <v>131</v>
      </c>
      <c r="W1985" s="11" t="s">
        <v>983</v>
      </c>
      <c r="X1985" s="11">
        <v>28</v>
      </c>
      <c r="Y1985" s="11" t="s">
        <v>12359</v>
      </c>
      <c r="Z1985" s="11">
        <v>20</v>
      </c>
      <c r="AA1985" s="11">
        <v>0</v>
      </c>
      <c r="AB1985" s="12">
        <v>0</v>
      </c>
    </row>
    <row r="1986" spans="1:28" x14ac:dyDescent="0.2">
      <c r="A1986" s="7">
        <v>21792</v>
      </c>
      <c r="B1986" s="8" t="s">
        <v>13448</v>
      </c>
      <c r="C1986" s="8" t="s">
        <v>3133</v>
      </c>
      <c r="D1986" s="8" t="s">
        <v>3134</v>
      </c>
      <c r="E1986" s="8" t="s">
        <v>13449</v>
      </c>
      <c r="F1986" s="8" t="s">
        <v>3136</v>
      </c>
      <c r="G1986" s="8" t="s">
        <v>190</v>
      </c>
      <c r="H1986" s="8" t="s">
        <v>191</v>
      </c>
      <c r="I1986" s="8" t="s">
        <v>3205</v>
      </c>
      <c r="J1986" s="8" t="s">
        <v>3138</v>
      </c>
      <c r="K1986" s="8" t="s">
        <v>194</v>
      </c>
      <c r="L1986" s="8" t="s">
        <v>163</v>
      </c>
      <c r="M1986" s="8" t="s">
        <v>13450</v>
      </c>
      <c r="N1986" s="8" t="s">
        <v>128</v>
      </c>
      <c r="O1986" s="8" t="s">
        <v>13451</v>
      </c>
      <c r="P1986" s="8" t="s">
        <v>13435</v>
      </c>
      <c r="Q1986" s="8" t="s">
        <v>131</v>
      </c>
      <c r="R1986" s="8"/>
      <c r="S1986" s="8" t="s">
        <v>3142</v>
      </c>
      <c r="T1986" s="8" t="s">
        <v>133</v>
      </c>
      <c r="U1986" s="8" t="s">
        <v>134</v>
      </c>
      <c r="V1986" s="8" t="s">
        <v>131</v>
      </c>
      <c r="W1986" s="8" t="s">
        <v>133</v>
      </c>
      <c r="X1986" s="8">
        <v>28</v>
      </c>
      <c r="Y1986" s="8" t="s">
        <v>12359</v>
      </c>
      <c r="Z1986" s="8">
        <v>20</v>
      </c>
      <c r="AA1986" s="8">
        <v>0</v>
      </c>
      <c r="AB1986" s="9">
        <v>0</v>
      </c>
    </row>
    <row r="1987" spans="1:28" x14ac:dyDescent="0.2">
      <c r="A1987" s="10">
        <v>26694</v>
      </c>
      <c r="B1987" s="11" t="s">
        <v>13452</v>
      </c>
      <c r="C1987" s="11" t="s">
        <v>13453</v>
      </c>
      <c r="D1987" s="11" t="s">
        <v>10835</v>
      </c>
      <c r="E1987" s="11"/>
      <c r="F1987" s="11"/>
      <c r="G1987" s="11" t="s">
        <v>141</v>
      </c>
      <c r="H1987" s="11" t="s">
        <v>142</v>
      </c>
      <c r="I1987" s="11" t="s">
        <v>10194</v>
      </c>
      <c r="J1987" s="11" t="s">
        <v>13454</v>
      </c>
      <c r="K1987" s="11" t="s">
        <v>584</v>
      </c>
      <c r="L1987" s="11" t="s">
        <v>146</v>
      </c>
      <c r="M1987" s="11" t="s">
        <v>13455</v>
      </c>
      <c r="N1987" s="11" t="s">
        <v>128</v>
      </c>
      <c r="O1987" s="11" t="s">
        <v>13456</v>
      </c>
      <c r="P1987" s="11" t="s">
        <v>13457</v>
      </c>
      <c r="Q1987" s="11" t="s">
        <v>131</v>
      </c>
      <c r="R1987" s="11"/>
      <c r="S1987" s="11" t="s">
        <v>71</v>
      </c>
      <c r="T1987" s="11" t="s">
        <v>133</v>
      </c>
      <c r="U1987" s="11" t="s">
        <v>134</v>
      </c>
      <c r="V1987" s="11" t="s">
        <v>131</v>
      </c>
      <c r="W1987" s="11" t="s">
        <v>133</v>
      </c>
      <c r="X1987" s="11">
        <v>28</v>
      </c>
      <c r="Y1987" s="11" t="s">
        <v>12359</v>
      </c>
      <c r="Z1987" s="11">
        <v>20</v>
      </c>
      <c r="AA1987" s="11">
        <v>0</v>
      </c>
      <c r="AB1987" s="12">
        <v>0</v>
      </c>
    </row>
    <row r="1988" spans="1:28" x14ac:dyDescent="0.2">
      <c r="A1988" s="7">
        <v>21908</v>
      </c>
      <c r="B1988" s="8" t="s">
        <v>13458</v>
      </c>
      <c r="C1988" s="8" t="s">
        <v>13459</v>
      </c>
      <c r="D1988" s="8" t="s">
        <v>11077</v>
      </c>
      <c r="E1988" s="8"/>
      <c r="F1988" s="8" t="s">
        <v>10069</v>
      </c>
      <c r="G1988" s="8" t="s">
        <v>141</v>
      </c>
      <c r="H1988" s="8" t="s">
        <v>142</v>
      </c>
      <c r="I1988" s="8" t="s">
        <v>11078</v>
      </c>
      <c r="J1988" s="8" t="s">
        <v>13460</v>
      </c>
      <c r="K1988" s="8" t="s">
        <v>991</v>
      </c>
      <c r="L1988" s="8" t="s">
        <v>146</v>
      </c>
      <c r="M1988" s="8" t="s">
        <v>13461</v>
      </c>
      <c r="N1988" s="8" t="s">
        <v>128</v>
      </c>
      <c r="O1988" s="8" t="s">
        <v>13462</v>
      </c>
      <c r="P1988" s="8" t="s">
        <v>13463</v>
      </c>
      <c r="Q1988" s="8" t="s">
        <v>131</v>
      </c>
      <c r="R1988" s="8"/>
      <c r="S1988" s="8" t="s">
        <v>13277</v>
      </c>
      <c r="T1988" s="8" t="s">
        <v>133</v>
      </c>
      <c r="U1988" s="8" t="s">
        <v>134</v>
      </c>
      <c r="V1988" s="8" t="s">
        <v>131</v>
      </c>
      <c r="W1988" s="8" t="s">
        <v>133</v>
      </c>
      <c r="X1988" s="8">
        <v>28</v>
      </c>
      <c r="Y1988" s="8" t="s">
        <v>12359</v>
      </c>
      <c r="Z1988" s="8">
        <v>20</v>
      </c>
      <c r="AA1988" s="8">
        <v>0</v>
      </c>
      <c r="AB1988" s="9">
        <v>0</v>
      </c>
    </row>
    <row r="1989" spans="1:28" x14ac:dyDescent="0.2">
      <c r="A1989" s="10">
        <v>23064</v>
      </c>
      <c r="B1989" s="11" t="s">
        <v>13464</v>
      </c>
      <c r="C1989" s="11" t="s">
        <v>13465</v>
      </c>
      <c r="D1989" s="11" t="s">
        <v>1372</v>
      </c>
      <c r="E1989" s="11" t="s">
        <v>5691</v>
      </c>
      <c r="F1989" s="11" t="s">
        <v>12792</v>
      </c>
      <c r="G1989" s="11" t="s">
        <v>1952</v>
      </c>
      <c r="H1989" s="11" t="s">
        <v>1953</v>
      </c>
      <c r="I1989" s="11" t="s">
        <v>13466</v>
      </c>
      <c r="J1989" s="11" t="s">
        <v>13467</v>
      </c>
      <c r="K1989" s="11" t="s">
        <v>1956</v>
      </c>
      <c r="L1989" s="11" t="s">
        <v>526</v>
      </c>
      <c r="M1989" s="11" t="s">
        <v>13468</v>
      </c>
      <c r="N1989" s="11" t="s">
        <v>128</v>
      </c>
      <c r="O1989" s="11" t="s">
        <v>13469</v>
      </c>
      <c r="P1989" s="11" t="s">
        <v>13470</v>
      </c>
      <c r="Q1989" s="11" t="s">
        <v>150</v>
      </c>
      <c r="R1989" s="11"/>
      <c r="S1989" s="11" t="s">
        <v>71</v>
      </c>
      <c r="T1989" s="11" t="s">
        <v>70</v>
      </c>
      <c r="U1989" s="11" t="s">
        <v>150</v>
      </c>
      <c r="V1989" s="11" t="s">
        <v>70</v>
      </c>
      <c r="W1989" s="11" t="s">
        <v>70</v>
      </c>
      <c r="X1989" s="11">
        <v>28</v>
      </c>
      <c r="Y1989" s="11" t="s">
        <v>12359</v>
      </c>
      <c r="Z1989" s="11">
        <v>20</v>
      </c>
      <c r="AA1989" s="11">
        <v>0</v>
      </c>
      <c r="AB1989" s="12">
        <v>0</v>
      </c>
    </row>
    <row r="1990" spans="1:28" x14ac:dyDescent="0.2">
      <c r="A1990" s="7">
        <v>22888</v>
      </c>
      <c r="B1990" s="8" t="s">
        <v>13471</v>
      </c>
      <c r="C1990" s="8" t="s">
        <v>13472</v>
      </c>
      <c r="D1990" s="8" t="s">
        <v>5844</v>
      </c>
      <c r="E1990" s="8" t="s">
        <v>13473</v>
      </c>
      <c r="F1990" s="8" t="s">
        <v>1752</v>
      </c>
      <c r="G1990" s="8" t="s">
        <v>6614</v>
      </c>
      <c r="H1990" s="8" t="s">
        <v>159</v>
      </c>
      <c r="I1990" s="8" t="s">
        <v>13474</v>
      </c>
      <c r="J1990" s="8" t="s">
        <v>13475</v>
      </c>
      <c r="K1990" s="8" t="s">
        <v>162</v>
      </c>
      <c r="L1990" s="8" t="s">
        <v>163</v>
      </c>
      <c r="M1990" s="8" t="s">
        <v>13476</v>
      </c>
      <c r="N1990" s="8" t="s">
        <v>128</v>
      </c>
      <c r="O1990" s="8" t="s">
        <v>13477</v>
      </c>
      <c r="P1990" s="8" t="s">
        <v>13478</v>
      </c>
      <c r="Q1990" s="8" t="s">
        <v>150</v>
      </c>
      <c r="R1990" s="8"/>
      <c r="S1990" s="8" t="s">
        <v>13479</v>
      </c>
      <c r="T1990" s="8" t="s">
        <v>70</v>
      </c>
      <c r="U1990" s="8" t="s">
        <v>150</v>
      </c>
      <c r="V1990" s="8" t="s">
        <v>70</v>
      </c>
      <c r="W1990" s="8" t="s">
        <v>70</v>
      </c>
      <c r="X1990" s="8">
        <v>28</v>
      </c>
      <c r="Y1990" s="8" t="s">
        <v>12359</v>
      </c>
      <c r="Z1990" s="8">
        <v>20</v>
      </c>
      <c r="AA1990" s="8">
        <v>0</v>
      </c>
      <c r="AB1990" s="9">
        <v>0</v>
      </c>
    </row>
    <row r="1991" spans="1:28" x14ac:dyDescent="0.2">
      <c r="A1991" s="10">
        <v>85233</v>
      </c>
      <c r="B1991" s="11" t="s">
        <v>13480</v>
      </c>
      <c r="C1991" s="11" t="s">
        <v>9219</v>
      </c>
      <c r="D1991" s="11" t="s">
        <v>138</v>
      </c>
      <c r="E1991" s="11" t="s">
        <v>13481</v>
      </c>
      <c r="F1991" s="11" t="s">
        <v>9221</v>
      </c>
      <c r="G1991" s="11" t="s">
        <v>9222</v>
      </c>
      <c r="H1991" s="11" t="s">
        <v>159</v>
      </c>
      <c r="I1991" s="11" t="s">
        <v>9223</v>
      </c>
      <c r="J1991" s="11" t="s">
        <v>9224</v>
      </c>
      <c r="K1991" s="11" t="s">
        <v>274</v>
      </c>
      <c r="L1991" s="11" t="s">
        <v>163</v>
      </c>
      <c r="M1991" s="11" t="s">
        <v>13482</v>
      </c>
      <c r="N1991" s="11" t="s">
        <v>128</v>
      </c>
      <c r="O1991" s="11" t="s">
        <v>13483</v>
      </c>
      <c r="P1991" s="11" t="s">
        <v>13484</v>
      </c>
      <c r="Q1991" s="11" t="s">
        <v>150</v>
      </c>
      <c r="R1991" s="11"/>
      <c r="S1991" s="11" t="s">
        <v>9228</v>
      </c>
      <c r="T1991" s="11" t="s">
        <v>168</v>
      </c>
      <c r="U1991" s="11" t="s">
        <v>150</v>
      </c>
      <c r="V1991" s="11" t="s">
        <v>168</v>
      </c>
      <c r="W1991" s="11" t="s">
        <v>168</v>
      </c>
      <c r="X1991" s="11">
        <v>28</v>
      </c>
      <c r="Y1991" s="11" t="s">
        <v>12359</v>
      </c>
      <c r="Z1991" s="11">
        <v>20</v>
      </c>
      <c r="AA1991" s="11">
        <v>0</v>
      </c>
      <c r="AB1991" s="12">
        <v>0</v>
      </c>
    </row>
    <row r="1992" spans="1:28" x14ac:dyDescent="0.2">
      <c r="A1992" s="7">
        <v>125689</v>
      </c>
      <c r="B1992" s="8" t="s">
        <v>13485</v>
      </c>
      <c r="C1992" s="8" t="s">
        <v>13486</v>
      </c>
      <c r="D1992" s="8" t="s">
        <v>9024</v>
      </c>
      <c r="E1992" s="8"/>
      <c r="F1992" s="8" t="s">
        <v>13487</v>
      </c>
      <c r="G1992" s="8" t="s">
        <v>6409</v>
      </c>
      <c r="H1992" s="8" t="s">
        <v>6410</v>
      </c>
      <c r="I1992" s="8" t="s">
        <v>6224</v>
      </c>
      <c r="J1992" s="8" t="s">
        <v>13488</v>
      </c>
      <c r="K1992" s="8" t="s">
        <v>1956</v>
      </c>
      <c r="L1992" s="8" t="s">
        <v>526</v>
      </c>
      <c r="M1992" s="8" t="s">
        <v>13489</v>
      </c>
      <c r="N1992" s="8" t="s">
        <v>128</v>
      </c>
      <c r="O1992" s="8" t="s">
        <v>13490</v>
      </c>
      <c r="P1992" s="8"/>
      <c r="Q1992" s="8" t="s">
        <v>150</v>
      </c>
      <c r="R1992" s="8"/>
      <c r="S1992" s="8" t="s">
        <v>71</v>
      </c>
      <c r="T1992" s="8" t="s">
        <v>13491</v>
      </c>
      <c r="U1992" s="8" t="s">
        <v>150</v>
      </c>
      <c r="V1992" s="8" t="s">
        <v>13491</v>
      </c>
      <c r="W1992" s="8" t="s">
        <v>13491</v>
      </c>
      <c r="X1992" s="8">
        <v>28</v>
      </c>
      <c r="Y1992" s="8" t="s">
        <v>12359</v>
      </c>
      <c r="Z1992" s="8">
        <v>20</v>
      </c>
      <c r="AA1992" s="8">
        <v>0</v>
      </c>
      <c r="AB1992" s="9">
        <v>0</v>
      </c>
    </row>
    <row r="1993" spans="1:28" x14ac:dyDescent="0.2">
      <c r="A1993" s="10">
        <v>25345</v>
      </c>
      <c r="B1993" s="11" t="s">
        <v>13492</v>
      </c>
      <c r="C1993" s="11" t="s">
        <v>5843</v>
      </c>
      <c r="D1993" s="11" t="s">
        <v>5844</v>
      </c>
      <c r="E1993" s="11" t="s">
        <v>13493</v>
      </c>
      <c r="F1993" s="11" t="s">
        <v>5845</v>
      </c>
      <c r="G1993" s="11" t="s">
        <v>5846</v>
      </c>
      <c r="H1993" s="11" t="s">
        <v>159</v>
      </c>
      <c r="I1993" s="11" t="s">
        <v>6046</v>
      </c>
      <c r="J1993" s="11" t="s">
        <v>6047</v>
      </c>
      <c r="K1993" s="11" t="s">
        <v>162</v>
      </c>
      <c r="L1993" s="11" t="s">
        <v>163</v>
      </c>
      <c r="M1993" s="11" t="s">
        <v>13494</v>
      </c>
      <c r="N1993" s="11" t="s">
        <v>128</v>
      </c>
      <c r="O1993" s="11" t="s">
        <v>13495</v>
      </c>
      <c r="P1993" s="11" t="s">
        <v>13496</v>
      </c>
      <c r="Q1993" s="11" t="s">
        <v>740</v>
      </c>
      <c r="R1993" s="11"/>
      <c r="S1993" s="11" t="s">
        <v>5852</v>
      </c>
      <c r="T1993" s="11" t="s">
        <v>1745</v>
      </c>
      <c r="U1993" s="11" t="s">
        <v>134</v>
      </c>
      <c r="V1993" s="11" t="s">
        <v>740</v>
      </c>
      <c r="W1993" s="11" t="s">
        <v>1745</v>
      </c>
      <c r="X1993" s="11">
        <v>28</v>
      </c>
      <c r="Y1993" s="11" t="s">
        <v>12359</v>
      </c>
      <c r="Z1993" s="11">
        <v>20</v>
      </c>
      <c r="AA1993" s="11">
        <v>0</v>
      </c>
      <c r="AB1993" s="12">
        <v>0</v>
      </c>
    </row>
    <row r="1994" spans="1:28" x14ac:dyDescent="0.2">
      <c r="A1994" s="7">
        <v>25253</v>
      </c>
      <c r="B1994" s="8" t="s">
        <v>13497</v>
      </c>
      <c r="C1994" s="8" t="s">
        <v>4099</v>
      </c>
      <c r="D1994" s="8" t="s">
        <v>7623</v>
      </c>
      <c r="E1994" s="8" t="s">
        <v>281</v>
      </c>
      <c r="F1994" s="8" t="s">
        <v>353</v>
      </c>
      <c r="G1994" s="8" t="s">
        <v>846</v>
      </c>
      <c r="H1994" s="8" t="s">
        <v>847</v>
      </c>
      <c r="I1994" s="8" t="s">
        <v>13498</v>
      </c>
      <c r="J1994" s="8" t="s">
        <v>13499</v>
      </c>
      <c r="K1994" s="8" t="s">
        <v>850</v>
      </c>
      <c r="L1994" s="8" t="s">
        <v>126</v>
      </c>
      <c r="M1994" s="8" t="s">
        <v>13500</v>
      </c>
      <c r="N1994" s="8" t="s">
        <v>128</v>
      </c>
      <c r="O1994" s="8" t="s">
        <v>13501</v>
      </c>
      <c r="P1994" s="8" t="s">
        <v>13502</v>
      </c>
      <c r="Q1994" s="8" t="s">
        <v>740</v>
      </c>
      <c r="R1994" s="8"/>
      <c r="S1994" s="8" t="s">
        <v>71</v>
      </c>
      <c r="T1994" s="8" t="s">
        <v>741</v>
      </c>
      <c r="U1994" s="8" t="s">
        <v>134</v>
      </c>
      <c r="V1994" s="8" t="s">
        <v>740</v>
      </c>
      <c r="W1994" s="8" t="s">
        <v>741</v>
      </c>
      <c r="X1994" s="8">
        <v>28</v>
      </c>
      <c r="Y1994" s="8" t="s">
        <v>12359</v>
      </c>
      <c r="Z1994" s="8">
        <v>20</v>
      </c>
      <c r="AA1994" s="8">
        <v>0</v>
      </c>
      <c r="AB1994" s="9">
        <v>0</v>
      </c>
    </row>
    <row r="1995" spans="1:28" x14ac:dyDescent="0.2">
      <c r="A1995" s="10">
        <v>25190</v>
      </c>
      <c r="B1995" s="11" t="s">
        <v>13503</v>
      </c>
      <c r="C1995" s="11" t="s">
        <v>2785</v>
      </c>
      <c r="D1995" s="11" t="s">
        <v>12057</v>
      </c>
      <c r="E1995" s="11" t="s">
        <v>281</v>
      </c>
      <c r="F1995" s="11" t="s">
        <v>2788</v>
      </c>
      <c r="G1995" s="11" t="s">
        <v>1286</v>
      </c>
      <c r="H1995" s="11" t="s">
        <v>142</v>
      </c>
      <c r="I1995" s="11" t="s">
        <v>13361</v>
      </c>
      <c r="J1995" s="11" t="s">
        <v>13504</v>
      </c>
      <c r="K1995" s="11" t="s">
        <v>717</v>
      </c>
      <c r="L1995" s="11" t="s">
        <v>464</v>
      </c>
      <c r="M1995" s="11" t="s">
        <v>13505</v>
      </c>
      <c r="N1995" s="11" t="s">
        <v>128</v>
      </c>
      <c r="O1995" s="11" t="s">
        <v>13506</v>
      </c>
      <c r="P1995" s="11" t="s">
        <v>13507</v>
      </c>
      <c r="Q1995" s="11" t="s">
        <v>740</v>
      </c>
      <c r="R1995" s="11"/>
      <c r="S1995" s="11" t="s">
        <v>13365</v>
      </c>
      <c r="T1995" s="11" t="s">
        <v>741</v>
      </c>
      <c r="U1995" s="11" t="s">
        <v>134</v>
      </c>
      <c r="V1995" s="11" t="s">
        <v>740</v>
      </c>
      <c r="W1995" s="11" t="s">
        <v>741</v>
      </c>
      <c r="X1995" s="11">
        <v>28</v>
      </c>
      <c r="Y1995" s="11" t="s">
        <v>12359</v>
      </c>
      <c r="Z1995" s="11">
        <v>20</v>
      </c>
      <c r="AA1995" s="11">
        <v>0</v>
      </c>
      <c r="AB1995" s="12">
        <v>0</v>
      </c>
    </row>
    <row r="1996" spans="1:28" x14ac:dyDescent="0.2">
      <c r="A1996" s="7">
        <v>25301</v>
      </c>
      <c r="B1996" s="8" t="s">
        <v>13508</v>
      </c>
      <c r="C1996" s="8" t="s">
        <v>8660</v>
      </c>
      <c r="D1996" s="8" t="s">
        <v>1283</v>
      </c>
      <c r="E1996" s="8"/>
      <c r="F1996" s="8" t="s">
        <v>1487</v>
      </c>
      <c r="G1996" s="8" t="s">
        <v>1488</v>
      </c>
      <c r="H1996" s="8" t="s">
        <v>329</v>
      </c>
      <c r="I1996" s="8" t="s">
        <v>8661</v>
      </c>
      <c r="J1996" s="8" t="s">
        <v>13509</v>
      </c>
      <c r="K1996" s="8" t="s">
        <v>415</v>
      </c>
      <c r="L1996" s="8" t="s">
        <v>333</v>
      </c>
      <c r="M1996" s="8" t="s">
        <v>13510</v>
      </c>
      <c r="N1996" s="8" t="s">
        <v>128</v>
      </c>
      <c r="O1996" s="8" t="s">
        <v>13511</v>
      </c>
      <c r="P1996" s="8" t="s">
        <v>13512</v>
      </c>
      <c r="Q1996" s="8" t="s">
        <v>740</v>
      </c>
      <c r="R1996" s="8"/>
      <c r="S1996" s="8" t="s">
        <v>71</v>
      </c>
      <c r="T1996" s="8" t="s">
        <v>741</v>
      </c>
      <c r="U1996" s="8" t="s">
        <v>134</v>
      </c>
      <c r="V1996" s="8" t="s">
        <v>740</v>
      </c>
      <c r="W1996" s="8" t="s">
        <v>741</v>
      </c>
      <c r="X1996" s="8">
        <v>28</v>
      </c>
      <c r="Y1996" s="8" t="s">
        <v>12359</v>
      </c>
      <c r="Z1996" s="8">
        <v>20</v>
      </c>
      <c r="AA1996" s="8">
        <v>0</v>
      </c>
      <c r="AB1996" s="9">
        <v>0</v>
      </c>
    </row>
    <row r="1997" spans="1:28" x14ac:dyDescent="0.2">
      <c r="A1997" s="10">
        <v>25472</v>
      </c>
      <c r="B1997" s="11" t="s">
        <v>13513</v>
      </c>
      <c r="C1997" s="11" t="s">
        <v>10905</v>
      </c>
      <c r="D1997" s="11" t="s">
        <v>13514</v>
      </c>
      <c r="E1997" s="11" t="s">
        <v>13515</v>
      </c>
      <c r="F1997" s="11" t="s">
        <v>353</v>
      </c>
      <c r="G1997" s="11" t="s">
        <v>328</v>
      </c>
      <c r="H1997" s="11" t="s">
        <v>329</v>
      </c>
      <c r="I1997" s="11" t="s">
        <v>13516</v>
      </c>
      <c r="J1997" s="11" t="s">
        <v>13517</v>
      </c>
      <c r="K1997" s="11" t="s">
        <v>415</v>
      </c>
      <c r="L1997" s="11" t="s">
        <v>333</v>
      </c>
      <c r="M1997" s="11" t="s">
        <v>13518</v>
      </c>
      <c r="N1997" s="11" t="s">
        <v>128</v>
      </c>
      <c r="O1997" s="11" t="s">
        <v>13519</v>
      </c>
      <c r="P1997" s="11" t="s">
        <v>13520</v>
      </c>
      <c r="Q1997" s="11" t="s">
        <v>249</v>
      </c>
      <c r="R1997" s="11"/>
      <c r="S1997" s="11" t="s">
        <v>13521</v>
      </c>
      <c r="T1997" s="11" t="s">
        <v>250</v>
      </c>
      <c r="U1997" s="11" t="s">
        <v>134</v>
      </c>
      <c r="V1997" s="11" t="s">
        <v>249</v>
      </c>
      <c r="W1997" s="11" t="s">
        <v>250</v>
      </c>
      <c r="X1997" s="11">
        <v>28</v>
      </c>
      <c r="Y1997" s="11" t="s">
        <v>12359</v>
      </c>
      <c r="Z1997" s="11">
        <v>20</v>
      </c>
      <c r="AA1997" s="11">
        <v>0</v>
      </c>
      <c r="AB1997" s="12">
        <v>0</v>
      </c>
    </row>
    <row r="1998" spans="1:28" x14ac:dyDescent="0.2">
      <c r="A1998" s="7">
        <v>124362</v>
      </c>
      <c r="B1998" s="8" t="s">
        <v>13522</v>
      </c>
      <c r="C1998" s="8" t="s">
        <v>1849</v>
      </c>
      <c r="D1998" s="8" t="s">
        <v>1850</v>
      </c>
      <c r="E1998" s="8"/>
      <c r="F1998" s="8" t="s">
        <v>13523</v>
      </c>
      <c r="G1998" s="8" t="s">
        <v>1852</v>
      </c>
      <c r="H1998" s="8" t="s">
        <v>671</v>
      </c>
      <c r="I1998" s="8" t="s">
        <v>1853</v>
      </c>
      <c r="J1998" s="8" t="s">
        <v>1854</v>
      </c>
      <c r="K1998" s="8" t="s">
        <v>572</v>
      </c>
      <c r="L1998" s="8" t="s">
        <v>333</v>
      </c>
      <c r="M1998" s="8" t="s">
        <v>13524</v>
      </c>
      <c r="N1998" s="8" t="s">
        <v>128</v>
      </c>
      <c r="O1998" s="8" t="s">
        <v>13525</v>
      </c>
      <c r="P1998" s="8" t="s">
        <v>13526</v>
      </c>
      <c r="Q1998" s="8" t="s">
        <v>150</v>
      </c>
      <c r="R1998" s="8"/>
      <c r="S1998" s="8" t="s">
        <v>1858</v>
      </c>
      <c r="T1998" s="8" t="s">
        <v>642</v>
      </c>
      <c r="U1998" s="8" t="s">
        <v>150</v>
      </c>
      <c r="V1998" s="8" t="s">
        <v>642</v>
      </c>
      <c r="W1998" s="8" t="s">
        <v>642</v>
      </c>
      <c r="X1998" s="8">
        <v>27</v>
      </c>
      <c r="Y1998" s="8" t="s">
        <v>12359</v>
      </c>
      <c r="Z1998" s="8">
        <v>20</v>
      </c>
      <c r="AA1998" s="8">
        <v>0</v>
      </c>
      <c r="AB1998" s="9">
        <v>0</v>
      </c>
    </row>
    <row r="1999" spans="1:28" x14ac:dyDescent="0.2">
      <c r="A1999" s="10">
        <v>110284</v>
      </c>
      <c r="B1999" s="11" t="s">
        <v>13527</v>
      </c>
      <c r="C1999" s="11" t="s">
        <v>6285</v>
      </c>
      <c r="D1999" s="11" t="s">
        <v>6286</v>
      </c>
      <c r="E1999" s="11" t="s">
        <v>13528</v>
      </c>
      <c r="F1999" s="11" t="s">
        <v>13529</v>
      </c>
      <c r="G1999" s="11" t="s">
        <v>2035</v>
      </c>
      <c r="H1999" s="11" t="s">
        <v>142</v>
      </c>
      <c r="I1999" s="11" t="s">
        <v>6289</v>
      </c>
      <c r="J1999" s="11" t="s">
        <v>6290</v>
      </c>
      <c r="K1999" s="11" t="s">
        <v>779</v>
      </c>
      <c r="L1999" s="11" t="s">
        <v>464</v>
      </c>
      <c r="M1999" s="11" t="s">
        <v>13530</v>
      </c>
      <c r="N1999" s="11" t="s">
        <v>128</v>
      </c>
      <c r="O1999" s="11" t="s">
        <v>13531</v>
      </c>
      <c r="P1999" s="11"/>
      <c r="Q1999" s="11" t="s">
        <v>131</v>
      </c>
      <c r="R1999" s="11"/>
      <c r="S1999" s="11" t="s">
        <v>6294</v>
      </c>
      <c r="T1999" s="11" t="s">
        <v>983</v>
      </c>
      <c r="U1999" s="11" t="s">
        <v>134</v>
      </c>
      <c r="V1999" s="11" t="s">
        <v>131</v>
      </c>
      <c r="W1999" s="11" t="s">
        <v>983</v>
      </c>
      <c r="X1999" s="11">
        <v>27</v>
      </c>
      <c r="Y1999" s="11" t="s">
        <v>12359</v>
      </c>
      <c r="Z1999" s="11">
        <v>20</v>
      </c>
      <c r="AA1999" s="11">
        <v>0</v>
      </c>
      <c r="AB1999" s="12">
        <v>0</v>
      </c>
    </row>
    <row r="2000" spans="1:28" x14ac:dyDescent="0.2">
      <c r="A2000" s="7">
        <v>22032</v>
      </c>
      <c r="B2000" s="8" t="s">
        <v>13532</v>
      </c>
      <c r="C2000" s="8" t="s">
        <v>13533</v>
      </c>
      <c r="D2000" s="8" t="s">
        <v>13534</v>
      </c>
      <c r="E2000" s="8"/>
      <c r="F2000" s="8" t="s">
        <v>13535</v>
      </c>
      <c r="G2000" s="8" t="s">
        <v>1937</v>
      </c>
      <c r="H2000" s="8" t="s">
        <v>142</v>
      </c>
      <c r="I2000" s="8" t="s">
        <v>13536</v>
      </c>
      <c r="J2000" s="8" t="s">
        <v>13537</v>
      </c>
      <c r="K2000" s="8" t="s">
        <v>1673</v>
      </c>
      <c r="L2000" s="8" t="s">
        <v>464</v>
      </c>
      <c r="M2000" s="8" t="s">
        <v>13538</v>
      </c>
      <c r="N2000" s="8" t="s">
        <v>128</v>
      </c>
      <c r="O2000" s="8" t="s">
        <v>13539</v>
      </c>
      <c r="P2000" s="8"/>
      <c r="Q2000" s="8" t="s">
        <v>131</v>
      </c>
      <c r="R2000" s="8"/>
      <c r="S2000" s="8" t="s">
        <v>71</v>
      </c>
      <c r="T2000" s="8" t="s">
        <v>133</v>
      </c>
      <c r="U2000" s="8" t="s">
        <v>134</v>
      </c>
      <c r="V2000" s="8" t="s">
        <v>131</v>
      </c>
      <c r="W2000" s="8" t="s">
        <v>133</v>
      </c>
      <c r="X2000" s="8">
        <v>27</v>
      </c>
      <c r="Y2000" s="8" t="s">
        <v>12359</v>
      </c>
      <c r="Z2000" s="8">
        <v>20</v>
      </c>
      <c r="AA2000" s="8">
        <v>0</v>
      </c>
      <c r="AB2000" s="9">
        <v>0</v>
      </c>
    </row>
    <row r="2001" spans="1:28" x14ac:dyDescent="0.2">
      <c r="A2001" s="10">
        <v>22508</v>
      </c>
      <c r="B2001" s="11" t="s">
        <v>13540</v>
      </c>
      <c r="C2001" s="11" t="s">
        <v>4655</v>
      </c>
      <c r="D2001" s="11" t="s">
        <v>2527</v>
      </c>
      <c r="E2001" s="11" t="s">
        <v>13541</v>
      </c>
      <c r="F2001" s="11" t="s">
        <v>13542</v>
      </c>
      <c r="G2001" s="11" t="s">
        <v>4557</v>
      </c>
      <c r="H2001" s="11" t="s">
        <v>301</v>
      </c>
      <c r="I2001" s="11" t="s">
        <v>4558</v>
      </c>
      <c r="J2001" s="11" t="s">
        <v>13543</v>
      </c>
      <c r="K2001" s="11" t="s">
        <v>304</v>
      </c>
      <c r="L2001" s="11" t="s">
        <v>229</v>
      </c>
      <c r="M2001" s="11" t="s">
        <v>13544</v>
      </c>
      <c r="N2001" s="11" t="s">
        <v>128</v>
      </c>
      <c r="O2001" s="11" t="s">
        <v>13545</v>
      </c>
      <c r="P2001" s="11" t="s">
        <v>4658</v>
      </c>
      <c r="Q2001" s="11" t="s">
        <v>150</v>
      </c>
      <c r="R2001" s="11"/>
      <c r="S2001" s="11" t="s">
        <v>71</v>
      </c>
      <c r="T2001" s="11" t="s">
        <v>869</v>
      </c>
      <c r="U2001" s="11" t="s">
        <v>150</v>
      </c>
      <c r="V2001" s="11" t="s">
        <v>869</v>
      </c>
      <c r="W2001" s="11" t="s">
        <v>869</v>
      </c>
      <c r="X2001" s="11">
        <v>27</v>
      </c>
      <c r="Y2001" s="11" t="s">
        <v>12359</v>
      </c>
      <c r="Z2001" s="11">
        <v>20</v>
      </c>
      <c r="AA2001" s="11">
        <v>0</v>
      </c>
      <c r="AB2001" s="12">
        <v>0</v>
      </c>
    </row>
    <row r="2002" spans="1:28" x14ac:dyDescent="0.2">
      <c r="A2002" s="7">
        <v>23020</v>
      </c>
      <c r="B2002" s="8" t="s">
        <v>13546</v>
      </c>
      <c r="C2002" s="8" t="s">
        <v>13547</v>
      </c>
      <c r="D2002" s="8"/>
      <c r="E2002" s="8"/>
      <c r="F2002" s="8" t="s">
        <v>4256</v>
      </c>
      <c r="G2002" s="8" t="s">
        <v>4257</v>
      </c>
      <c r="H2002" s="8" t="s">
        <v>301</v>
      </c>
      <c r="I2002" s="8" t="s">
        <v>8354</v>
      </c>
      <c r="J2002" s="8" t="s">
        <v>13548</v>
      </c>
      <c r="K2002" s="8" t="s">
        <v>228</v>
      </c>
      <c r="L2002" s="8" t="s">
        <v>229</v>
      </c>
      <c r="M2002" s="8" t="s">
        <v>13549</v>
      </c>
      <c r="N2002" s="8" t="s">
        <v>128</v>
      </c>
      <c r="O2002" s="8" t="s">
        <v>13550</v>
      </c>
      <c r="P2002" s="8" t="s">
        <v>3324</v>
      </c>
      <c r="Q2002" s="8" t="s">
        <v>150</v>
      </c>
      <c r="R2002" s="8"/>
      <c r="S2002" s="8" t="s">
        <v>71</v>
      </c>
      <c r="T2002" s="8" t="s">
        <v>70</v>
      </c>
      <c r="U2002" s="8" t="s">
        <v>150</v>
      </c>
      <c r="V2002" s="8" t="s">
        <v>70</v>
      </c>
      <c r="W2002" s="8" t="s">
        <v>70</v>
      </c>
      <c r="X2002" s="8">
        <v>27</v>
      </c>
      <c r="Y2002" s="8" t="s">
        <v>12359</v>
      </c>
      <c r="Z2002" s="8">
        <v>20</v>
      </c>
      <c r="AA2002" s="8">
        <v>0</v>
      </c>
      <c r="AB2002" s="9">
        <v>0</v>
      </c>
    </row>
    <row r="2003" spans="1:28" x14ac:dyDescent="0.2">
      <c r="A2003" s="10">
        <v>24977</v>
      </c>
      <c r="B2003" s="11" t="s">
        <v>13551</v>
      </c>
      <c r="C2003" s="11" t="s">
        <v>903</v>
      </c>
      <c r="D2003" s="11" t="s">
        <v>904</v>
      </c>
      <c r="E2003" s="11"/>
      <c r="F2003" s="11" t="s">
        <v>906</v>
      </c>
      <c r="G2003" s="11" t="s">
        <v>615</v>
      </c>
      <c r="H2003" s="11" t="s">
        <v>616</v>
      </c>
      <c r="I2003" s="11" t="s">
        <v>907</v>
      </c>
      <c r="J2003" s="11" t="s">
        <v>908</v>
      </c>
      <c r="K2003" s="11" t="s">
        <v>619</v>
      </c>
      <c r="L2003" s="11" t="s">
        <v>163</v>
      </c>
      <c r="M2003" s="11" t="s">
        <v>13552</v>
      </c>
      <c r="N2003" s="11" t="s">
        <v>128</v>
      </c>
      <c r="O2003" s="11" t="s">
        <v>13553</v>
      </c>
      <c r="P2003" s="11" t="s">
        <v>3604</v>
      </c>
      <c r="Q2003" s="11" t="s">
        <v>150</v>
      </c>
      <c r="R2003" s="11"/>
      <c r="S2003" s="11" t="s">
        <v>912</v>
      </c>
      <c r="T2003" s="11" t="s">
        <v>1738</v>
      </c>
      <c r="U2003" s="11" t="s">
        <v>150</v>
      </c>
      <c r="V2003" s="11" t="s">
        <v>1738</v>
      </c>
      <c r="W2003" s="11" t="s">
        <v>1738</v>
      </c>
      <c r="X2003" s="11">
        <v>27</v>
      </c>
      <c r="Y2003" s="11" t="s">
        <v>12359</v>
      </c>
      <c r="Z2003" s="11">
        <v>20</v>
      </c>
      <c r="AA2003" s="11">
        <v>0</v>
      </c>
      <c r="AB2003" s="12">
        <v>0</v>
      </c>
    </row>
    <row r="2004" spans="1:28" x14ac:dyDescent="0.2">
      <c r="A2004" s="7">
        <v>25108</v>
      </c>
      <c r="B2004" s="8" t="s">
        <v>13554</v>
      </c>
      <c r="C2004" s="8" t="s">
        <v>13555</v>
      </c>
      <c r="D2004" s="8" t="s">
        <v>13556</v>
      </c>
      <c r="E2004" s="8" t="s">
        <v>13557</v>
      </c>
      <c r="F2004" s="8" t="s">
        <v>845</v>
      </c>
      <c r="G2004" s="8" t="s">
        <v>846</v>
      </c>
      <c r="H2004" s="8" t="s">
        <v>847</v>
      </c>
      <c r="I2004" s="8" t="s">
        <v>10236</v>
      </c>
      <c r="J2004" s="8" t="s">
        <v>13558</v>
      </c>
      <c r="K2004" s="8" t="s">
        <v>850</v>
      </c>
      <c r="L2004" s="8" t="s">
        <v>126</v>
      </c>
      <c r="M2004" s="8" t="s">
        <v>13559</v>
      </c>
      <c r="N2004" s="8" t="s">
        <v>128</v>
      </c>
      <c r="O2004" s="8" t="s">
        <v>13560</v>
      </c>
      <c r="P2004" s="8"/>
      <c r="Q2004" s="8" t="s">
        <v>740</v>
      </c>
      <c r="R2004" s="8"/>
      <c r="S2004" s="8" t="s">
        <v>13561</v>
      </c>
      <c r="T2004" s="8" t="s">
        <v>1745</v>
      </c>
      <c r="U2004" s="8" t="s">
        <v>134</v>
      </c>
      <c r="V2004" s="8" t="s">
        <v>740</v>
      </c>
      <c r="W2004" s="8" t="s">
        <v>1745</v>
      </c>
      <c r="X2004" s="8">
        <v>27</v>
      </c>
      <c r="Y2004" s="8" t="s">
        <v>12359</v>
      </c>
      <c r="Z2004" s="8">
        <v>20</v>
      </c>
      <c r="AA2004" s="8">
        <v>0</v>
      </c>
      <c r="AB2004" s="9">
        <v>0</v>
      </c>
    </row>
    <row r="2005" spans="1:28" x14ac:dyDescent="0.2">
      <c r="A2005" s="10">
        <v>24783</v>
      </c>
      <c r="B2005" s="11" t="s">
        <v>13562</v>
      </c>
      <c r="C2005" s="11" t="s">
        <v>2742</v>
      </c>
      <c r="D2005" s="11" t="s">
        <v>5904</v>
      </c>
      <c r="E2005" s="11" t="s">
        <v>13563</v>
      </c>
      <c r="F2005" s="11" t="s">
        <v>5906</v>
      </c>
      <c r="G2005" s="11" t="s">
        <v>141</v>
      </c>
      <c r="H2005" s="11" t="s">
        <v>142</v>
      </c>
      <c r="I2005" s="11" t="s">
        <v>5907</v>
      </c>
      <c r="J2005" s="11" t="s">
        <v>5908</v>
      </c>
      <c r="K2005" s="11" t="s">
        <v>403</v>
      </c>
      <c r="L2005" s="11" t="s">
        <v>146</v>
      </c>
      <c r="M2005" s="11" t="s">
        <v>13564</v>
      </c>
      <c r="N2005" s="11" t="s">
        <v>128</v>
      </c>
      <c r="O2005" s="11" t="s">
        <v>13565</v>
      </c>
      <c r="P2005" s="11" t="s">
        <v>13566</v>
      </c>
      <c r="Q2005" s="11" t="s">
        <v>740</v>
      </c>
      <c r="R2005" s="11"/>
      <c r="S2005" s="11" t="s">
        <v>5912</v>
      </c>
      <c r="T2005" s="11" t="s">
        <v>1745</v>
      </c>
      <c r="U2005" s="11" t="s">
        <v>134</v>
      </c>
      <c r="V2005" s="11" t="s">
        <v>740</v>
      </c>
      <c r="W2005" s="11" t="s">
        <v>1745</v>
      </c>
      <c r="X2005" s="11">
        <v>27</v>
      </c>
      <c r="Y2005" s="11" t="s">
        <v>12359</v>
      </c>
      <c r="Z2005" s="11">
        <v>20</v>
      </c>
      <c r="AA2005" s="11">
        <v>0</v>
      </c>
      <c r="AB2005" s="12">
        <v>0</v>
      </c>
    </row>
    <row r="2006" spans="1:28" x14ac:dyDescent="0.2">
      <c r="A2006" s="7">
        <v>21768</v>
      </c>
      <c r="B2006" s="8" t="s">
        <v>13567</v>
      </c>
      <c r="C2006" s="8" t="s">
        <v>842</v>
      </c>
      <c r="D2006" s="8" t="s">
        <v>13568</v>
      </c>
      <c r="E2006" s="8" t="s">
        <v>13569</v>
      </c>
      <c r="F2006" s="8" t="s">
        <v>353</v>
      </c>
      <c r="G2006" s="8" t="s">
        <v>428</v>
      </c>
      <c r="H2006" s="8" t="s">
        <v>329</v>
      </c>
      <c r="I2006" s="8" t="s">
        <v>1119</v>
      </c>
      <c r="J2006" s="8" t="s">
        <v>13570</v>
      </c>
      <c r="K2006" s="8" t="s">
        <v>431</v>
      </c>
      <c r="L2006" s="8" t="s">
        <v>333</v>
      </c>
      <c r="M2006" s="8" t="s">
        <v>13571</v>
      </c>
      <c r="N2006" s="8" t="s">
        <v>128</v>
      </c>
      <c r="O2006" s="8" t="s">
        <v>13572</v>
      </c>
      <c r="P2006" s="8"/>
      <c r="Q2006" s="8" t="s">
        <v>249</v>
      </c>
      <c r="R2006" s="8"/>
      <c r="S2006" s="8" t="s">
        <v>13573</v>
      </c>
      <c r="T2006" s="8" t="s">
        <v>1523</v>
      </c>
      <c r="U2006" s="8" t="s">
        <v>134</v>
      </c>
      <c r="V2006" s="8" t="s">
        <v>249</v>
      </c>
      <c r="W2006" s="8" t="s">
        <v>1523</v>
      </c>
      <c r="X2006" s="8">
        <v>27</v>
      </c>
      <c r="Y2006" s="8" t="s">
        <v>12359</v>
      </c>
      <c r="Z2006" s="8">
        <v>20</v>
      </c>
      <c r="AA2006" s="8">
        <v>0</v>
      </c>
      <c r="AB2006" s="9">
        <v>0</v>
      </c>
    </row>
    <row r="2007" spans="1:28" x14ac:dyDescent="0.2">
      <c r="A2007" s="10">
        <v>25384</v>
      </c>
      <c r="B2007" s="11" t="s">
        <v>13574</v>
      </c>
      <c r="C2007" s="11" t="s">
        <v>1136</v>
      </c>
      <c r="D2007" s="11" t="s">
        <v>235</v>
      </c>
      <c r="E2007" s="11" t="s">
        <v>13575</v>
      </c>
      <c r="F2007" s="11" t="s">
        <v>8852</v>
      </c>
      <c r="G2007" s="11" t="s">
        <v>2652</v>
      </c>
      <c r="H2007" s="11" t="s">
        <v>1843</v>
      </c>
      <c r="I2007" s="11" t="s">
        <v>8853</v>
      </c>
      <c r="J2007" s="11" t="s">
        <v>8854</v>
      </c>
      <c r="K2007" s="11" t="s">
        <v>1562</v>
      </c>
      <c r="L2007" s="11" t="s">
        <v>229</v>
      </c>
      <c r="M2007" s="11" t="s">
        <v>13576</v>
      </c>
      <c r="N2007" s="11" t="s">
        <v>128</v>
      </c>
      <c r="O2007" s="11" t="s">
        <v>13577</v>
      </c>
      <c r="P2007" s="11" t="s">
        <v>13578</v>
      </c>
      <c r="Q2007" s="11" t="s">
        <v>249</v>
      </c>
      <c r="R2007" s="11"/>
      <c r="S2007" s="11" t="s">
        <v>8858</v>
      </c>
      <c r="T2007" s="11" t="s">
        <v>250</v>
      </c>
      <c r="U2007" s="11" t="s">
        <v>134</v>
      </c>
      <c r="V2007" s="11" t="s">
        <v>249</v>
      </c>
      <c r="W2007" s="11" t="s">
        <v>250</v>
      </c>
      <c r="X2007" s="11">
        <v>27</v>
      </c>
      <c r="Y2007" s="11" t="s">
        <v>12359</v>
      </c>
      <c r="Z2007" s="11">
        <v>20</v>
      </c>
      <c r="AA2007" s="11">
        <v>0</v>
      </c>
      <c r="AB2007" s="12">
        <v>0</v>
      </c>
    </row>
    <row r="2008" spans="1:28" x14ac:dyDescent="0.2">
      <c r="A2008" s="7">
        <v>25514</v>
      </c>
      <c r="B2008" s="8" t="s">
        <v>13579</v>
      </c>
      <c r="C2008" s="8" t="s">
        <v>1034</v>
      </c>
      <c r="D2008" s="8" t="s">
        <v>1035</v>
      </c>
      <c r="E2008" s="8" t="s">
        <v>13580</v>
      </c>
      <c r="F2008" s="8" t="s">
        <v>1037</v>
      </c>
      <c r="G2008" s="8" t="s">
        <v>703</v>
      </c>
      <c r="H2008" s="8" t="s">
        <v>704</v>
      </c>
      <c r="I2008" s="8" t="s">
        <v>13581</v>
      </c>
      <c r="J2008" s="8" t="s">
        <v>1039</v>
      </c>
      <c r="K2008" s="8" t="s">
        <v>707</v>
      </c>
      <c r="L2008" s="8" t="s">
        <v>126</v>
      </c>
      <c r="M2008" s="8" t="s">
        <v>13582</v>
      </c>
      <c r="N2008" s="8" t="s">
        <v>128</v>
      </c>
      <c r="O2008" s="8" t="s">
        <v>13583</v>
      </c>
      <c r="P2008" s="8" t="s">
        <v>13584</v>
      </c>
      <c r="Q2008" s="8" t="s">
        <v>249</v>
      </c>
      <c r="R2008" s="8"/>
      <c r="S2008" s="8" t="s">
        <v>1043</v>
      </c>
      <c r="T2008" s="8" t="s">
        <v>250</v>
      </c>
      <c r="U2008" s="8" t="s">
        <v>134</v>
      </c>
      <c r="V2008" s="8" t="s">
        <v>249</v>
      </c>
      <c r="W2008" s="8" t="s">
        <v>250</v>
      </c>
      <c r="X2008" s="8">
        <v>27</v>
      </c>
      <c r="Y2008" s="8" t="s">
        <v>12359</v>
      </c>
      <c r="Z2008" s="8">
        <v>20</v>
      </c>
      <c r="AA2008" s="8">
        <v>0</v>
      </c>
      <c r="AB2008" s="9">
        <v>0</v>
      </c>
    </row>
    <row r="2009" spans="1:28" x14ac:dyDescent="0.2">
      <c r="A2009" s="10">
        <v>25397</v>
      </c>
      <c r="B2009" s="11" t="s">
        <v>13585</v>
      </c>
      <c r="C2009" s="11" t="s">
        <v>7307</v>
      </c>
      <c r="D2009" s="11" t="s">
        <v>3539</v>
      </c>
      <c r="E2009" s="11"/>
      <c r="F2009" s="11" t="s">
        <v>11898</v>
      </c>
      <c r="G2009" s="11" t="s">
        <v>6409</v>
      </c>
      <c r="H2009" s="11" t="s">
        <v>6410</v>
      </c>
      <c r="I2009" s="11" t="s">
        <v>7309</v>
      </c>
      <c r="J2009" s="11" t="s">
        <v>13586</v>
      </c>
      <c r="K2009" s="11" t="s">
        <v>1956</v>
      </c>
      <c r="L2009" s="11" t="s">
        <v>526</v>
      </c>
      <c r="M2009" s="11" t="s">
        <v>13587</v>
      </c>
      <c r="N2009" s="11" t="s">
        <v>128</v>
      </c>
      <c r="O2009" s="11" t="s">
        <v>13588</v>
      </c>
      <c r="P2009" s="11" t="s">
        <v>13589</v>
      </c>
      <c r="Q2009" s="11" t="s">
        <v>249</v>
      </c>
      <c r="R2009" s="11"/>
      <c r="S2009" s="11" t="s">
        <v>7314</v>
      </c>
      <c r="T2009" s="11" t="s">
        <v>250</v>
      </c>
      <c r="U2009" s="11" t="s">
        <v>134</v>
      </c>
      <c r="V2009" s="11" t="s">
        <v>249</v>
      </c>
      <c r="W2009" s="11" t="s">
        <v>250</v>
      </c>
      <c r="X2009" s="11">
        <v>27</v>
      </c>
      <c r="Y2009" s="11" t="s">
        <v>12359</v>
      </c>
      <c r="Z2009" s="11">
        <v>20</v>
      </c>
      <c r="AA2009" s="11">
        <v>0</v>
      </c>
      <c r="AB2009" s="12">
        <v>0</v>
      </c>
    </row>
    <row r="2010" spans="1:28" x14ac:dyDescent="0.2">
      <c r="A2010" s="7">
        <v>109182</v>
      </c>
      <c r="B2010" s="8" t="s">
        <v>13590</v>
      </c>
      <c r="C2010" s="8" t="s">
        <v>13591</v>
      </c>
      <c r="D2010" s="8" t="s">
        <v>4604</v>
      </c>
      <c r="E2010" s="8"/>
      <c r="F2010" s="8" t="s">
        <v>353</v>
      </c>
      <c r="G2010" s="8" t="s">
        <v>1253</v>
      </c>
      <c r="H2010" s="8" t="s">
        <v>142</v>
      </c>
      <c r="I2010" s="8" t="s">
        <v>13592</v>
      </c>
      <c r="J2010" s="8" t="s">
        <v>13593</v>
      </c>
      <c r="K2010" s="8" t="s">
        <v>1199</v>
      </c>
      <c r="L2010" s="8" t="s">
        <v>464</v>
      </c>
      <c r="M2010" s="8" t="s">
        <v>13594</v>
      </c>
      <c r="N2010" s="8" t="s">
        <v>128</v>
      </c>
      <c r="O2010" s="8" t="s">
        <v>13595</v>
      </c>
      <c r="P2010" s="8" t="s">
        <v>13596</v>
      </c>
      <c r="Q2010" s="8" t="s">
        <v>150</v>
      </c>
      <c r="R2010" s="8"/>
      <c r="S2010" s="8" t="s">
        <v>13597</v>
      </c>
      <c r="T2010" s="8" t="s">
        <v>67</v>
      </c>
      <c r="U2010" s="8" t="s">
        <v>150</v>
      </c>
      <c r="V2010" s="8" t="s">
        <v>152</v>
      </c>
      <c r="W2010" s="8" t="s">
        <v>67</v>
      </c>
      <c r="X2010" s="8">
        <v>26</v>
      </c>
      <c r="Y2010" s="8" t="s">
        <v>12359</v>
      </c>
      <c r="Z2010" s="8">
        <v>20</v>
      </c>
      <c r="AA2010" s="8">
        <v>0</v>
      </c>
      <c r="AB2010" s="9">
        <v>0</v>
      </c>
    </row>
    <row r="2011" spans="1:28" x14ac:dyDescent="0.2">
      <c r="A2011" s="10">
        <v>21844</v>
      </c>
      <c r="B2011" s="11" t="s">
        <v>13598</v>
      </c>
      <c r="C2011" s="11" t="s">
        <v>3676</v>
      </c>
      <c r="D2011" s="11" t="s">
        <v>3677</v>
      </c>
      <c r="E2011" s="11" t="s">
        <v>13599</v>
      </c>
      <c r="F2011" s="11" t="s">
        <v>3678</v>
      </c>
      <c r="G2011" s="11" t="s">
        <v>141</v>
      </c>
      <c r="H2011" s="11" t="s">
        <v>142</v>
      </c>
      <c r="I2011" s="11" t="s">
        <v>3679</v>
      </c>
      <c r="J2011" s="11" t="s">
        <v>3680</v>
      </c>
      <c r="K2011" s="11" t="s">
        <v>584</v>
      </c>
      <c r="L2011" s="11" t="s">
        <v>146</v>
      </c>
      <c r="M2011" s="11" t="s">
        <v>13600</v>
      </c>
      <c r="N2011" s="11" t="s">
        <v>128</v>
      </c>
      <c r="O2011" s="11" t="s">
        <v>13601</v>
      </c>
      <c r="P2011" s="11"/>
      <c r="Q2011" s="11" t="s">
        <v>131</v>
      </c>
      <c r="R2011" s="11"/>
      <c r="S2011" s="11" t="s">
        <v>3684</v>
      </c>
      <c r="T2011" s="11" t="s">
        <v>983</v>
      </c>
      <c r="U2011" s="11" t="s">
        <v>134</v>
      </c>
      <c r="V2011" s="11" t="s">
        <v>131</v>
      </c>
      <c r="W2011" s="11" t="s">
        <v>983</v>
      </c>
      <c r="X2011" s="11">
        <v>26</v>
      </c>
      <c r="Y2011" s="11" t="s">
        <v>12359</v>
      </c>
      <c r="Z2011" s="11">
        <v>20</v>
      </c>
      <c r="AA2011" s="11">
        <v>0</v>
      </c>
      <c r="AB2011" s="12">
        <v>0</v>
      </c>
    </row>
    <row r="2012" spans="1:28" x14ac:dyDescent="0.2">
      <c r="A2012" s="7">
        <v>21812</v>
      </c>
      <c r="B2012" s="8" t="s">
        <v>13602</v>
      </c>
      <c r="C2012" s="8" t="s">
        <v>5843</v>
      </c>
      <c r="D2012" s="8" t="s">
        <v>5844</v>
      </c>
      <c r="E2012" s="8"/>
      <c r="F2012" s="8" t="s">
        <v>5845</v>
      </c>
      <c r="G2012" s="8" t="s">
        <v>5846</v>
      </c>
      <c r="H2012" s="8" t="s">
        <v>159</v>
      </c>
      <c r="I2012" s="8" t="s">
        <v>5847</v>
      </c>
      <c r="J2012" s="8" t="s">
        <v>13603</v>
      </c>
      <c r="K2012" s="8" t="s">
        <v>162</v>
      </c>
      <c r="L2012" s="8" t="s">
        <v>163</v>
      </c>
      <c r="M2012" s="8" t="s">
        <v>13604</v>
      </c>
      <c r="N2012" s="8" t="s">
        <v>128</v>
      </c>
      <c r="O2012" s="8" t="s">
        <v>13605</v>
      </c>
      <c r="P2012" s="8"/>
      <c r="Q2012" s="8" t="s">
        <v>131</v>
      </c>
      <c r="R2012" s="8"/>
      <c r="S2012" s="8" t="s">
        <v>71</v>
      </c>
      <c r="T2012" s="8" t="s">
        <v>983</v>
      </c>
      <c r="U2012" s="8" t="s">
        <v>134</v>
      </c>
      <c r="V2012" s="8" t="s">
        <v>131</v>
      </c>
      <c r="W2012" s="8" t="s">
        <v>983</v>
      </c>
      <c r="X2012" s="8">
        <v>26</v>
      </c>
      <c r="Y2012" s="8" t="s">
        <v>12359</v>
      </c>
      <c r="Z2012" s="8">
        <v>20</v>
      </c>
      <c r="AA2012" s="8">
        <v>0</v>
      </c>
      <c r="AB2012" s="9">
        <v>0</v>
      </c>
    </row>
    <row r="2013" spans="1:28" x14ac:dyDescent="0.2">
      <c r="A2013" s="10">
        <v>22580</v>
      </c>
      <c r="B2013" s="11" t="s">
        <v>13606</v>
      </c>
      <c r="C2013" s="11" t="s">
        <v>13607</v>
      </c>
      <c r="D2013" s="11" t="s">
        <v>6586</v>
      </c>
      <c r="E2013" s="11"/>
      <c r="F2013" s="11" t="s">
        <v>13608</v>
      </c>
      <c r="G2013" s="11" t="s">
        <v>11394</v>
      </c>
      <c r="H2013" s="11" t="s">
        <v>704</v>
      </c>
      <c r="I2013" s="11" t="s">
        <v>13609</v>
      </c>
      <c r="J2013" s="11" t="s">
        <v>13610</v>
      </c>
      <c r="K2013" s="11" t="s">
        <v>707</v>
      </c>
      <c r="L2013" s="11" t="s">
        <v>126</v>
      </c>
      <c r="M2013" s="11" t="s">
        <v>13611</v>
      </c>
      <c r="N2013" s="11" t="s">
        <v>128</v>
      </c>
      <c r="O2013" s="11" t="s">
        <v>13612</v>
      </c>
      <c r="P2013" s="11" t="s">
        <v>13613</v>
      </c>
      <c r="Q2013" s="11" t="s">
        <v>150</v>
      </c>
      <c r="R2013" s="11"/>
      <c r="S2013" s="11" t="s">
        <v>71</v>
      </c>
      <c r="T2013" s="11" t="s">
        <v>2697</v>
      </c>
      <c r="U2013" s="11" t="s">
        <v>150</v>
      </c>
      <c r="V2013" s="11" t="s">
        <v>2697</v>
      </c>
      <c r="W2013" s="11" t="s">
        <v>2697</v>
      </c>
      <c r="X2013" s="11">
        <v>26</v>
      </c>
      <c r="Y2013" s="11" t="s">
        <v>12359</v>
      </c>
      <c r="Z2013" s="11">
        <v>20</v>
      </c>
      <c r="AA2013" s="11">
        <v>0</v>
      </c>
      <c r="AB2013" s="12">
        <v>0</v>
      </c>
    </row>
    <row r="2014" spans="1:28" x14ac:dyDescent="0.2">
      <c r="A2014" s="7">
        <v>23159</v>
      </c>
      <c r="B2014" s="8" t="s">
        <v>13614</v>
      </c>
      <c r="C2014" s="8" t="s">
        <v>8262</v>
      </c>
      <c r="D2014" s="8" t="s">
        <v>2690</v>
      </c>
      <c r="E2014" s="8" t="s">
        <v>13615</v>
      </c>
      <c r="F2014" s="8" t="s">
        <v>353</v>
      </c>
      <c r="G2014" s="8" t="s">
        <v>2618</v>
      </c>
      <c r="H2014" s="8" t="s">
        <v>142</v>
      </c>
      <c r="I2014" s="8" t="s">
        <v>8264</v>
      </c>
      <c r="J2014" s="8" t="s">
        <v>8265</v>
      </c>
      <c r="K2014" s="8" t="s">
        <v>651</v>
      </c>
      <c r="L2014" s="8" t="s">
        <v>146</v>
      </c>
      <c r="M2014" s="8" t="s">
        <v>13616</v>
      </c>
      <c r="N2014" s="8" t="s">
        <v>128</v>
      </c>
      <c r="O2014" s="8" t="s">
        <v>13617</v>
      </c>
      <c r="P2014" s="8" t="s">
        <v>11154</v>
      </c>
      <c r="Q2014" s="8" t="s">
        <v>150</v>
      </c>
      <c r="R2014" s="8"/>
      <c r="S2014" s="8" t="s">
        <v>8268</v>
      </c>
      <c r="T2014" s="8" t="s">
        <v>70</v>
      </c>
      <c r="U2014" s="8" t="s">
        <v>150</v>
      </c>
      <c r="V2014" s="8" t="s">
        <v>70</v>
      </c>
      <c r="W2014" s="8" t="s">
        <v>70</v>
      </c>
      <c r="X2014" s="8">
        <v>26</v>
      </c>
      <c r="Y2014" s="8" t="s">
        <v>12359</v>
      </c>
      <c r="Z2014" s="8">
        <v>20</v>
      </c>
      <c r="AA2014" s="8">
        <v>0</v>
      </c>
      <c r="AB2014" s="9">
        <v>0</v>
      </c>
    </row>
    <row r="2015" spans="1:28" x14ac:dyDescent="0.2">
      <c r="A2015" s="10">
        <v>23201</v>
      </c>
      <c r="B2015" s="11" t="s">
        <v>13618</v>
      </c>
      <c r="C2015" s="11" t="s">
        <v>13619</v>
      </c>
      <c r="D2015" s="11" t="s">
        <v>13620</v>
      </c>
      <c r="E2015" s="11" t="s">
        <v>13620</v>
      </c>
      <c r="F2015" s="11" t="s">
        <v>7985</v>
      </c>
      <c r="G2015" s="11" t="s">
        <v>450</v>
      </c>
      <c r="H2015" s="11" t="s">
        <v>301</v>
      </c>
      <c r="I2015" s="11" t="s">
        <v>13621</v>
      </c>
      <c r="J2015" s="11" t="s">
        <v>13622</v>
      </c>
      <c r="K2015" s="11" t="s">
        <v>304</v>
      </c>
      <c r="L2015" s="11" t="s">
        <v>229</v>
      </c>
      <c r="M2015" s="11" t="s">
        <v>13623</v>
      </c>
      <c r="N2015" s="11" t="s">
        <v>128</v>
      </c>
      <c r="O2015" s="11" t="s">
        <v>13624</v>
      </c>
      <c r="P2015" s="11" t="s">
        <v>13625</v>
      </c>
      <c r="Q2015" s="11" t="s">
        <v>150</v>
      </c>
      <c r="R2015" s="11"/>
      <c r="S2015" s="11" t="s">
        <v>13626</v>
      </c>
      <c r="T2015" s="11" t="s">
        <v>70</v>
      </c>
      <c r="U2015" s="11" t="s">
        <v>150</v>
      </c>
      <c r="V2015" s="11" t="s">
        <v>70</v>
      </c>
      <c r="W2015" s="11" t="s">
        <v>70</v>
      </c>
      <c r="X2015" s="11">
        <v>26</v>
      </c>
      <c r="Y2015" s="11" t="s">
        <v>12359</v>
      </c>
      <c r="Z2015" s="11">
        <v>20</v>
      </c>
      <c r="AA2015" s="11">
        <v>0</v>
      </c>
      <c r="AB2015" s="12">
        <v>0</v>
      </c>
    </row>
    <row r="2016" spans="1:28" x14ac:dyDescent="0.2">
      <c r="A2016" s="7">
        <v>23723</v>
      </c>
      <c r="B2016" s="8" t="s">
        <v>13627</v>
      </c>
      <c r="C2016" s="8" t="s">
        <v>8966</v>
      </c>
      <c r="D2016" s="8" t="s">
        <v>171</v>
      </c>
      <c r="E2016" s="8" t="s">
        <v>13628</v>
      </c>
      <c r="F2016" s="8" t="s">
        <v>8968</v>
      </c>
      <c r="G2016" s="8" t="s">
        <v>8969</v>
      </c>
      <c r="H2016" s="8" t="s">
        <v>142</v>
      </c>
      <c r="I2016" s="8" t="s">
        <v>8970</v>
      </c>
      <c r="J2016" s="8" t="s">
        <v>8971</v>
      </c>
      <c r="K2016" s="8" t="s">
        <v>1199</v>
      </c>
      <c r="L2016" s="8" t="s">
        <v>464</v>
      </c>
      <c r="M2016" s="8" t="s">
        <v>13629</v>
      </c>
      <c r="N2016" s="8" t="s">
        <v>128</v>
      </c>
      <c r="O2016" s="8" t="s">
        <v>13630</v>
      </c>
      <c r="P2016" s="8" t="s">
        <v>13631</v>
      </c>
      <c r="Q2016" s="8" t="s">
        <v>150</v>
      </c>
      <c r="R2016" s="8"/>
      <c r="S2016" s="8" t="s">
        <v>8975</v>
      </c>
      <c r="T2016" s="8" t="s">
        <v>168</v>
      </c>
      <c r="U2016" s="8" t="s">
        <v>150</v>
      </c>
      <c r="V2016" s="8" t="s">
        <v>168</v>
      </c>
      <c r="W2016" s="8" t="s">
        <v>168</v>
      </c>
      <c r="X2016" s="8">
        <v>26</v>
      </c>
      <c r="Y2016" s="8" t="s">
        <v>12359</v>
      </c>
      <c r="Z2016" s="8">
        <v>20</v>
      </c>
      <c r="AA2016" s="8">
        <v>0</v>
      </c>
      <c r="AB2016" s="9">
        <v>0</v>
      </c>
    </row>
    <row r="2017" spans="1:28" x14ac:dyDescent="0.2">
      <c r="A2017" s="10">
        <v>22676</v>
      </c>
      <c r="B2017" s="11" t="s">
        <v>13632</v>
      </c>
      <c r="C2017" s="11" t="s">
        <v>13633</v>
      </c>
      <c r="D2017" s="11" t="s">
        <v>138</v>
      </c>
      <c r="E2017" s="11" t="s">
        <v>281</v>
      </c>
      <c r="F2017" s="11" t="s">
        <v>353</v>
      </c>
      <c r="G2017" s="11" t="s">
        <v>703</v>
      </c>
      <c r="H2017" s="11" t="s">
        <v>704</v>
      </c>
      <c r="I2017" s="11" t="s">
        <v>13634</v>
      </c>
      <c r="J2017" s="11" t="s">
        <v>13635</v>
      </c>
      <c r="K2017" s="11" t="s">
        <v>707</v>
      </c>
      <c r="L2017" s="11" t="s">
        <v>126</v>
      </c>
      <c r="M2017" s="11" t="s">
        <v>13636</v>
      </c>
      <c r="N2017" s="11" t="s">
        <v>128</v>
      </c>
      <c r="O2017" s="11" t="s">
        <v>13637</v>
      </c>
      <c r="P2017" s="11"/>
      <c r="Q2017" s="11" t="s">
        <v>740</v>
      </c>
      <c r="R2017" s="11"/>
      <c r="S2017" s="11" t="s">
        <v>71</v>
      </c>
      <c r="T2017" s="11" t="s">
        <v>1745</v>
      </c>
      <c r="U2017" s="11" t="s">
        <v>134</v>
      </c>
      <c r="V2017" s="11" t="s">
        <v>740</v>
      </c>
      <c r="W2017" s="11" t="s">
        <v>1745</v>
      </c>
      <c r="X2017" s="11">
        <v>26</v>
      </c>
      <c r="Y2017" s="11" t="s">
        <v>12359</v>
      </c>
      <c r="Z2017" s="11">
        <v>20</v>
      </c>
      <c r="AA2017" s="11">
        <v>0</v>
      </c>
      <c r="AB2017" s="12">
        <v>0</v>
      </c>
    </row>
    <row r="2018" spans="1:28" x14ac:dyDescent="0.2">
      <c r="A2018" s="7">
        <v>49883</v>
      </c>
      <c r="B2018" s="8" t="s">
        <v>13638</v>
      </c>
      <c r="C2018" s="8" t="s">
        <v>2664</v>
      </c>
      <c r="D2018" s="8" t="s">
        <v>2665</v>
      </c>
      <c r="E2018" s="8"/>
      <c r="F2018" s="8" t="s">
        <v>13639</v>
      </c>
      <c r="G2018" s="8" t="s">
        <v>190</v>
      </c>
      <c r="H2018" s="8" t="s">
        <v>191</v>
      </c>
      <c r="I2018" s="8" t="s">
        <v>2668</v>
      </c>
      <c r="J2018" s="8" t="s">
        <v>13640</v>
      </c>
      <c r="K2018" s="8" t="s">
        <v>194</v>
      </c>
      <c r="L2018" s="8" t="s">
        <v>163</v>
      </c>
      <c r="M2018" s="8" t="s">
        <v>13641</v>
      </c>
      <c r="N2018" s="8" t="s">
        <v>128</v>
      </c>
      <c r="O2018" s="8" t="s">
        <v>13642</v>
      </c>
      <c r="P2018" s="8" t="s">
        <v>13643</v>
      </c>
      <c r="Q2018" s="8" t="s">
        <v>740</v>
      </c>
      <c r="R2018" s="8"/>
      <c r="S2018" s="8" t="s">
        <v>2672</v>
      </c>
      <c r="T2018" s="8" t="s">
        <v>1745</v>
      </c>
      <c r="U2018" s="8" t="s">
        <v>134</v>
      </c>
      <c r="V2018" s="8" t="s">
        <v>740</v>
      </c>
      <c r="W2018" s="8" t="s">
        <v>1745</v>
      </c>
      <c r="X2018" s="8">
        <v>26</v>
      </c>
      <c r="Y2018" s="8" t="s">
        <v>12359</v>
      </c>
      <c r="Z2018" s="8">
        <v>20</v>
      </c>
      <c r="AA2018" s="8">
        <v>0</v>
      </c>
      <c r="AB2018" s="9">
        <v>0</v>
      </c>
    </row>
    <row r="2019" spans="1:28" x14ac:dyDescent="0.2">
      <c r="A2019" s="10">
        <v>26996</v>
      </c>
      <c r="B2019" s="11" t="s">
        <v>13644</v>
      </c>
      <c r="C2019" s="11" t="s">
        <v>13645</v>
      </c>
      <c r="D2019" s="11" t="s">
        <v>13646</v>
      </c>
      <c r="E2019" s="11"/>
      <c r="F2019" s="11" t="s">
        <v>13647</v>
      </c>
      <c r="G2019" s="11" t="s">
        <v>5804</v>
      </c>
      <c r="H2019" s="11" t="s">
        <v>5805</v>
      </c>
      <c r="I2019" s="11" t="s">
        <v>13648</v>
      </c>
      <c r="J2019" s="11" t="s">
        <v>13649</v>
      </c>
      <c r="K2019" s="11" t="s">
        <v>274</v>
      </c>
      <c r="L2019" s="11" t="s">
        <v>163</v>
      </c>
      <c r="M2019" s="11" t="s">
        <v>13650</v>
      </c>
      <c r="N2019" s="11" t="s">
        <v>128</v>
      </c>
      <c r="O2019" s="11" t="s">
        <v>13651</v>
      </c>
      <c r="P2019" s="11"/>
      <c r="Q2019" s="11" t="s">
        <v>740</v>
      </c>
      <c r="R2019" s="11"/>
      <c r="S2019" s="11" t="s">
        <v>13652</v>
      </c>
      <c r="T2019" s="11" t="s">
        <v>1745</v>
      </c>
      <c r="U2019" s="11" t="s">
        <v>134</v>
      </c>
      <c r="V2019" s="11" t="s">
        <v>740</v>
      </c>
      <c r="W2019" s="11" t="s">
        <v>1745</v>
      </c>
      <c r="X2019" s="11">
        <v>26</v>
      </c>
      <c r="Y2019" s="11" t="s">
        <v>12359</v>
      </c>
      <c r="Z2019" s="11">
        <v>20</v>
      </c>
      <c r="AA2019" s="11">
        <v>0</v>
      </c>
      <c r="AB2019" s="12">
        <v>0</v>
      </c>
    </row>
    <row r="2020" spans="1:28" x14ac:dyDescent="0.2">
      <c r="A2020" s="7">
        <v>31250</v>
      </c>
      <c r="B2020" s="8" t="s">
        <v>13653</v>
      </c>
      <c r="C2020" s="8" t="s">
        <v>13172</v>
      </c>
      <c r="D2020" s="8" t="s">
        <v>13654</v>
      </c>
      <c r="E2020" s="8"/>
      <c r="F2020" s="8" t="s">
        <v>353</v>
      </c>
      <c r="G2020" s="8" t="s">
        <v>2117</v>
      </c>
      <c r="H2020" s="8" t="s">
        <v>142</v>
      </c>
      <c r="I2020" s="8" t="s">
        <v>13174</v>
      </c>
      <c r="J2020" s="8" t="s">
        <v>13655</v>
      </c>
      <c r="K2020" s="8" t="s">
        <v>1673</v>
      </c>
      <c r="L2020" s="8" t="s">
        <v>464</v>
      </c>
      <c r="M2020" s="8" t="s">
        <v>13656</v>
      </c>
      <c r="N2020" s="8" t="s">
        <v>128</v>
      </c>
      <c r="O2020" s="8" t="s">
        <v>13657</v>
      </c>
      <c r="P2020" s="8"/>
      <c r="Q2020" s="8" t="s">
        <v>740</v>
      </c>
      <c r="R2020" s="8"/>
      <c r="S2020" s="8" t="s">
        <v>13658</v>
      </c>
      <c r="T2020" s="8" t="s">
        <v>1745</v>
      </c>
      <c r="U2020" s="8" t="s">
        <v>134</v>
      </c>
      <c r="V2020" s="8" t="s">
        <v>740</v>
      </c>
      <c r="W2020" s="8" t="s">
        <v>1745</v>
      </c>
      <c r="X2020" s="8">
        <v>26</v>
      </c>
      <c r="Y2020" s="8" t="s">
        <v>12359</v>
      </c>
      <c r="Z2020" s="8">
        <v>20</v>
      </c>
      <c r="AA2020" s="8">
        <v>0</v>
      </c>
      <c r="AB2020" s="9">
        <v>0</v>
      </c>
    </row>
    <row r="2021" spans="1:28" x14ac:dyDescent="0.2">
      <c r="A2021" s="10">
        <v>25163</v>
      </c>
      <c r="B2021" s="11" t="s">
        <v>13659</v>
      </c>
      <c r="C2021" s="11" t="s">
        <v>5879</v>
      </c>
      <c r="D2021" s="11" t="s">
        <v>13660</v>
      </c>
      <c r="E2021" s="11"/>
      <c r="F2021" s="11" t="s">
        <v>11403</v>
      </c>
      <c r="G2021" s="11" t="s">
        <v>556</v>
      </c>
      <c r="H2021" s="11" t="s">
        <v>557</v>
      </c>
      <c r="I2021" s="11" t="s">
        <v>13661</v>
      </c>
      <c r="J2021" s="11" t="s">
        <v>13662</v>
      </c>
      <c r="K2021" s="11" t="s">
        <v>560</v>
      </c>
      <c r="L2021" s="11" t="s">
        <v>229</v>
      </c>
      <c r="M2021" s="11" t="s">
        <v>13663</v>
      </c>
      <c r="N2021" s="11" t="s">
        <v>128</v>
      </c>
      <c r="O2021" s="11" t="s">
        <v>13664</v>
      </c>
      <c r="P2021" s="11" t="s">
        <v>13665</v>
      </c>
      <c r="Q2021" s="11" t="s">
        <v>740</v>
      </c>
      <c r="R2021" s="11"/>
      <c r="S2021" s="11" t="s">
        <v>71</v>
      </c>
      <c r="T2021" s="11" t="s">
        <v>741</v>
      </c>
      <c r="U2021" s="11" t="s">
        <v>134</v>
      </c>
      <c r="V2021" s="11" t="s">
        <v>740</v>
      </c>
      <c r="W2021" s="11" t="s">
        <v>741</v>
      </c>
      <c r="X2021" s="11">
        <v>26</v>
      </c>
      <c r="Y2021" s="11" t="s">
        <v>12359</v>
      </c>
      <c r="Z2021" s="11">
        <v>20</v>
      </c>
      <c r="AA2021" s="11">
        <v>0</v>
      </c>
      <c r="AB2021" s="12">
        <v>0</v>
      </c>
    </row>
    <row r="2022" spans="1:28" x14ac:dyDescent="0.2">
      <c r="A2022" s="7">
        <v>118170</v>
      </c>
      <c r="B2022" s="8" t="s">
        <v>13666</v>
      </c>
      <c r="C2022" s="8" t="s">
        <v>7290</v>
      </c>
      <c r="D2022" s="8" t="s">
        <v>341</v>
      </c>
      <c r="E2022" s="8" t="s">
        <v>13667</v>
      </c>
      <c r="F2022" s="8" t="s">
        <v>2073</v>
      </c>
      <c r="G2022" s="8" t="s">
        <v>328</v>
      </c>
      <c r="H2022" s="8" t="s">
        <v>329</v>
      </c>
      <c r="I2022" s="8" t="s">
        <v>7292</v>
      </c>
      <c r="J2022" s="8" t="s">
        <v>7293</v>
      </c>
      <c r="K2022" s="8" t="s">
        <v>332</v>
      </c>
      <c r="L2022" s="8" t="s">
        <v>333</v>
      </c>
      <c r="M2022" s="8" t="s">
        <v>13668</v>
      </c>
      <c r="N2022" s="8" t="s">
        <v>128</v>
      </c>
      <c r="O2022" s="8" t="s">
        <v>13669</v>
      </c>
      <c r="P2022" s="8"/>
      <c r="Q2022" s="8" t="s">
        <v>249</v>
      </c>
      <c r="R2022" s="8"/>
      <c r="S2022" s="8" t="s">
        <v>7297</v>
      </c>
      <c r="T2022" s="8" t="s">
        <v>1523</v>
      </c>
      <c r="U2022" s="8" t="s">
        <v>134</v>
      </c>
      <c r="V2022" s="8" t="s">
        <v>249</v>
      </c>
      <c r="W2022" s="8" t="s">
        <v>1523</v>
      </c>
      <c r="X2022" s="8">
        <v>26</v>
      </c>
      <c r="Y2022" s="8" t="s">
        <v>12359</v>
      </c>
      <c r="Z2022" s="8">
        <v>20</v>
      </c>
      <c r="AA2022" s="8">
        <v>0</v>
      </c>
      <c r="AB2022" s="9">
        <v>0</v>
      </c>
    </row>
    <row r="2023" spans="1:28" x14ac:dyDescent="0.2">
      <c r="A2023" s="10">
        <v>21776</v>
      </c>
      <c r="B2023" s="11" t="s">
        <v>13670</v>
      </c>
      <c r="C2023" s="11" t="s">
        <v>13671</v>
      </c>
      <c r="D2023" s="11" t="s">
        <v>2786</v>
      </c>
      <c r="E2023" s="11" t="s">
        <v>13672</v>
      </c>
      <c r="F2023" s="11" t="s">
        <v>353</v>
      </c>
      <c r="G2023" s="11" t="s">
        <v>428</v>
      </c>
      <c r="H2023" s="11" t="s">
        <v>329</v>
      </c>
      <c r="I2023" s="11" t="s">
        <v>8576</v>
      </c>
      <c r="J2023" s="11" t="s">
        <v>13673</v>
      </c>
      <c r="K2023" s="11" t="s">
        <v>431</v>
      </c>
      <c r="L2023" s="11" t="s">
        <v>333</v>
      </c>
      <c r="M2023" s="11" t="s">
        <v>13674</v>
      </c>
      <c r="N2023" s="11" t="s">
        <v>128</v>
      </c>
      <c r="O2023" s="11" t="s">
        <v>13675</v>
      </c>
      <c r="P2023" s="11"/>
      <c r="Q2023" s="11" t="s">
        <v>249</v>
      </c>
      <c r="R2023" s="11"/>
      <c r="S2023" s="11" t="s">
        <v>71</v>
      </c>
      <c r="T2023" s="11" t="s">
        <v>1523</v>
      </c>
      <c r="U2023" s="11" t="s">
        <v>134</v>
      </c>
      <c r="V2023" s="11" t="s">
        <v>249</v>
      </c>
      <c r="W2023" s="11" t="s">
        <v>1523</v>
      </c>
      <c r="X2023" s="11">
        <v>26</v>
      </c>
      <c r="Y2023" s="11" t="s">
        <v>12359</v>
      </c>
      <c r="Z2023" s="11">
        <v>20</v>
      </c>
      <c r="AA2023" s="11">
        <v>0</v>
      </c>
      <c r="AB2023" s="12">
        <v>0</v>
      </c>
    </row>
    <row r="2024" spans="1:28" x14ac:dyDescent="0.2">
      <c r="A2024" s="7">
        <v>25375</v>
      </c>
      <c r="B2024" s="8" t="s">
        <v>13676</v>
      </c>
      <c r="C2024" s="8" t="s">
        <v>6953</v>
      </c>
      <c r="D2024" s="8" t="s">
        <v>6954</v>
      </c>
      <c r="E2024" s="8" t="s">
        <v>13677</v>
      </c>
      <c r="F2024" s="8" t="s">
        <v>6956</v>
      </c>
      <c r="G2024" s="8" t="s">
        <v>2332</v>
      </c>
      <c r="H2024" s="8" t="s">
        <v>142</v>
      </c>
      <c r="I2024" s="8" t="s">
        <v>13678</v>
      </c>
      <c r="J2024" s="8" t="s">
        <v>6958</v>
      </c>
      <c r="K2024" s="8" t="s">
        <v>779</v>
      </c>
      <c r="L2024" s="8" t="s">
        <v>464</v>
      </c>
      <c r="M2024" s="8" t="s">
        <v>13679</v>
      </c>
      <c r="N2024" s="8" t="s">
        <v>128</v>
      </c>
      <c r="O2024" s="8" t="s">
        <v>13680</v>
      </c>
      <c r="P2024" s="8" t="s">
        <v>13681</v>
      </c>
      <c r="Q2024" s="8" t="s">
        <v>249</v>
      </c>
      <c r="R2024" s="8"/>
      <c r="S2024" s="8" t="s">
        <v>6961</v>
      </c>
      <c r="T2024" s="8" t="s">
        <v>250</v>
      </c>
      <c r="U2024" s="8" t="s">
        <v>134</v>
      </c>
      <c r="V2024" s="8" t="s">
        <v>249</v>
      </c>
      <c r="W2024" s="8" t="s">
        <v>250</v>
      </c>
      <c r="X2024" s="8">
        <v>26</v>
      </c>
      <c r="Y2024" s="8" t="s">
        <v>12359</v>
      </c>
      <c r="Z2024" s="8">
        <v>20</v>
      </c>
      <c r="AA2024" s="8">
        <v>0</v>
      </c>
      <c r="AB2024" s="9">
        <v>0</v>
      </c>
    </row>
    <row r="2025" spans="1:28" x14ac:dyDescent="0.2">
      <c r="A2025" s="10">
        <v>31576</v>
      </c>
      <c r="B2025" s="11" t="s">
        <v>13682</v>
      </c>
      <c r="C2025" s="11" t="s">
        <v>903</v>
      </c>
      <c r="D2025" s="11" t="s">
        <v>904</v>
      </c>
      <c r="E2025" s="11"/>
      <c r="F2025" s="11" t="s">
        <v>906</v>
      </c>
      <c r="G2025" s="11" t="s">
        <v>615</v>
      </c>
      <c r="H2025" s="11" t="s">
        <v>616</v>
      </c>
      <c r="I2025" s="11" t="s">
        <v>907</v>
      </c>
      <c r="J2025" s="11" t="s">
        <v>13683</v>
      </c>
      <c r="K2025" s="11" t="s">
        <v>619</v>
      </c>
      <c r="L2025" s="11" t="s">
        <v>163</v>
      </c>
      <c r="M2025" s="11" t="s">
        <v>13684</v>
      </c>
      <c r="N2025" s="11" t="s">
        <v>128</v>
      </c>
      <c r="O2025" s="11" t="s">
        <v>13685</v>
      </c>
      <c r="P2025" s="11" t="s">
        <v>13686</v>
      </c>
      <c r="Q2025" s="11" t="s">
        <v>249</v>
      </c>
      <c r="R2025" s="11"/>
      <c r="S2025" s="11" t="s">
        <v>912</v>
      </c>
      <c r="T2025" s="11" t="s">
        <v>250</v>
      </c>
      <c r="U2025" s="11" t="s">
        <v>134</v>
      </c>
      <c r="V2025" s="11" t="s">
        <v>249</v>
      </c>
      <c r="W2025" s="11" t="s">
        <v>250</v>
      </c>
      <c r="X2025" s="11">
        <v>26</v>
      </c>
      <c r="Y2025" s="11" t="s">
        <v>12359</v>
      </c>
      <c r="Z2025" s="11">
        <v>20</v>
      </c>
      <c r="AA2025" s="11">
        <v>0</v>
      </c>
      <c r="AB2025" s="12">
        <v>0</v>
      </c>
    </row>
    <row r="2026" spans="1:28" x14ac:dyDescent="0.2">
      <c r="A2026" s="7">
        <v>21157</v>
      </c>
      <c r="B2026" s="8" t="s">
        <v>13687</v>
      </c>
      <c r="C2026" s="8" t="s">
        <v>10905</v>
      </c>
      <c r="D2026" s="8" t="s">
        <v>13688</v>
      </c>
      <c r="E2026" s="8"/>
      <c r="F2026" s="8" t="s">
        <v>353</v>
      </c>
      <c r="G2026" s="8" t="s">
        <v>1438</v>
      </c>
      <c r="H2026" s="8" t="s">
        <v>122</v>
      </c>
      <c r="I2026" s="8" t="s">
        <v>13689</v>
      </c>
      <c r="J2026" s="8" t="s">
        <v>13690</v>
      </c>
      <c r="K2026" s="8" t="s">
        <v>125</v>
      </c>
      <c r="L2026" s="8" t="s">
        <v>126</v>
      </c>
      <c r="M2026" s="8" t="s">
        <v>13691</v>
      </c>
      <c r="N2026" s="8" t="s">
        <v>128</v>
      </c>
      <c r="O2026" s="8" t="s">
        <v>13692</v>
      </c>
      <c r="P2026" s="8" t="s">
        <v>13693</v>
      </c>
      <c r="Q2026" s="8" t="s">
        <v>150</v>
      </c>
      <c r="R2026" s="8"/>
      <c r="S2026" s="8" t="s">
        <v>71</v>
      </c>
      <c r="T2026" s="8" t="s">
        <v>289</v>
      </c>
      <c r="U2026" s="8" t="s">
        <v>150</v>
      </c>
      <c r="V2026" s="8" t="s">
        <v>289</v>
      </c>
      <c r="W2026" s="8" t="s">
        <v>289</v>
      </c>
      <c r="X2026" s="8">
        <v>25</v>
      </c>
      <c r="Y2026" s="8" t="s">
        <v>12359</v>
      </c>
      <c r="Z2026" s="8">
        <v>20</v>
      </c>
      <c r="AA2026" s="8">
        <v>0</v>
      </c>
      <c r="AB2026" s="9">
        <v>0</v>
      </c>
    </row>
    <row r="2027" spans="1:28" x14ac:dyDescent="0.2">
      <c r="A2027" s="10">
        <v>21222</v>
      </c>
      <c r="B2027" s="11" t="s">
        <v>13694</v>
      </c>
      <c r="C2027" s="11" t="s">
        <v>5885</v>
      </c>
      <c r="D2027" s="11" t="s">
        <v>5114</v>
      </c>
      <c r="E2027" s="11" t="s">
        <v>13695</v>
      </c>
      <c r="F2027" s="11" t="s">
        <v>353</v>
      </c>
      <c r="G2027" s="11" t="s">
        <v>328</v>
      </c>
      <c r="H2027" s="11" t="s">
        <v>329</v>
      </c>
      <c r="I2027" s="11" t="s">
        <v>6041</v>
      </c>
      <c r="J2027" s="11" t="s">
        <v>5888</v>
      </c>
      <c r="K2027" s="11" t="s">
        <v>332</v>
      </c>
      <c r="L2027" s="11" t="s">
        <v>333</v>
      </c>
      <c r="M2027" s="11" t="s">
        <v>13696</v>
      </c>
      <c r="N2027" s="11" t="s">
        <v>128</v>
      </c>
      <c r="O2027" s="11" t="s">
        <v>13697</v>
      </c>
      <c r="P2027" s="11" t="s">
        <v>13698</v>
      </c>
      <c r="Q2027" s="11" t="s">
        <v>150</v>
      </c>
      <c r="R2027" s="11"/>
      <c r="S2027" s="11" t="s">
        <v>5892</v>
      </c>
      <c r="T2027" s="11" t="s">
        <v>642</v>
      </c>
      <c r="U2027" s="11" t="s">
        <v>150</v>
      </c>
      <c r="V2027" s="11" t="s">
        <v>642</v>
      </c>
      <c r="W2027" s="11" t="s">
        <v>642</v>
      </c>
      <c r="X2027" s="11">
        <v>25</v>
      </c>
      <c r="Y2027" s="11" t="s">
        <v>12359</v>
      </c>
      <c r="Z2027" s="11">
        <v>20</v>
      </c>
      <c r="AA2027" s="11">
        <v>0</v>
      </c>
      <c r="AB2027" s="12">
        <v>0</v>
      </c>
    </row>
    <row r="2028" spans="1:28" x14ac:dyDescent="0.2">
      <c r="A2028" s="7">
        <v>240282</v>
      </c>
      <c r="B2028" s="8" t="s">
        <v>13699</v>
      </c>
      <c r="C2028" s="8" t="s">
        <v>1341</v>
      </c>
      <c r="D2028" s="8" t="s">
        <v>13700</v>
      </c>
      <c r="E2028" s="8"/>
      <c r="F2028" s="8" t="s">
        <v>1344</v>
      </c>
      <c r="G2028" s="8" t="s">
        <v>141</v>
      </c>
      <c r="H2028" s="8" t="s">
        <v>142</v>
      </c>
      <c r="I2028" s="8" t="s">
        <v>13701</v>
      </c>
      <c r="J2028" s="8" t="s">
        <v>13702</v>
      </c>
      <c r="K2028" s="8" t="s">
        <v>651</v>
      </c>
      <c r="L2028" s="8" t="s">
        <v>146</v>
      </c>
      <c r="M2028" s="8" t="s">
        <v>13703</v>
      </c>
      <c r="N2028" s="8" t="s">
        <v>128</v>
      </c>
      <c r="O2028" s="8" t="s">
        <v>13704</v>
      </c>
      <c r="P2028" s="8"/>
      <c r="Q2028" s="8" t="s">
        <v>150</v>
      </c>
      <c r="R2028" s="8"/>
      <c r="S2028" s="8" t="s">
        <v>71</v>
      </c>
      <c r="T2028" s="8" t="s">
        <v>642</v>
      </c>
      <c r="U2028" s="8" t="s">
        <v>150</v>
      </c>
      <c r="V2028" s="8" t="s">
        <v>642</v>
      </c>
      <c r="W2028" s="8" t="s">
        <v>642</v>
      </c>
      <c r="X2028" s="8">
        <v>25</v>
      </c>
      <c r="Y2028" s="8" t="s">
        <v>12359</v>
      </c>
      <c r="Z2028" s="8">
        <v>20</v>
      </c>
      <c r="AA2028" s="8">
        <v>0</v>
      </c>
      <c r="AB2028" s="9">
        <v>0</v>
      </c>
    </row>
    <row r="2029" spans="1:28" x14ac:dyDescent="0.2">
      <c r="A2029" s="10">
        <v>107021</v>
      </c>
      <c r="B2029" s="11" t="s">
        <v>13705</v>
      </c>
      <c r="C2029" s="11" t="s">
        <v>13619</v>
      </c>
      <c r="D2029" s="11" t="s">
        <v>13620</v>
      </c>
      <c r="E2029" s="11" t="s">
        <v>13706</v>
      </c>
      <c r="F2029" s="11" t="s">
        <v>7985</v>
      </c>
      <c r="G2029" s="11" t="s">
        <v>450</v>
      </c>
      <c r="H2029" s="11" t="s">
        <v>301</v>
      </c>
      <c r="I2029" s="11" t="s">
        <v>13707</v>
      </c>
      <c r="J2029" s="11" t="s">
        <v>13622</v>
      </c>
      <c r="K2029" s="11" t="s">
        <v>304</v>
      </c>
      <c r="L2029" s="11" t="s">
        <v>229</v>
      </c>
      <c r="M2029" s="11" t="s">
        <v>13708</v>
      </c>
      <c r="N2029" s="11" t="s">
        <v>128</v>
      </c>
      <c r="O2029" s="11" t="s">
        <v>13709</v>
      </c>
      <c r="P2029" s="11"/>
      <c r="Q2029" s="11" t="s">
        <v>131</v>
      </c>
      <c r="R2029" s="11"/>
      <c r="S2029" s="11" t="s">
        <v>13626</v>
      </c>
      <c r="T2029" s="11" t="s">
        <v>983</v>
      </c>
      <c r="U2029" s="11" t="s">
        <v>134</v>
      </c>
      <c r="V2029" s="11" t="s">
        <v>131</v>
      </c>
      <c r="W2029" s="11" t="s">
        <v>983</v>
      </c>
      <c r="X2029" s="11">
        <v>25</v>
      </c>
      <c r="Y2029" s="11" t="s">
        <v>12359</v>
      </c>
      <c r="Z2029" s="11">
        <v>20</v>
      </c>
      <c r="AA2029" s="11">
        <v>0</v>
      </c>
      <c r="AB2029" s="12">
        <v>0</v>
      </c>
    </row>
    <row r="2030" spans="1:28" x14ac:dyDescent="0.2">
      <c r="A2030" s="7">
        <v>235826</v>
      </c>
      <c r="B2030" s="8" t="s">
        <v>13710</v>
      </c>
      <c r="C2030" s="8" t="s">
        <v>8721</v>
      </c>
      <c r="D2030" s="8" t="s">
        <v>8690</v>
      </c>
      <c r="E2030" s="8" t="s">
        <v>13711</v>
      </c>
      <c r="F2030" s="8" t="s">
        <v>8723</v>
      </c>
      <c r="G2030" s="8" t="s">
        <v>648</v>
      </c>
      <c r="H2030" s="8" t="s">
        <v>142</v>
      </c>
      <c r="I2030" s="8" t="s">
        <v>8724</v>
      </c>
      <c r="J2030" s="8" t="s">
        <v>13712</v>
      </c>
      <c r="K2030" s="8" t="s">
        <v>651</v>
      </c>
      <c r="L2030" s="8" t="s">
        <v>146</v>
      </c>
      <c r="M2030" s="8" t="s">
        <v>13713</v>
      </c>
      <c r="N2030" s="8" t="s">
        <v>128</v>
      </c>
      <c r="O2030" s="8" t="s">
        <v>13714</v>
      </c>
      <c r="P2030" s="8"/>
      <c r="Q2030" s="8" t="s">
        <v>131</v>
      </c>
      <c r="R2030" s="8"/>
      <c r="S2030" s="8" t="s">
        <v>8729</v>
      </c>
      <c r="T2030" s="8" t="s">
        <v>983</v>
      </c>
      <c r="U2030" s="8" t="s">
        <v>134</v>
      </c>
      <c r="V2030" s="8" t="s">
        <v>131</v>
      </c>
      <c r="W2030" s="8" t="s">
        <v>983</v>
      </c>
      <c r="X2030" s="8">
        <v>25</v>
      </c>
      <c r="Y2030" s="8" t="s">
        <v>12359</v>
      </c>
      <c r="Z2030" s="8">
        <v>20</v>
      </c>
      <c r="AA2030" s="8">
        <v>0</v>
      </c>
      <c r="AB2030" s="9">
        <v>0</v>
      </c>
    </row>
    <row r="2031" spans="1:28" x14ac:dyDescent="0.2">
      <c r="A2031" s="10">
        <v>236352</v>
      </c>
      <c r="B2031" s="11" t="s">
        <v>13715</v>
      </c>
      <c r="C2031" s="11" t="s">
        <v>13716</v>
      </c>
      <c r="D2031" s="11" t="s">
        <v>138</v>
      </c>
      <c r="E2031" s="11" t="s">
        <v>13717</v>
      </c>
      <c r="F2031" s="11" t="s">
        <v>13718</v>
      </c>
      <c r="G2031" s="11" t="s">
        <v>224</v>
      </c>
      <c r="H2031" s="11" t="s">
        <v>225</v>
      </c>
      <c r="I2031" s="11" t="s">
        <v>4240</v>
      </c>
      <c r="J2031" s="11" t="s">
        <v>13719</v>
      </c>
      <c r="K2031" s="11" t="s">
        <v>228</v>
      </c>
      <c r="L2031" s="11" t="s">
        <v>229</v>
      </c>
      <c r="M2031" s="11" t="s">
        <v>13720</v>
      </c>
      <c r="N2031" s="11" t="s">
        <v>128</v>
      </c>
      <c r="O2031" s="11" t="s">
        <v>13721</v>
      </c>
      <c r="P2031" s="11"/>
      <c r="Q2031" s="11" t="s">
        <v>131</v>
      </c>
      <c r="R2031" s="11"/>
      <c r="S2031" s="11" t="s">
        <v>4244</v>
      </c>
      <c r="T2031" s="11" t="s">
        <v>983</v>
      </c>
      <c r="U2031" s="11" t="s">
        <v>134</v>
      </c>
      <c r="V2031" s="11" t="s">
        <v>131</v>
      </c>
      <c r="W2031" s="11" t="s">
        <v>983</v>
      </c>
      <c r="X2031" s="11">
        <v>25</v>
      </c>
      <c r="Y2031" s="11" t="s">
        <v>12359</v>
      </c>
      <c r="Z2031" s="11">
        <v>20</v>
      </c>
      <c r="AA2031" s="11">
        <v>0</v>
      </c>
      <c r="AB2031" s="12">
        <v>0</v>
      </c>
    </row>
    <row r="2032" spans="1:28" x14ac:dyDescent="0.2">
      <c r="A2032" s="7">
        <v>111769</v>
      </c>
      <c r="B2032" s="8" t="s">
        <v>13722</v>
      </c>
      <c r="C2032" s="8" t="s">
        <v>11270</v>
      </c>
      <c r="D2032" s="8" t="s">
        <v>10649</v>
      </c>
      <c r="E2032" s="8"/>
      <c r="F2032" s="8" t="s">
        <v>11272</v>
      </c>
      <c r="G2032" s="8" t="s">
        <v>141</v>
      </c>
      <c r="H2032" s="8" t="s">
        <v>142</v>
      </c>
      <c r="I2032" s="8" t="s">
        <v>13723</v>
      </c>
      <c r="J2032" s="8" t="s">
        <v>11274</v>
      </c>
      <c r="K2032" s="8" t="s">
        <v>991</v>
      </c>
      <c r="L2032" s="8" t="s">
        <v>146</v>
      </c>
      <c r="M2032" s="8" t="s">
        <v>13724</v>
      </c>
      <c r="N2032" s="8" t="s">
        <v>128</v>
      </c>
      <c r="O2032" s="8" t="s">
        <v>13725</v>
      </c>
      <c r="P2032" s="8"/>
      <c r="Q2032" s="8" t="s">
        <v>131</v>
      </c>
      <c r="R2032" s="8"/>
      <c r="S2032" s="8" t="s">
        <v>11278</v>
      </c>
      <c r="T2032" s="8" t="s">
        <v>983</v>
      </c>
      <c r="U2032" s="8" t="s">
        <v>134</v>
      </c>
      <c r="V2032" s="8" t="s">
        <v>131</v>
      </c>
      <c r="W2032" s="8" t="s">
        <v>983</v>
      </c>
      <c r="X2032" s="8">
        <v>25</v>
      </c>
      <c r="Y2032" s="8" t="s">
        <v>12359</v>
      </c>
      <c r="Z2032" s="8">
        <v>20</v>
      </c>
      <c r="AA2032" s="8">
        <v>0</v>
      </c>
      <c r="AB2032" s="9">
        <v>0</v>
      </c>
    </row>
    <row r="2033" spans="1:28" x14ac:dyDescent="0.2">
      <c r="A2033" s="10">
        <v>125683</v>
      </c>
      <c r="B2033" s="11" t="s">
        <v>13726</v>
      </c>
      <c r="C2033" s="11" t="s">
        <v>1993</v>
      </c>
      <c r="D2033" s="11" t="s">
        <v>6374</v>
      </c>
      <c r="E2033" s="11"/>
      <c r="F2033" s="11" t="s">
        <v>1994</v>
      </c>
      <c r="G2033" s="11" t="s">
        <v>328</v>
      </c>
      <c r="H2033" s="11" t="s">
        <v>329</v>
      </c>
      <c r="I2033" s="11" t="s">
        <v>1995</v>
      </c>
      <c r="J2033" s="11" t="s">
        <v>13727</v>
      </c>
      <c r="K2033" s="11" t="s">
        <v>332</v>
      </c>
      <c r="L2033" s="11" t="s">
        <v>333</v>
      </c>
      <c r="M2033" s="11" t="s">
        <v>13728</v>
      </c>
      <c r="N2033" s="11" t="s">
        <v>128</v>
      </c>
      <c r="O2033" s="11" t="s">
        <v>13729</v>
      </c>
      <c r="P2033" s="11"/>
      <c r="Q2033" s="11" t="s">
        <v>131</v>
      </c>
      <c r="R2033" s="11"/>
      <c r="S2033" s="11" t="s">
        <v>13730</v>
      </c>
      <c r="T2033" s="11" t="s">
        <v>983</v>
      </c>
      <c r="U2033" s="11" t="s">
        <v>134</v>
      </c>
      <c r="V2033" s="11" t="s">
        <v>131</v>
      </c>
      <c r="W2033" s="11" t="s">
        <v>983</v>
      </c>
      <c r="X2033" s="11">
        <v>25</v>
      </c>
      <c r="Y2033" s="11" t="s">
        <v>12359</v>
      </c>
      <c r="Z2033" s="11">
        <v>20</v>
      </c>
      <c r="AA2033" s="11">
        <v>0</v>
      </c>
      <c r="AB2033" s="12">
        <v>0</v>
      </c>
    </row>
    <row r="2034" spans="1:28" x14ac:dyDescent="0.2">
      <c r="A2034" s="7">
        <v>21757</v>
      </c>
      <c r="B2034" s="8" t="s">
        <v>13731</v>
      </c>
      <c r="C2034" s="8" t="s">
        <v>2042</v>
      </c>
      <c r="D2034" s="8" t="s">
        <v>13732</v>
      </c>
      <c r="E2034" s="8"/>
      <c r="F2034" s="8" t="s">
        <v>353</v>
      </c>
      <c r="G2034" s="8" t="s">
        <v>1026</v>
      </c>
      <c r="H2034" s="8" t="s">
        <v>142</v>
      </c>
      <c r="I2034" s="8" t="s">
        <v>2045</v>
      </c>
      <c r="J2034" s="8" t="s">
        <v>13733</v>
      </c>
      <c r="K2034" s="8" t="s">
        <v>1029</v>
      </c>
      <c r="L2034" s="8" t="s">
        <v>464</v>
      </c>
      <c r="M2034" s="8" t="s">
        <v>13734</v>
      </c>
      <c r="N2034" s="8" t="s">
        <v>128</v>
      </c>
      <c r="O2034" s="8" t="s">
        <v>13735</v>
      </c>
      <c r="P2034" s="8"/>
      <c r="Q2034" s="8" t="s">
        <v>131</v>
      </c>
      <c r="R2034" s="8"/>
      <c r="S2034" s="8" t="s">
        <v>71</v>
      </c>
      <c r="T2034" s="8" t="s">
        <v>983</v>
      </c>
      <c r="U2034" s="8" t="s">
        <v>134</v>
      </c>
      <c r="V2034" s="8" t="s">
        <v>131</v>
      </c>
      <c r="W2034" s="8" t="s">
        <v>983</v>
      </c>
      <c r="X2034" s="8">
        <v>25</v>
      </c>
      <c r="Y2034" s="8" t="s">
        <v>12359</v>
      </c>
      <c r="Z2034" s="8">
        <v>20</v>
      </c>
      <c r="AA2034" s="8">
        <v>0</v>
      </c>
      <c r="AB2034" s="9">
        <v>0</v>
      </c>
    </row>
    <row r="2035" spans="1:28" x14ac:dyDescent="0.2">
      <c r="A2035" s="10">
        <v>140465</v>
      </c>
      <c r="B2035" s="11" t="s">
        <v>13736</v>
      </c>
      <c r="C2035" s="11" t="s">
        <v>13737</v>
      </c>
      <c r="D2035" s="11" t="s">
        <v>13738</v>
      </c>
      <c r="E2035" s="11"/>
      <c r="F2035" s="11" t="s">
        <v>2788</v>
      </c>
      <c r="G2035" s="11" t="s">
        <v>1286</v>
      </c>
      <c r="H2035" s="11" t="s">
        <v>142</v>
      </c>
      <c r="I2035" s="11" t="s">
        <v>4384</v>
      </c>
      <c r="J2035" s="11" t="s">
        <v>13739</v>
      </c>
      <c r="K2035" s="11" t="s">
        <v>717</v>
      </c>
      <c r="L2035" s="11" t="s">
        <v>464</v>
      </c>
      <c r="M2035" s="11" t="s">
        <v>13740</v>
      </c>
      <c r="N2035" s="11" t="s">
        <v>128</v>
      </c>
      <c r="O2035" s="11" t="s">
        <v>13741</v>
      </c>
      <c r="P2035" s="11"/>
      <c r="Q2035" s="11" t="s">
        <v>131</v>
      </c>
      <c r="R2035" s="11"/>
      <c r="S2035" s="11" t="s">
        <v>71</v>
      </c>
      <c r="T2035" s="11" t="s">
        <v>983</v>
      </c>
      <c r="U2035" s="11" t="s">
        <v>134</v>
      </c>
      <c r="V2035" s="11" t="s">
        <v>131</v>
      </c>
      <c r="W2035" s="11" t="s">
        <v>983</v>
      </c>
      <c r="X2035" s="11">
        <v>25</v>
      </c>
      <c r="Y2035" s="11" t="s">
        <v>12359</v>
      </c>
      <c r="Z2035" s="11">
        <v>20</v>
      </c>
      <c r="AA2035" s="11">
        <v>0</v>
      </c>
      <c r="AB2035" s="12">
        <v>0</v>
      </c>
    </row>
    <row r="2036" spans="1:28" x14ac:dyDescent="0.2">
      <c r="A2036" s="7">
        <v>235350</v>
      </c>
      <c r="B2036" s="8" t="s">
        <v>13742</v>
      </c>
      <c r="C2036" s="8" t="s">
        <v>13743</v>
      </c>
      <c r="D2036" s="8" t="s">
        <v>9675</v>
      </c>
      <c r="E2036" s="8"/>
      <c r="F2036" s="8" t="s">
        <v>353</v>
      </c>
      <c r="G2036" s="8" t="s">
        <v>2652</v>
      </c>
      <c r="H2036" s="8" t="s">
        <v>1843</v>
      </c>
      <c r="I2036" s="8" t="s">
        <v>7995</v>
      </c>
      <c r="J2036" s="8" t="s">
        <v>13744</v>
      </c>
      <c r="K2036" s="8" t="s">
        <v>1562</v>
      </c>
      <c r="L2036" s="8" t="s">
        <v>229</v>
      </c>
      <c r="M2036" s="8" t="s">
        <v>13745</v>
      </c>
      <c r="N2036" s="8" t="s">
        <v>128</v>
      </c>
      <c r="O2036" s="8" t="s">
        <v>13746</v>
      </c>
      <c r="P2036" s="8"/>
      <c r="Q2036" s="8" t="s">
        <v>150</v>
      </c>
      <c r="R2036" s="8"/>
      <c r="S2036" s="8" t="s">
        <v>71</v>
      </c>
      <c r="T2036" s="8" t="s">
        <v>7898</v>
      </c>
      <c r="U2036" s="8" t="s">
        <v>150</v>
      </c>
      <c r="V2036" s="8" t="s">
        <v>7898</v>
      </c>
      <c r="W2036" s="8" t="s">
        <v>7898</v>
      </c>
      <c r="X2036" s="8">
        <v>25</v>
      </c>
      <c r="Y2036" s="8" t="s">
        <v>12359</v>
      </c>
      <c r="Z2036" s="8">
        <v>20</v>
      </c>
      <c r="AA2036" s="8">
        <v>0</v>
      </c>
      <c r="AB2036" s="9">
        <v>0</v>
      </c>
    </row>
    <row r="2037" spans="1:28" x14ac:dyDescent="0.2">
      <c r="A2037" s="10">
        <v>112867</v>
      </c>
      <c r="B2037" s="11" t="s">
        <v>13747</v>
      </c>
      <c r="C2037" s="11" t="s">
        <v>6061</v>
      </c>
      <c r="D2037" s="11" t="s">
        <v>6062</v>
      </c>
      <c r="E2037" s="11" t="s">
        <v>13748</v>
      </c>
      <c r="F2037" s="11" t="s">
        <v>6064</v>
      </c>
      <c r="G2037" s="11" t="s">
        <v>1937</v>
      </c>
      <c r="H2037" s="11" t="s">
        <v>142</v>
      </c>
      <c r="I2037" s="11" t="s">
        <v>6065</v>
      </c>
      <c r="J2037" s="11" t="s">
        <v>6066</v>
      </c>
      <c r="K2037" s="11" t="s">
        <v>1673</v>
      </c>
      <c r="L2037" s="11" t="s">
        <v>464</v>
      </c>
      <c r="M2037" s="11" t="s">
        <v>13749</v>
      </c>
      <c r="N2037" s="11" t="s">
        <v>128</v>
      </c>
      <c r="O2037" s="11" t="s">
        <v>13750</v>
      </c>
      <c r="P2037" s="11" t="s">
        <v>3992</v>
      </c>
      <c r="Q2037" s="11" t="s">
        <v>150</v>
      </c>
      <c r="R2037" s="11"/>
      <c r="S2037" s="11" t="s">
        <v>6069</v>
      </c>
      <c r="T2037" s="11" t="s">
        <v>70</v>
      </c>
      <c r="U2037" s="11" t="s">
        <v>150</v>
      </c>
      <c r="V2037" s="11" t="s">
        <v>70</v>
      </c>
      <c r="W2037" s="11" t="s">
        <v>70</v>
      </c>
      <c r="X2037" s="11">
        <v>25</v>
      </c>
      <c r="Y2037" s="11" t="s">
        <v>12359</v>
      </c>
      <c r="Z2037" s="11">
        <v>20</v>
      </c>
      <c r="AA2037" s="11">
        <v>0</v>
      </c>
      <c r="AB2037" s="12">
        <v>0</v>
      </c>
    </row>
    <row r="2038" spans="1:28" x14ac:dyDescent="0.2">
      <c r="A2038" s="7">
        <v>22942</v>
      </c>
      <c r="B2038" s="8" t="s">
        <v>13751</v>
      </c>
      <c r="C2038" s="8" t="s">
        <v>7307</v>
      </c>
      <c r="D2038" s="8" t="s">
        <v>3539</v>
      </c>
      <c r="E2038" s="8" t="s">
        <v>13752</v>
      </c>
      <c r="F2038" s="8" t="s">
        <v>11898</v>
      </c>
      <c r="G2038" s="8" t="s">
        <v>6409</v>
      </c>
      <c r="H2038" s="8" t="s">
        <v>6410</v>
      </c>
      <c r="I2038" s="8" t="s">
        <v>7309</v>
      </c>
      <c r="J2038" s="8" t="s">
        <v>11899</v>
      </c>
      <c r="K2038" s="8" t="s">
        <v>1956</v>
      </c>
      <c r="L2038" s="8" t="s">
        <v>526</v>
      </c>
      <c r="M2038" s="8" t="s">
        <v>13753</v>
      </c>
      <c r="N2038" s="8" t="s">
        <v>128</v>
      </c>
      <c r="O2038" s="8" t="s">
        <v>13754</v>
      </c>
      <c r="P2038" s="8" t="s">
        <v>13755</v>
      </c>
      <c r="Q2038" s="8" t="s">
        <v>150</v>
      </c>
      <c r="R2038" s="8"/>
      <c r="S2038" s="8" t="s">
        <v>7314</v>
      </c>
      <c r="T2038" s="8" t="s">
        <v>70</v>
      </c>
      <c r="U2038" s="8" t="s">
        <v>150</v>
      </c>
      <c r="V2038" s="8" t="s">
        <v>70</v>
      </c>
      <c r="W2038" s="8" t="s">
        <v>70</v>
      </c>
      <c r="X2038" s="8">
        <v>25</v>
      </c>
      <c r="Y2038" s="8" t="s">
        <v>12359</v>
      </c>
      <c r="Z2038" s="8">
        <v>20</v>
      </c>
      <c r="AA2038" s="8">
        <v>0</v>
      </c>
      <c r="AB2038" s="9">
        <v>0</v>
      </c>
    </row>
    <row r="2039" spans="1:28" x14ac:dyDescent="0.2">
      <c r="A2039" s="10">
        <v>23134</v>
      </c>
      <c r="B2039" s="11" t="s">
        <v>13756</v>
      </c>
      <c r="C2039" s="11" t="s">
        <v>13757</v>
      </c>
      <c r="D2039" s="11" t="s">
        <v>2690</v>
      </c>
      <c r="E2039" s="11" t="s">
        <v>13758</v>
      </c>
      <c r="F2039" s="11" t="s">
        <v>13239</v>
      </c>
      <c r="G2039" s="11" t="s">
        <v>6604</v>
      </c>
      <c r="H2039" s="11" t="s">
        <v>329</v>
      </c>
      <c r="I2039" s="11" t="s">
        <v>13759</v>
      </c>
      <c r="J2039" s="11" t="s">
        <v>13760</v>
      </c>
      <c r="K2039" s="11" t="s">
        <v>332</v>
      </c>
      <c r="L2039" s="11" t="s">
        <v>333</v>
      </c>
      <c r="M2039" s="11" t="s">
        <v>13761</v>
      </c>
      <c r="N2039" s="11" t="s">
        <v>128</v>
      </c>
      <c r="O2039" s="11" t="s">
        <v>13762</v>
      </c>
      <c r="P2039" s="11" t="s">
        <v>13763</v>
      </c>
      <c r="Q2039" s="11" t="s">
        <v>150</v>
      </c>
      <c r="R2039" s="11"/>
      <c r="S2039" s="11" t="s">
        <v>13243</v>
      </c>
      <c r="T2039" s="11" t="s">
        <v>70</v>
      </c>
      <c r="U2039" s="11" t="s">
        <v>150</v>
      </c>
      <c r="V2039" s="11" t="s">
        <v>70</v>
      </c>
      <c r="W2039" s="11" t="s">
        <v>70</v>
      </c>
      <c r="X2039" s="11">
        <v>25</v>
      </c>
      <c r="Y2039" s="11" t="s">
        <v>12359</v>
      </c>
      <c r="Z2039" s="11">
        <v>20</v>
      </c>
      <c r="AA2039" s="11">
        <v>0</v>
      </c>
      <c r="AB2039" s="12">
        <v>0</v>
      </c>
    </row>
    <row r="2040" spans="1:28" x14ac:dyDescent="0.2">
      <c r="A2040" s="7">
        <v>28512</v>
      </c>
      <c r="B2040" s="8" t="s">
        <v>13764</v>
      </c>
      <c r="C2040" s="8" t="s">
        <v>8345</v>
      </c>
      <c r="D2040" s="8" t="s">
        <v>1323</v>
      </c>
      <c r="E2040" s="8"/>
      <c r="F2040" s="8" t="s">
        <v>353</v>
      </c>
      <c r="G2040" s="8" t="s">
        <v>8346</v>
      </c>
      <c r="H2040" s="8" t="s">
        <v>142</v>
      </c>
      <c r="I2040" s="8" t="s">
        <v>8347</v>
      </c>
      <c r="J2040" s="8" t="s">
        <v>13765</v>
      </c>
      <c r="K2040" s="8" t="s">
        <v>717</v>
      </c>
      <c r="L2040" s="8" t="s">
        <v>464</v>
      </c>
      <c r="M2040" s="8" t="s">
        <v>13766</v>
      </c>
      <c r="N2040" s="8" t="s">
        <v>128</v>
      </c>
      <c r="O2040" s="8" t="s">
        <v>13767</v>
      </c>
      <c r="P2040" s="8" t="s">
        <v>13768</v>
      </c>
      <c r="Q2040" s="8" t="s">
        <v>150</v>
      </c>
      <c r="R2040" s="8"/>
      <c r="S2040" s="8" t="s">
        <v>71</v>
      </c>
      <c r="T2040" s="8" t="s">
        <v>70</v>
      </c>
      <c r="U2040" s="8" t="s">
        <v>150</v>
      </c>
      <c r="V2040" s="8" t="s">
        <v>70</v>
      </c>
      <c r="W2040" s="8" t="s">
        <v>70</v>
      </c>
      <c r="X2040" s="8">
        <v>25</v>
      </c>
      <c r="Y2040" s="8" t="s">
        <v>12359</v>
      </c>
      <c r="Z2040" s="8">
        <v>20</v>
      </c>
      <c r="AA2040" s="8">
        <v>0</v>
      </c>
      <c r="AB2040" s="9">
        <v>0</v>
      </c>
    </row>
    <row r="2041" spans="1:28" x14ac:dyDescent="0.2">
      <c r="A2041" s="10">
        <v>28498</v>
      </c>
      <c r="B2041" s="11" t="s">
        <v>13769</v>
      </c>
      <c r="C2041" s="11" t="s">
        <v>13770</v>
      </c>
      <c r="D2041" s="11" t="s">
        <v>1850</v>
      </c>
      <c r="E2041" s="11"/>
      <c r="F2041" s="11" t="s">
        <v>353</v>
      </c>
      <c r="G2041" s="11" t="s">
        <v>1852</v>
      </c>
      <c r="H2041" s="11" t="s">
        <v>671</v>
      </c>
      <c r="I2041" s="11" t="s">
        <v>13771</v>
      </c>
      <c r="J2041" s="11" t="s">
        <v>1854</v>
      </c>
      <c r="K2041" s="11" t="s">
        <v>572</v>
      </c>
      <c r="L2041" s="11" t="s">
        <v>333</v>
      </c>
      <c r="M2041" s="11" t="s">
        <v>13772</v>
      </c>
      <c r="N2041" s="11" t="s">
        <v>128</v>
      </c>
      <c r="O2041" s="11" t="s">
        <v>13773</v>
      </c>
      <c r="P2041" s="11" t="s">
        <v>212</v>
      </c>
      <c r="Q2041" s="11" t="s">
        <v>150</v>
      </c>
      <c r="R2041" s="11"/>
      <c r="S2041" s="11" t="s">
        <v>1858</v>
      </c>
      <c r="T2041" s="11" t="s">
        <v>70</v>
      </c>
      <c r="U2041" s="11" t="s">
        <v>150</v>
      </c>
      <c r="V2041" s="11" t="s">
        <v>70</v>
      </c>
      <c r="W2041" s="11" t="s">
        <v>70</v>
      </c>
      <c r="X2041" s="11">
        <v>25</v>
      </c>
      <c r="Y2041" s="11" t="s">
        <v>12359</v>
      </c>
      <c r="Z2041" s="11">
        <v>20</v>
      </c>
      <c r="AA2041" s="11">
        <v>0</v>
      </c>
      <c r="AB2041" s="12">
        <v>0</v>
      </c>
    </row>
    <row r="2042" spans="1:28" x14ac:dyDescent="0.2">
      <c r="A2042" s="7">
        <v>28893</v>
      </c>
      <c r="B2042" s="8" t="s">
        <v>13774</v>
      </c>
      <c r="C2042" s="8" t="s">
        <v>13775</v>
      </c>
      <c r="D2042" s="8" t="s">
        <v>7907</v>
      </c>
      <c r="E2042" s="8"/>
      <c r="F2042" s="8" t="s">
        <v>353</v>
      </c>
      <c r="G2042" s="8" t="s">
        <v>2332</v>
      </c>
      <c r="H2042" s="8" t="s">
        <v>142</v>
      </c>
      <c r="I2042" s="8" t="s">
        <v>13776</v>
      </c>
      <c r="J2042" s="8" t="s">
        <v>13777</v>
      </c>
      <c r="K2042" s="8" t="s">
        <v>779</v>
      </c>
      <c r="L2042" s="8" t="s">
        <v>464</v>
      </c>
      <c r="M2042" s="8" t="s">
        <v>13778</v>
      </c>
      <c r="N2042" s="8" t="s">
        <v>128</v>
      </c>
      <c r="O2042" s="8" t="s">
        <v>13779</v>
      </c>
      <c r="P2042" s="8" t="s">
        <v>10154</v>
      </c>
      <c r="Q2042" s="8" t="s">
        <v>150</v>
      </c>
      <c r="R2042" s="8"/>
      <c r="S2042" s="8" t="s">
        <v>71</v>
      </c>
      <c r="T2042" s="8" t="s">
        <v>168</v>
      </c>
      <c r="U2042" s="8" t="s">
        <v>150</v>
      </c>
      <c r="V2042" s="8" t="s">
        <v>168</v>
      </c>
      <c r="W2042" s="8" t="s">
        <v>168</v>
      </c>
      <c r="X2042" s="8">
        <v>25</v>
      </c>
      <c r="Y2042" s="8" t="s">
        <v>12359</v>
      </c>
      <c r="Z2042" s="8">
        <v>20</v>
      </c>
      <c r="AA2042" s="8">
        <v>0</v>
      </c>
      <c r="AB2042" s="9">
        <v>0</v>
      </c>
    </row>
    <row r="2043" spans="1:28" x14ac:dyDescent="0.2">
      <c r="A2043" s="10">
        <v>25178</v>
      </c>
      <c r="B2043" s="11" t="s">
        <v>13780</v>
      </c>
      <c r="C2043" s="11" t="s">
        <v>13781</v>
      </c>
      <c r="D2043" s="11" t="s">
        <v>13782</v>
      </c>
      <c r="E2043" s="11" t="s">
        <v>13783</v>
      </c>
      <c r="F2043" s="11" t="s">
        <v>9152</v>
      </c>
      <c r="G2043" s="11" t="s">
        <v>121</v>
      </c>
      <c r="H2043" s="11" t="s">
        <v>122</v>
      </c>
      <c r="I2043" s="11" t="s">
        <v>13784</v>
      </c>
      <c r="J2043" s="11" t="s">
        <v>13785</v>
      </c>
      <c r="K2043" s="11" t="s">
        <v>1051</v>
      </c>
      <c r="L2043" s="11" t="s">
        <v>126</v>
      </c>
      <c r="M2043" s="11" t="s">
        <v>13786</v>
      </c>
      <c r="N2043" s="11" t="s">
        <v>128</v>
      </c>
      <c r="O2043" s="11" t="s">
        <v>13787</v>
      </c>
      <c r="P2043" s="11" t="s">
        <v>13788</v>
      </c>
      <c r="Q2043" s="11" t="s">
        <v>740</v>
      </c>
      <c r="R2043" s="11"/>
      <c r="S2043" s="11" t="s">
        <v>13789</v>
      </c>
      <c r="T2043" s="11" t="s">
        <v>741</v>
      </c>
      <c r="U2043" s="11" t="s">
        <v>134</v>
      </c>
      <c r="V2043" s="11" t="s">
        <v>740</v>
      </c>
      <c r="W2043" s="11" t="s">
        <v>741</v>
      </c>
      <c r="X2043" s="11">
        <v>25</v>
      </c>
      <c r="Y2043" s="11" t="s">
        <v>12359</v>
      </c>
      <c r="Z2043" s="11">
        <v>20</v>
      </c>
      <c r="AA2043" s="11">
        <v>0</v>
      </c>
      <c r="AB2043" s="12">
        <v>0</v>
      </c>
    </row>
    <row r="2044" spans="1:28" x14ac:dyDescent="0.2">
      <c r="A2044" s="7">
        <v>26921</v>
      </c>
      <c r="B2044" s="8" t="s">
        <v>13790</v>
      </c>
      <c r="C2044" s="8" t="s">
        <v>200</v>
      </c>
      <c r="D2044" s="8" t="s">
        <v>201</v>
      </c>
      <c r="E2044" s="8"/>
      <c r="F2044" s="8" t="s">
        <v>13791</v>
      </c>
      <c r="G2044" s="8" t="s">
        <v>141</v>
      </c>
      <c r="H2044" s="8" t="s">
        <v>142</v>
      </c>
      <c r="I2044" s="8" t="s">
        <v>204</v>
      </c>
      <c r="J2044" s="8" t="s">
        <v>13108</v>
      </c>
      <c r="K2044" s="8" t="s">
        <v>145</v>
      </c>
      <c r="L2044" s="8" t="s">
        <v>146</v>
      </c>
      <c r="M2044" s="8" t="s">
        <v>13792</v>
      </c>
      <c r="N2044" s="8" t="s">
        <v>128</v>
      </c>
      <c r="O2044" s="8"/>
      <c r="P2044" s="8"/>
      <c r="Q2044" s="8" t="s">
        <v>249</v>
      </c>
      <c r="R2044" s="8"/>
      <c r="S2044" s="8" t="s">
        <v>209</v>
      </c>
      <c r="T2044" s="8" t="s">
        <v>1523</v>
      </c>
      <c r="U2044" s="8" t="s">
        <v>134</v>
      </c>
      <c r="V2044" s="8" t="s">
        <v>249</v>
      </c>
      <c r="W2044" s="8" t="s">
        <v>1523</v>
      </c>
      <c r="X2044" s="8">
        <v>25</v>
      </c>
      <c r="Y2044" s="8" t="s">
        <v>12359</v>
      </c>
      <c r="Z2044" s="8">
        <v>20</v>
      </c>
      <c r="AA2044" s="8">
        <v>0</v>
      </c>
      <c r="AB2044" s="9">
        <v>0</v>
      </c>
    </row>
    <row r="2045" spans="1:28" x14ac:dyDescent="0.2">
      <c r="A2045" s="10">
        <v>31549</v>
      </c>
      <c r="B2045" s="11" t="s">
        <v>13793</v>
      </c>
      <c r="C2045" s="11" t="s">
        <v>13794</v>
      </c>
      <c r="D2045" s="11" t="s">
        <v>13620</v>
      </c>
      <c r="E2045" s="11"/>
      <c r="F2045" s="11" t="s">
        <v>13795</v>
      </c>
      <c r="G2045" s="11" t="s">
        <v>450</v>
      </c>
      <c r="H2045" s="11" t="s">
        <v>301</v>
      </c>
      <c r="I2045" s="11" t="s">
        <v>13621</v>
      </c>
      <c r="J2045" s="11" t="s">
        <v>13796</v>
      </c>
      <c r="K2045" s="11" t="s">
        <v>304</v>
      </c>
      <c r="L2045" s="11" t="s">
        <v>229</v>
      </c>
      <c r="M2045" s="11" t="s">
        <v>13797</v>
      </c>
      <c r="N2045" s="11" t="s">
        <v>128</v>
      </c>
      <c r="O2045" s="11"/>
      <c r="P2045" s="11"/>
      <c r="Q2045" s="11" t="s">
        <v>249</v>
      </c>
      <c r="R2045" s="11"/>
      <c r="S2045" s="11" t="s">
        <v>13626</v>
      </c>
      <c r="T2045" s="11" t="s">
        <v>1523</v>
      </c>
      <c r="U2045" s="11" t="s">
        <v>134</v>
      </c>
      <c r="V2045" s="11" t="s">
        <v>249</v>
      </c>
      <c r="W2045" s="11" t="s">
        <v>1523</v>
      </c>
      <c r="X2045" s="11">
        <v>25</v>
      </c>
      <c r="Y2045" s="11" t="s">
        <v>12359</v>
      </c>
      <c r="Z2045" s="11">
        <v>20</v>
      </c>
      <c r="AA2045" s="11">
        <v>0</v>
      </c>
      <c r="AB2045" s="12">
        <v>0</v>
      </c>
    </row>
    <row r="2046" spans="1:28" x14ac:dyDescent="0.2">
      <c r="A2046" s="7">
        <v>25539</v>
      </c>
      <c r="B2046" s="8" t="s">
        <v>13798</v>
      </c>
      <c r="C2046" s="8" t="s">
        <v>8515</v>
      </c>
      <c r="D2046" s="8"/>
      <c r="E2046" s="8"/>
      <c r="F2046" s="8" t="s">
        <v>1658</v>
      </c>
      <c r="G2046" s="8" t="s">
        <v>141</v>
      </c>
      <c r="H2046" s="8" t="s">
        <v>142</v>
      </c>
      <c r="I2046" s="8" t="s">
        <v>1659</v>
      </c>
      <c r="J2046" s="8" t="s">
        <v>8517</v>
      </c>
      <c r="K2046" s="8" t="s">
        <v>145</v>
      </c>
      <c r="L2046" s="8" t="s">
        <v>146</v>
      </c>
      <c r="M2046" s="8" t="s">
        <v>13799</v>
      </c>
      <c r="N2046" s="8" t="s">
        <v>128</v>
      </c>
      <c r="O2046" s="8" t="s">
        <v>13800</v>
      </c>
      <c r="P2046" s="8" t="s">
        <v>13801</v>
      </c>
      <c r="Q2046" s="8" t="s">
        <v>249</v>
      </c>
      <c r="R2046" s="8"/>
      <c r="S2046" s="8" t="s">
        <v>1664</v>
      </c>
      <c r="T2046" s="8" t="s">
        <v>250</v>
      </c>
      <c r="U2046" s="8" t="s">
        <v>134</v>
      </c>
      <c r="V2046" s="8" t="s">
        <v>249</v>
      </c>
      <c r="W2046" s="8" t="s">
        <v>250</v>
      </c>
      <c r="X2046" s="8">
        <v>25</v>
      </c>
      <c r="Y2046" s="8" t="s">
        <v>12359</v>
      </c>
      <c r="Z2046" s="8">
        <v>20</v>
      </c>
      <c r="AA2046" s="8">
        <v>0</v>
      </c>
      <c r="AB2046" s="9">
        <v>0</v>
      </c>
    </row>
    <row r="2047" spans="1:28" x14ac:dyDescent="0.2">
      <c r="A2047" s="10">
        <v>21934</v>
      </c>
      <c r="B2047" s="11" t="s">
        <v>13802</v>
      </c>
      <c r="C2047" s="11" t="s">
        <v>6993</v>
      </c>
      <c r="D2047" s="11" t="s">
        <v>6994</v>
      </c>
      <c r="E2047" s="11" t="s">
        <v>13803</v>
      </c>
      <c r="F2047" s="11" t="s">
        <v>353</v>
      </c>
      <c r="G2047" s="11" t="s">
        <v>2618</v>
      </c>
      <c r="H2047" s="11" t="s">
        <v>142</v>
      </c>
      <c r="I2047" s="11" t="s">
        <v>6996</v>
      </c>
      <c r="J2047" s="11" t="s">
        <v>6997</v>
      </c>
      <c r="K2047" s="11" t="s">
        <v>651</v>
      </c>
      <c r="L2047" s="11" t="s">
        <v>146</v>
      </c>
      <c r="M2047" s="11" t="s">
        <v>13804</v>
      </c>
      <c r="N2047" s="11" t="s">
        <v>128</v>
      </c>
      <c r="O2047" s="11" t="s">
        <v>13805</v>
      </c>
      <c r="P2047" s="11"/>
      <c r="Q2047" s="11" t="s">
        <v>131</v>
      </c>
      <c r="R2047" s="11"/>
      <c r="S2047" s="11" t="s">
        <v>7001</v>
      </c>
      <c r="T2047" s="11" t="s">
        <v>983</v>
      </c>
      <c r="U2047" s="11" t="s">
        <v>134</v>
      </c>
      <c r="V2047" s="11" t="s">
        <v>131</v>
      </c>
      <c r="W2047" s="11" t="s">
        <v>983</v>
      </c>
      <c r="X2047" s="11">
        <v>24</v>
      </c>
      <c r="Y2047" s="11" t="s">
        <v>12359</v>
      </c>
      <c r="Z2047" s="11">
        <v>20</v>
      </c>
      <c r="AA2047" s="11">
        <v>0</v>
      </c>
      <c r="AB2047" s="12">
        <v>0</v>
      </c>
    </row>
    <row r="2048" spans="1:28" x14ac:dyDescent="0.2">
      <c r="A2048" s="7">
        <v>23506</v>
      </c>
      <c r="B2048" s="8" t="s">
        <v>13806</v>
      </c>
      <c r="C2048" s="8" t="s">
        <v>6052</v>
      </c>
      <c r="D2048" s="8" t="s">
        <v>2411</v>
      </c>
      <c r="E2048" s="8"/>
      <c r="F2048" s="8" t="s">
        <v>353</v>
      </c>
      <c r="G2048" s="8" t="s">
        <v>2691</v>
      </c>
      <c r="H2048" s="8" t="s">
        <v>704</v>
      </c>
      <c r="I2048" s="8" t="s">
        <v>6055</v>
      </c>
      <c r="J2048" s="8" t="s">
        <v>13807</v>
      </c>
      <c r="K2048" s="8" t="s">
        <v>707</v>
      </c>
      <c r="L2048" s="8" t="s">
        <v>126</v>
      </c>
      <c r="M2048" s="8" t="s">
        <v>13808</v>
      </c>
      <c r="N2048" s="8" t="s">
        <v>128</v>
      </c>
      <c r="O2048" s="8" t="s">
        <v>13809</v>
      </c>
      <c r="P2048" s="8" t="s">
        <v>7188</v>
      </c>
      <c r="Q2048" s="8" t="s">
        <v>150</v>
      </c>
      <c r="R2048" s="8"/>
      <c r="S2048" s="8" t="s">
        <v>71</v>
      </c>
      <c r="T2048" s="8" t="s">
        <v>6736</v>
      </c>
      <c r="U2048" s="8" t="s">
        <v>150</v>
      </c>
      <c r="V2048" s="8" t="s">
        <v>6736</v>
      </c>
      <c r="W2048" s="8" t="s">
        <v>6736</v>
      </c>
      <c r="X2048" s="8">
        <v>24</v>
      </c>
      <c r="Y2048" s="8" t="s">
        <v>12359</v>
      </c>
      <c r="Z2048" s="8">
        <v>20</v>
      </c>
      <c r="AA2048" s="8">
        <v>0</v>
      </c>
      <c r="AB2048" s="9">
        <v>0</v>
      </c>
    </row>
    <row r="2049" spans="1:28" x14ac:dyDescent="0.2">
      <c r="A2049" s="10">
        <v>119102</v>
      </c>
      <c r="B2049" s="11" t="s">
        <v>13810</v>
      </c>
      <c r="C2049" s="11" t="s">
        <v>1072</v>
      </c>
      <c r="D2049" s="11" t="s">
        <v>10935</v>
      </c>
      <c r="E2049" s="11"/>
      <c r="F2049" s="11" t="s">
        <v>353</v>
      </c>
      <c r="G2049" s="11" t="s">
        <v>703</v>
      </c>
      <c r="H2049" s="11" t="s">
        <v>704</v>
      </c>
      <c r="I2049" s="11" t="s">
        <v>1074</v>
      </c>
      <c r="J2049" s="11" t="s">
        <v>13811</v>
      </c>
      <c r="K2049" s="11" t="s">
        <v>707</v>
      </c>
      <c r="L2049" s="11" t="s">
        <v>126</v>
      </c>
      <c r="M2049" s="11" t="s">
        <v>13812</v>
      </c>
      <c r="N2049" s="11" t="s">
        <v>128</v>
      </c>
      <c r="O2049" s="11" t="s">
        <v>13813</v>
      </c>
      <c r="P2049" s="11" t="s">
        <v>13814</v>
      </c>
      <c r="Q2049" s="11" t="s">
        <v>150</v>
      </c>
      <c r="R2049" s="11"/>
      <c r="S2049" s="11" t="s">
        <v>71</v>
      </c>
      <c r="T2049" s="11" t="s">
        <v>6736</v>
      </c>
      <c r="U2049" s="11" t="s">
        <v>150</v>
      </c>
      <c r="V2049" s="11" t="s">
        <v>6736</v>
      </c>
      <c r="W2049" s="11" t="s">
        <v>6736</v>
      </c>
      <c r="X2049" s="11">
        <v>24</v>
      </c>
      <c r="Y2049" s="11" t="s">
        <v>12359</v>
      </c>
      <c r="Z2049" s="11">
        <v>20</v>
      </c>
      <c r="AA2049" s="11">
        <v>0</v>
      </c>
      <c r="AB2049" s="12">
        <v>0</v>
      </c>
    </row>
    <row r="2050" spans="1:28" x14ac:dyDescent="0.2">
      <c r="A2050" s="7">
        <v>22725</v>
      </c>
      <c r="B2050" s="8" t="s">
        <v>13815</v>
      </c>
      <c r="C2050" s="8" t="s">
        <v>13816</v>
      </c>
      <c r="D2050" s="8" t="s">
        <v>13817</v>
      </c>
      <c r="E2050" s="8"/>
      <c r="F2050" s="8" t="s">
        <v>353</v>
      </c>
      <c r="G2050" s="8" t="s">
        <v>3454</v>
      </c>
      <c r="H2050" s="8" t="s">
        <v>142</v>
      </c>
      <c r="I2050" s="8" t="s">
        <v>6275</v>
      </c>
      <c r="J2050" s="8" t="s">
        <v>13818</v>
      </c>
      <c r="K2050" s="8" t="s">
        <v>1673</v>
      </c>
      <c r="L2050" s="8" t="s">
        <v>464</v>
      </c>
      <c r="M2050" s="8" t="s">
        <v>13819</v>
      </c>
      <c r="N2050" s="8" t="s">
        <v>128</v>
      </c>
      <c r="O2050" s="8" t="s">
        <v>13820</v>
      </c>
      <c r="P2050" s="8" t="s">
        <v>13821</v>
      </c>
      <c r="Q2050" s="8" t="s">
        <v>150</v>
      </c>
      <c r="R2050" s="8"/>
      <c r="S2050" s="8" t="s">
        <v>71</v>
      </c>
      <c r="T2050" s="8" t="s">
        <v>13822</v>
      </c>
      <c r="U2050" s="8" t="s">
        <v>150</v>
      </c>
      <c r="V2050" s="8" t="s">
        <v>13822</v>
      </c>
      <c r="W2050" s="8" t="s">
        <v>13822</v>
      </c>
      <c r="X2050" s="8">
        <v>24</v>
      </c>
      <c r="Y2050" s="8" t="s">
        <v>12359</v>
      </c>
      <c r="Z2050" s="8">
        <v>20</v>
      </c>
      <c r="AA2050" s="8">
        <v>0</v>
      </c>
      <c r="AB2050" s="9">
        <v>0</v>
      </c>
    </row>
    <row r="2051" spans="1:28" x14ac:dyDescent="0.2">
      <c r="A2051" s="10">
        <v>22782</v>
      </c>
      <c r="B2051" s="11" t="s">
        <v>13823</v>
      </c>
      <c r="C2051" s="11" t="s">
        <v>13824</v>
      </c>
      <c r="D2051" s="11" t="s">
        <v>544</v>
      </c>
      <c r="E2051" s="11"/>
      <c r="F2051" s="11" t="s">
        <v>353</v>
      </c>
      <c r="G2051" s="11" t="s">
        <v>703</v>
      </c>
      <c r="H2051" s="11" t="s">
        <v>704</v>
      </c>
      <c r="I2051" s="11" t="s">
        <v>13825</v>
      </c>
      <c r="J2051" s="11" t="s">
        <v>13826</v>
      </c>
      <c r="K2051" s="11" t="s">
        <v>707</v>
      </c>
      <c r="L2051" s="11" t="s">
        <v>126</v>
      </c>
      <c r="M2051" s="11" t="s">
        <v>13827</v>
      </c>
      <c r="N2051" s="11" t="s">
        <v>128</v>
      </c>
      <c r="O2051" s="11" t="s">
        <v>13828</v>
      </c>
      <c r="P2051" s="11"/>
      <c r="Q2051" s="11" t="s">
        <v>150</v>
      </c>
      <c r="R2051" s="11"/>
      <c r="S2051" s="11" t="s">
        <v>71</v>
      </c>
      <c r="T2051" s="11" t="s">
        <v>2817</v>
      </c>
      <c r="U2051" s="11" t="s">
        <v>150</v>
      </c>
      <c r="V2051" s="11" t="s">
        <v>2817</v>
      </c>
      <c r="W2051" s="11" t="s">
        <v>2817</v>
      </c>
      <c r="X2051" s="11">
        <v>24</v>
      </c>
      <c r="Y2051" s="11" t="s">
        <v>12359</v>
      </c>
      <c r="Z2051" s="11">
        <v>20</v>
      </c>
      <c r="AA2051" s="11">
        <v>0</v>
      </c>
      <c r="AB2051" s="12">
        <v>0</v>
      </c>
    </row>
    <row r="2052" spans="1:28" x14ac:dyDescent="0.2">
      <c r="A2052" s="7">
        <v>23099</v>
      </c>
      <c r="B2052" s="8" t="s">
        <v>13829</v>
      </c>
      <c r="C2052" s="8" t="s">
        <v>6781</v>
      </c>
      <c r="D2052" s="8" t="s">
        <v>6782</v>
      </c>
      <c r="E2052" s="8" t="s">
        <v>13830</v>
      </c>
      <c r="F2052" s="8" t="s">
        <v>353</v>
      </c>
      <c r="G2052" s="8" t="s">
        <v>6398</v>
      </c>
      <c r="H2052" s="8" t="s">
        <v>329</v>
      </c>
      <c r="I2052" s="8" t="s">
        <v>6784</v>
      </c>
      <c r="J2052" s="8" t="s">
        <v>6785</v>
      </c>
      <c r="K2052" s="8" t="s">
        <v>572</v>
      </c>
      <c r="L2052" s="8" t="s">
        <v>333</v>
      </c>
      <c r="M2052" s="8" t="s">
        <v>13831</v>
      </c>
      <c r="N2052" s="8" t="s">
        <v>128</v>
      </c>
      <c r="O2052" s="8" t="s">
        <v>13832</v>
      </c>
      <c r="P2052" s="8" t="s">
        <v>13833</v>
      </c>
      <c r="Q2052" s="8" t="s">
        <v>150</v>
      </c>
      <c r="R2052" s="8"/>
      <c r="S2052" s="8" t="s">
        <v>6789</v>
      </c>
      <c r="T2052" s="8" t="s">
        <v>70</v>
      </c>
      <c r="U2052" s="8" t="s">
        <v>150</v>
      </c>
      <c r="V2052" s="8" t="s">
        <v>70</v>
      </c>
      <c r="W2052" s="8" t="s">
        <v>70</v>
      </c>
      <c r="X2052" s="8">
        <v>24</v>
      </c>
      <c r="Y2052" s="8" t="s">
        <v>12359</v>
      </c>
      <c r="Z2052" s="8">
        <v>20</v>
      </c>
      <c r="AA2052" s="8">
        <v>0</v>
      </c>
      <c r="AB2052" s="9">
        <v>0</v>
      </c>
    </row>
    <row r="2053" spans="1:28" x14ac:dyDescent="0.2">
      <c r="A2053" s="10">
        <v>22916</v>
      </c>
      <c r="B2053" s="11" t="s">
        <v>13834</v>
      </c>
      <c r="C2053" s="11" t="s">
        <v>4777</v>
      </c>
      <c r="D2053" s="11" t="s">
        <v>11956</v>
      </c>
      <c r="E2053" s="11" t="s">
        <v>13835</v>
      </c>
      <c r="F2053" s="11" t="s">
        <v>11958</v>
      </c>
      <c r="G2053" s="11" t="s">
        <v>328</v>
      </c>
      <c r="H2053" s="11" t="s">
        <v>329</v>
      </c>
      <c r="I2053" s="11" t="s">
        <v>11959</v>
      </c>
      <c r="J2053" s="11" t="s">
        <v>11960</v>
      </c>
      <c r="K2053" s="11" t="s">
        <v>572</v>
      </c>
      <c r="L2053" s="11" t="s">
        <v>333</v>
      </c>
      <c r="M2053" s="11" t="s">
        <v>13836</v>
      </c>
      <c r="N2053" s="11" t="s">
        <v>128</v>
      </c>
      <c r="O2053" s="11" t="s">
        <v>13837</v>
      </c>
      <c r="P2053" s="11" t="s">
        <v>13838</v>
      </c>
      <c r="Q2053" s="11" t="s">
        <v>150</v>
      </c>
      <c r="R2053" s="11"/>
      <c r="S2053" s="11" t="s">
        <v>11964</v>
      </c>
      <c r="T2053" s="11" t="s">
        <v>70</v>
      </c>
      <c r="U2053" s="11" t="s">
        <v>150</v>
      </c>
      <c r="V2053" s="11" t="s">
        <v>70</v>
      </c>
      <c r="W2053" s="11" t="s">
        <v>70</v>
      </c>
      <c r="X2053" s="11">
        <v>24</v>
      </c>
      <c r="Y2053" s="11" t="s">
        <v>12359</v>
      </c>
      <c r="Z2053" s="11">
        <v>20</v>
      </c>
      <c r="AA2053" s="11">
        <v>0</v>
      </c>
      <c r="AB2053" s="12">
        <v>0</v>
      </c>
    </row>
    <row r="2054" spans="1:28" x14ac:dyDescent="0.2">
      <c r="A2054" s="7">
        <v>23853</v>
      </c>
      <c r="B2054" s="8" t="s">
        <v>13839</v>
      </c>
      <c r="C2054" s="8" t="s">
        <v>13840</v>
      </c>
      <c r="D2054" s="8" t="s">
        <v>4188</v>
      </c>
      <c r="E2054" s="8"/>
      <c r="F2054" s="8" t="s">
        <v>353</v>
      </c>
      <c r="G2054" s="8" t="s">
        <v>3758</v>
      </c>
      <c r="H2054" s="8" t="s">
        <v>847</v>
      </c>
      <c r="I2054" s="8" t="s">
        <v>13841</v>
      </c>
      <c r="J2054" s="8" t="s">
        <v>13842</v>
      </c>
      <c r="K2054" s="8" t="s">
        <v>1091</v>
      </c>
      <c r="L2054" s="8" t="s">
        <v>126</v>
      </c>
      <c r="M2054" s="8" t="s">
        <v>13843</v>
      </c>
      <c r="N2054" s="8" t="s">
        <v>128</v>
      </c>
      <c r="O2054" s="8" t="s">
        <v>13844</v>
      </c>
      <c r="P2054" s="8" t="s">
        <v>13845</v>
      </c>
      <c r="Q2054" s="8" t="s">
        <v>150</v>
      </c>
      <c r="R2054" s="8"/>
      <c r="S2054" s="8" t="s">
        <v>71</v>
      </c>
      <c r="T2054" s="8" t="s">
        <v>168</v>
      </c>
      <c r="U2054" s="8" t="s">
        <v>150</v>
      </c>
      <c r="V2054" s="8" t="s">
        <v>168</v>
      </c>
      <c r="W2054" s="8" t="s">
        <v>168</v>
      </c>
      <c r="X2054" s="8">
        <v>24</v>
      </c>
      <c r="Y2054" s="8" t="s">
        <v>12359</v>
      </c>
      <c r="Z2054" s="8">
        <v>20</v>
      </c>
      <c r="AA2054" s="8">
        <v>0</v>
      </c>
      <c r="AB2054" s="9">
        <v>0</v>
      </c>
    </row>
    <row r="2055" spans="1:28" x14ac:dyDescent="0.2">
      <c r="A2055" s="10">
        <v>28868</v>
      </c>
      <c r="B2055" s="11" t="s">
        <v>13846</v>
      </c>
      <c r="C2055" s="11" t="s">
        <v>4099</v>
      </c>
      <c r="D2055" s="11" t="s">
        <v>13847</v>
      </c>
      <c r="E2055" s="11"/>
      <c r="F2055" s="11"/>
      <c r="G2055" s="11" t="s">
        <v>2035</v>
      </c>
      <c r="H2055" s="11" t="s">
        <v>142</v>
      </c>
      <c r="I2055" s="11"/>
      <c r="J2055" s="11" t="s">
        <v>13848</v>
      </c>
      <c r="K2055" s="11" t="s">
        <v>779</v>
      </c>
      <c r="L2055" s="11" t="s">
        <v>464</v>
      </c>
      <c r="M2055" s="11" t="s">
        <v>13849</v>
      </c>
      <c r="N2055" s="11" t="s">
        <v>128</v>
      </c>
      <c r="O2055" s="11"/>
      <c r="P2055" s="11" t="s">
        <v>943</v>
      </c>
      <c r="Q2055" s="11" t="s">
        <v>150</v>
      </c>
      <c r="R2055" s="11"/>
      <c r="S2055" s="11" t="s">
        <v>71</v>
      </c>
      <c r="T2055" s="11" t="s">
        <v>168</v>
      </c>
      <c r="U2055" s="11" t="s">
        <v>150</v>
      </c>
      <c r="V2055" s="11" t="s">
        <v>168</v>
      </c>
      <c r="W2055" s="11" t="s">
        <v>168</v>
      </c>
      <c r="X2055" s="11">
        <v>24</v>
      </c>
      <c r="Y2055" s="11" t="s">
        <v>12359</v>
      </c>
      <c r="Z2055" s="11">
        <v>20</v>
      </c>
      <c r="AA2055" s="11">
        <v>0</v>
      </c>
      <c r="AB2055" s="12">
        <v>0</v>
      </c>
    </row>
    <row r="2056" spans="1:28" x14ac:dyDescent="0.2">
      <c r="A2056" s="7">
        <v>24318</v>
      </c>
      <c r="B2056" s="8" t="s">
        <v>13850</v>
      </c>
      <c r="C2056" s="8" t="s">
        <v>2664</v>
      </c>
      <c r="D2056" s="8" t="s">
        <v>2665</v>
      </c>
      <c r="E2056" s="8"/>
      <c r="F2056" s="8" t="s">
        <v>2667</v>
      </c>
      <c r="G2056" s="8" t="s">
        <v>190</v>
      </c>
      <c r="H2056" s="8" t="s">
        <v>191</v>
      </c>
      <c r="I2056" s="8" t="s">
        <v>2668</v>
      </c>
      <c r="J2056" s="8" t="s">
        <v>2669</v>
      </c>
      <c r="K2056" s="8" t="s">
        <v>194</v>
      </c>
      <c r="L2056" s="8" t="s">
        <v>163</v>
      </c>
      <c r="M2056" s="8" t="s">
        <v>13851</v>
      </c>
      <c r="N2056" s="8" t="s">
        <v>128</v>
      </c>
      <c r="O2056" s="8" t="s">
        <v>13852</v>
      </c>
      <c r="P2056" s="8"/>
      <c r="Q2056" s="8" t="s">
        <v>150</v>
      </c>
      <c r="R2056" s="8"/>
      <c r="S2056" s="8" t="s">
        <v>2672</v>
      </c>
      <c r="T2056" s="8" t="s">
        <v>5783</v>
      </c>
      <c r="U2056" s="8" t="s">
        <v>150</v>
      </c>
      <c r="V2056" s="8" t="s">
        <v>5783</v>
      </c>
      <c r="W2056" s="8" t="s">
        <v>5783</v>
      </c>
      <c r="X2056" s="8">
        <v>24</v>
      </c>
      <c r="Y2056" s="8" t="s">
        <v>12359</v>
      </c>
      <c r="Z2056" s="8">
        <v>20</v>
      </c>
      <c r="AA2056" s="8">
        <v>0</v>
      </c>
      <c r="AB2056" s="9">
        <v>0</v>
      </c>
    </row>
    <row r="2057" spans="1:28" x14ac:dyDescent="0.2">
      <c r="A2057" s="10">
        <v>25129</v>
      </c>
      <c r="B2057" s="11" t="s">
        <v>13853</v>
      </c>
      <c r="C2057" s="11" t="s">
        <v>2257</v>
      </c>
      <c r="D2057" s="11" t="s">
        <v>13854</v>
      </c>
      <c r="E2057" s="11" t="s">
        <v>281</v>
      </c>
      <c r="F2057" s="11" t="s">
        <v>13855</v>
      </c>
      <c r="G2057" s="11" t="s">
        <v>521</v>
      </c>
      <c r="H2057" s="11" t="s">
        <v>522</v>
      </c>
      <c r="I2057" s="11" t="s">
        <v>13856</v>
      </c>
      <c r="J2057" s="11" t="s">
        <v>13857</v>
      </c>
      <c r="K2057" s="11" t="s">
        <v>525</v>
      </c>
      <c r="L2057" s="11" t="s">
        <v>526</v>
      </c>
      <c r="M2057" s="11" t="s">
        <v>13858</v>
      </c>
      <c r="N2057" s="11" t="s">
        <v>128</v>
      </c>
      <c r="O2057" s="11" t="s">
        <v>13859</v>
      </c>
      <c r="P2057" s="11"/>
      <c r="Q2057" s="11" t="s">
        <v>740</v>
      </c>
      <c r="R2057" s="11"/>
      <c r="S2057" s="11" t="s">
        <v>71</v>
      </c>
      <c r="T2057" s="11" t="s">
        <v>1745</v>
      </c>
      <c r="U2057" s="11" t="s">
        <v>134</v>
      </c>
      <c r="V2057" s="11" t="s">
        <v>740</v>
      </c>
      <c r="W2057" s="11" t="s">
        <v>1745</v>
      </c>
      <c r="X2057" s="11">
        <v>24</v>
      </c>
      <c r="Y2057" s="11" t="s">
        <v>12359</v>
      </c>
      <c r="Z2057" s="11">
        <v>20</v>
      </c>
      <c r="AA2057" s="11">
        <v>0</v>
      </c>
      <c r="AB2057" s="12">
        <v>0</v>
      </c>
    </row>
    <row r="2058" spans="1:28" x14ac:dyDescent="0.2">
      <c r="A2058" s="7">
        <v>105811</v>
      </c>
      <c r="B2058" s="8" t="s">
        <v>13860</v>
      </c>
      <c r="C2058" s="8" t="s">
        <v>10917</v>
      </c>
      <c r="D2058" s="8" t="s">
        <v>13208</v>
      </c>
      <c r="E2058" s="8" t="s">
        <v>13861</v>
      </c>
      <c r="F2058" s="8" t="s">
        <v>13209</v>
      </c>
      <c r="G2058" s="8" t="s">
        <v>13862</v>
      </c>
      <c r="H2058" s="8" t="s">
        <v>522</v>
      </c>
      <c r="I2058" s="8" t="s">
        <v>13210</v>
      </c>
      <c r="J2058" s="8" t="s">
        <v>13863</v>
      </c>
      <c r="K2058" s="8" t="s">
        <v>525</v>
      </c>
      <c r="L2058" s="8" t="s">
        <v>526</v>
      </c>
      <c r="M2058" s="8" t="s">
        <v>13864</v>
      </c>
      <c r="N2058" s="8" t="s">
        <v>128</v>
      </c>
      <c r="O2058" s="8" t="s">
        <v>13865</v>
      </c>
      <c r="P2058" s="8"/>
      <c r="Q2058" s="8" t="s">
        <v>740</v>
      </c>
      <c r="R2058" s="8"/>
      <c r="S2058" s="8" t="s">
        <v>71</v>
      </c>
      <c r="T2058" s="8" t="s">
        <v>1745</v>
      </c>
      <c r="U2058" s="8" t="s">
        <v>134</v>
      </c>
      <c r="V2058" s="8" t="s">
        <v>740</v>
      </c>
      <c r="W2058" s="8" t="s">
        <v>1745</v>
      </c>
      <c r="X2058" s="8">
        <v>24</v>
      </c>
      <c r="Y2058" s="8" t="s">
        <v>12359</v>
      </c>
      <c r="Z2058" s="8">
        <v>20</v>
      </c>
      <c r="AA2058" s="8">
        <v>0</v>
      </c>
      <c r="AB2058" s="9">
        <v>0</v>
      </c>
    </row>
    <row r="2059" spans="1:28" x14ac:dyDescent="0.2">
      <c r="A2059" s="10">
        <v>240278</v>
      </c>
      <c r="B2059" s="11" t="s">
        <v>13866</v>
      </c>
      <c r="C2059" s="11" t="s">
        <v>1610</v>
      </c>
      <c r="D2059" s="11" t="s">
        <v>1611</v>
      </c>
      <c r="E2059" s="11" t="s">
        <v>13867</v>
      </c>
      <c r="F2059" s="11" t="s">
        <v>1613</v>
      </c>
      <c r="G2059" s="11" t="s">
        <v>1614</v>
      </c>
      <c r="H2059" s="11" t="s">
        <v>142</v>
      </c>
      <c r="I2059" s="11" t="s">
        <v>1615</v>
      </c>
      <c r="J2059" s="11" t="s">
        <v>13423</v>
      </c>
      <c r="K2059" s="11" t="s">
        <v>717</v>
      </c>
      <c r="L2059" s="11" t="s">
        <v>464</v>
      </c>
      <c r="M2059" s="11" t="s">
        <v>13868</v>
      </c>
      <c r="N2059" s="11" t="s">
        <v>128</v>
      </c>
      <c r="O2059" s="11" t="s">
        <v>13869</v>
      </c>
      <c r="P2059" s="11" t="s">
        <v>13870</v>
      </c>
      <c r="Q2059" s="11" t="s">
        <v>740</v>
      </c>
      <c r="R2059" s="11"/>
      <c r="S2059" s="11" t="s">
        <v>1620</v>
      </c>
      <c r="T2059" s="11" t="s">
        <v>1745</v>
      </c>
      <c r="U2059" s="11" t="s">
        <v>134</v>
      </c>
      <c r="V2059" s="11" t="s">
        <v>740</v>
      </c>
      <c r="W2059" s="11" t="s">
        <v>1745</v>
      </c>
      <c r="X2059" s="11">
        <v>24</v>
      </c>
      <c r="Y2059" s="11" t="s">
        <v>12359</v>
      </c>
      <c r="Z2059" s="11">
        <v>20</v>
      </c>
      <c r="AA2059" s="11">
        <v>0</v>
      </c>
      <c r="AB2059" s="12">
        <v>0</v>
      </c>
    </row>
    <row r="2060" spans="1:28" x14ac:dyDescent="0.2">
      <c r="A2060" s="7">
        <v>31316</v>
      </c>
      <c r="B2060" s="8" t="s">
        <v>13871</v>
      </c>
      <c r="C2060" s="8" t="s">
        <v>13872</v>
      </c>
      <c r="D2060" s="8" t="s">
        <v>410</v>
      </c>
      <c r="E2060" s="8"/>
      <c r="F2060" s="8" t="s">
        <v>7666</v>
      </c>
      <c r="G2060" s="8" t="s">
        <v>6409</v>
      </c>
      <c r="H2060" s="8" t="s">
        <v>6410</v>
      </c>
      <c r="I2060" s="8" t="s">
        <v>7667</v>
      </c>
      <c r="J2060" s="8" t="s">
        <v>13873</v>
      </c>
      <c r="K2060" s="8" t="s">
        <v>1956</v>
      </c>
      <c r="L2060" s="8" t="s">
        <v>526</v>
      </c>
      <c r="M2060" s="8" t="s">
        <v>13874</v>
      </c>
      <c r="N2060" s="8" t="s">
        <v>128</v>
      </c>
      <c r="O2060" s="8" t="s">
        <v>13875</v>
      </c>
      <c r="P2060" s="8"/>
      <c r="Q2060" s="8" t="s">
        <v>740</v>
      </c>
      <c r="R2060" s="8"/>
      <c r="S2060" s="8" t="s">
        <v>7138</v>
      </c>
      <c r="T2060" s="8" t="s">
        <v>1745</v>
      </c>
      <c r="U2060" s="8" t="s">
        <v>134</v>
      </c>
      <c r="V2060" s="8" t="s">
        <v>740</v>
      </c>
      <c r="W2060" s="8" t="s">
        <v>1745</v>
      </c>
      <c r="X2060" s="8">
        <v>24</v>
      </c>
      <c r="Y2060" s="8" t="s">
        <v>12359</v>
      </c>
      <c r="Z2060" s="8">
        <v>20</v>
      </c>
      <c r="AA2060" s="8">
        <v>0</v>
      </c>
      <c r="AB2060" s="9">
        <v>0</v>
      </c>
    </row>
    <row r="2061" spans="1:28" x14ac:dyDescent="0.2">
      <c r="A2061" s="10">
        <v>25295</v>
      </c>
      <c r="B2061" s="11" t="s">
        <v>13876</v>
      </c>
      <c r="C2061" s="11" t="s">
        <v>2300</v>
      </c>
      <c r="D2061" s="11" t="s">
        <v>10570</v>
      </c>
      <c r="E2061" s="11" t="s">
        <v>13877</v>
      </c>
      <c r="F2061" s="11" t="s">
        <v>353</v>
      </c>
      <c r="G2061" s="11" t="s">
        <v>3612</v>
      </c>
      <c r="H2061" s="11" t="s">
        <v>704</v>
      </c>
      <c r="I2061" s="11" t="s">
        <v>13878</v>
      </c>
      <c r="J2061" s="11" t="s">
        <v>13879</v>
      </c>
      <c r="K2061" s="11" t="s">
        <v>707</v>
      </c>
      <c r="L2061" s="11" t="s">
        <v>126</v>
      </c>
      <c r="M2061" s="11" t="s">
        <v>13880</v>
      </c>
      <c r="N2061" s="11" t="s">
        <v>128</v>
      </c>
      <c r="O2061" s="11" t="s">
        <v>13881</v>
      </c>
      <c r="P2061" s="11" t="s">
        <v>13882</v>
      </c>
      <c r="Q2061" s="11" t="s">
        <v>740</v>
      </c>
      <c r="R2061" s="11"/>
      <c r="S2061" s="11" t="s">
        <v>13883</v>
      </c>
      <c r="T2061" s="11" t="s">
        <v>741</v>
      </c>
      <c r="U2061" s="11" t="s">
        <v>134</v>
      </c>
      <c r="V2061" s="11" t="s">
        <v>740</v>
      </c>
      <c r="W2061" s="11" t="s">
        <v>741</v>
      </c>
      <c r="X2061" s="11">
        <v>24</v>
      </c>
      <c r="Y2061" s="11" t="s">
        <v>12359</v>
      </c>
      <c r="Z2061" s="11">
        <v>20</v>
      </c>
      <c r="AA2061" s="11">
        <v>0</v>
      </c>
      <c r="AB2061" s="12">
        <v>0</v>
      </c>
    </row>
    <row r="2062" spans="1:28" x14ac:dyDescent="0.2">
      <c r="A2062" s="7">
        <v>22141</v>
      </c>
      <c r="B2062" s="8" t="s">
        <v>13884</v>
      </c>
      <c r="C2062" s="8" t="s">
        <v>457</v>
      </c>
      <c r="D2062" s="8" t="s">
        <v>477</v>
      </c>
      <c r="E2062" s="8" t="s">
        <v>281</v>
      </c>
      <c r="F2062" s="8" t="s">
        <v>13885</v>
      </c>
      <c r="G2062" s="8" t="s">
        <v>141</v>
      </c>
      <c r="H2062" s="8" t="s">
        <v>142</v>
      </c>
      <c r="I2062" s="8" t="s">
        <v>460</v>
      </c>
      <c r="J2062" s="8" t="s">
        <v>13886</v>
      </c>
      <c r="K2062" s="8" t="s">
        <v>403</v>
      </c>
      <c r="L2062" s="8" t="s">
        <v>146</v>
      </c>
      <c r="M2062" s="8" t="s">
        <v>13887</v>
      </c>
      <c r="N2062" s="8" t="s">
        <v>128</v>
      </c>
      <c r="O2062" s="8" t="s">
        <v>13888</v>
      </c>
      <c r="P2062" s="8"/>
      <c r="Q2062" s="8" t="s">
        <v>249</v>
      </c>
      <c r="R2062" s="8"/>
      <c r="S2062" s="8" t="s">
        <v>68</v>
      </c>
      <c r="T2062" s="8" t="s">
        <v>1523</v>
      </c>
      <c r="U2062" s="8" t="s">
        <v>134</v>
      </c>
      <c r="V2062" s="8" t="s">
        <v>249</v>
      </c>
      <c r="W2062" s="8" t="s">
        <v>1523</v>
      </c>
      <c r="X2062" s="8">
        <v>24</v>
      </c>
      <c r="Y2062" s="8" t="s">
        <v>12359</v>
      </c>
      <c r="Z2062" s="8">
        <v>20</v>
      </c>
      <c r="AA2062" s="8">
        <v>0</v>
      </c>
      <c r="AB2062" s="9">
        <v>0</v>
      </c>
    </row>
    <row r="2063" spans="1:28" x14ac:dyDescent="0.2">
      <c r="A2063" s="10">
        <v>22154</v>
      </c>
      <c r="B2063" s="11" t="s">
        <v>13889</v>
      </c>
      <c r="C2063" s="11" t="s">
        <v>1809</v>
      </c>
      <c r="D2063" s="11" t="s">
        <v>1810</v>
      </c>
      <c r="E2063" s="11" t="s">
        <v>13890</v>
      </c>
      <c r="F2063" s="11" t="s">
        <v>1812</v>
      </c>
      <c r="G2063" s="11" t="s">
        <v>1813</v>
      </c>
      <c r="H2063" s="11" t="s">
        <v>142</v>
      </c>
      <c r="I2063" s="11" t="s">
        <v>1814</v>
      </c>
      <c r="J2063" s="11" t="s">
        <v>1815</v>
      </c>
      <c r="K2063" s="11" t="s">
        <v>974</v>
      </c>
      <c r="L2063" s="11" t="s">
        <v>146</v>
      </c>
      <c r="M2063" s="11" t="s">
        <v>13891</v>
      </c>
      <c r="N2063" s="11" t="s">
        <v>128</v>
      </c>
      <c r="O2063" s="11" t="s">
        <v>13892</v>
      </c>
      <c r="P2063" s="11"/>
      <c r="Q2063" s="11" t="s">
        <v>249</v>
      </c>
      <c r="R2063" s="11"/>
      <c r="S2063" s="11" t="s">
        <v>1819</v>
      </c>
      <c r="T2063" s="11" t="s">
        <v>1523</v>
      </c>
      <c r="U2063" s="11" t="s">
        <v>134</v>
      </c>
      <c r="V2063" s="11" t="s">
        <v>249</v>
      </c>
      <c r="W2063" s="11" t="s">
        <v>1523</v>
      </c>
      <c r="X2063" s="11">
        <v>24</v>
      </c>
      <c r="Y2063" s="11" t="s">
        <v>12359</v>
      </c>
      <c r="Z2063" s="11">
        <v>20</v>
      </c>
      <c r="AA2063" s="11">
        <v>0</v>
      </c>
      <c r="AB2063" s="12">
        <v>0</v>
      </c>
    </row>
    <row r="2064" spans="1:28" x14ac:dyDescent="0.2">
      <c r="A2064" s="7">
        <v>116198</v>
      </c>
      <c r="B2064" s="8" t="s">
        <v>13893</v>
      </c>
      <c r="C2064" s="8" t="s">
        <v>7531</v>
      </c>
      <c r="D2064" s="8" t="s">
        <v>7532</v>
      </c>
      <c r="E2064" s="8" t="s">
        <v>6268</v>
      </c>
      <c r="F2064" s="8" t="s">
        <v>13894</v>
      </c>
      <c r="G2064" s="8" t="s">
        <v>1670</v>
      </c>
      <c r="H2064" s="8" t="s">
        <v>142</v>
      </c>
      <c r="I2064" s="8" t="s">
        <v>11378</v>
      </c>
      <c r="J2064" s="8" t="s">
        <v>7535</v>
      </c>
      <c r="K2064" s="8" t="s">
        <v>1673</v>
      </c>
      <c r="L2064" s="8" t="s">
        <v>464</v>
      </c>
      <c r="M2064" s="8" t="s">
        <v>13895</v>
      </c>
      <c r="N2064" s="8" t="s">
        <v>128</v>
      </c>
      <c r="O2064" s="8" t="s">
        <v>13896</v>
      </c>
      <c r="P2064" s="8"/>
      <c r="Q2064" s="8" t="s">
        <v>249</v>
      </c>
      <c r="R2064" s="8"/>
      <c r="S2064" s="8" t="s">
        <v>7539</v>
      </c>
      <c r="T2064" s="8" t="s">
        <v>1523</v>
      </c>
      <c r="U2064" s="8" t="s">
        <v>134</v>
      </c>
      <c r="V2064" s="8" t="s">
        <v>249</v>
      </c>
      <c r="W2064" s="8" t="s">
        <v>1523</v>
      </c>
      <c r="X2064" s="8">
        <v>24</v>
      </c>
      <c r="Y2064" s="8" t="s">
        <v>12359</v>
      </c>
      <c r="Z2064" s="8">
        <v>20</v>
      </c>
      <c r="AA2064" s="8">
        <v>0</v>
      </c>
      <c r="AB2064" s="9">
        <v>0</v>
      </c>
    </row>
    <row r="2065" spans="1:28" x14ac:dyDescent="0.2">
      <c r="A2065" s="10">
        <v>25439</v>
      </c>
      <c r="B2065" s="11" t="s">
        <v>13897</v>
      </c>
      <c r="C2065" s="11" t="s">
        <v>8058</v>
      </c>
      <c r="D2065" s="11" t="s">
        <v>448</v>
      </c>
      <c r="E2065" s="11"/>
      <c r="F2065" s="11" t="s">
        <v>13401</v>
      </c>
      <c r="G2065" s="11" t="s">
        <v>1196</v>
      </c>
      <c r="H2065" s="11" t="s">
        <v>142</v>
      </c>
      <c r="I2065" s="11" t="s">
        <v>8061</v>
      </c>
      <c r="J2065" s="11" t="s">
        <v>13402</v>
      </c>
      <c r="K2065" s="11" t="s">
        <v>1199</v>
      </c>
      <c r="L2065" s="11" t="s">
        <v>464</v>
      </c>
      <c r="M2065" s="11" t="s">
        <v>13898</v>
      </c>
      <c r="N2065" s="11" t="s">
        <v>128</v>
      </c>
      <c r="O2065" s="11"/>
      <c r="P2065" s="11"/>
      <c r="Q2065" s="11" t="s">
        <v>249</v>
      </c>
      <c r="R2065" s="11"/>
      <c r="S2065" s="11" t="s">
        <v>8066</v>
      </c>
      <c r="T2065" s="11" t="s">
        <v>1523</v>
      </c>
      <c r="U2065" s="11" t="s">
        <v>134</v>
      </c>
      <c r="V2065" s="11" t="s">
        <v>249</v>
      </c>
      <c r="W2065" s="11" t="s">
        <v>1523</v>
      </c>
      <c r="X2065" s="11">
        <v>24</v>
      </c>
      <c r="Y2065" s="11" t="s">
        <v>12359</v>
      </c>
      <c r="Z2065" s="11">
        <v>20</v>
      </c>
      <c r="AA2065" s="11">
        <v>0</v>
      </c>
      <c r="AB2065" s="12">
        <v>0</v>
      </c>
    </row>
    <row r="2066" spans="1:28" x14ac:dyDescent="0.2">
      <c r="A2066" s="7">
        <v>26924</v>
      </c>
      <c r="B2066" s="8" t="s">
        <v>13899</v>
      </c>
      <c r="C2066" s="8" t="s">
        <v>9898</v>
      </c>
      <c r="D2066" s="8" t="s">
        <v>6286</v>
      </c>
      <c r="E2066" s="8"/>
      <c r="F2066" s="8" t="s">
        <v>13900</v>
      </c>
      <c r="G2066" s="8" t="s">
        <v>2035</v>
      </c>
      <c r="H2066" s="8" t="s">
        <v>142</v>
      </c>
      <c r="I2066" s="8" t="s">
        <v>6289</v>
      </c>
      <c r="J2066" s="8" t="s">
        <v>13901</v>
      </c>
      <c r="K2066" s="8" t="s">
        <v>779</v>
      </c>
      <c r="L2066" s="8" t="s">
        <v>464</v>
      </c>
      <c r="M2066" s="8" t="s">
        <v>13902</v>
      </c>
      <c r="N2066" s="8" t="s">
        <v>128</v>
      </c>
      <c r="O2066" s="8"/>
      <c r="P2066" s="8"/>
      <c r="Q2066" s="8" t="s">
        <v>249</v>
      </c>
      <c r="R2066" s="8"/>
      <c r="S2066" s="8" t="s">
        <v>6294</v>
      </c>
      <c r="T2066" s="8" t="s">
        <v>1523</v>
      </c>
      <c r="U2066" s="8" t="s">
        <v>134</v>
      </c>
      <c r="V2066" s="8" t="s">
        <v>249</v>
      </c>
      <c r="W2066" s="8" t="s">
        <v>1523</v>
      </c>
      <c r="X2066" s="8">
        <v>24</v>
      </c>
      <c r="Y2066" s="8" t="s">
        <v>12359</v>
      </c>
      <c r="Z2066" s="8">
        <v>20</v>
      </c>
      <c r="AA2066" s="8">
        <v>0</v>
      </c>
      <c r="AB2066" s="9">
        <v>0</v>
      </c>
    </row>
    <row r="2067" spans="1:28" x14ac:dyDescent="0.2">
      <c r="A2067" s="10">
        <v>25434</v>
      </c>
      <c r="B2067" s="11" t="s">
        <v>13903</v>
      </c>
      <c r="C2067" s="11" t="s">
        <v>13781</v>
      </c>
      <c r="D2067" s="11" t="s">
        <v>13782</v>
      </c>
      <c r="E2067" s="11" t="s">
        <v>13493</v>
      </c>
      <c r="F2067" s="11" t="s">
        <v>9152</v>
      </c>
      <c r="G2067" s="11" t="s">
        <v>121</v>
      </c>
      <c r="H2067" s="11" t="s">
        <v>122</v>
      </c>
      <c r="I2067" s="11" t="s">
        <v>13784</v>
      </c>
      <c r="J2067" s="11" t="s">
        <v>13785</v>
      </c>
      <c r="K2067" s="11" t="s">
        <v>1051</v>
      </c>
      <c r="L2067" s="11" t="s">
        <v>126</v>
      </c>
      <c r="M2067" s="11" t="s">
        <v>13904</v>
      </c>
      <c r="N2067" s="11" t="s">
        <v>128</v>
      </c>
      <c r="O2067" s="11" t="s">
        <v>13905</v>
      </c>
      <c r="P2067" s="11" t="s">
        <v>13906</v>
      </c>
      <c r="Q2067" s="11" t="s">
        <v>249</v>
      </c>
      <c r="R2067" s="11"/>
      <c r="S2067" s="11" t="s">
        <v>13789</v>
      </c>
      <c r="T2067" s="11" t="s">
        <v>250</v>
      </c>
      <c r="U2067" s="11" t="s">
        <v>134</v>
      </c>
      <c r="V2067" s="11" t="s">
        <v>249</v>
      </c>
      <c r="W2067" s="11" t="s">
        <v>250</v>
      </c>
      <c r="X2067" s="11">
        <v>24</v>
      </c>
      <c r="Y2067" s="11" t="s">
        <v>12359</v>
      </c>
      <c r="Z2067" s="11">
        <v>20</v>
      </c>
      <c r="AA2067" s="11">
        <v>0</v>
      </c>
      <c r="AB2067" s="12">
        <v>0</v>
      </c>
    </row>
    <row r="2068" spans="1:28" x14ac:dyDescent="0.2">
      <c r="A2068" s="7">
        <v>25542</v>
      </c>
      <c r="B2068" s="8" t="s">
        <v>13907</v>
      </c>
      <c r="C2068" s="8" t="s">
        <v>1072</v>
      </c>
      <c r="D2068" s="8" t="s">
        <v>10475</v>
      </c>
      <c r="E2068" s="8" t="s">
        <v>135</v>
      </c>
      <c r="F2068" s="8" t="s">
        <v>353</v>
      </c>
      <c r="G2068" s="8" t="s">
        <v>703</v>
      </c>
      <c r="H2068" s="8" t="s">
        <v>704</v>
      </c>
      <c r="I2068" s="8" t="s">
        <v>1074</v>
      </c>
      <c r="J2068" s="8" t="s">
        <v>13908</v>
      </c>
      <c r="K2068" s="8" t="s">
        <v>707</v>
      </c>
      <c r="L2068" s="8" t="s">
        <v>126</v>
      </c>
      <c r="M2068" s="8" t="s">
        <v>13909</v>
      </c>
      <c r="N2068" s="8" t="s">
        <v>128</v>
      </c>
      <c r="O2068" s="8" t="s">
        <v>13910</v>
      </c>
      <c r="P2068" s="8" t="s">
        <v>13911</v>
      </c>
      <c r="Q2068" s="8" t="s">
        <v>249</v>
      </c>
      <c r="R2068" s="8"/>
      <c r="S2068" s="8" t="s">
        <v>71</v>
      </c>
      <c r="T2068" s="8" t="s">
        <v>250</v>
      </c>
      <c r="U2068" s="8" t="s">
        <v>134</v>
      </c>
      <c r="V2068" s="8" t="s">
        <v>249</v>
      </c>
      <c r="W2068" s="8" t="s">
        <v>250</v>
      </c>
      <c r="X2068" s="8">
        <v>24</v>
      </c>
      <c r="Y2068" s="8" t="s">
        <v>12359</v>
      </c>
      <c r="Z2068" s="8">
        <v>20</v>
      </c>
      <c r="AA2068" s="8">
        <v>0</v>
      </c>
      <c r="AB2068" s="9">
        <v>0</v>
      </c>
    </row>
    <row r="2069" spans="1:28" x14ac:dyDescent="0.2">
      <c r="A2069" s="10">
        <v>92845</v>
      </c>
      <c r="B2069" s="11" t="s">
        <v>13912</v>
      </c>
      <c r="C2069" s="11" t="s">
        <v>4010</v>
      </c>
      <c r="D2069" s="11" t="s">
        <v>579</v>
      </c>
      <c r="E2069" s="11"/>
      <c r="F2069" s="11" t="s">
        <v>1994</v>
      </c>
      <c r="G2069" s="11" t="s">
        <v>13913</v>
      </c>
      <c r="H2069" s="11" t="s">
        <v>671</v>
      </c>
      <c r="I2069" s="11" t="s">
        <v>4013</v>
      </c>
      <c r="J2069" s="11" t="s">
        <v>13914</v>
      </c>
      <c r="K2069" s="11" t="s">
        <v>572</v>
      </c>
      <c r="L2069" s="11" t="s">
        <v>333</v>
      </c>
      <c r="M2069" s="11" t="s">
        <v>13915</v>
      </c>
      <c r="N2069" s="11" t="s">
        <v>128</v>
      </c>
      <c r="O2069" s="11" t="s">
        <v>13916</v>
      </c>
      <c r="P2069" s="11" t="s">
        <v>13913</v>
      </c>
      <c r="Q2069" s="11" t="s">
        <v>150</v>
      </c>
      <c r="R2069" s="11"/>
      <c r="S2069" s="11" t="s">
        <v>71</v>
      </c>
      <c r="T2069" s="11" t="s">
        <v>642</v>
      </c>
      <c r="U2069" s="11" t="s">
        <v>150</v>
      </c>
      <c r="V2069" s="11" t="s">
        <v>642</v>
      </c>
      <c r="W2069" s="11" t="s">
        <v>642</v>
      </c>
      <c r="X2069" s="11">
        <v>23</v>
      </c>
      <c r="Y2069" s="11" t="s">
        <v>12359</v>
      </c>
      <c r="Z2069" s="11">
        <v>20</v>
      </c>
      <c r="AA2069" s="11">
        <v>0</v>
      </c>
      <c r="AB2069" s="12">
        <v>0</v>
      </c>
    </row>
    <row r="2070" spans="1:28" x14ac:dyDescent="0.2">
      <c r="A2070" s="7">
        <v>21336</v>
      </c>
      <c r="B2070" s="8" t="s">
        <v>13917</v>
      </c>
      <c r="C2070" s="8" t="s">
        <v>13918</v>
      </c>
      <c r="D2070" s="8" t="s">
        <v>534</v>
      </c>
      <c r="E2070" s="8" t="s">
        <v>13919</v>
      </c>
      <c r="F2070" s="8" t="s">
        <v>11730</v>
      </c>
      <c r="G2070" s="8" t="s">
        <v>141</v>
      </c>
      <c r="H2070" s="8" t="s">
        <v>142</v>
      </c>
      <c r="I2070" s="8" t="s">
        <v>11731</v>
      </c>
      <c r="J2070" s="8" t="s">
        <v>13920</v>
      </c>
      <c r="K2070" s="8" t="s">
        <v>584</v>
      </c>
      <c r="L2070" s="8" t="s">
        <v>146</v>
      </c>
      <c r="M2070" s="8" t="s">
        <v>13921</v>
      </c>
      <c r="N2070" s="8" t="s">
        <v>128</v>
      </c>
      <c r="O2070" s="8" t="s">
        <v>13922</v>
      </c>
      <c r="P2070" s="8" t="s">
        <v>13923</v>
      </c>
      <c r="Q2070" s="8" t="s">
        <v>150</v>
      </c>
      <c r="R2070" s="8"/>
      <c r="S2070" s="8" t="s">
        <v>71</v>
      </c>
      <c r="T2070" s="8" t="s">
        <v>67</v>
      </c>
      <c r="U2070" s="8" t="s">
        <v>150</v>
      </c>
      <c r="V2070" s="8" t="s">
        <v>152</v>
      </c>
      <c r="W2070" s="8" t="s">
        <v>67</v>
      </c>
      <c r="X2070" s="8">
        <v>23</v>
      </c>
      <c r="Y2070" s="8" t="s">
        <v>12359</v>
      </c>
      <c r="Z2070" s="8">
        <v>20</v>
      </c>
      <c r="AA2070" s="8">
        <v>0</v>
      </c>
      <c r="AB2070" s="9">
        <v>0</v>
      </c>
    </row>
    <row r="2071" spans="1:28" x14ac:dyDescent="0.2">
      <c r="A2071" s="10">
        <v>22067</v>
      </c>
      <c r="B2071" s="11" t="s">
        <v>13924</v>
      </c>
      <c r="C2071" s="11" t="s">
        <v>1622</v>
      </c>
      <c r="D2071" s="11" t="s">
        <v>1623</v>
      </c>
      <c r="E2071" s="11" t="s">
        <v>7943</v>
      </c>
      <c r="F2071" s="11" t="s">
        <v>1625</v>
      </c>
      <c r="G2071" s="11" t="s">
        <v>1626</v>
      </c>
      <c r="H2071" s="11" t="s">
        <v>142</v>
      </c>
      <c r="I2071" s="11" t="s">
        <v>1627</v>
      </c>
      <c r="J2071" s="11" t="s">
        <v>1628</v>
      </c>
      <c r="K2071" s="11" t="s">
        <v>472</v>
      </c>
      <c r="L2071" s="11" t="s">
        <v>146</v>
      </c>
      <c r="M2071" s="11" t="s">
        <v>13925</v>
      </c>
      <c r="N2071" s="11" t="s">
        <v>128</v>
      </c>
      <c r="O2071" s="11" t="s">
        <v>13926</v>
      </c>
      <c r="P2071" s="11"/>
      <c r="Q2071" s="11" t="s">
        <v>131</v>
      </c>
      <c r="R2071" s="11"/>
      <c r="S2071" s="11" t="s">
        <v>1632</v>
      </c>
      <c r="T2071" s="11" t="s">
        <v>983</v>
      </c>
      <c r="U2071" s="11" t="s">
        <v>134</v>
      </c>
      <c r="V2071" s="11" t="s">
        <v>131</v>
      </c>
      <c r="W2071" s="11" t="s">
        <v>983</v>
      </c>
      <c r="X2071" s="11">
        <v>23</v>
      </c>
      <c r="Y2071" s="11" t="s">
        <v>12359</v>
      </c>
      <c r="Z2071" s="11">
        <v>20</v>
      </c>
      <c r="AA2071" s="11">
        <v>0</v>
      </c>
      <c r="AB2071" s="12">
        <v>0</v>
      </c>
    </row>
    <row r="2072" spans="1:28" x14ac:dyDescent="0.2">
      <c r="A2072" s="7">
        <v>21954</v>
      </c>
      <c r="B2072" s="8" t="s">
        <v>13927</v>
      </c>
      <c r="C2072" s="8" t="s">
        <v>5885</v>
      </c>
      <c r="D2072" s="8" t="s">
        <v>5114</v>
      </c>
      <c r="E2072" s="8" t="s">
        <v>13928</v>
      </c>
      <c r="F2072" s="8" t="s">
        <v>353</v>
      </c>
      <c r="G2072" s="8" t="s">
        <v>328</v>
      </c>
      <c r="H2072" s="8" t="s">
        <v>329</v>
      </c>
      <c r="I2072" s="8" t="s">
        <v>6041</v>
      </c>
      <c r="J2072" s="8" t="s">
        <v>5888</v>
      </c>
      <c r="K2072" s="8" t="s">
        <v>332</v>
      </c>
      <c r="L2072" s="8" t="s">
        <v>333</v>
      </c>
      <c r="M2072" s="8" t="s">
        <v>13929</v>
      </c>
      <c r="N2072" s="8" t="s">
        <v>128</v>
      </c>
      <c r="O2072" s="8" t="s">
        <v>13930</v>
      </c>
      <c r="P2072" s="8" t="s">
        <v>13931</v>
      </c>
      <c r="Q2072" s="8" t="s">
        <v>131</v>
      </c>
      <c r="R2072" s="8"/>
      <c r="S2072" s="8" t="s">
        <v>5892</v>
      </c>
      <c r="T2072" s="8" t="s">
        <v>133</v>
      </c>
      <c r="U2072" s="8" t="s">
        <v>134</v>
      </c>
      <c r="V2072" s="8" t="s">
        <v>131</v>
      </c>
      <c r="W2072" s="8" t="s">
        <v>133</v>
      </c>
      <c r="X2072" s="8">
        <v>23</v>
      </c>
      <c r="Y2072" s="8" t="s">
        <v>12359</v>
      </c>
      <c r="Z2072" s="8">
        <v>20</v>
      </c>
      <c r="AA2072" s="8">
        <v>0</v>
      </c>
      <c r="AB2072" s="9">
        <v>0</v>
      </c>
    </row>
    <row r="2073" spans="1:28" x14ac:dyDescent="0.2">
      <c r="A2073" s="10">
        <v>22945</v>
      </c>
      <c r="B2073" s="11" t="s">
        <v>13932</v>
      </c>
      <c r="C2073" s="11" t="s">
        <v>2742</v>
      </c>
      <c r="D2073" s="11" t="s">
        <v>5904</v>
      </c>
      <c r="E2073" s="11" t="s">
        <v>13933</v>
      </c>
      <c r="F2073" s="11" t="s">
        <v>5906</v>
      </c>
      <c r="G2073" s="11" t="s">
        <v>141</v>
      </c>
      <c r="H2073" s="11" t="s">
        <v>142</v>
      </c>
      <c r="I2073" s="11" t="s">
        <v>5907</v>
      </c>
      <c r="J2073" s="11" t="s">
        <v>5908</v>
      </c>
      <c r="K2073" s="11" t="s">
        <v>403</v>
      </c>
      <c r="L2073" s="11" t="s">
        <v>146</v>
      </c>
      <c r="M2073" s="11" t="s">
        <v>13934</v>
      </c>
      <c r="N2073" s="11" t="s">
        <v>128</v>
      </c>
      <c r="O2073" s="11" t="s">
        <v>13935</v>
      </c>
      <c r="P2073" s="11" t="s">
        <v>13936</v>
      </c>
      <c r="Q2073" s="11" t="s">
        <v>150</v>
      </c>
      <c r="R2073" s="11"/>
      <c r="S2073" s="11" t="s">
        <v>5912</v>
      </c>
      <c r="T2073" s="11" t="s">
        <v>70</v>
      </c>
      <c r="U2073" s="11" t="s">
        <v>150</v>
      </c>
      <c r="V2073" s="11" t="s">
        <v>70</v>
      </c>
      <c r="W2073" s="11" t="s">
        <v>70</v>
      </c>
      <c r="X2073" s="11">
        <v>23</v>
      </c>
      <c r="Y2073" s="11" t="s">
        <v>12359</v>
      </c>
      <c r="Z2073" s="11">
        <v>20</v>
      </c>
      <c r="AA2073" s="11">
        <v>0</v>
      </c>
      <c r="AB2073" s="12">
        <v>0</v>
      </c>
    </row>
    <row r="2074" spans="1:28" x14ac:dyDescent="0.2">
      <c r="A2074" s="7">
        <v>23038</v>
      </c>
      <c r="B2074" s="8" t="s">
        <v>13937</v>
      </c>
      <c r="C2074" s="8" t="s">
        <v>2060</v>
      </c>
      <c r="D2074" s="8" t="s">
        <v>13938</v>
      </c>
      <c r="E2074" s="8"/>
      <c r="F2074" s="8" t="s">
        <v>9345</v>
      </c>
      <c r="G2074" s="8" t="s">
        <v>141</v>
      </c>
      <c r="H2074" s="8" t="s">
        <v>142</v>
      </c>
      <c r="I2074" s="8" t="s">
        <v>6012</v>
      </c>
      <c r="J2074" s="8" t="s">
        <v>13939</v>
      </c>
      <c r="K2074" s="8" t="s">
        <v>145</v>
      </c>
      <c r="L2074" s="8" t="s">
        <v>146</v>
      </c>
      <c r="M2074" s="8" t="s">
        <v>13940</v>
      </c>
      <c r="N2074" s="8" t="s">
        <v>128</v>
      </c>
      <c r="O2074" s="8" t="s">
        <v>13941</v>
      </c>
      <c r="P2074" s="8" t="s">
        <v>13942</v>
      </c>
      <c r="Q2074" s="8" t="s">
        <v>150</v>
      </c>
      <c r="R2074" s="8"/>
      <c r="S2074" s="8" t="s">
        <v>71</v>
      </c>
      <c r="T2074" s="8" t="s">
        <v>70</v>
      </c>
      <c r="U2074" s="8" t="s">
        <v>150</v>
      </c>
      <c r="V2074" s="8" t="s">
        <v>70</v>
      </c>
      <c r="W2074" s="8" t="s">
        <v>70</v>
      </c>
      <c r="X2074" s="8">
        <v>23</v>
      </c>
      <c r="Y2074" s="8" t="s">
        <v>12359</v>
      </c>
      <c r="Z2074" s="8">
        <v>20</v>
      </c>
      <c r="AA2074" s="8">
        <v>0</v>
      </c>
      <c r="AB2074" s="9">
        <v>0</v>
      </c>
    </row>
    <row r="2075" spans="1:28" x14ac:dyDescent="0.2">
      <c r="A2075" s="10">
        <v>117180</v>
      </c>
      <c r="B2075" s="11" t="s">
        <v>13943</v>
      </c>
      <c r="C2075" s="11" t="s">
        <v>13944</v>
      </c>
      <c r="D2075" s="11" t="s">
        <v>3149</v>
      </c>
      <c r="E2075" s="11"/>
      <c r="F2075" s="11" t="s">
        <v>7228</v>
      </c>
      <c r="G2075" s="11" t="s">
        <v>328</v>
      </c>
      <c r="H2075" s="11" t="s">
        <v>329</v>
      </c>
      <c r="I2075" s="11" t="s">
        <v>11344</v>
      </c>
      <c r="J2075" s="11" t="s">
        <v>13945</v>
      </c>
      <c r="K2075" s="11" t="s">
        <v>431</v>
      </c>
      <c r="L2075" s="11" t="s">
        <v>333</v>
      </c>
      <c r="M2075" s="11" t="s">
        <v>13946</v>
      </c>
      <c r="N2075" s="11" t="s">
        <v>128</v>
      </c>
      <c r="O2075" s="11" t="s">
        <v>13947</v>
      </c>
      <c r="P2075" s="11" t="s">
        <v>1667</v>
      </c>
      <c r="Q2075" s="11" t="s">
        <v>150</v>
      </c>
      <c r="R2075" s="11"/>
      <c r="S2075" s="11" t="s">
        <v>71</v>
      </c>
      <c r="T2075" s="11" t="s">
        <v>70</v>
      </c>
      <c r="U2075" s="11" t="s">
        <v>150</v>
      </c>
      <c r="V2075" s="11" t="s">
        <v>70</v>
      </c>
      <c r="W2075" s="11" t="s">
        <v>70</v>
      </c>
      <c r="X2075" s="11">
        <v>23</v>
      </c>
      <c r="Y2075" s="11" t="s">
        <v>12359</v>
      </c>
      <c r="Z2075" s="11">
        <v>20</v>
      </c>
      <c r="AA2075" s="11">
        <v>0</v>
      </c>
      <c r="AB2075" s="12">
        <v>0</v>
      </c>
    </row>
    <row r="2076" spans="1:28" x14ac:dyDescent="0.2">
      <c r="A2076" s="7">
        <v>28475</v>
      </c>
      <c r="B2076" s="8" t="s">
        <v>13948</v>
      </c>
      <c r="C2076" s="8" t="s">
        <v>13949</v>
      </c>
      <c r="D2076" s="8" t="s">
        <v>138</v>
      </c>
      <c r="E2076" s="8"/>
      <c r="F2076" s="8" t="s">
        <v>13021</v>
      </c>
      <c r="G2076" s="8" t="s">
        <v>7329</v>
      </c>
      <c r="H2076" s="8" t="s">
        <v>1953</v>
      </c>
      <c r="I2076" s="8" t="s">
        <v>13022</v>
      </c>
      <c r="J2076" s="8" t="s">
        <v>13950</v>
      </c>
      <c r="K2076" s="8" t="s">
        <v>1956</v>
      </c>
      <c r="L2076" s="8" t="s">
        <v>526</v>
      </c>
      <c r="M2076" s="8" t="s">
        <v>13951</v>
      </c>
      <c r="N2076" s="8" t="s">
        <v>128</v>
      </c>
      <c r="O2076" s="8" t="s">
        <v>13952</v>
      </c>
      <c r="P2076" s="8" t="s">
        <v>12806</v>
      </c>
      <c r="Q2076" s="8" t="s">
        <v>150</v>
      </c>
      <c r="R2076" s="8"/>
      <c r="S2076" s="8" t="s">
        <v>13953</v>
      </c>
      <c r="T2076" s="8" t="s">
        <v>70</v>
      </c>
      <c r="U2076" s="8" t="s">
        <v>150</v>
      </c>
      <c r="V2076" s="8" t="s">
        <v>70</v>
      </c>
      <c r="W2076" s="8" t="s">
        <v>70</v>
      </c>
      <c r="X2076" s="8">
        <v>23</v>
      </c>
      <c r="Y2076" s="8" t="s">
        <v>12359</v>
      </c>
      <c r="Z2076" s="8">
        <v>20</v>
      </c>
      <c r="AA2076" s="8">
        <v>0</v>
      </c>
      <c r="AB2076" s="9">
        <v>0</v>
      </c>
    </row>
    <row r="2077" spans="1:28" x14ac:dyDescent="0.2">
      <c r="A2077" s="10">
        <v>107551</v>
      </c>
      <c r="B2077" s="11" t="s">
        <v>13954</v>
      </c>
      <c r="C2077" s="11" t="s">
        <v>8652</v>
      </c>
      <c r="D2077" s="11" t="s">
        <v>9429</v>
      </c>
      <c r="E2077" s="11"/>
      <c r="F2077" s="11" t="s">
        <v>353</v>
      </c>
      <c r="G2077" s="11" t="s">
        <v>8653</v>
      </c>
      <c r="H2077" s="11" t="s">
        <v>329</v>
      </c>
      <c r="I2077" s="11" t="s">
        <v>13955</v>
      </c>
      <c r="J2077" s="11" t="s">
        <v>13956</v>
      </c>
      <c r="K2077" s="11" t="s">
        <v>572</v>
      </c>
      <c r="L2077" s="11" t="s">
        <v>333</v>
      </c>
      <c r="M2077" s="11" t="s">
        <v>13957</v>
      </c>
      <c r="N2077" s="11" t="s">
        <v>128</v>
      </c>
      <c r="O2077" s="11" t="s">
        <v>13958</v>
      </c>
      <c r="P2077" s="11" t="s">
        <v>13959</v>
      </c>
      <c r="Q2077" s="11" t="s">
        <v>150</v>
      </c>
      <c r="R2077" s="11"/>
      <c r="S2077" s="11" t="s">
        <v>71</v>
      </c>
      <c r="T2077" s="11" t="s">
        <v>168</v>
      </c>
      <c r="U2077" s="11" t="s">
        <v>150</v>
      </c>
      <c r="V2077" s="11" t="s">
        <v>168</v>
      </c>
      <c r="W2077" s="11" t="s">
        <v>168</v>
      </c>
      <c r="X2077" s="11">
        <v>23</v>
      </c>
      <c r="Y2077" s="11" t="s">
        <v>12359</v>
      </c>
      <c r="Z2077" s="11">
        <v>20</v>
      </c>
      <c r="AA2077" s="11">
        <v>0</v>
      </c>
      <c r="AB2077" s="12">
        <v>0</v>
      </c>
    </row>
    <row r="2078" spans="1:28" x14ac:dyDescent="0.2">
      <c r="A2078" s="7">
        <v>23700</v>
      </c>
      <c r="B2078" s="8" t="s">
        <v>13960</v>
      </c>
      <c r="C2078" s="8" t="s">
        <v>13961</v>
      </c>
      <c r="D2078" s="8" t="s">
        <v>13962</v>
      </c>
      <c r="E2078" s="8"/>
      <c r="F2078" s="8" t="s">
        <v>8800</v>
      </c>
      <c r="G2078" s="8" t="s">
        <v>141</v>
      </c>
      <c r="H2078" s="8" t="s">
        <v>142</v>
      </c>
      <c r="I2078" s="8" t="s">
        <v>13963</v>
      </c>
      <c r="J2078" s="8" t="s">
        <v>13964</v>
      </c>
      <c r="K2078" s="8" t="s">
        <v>145</v>
      </c>
      <c r="L2078" s="8" t="s">
        <v>146</v>
      </c>
      <c r="M2078" s="8" t="s">
        <v>13965</v>
      </c>
      <c r="N2078" s="8" t="s">
        <v>128</v>
      </c>
      <c r="O2078" s="8" t="s">
        <v>13966</v>
      </c>
      <c r="P2078" s="8" t="s">
        <v>13814</v>
      </c>
      <c r="Q2078" s="8" t="s">
        <v>150</v>
      </c>
      <c r="R2078" s="8"/>
      <c r="S2078" s="8" t="s">
        <v>71</v>
      </c>
      <c r="T2078" s="8" t="s">
        <v>168</v>
      </c>
      <c r="U2078" s="8" t="s">
        <v>150</v>
      </c>
      <c r="V2078" s="8" t="s">
        <v>168</v>
      </c>
      <c r="W2078" s="8" t="s">
        <v>168</v>
      </c>
      <c r="X2078" s="8">
        <v>23</v>
      </c>
      <c r="Y2078" s="8" t="s">
        <v>12359</v>
      </c>
      <c r="Z2078" s="8">
        <v>20</v>
      </c>
      <c r="AA2078" s="8">
        <v>0</v>
      </c>
      <c r="AB2078" s="9">
        <v>0</v>
      </c>
    </row>
    <row r="2079" spans="1:28" x14ac:dyDescent="0.2">
      <c r="A2079" s="10">
        <v>23739</v>
      </c>
      <c r="B2079" s="11" t="s">
        <v>13967</v>
      </c>
      <c r="C2079" s="11" t="s">
        <v>11729</v>
      </c>
      <c r="D2079" s="11" t="s">
        <v>6723</v>
      </c>
      <c r="E2079" s="11"/>
      <c r="F2079" s="11" t="s">
        <v>13968</v>
      </c>
      <c r="G2079" s="11" t="s">
        <v>141</v>
      </c>
      <c r="H2079" s="11" t="s">
        <v>142</v>
      </c>
      <c r="I2079" s="11" t="s">
        <v>11731</v>
      </c>
      <c r="J2079" s="11" t="s">
        <v>13969</v>
      </c>
      <c r="K2079" s="11" t="s">
        <v>584</v>
      </c>
      <c r="L2079" s="11" t="s">
        <v>146</v>
      </c>
      <c r="M2079" s="11" t="s">
        <v>13970</v>
      </c>
      <c r="N2079" s="11" t="s">
        <v>128</v>
      </c>
      <c r="O2079" s="11" t="s">
        <v>13971</v>
      </c>
      <c r="P2079" s="11" t="s">
        <v>5114</v>
      </c>
      <c r="Q2079" s="11" t="s">
        <v>150</v>
      </c>
      <c r="R2079" s="11"/>
      <c r="S2079" s="11" t="s">
        <v>71</v>
      </c>
      <c r="T2079" s="11" t="s">
        <v>168</v>
      </c>
      <c r="U2079" s="11" t="s">
        <v>150</v>
      </c>
      <c r="V2079" s="11" t="s">
        <v>168</v>
      </c>
      <c r="W2079" s="11" t="s">
        <v>168</v>
      </c>
      <c r="X2079" s="11">
        <v>23</v>
      </c>
      <c r="Y2079" s="11" t="s">
        <v>12359</v>
      </c>
      <c r="Z2079" s="11">
        <v>20</v>
      </c>
      <c r="AA2079" s="11">
        <v>0</v>
      </c>
      <c r="AB2079" s="12">
        <v>0</v>
      </c>
    </row>
    <row r="2080" spans="1:28" x14ac:dyDescent="0.2">
      <c r="A2080" s="7">
        <v>24999</v>
      </c>
      <c r="B2080" s="8" t="s">
        <v>13972</v>
      </c>
      <c r="C2080" s="8" t="s">
        <v>13973</v>
      </c>
      <c r="D2080" s="8" t="s">
        <v>13974</v>
      </c>
      <c r="E2080" s="8"/>
      <c r="F2080" s="8" t="s">
        <v>353</v>
      </c>
      <c r="G2080" s="8" t="s">
        <v>3454</v>
      </c>
      <c r="H2080" s="8" t="s">
        <v>142</v>
      </c>
      <c r="I2080" s="8" t="s">
        <v>6275</v>
      </c>
      <c r="J2080" s="8" t="s">
        <v>13975</v>
      </c>
      <c r="K2080" s="8" t="s">
        <v>1673</v>
      </c>
      <c r="L2080" s="8" t="s">
        <v>464</v>
      </c>
      <c r="M2080" s="8" t="s">
        <v>13976</v>
      </c>
      <c r="N2080" s="8" t="s">
        <v>128</v>
      </c>
      <c r="O2080" s="8" t="s">
        <v>13977</v>
      </c>
      <c r="P2080" s="8" t="s">
        <v>13978</v>
      </c>
      <c r="Q2080" s="8" t="s">
        <v>150</v>
      </c>
      <c r="R2080" s="8"/>
      <c r="S2080" s="8" t="s">
        <v>71</v>
      </c>
      <c r="T2080" s="8" t="s">
        <v>1738</v>
      </c>
      <c r="U2080" s="8" t="s">
        <v>150</v>
      </c>
      <c r="V2080" s="8" t="s">
        <v>1738</v>
      </c>
      <c r="W2080" s="8" t="s">
        <v>1738</v>
      </c>
      <c r="X2080" s="8">
        <v>23</v>
      </c>
      <c r="Y2080" s="8" t="s">
        <v>12359</v>
      </c>
      <c r="Z2080" s="8">
        <v>20</v>
      </c>
      <c r="AA2080" s="8">
        <v>0</v>
      </c>
      <c r="AB2080" s="9">
        <v>0</v>
      </c>
    </row>
    <row r="2081" spans="1:28" x14ac:dyDescent="0.2">
      <c r="A2081" s="10">
        <v>30980</v>
      </c>
      <c r="B2081" s="11" t="s">
        <v>13979</v>
      </c>
      <c r="C2081" s="11" t="s">
        <v>9805</v>
      </c>
      <c r="D2081" s="11" t="s">
        <v>669</v>
      </c>
      <c r="E2081" s="11"/>
      <c r="F2081" s="11" t="s">
        <v>7874</v>
      </c>
      <c r="G2081" s="11" t="s">
        <v>1852</v>
      </c>
      <c r="H2081" s="11" t="s">
        <v>671</v>
      </c>
      <c r="I2081" s="11" t="s">
        <v>13980</v>
      </c>
      <c r="J2081" s="11" t="s">
        <v>13981</v>
      </c>
      <c r="K2081" s="11" t="s">
        <v>572</v>
      </c>
      <c r="L2081" s="11" t="s">
        <v>333</v>
      </c>
      <c r="M2081" s="11" t="s">
        <v>13982</v>
      </c>
      <c r="N2081" s="11" t="s">
        <v>128</v>
      </c>
      <c r="O2081" s="11" t="s">
        <v>13983</v>
      </c>
      <c r="P2081" s="11"/>
      <c r="Q2081" s="11" t="s">
        <v>150</v>
      </c>
      <c r="R2081" s="11"/>
      <c r="S2081" s="11" t="s">
        <v>71</v>
      </c>
      <c r="T2081" s="11" t="s">
        <v>13984</v>
      </c>
      <c r="U2081" s="11" t="s">
        <v>150</v>
      </c>
      <c r="V2081" s="11" t="s">
        <v>13984</v>
      </c>
      <c r="W2081" s="11" t="s">
        <v>13984</v>
      </c>
      <c r="X2081" s="11">
        <v>23</v>
      </c>
      <c r="Y2081" s="11" t="s">
        <v>12359</v>
      </c>
      <c r="Z2081" s="11">
        <v>20</v>
      </c>
      <c r="AA2081" s="11">
        <v>0</v>
      </c>
      <c r="AB2081" s="12">
        <v>0</v>
      </c>
    </row>
    <row r="2082" spans="1:28" x14ac:dyDescent="0.2">
      <c r="A2082" s="7">
        <v>116655</v>
      </c>
      <c r="B2082" s="8" t="s">
        <v>13985</v>
      </c>
      <c r="C2082" s="8" t="s">
        <v>3081</v>
      </c>
      <c r="D2082" s="8" t="s">
        <v>13986</v>
      </c>
      <c r="E2082" s="8" t="s">
        <v>13987</v>
      </c>
      <c r="F2082" s="8" t="s">
        <v>353</v>
      </c>
      <c r="G2082" s="8" t="s">
        <v>3084</v>
      </c>
      <c r="H2082" s="8" t="s">
        <v>142</v>
      </c>
      <c r="I2082" s="8" t="s">
        <v>13988</v>
      </c>
      <c r="J2082" s="8" t="s">
        <v>13989</v>
      </c>
      <c r="K2082" s="8" t="s">
        <v>1673</v>
      </c>
      <c r="L2082" s="8" t="s">
        <v>464</v>
      </c>
      <c r="M2082" s="8" t="s">
        <v>13990</v>
      </c>
      <c r="N2082" s="8" t="s">
        <v>128</v>
      </c>
      <c r="O2082" s="8" t="s">
        <v>13991</v>
      </c>
      <c r="P2082" s="8" t="s">
        <v>13992</v>
      </c>
      <c r="Q2082" s="8" t="s">
        <v>249</v>
      </c>
      <c r="R2082" s="8"/>
      <c r="S2082" s="8" t="s">
        <v>71</v>
      </c>
      <c r="T2082" s="8" t="s">
        <v>250</v>
      </c>
      <c r="U2082" s="8" t="s">
        <v>134</v>
      </c>
      <c r="V2082" s="8" t="s">
        <v>249</v>
      </c>
      <c r="W2082" s="8" t="s">
        <v>250</v>
      </c>
      <c r="X2082" s="8">
        <v>23</v>
      </c>
      <c r="Y2082" s="8" t="s">
        <v>12359</v>
      </c>
      <c r="Z2082" s="8">
        <v>20</v>
      </c>
      <c r="AA2082" s="8">
        <v>0</v>
      </c>
      <c r="AB2082" s="9">
        <v>0</v>
      </c>
    </row>
    <row r="2083" spans="1:28" x14ac:dyDescent="0.2">
      <c r="A2083" s="10">
        <v>21239</v>
      </c>
      <c r="B2083" s="11" t="s">
        <v>13993</v>
      </c>
      <c r="C2083" s="11" t="s">
        <v>339</v>
      </c>
      <c r="D2083" s="11" t="s">
        <v>340</v>
      </c>
      <c r="E2083" s="11" t="s">
        <v>13994</v>
      </c>
      <c r="F2083" s="11" t="s">
        <v>342</v>
      </c>
      <c r="G2083" s="11" t="s">
        <v>328</v>
      </c>
      <c r="H2083" s="11" t="s">
        <v>329</v>
      </c>
      <c r="I2083" s="11" t="s">
        <v>343</v>
      </c>
      <c r="J2083" s="11" t="s">
        <v>344</v>
      </c>
      <c r="K2083" s="11" t="s">
        <v>332</v>
      </c>
      <c r="L2083" s="11" t="s">
        <v>333</v>
      </c>
      <c r="M2083" s="11" t="s">
        <v>13995</v>
      </c>
      <c r="N2083" s="11" t="s">
        <v>128</v>
      </c>
      <c r="O2083" s="11" t="s">
        <v>13996</v>
      </c>
      <c r="P2083" s="11" t="s">
        <v>13997</v>
      </c>
      <c r="Q2083" s="11" t="s">
        <v>150</v>
      </c>
      <c r="R2083" s="11"/>
      <c r="S2083" s="11" t="s">
        <v>348</v>
      </c>
      <c r="T2083" s="11" t="s">
        <v>642</v>
      </c>
      <c r="U2083" s="11" t="s">
        <v>150</v>
      </c>
      <c r="V2083" s="11" t="s">
        <v>642</v>
      </c>
      <c r="W2083" s="11" t="s">
        <v>642</v>
      </c>
      <c r="X2083" s="11">
        <v>22</v>
      </c>
      <c r="Y2083" s="11" t="s">
        <v>12359</v>
      </c>
      <c r="Z2083" s="11">
        <v>20</v>
      </c>
      <c r="AA2083" s="11">
        <v>0</v>
      </c>
      <c r="AB2083" s="12">
        <v>0</v>
      </c>
    </row>
    <row r="2084" spans="1:28" x14ac:dyDescent="0.2">
      <c r="A2084" s="7">
        <v>214661</v>
      </c>
      <c r="B2084" s="8" t="s">
        <v>13998</v>
      </c>
      <c r="C2084" s="8" t="s">
        <v>11497</v>
      </c>
      <c r="D2084" s="8" t="s">
        <v>380</v>
      </c>
      <c r="E2084" s="8"/>
      <c r="F2084" s="8" t="s">
        <v>11498</v>
      </c>
      <c r="G2084" s="8" t="s">
        <v>1952</v>
      </c>
      <c r="H2084" s="8" t="s">
        <v>1953</v>
      </c>
      <c r="I2084" s="8" t="s">
        <v>13156</v>
      </c>
      <c r="J2084" s="8" t="s">
        <v>13999</v>
      </c>
      <c r="K2084" s="8" t="s">
        <v>1956</v>
      </c>
      <c r="L2084" s="8" t="s">
        <v>526</v>
      </c>
      <c r="M2084" s="8" t="s">
        <v>14000</v>
      </c>
      <c r="N2084" s="8" t="s">
        <v>128</v>
      </c>
      <c r="O2084" s="8" t="s">
        <v>14001</v>
      </c>
      <c r="P2084" s="8" t="s">
        <v>477</v>
      </c>
      <c r="Q2084" s="8" t="s">
        <v>150</v>
      </c>
      <c r="R2084" s="8"/>
      <c r="S2084" s="8" t="s">
        <v>71</v>
      </c>
      <c r="T2084" s="8" t="s">
        <v>67</v>
      </c>
      <c r="U2084" s="8" t="s">
        <v>150</v>
      </c>
      <c r="V2084" s="8" t="s">
        <v>152</v>
      </c>
      <c r="W2084" s="8" t="s">
        <v>67</v>
      </c>
      <c r="X2084" s="8">
        <v>22</v>
      </c>
      <c r="Y2084" s="8" t="s">
        <v>12359</v>
      </c>
      <c r="Z2084" s="8">
        <v>20</v>
      </c>
      <c r="AA2084" s="8">
        <v>0</v>
      </c>
      <c r="AB2084" s="9">
        <v>0</v>
      </c>
    </row>
    <row r="2085" spans="1:28" x14ac:dyDescent="0.2">
      <c r="A2085" s="10">
        <v>24575</v>
      </c>
      <c r="B2085" s="11" t="s">
        <v>14002</v>
      </c>
      <c r="C2085" s="11" t="s">
        <v>1361</v>
      </c>
      <c r="D2085" s="11" t="s">
        <v>1362</v>
      </c>
      <c r="E2085" s="11" t="s">
        <v>13646</v>
      </c>
      <c r="F2085" s="11" t="s">
        <v>353</v>
      </c>
      <c r="G2085" s="11" t="s">
        <v>1364</v>
      </c>
      <c r="H2085" s="11" t="s">
        <v>329</v>
      </c>
      <c r="I2085" s="11" t="s">
        <v>1365</v>
      </c>
      <c r="J2085" s="11" t="s">
        <v>4531</v>
      </c>
      <c r="K2085" s="11" t="s">
        <v>431</v>
      </c>
      <c r="L2085" s="11" t="s">
        <v>333</v>
      </c>
      <c r="M2085" s="11" t="s">
        <v>14003</v>
      </c>
      <c r="N2085" s="11" t="s">
        <v>128</v>
      </c>
      <c r="O2085" s="11" t="s">
        <v>14004</v>
      </c>
      <c r="P2085" s="11"/>
      <c r="Q2085" s="11" t="s">
        <v>131</v>
      </c>
      <c r="R2085" s="11"/>
      <c r="S2085" s="11" t="s">
        <v>1370</v>
      </c>
      <c r="T2085" s="11" t="s">
        <v>983</v>
      </c>
      <c r="U2085" s="11" t="s">
        <v>134</v>
      </c>
      <c r="V2085" s="11" t="s">
        <v>131</v>
      </c>
      <c r="W2085" s="11" t="s">
        <v>983</v>
      </c>
      <c r="X2085" s="11">
        <v>22</v>
      </c>
      <c r="Y2085" s="11" t="s">
        <v>12359</v>
      </c>
      <c r="Z2085" s="11">
        <v>20</v>
      </c>
      <c r="AA2085" s="11">
        <v>0</v>
      </c>
      <c r="AB2085" s="12">
        <v>0</v>
      </c>
    </row>
    <row r="2086" spans="1:28" x14ac:dyDescent="0.2">
      <c r="A2086" s="7">
        <v>22049</v>
      </c>
      <c r="B2086" s="8" t="s">
        <v>14005</v>
      </c>
      <c r="C2086" s="8" t="s">
        <v>14006</v>
      </c>
      <c r="D2086" s="8" t="s">
        <v>3369</v>
      </c>
      <c r="E2086" s="8"/>
      <c r="F2086" s="8" t="s">
        <v>353</v>
      </c>
      <c r="G2086" s="8" t="s">
        <v>7116</v>
      </c>
      <c r="H2086" s="8" t="s">
        <v>142</v>
      </c>
      <c r="I2086" s="8" t="s">
        <v>7571</v>
      </c>
      <c r="J2086" s="8" t="s">
        <v>14007</v>
      </c>
      <c r="K2086" s="8" t="s">
        <v>1199</v>
      </c>
      <c r="L2086" s="8" t="s">
        <v>464</v>
      </c>
      <c r="M2086" s="8" t="s">
        <v>14008</v>
      </c>
      <c r="N2086" s="8" t="s">
        <v>128</v>
      </c>
      <c r="O2086" s="8" t="s">
        <v>14009</v>
      </c>
      <c r="P2086" s="8"/>
      <c r="Q2086" s="8" t="s">
        <v>131</v>
      </c>
      <c r="R2086" s="8"/>
      <c r="S2086" s="8" t="s">
        <v>71</v>
      </c>
      <c r="T2086" s="8" t="s">
        <v>983</v>
      </c>
      <c r="U2086" s="8" t="s">
        <v>134</v>
      </c>
      <c r="V2086" s="8" t="s">
        <v>131</v>
      </c>
      <c r="W2086" s="8" t="s">
        <v>983</v>
      </c>
      <c r="X2086" s="8">
        <v>22</v>
      </c>
      <c r="Y2086" s="8" t="s">
        <v>12359</v>
      </c>
      <c r="Z2086" s="8">
        <v>20</v>
      </c>
      <c r="AA2086" s="8">
        <v>0</v>
      </c>
      <c r="AB2086" s="9">
        <v>0</v>
      </c>
    </row>
    <row r="2087" spans="1:28" x14ac:dyDescent="0.2">
      <c r="A2087" s="10">
        <v>165802</v>
      </c>
      <c r="B2087" s="11" t="s">
        <v>14010</v>
      </c>
      <c r="C2087" s="11" t="s">
        <v>14011</v>
      </c>
      <c r="D2087" s="11" t="s">
        <v>14012</v>
      </c>
      <c r="E2087" s="11"/>
      <c r="F2087" s="11" t="s">
        <v>14013</v>
      </c>
      <c r="G2087" s="11" t="s">
        <v>5158</v>
      </c>
      <c r="H2087" s="11" t="s">
        <v>142</v>
      </c>
      <c r="I2087" s="11" t="s">
        <v>14014</v>
      </c>
      <c r="J2087" s="11" t="s">
        <v>14015</v>
      </c>
      <c r="K2087" s="11" t="s">
        <v>717</v>
      </c>
      <c r="L2087" s="11" t="s">
        <v>464</v>
      </c>
      <c r="M2087" s="11" t="s">
        <v>14016</v>
      </c>
      <c r="N2087" s="11" t="s">
        <v>128</v>
      </c>
      <c r="O2087" s="11" t="s">
        <v>14017</v>
      </c>
      <c r="P2087" s="11"/>
      <c r="Q2087" s="11" t="s">
        <v>131</v>
      </c>
      <c r="R2087" s="11"/>
      <c r="S2087" s="11" t="s">
        <v>71</v>
      </c>
      <c r="T2087" s="11" t="s">
        <v>983</v>
      </c>
      <c r="U2087" s="11" t="s">
        <v>134</v>
      </c>
      <c r="V2087" s="11" t="s">
        <v>131</v>
      </c>
      <c r="W2087" s="11" t="s">
        <v>983</v>
      </c>
      <c r="X2087" s="11">
        <v>22</v>
      </c>
      <c r="Y2087" s="11" t="s">
        <v>12359</v>
      </c>
      <c r="Z2087" s="11">
        <v>20</v>
      </c>
      <c r="AA2087" s="11">
        <v>0</v>
      </c>
      <c r="AB2087" s="12">
        <v>0</v>
      </c>
    </row>
    <row r="2088" spans="1:28" x14ac:dyDescent="0.2">
      <c r="A2088" s="7">
        <v>21877</v>
      </c>
      <c r="B2088" s="8" t="s">
        <v>14018</v>
      </c>
      <c r="C2088" s="8" t="s">
        <v>13187</v>
      </c>
      <c r="D2088" s="8" t="s">
        <v>13188</v>
      </c>
      <c r="E2088" s="8" t="s">
        <v>14019</v>
      </c>
      <c r="F2088" s="8" t="s">
        <v>13190</v>
      </c>
      <c r="G2088" s="8" t="s">
        <v>2117</v>
      </c>
      <c r="H2088" s="8" t="s">
        <v>142</v>
      </c>
      <c r="I2088" s="8" t="s">
        <v>13191</v>
      </c>
      <c r="J2088" s="8" t="s">
        <v>13192</v>
      </c>
      <c r="K2088" s="8" t="s">
        <v>1673</v>
      </c>
      <c r="L2088" s="8" t="s">
        <v>464</v>
      </c>
      <c r="M2088" s="8" t="s">
        <v>14020</v>
      </c>
      <c r="N2088" s="8" t="s">
        <v>128</v>
      </c>
      <c r="O2088" s="8" t="s">
        <v>14021</v>
      </c>
      <c r="P2088" s="8" t="s">
        <v>14022</v>
      </c>
      <c r="Q2088" s="8" t="s">
        <v>131</v>
      </c>
      <c r="R2088" s="8"/>
      <c r="S2088" s="8" t="s">
        <v>13195</v>
      </c>
      <c r="T2088" s="8" t="s">
        <v>133</v>
      </c>
      <c r="U2088" s="8" t="s">
        <v>134</v>
      </c>
      <c r="V2088" s="8" t="s">
        <v>131</v>
      </c>
      <c r="W2088" s="8" t="s">
        <v>133</v>
      </c>
      <c r="X2088" s="8">
        <v>22</v>
      </c>
      <c r="Y2088" s="8" t="s">
        <v>12359</v>
      </c>
      <c r="Z2088" s="8">
        <v>20</v>
      </c>
      <c r="AA2088" s="8">
        <v>0</v>
      </c>
      <c r="AB2088" s="9">
        <v>0</v>
      </c>
    </row>
    <row r="2089" spans="1:28" x14ac:dyDescent="0.2">
      <c r="A2089" s="10">
        <v>21936</v>
      </c>
      <c r="B2089" s="11" t="s">
        <v>14023</v>
      </c>
      <c r="C2089" s="11" t="s">
        <v>7664</v>
      </c>
      <c r="D2089" s="11" t="s">
        <v>410</v>
      </c>
      <c r="E2089" s="11" t="s">
        <v>14024</v>
      </c>
      <c r="F2089" s="11" t="s">
        <v>7666</v>
      </c>
      <c r="G2089" s="11" t="s">
        <v>6409</v>
      </c>
      <c r="H2089" s="11" t="s">
        <v>6410</v>
      </c>
      <c r="I2089" s="11" t="s">
        <v>14025</v>
      </c>
      <c r="J2089" s="11" t="s">
        <v>7668</v>
      </c>
      <c r="K2089" s="11" t="s">
        <v>1956</v>
      </c>
      <c r="L2089" s="11" t="s">
        <v>526</v>
      </c>
      <c r="M2089" s="11" t="s">
        <v>14026</v>
      </c>
      <c r="N2089" s="11" t="s">
        <v>128</v>
      </c>
      <c r="O2089" s="11" t="s">
        <v>14027</v>
      </c>
      <c r="P2089" s="11" t="s">
        <v>14028</v>
      </c>
      <c r="Q2089" s="11" t="s">
        <v>131</v>
      </c>
      <c r="R2089" s="11"/>
      <c r="S2089" s="11" t="s">
        <v>7138</v>
      </c>
      <c r="T2089" s="11" t="s">
        <v>133</v>
      </c>
      <c r="U2089" s="11" t="s">
        <v>134</v>
      </c>
      <c r="V2089" s="11" t="s">
        <v>131</v>
      </c>
      <c r="W2089" s="11" t="s">
        <v>133</v>
      </c>
      <c r="X2089" s="11">
        <v>22</v>
      </c>
      <c r="Y2089" s="11" t="s">
        <v>12359</v>
      </c>
      <c r="Z2089" s="11">
        <v>20</v>
      </c>
      <c r="AA2089" s="11">
        <v>0</v>
      </c>
      <c r="AB2089" s="12">
        <v>0</v>
      </c>
    </row>
    <row r="2090" spans="1:28" x14ac:dyDescent="0.2">
      <c r="A2090" s="7">
        <v>22501</v>
      </c>
      <c r="B2090" s="8" t="s">
        <v>14029</v>
      </c>
      <c r="C2090" s="8" t="s">
        <v>1125</v>
      </c>
      <c r="D2090" s="8" t="s">
        <v>14030</v>
      </c>
      <c r="E2090" s="8" t="s">
        <v>14031</v>
      </c>
      <c r="F2090" s="8" t="s">
        <v>353</v>
      </c>
      <c r="G2090" s="8" t="s">
        <v>450</v>
      </c>
      <c r="H2090" s="8" t="s">
        <v>301</v>
      </c>
      <c r="I2090" s="8" t="s">
        <v>7986</v>
      </c>
      <c r="J2090" s="8" t="s">
        <v>14032</v>
      </c>
      <c r="K2090" s="8" t="s">
        <v>304</v>
      </c>
      <c r="L2090" s="8" t="s">
        <v>229</v>
      </c>
      <c r="M2090" s="8" t="s">
        <v>14033</v>
      </c>
      <c r="N2090" s="8" t="s">
        <v>128</v>
      </c>
      <c r="O2090" s="8" t="s">
        <v>14034</v>
      </c>
      <c r="P2090" s="8" t="s">
        <v>14035</v>
      </c>
      <c r="Q2090" s="8" t="s">
        <v>150</v>
      </c>
      <c r="R2090" s="8"/>
      <c r="S2090" s="8" t="s">
        <v>71</v>
      </c>
      <c r="T2090" s="8" t="s">
        <v>869</v>
      </c>
      <c r="U2090" s="8" t="s">
        <v>150</v>
      </c>
      <c r="V2090" s="8" t="s">
        <v>869</v>
      </c>
      <c r="W2090" s="8" t="s">
        <v>869</v>
      </c>
      <c r="X2090" s="8">
        <v>22</v>
      </c>
      <c r="Y2090" s="8" t="s">
        <v>12359</v>
      </c>
      <c r="Z2090" s="8">
        <v>20</v>
      </c>
      <c r="AA2090" s="8">
        <v>0</v>
      </c>
      <c r="AB2090" s="9">
        <v>0</v>
      </c>
    </row>
    <row r="2091" spans="1:28" x14ac:dyDescent="0.2">
      <c r="A2091" s="10">
        <v>22934</v>
      </c>
      <c r="B2091" s="11" t="s">
        <v>14036</v>
      </c>
      <c r="C2091" s="11" t="s">
        <v>8898</v>
      </c>
      <c r="D2091" s="11" t="s">
        <v>10590</v>
      </c>
      <c r="E2091" s="11" t="s">
        <v>14037</v>
      </c>
      <c r="F2091" s="11" t="s">
        <v>353</v>
      </c>
      <c r="G2091" s="11" t="s">
        <v>8899</v>
      </c>
      <c r="H2091" s="11" t="s">
        <v>142</v>
      </c>
      <c r="I2091" s="11" t="s">
        <v>8900</v>
      </c>
      <c r="J2091" s="11" t="s">
        <v>14038</v>
      </c>
      <c r="K2091" s="11" t="s">
        <v>717</v>
      </c>
      <c r="L2091" s="11" t="s">
        <v>464</v>
      </c>
      <c r="M2091" s="11" t="s">
        <v>14039</v>
      </c>
      <c r="N2091" s="11" t="s">
        <v>128</v>
      </c>
      <c r="O2091" s="11" t="s">
        <v>14040</v>
      </c>
      <c r="P2091" s="11" t="s">
        <v>6100</v>
      </c>
      <c r="Q2091" s="11" t="s">
        <v>150</v>
      </c>
      <c r="R2091" s="11"/>
      <c r="S2091" s="11" t="s">
        <v>71</v>
      </c>
      <c r="T2091" s="11" t="s">
        <v>70</v>
      </c>
      <c r="U2091" s="11" t="s">
        <v>150</v>
      </c>
      <c r="V2091" s="11" t="s">
        <v>70</v>
      </c>
      <c r="W2091" s="11" t="s">
        <v>70</v>
      </c>
      <c r="X2091" s="11">
        <v>22</v>
      </c>
      <c r="Y2091" s="11" t="s">
        <v>12359</v>
      </c>
      <c r="Z2091" s="11">
        <v>20</v>
      </c>
      <c r="AA2091" s="11">
        <v>0</v>
      </c>
      <c r="AB2091" s="12">
        <v>0</v>
      </c>
    </row>
    <row r="2092" spans="1:28" x14ac:dyDescent="0.2">
      <c r="A2092" s="7">
        <v>23270</v>
      </c>
      <c r="B2092" s="8" t="s">
        <v>14041</v>
      </c>
      <c r="C2092" s="8" t="s">
        <v>1024</v>
      </c>
      <c r="D2092" s="8" t="s">
        <v>14042</v>
      </c>
      <c r="E2092" s="8"/>
      <c r="F2092" s="8" t="s">
        <v>353</v>
      </c>
      <c r="G2092" s="8" t="s">
        <v>1026</v>
      </c>
      <c r="H2092" s="8" t="s">
        <v>142</v>
      </c>
      <c r="I2092" s="8" t="s">
        <v>1027</v>
      </c>
      <c r="J2092" s="8" t="s">
        <v>14043</v>
      </c>
      <c r="K2092" s="8" t="s">
        <v>1029</v>
      </c>
      <c r="L2092" s="8" t="s">
        <v>464</v>
      </c>
      <c r="M2092" s="8" t="s">
        <v>14044</v>
      </c>
      <c r="N2092" s="8" t="s">
        <v>128</v>
      </c>
      <c r="O2092" s="8" t="s">
        <v>14045</v>
      </c>
      <c r="P2092" s="8" t="s">
        <v>5488</v>
      </c>
      <c r="Q2092" s="8" t="s">
        <v>150</v>
      </c>
      <c r="R2092" s="8"/>
      <c r="S2092" s="8" t="s">
        <v>71</v>
      </c>
      <c r="T2092" s="8" t="s">
        <v>70</v>
      </c>
      <c r="U2092" s="8" t="s">
        <v>150</v>
      </c>
      <c r="V2092" s="8" t="s">
        <v>70</v>
      </c>
      <c r="W2092" s="8" t="s">
        <v>70</v>
      </c>
      <c r="X2092" s="8">
        <v>22</v>
      </c>
      <c r="Y2092" s="8" t="s">
        <v>12359</v>
      </c>
      <c r="Z2092" s="8">
        <v>20</v>
      </c>
      <c r="AA2092" s="8">
        <v>0</v>
      </c>
      <c r="AB2092" s="9">
        <v>0</v>
      </c>
    </row>
    <row r="2093" spans="1:28" x14ac:dyDescent="0.2">
      <c r="A2093" s="10">
        <v>118258</v>
      </c>
      <c r="B2093" s="11" t="s">
        <v>14046</v>
      </c>
      <c r="C2093" s="11" t="s">
        <v>4844</v>
      </c>
      <c r="D2093" s="11" t="s">
        <v>4845</v>
      </c>
      <c r="E2093" s="11"/>
      <c r="F2093" s="11" t="s">
        <v>4847</v>
      </c>
      <c r="G2093" s="11" t="s">
        <v>141</v>
      </c>
      <c r="H2093" s="11" t="s">
        <v>142</v>
      </c>
      <c r="I2093" s="11" t="s">
        <v>4848</v>
      </c>
      <c r="J2093" s="11" t="s">
        <v>4849</v>
      </c>
      <c r="K2093" s="11" t="s">
        <v>584</v>
      </c>
      <c r="L2093" s="11" t="s">
        <v>146</v>
      </c>
      <c r="M2093" s="11" t="s">
        <v>14047</v>
      </c>
      <c r="N2093" s="11" t="s">
        <v>128</v>
      </c>
      <c r="O2093" s="11" t="s">
        <v>14048</v>
      </c>
      <c r="P2093" s="11" t="s">
        <v>4810</v>
      </c>
      <c r="Q2093" s="11" t="s">
        <v>150</v>
      </c>
      <c r="R2093" s="11"/>
      <c r="S2093" s="11" t="s">
        <v>4853</v>
      </c>
      <c r="T2093" s="11" t="s">
        <v>70</v>
      </c>
      <c r="U2093" s="11" t="s">
        <v>150</v>
      </c>
      <c r="V2093" s="11" t="s">
        <v>70</v>
      </c>
      <c r="W2093" s="11" t="s">
        <v>70</v>
      </c>
      <c r="X2093" s="11">
        <v>22</v>
      </c>
      <c r="Y2093" s="11" t="s">
        <v>12359</v>
      </c>
      <c r="Z2093" s="11">
        <v>20</v>
      </c>
      <c r="AA2093" s="11">
        <v>0</v>
      </c>
      <c r="AB2093" s="12">
        <v>0</v>
      </c>
    </row>
    <row r="2094" spans="1:28" x14ac:dyDescent="0.2">
      <c r="A2094" s="7">
        <v>105808</v>
      </c>
      <c r="B2094" s="8" t="s">
        <v>14049</v>
      </c>
      <c r="C2094" s="8" t="s">
        <v>1645</v>
      </c>
      <c r="D2094" s="8" t="s">
        <v>1073</v>
      </c>
      <c r="E2094" s="8"/>
      <c r="F2094" s="8" t="s">
        <v>1648</v>
      </c>
      <c r="G2094" s="8" t="s">
        <v>2721</v>
      </c>
      <c r="H2094" s="8" t="s">
        <v>329</v>
      </c>
      <c r="I2094" s="8" t="s">
        <v>8678</v>
      </c>
      <c r="J2094" s="8" t="s">
        <v>14050</v>
      </c>
      <c r="K2094" s="8" t="s">
        <v>572</v>
      </c>
      <c r="L2094" s="8" t="s">
        <v>333</v>
      </c>
      <c r="M2094" s="8" t="s">
        <v>14051</v>
      </c>
      <c r="N2094" s="8" t="s">
        <v>128</v>
      </c>
      <c r="O2094" s="8" t="s">
        <v>14052</v>
      </c>
      <c r="P2094" s="8" t="s">
        <v>14053</v>
      </c>
      <c r="Q2094" s="8" t="s">
        <v>150</v>
      </c>
      <c r="R2094" s="8"/>
      <c r="S2094" s="8" t="s">
        <v>71</v>
      </c>
      <c r="T2094" s="8" t="s">
        <v>168</v>
      </c>
      <c r="U2094" s="8" t="s">
        <v>150</v>
      </c>
      <c r="V2094" s="8" t="s">
        <v>168</v>
      </c>
      <c r="W2094" s="8" t="s">
        <v>168</v>
      </c>
      <c r="X2094" s="8">
        <v>22</v>
      </c>
      <c r="Y2094" s="8" t="s">
        <v>12359</v>
      </c>
      <c r="Z2094" s="8">
        <v>20</v>
      </c>
      <c r="AA2094" s="8">
        <v>0</v>
      </c>
      <c r="AB2094" s="9">
        <v>0</v>
      </c>
    </row>
    <row r="2095" spans="1:28" x14ac:dyDescent="0.2">
      <c r="A2095" s="10">
        <v>24174</v>
      </c>
      <c r="B2095" s="11" t="s">
        <v>14054</v>
      </c>
      <c r="C2095" s="11" t="s">
        <v>11280</v>
      </c>
      <c r="D2095" s="11" t="s">
        <v>5801</v>
      </c>
      <c r="E2095" s="11" t="s">
        <v>281</v>
      </c>
      <c r="F2095" s="11" t="s">
        <v>5803</v>
      </c>
      <c r="G2095" s="11" t="s">
        <v>5804</v>
      </c>
      <c r="H2095" s="11" t="s">
        <v>5805</v>
      </c>
      <c r="I2095" s="11" t="s">
        <v>5806</v>
      </c>
      <c r="J2095" s="11" t="s">
        <v>12392</v>
      </c>
      <c r="K2095" s="11" t="s">
        <v>274</v>
      </c>
      <c r="L2095" s="11" t="s">
        <v>163</v>
      </c>
      <c r="M2095" s="11" t="s">
        <v>14055</v>
      </c>
      <c r="N2095" s="11" t="s">
        <v>4651</v>
      </c>
      <c r="O2095" s="11" t="s">
        <v>14056</v>
      </c>
      <c r="P2095" s="11" t="s">
        <v>14057</v>
      </c>
      <c r="Q2095" s="11" t="s">
        <v>150</v>
      </c>
      <c r="R2095" s="11"/>
      <c r="S2095" s="11" t="s">
        <v>5811</v>
      </c>
      <c r="T2095" s="11" t="s">
        <v>3270</v>
      </c>
      <c r="U2095" s="11" t="s">
        <v>150</v>
      </c>
      <c r="V2095" s="11" t="s">
        <v>3270</v>
      </c>
      <c r="W2095" s="11" t="s">
        <v>3270</v>
      </c>
      <c r="X2095" s="11">
        <v>22</v>
      </c>
      <c r="Y2095" s="11" t="s">
        <v>12359</v>
      </c>
      <c r="Z2095" s="11">
        <v>20</v>
      </c>
      <c r="AA2095" s="11">
        <v>0</v>
      </c>
      <c r="AB2095" s="12">
        <v>0</v>
      </c>
    </row>
    <row r="2096" spans="1:28" x14ac:dyDescent="0.2">
      <c r="A2096" s="7">
        <v>24900</v>
      </c>
      <c r="B2096" s="8" t="s">
        <v>14058</v>
      </c>
      <c r="C2096" s="8" t="s">
        <v>2506</v>
      </c>
      <c r="D2096" s="8" t="s">
        <v>2507</v>
      </c>
      <c r="E2096" s="8" t="s">
        <v>14059</v>
      </c>
      <c r="F2096" s="8" t="s">
        <v>2509</v>
      </c>
      <c r="G2096" s="8" t="s">
        <v>2510</v>
      </c>
      <c r="H2096" s="8" t="s">
        <v>2511</v>
      </c>
      <c r="I2096" s="8" t="s">
        <v>2512</v>
      </c>
      <c r="J2096" s="8" t="s">
        <v>2513</v>
      </c>
      <c r="K2096" s="8" t="s">
        <v>1562</v>
      </c>
      <c r="L2096" s="8" t="s">
        <v>229</v>
      </c>
      <c r="M2096" s="8" t="s">
        <v>14060</v>
      </c>
      <c r="N2096" s="8" t="s">
        <v>128</v>
      </c>
      <c r="O2096" s="8" t="s">
        <v>14061</v>
      </c>
      <c r="P2096" s="8" t="s">
        <v>1400</v>
      </c>
      <c r="Q2096" s="8" t="s">
        <v>150</v>
      </c>
      <c r="R2096" s="8"/>
      <c r="S2096" s="8" t="s">
        <v>2517</v>
      </c>
      <c r="T2096" s="8" t="s">
        <v>1738</v>
      </c>
      <c r="U2096" s="8" t="s">
        <v>150</v>
      </c>
      <c r="V2096" s="8" t="s">
        <v>1738</v>
      </c>
      <c r="W2096" s="8" t="s">
        <v>1738</v>
      </c>
      <c r="X2096" s="8">
        <v>22</v>
      </c>
      <c r="Y2096" s="8" t="s">
        <v>12359</v>
      </c>
      <c r="Z2096" s="8">
        <v>20</v>
      </c>
      <c r="AA2096" s="8">
        <v>0</v>
      </c>
      <c r="AB2096" s="9">
        <v>0</v>
      </c>
    </row>
    <row r="2097" spans="1:28" x14ac:dyDescent="0.2">
      <c r="A2097" s="10">
        <v>24836</v>
      </c>
      <c r="B2097" s="11" t="s">
        <v>14062</v>
      </c>
      <c r="C2097" s="11" t="s">
        <v>4777</v>
      </c>
      <c r="D2097" s="11" t="s">
        <v>9277</v>
      </c>
      <c r="E2097" s="11"/>
      <c r="F2097" s="11" t="s">
        <v>353</v>
      </c>
      <c r="G2097" s="11" t="s">
        <v>7402</v>
      </c>
      <c r="H2097" s="11" t="s">
        <v>847</v>
      </c>
      <c r="I2097" s="11" t="s">
        <v>7403</v>
      </c>
      <c r="J2097" s="11" t="s">
        <v>14063</v>
      </c>
      <c r="K2097" s="11" t="s">
        <v>1091</v>
      </c>
      <c r="L2097" s="11" t="s">
        <v>126</v>
      </c>
      <c r="M2097" s="11" t="s">
        <v>14064</v>
      </c>
      <c r="N2097" s="11" t="s">
        <v>128</v>
      </c>
      <c r="O2097" s="11" t="s">
        <v>14065</v>
      </c>
      <c r="P2097" s="11" t="s">
        <v>5922</v>
      </c>
      <c r="Q2097" s="11" t="s">
        <v>150</v>
      </c>
      <c r="R2097" s="11"/>
      <c r="S2097" s="11" t="s">
        <v>71</v>
      </c>
      <c r="T2097" s="11" t="s">
        <v>1738</v>
      </c>
      <c r="U2097" s="11" t="s">
        <v>150</v>
      </c>
      <c r="V2097" s="11" t="s">
        <v>1738</v>
      </c>
      <c r="W2097" s="11" t="s">
        <v>1738</v>
      </c>
      <c r="X2097" s="11">
        <v>22</v>
      </c>
      <c r="Y2097" s="11" t="s">
        <v>12359</v>
      </c>
      <c r="Z2097" s="11">
        <v>20</v>
      </c>
      <c r="AA2097" s="11">
        <v>0</v>
      </c>
      <c r="AB2097" s="12">
        <v>0</v>
      </c>
    </row>
    <row r="2098" spans="1:28" x14ac:dyDescent="0.2">
      <c r="A2098" s="7">
        <v>24955</v>
      </c>
      <c r="B2098" s="8" t="s">
        <v>14066</v>
      </c>
      <c r="C2098" s="8" t="s">
        <v>1791</v>
      </c>
      <c r="D2098" s="8" t="s">
        <v>14067</v>
      </c>
      <c r="E2098" s="8"/>
      <c r="F2098" s="8" t="s">
        <v>353</v>
      </c>
      <c r="G2098" s="8" t="s">
        <v>1794</v>
      </c>
      <c r="H2098" s="8" t="s">
        <v>142</v>
      </c>
      <c r="I2098" s="8" t="s">
        <v>1795</v>
      </c>
      <c r="J2098" s="8" t="s">
        <v>14068</v>
      </c>
      <c r="K2098" s="8" t="s">
        <v>779</v>
      </c>
      <c r="L2098" s="8" t="s">
        <v>464</v>
      </c>
      <c r="M2098" s="8" t="s">
        <v>14069</v>
      </c>
      <c r="N2098" s="8" t="s">
        <v>128</v>
      </c>
      <c r="O2098" s="8" t="s">
        <v>14070</v>
      </c>
      <c r="P2098" s="8" t="s">
        <v>14071</v>
      </c>
      <c r="Q2098" s="8" t="s">
        <v>150</v>
      </c>
      <c r="R2098" s="8"/>
      <c r="S2098" s="8" t="s">
        <v>71</v>
      </c>
      <c r="T2098" s="8" t="s">
        <v>1738</v>
      </c>
      <c r="U2098" s="8" t="s">
        <v>150</v>
      </c>
      <c r="V2098" s="8" t="s">
        <v>1738</v>
      </c>
      <c r="W2098" s="8" t="s">
        <v>1738</v>
      </c>
      <c r="X2098" s="8">
        <v>22</v>
      </c>
      <c r="Y2098" s="8" t="s">
        <v>12359</v>
      </c>
      <c r="Z2098" s="8">
        <v>20</v>
      </c>
      <c r="AA2098" s="8">
        <v>0</v>
      </c>
      <c r="AB2098" s="9">
        <v>0</v>
      </c>
    </row>
    <row r="2099" spans="1:28" x14ac:dyDescent="0.2">
      <c r="A2099" s="10">
        <v>25344</v>
      </c>
      <c r="B2099" s="11" t="s">
        <v>14072</v>
      </c>
      <c r="C2099" s="11" t="s">
        <v>8515</v>
      </c>
      <c r="D2099" s="11" t="s">
        <v>138</v>
      </c>
      <c r="E2099" s="11"/>
      <c r="F2099" s="11" t="s">
        <v>1658</v>
      </c>
      <c r="G2099" s="11" t="s">
        <v>141</v>
      </c>
      <c r="H2099" s="11" t="s">
        <v>142</v>
      </c>
      <c r="I2099" s="11" t="s">
        <v>8516</v>
      </c>
      <c r="J2099" s="11" t="s">
        <v>8517</v>
      </c>
      <c r="K2099" s="11" t="s">
        <v>145</v>
      </c>
      <c r="L2099" s="11" t="s">
        <v>146</v>
      </c>
      <c r="M2099" s="11" t="s">
        <v>14073</v>
      </c>
      <c r="N2099" s="11" t="s">
        <v>128</v>
      </c>
      <c r="O2099" s="11" t="s">
        <v>14074</v>
      </c>
      <c r="P2099" s="11" t="s">
        <v>14075</v>
      </c>
      <c r="Q2099" s="11" t="s">
        <v>740</v>
      </c>
      <c r="R2099" s="11"/>
      <c r="S2099" s="11" t="s">
        <v>1664</v>
      </c>
      <c r="T2099" s="11" t="s">
        <v>1745</v>
      </c>
      <c r="U2099" s="11" t="s">
        <v>134</v>
      </c>
      <c r="V2099" s="11" t="s">
        <v>740</v>
      </c>
      <c r="W2099" s="11" t="s">
        <v>1745</v>
      </c>
      <c r="X2099" s="11">
        <v>22</v>
      </c>
      <c r="Y2099" s="11" t="s">
        <v>12359</v>
      </c>
      <c r="Z2099" s="11">
        <v>20</v>
      </c>
      <c r="AA2099" s="11">
        <v>0</v>
      </c>
      <c r="AB2099" s="12">
        <v>0</v>
      </c>
    </row>
    <row r="2100" spans="1:28" x14ac:dyDescent="0.2">
      <c r="A2100" s="7">
        <v>124500</v>
      </c>
      <c r="B2100" s="8" t="s">
        <v>14076</v>
      </c>
      <c r="C2100" s="8" t="s">
        <v>4324</v>
      </c>
      <c r="D2100" s="8" t="s">
        <v>410</v>
      </c>
      <c r="E2100" s="8"/>
      <c r="F2100" s="8" t="s">
        <v>4326</v>
      </c>
      <c r="G2100" s="8" t="s">
        <v>190</v>
      </c>
      <c r="H2100" s="8" t="s">
        <v>191</v>
      </c>
      <c r="I2100" s="8" t="s">
        <v>4327</v>
      </c>
      <c r="J2100" s="8" t="s">
        <v>4328</v>
      </c>
      <c r="K2100" s="8" t="s">
        <v>194</v>
      </c>
      <c r="L2100" s="8" t="s">
        <v>163</v>
      </c>
      <c r="M2100" s="8" t="s">
        <v>14077</v>
      </c>
      <c r="N2100" s="8" t="s">
        <v>128</v>
      </c>
      <c r="O2100" s="8" t="s">
        <v>14078</v>
      </c>
      <c r="P2100" s="8"/>
      <c r="Q2100" s="8" t="s">
        <v>740</v>
      </c>
      <c r="R2100" s="8"/>
      <c r="S2100" s="8" t="s">
        <v>4332</v>
      </c>
      <c r="T2100" s="8" t="s">
        <v>1745</v>
      </c>
      <c r="U2100" s="8" t="s">
        <v>134</v>
      </c>
      <c r="V2100" s="8" t="s">
        <v>740</v>
      </c>
      <c r="W2100" s="8" t="s">
        <v>1745</v>
      </c>
      <c r="X2100" s="8">
        <v>22</v>
      </c>
      <c r="Y2100" s="8" t="s">
        <v>12359</v>
      </c>
      <c r="Z2100" s="8">
        <v>20</v>
      </c>
      <c r="AA2100" s="8">
        <v>0</v>
      </c>
      <c r="AB2100" s="9">
        <v>0</v>
      </c>
    </row>
    <row r="2101" spans="1:28" x14ac:dyDescent="0.2">
      <c r="A2101" s="10">
        <v>25120</v>
      </c>
      <c r="B2101" s="11" t="s">
        <v>14079</v>
      </c>
      <c r="C2101" s="11" t="s">
        <v>1928</v>
      </c>
      <c r="D2101" s="11" t="s">
        <v>2768</v>
      </c>
      <c r="E2101" s="11" t="s">
        <v>14080</v>
      </c>
      <c r="F2101" s="11" t="s">
        <v>353</v>
      </c>
      <c r="G2101" s="11" t="s">
        <v>556</v>
      </c>
      <c r="H2101" s="11" t="s">
        <v>557</v>
      </c>
      <c r="I2101" s="11" t="s">
        <v>14081</v>
      </c>
      <c r="J2101" s="11" t="s">
        <v>14082</v>
      </c>
      <c r="K2101" s="11" t="s">
        <v>560</v>
      </c>
      <c r="L2101" s="11" t="s">
        <v>229</v>
      </c>
      <c r="M2101" s="11" t="s">
        <v>14083</v>
      </c>
      <c r="N2101" s="11" t="s">
        <v>128</v>
      </c>
      <c r="O2101" s="11" t="s">
        <v>14084</v>
      </c>
      <c r="P2101" s="11" t="s">
        <v>14085</v>
      </c>
      <c r="Q2101" s="11" t="s">
        <v>740</v>
      </c>
      <c r="R2101" s="11"/>
      <c r="S2101" s="11" t="s">
        <v>71</v>
      </c>
      <c r="T2101" s="11" t="s">
        <v>741</v>
      </c>
      <c r="U2101" s="11" t="s">
        <v>134</v>
      </c>
      <c r="V2101" s="11" t="s">
        <v>740</v>
      </c>
      <c r="W2101" s="11" t="s">
        <v>741</v>
      </c>
      <c r="X2101" s="11">
        <v>22</v>
      </c>
      <c r="Y2101" s="11" t="s">
        <v>12359</v>
      </c>
      <c r="Z2101" s="11">
        <v>20</v>
      </c>
      <c r="AA2101" s="11">
        <v>0</v>
      </c>
      <c r="AB2101" s="12">
        <v>0</v>
      </c>
    </row>
    <row r="2102" spans="1:28" x14ac:dyDescent="0.2">
      <c r="A2102" s="7">
        <v>25232</v>
      </c>
      <c r="B2102" s="8" t="s">
        <v>14086</v>
      </c>
      <c r="C2102" s="8" t="s">
        <v>2339</v>
      </c>
      <c r="D2102" s="8" t="s">
        <v>11195</v>
      </c>
      <c r="E2102" s="8" t="s">
        <v>281</v>
      </c>
      <c r="F2102" s="8" t="s">
        <v>353</v>
      </c>
      <c r="G2102" s="8" t="s">
        <v>1196</v>
      </c>
      <c r="H2102" s="8" t="s">
        <v>142</v>
      </c>
      <c r="I2102" s="8" t="s">
        <v>6711</v>
      </c>
      <c r="J2102" s="8" t="s">
        <v>14087</v>
      </c>
      <c r="K2102" s="8" t="s">
        <v>1199</v>
      </c>
      <c r="L2102" s="8" t="s">
        <v>464</v>
      </c>
      <c r="M2102" s="8" t="s">
        <v>14088</v>
      </c>
      <c r="N2102" s="8" t="s">
        <v>128</v>
      </c>
      <c r="O2102" s="8" t="s">
        <v>14089</v>
      </c>
      <c r="P2102" s="8" t="s">
        <v>14090</v>
      </c>
      <c r="Q2102" s="8" t="s">
        <v>740</v>
      </c>
      <c r="R2102" s="8"/>
      <c r="S2102" s="8" t="s">
        <v>71</v>
      </c>
      <c r="T2102" s="8" t="s">
        <v>741</v>
      </c>
      <c r="U2102" s="8" t="s">
        <v>134</v>
      </c>
      <c r="V2102" s="8" t="s">
        <v>740</v>
      </c>
      <c r="W2102" s="8" t="s">
        <v>741</v>
      </c>
      <c r="X2102" s="8">
        <v>22</v>
      </c>
      <c r="Y2102" s="8" t="s">
        <v>12359</v>
      </c>
      <c r="Z2102" s="8">
        <v>20</v>
      </c>
      <c r="AA2102" s="8">
        <v>0</v>
      </c>
      <c r="AB2102" s="9">
        <v>0</v>
      </c>
    </row>
    <row r="2103" spans="1:28" x14ac:dyDescent="0.2">
      <c r="A2103" s="10">
        <v>25414</v>
      </c>
      <c r="B2103" s="11" t="s">
        <v>14091</v>
      </c>
      <c r="C2103" s="11" t="s">
        <v>8113</v>
      </c>
      <c r="D2103" s="11" t="s">
        <v>4630</v>
      </c>
      <c r="E2103" s="11" t="s">
        <v>14092</v>
      </c>
      <c r="F2103" s="11" t="s">
        <v>8115</v>
      </c>
      <c r="G2103" s="11" t="s">
        <v>141</v>
      </c>
      <c r="H2103" s="11" t="s">
        <v>142</v>
      </c>
      <c r="I2103" s="11" t="s">
        <v>14093</v>
      </c>
      <c r="J2103" s="11" t="s">
        <v>8117</v>
      </c>
      <c r="K2103" s="11" t="s">
        <v>651</v>
      </c>
      <c r="L2103" s="11" t="s">
        <v>146</v>
      </c>
      <c r="M2103" s="11" t="s">
        <v>14094</v>
      </c>
      <c r="N2103" s="11" t="s">
        <v>128</v>
      </c>
      <c r="O2103" s="11" t="s">
        <v>14095</v>
      </c>
      <c r="P2103" s="11" t="s">
        <v>14096</v>
      </c>
      <c r="Q2103" s="11" t="s">
        <v>249</v>
      </c>
      <c r="R2103" s="11"/>
      <c r="S2103" s="11" t="s">
        <v>8120</v>
      </c>
      <c r="T2103" s="11" t="s">
        <v>250</v>
      </c>
      <c r="U2103" s="11" t="s">
        <v>134</v>
      </c>
      <c r="V2103" s="11" t="s">
        <v>249</v>
      </c>
      <c r="W2103" s="11" t="s">
        <v>250</v>
      </c>
      <c r="X2103" s="11">
        <v>22</v>
      </c>
      <c r="Y2103" s="11" t="s">
        <v>12359</v>
      </c>
      <c r="Z2103" s="11">
        <v>20</v>
      </c>
      <c r="AA2103" s="11">
        <v>0</v>
      </c>
      <c r="AB2103" s="12">
        <v>0</v>
      </c>
    </row>
    <row r="2104" spans="1:28" x14ac:dyDescent="0.2">
      <c r="A2104" s="7">
        <v>25537</v>
      </c>
      <c r="B2104" s="8" t="s">
        <v>14097</v>
      </c>
      <c r="C2104" s="8" t="s">
        <v>14098</v>
      </c>
      <c r="D2104" s="8" t="s">
        <v>6159</v>
      </c>
      <c r="E2104" s="8"/>
      <c r="F2104" s="8" t="s">
        <v>353</v>
      </c>
      <c r="G2104" s="8" t="s">
        <v>1438</v>
      </c>
      <c r="H2104" s="8" t="s">
        <v>122</v>
      </c>
      <c r="I2104" s="8" t="s">
        <v>14099</v>
      </c>
      <c r="J2104" s="8" t="s">
        <v>14100</v>
      </c>
      <c r="K2104" s="8" t="s">
        <v>125</v>
      </c>
      <c r="L2104" s="8" t="s">
        <v>126</v>
      </c>
      <c r="M2104" s="8" t="s">
        <v>14101</v>
      </c>
      <c r="N2104" s="8" t="s">
        <v>128</v>
      </c>
      <c r="O2104" s="8" t="s">
        <v>14102</v>
      </c>
      <c r="P2104" s="8" t="s">
        <v>14103</v>
      </c>
      <c r="Q2104" s="8" t="s">
        <v>249</v>
      </c>
      <c r="R2104" s="8"/>
      <c r="S2104" s="8" t="s">
        <v>71</v>
      </c>
      <c r="T2104" s="8" t="s">
        <v>250</v>
      </c>
      <c r="U2104" s="8" t="s">
        <v>134</v>
      </c>
      <c r="V2104" s="8" t="s">
        <v>249</v>
      </c>
      <c r="W2104" s="8" t="s">
        <v>250</v>
      </c>
      <c r="X2104" s="8">
        <v>22</v>
      </c>
      <c r="Y2104" s="8" t="s">
        <v>12359</v>
      </c>
      <c r="Z2104" s="8">
        <v>20</v>
      </c>
      <c r="AA2104" s="8">
        <v>0</v>
      </c>
      <c r="AB2104" s="9">
        <v>0</v>
      </c>
    </row>
    <row r="2105" spans="1:28" x14ac:dyDescent="0.2">
      <c r="A2105" s="10">
        <v>25551</v>
      </c>
      <c r="B2105" s="11" t="s">
        <v>14104</v>
      </c>
      <c r="C2105" s="11" t="s">
        <v>3845</v>
      </c>
      <c r="D2105" s="11" t="s">
        <v>14105</v>
      </c>
      <c r="E2105" s="11"/>
      <c r="F2105" s="11" t="s">
        <v>353</v>
      </c>
      <c r="G2105" s="11" t="s">
        <v>2435</v>
      </c>
      <c r="H2105" s="11" t="s">
        <v>142</v>
      </c>
      <c r="I2105" s="11" t="s">
        <v>3847</v>
      </c>
      <c r="J2105" s="11" t="s">
        <v>14106</v>
      </c>
      <c r="K2105" s="11" t="s">
        <v>1029</v>
      </c>
      <c r="L2105" s="11" t="s">
        <v>464</v>
      </c>
      <c r="M2105" s="11" t="s">
        <v>14107</v>
      </c>
      <c r="N2105" s="11" t="s">
        <v>128</v>
      </c>
      <c r="O2105" s="11" t="s">
        <v>14108</v>
      </c>
      <c r="P2105" s="11" t="s">
        <v>14109</v>
      </c>
      <c r="Q2105" s="11" t="s">
        <v>249</v>
      </c>
      <c r="R2105" s="11"/>
      <c r="S2105" s="11" t="s">
        <v>71</v>
      </c>
      <c r="T2105" s="11" t="s">
        <v>250</v>
      </c>
      <c r="U2105" s="11" t="s">
        <v>134</v>
      </c>
      <c r="V2105" s="11" t="s">
        <v>249</v>
      </c>
      <c r="W2105" s="11" t="s">
        <v>250</v>
      </c>
      <c r="X2105" s="11">
        <v>22</v>
      </c>
      <c r="Y2105" s="11" t="s">
        <v>12359</v>
      </c>
      <c r="Z2105" s="11">
        <v>20</v>
      </c>
      <c r="AA2105" s="11">
        <v>0</v>
      </c>
      <c r="AB2105" s="12">
        <v>0</v>
      </c>
    </row>
    <row r="2106" spans="1:28" x14ac:dyDescent="0.2">
      <c r="A2106" s="7">
        <v>21189</v>
      </c>
      <c r="B2106" s="8" t="s">
        <v>14110</v>
      </c>
      <c r="C2106" s="8" t="s">
        <v>14111</v>
      </c>
      <c r="D2106" s="8" t="s">
        <v>2690</v>
      </c>
      <c r="E2106" s="8"/>
      <c r="F2106" s="8" t="s">
        <v>14112</v>
      </c>
      <c r="G2106" s="8" t="s">
        <v>141</v>
      </c>
      <c r="H2106" s="8" t="s">
        <v>142</v>
      </c>
      <c r="I2106" s="8" t="s">
        <v>14113</v>
      </c>
      <c r="J2106" s="8" t="s">
        <v>14114</v>
      </c>
      <c r="K2106" s="8" t="s">
        <v>584</v>
      </c>
      <c r="L2106" s="8" t="s">
        <v>146</v>
      </c>
      <c r="M2106" s="8" t="s">
        <v>14115</v>
      </c>
      <c r="N2106" s="8" t="s">
        <v>128</v>
      </c>
      <c r="O2106" s="8" t="s">
        <v>14116</v>
      </c>
      <c r="P2106" s="8" t="s">
        <v>14117</v>
      </c>
      <c r="Q2106" s="8" t="s">
        <v>150</v>
      </c>
      <c r="R2106" s="8"/>
      <c r="S2106" s="8" t="s">
        <v>71</v>
      </c>
      <c r="T2106" s="8" t="s">
        <v>289</v>
      </c>
      <c r="U2106" s="8" t="s">
        <v>150</v>
      </c>
      <c r="V2106" s="8" t="s">
        <v>289</v>
      </c>
      <c r="W2106" s="8" t="s">
        <v>289</v>
      </c>
      <c r="X2106" s="8">
        <v>21</v>
      </c>
      <c r="Y2106" s="8" t="s">
        <v>12359</v>
      </c>
      <c r="Z2106" s="8">
        <v>20</v>
      </c>
      <c r="AA2106" s="8">
        <v>0</v>
      </c>
      <c r="AB2106" s="9">
        <v>0</v>
      </c>
    </row>
    <row r="2107" spans="1:28" x14ac:dyDescent="0.2">
      <c r="A2107" s="10">
        <v>22490</v>
      </c>
      <c r="B2107" s="11" t="s">
        <v>14118</v>
      </c>
      <c r="C2107" s="11" t="s">
        <v>8515</v>
      </c>
      <c r="D2107" s="11" t="s">
        <v>138</v>
      </c>
      <c r="E2107" s="11" t="s">
        <v>14119</v>
      </c>
      <c r="F2107" s="11" t="s">
        <v>14120</v>
      </c>
      <c r="G2107" s="11" t="s">
        <v>141</v>
      </c>
      <c r="H2107" s="11" t="s">
        <v>142</v>
      </c>
      <c r="I2107" s="11" t="s">
        <v>1659</v>
      </c>
      <c r="J2107" s="11" t="s">
        <v>8517</v>
      </c>
      <c r="K2107" s="11" t="s">
        <v>145</v>
      </c>
      <c r="L2107" s="11" t="s">
        <v>146</v>
      </c>
      <c r="M2107" s="11" t="s">
        <v>14121</v>
      </c>
      <c r="N2107" s="11" t="s">
        <v>128</v>
      </c>
      <c r="O2107" s="11" t="s">
        <v>14122</v>
      </c>
      <c r="P2107" s="11"/>
      <c r="Q2107" s="11" t="s">
        <v>131</v>
      </c>
      <c r="R2107" s="11"/>
      <c r="S2107" s="11" t="s">
        <v>1664</v>
      </c>
      <c r="T2107" s="11" t="s">
        <v>983</v>
      </c>
      <c r="U2107" s="11" t="s">
        <v>134</v>
      </c>
      <c r="V2107" s="11" t="s">
        <v>131</v>
      </c>
      <c r="W2107" s="11" t="s">
        <v>983</v>
      </c>
      <c r="X2107" s="11">
        <v>21</v>
      </c>
      <c r="Y2107" s="11" t="s">
        <v>12359</v>
      </c>
      <c r="Z2107" s="11">
        <v>20</v>
      </c>
      <c r="AA2107" s="11">
        <v>0</v>
      </c>
      <c r="AB2107" s="12">
        <v>0</v>
      </c>
    </row>
    <row r="2108" spans="1:28" x14ac:dyDescent="0.2">
      <c r="A2108" s="7">
        <v>21993</v>
      </c>
      <c r="B2108" s="8" t="s">
        <v>14123</v>
      </c>
      <c r="C2108" s="8" t="s">
        <v>4578</v>
      </c>
      <c r="D2108" s="8" t="s">
        <v>904</v>
      </c>
      <c r="E2108" s="8" t="s">
        <v>281</v>
      </c>
      <c r="F2108" s="8" t="s">
        <v>353</v>
      </c>
      <c r="G2108" s="8" t="s">
        <v>1626</v>
      </c>
      <c r="H2108" s="8" t="s">
        <v>142</v>
      </c>
      <c r="I2108" s="8" t="s">
        <v>9186</v>
      </c>
      <c r="J2108" s="8" t="s">
        <v>14124</v>
      </c>
      <c r="K2108" s="8" t="s">
        <v>472</v>
      </c>
      <c r="L2108" s="8" t="s">
        <v>146</v>
      </c>
      <c r="M2108" s="8" t="s">
        <v>14125</v>
      </c>
      <c r="N2108" s="8" t="s">
        <v>128</v>
      </c>
      <c r="O2108" s="8" t="s">
        <v>14126</v>
      </c>
      <c r="P2108" s="8" t="s">
        <v>9610</v>
      </c>
      <c r="Q2108" s="8" t="s">
        <v>131</v>
      </c>
      <c r="R2108" s="8"/>
      <c r="S2108" s="8" t="s">
        <v>2108</v>
      </c>
      <c r="T2108" s="8" t="s">
        <v>133</v>
      </c>
      <c r="U2108" s="8" t="s">
        <v>134</v>
      </c>
      <c r="V2108" s="8" t="s">
        <v>131</v>
      </c>
      <c r="W2108" s="8" t="s">
        <v>133</v>
      </c>
      <c r="X2108" s="8">
        <v>21</v>
      </c>
      <c r="Y2108" s="8" t="s">
        <v>12359</v>
      </c>
      <c r="Z2108" s="8">
        <v>20</v>
      </c>
      <c r="AA2108" s="8">
        <v>0</v>
      </c>
      <c r="AB2108" s="9">
        <v>0</v>
      </c>
    </row>
    <row r="2109" spans="1:28" x14ac:dyDescent="0.2">
      <c r="A2109" s="10">
        <v>21839</v>
      </c>
      <c r="B2109" s="11" t="s">
        <v>14127</v>
      </c>
      <c r="C2109" s="11" t="s">
        <v>14128</v>
      </c>
      <c r="D2109" s="11" t="s">
        <v>14129</v>
      </c>
      <c r="E2109" s="11" t="s">
        <v>14130</v>
      </c>
      <c r="F2109" s="11" t="s">
        <v>11403</v>
      </c>
      <c r="G2109" s="11" t="s">
        <v>556</v>
      </c>
      <c r="H2109" s="11" t="s">
        <v>557</v>
      </c>
      <c r="I2109" s="11" t="s">
        <v>14131</v>
      </c>
      <c r="J2109" s="11" t="s">
        <v>14132</v>
      </c>
      <c r="K2109" s="11" t="s">
        <v>560</v>
      </c>
      <c r="L2109" s="11" t="s">
        <v>229</v>
      </c>
      <c r="M2109" s="11" t="s">
        <v>14133</v>
      </c>
      <c r="N2109" s="11" t="s">
        <v>128</v>
      </c>
      <c r="O2109" s="11" t="s">
        <v>14134</v>
      </c>
      <c r="P2109" s="11" t="s">
        <v>14135</v>
      </c>
      <c r="Q2109" s="11" t="s">
        <v>131</v>
      </c>
      <c r="R2109" s="11"/>
      <c r="S2109" s="11" t="s">
        <v>14136</v>
      </c>
      <c r="T2109" s="11" t="s">
        <v>133</v>
      </c>
      <c r="U2109" s="11" t="s">
        <v>134</v>
      </c>
      <c r="V2109" s="11" t="s">
        <v>131</v>
      </c>
      <c r="W2109" s="11" t="s">
        <v>133</v>
      </c>
      <c r="X2109" s="11">
        <v>21</v>
      </c>
      <c r="Y2109" s="11" t="s">
        <v>12359</v>
      </c>
      <c r="Z2109" s="11">
        <v>20</v>
      </c>
      <c r="AA2109" s="11">
        <v>0</v>
      </c>
      <c r="AB2109" s="12">
        <v>0</v>
      </c>
    </row>
    <row r="2110" spans="1:28" x14ac:dyDescent="0.2">
      <c r="A2110" s="7">
        <v>21970</v>
      </c>
      <c r="B2110" s="8" t="s">
        <v>14137</v>
      </c>
      <c r="C2110" s="8" t="s">
        <v>3862</v>
      </c>
      <c r="D2110" s="8" t="s">
        <v>3863</v>
      </c>
      <c r="E2110" s="8" t="s">
        <v>14138</v>
      </c>
      <c r="F2110" s="8" t="s">
        <v>3865</v>
      </c>
      <c r="G2110" s="8" t="s">
        <v>3612</v>
      </c>
      <c r="H2110" s="8" t="s">
        <v>704</v>
      </c>
      <c r="I2110" s="8" t="s">
        <v>3866</v>
      </c>
      <c r="J2110" s="8" t="s">
        <v>3867</v>
      </c>
      <c r="K2110" s="8" t="s">
        <v>707</v>
      </c>
      <c r="L2110" s="8" t="s">
        <v>126</v>
      </c>
      <c r="M2110" s="8" t="s">
        <v>14139</v>
      </c>
      <c r="N2110" s="8" t="s">
        <v>128</v>
      </c>
      <c r="O2110" s="8" t="s">
        <v>14140</v>
      </c>
      <c r="P2110" s="8" t="s">
        <v>14141</v>
      </c>
      <c r="Q2110" s="8" t="s">
        <v>131</v>
      </c>
      <c r="R2110" s="8"/>
      <c r="S2110" s="8" t="s">
        <v>3871</v>
      </c>
      <c r="T2110" s="8" t="s">
        <v>133</v>
      </c>
      <c r="U2110" s="8" t="s">
        <v>134</v>
      </c>
      <c r="V2110" s="8" t="s">
        <v>131</v>
      </c>
      <c r="W2110" s="8" t="s">
        <v>133</v>
      </c>
      <c r="X2110" s="8">
        <v>21</v>
      </c>
      <c r="Y2110" s="8" t="s">
        <v>12359</v>
      </c>
      <c r="Z2110" s="8">
        <v>20</v>
      </c>
      <c r="AA2110" s="8">
        <v>0</v>
      </c>
      <c r="AB2110" s="9">
        <v>0</v>
      </c>
    </row>
    <row r="2111" spans="1:28" x14ac:dyDescent="0.2">
      <c r="A2111" s="10">
        <v>21846</v>
      </c>
      <c r="B2111" s="11" t="s">
        <v>14142</v>
      </c>
      <c r="C2111" s="11" t="s">
        <v>8113</v>
      </c>
      <c r="D2111" s="11" t="s">
        <v>4630</v>
      </c>
      <c r="E2111" s="11"/>
      <c r="F2111" s="11" t="s">
        <v>8115</v>
      </c>
      <c r="G2111" s="11" t="s">
        <v>141</v>
      </c>
      <c r="H2111" s="11" t="s">
        <v>142</v>
      </c>
      <c r="I2111" s="11" t="s">
        <v>14093</v>
      </c>
      <c r="J2111" s="11" t="s">
        <v>14143</v>
      </c>
      <c r="K2111" s="11" t="s">
        <v>651</v>
      </c>
      <c r="L2111" s="11" t="s">
        <v>146</v>
      </c>
      <c r="M2111" s="11" t="s">
        <v>14144</v>
      </c>
      <c r="N2111" s="11" t="s">
        <v>128</v>
      </c>
      <c r="O2111" s="11" t="s">
        <v>14145</v>
      </c>
      <c r="P2111" s="11" t="s">
        <v>6696</v>
      </c>
      <c r="Q2111" s="11" t="s">
        <v>131</v>
      </c>
      <c r="R2111" s="11"/>
      <c r="S2111" s="11" t="s">
        <v>8120</v>
      </c>
      <c r="T2111" s="11" t="s">
        <v>133</v>
      </c>
      <c r="U2111" s="11" t="s">
        <v>134</v>
      </c>
      <c r="V2111" s="11" t="s">
        <v>131</v>
      </c>
      <c r="W2111" s="11" t="s">
        <v>133</v>
      </c>
      <c r="X2111" s="11">
        <v>21</v>
      </c>
      <c r="Y2111" s="11" t="s">
        <v>12359</v>
      </c>
      <c r="Z2111" s="11">
        <v>20</v>
      </c>
      <c r="AA2111" s="11">
        <v>0</v>
      </c>
      <c r="AB2111" s="12">
        <v>0</v>
      </c>
    </row>
    <row r="2112" spans="1:28" x14ac:dyDescent="0.2">
      <c r="A2112" s="7">
        <v>22865</v>
      </c>
      <c r="B2112" s="8" t="s">
        <v>14146</v>
      </c>
      <c r="C2112" s="8" t="s">
        <v>2664</v>
      </c>
      <c r="D2112" s="8" t="s">
        <v>2665</v>
      </c>
      <c r="E2112" s="8" t="s">
        <v>13830</v>
      </c>
      <c r="F2112" s="8" t="s">
        <v>2667</v>
      </c>
      <c r="G2112" s="8" t="s">
        <v>190</v>
      </c>
      <c r="H2112" s="8" t="s">
        <v>191</v>
      </c>
      <c r="I2112" s="8" t="s">
        <v>2668</v>
      </c>
      <c r="J2112" s="8" t="s">
        <v>2669</v>
      </c>
      <c r="K2112" s="8" t="s">
        <v>194</v>
      </c>
      <c r="L2112" s="8" t="s">
        <v>163</v>
      </c>
      <c r="M2112" s="8" t="s">
        <v>14147</v>
      </c>
      <c r="N2112" s="8" t="s">
        <v>128</v>
      </c>
      <c r="O2112" s="8" t="s">
        <v>14148</v>
      </c>
      <c r="P2112" s="8"/>
      <c r="Q2112" s="8" t="s">
        <v>150</v>
      </c>
      <c r="R2112" s="8"/>
      <c r="S2112" s="8" t="s">
        <v>2672</v>
      </c>
      <c r="T2112" s="8" t="s">
        <v>5664</v>
      </c>
      <c r="U2112" s="8" t="s">
        <v>150</v>
      </c>
      <c r="V2112" s="8" t="s">
        <v>5664</v>
      </c>
      <c r="W2112" s="8" t="s">
        <v>5664</v>
      </c>
      <c r="X2112" s="8">
        <v>21</v>
      </c>
      <c r="Y2112" s="8" t="s">
        <v>12359</v>
      </c>
      <c r="Z2112" s="8">
        <v>20</v>
      </c>
      <c r="AA2112" s="8">
        <v>0</v>
      </c>
      <c r="AB2112" s="9">
        <v>0</v>
      </c>
    </row>
    <row r="2113" spans="1:28" x14ac:dyDescent="0.2">
      <c r="A2113" s="10">
        <v>22882</v>
      </c>
      <c r="B2113" s="11" t="s">
        <v>14149</v>
      </c>
      <c r="C2113" s="11" t="s">
        <v>3791</v>
      </c>
      <c r="D2113" s="11" t="s">
        <v>2855</v>
      </c>
      <c r="E2113" s="11" t="s">
        <v>14150</v>
      </c>
      <c r="F2113" s="11" t="s">
        <v>3464</v>
      </c>
      <c r="G2113" s="11" t="s">
        <v>450</v>
      </c>
      <c r="H2113" s="11" t="s">
        <v>301</v>
      </c>
      <c r="I2113" s="11" t="s">
        <v>3795</v>
      </c>
      <c r="J2113" s="11" t="s">
        <v>14151</v>
      </c>
      <c r="K2113" s="11" t="s">
        <v>304</v>
      </c>
      <c r="L2113" s="11" t="s">
        <v>229</v>
      </c>
      <c r="M2113" s="11" t="s">
        <v>14152</v>
      </c>
      <c r="N2113" s="11" t="s">
        <v>128</v>
      </c>
      <c r="O2113" s="11" t="s">
        <v>14153</v>
      </c>
      <c r="P2113" s="11" t="s">
        <v>14154</v>
      </c>
      <c r="Q2113" s="11" t="s">
        <v>150</v>
      </c>
      <c r="R2113" s="11"/>
      <c r="S2113" s="11" t="s">
        <v>71</v>
      </c>
      <c r="T2113" s="11" t="s">
        <v>70</v>
      </c>
      <c r="U2113" s="11" t="s">
        <v>150</v>
      </c>
      <c r="V2113" s="11" t="s">
        <v>70</v>
      </c>
      <c r="W2113" s="11" t="s">
        <v>70</v>
      </c>
      <c r="X2113" s="11">
        <v>21</v>
      </c>
      <c r="Y2113" s="11" t="s">
        <v>12359</v>
      </c>
      <c r="Z2113" s="11">
        <v>20</v>
      </c>
      <c r="AA2113" s="11">
        <v>0</v>
      </c>
      <c r="AB2113" s="12">
        <v>0</v>
      </c>
    </row>
    <row r="2114" spans="1:28" x14ac:dyDescent="0.2">
      <c r="A2114" s="7">
        <v>23268</v>
      </c>
      <c r="B2114" s="8" t="s">
        <v>14155</v>
      </c>
      <c r="C2114" s="8" t="s">
        <v>2935</v>
      </c>
      <c r="D2114" s="8" t="s">
        <v>2936</v>
      </c>
      <c r="E2114" s="8" t="s">
        <v>3241</v>
      </c>
      <c r="F2114" s="8" t="s">
        <v>353</v>
      </c>
      <c r="G2114" s="8" t="s">
        <v>714</v>
      </c>
      <c r="H2114" s="8" t="s">
        <v>142</v>
      </c>
      <c r="I2114" s="8" t="s">
        <v>2938</v>
      </c>
      <c r="J2114" s="8" t="s">
        <v>2939</v>
      </c>
      <c r="K2114" s="8" t="s">
        <v>717</v>
      </c>
      <c r="L2114" s="8" t="s">
        <v>464</v>
      </c>
      <c r="M2114" s="8" t="s">
        <v>14156</v>
      </c>
      <c r="N2114" s="8" t="s">
        <v>128</v>
      </c>
      <c r="O2114" s="8" t="s">
        <v>14157</v>
      </c>
      <c r="P2114" s="8" t="s">
        <v>14158</v>
      </c>
      <c r="Q2114" s="8" t="s">
        <v>150</v>
      </c>
      <c r="R2114" s="8"/>
      <c r="S2114" s="8" t="s">
        <v>2943</v>
      </c>
      <c r="T2114" s="8" t="s">
        <v>70</v>
      </c>
      <c r="U2114" s="8" t="s">
        <v>150</v>
      </c>
      <c r="V2114" s="8" t="s">
        <v>70</v>
      </c>
      <c r="W2114" s="8" t="s">
        <v>70</v>
      </c>
      <c r="X2114" s="8">
        <v>21</v>
      </c>
      <c r="Y2114" s="8" t="s">
        <v>12359</v>
      </c>
      <c r="Z2114" s="8">
        <v>20</v>
      </c>
      <c r="AA2114" s="8">
        <v>0</v>
      </c>
      <c r="AB2114" s="9">
        <v>0</v>
      </c>
    </row>
    <row r="2115" spans="1:28" x14ac:dyDescent="0.2">
      <c r="A2115" s="10">
        <v>23048</v>
      </c>
      <c r="B2115" s="11" t="s">
        <v>14159</v>
      </c>
      <c r="C2115" s="11" t="s">
        <v>1261</v>
      </c>
      <c r="D2115" s="11" t="s">
        <v>1262</v>
      </c>
      <c r="E2115" s="11" t="s">
        <v>14160</v>
      </c>
      <c r="F2115" s="11" t="s">
        <v>757</v>
      </c>
      <c r="G2115" s="11" t="s">
        <v>521</v>
      </c>
      <c r="H2115" s="11" t="s">
        <v>522</v>
      </c>
      <c r="I2115" s="11" t="s">
        <v>1264</v>
      </c>
      <c r="J2115" s="11" t="s">
        <v>1265</v>
      </c>
      <c r="K2115" s="11" t="s">
        <v>525</v>
      </c>
      <c r="L2115" s="11" t="s">
        <v>526</v>
      </c>
      <c r="M2115" s="11" t="s">
        <v>14161</v>
      </c>
      <c r="N2115" s="11" t="s">
        <v>128</v>
      </c>
      <c r="O2115" s="11" t="s">
        <v>14162</v>
      </c>
      <c r="P2115" s="11" t="s">
        <v>9022</v>
      </c>
      <c r="Q2115" s="11" t="s">
        <v>150</v>
      </c>
      <c r="R2115" s="11"/>
      <c r="S2115" s="11" t="s">
        <v>1269</v>
      </c>
      <c r="T2115" s="11" t="s">
        <v>70</v>
      </c>
      <c r="U2115" s="11" t="s">
        <v>150</v>
      </c>
      <c r="V2115" s="11" t="s">
        <v>70</v>
      </c>
      <c r="W2115" s="11" t="s">
        <v>70</v>
      </c>
      <c r="X2115" s="11">
        <v>21</v>
      </c>
      <c r="Y2115" s="11" t="s">
        <v>12359</v>
      </c>
      <c r="Z2115" s="11">
        <v>20</v>
      </c>
      <c r="AA2115" s="11">
        <v>0</v>
      </c>
      <c r="AB2115" s="12">
        <v>0</v>
      </c>
    </row>
    <row r="2116" spans="1:28" x14ac:dyDescent="0.2">
      <c r="A2116" s="7">
        <v>23155</v>
      </c>
      <c r="B2116" s="8" t="s">
        <v>14163</v>
      </c>
      <c r="C2116" s="8" t="s">
        <v>14164</v>
      </c>
      <c r="D2116" s="8" t="s">
        <v>7382</v>
      </c>
      <c r="E2116" s="8"/>
      <c r="F2116" s="8" t="s">
        <v>353</v>
      </c>
      <c r="G2116" s="8" t="s">
        <v>4137</v>
      </c>
      <c r="H2116" s="8" t="s">
        <v>142</v>
      </c>
      <c r="I2116" s="8" t="s">
        <v>14165</v>
      </c>
      <c r="J2116" s="8" t="s">
        <v>14166</v>
      </c>
      <c r="K2116" s="8" t="s">
        <v>1199</v>
      </c>
      <c r="L2116" s="8" t="s">
        <v>464</v>
      </c>
      <c r="M2116" s="8" t="s">
        <v>14167</v>
      </c>
      <c r="N2116" s="8" t="s">
        <v>128</v>
      </c>
      <c r="O2116" s="8" t="s">
        <v>14168</v>
      </c>
      <c r="P2116" s="8" t="s">
        <v>14169</v>
      </c>
      <c r="Q2116" s="8" t="s">
        <v>150</v>
      </c>
      <c r="R2116" s="8"/>
      <c r="S2116" s="8" t="s">
        <v>71</v>
      </c>
      <c r="T2116" s="8" t="s">
        <v>70</v>
      </c>
      <c r="U2116" s="8" t="s">
        <v>150</v>
      </c>
      <c r="V2116" s="8" t="s">
        <v>70</v>
      </c>
      <c r="W2116" s="8" t="s">
        <v>70</v>
      </c>
      <c r="X2116" s="8">
        <v>21</v>
      </c>
      <c r="Y2116" s="8" t="s">
        <v>12359</v>
      </c>
      <c r="Z2116" s="8">
        <v>20</v>
      </c>
      <c r="AA2116" s="8">
        <v>0</v>
      </c>
      <c r="AB2116" s="9">
        <v>0</v>
      </c>
    </row>
    <row r="2117" spans="1:28" x14ac:dyDescent="0.2">
      <c r="A2117" s="10">
        <v>28766</v>
      </c>
      <c r="B2117" s="11" t="s">
        <v>14170</v>
      </c>
      <c r="C2117" s="11" t="s">
        <v>9805</v>
      </c>
      <c r="D2117" s="11" t="s">
        <v>14171</v>
      </c>
      <c r="E2117" s="11"/>
      <c r="F2117" s="11" t="s">
        <v>7874</v>
      </c>
      <c r="G2117" s="11" t="s">
        <v>1852</v>
      </c>
      <c r="H2117" s="11" t="s">
        <v>671</v>
      </c>
      <c r="I2117" s="11" t="s">
        <v>14172</v>
      </c>
      <c r="J2117" s="11" t="s">
        <v>14173</v>
      </c>
      <c r="K2117" s="11" t="s">
        <v>572</v>
      </c>
      <c r="L2117" s="11" t="s">
        <v>333</v>
      </c>
      <c r="M2117" s="11" t="s">
        <v>14174</v>
      </c>
      <c r="N2117" s="11" t="s">
        <v>128</v>
      </c>
      <c r="O2117" s="11" t="s">
        <v>14175</v>
      </c>
      <c r="P2117" s="11" t="s">
        <v>8690</v>
      </c>
      <c r="Q2117" s="11" t="s">
        <v>150</v>
      </c>
      <c r="R2117" s="11"/>
      <c r="S2117" s="11" t="s">
        <v>71</v>
      </c>
      <c r="T2117" s="11" t="s">
        <v>14176</v>
      </c>
      <c r="U2117" s="11" t="s">
        <v>150</v>
      </c>
      <c r="V2117" s="11" t="s">
        <v>14176</v>
      </c>
      <c r="W2117" s="11" t="s">
        <v>14176</v>
      </c>
      <c r="X2117" s="11">
        <v>21</v>
      </c>
      <c r="Y2117" s="11" t="s">
        <v>12359</v>
      </c>
      <c r="Z2117" s="11">
        <v>20</v>
      </c>
      <c r="AA2117" s="11">
        <v>0</v>
      </c>
      <c r="AB2117" s="12">
        <v>0</v>
      </c>
    </row>
    <row r="2118" spans="1:28" x14ac:dyDescent="0.2">
      <c r="A2118" s="7">
        <v>23722</v>
      </c>
      <c r="B2118" s="8" t="s">
        <v>14177</v>
      </c>
      <c r="C2118" s="8" t="s">
        <v>3187</v>
      </c>
      <c r="D2118" s="8" t="s">
        <v>14178</v>
      </c>
      <c r="E2118" s="8"/>
      <c r="F2118" s="8" t="s">
        <v>353</v>
      </c>
      <c r="G2118" s="8" t="s">
        <v>3189</v>
      </c>
      <c r="H2118" s="8" t="s">
        <v>142</v>
      </c>
      <c r="I2118" s="8" t="s">
        <v>14179</v>
      </c>
      <c r="J2118" s="8" t="s">
        <v>14180</v>
      </c>
      <c r="K2118" s="8" t="s">
        <v>472</v>
      </c>
      <c r="L2118" s="8" t="s">
        <v>146</v>
      </c>
      <c r="M2118" s="8" t="s">
        <v>14181</v>
      </c>
      <c r="N2118" s="8" t="s">
        <v>128</v>
      </c>
      <c r="O2118" s="8" t="s">
        <v>14182</v>
      </c>
      <c r="P2118" s="8" t="s">
        <v>14183</v>
      </c>
      <c r="Q2118" s="8" t="s">
        <v>150</v>
      </c>
      <c r="R2118" s="8"/>
      <c r="S2118" s="8" t="s">
        <v>71</v>
      </c>
      <c r="T2118" s="8" t="s">
        <v>168</v>
      </c>
      <c r="U2118" s="8" t="s">
        <v>150</v>
      </c>
      <c r="V2118" s="8" t="s">
        <v>168</v>
      </c>
      <c r="W2118" s="8" t="s">
        <v>168</v>
      </c>
      <c r="X2118" s="8">
        <v>21</v>
      </c>
      <c r="Y2118" s="8" t="s">
        <v>12359</v>
      </c>
      <c r="Z2118" s="8">
        <v>20</v>
      </c>
      <c r="AA2118" s="8">
        <v>0</v>
      </c>
      <c r="AB2118" s="9">
        <v>0</v>
      </c>
    </row>
    <row r="2119" spans="1:28" x14ac:dyDescent="0.2">
      <c r="A2119" s="10">
        <v>240347</v>
      </c>
      <c r="B2119" s="11" t="s">
        <v>14184</v>
      </c>
      <c r="C2119" s="11" t="s">
        <v>14185</v>
      </c>
      <c r="D2119" s="11" t="s">
        <v>9623</v>
      </c>
      <c r="E2119" s="11"/>
      <c r="F2119" s="11" t="s">
        <v>353</v>
      </c>
      <c r="G2119" s="11" t="s">
        <v>14186</v>
      </c>
      <c r="H2119" s="11" t="s">
        <v>122</v>
      </c>
      <c r="I2119" s="11" t="s">
        <v>14187</v>
      </c>
      <c r="J2119" s="11" t="s">
        <v>14188</v>
      </c>
      <c r="K2119" s="11" t="s">
        <v>1051</v>
      </c>
      <c r="L2119" s="11" t="s">
        <v>126</v>
      </c>
      <c r="M2119" s="11" t="s">
        <v>14189</v>
      </c>
      <c r="N2119" s="11" t="s">
        <v>128</v>
      </c>
      <c r="O2119" s="11" t="s">
        <v>14190</v>
      </c>
      <c r="P2119" s="11" t="s">
        <v>14191</v>
      </c>
      <c r="Q2119" s="11" t="s">
        <v>150</v>
      </c>
      <c r="R2119" s="11"/>
      <c r="S2119" s="11" t="s">
        <v>71</v>
      </c>
      <c r="T2119" s="11" t="s">
        <v>168</v>
      </c>
      <c r="U2119" s="11" t="s">
        <v>150</v>
      </c>
      <c r="V2119" s="11" t="s">
        <v>168</v>
      </c>
      <c r="W2119" s="11" t="s">
        <v>168</v>
      </c>
      <c r="X2119" s="11">
        <v>21</v>
      </c>
      <c r="Y2119" s="11" t="s">
        <v>12359</v>
      </c>
      <c r="Z2119" s="11">
        <v>20</v>
      </c>
      <c r="AA2119" s="11">
        <v>0</v>
      </c>
      <c r="AB2119" s="12">
        <v>0</v>
      </c>
    </row>
    <row r="2120" spans="1:28" x14ac:dyDescent="0.2">
      <c r="A2120" s="7">
        <v>23753</v>
      </c>
      <c r="B2120" s="8" t="s">
        <v>14192</v>
      </c>
      <c r="C2120" s="8" t="s">
        <v>14193</v>
      </c>
      <c r="D2120" s="8" t="s">
        <v>10515</v>
      </c>
      <c r="E2120" s="8"/>
      <c r="F2120" s="8"/>
      <c r="G2120" s="8" t="s">
        <v>2435</v>
      </c>
      <c r="H2120" s="8" t="s">
        <v>142</v>
      </c>
      <c r="I2120" s="8"/>
      <c r="J2120" s="8" t="s">
        <v>14194</v>
      </c>
      <c r="K2120" s="8" t="s">
        <v>1029</v>
      </c>
      <c r="L2120" s="8" t="s">
        <v>464</v>
      </c>
      <c r="M2120" s="8" t="s">
        <v>14195</v>
      </c>
      <c r="N2120" s="8" t="s">
        <v>128</v>
      </c>
      <c r="O2120" s="8" t="s">
        <v>14196</v>
      </c>
      <c r="P2120" s="8" t="s">
        <v>7542</v>
      </c>
      <c r="Q2120" s="8" t="s">
        <v>150</v>
      </c>
      <c r="R2120" s="8"/>
      <c r="S2120" s="8" t="s">
        <v>71</v>
      </c>
      <c r="T2120" s="8" t="s">
        <v>168</v>
      </c>
      <c r="U2120" s="8" t="s">
        <v>150</v>
      </c>
      <c r="V2120" s="8" t="s">
        <v>168</v>
      </c>
      <c r="W2120" s="8" t="s">
        <v>168</v>
      </c>
      <c r="X2120" s="8">
        <v>21</v>
      </c>
      <c r="Y2120" s="8" t="s">
        <v>12359</v>
      </c>
      <c r="Z2120" s="8">
        <v>20</v>
      </c>
      <c r="AA2120" s="8">
        <v>0</v>
      </c>
      <c r="AB2120" s="9">
        <v>0</v>
      </c>
    </row>
    <row r="2121" spans="1:28" x14ac:dyDescent="0.2">
      <c r="A2121" s="10">
        <v>23646</v>
      </c>
      <c r="B2121" s="11" t="s">
        <v>14197</v>
      </c>
      <c r="C2121" s="11" t="s">
        <v>14198</v>
      </c>
      <c r="D2121" s="11" t="s">
        <v>138</v>
      </c>
      <c r="E2121" s="11"/>
      <c r="F2121" s="11" t="s">
        <v>14199</v>
      </c>
      <c r="G2121" s="11" t="s">
        <v>300</v>
      </c>
      <c r="H2121" s="11" t="s">
        <v>301</v>
      </c>
      <c r="I2121" s="11" t="s">
        <v>5078</v>
      </c>
      <c r="J2121" s="11" t="s">
        <v>14200</v>
      </c>
      <c r="K2121" s="11" t="s">
        <v>304</v>
      </c>
      <c r="L2121" s="11" t="s">
        <v>229</v>
      </c>
      <c r="M2121" s="11" t="s">
        <v>14201</v>
      </c>
      <c r="N2121" s="11" t="s">
        <v>128</v>
      </c>
      <c r="O2121" s="11" t="s">
        <v>14202</v>
      </c>
      <c r="P2121" s="11" t="s">
        <v>1123</v>
      </c>
      <c r="Q2121" s="11" t="s">
        <v>150</v>
      </c>
      <c r="R2121" s="11"/>
      <c r="S2121" s="11" t="s">
        <v>71</v>
      </c>
      <c r="T2121" s="11" t="s">
        <v>168</v>
      </c>
      <c r="U2121" s="11" t="s">
        <v>150</v>
      </c>
      <c r="V2121" s="11" t="s">
        <v>168</v>
      </c>
      <c r="W2121" s="11" t="s">
        <v>168</v>
      </c>
      <c r="X2121" s="11">
        <v>21</v>
      </c>
      <c r="Y2121" s="11" t="s">
        <v>12359</v>
      </c>
      <c r="Z2121" s="11">
        <v>20</v>
      </c>
      <c r="AA2121" s="11">
        <v>0</v>
      </c>
      <c r="AB2121" s="12">
        <v>0</v>
      </c>
    </row>
    <row r="2122" spans="1:28" x14ac:dyDescent="0.2">
      <c r="A2122" s="7">
        <v>23621</v>
      </c>
      <c r="B2122" s="8" t="s">
        <v>14203</v>
      </c>
      <c r="C2122" s="8" t="s">
        <v>14204</v>
      </c>
      <c r="D2122" s="8" t="s">
        <v>9118</v>
      </c>
      <c r="E2122" s="8"/>
      <c r="F2122" s="8" t="s">
        <v>10016</v>
      </c>
      <c r="G2122" s="8" t="s">
        <v>141</v>
      </c>
      <c r="H2122" s="8" t="s">
        <v>142</v>
      </c>
      <c r="I2122" s="8" t="s">
        <v>14205</v>
      </c>
      <c r="J2122" s="8" t="s">
        <v>14206</v>
      </c>
      <c r="K2122" s="8" t="s">
        <v>145</v>
      </c>
      <c r="L2122" s="8" t="s">
        <v>146</v>
      </c>
      <c r="M2122" s="8" t="s">
        <v>14207</v>
      </c>
      <c r="N2122" s="8" t="s">
        <v>128</v>
      </c>
      <c r="O2122" s="8" t="s">
        <v>14208</v>
      </c>
      <c r="P2122" s="8" t="s">
        <v>14209</v>
      </c>
      <c r="Q2122" s="8" t="s">
        <v>150</v>
      </c>
      <c r="R2122" s="8"/>
      <c r="S2122" s="8" t="s">
        <v>71</v>
      </c>
      <c r="T2122" s="8" t="s">
        <v>168</v>
      </c>
      <c r="U2122" s="8" t="s">
        <v>150</v>
      </c>
      <c r="V2122" s="8" t="s">
        <v>168</v>
      </c>
      <c r="W2122" s="8" t="s">
        <v>168</v>
      </c>
      <c r="X2122" s="8">
        <v>21</v>
      </c>
      <c r="Y2122" s="8" t="s">
        <v>12359</v>
      </c>
      <c r="Z2122" s="8">
        <v>20</v>
      </c>
      <c r="AA2122" s="8">
        <v>0</v>
      </c>
      <c r="AB2122" s="9">
        <v>0</v>
      </c>
    </row>
    <row r="2123" spans="1:28" x14ac:dyDescent="0.2">
      <c r="A2123" s="10">
        <v>24970</v>
      </c>
      <c r="B2123" s="11" t="s">
        <v>14210</v>
      </c>
      <c r="C2123" s="11" t="s">
        <v>1322</v>
      </c>
      <c r="D2123" s="11" t="s">
        <v>14211</v>
      </c>
      <c r="E2123" s="11"/>
      <c r="F2123" s="11" t="s">
        <v>353</v>
      </c>
      <c r="G2123" s="11" t="s">
        <v>1325</v>
      </c>
      <c r="H2123" s="11" t="s">
        <v>142</v>
      </c>
      <c r="I2123" s="11" t="s">
        <v>1326</v>
      </c>
      <c r="J2123" s="11" t="s">
        <v>14212</v>
      </c>
      <c r="K2123" s="11" t="s">
        <v>974</v>
      </c>
      <c r="L2123" s="11" t="s">
        <v>146</v>
      </c>
      <c r="M2123" s="11" t="s">
        <v>14213</v>
      </c>
      <c r="N2123" s="11" t="s">
        <v>128</v>
      </c>
      <c r="O2123" s="11" t="s">
        <v>14214</v>
      </c>
      <c r="P2123" s="11" t="s">
        <v>14215</v>
      </c>
      <c r="Q2123" s="11" t="s">
        <v>150</v>
      </c>
      <c r="R2123" s="11"/>
      <c r="S2123" s="11" t="s">
        <v>71</v>
      </c>
      <c r="T2123" s="11" t="s">
        <v>1738</v>
      </c>
      <c r="U2123" s="11" t="s">
        <v>150</v>
      </c>
      <c r="V2123" s="11" t="s">
        <v>1738</v>
      </c>
      <c r="W2123" s="11" t="s">
        <v>1738</v>
      </c>
      <c r="X2123" s="11">
        <v>21</v>
      </c>
      <c r="Y2123" s="11" t="s">
        <v>12359</v>
      </c>
      <c r="Z2123" s="11">
        <v>20</v>
      </c>
      <c r="AA2123" s="11">
        <v>0</v>
      </c>
      <c r="AB2123" s="12">
        <v>0</v>
      </c>
    </row>
    <row r="2124" spans="1:28" x14ac:dyDescent="0.2">
      <c r="A2124" s="7">
        <v>22704</v>
      </c>
      <c r="B2124" s="8" t="s">
        <v>14216</v>
      </c>
      <c r="C2124" s="8" t="s">
        <v>137</v>
      </c>
      <c r="D2124" s="8" t="s">
        <v>138</v>
      </c>
      <c r="E2124" s="8" t="s">
        <v>14217</v>
      </c>
      <c r="F2124" s="8" t="s">
        <v>140</v>
      </c>
      <c r="G2124" s="8" t="s">
        <v>141</v>
      </c>
      <c r="H2124" s="8" t="s">
        <v>142</v>
      </c>
      <c r="I2124" s="8" t="s">
        <v>143</v>
      </c>
      <c r="J2124" s="8" t="s">
        <v>144</v>
      </c>
      <c r="K2124" s="8" t="s">
        <v>145</v>
      </c>
      <c r="L2124" s="8" t="s">
        <v>146</v>
      </c>
      <c r="M2124" s="8" t="s">
        <v>14218</v>
      </c>
      <c r="N2124" s="8" t="s">
        <v>128</v>
      </c>
      <c r="O2124" s="8" t="s">
        <v>14219</v>
      </c>
      <c r="P2124" s="8" t="s">
        <v>14220</v>
      </c>
      <c r="Q2124" s="8" t="s">
        <v>740</v>
      </c>
      <c r="R2124" s="8"/>
      <c r="S2124" s="8" t="s">
        <v>151</v>
      </c>
      <c r="T2124" s="8" t="s">
        <v>1745</v>
      </c>
      <c r="U2124" s="8" t="s">
        <v>134</v>
      </c>
      <c r="V2124" s="8" t="s">
        <v>740</v>
      </c>
      <c r="W2124" s="8" t="s">
        <v>1745</v>
      </c>
      <c r="X2124" s="8">
        <v>21</v>
      </c>
      <c r="Y2124" s="8" t="s">
        <v>12359</v>
      </c>
      <c r="Z2124" s="8">
        <v>20</v>
      </c>
      <c r="AA2124" s="8">
        <v>0</v>
      </c>
      <c r="AB2124" s="9">
        <v>0</v>
      </c>
    </row>
    <row r="2125" spans="1:28" x14ac:dyDescent="0.2">
      <c r="A2125" s="10">
        <v>26997</v>
      </c>
      <c r="B2125" s="11" t="s">
        <v>14221</v>
      </c>
      <c r="C2125" s="11" t="s">
        <v>5894</v>
      </c>
      <c r="D2125" s="11" t="s">
        <v>5895</v>
      </c>
      <c r="E2125" s="11"/>
      <c r="F2125" s="11" t="s">
        <v>14222</v>
      </c>
      <c r="G2125" s="11" t="s">
        <v>5804</v>
      </c>
      <c r="H2125" s="11" t="s">
        <v>5805</v>
      </c>
      <c r="I2125" s="11" t="s">
        <v>5897</v>
      </c>
      <c r="J2125" s="11" t="s">
        <v>14223</v>
      </c>
      <c r="K2125" s="11" t="s">
        <v>274</v>
      </c>
      <c r="L2125" s="11" t="s">
        <v>163</v>
      </c>
      <c r="M2125" s="11" t="s">
        <v>14224</v>
      </c>
      <c r="N2125" s="11" t="s">
        <v>128</v>
      </c>
      <c r="O2125" s="11" t="s">
        <v>14225</v>
      </c>
      <c r="P2125" s="11"/>
      <c r="Q2125" s="11" t="s">
        <v>740</v>
      </c>
      <c r="R2125" s="11"/>
      <c r="S2125" s="11" t="s">
        <v>5902</v>
      </c>
      <c r="T2125" s="11" t="s">
        <v>1745</v>
      </c>
      <c r="U2125" s="11" t="s">
        <v>134</v>
      </c>
      <c r="V2125" s="11" t="s">
        <v>740</v>
      </c>
      <c r="W2125" s="11" t="s">
        <v>1745</v>
      </c>
      <c r="X2125" s="11">
        <v>21</v>
      </c>
      <c r="Y2125" s="11" t="s">
        <v>12359</v>
      </c>
      <c r="Z2125" s="11">
        <v>20</v>
      </c>
      <c r="AA2125" s="11">
        <v>0</v>
      </c>
      <c r="AB2125" s="12">
        <v>0</v>
      </c>
    </row>
    <row r="2126" spans="1:28" x14ac:dyDescent="0.2">
      <c r="A2126" s="7">
        <v>240273</v>
      </c>
      <c r="B2126" s="8" t="s">
        <v>14226</v>
      </c>
      <c r="C2126" s="8" t="s">
        <v>14227</v>
      </c>
      <c r="D2126" s="8" t="s">
        <v>510</v>
      </c>
      <c r="E2126" s="8"/>
      <c r="F2126" s="8" t="s">
        <v>353</v>
      </c>
      <c r="G2126" s="8" t="s">
        <v>5158</v>
      </c>
      <c r="H2126" s="8" t="s">
        <v>142</v>
      </c>
      <c r="I2126" s="8" t="s">
        <v>14014</v>
      </c>
      <c r="J2126" s="8" t="s">
        <v>14228</v>
      </c>
      <c r="K2126" s="8" t="s">
        <v>717</v>
      </c>
      <c r="L2126" s="8" t="s">
        <v>464</v>
      </c>
      <c r="M2126" s="8" t="s">
        <v>14229</v>
      </c>
      <c r="N2126" s="8" t="s">
        <v>128</v>
      </c>
      <c r="O2126" s="8" t="s">
        <v>14230</v>
      </c>
      <c r="P2126" s="8"/>
      <c r="Q2126" s="8" t="s">
        <v>740</v>
      </c>
      <c r="R2126" s="8"/>
      <c r="S2126" s="8" t="s">
        <v>71</v>
      </c>
      <c r="T2126" s="8" t="s">
        <v>1745</v>
      </c>
      <c r="U2126" s="8" t="s">
        <v>134</v>
      </c>
      <c r="V2126" s="8" t="s">
        <v>740</v>
      </c>
      <c r="W2126" s="8" t="s">
        <v>1745</v>
      </c>
      <c r="X2126" s="8">
        <v>21</v>
      </c>
      <c r="Y2126" s="8" t="s">
        <v>12359</v>
      </c>
      <c r="Z2126" s="8">
        <v>20</v>
      </c>
      <c r="AA2126" s="8">
        <v>0</v>
      </c>
      <c r="AB2126" s="9">
        <v>0</v>
      </c>
    </row>
    <row r="2127" spans="1:28" x14ac:dyDescent="0.2">
      <c r="A2127" s="10">
        <v>25135</v>
      </c>
      <c r="B2127" s="11" t="s">
        <v>14231</v>
      </c>
      <c r="C2127" s="11" t="s">
        <v>1136</v>
      </c>
      <c r="D2127" s="11" t="s">
        <v>235</v>
      </c>
      <c r="E2127" s="11" t="s">
        <v>14232</v>
      </c>
      <c r="F2127" s="11" t="s">
        <v>8852</v>
      </c>
      <c r="G2127" s="11" t="s">
        <v>2652</v>
      </c>
      <c r="H2127" s="11" t="s">
        <v>1843</v>
      </c>
      <c r="I2127" s="11" t="s">
        <v>8853</v>
      </c>
      <c r="J2127" s="11" t="s">
        <v>8854</v>
      </c>
      <c r="K2127" s="11" t="s">
        <v>1562</v>
      </c>
      <c r="L2127" s="11" t="s">
        <v>229</v>
      </c>
      <c r="M2127" s="11" t="s">
        <v>14233</v>
      </c>
      <c r="N2127" s="11" t="s">
        <v>128</v>
      </c>
      <c r="O2127" s="11" t="s">
        <v>14234</v>
      </c>
      <c r="P2127" s="11" t="s">
        <v>14235</v>
      </c>
      <c r="Q2127" s="11" t="s">
        <v>740</v>
      </c>
      <c r="R2127" s="11"/>
      <c r="S2127" s="11" t="s">
        <v>8858</v>
      </c>
      <c r="T2127" s="11" t="s">
        <v>741</v>
      </c>
      <c r="U2127" s="11" t="s">
        <v>134</v>
      </c>
      <c r="V2127" s="11" t="s">
        <v>740</v>
      </c>
      <c r="W2127" s="11" t="s">
        <v>741</v>
      </c>
      <c r="X2127" s="11">
        <v>21</v>
      </c>
      <c r="Y2127" s="11" t="s">
        <v>12359</v>
      </c>
      <c r="Z2127" s="11">
        <v>20</v>
      </c>
      <c r="AA2127" s="11">
        <v>0</v>
      </c>
      <c r="AB2127" s="12">
        <v>0</v>
      </c>
    </row>
    <row r="2128" spans="1:28" x14ac:dyDescent="0.2">
      <c r="A2128" s="7">
        <v>26953</v>
      </c>
      <c r="B2128" s="8" t="s">
        <v>14236</v>
      </c>
      <c r="C2128" s="8" t="s">
        <v>396</v>
      </c>
      <c r="D2128" s="8" t="s">
        <v>397</v>
      </c>
      <c r="E2128" s="8" t="s">
        <v>8263</v>
      </c>
      <c r="F2128" s="8" t="s">
        <v>399</v>
      </c>
      <c r="G2128" s="8" t="s">
        <v>400</v>
      </c>
      <c r="H2128" s="8" t="s">
        <v>142</v>
      </c>
      <c r="I2128" s="8" t="s">
        <v>401</v>
      </c>
      <c r="J2128" s="8" t="s">
        <v>402</v>
      </c>
      <c r="K2128" s="8" t="s">
        <v>403</v>
      </c>
      <c r="L2128" s="8" t="s">
        <v>146</v>
      </c>
      <c r="M2128" s="8" t="s">
        <v>14237</v>
      </c>
      <c r="N2128" s="8" t="s">
        <v>128</v>
      </c>
      <c r="O2128" s="8" t="s">
        <v>14238</v>
      </c>
      <c r="P2128" s="8"/>
      <c r="Q2128" s="8" t="s">
        <v>249</v>
      </c>
      <c r="R2128" s="8"/>
      <c r="S2128" s="8" t="s">
        <v>407</v>
      </c>
      <c r="T2128" s="8" t="s">
        <v>1523</v>
      </c>
      <c r="U2128" s="8" t="s">
        <v>134</v>
      </c>
      <c r="V2128" s="8" t="s">
        <v>249</v>
      </c>
      <c r="W2128" s="8" t="s">
        <v>1523</v>
      </c>
      <c r="X2128" s="8">
        <v>21</v>
      </c>
      <c r="Y2128" s="8" t="s">
        <v>12359</v>
      </c>
      <c r="Z2128" s="8">
        <v>20</v>
      </c>
      <c r="AA2128" s="8">
        <v>0</v>
      </c>
      <c r="AB2128" s="9">
        <v>0</v>
      </c>
    </row>
    <row r="2129" spans="1:28" x14ac:dyDescent="0.2">
      <c r="A2129" s="10">
        <v>25559</v>
      </c>
      <c r="B2129" s="11" t="s">
        <v>14239</v>
      </c>
      <c r="C2129" s="11" t="s">
        <v>8433</v>
      </c>
      <c r="D2129" s="11" t="s">
        <v>4630</v>
      </c>
      <c r="E2129" s="11" t="s">
        <v>14240</v>
      </c>
      <c r="F2129" s="11" t="s">
        <v>8435</v>
      </c>
      <c r="G2129" s="11" t="s">
        <v>4270</v>
      </c>
      <c r="H2129" s="11" t="s">
        <v>4271</v>
      </c>
      <c r="I2129" s="11" t="s">
        <v>14241</v>
      </c>
      <c r="J2129" s="11" t="s">
        <v>8437</v>
      </c>
      <c r="K2129" s="11" t="s">
        <v>619</v>
      </c>
      <c r="L2129" s="11" t="s">
        <v>163</v>
      </c>
      <c r="M2129" s="11" t="s">
        <v>14242</v>
      </c>
      <c r="N2129" s="11" t="s">
        <v>128</v>
      </c>
      <c r="O2129" s="11" t="s">
        <v>14243</v>
      </c>
      <c r="P2129" s="11" t="s">
        <v>14244</v>
      </c>
      <c r="Q2129" s="11" t="s">
        <v>249</v>
      </c>
      <c r="R2129" s="11"/>
      <c r="S2129" s="11" t="s">
        <v>8441</v>
      </c>
      <c r="T2129" s="11" t="s">
        <v>250</v>
      </c>
      <c r="U2129" s="11" t="s">
        <v>134</v>
      </c>
      <c r="V2129" s="11" t="s">
        <v>249</v>
      </c>
      <c r="W2129" s="11" t="s">
        <v>250</v>
      </c>
      <c r="X2129" s="11">
        <v>21</v>
      </c>
      <c r="Y2129" s="11" t="s">
        <v>12359</v>
      </c>
      <c r="Z2129" s="11">
        <v>20</v>
      </c>
      <c r="AA2129" s="11">
        <v>0</v>
      </c>
      <c r="AB2129" s="12">
        <v>0</v>
      </c>
    </row>
    <row r="2130" spans="1:28" x14ac:dyDescent="0.2">
      <c r="A2130" s="7">
        <v>25513</v>
      </c>
      <c r="B2130" s="8" t="s">
        <v>14245</v>
      </c>
      <c r="C2130" s="8" t="s">
        <v>1911</v>
      </c>
      <c r="D2130" s="8" t="s">
        <v>1912</v>
      </c>
      <c r="E2130" s="8" t="s">
        <v>281</v>
      </c>
      <c r="F2130" s="8" t="s">
        <v>1914</v>
      </c>
      <c r="G2130" s="8" t="s">
        <v>1915</v>
      </c>
      <c r="H2130" s="8" t="s">
        <v>122</v>
      </c>
      <c r="I2130" s="8" t="s">
        <v>14246</v>
      </c>
      <c r="J2130" s="8" t="s">
        <v>14247</v>
      </c>
      <c r="K2130" s="8" t="s">
        <v>1051</v>
      </c>
      <c r="L2130" s="8" t="s">
        <v>126</v>
      </c>
      <c r="M2130" s="8" t="s">
        <v>14248</v>
      </c>
      <c r="N2130" s="8" t="s">
        <v>128</v>
      </c>
      <c r="O2130" s="8" t="s">
        <v>14249</v>
      </c>
      <c r="P2130" s="8" t="s">
        <v>14250</v>
      </c>
      <c r="Q2130" s="8" t="s">
        <v>249</v>
      </c>
      <c r="R2130" s="8"/>
      <c r="S2130" s="8" t="s">
        <v>1921</v>
      </c>
      <c r="T2130" s="8" t="s">
        <v>250</v>
      </c>
      <c r="U2130" s="8" t="s">
        <v>134</v>
      </c>
      <c r="V2130" s="8" t="s">
        <v>249</v>
      </c>
      <c r="W2130" s="8" t="s">
        <v>250</v>
      </c>
      <c r="X2130" s="8">
        <v>21</v>
      </c>
      <c r="Y2130" s="8" t="s">
        <v>12359</v>
      </c>
      <c r="Z2130" s="8">
        <v>20</v>
      </c>
      <c r="AA2130" s="8">
        <v>0</v>
      </c>
      <c r="AB2130" s="9">
        <v>0</v>
      </c>
    </row>
    <row r="2131" spans="1:28" x14ac:dyDescent="0.2">
      <c r="A2131" s="10">
        <v>21185</v>
      </c>
      <c r="B2131" s="11" t="s">
        <v>14251</v>
      </c>
      <c r="C2131" s="11" t="s">
        <v>14252</v>
      </c>
      <c r="D2131" s="11" t="s">
        <v>7140</v>
      </c>
      <c r="E2131" s="11" t="s">
        <v>281</v>
      </c>
      <c r="F2131" s="11" t="s">
        <v>14253</v>
      </c>
      <c r="G2131" s="11" t="s">
        <v>5804</v>
      </c>
      <c r="H2131" s="11" t="s">
        <v>5805</v>
      </c>
      <c r="I2131" s="11" t="s">
        <v>14254</v>
      </c>
      <c r="J2131" s="11" t="s">
        <v>14255</v>
      </c>
      <c r="K2131" s="11" t="s">
        <v>274</v>
      </c>
      <c r="L2131" s="11" t="s">
        <v>163</v>
      </c>
      <c r="M2131" s="11" t="s">
        <v>14256</v>
      </c>
      <c r="N2131" s="11" t="s">
        <v>128</v>
      </c>
      <c r="O2131" s="11" t="s">
        <v>14257</v>
      </c>
      <c r="P2131" s="11"/>
      <c r="Q2131" s="11" t="s">
        <v>150</v>
      </c>
      <c r="R2131" s="11"/>
      <c r="S2131" s="11" t="s">
        <v>71</v>
      </c>
      <c r="T2131" s="11" t="s">
        <v>289</v>
      </c>
      <c r="U2131" s="11" t="s">
        <v>150</v>
      </c>
      <c r="V2131" s="11" t="s">
        <v>289</v>
      </c>
      <c r="W2131" s="11" t="s">
        <v>289</v>
      </c>
      <c r="X2131" s="11">
        <v>20</v>
      </c>
      <c r="Y2131" s="11" t="s">
        <v>12359</v>
      </c>
      <c r="Z2131" s="11">
        <v>20</v>
      </c>
      <c r="AA2131" s="11">
        <v>0</v>
      </c>
      <c r="AB2131" s="12">
        <v>0</v>
      </c>
    </row>
    <row r="2132" spans="1:28" x14ac:dyDescent="0.2">
      <c r="A2132" s="7">
        <v>21178</v>
      </c>
      <c r="B2132" s="8" t="s">
        <v>14258</v>
      </c>
      <c r="C2132" s="8" t="s">
        <v>6508</v>
      </c>
      <c r="D2132" s="8" t="s">
        <v>14259</v>
      </c>
      <c r="E2132" s="8" t="s">
        <v>14260</v>
      </c>
      <c r="F2132" s="8" t="s">
        <v>14261</v>
      </c>
      <c r="G2132" s="8" t="s">
        <v>141</v>
      </c>
      <c r="H2132" s="8" t="s">
        <v>142</v>
      </c>
      <c r="I2132" s="8" t="s">
        <v>14262</v>
      </c>
      <c r="J2132" s="8" t="s">
        <v>14263</v>
      </c>
      <c r="K2132" s="8" t="s">
        <v>472</v>
      </c>
      <c r="L2132" s="8" t="s">
        <v>146</v>
      </c>
      <c r="M2132" s="8" t="s">
        <v>14264</v>
      </c>
      <c r="N2132" s="8" t="s">
        <v>128</v>
      </c>
      <c r="O2132" s="8" t="s">
        <v>14265</v>
      </c>
      <c r="P2132" s="8" t="s">
        <v>14266</v>
      </c>
      <c r="Q2132" s="8" t="s">
        <v>150</v>
      </c>
      <c r="R2132" s="8"/>
      <c r="S2132" s="8" t="s">
        <v>71</v>
      </c>
      <c r="T2132" s="8" t="s">
        <v>289</v>
      </c>
      <c r="U2132" s="8" t="s">
        <v>150</v>
      </c>
      <c r="V2132" s="8" t="s">
        <v>289</v>
      </c>
      <c r="W2132" s="8" t="s">
        <v>289</v>
      </c>
      <c r="X2132" s="8">
        <v>20</v>
      </c>
      <c r="Y2132" s="8" t="s">
        <v>12359</v>
      </c>
      <c r="Z2132" s="8">
        <v>20</v>
      </c>
      <c r="AA2132" s="8">
        <v>0</v>
      </c>
      <c r="AB2132" s="9">
        <v>0</v>
      </c>
    </row>
    <row r="2133" spans="1:28" x14ac:dyDescent="0.2">
      <c r="A2133" s="10">
        <v>26153</v>
      </c>
      <c r="B2133" s="11" t="s">
        <v>14267</v>
      </c>
      <c r="C2133" s="11" t="s">
        <v>14268</v>
      </c>
      <c r="D2133" s="11" t="s">
        <v>14269</v>
      </c>
      <c r="E2133" s="11"/>
      <c r="F2133" s="11" t="s">
        <v>14270</v>
      </c>
      <c r="G2133" s="11" t="s">
        <v>4226</v>
      </c>
      <c r="H2133" s="11" t="s">
        <v>329</v>
      </c>
      <c r="I2133" s="11" t="s">
        <v>6361</v>
      </c>
      <c r="J2133" s="11" t="s">
        <v>14271</v>
      </c>
      <c r="K2133" s="11" t="s">
        <v>415</v>
      </c>
      <c r="L2133" s="11" t="s">
        <v>333</v>
      </c>
      <c r="M2133" s="11" t="s">
        <v>14272</v>
      </c>
      <c r="N2133" s="11" t="s">
        <v>128</v>
      </c>
      <c r="O2133" s="11"/>
      <c r="P2133" s="11" t="s">
        <v>14273</v>
      </c>
      <c r="Q2133" s="11" t="s">
        <v>150</v>
      </c>
      <c r="R2133" s="11"/>
      <c r="S2133" s="11" t="s">
        <v>6366</v>
      </c>
      <c r="T2133" s="11" t="s">
        <v>642</v>
      </c>
      <c r="U2133" s="11" t="s">
        <v>150</v>
      </c>
      <c r="V2133" s="11" t="s">
        <v>642</v>
      </c>
      <c r="W2133" s="11" t="s">
        <v>642</v>
      </c>
      <c r="X2133" s="11">
        <v>20</v>
      </c>
      <c r="Y2133" s="11" t="s">
        <v>12359</v>
      </c>
      <c r="Z2133" s="11">
        <v>20</v>
      </c>
      <c r="AA2133" s="11">
        <v>0</v>
      </c>
      <c r="AB2133" s="12">
        <v>0</v>
      </c>
    </row>
    <row r="2134" spans="1:28" x14ac:dyDescent="0.2">
      <c r="A2134" s="7">
        <v>21313</v>
      </c>
      <c r="B2134" s="8" t="s">
        <v>14274</v>
      </c>
      <c r="C2134" s="8" t="s">
        <v>14275</v>
      </c>
      <c r="D2134" s="8" t="s">
        <v>235</v>
      </c>
      <c r="E2134" s="8" t="s">
        <v>14276</v>
      </c>
      <c r="F2134" s="8" t="s">
        <v>353</v>
      </c>
      <c r="G2134" s="8" t="s">
        <v>14277</v>
      </c>
      <c r="H2134" s="8" t="s">
        <v>142</v>
      </c>
      <c r="I2134" s="8" t="s">
        <v>14278</v>
      </c>
      <c r="J2134" s="8" t="s">
        <v>14279</v>
      </c>
      <c r="K2134" s="8" t="s">
        <v>472</v>
      </c>
      <c r="L2134" s="8" t="s">
        <v>146</v>
      </c>
      <c r="M2134" s="8" t="s">
        <v>14280</v>
      </c>
      <c r="N2134" s="8" t="s">
        <v>128</v>
      </c>
      <c r="O2134" s="8" t="s">
        <v>14281</v>
      </c>
      <c r="P2134" s="8" t="s">
        <v>12758</v>
      </c>
      <c r="Q2134" s="8" t="s">
        <v>150</v>
      </c>
      <c r="R2134" s="8"/>
      <c r="S2134" s="8" t="s">
        <v>71</v>
      </c>
      <c r="T2134" s="8" t="s">
        <v>67</v>
      </c>
      <c r="U2134" s="8" t="s">
        <v>150</v>
      </c>
      <c r="V2134" s="8" t="s">
        <v>152</v>
      </c>
      <c r="W2134" s="8" t="s">
        <v>67</v>
      </c>
      <c r="X2134" s="8">
        <v>20</v>
      </c>
      <c r="Y2134" s="8" t="s">
        <v>12359</v>
      </c>
      <c r="Z2134" s="8">
        <v>20</v>
      </c>
      <c r="AA2134" s="8">
        <v>0</v>
      </c>
      <c r="AB2134" s="9">
        <v>0</v>
      </c>
    </row>
    <row r="2135" spans="1:28" x14ac:dyDescent="0.2">
      <c r="A2135" s="10">
        <v>116659</v>
      </c>
      <c r="B2135" s="11" t="s">
        <v>14282</v>
      </c>
      <c r="C2135" s="11" t="s">
        <v>5894</v>
      </c>
      <c r="D2135" s="11" t="s">
        <v>5895</v>
      </c>
      <c r="E2135" s="11" t="s">
        <v>14283</v>
      </c>
      <c r="F2135" s="11" t="s">
        <v>14222</v>
      </c>
      <c r="G2135" s="11" t="s">
        <v>5804</v>
      </c>
      <c r="H2135" s="11" t="s">
        <v>5805</v>
      </c>
      <c r="I2135" s="11" t="s">
        <v>5897</v>
      </c>
      <c r="J2135" s="11" t="s">
        <v>5898</v>
      </c>
      <c r="K2135" s="11" t="s">
        <v>274</v>
      </c>
      <c r="L2135" s="11" t="s">
        <v>163</v>
      </c>
      <c r="M2135" s="11" t="s">
        <v>14284</v>
      </c>
      <c r="N2135" s="11" t="s">
        <v>128</v>
      </c>
      <c r="O2135" s="11" t="s">
        <v>14285</v>
      </c>
      <c r="P2135" s="11"/>
      <c r="Q2135" s="11" t="s">
        <v>131</v>
      </c>
      <c r="R2135" s="11"/>
      <c r="S2135" s="11" t="s">
        <v>5902</v>
      </c>
      <c r="T2135" s="11" t="s">
        <v>983</v>
      </c>
      <c r="U2135" s="11" t="s">
        <v>134</v>
      </c>
      <c r="V2135" s="11" t="s">
        <v>131</v>
      </c>
      <c r="W2135" s="11" t="s">
        <v>983</v>
      </c>
      <c r="X2135" s="11">
        <v>20</v>
      </c>
      <c r="Y2135" s="11" t="s">
        <v>12359</v>
      </c>
      <c r="Z2135" s="11">
        <v>20</v>
      </c>
      <c r="AA2135" s="11">
        <v>0</v>
      </c>
      <c r="AB2135" s="12">
        <v>0</v>
      </c>
    </row>
    <row r="2136" spans="1:28" x14ac:dyDescent="0.2">
      <c r="A2136" s="7">
        <v>118171</v>
      </c>
      <c r="B2136" s="8" t="s">
        <v>14286</v>
      </c>
      <c r="C2136" s="8" t="s">
        <v>7290</v>
      </c>
      <c r="D2136" s="8" t="s">
        <v>341</v>
      </c>
      <c r="E2136" s="8"/>
      <c r="F2136" s="8" t="s">
        <v>2073</v>
      </c>
      <c r="G2136" s="8" t="s">
        <v>328</v>
      </c>
      <c r="H2136" s="8" t="s">
        <v>329</v>
      </c>
      <c r="I2136" s="8" t="s">
        <v>14287</v>
      </c>
      <c r="J2136" s="8" t="s">
        <v>7293</v>
      </c>
      <c r="K2136" s="8" t="s">
        <v>332</v>
      </c>
      <c r="L2136" s="8" t="s">
        <v>333</v>
      </c>
      <c r="M2136" s="8" t="s">
        <v>14288</v>
      </c>
      <c r="N2136" s="8" t="s">
        <v>128</v>
      </c>
      <c r="O2136" s="8" t="s">
        <v>14289</v>
      </c>
      <c r="P2136" s="8"/>
      <c r="Q2136" s="8" t="s">
        <v>131</v>
      </c>
      <c r="R2136" s="8"/>
      <c r="S2136" s="8" t="s">
        <v>7297</v>
      </c>
      <c r="T2136" s="8" t="s">
        <v>983</v>
      </c>
      <c r="U2136" s="8" t="s">
        <v>134</v>
      </c>
      <c r="V2136" s="8" t="s">
        <v>131</v>
      </c>
      <c r="W2136" s="8" t="s">
        <v>983</v>
      </c>
      <c r="X2136" s="8">
        <v>20</v>
      </c>
      <c r="Y2136" s="8" t="s">
        <v>12359</v>
      </c>
      <c r="Z2136" s="8">
        <v>20</v>
      </c>
      <c r="AA2136" s="8">
        <v>0</v>
      </c>
      <c r="AB2136" s="9">
        <v>0</v>
      </c>
    </row>
    <row r="2137" spans="1:28" x14ac:dyDescent="0.2">
      <c r="A2137" s="10">
        <v>22652</v>
      </c>
      <c r="B2137" s="11" t="s">
        <v>14290</v>
      </c>
      <c r="C2137" s="11" t="s">
        <v>14291</v>
      </c>
      <c r="D2137" s="11" t="s">
        <v>1569</v>
      </c>
      <c r="E2137" s="11"/>
      <c r="F2137" s="11" t="s">
        <v>353</v>
      </c>
      <c r="G2137" s="11" t="s">
        <v>3855</v>
      </c>
      <c r="H2137" s="11" t="s">
        <v>142</v>
      </c>
      <c r="I2137" s="11" t="s">
        <v>14292</v>
      </c>
      <c r="J2137" s="11" t="s">
        <v>14293</v>
      </c>
      <c r="K2137" s="11" t="s">
        <v>1673</v>
      </c>
      <c r="L2137" s="11" t="s">
        <v>464</v>
      </c>
      <c r="M2137" s="11" t="s">
        <v>14294</v>
      </c>
      <c r="N2137" s="11" t="s">
        <v>128</v>
      </c>
      <c r="O2137" s="11" t="s">
        <v>14295</v>
      </c>
      <c r="P2137" s="11"/>
      <c r="Q2137" s="11" t="s">
        <v>131</v>
      </c>
      <c r="R2137" s="11"/>
      <c r="S2137" s="11" t="s">
        <v>71</v>
      </c>
      <c r="T2137" s="11" t="s">
        <v>983</v>
      </c>
      <c r="U2137" s="11" t="s">
        <v>134</v>
      </c>
      <c r="V2137" s="11" t="s">
        <v>131</v>
      </c>
      <c r="W2137" s="11" t="s">
        <v>983</v>
      </c>
      <c r="X2137" s="11">
        <v>20</v>
      </c>
      <c r="Y2137" s="11" t="s">
        <v>12359</v>
      </c>
      <c r="Z2137" s="11">
        <v>20</v>
      </c>
      <c r="AA2137" s="11">
        <v>0</v>
      </c>
      <c r="AB2137" s="12">
        <v>0</v>
      </c>
    </row>
    <row r="2138" spans="1:28" x14ac:dyDescent="0.2">
      <c r="A2138" s="7">
        <v>23531</v>
      </c>
      <c r="B2138" s="8" t="s">
        <v>14296</v>
      </c>
      <c r="C2138" s="8" t="s">
        <v>7219</v>
      </c>
      <c r="D2138" s="8" t="s">
        <v>14297</v>
      </c>
      <c r="E2138" s="8"/>
      <c r="F2138" s="8" t="s">
        <v>353</v>
      </c>
      <c r="G2138" s="8" t="s">
        <v>4831</v>
      </c>
      <c r="H2138" s="8" t="s">
        <v>122</v>
      </c>
      <c r="I2138" s="8" t="s">
        <v>7221</v>
      </c>
      <c r="J2138" s="8" t="s">
        <v>14298</v>
      </c>
      <c r="K2138" s="8" t="s">
        <v>1051</v>
      </c>
      <c r="L2138" s="8" t="s">
        <v>126</v>
      </c>
      <c r="M2138" s="8" t="s">
        <v>14299</v>
      </c>
      <c r="N2138" s="8" t="s">
        <v>128</v>
      </c>
      <c r="O2138" s="8" t="s">
        <v>14300</v>
      </c>
      <c r="P2138" s="8" t="s">
        <v>11355</v>
      </c>
      <c r="Q2138" s="8" t="s">
        <v>150</v>
      </c>
      <c r="R2138" s="8"/>
      <c r="S2138" s="8" t="s">
        <v>71</v>
      </c>
      <c r="T2138" s="8" t="s">
        <v>6736</v>
      </c>
      <c r="U2138" s="8" t="s">
        <v>150</v>
      </c>
      <c r="V2138" s="8" t="s">
        <v>6736</v>
      </c>
      <c r="W2138" s="8" t="s">
        <v>6736</v>
      </c>
      <c r="X2138" s="8">
        <v>20</v>
      </c>
      <c r="Y2138" s="8" t="s">
        <v>12359</v>
      </c>
      <c r="Z2138" s="8">
        <v>20</v>
      </c>
      <c r="AA2138" s="8">
        <v>0</v>
      </c>
      <c r="AB2138" s="9">
        <v>0</v>
      </c>
    </row>
    <row r="2139" spans="1:28" x14ac:dyDescent="0.2">
      <c r="A2139" s="10">
        <v>23347</v>
      </c>
      <c r="B2139" s="11" t="s">
        <v>14301</v>
      </c>
      <c r="C2139" s="11" t="s">
        <v>6796</v>
      </c>
      <c r="D2139" s="11" t="s">
        <v>6797</v>
      </c>
      <c r="E2139" s="11" t="s">
        <v>281</v>
      </c>
      <c r="F2139" s="11" t="s">
        <v>353</v>
      </c>
      <c r="G2139" s="11" t="s">
        <v>556</v>
      </c>
      <c r="H2139" s="11" t="s">
        <v>557</v>
      </c>
      <c r="I2139" s="11" t="s">
        <v>8414</v>
      </c>
      <c r="J2139" s="11" t="s">
        <v>9258</v>
      </c>
      <c r="K2139" s="11" t="s">
        <v>560</v>
      </c>
      <c r="L2139" s="11" t="s">
        <v>229</v>
      </c>
      <c r="M2139" s="11" t="s">
        <v>14302</v>
      </c>
      <c r="N2139" s="11" t="s">
        <v>128</v>
      </c>
      <c r="O2139" s="11" t="s">
        <v>14303</v>
      </c>
      <c r="P2139" s="11" t="s">
        <v>14304</v>
      </c>
      <c r="Q2139" s="11" t="s">
        <v>150</v>
      </c>
      <c r="R2139" s="11"/>
      <c r="S2139" s="11" t="s">
        <v>6804</v>
      </c>
      <c r="T2139" s="11" t="s">
        <v>70</v>
      </c>
      <c r="U2139" s="11" t="s">
        <v>150</v>
      </c>
      <c r="V2139" s="11" t="s">
        <v>70</v>
      </c>
      <c r="W2139" s="11" t="s">
        <v>70</v>
      </c>
      <c r="X2139" s="11">
        <v>20</v>
      </c>
      <c r="Y2139" s="11" t="s">
        <v>12359</v>
      </c>
      <c r="Z2139" s="11">
        <v>20</v>
      </c>
      <c r="AA2139" s="11">
        <v>0</v>
      </c>
      <c r="AB2139" s="12">
        <v>0</v>
      </c>
    </row>
    <row r="2140" spans="1:28" x14ac:dyDescent="0.2">
      <c r="A2140" s="7">
        <v>23462</v>
      </c>
      <c r="B2140" s="8" t="s">
        <v>14305</v>
      </c>
      <c r="C2140" s="8" t="s">
        <v>14306</v>
      </c>
      <c r="D2140" s="8" t="s">
        <v>14307</v>
      </c>
      <c r="E2140" s="8"/>
      <c r="F2140" s="8" t="s">
        <v>353</v>
      </c>
      <c r="G2140" s="8" t="s">
        <v>14308</v>
      </c>
      <c r="H2140" s="8" t="s">
        <v>142</v>
      </c>
      <c r="I2140" s="8" t="s">
        <v>14309</v>
      </c>
      <c r="J2140" s="8" t="s">
        <v>14310</v>
      </c>
      <c r="K2140" s="8" t="s">
        <v>1673</v>
      </c>
      <c r="L2140" s="8" t="s">
        <v>464</v>
      </c>
      <c r="M2140" s="8" t="s">
        <v>14311</v>
      </c>
      <c r="N2140" s="8" t="s">
        <v>128</v>
      </c>
      <c r="O2140" s="8" t="s">
        <v>14312</v>
      </c>
      <c r="P2140" s="8" t="s">
        <v>14313</v>
      </c>
      <c r="Q2140" s="8" t="s">
        <v>150</v>
      </c>
      <c r="R2140" s="8"/>
      <c r="S2140" s="8" t="s">
        <v>71</v>
      </c>
      <c r="T2140" s="8" t="s">
        <v>1415</v>
      </c>
      <c r="U2140" s="8" t="s">
        <v>150</v>
      </c>
      <c r="V2140" s="8" t="s">
        <v>1415</v>
      </c>
      <c r="W2140" s="8" t="s">
        <v>1415</v>
      </c>
      <c r="X2140" s="8">
        <v>20</v>
      </c>
      <c r="Y2140" s="8" t="s">
        <v>12359</v>
      </c>
      <c r="Z2140" s="8">
        <v>20</v>
      </c>
      <c r="AA2140" s="8">
        <v>0</v>
      </c>
      <c r="AB2140" s="9">
        <v>0</v>
      </c>
    </row>
    <row r="2141" spans="1:28" x14ac:dyDescent="0.2">
      <c r="A2141" s="10">
        <v>23600</v>
      </c>
      <c r="B2141" s="11" t="s">
        <v>14314</v>
      </c>
      <c r="C2141" s="11" t="s">
        <v>14315</v>
      </c>
      <c r="D2141" s="11" t="s">
        <v>14316</v>
      </c>
      <c r="E2141" s="11" t="s">
        <v>14317</v>
      </c>
      <c r="F2141" s="11" t="s">
        <v>14318</v>
      </c>
      <c r="G2141" s="11" t="s">
        <v>7402</v>
      </c>
      <c r="H2141" s="11" t="s">
        <v>847</v>
      </c>
      <c r="I2141" s="11" t="s">
        <v>14319</v>
      </c>
      <c r="J2141" s="11" t="s">
        <v>14320</v>
      </c>
      <c r="K2141" s="11" t="s">
        <v>1091</v>
      </c>
      <c r="L2141" s="11" t="s">
        <v>126</v>
      </c>
      <c r="M2141" s="11" t="s">
        <v>14321</v>
      </c>
      <c r="N2141" s="11" t="s">
        <v>128</v>
      </c>
      <c r="O2141" s="11" t="s">
        <v>14322</v>
      </c>
      <c r="P2141" s="11" t="s">
        <v>7753</v>
      </c>
      <c r="Q2141" s="11" t="s">
        <v>150</v>
      </c>
      <c r="R2141" s="11"/>
      <c r="S2141" s="11" t="s">
        <v>14323</v>
      </c>
      <c r="T2141" s="11" t="s">
        <v>168</v>
      </c>
      <c r="U2141" s="11" t="s">
        <v>150</v>
      </c>
      <c r="V2141" s="11" t="s">
        <v>168</v>
      </c>
      <c r="W2141" s="11" t="s">
        <v>168</v>
      </c>
      <c r="X2141" s="11">
        <v>20</v>
      </c>
      <c r="Y2141" s="11" t="s">
        <v>12359</v>
      </c>
      <c r="Z2141" s="11">
        <v>20</v>
      </c>
      <c r="AA2141" s="11">
        <v>0</v>
      </c>
      <c r="AB2141" s="12">
        <v>0</v>
      </c>
    </row>
    <row r="2142" spans="1:28" x14ac:dyDescent="0.2">
      <c r="A2142" s="7">
        <v>49887</v>
      </c>
      <c r="B2142" s="8" t="s">
        <v>14324</v>
      </c>
      <c r="C2142" s="8" t="s">
        <v>1125</v>
      </c>
      <c r="D2142" s="8" t="s">
        <v>1126</v>
      </c>
      <c r="E2142" s="8" t="s">
        <v>14325</v>
      </c>
      <c r="F2142" s="8" t="s">
        <v>14326</v>
      </c>
      <c r="G2142" s="8" t="s">
        <v>450</v>
      </c>
      <c r="H2142" s="8" t="s">
        <v>301</v>
      </c>
      <c r="I2142" s="8" t="s">
        <v>1129</v>
      </c>
      <c r="J2142" s="8" t="s">
        <v>14327</v>
      </c>
      <c r="K2142" s="8" t="s">
        <v>304</v>
      </c>
      <c r="L2142" s="8" t="s">
        <v>229</v>
      </c>
      <c r="M2142" s="8" t="s">
        <v>14328</v>
      </c>
      <c r="N2142" s="8" t="s">
        <v>128</v>
      </c>
      <c r="O2142" s="8" t="s">
        <v>14329</v>
      </c>
      <c r="P2142" s="8"/>
      <c r="Q2142" s="8" t="s">
        <v>740</v>
      </c>
      <c r="R2142" s="8"/>
      <c r="S2142" s="8" t="s">
        <v>1134</v>
      </c>
      <c r="T2142" s="8" t="s">
        <v>1745</v>
      </c>
      <c r="U2142" s="8" t="s">
        <v>134</v>
      </c>
      <c r="V2142" s="8" t="s">
        <v>740</v>
      </c>
      <c r="W2142" s="8" t="s">
        <v>1745</v>
      </c>
      <c r="X2142" s="8">
        <v>20</v>
      </c>
      <c r="Y2142" s="8" t="s">
        <v>12359</v>
      </c>
      <c r="Z2142" s="8">
        <v>20</v>
      </c>
      <c r="AA2142" s="8">
        <v>0</v>
      </c>
      <c r="AB2142" s="9">
        <v>0</v>
      </c>
    </row>
    <row r="2143" spans="1:28" x14ac:dyDescent="0.2">
      <c r="A2143" s="10">
        <v>24781</v>
      </c>
      <c r="B2143" s="11" t="s">
        <v>14330</v>
      </c>
      <c r="C2143" s="11" t="s">
        <v>9124</v>
      </c>
      <c r="D2143" s="11" t="s">
        <v>138</v>
      </c>
      <c r="E2143" s="11" t="s">
        <v>281</v>
      </c>
      <c r="F2143" s="11" t="s">
        <v>11506</v>
      </c>
      <c r="G2143" s="11" t="s">
        <v>141</v>
      </c>
      <c r="H2143" s="11" t="s">
        <v>142</v>
      </c>
      <c r="I2143" s="11" t="s">
        <v>11507</v>
      </c>
      <c r="J2143" s="11" t="s">
        <v>14331</v>
      </c>
      <c r="K2143" s="11" t="s">
        <v>991</v>
      </c>
      <c r="L2143" s="11" t="s">
        <v>146</v>
      </c>
      <c r="M2143" s="11" t="s">
        <v>14332</v>
      </c>
      <c r="N2143" s="11" t="s">
        <v>128</v>
      </c>
      <c r="O2143" s="11" t="s">
        <v>14333</v>
      </c>
      <c r="P2143" s="11" t="s">
        <v>14334</v>
      </c>
      <c r="Q2143" s="11" t="s">
        <v>740</v>
      </c>
      <c r="R2143" s="11"/>
      <c r="S2143" s="11" t="s">
        <v>9131</v>
      </c>
      <c r="T2143" s="11" t="s">
        <v>1745</v>
      </c>
      <c r="U2143" s="11" t="s">
        <v>134</v>
      </c>
      <c r="V2143" s="11" t="s">
        <v>740</v>
      </c>
      <c r="W2143" s="11" t="s">
        <v>1745</v>
      </c>
      <c r="X2143" s="11">
        <v>20</v>
      </c>
      <c r="Y2143" s="11" t="s">
        <v>12359</v>
      </c>
      <c r="Z2143" s="11">
        <v>20</v>
      </c>
      <c r="AA2143" s="11">
        <v>0</v>
      </c>
      <c r="AB2143" s="12">
        <v>0</v>
      </c>
    </row>
    <row r="2144" spans="1:28" x14ac:dyDescent="0.2">
      <c r="A2144" s="7">
        <v>25331</v>
      </c>
      <c r="B2144" s="8" t="s">
        <v>14335</v>
      </c>
      <c r="C2144" s="8" t="s">
        <v>13472</v>
      </c>
      <c r="D2144" s="8" t="s">
        <v>5844</v>
      </c>
      <c r="E2144" s="8"/>
      <c r="F2144" s="8" t="s">
        <v>1752</v>
      </c>
      <c r="G2144" s="8" t="s">
        <v>6614</v>
      </c>
      <c r="H2144" s="8" t="s">
        <v>159</v>
      </c>
      <c r="I2144" s="8" t="s">
        <v>13474</v>
      </c>
      <c r="J2144" s="8" t="s">
        <v>14336</v>
      </c>
      <c r="K2144" s="8" t="s">
        <v>162</v>
      </c>
      <c r="L2144" s="8" t="s">
        <v>163</v>
      </c>
      <c r="M2144" s="8" t="s">
        <v>14337</v>
      </c>
      <c r="N2144" s="8" t="s">
        <v>128</v>
      </c>
      <c r="O2144" s="8" t="s">
        <v>14338</v>
      </c>
      <c r="P2144" s="8"/>
      <c r="Q2144" s="8" t="s">
        <v>740</v>
      </c>
      <c r="R2144" s="8"/>
      <c r="S2144" s="8" t="s">
        <v>13479</v>
      </c>
      <c r="T2144" s="8" t="s">
        <v>1745</v>
      </c>
      <c r="U2144" s="8" t="s">
        <v>134</v>
      </c>
      <c r="V2144" s="8" t="s">
        <v>740</v>
      </c>
      <c r="W2144" s="8" t="s">
        <v>1745</v>
      </c>
      <c r="X2144" s="8">
        <v>20</v>
      </c>
      <c r="Y2144" s="8" t="s">
        <v>12359</v>
      </c>
      <c r="Z2144" s="8">
        <v>20</v>
      </c>
      <c r="AA2144" s="8">
        <v>0</v>
      </c>
      <c r="AB2144" s="9">
        <v>0</v>
      </c>
    </row>
    <row r="2145" spans="1:28" x14ac:dyDescent="0.2">
      <c r="A2145" s="10">
        <v>92879</v>
      </c>
      <c r="B2145" s="11" t="s">
        <v>14339</v>
      </c>
      <c r="C2145" s="11" t="s">
        <v>6018</v>
      </c>
      <c r="D2145" s="11" t="s">
        <v>6019</v>
      </c>
      <c r="E2145" s="11"/>
      <c r="F2145" s="11" t="s">
        <v>6021</v>
      </c>
      <c r="G2145" s="11" t="s">
        <v>14340</v>
      </c>
      <c r="H2145" s="11" t="s">
        <v>142</v>
      </c>
      <c r="I2145" s="11" t="s">
        <v>13077</v>
      </c>
      <c r="J2145" s="11" t="s">
        <v>6023</v>
      </c>
      <c r="K2145" s="11" t="s">
        <v>974</v>
      </c>
      <c r="L2145" s="11" t="s">
        <v>146</v>
      </c>
      <c r="M2145" s="11" t="s">
        <v>14341</v>
      </c>
      <c r="N2145" s="11" t="s">
        <v>128</v>
      </c>
      <c r="O2145" s="11" t="s">
        <v>14342</v>
      </c>
      <c r="P2145" s="11"/>
      <c r="Q2145" s="11" t="s">
        <v>740</v>
      </c>
      <c r="R2145" s="11"/>
      <c r="S2145" s="11" t="s">
        <v>6027</v>
      </c>
      <c r="T2145" s="11" t="s">
        <v>1745</v>
      </c>
      <c r="U2145" s="11" t="s">
        <v>134</v>
      </c>
      <c r="V2145" s="11" t="s">
        <v>740</v>
      </c>
      <c r="W2145" s="11" t="s">
        <v>1745</v>
      </c>
      <c r="X2145" s="11">
        <v>20</v>
      </c>
      <c r="Y2145" s="11" t="s">
        <v>12359</v>
      </c>
      <c r="Z2145" s="11">
        <v>20</v>
      </c>
      <c r="AA2145" s="11">
        <v>0</v>
      </c>
      <c r="AB2145" s="12">
        <v>0</v>
      </c>
    </row>
    <row r="2146" spans="1:28" x14ac:dyDescent="0.2">
      <c r="A2146" s="7">
        <v>125868</v>
      </c>
      <c r="B2146" s="8" t="s">
        <v>14343</v>
      </c>
      <c r="C2146" s="8" t="s">
        <v>5843</v>
      </c>
      <c r="D2146" s="8" t="s">
        <v>5844</v>
      </c>
      <c r="E2146" s="8"/>
      <c r="F2146" s="8" t="s">
        <v>5845</v>
      </c>
      <c r="G2146" s="8" t="s">
        <v>5846</v>
      </c>
      <c r="H2146" s="8" t="s">
        <v>159</v>
      </c>
      <c r="I2146" s="8" t="s">
        <v>14344</v>
      </c>
      <c r="J2146" s="8" t="s">
        <v>6047</v>
      </c>
      <c r="K2146" s="8" t="s">
        <v>162</v>
      </c>
      <c r="L2146" s="8" t="s">
        <v>163</v>
      </c>
      <c r="M2146" s="8" t="s">
        <v>14345</v>
      </c>
      <c r="N2146" s="8" t="s">
        <v>128</v>
      </c>
      <c r="O2146" s="8" t="s">
        <v>14346</v>
      </c>
      <c r="P2146" s="8"/>
      <c r="Q2146" s="8" t="s">
        <v>740</v>
      </c>
      <c r="R2146" s="8"/>
      <c r="S2146" s="8" t="s">
        <v>5852</v>
      </c>
      <c r="T2146" s="8" t="s">
        <v>1745</v>
      </c>
      <c r="U2146" s="8" t="s">
        <v>134</v>
      </c>
      <c r="V2146" s="8" t="s">
        <v>740</v>
      </c>
      <c r="W2146" s="8" t="s">
        <v>1745</v>
      </c>
      <c r="X2146" s="8">
        <v>20</v>
      </c>
      <c r="Y2146" s="8" t="s">
        <v>12359</v>
      </c>
      <c r="Z2146" s="8">
        <v>20</v>
      </c>
      <c r="AA2146" s="8">
        <v>0</v>
      </c>
      <c r="AB2146" s="9">
        <v>0</v>
      </c>
    </row>
    <row r="2147" spans="1:28" x14ac:dyDescent="0.2">
      <c r="A2147" s="10">
        <v>22677</v>
      </c>
      <c r="B2147" s="11" t="s">
        <v>14347</v>
      </c>
      <c r="C2147" s="11" t="s">
        <v>14348</v>
      </c>
      <c r="D2147" s="11" t="s">
        <v>14349</v>
      </c>
      <c r="E2147" s="11"/>
      <c r="F2147" s="11" t="s">
        <v>353</v>
      </c>
      <c r="G2147" s="11" t="s">
        <v>3929</v>
      </c>
      <c r="H2147" s="11" t="s">
        <v>704</v>
      </c>
      <c r="I2147" s="11" t="s">
        <v>14350</v>
      </c>
      <c r="J2147" s="11" t="s">
        <v>14351</v>
      </c>
      <c r="K2147" s="11" t="s">
        <v>850</v>
      </c>
      <c r="L2147" s="11" t="s">
        <v>126</v>
      </c>
      <c r="M2147" s="11" t="s">
        <v>14352</v>
      </c>
      <c r="N2147" s="11" t="s">
        <v>128</v>
      </c>
      <c r="O2147" s="11" t="s">
        <v>14353</v>
      </c>
      <c r="P2147" s="11"/>
      <c r="Q2147" s="11" t="s">
        <v>740</v>
      </c>
      <c r="R2147" s="11"/>
      <c r="S2147" s="11" t="s">
        <v>14354</v>
      </c>
      <c r="T2147" s="11" t="s">
        <v>1745</v>
      </c>
      <c r="U2147" s="11" t="s">
        <v>134</v>
      </c>
      <c r="V2147" s="11" t="s">
        <v>740</v>
      </c>
      <c r="W2147" s="11" t="s">
        <v>1745</v>
      </c>
      <c r="X2147" s="11">
        <v>20</v>
      </c>
      <c r="Y2147" s="11" t="s">
        <v>12359</v>
      </c>
      <c r="Z2147" s="11">
        <v>20</v>
      </c>
      <c r="AA2147" s="11">
        <v>0</v>
      </c>
      <c r="AB2147" s="12">
        <v>0</v>
      </c>
    </row>
    <row r="2148" spans="1:28" x14ac:dyDescent="0.2">
      <c r="A2148" s="7">
        <v>111608</v>
      </c>
      <c r="B2148" s="8" t="s">
        <v>14355</v>
      </c>
      <c r="C2148" s="8" t="s">
        <v>8660</v>
      </c>
      <c r="D2148" s="8" t="s">
        <v>4511</v>
      </c>
      <c r="E2148" s="8"/>
      <c r="F2148" s="8" t="s">
        <v>14356</v>
      </c>
      <c r="G2148" s="8" t="s">
        <v>1488</v>
      </c>
      <c r="H2148" s="8" t="s">
        <v>329</v>
      </c>
      <c r="I2148" s="8" t="s">
        <v>8661</v>
      </c>
      <c r="J2148" s="8" t="s">
        <v>14357</v>
      </c>
      <c r="K2148" s="8" t="s">
        <v>415</v>
      </c>
      <c r="L2148" s="8" t="s">
        <v>333</v>
      </c>
      <c r="M2148" s="8" t="s">
        <v>14358</v>
      </c>
      <c r="N2148" s="8" t="s">
        <v>128</v>
      </c>
      <c r="O2148" s="8" t="s">
        <v>14359</v>
      </c>
      <c r="P2148" s="8"/>
      <c r="Q2148" s="8" t="s">
        <v>249</v>
      </c>
      <c r="R2148" s="8"/>
      <c r="S2148" s="8" t="s">
        <v>71</v>
      </c>
      <c r="T2148" s="8" t="s">
        <v>1523</v>
      </c>
      <c r="U2148" s="8" t="s">
        <v>134</v>
      </c>
      <c r="V2148" s="8" t="s">
        <v>249</v>
      </c>
      <c r="W2148" s="8" t="s">
        <v>1523</v>
      </c>
      <c r="X2148" s="8">
        <v>20</v>
      </c>
      <c r="Y2148" s="8" t="s">
        <v>12359</v>
      </c>
      <c r="Z2148" s="8">
        <v>20</v>
      </c>
      <c r="AA2148" s="8">
        <v>0</v>
      </c>
      <c r="AB2148" s="9">
        <v>0</v>
      </c>
    </row>
    <row r="2149" spans="1:28" x14ac:dyDescent="0.2">
      <c r="A2149" s="10">
        <v>25379</v>
      </c>
      <c r="B2149" s="11" t="s">
        <v>14360</v>
      </c>
      <c r="C2149" s="11" t="s">
        <v>1610</v>
      </c>
      <c r="D2149" s="11" t="s">
        <v>1611</v>
      </c>
      <c r="E2149" s="11" t="s">
        <v>14361</v>
      </c>
      <c r="F2149" s="11" t="s">
        <v>1613</v>
      </c>
      <c r="G2149" s="11" t="s">
        <v>1614</v>
      </c>
      <c r="H2149" s="11" t="s">
        <v>142</v>
      </c>
      <c r="I2149" s="11" t="s">
        <v>1615</v>
      </c>
      <c r="J2149" s="11" t="s">
        <v>1616</v>
      </c>
      <c r="K2149" s="11" t="s">
        <v>717</v>
      </c>
      <c r="L2149" s="11" t="s">
        <v>464</v>
      </c>
      <c r="M2149" s="11" t="s">
        <v>14362</v>
      </c>
      <c r="N2149" s="11" t="s">
        <v>128</v>
      </c>
      <c r="O2149" s="11" t="s">
        <v>14363</v>
      </c>
      <c r="P2149" s="11" t="s">
        <v>14364</v>
      </c>
      <c r="Q2149" s="11" t="s">
        <v>249</v>
      </c>
      <c r="R2149" s="11"/>
      <c r="S2149" s="11" t="s">
        <v>1620</v>
      </c>
      <c r="T2149" s="11" t="s">
        <v>250</v>
      </c>
      <c r="U2149" s="11" t="s">
        <v>134</v>
      </c>
      <c r="V2149" s="11" t="s">
        <v>249</v>
      </c>
      <c r="W2149" s="11" t="s">
        <v>250</v>
      </c>
      <c r="X2149" s="11">
        <v>20</v>
      </c>
      <c r="Y2149" s="11" t="s">
        <v>12359</v>
      </c>
      <c r="Z2149" s="11">
        <v>20</v>
      </c>
      <c r="AA2149" s="11">
        <v>0</v>
      </c>
      <c r="AB2149" s="12">
        <v>0</v>
      </c>
    </row>
    <row r="2150" spans="1:28" x14ac:dyDescent="0.2">
      <c r="A2150" s="7">
        <v>21158</v>
      </c>
      <c r="B2150" s="8" t="s">
        <v>14365</v>
      </c>
      <c r="C2150" s="8" t="s">
        <v>14366</v>
      </c>
      <c r="D2150" s="8" t="s">
        <v>5114</v>
      </c>
      <c r="E2150" s="8"/>
      <c r="F2150" s="8" t="s">
        <v>13791</v>
      </c>
      <c r="G2150" s="8" t="s">
        <v>141</v>
      </c>
      <c r="H2150" s="8" t="s">
        <v>142</v>
      </c>
      <c r="I2150" s="8" t="s">
        <v>14367</v>
      </c>
      <c r="J2150" s="8" t="s">
        <v>14368</v>
      </c>
      <c r="K2150" s="8" t="s">
        <v>145</v>
      </c>
      <c r="L2150" s="8" t="s">
        <v>146</v>
      </c>
      <c r="M2150" s="8" t="s">
        <v>14369</v>
      </c>
      <c r="N2150" s="8" t="s">
        <v>128</v>
      </c>
      <c r="O2150" s="8" t="s">
        <v>14370</v>
      </c>
      <c r="P2150" s="8" t="s">
        <v>14371</v>
      </c>
      <c r="Q2150" s="8" t="s">
        <v>150</v>
      </c>
      <c r="R2150" s="8"/>
      <c r="S2150" s="8" t="s">
        <v>71</v>
      </c>
      <c r="T2150" s="8" t="s">
        <v>289</v>
      </c>
      <c r="U2150" s="8" t="s">
        <v>150</v>
      </c>
      <c r="V2150" s="8" t="s">
        <v>289</v>
      </c>
      <c r="W2150" s="8" t="s">
        <v>289</v>
      </c>
      <c r="X2150" s="8">
        <v>19</v>
      </c>
      <c r="Y2150" s="8" t="s">
        <v>12359</v>
      </c>
      <c r="Z2150" s="8">
        <v>20</v>
      </c>
      <c r="AA2150" s="8">
        <v>0</v>
      </c>
      <c r="AB2150" s="9">
        <v>0</v>
      </c>
    </row>
    <row r="2151" spans="1:28" x14ac:dyDescent="0.2">
      <c r="A2151" s="10">
        <v>109204</v>
      </c>
      <c r="B2151" s="11" t="s">
        <v>14372</v>
      </c>
      <c r="C2151" s="11" t="s">
        <v>6181</v>
      </c>
      <c r="D2151" s="11" t="s">
        <v>6182</v>
      </c>
      <c r="E2151" s="11"/>
      <c r="F2151" s="11" t="s">
        <v>6184</v>
      </c>
      <c r="G2151" s="11" t="s">
        <v>270</v>
      </c>
      <c r="H2151" s="11" t="s">
        <v>271</v>
      </c>
      <c r="I2151" s="11" t="s">
        <v>14373</v>
      </c>
      <c r="J2151" s="11" t="s">
        <v>6186</v>
      </c>
      <c r="K2151" s="11" t="s">
        <v>274</v>
      </c>
      <c r="L2151" s="11" t="s">
        <v>163</v>
      </c>
      <c r="M2151" s="11" t="s">
        <v>14374</v>
      </c>
      <c r="N2151" s="11" t="s">
        <v>128</v>
      </c>
      <c r="O2151" s="11" t="s">
        <v>14375</v>
      </c>
      <c r="P2151" s="11" t="s">
        <v>14376</v>
      </c>
      <c r="Q2151" s="11" t="s">
        <v>150</v>
      </c>
      <c r="R2151" s="11"/>
      <c r="S2151" s="11" t="s">
        <v>6190</v>
      </c>
      <c r="T2151" s="11" t="s">
        <v>67</v>
      </c>
      <c r="U2151" s="11" t="s">
        <v>150</v>
      </c>
      <c r="V2151" s="11" t="s">
        <v>152</v>
      </c>
      <c r="W2151" s="11" t="s">
        <v>67</v>
      </c>
      <c r="X2151" s="11">
        <v>19</v>
      </c>
      <c r="Y2151" s="11" t="s">
        <v>12359</v>
      </c>
      <c r="Z2151" s="11">
        <v>20</v>
      </c>
      <c r="AA2151" s="11">
        <v>0</v>
      </c>
      <c r="AB2151" s="12">
        <v>0</v>
      </c>
    </row>
    <row r="2152" spans="1:28" x14ac:dyDescent="0.2">
      <c r="A2152" s="7">
        <v>106042</v>
      </c>
      <c r="B2152" s="8" t="s">
        <v>14377</v>
      </c>
      <c r="C2152" s="8" t="s">
        <v>7307</v>
      </c>
      <c r="D2152" s="8" t="s">
        <v>3539</v>
      </c>
      <c r="E2152" s="8"/>
      <c r="F2152" s="8" t="s">
        <v>11898</v>
      </c>
      <c r="G2152" s="8" t="s">
        <v>11323</v>
      </c>
      <c r="H2152" s="8" t="s">
        <v>6410</v>
      </c>
      <c r="I2152" s="8" t="s">
        <v>7309</v>
      </c>
      <c r="J2152" s="8" t="s">
        <v>11899</v>
      </c>
      <c r="K2152" s="8" t="s">
        <v>1956</v>
      </c>
      <c r="L2152" s="8" t="s">
        <v>526</v>
      </c>
      <c r="M2152" s="8" t="s">
        <v>14378</v>
      </c>
      <c r="N2152" s="8" t="s">
        <v>128</v>
      </c>
      <c r="O2152" s="8" t="s">
        <v>14379</v>
      </c>
      <c r="P2152" s="8" t="s">
        <v>14380</v>
      </c>
      <c r="Q2152" s="8" t="s">
        <v>150</v>
      </c>
      <c r="R2152" s="8"/>
      <c r="S2152" s="8" t="s">
        <v>7314</v>
      </c>
      <c r="T2152" s="8" t="s">
        <v>67</v>
      </c>
      <c r="U2152" s="8" t="s">
        <v>150</v>
      </c>
      <c r="V2152" s="8" t="s">
        <v>152</v>
      </c>
      <c r="W2152" s="8" t="s">
        <v>67</v>
      </c>
      <c r="X2152" s="8">
        <v>19</v>
      </c>
      <c r="Y2152" s="8" t="s">
        <v>12359</v>
      </c>
      <c r="Z2152" s="8">
        <v>20</v>
      </c>
      <c r="AA2152" s="8">
        <v>0</v>
      </c>
      <c r="AB2152" s="9">
        <v>0</v>
      </c>
    </row>
    <row r="2153" spans="1:28" x14ac:dyDescent="0.2">
      <c r="A2153" s="10">
        <v>92305</v>
      </c>
      <c r="B2153" s="11" t="s">
        <v>14381</v>
      </c>
      <c r="C2153" s="11" t="s">
        <v>4510</v>
      </c>
      <c r="D2153" s="11" t="s">
        <v>4511</v>
      </c>
      <c r="E2153" s="11" t="s">
        <v>14382</v>
      </c>
      <c r="F2153" s="11" t="s">
        <v>14383</v>
      </c>
      <c r="G2153" s="11" t="s">
        <v>14384</v>
      </c>
      <c r="H2153" s="11" t="s">
        <v>847</v>
      </c>
      <c r="I2153" s="11" t="s">
        <v>4514</v>
      </c>
      <c r="J2153" s="11" t="s">
        <v>4515</v>
      </c>
      <c r="K2153" s="11" t="s">
        <v>1091</v>
      </c>
      <c r="L2153" s="11" t="s">
        <v>126</v>
      </c>
      <c r="M2153" s="11" t="s">
        <v>14385</v>
      </c>
      <c r="N2153" s="11" t="s">
        <v>128</v>
      </c>
      <c r="O2153" s="11" t="s">
        <v>14386</v>
      </c>
      <c r="P2153" s="11"/>
      <c r="Q2153" s="11" t="s">
        <v>131</v>
      </c>
      <c r="R2153" s="11"/>
      <c r="S2153" s="11" t="s">
        <v>4519</v>
      </c>
      <c r="T2153" s="11" t="s">
        <v>983</v>
      </c>
      <c r="U2153" s="11" t="s">
        <v>134</v>
      </c>
      <c r="V2153" s="11" t="s">
        <v>131</v>
      </c>
      <c r="W2153" s="11" t="s">
        <v>983</v>
      </c>
      <c r="X2153" s="11">
        <v>19</v>
      </c>
      <c r="Y2153" s="11" t="s">
        <v>12359</v>
      </c>
      <c r="Z2153" s="11">
        <v>20</v>
      </c>
      <c r="AA2153" s="11">
        <v>0</v>
      </c>
      <c r="AB2153" s="12">
        <v>0</v>
      </c>
    </row>
    <row r="2154" spans="1:28" x14ac:dyDescent="0.2">
      <c r="A2154" s="7">
        <v>235332</v>
      </c>
      <c r="B2154" s="8" t="s">
        <v>14387</v>
      </c>
      <c r="C2154" s="8" t="s">
        <v>4324</v>
      </c>
      <c r="D2154" s="8" t="s">
        <v>410</v>
      </c>
      <c r="E2154" s="8" t="s">
        <v>14388</v>
      </c>
      <c r="F2154" s="8" t="s">
        <v>4326</v>
      </c>
      <c r="G2154" s="8" t="s">
        <v>190</v>
      </c>
      <c r="H2154" s="8" t="s">
        <v>191</v>
      </c>
      <c r="I2154" s="8" t="s">
        <v>9454</v>
      </c>
      <c r="J2154" s="8" t="s">
        <v>4328</v>
      </c>
      <c r="K2154" s="8" t="s">
        <v>194</v>
      </c>
      <c r="L2154" s="8" t="s">
        <v>163</v>
      </c>
      <c r="M2154" s="8" t="s">
        <v>14389</v>
      </c>
      <c r="N2154" s="8" t="s">
        <v>128</v>
      </c>
      <c r="O2154" s="8" t="s">
        <v>14390</v>
      </c>
      <c r="P2154" s="8"/>
      <c r="Q2154" s="8" t="s">
        <v>131</v>
      </c>
      <c r="R2154" s="8"/>
      <c r="S2154" s="8" t="s">
        <v>4332</v>
      </c>
      <c r="T2154" s="8" t="s">
        <v>983</v>
      </c>
      <c r="U2154" s="8" t="s">
        <v>134</v>
      </c>
      <c r="V2154" s="8" t="s">
        <v>131</v>
      </c>
      <c r="W2154" s="8" t="s">
        <v>983</v>
      </c>
      <c r="X2154" s="8">
        <v>19</v>
      </c>
      <c r="Y2154" s="8" t="s">
        <v>12359</v>
      </c>
      <c r="Z2154" s="8">
        <v>20</v>
      </c>
      <c r="AA2154" s="8">
        <v>0</v>
      </c>
      <c r="AB2154" s="9">
        <v>0</v>
      </c>
    </row>
    <row r="2155" spans="1:28" x14ac:dyDescent="0.2">
      <c r="A2155" s="10">
        <v>22027</v>
      </c>
      <c r="B2155" s="11" t="s">
        <v>14391</v>
      </c>
      <c r="C2155" s="11" t="s">
        <v>8613</v>
      </c>
      <c r="D2155" s="11" t="s">
        <v>3539</v>
      </c>
      <c r="E2155" s="11" t="s">
        <v>281</v>
      </c>
      <c r="F2155" s="11" t="s">
        <v>353</v>
      </c>
      <c r="G2155" s="11" t="s">
        <v>8614</v>
      </c>
      <c r="H2155" s="11" t="s">
        <v>142</v>
      </c>
      <c r="I2155" s="11" t="s">
        <v>8615</v>
      </c>
      <c r="J2155" s="11" t="s">
        <v>14392</v>
      </c>
      <c r="K2155" s="11" t="s">
        <v>1199</v>
      </c>
      <c r="L2155" s="11" t="s">
        <v>464</v>
      </c>
      <c r="M2155" s="11" t="s">
        <v>14393</v>
      </c>
      <c r="N2155" s="11" t="s">
        <v>128</v>
      </c>
      <c r="O2155" s="11" t="s">
        <v>14394</v>
      </c>
      <c r="P2155" s="11"/>
      <c r="Q2155" s="11" t="s">
        <v>131</v>
      </c>
      <c r="R2155" s="11"/>
      <c r="S2155" s="11" t="s">
        <v>71</v>
      </c>
      <c r="T2155" s="11" t="s">
        <v>983</v>
      </c>
      <c r="U2155" s="11" t="s">
        <v>134</v>
      </c>
      <c r="V2155" s="11" t="s">
        <v>131</v>
      </c>
      <c r="W2155" s="11" t="s">
        <v>983</v>
      </c>
      <c r="X2155" s="11">
        <v>19</v>
      </c>
      <c r="Y2155" s="11" t="s">
        <v>12359</v>
      </c>
      <c r="Z2155" s="11">
        <v>20</v>
      </c>
      <c r="AA2155" s="11">
        <v>0</v>
      </c>
      <c r="AB2155" s="12">
        <v>0</v>
      </c>
    </row>
    <row r="2156" spans="1:28" x14ac:dyDescent="0.2">
      <c r="A2156" s="7">
        <v>21988</v>
      </c>
      <c r="B2156" s="8" t="s">
        <v>14395</v>
      </c>
      <c r="C2156" s="8" t="s">
        <v>9202</v>
      </c>
      <c r="D2156" s="8" t="s">
        <v>5114</v>
      </c>
      <c r="E2156" s="8"/>
      <c r="F2156" s="8" t="s">
        <v>6704</v>
      </c>
      <c r="G2156" s="8" t="s">
        <v>2863</v>
      </c>
      <c r="H2156" s="8" t="s">
        <v>142</v>
      </c>
      <c r="I2156" s="8" t="s">
        <v>6705</v>
      </c>
      <c r="J2156" s="8" t="s">
        <v>14396</v>
      </c>
      <c r="K2156" s="8" t="s">
        <v>974</v>
      </c>
      <c r="L2156" s="8" t="s">
        <v>146</v>
      </c>
      <c r="M2156" s="8" t="s">
        <v>14397</v>
      </c>
      <c r="N2156" s="8" t="s">
        <v>128</v>
      </c>
      <c r="O2156" s="8" t="s">
        <v>14398</v>
      </c>
      <c r="P2156" s="8"/>
      <c r="Q2156" s="8" t="s">
        <v>131</v>
      </c>
      <c r="R2156" s="8"/>
      <c r="S2156" s="8" t="s">
        <v>6709</v>
      </c>
      <c r="T2156" s="8" t="s">
        <v>983</v>
      </c>
      <c r="U2156" s="8" t="s">
        <v>134</v>
      </c>
      <c r="V2156" s="8" t="s">
        <v>131</v>
      </c>
      <c r="W2156" s="8" t="s">
        <v>983</v>
      </c>
      <c r="X2156" s="8">
        <v>19</v>
      </c>
      <c r="Y2156" s="8" t="s">
        <v>12359</v>
      </c>
      <c r="Z2156" s="8">
        <v>20</v>
      </c>
      <c r="AA2156" s="8">
        <v>0</v>
      </c>
      <c r="AB2156" s="9">
        <v>0</v>
      </c>
    </row>
    <row r="2157" spans="1:28" x14ac:dyDescent="0.2">
      <c r="A2157" s="10">
        <v>22001</v>
      </c>
      <c r="B2157" s="11" t="s">
        <v>14399</v>
      </c>
      <c r="C2157" s="11" t="s">
        <v>14400</v>
      </c>
      <c r="D2157" s="11" t="s">
        <v>10591</v>
      </c>
      <c r="E2157" s="11" t="s">
        <v>491</v>
      </c>
      <c r="F2157" s="11" t="s">
        <v>14401</v>
      </c>
      <c r="G2157" s="11" t="s">
        <v>141</v>
      </c>
      <c r="H2157" s="11" t="s">
        <v>142</v>
      </c>
      <c r="I2157" s="11" t="s">
        <v>14402</v>
      </c>
      <c r="J2157" s="11" t="s">
        <v>14403</v>
      </c>
      <c r="K2157" s="11" t="s">
        <v>651</v>
      </c>
      <c r="L2157" s="11" t="s">
        <v>146</v>
      </c>
      <c r="M2157" s="11" t="s">
        <v>14404</v>
      </c>
      <c r="N2157" s="11" t="s">
        <v>128</v>
      </c>
      <c r="O2157" s="11" t="s">
        <v>14405</v>
      </c>
      <c r="P2157" s="11" t="s">
        <v>10481</v>
      </c>
      <c r="Q2157" s="11" t="s">
        <v>131</v>
      </c>
      <c r="R2157" s="11"/>
      <c r="S2157" s="11" t="s">
        <v>14406</v>
      </c>
      <c r="T2157" s="11" t="s">
        <v>133</v>
      </c>
      <c r="U2157" s="11" t="s">
        <v>134</v>
      </c>
      <c r="V2157" s="11" t="s">
        <v>131</v>
      </c>
      <c r="W2157" s="11" t="s">
        <v>133</v>
      </c>
      <c r="X2157" s="11">
        <v>19</v>
      </c>
      <c r="Y2157" s="11" t="s">
        <v>12359</v>
      </c>
      <c r="Z2157" s="11">
        <v>20</v>
      </c>
      <c r="AA2157" s="11">
        <v>0</v>
      </c>
      <c r="AB2157" s="12">
        <v>0</v>
      </c>
    </row>
    <row r="2158" spans="1:28" x14ac:dyDescent="0.2">
      <c r="A2158" s="7">
        <v>22036</v>
      </c>
      <c r="B2158" s="8" t="s">
        <v>14407</v>
      </c>
      <c r="C2158" s="8" t="s">
        <v>14408</v>
      </c>
      <c r="D2158" s="8" t="s">
        <v>14409</v>
      </c>
      <c r="E2158" s="8"/>
      <c r="F2158" s="8" t="s">
        <v>353</v>
      </c>
      <c r="G2158" s="8" t="s">
        <v>428</v>
      </c>
      <c r="H2158" s="8" t="s">
        <v>329</v>
      </c>
      <c r="I2158" s="8" t="s">
        <v>8576</v>
      </c>
      <c r="J2158" s="8" t="s">
        <v>14410</v>
      </c>
      <c r="K2158" s="8" t="s">
        <v>431</v>
      </c>
      <c r="L2158" s="8" t="s">
        <v>333</v>
      </c>
      <c r="M2158" s="8" t="s">
        <v>14411</v>
      </c>
      <c r="N2158" s="8" t="s">
        <v>128</v>
      </c>
      <c r="O2158" s="8" t="s">
        <v>14412</v>
      </c>
      <c r="P2158" s="8" t="s">
        <v>14413</v>
      </c>
      <c r="Q2158" s="8" t="s">
        <v>131</v>
      </c>
      <c r="R2158" s="8"/>
      <c r="S2158" s="8" t="s">
        <v>71</v>
      </c>
      <c r="T2158" s="8" t="s">
        <v>133</v>
      </c>
      <c r="U2158" s="8" t="s">
        <v>134</v>
      </c>
      <c r="V2158" s="8" t="s">
        <v>131</v>
      </c>
      <c r="W2158" s="8" t="s">
        <v>133</v>
      </c>
      <c r="X2158" s="8">
        <v>19</v>
      </c>
      <c r="Y2158" s="8" t="s">
        <v>12359</v>
      </c>
      <c r="Z2158" s="8">
        <v>20</v>
      </c>
      <c r="AA2158" s="8">
        <v>0</v>
      </c>
      <c r="AB2158" s="9">
        <v>0</v>
      </c>
    </row>
    <row r="2159" spans="1:28" x14ac:dyDescent="0.2">
      <c r="A2159" s="10">
        <v>221754</v>
      </c>
      <c r="B2159" s="11" t="s">
        <v>14414</v>
      </c>
      <c r="C2159" s="11" t="s">
        <v>6672</v>
      </c>
      <c r="D2159" s="11" t="s">
        <v>13336</v>
      </c>
      <c r="E2159" s="11" t="s">
        <v>14415</v>
      </c>
      <c r="F2159" s="11" t="s">
        <v>14416</v>
      </c>
      <c r="G2159" s="11" t="s">
        <v>450</v>
      </c>
      <c r="H2159" s="11" t="s">
        <v>301</v>
      </c>
      <c r="I2159" s="11" t="s">
        <v>6676</v>
      </c>
      <c r="J2159" s="11" t="s">
        <v>14417</v>
      </c>
      <c r="K2159" s="11" t="s">
        <v>304</v>
      </c>
      <c r="L2159" s="11" t="s">
        <v>229</v>
      </c>
      <c r="M2159" s="11" t="s">
        <v>14418</v>
      </c>
      <c r="N2159" s="11" t="s">
        <v>128</v>
      </c>
      <c r="O2159" s="11" t="s">
        <v>14419</v>
      </c>
      <c r="P2159" s="11"/>
      <c r="Q2159" s="11" t="s">
        <v>150</v>
      </c>
      <c r="R2159" s="11"/>
      <c r="S2159" s="11" t="s">
        <v>71</v>
      </c>
      <c r="T2159" s="11" t="s">
        <v>14420</v>
      </c>
      <c r="U2159" s="11" t="s">
        <v>150</v>
      </c>
      <c r="V2159" s="11" t="s">
        <v>14420</v>
      </c>
      <c r="W2159" s="11" t="s">
        <v>14420</v>
      </c>
      <c r="X2159" s="11">
        <v>19</v>
      </c>
      <c r="Y2159" s="11" t="s">
        <v>12359</v>
      </c>
      <c r="Z2159" s="11">
        <v>20</v>
      </c>
      <c r="AA2159" s="11">
        <v>0</v>
      </c>
      <c r="AB2159" s="12">
        <v>0</v>
      </c>
    </row>
    <row r="2160" spans="1:28" x14ac:dyDescent="0.2">
      <c r="A2160" s="7">
        <v>124361</v>
      </c>
      <c r="B2160" s="8" t="s">
        <v>14421</v>
      </c>
      <c r="C2160" s="8" t="s">
        <v>1125</v>
      </c>
      <c r="D2160" s="8" t="s">
        <v>14422</v>
      </c>
      <c r="E2160" s="8"/>
      <c r="F2160" s="8" t="s">
        <v>7985</v>
      </c>
      <c r="G2160" s="8" t="s">
        <v>450</v>
      </c>
      <c r="H2160" s="8" t="s">
        <v>301</v>
      </c>
      <c r="I2160" s="8" t="s">
        <v>7986</v>
      </c>
      <c r="J2160" s="8" t="s">
        <v>14423</v>
      </c>
      <c r="K2160" s="8" t="s">
        <v>304</v>
      </c>
      <c r="L2160" s="8" t="s">
        <v>229</v>
      </c>
      <c r="M2160" s="8" t="s">
        <v>14424</v>
      </c>
      <c r="N2160" s="8" t="s">
        <v>128</v>
      </c>
      <c r="O2160" s="8" t="s">
        <v>14425</v>
      </c>
      <c r="P2160" s="8" t="s">
        <v>3523</v>
      </c>
      <c r="Q2160" s="8" t="s">
        <v>150</v>
      </c>
      <c r="R2160" s="8"/>
      <c r="S2160" s="8" t="s">
        <v>71</v>
      </c>
      <c r="T2160" s="8" t="s">
        <v>14420</v>
      </c>
      <c r="U2160" s="8" t="s">
        <v>150</v>
      </c>
      <c r="V2160" s="8" t="s">
        <v>14420</v>
      </c>
      <c r="W2160" s="8" t="s">
        <v>14420</v>
      </c>
      <c r="X2160" s="8">
        <v>19</v>
      </c>
      <c r="Y2160" s="8" t="s">
        <v>12359</v>
      </c>
      <c r="Z2160" s="8">
        <v>20</v>
      </c>
      <c r="AA2160" s="8">
        <v>0</v>
      </c>
      <c r="AB2160" s="9">
        <v>0</v>
      </c>
    </row>
    <row r="2161" spans="1:28" x14ac:dyDescent="0.2">
      <c r="A2161" s="10">
        <v>22562</v>
      </c>
      <c r="B2161" s="11" t="s">
        <v>14426</v>
      </c>
      <c r="C2161" s="11" t="s">
        <v>2481</v>
      </c>
      <c r="D2161" s="11" t="s">
        <v>654</v>
      </c>
      <c r="E2161" s="11"/>
      <c r="F2161" s="11" t="s">
        <v>353</v>
      </c>
      <c r="G2161" s="11" t="s">
        <v>2510</v>
      </c>
      <c r="H2161" s="11" t="s">
        <v>2511</v>
      </c>
      <c r="I2161" s="11" t="s">
        <v>14427</v>
      </c>
      <c r="J2161" s="11" t="s">
        <v>14428</v>
      </c>
      <c r="K2161" s="11" t="s">
        <v>1562</v>
      </c>
      <c r="L2161" s="11" t="s">
        <v>229</v>
      </c>
      <c r="M2161" s="11" t="s">
        <v>14429</v>
      </c>
      <c r="N2161" s="11" t="s">
        <v>128</v>
      </c>
      <c r="O2161" s="11" t="s">
        <v>14430</v>
      </c>
      <c r="P2161" s="11" t="s">
        <v>14431</v>
      </c>
      <c r="Q2161" s="11" t="s">
        <v>150</v>
      </c>
      <c r="R2161" s="11"/>
      <c r="S2161" s="11" t="s">
        <v>71</v>
      </c>
      <c r="T2161" s="11" t="s">
        <v>7898</v>
      </c>
      <c r="U2161" s="11" t="s">
        <v>150</v>
      </c>
      <c r="V2161" s="11" t="s">
        <v>7898</v>
      </c>
      <c r="W2161" s="11" t="s">
        <v>7898</v>
      </c>
      <c r="X2161" s="11">
        <v>19</v>
      </c>
      <c r="Y2161" s="11" t="s">
        <v>12359</v>
      </c>
      <c r="Z2161" s="11">
        <v>20</v>
      </c>
      <c r="AA2161" s="11">
        <v>0</v>
      </c>
      <c r="AB2161" s="12">
        <v>0</v>
      </c>
    </row>
    <row r="2162" spans="1:28" x14ac:dyDescent="0.2">
      <c r="A2162" s="7">
        <v>123936</v>
      </c>
      <c r="B2162" s="8" t="s">
        <v>14432</v>
      </c>
      <c r="C2162" s="8" t="s">
        <v>1585</v>
      </c>
      <c r="D2162" s="8" t="s">
        <v>1064</v>
      </c>
      <c r="E2162" s="8" t="s">
        <v>14433</v>
      </c>
      <c r="F2162" s="8" t="s">
        <v>1487</v>
      </c>
      <c r="G2162" s="8" t="s">
        <v>1488</v>
      </c>
      <c r="H2162" s="8" t="s">
        <v>329</v>
      </c>
      <c r="I2162" s="8" t="s">
        <v>1588</v>
      </c>
      <c r="J2162" s="8" t="s">
        <v>14434</v>
      </c>
      <c r="K2162" s="8" t="s">
        <v>415</v>
      </c>
      <c r="L2162" s="8" t="s">
        <v>333</v>
      </c>
      <c r="M2162" s="8" t="s">
        <v>14435</v>
      </c>
      <c r="N2162" s="8" t="s">
        <v>128</v>
      </c>
      <c r="O2162" s="8" t="s">
        <v>14436</v>
      </c>
      <c r="P2162" s="8" t="s">
        <v>14437</v>
      </c>
      <c r="Q2162" s="8" t="s">
        <v>150</v>
      </c>
      <c r="R2162" s="8"/>
      <c r="S2162" s="8" t="s">
        <v>71</v>
      </c>
      <c r="T2162" s="8" t="s">
        <v>70</v>
      </c>
      <c r="U2162" s="8" t="s">
        <v>150</v>
      </c>
      <c r="V2162" s="8" t="s">
        <v>70</v>
      </c>
      <c r="W2162" s="8" t="s">
        <v>70</v>
      </c>
      <c r="X2162" s="8">
        <v>19</v>
      </c>
      <c r="Y2162" s="8" t="s">
        <v>12359</v>
      </c>
      <c r="Z2162" s="8">
        <v>20</v>
      </c>
      <c r="AA2162" s="8">
        <v>0</v>
      </c>
      <c r="AB2162" s="9">
        <v>0</v>
      </c>
    </row>
    <row r="2163" spans="1:28" x14ac:dyDescent="0.2">
      <c r="A2163" s="10">
        <v>23339</v>
      </c>
      <c r="B2163" s="11" t="s">
        <v>14438</v>
      </c>
      <c r="C2163" s="11" t="s">
        <v>2101</v>
      </c>
      <c r="D2163" s="11" t="s">
        <v>2102</v>
      </c>
      <c r="E2163" s="11" t="s">
        <v>14439</v>
      </c>
      <c r="F2163" s="11" t="s">
        <v>353</v>
      </c>
      <c r="G2163" s="11" t="s">
        <v>1626</v>
      </c>
      <c r="H2163" s="11" t="s">
        <v>142</v>
      </c>
      <c r="I2163" s="11" t="s">
        <v>2103</v>
      </c>
      <c r="J2163" s="11" t="s">
        <v>2104</v>
      </c>
      <c r="K2163" s="11" t="s">
        <v>472</v>
      </c>
      <c r="L2163" s="11" t="s">
        <v>146</v>
      </c>
      <c r="M2163" s="11" t="s">
        <v>14440</v>
      </c>
      <c r="N2163" s="11" t="s">
        <v>128</v>
      </c>
      <c r="O2163" s="11" t="s">
        <v>14441</v>
      </c>
      <c r="P2163" s="11" t="s">
        <v>14442</v>
      </c>
      <c r="Q2163" s="11" t="s">
        <v>150</v>
      </c>
      <c r="R2163" s="11"/>
      <c r="S2163" s="11" t="s">
        <v>2108</v>
      </c>
      <c r="T2163" s="11" t="s">
        <v>70</v>
      </c>
      <c r="U2163" s="11" t="s">
        <v>150</v>
      </c>
      <c r="V2163" s="11" t="s">
        <v>70</v>
      </c>
      <c r="W2163" s="11" t="s">
        <v>70</v>
      </c>
      <c r="X2163" s="11">
        <v>19</v>
      </c>
      <c r="Y2163" s="11" t="s">
        <v>12359</v>
      </c>
      <c r="Z2163" s="11">
        <v>20</v>
      </c>
      <c r="AA2163" s="11">
        <v>0</v>
      </c>
      <c r="AB2163" s="12">
        <v>0</v>
      </c>
    </row>
    <row r="2164" spans="1:28" x14ac:dyDescent="0.2">
      <c r="A2164" s="7">
        <v>23042</v>
      </c>
      <c r="B2164" s="8" t="s">
        <v>14443</v>
      </c>
      <c r="C2164" s="8" t="s">
        <v>7393</v>
      </c>
      <c r="D2164" s="8" t="s">
        <v>5994</v>
      </c>
      <c r="E2164" s="8" t="s">
        <v>14444</v>
      </c>
      <c r="F2164" s="8" t="s">
        <v>7395</v>
      </c>
      <c r="G2164" s="8" t="s">
        <v>2175</v>
      </c>
      <c r="H2164" s="8" t="s">
        <v>2176</v>
      </c>
      <c r="I2164" s="8" t="s">
        <v>5997</v>
      </c>
      <c r="J2164" s="8" t="s">
        <v>7396</v>
      </c>
      <c r="K2164" s="8" t="s">
        <v>194</v>
      </c>
      <c r="L2164" s="8" t="s">
        <v>163</v>
      </c>
      <c r="M2164" s="8" t="s">
        <v>14445</v>
      </c>
      <c r="N2164" s="8" t="s">
        <v>128</v>
      </c>
      <c r="O2164" s="8" t="s">
        <v>14446</v>
      </c>
      <c r="P2164" s="8" t="s">
        <v>14447</v>
      </c>
      <c r="Q2164" s="8" t="s">
        <v>150</v>
      </c>
      <c r="R2164" s="8"/>
      <c r="S2164" s="8" t="s">
        <v>6002</v>
      </c>
      <c r="T2164" s="8" t="s">
        <v>70</v>
      </c>
      <c r="U2164" s="8" t="s">
        <v>150</v>
      </c>
      <c r="V2164" s="8" t="s">
        <v>70</v>
      </c>
      <c r="W2164" s="8" t="s">
        <v>70</v>
      </c>
      <c r="X2164" s="8">
        <v>19</v>
      </c>
      <c r="Y2164" s="8" t="s">
        <v>12359</v>
      </c>
      <c r="Z2164" s="8">
        <v>20</v>
      </c>
      <c r="AA2164" s="8">
        <v>0</v>
      </c>
      <c r="AB2164" s="9">
        <v>0</v>
      </c>
    </row>
    <row r="2165" spans="1:28" x14ac:dyDescent="0.2">
      <c r="A2165" s="10">
        <v>37964</v>
      </c>
      <c r="B2165" s="11" t="s">
        <v>14448</v>
      </c>
      <c r="C2165" s="11" t="s">
        <v>9682</v>
      </c>
      <c r="D2165" s="11" t="s">
        <v>14449</v>
      </c>
      <c r="E2165" s="11" t="s">
        <v>13711</v>
      </c>
      <c r="F2165" s="11" t="s">
        <v>9684</v>
      </c>
      <c r="G2165" s="11" t="s">
        <v>4257</v>
      </c>
      <c r="H2165" s="11" t="s">
        <v>301</v>
      </c>
      <c r="I2165" s="11" t="s">
        <v>8354</v>
      </c>
      <c r="J2165" s="11" t="s">
        <v>14450</v>
      </c>
      <c r="K2165" s="11" t="s">
        <v>228</v>
      </c>
      <c r="L2165" s="11" t="s">
        <v>229</v>
      </c>
      <c r="M2165" s="11" t="s">
        <v>14451</v>
      </c>
      <c r="N2165" s="11" t="s">
        <v>128</v>
      </c>
      <c r="O2165" s="11" t="s">
        <v>14452</v>
      </c>
      <c r="P2165" s="11" t="s">
        <v>14453</v>
      </c>
      <c r="Q2165" s="11" t="s">
        <v>150</v>
      </c>
      <c r="R2165" s="11"/>
      <c r="S2165" s="11" t="s">
        <v>9688</v>
      </c>
      <c r="T2165" s="11" t="s">
        <v>70</v>
      </c>
      <c r="U2165" s="11" t="s">
        <v>150</v>
      </c>
      <c r="V2165" s="11" t="s">
        <v>70</v>
      </c>
      <c r="W2165" s="11" t="s">
        <v>70</v>
      </c>
      <c r="X2165" s="11">
        <v>19</v>
      </c>
      <c r="Y2165" s="11" t="s">
        <v>12359</v>
      </c>
      <c r="Z2165" s="11">
        <v>20</v>
      </c>
      <c r="AA2165" s="11">
        <v>0</v>
      </c>
      <c r="AB2165" s="12">
        <v>0</v>
      </c>
    </row>
    <row r="2166" spans="1:28" x14ac:dyDescent="0.2">
      <c r="A2166" s="7">
        <v>23177</v>
      </c>
      <c r="B2166" s="8" t="s">
        <v>14454</v>
      </c>
      <c r="C2166" s="8" t="s">
        <v>14455</v>
      </c>
      <c r="D2166" s="8"/>
      <c r="E2166" s="8"/>
      <c r="F2166" s="8" t="s">
        <v>353</v>
      </c>
      <c r="G2166" s="8" t="s">
        <v>6741</v>
      </c>
      <c r="H2166" s="8" t="s">
        <v>1953</v>
      </c>
      <c r="I2166" s="8" t="s">
        <v>14456</v>
      </c>
      <c r="J2166" s="8" t="s">
        <v>14457</v>
      </c>
      <c r="K2166" s="8" t="s">
        <v>1956</v>
      </c>
      <c r="L2166" s="8" t="s">
        <v>526</v>
      </c>
      <c r="M2166" s="8" t="s">
        <v>14458</v>
      </c>
      <c r="N2166" s="8" t="s">
        <v>128</v>
      </c>
      <c r="O2166" s="8" t="s">
        <v>14459</v>
      </c>
      <c r="P2166" s="8" t="s">
        <v>7175</v>
      </c>
      <c r="Q2166" s="8" t="s">
        <v>150</v>
      </c>
      <c r="R2166" s="8"/>
      <c r="S2166" s="8" t="s">
        <v>71</v>
      </c>
      <c r="T2166" s="8" t="s">
        <v>70</v>
      </c>
      <c r="U2166" s="8" t="s">
        <v>150</v>
      </c>
      <c r="V2166" s="8" t="s">
        <v>70</v>
      </c>
      <c r="W2166" s="8" t="s">
        <v>70</v>
      </c>
      <c r="X2166" s="8">
        <v>19</v>
      </c>
      <c r="Y2166" s="8" t="s">
        <v>12359</v>
      </c>
      <c r="Z2166" s="8">
        <v>20</v>
      </c>
      <c r="AA2166" s="8">
        <v>0</v>
      </c>
      <c r="AB2166" s="9">
        <v>0</v>
      </c>
    </row>
    <row r="2167" spans="1:28" x14ac:dyDescent="0.2">
      <c r="A2167" s="10">
        <v>28557</v>
      </c>
      <c r="B2167" s="11" t="s">
        <v>14460</v>
      </c>
      <c r="C2167" s="11" t="s">
        <v>14461</v>
      </c>
      <c r="D2167" s="11" t="s">
        <v>14462</v>
      </c>
      <c r="E2167" s="11"/>
      <c r="F2167" s="11" t="s">
        <v>353</v>
      </c>
      <c r="G2167" s="11" t="s">
        <v>2652</v>
      </c>
      <c r="H2167" s="11" t="s">
        <v>1843</v>
      </c>
      <c r="I2167" s="11"/>
      <c r="J2167" s="11" t="s">
        <v>14463</v>
      </c>
      <c r="K2167" s="11" t="s">
        <v>1562</v>
      </c>
      <c r="L2167" s="11" t="s">
        <v>229</v>
      </c>
      <c r="M2167" s="11" t="s">
        <v>14464</v>
      </c>
      <c r="N2167" s="11" t="s">
        <v>128</v>
      </c>
      <c r="O2167" s="11" t="s">
        <v>14465</v>
      </c>
      <c r="P2167" s="11" t="s">
        <v>14466</v>
      </c>
      <c r="Q2167" s="11" t="s">
        <v>150</v>
      </c>
      <c r="R2167" s="11"/>
      <c r="S2167" s="11" t="s">
        <v>71</v>
      </c>
      <c r="T2167" s="11" t="s">
        <v>70</v>
      </c>
      <c r="U2167" s="11" t="s">
        <v>150</v>
      </c>
      <c r="V2167" s="11" t="s">
        <v>70</v>
      </c>
      <c r="W2167" s="11" t="s">
        <v>70</v>
      </c>
      <c r="X2167" s="11">
        <v>19</v>
      </c>
      <c r="Y2167" s="11" t="s">
        <v>12359</v>
      </c>
      <c r="Z2167" s="11">
        <v>20</v>
      </c>
      <c r="AA2167" s="11">
        <v>0</v>
      </c>
      <c r="AB2167" s="12">
        <v>0</v>
      </c>
    </row>
    <row r="2168" spans="1:28" x14ac:dyDescent="0.2">
      <c r="A2168" s="7">
        <v>28446</v>
      </c>
      <c r="B2168" s="8" t="s">
        <v>14467</v>
      </c>
      <c r="C2168" s="8" t="s">
        <v>9805</v>
      </c>
      <c r="D2168" s="8" t="s">
        <v>13847</v>
      </c>
      <c r="E2168" s="8"/>
      <c r="F2168" s="8" t="s">
        <v>7874</v>
      </c>
      <c r="G2168" s="8" t="s">
        <v>1852</v>
      </c>
      <c r="H2168" s="8" t="s">
        <v>671</v>
      </c>
      <c r="I2168" s="8" t="s">
        <v>13980</v>
      </c>
      <c r="J2168" s="8" t="s">
        <v>14468</v>
      </c>
      <c r="K2168" s="8" t="s">
        <v>572</v>
      </c>
      <c r="L2168" s="8" t="s">
        <v>333</v>
      </c>
      <c r="M2168" s="8" t="s">
        <v>14469</v>
      </c>
      <c r="N2168" s="8" t="s">
        <v>128</v>
      </c>
      <c r="O2168" s="8" t="s">
        <v>14470</v>
      </c>
      <c r="P2168" s="8" t="s">
        <v>14471</v>
      </c>
      <c r="Q2168" s="8" t="s">
        <v>150</v>
      </c>
      <c r="R2168" s="8"/>
      <c r="S2168" s="8" t="s">
        <v>71</v>
      </c>
      <c r="T2168" s="8" t="s">
        <v>70</v>
      </c>
      <c r="U2168" s="8" t="s">
        <v>150</v>
      </c>
      <c r="V2168" s="8" t="s">
        <v>70</v>
      </c>
      <c r="W2168" s="8" t="s">
        <v>70</v>
      </c>
      <c r="X2168" s="8">
        <v>19</v>
      </c>
      <c r="Y2168" s="8" t="s">
        <v>12359</v>
      </c>
      <c r="Z2168" s="8">
        <v>20</v>
      </c>
      <c r="AA2168" s="8">
        <v>0</v>
      </c>
      <c r="AB2168" s="9">
        <v>0</v>
      </c>
    </row>
    <row r="2169" spans="1:28" x14ac:dyDescent="0.2">
      <c r="A2169" s="10">
        <v>85191</v>
      </c>
      <c r="B2169" s="11" t="s">
        <v>14472</v>
      </c>
      <c r="C2169" s="11" t="s">
        <v>14473</v>
      </c>
      <c r="D2169" s="11" t="s">
        <v>5114</v>
      </c>
      <c r="E2169" s="11"/>
      <c r="F2169" s="11" t="s">
        <v>14474</v>
      </c>
      <c r="G2169" s="11" t="s">
        <v>6501</v>
      </c>
      <c r="H2169" s="11" t="s">
        <v>159</v>
      </c>
      <c r="I2169" s="11" t="s">
        <v>14475</v>
      </c>
      <c r="J2169" s="11" t="s">
        <v>14476</v>
      </c>
      <c r="K2169" s="11" t="s">
        <v>162</v>
      </c>
      <c r="L2169" s="11" t="s">
        <v>163</v>
      </c>
      <c r="M2169" s="11" t="s">
        <v>14477</v>
      </c>
      <c r="N2169" s="11" t="s">
        <v>128</v>
      </c>
      <c r="O2169" s="11" t="s">
        <v>14478</v>
      </c>
      <c r="P2169" s="11" t="s">
        <v>14479</v>
      </c>
      <c r="Q2169" s="11" t="s">
        <v>150</v>
      </c>
      <c r="R2169" s="11"/>
      <c r="S2169" s="11" t="s">
        <v>14480</v>
      </c>
      <c r="T2169" s="11" t="s">
        <v>70</v>
      </c>
      <c r="U2169" s="11" t="s">
        <v>150</v>
      </c>
      <c r="V2169" s="11" t="s">
        <v>70</v>
      </c>
      <c r="W2169" s="11" t="s">
        <v>70</v>
      </c>
      <c r="X2169" s="11">
        <v>19</v>
      </c>
      <c r="Y2169" s="11" t="s">
        <v>12359</v>
      </c>
      <c r="Z2169" s="11">
        <v>20</v>
      </c>
      <c r="AA2169" s="11">
        <v>0</v>
      </c>
      <c r="AB2169" s="12">
        <v>0</v>
      </c>
    </row>
    <row r="2170" spans="1:28" x14ac:dyDescent="0.2">
      <c r="A2170" s="7">
        <v>28770</v>
      </c>
      <c r="B2170" s="8" t="s">
        <v>14481</v>
      </c>
      <c r="C2170" s="8" t="s">
        <v>4010</v>
      </c>
      <c r="D2170" s="8" t="s">
        <v>8703</v>
      </c>
      <c r="E2170" s="8"/>
      <c r="F2170" s="8" t="s">
        <v>8819</v>
      </c>
      <c r="G2170" s="8" t="s">
        <v>4012</v>
      </c>
      <c r="H2170" s="8" t="s">
        <v>671</v>
      </c>
      <c r="I2170" s="8" t="s">
        <v>8546</v>
      </c>
      <c r="J2170" s="8" t="s">
        <v>14482</v>
      </c>
      <c r="K2170" s="8" t="s">
        <v>572</v>
      </c>
      <c r="L2170" s="8" t="s">
        <v>333</v>
      </c>
      <c r="M2170" s="8" t="s">
        <v>14483</v>
      </c>
      <c r="N2170" s="8" t="s">
        <v>128</v>
      </c>
      <c r="O2170" s="8" t="s">
        <v>14484</v>
      </c>
      <c r="P2170" s="8" t="s">
        <v>7458</v>
      </c>
      <c r="Q2170" s="8" t="s">
        <v>150</v>
      </c>
      <c r="R2170" s="8"/>
      <c r="S2170" s="8" t="s">
        <v>71</v>
      </c>
      <c r="T2170" s="8" t="s">
        <v>14176</v>
      </c>
      <c r="U2170" s="8" t="s">
        <v>150</v>
      </c>
      <c r="V2170" s="8" t="s">
        <v>14176</v>
      </c>
      <c r="W2170" s="8" t="s">
        <v>14176</v>
      </c>
      <c r="X2170" s="8">
        <v>19</v>
      </c>
      <c r="Y2170" s="8" t="s">
        <v>12359</v>
      </c>
      <c r="Z2170" s="8">
        <v>20</v>
      </c>
      <c r="AA2170" s="8">
        <v>0</v>
      </c>
      <c r="AB2170" s="9">
        <v>0</v>
      </c>
    </row>
    <row r="2171" spans="1:28" x14ac:dyDescent="0.2">
      <c r="A2171" s="10">
        <v>23709</v>
      </c>
      <c r="B2171" s="11" t="s">
        <v>14485</v>
      </c>
      <c r="C2171" s="11" t="s">
        <v>14486</v>
      </c>
      <c r="D2171" s="11" t="s">
        <v>14487</v>
      </c>
      <c r="E2171" s="11"/>
      <c r="F2171" s="11" t="s">
        <v>9475</v>
      </c>
      <c r="G2171" s="11" t="s">
        <v>141</v>
      </c>
      <c r="H2171" s="11" t="s">
        <v>142</v>
      </c>
      <c r="I2171" s="11" t="s">
        <v>14488</v>
      </c>
      <c r="J2171" s="11" t="s">
        <v>14489</v>
      </c>
      <c r="K2171" s="11" t="s">
        <v>584</v>
      </c>
      <c r="L2171" s="11" t="s">
        <v>146</v>
      </c>
      <c r="M2171" s="11" t="s">
        <v>14490</v>
      </c>
      <c r="N2171" s="11" t="s">
        <v>128</v>
      </c>
      <c r="O2171" s="11" t="s">
        <v>14491</v>
      </c>
      <c r="P2171" s="11" t="s">
        <v>3377</v>
      </c>
      <c r="Q2171" s="11" t="s">
        <v>150</v>
      </c>
      <c r="R2171" s="11"/>
      <c r="S2171" s="11" t="s">
        <v>71</v>
      </c>
      <c r="T2171" s="11" t="s">
        <v>168</v>
      </c>
      <c r="U2171" s="11" t="s">
        <v>150</v>
      </c>
      <c r="V2171" s="11" t="s">
        <v>168</v>
      </c>
      <c r="W2171" s="11" t="s">
        <v>168</v>
      </c>
      <c r="X2171" s="11">
        <v>19</v>
      </c>
      <c r="Y2171" s="11" t="s">
        <v>12359</v>
      </c>
      <c r="Z2171" s="11">
        <v>20</v>
      </c>
      <c r="AA2171" s="11">
        <v>0</v>
      </c>
      <c r="AB2171" s="12">
        <v>0</v>
      </c>
    </row>
    <row r="2172" spans="1:28" x14ac:dyDescent="0.2">
      <c r="A2172" s="7">
        <v>24814</v>
      </c>
      <c r="B2172" s="8" t="s">
        <v>14492</v>
      </c>
      <c r="C2172" s="8" t="s">
        <v>14493</v>
      </c>
      <c r="D2172" s="8" t="s">
        <v>3074</v>
      </c>
      <c r="E2172" s="8" t="s">
        <v>14494</v>
      </c>
      <c r="F2172" s="8" t="s">
        <v>237</v>
      </c>
      <c r="G2172" s="8" t="s">
        <v>141</v>
      </c>
      <c r="H2172" s="8" t="s">
        <v>142</v>
      </c>
      <c r="I2172" s="8" t="s">
        <v>14495</v>
      </c>
      <c r="J2172" s="8" t="s">
        <v>14496</v>
      </c>
      <c r="K2172" s="8" t="s">
        <v>216</v>
      </c>
      <c r="L2172" s="8" t="s">
        <v>146</v>
      </c>
      <c r="M2172" s="8" t="s">
        <v>14497</v>
      </c>
      <c r="N2172" s="8" t="s">
        <v>128</v>
      </c>
      <c r="O2172" s="8" t="s">
        <v>14498</v>
      </c>
      <c r="P2172" s="8" t="s">
        <v>14499</v>
      </c>
      <c r="Q2172" s="8" t="s">
        <v>150</v>
      </c>
      <c r="R2172" s="8"/>
      <c r="S2172" s="8" t="s">
        <v>71</v>
      </c>
      <c r="T2172" s="8" t="s">
        <v>1738</v>
      </c>
      <c r="U2172" s="8" t="s">
        <v>150</v>
      </c>
      <c r="V2172" s="8" t="s">
        <v>1738</v>
      </c>
      <c r="W2172" s="8" t="s">
        <v>1738</v>
      </c>
      <c r="X2172" s="8">
        <v>19</v>
      </c>
      <c r="Y2172" s="8" t="s">
        <v>12359</v>
      </c>
      <c r="Z2172" s="8">
        <v>20</v>
      </c>
      <c r="AA2172" s="8">
        <v>0</v>
      </c>
      <c r="AB2172" s="9">
        <v>0</v>
      </c>
    </row>
    <row r="2173" spans="1:28" x14ac:dyDescent="0.2">
      <c r="A2173" s="10">
        <v>24974</v>
      </c>
      <c r="B2173" s="11" t="s">
        <v>14500</v>
      </c>
      <c r="C2173" s="11" t="s">
        <v>2935</v>
      </c>
      <c r="D2173" s="11" t="s">
        <v>2936</v>
      </c>
      <c r="E2173" s="11" t="s">
        <v>14501</v>
      </c>
      <c r="F2173" s="11" t="s">
        <v>353</v>
      </c>
      <c r="G2173" s="11" t="s">
        <v>714</v>
      </c>
      <c r="H2173" s="11" t="s">
        <v>142</v>
      </c>
      <c r="I2173" s="11" t="s">
        <v>2938</v>
      </c>
      <c r="J2173" s="11" t="s">
        <v>2939</v>
      </c>
      <c r="K2173" s="11" t="s">
        <v>717</v>
      </c>
      <c r="L2173" s="11" t="s">
        <v>464</v>
      </c>
      <c r="M2173" s="11" t="s">
        <v>14502</v>
      </c>
      <c r="N2173" s="11" t="s">
        <v>128</v>
      </c>
      <c r="O2173" s="11" t="s">
        <v>14503</v>
      </c>
      <c r="P2173" s="11" t="s">
        <v>14504</v>
      </c>
      <c r="Q2173" s="11" t="s">
        <v>150</v>
      </c>
      <c r="R2173" s="11"/>
      <c r="S2173" s="11" t="s">
        <v>2943</v>
      </c>
      <c r="T2173" s="11" t="s">
        <v>1738</v>
      </c>
      <c r="U2173" s="11" t="s">
        <v>150</v>
      </c>
      <c r="V2173" s="11" t="s">
        <v>1738</v>
      </c>
      <c r="W2173" s="11" t="s">
        <v>1738</v>
      </c>
      <c r="X2173" s="11">
        <v>19</v>
      </c>
      <c r="Y2173" s="11" t="s">
        <v>12359</v>
      </c>
      <c r="Z2173" s="11">
        <v>20</v>
      </c>
      <c r="AA2173" s="11">
        <v>0</v>
      </c>
      <c r="AB2173" s="12">
        <v>0</v>
      </c>
    </row>
    <row r="2174" spans="1:28" x14ac:dyDescent="0.2">
      <c r="A2174" s="7">
        <v>92301</v>
      </c>
      <c r="B2174" s="8" t="s">
        <v>14505</v>
      </c>
      <c r="C2174" s="8" t="s">
        <v>14506</v>
      </c>
      <c r="D2174" s="8" t="s">
        <v>14507</v>
      </c>
      <c r="E2174" s="8"/>
      <c r="F2174" s="8" t="s">
        <v>353</v>
      </c>
      <c r="G2174" s="8" t="s">
        <v>14508</v>
      </c>
      <c r="H2174" s="8" t="s">
        <v>4271</v>
      </c>
      <c r="I2174" s="8" t="s">
        <v>14509</v>
      </c>
      <c r="J2174" s="8" t="s">
        <v>14510</v>
      </c>
      <c r="K2174" s="8" t="s">
        <v>619</v>
      </c>
      <c r="L2174" s="8" t="s">
        <v>163</v>
      </c>
      <c r="M2174" s="8" t="s">
        <v>14511</v>
      </c>
      <c r="N2174" s="8" t="s">
        <v>128</v>
      </c>
      <c r="O2174" s="8" t="s">
        <v>14512</v>
      </c>
      <c r="P2174" s="8" t="s">
        <v>14513</v>
      </c>
      <c r="Q2174" s="8" t="s">
        <v>740</v>
      </c>
      <c r="R2174" s="8"/>
      <c r="S2174" s="8" t="s">
        <v>71</v>
      </c>
      <c r="T2174" s="8" t="s">
        <v>741</v>
      </c>
      <c r="U2174" s="8" t="s">
        <v>134</v>
      </c>
      <c r="V2174" s="8" t="s">
        <v>740</v>
      </c>
      <c r="W2174" s="8" t="s">
        <v>741</v>
      </c>
      <c r="X2174" s="8">
        <v>19</v>
      </c>
      <c r="Y2174" s="8" t="s">
        <v>12359</v>
      </c>
      <c r="Z2174" s="8">
        <v>20</v>
      </c>
      <c r="AA2174" s="8">
        <v>0</v>
      </c>
      <c r="AB2174" s="9">
        <v>0</v>
      </c>
    </row>
    <row r="2175" spans="1:28" x14ac:dyDescent="0.2">
      <c r="A2175" s="10">
        <v>21771</v>
      </c>
      <c r="B2175" s="11" t="s">
        <v>14514</v>
      </c>
      <c r="C2175" s="11" t="s">
        <v>5979</v>
      </c>
      <c r="D2175" s="11" t="s">
        <v>5139</v>
      </c>
      <c r="E2175" s="11" t="s">
        <v>1010</v>
      </c>
      <c r="F2175" s="11" t="s">
        <v>1994</v>
      </c>
      <c r="G2175" s="11" t="s">
        <v>328</v>
      </c>
      <c r="H2175" s="11" t="s">
        <v>329</v>
      </c>
      <c r="I2175" s="11" t="s">
        <v>6092</v>
      </c>
      <c r="J2175" s="11" t="s">
        <v>5982</v>
      </c>
      <c r="K2175" s="11" t="s">
        <v>332</v>
      </c>
      <c r="L2175" s="11" t="s">
        <v>333</v>
      </c>
      <c r="M2175" s="11" t="s">
        <v>14515</v>
      </c>
      <c r="N2175" s="11" t="s">
        <v>128</v>
      </c>
      <c r="O2175" s="11" t="s">
        <v>14516</v>
      </c>
      <c r="P2175" s="11"/>
      <c r="Q2175" s="11" t="s">
        <v>249</v>
      </c>
      <c r="R2175" s="11"/>
      <c r="S2175" s="11" t="s">
        <v>5986</v>
      </c>
      <c r="T2175" s="11" t="s">
        <v>1523</v>
      </c>
      <c r="U2175" s="11" t="s">
        <v>134</v>
      </c>
      <c r="V2175" s="11" t="s">
        <v>249</v>
      </c>
      <c r="W2175" s="11" t="s">
        <v>1523</v>
      </c>
      <c r="X2175" s="11">
        <v>19</v>
      </c>
      <c r="Y2175" s="11" t="s">
        <v>12359</v>
      </c>
      <c r="Z2175" s="11">
        <v>20</v>
      </c>
      <c r="AA2175" s="11">
        <v>0</v>
      </c>
      <c r="AB2175" s="12">
        <v>0</v>
      </c>
    </row>
    <row r="2176" spans="1:28" x14ac:dyDescent="0.2">
      <c r="A2176" s="7">
        <v>25569</v>
      </c>
      <c r="B2176" s="8" t="s">
        <v>14517</v>
      </c>
      <c r="C2176" s="8" t="s">
        <v>6635</v>
      </c>
      <c r="D2176" s="8" t="s">
        <v>14518</v>
      </c>
      <c r="E2176" s="8"/>
      <c r="F2176" s="8" t="s">
        <v>353</v>
      </c>
      <c r="G2176" s="8" t="s">
        <v>4047</v>
      </c>
      <c r="H2176" s="8" t="s">
        <v>142</v>
      </c>
      <c r="I2176" s="8" t="s">
        <v>7061</v>
      </c>
      <c r="J2176" s="8" t="s">
        <v>14519</v>
      </c>
      <c r="K2176" s="8" t="s">
        <v>1029</v>
      </c>
      <c r="L2176" s="8" t="s">
        <v>464</v>
      </c>
      <c r="M2176" s="8" t="s">
        <v>14520</v>
      </c>
      <c r="N2176" s="8" t="s">
        <v>128</v>
      </c>
      <c r="O2176" s="8"/>
      <c r="P2176" s="8"/>
      <c r="Q2176" s="8" t="s">
        <v>249</v>
      </c>
      <c r="R2176" s="8"/>
      <c r="S2176" s="8" t="s">
        <v>71</v>
      </c>
      <c r="T2176" s="8" t="s">
        <v>1523</v>
      </c>
      <c r="U2176" s="8" t="s">
        <v>134</v>
      </c>
      <c r="V2176" s="8" t="s">
        <v>249</v>
      </c>
      <c r="W2176" s="8" t="s">
        <v>1523</v>
      </c>
      <c r="X2176" s="8">
        <v>19</v>
      </c>
      <c r="Y2176" s="8" t="s">
        <v>12359</v>
      </c>
      <c r="Z2176" s="8">
        <v>20</v>
      </c>
      <c r="AA2176" s="8">
        <v>0</v>
      </c>
      <c r="AB2176" s="9">
        <v>0</v>
      </c>
    </row>
    <row r="2177" spans="1:28" x14ac:dyDescent="0.2">
      <c r="A2177" s="10">
        <v>226717</v>
      </c>
      <c r="B2177" s="11" t="s">
        <v>14521</v>
      </c>
      <c r="C2177" s="11" t="s">
        <v>1361</v>
      </c>
      <c r="D2177" s="11" t="s">
        <v>1362</v>
      </c>
      <c r="E2177" s="11" t="s">
        <v>14522</v>
      </c>
      <c r="F2177" s="11" t="s">
        <v>1453</v>
      </c>
      <c r="G2177" s="11" t="s">
        <v>1364</v>
      </c>
      <c r="H2177" s="11" t="s">
        <v>329</v>
      </c>
      <c r="I2177" s="11" t="s">
        <v>14523</v>
      </c>
      <c r="J2177" s="11" t="s">
        <v>1456</v>
      </c>
      <c r="K2177" s="11" t="s">
        <v>431</v>
      </c>
      <c r="L2177" s="11" t="s">
        <v>333</v>
      </c>
      <c r="M2177" s="11" t="s">
        <v>14524</v>
      </c>
      <c r="N2177" s="11" t="s">
        <v>128</v>
      </c>
      <c r="O2177" s="11" t="s">
        <v>14525</v>
      </c>
      <c r="P2177" s="11" t="s">
        <v>14526</v>
      </c>
      <c r="Q2177" s="11" t="s">
        <v>249</v>
      </c>
      <c r="R2177" s="11"/>
      <c r="S2177" s="11" t="s">
        <v>1370</v>
      </c>
      <c r="T2177" s="11" t="s">
        <v>250</v>
      </c>
      <c r="U2177" s="11" t="s">
        <v>134</v>
      </c>
      <c r="V2177" s="11" t="s">
        <v>249</v>
      </c>
      <c r="W2177" s="11" t="s">
        <v>250</v>
      </c>
      <c r="X2177" s="11">
        <v>19</v>
      </c>
      <c r="Y2177" s="11" t="s">
        <v>12359</v>
      </c>
      <c r="Z2177" s="11">
        <v>20</v>
      </c>
      <c r="AA2177" s="11">
        <v>0</v>
      </c>
      <c r="AB2177" s="12">
        <v>0</v>
      </c>
    </row>
    <row r="2178" spans="1:28" x14ac:dyDescent="0.2">
      <c r="A2178" s="7">
        <v>21722</v>
      </c>
      <c r="B2178" s="8" t="s">
        <v>14527</v>
      </c>
      <c r="C2178" s="8" t="s">
        <v>2300</v>
      </c>
      <c r="D2178" s="8" t="s">
        <v>14528</v>
      </c>
      <c r="E2178" s="8" t="s">
        <v>14529</v>
      </c>
      <c r="F2178" s="8" t="s">
        <v>353</v>
      </c>
      <c r="G2178" s="8" t="s">
        <v>14308</v>
      </c>
      <c r="H2178" s="8" t="s">
        <v>142</v>
      </c>
      <c r="I2178" s="8" t="s">
        <v>14309</v>
      </c>
      <c r="J2178" s="8" t="s">
        <v>14530</v>
      </c>
      <c r="K2178" s="8" t="s">
        <v>1673</v>
      </c>
      <c r="L2178" s="8" t="s">
        <v>464</v>
      </c>
      <c r="M2178" s="8" t="s">
        <v>14531</v>
      </c>
      <c r="N2178" s="8" t="s">
        <v>128</v>
      </c>
      <c r="O2178" s="8" t="s">
        <v>14532</v>
      </c>
      <c r="P2178" s="8" t="s">
        <v>14533</v>
      </c>
      <c r="Q2178" s="8" t="s">
        <v>150</v>
      </c>
      <c r="R2178" s="8"/>
      <c r="S2178" s="8" t="s">
        <v>71</v>
      </c>
      <c r="T2178" s="8" t="s">
        <v>67</v>
      </c>
      <c r="U2178" s="8" t="s">
        <v>150</v>
      </c>
      <c r="V2178" s="8" t="s">
        <v>152</v>
      </c>
      <c r="W2178" s="8" t="s">
        <v>67</v>
      </c>
      <c r="X2178" s="8">
        <v>18</v>
      </c>
      <c r="Y2178" s="8" t="s">
        <v>12359</v>
      </c>
      <c r="Z2178" s="8">
        <v>20</v>
      </c>
      <c r="AA2178" s="8">
        <v>0</v>
      </c>
      <c r="AB2178" s="9">
        <v>0</v>
      </c>
    </row>
    <row r="2179" spans="1:28" x14ac:dyDescent="0.2">
      <c r="A2179" s="10">
        <v>21465</v>
      </c>
      <c r="B2179" s="11" t="s">
        <v>14534</v>
      </c>
      <c r="C2179" s="11" t="s">
        <v>9343</v>
      </c>
      <c r="D2179" s="11" t="s">
        <v>14535</v>
      </c>
      <c r="E2179" s="11" t="s">
        <v>14536</v>
      </c>
      <c r="F2179" s="11" t="s">
        <v>14537</v>
      </c>
      <c r="G2179" s="11" t="s">
        <v>141</v>
      </c>
      <c r="H2179" s="11" t="s">
        <v>142</v>
      </c>
      <c r="I2179" s="11" t="s">
        <v>9346</v>
      </c>
      <c r="J2179" s="11" t="s">
        <v>14538</v>
      </c>
      <c r="K2179" s="11" t="s">
        <v>145</v>
      </c>
      <c r="L2179" s="11" t="s">
        <v>146</v>
      </c>
      <c r="M2179" s="11" t="s">
        <v>14539</v>
      </c>
      <c r="N2179" s="11" t="s">
        <v>128</v>
      </c>
      <c r="O2179" s="11" t="s">
        <v>14540</v>
      </c>
      <c r="P2179" s="11" t="s">
        <v>14541</v>
      </c>
      <c r="Q2179" s="11" t="s">
        <v>150</v>
      </c>
      <c r="R2179" s="11"/>
      <c r="S2179" s="11" t="s">
        <v>71</v>
      </c>
      <c r="T2179" s="11" t="s">
        <v>67</v>
      </c>
      <c r="U2179" s="11" t="s">
        <v>150</v>
      </c>
      <c r="V2179" s="11" t="s">
        <v>152</v>
      </c>
      <c r="W2179" s="11" t="s">
        <v>67</v>
      </c>
      <c r="X2179" s="11">
        <v>18</v>
      </c>
      <c r="Y2179" s="11" t="s">
        <v>12359</v>
      </c>
      <c r="Z2179" s="11">
        <v>20</v>
      </c>
      <c r="AA2179" s="11">
        <v>0</v>
      </c>
      <c r="AB2179" s="12">
        <v>0</v>
      </c>
    </row>
    <row r="2180" spans="1:28" x14ac:dyDescent="0.2">
      <c r="A2180" s="7">
        <v>21440</v>
      </c>
      <c r="B2180" s="8" t="s">
        <v>14542</v>
      </c>
      <c r="C2180" s="8" t="s">
        <v>14486</v>
      </c>
      <c r="D2180" s="8" t="s">
        <v>2846</v>
      </c>
      <c r="E2180" s="8" t="s">
        <v>14543</v>
      </c>
      <c r="F2180" s="8" t="s">
        <v>9475</v>
      </c>
      <c r="G2180" s="8" t="s">
        <v>141</v>
      </c>
      <c r="H2180" s="8" t="s">
        <v>142</v>
      </c>
      <c r="I2180" s="8" t="s">
        <v>14488</v>
      </c>
      <c r="J2180" s="8" t="s">
        <v>14544</v>
      </c>
      <c r="K2180" s="8" t="s">
        <v>584</v>
      </c>
      <c r="L2180" s="8" t="s">
        <v>146</v>
      </c>
      <c r="M2180" s="8" t="s">
        <v>14545</v>
      </c>
      <c r="N2180" s="8" t="s">
        <v>128</v>
      </c>
      <c r="O2180" s="8" t="s">
        <v>14546</v>
      </c>
      <c r="P2180" s="8" t="s">
        <v>14547</v>
      </c>
      <c r="Q2180" s="8" t="s">
        <v>150</v>
      </c>
      <c r="R2180" s="8"/>
      <c r="S2180" s="8" t="s">
        <v>71</v>
      </c>
      <c r="T2180" s="8" t="s">
        <v>67</v>
      </c>
      <c r="U2180" s="8" t="s">
        <v>150</v>
      </c>
      <c r="V2180" s="8" t="s">
        <v>152</v>
      </c>
      <c r="W2180" s="8" t="s">
        <v>67</v>
      </c>
      <c r="X2180" s="8">
        <v>18</v>
      </c>
      <c r="Y2180" s="8" t="s">
        <v>12359</v>
      </c>
      <c r="Z2180" s="8">
        <v>20</v>
      </c>
      <c r="AA2180" s="8">
        <v>0</v>
      </c>
      <c r="AB2180" s="9">
        <v>0</v>
      </c>
    </row>
    <row r="2181" spans="1:28" x14ac:dyDescent="0.2">
      <c r="A2181" s="10">
        <v>49749</v>
      </c>
      <c r="B2181" s="11" t="s">
        <v>14548</v>
      </c>
      <c r="C2181" s="11" t="s">
        <v>14549</v>
      </c>
      <c r="D2181" s="11" t="s">
        <v>14550</v>
      </c>
      <c r="E2181" s="11" t="s">
        <v>14551</v>
      </c>
      <c r="F2181" s="11" t="s">
        <v>353</v>
      </c>
      <c r="G2181" s="11" t="s">
        <v>1813</v>
      </c>
      <c r="H2181" s="11" t="s">
        <v>142</v>
      </c>
      <c r="I2181" s="11" t="s">
        <v>14552</v>
      </c>
      <c r="J2181" s="11" t="s">
        <v>14553</v>
      </c>
      <c r="K2181" s="11" t="s">
        <v>974</v>
      </c>
      <c r="L2181" s="11" t="s">
        <v>146</v>
      </c>
      <c r="M2181" s="11" t="s">
        <v>14554</v>
      </c>
      <c r="N2181" s="11" t="s">
        <v>128</v>
      </c>
      <c r="O2181" s="11" t="s">
        <v>14555</v>
      </c>
      <c r="P2181" s="11"/>
      <c r="Q2181" s="11" t="s">
        <v>131</v>
      </c>
      <c r="R2181" s="11"/>
      <c r="S2181" s="11" t="s">
        <v>14556</v>
      </c>
      <c r="T2181" s="11" t="s">
        <v>983</v>
      </c>
      <c r="U2181" s="11" t="s">
        <v>134</v>
      </c>
      <c r="V2181" s="11" t="s">
        <v>131</v>
      </c>
      <c r="W2181" s="11" t="s">
        <v>983</v>
      </c>
      <c r="X2181" s="11">
        <v>18</v>
      </c>
      <c r="Y2181" s="11" t="s">
        <v>12359</v>
      </c>
      <c r="Z2181" s="11">
        <v>20</v>
      </c>
      <c r="AA2181" s="11">
        <v>0</v>
      </c>
      <c r="AB2181" s="12">
        <v>0</v>
      </c>
    </row>
    <row r="2182" spans="1:28" x14ac:dyDescent="0.2">
      <c r="A2182" s="7">
        <v>22482</v>
      </c>
      <c r="B2182" s="8" t="s">
        <v>14557</v>
      </c>
      <c r="C2182" s="8" t="s">
        <v>8983</v>
      </c>
      <c r="D2182" s="8" t="s">
        <v>3917</v>
      </c>
      <c r="E2182" s="8" t="s">
        <v>14558</v>
      </c>
      <c r="F2182" s="8" t="s">
        <v>8984</v>
      </c>
      <c r="G2182" s="8" t="s">
        <v>971</v>
      </c>
      <c r="H2182" s="8" t="s">
        <v>142</v>
      </c>
      <c r="I2182" s="8" t="s">
        <v>8985</v>
      </c>
      <c r="J2182" s="8" t="s">
        <v>9591</v>
      </c>
      <c r="K2182" s="8" t="s">
        <v>974</v>
      </c>
      <c r="L2182" s="8" t="s">
        <v>146</v>
      </c>
      <c r="M2182" s="8" t="s">
        <v>14559</v>
      </c>
      <c r="N2182" s="8" t="s">
        <v>128</v>
      </c>
      <c r="O2182" s="8" t="s">
        <v>14560</v>
      </c>
      <c r="P2182" s="8"/>
      <c r="Q2182" s="8" t="s">
        <v>131</v>
      </c>
      <c r="R2182" s="8"/>
      <c r="S2182" s="8" t="s">
        <v>8990</v>
      </c>
      <c r="T2182" s="8" t="s">
        <v>983</v>
      </c>
      <c r="U2182" s="8" t="s">
        <v>134</v>
      </c>
      <c r="V2182" s="8" t="s">
        <v>131</v>
      </c>
      <c r="W2182" s="8" t="s">
        <v>983</v>
      </c>
      <c r="X2182" s="8">
        <v>18</v>
      </c>
      <c r="Y2182" s="8" t="s">
        <v>12359</v>
      </c>
      <c r="Z2182" s="8">
        <v>20</v>
      </c>
      <c r="AA2182" s="8">
        <v>0</v>
      </c>
      <c r="AB2182" s="9">
        <v>0</v>
      </c>
    </row>
    <row r="2183" spans="1:28" x14ac:dyDescent="0.2">
      <c r="A2183" s="10">
        <v>24572</v>
      </c>
      <c r="B2183" s="11" t="s">
        <v>14561</v>
      </c>
      <c r="C2183" s="11" t="s">
        <v>1982</v>
      </c>
      <c r="D2183" s="11" t="s">
        <v>1983</v>
      </c>
      <c r="E2183" s="11" t="s">
        <v>14562</v>
      </c>
      <c r="F2183" s="11" t="s">
        <v>1985</v>
      </c>
      <c r="G2183" s="11" t="s">
        <v>428</v>
      </c>
      <c r="H2183" s="11" t="s">
        <v>329</v>
      </c>
      <c r="I2183" s="11" t="s">
        <v>1986</v>
      </c>
      <c r="J2183" s="11" t="s">
        <v>1987</v>
      </c>
      <c r="K2183" s="11" t="s">
        <v>431</v>
      </c>
      <c r="L2183" s="11" t="s">
        <v>333</v>
      </c>
      <c r="M2183" s="11" t="s">
        <v>14563</v>
      </c>
      <c r="N2183" s="11" t="s">
        <v>128</v>
      </c>
      <c r="O2183" s="11" t="s">
        <v>14564</v>
      </c>
      <c r="P2183" s="11"/>
      <c r="Q2183" s="11" t="s">
        <v>131</v>
      </c>
      <c r="R2183" s="11"/>
      <c r="S2183" s="11" t="s">
        <v>1991</v>
      </c>
      <c r="T2183" s="11" t="s">
        <v>983</v>
      </c>
      <c r="U2183" s="11" t="s">
        <v>134</v>
      </c>
      <c r="V2183" s="11" t="s">
        <v>131</v>
      </c>
      <c r="W2183" s="11" t="s">
        <v>983</v>
      </c>
      <c r="X2183" s="11">
        <v>18</v>
      </c>
      <c r="Y2183" s="11" t="s">
        <v>12359</v>
      </c>
      <c r="Z2183" s="11">
        <v>20</v>
      </c>
      <c r="AA2183" s="11">
        <v>0</v>
      </c>
      <c r="AB2183" s="12">
        <v>0</v>
      </c>
    </row>
    <row r="2184" spans="1:28" x14ac:dyDescent="0.2">
      <c r="A2184" s="7">
        <v>127783</v>
      </c>
      <c r="B2184" s="8" t="s">
        <v>14565</v>
      </c>
      <c r="C2184" s="8" t="s">
        <v>1125</v>
      </c>
      <c r="D2184" s="8" t="s">
        <v>14566</v>
      </c>
      <c r="E2184" s="8" t="s">
        <v>14567</v>
      </c>
      <c r="F2184" s="8" t="s">
        <v>7985</v>
      </c>
      <c r="G2184" s="8" t="s">
        <v>450</v>
      </c>
      <c r="H2184" s="8" t="s">
        <v>301</v>
      </c>
      <c r="I2184" s="8" t="s">
        <v>11548</v>
      </c>
      <c r="J2184" s="8" t="s">
        <v>14568</v>
      </c>
      <c r="K2184" s="8" t="s">
        <v>304</v>
      </c>
      <c r="L2184" s="8" t="s">
        <v>229</v>
      </c>
      <c r="M2184" s="8" t="s">
        <v>14569</v>
      </c>
      <c r="N2184" s="8" t="s">
        <v>128</v>
      </c>
      <c r="O2184" s="8" t="s">
        <v>14570</v>
      </c>
      <c r="P2184" s="8"/>
      <c r="Q2184" s="8" t="s">
        <v>131</v>
      </c>
      <c r="R2184" s="8"/>
      <c r="S2184" s="8" t="s">
        <v>71</v>
      </c>
      <c r="T2184" s="8" t="s">
        <v>983</v>
      </c>
      <c r="U2184" s="8" t="s">
        <v>134</v>
      </c>
      <c r="V2184" s="8" t="s">
        <v>131</v>
      </c>
      <c r="W2184" s="8" t="s">
        <v>983</v>
      </c>
      <c r="X2184" s="8">
        <v>18</v>
      </c>
      <c r="Y2184" s="8" t="s">
        <v>12359</v>
      </c>
      <c r="Z2184" s="8">
        <v>20</v>
      </c>
      <c r="AA2184" s="8">
        <v>0</v>
      </c>
      <c r="AB2184" s="9">
        <v>0</v>
      </c>
    </row>
    <row r="2185" spans="1:28" x14ac:dyDescent="0.2">
      <c r="A2185" s="10">
        <v>24564</v>
      </c>
      <c r="B2185" s="11" t="s">
        <v>14571</v>
      </c>
      <c r="C2185" s="11" t="s">
        <v>324</v>
      </c>
      <c r="D2185" s="11" t="s">
        <v>7723</v>
      </c>
      <c r="E2185" s="11"/>
      <c r="F2185" s="11"/>
      <c r="G2185" s="11" t="s">
        <v>328</v>
      </c>
      <c r="H2185" s="11" t="s">
        <v>329</v>
      </c>
      <c r="I2185" s="11" t="s">
        <v>7726</v>
      </c>
      <c r="J2185" s="11" t="s">
        <v>13413</v>
      </c>
      <c r="K2185" s="11" t="s">
        <v>332</v>
      </c>
      <c r="L2185" s="11" t="s">
        <v>333</v>
      </c>
      <c r="M2185" s="11" t="s">
        <v>14572</v>
      </c>
      <c r="N2185" s="11" t="s">
        <v>128</v>
      </c>
      <c r="O2185" s="11" t="s">
        <v>14573</v>
      </c>
      <c r="P2185" s="11"/>
      <c r="Q2185" s="11" t="s">
        <v>131</v>
      </c>
      <c r="R2185" s="11"/>
      <c r="S2185" s="11" t="s">
        <v>7729</v>
      </c>
      <c r="T2185" s="11" t="s">
        <v>983</v>
      </c>
      <c r="U2185" s="11" t="s">
        <v>134</v>
      </c>
      <c r="V2185" s="11" t="s">
        <v>131</v>
      </c>
      <c r="W2185" s="11" t="s">
        <v>983</v>
      </c>
      <c r="X2185" s="11">
        <v>18</v>
      </c>
      <c r="Y2185" s="11" t="s">
        <v>12359</v>
      </c>
      <c r="Z2185" s="11">
        <v>20</v>
      </c>
      <c r="AA2185" s="11">
        <v>0</v>
      </c>
      <c r="AB2185" s="12">
        <v>0</v>
      </c>
    </row>
    <row r="2186" spans="1:28" x14ac:dyDescent="0.2">
      <c r="A2186" s="7">
        <v>208884</v>
      </c>
      <c r="B2186" s="8" t="s">
        <v>14574</v>
      </c>
      <c r="C2186" s="8" t="s">
        <v>14575</v>
      </c>
      <c r="D2186" s="8" t="s">
        <v>138</v>
      </c>
      <c r="E2186" s="8"/>
      <c r="F2186" s="8" t="s">
        <v>14356</v>
      </c>
      <c r="G2186" s="8" t="s">
        <v>1488</v>
      </c>
      <c r="H2186" s="8" t="s">
        <v>329</v>
      </c>
      <c r="I2186" s="8" t="s">
        <v>14576</v>
      </c>
      <c r="J2186" s="8" t="s">
        <v>14577</v>
      </c>
      <c r="K2186" s="8" t="s">
        <v>415</v>
      </c>
      <c r="L2186" s="8" t="s">
        <v>333</v>
      </c>
      <c r="M2186" s="8" t="s">
        <v>14578</v>
      </c>
      <c r="N2186" s="8" t="s">
        <v>128</v>
      </c>
      <c r="O2186" s="8" t="s">
        <v>14579</v>
      </c>
      <c r="P2186" s="8"/>
      <c r="Q2186" s="8" t="s">
        <v>131</v>
      </c>
      <c r="R2186" s="8"/>
      <c r="S2186" s="8" t="s">
        <v>14580</v>
      </c>
      <c r="T2186" s="8" t="s">
        <v>983</v>
      </c>
      <c r="U2186" s="8" t="s">
        <v>134</v>
      </c>
      <c r="V2186" s="8" t="s">
        <v>131</v>
      </c>
      <c r="W2186" s="8" t="s">
        <v>983</v>
      </c>
      <c r="X2186" s="8">
        <v>18</v>
      </c>
      <c r="Y2186" s="8" t="s">
        <v>12359</v>
      </c>
      <c r="Z2186" s="8">
        <v>20</v>
      </c>
      <c r="AA2186" s="8">
        <v>0</v>
      </c>
      <c r="AB2186" s="9">
        <v>0</v>
      </c>
    </row>
    <row r="2187" spans="1:28" x14ac:dyDescent="0.2">
      <c r="A2187" s="10">
        <v>24568</v>
      </c>
      <c r="B2187" s="11" t="s">
        <v>14581</v>
      </c>
      <c r="C2187" s="11" t="s">
        <v>842</v>
      </c>
      <c r="D2187" s="11" t="s">
        <v>13568</v>
      </c>
      <c r="E2187" s="11"/>
      <c r="F2187" s="11" t="s">
        <v>353</v>
      </c>
      <c r="G2187" s="11" t="s">
        <v>428</v>
      </c>
      <c r="H2187" s="11" t="s">
        <v>329</v>
      </c>
      <c r="I2187" s="11" t="s">
        <v>14582</v>
      </c>
      <c r="J2187" s="11" t="s">
        <v>14583</v>
      </c>
      <c r="K2187" s="11" t="s">
        <v>431</v>
      </c>
      <c r="L2187" s="11" t="s">
        <v>333</v>
      </c>
      <c r="M2187" s="11" t="s">
        <v>14584</v>
      </c>
      <c r="N2187" s="11" t="s">
        <v>128</v>
      </c>
      <c r="O2187" s="11" t="s">
        <v>14585</v>
      </c>
      <c r="P2187" s="11"/>
      <c r="Q2187" s="11" t="s">
        <v>131</v>
      </c>
      <c r="R2187" s="11"/>
      <c r="S2187" s="11" t="s">
        <v>13573</v>
      </c>
      <c r="T2187" s="11" t="s">
        <v>983</v>
      </c>
      <c r="U2187" s="11" t="s">
        <v>134</v>
      </c>
      <c r="V2187" s="11" t="s">
        <v>131</v>
      </c>
      <c r="W2187" s="11" t="s">
        <v>983</v>
      </c>
      <c r="X2187" s="11">
        <v>18</v>
      </c>
      <c r="Y2187" s="11" t="s">
        <v>12359</v>
      </c>
      <c r="Z2187" s="11">
        <v>20</v>
      </c>
      <c r="AA2187" s="11">
        <v>0</v>
      </c>
      <c r="AB2187" s="12">
        <v>0</v>
      </c>
    </row>
    <row r="2188" spans="1:28" x14ac:dyDescent="0.2">
      <c r="A2188" s="7">
        <v>22669</v>
      </c>
      <c r="B2188" s="8" t="s">
        <v>14586</v>
      </c>
      <c r="C2188" s="8" t="s">
        <v>12582</v>
      </c>
      <c r="D2188" s="8" t="s">
        <v>14587</v>
      </c>
      <c r="E2188" s="8"/>
      <c r="F2188" s="8" t="s">
        <v>353</v>
      </c>
      <c r="G2188" s="8" t="s">
        <v>6565</v>
      </c>
      <c r="H2188" s="8" t="s">
        <v>142</v>
      </c>
      <c r="I2188" s="8" t="s">
        <v>12583</v>
      </c>
      <c r="J2188" s="8" t="s">
        <v>14588</v>
      </c>
      <c r="K2188" s="8" t="s">
        <v>1673</v>
      </c>
      <c r="L2188" s="8" t="s">
        <v>464</v>
      </c>
      <c r="M2188" s="8" t="s">
        <v>14589</v>
      </c>
      <c r="N2188" s="8" t="s">
        <v>128</v>
      </c>
      <c r="O2188" s="8" t="s">
        <v>14590</v>
      </c>
      <c r="P2188" s="8"/>
      <c r="Q2188" s="8" t="s">
        <v>131</v>
      </c>
      <c r="R2188" s="8"/>
      <c r="S2188" s="8" t="s">
        <v>71</v>
      </c>
      <c r="T2188" s="8" t="s">
        <v>983</v>
      </c>
      <c r="U2188" s="8" t="s">
        <v>134</v>
      </c>
      <c r="V2188" s="8" t="s">
        <v>131</v>
      </c>
      <c r="W2188" s="8" t="s">
        <v>983</v>
      </c>
      <c r="X2188" s="8">
        <v>18</v>
      </c>
      <c r="Y2188" s="8" t="s">
        <v>12359</v>
      </c>
      <c r="Z2188" s="8">
        <v>20</v>
      </c>
      <c r="AA2188" s="8">
        <v>0</v>
      </c>
      <c r="AB2188" s="9">
        <v>0</v>
      </c>
    </row>
    <row r="2189" spans="1:28" x14ac:dyDescent="0.2">
      <c r="A2189" s="10">
        <v>21955</v>
      </c>
      <c r="B2189" s="11" t="s">
        <v>14591</v>
      </c>
      <c r="C2189" s="11" t="s">
        <v>1645</v>
      </c>
      <c r="D2189" s="11" t="s">
        <v>1646</v>
      </c>
      <c r="E2189" s="11" t="s">
        <v>14592</v>
      </c>
      <c r="F2189" s="11" t="s">
        <v>1648</v>
      </c>
      <c r="G2189" s="11" t="s">
        <v>328</v>
      </c>
      <c r="H2189" s="11" t="s">
        <v>329</v>
      </c>
      <c r="I2189" s="11" t="s">
        <v>1649</v>
      </c>
      <c r="J2189" s="11" t="s">
        <v>1650</v>
      </c>
      <c r="K2189" s="11" t="s">
        <v>572</v>
      </c>
      <c r="L2189" s="11" t="s">
        <v>333</v>
      </c>
      <c r="M2189" s="11" t="s">
        <v>14593</v>
      </c>
      <c r="N2189" s="11" t="s">
        <v>128</v>
      </c>
      <c r="O2189" s="11" t="s">
        <v>14594</v>
      </c>
      <c r="P2189" s="11" t="s">
        <v>9946</v>
      </c>
      <c r="Q2189" s="11" t="s">
        <v>131</v>
      </c>
      <c r="R2189" s="11"/>
      <c r="S2189" s="11" t="s">
        <v>1654</v>
      </c>
      <c r="T2189" s="11" t="s">
        <v>133</v>
      </c>
      <c r="U2189" s="11" t="s">
        <v>134</v>
      </c>
      <c r="V2189" s="11" t="s">
        <v>131</v>
      </c>
      <c r="W2189" s="11" t="s">
        <v>133</v>
      </c>
      <c r="X2189" s="11">
        <v>18</v>
      </c>
      <c r="Y2189" s="11" t="s">
        <v>12359</v>
      </c>
      <c r="Z2189" s="11">
        <v>20</v>
      </c>
      <c r="AA2189" s="11">
        <v>0</v>
      </c>
      <c r="AB2189" s="12">
        <v>0</v>
      </c>
    </row>
    <row r="2190" spans="1:28" x14ac:dyDescent="0.2">
      <c r="A2190" s="7">
        <v>21803</v>
      </c>
      <c r="B2190" s="8" t="s">
        <v>14595</v>
      </c>
      <c r="C2190" s="8" t="s">
        <v>11639</v>
      </c>
      <c r="D2190" s="8" t="s">
        <v>11640</v>
      </c>
      <c r="E2190" s="8"/>
      <c r="F2190" s="8" t="s">
        <v>11642</v>
      </c>
      <c r="G2190" s="8" t="s">
        <v>2117</v>
      </c>
      <c r="H2190" s="8" t="s">
        <v>142</v>
      </c>
      <c r="I2190" s="8" t="s">
        <v>11643</v>
      </c>
      <c r="J2190" s="8" t="s">
        <v>11644</v>
      </c>
      <c r="K2190" s="8" t="s">
        <v>1673</v>
      </c>
      <c r="L2190" s="8" t="s">
        <v>464</v>
      </c>
      <c r="M2190" s="8" t="s">
        <v>14596</v>
      </c>
      <c r="N2190" s="8" t="s">
        <v>128</v>
      </c>
      <c r="O2190" s="8" t="s">
        <v>14597</v>
      </c>
      <c r="P2190" s="8" t="s">
        <v>14598</v>
      </c>
      <c r="Q2190" s="8" t="s">
        <v>131</v>
      </c>
      <c r="R2190" s="8"/>
      <c r="S2190" s="8" t="s">
        <v>11648</v>
      </c>
      <c r="T2190" s="8" t="s">
        <v>133</v>
      </c>
      <c r="U2190" s="8" t="s">
        <v>134</v>
      </c>
      <c r="V2190" s="8" t="s">
        <v>131</v>
      </c>
      <c r="W2190" s="8" t="s">
        <v>133</v>
      </c>
      <c r="X2190" s="8">
        <v>18</v>
      </c>
      <c r="Y2190" s="8" t="s">
        <v>12359</v>
      </c>
      <c r="Z2190" s="8">
        <v>20</v>
      </c>
      <c r="AA2190" s="8">
        <v>0</v>
      </c>
      <c r="AB2190" s="9">
        <v>0</v>
      </c>
    </row>
    <row r="2191" spans="1:28" x14ac:dyDescent="0.2">
      <c r="A2191" s="10">
        <v>22512</v>
      </c>
      <c r="B2191" s="11" t="s">
        <v>14599</v>
      </c>
      <c r="C2191" s="11" t="s">
        <v>14600</v>
      </c>
      <c r="D2191" s="11" t="s">
        <v>138</v>
      </c>
      <c r="E2191" s="11"/>
      <c r="F2191" s="11"/>
      <c r="G2191" s="11" t="s">
        <v>4257</v>
      </c>
      <c r="H2191" s="11" t="s">
        <v>301</v>
      </c>
      <c r="I2191" s="11" t="s">
        <v>8354</v>
      </c>
      <c r="J2191" s="11" t="s">
        <v>14601</v>
      </c>
      <c r="K2191" s="11" t="s">
        <v>228</v>
      </c>
      <c r="L2191" s="11" t="s">
        <v>229</v>
      </c>
      <c r="M2191" s="11" t="s">
        <v>14602</v>
      </c>
      <c r="N2191" s="11" t="s">
        <v>128</v>
      </c>
      <c r="O2191" s="11" t="s">
        <v>14603</v>
      </c>
      <c r="P2191" s="11" t="s">
        <v>8353</v>
      </c>
      <c r="Q2191" s="11" t="s">
        <v>150</v>
      </c>
      <c r="R2191" s="11"/>
      <c r="S2191" s="11" t="s">
        <v>71</v>
      </c>
      <c r="T2191" s="11" t="s">
        <v>869</v>
      </c>
      <c r="U2191" s="11" t="s">
        <v>150</v>
      </c>
      <c r="V2191" s="11" t="s">
        <v>869</v>
      </c>
      <c r="W2191" s="11" t="s">
        <v>869</v>
      </c>
      <c r="X2191" s="11">
        <v>18</v>
      </c>
      <c r="Y2191" s="11" t="s">
        <v>12359</v>
      </c>
      <c r="Z2191" s="11">
        <v>20</v>
      </c>
      <c r="AA2191" s="11">
        <v>0</v>
      </c>
      <c r="AB2191" s="12">
        <v>0</v>
      </c>
    </row>
    <row r="2192" spans="1:28" x14ac:dyDescent="0.2">
      <c r="A2192" s="7">
        <v>22603</v>
      </c>
      <c r="B2192" s="8" t="s">
        <v>14604</v>
      </c>
      <c r="C2192" s="8" t="s">
        <v>3862</v>
      </c>
      <c r="D2192" s="8" t="s">
        <v>3863</v>
      </c>
      <c r="E2192" s="8" t="s">
        <v>2174</v>
      </c>
      <c r="F2192" s="8" t="s">
        <v>3865</v>
      </c>
      <c r="G2192" s="8" t="s">
        <v>3612</v>
      </c>
      <c r="H2192" s="8" t="s">
        <v>704</v>
      </c>
      <c r="I2192" s="8" t="s">
        <v>3866</v>
      </c>
      <c r="J2192" s="8" t="s">
        <v>3867</v>
      </c>
      <c r="K2192" s="8" t="s">
        <v>707</v>
      </c>
      <c r="L2192" s="8" t="s">
        <v>126</v>
      </c>
      <c r="M2192" s="8" t="s">
        <v>14605</v>
      </c>
      <c r="N2192" s="8" t="s">
        <v>128</v>
      </c>
      <c r="O2192" s="8" t="s">
        <v>14606</v>
      </c>
      <c r="P2192" s="8" t="s">
        <v>14607</v>
      </c>
      <c r="Q2192" s="8" t="s">
        <v>150</v>
      </c>
      <c r="R2192" s="8"/>
      <c r="S2192" s="8" t="s">
        <v>71</v>
      </c>
      <c r="T2192" s="8" t="s">
        <v>2697</v>
      </c>
      <c r="U2192" s="8" t="s">
        <v>150</v>
      </c>
      <c r="V2192" s="8" t="s">
        <v>2697</v>
      </c>
      <c r="W2192" s="8" t="s">
        <v>2697</v>
      </c>
      <c r="X2192" s="8">
        <v>18</v>
      </c>
      <c r="Y2192" s="8" t="s">
        <v>12359</v>
      </c>
      <c r="Z2192" s="8">
        <v>20</v>
      </c>
      <c r="AA2192" s="8">
        <v>0</v>
      </c>
      <c r="AB2192" s="9">
        <v>0</v>
      </c>
    </row>
    <row r="2193" spans="1:28" x14ac:dyDescent="0.2">
      <c r="A2193" s="10">
        <v>107230</v>
      </c>
      <c r="B2193" s="11" t="s">
        <v>14608</v>
      </c>
      <c r="C2193" s="11" t="s">
        <v>14609</v>
      </c>
      <c r="D2193" s="11" t="s">
        <v>904</v>
      </c>
      <c r="E2193" s="11"/>
      <c r="F2193" s="11" t="s">
        <v>906</v>
      </c>
      <c r="G2193" s="11" t="s">
        <v>615</v>
      </c>
      <c r="H2193" s="11" t="s">
        <v>616</v>
      </c>
      <c r="I2193" s="11" t="s">
        <v>907</v>
      </c>
      <c r="J2193" s="11" t="s">
        <v>908</v>
      </c>
      <c r="K2193" s="11" t="s">
        <v>619</v>
      </c>
      <c r="L2193" s="11" t="s">
        <v>163</v>
      </c>
      <c r="M2193" s="11" t="s">
        <v>14610</v>
      </c>
      <c r="N2193" s="11" t="s">
        <v>128</v>
      </c>
      <c r="O2193" s="11" t="s">
        <v>14611</v>
      </c>
      <c r="P2193" s="11"/>
      <c r="Q2193" s="11" t="s">
        <v>150</v>
      </c>
      <c r="R2193" s="11"/>
      <c r="S2193" s="11" t="s">
        <v>912</v>
      </c>
      <c r="T2193" s="11" t="s">
        <v>5470</v>
      </c>
      <c r="U2193" s="11" t="s">
        <v>150</v>
      </c>
      <c r="V2193" s="11" t="s">
        <v>5470</v>
      </c>
      <c r="W2193" s="11" t="s">
        <v>5470</v>
      </c>
      <c r="X2193" s="11">
        <v>18</v>
      </c>
      <c r="Y2193" s="11" t="s">
        <v>12359</v>
      </c>
      <c r="Z2193" s="11">
        <v>20</v>
      </c>
      <c r="AA2193" s="11">
        <v>0</v>
      </c>
      <c r="AB2193" s="12">
        <v>0</v>
      </c>
    </row>
    <row r="2194" spans="1:28" x14ac:dyDescent="0.2">
      <c r="A2194" s="7">
        <v>23197</v>
      </c>
      <c r="B2194" s="8" t="s">
        <v>14612</v>
      </c>
      <c r="C2194" s="8" t="s">
        <v>10192</v>
      </c>
      <c r="D2194" s="8" t="s">
        <v>14613</v>
      </c>
      <c r="E2194" s="8" t="s">
        <v>3134</v>
      </c>
      <c r="F2194" s="8" t="s">
        <v>6117</v>
      </c>
      <c r="G2194" s="8" t="s">
        <v>141</v>
      </c>
      <c r="H2194" s="8" t="s">
        <v>142</v>
      </c>
      <c r="I2194" s="8" t="s">
        <v>14614</v>
      </c>
      <c r="J2194" s="8" t="s">
        <v>14615</v>
      </c>
      <c r="K2194" s="8" t="s">
        <v>584</v>
      </c>
      <c r="L2194" s="8" t="s">
        <v>146</v>
      </c>
      <c r="M2194" s="8" t="s">
        <v>14616</v>
      </c>
      <c r="N2194" s="8" t="s">
        <v>128</v>
      </c>
      <c r="O2194" s="8" t="s">
        <v>14617</v>
      </c>
      <c r="P2194" s="8" t="s">
        <v>14618</v>
      </c>
      <c r="Q2194" s="8" t="s">
        <v>150</v>
      </c>
      <c r="R2194" s="8"/>
      <c r="S2194" s="8" t="s">
        <v>71</v>
      </c>
      <c r="T2194" s="8" t="s">
        <v>70</v>
      </c>
      <c r="U2194" s="8" t="s">
        <v>150</v>
      </c>
      <c r="V2194" s="8" t="s">
        <v>70</v>
      </c>
      <c r="W2194" s="8" t="s">
        <v>70</v>
      </c>
      <c r="X2194" s="8">
        <v>18</v>
      </c>
      <c r="Y2194" s="8" t="s">
        <v>12359</v>
      </c>
      <c r="Z2194" s="8">
        <v>20</v>
      </c>
      <c r="AA2194" s="8">
        <v>0</v>
      </c>
      <c r="AB2194" s="9">
        <v>0</v>
      </c>
    </row>
    <row r="2195" spans="1:28" x14ac:dyDescent="0.2">
      <c r="A2195" s="10">
        <v>23185</v>
      </c>
      <c r="B2195" s="11" t="s">
        <v>14619</v>
      </c>
      <c r="C2195" s="11" t="s">
        <v>6222</v>
      </c>
      <c r="D2195" s="11" t="s">
        <v>138</v>
      </c>
      <c r="E2195" s="11" t="s">
        <v>14620</v>
      </c>
      <c r="F2195" s="11" t="s">
        <v>353</v>
      </c>
      <c r="G2195" s="11" t="s">
        <v>1559</v>
      </c>
      <c r="H2195" s="11" t="s">
        <v>557</v>
      </c>
      <c r="I2195" s="11" t="s">
        <v>6224</v>
      </c>
      <c r="J2195" s="11" t="s">
        <v>6225</v>
      </c>
      <c r="K2195" s="11" t="s">
        <v>1562</v>
      </c>
      <c r="L2195" s="11" t="s">
        <v>229</v>
      </c>
      <c r="M2195" s="11" t="s">
        <v>14621</v>
      </c>
      <c r="N2195" s="11" t="s">
        <v>128</v>
      </c>
      <c r="O2195" s="11" t="s">
        <v>14622</v>
      </c>
      <c r="P2195" s="11" t="s">
        <v>3792</v>
      </c>
      <c r="Q2195" s="11" t="s">
        <v>150</v>
      </c>
      <c r="R2195" s="11"/>
      <c r="S2195" s="11" t="s">
        <v>6229</v>
      </c>
      <c r="T2195" s="11" t="s">
        <v>70</v>
      </c>
      <c r="U2195" s="11" t="s">
        <v>150</v>
      </c>
      <c r="V2195" s="11" t="s">
        <v>70</v>
      </c>
      <c r="W2195" s="11" t="s">
        <v>70</v>
      </c>
      <c r="X2195" s="11">
        <v>18</v>
      </c>
      <c r="Y2195" s="11" t="s">
        <v>12359</v>
      </c>
      <c r="Z2195" s="11">
        <v>20</v>
      </c>
      <c r="AA2195" s="11">
        <v>0</v>
      </c>
      <c r="AB2195" s="12">
        <v>0</v>
      </c>
    </row>
    <row r="2196" spans="1:28" x14ac:dyDescent="0.2">
      <c r="A2196" s="7">
        <v>22901</v>
      </c>
      <c r="B2196" s="8" t="s">
        <v>14623</v>
      </c>
      <c r="C2196" s="8" t="s">
        <v>200</v>
      </c>
      <c r="D2196" s="8" t="s">
        <v>201</v>
      </c>
      <c r="E2196" s="8" t="s">
        <v>14624</v>
      </c>
      <c r="F2196" s="8" t="s">
        <v>203</v>
      </c>
      <c r="G2196" s="8" t="s">
        <v>141</v>
      </c>
      <c r="H2196" s="8" t="s">
        <v>142</v>
      </c>
      <c r="I2196" s="8" t="s">
        <v>5968</v>
      </c>
      <c r="J2196" s="8" t="s">
        <v>205</v>
      </c>
      <c r="K2196" s="8" t="s">
        <v>145</v>
      </c>
      <c r="L2196" s="8" t="s">
        <v>146</v>
      </c>
      <c r="M2196" s="8" t="s">
        <v>14625</v>
      </c>
      <c r="N2196" s="8" t="s">
        <v>128</v>
      </c>
      <c r="O2196" s="8" t="s">
        <v>14626</v>
      </c>
      <c r="P2196" s="8" t="s">
        <v>14215</v>
      </c>
      <c r="Q2196" s="8" t="s">
        <v>150</v>
      </c>
      <c r="R2196" s="8"/>
      <c r="S2196" s="8" t="s">
        <v>209</v>
      </c>
      <c r="T2196" s="8" t="s">
        <v>70</v>
      </c>
      <c r="U2196" s="8" t="s">
        <v>150</v>
      </c>
      <c r="V2196" s="8" t="s">
        <v>70</v>
      </c>
      <c r="W2196" s="8" t="s">
        <v>70</v>
      </c>
      <c r="X2196" s="8">
        <v>18</v>
      </c>
      <c r="Y2196" s="8" t="s">
        <v>12359</v>
      </c>
      <c r="Z2196" s="8">
        <v>20</v>
      </c>
      <c r="AA2196" s="8">
        <v>0</v>
      </c>
      <c r="AB2196" s="9">
        <v>0</v>
      </c>
    </row>
    <row r="2197" spans="1:28" x14ac:dyDescent="0.2">
      <c r="A2197" s="10">
        <v>23082</v>
      </c>
      <c r="B2197" s="11" t="s">
        <v>14627</v>
      </c>
      <c r="C2197" s="11" t="s">
        <v>4844</v>
      </c>
      <c r="D2197" s="11" t="s">
        <v>4351</v>
      </c>
      <c r="E2197" s="11" t="s">
        <v>14628</v>
      </c>
      <c r="F2197" s="11" t="s">
        <v>8275</v>
      </c>
      <c r="G2197" s="11" t="s">
        <v>141</v>
      </c>
      <c r="H2197" s="11" t="s">
        <v>142</v>
      </c>
      <c r="I2197" s="11" t="s">
        <v>14629</v>
      </c>
      <c r="J2197" s="11" t="s">
        <v>8277</v>
      </c>
      <c r="K2197" s="11" t="s">
        <v>584</v>
      </c>
      <c r="L2197" s="11" t="s">
        <v>146</v>
      </c>
      <c r="M2197" s="11" t="s">
        <v>14630</v>
      </c>
      <c r="N2197" s="11" t="s">
        <v>128</v>
      </c>
      <c r="O2197" s="11" t="s">
        <v>14631</v>
      </c>
      <c r="P2197" s="11" t="s">
        <v>14632</v>
      </c>
      <c r="Q2197" s="11" t="s">
        <v>150</v>
      </c>
      <c r="R2197" s="11"/>
      <c r="S2197" s="11" t="s">
        <v>8281</v>
      </c>
      <c r="T2197" s="11" t="s">
        <v>70</v>
      </c>
      <c r="U2197" s="11" t="s">
        <v>150</v>
      </c>
      <c r="V2197" s="11" t="s">
        <v>70</v>
      </c>
      <c r="W2197" s="11" t="s">
        <v>70</v>
      </c>
      <c r="X2197" s="11">
        <v>18</v>
      </c>
      <c r="Y2197" s="11" t="s">
        <v>12359</v>
      </c>
      <c r="Z2197" s="11">
        <v>20</v>
      </c>
      <c r="AA2197" s="11">
        <v>0</v>
      </c>
      <c r="AB2197" s="12">
        <v>0</v>
      </c>
    </row>
    <row r="2198" spans="1:28" x14ac:dyDescent="0.2">
      <c r="A2198" s="7">
        <v>23053</v>
      </c>
      <c r="B2198" s="8" t="s">
        <v>14633</v>
      </c>
      <c r="C2198" s="8" t="s">
        <v>4897</v>
      </c>
      <c r="D2198" s="8" t="s">
        <v>510</v>
      </c>
      <c r="E2198" s="8"/>
      <c r="F2198" s="8" t="s">
        <v>353</v>
      </c>
      <c r="G2198" s="8" t="s">
        <v>9554</v>
      </c>
      <c r="H2198" s="8" t="s">
        <v>142</v>
      </c>
      <c r="I2198" s="8" t="s">
        <v>9555</v>
      </c>
      <c r="J2198" s="8" t="s">
        <v>14634</v>
      </c>
      <c r="K2198" s="8" t="s">
        <v>974</v>
      </c>
      <c r="L2198" s="8" t="s">
        <v>146</v>
      </c>
      <c r="M2198" s="8" t="s">
        <v>14635</v>
      </c>
      <c r="N2198" s="8" t="s">
        <v>128</v>
      </c>
      <c r="O2198" s="8" t="s">
        <v>14636</v>
      </c>
      <c r="P2198" s="8" t="s">
        <v>14637</v>
      </c>
      <c r="Q2198" s="8" t="s">
        <v>150</v>
      </c>
      <c r="R2198" s="8"/>
      <c r="S2198" s="8" t="s">
        <v>71</v>
      </c>
      <c r="T2198" s="8" t="s">
        <v>70</v>
      </c>
      <c r="U2198" s="8" t="s">
        <v>150</v>
      </c>
      <c r="V2198" s="8" t="s">
        <v>70</v>
      </c>
      <c r="W2198" s="8" t="s">
        <v>70</v>
      </c>
      <c r="X2198" s="8">
        <v>18</v>
      </c>
      <c r="Y2198" s="8" t="s">
        <v>12359</v>
      </c>
      <c r="Z2198" s="8">
        <v>20</v>
      </c>
      <c r="AA2198" s="8">
        <v>0</v>
      </c>
      <c r="AB2198" s="9">
        <v>0</v>
      </c>
    </row>
    <row r="2199" spans="1:28" x14ac:dyDescent="0.2">
      <c r="A2199" s="10">
        <v>23037</v>
      </c>
      <c r="B2199" s="11" t="s">
        <v>14638</v>
      </c>
      <c r="C2199" s="11" t="s">
        <v>9561</v>
      </c>
      <c r="D2199" s="11" t="s">
        <v>9562</v>
      </c>
      <c r="E2199" s="11"/>
      <c r="F2199" s="11" t="s">
        <v>9382</v>
      </c>
      <c r="G2199" s="11" t="s">
        <v>328</v>
      </c>
      <c r="H2199" s="11" t="s">
        <v>329</v>
      </c>
      <c r="I2199" s="11" t="s">
        <v>14639</v>
      </c>
      <c r="J2199" s="11" t="s">
        <v>9565</v>
      </c>
      <c r="K2199" s="11" t="s">
        <v>332</v>
      </c>
      <c r="L2199" s="11" t="s">
        <v>333</v>
      </c>
      <c r="M2199" s="11" t="s">
        <v>14640</v>
      </c>
      <c r="N2199" s="11" t="s">
        <v>128</v>
      </c>
      <c r="O2199" s="11" t="s">
        <v>14641</v>
      </c>
      <c r="P2199" s="11" t="s">
        <v>5918</v>
      </c>
      <c r="Q2199" s="11" t="s">
        <v>150</v>
      </c>
      <c r="R2199" s="11"/>
      <c r="S2199" s="11" t="s">
        <v>9388</v>
      </c>
      <c r="T2199" s="11" t="s">
        <v>70</v>
      </c>
      <c r="U2199" s="11" t="s">
        <v>150</v>
      </c>
      <c r="V2199" s="11" t="s">
        <v>70</v>
      </c>
      <c r="W2199" s="11" t="s">
        <v>70</v>
      </c>
      <c r="X2199" s="11">
        <v>18</v>
      </c>
      <c r="Y2199" s="11" t="s">
        <v>12359</v>
      </c>
      <c r="Z2199" s="11">
        <v>20</v>
      </c>
      <c r="AA2199" s="11">
        <v>0</v>
      </c>
      <c r="AB2199" s="12">
        <v>0</v>
      </c>
    </row>
    <row r="2200" spans="1:28" x14ac:dyDescent="0.2">
      <c r="A2200" s="7">
        <v>23848</v>
      </c>
      <c r="B2200" s="8" t="s">
        <v>14642</v>
      </c>
      <c r="C2200" s="8" t="s">
        <v>14643</v>
      </c>
      <c r="D2200" s="8" t="s">
        <v>731</v>
      </c>
      <c r="E2200" s="8"/>
      <c r="F2200" s="8" t="s">
        <v>353</v>
      </c>
      <c r="G2200" s="8" t="s">
        <v>14277</v>
      </c>
      <c r="H2200" s="8" t="s">
        <v>142</v>
      </c>
      <c r="I2200" s="8" t="s">
        <v>14278</v>
      </c>
      <c r="J2200" s="8" t="s">
        <v>14644</v>
      </c>
      <c r="K2200" s="8" t="s">
        <v>472</v>
      </c>
      <c r="L2200" s="8" t="s">
        <v>146</v>
      </c>
      <c r="M2200" s="8" t="s">
        <v>14645</v>
      </c>
      <c r="N2200" s="8" t="s">
        <v>128</v>
      </c>
      <c r="O2200" s="8" t="s">
        <v>14646</v>
      </c>
      <c r="P2200" s="8" t="s">
        <v>14647</v>
      </c>
      <c r="Q2200" s="8" t="s">
        <v>150</v>
      </c>
      <c r="R2200" s="8"/>
      <c r="S2200" s="8" t="s">
        <v>71</v>
      </c>
      <c r="T2200" s="8" t="s">
        <v>168</v>
      </c>
      <c r="U2200" s="8" t="s">
        <v>150</v>
      </c>
      <c r="V2200" s="8" t="s">
        <v>168</v>
      </c>
      <c r="W2200" s="8" t="s">
        <v>168</v>
      </c>
      <c r="X2200" s="8">
        <v>18</v>
      </c>
      <c r="Y2200" s="8" t="s">
        <v>12359</v>
      </c>
      <c r="Z2200" s="8">
        <v>20</v>
      </c>
      <c r="AA2200" s="8">
        <v>0</v>
      </c>
      <c r="AB2200" s="9">
        <v>0</v>
      </c>
    </row>
    <row r="2201" spans="1:28" x14ac:dyDescent="0.2">
      <c r="A2201" s="10">
        <v>125376</v>
      </c>
      <c r="B2201" s="11" t="s">
        <v>14648</v>
      </c>
      <c r="C2201" s="11" t="s">
        <v>14649</v>
      </c>
      <c r="D2201" s="11" t="s">
        <v>9843</v>
      </c>
      <c r="E2201" s="11"/>
      <c r="F2201" s="11" t="s">
        <v>353</v>
      </c>
      <c r="G2201" s="11" t="s">
        <v>14650</v>
      </c>
      <c r="H2201" s="11" t="s">
        <v>122</v>
      </c>
      <c r="I2201" s="11" t="s">
        <v>14651</v>
      </c>
      <c r="J2201" s="11" t="s">
        <v>14652</v>
      </c>
      <c r="K2201" s="11" t="s">
        <v>125</v>
      </c>
      <c r="L2201" s="11" t="s">
        <v>126</v>
      </c>
      <c r="M2201" s="11" t="s">
        <v>14653</v>
      </c>
      <c r="N2201" s="11" t="s">
        <v>128</v>
      </c>
      <c r="O2201" s="11" t="s">
        <v>14654</v>
      </c>
      <c r="P2201" s="11" t="s">
        <v>14655</v>
      </c>
      <c r="Q2201" s="11" t="s">
        <v>150</v>
      </c>
      <c r="R2201" s="11"/>
      <c r="S2201" s="11" t="s">
        <v>71</v>
      </c>
      <c r="T2201" s="11" t="s">
        <v>168</v>
      </c>
      <c r="U2201" s="11" t="s">
        <v>150</v>
      </c>
      <c r="V2201" s="11" t="s">
        <v>168</v>
      </c>
      <c r="W2201" s="11" t="s">
        <v>168</v>
      </c>
      <c r="X2201" s="11">
        <v>18</v>
      </c>
      <c r="Y2201" s="11" t="s">
        <v>12359</v>
      </c>
      <c r="Z2201" s="11">
        <v>20</v>
      </c>
      <c r="AA2201" s="11">
        <v>0</v>
      </c>
      <c r="AB2201" s="12">
        <v>0</v>
      </c>
    </row>
    <row r="2202" spans="1:28" x14ac:dyDescent="0.2">
      <c r="A2202" s="7">
        <v>214586</v>
      </c>
      <c r="B2202" s="8" t="s">
        <v>14656</v>
      </c>
      <c r="C2202" s="8" t="s">
        <v>3187</v>
      </c>
      <c r="D2202" s="8" t="s">
        <v>1064</v>
      </c>
      <c r="E2202" s="8"/>
      <c r="F2202" s="8" t="s">
        <v>353</v>
      </c>
      <c r="G2202" s="8" t="s">
        <v>7329</v>
      </c>
      <c r="H2202" s="8" t="s">
        <v>1953</v>
      </c>
      <c r="I2202" s="8" t="s">
        <v>14657</v>
      </c>
      <c r="J2202" s="8" t="s">
        <v>14658</v>
      </c>
      <c r="K2202" s="8" t="s">
        <v>1956</v>
      </c>
      <c r="L2202" s="8" t="s">
        <v>526</v>
      </c>
      <c r="M2202" s="8" t="s">
        <v>14659</v>
      </c>
      <c r="N2202" s="8" t="s">
        <v>128</v>
      </c>
      <c r="O2202" s="8" t="s">
        <v>14660</v>
      </c>
      <c r="P2202" s="8" t="s">
        <v>219</v>
      </c>
      <c r="Q2202" s="8" t="s">
        <v>150</v>
      </c>
      <c r="R2202" s="8"/>
      <c r="S2202" s="8" t="s">
        <v>71</v>
      </c>
      <c r="T2202" s="8" t="s">
        <v>168</v>
      </c>
      <c r="U2202" s="8" t="s">
        <v>150</v>
      </c>
      <c r="V2202" s="8" t="s">
        <v>168</v>
      </c>
      <c r="W2202" s="8" t="s">
        <v>168</v>
      </c>
      <c r="X2202" s="8">
        <v>18</v>
      </c>
      <c r="Y2202" s="8" t="s">
        <v>12359</v>
      </c>
      <c r="Z2202" s="8">
        <v>20</v>
      </c>
      <c r="AA2202" s="8">
        <v>0</v>
      </c>
      <c r="AB2202" s="9">
        <v>0</v>
      </c>
    </row>
    <row r="2203" spans="1:28" x14ac:dyDescent="0.2">
      <c r="A2203" s="10">
        <v>24754</v>
      </c>
      <c r="B2203" s="11" t="s">
        <v>14661</v>
      </c>
      <c r="C2203" s="11" t="s">
        <v>14662</v>
      </c>
      <c r="D2203" s="11" t="s">
        <v>2467</v>
      </c>
      <c r="E2203" s="11" t="s">
        <v>14663</v>
      </c>
      <c r="F2203" s="11" t="s">
        <v>4796</v>
      </c>
      <c r="G2203" s="11" t="s">
        <v>141</v>
      </c>
      <c r="H2203" s="11" t="s">
        <v>142</v>
      </c>
      <c r="I2203" s="11" t="s">
        <v>14664</v>
      </c>
      <c r="J2203" s="11" t="s">
        <v>14665</v>
      </c>
      <c r="K2203" s="11" t="s">
        <v>145</v>
      </c>
      <c r="L2203" s="11" t="s">
        <v>146</v>
      </c>
      <c r="M2203" s="11" t="s">
        <v>14666</v>
      </c>
      <c r="N2203" s="11" t="s">
        <v>128</v>
      </c>
      <c r="O2203" s="11" t="s">
        <v>14667</v>
      </c>
      <c r="P2203" s="11" t="s">
        <v>5901</v>
      </c>
      <c r="Q2203" s="11" t="s">
        <v>150</v>
      </c>
      <c r="R2203" s="11"/>
      <c r="S2203" s="11" t="s">
        <v>71</v>
      </c>
      <c r="T2203" s="11" t="s">
        <v>69</v>
      </c>
      <c r="U2203" s="11" t="s">
        <v>150</v>
      </c>
      <c r="V2203" s="11" t="s">
        <v>152</v>
      </c>
      <c r="W2203" s="11" t="s">
        <v>69</v>
      </c>
      <c r="X2203" s="11">
        <v>18</v>
      </c>
      <c r="Y2203" s="11" t="s">
        <v>12359</v>
      </c>
      <c r="Z2203" s="11">
        <v>20</v>
      </c>
      <c r="AA2203" s="11">
        <v>0</v>
      </c>
      <c r="AB2203" s="12">
        <v>0</v>
      </c>
    </row>
    <row r="2204" spans="1:28" x14ac:dyDescent="0.2">
      <c r="A2204" s="7">
        <v>24930</v>
      </c>
      <c r="B2204" s="8" t="s">
        <v>14668</v>
      </c>
      <c r="C2204" s="8" t="s">
        <v>5885</v>
      </c>
      <c r="D2204" s="8" t="s">
        <v>5114</v>
      </c>
      <c r="E2204" s="8" t="s">
        <v>14669</v>
      </c>
      <c r="F2204" s="8" t="s">
        <v>353</v>
      </c>
      <c r="G2204" s="8" t="s">
        <v>328</v>
      </c>
      <c r="H2204" s="8" t="s">
        <v>329</v>
      </c>
      <c r="I2204" s="8" t="s">
        <v>6041</v>
      </c>
      <c r="J2204" s="8" t="s">
        <v>5888</v>
      </c>
      <c r="K2204" s="8" t="s">
        <v>332</v>
      </c>
      <c r="L2204" s="8" t="s">
        <v>333</v>
      </c>
      <c r="M2204" s="8" t="s">
        <v>14670</v>
      </c>
      <c r="N2204" s="8" t="s">
        <v>128</v>
      </c>
      <c r="O2204" s="8" t="s">
        <v>14671</v>
      </c>
      <c r="P2204" s="8" t="s">
        <v>14672</v>
      </c>
      <c r="Q2204" s="8" t="s">
        <v>150</v>
      </c>
      <c r="R2204" s="8"/>
      <c r="S2204" s="8" t="s">
        <v>5892</v>
      </c>
      <c r="T2204" s="8" t="s">
        <v>1738</v>
      </c>
      <c r="U2204" s="8" t="s">
        <v>150</v>
      </c>
      <c r="V2204" s="8" t="s">
        <v>1738</v>
      </c>
      <c r="W2204" s="8" t="s">
        <v>1738</v>
      </c>
      <c r="X2204" s="8">
        <v>18</v>
      </c>
      <c r="Y2204" s="8" t="s">
        <v>12359</v>
      </c>
      <c r="Z2204" s="8">
        <v>20</v>
      </c>
      <c r="AA2204" s="8">
        <v>0</v>
      </c>
      <c r="AB2204" s="9">
        <v>0</v>
      </c>
    </row>
    <row r="2205" spans="1:28" x14ac:dyDescent="0.2">
      <c r="A2205" s="10">
        <v>24816</v>
      </c>
      <c r="B2205" s="11" t="s">
        <v>14673</v>
      </c>
      <c r="C2205" s="11" t="s">
        <v>1928</v>
      </c>
      <c r="D2205" s="11" t="s">
        <v>4209</v>
      </c>
      <c r="E2205" s="11"/>
      <c r="F2205" s="11" t="s">
        <v>14674</v>
      </c>
      <c r="G2205" s="11" t="s">
        <v>2510</v>
      </c>
      <c r="H2205" s="11" t="s">
        <v>2511</v>
      </c>
      <c r="I2205" s="11" t="s">
        <v>4212</v>
      </c>
      <c r="J2205" s="11" t="s">
        <v>14675</v>
      </c>
      <c r="K2205" s="11" t="s">
        <v>1562</v>
      </c>
      <c r="L2205" s="11" t="s">
        <v>229</v>
      </c>
      <c r="M2205" s="11" t="s">
        <v>14676</v>
      </c>
      <c r="N2205" s="11" t="s">
        <v>128</v>
      </c>
      <c r="O2205" s="11" t="s">
        <v>14677</v>
      </c>
      <c r="P2205" s="11" t="s">
        <v>4123</v>
      </c>
      <c r="Q2205" s="11" t="s">
        <v>150</v>
      </c>
      <c r="R2205" s="11"/>
      <c r="S2205" s="11" t="s">
        <v>4217</v>
      </c>
      <c r="T2205" s="11" t="s">
        <v>1738</v>
      </c>
      <c r="U2205" s="11" t="s">
        <v>150</v>
      </c>
      <c r="V2205" s="11" t="s">
        <v>1738</v>
      </c>
      <c r="W2205" s="11" t="s">
        <v>1738</v>
      </c>
      <c r="X2205" s="11">
        <v>18</v>
      </c>
      <c r="Y2205" s="11" t="s">
        <v>12359</v>
      </c>
      <c r="Z2205" s="11">
        <v>20</v>
      </c>
      <c r="AA2205" s="11">
        <v>0</v>
      </c>
      <c r="AB2205" s="12">
        <v>0</v>
      </c>
    </row>
    <row r="2206" spans="1:28" x14ac:dyDescent="0.2">
      <c r="A2206" s="7">
        <v>111402</v>
      </c>
      <c r="B2206" s="8" t="s">
        <v>14678</v>
      </c>
      <c r="C2206" s="8" t="s">
        <v>14679</v>
      </c>
      <c r="D2206" s="8" t="s">
        <v>7037</v>
      </c>
      <c r="E2206" s="8" t="s">
        <v>10671</v>
      </c>
      <c r="F2206" s="8" t="s">
        <v>353</v>
      </c>
      <c r="G2206" s="8" t="s">
        <v>1559</v>
      </c>
      <c r="H2206" s="8" t="s">
        <v>557</v>
      </c>
      <c r="I2206" s="8" t="s">
        <v>14680</v>
      </c>
      <c r="J2206" s="8" t="s">
        <v>14681</v>
      </c>
      <c r="K2206" s="8" t="s">
        <v>1562</v>
      </c>
      <c r="L2206" s="8" t="s">
        <v>229</v>
      </c>
      <c r="M2206" s="8" t="s">
        <v>14682</v>
      </c>
      <c r="N2206" s="8" t="s">
        <v>128</v>
      </c>
      <c r="O2206" s="8" t="s">
        <v>14683</v>
      </c>
      <c r="P2206" s="8"/>
      <c r="Q2206" s="8" t="s">
        <v>740</v>
      </c>
      <c r="R2206" s="8"/>
      <c r="S2206" s="8" t="s">
        <v>71</v>
      </c>
      <c r="T2206" s="8" t="s">
        <v>1745</v>
      </c>
      <c r="U2206" s="8" t="s">
        <v>134</v>
      </c>
      <c r="V2206" s="8" t="s">
        <v>740</v>
      </c>
      <c r="W2206" s="8" t="s">
        <v>1745</v>
      </c>
      <c r="X2206" s="8">
        <v>18</v>
      </c>
      <c r="Y2206" s="8" t="s">
        <v>12359</v>
      </c>
      <c r="Z2206" s="8">
        <v>20</v>
      </c>
      <c r="AA2206" s="8">
        <v>0</v>
      </c>
      <c r="AB2206" s="9">
        <v>0</v>
      </c>
    </row>
    <row r="2207" spans="1:28" x14ac:dyDescent="0.2">
      <c r="A2207" s="10">
        <v>22379</v>
      </c>
      <c r="B2207" s="11" t="s">
        <v>14684</v>
      </c>
      <c r="C2207" s="11" t="s">
        <v>6181</v>
      </c>
      <c r="D2207" s="11" t="s">
        <v>6182</v>
      </c>
      <c r="E2207" s="11" t="s">
        <v>1734</v>
      </c>
      <c r="F2207" s="11" t="s">
        <v>6184</v>
      </c>
      <c r="G2207" s="11" t="s">
        <v>270</v>
      </c>
      <c r="H2207" s="11" t="s">
        <v>271</v>
      </c>
      <c r="I2207" s="11" t="s">
        <v>6185</v>
      </c>
      <c r="J2207" s="11" t="s">
        <v>6186</v>
      </c>
      <c r="K2207" s="11" t="s">
        <v>274</v>
      </c>
      <c r="L2207" s="11" t="s">
        <v>163</v>
      </c>
      <c r="M2207" s="11" t="s">
        <v>14685</v>
      </c>
      <c r="N2207" s="11" t="s">
        <v>128</v>
      </c>
      <c r="O2207" s="11" t="s">
        <v>14686</v>
      </c>
      <c r="P2207" s="11" t="s">
        <v>14687</v>
      </c>
      <c r="Q2207" s="11" t="s">
        <v>740</v>
      </c>
      <c r="R2207" s="11"/>
      <c r="S2207" s="11" t="s">
        <v>6190</v>
      </c>
      <c r="T2207" s="11" t="s">
        <v>1745</v>
      </c>
      <c r="U2207" s="11" t="s">
        <v>134</v>
      </c>
      <c r="V2207" s="11" t="s">
        <v>740</v>
      </c>
      <c r="W2207" s="11" t="s">
        <v>1745</v>
      </c>
      <c r="X2207" s="11">
        <v>18</v>
      </c>
      <c r="Y2207" s="11" t="s">
        <v>12359</v>
      </c>
      <c r="Z2207" s="11">
        <v>20</v>
      </c>
      <c r="AA2207" s="11">
        <v>0</v>
      </c>
      <c r="AB2207" s="12">
        <v>0</v>
      </c>
    </row>
    <row r="2208" spans="1:28" x14ac:dyDescent="0.2">
      <c r="A2208" s="7">
        <v>225271</v>
      </c>
      <c r="B2208" s="8" t="s">
        <v>14688</v>
      </c>
      <c r="C2208" s="8" t="s">
        <v>3756</v>
      </c>
      <c r="D2208" s="8" t="s">
        <v>14689</v>
      </c>
      <c r="E2208" s="8"/>
      <c r="F2208" s="8" t="s">
        <v>353</v>
      </c>
      <c r="G2208" s="8" t="s">
        <v>3758</v>
      </c>
      <c r="H2208" s="8" t="s">
        <v>847</v>
      </c>
      <c r="I2208" s="8" t="s">
        <v>3759</v>
      </c>
      <c r="J2208" s="8" t="s">
        <v>14690</v>
      </c>
      <c r="K2208" s="8" t="s">
        <v>1091</v>
      </c>
      <c r="L2208" s="8" t="s">
        <v>126</v>
      </c>
      <c r="M2208" s="8" t="s">
        <v>14691</v>
      </c>
      <c r="N2208" s="8" t="s">
        <v>128</v>
      </c>
      <c r="O2208" s="8" t="s">
        <v>14692</v>
      </c>
      <c r="P2208" s="8" t="s">
        <v>14693</v>
      </c>
      <c r="Q2208" s="8" t="s">
        <v>740</v>
      </c>
      <c r="R2208" s="8"/>
      <c r="S2208" s="8" t="s">
        <v>71</v>
      </c>
      <c r="T2208" s="8" t="s">
        <v>1745</v>
      </c>
      <c r="U2208" s="8" t="s">
        <v>134</v>
      </c>
      <c r="V2208" s="8" t="s">
        <v>740</v>
      </c>
      <c r="W2208" s="8" t="s">
        <v>1745</v>
      </c>
      <c r="X2208" s="8">
        <v>18</v>
      </c>
      <c r="Y2208" s="8" t="s">
        <v>12359</v>
      </c>
      <c r="Z2208" s="8">
        <v>20</v>
      </c>
      <c r="AA2208" s="8">
        <v>0</v>
      </c>
      <c r="AB2208" s="9">
        <v>0</v>
      </c>
    </row>
    <row r="2209" spans="1:28" x14ac:dyDescent="0.2">
      <c r="A2209" s="10">
        <v>49888</v>
      </c>
      <c r="B2209" s="11" t="s">
        <v>14694</v>
      </c>
      <c r="C2209" s="11" t="s">
        <v>13619</v>
      </c>
      <c r="D2209" s="11" t="s">
        <v>13620</v>
      </c>
      <c r="E2209" s="11"/>
      <c r="F2209" s="11" t="s">
        <v>7985</v>
      </c>
      <c r="G2209" s="11" t="s">
        <v>450</v>
      </c>
      <c r="H2209" s="11" t="s">
        <v>301</v>
      </c>
      <c r="I2209" s="11" t="s">
        <v>13621</v>
      </c>
      <c r="J2209" s="11" t="s">
        <v>14695</v>
      </c>
      <c r="K2209" s="11" t="s">
        <v>304</v>
      </c>
      <c r="L2209" s="11" t="s">
        <v>229</v>
      </c>
      <c r="M2209" s="11" t="s">
        <v>14696</v>
      </c>
      <c r="N2209" s="11" t="s">
        <v>128</v>
      </c>
      <c r="O2209" s="11" t="s">
        <v>14697</v>
      </c>
      <c r="P2209" s="11"/>
      <c r="Q2209" s="11" t="s">
        <v>740</v>
      </c>
      <c r="R2209" s="11"/>
      <c r="S2209" s="11" t="s">
        <v>13626</v>
      </c>
      <c r="T2209" s="11" t="s">
        <v>1745</v>
      </c>
      <c r="U2209" s="11" t="s">
        <v>134</v>
      </c>
      <c r="V2209" s="11" t="s">
        <v>740</v>
      </c>
      <c r="W2209" s="11" t="s">
        <v>1745</v>
      </c>
      <c r="X2209" s="11">
        <v>18</v>
      </c>
      <c r="Y2209" s="11" t="s">
        <v>12359</v>
      </c>
      <c r="Z2209" s="11">
        <v>20</v>
      </c>
      <c r="AA2209" s="11">
        <v>0</v>
      </c>
      <c r="AB2209" s="12">
        <v>0</v>
      </c>
    </row>
    <row r="2210" spans="1:28" x14ac:dyDescent="0.2">
      <c r="A2210" s="7">
        <v>25113</v>
      </c>
      <c r="B2210" s="8" t="s">
        <v>14698</v>
      </c>
      <c r="C2210" s="8" t="s">
        <v>14699</v>
      </c>
      <c r="D2210" s="8" t="s">
        <v>8508</v>
      </c>
      <c r="E2210" s="8" t="s">
        <v>14700</v>
      </c>
      <c r="F2210" s="8" t="s">
        <v>14701</v>
      </c>
      <c r="G2210" s="8" t="s">
        <v>4625</v>
      </c>
      <c r="H2210" s="8" t="s">
        <v>142</v>
      </c>
      <c r="I2210" s="8" t="s">
        <v>14702</v>
      </c>
      <c r="J2210" s="8" t="s">
        <v>14703</v>
      </c>
      <c r="K2210" s="8" t="s">
        <v>651</v>
      </c>
      <c r="L2210" s="8" t="s">
        <v>146</v>
      </c>
      <c r="M2210" s="8" t="s">
        <v>14704</v>
      </c>
      <c r="N2210" s="8" t="s">
        <v>128</v>
      </c>
      <c r="O2210" s="8" t="s">
        <v>14705</v>
      </c>
      <c r="P2210" s="8" t="s">
        <v>14706</v>
      </c>
      <c r="Q2210" s="8" t="s">
        <v>740</v>
      </c>
      <c r="R2210" s="8"/>
      <c r="S2210" s="8" t="s">
        <v>14707</v>
      </c>
      <c r="T2210" s="8" t="s">
        <v>741</v>
      </c>
      <c r="U2210" s="8" t="s">
        <v>134</v>
      </c>
      <c r="V2210" s="8" t="s">
        <v>740</v>
      </c>
      <c r="W2210" s="8" t="s">
        <v>741</v>
      </c>
      <c r="X2210" s="8">
        <v>18</v>
      </c>
      <c r="Y2210" s="8" t="s">
        <v>12359</v>
      </c>
      <c r="Z2210" s="8">
        <v>20</v>
      </c>
      <c r="AA2210" s="8">
        <v>0</v>
      </c>
      <c r="AB2210" s="9">
        <v>0</v>
      </c>
    </row>
    <row r="2211" spans="1:28" x14ac:dyDescent="0.2">
      <c r="A2211" s="10">
        <v>25280</v>
      </c>
      <c r="B2211" s="11" t="s">
        <v>14708</v>
      </c>
      <c r="C2211" s="11" t="s">
        <v>3909</v>
      </c>
      <c r="D2211" s="11" t="s">
        <v>1990</v>
      </c>
      <c r="E2211" s="11"/>
      <c r="F2211" s="11" t="s">
        <v>14709</v>
      </c>
      <c r="G2211" s="11" t="s">
        <v>3912</v>
      </c>
      <c r="H2211" s="11" t="s">
        <v>557</v>
      </c>
      <c r="I2211" s="11" t="s">
        <v>14710</v>
      </c>
      <c r="J2211" s="11" t="s">
        <v>14711</v>
      </c>
      <c r="K2211" s="11" t="s">
        <v>1562</v>
      </c>
      <c r="L2211" s="11" t="s">
        <v>229</v>
      </c>
      <c r="M2211" s="11" t="s">
        <v>14712</v>
      </c>
      <c r="N2211" s="11" t="s">
        <v>128</v>
      </c>
      <c r="O2211" s="11" t="s">
        <v>14713</v>
      </c>
      <c r="P2211" s="11" t="s">
        <v>14714</v>
      </c>
      <c r="Q2211" s="11" t="s">
        <v>740</v>
      </c>
      <c r="R2211" s="11"/>
      <c r="S2211" s="11" t="s">
        <v>71</v>
      </c>
      <c r="T2211" s="11" t="s">
        <v>741</v>
      </c>
      <c r="U2211" s="11" t="s">
        <v>134</v>
      </c>
      <c r="V2211" s="11" t="s">
        <v>740</v>
      </c>
      <c r="W2211" s="11" t="s">
        <v>741</v>
      </c>
      <c r="X2211" s="11">
        <v>18</v>
      </c>
      <c r="Y2211" s="11" t="s">
        <v>12359</v>
      </c>
      <c r="Z2211" s="11">
        <v>20</v>
      </c>
      <c r="AA2211" s="11">
        <v>0</v>
      </c>
      <c r="AB2211" s="12">
        <v>0</v>
      </c>
    </row>
    <row r="2212" spans="1:28" x14ac:dyDescent="0.2">
      <c r="A2212" s="7">
        <v>22157</v>
      </c>
      <c r="B2212" s="8" t="s">
        <v>14715</v>
      </c>
      <c r="C2212" s="8" t="s">
        <v>14400</v>
      </c>
      <c r="D2212" s="8" t="s">
        <v>10591</v>
      </c>
      <c r="E2212" s="8" t="s">
        <v>14716</v>
      </c>
      <c r="F2212" s="8" t="s">
        <v>14401</v>
      </c>
      <c r="G2212" s="8" t="s">
        <v>141</v>
      </c>
      <c r="H2212" s="8" t="s">
        <v>142</v>
      </c>
      <c r="I2212" s="8" t="s">
        <v>14402</v>
      </c>
      <c r="J2212" s="8" t="s">
        <v>14403</v>
      </c>
      <c r="K2212" s="8" t="s">
        <v>651</v>
      </c>
      <c r="L2212" s="8" t="s">
        <v>146</v>
      </c>
      <c r="M2212" s="8" t="s">
        <v>14717</v>
      </c>
      <c r="N2212" s="8" t="s">
        <v>128</v>
      </c>
      <c r="O2212" s="8" t="s">
        <v>14718</v>
      </c>
      <c r="P2212" s="8"/>
      <c r="Q2212" s="8" t="s">
        <v>249</v>
      </c>
      <c r="R2212" s="8"/>
      <c r="S2212" s="8" t="s">
        <v>14406</v>
      </c>
      <c r="T2212" s="8" t="s">
        <v>1523</v>
      </c>
      <c r="U2212" s="8" t="s">
        <v>134</v>
      </c>
      <c r="V2212" s="8" t="s">
        <v>249</v>
      </c>
      <c r="W2212" s="8" t="s">
        <v>1523</v>
      </c>
      <c r="X2212" s="8">
        <v>18</v>
      </c>
      <c r="Y2212" s="8" t="s">
        <v>12359</v>
      </c>
      <c r="Z2212" s="8">
        <v>20</v>
      </c>
      <c r="AA2212" s="8">
        <v>0</v>
      </c>
      <c r="AB2212" s="9">
        <v>0</v>
      </c>
    </row>
    <row r="2213" spans="1:28" x14ac:dyDescent="0.2">
      <c r="A2213" s="10">
        <v>25598</v>
      </c>
      <c r="B2213" s="11" t="s">
        <v>14719</v>
      </c>
      <c r="C2213" s="11" t="s">
        <v>14348</v>
      </c>
      <c r="D2213" s="11" t="s">
        <v>14349</v>
      </c>
      <c r="E2213" s="11"/>
      <c r="F2213" s="11" t="s">
        <v>353</v>
      </c>
      <c r="G2213" s="11" t="s">
        <v>3929</v>
      </c>
      <c r="H2213" s="11" t="s">
        <v>704</v>
      </c>
      <c r="I2213" s="11" t="s">
        <v>14350</v>
      </c>
      <c r="J2213" s="11" t="s">
        <v>14351</v>
      </c>
      <c r="K2213" s="11" t="s">
        <v>850</v>
      </c>
      <c r="L2213" s="11" t="s">
        <v>126</v>
      </c>
      <c r="M2213" s="11" t="s">
        <v>14720</v>
      </c>
      <c r="N2213" s="11" t="s">
        <v>128</v>
      </c>
      <c r="O2213" s="11" t="s">
        <v>14721</v>
      </c>
      <c r="P2213" s="11"/>
      <c r="Q2213" s="11" t="s">
        <v>249</v>
      </c>
      <c r="R2213" s="11"/>
      <c r="S2213" s="11" t="s">
        <v>14354</v>
      </c>
      <c r="T2213" s="11" t="s">
        <v>1523</v>
      </c>
      <c r="U2213" s="11" t="s">
        <v>134</v>
      </c>
      <c r="V2213" s="11" t="s">
        <v>249</v>
      </c>
      <c r="W2213" s="11" t="s">
        <v>1523</v>
      </c>
      <c r="X2213" s="11">
        <v>18</v>
      </c>
      <c r="Y2213" s="11" t="s">
        <v>12359</v>
      </c>
      <c r="Z2213" s="11">
        <v>20</v>
      </c>
      <c r="AA2213" s="11">
        <v>0</v>
      </c>
      <c r="AB2213" s="12">
        <v>0</v>
      </c>
    </row>
    <row r="2214" spans="1:28" x14ac:dyDescent="0.2">
      <c r="A2214" s="7">
        <v>25599</v>
      </c>
      <c r="B2214" s="8" t="s">
        <v>14722</v>
      </c>
      <c r="C2214" s="8" t="s">
        <v>2339</v>
      </c>
      <c r="D2214" s="8" t="s">
        <v>14723</v>
      </c>
      <c r="E2214" s="8"/>
      <c r="F2214" s="8" t="s">
        <v>353</v>
      </c>
      <c r="G2214" s="8" t="s">
        <v>1196</v>
      </c>
      <c r="H2214" s="8" t="s">
        <v>142</v>
      </c>
      <c r="I2214" s="8" t="s">
        <v>2341</v>
      </c>
      <c r="J2214" s="8" t="s">
        <v>14724</v>
      </c>
      <c r="K2214" s="8" t="s">
        <v>1199</v>
      </c>
      <c r="L2214" s="8" t="s">
        <v>464</v>
      </c>
      <c r="M2214" s="8" t="s">
        <v>14725</v>
      </c>
      <c r="N2214" s="8" t="s">
        <v>128</v>
      </c>
      <c r="O2214" s="8" t="s">
        <v>14726</v>
      </c>
      <c r="P2214" s="8"/>
      <c r="Q2214" s="8" t="s">
        <v>249</v>
      </c>
      <c r="R2214" s="8"/>
      <c r="S2214" s="8" t="s">
        <v>71</v>
      </c>
      <c r="T2214" s="8" t="s">
        <v>1523</v>
      </c>
      <c r="U2214" s="8" t="s">
        <v>134</v>
      </c>
      <c r="V2214" s="8" t="s">
        <v>249</v>
      </c>
      <c r="W2214" s="8" t="s">
        <v>1523</v>
      </c>
      <c r="X2214" s="8">
        <v>18</v>
      </c>
      <c r="Y2214" s="8" t="s">
        <v>12359</v>
      </c>
      <c r="Z2214" s="8">
        <v>20</v>
      </c>
      <c r="AA2214" s="8">
        <v>0</v>
      </c>
      <c r="AB2214" s="9">
        <v>0</v>
      </c>
    </row>
    <row r="2215" spans="1:28" x14ac:dyDescent="0.2">
      <c r="A2215" s="10">
        <v>25600</v>
      </c>
      <c r="B2215" s="11" t="s">
        <v>14727</v>
      </c>
      <c r="C2215" s="11" t="s">
        <v>14728</v>
      </c>
      <c r="D2215" s="11" t="s">
        <v>5934</v>
      </c>
      <c r="E2215" s="11"/>
      <c r="F2215" s="11" t="s">
        <v>14729</v>
      </c>
      <c r="G2215" s="11" t="s">
        <v>1429</v>
      </c>
      <c r="H2215" s="11" t="s">
        <v>142</v>
      </c>
      <c r="I2215" s="11" t="s">
        <v>14730</v>
      </c>
      <c r="J2215" s="11" t="s">
        <v>14731</v>
      </c>
      <c r="K2215" s="11" t="s">
        <v>1199</v>
      </c>
      <c r="L2215" s="11" t="s">
        <v>464</v>
      </c>
      <c r="M2215" s="11" t="s">
        <v>14732</v>
      </c>
      <c r="N2215" s="11" t="s">
        <v>128</v>
      </c>
      <c r="O2215" s="11" t="s">
        <v>14733</v>
      </c>
      <c r="P2215" s="11"/>
      <c r="Q2215" s="11" t="s">
        <v>249</v>
      </c>
      <c r="R2215" s="11"/>
      <c r="S2215" s="11" t="s">
        <v>71</v>
      </c>
      <c r="T2215" s="11" t="s">
        <v>1523</v>
      </c>
      <c r="U2215" s="11" t="s">
        <v>134</v>
      </c>
      <c r="V2215" s="11" t="s">
        <v>249</v>
      </c>
      <c r="W2215" s="11" t="s">
        <v>1523</v>
      </c>
      <c r="X2215" s="11">
        <v>18</v>
      </c>
      <c r="Y2215" s="11" t="s">
        <v>12359</v>
      </c>
      <c r="Z2215" s="11">
        <v>20</v>
      </c>
      <c r="AA2215" s="11">
        <v>0</v>
      </c>
      <c r="AB2215" s="12">
        <v>0</v>
      </c>
    </row>
    <row r="2216" spans="1:28" x14ac:dyDescent="0.2">
      <c r="A2216" s="7">
        <v>25470</v>
      </c>
      <c r="B2216" s="8" t="s">
        <v>14734</v>
      </c>
      <c r="C2216" s="8" t="s">
        <v>6884</v>
      </c>
      <c r="D2216" s="8" t="s">
        <v>3116</v>
      </c>
      <c r="E2216" s="8" t="s">
        <v>14735</v>
      </c>
      <c r="F2216" s="8" t="s">
        <v>1658</v>
      </c>
      <c r="G2216" s="8" t="s">
        <v>141</v>
      </c>
      <c r="H2216" s="8" t="s">
        <v>142</v>
      </c>
      <c r="I2216" s="8" t="s">
        <v>6885</v>
      </c>
      <c r="J2216" s="8" t="s">
        <v>6886</v>
      </c>
      <c r="K2216" s="8" t="s">
        <v>145</v>
      </c>
      <c r="L2216" s="8" t="s">
        <v>146</v>
      </c>
      <c r="M2216" s="8" t="s">
        <v>14736</v>
      </c>
      <c r="N2216" s="8" t="s">
        <v>128</v>
      </c>
      <c r="O2216" s="8" t="s">
        <v>14737</v>
      </c>
      <c r="P2216" s="8" t="s">
        <v>14738</v>
      </c>
      <c r="Q2216" s="8" t="s">
        <v>249</v>
      </c>
      <c r="R2216" s="8"/>
      <c r="S2216" s="8" t="s">
        <v>6890</v>
      </c>
      <c r="T2216" s="8" t="s">
        <v>250</v>
      </c>
      <c r="U2216" s="8" t="s">
        <v>134</v>
      </c>
      <c r="V2216" s="8" t="s">
        <v>249</v>
      </c>
      <c r="W2216" s="8" t="s">
        <v>250</v>
      </c>
      <c r="X2216" s="8">
        <v>18</v>
      </c>
      <c r="Y2216" s="8" t="s">
        <v>12359</v>
      </c>
      <c r="Z2216" s="8">
        <v>20</v>
      </c>
      <c r="AA2216" s="8">
        <v>0</v>
      </c>
      <c r="AB2216" s="9">
        <v>0</v>
      </c>
    </row>
    <row r="2217" spans="1:28" x14ac:dyDescent="0.2">
      <c r="A2217" s="10">
        <v>25541</v>
      </c>
      <c r="B2217" s="11" t="s">
        <v>14739</v>
      </c>
      <c r="C2217" s="11" t="s">
        <v>13359</v>
      </c>
      <c r="D2217" s="11" t="s">
        <v>1464</v>
      </c>
      <c r="E2217" s="11" t="s">
        <v>11575</v>
      </c>
      <c r="F2217" s="11" t="s">
        <v>2788</v>
      </c>
      <c r="G2217" s="11" t="s">
        <v>1286</v>
      </c>
      <c r="H2217" s="11" t="s">
        <v>142</v>
      </c>
      <c r="I2217" s="11" t="s">
        <v>14740</v>
      </c>
      <c r="J2217" s="11" t="s">
        <v>13362</v>
      </c>
      <c r="K2217" s="11" t="s">
        <v>717</v>
      </c>
      <c r="L2217" s="11" t="s">
        <v>464</v>
      </c>
      <c r="M2217" s="11" t="s">
        <v>14741</v>
      </c>
      <c r="N2217" s="11" t="s">
        <v>128</v>
      </c>
      <c r="O2217" s="11" t="s">
        <v>14742</v>
      </c>
      <c r="P2217" s="11" t="s">
        <v>14743</v>
      </c>
      <c r="Q2217" s="11" t="s">
        <v>249</v>
      </c>
      <c r="R2217" s="11"/>
      <c r="S2217" s="11" t="s">
        <v>13365</v>
      </c>
      <c r="T2217" s="11" t="s">
        <v>250</v>
      </c>
      <c r="U2217" s="11" t="s">
        <v>134</v>
      </c>
      <c r="V2217" s="11" t="s">
        <v>249</v>
      </c>
      <c r="W2217" s="11" t="s">
        <v>250</v>
      </c>
      <c r="X2217" s="11">
        <v>18</v>
      </c>
      <c r="Y2217" s="11" t="s">
        <v>12359</v>
      </c>
      <c r="Z2217" s="11">
        <v>20</v>
      </c>
      <c r="AA2217" s="11">
        <v>0</v>
      </c>
      <c r="AB2217" s="12">
        <v>0</v>
      </c>
    </row>
    <row r="2218" spans="1:28" x14ac:dyDescent="0.2">
      <c r="A2218" s="7">
        <v>25411</v>
      </c>
      <c r="B2218" s="8" t="s">
        <v>14744</v>
      </c>
      <c r="C2218" s="8" t="s">
        <v>1622</v>
      </c>
      <c r="D2218" s="8" t="s">
        <v>1623</v>
      </c>
      <c r="E2218" s="8" t="s">
        <v>14745</v>
      </c>
      <c r="F2218" s="8" t="s">
        <v>1625</v>
      </c>
      <c r="G2218" s="8" t="s">
        <v>1626</v>
      </c>
      <c r="H2218" s="8" t="s">
        <v>142</v>
      </c>
      <c r="I2218" s="8" t="s">
        <v>8540</v>
      </c>
      <c r="J2218" s="8" t="s">
        <v>1628</v>
      </c>
      <c r="K2218" s="8" t="s">
        <v>472</v>
      </c>
      <c r="L2218" s="8" t="s">
        <v>146</v>
      </c>
      <c r="M2218" s="8" t="s">
        <v>14746</v>
      </c>
      <c r="N2218" s="8" t="s">
        <v>128</v>
      </c>
      <c r="O2218" s="8" t="s">
        <v>14747</v>
      </c>
      <c r="P2218" s="8" t="s">
        <v>14748</v>
      </c>
      <c r="Q2218" s="8" t="s">
        <v>249</v>
      </c>
      <c r="R2218" s="8"/>
      <c r="S2218" s="8" t="s">
        <v>1632</v>
      </c>
      <c r="T2218" s="8" t="s">
        <v>250</v>
      </c>
      <c r="U2218" s="8" t="s">
        <v>134</v>
      </c>
      <c r="V2218" s="8" t="s">
        <v>249</v>
      </c>
      <c r="W2218" s="8" t="s">
        <v>250</v>
      </c>
      <c r="X2218" s="8">
        <v>18</v>
      </c>
      <c r="Y2218" s="8" t="s">
        <v>12359</v>
      </c>
      <c r="Z2218" s="8">
        <v>20</v>
      </c>
      <c r="AA2218" s="8">
        <v>0</v>
      </c>
      <c r="AB2218" s="9">
        <v>0</v>
      </c>
    </row>
    <row r="2219" spans="1:28" x14ac:dyDescent="0.2">
      <c r="A2219" s="10">
        <v>25423</v>
      </c>
      <c r="B2219" s="11" t="s">
        <v>14749</v>
      </c>
      <c r="C2219" s="11" t="s">
        <v>5940</v>
      </c>
      <c r="D2219" s="11" t="s">
        <v>5941</v>
      </c>
      <c r="E2219" s="11" t="s">
        <v>281</v>
      </c>
      <c r="F2219" s="11" t="s">
        <v>5942</v>
      </c>
      <c r="G2219" s="11" t="s">
        <v>5943</v>
      </c>
      <c r="H2219" s="11" t="s">
        <v>191</v>
      </c>
      <c r="I2219" s="11" t="s">
        <v>5944</v>
      </c>
      <c r="J2219" s="11" t="s">
        <v>5945</v>
      </c>
      <c r="K2219" s="11" t="s">
        <v>194</v>
      </c>
      <c r="L2219" s="11" t="s">
        <v>163</v>
      </c>
      <c r="M2219" s="11" t="s">
        <v>14750</v>
      </c>
      <c r="N2219" s="11" t="s">
        <v>128</v>
      </c>
      <c r="O2219" s="11" t="s">
        <v>14751</v>
      </c>
      <c r="P2219" s="11" t="s">
        <v>14752</v>
      </c>
      <c r="Q2219" s="11" t="s">
        <v>249</v>
      </c>
      <c r="R2219" s="11"/>
      <c r="S2219" s="11" t="s">
        <v>5948</v>
      </c>
      <c r="T2219" s="11" t="s">
        <v>250</v>
      </c>
      <c r="U2219" s="11" t="s">
        <v>134</v>
      </c>
      <c r="V2219" s="11" t="s">
        <v>249</v>
      </c>
      <c r="W2219" s="11" t="s">
        <v>250</v>
      </c>
      <c r="X2219" s="11">
        <v>18</v>
      </c>
      <c r="Y2219" s="11" t="s">
        <v>12359</v>
      </c>
      <c r="Z2219" s="11">
        <v>20</v>
      </c>
      <c r="AA2219" s="11">
        <v>0</v>
      </c>
      <c r="AB2219" s="12">
        <v>0</v>
      </c>
    </row>
    <row r="2220" spans="1:28" x14ac:dyDescent="0.2">
      <c r="A2220" s="7">
        <v>25487</v>
      </c>
      <c r="B2220" s="8" t="s">
        <v>14753</v>
      </c>
      <c r="C2220" s="8" t="s">
        <v>4510</v>
      </c>
      <c r="D2220" s="8" t="s">
        <v>4511</v>
      </c>
      <c r="E2220" s="8" t="s">
        <v>13528</v>
      </c>
      <c r="F2220" s="8" t="s">
        <v>353</v>
      </c>
      <c r="G2220" s="8" t="s">
        <v>4513</v>
      </c>
      <c r="H2220" s="8" t="s">
        <v>847</v>
      </c>
      <c r="I2220" s="8" t="s">
        <v>4514</v>
      </c>
      <c r="J2220" s="8" t="s">
        <v>4515</v>
      </c>
      <c r="K2220" s="8" t="s">
        <v>1091</v>
      </c>
      <c r="L2220" s="8" t="s">
        <v>126</v>
      </c>
      <c r="M2220" s="8" t="s">
        <v>14754</v>
      </c>
      <c r="N2220" s="8" t="s">
        <v>128</v>
      </c>
      <c r="O2220" s="8" t="s">
        <v>14755</v>
      </c>
      <c r="P2220" s="8" t="s">
        <v>14756</v>
      </c>
      <c r="Q2220" s="8" t="s">
        <v>249</v>
      </c>
      <c r="R2220" s="8"/>
      <c r="S2220" s="8" t="s">
        <v>4519</v>
      </c>
      <c r="T2220" s="8" t="s">
        <v>250</v>
      </c>
      <c r="U2220" s="8" t="s">
        <v>134</v>
      </c>
      <c r="V2220" s="8" t="s">
        <v>249</v>
      </c>
      <c r="W2220" s="8" t="s">
        <v>250</v>
      </c>
      <c r="X2220" s="8">
        <v>18</v>
      </c>
      <c r="Y2220" s="8" t="s">
        <v>12359</v>
      </c>
      <c r="Z2220" s="8">
        <v>20</v>
      </c>
      <c r="AA2220" s="8">
        <v>0</v>
      </c>
      <c r="AB2220" s="9">
        <v>0</v>
      </c>
    </row>
    <row r="2221" spans="1:28" x14ac:dyDescent="0.2">
      <c r="A2221" s="10">
        <v>21110</v>
      </c>
      <c r="B2221" s="11" t="s">
        <v>14757</v>
      </c>
      <c r="C2221" s="11" t="s">
        <v>14758</v>
      </c>
      <c r="D2221" s="11" t="s">
        <v>138</v>
      </c>
      <c r="E2221" s="11"/>
      <c r="F2221" s="11" t="s">
        <v>14759</v>
      </c>
      <c r="G2221" s="11" t="s">
        <v>1813</v>
      </c>
      <c r="H2221" s="11" t="s">
        <v>142</v>
      </c>
      <c r="I2221" s="11" t="s">
        <v>14760</v>
      </c>
      <c r="J2221" s="11" t="s">
        <v>14761</v>
      </c>
      <c r="K2221" s="11" t="s">
        <v>974</v>
      </c>
      <c r="L2221" s="11" t="s">
        <v>146</v>
      </c>
      <c r="M2221" s="11" t="s">
        <v>14762</v>
      </c>
      <c r="N2221" s="11" t="s">
        <v>128</v>
      </c>
      <c r="O2221" s="11" t="s">
        <v>14763</v>
      </c>
      <c r="P2221" s="11" t="s">
        <v>14764</v>
      </c>
      <c r="Q2221" s="11" t="s">
        <v>150</v>
      </c>
      <c r="R2221" s="11"/>
      <c r="S2221" s="11" t="s">
        <v>71</v>
      </c>
      <c r="T2221" s="11" t="s">
        <v>289</v>
      </c>
      <c r="U2221" s="11" t="s">
        <v>150</v>
      </c>
      <c r="V2221" s="11" t="s">
        <v>289</v>
      </c>
      <c r="W2221" s="11" t="s">
        <v>289</v>
      </c>
      <c r="X2221" s="11">
        <v>17</v>
      </c>
      <c r="Y2221" s="11" t="s">
        <v>12359</v>
      </c>
      <c r="Z2221" s="11">
        <v>20</v>
      </c>
      <c r="AA2221" s="11">
        <v>0</v>
      </c>
      <c r="AB2221" s="12">
        <v>0</v>
      </c>
    </row>
    <row r="2222" spans="1:28" x14ac:dyDescent="0.2">
      <c r="A2222" s="7">
        <v>21109</v>
      </c>
      <c r="B2222" s="8" t="s">
        <v>14765</v>
      </c>
      <c r="C2222" s="8" t="s">
        <v>10905</v>
      </c>
      <c r="D2222" s="8" t="s">
        <v>14766</v>
      </c>
      <c r="E2222" s="8"/>
      <c r="F2222" s="8" t="s">
        <v>14767</v>
      </c>
      <c r="G2222" s="8" t="s">
        <v>3259</v>
      </c>
      <c r="H2222" s="8" t="s">
        <v>557</v>
      </c>
      <c r="I2222" s="8" t="s">
        <v>14768</v>
      </c>
      <c r="J2222" s="8" t="s">
        <v>14769</v>
      </c>
      <c r="K2222" s="8" t="s">
        <v>1562</v>
      </c>
      <c r="L2222" s="8" t="s">
        <v>229</v>
      </c>
      <c r="M2222" s="8" t="s">
        <v>14770</v>
      </c>
      <c r="N2222" s="8" t="s">
        <v>128</v>
      </c>
      <c r="O2222" s="8" t="s">
        <v>14771</v>
      </c>
      <c r="P2222" s="8" t="s">
        <v>14772</v>
      </c>
      <c r="Q2222" s="8" t="s">
        <v>150</v>
      </c>
      <c r="R2222" s="8"/>
      <c r="S2222" s="8" t="s">
        <v>71</v>
      </c>
      <c r="T2222" s="8" t="s">
        <v>289</v>
      </c>
      <c r="U2222" s="8" t="s">
        <v>150</v>
      </c>
      <c r="V2222" s="8" t="s">
        <v>289</v>
      </c>
      <c r="W2222" s="8" t="s">
        <v>289</v>
      </c>
      <c r="X2222" s="8">
        <v>17</v>
      </c>
      <c r="Y2222" s="8" t="s">
        <v>12359</v>
      </c>
      <c r="Z2222" s="8">
        <v>20</v>
      </c>
      <c r="AA2222" s="8">
        <v>0</v>
      </c>
      <c r="AB2222" s="9">
        <v>0</v>
      </c>
    </row>
    <row r="2223" spans="1:28" x14ac:dyDescent="0.2">
      <c r="A2223" s="10">
        <v>26156</v>
      </c>
      <c r="B2223" s="11" t="s">
        <v>14773</v>
      </c>
      <c r="C2223" s="11" t="s">
        <v>9372</v>
      </c>
      <c r="D2223" s="11" t="s">
        <v>6286</v>
      </c>
      <c r="E2223" s="11"/>
      <c r="F2223" s="11" t="s">
        <v>9373</v>
      </c>
      <c r="G2223" s="11" t="s">
        <v>8876</v>
      </c>
      <c r="H2223" s="11" t="s">
        <v>329</v>
      </c>
      <c r="I2223" s="11" t="s">
        <v>9374</v>
      </c>
      <c r="J2223" s="11" t="s">
        <v>9375</v>
      </c>
      <c r="K2223" s="11" t="s">
        <v>415</v>
      </c>
      <c r="L2223" s="11" t="s">
        <v>333</v>
      </c>
      <c r="M2223" s="11" t="s">
        <v>14774</v>
      </c>
      <c r="N2223" s="11" t="s">
        <v>128</v>
      </c>
      <c r="O2223" s="11" t="s">
        <v>14775</v>
      </c>
      <c r="P2223" s="11" t="s">
        <v>14776</v>
      </c>
      <c r="Q2223" s="11" t="s">
        <v>150</v>
      </c>
      <c r="R2223" s="11"/>
      <c r="S2223" s="11" t="s">
        <v>9378</v>
      </c>
      <c r="T2223" s="11" t="s">
        <v>642</v>
      </c>
      <c r="U2223" s="11" t="s">
        <v>150</v>
      </c>
      <c r="V2223" s="11" t="s">
        <v>642</v>
      </c>
      <c r="W2223" s="11" t="s">
        <v>642</v>
      </c>
      <c r="X2223" s="11">
        <v>17</v>
      </c>
      <c r="Y2223" s="11" t="s">
        <v>12359</v>
      </c>
      <c r="Z2223" s="11">
        <v>20</v>
      </c>
      <c r="AA2223" s="11">
        <v>0</v>
      </c>
      <c r="AB2223" s="12">
        <v>0</v>
      </c>
    </row>
    <row r="2224" spans="1:28" x14ac:dyDescent="0.2">
      <c r="A2224" s="7">
        <v>26160</v>
      </c>
      <c r="B2224" s="8" t="s">
        <v>14777</v>
      </c>
      <c r="C2224" s="8" t="s">
        <v>8770</v>
      </c>
      <c r="D2224" s="8" t="s">
        <v>8771</v>
      </c>
      <c r="E2224" s="8"/>
      <c r="F2224" s="8" t="s">
        <v>8772</v>
      </c>
      <c r="G2224" s="8" t="s">
        <v>1488</v>
      </c>
      <c r="H2224" s="8" t="s">
        <v>329</v>
      </c>
      <c r="I2224" s="8" t="s">
        <v>14778</v>
      </c>
      <c r="J2224" s="8" t="s">
        <v>14779</v>
      </c>
      <c r="K2224" s="8" t="s">
        <v>415</v>
      </c>
      <c r="L2224" s="8" t="s">
        <v>333</v>
      </c>
      <c r="M2224" s="8" t="s">
        <v>14780</v>
      </c>
      <c r="N2224" s="8" t="s">
        <v>128</v>
      </c>
      <c r="O2224" s="8" t="s">
        <v>14781</v>
      </c>
      <c r="P2224" s="8" t="s">
        <v>14782</v>
      </c>
      <c r="Q2224" s="8" t="s">
        <v>150</v>
      </c>
      <c r="R2224" s="8"/>
      <c r="S2224" s="8" t="s">
        <v>8778</v>
      </c>
      <c r="T2224" s="8" t="s">
        <v>642</v>
      </c>
      <c r="U2224" s="8" t="s">
        <v>150</v>
      </c>
      <c r="V2224" s="8" t="s">
        <v>642</v>
      </c>
      <c r="W2224" s="8" t="s">
        <v>642</v>
      </c>
      <c r="X2224" s="8">
        <v>17</v>
      </c>
      <c r="Y2224" s="8" t="s">
        <v>12359</v>
      </c>
      <c r="Z2224" s="8">
        <v>20</v>
      </c>
      <c r="AA2224" s="8">
        <v>0</v>
      </c>
      <c r="AB2224" s="9">
        <v>0</v>
      </c>
    </row>
    <row r="2225" spans="1:28" x14ac:dyDescent="0.2">
      <c r="A2225" s="10">
        <v>21368</v>
      </c>
      <c r="B2225" s="11" t="s">
        <v>14783</v>
      </c>
      <c r="C2225" s="11" t="s">
        <v>14784</v>
      </c>
      <c r="D2225" s="11" t="s">
        <v>6944</v>
      </c>
      <c r="E2225" s="11" t="s">
        <v>14785</v>
      </c>
      <c r="F2225" s="11" t="s">
        <v>14786</v>
      </c>
      <c r="G2225" s="11" t="s">
        <v>5369</v>
      </c>
      <c r="H2225" s="11" t="s">
        <v>847</v>
      </c>
      <c r="I2225" s="11" t="s">
        <v>14787</v>
      </c>
      <c r="J2225" s="11" t="s">
        <v>14788</v>
      </c>
      <c r="K2225" s="11" t="s">
        <v>850</v>
      </c>
      <c r="L2225" s="11" t="s">
        <v>126</v>
      </c>
      <c r="M2225" s="11" t="s">
        <v>14789</v>
      </c>
      <c r="N2225" s="11" t="s">
        <v>128</v>
      </c>
      <c r="O2225" s="11" t="s">
        <v>14790</v>
      </c>
      <c r="P2225" s="11" t="s">
        <v>14791</v>
      </c>
      <c r="Q2225" s="11" t="s">
        <v>150</v>
      </c>
      <c r="R2225" s="11"/>
      <c r="S2225" s="11" t="s">
        <v>71</v>
      </c>
      <c r="T2225" s="11" t="s">
        <v>67</v>
      </c>
      <c r="U2225" s="11" t="s">
        <v>150</v>
      </c>
      <c r="V2225" s="11" t="s">
        <v>152</v>
      </c>
      <c r="W2225" s="11" t="s">
        <v>67</v>
      </c>
      <c r="X2225" s="11">
        <v>17</v>
      </c>
      <c r="Y2225" s="11" t="s">
        <v>12359</v>
      </c>
      <c r="Z2225" s="11">
        <v>20</v>
      </c>
      <c r="AA2225" s="11">
        <v>0</v>
      </c>
      <c r="AB2225" s="12">
        <v>0</v>
      </c>
    </row>
    <row r="2226" spans="1:28" x14ac:dyDescent="0.2">
      <c r="A2226" s="7">
        <v>21326</v>
      </c>
      <c r="B2226" s="8" t="s">
        <v>14792</v>
      </c>
      <c r="C2226" s="8" t="s">
        <v>14793</v>
      </c>
      <c r="D2226" s="8" t="s">
        <v>14794</v>
      </c>
      <c r="E2226" s="8"/>
      <c r="F2226" s="8" t="s">
        <v>353</v>
      </c>
      <c r="G2226" s="8" t="s">
        <v>11394</v>
      </c>
      <c r="H2226" s="8" t="s">
        <v>704</v>
      </c>
      <c r="I2226" s="8" t="s">
        <v>14795</v>
      </c>
      <c r="J2226" s="8" t="s">
        <v>14796</v>
      </c>
      <c r="K2226" s="8" t="s">
        <v>707</v>
      </c>
      <c r="L2226" s="8" t="s">
        <v>126</v>
      </c>
      <c r="M2226" s="8" t="s">
        <v>14797</v>
      </c>
      <c r="N2226" s="8" t="s">
        <v>128</v>
      </c>
      <c r="O2226" s="8" t="s">
        <v>14798</v>
      </c>
      <c r="P2226" s="8" t="s">
        <v>14799</v>
      </c>
      <c r="Q2226" s="8" t="s">
        <v>150</v>
      </c>
      <c r="R2226" s="8"/>
      <c r="S2226" s="8" t="s">
        <v>71</v>
      </c>
      <c r="T2226" s="8" t="s">
        <v>67</v>
      </c>
      <c r="U2226" s="8" t="s">
        <v>150</v>
      </c>
      <c r="V2226" s="8" t="s">
        <v>152</v>
      </c>
      <c r="W2226" s="8" t="s">
        <v>67</v>
      </c>
      <c r="X2226" s="8">
        <v>17</v>
      </c>
      <c r="Y2226" s="8" t="s">
        <v>12359</v>
      </c>
      <c r="Z2226" s="8">
        <v>20</v>
      </c>
      <c r="AA2226" s="8">
        <v>0</v>
      </c>
      <c r="AB2226" s="9">
        <v>0</v>
      </c>
    </row>
    <row r="2227" spans="1:28" x14ac:dyDescent="0.2">
      <c r="A2227" s="10">
        <v>107482</v>
      </c>
      <c r="B2227" s="11" t="s">
        <v>14800</v>
      </c>
      <c r="C2227" s="11" t="s">
        <v>3239</v>
      </c>
      <c r="D2227" s="11" t="s">
        <v>2690</v>
      </c>
      <c r="E2227" s="11"/>
      <c r="F2227" s="11" t="s">
        <v>353</v>
      </c>
      <c r="G2227" s="11" t="s">
        <v>364</v>
      </c>
      <c r="H2227" s="11" t="s">
        <v>365</v>
      </c>
      <c r="I2227" s="11" t="s">
        <v>3242</v>
      </c>
      <c r="J2227" s="11" t="s">
        <v>14801</v>
      </c>
      <c r="K2227" s="11" t="s">
        <v>162</v>
      </c>
      <c r="L2227" s="11" t="s">
        <v>163</v>
      </c>
      <c r="M2227" s="11" t="s">
        <v>14802</v>
      </c>
      <c r="N2227" s="11" t="s">
        <v>128</v>
      </c>
      <c r="O2227" s="11" t="s">
        <v>14803</v>
      </c>
      <c r="P2227" s="11" t="s">
        <v>14804</v>
      </c>
      <c r="Q2227" s="11" t="s">
        <v>150</v>
      </c>
      <c r="R2227" s="11"/>
      <c r="S2227" s="11" t="s">
        <v>71</v>
      </c>
      <c r="T2227" s="11" t="s">
        <v>67</v>
      </c>
      <c r="U2227" s="11" t="s">
        <v>150</v>
      </c>
      <c r="V2227" s="11" t="s">
        <v>152</v>
      </c>
      <c r="W2227" s="11" t="s">
        <v>67</v>
      </c>
      <c r="X2227" s="11">
        <v>17</v>
      </c>
      <c r="Y2227" s="11" t="s">
        <v>12359</v>
      </c>
      <c r="Z2227" s="11">
        <v>20</v>
      </c>
      <c r="AA2227" s="11">
        <v>0</v>
      </c>
      <c r="AB2227" s="12">
        <v>0</v>
      </c>
    </row>
    <row r="2228" spans="1:28" x14ac:dyDescent="0.2">
      <c r="A2228" s="7">
        <v>21683</v>
      </c>
      <c r="B2228" s="8" t="s">
        <v>14805</v>
      </c>
      <c r="C2228" s="8" t="s">
        <v>14806</v>
      </c>
      <c r="D2228" s="8" t="s">
        <v>14807</v>
      </c>
      <c r="E2228" s="8"/>
      <c r="F2228" s="8" t="s">
        <v>14808</v>
      </c>
      <c r="G2228" s="8" t="s">
        <v>14809</v>
      </c>
      <c r="H2228" s="8" t="s">
        <v>847</v>
      </c>
      <c r="I2228" s="8" t="s">
        <v>14810</v>
      </c>
      <c r="J2228" s="8" t="s">
        <v>14811</v>
      </c>
      <c r="K2228" s="8" t="s">
        <v>1091</v>
      </c>
      <c r="L2228" s="8" t="s">
        <v>126</v>
      </c>
      <c r="M2228" s="8" t="s">
        <v>14812</v>
      </c>
      <c r="N2228" s="8" t="s">
        <v>128</v>
      </c>
      <c r="O2228" s="8" t="s">
        <v>14813</v>
      </c>
      <c r="P2228" s="8" t="s">
        <v>14814</v>
      </c>
      <c r="Q2228" s="8" t="s">
        <v>150</v>
      </c>
      <c r="R2228" s="8"/>
      <c r="S2228" s="8" t="s">
        <v>71</v>
      </c>
      <c r="T2228" s="8" t="s">
        <v>67</v>
      </c>
      <c r="U2228" s="8" t="s">
        <v>150</v>
      </c>
      <c r="V2228" s="8" t="s">
        <v>152</v>
      </c>
      <c r="W2228" s="8" t="s">
        <v>67</v>
      </c>
      <c r="X2228" s="8">
        <v>17</v>
      </c>
      <c r="Y2228" s="8" t="s">
        <v>12359</v>
      </c>
      <c r="Z2228" s="8">
        <v>20</v>
      </c>
      <c r="AA2228" s="8">
        <v>0</v>
      </c>
      <c r="AB2228" s="9">
        <v>0</v>
      </c>
    </row>
    <row r="2229" spans="1:28" x14ac:dyDescent="0.2">
      <c r="A2229" s="10">
        <v>225269</v>
      </c>
      <c r="B2229" s="11" t="s">
        <v>14815</v>
      </c>
      <c r="C2229" s="11" t="s">
        <v>1849</v>
      </c>
      <c r="D2229" s="11" t="s">
        <v>1850</v>
      </c>
      <c r="E2229" s="11" t="s">
        <v>14816</v>
      </c>
      <c r="F2229" s="11" t="s">
        <v>1851</v>
      </c>
      <c r="G2229" s="11" t="s">
        <v>1852</v>
      </c>
      <c r="H2229" s="11" t="s">
        <v>671</v>
      </c>
      <c r="I2229" s="11" t="s">
        <v>1853</v>
      </c>
      <c r="J2229" s="11" t="s">
        <v>1854</v>
      </c>
      <c r="K2229" s="11" t="s">
        <v>572</v>
      </c>
      <c r="L2229" s="11" t="s">
        <v>333</v>
      </c>
      <c r="M2229" s="11" t="s">
        <v>14817</v>
      </c>
      <c r="N2229" s="11" t="s">
        <v>128</v>
      </c>
      <c r="O2229" s="11" t="s">
        <v>14818</v>
      </c>
      <c r="P2229" s="11"/>
      <c r="Q2229" s="11" t="s">
        <v>131</v>
      </c>
      <c r="R2229" s="11"/>
      <c r="S2229" s="11" t="s">
        <v>1858</v>
      </c>
      <c r="T2229" s="11" t="s">
        <v>983</v>
      </c>
      <c r="U2229" s="11" t="s">
        <v>134</v>
      </c>
      <c r="V2229" s="11" t="s">
        <v>131</v>
      </c>
      <c r="W2229" s="11" t="s">
        <v>983</v>
      </c>
      <c r="X2229" s="11">
        <v>17</v>
      </c>
      <c r="Y2229" s="11" t="s">
        <v>12359</v>
      </c>
      <c r="Z2229" s="11">
        <v>20</v>
      </c>
      <c r="AA2229" s="11">
        <v>0</v>
      </c>
      <c r="AB2229" s="12">
        <v>0</v>
      </c>
    </row>
    <row r="2230" spans="1:28" x14ac:dyDescent="0.2">
      <c r="A2230" s="7">
        <v>86721</v>
      </c>
      <c r="B2230" s="8" t="s">
        <v>14819</v>
      </c>
      <c r="C2230" s="8" t="s">
        <v>14820</v>
      </c>
      <c r="D2230" s="8" t="s">
        <v>427</v>
      </c>
      <c r="E2230" s="8"/>
      <c r="F2230" s="8" t="s">
        <v>14821</v>
      </c>
      <c r="G2230" s="8" t="s">
        <v>1813</v>
      </c>
      <c r="H2230" s="8" t="s">
        <v>142</v>
      </c>
      <c r="I2230" s="8" t="s">
        <v>14822</v>
      </c>
      <c r="J2230" s="8" t="s">
        <v>14823</v>
      </c>
      <c r="K2230" s="8" t="s">
        <v>974</v>
      </c>
      <c r="L2230" s="8" t="s">
        <v>146</v>
      </c>
      <c r="M2230" s="8" t="s">
        <v>14824</v>
      </c>
      <c r="N2230" s="8" t="s">
        <v>128</v>
      </c>
      <c r="O2230" s="8" t="s">
        <v>14825</v>
      </c>
      <c r="P2230" s="8"/>
      <c r="Q2230" s="8" t="s">
        <v>131</v>
      </c>
      <c r="R2230" s="8"/>
      <c r="S2230" s="8" t="s">
        <v>14826</v>
      </c>
      <c r="T2230" s="8" t="s">
        <v>983</v>
      </c>
      <c r="U2230" s="8" t="s">
        <v>134</v>
      </c>
      <c r="V2230" s="8" t="s">
        <v>131</v>
      </c>
      <c r="W2230" s="8" t="s">
        <v>983</v>
      </c>
      <c r="X2230" s="8">
        <v>17</v>
      </c>
      <c r="Y2230" s="8" t="s">
        <v>12359</v>
      </c>
      <c r="Z2230" s="8">
        <v>20</v>
      </c>
      <c r="AA2230" s="8">
        <v>0</v>
      </c>
      <c r="AB2230" s="9">
        <v>0</v>
      </c>
    </row>
    <row r="2231" spans="1:28" x14ac:dyDescent="0.2">
      <c r="A2231" s="10">
        <v>46960</v>
      </c>
      <c r="B2231" s="11" t="s">
        <v>14827</v>
      </c>
      <c r="C2231" s="11" t="s">
        <v>1072</v>
      </c>
      <c r="D2231" s="11" t="s">
        <v>2547</v>
      </c>
      <c r="E2231" s="11"/>
      <c r="F2231" s="11" t="s">
        <v>6430</v>
      </c>
      <c r="G2231" s="11" t="s">
        <v>703</v>
      </c>
      <c r="H2231" s="11" t="s">
        <v>704</v>
      </c>
      <c r="I2231" s="11" t="s">
        <v>1074</v>
      </c>
      <c r="J2231" s="11" t="s">
        <v>14828</v>
      </c>
      <c r="K2231" s="11" t="s">
        <v>707</v>
      </c>
      <c r="L2231" s="11" t="s">
        <v>126</v>
      </c>
      <c r="M2231" s="11" t="s">
        <v>14829</v>
      </c>
      <c r="N2231" s="11" t="s">
        <v>128</v>
      </c>
      <c r="O2231" s="11" t="s">
        <v>14830</v>
      </c>
      <c r="P2231" s="11"/>
      <c r="Q2231" s="11" t="s">
        <v>131</v>
      </c>
      <c r="R2231" s="11"/>
      <c r="S2231" s="11" t="s">
        <v>71</v>
      </c>
      <c r="T2231" s="11" t="s">
        <v>983</v>
      </c>
      <c r="U2231" s="11" t="s">
        <v>134</v>
      </c>
      <c r="V2231" s="11" t="s">
        <v>131</v>
      </c>
      <c r="W2231" s="11" t="s">
        <v>983</v>
      </c>
      <c r="X2231" s="11">
        <v>17</v>
      </c>
      <c r="Y2231" s="11" t="s">
        <v>12359</v>
      </c>
      <c r="Z2231" s="11">
        <v>20</v>
      </c>
      <c r="AA2231" s="11">
        <v>0</v>
      </c>
      <c r="AB2231" s="12">
        <v>0</v>
      </c>
    </row>
    <row r="2232" spans="1:28" x14ac:dyDescent="0.2">
      <c r="A2232" s="7">
        <v>22079</v>
      </c>
      <c r="B2232" s="8" t="s">
        <v>14831</v>
      </c>
      <c r="C2232" s="8" t="s">
        <v>7282</v>
      </c>
      <c r="D2232" s="8" t="s">
        <v>14832</v>
      </c>
      <c r="E2232" s="8"/>
      <c r="F2232" s="8" t="s">
        <v>353</v>
      </c>
      <c r="G2232" s="8" t="s">
        <v>3259</v>
      </c>
      <c r="H2232" s="8" t="s">
        <v>557</v>
      </c>
      <c r="I2232" s="8" t="s">
        <v>14833</v>
      </c>
      <c r="J2232" s="8" t="s">
        <v>14834</v>
      </c>
      <c r="K2232" s="8" t="s">
        <v>1562</v>
      </c>
      <c r="L2232" s="8" t="s">
        <v>229</v>
      </c>
      <c r="M2232" s="8" t="s">
        <v>14835</v>
      </c>
      <c r="N2232" s="8" t="s">
        <v>128</v>
      </c>
      <c r="O2232" s="8" t="s">
        <v>14836</v>
      </c>
      <c r="P2232" s="8" t="s">
        <v>14837</v>
      </c>
      <c r="Q2232" s="8" t="s">
        <v>131</v>
      </c>
      <c r="R2232" s="8"/>
      <c r="S2232" s="8" t="s">
        <v>71</v>
      </c>
      <c r="T2232" s="8" t="s">
        <v>133</v>
      </c>
      <c r="U2232" s="8" t="s">
        <v>134</v>
      </c>
      <c r="V2232" s="8" t="s">
        <v>131</v>
      </c>
      <c r="W2232" s="8" t="s">
        <v>133</v>
      </c>
      <c r="X2232" s="8">
        <v>17</v>
      </c>
      <c r="Y2232" s="8" t="s">
        <v>12359</v>
      </c>
      <c r="Z2232" s="8">
        <v>20</v>
      </c>
      <c r="AA2232" s="8">
        <v>0</v>
      </c>
      <c r="AB2232" s="9">
        <v>0</v>
      </c>
    </row>
    <row r="2233" spans="1:28" x14ac:dyDescent="0.2">
      <c r="A2233" s="10">
        <v>26722</v>
      </c>
      <c r="B2233" s="11" t="s">
        <v>14838</v>
      </c>
      <c r="C2233" s="11" t="s">
        <v>14839</v>
      </c>
      <c r="D2233" s="11" t="s">
        <v>14209</v>
      </c>
      <c r="E2233" s="11"/>
      <c r="F2233" s="11" t="s">
        <v>353</v>
      </c>
      <c r="G2233" s="11" t="s">
        <v>648</v>
      </c>
      <c r="H2233" s="11" t="s">
        <v>142</v>
      </c>
      <c r="I2233" s="11" t="s">
        <v>14840</v>
      </c>
      <c r="J2233" s="11" t="s">
        <v>14841</v>
      </c>
      <c r="K2233" s="11" t="s">
        <v>651</v>
      </c>
      <c r="L2233" s="11" t="s">
        <v>146</v>
      </c>
      <c r="M2233" s="11" t="s">
        <v>14842</v>
      </c>
      <c r="N2233" s="11" t="s">
        <v>128</v>
      </c>
      <c r="O2233" s="11"/>
      <c r="P2233" s="11"/>
      <c r="Q2233" s="11" t="s">
        <v>131</v>
      </c>
      <c r="R2233" s="11"/>
      <c r="S2233" s="11" t="s">
        <v>71</v>
      </c>
      <c r="T2233" s="11" t="s">
        <v>133</v>
      </c>
      <c r="U2233" s="11" t="s">
        <v>134</v>
      </c>
      <c r="V2233" s="11" t="s">
        <v>131</v>
      </c>
      <c r="W2233" s="11" t="s">
        <v>133</v>
      </c>
      <c r="X2233" s="11">
        <v>17</v>
      </c>
      <c r="Y2233" s="11" t="s">
        <v>12359</v>
      </c>
      <c r="Z2233" s="11">
        <v>20</v>
      </c>
      <c r="AA2233" s="11">
        <v>0</v>
      </c>
      <c r="AB2233" s="12">
        <v>0</v>
      </c>
    </row>
    <row r="2234" spans="1:28" x14ac:dyDescent="0.2">
      <c r="A2234" s="7">
        <v>26859</v>
      </c>
      <c r="B2234" s="8" t="s">
        <v>14843</v>
      </c>
      <c r="C2234" s="8" t="s">
        <v>9150</v>
      </c>
      <c r="D2234" s="8" t="s">
        <v>14844</v>
      </c>
      <c r="E2234" s="8"/>
      <c r="F2234" s="8" t="s">
        <v>9152</v>
      </c>
      <c r="G2234" s="8" t="s">
        <v>121</v>
      </c>
      <c r="H2234" s="8" t="s">
        <v>122</v>
      </c>
      <c r="I2234" s="8" t="s">
        <v>9153</v>
      </c>
      <c r="J2234" s="8" t="s">
        <v>14845</v>
      </c>
      <c r="K2234" s="8" t="s">
        <v>125</v>
      </c>
      <c r="L2234" s="8" t="s">
        <v>126</v>
      </c>
      <c r="M2234" s="8" t="s">
        <v>14846</v>
      </c>
      <c r="N2234" s="8" t="s">
        <v>128</v>
      </c>
      <c r="O2234" s="8" t="s">
        <v>14847</v>
      </c>
      <c r="P2234" s="8" t="s">
        <v>2292</v>
      </c>
      <c r="Q2234" s="8" t="s">
        <v>150</v>
      </c>
      <c r="R2234" s="8"/>
      <c r="S2234" s="8" t="s">
        <v>71</v>
      </c>
      <c r="T2234" s="8" t="s">
        <v>6736</v>
      </c>
      <c r="U2234" s="8" t="s">
        <v>150</v>
      </c>
      <c r="V2234" s="8" t="s">
        <v>6736</v>
      </c>
      <c r="W2234" s="8" t="s">
        <v>6736</v>
      </c>
      <c r="X2234" s="8">
        <v>17</v>
      </c>
      <c r="Y2234" s="8" t="s">
        <v>12359</v>
      </c>
      <c r="Z2234" s="8">
        <v>20</v>
      </c>
      <c r="AA2234" s="8">
        <v>0</v>
      </c>
      <c r="AB2234" s="9">
        <v>0</v>
      </c>
    </row>
    <row r="2235" spans="1:28" x14ac:dyDescent="0.2">
      <c r="A2235" s="10">
        <v>190832</v>
      </c>
      <c r="B2235" s="11" t="s">
        <v>14848</v>
      </c>
      <c r="C2235" s="11" t="s">
        <v>8868</v>
      </c>
      <c r="D2235" s="11" t="s">
        <v>3917</v>
      </c>
      <c r="E2235" s="11"/>
      <c r="F2235" s="11" t="s">
        <v>353</v>
      </c>
      <c r="G2235" s="11" t="s">
        <v>4513</v>
      </c>
      <c r="H2235" s="11" t="s">
        <v>847</v>
      </c>
      <c r="I2235" s="11" t="s">
        <v>14849</v>
      </c>
      <c r="J2235" s="11" t="s">
        <v>14850</v>
      </c>
      <c r="K2235" s="11" t="s">
        <v>1091</v>
      </c>
      <c r="L2235" s="11" t="s">
        <v>126</v>
      </c>
      <c r="M2235" s="11" t="s">
        <v>14851</v>
      </c>
      <c r="N2235" s="11" t="s">
        <v>128</v>
      </c>
      <c r="O2235" s="11" t="s">
        <v>14852</v>
      </c>
      <c r="P2235" s="11"/>
      <c r="Q2235" s="11" t="s">
        <v>150</v>
      </c>
      <c r="R2235" s="11"/>
      <c r="S2235" s="11" t="s">
        <v>71</v>
      </c>
      <c r="T2235" s="11" t="s">
        <v>6736</v>
      </c>
      <c r="U2235" s="11" t="s">
        <v>150</v>
      </c>
      <c r="V2235" s="11" t="s">
        <v>6736</v>
      </c>
      <c r="W2235" s="11" t="s">
        <v>6736</v>
      </c>
      <c r="X2235" s="11">
        <v>17</v>
      </c>
      <c r="Y2235" s="11" t="s">
        <v>12359</v>
      </c>
      <c r="Z2235" s="11">
        <v>20</v>
      </c>
      <c r="AA2235" s="11">
        <v>0</v>
      </c>
      <c r="AB2235" s="12">
        <v>0</v>
      </c>
    </row>
    <row r="2236" spans="1:28" x14ac:dyDescent="0.2">
      <c r="A2236" s="7">
        <v>22516</v>
      </c>
      <c r="B2236" s="8" t="s">
        <v>14853</v>
      </c>
      <c r="C2236" s="8" t="s">
        <v>3547</v>
      </c>
      <c r="D2236" s="8" t="s">
        <v>138</v>
      </c>
      <c r="E2236" s="8" t="s">
        <v>11802</v>
      </c>
      <c r="F2236" s="8" t="s">
        <v>3549</v>
      </c>
      <c r="G2236" s="8" t="s">
        <v>224</v>
      </c>
      <c r="H2236" s="8" t="s">
        <v>225</v>
      </c>
      <c r="I2236" s="8" t="s">
        <v>14854</v>
      </c>
      <c r="J2236" s="8" t="s">
        <v>14855</v>
      </c>
      <c r="K2236" s="8" t="s">
        <v>228</v>
      </c>
      <c r="L2236" s="8" t="s">
        <v>229</v>
      </c>
      <c r="M2236" s="8" t="s">
        <v>14856</v>
      </c>
      <c r="N2236" s="8" t="s">
        <v>128</v>
      </c>
      <c r="O2236" s="8" t="s">
        <v>14857</v>
      </c>
      <c r="P2236" s="8" t="s">
        <v>3549</v>
      </c>
      <c r="Q2236" s="8" t="s">
        <v>150</v>
      </c>
      <c r="R2236" s="8"/>
      <c r="S2236" s="8" t="s">
        <v>71</v>
      </c>
      <c r="T2236" s="8" t="s">
        <v>869</v>
      </c>
      <c r="U2236" s="8" t="s">
        <v>150</v>
      </c>
      <c r="V2236" s="8" t="s">
        <v>869</v>
      </c>
      <c r="W2236" s="8" t="s">
        <v>869</v>
      </c>
      <c r="X2236" s="8">
        <v>17</v>
      </c>
      <c r="Y2236" s="8" t="s">
        <v>12359</v>
      </c>
      <c r="Z2236" s="8">
        <v>20</v>
      </c>
      <c r="AA2236" s="8">
        <v>0</v>
      </c>
      <c r="AB2236" s="9">
        <v>0</v>
      </c>
    </row>
    <row r="2237" spans="1:28" x14ac:dyDescent="0.2">
      <c r="A2237" s="10">
        <v>127920</v>
      </c>
      <c r="B2237" s="11" t="s">
        <v>14858</v>
      </c>
      <c r="C2237" s="11" t="s">
        <v>1849</v>
      </c>
      <c r="D2237" s="11" t="s">
        <v>1850</v>
      </c>
      <c r="E2237" s="11"/>
      <c r="F2237" s="11" t="s">
        <v>1851</v>
      </c>
      <c r="G2237" s="11" t="s">
        <v>1852</v>
      </c>
      <c r="H2237" s="11" t="s">
        <v>671</v>
      </c>
      <c r="I2237" s="11" t="s">
        <v>1853</v>
      </c>
      <c r="J2237" s="11" t="s">
        <v>1854</v>
      </c>
      <c r="K2237" s="11" t="s">
        <v>572</v>
      </c>
      <c r="L2237" s="11" t="s">
        <v>333</v>
      </c>
      <c r="M2237" s="11" t="s">
        <v>14859</v>
      </c>
      <c r="N2237" s="11" t="s">
        <v>128</v>
      </c>
      <c r="O2237" s="11" t="s">
        <v>14860</v>
      </c>
      <c r="P2237" s="11"/>
      <c r="Q2237" s="11" t="s">
        <v>150</v>
      </c>
      <c r="R2237" s="11"/>
      <c r="S2237" s="11" t="s">
        <v>1858</v>
      </c>
      <c r="T2237" s="11" t="s">
        <v>5470</v>
      </c>
      <c r="U2237" s="11" t="s">
        <v>150</v>
      </c>
      <c r="V2237" s="11" t="s">
        <v>5470</v>
      </c>
      <c r="W2237" s="11" t="s">
        <v>5470</v>
      </c>
      <c r="X2237" s="11">
        <v>17</v>
      </c>
      <c r="Y2237" s="11" t="s">
        <v>12359</v>
      </c>
      <c r="Z2237" s="11">
        <v>20</v>
      </c>
      <c r="AA2237" s="11">
        <v>0</v>
      </c>
      <c r="AB2237" s="12">
        <v>0</v>
      </c>
    </row>
    <row r="2238" spans="1:28" x14ac:dyDescent="0.2">
      <c r="A2238" s="7">
        <v>23011</v>
      </c>
      <c r="B2238" s="8" t="s">
        <v>14861</v>
      </c>
      <c r="C2238" s="8" t="s">
        <v>1723</v>
      </c>
      <c r="D2238" s="8" t="s">
        <v>1724</v>
      </c>
      <c r="E2238" s="8" t="s">
        <v>1657</v>
      </c>
      <c r="F2238" s="8" t="s">
        <v>1726</v>
      </c>
      <c r="G2238" s="8" t="s">
        <v>1727</v>
      </c>
      <c r="H2238" s="8" t="s">
        <v>557</v>
      </c>
      <c r="I2238" s="8" t="s">
        <v>14862</v>
      </c>
      <c r="J2238" s="8" t="s">
        <v>1729</v>
      </c>
      <c r="K2238" s="8" t="s">
        <v>1562</v>
      </c>
      <c r="L2238" s="8" t="s">
        <v>229</v>
      </c>
      <c r="M2238" s="8" t="s">
        <v>14863</v>
      </c>
      <c r="N2238" s="8" t="s">
        <v>128</v>
      </c>
      <c r="O2238" s="8" t="s">
        <v>14864</v>
      </c>
      <c r="P2238" s="8" t="s">
        <v>14865</v>
      </c>
      <c r="Q2238" s="8" t="s">
        <v>150</v>
      </c>
      <c r="R2238" s="8"/>
      <c r="S2238" s="8" t="s">
        <v>1732</v>
      </c>
      <c r="T2238" s="8" t="s">
        <v>70</v>
      </c>
      <c r="U2238" s="8" t="s">
        <v>150</v>
      </c>
      <c r="V2238" s="8" t="s">
        <v>70</v>
      </c>
      <c r="W2238" s="8" t="s">
        <v>70</v>
      </c>
      <c r="X2238" s="8">
        <v>17</v>
      </c>
      <c r="Y2238" s="8" t="s">
        <v>12359</v>
      </c>
      <c r="Z2238" s="8">
        <v>20</v>
      </c>
      <c r="AA2238" s="8">
        <v>0</v>
      </c>
      <c r="AB2238" s="9">
        <v>0</v>
      </c>
    </row>
    <row r="2239" spans="1:28" x14ac:dyDescent="0.2">
      <c r="A2239" s="10">
        <v>23195</v>
      </c>
      <c r="B2239" s="11" t="s">
        <v>14866</v>
      </c>
      <c r="C2239" s="11" t="s">
        <v>1982</v>
      </c>
      <c r="D2239" s="11" t="s">
        <v>1983</v>
      </c>
      <c r="E2239" s="11" t="s">
        <v>14867</v>
      </c>
      <c r="F2239" s="11" t="s">
        <v>14868</v>
      </c>
      <c r="G2239" s="11" t="s">
        <v>428</v>
      </c>
      <c r="H2239" s="11" t="s">
        <v>329</v>
      </c>
      <c r="I2239" s="11" t="s">
        <v>1986</v>
      </c>
      <c r="J2239" s="11" t="s">
        <v>14869</v>
      </c>
      <c r="K2239" s="11" t="s">
        <v>431</v>
      </c>
      <c r="L2239" s="11" t="s">
        <v>333</v>
      </c>
      <c r="M2239" s="11" t="s">
        <v>14870</v>
      </c>
      <c r="N2239" s="11" t="s">
        <v>128</v>
      </c>
      <c r="O2239" s="11" t="s">
        <v>14871</v>
      </c>
      <c r="P2239" s="11" t="s">
        <v>14872</v>
      </c>
      <c r="Q2239" s="11" t="s">
        <v>150</v>
      </c>
      <c r="R2239" s="11"/>
      <c r="S2239" s="11" t="s">
        <v>1991</v>
      </c>
      <c r="T2239" s="11" t="s">
        <v>70</v>
      </c>
      <c r="U2239" s="11" t="s">
        <v>150</v>
      </c>
      <c r="V2239" s="11" t="s">
        <v>70</v>
      </c>
      <c r="W2239" s="11" t="s">
        <v>70</v>
      </c>
      <c r="X2239" s="11">
        <v>17</v>
      </c>
      <c r="Y2239" s="11" t="s">
        <v>12359</v>
      </c>
      <c r="Z2239" s="11">
        <v>20</v>
      </c>
      <c r="AA2239" s="11">
        <v>0</v>
      </c>
      <c r="AB2239" s="12">
        <v>0</v>
      </c>
    </row>
    <row r="2240" spans="1:28" x14ac:dyDescent="0.2">
      <c r="A2240" s="7">
        <v>32136</v>
      </c>
      <c r="B2240" s="8" t="s">
        <v>14873</v>
      </c>
      <c r="C2240" s="8" t="s">
        <v>2300</v>
      </c>
      <c r="D2240" s="8" t="s">
        <v>5114</v>
      </c>
      <c r="E2240" s="8" t="s">
        <v>14874</v>
      </c>
      <c r="F2240" s="8" t="s">
        <v>6704</v>
      </c>
      <c r="G2240" s="8" t="s">
        <v>2863</v>
      </c>
      <c r="H2240" s="8" t="s">
        <v>142</v>
      </c>
      <c r="I2240" s="8" t="s">
        <v>6705</v>
      </c>
      <c r="J2240" s="8" t="s">
        <v>6706</v>
      </c>
      <c r="K2240" s="8" t="s">
        <v>974</v>
      </c>
      <c r="L2240" s="8" t="s">
        <v>146</v>
      </c>
      <c r="M2240" s="8" t="s">
        <v>14875</v>
      </c>
      <c r="N2240" s="8" t="s">
        <v>128</v>
      </c>
      <c r="O2240" s="8" t="s">
        <v>14876</v>
      </c>
      <c r="P2240" s="8" t="s">
        <v>14877</v>
      </c>
      <c r="Q2240" s="8" t="s">
        <v>150</v>
      </c>
      <c r="R2240" s="8"/>
      <c r="S2240" s="8" t="s">
        <v>6709</v>
      </c>
      <c r="T2240" s="8" t="s">
        <v>70</v>
      </c>
      <c r="U2240" s="8" t="s">
        <v>150</v>
      </c>
      <c r="V2240" s="8" t="s">
        <v>70</v>
      </c>
      <c r="W2240" s="8" t="s">
        <v>70</v>
      </c>
      <c r="X2240" s="8">
        <v>17</v>
      </c>
      <c r="Y2240" s="8" t="s">
        <v>12359</v>
      </c>
      <c r="Z2240" s="8">
        <v>20</v>
      </c>
      <c r="AA2240" s="8">
        <v>0</v>
      </c>
      <c r="AB2240" s="9">
        <v>0</v>
      </c>
    </row>
    <row r="2241" spans="1:28" x14ac:dyDescent="0.2">
      <c r="A2241" s="10">
        <v>23281</v>
      </c>
      <c r="B2241" s="11" t="s">
        <v>14878</v>
      </c>
      <c r="C2241" s="11" t="s">
        <v>9372</v>
      </c>
      <c r="D2241" s="11" t="s">
        <v>6286</v>
      </c>
      <c r="E2241" s="11"/>
      <c r="F2241" s="11"/>
      <c r="G2241" s="11" t="s">
        <v>8876</v>
      </c>
      <c r="H2241" s="11" t="s">
        <v>329</v>
      </c>
      <c r="I2241" s="11" t="s">
        <v>9374</v>
      </c>
      <c r="J2241" s="11" t="s">
        <v>9375</v>
      </c>
      <c r="K2241" s="11" t="s">
        <v>415</v>
      </c>
      <c r="L2241" s="11" t="s">
        <v>333</v>
      </c>
      <c r="M2241" s="11" t="s">
        <v>14879</v>
      </c>
      <c r="N2241" s="11" t="s">
        <v>128</v>
      </c>
      <c r="O2241" s="11" t="s">
        <v>14880</v>
      </c>
      <c r="P2241" s="11" t="s">
        <v>14881</v>
      </c>
      <c r="Q2241" s="11" t="s">
        <v>150</v>
      </c>
      <c r="R2241" s="11"/>
      <c r="S2241" s="11" t="s">
        <v>9378</v>
      </c>
      <c r="T2241" s="11" t="s">
        <v>70</v>
      </c>
      <c r="U2241" s="11" t="s">
        <v>150</v>
      </c>
      <c r="V2241" s="11" t="s">
        <v>70</v>
      </c>
      <c r="W2241" s="11" t="s">
        <v>70</v>
      </c>
      <c r="X2241" s="11">
        <v>17</v>
      </c>
      <c r="Y2241" s="11" t="s">
        <v>12359</v>
      </c>
      <c r="Z2241" s="11">
        <v>20</v>
      </c>
      <c r="AA2241" s="11">
        <v>0</v>
      </c>
      <c r="AB2241" s="12">
        <v>0</v>
      </c>
    </row>
    <row r="2242" spans="1:28" x14ac:dyDescent="0.2">
      <c r="A2242" s="7">
        <v>116908</v>
      </c>
      <c r="B2242" s="8" t="s">
        <v>14882</v>
      </c>
      <c r="C2242" s="8" t="s">
        <v>14883</v>
      </c>
      <c r="D2242" s="8" t="s">
        <v>6095</v>
      </c>
      <c r="E2242" s="8"/>
      <c r="F2242" s="8" t="s">
        <v>9152</v>
      </c>
      <c r="G2242" s="8" t="s">
        <v>121</v>
      </c>
      <c r="H2242" s="8" t="s">
        <v>122</v>
      </c>
      <c r="I2242" s="8" t="s">
        <v>9153</v>
      </c>
      <c r="J2242" s="8" t="s">
        <v>14884</v>
      </c>
      <c r="K2242" s="8" t="s">
        <v>125</v>
      </c>
      <c r="L2242" s="8" t="s">
        <v>126</v>
      </c>
      <c r="M2242" s="8" t="s">
        <v>14885</v>
      </c>
      <c r="N2242" s="8" t="s">
        <v>128</v>
      </c>
      <c r="O2242" s="8" t="s">
        <v>14886</v>
      </c>
      <c r="P2242" s="8"/>
      <c r="Q2242" s="8" t="s">
        <v>150</v>
      </c>
      <c r="R2242" s="8"/>
      <c r="S2242" s="8" t="s">
        <v>71</v>
      </c>
      <c r="T2242" s="8" t="s">
        <v>14887</v>
      </c>
      <c r="U2242" s="8" t="s">
        <v>150</v>
      </c>
      <c r="V2242" s="8" t="s">
        <v>14887</v>
      </c>
      <c r="W2242" s="8" t="s">
        <v>14887</v>
      </c>
      <c r="X2242" s="8">
        <v>17</v>
      </c>
      <c r="Y2242" s="8" t="s">
        <v>12359</v>
      </c>
      <c r="Z2242" s="8">
        <v>20</v>
      </c>
      <c r="AA2242" s="8">
        <v>0</v>
      </c>
      <c r="AB2242" s="9">
        <v>0</v>
      </c>
    </row>
    <row r="2243" spans="1:28" x14ac:dyDescent="0.2">
      <c r="A2243" s="10">
        <v>23689</v>
      </c>
      <c r="B2243" s="11" t="s">
        <v>14888</v>
      </c>
      <c r="C2243" s="11" t="s">
        <v>4897</v>
      </c>
      <c r="D2243" s="11" t="s">
        <v>6782</v>
      </c>
      <c r="E2243" s="11"/>
      <c r="F2243" s="11" t="s">
        <v>353</v>
      </c>
      <c r="G2243" s="11" t="s">
        <v>9554</v>
      </c>
      <c r="H2243" s="11" t="s">
        <v>142</v>
      </c>
      <c r="I2243" s="11" t="s">
        <v>9555</v>
      </c>
      <c r="J2243" s="11" t="s">
        <v>14889</v>
      </c>
      <c r="K2243" s="11" t="s">
        <v>974</v>
      </c>
      <c r="L2243" s="11" t="s">
        <v>146</v>
      </c>
      <c r="M2243" s="11" t="s">
        <v>14890</v>
      </c>
      <c r="N2243" s="11" t="s">
        <v>128</v>
      </c>
      <c r="O2243" s="11" t="s">
        <v>14891</v>
      </c>
      <c r="P2243" s="11" t="s">
        <v>14892</v>
      </c>
      <c r="Q2243" s="11" t="s">
        <v>150</v>
      </c>
      <c r="R2243" s="11"/>
      <c r="S2243" s="11" t="s">
        <v>71</v>
      </c>
      <c r="T2243" s="11" t="s">
        <v>168</v>
      </c>
      <c r="U2243" s="11" t="s">
        <v>150</v>
      </c>
      <c r="V2243" s="11" t="s">
        <v>168</v>
      </c>
      <c r="W2243" s="11" t="s">
        <v>168</v>
      </c>
      <c r="X2243" s="11">
        <v>17</v>
      </c>
      <c r="Y2243" s="11" t="s">
        <v>12359</v>
      </c>
      <c r="Z2243" s="11">
        <v>20</v>
      </c>
      <c r="AA2243" s="11">
        <v>0</v>
      </c>
      <c r="AB2243" s="12">
        <v>0</v>
      </c>
    </row>
    <row r="2244" spans="1:28" x14ac:dyDescent="0.2">
      <c r="A2244" s="7">
        <v>24886</v>
      </c>
      <c r="B2244" s="8" t="s">
        <v>14893</v>
      </c>
      <c r="C2244" s="8" t="s">
        <v>2519</v>
      </c>
      <c r="D2244" s="8" t="s">
        <v>2520</v>
      </c>
      <c r="E2244" s="8" t="s">
        <v>14894</v>
      </c>
      <c r="F2244" s="8" t="s">
        <v>6892</v>
      </c>
      <c r="G2244" s="8" t="s">
        <v>364</v>
      </c>
      <c r="H2244" s="8" t="s">
        <v>365</v>
      </c>
      <c r="I2244" s="8" t="s">
        <v>6893</v>
      </c>
      <c r="J2244" s="8" t="s">
        <v>2524</v>
      </c>
      <c r="K2244" s="8" t="s">
        <v>162</v>
      </c>
      <c r="L2244" s="8" t="s">
        <v>163</v>
      </c>
      <c r="M2244" s="8" t="s">
        <v>14895</v>
      </c>
      <c r="N2244" s="8" t="s">
        <v>128</v>
      </c>
      <c r="O2244" s="8" t="s">
        <v>14896</v>
      </c>
      <c r="P2244" s="8" t="s">
        <v>14897</v>
      </c>
      <c r="Q2244" s="8" t="s">
        <v>150</v>
      </c>
      <c r="R2244" s="8"/>
      <c r="S2244" s="8" t="s">
        <v>2528</v>
      </c>
      <c r="T2244" s="8" t="s">
        <v>1738</v>
      </c>
      <c r="U2244" s="8" t="s">
        <v>150</v>
      </c>
      <c r="V2244" s="8" t="s">
        <v>1738</v>
      </c>
      <c r="W2244" s="8" t="s">
        <v>1738</v>
      </c>
      <c r="X2244" s="8">
        <v>17</v>
      </c>
      <c r="Y2244" s="8" t="s">
        <v>12359</v>
      </c>
      <c r="Z2244" s="8">
        <v>20</v>
      </c>
      <c r="AA2244" s="8">
        <v>0</v>
      </c>
      <c r="AB2244" s="9">
        <v>0</v>
      </c>
    </row>
    <row r="2245" spans="1:28" x14ac:dyDescent="0.2">
      <c r="A2245" s="10">
        <v>24961</v>
      </c>
      <c r="B2245" s="11" t="s">
        <v>14898</v>
      </c>
      <c r="C2245" s="11" t="s">
        <v>13172</v>
      </c>
      <c r="D2245" s="11" t="s">
        <v>14899</v>
      </c>
      <c r="E2245" s="11"/>
      <c r="F2245" s="11" t="s">
        <v>14900</v>
      </c>
      <c r="G2245" s="11" t="s">
        <v>2117</v>
      </c>
      <c r="H2245" s="11" t="s">
        <v>142</v>
      </c>
      <c r="I2245" s="11" t="s">
        <v>13174</v>
      </c>
      <c r="J2245" s="11" t="s">
        <v>14901</v>
      </c>
      <c r="K2245" s="11" t="s">
        <v>1673</v>
      </c>
      <c r="L2245" s="11" t="s">
        <v>464</v>
      </c>
      <c r="M2245" s="11" t="s">
        <v>14902</v>
      </c>
      <c r="N2245" s="11" t="s">
        <v>128</v>
      </c>
      <c r="O2245" s="11" t="s">
        <v>14903</v>
      </c>
      <c r="P2245" s="11" t="s">
        <v>14904</v>
      </c>
      <c r="Q2245" s="11" t="s">
        <v>150</v>
      </c>
      <c r="R2245" s="11"/>
      <c r="S2245" s="11" t="s">
        <v>71</v>
      </c>
      <c r="T2245" s="11" t="s">
        <v>1738</v>
      </c>
      <c r="U2245" s="11" t="s">
        <v>150</v>
      </c>
      <c r="V2245" s="11" t="s">
        <v>1738</v>
      </c>
      <c r="W2245" s="11" t="s">
        <v>1738</v>
      </c>
      <c r="X2245" s="11">
        <v>17</v>
      </c>
      <c r="Y2245" s="11" t="s">
        <v>12359</v>
      </c>
      <c r="Z2245" s="11">
        <v>20</v>
      </c>
      <c r="AA2245" s="11">
        <v>0</v>
      </c>
      <c r="AB2245" s="12">
        <v>0</v>
      </c>
    </row>
    <row r="2246" spans="1:28" x14ac:dyDescent="0.2">
      <c r="A2246" s="7">
        <v>30971</v>
      </c>
      <c r="B2246" s="8" t="s">
        <v>14905</v>
      </c>
      <c r="C2246" s="8" t="s">
        <v>4010</v>
      </c>
      <c r="D2246" s="8" t="s">
        <v>1395</v>
      </c>
      <c r="E2246" s="8"/>
      <c r="F2246" s="8" t="s">
        <v>8819</v>
      </c>
      <c r="G2246" s="8" t="s">
        <v>4012</v>
      </c>
      <c r="H2246" s="8" t="s">
        <v>671</v>
      </c>
      <c r="I2246" s="8" t="s">
        <v>4013</v>
      </c>
      <c r="J2246" s="8" t="s">
        <v>14906</v>
      </c>
      <c r="K2246" s="8" t="s">
        <v>572</v>
      </c>
      <c r="L2246" s="8" t="s">
        <v>333</v>
      </c>
      <c r="M2246" s="8" t="s">
        <v>14907</v>
      </c>
      <c r="N2246" s="8" t="s">
        <v>128</v>
      </c>
      <c r="O2246" s="8" t="s">
        <v>14908</v>
      </c>
      <c r="P2246" s="8"/>
      <c r="Q2246" s="8" t="s">
        <v>150</v>
      </c>
      <c r="R2246" s="8"/>
      <c r="S2246" s="8" t="s">
        <v>71</v>
      </c>
      <c r="T2246" s="8" t="s">
        <v>13984</v>
      </c>
      <c r="U2246" s="8" t="s">
        <v>150</v>
      </c>
      <c r="V2246" s="8" t="s">
        <v>13984</v>
      </c>
      <c r="W2246" s="8" t="s">
        <v>13984</v>
      </c>
      <c r="X2246" s="8">
        <v>17</v>
      </c>
      <c r="Y2246" s="8" t="s">
        <v>12359</v>
      </c>
      <c r="Z2246" s="8">
        <v>20</v>
      </c>
      <c r="AA2246" s="8">
        <v>0</v>
      </c>
      <c r="AB2246" s="9">
        <v>0</v>
      </c>
    </row>
    <row r="2247" spans="1:28" x14ac:dyDescent="0.2">
      <c r="A2247" s="10">
        <v>22743</v>
      </c>
      <c r="B2247" s="11" t="s">
        <v>14909</v>
      </c>
      <c r="C2247" s="11" t="s">
        <v>14910</v>
      </c>
      <c r="D2247" s="11" t="s">
        <v>11591</v>
      </c>
      <c r="E2247" s="11" t="s">
        <v>13298</v>
      </c>
      <c r="F2247" s="11" t="s">
        <v>353</v>
      </c>
      <c r="G2247" s="11" t="s">
        <v>3758</v>
      </c>
      <c r="H2247" s="11" t="s">
        <v>847</v>
      </c>
      <c r="I2247" s="11" t="s">
        <v>14911</v>
      </c>
      <c r="J2247" s="11" t="s">
        <v>14912</v>
      </c>
      <c r="K2247" s="11" t="s">
        <v>1091</v>
      </c>
      <c r="L2247" s="11" t="s">
        <v>126</v>
      </c>
      <c r="M2247" s="11" t="s">
        <v>14913</v>
      </c>
      <c r="N2247" s="11" t="s">
        <v>128</v>
      </c>
      <c r="O2247" s="11" t="s">
        <v>14914</v>
      </c>
      <c r="P2247" s="11" t="s">
        <v>14915</v>
      </c>
      <c r="Q2247" s="11" t="s">
        <v>740</v>
      </c>
      <c r="R2247" s="11"/>
      <c r="S2247" s="11" t="s">
        <v>14916</v>
      </c>
      <c r="T2247" s="11" t="s">
        <v>1745</v>
      </c>
      <c r="U2247" s="11" t="s">
        <v>134</v>
      </c>
      <c r="V2247" s="11" t="s">
        <v>740</v>
      </c>
      <c r="W2247" s="11" t="s">
        <v>1745</v>
      </c>
      <c r="X2247" s="11">
        <v>17</v>
      </c>
      <c r="Y2247" s="11" t="s">
        <v>12359</v>
      </c>
      <c r="Z2247" s="11">
        <v>20</v>
      </c>
      <c r="AA2247" s="11">
        <v>0</v>
      </c>
      <c r="AB2247" s="12">
        <v>0</v>
      </c>
    </row>
    <row r="2248" spans="1:28" x14ac:dyDescent="0.2">
      <c r="A2248" s="7">
        <v>20717</v>
      </c>
      <c r="B2248" s="8" t="s">
        <v>14917</v>
      </c>
      <c r="C2248" s="8" t="s">
        <v>5979</v>
      </c>
      <c r="D2248" s="8" t="s">
        <v>5139</v>
      </c>
      <c r="E2248" s="8" t="s">
        <v>281</v>
      </c>
      <c r="F2248" s="8" t="s">
        <v>1994</v>
      </c>
      <c r="G2248" s="8" t="s">
        <v>328</v>
      </c>
      <c r="H2248" s="8" t="s">
        <v>329</v>
      </c>
      <c r="I2248" s="8" t="s">
        <v>5981</v>
      </c>
      <c r="J2248" s="8" t="s">
        <v>14918</v>
      </c>
      <c r="K2248" s="8" t="s">
        <v>332</v>
      </c>
      <c r="L2248" s="8" t="s">
        <v>333</v>
      </c>
      <c r="M2248" s="8" t="s">
        <v>14919</v>
      </c>
      <c r="N2248" s="8" t="s">
        <v>128</v>
      </c>
      <c r="O2248" s="8" t="s">
        <v>14920</v>
      </c>
      <c r="P2248" s="8" t="s">
        <v>14921</v>
      </c>
      <c r="Q2248" s="8" t="s">
        <v>740</v>
      </c>
      <c r="R2248" s="8"/>
      <c r="S2248" s="8" t="s">
        <v>5986</v>
      </c>
      <c r="T2248" s="8" t="s">
        <v>1745</v>
      </c>
      <c r="U2248" s="8" t="s">
        <v>134</v>
      </c>
      <c r="V2248" s="8" t="s">
        <v>740</v>
      </c>
      <c r="W2248" s="8" t="s">
        <v>1745</v>
      </c>
      <c r="X2248" s="8">
        <v>17</v>
      </c>
      <c r="Y2248" s="8" t="s">
        <v>12359</v>
      </c>
      <c r="Z2248" s="8">
        <v>20</v>
      </c>
      <c r="AA2248" s="8">
        <v>0</v>
      </c>
      <c r="AB2248" s="9">
        <v>0</v>
      </c>
    </row>
    <row r="2249" spans="1:28" x14ac:dyDescent="0.2">
      <c r="A2249" s="10">
        <v>25261</v>
      </c>
      <c r="B2249" s="11" t="s">
        <v>14922</v>
      </c>
      <c r="C2249" s="11" t="s">
        <v>14400</v>
      </c>
      <c r="D2249" s="11" t="s">
        <v>10591</v>
      </c>
      <c r="E2249" s="11"/>
      <c r="F2249" s="11" t="s">
        <v>14401</v>
      </c>
      <c r="G2249" s="11" t="s">
        <v>141</v>
      </c>
      <c r="H2249" s="11" t="s">
        <v>142</v>
      </c>
      <c r="I2249" s="11" t="s">
        <v>14402</v>
      </c>
      <c r="J2249" s="11" t="s">
        <v>14923</v>
      </c>
      <c r="K2249" s="11" t="s">
        <v>651</v>
      </c>
      <c r="L2249" s="11" t="s">
        <v>146</v>
      </c>
      <c r="M2249" s="11" t="s">
        <v>14924</v>
      </c>
      <c r="N2249" s="11" t="s">
        <v>128</v>
      </c>
      <c r="O2249" s="11" t="s">
        <v>14925</v>
      </c>
      <c r="P2249" s="11" t="s">
        <v>14926</v>
      </c>
      <c r="Q2249" s="11" t="s">
        <v>740</v>
      </c>
      <c r="R2249" s="11"/>
      <c r="S2249" s="11" t="s">
        <v>14406</v>
      </c>
      <c r="T2249" s="11" t="s">
        <v>1745</v>
      </c>
      <c r="U2249" s="11" t="s">
        <v>134</v>
      </c>
      <c r="V2249" s="11" t="s">
        <v>740</v>
      </c>
      <c r="W2249" s="11" t="s">
        <v>1745</v>
      </c>
      <c r="X2249" s="11">
        <v>17</v>
      </c>
      <c r="Y2249" s="11" t="s">
        <v>12359</v>
      </c>
      <c r="Z2249" s="11">
        <v>20</v>
      </c>
      <c r="AA2249" s="11">
        <v>0</v>
      </c>
      <c r="AB2249" s="12">
        <v>0</v>
      </c>
    </row>
    <row r="2250" spans="1:28" x14ac:dyDescent="0.2">
      <c r="A2250" s="7">
        <v>25123</v>
      </c>
      <c r="B2250" s="8" t="s">
        <v>14927</v>
      </c>
      <c r="C2250" s="8" t="s">
        <v>14928</v>
      </c>
      <c r="D2250" s="8" t="s">
        <v>14929</v>
      </c>
      <c r="E2250" s="8" t="s">
        <v>281</v>
      </c>
      <c r="F2250" s="8" t="s">
        <v>14930</v>
      </c>
      <c r="G2250" s="8" t="s">
        <v>6614</v>
      </c>
      <c r="H2250" s="8" t="s">
        <v>159</v>
      </c>
      <c r="I2250" s="8" t="s">
        <v>14931</v>
      </c>
      <c r="J2250" s="8" t="s">
        <v>14932</v>
      </c>
      <c r="K2250" s="8" t="s">
        <v>162</v>
      </c>
      <c r="L2250" s="8" t="s">
        <v>163</v>
      </c>
      <c r="M2250" s="8" t="s">
        <v>14933</v>
      </c>
      <c r="N2250" s="8" t="s">
        <v>128</v>
      </c>
      <c r="O2250" s="8" t="s">
        <v>14934</v>
      </c>
      <c r="P2250" s="8" t="s">
        <v>14935</v>
      </c>
      <c r="Q2250" s="8" t="s">
        <v>740</v>
      </c>
      <c r="R2250" s="8"/>
      <c r="S2250" s="8" t="s">
        <v>14936</v>
      </c>
      <c r="T2250" s="8" t="s">
        <v>741</v>
      </c>
      <c r="U2250" s="8" t="s">
        <v>134</v>
      </c>
      <c r="V2250" s="8" t="s">
        <v>740</v>
      </c>
      <c r="W2250" s="8" t="s">
        <v>741</v>
      </c>
      <c r="X2250" s="8">
        <v>17</v>
      </c>
      <c r="Y2250" s="8" t="s">
        <v>12359</v>
      </c>
      <c r="Z2250" s="8">
        <v>20</v>
      </c>
      <c r="AA2250" s="8">
        <v>0</v>
      </c>
      <c r="AB2250" s="9">
        <v>0</v>
      </c>
    </row>
    <row r="2251" spans="1:28" x14ac:dyDescent="0.2">
      <c r="A2251" s="10">
        <v>25233</v>
      </c>
      <c r="B2251" s="11" t="s">
        <v>14937</v>
      </c>
      <c r="C2251" s="11" t="s">
        <v>14938</v>
      </c>
      <c r="D2251" s="11" t="s">
        <v>9571</v>
      </c>
      <c r="E2251" s="11"/>
      <c r="F2251" s="11" t="s">
        <v>1994</v>
      </c>
      <c r="G2251" s="11" t="s">
        <v>328</v>
      </c>
      <c r="H2251" s="11" t="s">
        <v>329</v>
      </c>
      <c r="I2251" s="11" t="s">
        <v>14939</v>
      </c>
      <c r="J2251" s="11" t="s">
        <v>14940</v>
      </c>
      <c r="K2251" s="11" t="s">
        <v>332</v>
      </c>
      <c r="L2251" s="11" t="s">
        <v>333</v>
      </c>
      <c r="M2251" s="11" t="s">
        <v>14941</v>
      </c>
      <c r="N2251" s="11" t="s">
        <v>128</v>
      </c>
      <c r="O2251" s="11" t="s">
        <v>14942</v>
      </c>
      <c r="P2251" s="11" t="s">
        <v>14943</v>
      </c>
      <c r="Q2251" s="11" t="s">
        <v>740</v>
      </c>
      <c r="R2251" s="11"/>
      <c r="S2251" s="11" t="s">
        <v>71</v>
      </c>
      <c r="T2251" s="11" t="s">
        <v>741</v>
      </c>
      <c r="U2251" s="11" t="s">
        <v>134</v>
      </c>
      <c r="V2251" s="11" t="s">
        <v>740</v>
      </c>
      <c r="W2251" s="11" t="s">
        <v>741</v>
      </c>
      <c r="X2251" s="11">
        <v>17</v>
      </c>
      <c r="Y2251" s="11" t="s">
        <v>12359</v>
      </c>
      <c r="Z2251" s="11">
        <v>20</v>
      </c>
      <c r="AA2251" s="11">
        <v>0</v>
      </c>
      <c r="AB2251" s="12">
        <v>0</v>
      </c>
    </row>
    <row r="2252" spans="1:28" x14ac:dyDescent="0.2">
      <c r="A2252" s="7">
        <v>25567</v>
      </c>
      <c r="B2252" s="8" t="s">
        <v>14944</v>
      </c>
      <c r="C2252" s="8" t="s">
        <v>2300</v>
      </c>
      <c r="D2252" s="8" t="s">
        <v>10570</v>
      </c>
      <c r="E2252" s="8" t="s">
        <v>1547</v>
      </c>
      <c r="F2252" s="8" t="s">
        <v>353</v>
      </c>
      <c r="G2252" s="8" t="s">
        <v>3612</v>
      </c>
      <c r="H2252" s="8" t="s">
        <v>704</v>
      </c>
      <c r="I2252" s="8" t="s">
        <v>14945</v>
      </c>
      <c r="J2252" s="8" t="s">
        <v>14946</v>
      </c>
      <c r="K2252" s="8" t="s">
        <v>707</v>
      </c>
      <c r="L2252" s="8" t="s">
        <v>126</v>
      </c>
      <c r="M2252" s="8" t="s">
        <v>14947</v>
      </c>
      <c r="N2252" s="8" t="s">
        <v>128</v>
      </c>
      <c r="O2252" s="8" t="s">
        <v>14948</v>
      </c>
      <c r="P2252" s="8"/>
      <c r="Q2252" s="8" t="s">
        <v>249</v>
      </c>
      <c r="R2252" s="8"/>
      <c r="S2252" s="8" t="s">
        <v>13883</v>
      </c>
      <c r="T2252" s="8" t="s">
        <v>1523</v>
      </c>
      <c r="U2252" s="8" t="s">
        <v>134</v>
      </c>
      <c r="V2252" s="8" t="s">
        <v>249</v>
      </c>
      <c r="W2252" s="8" t="s">
        <v>1523</v>
      </c>
      <c r="X2252" s="8">
        <v>17</v>
      </c>
      <c r="Y2252" s="8" t="s">
        <v>12359</v>
      </c>
      <c r="Z2252" s="8">
        <v>20</v>
      </c>
      <c r="AA2252" s="8">
        <v>0</v>
      </c>
      <c r="AB2252" s="9">
        <v>0</v>
      </c>
    </row>
    <row r="2253" spans="1:28" x14ac:dyDescent="0.2">
      <c r="A2253" s="10">
        <v>25476</v>
      </c>
      <c r="B2253" s="11" t="s">
        <v>14949</v>
      </c>
      <c r="C2253" s="11" t="s">
        <v>6993</v>
      </c>
      <c r="D2253" s="11" t="s">
        <v>6994</v>
      </c>
      <c r="E2253" s="11" t="s">
        <v>281</v>
      </c>
      <c r="F2253" s="11" t="s">
        <v>14950</v>
      </c>
      <c r="G2253" s="11" t="s">
        <v>2618</v>
      </c>
      <c r="H2253" s="11" t="s">
        <v>142</v>
      </c>
      <c r="I2253" s="11" t="s">
        <v>6996</v>
      </c>
      <c r="J2253" s="11" t="s">
        <v>14951</v>
      </c>
      <c r="K2253" s="11" t="s">
        <v>651</v>
      </c>
      <c r="L2253" s="11" t="s">
        <v>146</v>
      </c>
      <c r="M2253" s="11" t="s">
        <v>14952</v>
      </c>
      <c r="N2253" s="11" t="s">
        <v>128</v>
      </c>
      <c r="O2253" s="11" t="s">
        <v>14953</v>
      </c>
      <c r="P2253" s="11"/>
      <c r="Q2253" s="11" t="s">
        <v>249</v>
      </c>
      <c r="R2253" s="11"/>
      <c r="S2253" s="11" t="s">
        <v>7001</v>
      </c>
      <c r="T2253" s="11" t="s">
        <v>1523</v>
      </c>
      <c r="U2253" s="11" t="s">
        <v>134</v>
      </c>
      <c r="V2253" s="11" t="s">
        <v>249</v>
      </c>
      <c r="W2253" s="11" t="s">
        <v>1523</v>
      </c>
      <c r="X2253" s="11">
        <v>17</v>
      </c>
      <c r="Y2253" s="11" t="s">
        <v>12359</v>
      </c>
      <c r="Z2253" s="11">
        <v>20</v>
      </c>
      <c r="AA2253" s="11">
        <v>0</v>
      </c>
      <c r="AB2253" s="12">
        <v>0</v>
      </c>
    </row>
    <row r="2254" spans="1:28" x14ac:dyDescent="0.2">
      <c r="A2254" s="7">
        <v>116662</v>
      </c>
      <c r="B2254" s="8" t="s">
        <v>14954</v>
      </c>
      <c r="C2254" s="8" t="s">
        <v>14268</v>
      </c>
      <c r="D2254" s="8" t="s">
        <v>14269</v>
      </c>
      <c r="E2254" s="8" t="s">
        <v>14955</v>
      </c>
      <c r="F2254" s="8" t="s">
        <v>14956</v>
      </c>
      <c r="G2254" s="8" t="s">
        <v>4226</v>
      </c>
      <c r="H2254" s="8" t="s">
        <v>329</v>
      </c>
      <c r="I2254" s="8" t="s">
        <v>6361</v>
      </c>
      <c r="J2254" s="8" t="s">
        <v>6362</v>
      </c>
      <c r="K2254" s="8" t="s">
        <v>415</v>
      </c>
      <c r="L2254" s="8" t="s">
        <v>333</v>
      </c>
      <c r="M2254" s="8" t="s">
        <v>14957</v>
      </c>
      <c r="N2254" s="8" t="s">
        <v>128</v>
      </c>
      <c r="O2254" s="8" t="s">
        <v>14958</v>
      </c>
      <c r="P2254" s="8"/>
      <c r="Q2254" s="8" t="s">
        <v>249</v>
      </c>
      <c r="R2254" s="8"/>
      <c r="S2254" s="8" t="s">
        <v>6366</v>
      </c>
      <c r="T2254" s="8" t="s">
        <v>1523</v>
      </c>
      <c r="U2254" s="8" t="s">
        <v>134</v>
      </c>
      <c r="V2254" s="8" t="s">
        <v>249</v>
      </c>
      <c r="W2254" s="8" t="s">
        <v>1523</v>
      </c>
      <c r="X2254" s="8">
        <v>17</v>
      </c>
      <c r="Y2254" s="8" t="s">
        <v>12359</v>
      </c>
      <c r="Z2254" s="8">
        <v>20</v>
      </c>
      <c r="AA2254" s="8">
        <v>0</v>
      </c>
      <c r="AB2254" s="9">
        <v>0</v>
      </c>
    </row>
    <row r="2255" spans="1:28" x14ac:dyDescent="0.2">
      <c r="A2255" s="10">
        <v>26958</v>
      </c>
      <c r="B2255" s="11" t="s">
        <v>14959</v>
      </c>
      <c r="C2255" s="11" t="s">
        <v>8515</v>
      </c>
      <c r="D2255" s="11" t="s">
        <v>138</v>
      </c>
      <c r="E2255" s="11"/>
      <c r="F2255" s="11" t="s">
        <v>1658</v>
      </c>
      <c r="G2255" s="11" t="s">
        <v>141</v>
      </c>
      <c r="H2255" s="11" t="s">
        <v>142</v>
      </c>
      <c r="I2255" s="11" t="s">
        <v>8516</v>
      </c>
      <c r="J2255" s="11" t="s">
        <v>8517</v>
      </c>
      <c r="K2255" s="11" t="s">
        <v>145</v>
      </c>
      <c r="L2255" s="11" t="s">
        <v>146</v>
      </c>
      <c r="M2255" s="11" t="s">
        <v>14960</v>
      </c>
      <c r="N2255" s="11" t="s">
        <v>128</v>
      </c>
      <c r="O2255" s="11" t="s">
        <v>14961</v>
      </c>
      <c r="P2255" s="11"/>
      <c r="Q2255" s="11" t="s">
        <v>249</v>
      </c>
      <c r="R2255" s="11"/>
      <c r="S2255" s="11" t="s">
        <v>1664</v>
      </c>
      <c r="T2255" s="11" t="s">
        <v>1523</v>
      </c>
      <c r="U2255" s="11" t="s">
        <v>134</v>
      </c>
      <c r="V2255" s="11" t="s">
        <v>249</v>
      </c>
      <c r="W2255" s="11" t="s">
        <v>1523</v>
      </c>
      <c r="X2255" s="11">
        <v>17</v>
      </c>
      <c r="Y2255" s="11" t="s">
        <v>12359</v>
      </c>
      <c r="Z2255" s="11">
        <v>20</v>
      </c>
      <c r="AA2255" s="11">
        <v>0</v>
      </c>
      <c r="AB2255" s="12">
        <v>0</v>
      </c>
    </row>
    <row r="2256" spans="1:28" x14ac:dyDescent="0.2">
      <c r="A2256" s="7">
        <v>26916</v>
      </c>
      <c r="B2256" s="8" t="s">
        <v>14962</v>
      </c>
      <c r="C2256" s="8" t="s">
        <v>14699</v>
      </c>
      <c r="D2256" s="8" t="s">
        <v>8508</v>
      </c>
      <c r="E2256" s="8"/>
      <c r="F2256" s="8" t="s">
        <v>14963</v>
      </c>
      <c r="G2256" s="8" t="s">
        <v>4625</v>
      </c>
      <c r="H2256" s="8" t="s">
        <v>142</v>
      </c>
      <c r="I2256" s="8" t="s">
        <v>14702</v>
      </c>
      <c r="J2256" s="8" t="s">
        <v>14964</v>
      </c>
      <c r="K2256" s="8" t="s">
        <v>651</v>
      </c>
      <c r="L2256" s="8" t="s">
        <v>146</v>
      </c>
      <c r="M2256" s="8" t="s">
        <v>14965</v>
      </c>
      <c r="N2256" s="8" t="s">
        <v>128</v>
      </c>
      <c r="O2256" s="8" t="s">
        <v>14966</v>
      </c>
      <c r="P2256" s="8"/>
      <c r="Q2256" s="8" t="s">
        <v>249</v>
      </c>
      <c r="R2256" s="8"/>
      <c r="S2256" s="8" t="s">
        <v>14707</v>
      </c>
      <c r="T2256" s="8" t="s">
        <v>1523</v>
      </c>
      <c r="U2256" s="8" t="s">
        <v>134</v>
      </c>
      <c r="V2256" s="8" t="s">
        <v>249</v>
      </c>
      <c r="W2256" s="8" t="s">
        <v>1523</v>
      </c>
      <c r="X2256" s="8">
        <v>17</v>
      </c>
      <c r="Y2256" s="8" t="s">
        <v>12359</v>
      </c>
      <c r="Z2256" s="8">
        <v>20</v>
      </c>
      <c r="AA2256" s="8">
        <v>0</v>
      </c>
      <c r="AB2256" s="9">
        <v>0</v>
      </c>
    </row>
    <row r="2257" spans="1:28" x14ac:dyDescent="0.2">
      <c r="A2257" s="10">
        <v>31499</v>
      </c>
      <c r="B2257" s="11" t="s">
        <v>14967</v>
      </c>
      <c r="C2257" s="11" t="s">
        <v>6061</v>
      </c>
      <c r="D2257" s="11" t="s">
        <v>6062</v>
      </c>
      <c r="E2257" s="11"/>
      <c r="F2257" s="11" t="s">
        <v>14968</v>
      </c>
      <c r="G2257" s="11" t="s">
        <v>1937</v>
      </c>
      <c r="H2257" s="11" t="s">
        <v>142</v>
      </c>
      <c r="I2257" s="11" t="s">
        <v>6065</v>
      </c>
      <c r="J2257" s="11" t="s">
        <v>14969</v>
      </c>
      <c r="K2257" s="11" t="s">
        <v>1673</v>
      </c>
      <c r="L2257" s="11" t="s">
        <v>464</v>
      </c>
      <c r="M2257" s="11" t="s">
        <v>14970</v>
      </c>
      <c r="N2257" s="11" t="s">
        <v>128</v>
      </c>
      <c r="O2257" s="11"/>
      <c r="P2257" s="11"/>
      <c r="Q2257" s="11" t="s">
        <v>249</v>
      </c>
      <c r="R2257" s="11"/>
      <c r="S2257" s="11" t="s">
        <v>6069</v>
      </c>
      <c r="T2257" s="11" t="s">
        <v>1523</v>
      </c>
      <c r="U2257" s="11" t="s">
        <v>134</v>
      </c>
      <c r="V2257" s="11" t="s">
        <v>249</v>
      </c>
      <c r="W2257" s="11" t="s">
        <v>1523</v>
      </c>
      <c r="X2257" s="11">
        <v>17</v>
      </c>
      <c r="Y2257" s="11" t="s">
        <v>12359</v>
      </c>
      <c r="Z2257" s="11">
        <v>20</v>
      </c>
      <c r="AA2257" s="11">
        <v>0</v>
      </c>
      <c r="AB2257" s="12">
        <v>0</v>
      </c>
    </row>
    <row r="2258" spans="1:28" x14ac:dyDescent="0.2">
      <c r="A2258" s="7">
        <v>25365</v>
      </c>
      <c r="B2258" s="8" t="s">
        <v>14971</v>
      </c>
      <c r="C2258" s="8" t="s">
        <v>14699</v>
      </c>
      <c r="D2258" s="8" t="s">
        <v>8508</v>
      </c>
      <c r="E2258" s="8" t="s">
        <v>14972</v>
      </c>
      <c r="F2258" s="8" t="s">
        <v>14701</v>
      </c>
      <c r="G2258" s="8" t="s">
        <v>4625</v>
      </c>
      <c r="H2258" s="8" t="s">
        <v>142</v>
      </c>
      <c r="I2258" s="8" t="s">
        <v>14702</v>
      </c>
      <c r="J2258" s="8" t="s">
        <v>14703</v>
      </c>
      <c r="K2258" s="8" t="s">
        <v>651</v>
      </c>
      <c r="L2258" s="8" t="s">
        <v>146</v>
      </c>
      <c r="M2258" s="8" t="s">
        <v>14973</v>
      </c>
      <c r="N2258" s="8" t="s">
        <v>128</v>
      </c>
      <c r="O2258" s="8" t="s">
        <v>14974</v>
      </c>
      <c r="P2258" s="8" t="s">
        <v>14975</v>
      </c>
      <c r="Q2258" s="8" t="s">
        <v>249</v>
      </c>
      <c r="R2258" s="8"/>
      <c r="S2258" s="8" t="s">
        <v>14707</v>
      </c>
      <c r="T2258" s="8" t="s">
        <v>250</v>
      </c>
      <c r="U2258" s="8" t="s">
        <v>134</v>
      </c>
      <c r="V2258" s="8" t="s">
        <v>249</v>
      </c>
      <c r="W2258" s="8" t="s">
        <v>250</v>
      </c>
      <c r="X2258" s="8">
        <v>17</v>
      </c>
      <c r="Y2258" s="8" t="s">
        <v>12359</v>
      </c>
      <c r="Z2258" s="8">
        <v>20</v>
      </c>
      <c r="AA2258" s="8">
        <v>0</v>
      </c>
      <c r="AB2258" s="9">
        <v>0</v>
      </c>
    </row>
    <row r="2259" spans="1:28" x14ac:dyDescent="0.2">
      <c r="A2259" s="10">
        <v>25407</v>
      </c>
      <c r="B2259" s="11" t="s">
        <v>14976</v>
      </c>
      <c r="C2259" s="11" t="s">
        <v>14128</v>
      </c>
      <c r="D2259" s="11" t="s">
        <v>14129</v>
      </c>
      <c r="E2259" s="11" t="s">
        <v>14977</v>
      </c>
      <c r="F2259" s="11" t="s">
        <v>11403</v>
      </c>
      <c r="G2259" s="11" t="s">
        <v>556</v>
      </c>
      <c r="H2259" s="11" t="s">
        <v>557</v>
      </c>
      <c r="I2259" s="11" t="s">
        <v>14131</v>
      </c>
      <c r="J2259" s="11" t="s">
        <v>14132</v>
      </c>
      <c r="K2259" s="11" t="s">
        <v>560</v>
      </c>
      <c r="L2259" s="11" t="s">
        <v>229</v>
      </c>
      <c r="M2259" s="11" t="s">
        <v>14978</v>
      </c>
      <c r="N2259" s="11" t="s">
        <v>128</v>
      </c>
      <c r="O2259" s="11" t="s">
        <v>14979</v>
      </c>
      <c r="P2259" s="11" t="s">
        <v>14980</v>
      </c>
      <c r="Q2259" s="11" t="s">
        <v>249</v>
      </c>
      <c r="R2259" s="11"/>
      <c r="S2259" s="11" t="s">
        <v>14136</v>
      </c>
      <c r="T2259" s="11" t="s">
        <v>250</v>
      </c>
      <c r="U2259" s="11" t="s">
        <v>134</v>
      </c>
      <c r="V2259" s="11" t="s">
        <v>249</v>
      </c>
      <c r="W2259" s="11" t="s">
        <v>250</v>
      </c>
      <c r="X2259" s="11">
        <v>17</v>
      </c>
      <c r="Y2259" s="11" t="s">
        <v>12359</v>
      </c>
      <c r="Z2259" s="11">
        <v>20</v>
      </c>
      <c r="AA2259" s="11">
        <v>0</v>
      </c>
      <c r="AB2259" s="12">
        <v>0</v>
      </c>
    </row>
    <row r="2260" spans="1:28" x14ac:dyDescent="0.2">
      <c r="A2260" s="7">
        <v>226716</v>
      </c>
      <c r="B2260" s="8" t="s">
        <v>14981</v>
      </c>
      <c r="C2260" s="8" t="s">
        <v>3133</v>
      </c>
      <c r="D2260" s="8" t="s">
        <v>3134</v>
      </c>
      <c r="E2260" s="8" t="s">
        <v>2666</v>
      </c>
      <c r="F2260" s="8" t="s">
        <v>9246</v>
      </c>
      <c r="G2260" s="8" t="s">
        <v>190</v>
      </c>
      <c r="H2260" s="8" t="s">
        <v>191</v>
      </c>
      <c r="I2260" s="8" t="s">
        <v>3205</v>
      </c>
      <c r="J2260" s="8" t="s">
        <v>3138</v>
      </c>
      <c r="K2260" s="8" t="s">
        <v>194</v>
      </c>
      <c r="L2260" s="8" t="s">
        <v>163</v>
      </c>
      <c r="M2260" s="8" t="s">
        <v>14982</v>
      </c>
      <c r="N2260" s="8" t="s">
        <v>128</v>
      </c>
      <c r="O2260" s="8" t="s">
        <v>14983</v>
      </c>
      <c r="P2260" s="8" t="s">
        <v>14984</v>
      </c>
      <c r="Q2260" s="8" t="s">
        <v>249</v>
      </c>
      <c r="R2260" s="8"/>
      <c r="S2260" s="8" t="s">
        <v>3142</v>
      </c>
      <c r="T2260" s="8" t="s">
        <v>250</v>
      </c>
      <c r="U2260" s="8" t="s">
        <v>134</v>
      </c>
      <c r="V2260" s="8" t="s">
        <v>249</v>
      </c>
      <c r="W2260" s="8" t="s">
        <v>250</v>
      </c>
      <c r="X2260" s="8">
        <v>17</v>
      </c>
      <c r="Y2260" s="8" t="s">
        <v>12359</v>
      </c>
      <c r="Z2260" s="8">
        <v>20</v>
      </c>
      <c r="AA2260" s="8">
        <v>0</v>
      </c>
      <c r="AB2260" s="9">
        <v>0</v>
      </c>
    </row>
    <row r="2261" spans="1:28" x14ac:dyDescent="0.2">
      <c r="A2261" s="10">
        <v>25540</v>
      </c>
      <c r="B2261" s="11" t="s">
        <v>14985</v>
      </c>
      <c r="C2261" s="11" t="s">
        <v>14910</v>
      </c>
      <c r="D2261" s="11" t="s">
        <v>11591</v>
      </c>
      <c r="E2261" s="11" t="s">
        <v>281</v>
      </c>
      <c r="F2261" s="11" t="s">
        <v>14986</v>
      </c>
      <c r="G2261" s="11" t="s">
        <v>3758</v>
      </c>
      <c r="H2261" s="11" t="s">
        <v>847</v>
      </c>
      <c r="I2261" s="11" t="s">
        <v>14911</v>
      </c>
      <c r="J2261" s="11" t="s">
        <v>14987</v>
      </c>
      <c r="K2261" s="11" t="s">
        <v>1091</v>
      </c>
      <c r="L2261" s="11" t="s">
        <v>126</v>
      </c>
      <c r="M2261" s="11" t="s">
        <v>14988</v>
      </c>
      <c r="N2261" s="11" t="s">
        <v>128</v>
      </c>
      <c r="O2261" s="11" t="s">
        <v>14989</v>
      </c>
      <c r="P2261" s="11" t="s">
        <v>14990</v>
      </c>
      <c r="Q2261" s="11" t="s">
        <v>249</v>
      </c>
      <c r="R2261" s="11"/>
      <c r="S2261" s="11" t="s">
        <v>14916</v>
      </c>
      <c r="T2261" s="11" t="s">
        <v>250</v>
      </c>
      <c r="U2261" s="11" t="s">
        <v>134</v>
      </c>
      <c r="V2261" s="11" t="s">
        <v>249</v>
      </c>
      <c r="W2261" s="11" t="s">
        <v>250</v>
      </c>
      <c r="X2261" s="11">
        <v>17</v>
      </c>
      <c r="Y2261" s="11" t="s">
        <v>12359</v>
      </c>
      <c r="Z2261" s="11">
        <v>20</v>
      </c>
      <c r="AA2261" s="11">
        <v>0</v>
      </c>
      <c r="AB2261" s="12">
        <v>0</v>
      </c>
    </row>
    <row r="2262" spans="1:28" x14ac:dyDescent="0.2">
      <c r="A2262" s="7">
        <v>25568</v>
      </c>
      <c r="B2262" s="8" t="s">
        <v>14991</v>
      </c>
      <c r="C2262" s="8" t="s">
        <v>2101</v>
      </c>
      <c r="D2262" s="8" t="s">
        <v>2102</v>
      </c>
      <c r="E2262" s="8" t="s">
        <v>14992</v>
      </c>
      <c r="F2262" s="8" t="s">
        <v>353</v>
      </c>
      <c r="G2262" s="8" t="s">
        <v>1626</v>
      </c>
      <c r="H2262" s="8" t="s">
        <v>142</v>
      </c>
      <c r="I2262" s="8" t="s">
        <v>2103</v>
      </c>
      <c r="J2262" s="8" t="s">
        <v>2104</v>
      </c>
      <c r="K2262" s="8" t="s">
        <v>472</v>
      </c>
      <c r="L2262" s="8" t="s">
        <v>146</v>
      </c>
      <c r="M2262" s="8" t="s">
        <v>14993</v>
      </c>
      <c r="N2262" s="8" t="s">
        <v>128</v>
      </c>
      <c r="O2262" s="8" t="s">
        <v>14994</v>
      </c>
      <c r="P2262" s="8" t="s">
        <v>14995</v>
      </c>
      <c r="Q2262" s="8" t="s">
        <v>249</v>
      </c>
      <c r="R2262" s="8"/>
      <c r="S2262" s="8" t="s">
        <v>2108</v>
      </c>
      <c r="T2262" s="8" t="s">
        <v>250</v>
      </c>
      <c r="U2262" s="8" t="s">
        <v>134</v>
      </c>
      <c r="V2262" s="8" t="s">
        <v>249</v>
      </c>
      <c r="W2262" s="8" t="s">
        <v>250</v>
      </c>
      <c r="X2262" s="8">
        <v>17</v>
      </c>
      <c r="Y2262" s="8" t="s">
        <v>12359</v>
      </c>
      <c r="Z2262" s="8">
        <v>20</v>
      </c>
      <c r="AA2262" s="8">
        <v>0</v>
      </c>
      <c r="AB2262" s="9">
        <v>0</v>
      </c>
    </row>
    <row r="2263" spans="1:28" x14ac:dyDescent="0.2">
      <c r="A2263" s="10">
        <v>21224</v>
      </c>
      <c r="B2263" s="11" t="s">
        <v>14996</v>
      </c>
      <c r="C2263" s="11" t="s">
        <v>1645</v>
      </c>
      <c r="D2263" s="11" t="s">
        <v>1646</v>
      </c>
      <c r="E2263" s="11" t="s">
        <v>14997</v>
      </c>
      <c r="F2263" s="11" t="s">
        <v>1648</v>
      </c>
      <c r="G2263" s="11" t="s">
        <v>328</v>
      </c>
      <c r="H2263" s="11" t="s">
        <v>329</v>
      </c>
      <c r="I2263" s="11" t="s">
        <v>1649</v>
      </c>
      <c r="J2263" s="11" t="s">
        <v>1650</v>
      </c>
      <c r="K2263" s="11" t="s">
        <v>572</v>
      </c>
      <c r="L2263" s="11" t="s">
        <v>333</v>
      </c>
      <c r="M2263" s="11" t="s">
        <v>14998</v>
      </c>
      <c r="N2263" s="11" t="s">
        <v>128</v>
      </c>
      <c r="O2263" s="11" t="s">
        <v>14999</v>
      </c>
      <c r="P2263" s="11" t="s">
        <v>15000</v>
      </c>
      <c r="Q2263" s="11" t="s">
        <v>150</v>
      </c>
      <c r="R2263" s="11"/>
      <c r="S2263" s="11" t="s">
        <v>1654</v>
      </c>
      <c r="T2263" s="11" t="s">
        <v>642</v>
      </c>
      <c r="U2263" s="11" t="s">
        <v>150</v>
      </c>
      <c r="V2263" s="11" t="s">
        <v>642</v>
      </c>
      <c r="W2263" s="11" t="s">
        <v>642</v>
      </c>
      <c r="X2263" s="11">
        <v>16</v>
      </c>
      <c r="Y2263" s="11" t="s">
        <v>12359</v>
      </c>
      <c r="Z2263" s="11">
        <v>20</v>
      </c>
      <c r="AA2263" s="11">
        <v>0</v>
      </c>
      <c r="AB2263" s="12">
        <v>0</v>
      </c>
    </row>
    <row r="2264" spans="1:28" x14ac:dyDescent="0.2">
      <c r="A2264" s="7">
        <v>21204</v>
      </c>
      <c r="B2264" s="8" t="s">
        <v>15001</v>
      </c>
      <c r="C2264" s="8" t="s">
        <v>4777</v>
      </c>
      <c r="D2264" s="8" t="s">
        <v>11956</v>
      </c>
      <c r="E2264" s="8"/>
      <c r="F2264" s="8" t="s">
        <v>11958</v>
      </c>
      <c r="G2264" s="8" t="s">
        <v>328</v>
      </c>
      <c r="H2264" s="8" t="s">
        <v>329</v>
      </c>
      <c r="I2264" s="8" t="s">
        <v>11959</v>
      </c>
      <c r="J2264" s="8" t="s">
        <v>15002</v>
      </c>
      <c r="K2264" s="8" t="s">
        <v>572</v>
      </c>
      <c r="L2264" s="8" t="s">
        <v>333</v>
      </c>
      <c r="M2264" s="8" t="s">
        <v>15003</v>
      </c>
      <c r="N2264" s="8" t="s">
        <v>128</v>
      </c>
      <c r="O2264" s="8" t="s">
        <v>15004</v>
      </c>
      <c r="P2264" s="8" t="s">
        <v>15005</v>
      </c>
      <c r="Q2264" s="8" t="s">
        <v>150</v>
      </c>
      <c r="R2264" s="8"/>
      <c r="S2264" s="8" t="s">
        <v>11964</v>
      </c>
      <c r="T2264" s="8" t="s">
        <v>642</v>
      </c>
      <c r="U2264" s="8" t="s">
        <v>150</v>
      </c>
      <c r="V2264" s="8" t="s">
        <v>642</v>
      </c>
      <c r="W2264" s="8" t="s">
        <v>642</v>
      </c>
      <c r="X2264" s="8">
        <v>16</v>
      </c>
      <c r="Y2264" s="8" t="s">
        <v>12359</v>
      </c>
      <c r="Z2264" s="8">
        <v>20</v>
      </c>
      <c r="AA2264" s="8">
        <v>0</v>
      </c>
      <c r="AB2264" s="9">
        <v>0</v>
      </c>
    </row>
    <row r="2265" spans="1:28" x14ac:dyDescent="0.2">
      <c r="A2265" s="10">
        <v>21247</v>
      </c>
      <c r="B2265" s="11" t="s">
        <v>15006</v>
      </c>
      <c r="C2265" s="11" t="s">
        <v>15007</v>
      </c>
      <c r="D2265" s="11" t="s">
        <v>9562</v>
      </c>
      <c r="E2265" s="11"/>
      <c r="F2265" s="11" t="s">
        <v>9382</v>
      </c>
      <c r="G2265" s="11" t="s">
        <v>328</v>
      </c>
      <c r="H2265" s="11" t="s">
        <v>329</v>
      </c>
      <c r="I2265" s="11" t="s">
        <v>14639</v>
      </c>
      <c r="J2265" s="11" t="s">
        <v>15008</v>
      </c>
      <c r="K2265" s="11" t="s">
        <v>332</v>
      </c>
      <c r="L2265" s="11" t="s">
        <v>333</v>
      </c>
      <c r="M2265" s="11" t="s">
        <v>15009</v>
      </c>
      <c r="N2265" s="11" t="s">
        <v>128</v>
      </c>
      <c r="O2265" s="11" t="s">
        <v>15010</v>
      </c>
      <c r="P2265" s="11" t="s">
        <v>9382</v>
      </c>
      <c r="Q2265" s="11" t="s">
        <v>150</v>
      </c>
      <c r="R2265" s="11"/>
      <c r="S2265" s="11" t="s">
        <v>9388</v>
      </c>
      <c r="T2265" s="11" t="s">
        <v>642</v>
      </c>
      <c r="U2265" s="11" t="s">
        <v>150</v>
      </c>
      <c r="V2265" s="11" t="s">
        <v>642</v>
      </c>
      <c r="W2265" s="11" t="s">
        <v>642</v>
      </c>
      <c r="X2265" s="11">
        <v>16</v>
      </c>
      <c r="Y2265" s="11" t="s">
        <v>12359</v>
      </c>
      <c r="Z2265" s="11">
        <v>20</v>
      </c>
      <c r="AA2265" s="11">
        <v>0</v>
      </c>
      <c r="AB2265" s="12">
        <v>0</v>
      </c>
    </row>
    <row r="2266" spans="1:28" x14ac:dyDescent="0.2">
      <c r="A2266" s="7">
        <v>120117</v>
      </c>
      <c r="B2266" s="8" t="s">
        <v>15011</v>
      </c>
      <c r="C2266" s="8" t="s">
        <v>14928</v>
      </c>
      <c r="D2266" s="8" t="s">
        <v>14929</v>
      </c>
      <c r="E2266" s="8" t="s">
        <v>15012</v>
      </c>
      <c r="F2266" s="8" t="s">
        <v>353</v>
      </c>
      <c r="G2266" s="8" t="s">
        <v>6614</v>
      </c>
      <c r="H2266" s="8" t="s">
        <v>159</v>
      </c>
      <c r="I2266" s="8" t="s">
        <v>15013</v>
      </c>
      <c r="J2266" s="8" t="s">
        <v>14932</v>
      </c>
      <c r="K2266" s="8" t="s">
        <v>162</v>
      </c>
      <c r="L2266" s="8" t="s">
        <v>163</v>
      </c>
      <c r="M2266" s="8" t="s">
        <v>15014</v>
      </c>
      <c r="N2266" s="8" t="s">
        <v>128</v>
      </c>
      <c r="O2266" s="8" t="s">
        <v>15015</v>
      </c>
      <c r="P2266" s="8"/>
      <c r="Q2266" s="8" t="s">
        <v>131</v>
      </c>
      <c r="R2266" s="8"/>
      <c r="S2266" s="8" t="s">
        <v>14936</v>
      </c>
      <c r="T2266" s="8" t="s">
        <v>983</v>
      </c>
      <c r="U2266" s="8" t="s">
        <v>134</v>
      </c>
      <c r="V2266" s="8" t="s">
        <v>131</v>
      </c>
      <c r="W2266" s="8" t="s">
        <v>983</v>
      </c>
      <c r="X2266" s="8">
        <v>16</v>
      </c>
      <c r="Y2266" s="8" t="s">
        <v>12359</v>
      </c>
      <c r="Z2266" s="8">
        <v>20</v>
      </c>
      <c r="AA2266" s="8">
        <v>0</v>
      </c>
      <c r="AB2266" s="9">
        <v>0</v>
      </c>
    </row>
    <row r="2267" spans="1:28" x14ac:dyDescent="0.2">
      <c r="A2267" s="10">
        <v>218075</v>
      </c>
      <c r="B2267" s="11" t="s">
        <v>15016</v>
      </c>
      <c r="C2267" s="11" t="s">
        <v>15017</v>
      </c>
      <c r="D2267" s="11" t="s">
        <v>8452</v>
      </c>
      <c r="E2267" s="11" t="s">
        <v>15018</v>
      </c>
      <c r="F2267" s="11" t="s">
        <v>353</v>
      </c>
      <c r="G2267" s="11" t="s">
        <v>1727</v>
      </c>
      <c r="H2267" s="11" t="s">
        <v>557</v>
      </c>
      <c r="I2267" s="11" t="s">
        <v>15019</v>
      </c>
      <c r="J2267" s="11" t="s">
        <v>15020</v>
      </c>
      <c r="K2267" s="11" t="s">
        <v>1562</v>
      </c>
      <c r="L2267" s="11" t="s">
        <v>229</v>
      </c>
      <c r="M2267" s="11" t="s">
        <v>15021</v>
      </c>
      <c r="N2267" s="11" t="s">
        <v>128</v>
      </c>
      <c r="O2267" s="11" t="s">
        <v>15022</v>
      </c>
      <c r="P2267" s="11"/>
      <c r="Q2267" s="11" t="s">
        <v>131</v>
      </c>
      <c r="R2267" s="11"/>
      <c r="S2267" s="11" t="s">
        <v>15023</v>
      </c>
      <c r="T2267" s="11" t="s">
        <v>983</v>
      </c>
      <c r="U2267" s="11" t="s">
        <v>134</v>
      </c>
      <c r="V2267" s="11" t="s">
        <v>131</v>
      </c>
      <c r="W2267" s="11" t="s">
        <v>983</v>
      </c>
      <c r="X2267" s="11">
        <v>16</v>
      </c>
      <c r="Y2267" s="11" t="s">
        <v>12359</v>
      </c>
      <c r="Z2267" s="11">
        <v>20</v>
      </c>
      <c r="AA2267" s="11">
        <v>0</v>
      </c>
      <c r="AB2267" s="12">
        <v>0</v>
      </c>
    </row>
    <row r="2268" spans="1:28" x14ac:dyDescent="0.2">
      <c r="A2268" s="7">
        <v>240280</v>
      </c>
      <c r="B2268" s="8" t="s">
        <v>15024</v>
      </c>
      <c r="C2268" s="8" t="s">
        <v>6357</v>
      </c>
      <c r="D2268" s="8" t="s">
        <v>6358</v>
      </c>
      <c r="E2268" s="8" t="s">
        <v>13783</v>
      </c>
      <c r="F2268" s="8" t="s">
        <v>15025</v>
      </c>
      <c r="G2268" s="8" t="s">
        <v>4226</v>
      </c>
      <c r="H2268" s="8" t="s">
        <v>329</v>
      </c>
      <c r="I2268" s="8" t="s">
        <v>6361</v>
      </c>
      <c r="J2268" s="8" t="s">
        <v>6362</v>
      </c>
      <c r="K2268" s="8" t="s">
        <v>415</v>
      </c>
      <c r="L2268" s="8" t="s">
        <v>333</v>
      </c>
      <c r="M2268" s="8" t="s">
        <v>15026</v>
      </c>
      <c r="N2268" s="8" t="s">
        <v>128</v>
      </c>
      <c r="O2268" s="8" t="s">
        <v>15027</v>
      </c>
      <c r="P2268" s="8"/>
      <c r="Q2268" s="8" t="s">
        <v>131</v>
      </c>
      <c r="R2268" s="8"/>
      <c r="S2268" s="8" t="s">
        <v>6366</v>
      </c>
      <c r="T2268" s="8" t="s">
        <v>983</v>
      </c>
      <c r="U2268" s="8" t="s">
        <v>134</v>
      </c>
      <c r="V2268" s="8" t="s">
        <v>131</v>
      </c>
      <c r="W2268" s="8" t="s">
        <v>983</v>
      </c>
      <c r="X2268" s="8">
        <v>16</v>
      </c>
      <c r="Y2268" s="8" t="s">
        <v>12359</v>
      </c>
      <c r="Z2268" s="8">
        <v>20</v>
      </c>
      <c r="AA2268" s="8">
        <v>0</v>
      </c>
      <c r="AB2268" s="9">
        <v>0</v>
      </c>
    </row>
    <row r="2269" spans="1:28" x14ac:dyDescent="0.2">
      <c r="A2269" s="10">
        <v>21981</v>
      </c>
      <c r="B2269" s="11" t="s">
        <v>15028</v>
      </c>
      <c r="C2269" s="11" t="s">
        <v>15029</v>
      </c>
      <c r="D2269" s="11" t="s">
        <v>15030</v>
      </c>
      <c r="E2269" s="11" t="s">
        <v>14444</v>
      </c>
      <c r="F2269" s="11" t="s">
        <v>1037</v>
      </c>
      <c r="G2269" s="11" t="s">
        <v>703</v>
      </c>
      <c r="H2269" s="11" t="s">
        <v>704</v>
      </c>
      <c r="I2269" s="11" t="s">
        <v>15031</v>
      </c>
      <c r="J2269" s="11" t="s">
        <v>15032</v>
      </c>
      <c r="K2269" s="11" t="s">
        <v>707</v>
      </c>
      <c r="L2269" s="11" t="s">
        <v>126</v>
      </c>
      <c r="M2269" s="11" t="s">
        <v>15033</v>
      </c>
      <c r="N2269" s="11" t="s">
        <v>128</v>
      </c>
      <c r="O2269" s="11" t="s">
        <v>15034</v>
      </c>
      <c r="P2269" s="11"/>
      <c r="Q2269" s="11" t="s">
        <v>131</v>
      </c>
      <c r="R2269" s="11"/>
      <c r="S2269" s="11" t="s">
        <v>71</v>
      </c>
      <c r="T2269" s="11" t="s">
        <v>983</v>
      </c>
      <c r="U2269" s="11" t="s">
        <v>134</v>
      </c>
      <c r="V2269" s="11" t="s">
        <v>131</v>
      </c>
      <c r="W2269" s="11" t="s">
        <v>983</v>
      </c>
      <c r="X2269" s="11">
        <v>16</v>
      </c>
      <c r="Y2269" s="11" t="s">
        <v>12359</v>
      </c>
      <c r="Z2269" s="11">
        <v>20</v>
      </c>
      <c r="AA2269" s="11">
        <v>0</v>
      </c>
      <c r="AB2269" s="12">
        <v>0</v>
      </c>
    </row>
    <row r="2270" spans="1:28" x14ac:dyDescent="0.2">
      <c r="A2270" s="7">
        <v>30143</v>
      </c>
      <c r="B2270" s="8" t="s">
        <v>15035</v>
      </c>
      <c r="C2270" s="8" t="s">
        <v>15036</v>
      </c>
      <c r="D2270" s="8" t="s">
        <v>4623</v>
      </c>
      <c r="E2270" s="8"/>
      <c r="F2270" s="8" t="s">
        <v>8819</v>
      </c>
      <c r="G2270" s="8" t="s">
        <v>328</v>
      </c>
      <c r="H2270" s="8" t="s">
        <v>329</v>
      </c>
      <c r="I2270" s="8" t="s">
        <v>15037</v>
      </c>
      <c r="J2270" s="8" t="s">
        <v>15038</v>
      </c>
      <c r="K2270" s="8" t="s">
        <v>332</v>
      </c>
      <c r="L2270" s="8" t="s">
        <v>333</v>
      </c>
      <c r="M2270" s="8" t="s">
        <v>15039</v>
      </c>
      <c r="N2270" s="8" t="s">
        <v>128</v>
      </c>
      <c r="O2270" s="8" t="s">
        <v>15040</v>
      </c>
      <c r="P2270" s="8"/>
      <c r="Q2270" s="8" t="s">
        <v>131</v>
      </c>
      <c r="R2270" s="8"/>
      <c r="S2270" s="8" t="s">
        <v>15041</v>
      </c>
      <c r="T2270" s="8" t="s">
        <v>983</v>
      </c>
      <c r="U2270" s="8" t="s">
        <v>134</v>
      </c>
      <c r="V2270" s="8" t="s">
        <v>131</v>
      </c>
      <c r="W2270" s="8" t="s">
        <v>983</v>
      </c>
      <c r="X2270" s="8">
        <v>16</v>
      </c>
      <c r="Y2270" s="8" t="s">
        <v>12359</v>
      </c>
      <c r="Z2270" s="8">
        <v>20</v>
      </c>
      <c r="AA2270" s="8">
        <v>0</v>
      </c>
      <c r="AB2270" s="9">
        <v>0</v>
      </c>
    </row>
    <row r="2271" spans="1:28" x14ac:dyDescent="0.2">
      <c r="A2271" s="10">
        <v>27861</v>
      </c>
      <c r="B2271" s="11" t="s">
        <v>15042</v>
      </c>
      <c r="C2271" s="11" t="s">
        <v>9888</v>
      </c>
      <c r="D2271" s="11" t="s">
        <v>1064</v>
      </c>
      <c r="E2271" s="11"/>
      <c r="F2271" s="11" t="s">
        <v>353</v>
      </c>
      <c r="G2271" s="11" t="s">
        <v>3454</v>
      </c>
      <c r="H2271" s="11" t="s">
        <v>142</v>
      </c>
      <c r="I2271" s="11" t="s">
        <v>9891</v>
      </c>
      <c r="J2271" s="11" t="s">
        <v>15043</v>
      </c>
      <c r="K2271" s="11" t="s">
        <v>1673</v>
      </c>
      <c r="L2271" s="11" t="s">
        <v>464</v>
      </c>
      <c r="M2271" s="11" t="s">
        <v>15044</v>
      </c>
      <c r="N2271" s="11" t="s">
        <v>128</v>
      </c>
      <c r="O2271" s="11" t="s">
        <v>15045</v>
      </c>
      <c r="P2271" s="11"/>
      <c r="Q2271" s="11" t="s">
        <v>131</v>
      </c>
      <c r="R2271" s="11"/>
      <c r="S2271" s="11" t="s">
        <v>9896</v>
      </c>
      <c r="T2271" s="11" t="s">
        <v>983</v>
      </c>
      <c r="U2271" s="11" t="s">
        <v>134</v>
      </c>
      <c r="V2271" s="11" t="s">
        <v>131</v>
      </c>
      <c r="W2271" s="11" t="s">
        <v>983</v>
      </c>
      <c r="X2271" s="11">
        <v>16</v>
      </c>
      <c r="Y2271" s="11" t="s">
        <v>12359</v>
      </c>
      <c r="Z2271" s="11">
        <v>20</v>
      </c>
      <c r="AA2271" s="11">
        <v>0</v>
      </c>
      <c r="AB2271" s="12">
        <v>0</v>
      </c>
    </row>
    <row r="2272" spans="1:28" x14ac:dyDescent="0.2">
      <c r="A2272" s="7">
        <v>21795</v>
      </c>
      <c r="B2272" s="8" t="s">
        <v>15046</v>
      </c>
      <c r="C2272" s="8" t="s">
        <v>14699</v>
      </c>
      <c r="D2272" s="8" t="s">
        <v>8508</v>
      </c>
      <c r="E2272" s="8" t="s">
        <v>15047</v>
      </c>
      <c r="F2272" s="8" t="s">
        <v>14701</v>
      </c>
      <c r="G2272" s="8" t="s">
        <v>4625</v>
      </c>
      <c r="H2272" s="8" t="s">
        <v>142</v>
      </c>
      <c r="I2272" s="8" t="s">
        <v>14702</v>
      </c>
      <c r="J2272" s="8" t="s">
        <v>14703</v>
      </c>
      <c r="K2272" s="8" t="s">
        <v>651</v>
      </c>
      <c r="L2272" s="8" t="s">
        <v>146</v>
      </c>
      <c r="M2272" s="8" t="s">
        <v>15048</v>
      </c>
      <c r="N2272" s="8" t="s">
        <v>128</v>
      </c>
      <c r="O2272" s="8" t="s">
        <v>15049</v>
      </c>
      <c r="P2272" s="8" t="s">
        <v>9022</v>
      </c>
      <c r="Q2272" s="8" t="s">
        <v>131</v>
      </c>
      <c r="R2272" s="8"/>
      <c r="S2272" s="8" t="s">
        <v>14707</v>
      </c>
      <c r="T2272" s="8" t="s">
        <v>133</v>
      </c>
      <c r="U2272" s="8" t="s">
        <v>134</v>
      </c>
      <c r="V2272" s="8" t="s">
        <v>131</v>
      </c>
      <c r="W2272" s="8" t="s">
        <v>133</v>
      </c>
      <c r="X2272" s="8">
        <v>16</v>
      </c>
      <c r="Y2272" s="8" t="s">
        <v>12359</v>
      </c>
      <c r="Z2272" s="8">
        <v>20</v>
      </c>
      <c r="AA2272" s="8">
        <v>0</v>
      </c>
      <c r="AB2272" s="9">
        <v>0</v>
      </c>
    </row>
    <row r="2273" spans="1:28" x14ac:dyDescent="0.2">
      <c r="A2273" s="10">
        <v>93173</v>
      </c>
      <c r="B2273" s="11" t="s">
        <v>15050</v>
      </c>
      <c r="C2273" s="11" t="s">
        <v>14928</v>
      </c>
      <c r="D2273" s="11" t="s">
        <v>8771</v>
      </c>
      <c r="E2273" s="11" t="s">
        <v>15051</v>
      </c>
      <c r="F2273" s="11" t="s">
        <v>14930</v>
      </c>
      <c r="G2273" s="11" t="s">
        <v>6084</v>
      </c>
      <c r="H2273" s="11" t="s">
        <v>159</v>
      </c>
      <c r="I2273" s="11" t="s">
        <v>14931</v>
      </c>
      <c r="J2273" s="11" t="s">
        <v>15052</v>
      </c>
      <c r="K2273" s="11" t="s">
        <v>162</v>
      </c>
      <c r="L2273" s="11" t="s">
        <v>163</v>
      </c>
      <c r="M2273" s="11" t="s">
        <v>15053</v>
      </c>
      <c r="N2273" s="11" t="s">
        <v>128</v>
      </c>
      <c r="O2273" s="11" t="s">
        <v>15054</v>
      </c>
      <c r="P2273" s="11" t="s">
        <v>15055</v>
      </c>
      <c r="Q2273" s="11" t="s">
        <v>131</v>
      </c>
      <c r="R2273" s="11"/>
      <c r="S2273" s="11" t="s">
        <v>71</v>
      </c>
      <c r="T2273" s="11" t="s">
        <v>133</v>
      </c>
      <c r="U2273" s="11" t="s">
        <v>134</v>
      </c>
      <c r="V2273" s="11" t="s">
        <v>131</v>
      </c>
      <c r="W2273" s="11" t="s">
        <v>133</v>
      </c>
      <c r="X2273" s="11">
        <v>16</v>
      </c>
      <c r="Y2273" s="11" t="s">
        <v>12359</v>
      </c>
      <c r="Z2273" s="11">
        <v>20</v>
      </c>
      <c r="AA2273" s="11">
        <v>0</v>
      </c>
      <c r="AB2273" s="12">
        <v>0</v>
      </c>
    </row>
    <row r="2274" spans="1:28" x14ac:dyDescent="0.2">
      <c r="A2274" s="7">
        <v>23529</v>
      </c>
      <c r="B2274" s="8" t="s">
        <v>15056</v>
      </c>
      <c r="C2274" s="8" t="s">
        <v>8789</v>
      </c>
      <c r="D2274" s="8" t="s">
        <v>10169</v>
      </c>
      <c r="E2274" s="8"/>
      <c r="F2274" s="8" t="s">
        <v>11595</v>
      </c>
      <c r="G2274" s="8" t="s">
        <v>121</v>
      </c>
      <c r="H2274" s="8" t="s">
        <v>122</v>
      </c>
      <c r="I2274" s="8" t="s">
        <v>8792</v>
      </c>
      <c r="J2274" s="8" t="s">
        <v>15057</v>
      </c>
      <c r="K2274" s="8" t="s">
        <v>1051</v>
      </c>
      <c r="L2274" s="8" t="s">
        <v>126</v>
      </c>
      <c r="M2274" s="8" t="s">
        <v>15058</v>
      </c>
      <c r="N2274" s="8" t="s">
        <v>128</v>
      </c>
      <c r="O2274" s="8" t="s">
        <v>15059</v>
      </c>
      <c r="P2274" s="8"/>
      <c r="Q2274" s="8" t="s">
        <v>150</v>
      </c>
      <c r="R2274" s="8"/>
      <c r="S2274" s="8" t="s">
        <v>71</v>
      </c>
      <c r="T2274" s="8" t="s">
        <v>6736</v>
      </c>
      <c r="U2274" s="8" t="s">
        <v>150</v>
      </c>
      <c r="V2274" s="8" t="s">
        <v>6736</v>
      </c>
      <c r="W2274" s="8" t="s">
        <v>6736</v>
      </c>
      <c r="X2274" s="8">
        <v>16</v>
      </c>
      <c r="Y2274" s="8" t="s">
        <v>12359</v>
      </c>
      <c r="Z2274" s="8">
        <v>20</v>
      </c>
      <c r="AA2274" s="8">
        <v>0</v>
      </c>
      <c r="AB2274" s="9">
        <v>0</v>
      </c>
    </row>
    <row r="2275" spans="1:28" x14ac:dyDescent="0.2">
      <c r="A2275" s="10">
        <v>22613</v>
      </c>
      <c r="B2275" s="11" t="s">
        <v>15060</v>
      </c>
      <c r="C2275" s="11" t="s">
        <v>1034</v>
      </c>
      <c r="D2275" s="11" t="s">
        <v>1035</v>
      </c>
      <c r="E2275" s="11" t="s">
        <v>281</v>
      </c>
      <c r="F2275" s="11" t="s">
        <v>1037</v>
      </c>
      <c r="G2275" s="11" t="s">
        <v>703</v>
      </c>
      <c r="H2275" s="11" t="s">
        <v>704</v>
      </c>
      <c r="I2275" s="11" t="s">
        <v>13581</v>
      </c>
      <c r="J2275" s="11" t="s">
        <v>15061</v>
      </c>
      <c r="K2275" s="11" t="s">
        <v>707</v>
      </c>
      <c r="L2275" s="11" t="s">
        <v>126</v>
      </c>
      <c r="M2275" s="11" t="s">
        <v>15062</v>
      </c>
      <c r="N2275" s="11" t="s">
        <v>128</v>
      </c>
      <c r="O2275" s="11" t="s">
        <v>15063</v>
      </c>
      <c r="P2275" s="11" t="s">
        <v>15064</v>
      </c>
      <c r="Q2275" s="11" t="s">
        <v>150</v>
      </c>
      <c r="R2275" s="11"/>
      <c r="S2275" s="11" t="s">
        <v>1043</v>
      </c>
      <c r="T2275" s="11" t="s">
        <v>2697</v>
      </c>
      <c r="U2275" s="11" t="s">
        <v>150</v>
      </c>
      <c r="V2275" s="11" t="s">
        <v>2697</v>
      </c>
      <c r="W2275" s="11" t="s">
        <v>2697</v>
      </c>
      <c r="X2275" s="11">
        <v>16</v>
      </c>
      <c r="Y2275" s="11" t="s">
        <v>12359</v>
      </c>
      <c r="Z2275" s="11">
        <v>20</v>
      </c>
      <c r="AA2275" s="11">
        <v>0</v>
      </c>
      <c r="AB2275" s="12">
        <v>0</v>
      </c>
    </row>
    <row r="2276" spans="1:28" x14ac:dyDescent="0.2">
      <c r="A2276" s="7">
        <v>23313</v>
      </c>
      <c r="B2276" s="8" t="s">
        <v>15065</v>
      </c>
      <c r="C2276" s="8" t="s">
        <v>15066</v>
      </c>
      <c r="D2276" s="8" t="s">
        <v>1064</v>
      </c>
      <c r="E2276" s="8" t="s">
        <v>15067</v>
      </c>
      <c r="F2276" s="8" t="s">
        <v>353</v>
      </c>
      <c r="G2276" s="8" t="s">
        <v>1794</v>
      </c>
      <c r="H2276" s="8" t="s">
        <v>142</v>
      </c>
      <c r="I2276" s="8" t="s">
        <v>15068</v>
      </c>
      <c r="J2276" s="8" t="s">
        <v>15069</v>
      </c>
      <c r="K2276" s="8" t="s">
        <v>779</v>
      </c>
      <c r="L2276" s="8" t="s">
        <v>464</v>
      </c>
      <c r="M2276" s="8" t="s">
        <v>15070</v>
      </c>
      <c r="N2276" s="8" t="s">
        <v>128</v>
      </c>
      <c r="O2276" s="8" t="s">
        <v>15071</v>
      </c>
      <c r="P2276" s="8" t="s">
        <v>15072</v>
      </c>
      <c r="Q2276" s="8" t="s">
        <v>150</v>
      </c>
      <c r="R2276" s="8"/>
      <c r="S2276" s="8" t="s">
        <v>15073</v>
      </c>
      <c r="T2276" s="8" t="s">
        <v>70</v>
      </c>
      <c r="U2276" s="8" t="s">
        <v>150</v>
      </c>
      <c r="V2276" s="8" t="s">
        <v>70</v>
      </c>
      <c r="W2276" s="8" t="s">
        <v>70</v>
      </c>
      <c r="X2276" s="8">
        <v>16</v>
      </c>
      <c r="Y2276" s="8" t="s">
        <v>12359</v>
      </c>
      <c r="Z2276" s="8">
        <v>20</v>
      </c>
      <c r="AA2276" s="8">
        <v>0</v>
      </c>
      <c r="AB2276" s="9">
        <v>0</v>
      </c>
    </row>
    <row r="2277" spans="1:28" x14ac:dyDescent="0.2">
      <c r="A2277" s="10">
        <v>23230</v>
      </c>
      <c r="B2277" s="11" t="s">
        <v>15074</v>
      </c>
      <c r="C2277" s="11" t="s">
        <v>15075</v>
      </c>
      <c r="D2277" s="11" t="s">
        <v>1912</v>
      </c>
      <c r="E2277" s="11" t="s">
        <v>15076</v>
      </c>
      <c r="F2277" s="11" t="s">
        <v>7746</v>
      </c>
      <c r="G2277" s="11" t="s">
        <v>141</v>
      </c>
      <c r="H2277" s="11" t="s">
        <v>142</v>
      </c>
      <c r="I2277" s="11" t="s">
        <v>15077</v>
      </c>
      <c r="J2277" s="11" t="s">
        <v>15078</v>
      </c>
      <c r="K2277" s="11" t="s">
        <v>584</v>
      </c>
      <c r="L2277" s="11" t="s">
        <v>146</v>
      </c>
      <c r="M2277" s="11" t="s">
        <v>15079</v>
      </c>
      <c r="N2277" s="11" t="s">
        <v>128</v>
      </c>
      <c r="O2277" s="11" t="s">
        <v>15080</v>
      </c>
      <c r="P2277" s="11" t="s">
        <v>15081</v>
      </c>
      <c r="Q2277" s="11" t="s">
        <v>150</v>
      </c>
      <c r="R2277" s="11"/>
      <c r="S2277" s="11" t="s">
        <v>15082</v>
      </c>
      <c r="T2277" s="11" t="s">
        <v>70</v>
      </c>
      <c r="U2277" s="11" t="s">
        <v>150</v>
      </c>
      <c r="V2277" s="11" t="s">
        <v>70</v>
      </c>
      <c r="W2277" s="11" t="s">
        <v>70</v>
      </c>
      <c r="X2277" s="11">
        <v>16</v>
      </c>
      <c r="Y2277" s="11" t="s">
        <v>12359</v>
      </c>
      <c r="Z2277" s="11">
        <v>20</v>
      </c>
      <c r="AA2277" s="11">
        <v>0</v>
      </c>
      <c r="AB2277" s="12">
        <v>0</v>
      </c>
    </row>
    <row r="2278" spans="1:28" x14ac:dyDescent="0.2">
      <c r="A2278" s="7">
        <v>23167</v>
      </c>
      <c r="B2278" s="8" t="s">
        <v>15083</v>
      </c>
      <c r="C2278" s="8" t="s">
        <v>15084</v>
      </c>
      <c r="D2278" s="8" t="s">
        <v>1710</v>
      </c>
      <c r="E2278" s="8"/>
      <c r="F2278" s="8" t="s">
        <v>15085</v>
      </c>
      <c r="G2278" s="8" t="s">
        <v>4047</v>
      </c>
      <c r="H2278" s="8" t="s">
        <v>142</v>
      </c>
      <c r="I2278" s="8" t="s">
        <v>15086</v>
      </c>
      <c r="J2278" s="8" t="s">
        <v>15087</v>
      </c>
      <c r="K2278" s="8" t="s">
        <v>1029</v>
      </c>
      <c r="L2278" s="8" t="s">
        <v>464</v>
      </c>
      <c r="M2278" s="8" t="s">
        <v>15088</v>
      </c>
      <c r="N2278" s="8" t="s">
        <v>128</v>
      </c>
      <c r="O2278" s="8" t="s">
        <v>15089</v>
      </c>
      <c r="P2278" s="8" t="s">
        <v>15090</v>
      </c>
      <c r="Q2278" s="8" t="s">
        <v>150</v>
      </c>
      <c r="R2278" s="8"/>
      <c r="S2278" s="8" t="s">
        <v>71</v>
      </c>
      <c r="T2278" s="8" t="s">
        <v>70</v>
      </c>
      <c r="U2278" s="8" t="s">
        <v>150</v>
      </c>
      <c r="V2278" s="8" t="s">
        <v>70</v>
      </c>
      <c r="W2278" s="8" t="s">
        <v>70</v>
      </c>
      <c r="X2278" s="8">
        <v>16</v>
      </c>
      <c r="Y2278" s="8" t="s">
        <v>12359</v>
      </c>
      <c r="Z2278" s="8">
        <v>20</v>
      </c>
      <c r="AA2278" s="8">
        <v>0</v>
      </c>
      <c r="AB2278" s="9">
        <v>0</v>
      </c>
    </row>
    <row r="2279" spans="1:28" x14ac:dyDescent="0.2">
      <c r="A2279" s="10">
        <v>28437</v>
      </c>
      <c r="B2279" s="11" t="s">
        <v>15091</v>
      </c>
      <c r="C2279" s="11" t="s">
        <v>15092</v>
      </c>
      <c r="D2279" s="11" t="s">
        <v>2447</v>
      </c>
      <c r="E2279" s="11"/>
      <c r="F2279" s="11" t="s">
        <v>9152</v>
      </c>
      <c r="G2279" s="11" t="s">
        <v>121</v>
      </c>
      <c r="H2279" s="11" t="s">
        <v>122</v>
      </c>
      <c r="I2279" s="11" t="s">
        <v>15093</v>
      </c>
      <c r="J2279" s="11" t="s">
        <v>15094</v>
      </c>
      <c r="K2279" s="11" t="s">
        <v>125</v>
      </c>
      <c r="L2279" s="11" t="s">
        <v>126</v>
      </c>
      <c r="M2279" s="11" t="s">
        <v>15095</v>
      </c>
      <c r="N2279" s="11" t="s">
        <v>128</v>
      </c>
      <c r="O2279" s="11" t="s">
        <v>15096</v>
      </c>
      <c r="P2279" s="11" t="s">
        <v>15097</v>
      </c>
      <c r="Q2279" s="11" t="s">
        <v>150</v>
      </c>
      <c r="R2279" s="11"/>
      <c r="S2279" s="11" t="s">
        <v>71</v>
      </c>
      <c r="T2279" s="11" t="s">
        <v>70</v>
      </c>
      <c r="U2279" s="11" t="s">
        <v>150</v>
      </c>
      <c r="V2279" s="11" t="s">
        <v>70</v>
      </c>
      <c r="W2279" s="11" t="s">
        <v>70</v>
      </c>
      <c r="X2279" s="11">
        <v>16</v>
      </c>
      <c r="Y2279" s="11" t="s">
        <v>12359</v>
      </c>
      <c r="Z2279" s="11">
        <v>20</v>
      </c>
      <c r="AA2279" s="11">
        <v>0</v>
      </c>
      <c r="AB2279" s="12">
        <v>0</v>
      </c>
    </row>
    <row r="2280" spans="1:28" x14ac:dyDescent="0.2">
      <c r="A2280" s="7">
        <v>23267</v>
      </c>
      <c r="B2280" s="8" t="s">
        <v>15098</v>
      </c>
      <c r="C2280" s="8" t="s">
        <v>15099</v>
      </c>
      <c r="D2280" s="8" t="s">
        <v>3377</v>
      </c>
      <c r="E2280" s="8"/>
      <c r="F2280" s="8" t="s">
        <v>15100</v>
      </c>
      <c r="G2280" s="8" t="s">
        <v>141</v>
      </c>
      <c r="H2280" s="8" t="s">
        <v>142</v>
      </c>
      <c r="I2280" s="8" t="s">
        <v>12974</v>
      </c>
      <c r="J2280" s="8" t="s">
        <v>15101</v>
      </c>
      <c r="K2280" s="8" t="s">
        <v>991</v>
      </c>
      <c r="L2280" s="8" t="s">
        <v>146</v>
      </c>
      <c r="M2280" s="8" t="s">
        <v>15102</v>
      </c>
      <c r="N2280" s="8" t="s">
        <v>128</v>
      </c>
      <c r="O2280" s="8" t="s">
        <v>15103</v>
      </c>
      <c r="P2280" s="8" t="s">
        <v>15104</v>
      </c>
      <c r="Q2280" s="8" t="s">
        <v>150</v>
      </c>
      <c r="R2280" s="8"/>
      <c r="S2280" s="8" t="s">
        <v>15105</v>
      </c>
      <c r="T2280" s="8" t="s">
        <v>70</v>
      </c>
      <c r="U2280" s="8" t="s">
        <v>150</v>
      </c>
      <c r="V2280" s="8" t="s">
        <v>70</v>
      </c>
      <c r="W2280" s="8" t="s">
        <v>70</v>
      </c>
      <c r="X2280" s="8">
        <v>16</v>
      </c>
      <c r="Y2280" s="8" t="s">
        <v>12359</v>
      </c>
      <c r="Z2280" s="8">
        <v>20</v>
      </c>
      <c r="AA2280" s="8">
        <v>0</v>
      </c>
      <c r="AB2280" s="9">
        <v>0</v>
      </c>
    </row>
    <row r="2281" spans="1:28" x14ac:dyDescent="0.2">
      <c r="A2281" s="10">
        <v>23387</v>
      </c>
      <c r="B2281" s="11" t="s">
        <v>15106</v>
      </c>
      <c r="C2281" s="11" t="s">
        <v>4897</v>
      </c>
      <c r="D2281" s="11" t="s">
        <v>11505</v>
      </c>
      <c r="E2281" s="11"/>
      <c r="F2281" s="11" t="s">
        <v>353</v>
      </c>
      <c r="G2281" s="11" t="s">
        <v>9554</v>
      </c>
      <c r="H2281" s="11" t="s">
        <v>142</v>
      </c>
      <c r="I2281" s="11" t="s">
        <v>15107</v>
      </c>
      <c r="J2281" s="11" t="s">
        <v>15108</v>
      </c>
      <c r="K2281" s="11" t="s">
        <v>974</v>
      </c>
      <c r="L2281" s="11" t="s">
        <v>146</v>
      </c>
      <c r="M2281" s="11" t="s">
        <v>15109</v>
      </c>
      <c r="N2281" s="11" t="s">
        <v>128</v>
      </c>
      <c r="O2281" s="11" t="s">
        <v>15110</v>
      </c>
      <c r="P2281" s="11" t="s">
        <v>15111</v>
      </c>
      <c r="Q2281" s="11" t="s">
        <v>150</v>
      </c>
      <c r="R2281" s="11"/>
      <c r="S2281" s="11" t="s">
        <v>71</v>
      </c>
      <c r="T2281" s="11" t="s">
        <v>1415</v>
      </c>
      <c r="U2281" s="11" t="s">
        <v>150</v>
      </c>
      <c r="V2281" s="11" t="s">
        <v>1415</v>
      </c>
      <c r="W2281" s="11" t="s">
        <v>1415</v>
      </c>
      <c r="X2281" s="11">
        <v>16</v>
      </c>
      <c r="Y2281" s="11" t="s">
        <v>12359</v>
      </c>
      <c r="Z2281" s="11">
        <v>20</v>
      </c>
      <c r="AA2281" s="11">
        <v>0</v>
      </c>
      <c r="AB2281" s="12">
        <v>0</v>
      </c>
    </row>
    <row r="2282" spans="1:28" x14ac:dyDescent="0.2">
      <c r="A2282" s="7">
        <v>28769</v>
      </c>
      <c r="B2282" s="8" t="s">
        <v>15112</v>
      </c>
      <c r="C2282" s="8" t="s">
        <v>4010</v>
      </c>
      <c r="D2282" s="8" t="s">
        <v>755</v>
      </c>
      <c r="E2282" s="8"/>
      <c r="F2282" s="8" t="s">
        <v>8819</v>
      </c>
      <c r="G2282" s="8" t="s">
        <v>4012</v>
      </c>
      <c r="H2282" s="8" t="s">
        <v>671</v>
      </c>
      <c r="I2282" s="8" t="s">
        <v>4013</v>
      </c>
      <c r="J2282" s="8" t="s">
        <v>15113</v>
      </c>
      <c r="K2282" s="8" t="s">
        <v>572</v>
      </c>
      <c r="L2282" s="8" t="s">
        <v>333</v>
      </c>
      <c r="M2282" s="8" t="s">
        <v>15114</v>
      </c>
      <c r="N2282" s="8" t="s">
        <v>128</v>
      </c>
      <c r="O2282" s="8" t="s">
        <v>15115</v>
      </c>
      <c r="P2282" s="8" t="s">
        <v>1942</v>
      </c>
      <c r="Q2282" s="8" t="s">
        <v>150</v>
      </c>
      <c r="R2282" s="8"/>
      <c r="S2282" s="8" t="s">
        <v>71</v>
      </c>
      <c r="T2282" s="8" t="s">
        <v>14176</v>
      </c>
      <c r="U2282" s="8" t="s">
        <v>150</v>
      </c>
      <c r="V2282" s="8" t="s">
        <v>14176</v>
      </c>
      <c r="W2282" s="8" t="s">
        <v>14176</v>
      </c>
      <c r="X2282" s="8">
        <v>16</v>
      </c>
      <c r="Y2282" s="8" t="s">
        <v>12359</v>
      </c>
      <c r="Z2282" s="8">
        <v>20</v>
      </c>
      <c r="AA2282" s="8">
        <v>0</v>
      </c>
      <c r="AB2282" s="9">
        <v>0</v>
      </c>
    </row>
    <row r="2283" spans="1:28" x14ac:dyDescent="0.2">
      <c r="A2283" s="10">
        <v>23814</v>
      </c>
      <c r="B2283" s="11" t="s">
        <v>15116</v>
      </c>
      <c r="C2283" s="11" t="s">
        <v>8130</v>
      </c>
      <c r="D2283" s="11" t="s">
        <v>13534</v>
      </c>
      <c r="E2283" s="11"/>
      <c r="F2283" s="11"/>
      <c r="G2283" s="11" t="s">
        <v>4606</v>
      </c>
      <c r="H2283" s="11" t="s">
        <v>142</v>
      </c>
      <c r="I2283" s="11"/>
      <c r="J2283" s="11" t="s">
        <v>15117</v>
      </c>
      <c r="K2283" s="11" t="s">
        <v>1029</v>
      </c>
      <c r="L2283" s="11" t="s">
        <v>464</v>
      </c>
      <c r="M2283" s="11" t="s">
        <v>15118</v>
      </c>
      <c r="N2283" s="11" t="s">
        <v>128</v>
      </c>
      <c r="O2283" s="11" t="s">
        <v>15119</v>
      </c>
      <c r="P2283" s="11" t="s">
        <v>15120</v>
      </c>
      <c r="Q2283" s="11" t="s">
        <v>150</v>
      </c>
      <c r="R2283" s="11"/>
      <c r="S2283" s="11" t="s">
        <v>71</v>
      </c>
      <c r="T2283" s="11" t="s">
        <v>168</v>
      </c>
      <c r="U2283" s="11" t="s">
        <v>150</v>
      </c>
      <c r="V2283" s="11" t="s">
        <v>168</v>
      </c>
      <c r="W2283" s="11" t="s">
        <v>168</v>
      </c>
      <c r="X2283" s="11">
        <v>16</v>
      </c>
      <c r="Y2283" s="11" t="s">
        <v>12359</v>
      </c>
      <c r="Z2283" s="11">
        <v>20</v>
      </c>
      <c r="AA2283" s="11">
        <v>0</v>
      </c>
      <c r="AB2283" s="12">
        <v>0</v>
      </c>
    </row>
    <row r="2284" spans="1:28" x14ac:dyDescent="0.2">
      <c r="A2284" s="7">
        <v>23695</v>
      </c>
      <c r="B2284" s="8" t="s">
        <v>15121</v>
      </c>
      <c r="C2284" s="8" t="s">
        <v>9543</v>
      </c>
      <c r="D2284" s="8" t="s">
        <v>15122</v>
      </c>
      <c r="E2284" s="8"/>
      <c r="F2284" s="8" t="s">
        <v>15123</v>
      </c>
      <c r="G2284" s="8" t="s">
        <v>141</v>
      </c>
      <c r="H2284" s="8" t="s">
        <v>142</v>
      </c>
      <c r="I2284" s="8" t="s">
        <v>9547</v>
      </c>
      <c r="J2284" s="8" t="s">
        <v>15124</v>
      </c>
      <c r="K2284" s="8" t="s">
        <v>145</v>
      </c>
      <c r="L2284" s="8" t="s">
        <v>146</v>
      </c>
      <c r="M2284" s="8" t="s">
        <v>15125</v>
      </c>
      <c r="N2284" s="8" t="s">
        <v>128</v>
      </c>
      <c r="O2284" s="8" t="s">
        <v>15126</v>
      </c>
      <c r="P2284" s="8" t="s">
        <v>15127</v>
      </c>
      <c r="Q2284" s="8" t="s">
        <v>150</v>
      </c>
      <c r="R2284" s="8"/>
      <c r="S2284" s="8" t="s">
        <v>71</v>
      </c>
      <c r="T2284" s="8" t="s">
        <v>168</v>
      </c>
      <c r="U2284" s="8" t="s">
        <v>150</v>
      </c>
      <c r="V2284" s="8" t="s">
        <v>168</v>
      </c>
      <c r="W2284" s="8" t="s">
        <v>168</v>
      </c>
      <c r="X2284" s="8">
        <v>16</v>
      </c>
      <c r="Y2284" s="8" t="s">
        <v>12359</v>
      </c>
      <c r="Z2284" s="8">
        <v>20</v>
      </c>
      <c r="AA2284" s="8">
        <v>0</v>
      </c>
      <c r="AB2284" s="9">
        <v>0</v>
      </c>
    </row>
    <row r="2285" spans="1:28" x14ac:dyDescent="0.2">
      <c r="A2285" s="10">
        <v>24973</v>
      </c>
      <c r="B2285" s="11" t="s">
        <v>15128</v>
      </c>
      <c r="C2285" s="11" t="s">
        <v>339</v>
      </c>
      <c r="D2285" s="11" t="s">
        <v>340</v>
      </c>
      <c r="E2285" s="11" t="s">
        <v>15129</v>
      </c>
      <c r="F2285" s="11" t="s">
        <v>342</v>
      </c>
      <c r="G2285" s="11" t="s">
        <v>328</v>
      </c>
      <c r="H2285" s="11" t="s">
        <v>329</v>
      </c>
      <c r="I2285" s="11" t="s">
        <v>343</v>
      </c>
      <c r="J2285" s="11" t="s">
        <v>344</v>
      </c>
      <c r="K2285" s="11" t="s">
        <v>332</v>
      </c>
      <c r="L2285" s="11" t="s">
        <v>333</v>
      </c>
      <c r="M2285" s="11" t="s">
        <v>15130</v>
      </c>
      <c r="N2285" s="11" t="s">
        <v>128</v>
      </c>
      <c r="O2285" s="11" t="s">
        <v>15131</v>
      </c>
      <c r="P2285" s="11" t="s">
        <v>5259</v>
      </c>
      <c r="Q2285" s="11" t="s">
        <v>150</v>
      </c>
      <c r="R2285" s="11"/>
      <c r="S2285" s="11" t="s">
        <v>348</v>
      </c>
      <c r="T2285" s="11" t="s">
        <v>1738</v>
      </c>
      <c r="U2285" s="11" t="s">
        <v>150</v>
      </c>
      <c r="V2285" s="11" t="s">
        <v>1738</v>
      </c>
      <c r="W2285" s="11" t="s">
        <v>1738</v>
      </c>
      <c r="X2285" s="11">
        <v>16</v>
      </c>
      <c r="Y2285" s="11" t="s">
        <v>12359</v>
      </c>
      <c r="Z2285" s="11">
        <v>20</v>
      </c>
      <c r="AA2285" s="11">
        <v>0</v>
      </c>
      <c r="AB2285" s="12">
        <v>0</v>
      </c>
    </row>
    <row r="2286" spans="1:28" x14ac:dyDescent="0.2">
      <c r="A2286" s="7">
        <v>119657</v>
      </c>
      <c r="B2286" s="8" t="s">
        <v>15132</v>
      </c>
      <c r="C2286" s="8" t="s">
        <v>9824</v>
      </c>
      <c r="D2286" s="8" t="s">
        <v>9825</v>
      </c>
      <c r="E2286" s="8"/>
      <c r="F2286" s="8" t="s">
        <v>15133</v>
      </c>
      <c r="G2286" s="8" t="s">
        <v>1852</v>
      </c>
      <c r="H2286" s="8" t="s">
        <v>671</v>
      </c>
      <c r="I2286" s="8" t="s">
        <v>9827</v>
      </c>
      <c r="J2286" s="8" t="s">
        <v>9828</v>
      </c>
      <c r="K2286" s="8" t="s">
        <v>572</v>
      </c>
      <c r="L2286" s="8" t="s">
        <v>333</v>
      </c>
      <c r="M2286" s="8" t="s">
        <v>15134</v>
      </c>
      <c r="N2286" s="8" t="s">
        <v>128</v>
      </c>
      <c r="O2286" s="8" t="s">
        <v>15135</v>
      </c>
      <c r="P2286" s="8" t="s">
        <v>15136</v>
      </c>
      <c r="Q2286" s="8" t="s">
        <v>150</v>
      </c>
      <c r="R2286" s="8"/>
      <c r="S2286" s="8" t="s">
        <v>9832</v>
      </c>
      <c r="T2286" s="8" t="s">
        <v>1738</v>
      </c>
      <c r="U2286" s="8" t="s">
        <v>150</v>
      </c>
      <c r="V2286" s="8" t="s">
        <v>1738</v>
      </c>
      <c r="W2286" s="8" t="s">
        <v>1738</v>
      </c>
      <c r="X2286" s="8">
        <v>16</v>
      </c>
      <c r="Y2286" s="8" t="s">
        <v>12359</v>
      </c>
      <c r="Z2286" s="8">
        <v>20</v>
      </c>
      <c r="AA2286" s="8">
        <v>0</v>
      </c>
      <c r="AB2286" s="9">
        <v>0</v>
      </c>
    </row>
    <row r="2287" spans="1:28" x14ac:dyDescent="0.2">
      <c r="A2287" s="10">
        <v>86778</v>
      </c>
      <c r="B2287" s="11" t="s">
        <v>15137</v>
      </c>
      <c r="C2287" s="11" t="s">
        <v>4010</v>
      </c>
      <c r="D2287" s="11" t="s">
        <v>4913</v>
      </c>
      <c r="E2287" s="11"/>
      <c r="F2287" s="11" t="s">
        <v>1994</v>
      </c>
      <c r="G2287" s="11" t="s">
        <v>13913</v>
      </c>
      <c r="H2287" s="11" t="s">
        <v>671</v>
      </c>
      <c r="I2287" s="11" t="s">
        <v>4013</v>
      </c>
      <c r="J2287" s="11" t="s">
        <v>15138</v>
      </c>
      <c r="K2287" s="11" t="s">
        <v>572</v>
      </c>
      <c r="L2287" s="11" t="s">
        <v>333</v>
      </c>
      <c r="M2287" s="11" t="s">
        <v>15139</v>
      </c>
      <c r="N2287" s="11" t="s">
        <v>128</v>
      </c>
      <c r="O2287" s="11" t="s">
        <v>15140</v>
      </c>
      <c r="P2287" s="11"/>
      <c r="Q2287" s="11" t="s">
        <v>150</v>
      </c>
      <c r="R2287" s="11"/>
      <c r="S2287" s="11" t="s">
        <v>71</v>
      </c>
      <c r="T2287" s="11" t="s">
        <v>13984</v>
      </c>
      <c r="U2287" s="11" t="s">
        <v>150</v>
      </c>
      <c r="V2287" s="11" t="s">
        <v>13984</v>
      </c>
      <c r="W2287" s="11" t="s">
        <v>13984</v>
      </c>
      <c r="X2287" s="11">
        <v>16</v>
      </c>
      <c r="Y2287" s="11" t="s">
        <v>12359</v>
      </c>
      <c r="Z2287" s="11">
        <v>20</v>
      </c>
      <c r="AA2287" s="11">
        <v>0</v>
      </c>
      <c r="AB2287" s="12">
        <v>0</v>
      </c>
    </row>
    <row r="2288" spans="1:28" x14ac:dyDescent="0.2">
      <c r="A2288" s="7">
        <v>20709</v>
      </c>
      <c r="B2288" s="8" t="s">
        <v>15141</v>
      </c>
      <c r="C2288" s="8" t="s">
        <v>8945</v>
      </c>
      <c r="D2288" s="8" t="s">
        <v>8946</v>
      </c>
      <c r="E2288" s="8" t="s">
        <v>15142</v>
      </c>
      <c r="F2288" s="8" t="s">
        <v>8234</v>
      </c>
      <c r="G2288" s="8" t="s">
        <v>556</v>
      </c>
      <c r="H2288" s="8" t="s">
        <v>557</v>
      </c>
      <c r="I2288" s="8" t="s">
        <v>8948</v>
      </c>
      <c r="J2288" s="8" t="s">
        <v>8949</v>
      </c>
      <c r="K2288" s="8" t="s">
        <v>560</v>
      </c>
      <c r="L2288" s="8" t="s">
        <v>229</v>
      </c>
      <c r="M2288" s="8" t="s">
        <v>15143</v>
      </c>
      <c r="N2288" s="8" t="s">
        <v>128</v>
      </c>
      <c r="O2288" s="8" t="s">
        <v>15144</v>
      </c>
      <c r="P2288" s="8" t="s">
        <v>15145</v>
      </c>
      <c r="Q2288" s="8" t="s">
        <v>740</v>
      </c>
      <c r="R2288" s="8"/>
      <c r="S2288" s="8" t="s">
        <v>8953</v>
      </c>
      <c r="T2288" s="8" t="s">
        <v>1745</v>
      </c>
      <c r="U2288" s="8" t="s">
        <v>134</v>
      </c>
      <c r="V2288" s="8" t="s">
        <v>740</v>
      </c>
      <c r="W2288" s="8" t="s">
        <v>1745</v>
      </c>
      <c r="X2288" s="8">
        <v>16</v>
      </c>
      <c r="Y2288" s="8" t="s">
        <v>12359</v>
      </c>
      <c r="Z2288" s="8">
        <v>20</v>
      </c>
      <c r="AA2288" s="8">
        <v>0</v>
      </c>
      <c r="AB2288" s="9">
        <v>0</v>
      </c>
    </row>
    <row r="2289" spans="1:28" x14ac:dyDescent="0.2">
      <c r="A2289" s="10">
        <v>31224</v>
      </c>
      <c r="B2289" s="11" t="s">
        <v>15146</v>
      </c>
      <c r="C2289" s="11" t="s">
        <v>15147</v>
      </c>
      <c r="D2289" s="11" t="s">
        <v>15148</v>
      </c>
      <c r="E2289" s="11"/>
      <c r="F2289" s="11" t="s">
        <v>353</v>
      </c>
      <c r="G2289" s="11" t="s">
        <v>7116</v>
      </c>
      <c r="H2289" s="11" t="s">
        <v>142</v>
      </c>
      <c r="I2289" s="11"/>
      <c r="J2289" s="11" t="s">
        <v>15149</v>
      </c>
      <c r="K2289" s="11" t="s">
        <v>1199</v>
      </c>
      <c r="L2289" s="11" t="s">
        <v>464</v>
      </c>
      <c r="M2289" s="11" t="s">
        <v>15150</v>
      </c>
      <c r="N2289" s="11" t="s">
        <v>128</v>
      </c>
      <c r="O2289" s="11" t="s">
        <v>15151</v>
      </c>
      <c r="P2289" s="11" t="s">
        <v>15152</v>
      </c>
      <c r="Q2289" s="11" t="s">
        <v>740</v>
      </c>
      <c r="R2289" s="11"/>
      <c r="S2289" s="11" t="s">
        <v>71</v>
      </c>
      <c r="T2289" s="11" t="s">
        <v>1745</v>
      </c>
      <c r="U2289" s="11" t="s">
        <v>134</v>
      </c>
      <c r="V2289" s="11" t="s">
        <v>740</v>
      </c>
      <c r="W2289" s="11" t="s">
        <v>1745</v>
      </c>
      <c r="X2289" s="11">
        <v>16</v>
      </c>
      <c r="Y2289" s="11" t="s">
        <v>12359</v>
      </c>
      <c r="Z2289" s="11">
        <v>20</v>
      </c>
      <c r="AA2289" s="11">
        <v>0</v>
      </c>
      <c r="AB2289" s="12">
        <v>0</v>
      </c>
    </row>
    <row r="2290" spans="1:28" x14ac:dyDescent="0.2">
      <c r="A2290" s="7">
        <v>120116</v>
      </c>
      <c r="B2290" s="8" t="s">
        <v>15153</v>
      </c>
      <c r="C2290" s="8" t="s">
        <v>6241</v>
      </c>
      <c r="D2290" s="8" t="s">
        <v>2839</v>
      </c>
      <c r="E2290" s="8"/>
      <c r="F2290" s="8" t="s">
        <v>13487</v>
      </c>
      <c r="G2290" s="8" t="s">
        <v>1559</v>
      </c>
      <c r="H2290" s="8" t="s">
        <v>557</v>
      </c>
      <c r="I2290" s="8" t="s">
        <v>6224</v>
      </c>
      <c r="J2290" s="8" t="s">
        <v>6225</v>
      </c>
      <c r="K2290" s="8" t="s">
        <v>1562</v>
      </c>
      <c r="L2290" s="8" t="s">
        <v>229</v>
      </c>
      <c r="M2290" s="8" t="s">
        <v>15154</v>
      </c>
      <c r="N2290" s="8" t="s">
        <v>128</v>
      </c>
      <c r="O2290" s="8" t="s">
        <v>15155</v>
      </c>
      <c r="P2290" s="8" t="s">
        <v>15156</v>
      </c>
      <c r="Q2290" s="8" t="s">
        <v>740</v>
      </c>
      <c r="R2290" s="8"/>
      <c r="S2290" s="8" t="s">
        <v>6229</v>
      </c>
      <c r="T2290" s="8" t="s">
        <v>1745</v>
      </c>
      <c r="U2290" s="8" t="s">
        <v>134</v>
      </c>
      <c r="V2290" s="8" t="s">
        <v>740</v>
      </c>
      <c r="W2290" s="8" t="s">
        <v>1745</v>
      </c>
      <c r="X2290" s="8">
        <v>16</v>
      </c>
      <c r="Y2290" s="8" t="s">
        <v>12359</v>
      </c>
      <c r="Z2290" s="8">
        <v>20</v>
      </c>
      <c r="AA2290" s="8">
        <v>0</v>
      </c>
      <c r="AB2290" s="9">
        <v>0</v>
      </c>
    </row>
    <row r="2291" spans="1:28" x14ac:dyDescent="0.2">
      <c r="A2291" s="10">
        <v>25258</v>
      </c>
      <c r="B2291" s="11" t="s">
        <v>15157</v>
      </c>
      <c r="C2291" s="11" t="s">
        <v>9202</v>
      </c>
      <c r="D2291" s="11" t="s">
        <v>5114</v>
      </c>
      <c r="E2291" s="11"/>
      <c r="F2291" s="11" t="s">
        <v>15158</v>
      </c>
      <c r="G2291" s="11" t="s">
        <v>2863</v>
      </c>
      <c r="H2291" s="11" t="s">
        <v>142</v>
      </c>
      <c r="I2291" s="11" t="s">
        <v>6705</v>
      </c>
      <c r="J2291" s="11" t="s">
        <v>14396</v>
      </c>
      <c r="K2291" s="11" t="s">
        <v>974</v>
      </c>
      <c r="L2291" s="11" t="s">
        <v>146</v>
      </c>
      <c r="M2291" s="11" t="s">
        <v>15159</v>
      </c>
      <c r="N2291" s="11" t="s">
        <v>128</v>
      </c>
      <c r="O2291" s="11" t="s">
        <v>15160</v>
      </c>
      <c r="P2291" s="11" t="s">
        <v>15161</v>
      </c>
      <c r="Q2291" s="11" t="s">
        <v>740</v>
      </c>
      <c r="R2291" s="11"/>
      <c r="S2291" s="11" t="s">
        <v>6709</v>
      </c>
      <c r="T2291" s="11" t="s">
        <v>1745</v>
      </c>
      <c r="U2291" s="11" t="s">
        <v>134</v>
      </c>
      <c r="V2291" s="11" t="s">
        <v>740</v>
      </c>
      <c r="W2291" s="11" t="s">
        <v>1745</v>
      </c>
      <c r="X2291" s="11">
        <v>16</v>
      </c>
      <c r="Y2291" s="11" t="s">
        <v>12359</v>
      </c>
      <c r="Z2291" s="11">
        <v>20</v>
      </c>
      <c r="AA2291" s="11">
        <v>0</v>
      </c>
      <c r="AB2291" s="12">
        <v>0</v>
      </c>
    </row>
    <row r="2292" spans="1:28" x14ac:dyDescent="0.2">
      <c r="A2292" s="7">
        <v>22159</v>
      </c>
      <c r="B2292" s="8" t="s">
        <v>15162</v>
      </c>
      <c r="C2292" s="8" t="s">
        <v>2935</v>
      </c>
      <c r="D2292" s="8" t="s">
        <v>2936</v>
      </c>
      <c r="E2292" s="8" t="s">
        <v>15163</v>
      </c>
      <c r="F2292" s="8" t="s">
        <v>353</v>
      </c>
      <c r="G2292" s="8" t="s">
        <v>714</v>
      </c>
      <c r="H2292" s="8" t="s">
        <v>142</v>
      </c>
      <c r="I2292" s="8" t="s">
        <v>2938</v>
      </c>
      <c r="J2292" s="8" t="s">
        <v>2939</v>
      </c>
      <c r="K2292" s="8" t="s">
        <v>717</v>
      </c>
      <c r="L2292" s="8" t="s">
        <v>464</v>
      </c>
      <c r="M2292" s="8" t="s">
        <v>15164</v>
      </c>
      <c r="N2292" s="8" t="s">
        <v>128</v>
      </c>
      <c r="O2292" s="8" t="s">
        <v>15165</v>
      </c>
      <c r="P2292" s="8"/>
      <c r="Q2292" s="8" t="s">
        <v>249</v>
      </c>
      <c r="R2292" s="8"/>
      <c r="S2292" s="8" t="s">
        <v>2943</v>
      </c>
      <c r="T2292" s="8" t="s">
        <v>1523</v>
      </c>
      <c r="U2292" s="8" t="s">
        <v>134</v>
      </c>
      <c r="V2292" s="8" t="s">
        <v>249</v>
      </c>
      <c r="W2292" s="8" t="s">
        <v>1523</v>
      </c>
      <c r="X2292" s="8">
        <v>16</v>
      </c>
      <c r="Y2292" s="8" t="s">
        <v>12359</v>
      </c>
      <c r="Z2292" s="8">
        <v>20</v>
      </c>
      <c r="AA2292" s="8">
        <v>0</v>
      </c>
      <c r="AB2292" s="9">
        <v>0</v>
      </c>
    </row>
    <row r="2293" spans="1:28" x14ac:dyDescent="0.2">
      <c r="A2293" s="10">
        <v>22549</v>
      </c>
      <c r="B2293" s="11" t="s">
        <v>15166</v>
      </c>
      <c r="C2293" s="11" t="s">
        <v>6241</v>
      </c>
      <c r="D2293" s="11" t="s">
        <v>2839</v>
      </c>
      <c r="E2293" s="11" t="s">
        <v>281</v>
      </c>
      <c r="F2293" s="11" t="s">
        <v>11780</v>
      </c>
      <c r="G2293" s="11" t="s">
        <v>1559</v>
      </c>
      <c r="H2293" s="11" t="s">
        <v>557</v>
      </c>
      <c r="I2293" s="11" t="s">
        <v>6224</v>
      </c>
      <c r="J2293" s="11" t="s">
        <v>6243</v>
      </c>
      <c r="K2293" s="11" t="s">
        <v>1562</v>
      </c>
      <c r="L2293" s="11" t="s">
        <v>229</v>
      </c>
      <c r="M2293" s="11" t="s">
        <v>15167</v>
      </c>
      <c r="N2293" s="11" t="s">
        <v>128</v>
      </c>
      <c r="O2293" s="11" t="s">
        <v>15168</v>
      </c>
      <c r="P2293" s="11"/>
      <c r="Q2293" s="11" t="s">
        <v>249</v>
      </c>
      <c r="R2293" s="11"/>
      <c r="S2293" s="11" t="s">
        <v>6229</v>
      </c>
      <c r="T2293" s="11" t="s">
        <v>1523</v>
      </c>
      <c r="U2293" s="11" t="s">
        <v>134</v>
      </c>
      <c r="V2293" s="11" t="s">
        <v>249</v>
      </c>
      <c r="W2293" s="11" t="s">
        <v>1523</v>
      </c>
      <c r="X2293" s="11">
        <v>16</v>
      </c>
      <c r="Y2293" s="11" t="s">
        <v>12359</v>
      </c>
      <c r="Z2293" s="11">
        <v>20</v>
      </c>
      <c r="AA2293" s="11">
        <v>0</v>
      </c>
      <c r="AB2293" s="12">
        <v>0</v>
      </c>
    </row>
    <row r="2294" spans="1:28" x14ac:dyDescent="0.2">
      <c r="A2294" s="7">
        <v>25417</v>
      </c>
      <c r="B2294" s="8" t="s">
        <v>15169</v>
      </c>
      <c r="C2294" s="8" t="s">
        <v>15170</v>
      </c>
      <c r="D2294" s="8" t="s">
        <v>553</v>
      </c>
      <c r="E2294" s="8" t="s">
        <v>1547</v>
      </c>
      <c r="F2294" s="8" t="s">
        <v>15171</v>
      </c>
      <c r="G2294" s="8" t="s">
        <v>3364</v>
      </c>
      <c r="H2294" s="8" t="s">
        <v>704</v>
      </c>
      <c r="I2294" s="8" t="s">
        <v>8017</v>
      </c>
      <c r="J2294" s="8" t="s">
        <v>15172</v>
      </c>
      <c r="K2294" s="8" t="s">
        <v>1051</v>
      </c>
      <c r="L2294" s="8" t="s">
        <v>126</v>
      </c>
      <c r="M2294" s="8" t="s">
        <v>15173</v>
      </c>
      <c r="N2294" s="8" t="s">
        <v>128</v>
      </c>
      <c r="O2294" s="8" t="s">
        <v>15174</v>
      </c>
      <c r="P2294" s="8"/>
      <c r="Q2294" s="8" t="s">
        <v>249</v>
      </c>
      <c r="R2294" s="8"/>
      <c r="S2294" s="8" t="s">
        <v>15175</v>
      </c>
      <c r="T2294" s="8" t="s">
        <v>1523</v>
      </c>
      <c r="U2294" s="8" t="s">
        <v>134</v>
      </c>
      <c r="V2294" s="8" t="s">
        <v>249</v>
      </c>
      <c r="W2294" s="8" t="s">
        <v>1523</v>
      </c>
      <c r="X2294" s="8">
        <v>16</v>
      </c>
      <c r="Y2294" s="8" t="s">
        <v>12359</v>
      </c>
      <c r="Z2294" s="8">
        <v>20</v>
      </c>
      <c r="AA2294" s="8">
        <v>0</v>
      </c>
      <c r="AB2294" s="9">
        <v>0</v>
      </c>
    </row>
    <row r="2295" spans="1:28" x14ac:dyDescent="0.2">
      <c r="A2295" s="10">
        <v>25633</v>
      </c>
      <c r="B2295" s="11" t="s">
        <v>15176</v>
      </c>
      <c r="C2295" s="11" t="s">
        <v>14820</v>
      </c>
      <c r="D2295" s="11" t="s">
        <v>427</v>
      </c>
      <c r="E2295" s="11"/>
      <c r="F2295" s="11" t="s">
        <v>15177</v>
      </c>
      <c r="G2295" s="11" t="s">
        <v>1813</v>
      </c>
      <c r="H2295" s="11" t="s">
        <v>142</v>
      </c>
      <c r="I2295" s="11" t="s">
        <v>14822</v>
      </c>
      <c r="J2295" s="11" t="s">
        <v>15178</v>
      </c>
      <c r="K2295" s="11" t="s">
        <v>974</v>
      </c>
      <c r="L2295" s="11" t="s">
        <v>146</v>
      </c>
      <c r="M2295" s="11" t="s">
        <v>15179</v>
      </c>
      <c r="N2295" s="11" t="s">
        <v>128</v>
      </c>
      <c r="O2295" s="11" t="s">
        <v>15180</v>
      </c>
      <c r="P2295" s="11"/>
      <c r="Q2295" s="11" t="s">
        <v>249</v>
      </c>
      <c r="R2295" s="11"/>
      <c r="S2295" s="11" t="s">
        <v>14826</v>
      </c>
      <c r="T2295" s="11" t="s">
        <v>1523</v>
      </c>
      <c r="U2295" s="11" t="s">
        <v>134</v>
      </c>
      <c r="V2295" s="11" t="s">
        <v>249</v>
      </c>
      <c r="W2295" s="11" t="s">
        <v>1523</v>
      </c>
      <c r="X2295" s="11">
        <v>16</v>
      </c>
      <c r="Y2295" s="11" t="s">
        <v>12359</v>
      </c>
      <c r="Z2295" s="11">
        <v>20</v>
      </c>
      <c r="AA2295" s="11">
        <v>0</v>
      </c>
      <c r="AB2295" s="12">
        <v>0</v>
      </c>
    </row>
    <row r="2296" spans="1:28" x14ac:dyDescent="0.2">
      <c r="A2296" s="7">
        <v>25459</v>
      </c>
      <c r="B2296" s="8" t="s">
        <v>15181</v>
      </c>
      <c r="C2296" s="8" t="s">
        <v>8721</v>
      </c>
      <c r="D2296" s="8" t="s">
        <v>8690</v>
      </c>
      <c r="E2296" s="8" t="s">
        <v>15182</v>
      </c>
      <c r="F2296" s="8" t="s">
        <v>8723</v>
      </c>
      <c r="G2296" s="8" t="s">
        <v>648</v>
      </c>
      <c r="H2296" s="8" t="s">
        <v>142</v>
      </c>
      <c r="I2296" s="8" t="s">
        <v>15183</v>
      </c>
      <c r="J2296" s="8" t="s">
        <v>8725</v>
      </c>
      <c r="K2296" s="8" t="s">
        <v>651</v>
      </c>
      <c r="L2296" s="8" t="s">
        <v>146</v>
      </c>
      <c r="M2296" s="8" t="s">
        <v>15184</v>
      </c>
      <c r="N2296" s="8" t="s">
        <v>128</v>
      </c>
      <c r="O2296" s="8" t="s">
        <v>15185</v>
      </c>
      <c r="P2296" s="8" t="s">
        <v>15186</v>
      </c>
      <c r="Q2296" s="8" t="s">
        <v>249</v>
      </c>
      <c r="R2296" s="8"/>
      <c r="S2296" s="8" t="s">
        <v>8729</v>
      </c>
      <c r="T2296" s="8" t="s">
        <v>250</v>
      </c>
      <c r="U2296" s="8" t="s">
        <v>134</v>
      </c>
      <c r="V2296" s="8" t="s">
        <v>249</v>
      </c>
      <c r="W2296" s="8" t="s">
        <v>250</v>
      </c>
      <c r="X2296" s="8">
        <v>16</v>
      </c>
      <c r="Y2296" s="8" t="s">
        <v>12359</v>
      </c>
      <c r="Z2296" s="8">
        <v>20</v>
      </c>
      <c r="AA2296" s="8">
        <v>0</v>
      </c>
      <c r="AB2296" s="9">
        <v>0</v>
      </c>
    </row>
    <row r="2297" spans="1:28" x14ac:dyDescent="0.2">
      <c r="A2297" s="10">
        <v>25502</v>
      </c>
      <c r="B2297" s="11" t="s">
        <v>15187</v>
      </c>
      <c r="C2297" s="11" t="s">
        <v>13716</v>
      </c>
      <c r="D2297" s="11" t="s">
        <v>138</v>
      </c>
      <c r="E2297" s="11" t="s">
        <v>281</v>
      </c>
      <c r="F2297" s="11" t="s">
        <v>13718</v>
      </c>
      <c r="G2297" s="11" t="s">
        <v>224</v>
      </c>
      <c r="H2297" s="11" t="s">
        <v>225</v>
      </c>
      <c r="I2297" s="11" t="s">
        <v>4240</v>
      </c>
      <c r="J2297" s="11" t="s">
        <v>15188</v>
      </c>
      <c r="K2297" s="11" t="s">
        <v>228</v>
      </c>
      <c r="L2297" s="11" t="s">
        <v>229</v>
      </c>
      <c r="M2297" s="11" t="s">
        <v>15189</v>
      </c>
      <c r="N2297" s="11" t="s">
        <v>128</v>
      </c>
      <c r="O2297" s="11" t="s">
        <v>15190</v>
      </c>
      <c r="P2297" s="11" t="s">
        <v>15191</v>
      </c>
      <c r="Q2297" s="11" t="s">
        <v>249</v>
      </c>
      <c r="R2297" s="11"/>
      <c r="S2297" s="11" t="s">
        <v>4244</v>
      </c>
      <c r="T2297" s="11" t="s">
        <v>250</v>
      </c>
      <c r="U2297" s="11" t="s">
        <v>134</v>
      </c>
      <c r="V2297" s="11" t="s">
        <v>249</v>
      </c>
      <c r="W2297" s="11" t="s">
        <v>250</v>
      </c>
      <c r="X2297" s="11">
        <v>16</v>
      </c>
      <c r="Y2297" s="11" t="s">
        <v>12359</v>
      </c>
      <c r="Z2297" s="11">
        <v>20</v>
      </c>
      <c r="AA2297" s="11">
        <v>0</v>
      </c>
      <c r="AB2297" s="12">
        <v>0</v>
      </c>
    </row>
    <row r="2298" spans="1:28" x14ac:dyDescent="0.2">
      <c r="A2298" s="7">
        <v>116248</v>
      </c>
      <c r="B2298" s="8" t="s">
        <v>15192</v>
      </c>
      <c r="C2298" s="8" t="s">
        <v>15193</v>
      </c>
      <c r="D2298" s="8" t="s">
        <v>9017</v>
      </c>
      <c r="E2298" s="8"/>
      <c r="F2298" s="8" t="s">
        <v>15194</v>
      </c>
      <c r="G2298" s="8" t="s">
        <v>8876</v>
      </c>
      <c r="H2298" s="8" t="s">
        <v>329</v>
      </c>
      <c r="I2298" s="8" t="s">
        <v>15195</v>
      </c>
      <c r="J2298" s="8" t="s">
        <v>15196</v>
      </c>
      <c r="K2298" s="8" t="s">
        <v>415</v>
      </c>
      <c r="L2298" s="8" t="s">
        <v>333</v>
      </c>
      <c r="M2298" s="8" t="s">
        <v>15197</v>
      </c>
      <c r="N2298" s="8" t="s">
        <v>128</v>
      </c>
      <c r="O2298" s="8" t="s">
        <v>15198</v>
      </c>
      <c r="P2298" s="8" t="s">
        <v>15199</v>
      </c>
      <c r="Q2298" s="8" t="s">
        <v>249</v>
      </c>
      <c r="R2298" s="8"/>
      <c r="S2298" s="8" t="s">
        <v>71</v>
      </c>
      <c r="T2298" s="8" t="s">
        <v>250</v>
      </c>
      <c r="U2298" s="8" t="s">
        <v>134</v>
      </c>
      <c r="V2298" s="8" t="s">
        <v>249</v>
      </c>
      <c r="W2298" s="8" t="s">
        <v>250</v>
      </c>
      <c r="X2298" s="8">
        <v>16</v>
      </c>
      <c r="Y2298" s="8" t="s">
        <v>12359</v>
      </c>
      <c r="Z2298" s="8">
        <v>20</v>
      </c>
      <c r="AA2298" s="8">
        <v>0</v>
      </c>
      <c r="AB2298" s="9">
        <v>0</v>
      </c>
    </row>
    <row r="2299" spans="1:28" x14ac:dyDescent="0.2">
      <c r="A2299" s="10">
        <v>26138</v>
      </c>
      <c r="B2299" s="11" t="s">
        <v>15200</v>
      </c>
      <c r="C2299" s="11" t="s">
        <v>9930</v>
      </c>
      <c r="D2299" s="11" t="s">
        <v>4418</v>
      </c>
      <c r="E2299" s="11"/>
      <c r="F2299" s="11"/>
      <c r="G2299" s="11" t="s">
        <v>328</v>
      </c>
      <c r="H2299" s="11" t="s">
        <v>329</v>
      </c>
      <c r="I2299" s="11" t="s">
        <v>9933</v>
      </c>
      <c r="J2299" s="11" t="s">
        <v>15201</v>
      </c>
      <c r="K2299" s="11" t="s">
        <v>332</v>
      </c>
      <c r="L2299" s="11" t="s">
        <v>333</v>
      </c>
      <c r="M2299" s="11" t="s">
        <v>15202</v>
      </c>
      <c r="N2299" s="11" t="s">
        <v>128</v>
      </c>
      <c r="O2299" s="11"/>
      <c r="P2299" s="11" t="s">
        <v>15203</v>
      </c>
      <c r="Q2299" s="11" t="s">
        <v>150</v>
      </c>
      <c r="R2299" s="11"/>
      <c r="S2299" s="11" t="s">
        <v>9938</v>
      </c>
      <c r="T2299" s="11" t="s">
        <v>642</v>
      </c>
      <c r="U2299" s="11" t="s">
        <v>150</v>
      </c>
      <c r="V2299" s="11" t="s">
        <v>642</v>
      </c>
      <c r="W2299" s="11" t="s">
        <v>642</v>
      </c>
      <c r="X2299" s="11">
        <v>15</v>
      </c>
      <c r="Y2299" s="11" t="s">
        <v>12359</v>
      </c>
      <c r="Z2299" s="11">
        <v>20</v>
      </c>
      <c r="AA2299" s="11">
        <v>0</v>
      </c>
      <c r="AB2299" s="12">
        <v>0</v>
      </c>
    </row>
    <row r="2300" spans="1:28" x14ac:dyDescent="0.2">
      <c r="A2300" s="7">
        <v>21708</v>
      </c>
      <c r="B2300" s="8" t="s">
        <v>15204</v>
      </c>
      <c r="C2300" s="8" t="s">
        <v>15205</v>
      </c>
      <c r="D2300" s="8" t="s">
        <v>8232</v>
      </c>
      <c r="E2300" s="8" t="s">
        <v>15206</v>
      </c>
      <c r="F2300" s="8" t="s">
        <v>4796</v>
      </c>
      <c r="G2300" s="8" t="s">
        <v>141</v>
      </c>
      <c r="H2300" s="8" t="s">
        <v>142</v>
      </c>
      <c r="I2300" s="8" t="s">
        <v>15207</v>
      </c>
      <c r="J2300" s="8" t="s">
        <v>15208</v>
      </c>
      <c r="K2300" s="8" t="s">
        <v>145</v>
      </c>
      <c r="L2300" s="8" t="s">
        <v>146</v>
      </c>
      <c r="M2300" s="8" t="s">
        <v>15209</v>
      </c>
      <c r="N2300" s="8" t="s">
        <v>128</v>
      </c>
      <c r="O2300" s="8" t="s">
        <v>15210</v>
      </c>
      <c r="P2300" s="8" t="s">
        <v>4434</v>
      </c>
      <c r="Q2300" s="8" t="s">
        <v>150</v>
      </c>
      <c r="R2300" s="8"/>
      <c r="S2300" s="8" t="s">
        <v>71</v>
      </c>
      <c r="T2300" s="8" t="s">
        <v>67</v>
      </c>
      <c r="U2300" s="8" t="s">
        <v>150</v>
      </c>
      <c r="V2300" s="8" t="s">
        <v>152</v>
      </c>
      <c r="W2300" s="8" t="s">
        <v>67</v>
      </c>
      <c r="X2300" s="8">
        <v>15</v>
      </c>
      <c r="Y2300" s="8" t="s">
        <v>12359</v>
      </c>
      <c r="Z2300" s="8">
        <v>20</v>
      </c>
      <c r="AA2300" s="8">
        <v>0</v>
      </c>
      <c r="AB2300" s="9">
        <v>0</v>
      </c>
    </row>
    <row r="2301" spans="1:28" x14ac:dyDescent="0.2">
      <c r="A2301" s="10">
        <v>105838</v>
      </c>
      <c r="B2301" s="11" t="s">
        <v>15211</v>
      </c>
      <c r="C2301" s="11" t="s">
        <v>6528</v>
      </c>
      <c r="D2301" s="11" t="s">
        <v>15212</v>
      </c>
      <c r="E2301" s="11" t="s">
        <v>15213</v>
      </c>
      <c r="F2301" s="11" t="s">
        <v>353</v>
      </c>
      <c r="G2301" s="11" t="s">
        <v>15214</v>
      </c>
      <c r="H2301" s="11" t="s">
        <v>329</v>
      </c>
      <c r="I2301" s="11" t="s">
        <v>15215</v>
      </c>
      <c r="J2301" s="11" t="s">
        <v>15216</v>
      </c>
      <c r="K2301" s="11" t="s">
        <v>332</v>
      </c>
      <c r="L2301" s="11" t="s">
        <v>333</v>
      </c>
      <c r="M2301" s="11" t="s">
        <v>15217</v>
      </c>
      <c r="N2301" s="11" t="s">
        <v>128</v>
      </c>
      <c r="O2301" s="11" t="s">
        <v>15218</v>
      </c>
      <c r="P2301" s="11"/>
      <c r="Q2301" s="11" t="s">
        <v>131</v>
      </c>
      <c r="R2301" s="11"/>
      <c r="S2301" s="11" t="s">
        <v>15219</v>
      </c>
      <c r="T2301" s="11" t="s">
        <v>983</v>
      </c>
      <c r="U2301" s="11" t="s">
        <v>134</v>
      </c>
      <c r="V2301" s="11" t="s">
        <v>131</v>
      </c>
      <c r="W2301" s="11" t="s">
        <v>983</v>
      </c>
      <c r="X2301" s="11">
        <v>15</v>
      </c>
      <c r="Y2301" s="11" t="s">
        <v>12359</v>
      </c>
      <c r="Z2301" s="11">
        <v>20</v>
      </c>
      <c r="AA2301" s="11">
        <v>0</v>
      </c>
      <c r="AB2301" s="12">
        <v>0</v>
      </c>
    </row>
    <row r="2302" spans="1:28" x14ac:dyDescent="0.2">
      <c r="A2302" s="7">
        <v>115270</v>
      </c>
      <c r="B2302" s="8" t="s">
        <v>15220</v>
      </c>
      <c r="C2302" s="8" t="s">
        <v>5958</v>
      </c>
      <c r="D2302" s="8" t="s">
        <v>5959</v>
      </c>
      <c r="E2302" s="8"/>
      <c r="F2302" s="8" t="s">
        <v>15221</v>
      </c>
      <c r="G2302" s="8" t="s">
        <v>615</v>
      </c>
      <c r="H2302" s="8" t="s">
        <v>616</v>
      </c>
      <c r="I2302" s="8" t="s">
        <v>15222</v>
      </c>
      <c r="J2302" s="8" t="s">
        <v>5962</v>
      </c>
      <c r="K2302" s="8" t="s">
        <v>619</v>
      </c>
      <c r="L2302" s="8" t="s">
        <v>163</v>
      </c>
      <c r="M2302" s="8" t="s">
        <v>15223</v>
      </c>
      <c r="N2302" s="8" t="s">
        <v>128</v>
      </c>
      <c r="O2302" s="8" t="s">
        <v>15224</v>
      </c>
      <c r="P2302" s="8"/>
      <c r="Q2302" s="8" t="s">
        <v>131</v>
      </c>
      <c r="R2302" s="8"/>
      <c r="S2302" s="8" t="s">
        <v>5966</v>
      </c>
      <c r="T2302" s="8" t="s">
        <v>983</v>
      </c>
      <c r="U2302" s="8" t="s">
        <v>134</v>
      </c>
      <c r="V2302" s="8" t="s">
        <v>131</v>
      </c>
      <c r="W2302" s="8" t="s">
        <v>983</v>
      </c>
      <c r="X2302" s="8">
        <v>15</v>
      </c>
      <c r="Y2302" s="8" t="s">
        <v>12359</v>
      </c>
      <c r="Z2302" s="8">
        <v>20</v>
      </c>
      <c r="AA2302" s="8">
        <v>0</v>
      </c>
      <c r="AB2302" s="9">
        <v>0</v>
      </c>
    </row>
    <row r="2303" spans="1:28" x14ac:dyDescent="0.2">
      <c r="A2303" s="10">
        <v>120108</v>
      </c>
      <c r="B2303" s="11" t="s">
        <v>15225</v>
      </c>
      <c r="C2303" s="11" t="s">
        <v>8575</v>
      </c>
      <c r="D2303" s="11" t="s">
        <v>14409</v>
      </c>
      <c r="E2303" s="11"/>
      <c r="F2303" s="11" t="s">
        <v>5273</v>
      </c>
      <c r="G2303" s="11" t="s">
        <v>328</v>
      </c>
      <c r="H2303" s="11" t="s">
        <v>329</v>
      </c>
      <c r="I2303" s="11" t="s">
        <v>8576</v>
      </c>
      <c r="J2303" s="11" t="s">
        <v>15226</v>
      </c>
      <c r="K2303" s="11" t="s">
        <v>431</v>
      </c>
      <c r="L2303" s="11" t="s">
        <v>333</v>
      </c>
      <c r="M2303" s="11" t="s">
        <v>15227</v>
      </c>
      <c r="N2303" s="11" t="s">
        <v>128</v>
      </c>
      <c r="O2303" s="11" t="s">
        <v>15228</v>
      </c>
      <c r="P2303" s="11"/>
      <c r="Q2303" s="11" t="s">
        <v>131</v>
      </c>
      <c r="R2303" s="11"/>
      <c r="S2303" s="11" t="s">
        <v>71</v>
      </c>
      <c r="T2303" s="11" t="s">
        <v>983</v>
      </c>
      <c r="U2303" s="11" t="s">
        <v>134</v>
      </c>
      <c r="V2303" s="11" t="s">
        <v>131</v>
      </c>
      <c r="W2303" s="11" t="s">
        <v>983</v>
      </c>
      <c r="X2303" s="11">
        <v>15</v>
      </c>
      <c r="Y2303" s="11" t="s">
        <v>12359</v>
      </c>
      <c r="Z2303" s="11">
        <v>20</v>
      </c>
      <c r="AA2303" s="11">
        <v>0</v>
      </c>
      <c r="AB2303" s="12">
        <v>0</v>
      </c>
    </row>
    <row r="2304" spans="1:28" x14ac:dyDescent="0.2">
      <c r="A2304" s="7">
        <v>21920</v>
      </c>
      <c r="B2304" s="8" t="s">
        <v>15229</v>
      </c>
      <c r="C2304" s="8" t="s">
        <v>10890</v>
      </c>
      <c r="D2304" s="8" t="s">
        <v>6937</v>
      </c>
      <c r="E2304" s="8"/>
      <c r="F2304" s="8" t="s">
        <v>353</v>
      </c>
      <c r="G2304" s="8" t="s">
        <v>328</v>
      </c>
      <c r="H2304" s="8" t="s">
        <v>329</v>
      </c>
      <c r="I2304" s="8" t="s">
        <v>15230</v>
      </c>
      <c r="J2304" s="8" t="s">
        <v>15231</v>
      </c>
      <c r="K2304" s="8" t="s">
        <v>415</v>
      </c>
      <c r="L2304" s="8" t="s">
        <v>333</v>
      </c>
      <c r="M2304" s="8" t="s">
        <v>15232</v>
      </c>
      <c r="N2304" s="8" t="s">
        <v>128</v>
      </c>
      <c r="O2304" s="8" t="s">
        <v>15233</v>
      </c>
      <c r="P2304" s="8" t="s">
        <v>15234</v>
      </c>
      <c r="Q2304" s="8" t="s">
        <v>131</v>
      </c>
      <c r="R2304" s="8"/>
      <c r="S2304" s="8" t="s">
        <v>71</v>
      </c>
      <c r="T2304" s="8" t="s">
        <v>133</v>
      </c>
      <c r="U2304" s="8" t="s">
        <v>134</v>
      </c>
      <c r="V2304" s="8" t="s">
        <v>131</v>
      </c>
      <c r="W2304" s="8" t="s">
        <v>133</v>
      </c>
      <c r="X2304" s="8">
        <v>15</v>
      </c>
      <c r="Y2304" s="8" t="s">
        <v>12359</v>
      </c>
      <c r="Z2304" s="8">
        <v>20</v>
      </c>
      <c r="AA2304" s="8">
        <v>0</v>
      </c>
      <c r="AB2304" s="9">
        <v>0</v>
      </c>
    </row>
    <row r="2305" spans="1:28" x14ac:dyDescent="0.2">
      <c r="A2305" s="10">
        <v>22021</v>
      </c>
      <c r="B2305" s="11" t="s">
        <v>15235</v>
      </c>
      <c r="C2305" s="11" t="s">
        <v>15099</v>
      </c>
      <c r="D2305" s="11" t="s">
        <v>3377</v>
      </c>
      <c r="E2305" s="11"/>
      <c r="F2305" s="11" t="s">
        <v>15100</v>
      </c>
      <c r="G2305" s="11" t="s">
        <v>141</v>
      </c>
      <c r="H2305" s="11" t="s">
        <v>142</v>
      </c>
      <c r="I2305" s="11" t="s">
        <v>12974</v>
      </c>
      <c r="J2305" s="11" t="s">
        <v>15101</v>
      </c>
      <c r="K2305" s="11" t="s">
        <v>991</v>
      </c>
      <c r="L2305" s="11" t="s">
        <v>146</v>
      </c>
      <c r="M2305" s="11" t="s">
        <v>15236</v>
      </c>
      <c r="N2305" s="11" t="s">
        <v>128</v>
      </c>
      <c r="O2305" s="11" t="s">
        <v>15237</v>
      </c>
      <c r="P2305" s="11" t="s">
        <v>232</v>
      </c>
      <c r="Q2305" s="11" t="s">
        <v>131</v>
      </c>
      <c r="R2305" s="11"/>
      <c r="S2305" s="11" t="s">
        <v>15105</v>
      </c>
      <c r="T2305" s="11" t="s">
        <v>133</v>
      </c>
      <c r="U2305" s="11" t="s">
        <v>134</v>
      </c>
      <c r="V2305" s="11" t="s">
        <v>131</v>
      </c>
      <c r="W2305" s="11" t="s">
        <v>133</v>
      </c>
      <c r="X2305" s="11">
        <v>15</v>
      </c>
      <c r="Y2305" s="11" t="s">
        <v>12359</v>
      </c>
      <c r="Z2305" s="11">
        <v>20</v>
      </c>
      <c r="AA2305" s="11">
        <v>0</v>
      </c>
      <c r="AB2305" s="12">
        <v>0</v>
      </c>
    </row>
    <row r="2306" spans="1:28" x14ac:dyDescent="0.2">
      <c r="A2306" s="7">
        <v>21960</v>
      </c>
      <c r="B2306" s="8" t="s">
        <v>15238</v>
      </c>
      <c r="C2306" s="8" t="s">
        <v>15239</v>
      </c>
      <c r="D2306" s="8" t="s">
        <v>15240</v>
      </c>
      <c r="E2306" s="8"/>
      <c r="F2306" s="8" t="s">
        <v>13718</v>
      </c>
      <c r="G2306" s="8" t="s">
        <v>224</v>
      </c>
      <c r="H2306" s="8" t="s">
        <v>225</v>
      </c>
      <c r="I2306" s="8" t="s">
        <v>4240</v>
      </c>
      <c r="J2306" s="8" t="s">
        <v>13719</v>
      </c>
      <c r="K2306" s="8" t="s">
        <v>228</v>
      </c>
      <c r="L2306" s="8" t="s">
        <v>229</v>
      </c>
      <c r="M2306" s="8" t="s">
        <v>15241</v>
      </c>
      <c r="N2306" s="8" t="s">
        <v>128</v>
      </c>
      <c r="O2306" s="8" t="s">
        <v>15242</v>
      </c>
      <c r="P2306" s="8" t="s">
        <v>15243</v>
      </c>
      <c r="Q2306" s="8" t="s">
        <v>131</v>
      </c>
      <c r="R2306" s="8"/>
      <c r="S2306" s="8" t="s">
        <v>4244</v>
      </c>
      <c r="T2306" s="8" t="s">
        <v>133</v>
      </c>
      <c r="U2306" s="8" t="s">
        <v>134</v>
      </c>
      <c r="V2306" s="8" t="s">
        <v>131</v>
      </c>
      <c r="W2306" s="8" t="s">
        <v>133</v>
      </c>
      <c r="X2306" s="8">
        <v>15</v>
      </c>
      <c r="Y2306" s="8" t="s">
        <v>12359</v>
      </c>
      <c r="Z2306" s="8">
        <v>20</v>
      </c>
      <c r="AA2306" s="8">
        <v>0</v>
      </c>
      <c r="AB2306" s="9">
        <v>0</v>
      </c>
    </row>
    <row r="2307" spans="1:28" x14ac:dyDescent="0.2">
      <c r="A2307" s="10">
        <v>26897</v>
      </c>
      <c r="B2307" s="11" t="s">
        <v>15244</v>
      </c>
      <c r="C2307" s="11" t="s">
        <v>15245</v>
      </c>
      <c r="D2307" s="11" t="s">
        <v>2862</v>
      </c>
      <c r="E2307" s="11"/>
      <c r="F2307" s="11" t="s">
        <v>353</v>
      </c>
      <c r="G2307" s="11" t="s">
        <v>2192</v>
      </c>
      <c r="H2307" s="11" t="s">
        <v>704</v>
      </c>
      <c r="I2307" s="11" t="s">
        <v>15246</v>
      </c>
      <c r="J2307" s="11" t="s">
        <v>15247</v>
      </c>
      <c r="K2307" s="11" t="s">
        <v>707</v>
      </c>
      <c r="L2307" s="11" t="s">
        <v>126</v>
      </c>
      <c r="M2307" s="11" t="s">
        <v>15248</v>
      </c>
      <c r="N2307" s="11" t="s">
        <v>128</v>
      </c>
      <c r="O2307" s="11" t="s">
        <v>15249</v>
      </c>
      <c r="P2307" s="11" t="s">
        <v>3240</v>
      </c>
      <c r="Q2307" s="11" t="s">
        <v>150</v>
      </c>
      <c r="R2307" s="11"/>
      <c r="S2307" s="11" t="s">
        <v>71</v>
      </c>
      <c r="T2307" s="11" t="s">
        <v>6736</v>
      </c>
      <c r="U2307" s="11" t="s">
        <v>150</v>
      </c>
      <c r="V2307" s="11" t="s">
        <v>6736</v>
      </c>
      <c r="W2307" s="11" t="s">
        <v>6736</v>
      </c>
      <c r="X2307" s="11">
        <v>15</v>
      </c>
      <c r="Y2307" s="11" t="s">
        <v>12359</v>
      </c>
      <c r="Z2307" s="11">
        <v>20</v>
      </c>
      <c r="AA2307" s="11">
        <v>0</v>
      </c>
      <c r="AB2307" s="12">
        <v>0</v>
      </c>
    </row>
    <row r="2308" spans="1:28" x14ac:dyDescent="0.2">
      <c r="A2308" s="7">
        <v>22625</v>
      </c>
      <c r="B2308" s="8" t="s">
        <v>15250</v>
      </c>
      <c r="C2308" s="8" t="s">
        <v>15251</v>
      </c>
      <c r="D2308" s="8" t="s">
        <v>1428</v>
      </c>
      <c r="E2308" s="8" t="s">
        <v>15252</v>
      </c>
      <c r="F2308" s="8" t="s">
        <v>353</v>
      </c>
      <c r="G2308" s="8" t="s">
        <v>9598</v>
      </c>
      <c r="H2308" s="8" t="s">
        <v>704</v>
      </c>
      <c r="I2308" s="8" t="s">
        <v>15253</v>
      </c>
      <c r="J2308" s="8" t="s">
        <v>15254</v>
      </c>
      <c r="K2308" s="8" t="s">
        <v>707</v>
      </c>
      <c r="L2308" s="8" t="s">
        <v>126</v>
      </c>
      <c r="M2308" s="8" t="s">
        <v>15255</v>
      </c>
      <c r="N2308" s="8" t="s">
        <v>128</v>
      </c>
      <c r="O2308" s="8" t="s">
        <v>15256</v>
      </c>
      <c r="P2308" s="8" t="s">
        <v>15257</v>
      </c>
      <c r="Q2308" s="8" t="s">
        <v>150</v>
      </c>
      <c r="R2308" s="8"/>
      <c r="S2308" s="8" t="s">
        <v>71</v>
      </c>
      <c r="T2308" s="8" t="s">
        <v>2697</v>
      </c>
      <c r="U2308" s="8" t="s">
        <v>150</v>
      </c>
      <c r="V2308" s="8" t="s">
        <v>2697</v>
      </c>
      <c r="W2308" s="8" t="s">
        <v>2697</v>
      </c>
      <c r="X2308" s="8">
        <v>15</v>
      </c>
      <c r="Y2308" s="8" t="s">
        <v>12359</v>
      </c>
      <c r="Z2308" s="8">
        <v>20</v>
      </c>
      <c r="AA2308" s="8">
        <v>0</v>
      </c>
      <c r="AB2308" s="9">
        <v>0</v>
      </c>
    </row>
    <row r="2309" spans="1:28" x14ac:dyDescent="0.2">
      <c r="A2309" s="10">
        <v>93177</v>
      </c>
      <c r="B2309" s="11" t="s">
        <v>15258</v>
      </c>
      <c r="C2309" s="11" t="s">
        <v>6686</v>
      </c>
      <c r="D2309" s="11" t="s">
        <v>15259</v>
      </c>
      <c r="E2309" s="11"/>
      <c r="F2309" s="11" t="s">
        <v>6688</v>
      </c>
      <c r="G2309" s="11" t="s">
        <v>6689</v>
      </c>
      <c r="H2309" s="11" t="s">
        <v>159</v>
      </c>
      <c r="I2309" s="11" t="s">
        <v>6502</v>
      </c>
      <c r="J2309" s="11" t="s">
        <v>15260</v>
      </c>
      <c r="K2309" s="11" t="s">
        <v>162</v>
      </c>
      <c r="L2309" s="11" t="s">
        <v>163</v>
      </c>
      <c r="M2309" s="11" t="s">
        <v>15261</v>
      </c>
      <c r="N2309" s="11" t="s">
        <v>128</v>
      </c>
      <c r="O2309" s="11" t="s">
        <v>15262</v>
      </c>
      <c r="P2309" s="11"/>
      <c r="Q2309" s="11" t="s">
        <v>150</v>
      </c>
      <c r="R2309" s="11"/>
      <c r="S2309" s="11" t="s">
        <v>71</v>
      </c>
      <c r="T2309" s="11" t="s">
        <v>5642</v>
      </c>
      <c r="U2309" s="11" t="s">
        <v>150</v>
      </c>
      <c r="V2309" s="11" t="s">
        <v>5642</v>
      </c>
      <c r="W2309" s="11" t="s">
        <v>5642</v>
      </c>
      <c r="X2309" s="11">
        <v>15</v>
      </c>
      <c r="Y2309" s="11" t="s">
        <v>12359</v>
      </c>
      <c r="Z2309" s="11">
        <v>20</v>
      </c>
      <c r="AA2309" s="11">
        <v>0</v>
      </c>
      <c r="AB2309" s="12">
        <v>0</v>
      </c>
    </row>
    <row r="2310" spans="1:28" x14ac:dyDescent="0.2">
      <c r="A2310" s="7">
        <v>28222</v>
      </c>
      <c r="B2310" s="8" t="s">
        <v>15263</v>
      </c>
      <c r="C2310" s="8" t="s">
        <v>15264</v>
      </c>
      <c r="D2310" s="8" t="s">
        <v>799</v>
      </c>
      <c r="E2310" s="8"/>
      <c r="F2310" s="8" t="s">
        <v>237</v>
      </c>
      <c r="G2310" s="8" t="s">
        <v>158</v>
      </c>
      <c r="H2310" s="8" t="s">
        <v>159</v>
      </c>
      <c r="I2310" s="8" t="s">
        <v>801</v>
      </c>
      <c r="J2310" s="8" t="s">
        <v>15265</v>
      </c>
      <c r="K2310" s="8" t="s">
        <v>274</v>
      </c>
      <c r="L2310" s="8" t="s">
        <v>163</v>
      </c>
      <c r="M2310" s="8" t="s">
        <v>15266</v>
      </c>
      <c r="N2310" s="8" t="s">
        <v>128</v>
      </c>
      <c r="O2310" s="8" t="s">
        <v>15267</v>
      </c>
      <c r="P2310" s="8"/>
      <c r="Q2310" s="8" t="s">
        <v>150</v>
      </c>
      <c r="R2310" s="8"/>
      <c r="S2310" s="8" t="s">
        <v>806</v>
      </c>
      <c r="T2310" s="8" t="s">
        <v>5470</v>
      </c>
      <c r="U2310" s="8" t="s">
        <v>150</v>
      </c>
      <c r="V2310" s="8" t="s">
        <v>5470</v>
      </c>
      <c r="W2310" s="8" t="s">
        <v>5470</v>
      </c>
      <c r="X2310" s="8">
        <v>15</v>
      </c>
      <c r="Y2310" s="8" t="s">
        <v>12359</v>
      </c>
      <c r="Z2310" s="8">
        <v>20</v>
      </c>
      <c r="AA2310" s="8">
        <v>0</v>
      </c>
      <c r="AB2310" s="9">
        <v>0</v>
      </c>
    </row>
    <row r="2311" spans="1:28" x14ac:dyDescent="0.2">
      <c r="A2311" s="10">
        <v>23317</v>
      </c>
      <c r="B2311" s="11" t="s">
        <v>15268</v>
      </c>
      <c r="C2311" s="11" t="s">
        <v>8081</v>
      </c>
      <c r="D2311" s="11" t="s">
        <v>4135</v>
      </c>
      <c r="E2311" s="11" t="s">
        <v>15269</v>
      </c>
      <c r="F2311" s="11" t="s">
        <v>353</v>
      </c>
      <c r="G2311" s="11" t="s">
        <v>4270</v>
      </c>
      <c r="H2311" s="11" t="s">
        <v>4271</v>
      </c>
      <c r="I2311" s="11" t="s">
        <v>8082</v>
      </c>
      <c r="J2311" s="11" t="s">
        <v>15270</v>
      </c>
      <c r="K2311" s="11" t="s">
        <v>619</v>
      </c>
      <c r="L2311" s="11" t="s">
        <v>163</v>
      </c>
      <c r="M2311" s="11" t="s">
        <v>15271</v>
      </c>
      <c r="N2311" s="11" t="s">
        <v>128</v>
      </c>
      <c r="O2311" s="11" t="s">
        <v>15272</v>
      </c>
      <c r="P2311" s="11" t="s">
        <v>15273</v>
      </c>
      <c r="Q2311" s="11" t="s">
        <v>150</v>
      </c>
      <c r="R2311" s="11"/>
      <c r="S2311" s="11" t="s">
        <v>71</v>
      </c>
      <c r="T2311" s="11" t="s">
        <v>70</v>
      </c>
      <c r="U2311" s="11" t="s">
        <v>150</v>
      </c>
      <c r="V2311" s="11" t="s">
        <v>70</v>
      </c>
      <c r="W2311" s="11" t="s">
        <v>70</v>
      </c>
      <c r="X2311" s="11">
        <v>15</v>
      </c>
      <c r="Y2311" s="11" t="s">
        <v>12359</v>
      </c>
      <c r="Z2311" s="11">
        <v>20</v>
      </c>
      <c r="AA2311" s="11">
        <v>0</v>
      </c>
      <c r="AB2311" s="12">
        <v>0</v>
      </c>
    </row>
    <row r="2312" spans="1:28" x14ac:dyDescent="0.2">
      <c r="A2312" s="7">
        <v>183896</v>
      </c>
      <c r="B2312" s="8" t="s">
        <v>15274</v>
      </c>
      <c r="C2312" s="8" t="s">
        <v>15275</v>
      </c>
      <c r="D2312" s="8" t="s">
        <v>15276</v>
      </c>
      <c r="E2312" s="8" t="s">
        <v>15277</v>
      </c>
      <c r="F2312" s="8" t="s">
        <v>15278</v>
      </c>
      <c r="G2312" s="8" t="s">
        <v>615</v>
      </c>
      <c r="H2312" s="8" t="s">
        <v>616</v>
      </c>
      <c r="I2312" s="8" t="s">
        <v>15279</v>
      </c>
      <c r="J2312" s="8" t="s">
        <v>15280</v>
      </c>
      <c r="K2312" s="8" t="s">
        <v>619</v>
      </c>
      <c r="L2312" s="8" t="s">
        <v>163</v>
      </c>
      <c r="M2312" s="8" t="s">
        <v>15281</v>
      </c>
      <c r="N2312" s="8" t="s">
        <v>128</v>
      </c>
      <c r="O2312" s="8" t="s">
        <v>15282</v>
      </c>
      <c r="P2312" s="8" t="s">
        <v>2467</v>
      </c>
      <c r="Q2312" s="8" t="s">
        <v>150</v>
      </c>
      <c r="R2312" s="8"/>
      <c r="S2312" s="8" t="s">
        <v>71</v>
      </c>
      <c r="T2312" s="8" t="s">
        <v>70</v>
      </c>
      <c r="U2312" s="8" t="s">
        <v>150</v>
      </c>
      <c r="V2312" s="8" t="s">
        <v>70</v>
      </c>
      <c r="W2312" s="8" t="s">
        <v>70</v>
      </c>
      <c r="X2312" s="8">
        <v>15</v>
      </c>
      <c r="Y2312" s="8" t="s">
        <v>12359</v>
      </c>
      <c r="Z2312" s="8">
        <v>20</v>
      </c>
      <c r="AA2312" s="8">
        <v>0</v>
      </c>
      <c r="AB2312" s="9">
        <v>0</v>
      </c>
    </row>
    <row r="2313" spans="1:28" x14ac:dyDescent="0.2">
      <c r="A2313" s="10">
        <v>23345</v>
      </c>
      <c r="B2313" s="11" t="s">
        <v>15283</v>
      </c>
      <c r="C2313" s="11" t="s">
        <v>9888</v>
      </c>
      <c r="D2313" s="11" t="s">
        <v>1064</v>
      </c>
      <c r="E2313" s="11" t="s">
        <v>281</v>
      </c>
      <c r="F2313" s="11" t="s">
        <v>353</v>
      </c>
      <c r="G2313" s="11" t="s">
        <v>3454</v>
      </c>
      <c r="H2313" s="11" t="s">
        <v>142</v>
      </c>
      <c r="I2313" s="11" t="s">
        <v>9891</v>
      </c>
      <c r="J2313" s="11" t="s">
        <v>15043</v>
      </c>
      <c r="K2313" s="11" t="s">
        <v>1673</v>
      </c>
      <c r="L2313" s="11" t="s">
        <v>464</v>
      </c>
      <c r="M2313" s="11" t="s">
        <v>15284</v>
      </c>
      <c r="N2313" s="11" t="s">
        <v>128</v>
      </c>
      <c r="O2313" s="11" t="s">
        <v>15285</v>
      </c>
      <c r="P2313" s="11" t="s">
        <v>15286</v>
      </c>
      <c r="Q2313" s="11" t="s">
        <v>150</v>
      </c>
      <c r="R2313" s="11"/>
      <c r="S2313" s="11" t="s">
        <v>9896</v>
      </c>
      <c r="T2313" s="11" t="s">
        <v>70</v>
      </c>
      <c r="U2313" s="11" t="s">
        <v>150</v>
      </c>
      <c r="V2313" s="11" t="s">
        <v>70</v>
      </c>
      <c r="W2313" s="11" t="s">
        <v>70</v>
      </c>
      <c r="X2313" s="11">
        <v>15</v>
      </c>
      <c r="Y2313" s="11" t="s">
        <v>12359</v>
      </c>
      <c r="Z2313" s="11">
        <v>20</v>
      </c>
      <c r="AA2313" s="11">
        <v>0</v>
      </c>
      <c r="AB2313" s="12">
        <v>0</v>
      </c>
    </row>
    <row r="2314" spans="1:28" x14ac:dyDescent="0.2">
      <c r="A2314" s="7">
        <v>22892</v>
      </c>
      <c r="B2314" s="8" t="s">
        <v>15287</v>
      </c>
      <c r="C2314" s="8" t="s">
        <v>11639</v>
      </c>
      <c r="D2314" s="8" t="s">
        <v>11640</v>
      </c>
      <c r="E2314" s="8" t="s">
        <v>15288</v>
      </c>
      <c r="F2314" s="8" t="s">
        <v>11642</v>
      </c>
      <c r="G2314" s="8" t="s">
        <v>2117</v>
      </c>
      <c r="H2314" s="8" t="s">
        <v>142</v>
      </c>
      <c r="I2314" s="8" t="s">
        <v>15289</v>
      </c>
      <c r="J2314" s="8" t="s">
        <v>11644</v>
      </c>
      <c r="K2314" s="8" t="s">
        <v>1673</v>
      </c>
      <c r="L2314" s="8" t="s">
        <v>464</v>
      </c>
      <c r="M2314" s="8" t="s">
        <v>15290</v>
      </c>
      <c r="N2314" s="8" t="s">
        <v>128</v>
      </c>
      <c r="O2314" s="8" t="s">
        <v>15291</v>
      </c>
      <c r="P2314" s="8" t="s">
        <v>15292</v>
      </c>
      <c r="Q2314" s="8" t="s">
        <v>150</v>
      </c>
      <c r="R2314" s="8"/>
      <c r="S2314" s="8" t="s">
        <v>11648</v>
      </c>
      <c r="T2314" s="8" t="s">
        <v>70</v>
      </c>
      <c r="U2314" s="8" t="s">
        <v>150</v>
      </c>
      <c r="V2314" s="8" t="s">
        <v>70</v>
      </c>
      <c r="W2314" s="8" t="s">
        <v>70</v>
      </c>
      <c r="X2314" s="8">
        <v>15</v>
      </c>
      <c r="Y2314" s="8" t="s">
        <v>12359</v>
      </c>
      <c r="Z2314" s="8">
        <v>20</v>
      </c>
      <c r="AA2314" s="8">
        <v>0</v>
      </c>
      <c r="AB2314" s="9">
        <v>0</v>
      </c>
    </row>
    <row r="2315" spans="1:28" x14ac:dyDescent="0.2">
      <c r="A2315" s="10">
        <v>23092</v>
      </c>
      <c r="B2315" s="11" t="s">
        <v>15293</v>
      </c>
      <c r="C2315" s="11" t="s">
        <v>8966</v>
      </c>
      <c r="D2315" s="11" t="s">
        <v>171</v>
      </c>
      <c r="E2315" s="11" t="s">
        <v>1112</v>
      </c>
      <c r="F2315" s="11" t="s">
        <v>8968</v>
      </c>
      <c r="G2315" s="11" t="s">
        <v>8969</v>
      </c>
      <c r="H2315" s="11" t="s">
        <v>142</v>
      </c>
      <c r="I2315" s="11" t="s">
        <v>15294</v>
      </c>
      <c r="J2315" s="11" t="s">
        <v>8971</v>
      </c>
      <c r="K2315" s="11" t="s">
        <v>1199</v>
      </c>
      <c r="L2315" s="11" t="s">
        <v>464</v>
      </c>
      <c r="M2315" s="11" t="s">
        <v>15295</v>
      </c>
      <c r="N2315" s="11" t="s">
        <v>128</v>
      </c>
      <c r="O2315" s="11" t="s">
        <v>15296</v>
      </c>
      <c r="P2315" s="11" t="s">
        <v>15297</v>
      </c>
      <c r="Q2315" s="11" t="s">
        <v>150</v>
      </c>
      <c r="R2315" s="11"/>
      <c r="S2315" s="11" t="s">
        <v>8975</v>
      </c>
      <c r="T2315" s="11" t="s">
        <v>70</v>
      </c>
      <c r="U2315" s="11" t="s">
        <v>150</v>
      </c>
      <c r="V2315" s="11" t="s">
        <v>70</v>
      </c>
      <c r="W2315" s="11" t="s">
        <v>70</v>
      </c>
      <c r="X2315" s="11">
        <v>15</v>
      </c>
      <c r="Y2315" s="11" t="s">
        <v>12359</v>
      </c>
      <c r="Z2315" s="11">
        <v>20</v>
      </c>
      <c r="AA2315" s="11">
        <v>0</v>
      </c>
      <c r="AB2315" s="12">
        <v>0</v>
      </c>
    </row>
    <row r="2316" spans="1:28" x14ac:dyDescent="0.2">
      <c r="A2316" s="7">
        <v>23204</v>
      </c>
      <c r="B2316" s="8" t="s">
        <v>15298</v>
      </c>
      <c r="C2316" s="8" t="s">
        <v>4603</v>
      </c>
      <c r="D2316" s="8" t="s">
        <v>8869</v>
      </c>
      <c r="E2316" s="8"/>
      <c r="F2316" s="8" t="s">
        <v>353</v>
      </c>
      <c r="G2316" s="8" t="s">
        <v>3454</v>
      </c>
      <c r="H2316" s="8" t="s">
        <v>142</v>
      </c>
      <c r="I2316" s="8" t="s">
        <v>15299</v>
      </c>
      <c r="J2316" s="8" t="s">
        <v>15300</v>
      </c>
      <c r="K2316" s="8" t="s">
        <v>1673</v>
      </c>
      <c r="L2316" s="8" t="s">
        <v>464</v>
      </c>
      <c r="M2316" s="8" t="s">
        <v>15301</v>
      </c>
      <c r="N2316" s="8" t="s">
        <v>128</v>
      </c>
      <c r="O2316" s="8" t="s">
        <v>15302</v>
      </c>
      <c r="P2316" s="8" t="s">
        <v>15303</v>
      </c>
      <c r="Q2316" s="8" t="s">
        <v>150</v>
      </c>
      <c r="R2316" s="8"/>
      <c r="S2316" s="8" t="s">
        <v>71</v>
      </c>
      <c r="T2316" s="8" t="s">
        <v>70</v>
      </c>
      <c r="U2316" s="8" t="s">
        <v>150</v>
      </c>
      <c r="V2316" s="8" t="s">
        <v>70</v>
      </c>
      <c r="W2316" s="8" t="s">
        <v>70</v>
      </c>
      <c r="X2316" s="8">
        <v>15</v>
      </c>
      <c r="Y2316" s="8" t="s">
        <v>12359</v>
      </c>
      <c r="Z2316" s="8">
        <v>20</v>
      </c>
      <c r="AA2316" s="8">
        <v>0</v>
      </c>
      <c r="AB2316" s="9">
        <v>0</v>
      </c>
    </row>
    <row r="2317" spans="1:28" x14ac:dyDescent="0.2">
      <c r="A2317" s="10">
        <v>120124</v>
      </c>
      <c r="B2317" s="11" t="s">
        <v>15304</v>
      </c>
      <c r="C2317" s="11" t="s">
        <v>3640</v>
      </c>
      <c r="D2317" s="11" t="s">
        <v>259</v>
      </c>
      <c r="E2317" s="11"/>
      <c r="F2317" s="11" t="s">
        <v>353</v>
      </c>
      <c r="G2317" s="11" t="s">
        <v>3643</v>
      </c>
      <c r="H2317" s="11" t="s">
        <v>142</v>
      </c>
      <c r="I2317" s="11" t="s">
        <v>15305</v>
      </c>
      <c r="J2317" s="11" t="s">
        <v>15306</v>
      </c>
      <c r="K2317" s="11" t="s">
        <v>651</v>
      </c>
      <c r="L2317" s="11" t="s">
        <v>146</v>
      </c>
      <c r="M2317" s="11" t="s">
        <v>15307</v>
      </c>
      <c r="N2317" s="11" t="s">
        <v>128</v>
      </c>
      <c r="O2317" s="11" t="s">
        <v>15308</v>
      </c>
      <c r="P2317" s="11" t="s">
        <v>15309</v>
      </c>
      <c r="Q2317" s="11" t="s">
        <v>150</v>
      </c>
      <c r="R2317" s="11"/>
      <c r="S2317" s="11" t="s">
        <v>71</v>
      </c>
      <c r="T2317" s="11" t="s">
        <v>70</v>
      </c>
      <c r="U2317" s="11" t="s">
        <v>150</v>
      </c>
      <c r="V2317" s="11" t="s">
        <v>70</v>
      </c>
      <c r="W2317" s="11" t="s">
        <v>70</v>
      </c>
      <c r="X2317" s="11">
        <v>15</v>
      </c>
      <c r="Y2317" s="11" t="s">
        <v>12359</v>
      </c>
      <c r="Z2317" s="11">
        <v>20</v>
      </c>
      <c r="AA2317" s="11">
        <v>0</v>
      </c>
      <c r="AB2317" s="12">
        <v>0</v>
      </c>
    </row>
    <row r="2318" spans="1:28" x14ac:dyDescent="0.2">
      <c r="A2318" s="7">
        <v>22899</v>
      </c>
      <c r="B2318" s="8" t="s">
        <v>15310</v>
      </c>
      <c r="C2318" s="8" t="s">
        <v>1125</v>
      </c>
      <c r="D2318" s="8" t="s">
        <v>138</v>
      </c>
      <c r="E2318" s="8"/>
      <c r="F2318" s="8" t="s">
        <v>7985</v>
      </c>
      <c r="G2318" s="8" t="s">
        <v>450</v>
      </c>
      <c r="H2318" s="8" t="s">
        <v>301</v>
      </c>
      <c r="I2318" s="8" t="s">
        <v>7986</v>
      </c>
      <c r="J2318" s="8" t="s">
        <v>15311</v>
      </c>
      <c r="K2318" s="8" t="s">
        <v>304</v>
      </c>
      <c r="L2318" s="8" t="s">
        <v>229</v>
      </c>
      <c r="M2318" s="8" t="s">
        <v>15312</v>
      </c>
      <c r="N2318" s="8" t="s">
        <v>128</v>
      </c>
      <c r="O2318" s="8" t="s">
        <v>15313</v>
      </c>
      <c r="P2318" s="8" t="s">
        <v>15314</v>
      </c>
      <c r="Q2318" s="8" t="s">
        <v>150</v>
      </c>
      <c r="R2318" s="8"/>
      <c r="S2318" s="8" t="s">
        <v>71</v>
      </c>
      <c r="T2318" s="8" t="s">
        <v>70</v>
      </c>
      <c r="U2318" s="8" t="s">
        <v>150</v>
      </c>
      <c r="V2318" s="8" t="s">
        <v>70</v>
      </c>
      <c r="W2318" s="8" t="s">
        <v>70</v>
      </c>
      <c r="X2318" s="8">
        <v>15</v>
      </c>
      <c r="Y2318" s="8" t="s">
        <v>12359</v>
      </c>
      <c r="Z2318" s="8">
        <v>20</v>
      </c>
      <c r="AA2318" s="8">
        <v>0</v>
      </c>
      <c r="AB2318" s="9">
        <v>0</v>
      </c>
    </row>
    <row r="2319" spans="1:28" x14ac:dyDescent="0.2">
      <c r="A2319" s="10">
        <v>28692</v>
      </c>
      <c r="B2319" s="11" t="s">
        <v>15315</v>
      </c>
      <c r="C2319" s="11" t="s">
        <v>10465</v>
      </c>
      <c r="D2319" s="11" t="s">
        <v>358</v>
      </c>
      <c r="E2319" s="11"/>
      <c r="F2319" s="11" t="s">
        <v>15316</v>
      </c>
      <c r="G2319" s="11" t="s">
        <v>1253</v>
      </c>
      <c r="H2319" s="11" t="s">
        <v>142</v>
      </c>
      <c r="I2319" s="11" t="s">
        <v>15317</v>
      </c>
      <c r="J2319" s="11" t="s">
        <v>15318</v>
      </c>
      <c r="K2319" s="11" t="s">
        <v>1199</v>
      </c>
      <c r="L2319" s="11" t="s">
        <v>464</v>
      </c>
      <c r="M2319" s="11" t="s">
        <v>15319</v>
      </c>
      <c r="N2319" s="11" t="s">
        <v>128</v>
      </c>
      <c r="O2319" s="11"/>
      <c r="P2319" s="11" t="s">
        <v>15320</v>
      </c>
      <c r="Q2319" s="11" t="s">
        <v>150</v>
      </c>
      <c r="R2319" s="11"/>
      <c r="S2319" s="11" t="s">
        <v>10473</v>
      </c>
      <c r="T2319" s="11" t="s">
        <v>1415</v>
      </c>
      <c r="U2319" s="11" t="s">
        <v>150</v>
      </c>
      <c r="V2319" s="11" t="s">
        <v>1415</v>
      </c>
      <c r="W2319" s="11" t="s">
        <v>1415</v>
      </c>
      <c r="X2319" s="11">
        <v>15</v>
      </c>
      <c r="Y2319" s="11" t="s">
        <v>12359</v>
      </c>
      <c r="Z2319" s="11">
        <v>20</v>
      </c>
      <c r="AA2319" s="11">
        <v>0</v>
      </c>
      <c r="AB2319" s="12">
        <v>0</v>
      </c>
    </row>
    <row r="2320" spans="1:28" x14ac:dyDescent="0.2">
      <c r="A2320" s="7">
        <v>28767</v>
      </c>
      <c r="B2320" s="8" t="s">
        <v>15321</v>
      </c>
      <c r="C2320" s="8" t="s">
        <v>668</v>
      </c>
      <c r="D2320" s="8" t="s">
        <v>2467</v>
      </c>
      <c r="E2320" s="8"/>
      <c r="F2320" s="8" t="s">
        <v>15322</v>
      </c>
      <c r="G2320" s="8" t="s">
        <v>670</v>
      </c>
      <c r="H2320" s="8" t="s">
        <v>671</v>
      </c>
      <c r="I2320" s="8" t="s">
        <v>672</v>
      </c>
      <c r="J2320" s="8" t="s">
        <v>15323</v>
      </c>
      <c r="K2320" s="8" t="s">
        <v>572</v>
      </c>
      <c r="L2320" s="8" t="s">
        <v>333</v>
      </c>
      <c r="M2320" s="8" t="s">
        <v>15324</v>
      </c>
      <c r="N2320" s="8" t="s">
        <v>128</v>
      </c>
      <c r="O2320" s="8"/>
      <c r="P2320" s="8" t="s">
        <v>8140</v>
      </c>
      <c r="Q2320" s="8" t="s">
        <v>150</v>
      </c>
      <c r="R2320" s="8"/>
      <c r="S2320" s="8" t="s">
        <v>71</v>
      </c>
      <c r="T2320" s="8" t="s">
        <v>14176</v>
      </c>
      <c r="U2320" s="8" t="s">
        <v>150</v>
      </c>
      <c r="V2320" s="8" t="s">
        <v>14176</v>
      </c>
      <c r="W2320" s="8" t="s">
        <v>14176</v>
      </c>
      <c r="X2320" s="8">
        <v>15</v>
      </c>
      <c r="Y2320" s="8" t="s">
        <v>12359</v>
      </c>
      <c r="Z2320" s="8">
        <v>20</v>
      </c>
      <c r="AA2320" s="8">
        <v>0</v>
      </c>
      <c r="AB2320" s="9">
        <v>0</v>
      </c>
    </row>
    <row r="2321" spans="1:28" x14ac:dyDescent="0.2">
      <c r="A2321" s="10">
        <v>23932</v>
      </c>
      <c r="B2321" s="11" t="s">
        <v>15325</v>
      </c>
      <c r="C2321" s="11" t="s">
        <v>15326</v>
      </c>
      <c r="D2321" s="11" t="s">
        <v>2871</v>
      </c>
      <c r="E2321" s="11" t="s">
        <v>15327</v>
      </c>
      <c r="F2321" s="11" t="s">
        <v>353</v>
      </c>
      <c r="G2321" s="11" t="s">
        <v>11394</v>
      </c>
      <c r="H2321" s="11" t="s">
        <v>704</v>
      </c>
      <c r="I2321" s="11" t="s">
        <v>15328</v>
      </c>
      <c r="J2321" s="11" t="s">
        <v>15329</v>
      </c>
      <c r="K2321" s="11" t="s">
        <v>707</v>
      </c>
      <c r="L2321" s="11" t="s">
        <v>126</v>
      </c>
      <c r="M2321" s="11" t="s">
        <v>15330</v>
      </c>
      <c r="N2321" s="11" t="s">
        <v>128</v>
      </c>
      <c r="O2321" s="11" t="s">
        <v>15331</v>
      </c>
      <c r="P2321" s="11" t="s">
        <v>10243</v>
      </c>
      <c r="Q2321" s="11" t="s">
        <v>150</v>
      </c>
      <c r="R2321" s="11"/>
      <c r="S2321" s="11" t="s">
        <v>71</v>
      </c>
      <c r="T2321" s="11" t="s">
        <v>168</v>
      </c>
      <c r="U2321" s="11" t="s">
        <v>150</v>
      </c>
      <c r="V2321" s="11" t="s">
        <v>168</v>
      </c>
      <c r="W2321" s="11" t="s">
        <v>168</v>
      </c>
      <c r="X2321" s="11">
        <v>15</v>
      </c>
      <c r="Y2321" s="11" t="s">
        <v>12359</v>
      </c>
      <c r="Z2321" s="11">
        <v>20</v>
      </c>
      <c r="AA2321" s="11">
        <v>0</v>
      </c>
      <c r="AB2321" s="12">
        <v>0</v>
      </c>
    </row>
    <row r="2322" spans="1:28" x14ac:dyDescent="0.2">
      <c r="A2322" s="7">
        <v>24768</v>
      </c>
      <c r="B2322" s="8" t="s">
        <v>15332</v>
      </c>
      <c r="C2322" s="8" t="s">
        <v>11410</v>
      </c>
      <c r="D2322" s="8" t="s">
        <v>1926</v>
      </c>
      <c r="E2322" s="8" t="s">
        <v>15333</v>
      </c>
      <c r="F2322" s="8" t="s">
        <v>353</v>
      </c>
      <c r="G2322" s="8" t="s">
        <v>328</v>
      </c>
      <c r="H2322" s="8" t="s">
        <v>329</v>
      </c>
      <c r="I2322" s="8" t="s">
        <v>15334</v>
      </c>
      <c r="J2322" s="8" t="s">
        <v>15335</v>
      </c>
      <c r="K2322" s="8" t="s">
        <v>415</v>
      </c>
      <c r="L2322" s="8" t="s">
        <v>333</v>
      </c>
      <c r="M2322" s="8" t="s">
        <v>15336</v>
      </c>
      <c r="N2322" s="8" t="s">
        <v>128</v>
      </c>
      <c r="O2322" s="8" t="s">
        <v>15337</v>
      </c>
      <c r="P2322" s="8" t="s">
        <v>8106</v>
      </c>
      <c r="Q2322" s="8" t="s">
        <v>150</v>
      </c>
      <c r="R2322" s="8"/>
      <c r="S2322" s="8" t="s">
        <v>71</v>
      </c>
      <c r="T2322" s="8" t="s">
        <v>69</v>
      </c>
      <c r="U2322" s="8" t="s">
        <v>150</v>
      </c>
      <c r="V2322" s="8" t="s">
        <v>152</v>
      </c>
      <c r="W2322" s="8" t="s">
        <v>69</v>
      </c>
      <c r="X2322" s="8">
        <v>15</v>
      </c>
      <c r="Y2322" s="8" t="s">
        <v>12359</v>
      </c>
      <c r="Z2322" s="8">
        <v>20</v>
      </c>
      <c r="AA2322" s="8">
        <v>0</v>
      </c>
      <c r="AB2322" s="9">
        <v>0</v>
      </c>
    </row>
    <row r="2323" spans="1:28" x14ac:dyDescent="0.2">
      <c r="A2323" s="10">
        <v>24851</v>
      </c>
      <c r="B2323" s="11" t="s">
        <v>15338</v>
      </c>
      <c r="C2323" s="11" t="s">
        <v>15339</v>
      </c>
      <c r="D2323" s="11" t="s">
        <v>13646</v>
      </c>
      <c r="E2323" s="11" t="s">
        <v>15340</v>
      </c>
      <c r="F2323" s="11" t="s">
        <v>353</v>
      </c>
      <c r="G2323" s="11" t="s">
        <v>5804</v>
      </c>
      <c r="H2323" s="11" t="s">
        <v>5805</v>
      </c>
      <c r="I2323" s="11" t="s">
        <v>15341</v>
      </c>
      <c r="J2323" s="11" t="s">
        <v>15342</v>
      </c>
      <c r="K2323" s="11" t="s">
        <v>274</v>
      </c>
      <c r="L2323" s="11" t="s">
        <v>163</v>
      </c>
      <c r="M2323" s="11" t="s">
        <v>15343</v>
      </c>
      <c r="N2323" s="11" t="s">
        <v>128</v>
      </c>
      <c r="O2323" s="11" t="s">
        <v>15344</v>
      </c>
      <c r="P2323" s="11" t="s">
        <v>15345</v>
      </c>
      <c r="Q2323" s="11" t="s">
        <v>150</v>
      </c>
      <c r="R2323" s="11"/>
      <c r="S2323" s="11" t="s">
        <v>13652</v>
      </c>
      <c r="T2323" s="11" t="s">
        <v>1738</v>
      </c>
      <c r="U2323" s="11" t="s">
        <v>150</v>
      </c>
      <c r="V2323" s="11" t="s">
        <v>1738</v>
      </c>
      <c r="W2323" s="11" t="s">
        <v>1738</v>
      </c>
      <c r="X2323" s="11">
        <v>15</v>
      </c>
      <c r="Y2323" s="11" t="s">
        <v>12359</v>
      </c>
      <c r="Z2323" s="11">
        <v>20</v>
      </c>
      <c r="AA2323" s="11">
        <v>0</v>
      </c>
      <c r="AB2323" s="12">
        <v>0</v>
      </c>
    </row>
    <row r="2324" spans="1:28" x14ac:dyDescent="0.2">
      <c r="A2324" s="7">
        <v>116133</v>
      </c>
      <c r="B2324" s="8" t="s">
        <v>15346</v>
      </c>
      <c r="C2324" s="8" t="s">
        <v>15347</v>
      </c>
      <c r="D2324" s="8" t="s">
        <v>14587</v>
      </c>
      <c r="E2324" s="8" t="s">
        <v>15348</v>
      </c>
      <c r="F2324" s="8" t="s">
        <v>353</v>
      </c>
      <c r="G2324" s="8" t="s">
        <v>2192</v>
      </c>
      <c r="H2324" s="8" t="s">
        <v>704</v>
      </c>
      <c r="I2324" s="8" t="s">
        <v>15246</v>
      </c>
      <c r="J2324" s="8" t="s">
        <v>15349</v>
      </c>
      <c r="K2324" s="8" t="s">
        <v>707</v>
      </c>
      <c r="L2324" s="8" t="s">
        <v>126</v>
      </c>
      <c r="M2324" s="8" t="s">
        <v>15350</v>
      </c>
      <c r="N2324" s="8" t="s">
        <v>128</v>
      </c>
      <c r="O2324" s="8" t="s">
        <v>15351</v>
      </c>
      <c r="P2324" s="8"/>
      <c r="Q2324" s="8" t="s">
        <v>740</v>
      </c>
      <c r="R2324" s="8"/>
      <c r="S2324" s="8" t="s">
        <v>15352</v>
      </c>
      <c r="T2324" s="8" t="s">
        <v>1745</v>
      </c>
      <c r="U2324" s="8" t="s">
        <v>134</v>
      </c>
      <c r="V2324" s="8" t="s">
        <v>740</v>
      </c>
      <c r="W2324" s="8" t="s">
        <v>1745</v>
      </c>
      <c r="X2324" s="8">
        <v>15</v>
      </c>
      <c r="Y2324" s="8" t="s">
        <v>12359</v>
      </c>
      <c r="Z2324" s="8">
        <v>20</v>
      </c>
      <c r="AA2324" s="8">
        <v>0</v>
      </c>
      <c r="AB2324" s="9">
        <v>0</v>
      </c>
    </row>
    <row r="2325" spans="1:28" x14ac:dyDescent="0.2">
      <c r="A2325" s="10">
        <v>25216</v>
      </c>
      <c r="B2325" s="11" t="s">
        <v>15353</v>
      </c>
      <c r="C2325" s="11" t="s">
        <v>6993</v>
      </c>
      <c r="D2325" s="11" t="s">
        <v>6994</v>
      </c>
      <c r="E2325" s="11" t="s">
        <v>15354</v>
      </c>
      <c r="F2325" s="11" t="s">
        <v>353</v>
      </c>
      <c r="G2325" s="11" t="s">
        <v>2618</v>
      </c>
      <c r="H2325" s="11" t="s">
        <v>142</v>
      </c>
      <c r="I2325" s="11" t="s">
        <v>6996</v>
      </c>
      <c r="J2325" s="11" t="s">
        <v>6997</v>
      </c>
      <c r="K2325" s="11" t="s">
        <v>651</v>
      </c>
      <c r="L2325" s="11" t="s">
        <v>146</v>
      </c>
      <c r="M2325" s="11" t="s">
        <v>15355</v>
      </c>
      <c r="N2325" s="11" t="s">
        <v>128</v>
      </c>
      <c r="O2325" s="11" t="s">
        <v>15356</v>
      </c>
      <c r="P2325" s="11" t="s">
        <v>15357</v>
      </c>
      <c r="Q2325" s="11" t="s">
        <v>740</v>
      </c>
      <c r="R2325" s="11"/>
      <c r="S2325" s="11" t="s">
        <v>7001</v>
      </c>
      <c r="T2325" s="11" t="s">
        <v>1745</v>
      </c>
      <c r="U2325" s="11" t="s">
        <v>134</v>
      </c>
      <c r="V2325" s="11" t="s">
        <v>740</v>
      </c>
      <c r="W2325" s="11" t="s">
        <v>1745</v>
      </c>
      <c r="X2325" s="11">
        <v>15</v>
      </c>
      <c r="Y2325" s="11" t="s">
        <v>12359</v>
      </c>
      <c r="Z2325" s="11">
        <v>20</v>
      </c>
      <c r="AA2325" s="11">
        <v>0</v>
      </c>
      <c r="AB2325" s="12">
        <v>0</v>
      </c>
    </row>
    <row r="2326" spans="1:28" x14ac:dyDescent="0.2">
      <c r="A2326" s="7">
        <v>107207</v>
      </c>
      <c r="B2326" s="8" t="s">
        <v>15358</v>
      </c>
      <c r="C2326" s="8" t="s">
        <v>1634</v>
      </c>
      <c r="D2326" s="8" t="s">
        <v>1635</v>
      </c>
      <c r="E2326" s="8" t="s">
        <v>15359</v>
      </c>
      <c r="F2326" s="8" t="s">
        <v>8621</v>
      </c>
      <c r="G2326" s="8" t="s">
        <v>328</v>
      </c>
      <c r="H2326" s="8" t="s">
        <v>329</v>
      </c>
      <c r="I2326" s="8" t="s">
        <v>1638</v>
      </c>
      <c r="J2326" s="8" t="s">
        <v>1639</v>
      </c>
      <c r="K2326" s="8" t="s">
        <v>572</v>
      </c>
      <c r="L2326" s="8" t="s">
        <v>333</v>
      </c>
      <c r="M2326" s="8" t="s">
        <v>15360</v>
      </c>
      <c r="N2326" s="8" t="s">
        <v>128</v>
      </c>
      <c r="O2326" s="8" t="s">
        <v>15361</v>
      </c>
      <c r="P2326" s="8" t="s">
        <v>15362</v>
      </c>
      <c r="Q2326" s="8" t="s">
        <v>740</v>
      </c>
      <c r="R2326" s="8"/>
      <c r="S2326" s="8" t="s">
        <v>1643</v>
      </c>
      <c r="T2326" s="8" t="s">
        <v>1745</v>
      </c>
      <c r="U2326" s="8" t="s">
        <v>134</v>
      </c>
      <c r="V2326" s="8" t="s">
        <v>740</v>
      </c>
      <c r="W2326" s="8" t="s">
        <v>1745</v>
      </c>
      <c r="X2326" s="8">
        <v>15</v>
      </c>
      <c r="Y2326" s="8" t="s">
        <v>12359</v>
      </c>
      <c r="Z2326" s="8">
        <v>20</v>
      </c>
      <c r="AA2326" s="8">
        <v>0</v>
      </c>
      <c r="AB2326" s="9">
        <v>0</v>
      </c>
    </row>
    <row r="2327" spans="1:28" x14ac:dyDescent="0.2">
      <c r="A2327" s="10">
        <v>140473</v>
      </c>
      <c r="B2327" s="11" t="s">
        <v>15363</v>
      </c>
      <c r="C2327" s="11" t="s">
        <v>8613</v>
      </c>
      <c r="D2327" s="11" t="s">
        <v>10419</v>
      </c>
      <c r="E2327" s="11"/>
      <c r="F2327" s="11" t="s">
        <v>353</v>
      </c>
      <c r="G2327" s="11" t="s">
        <v>8614</v>
      </c>
      <c r="H2327" s="11" t="s">
        <v>142</v>
      </c>
      <c r="I2327" s="11" t="s">
        <v>8921</v>
      </c>
      <c r="J2327" s="11" t="s">
        <v>15364</v>
      </c>
      <c r="K2327" s="11" t="s">
        <v>1199</v>
      </c>
      <c r="L2327" s="11" t="s">
        <v>464</v>
      </c>
      <c r="M2327" s="11" t="s">
        <v>15365</v>
      </c>
      <c r="N2327" s="11" t="s">
        <v>128</v>
      </c>
      <c r="O2327" s="11" t="s">
        <v>15366</v>
      </c>
      <c r="P2327" s="11" t="s">
        <v>15367</v>
      </c>
      <c r="Q2327" s="11" t="s">
        <v>740</v>
      </c>
      <c r="R2327" s="11"/>
      <c r="S2327" s="11" t="s">
        <v>71</v>
      </c>
      <c r="T2327" s="11" t="s">
        <v>1745</v>
      </c>
      <c r="U2327" s="11" t="s">
        <v>134</v>
      </c>
      <c r="V2327" s="11" t="s">
        <v>740</v>
      </c>
      <c r="W2327" s="11" t="s">
        <v>1745</v>
      </c>
      <c r="X2327" s="11">
        <v>15</v>
      </c>
      <c r="Y2327" s="11" t="s">
        <v>12359</v>
      </c>
      <c r="Z2327" s="11">
        <v>20</v>
      </c>
      <c r="AA2327" s="11">
        <v>0</v>
      </c>
      <c r="AB2327" s="12">
        <v>0</v>
      </c>
    </row>
    <row r="2328" spans="1:28" x14ac:dyDescent="0.2">
      <c r="A2328" s="7">
        <v>25254</v>
      </c>
      <c r="B2328" s="8" t="s">
        <v>15368</v>
      </c>
      <c r="C2328" s="8" t="s">
        <v>409</v>
      </c>
      <c r="D2328" s="8" t="s">
        <v>1484</v>
      </c>
      <c r="E2328" s="8" t="s">
        <v>9506</v>
      </c>
      <c r="F2328" s="8" t="s">
        <v>353</v>
      </c>
      <c r="G2328" s="8" t="s">
        <v>846</v>
      </c>
      <c r="H2328" s="8" t="s">
        <v>847</v>
      </c>
      <c r="I2328" s="8" t="s">
        <v>15369</v>
      </c>
      <c r="J2328" s="8" t="s">
        <v>15370</v>
      </c>
      <c r="K2328" s="8" t="s">
        <v>850</v>
      </c>
      <c r="L2328" s="8" t="s">
        <v>126</v>
      </c>
      <c r="M2328" s="8" t="s">
        <v>15371</v>
      </c>
      <c r="N2328" s="8" t="s">
        <v>128</v>
      </c>
      <c r="O2328" s="8" t="s">
        <v>15372</v>
      </c>
      <c r="P2328" s="8" t="s">
        <v>15373</v>
      </c>
      <c r="Q2328" s="8" t="s">
        <v>740</v>
      </c>
      <c r="R2328" s="8"/>
      <c r="S2328" s="8" t="s">
        <v>71</v>
      </c>
      <c r="T2328" s="8" t="s">
        <v>741</v>
      </c>
      <c r="U2328" s="8" t="s">
        <v>134</v>
      </c>
      <c r="V2328" s="8" t="s">
        <v>740</v>
      </c>
      <c r="W2328" s="8" t="s">
        <v>741</v>
      </c>
      <c r="X2328" s="8">
        <v>15</v>
      </c>
      <c r="Y2328" s="8" t="s">
        <v>12359</v>
      </c>
      <c r="Z2328" s="8">
        <v>20</v>
      </c>
      <c r="AA2328" s="8">
        <v>0</v>
      </c>
      <c r="AB2328" s="9">
        <v>0</v>
      </c>
    </row>
    <row r="2329" spans="1:28" x14ac:dyDescent="0.2">
      <c r="A2329" s="10">
        <v>25192</v>
      </c>
      <c r="B2329" s="11" t="s">
        <v>15374</v>
      </c>
      <c r="C2329" s="11" t="s">
        <v>7393</v>
      </c>
      <c r="D2329" s="11" t="s">
        <v>5994</v>
      </c>
      <c r="E2329" s="11" t="s">
        <v>15375</v>
      </c>
      <c r="F2329" s="11" t="s">
        <v>7395</v>
      </c>
      <c r="G2329" s="11" t="s">
        <v>2175</v>
      </c>
      <c r="H2329" s="11" t="s">
        <v>2176</v>
      </c>
      <c r="I2329" s="11" t="s">
        <v>5997</v>
      </c>
      <c r="J2329" s="11" t="s">
        <v>7396</v>
      </c>
      <c r="K2329" s="11" t="s">
        <v>194</v>
      </c>
      <c r="L2329" s="11" t="s">
        <v>163</v>
      </c>
      <c r="M2329" s="11" t="s">
        <v>15376</v>
      </c>
      <c r="N2329" s="11" t="s">
        <v>128</v>
      </c>
      <c r="O2329" s="11" t="s">
        <v>15377</v>
      </c>
      <c r="P2329" s="11" t="s">
        <v>15378</v>
      </c>
      <c r="Q2329" s="11" t="s">
        <v>740</v>
      </c>
      <c r="R2329" s="11"/>
      <c r="S2329" s="11" t="s">
        <v>6002</v>
      </c>
      <c r="T2329" s="11" t="s">
        <v>741</v>
      </c>
      <c r="U2329" s="11" t="s">
        <v>134</v>
      </c>
      <c r="V2329" s="11" t="s">
        <v>740</v>
      </c>
      <c r="W2329" s="11" t="s">
        <v>741</v>
      </c>
      <c r="X2329" s="11">
        <v>15</v>
      </c>
      <c r="Y2329" s="11" t="s">
        <v>12359</v>
      </c>
      <c r="Z2329" s="11">
        <v>20</v>
      </c>
      <c r="AA2329" s="11">
        <v>0</v>
      </c>
      <c r="AB2329" s="12">
        <v>0</v>
      </c>
    </row>
    <row r="2330" spans="1:28" x14ac:dyDescent="0.2">
      <c r="A2330" s="7">
        <v>25297</v>
      </c>
      <c r="B2330" s="8" t="s">
        <v>15379</v>
      </c>
      <c r="C2330" s="8" t="s">
        <v>15380</v>
      </c>
      <c r="D2330" s="8" t="s">
        <v>6797</v>
      </c>
      <c r="E2330" s="8"/>
      <c r="F2330" s="8" t="s">
        <v>353</v>
      </c>
      <c r="G2330" s="8" t="s">
        <v>556</v>
      </c>
      <c r="H2330" s="8" t="s">
        <v>557</v>
      </c>
      <c r="I2330" s="8" t="s">
        <v>8414</v>
      </c>
      <c r="J2330" s="8" t="s">
        <v>9258</v>
      </c>
      <c r="K2330" s="8" t="s">
        <v>560</v>
      </c>
      <c r="L2330" s="8" t="s">
        <v>229</v>
      </c>
      <c r="M2330" s="8" t="s">
        <v>15381</v>
      </c>
      <c r="N2330" s="8" t="s">
        <v>128</v>
      </c>
      <c r="O2330" s="8"/>
      <c r="P2330" s="8"/>
      <c r="Q2330" s="8" t="s">
        <v>740</v>
      </c>
      <c r="R2330" s="8"/>
      <c r="S2330" s="8" t="s">
        <v>6804</v>
      </c>
      <c r="T2330" s="8" t="s">
        <v>741</v>
      </c>
      <c r="U2330" s="8" t="s">
        <v>134</v>
      </c>
      <c r="V2330" s="8" t="s">
        <v>740</v>
      </c>
      <c r="W2330" s="8" t="s">
        <v>741</v>
      </c>
      <c r="X2330" s="8">
        <v>15</v>
      </c>
      <c r="Y2330" s="8" t="s">
        <v>12359</v>
      </c>
      <c r="Z2330" s="8">
        <v>20</v>
      </c>
      <c r="AA2330" s="8">
        <v>0</v>
      </c>
      <c r="AB2330" s="9">
        <v>0</v>
      </c>
    </row>
    <row r="2331" spans="1:28" x14ac:dyDescent="0.2">
      <c r="A2331" s="10">
        <v>22150</v>
      </c>
      <c r="B2331" s="11" t="s">
        <v>15382</v>
      </c>
      <c r="C2331" s="11" t="s">
        <v>4844</v>
      </c>
      <c r="D2331" s="11" t="s">
        <v>4351</v>
      </c>
      <c r="E2331" s="11" t="s">
        <v>15354</v>
      </c>
      <c r="F2331" s="11" t="s">
        <v>8275</v>
      </c>
      <c r="G2331" s="11" t="s">
        <v>141</v>
      </c>
      <c r="H2331" s="11" t="s">
        <v>142</v>
      </c>
      <c r="I2331" s="11" t="s">
        <v>8276</v>
      </c>
      <c r="J2331" s="11" t="s">
        <v>8277</v>
      </c>
      <c r="K2331" s="11" t="s">
        <v>584</v>
      </c>
      <c r="L2331" s="11" t="s">
        <v>146</v>
      </c>
      <c r="M2331" s="11" t="s">
        <v>15383</v>
      </c>
      <c r="N2331" s="11" t="s">
        <v>128</v>
      </c>
      <c r="O2331" s="11" t="s">
        <v>15384</v>
      </c>
      <c r="P2331" s="11"/>
      <c r="Q2331" s="11" t="s">
        <v>249</v>
      </c>
      <c r="R2331" s="11"/>
      <c r="S2331" s="11" t="s">
        <v>8281</v>
      </c>
      <c r="T2331" s="11" t="s">
        <v>1523</v>
      </c>
      <c r="U2331" s="11" t="s">
        <v>134</v>
      </c>
      <c r="V2331" s="11" t="s">
        <v>249</v>
      </c>
      <c r="W2331" s="11" t="s">
        <v>1523</v>
      </c>
      <c r="X2331" s="11">
        <v>15</v>
      </c>
      <c r="Y2331" s="11" t="s">
        <v>12359</v>
      </c>
      <c r="Z2331" s="11">
        <v>20</v>
      </c>
      <c r="AA2331" s="11">
        <v>0</v>
      </c>
      <c r="AB2331" s="12">
        <v>0</v>
      </c>
    </row>
    <row r="2332" spans="1:28" x14ac:dyDescent="0.2">
      <c r="A2332" s="7">
        <v>25642</v>
      </c>
      <c r="B2332" s="8" t="s">
        <v>15385</v>
      </c>
      <c r="C2332" s="8" t="s">
        <v>6029</v>
      </c>
      <c r="D2332" s="8" t="s">
        <v>6030</v>
      </c>
      <c r="E2332" s="8" t="s">
        <v>10671</v>
      </c>
      <c r="F2332" s="8" t="s">
        <v>6032</v>
      </c>
      <c r="G2332" s="8" t="s">
        <v>141</v>
      </c>
      <c r="H2332" s="8" t="s">
        <v>142</v>
      </c>
      <c r="I2332" s="8" t="s">
        <v>6033</v>
      </c>
      <c r="J2332" s="8" t="s">
        <v>6034</v>
      </c>
      <c r="K2332" s="8" t="s">
        <v>991</v>
      </c>
      <c r="L2332" s="8" t="s">
        <v>146</v>
      </c>
      <c r="M2332" s="8" t="s">
        <v>15386</v>
      </c>
      <c r="N2332" s="8" t="s">
        <v>128</v>
      </c>
      <c r="O2332" s="8" t="s">
        <v>15387</v>
      </c>
      <c r="P2332" s="8"/>
      <c r="Q2332" s="8" t="s">
        <v>249</v>
      </c>
      <c r="R2332" s="8"/>
      <c r="S2332" s="8" t="s">
        <v>6038</v>
      </c>
      <c r="T2332" s="8" t="s">
        <v>1523</v>
      </c>
      <c r="U2332" s="8" t="s">
        <v>134</v>
      </c>
      <c r="V2332" s="8" t="s">
        <v>249</v>
      </c>
      <c r="W2332" s="8" t="s">
        <v>1523</v>
      </c>
      <c r="X2332" s="8">
        <v>15</v>
      </c>
      <c r="Y2332" s="8" t="s">
        <v>12359</v>
      </c>
      <c r="Z2332" s="8">
        <v>20</v>
      </c>
      <c r="AA2332" s="8">
        <v>0</v>
      </c>
      <c r="AB2332" s="9">
        <v>0</v>
      </c>
    </row>
    <row r="2333" spans="1:28" x14ac:dyDescent="0.2">
      <c r="A2333" s="10">
        <v>165805</v>
      </c>
      <c r="B2333" s="11" t="s">
        <v>15388</v>
      </c>
      <c r="C2333" s="11" t="s">
        <v>15036</v>
      </c>
      <c r="D2333" s="11" t="s">
        <v>15389</v>
      </c>
      <c r="E2333" s="11" t="s">
        <v>15390</v>
      </c>
      <c r="F2333" s="11" t="s">
        <v>1994</v>
      </c>
      <c r="G2333" s="11" t="s">
        <v>328</v>
      </c>
      <c r="H2333" s="11" t="s">
        <v>329</v>
      </c>
      <c r="I2333" s="11" t="s">
        <v>15037</v>
      </c>
      <c r="J2333" s="11" t="s">
        <v>15391</v>
      </c>
      <c r="K2333" s="11" t="s">
        <v>332</v>
      </c>
      <c r="L2333" s="11" t="s">
        <v>333</v>
      </c>
      <c r="M2333" s="11" t="s">
        <v>15392</v>
      </c>
      <c r="N2333" s="11" t="s">
        <v>128</v>
      </c>
      <c r="O2333" s="11" t="s">
        <v>15393</v>
      </c>
      <c r="P2333" s="11"/>
      <c r="Q2333" s="11" t="s">
        <v>249</v>
      </c>
      <c r="R2333" s="11"/>
      <c r="S2333" s="11" t="s">
        <v>15041</v>
      </c>
      <c r="T2333" s="11" t="s">
        <v>1523</v>
      </c>
      <c r="U2333" s="11" t="s">
        <v>134</v>
      </c>
      <c r="V2333" s="11" t="s">
        <v>249</v>
      </c>
      <c r="W2333" s="11" t="s">
        <v>1523</v>
      </c>
      <c r="X2333" s="11">
        <v>15</v>
      </c>
      <c r="Y2333" s="11" t="s">
        <v>12359</v>
      </c>
      <c r="Z2333" s="11">
        <v>20</v>
      </c>
      <c r="AA2333" s="11">
        <v>0</v>
      </c>
      <c r="AB2333" s="12">
        <v>0</v>
      </c>
    </row>
    <row r="2334" spans="1:28" x14ac:dyDescent="0.2">
      <c r="A2334" s="7">
        <v>25412</v>
      </c>
      <c r="B2334" s="8" t="s">
        <v>15394</v>
      </c>
      <c r="C2334" s="8" t="s">
        <v>3676</v>
      </c>
      <c r="D2334" s="8" t="s">
        <v>3677</v>
      </c>
      <c r="E2334" s="8"/>
      <c r="F2334" s="8" t="s">
        <v>3678</v>
      </c>
      <c r="G2334" s="8" t="s">
        <v>141</v>
      </c>
      <c r="H2334" s="8" t="s">
        <v>142</v>
      </c>
      <c r="I2334" s="8" t="s">
        <v>3679</v>
      </c>
      <c r="J2334" s="8" t="s">
        <v>15395</v>
      </c>
      <c r="K2334" s="8" t="s">
        <v>584</v>
      </c>
      <c r="L2334" s="8" t="s">
        <v>146</v>
      </c>
      <c r="M2334" s="8" t="s">
        <v>15396</v>
      </c>
      <c r="N2334" s="8" t="s">
        <v>128</v>
      </c>
      <c r="O2334" s="8" t="s">
        <v>15397</v>
      </c>
      <c r="P2334" s="8"/>
      <c r="Q2334" s="8" t="s">
        <v>249</v>
      </c>
      <c r="R2334" s="8"/>
      <c r="S2334" s="8" t="s">
        <v>3684</v>
      </c>
      <c r="T2334" s="8" t="s">
        <v>1523</v>
      </c>
      <c r="U2334" s="8" t="s">
        <v>134</v>
      </c>
      <c r="V2334" s="8" t="s">
        <v>249</v>
      </c>
      <c r="W2334" s="8" t="s">
        <v>1523</v>
      </c>
      <c r="X2334" s="8">
        <v>15</v>
      </c>
      <c r="Y2334" s="8" t="s">
        <v>12359</v>
      </c>
      <c r="Z2334" s="8">
        <v>20</v>
      </c>
      <c r="AA2334" s="8">
        <v>0</v>
      </c>
      <c r="AB2334" s="9">
        <v>0</v>
      </c>
    </row>
    <row r="2335" spans="1:28" x14ac:dyDescent="0.2">
      <c r="A2335" s="10">
        <v>46603</v>
      </c>
      <c r="B2335" s="11" t="s">
        <v>15398</v>
      </c>
      <c r="C2335" s="11" t="s">
        <v>1125</v>
      </c>
      <c r="D2335" s="11" t="s">
        <v>1126</v>
      </c>
      <c r="E2335" s="11"/>
      <c r="F2335" s="11" t="s">
        <v>1128</v>
      </c>
      <c r="G2335" s="11" t="s">
        <v>450</v>
      </c>
      <c r="H2335" s="11" t="s">
        <v>301</v>
      </c>
      <c r="I2335" s="11" t="s">
        <v>1129</v>
      </c>
      <c r="J2335" s="11" t="s">
        <v>15399</v>
      </c>
      <c r="K2335" s="11" t="s">
        <v>304</v>
      </c>
      <c r="L2335" s="11" t="s">
        <v>229</v>
      </c>
      <c r="M2335" s="11" t="s">
        <v>15400</v>
      </c>
      <c r="N2335" s="11" t="s">
        <v>128</v>
      </c>
      <c r="O2335" s="11" t="s">
        <v>15401</v>
      </c>
      <c r="P2335" s="11"/>
      <c r="Q2335" s="11" t="s">
        <v>249</v>
      </c>
      <c r="R2335" s="11"/>
      <c r="S2335" s="11" t="s">
        <v>1134</v>
      </c>
      <c r="T2335" s="11" t="s">
        <v>1523</v>
      </c>
      <c r="U2335" s="11" t="s">
        <v>134</v>
      </c>
      <c r="V2335" s="11" t="s">
        <v>249</v>
      </c>
      <c r="W2335" s="11" t="s">
        <v>1523</v>
      </c>
      <c r="X2335" s="11">
        <v>15</v>
      </c>
      <c r="Y2335" s="11" t="s">
        <v>12359</v>
      </c>
      <c r="Z2335" s="11">
        <v>20</v>
      </c>
      <c r="AA2335" s="11">
        <v>0</v>
      </c>
      <c r="AB2335" s="12">
        <v>0</v>
      </c>
    </row>
    <row r="2336" spans="1:28" x14ac:dyDescent="0.2">
      <c r="A2336" s="7">
        <v>31644</v>
      </c>
      <c r="B2336" s="8" t="s">
        <v>15402</v>
      </c>
      <c r="C2336" s="8" t="s">
        <v>14098</v>
      </c>
      <c r="D2336" s="8" t="s">
        <v>15403</v>
      </c>
      <c r="E2336" s="8"/>
      <c r="F2336" s="8"/>
      <c r="G2336" s="8" t="s">
        <v>1438</v>
      </c>
      <c r="H2336" s="8" t="s">
        <v>122</v>
      </c>
      <c r="I2336" s="8"/>
      <c r="J2336" s="8" t="s">
        <v>15404</v>
      </c>
      <c r="K2336" s="8" t="s">
        <v>125</v>
      </c>
      <c r="L2336" s="8" t="s">
        <v>126</v>
      </c>
      <c r="M2336" s="8" t="s">
        <v>15405</v>
      </c>
      <c r="N2336" s="8" t="s">
        <v>128</v>
      </c>
      <c r="O2336" s="8"/>
      <c r="P2336" s="8"/>
      <c r="Q2336" s="8" t="s">
        <v>249</v>
      </c>
      <c r="R2336" s="8"/>
      <c r="S2336" s="8" t="s">
        <v>71</v>
      </c>
      <c r="T2336" s="8" t="s">
        <v>1523</v>
      </c>
      <c r="U2336" s="8" t="s">
        <v>134</v>
      </c>
      <c r="V2336" s="8" t="s">
        <v>249</v>
      </c>
      <c r="W2336" s="8" t="s">
        <v>1523</v>
      </c>
      <c r="X2336" s="8">
        <v>15</v>
      </c>
      <c r="Y2336" s="8" t="s">
        <v>12359</v>
      </c>
      <c r="Z2336" s="8">
        <v>20</v>
      </c>
      <c r="AA2336" s="8">
        <v>0</v>
      </c>
      <c r="AB2336" s="9">
        <v>0</v>
      </c>
    </row>
    <row r="2337" spans="1:28" x14ac:dyDescent="0.2">
      <c r="A2337" s="10">
        <v>25552</v>
      </c>
      <c r="B2337" s="11" t="s">
        <v>15406</v>
      </c>
      <c r="C2337" s="11" t="s">
        <v>15407</v>
      </c>
      <c r="D2337" s="11" t="s">
        <v>6467</v>
      </c>
      <c r="E2337" s="11" t="s">
        <v>1547</v>
      </c>
      <c r="F2337" s="11" t="s">
        <v>353</v>
      </c>
      <c r="G2337" s="11" t="s">
        <v>6565</v>
      </c>
      <c r="H2337" s="11" t="s">
        <v>142</v>
      </c>
      <c r="I2337" s="11" t="s">
        <v>15408</v>
      </c>
      <c r="J2337" s="11" t="s">
        <v>15409</v>
      </c>
      <c r="K2337" s="11" t="s">
        <v>1673</v>
      </c>
      <c r="L2337" s="11" t="s">
        <v>464</v>
      </c>
      <c r="M2337" s="11" t="s">
        <v>15410</v>
      </c>
      <c r="N2337" s="11" t="s">
        <v>128</v>
      </c>
      <c r="O2337" s="11" t="s">
        <v>15411</v>
      </c>
      <c r="P2337" s="11" t="s">
        <v>15412</v>
      </c>
      <c r="Q2337" s="11" t="s">
        <v>249</v>
      </c>
      <c r="R2337" s="11"/>
      <c r="S2337" s="11" t="s">
        <v>71</v>
      </c>
      <c r="T2337" s="11" t="s">
        <v>250</v>
      </c>
      <c r="U2337" s="11" t="s">
        <v>134</v>
      </c>
      <c r="V2337" s="11" t="s">
        <v>249</v>
      </c>
      <c r="W2337" s="11" t="s">
        <v>250</v>
      </c>
      <c r="X2337" s="11">
        <v>15</v>
      </c>
      <c r="Y2337" s="11" t="s">
        <v>12359</v>
      </c>
      <c r="Z2337" s="11">
        <v>20</v>
      </c>
      <c r="AA2337" s="11">
        <v>0</v>
      </c>
      <c r="AB2337" s="12">
        <v>0</v>
      </c>
    </row>
    <row r="2338" spans="1:28" x14ac:dyDescent="0.2">
      <c r="A2338" s="7">
        <v>114879</v>
      </c>
      <c r="B2338" s="8" t="s">
        <v>15413</v>
      </c>
      <c r="C2338" s="8" t="s">
        <v>14679</v>
      </c>
      <c r="D2338" s="8" t="s">
        <v>1948</v>
      </c>
      <c r="E2338" s="8"/>
      <c r="F2338" s="8" t="s">
        <v>353</v>
      </c>
      <c r="G2338" s="8" t="s">
        <v>1559</v>
      </c>
      <c r="H2338" s="8" t="s">
        <v>557</v>
      </c>
      <c r="I2338" s="8" t="s">
        <v>15414</v>
      </c>
      <c r="J2338" s="8" t="s">
        <v>15415</v>
      </c>
      <c r="K2338" s="8" t="s">
        <v>1562</v>
      </c>
      <c r="L2338" s="8" t="s">
        <v>229</v>
      </c>
      <c r="M2338" s="8" t="s">
        <v>15416</v>
      </c>
      <c r="N2338" s="8" t="s">
        <v>128</v>
      </c>
      <c r="O2338" s="8" t="s">
        <v>15417</v>
      </c>
      <c r="P2338" s="8" t="s">
        <v>15418</v>
      </c>
      <c r="Q2338" s="8" t="s">
        <v>249</v>
      </c>
      <c r="R2338" s="8"/>
      <c r="S2338" s="8" t="s">
        <v>71</v>
      </c>
      <c r="T2338" s="8" t="s">
        <v>250</v>
      </c>
      <c r="U2338" s="8" t="s">
        <v>134</v>
      </c>
      <c r="V2338" s="8" t="s">
        <v>249</v>
      </c>
      <c r="W2338" s="8" t="s">
        <v>250</v>
      </c>
      <c r="X2338" s="8">
        <v>15</v>
      </c>
      <c r="Y2338" s="8" t="s">
        <v>12359</v>
      </c>
      <c r="Z2338" s="8">
        <v>20</v>
      </c>
      <c r="AA2338" s="8">
        <v>0</v>
      </c>
      <c r="AB2338" s="9">
        <v>0</v>
      </c>
    </row>
    <row r="2339" spans="1:28" x14ac:dyDescent="0.2">
      <c r="A2339" s="10">
        <v>25457</v>
      </c>
      <c r="B2339" s="11" t="s">
        <v>15419</v>
      </c>
      <c r="C2339" s="11" t="s">
        <v>15420</v>
      </c>
      <c r="D2339" s="11" t="s">
        <v>15421</v>
      </c>
      <c r="E2339" s="11"/>
      <c r="F2339" s="11" t="s">
        <v>15422</v>
      </c>
      <c r="G2339" s="11" t="s">
        <v>141</v>
      </c>
      <c r="H2339" s="11" t="s">
        <v>142</v>
      </c>
      <c r="I2339" s="11" t="s">
        <v>11078</v>
      </c>
      <c r="J2339" s="11" t="s">
        <v>15423</v>
      </c>
      <c r="K2339" s="11" t="s">
        <v>991</v>
      </c>
      <c r="L2339" s="11" t="s">
        <v>146</v>
      </c>
      <c r="M2339" s="11" t="s">
        <v>15424</v>
      </c>
      <c r="N2339" s="11" t="s">
        <v>128</v>
      </c>
      <c r="O2339" s="11" t="s">
        <v>15425</v>
      </c>
      <c r="P2339" s="11" t="s">
        <v>15426</v>
      </c>
      <c r="Q2339" s="11" t="s">
        <v>249</v>
      </c>
      <c r="R2339" s="11"/>
      <c r="S2339" s="11" t="s">
        <v>15427</v>
      </c>
      <c r="T2339" s="11" t="s">
        <v>250</v>
      </c>
      <c r="U2339" s="11" t="s">
        <v>134</v>
      </c>
      <c r="V2339" s="11" t="s">
        <v>249</v>
      </c>
      <c r="W2339" s="11" t="s">
        <v>250</v>
      </c>
      <c r="X2339" s="11">
        <v>15</v>
      </c>
      <c r="Y2339" s="11" t="s">
        <v>12359</v>
      </c>
      <c r="Z2339" s="11">
        <v>20</v>
      </c>
      <c r="AA2339" s="11">
        <v>0</v>
      </c>
      <c r="AB2339" s="12">
        <v>0</v>
      </c>
    </row>
    <row r="2340" spans="1:28" x14ac:dyDescent="0.2">
      <c r="A2340" s="7">
        <v>21667</v>
      </c>
      <c r="B2340" s="8" t="s">
        <v>15428</v>
      </c>
      <c r="C2340" s="8" t="s">
        <v>15429</v>
      </c>
      <c r="D2340" s="8" t="s">
        <v>15430</v>
      </c>
      <c r="E2340" s="8"/>
      <c r="F2340" s="8" t="s">
        <v>353</v>
      </c>
      <c r="G2340" s="8" t="s">
        <v>615</v>
      </c>
      <c r="H2340" s="8" t="s">
        <v>616</v>
      </c>
      <c r="I2340" s="8" t="s">
        <v>15431</v>
      </c>
      <c r="J2340" s="8" t="s">
        <v>15432</v>
      </c>
      <c r="K2340" s="8" t="s">
        <v>619</v>
      </c>
      <c r="L2340" s="8" t="s">
        <v>163</v>
      </c>
      <c r="M2340" s="8" t="s">
        <v>15433</v>
      </c>
      <c r="N2340" s="8" t="s">
        <v>128</v>
      </c>
      <c r="O2340" s="8" t="s">
        <v>15434</v>
      </c>
      <c r="P2340" s="8" t="s">
        <v>15435</v>
      </c>
      <c r="Q2340" s="8" t="s">
        <v>150</v>
      </c>
      <c r="R2340" s="8"/>
      <c r="S2340" s="8" t="s">
        <v>71</v>
      </c>
      <c r="T2340" s="8" t="s">
        <v>67</v>
      </c>
      <c r="U2340" s="8" t="s">
        <v>150</v>
      </c>
      <c r="V2340" s="8" t="s">
        <v>152</v>
      </c>
      <c r="W2340" s="8" t="s">
        <v>67</v>
      </c>
      <c r="X2340" s="8">
        <v>14</v>
      </c>
      <c r="Y2340" s="8" t="s">
        <v>12359</v>
      </c>
      <c r="Z2340" s="8">
        <v>20</v>
      </c>
      <c r="AA2340" s="8">
        <v>0</v>
      </c>
      <c r="AB2340" s="9">
        <v>0</v>
      </c>
    </row>
    <row r="2341" spans="1:28" x14ac:dyDescent="0.2">
      <c r="A2341" s="10">
        <v>21439</v>
      </c>
      <c r="B2341" s="11" t="s">
        <v>15436</v>
      </c>
      <c r="C2341" s="11" t="s">
        <v>10068</v>
      </c>
      <c r="D2341" s="11" t="s">
        <v>15437</v>
      </c>
      <c r="E2341" s="11"/>
      <c r="F2341" s="11" t="s">
        <v>10069</v>
      </c>
      <c r="G2341" s="11" t="s">
        <v>10070</v>
      </c>
      <c r="H2341" s="11" t="s">
        <v>122</v>
      </c>
      <c r="I2341" s="11" t="s">
        <v>15438</v>
      </c>
      <c r="J2341" s="11" t="s">
        <v>15439</v>
      </c>
      <c r="K2341" s="11" t="s">
        <v>125</v>
      </c>
      <c r="L2341" s="11" t="s">
        <v>126</v>
      </c>
      <c r="M2341" s="11" t="s">
        <v>15440</v>
      </c>
      <c r="N2341" s="11" t="s">
        <v>128</v>
      </c>
      <c r="O2341" s="11" t="s">
        <v>15441</v>
      </c>
      <c r="P2341" s="11" t="s">
        <v>15442</v>
      </c>
      <c r="Q2341" s="11" t="s">
        <v>150</v>
      </c>
      <c r="R2341" s="11"/>
      <c r="S2341" s="11" t="s">
        <v>71</v>
      </c>
      <c r="T2341" s="11" t="s">
        <v>67</v>
      </c>
      <c r="U2341" s="11" t="s">
        <v>150</v>
      </c>
      <c r="V2341" s="11" t="s">
        <v>152</v>
      </c>
      <c r="W2341" s="11" t="s">
        <v>67</v>
      </c>
      <c r="X2341" s="11">
        <v>14</v>
      </c>
      <c r="Y2341" s="11" t="s">
        <v>12359</v>
      </c>
      <c r="Z2341" s="11">
        <v>20</v>
      </c>
      <c r="AA2341" s="11">
        <v>0</v>
      </c>
      <c r="AB2341" s="12">
        <v>0</v>
      </c>
    </row>
    <row r="2342" spans="1:28" x14ac:dyDescent="0.2">
      <c r="A2342" s="7">
        <v>21487</v>
      </c>
      <c r="B2342" s="8" t="s">
        <v>15443</v>
      </c>
      <c r="C2342" s="8" t="s">
        <v>15444</v>
      </c>
      <c r="D2342" s="8" t="s">
        <v>15445</v>
      </c>
      <c r="E2342" s="8"/>
      <c r="F2342" s="8" t="s">
        <v>15446</v>
      </c>
      <c r="G2342" s="8" t="s">
        <v>846</v>
      </c>
      <c r="H2342" s="8" t="s">
        <v>847</v>
      </c>
      <c r="I2342" s="8" t="s">
        <v>15447</v>
      </c>
      <c r="J2342" s="8" t="s">
        <v>15448</v>
      </c>
      <c r="K2342" s="8" t="s">
        <v>1091</v>
      </c>
      <c r="L2342" s="8" t="s">
        <v>126</v>
      </c>
      <c r="M2342" s="8" t="s">
        <v>15449</v>
      </c>
      <c r="N2342" s="8" t="s">
        <v>128</v>
      </c>
      <c r="O2342" s="8" t="s">
        <v>15450</v>
      </c>
      <c r="P2342" s="8" t="s">
        <v>15451</v>
      </c>
      <c r="Q2342" s="8" t="s">
        <v>150</v>
      </c>
      <c r="R2342" s="8"/>
      <c r="S2342" s="8" t="s">
        <v>71</v>
      </c>
      <c r="T2342" s="8" t="s">
        <v>67</v>
      </c>
      <c r="U2342" s="8" t="s">
        <v>150</v>
      </c>
      <c r="V2342" s="8" t="s">
        <v>152</v>
      </c>
      <c r="W2342" s="8" t="s">
        <v>67</v>
      </c>
      <c r="X2342" s="8">
        <v>14</v>
      </c>
      <c r="Y2342" s="8" t="s">
        <v>12359</v>
      </c>
      <c r="Z2342" s="8">
        <v>20</v>
      </c>
      <c r="AA2342" s="8">
        <v>0</v>
      </c>
      <c r="AB2342" s="9">
        <v>0</v>
      </c>
    </row>
    <row r="2343" spans="1:28" x14ac:dyDescent="0.2">
      <c r="A2343" s="10">
        <v>106017</v>
      </c>
      <c r="B2343" s="11" t="s">
        <v>15452</v>
      </c>
      <c r="C2343" s="11" t="s">
        <v>2519</v>
      </c>
      <c r="D2343" s="11" t="s">
        <v>2520</v>
      </c>
      <c r="E2343" s="11" t="s">
        <v>6553</v>
      </c>
      <c r="F2343" s="11" t="s">
        <v>6892</v>
      </c>
      <c r="G2343" s="11" t="s">
        <v>364</v>
      </c>
      <c r="H2343" s="11" t="s">
        <v>365</v>
      </c>
      <c r="I2343" s="11" t="s">
        <v>6893</v>
      </c>
      <c r="J2343" s="11" t="s">
        <v>2524</v>
      </c>
      <c r="K2343" s="11" t="s">
        <v>162</v>
      </c>
      <c r="L2343" s="11" t="s">
        <v>163</v>
      </c>
      <c r="M2343" s="11" t="s">
        <v>15453</v>
      </c>
      <c r="N2343" s="11" t="s">
        <v>128</v>
      </c>
      <c r="O2343" s="11"/>
      <c r="P2343" s="11"/>
      <c r="Q2343" s="11" t="s">
        <v>131</v>
      </c>
      <c r="R2343" s="11"/>
      <c r="S2343" s="11" t="s">
        <v>2528</v>
      </c>
      <c r="T2343" s="11" t="s">
        <v>983</v>
      </c>
      <c r="U2343" s="11" t="s">
        <v>134</v>
      </c>
      <c r="V2343" s="11" t="s">
        <v>131</v>
      </c>
      <c r="W2343" s="11" t="s">
        <v>983</v>
      </c>
      <c r="X2343" s="11">
        <v>14</v>
      </c>
      <c r="Y2343" s="11" t="s">
        <v>12359</v>
      </c>
      <c r="Z2343" s="11">
        <v>20</v>
      </c>
      <c r="AA2343" s="11">
        <v>0</v>
      </c>
      <c r="AB2343" s="12">
        <v>0</v>
      </c>
    </row>
    <row r="2344" spans="1:28" x14ac:dyDescent="0.2">
      <c r="A2344" s="7">
        <v>22077</v>
      </c>
      <c r="B2344" s="8" t="s">
        <v>15454</v>
      </c>
      <c r="C2344" s="8" t="s">
        <v>14910</v>
      </c>
      <c r="D2344" s="8" t="s">
        <v>11591</v>
      </c>
      <c r="E2344" s="8" t="s">
        <v>844</v>
      </c>
      <c r="F2344" s="8" t="s">
        <v>15455</v>
      </c>
      <c r="G2344" s="8" t="s">
        <v>3758</v>
      </c>
      <c r="H2344" s="8" t="s">
        <v>847</v>
      </c>
      <c r="I2344" s="8" t="s">
        <v>15456</v>
      </c>
      <c r="J2344" s="8" t="s">
        <v>14987</v>
      </c>
      <c r="K2344" s="8" t="s">
        <v>1091</v>
      </c>
      <c r="L2344" s="8" t="s">
        <v>126</v>
      </c>
      <c r="M2344" s="8" t="s">
        <v>15457</v>
      </c>
      <c r="N2344" s="8" t="s">
        <v>128</v>
      </c>
      <c r="O2344" s="8" t="s">
        <v>15458</v>
      </c>
      <c r="P2344" s="8"/>
      <c r="Q2344" s="8" t="s">
        <v>131</v>
      </c>
      <c r="R2344" s="8"/>
      <c r="S2344" s="8" t="s">
        <v>14916</v>
      </c>
      <c r="T2344" s="8" t="s">
        <v>983</v>
      </c>
      <c r="U2344" s="8" t="s">
        <v>134</v>
      </c>
      <c r="V2344" s="8" t="s">
        <v>131</v>
      </c>
      <c r="W2344" s="8" t="s">
        <v>983</v>
      </c>
      <c r="X2344" s="8">
        <v>14</v>
      </c>
      <c r="Y2344" s="8" t="s">
        <v>12359</v>
      </c>
      <c r="Z2344" s="8">
        <v>20</v>
      </c>
      <c r="AA2344" s="8">
        <v>0</v>
      </c>
      <c r="AB2344" s="9">
        <v>0</v>
      </c>
    </row>
    <row r="2345" spans="1:28" x14ac:dyDescent="0.2">
      <c r="A2345" s="10">
        <v>22488</v>
      </c>
      <c r="B2345" s="11" t="s">
        <v>15459</v>
      </c>
      <c r="C2345" s="11" t="s">
        <v>4844</v>
      </c>
      <c r="D2345" s="11" t="s">
        <v>4845</v>
      </c>
      <c r="E2345" s="11" t="s">
        <v>15460</v>
      </c>
      <c r="F2345" s="11" t="s">
        <v>4847</v>
      </c>
      <c r="G2345" s="11" t="s">
        <v>141</v>
      </c>
      <c r="H2345" s="11" t="s">
        <v>142</v>
      </c>
      <c r="I2345" s="11" t="s">
        <v>15461</v>
      </c>
      <c r="J2345" s="11" t="s">
        <v>15462</v>
      </c>
      <c r="K2345" s="11" t="s">
        <v>584</v>
      </c>
      <c r="L2345" s="11" t="s">
        <v>146</v>
      </c>
      <c r="M2345" s="11" t="s">
        <v>15463</v>
      </c>
      <c r="N2345" s="11" t="s">
        <v>128</v>
      </c>
      <c r="O2345" s="11" t="s">
        <v>15464</v>
      </c>
      <c r="P2345" s="11"/>
      <c r="Q2345" s="11" t="s">
        <v>131</v>
      </c>
      <c r="R2345" s="11"/>
      <c r="S2345" s="11" t="s">
        <v>4853</v>
      </c>
      <c r="T2345" s="11" t="s">
        <v>983</v>
      </c>
      <c r="U2345" s="11" t="s">
        <v>134</v>
      </c>
      <c r="V2345" s="11" t="s">
        <v>131</v>
      </c>
      <c r="W2345" s="11" t="s">
        <v>983</v>
      </c>
      <c r="X2345" s="11">
        <v>14</v>
      </c>
      <c r="Y2345" s="11" t="s">
        <v>12359</v>
      </c>
      <c r="Z2345" s="11">
        <v>20</v>
      </c>
      <c r="AA2345" s="11">
        <v>0</v>
      </c>
      <c r="AB2345" s="12">
        <v>0</v>
      </c>
    </row>
    <row r="2346" spans="1:28" x14ac:dyDescent="0.2">
      <c r="A2346" s="7">
        <v>26626</v>
      </c>
      <c r="B2346" s="8" t="s">
        <v>15465</v>
      </c>
      <c r="C2346" s="8" t="s">
        <v>3999</v>
      </c>
      <c r="D2346" s="8" t="s">
        <v>4000</v>
      </c>
      <c r="E2346" s="8"/>
      <c r="F2346" s="8" t="s">
        <v>4002</v>
      </c>
      <c r="G2346" s="8" t="s">
        <v>1813</v>
      </c>
      <c r="H2346" s="8" t="s">
        <v>142</v>
      </c>
      <c r="I2346" s="8" t="s">
        <v>4003</v>
      </c>
      <c r="J2346" s="8" t="s">
        <v>15466</v>
      </c>
      <c r="K2346" s="8" t="s">
        <v>974</v>
      </c>
      <c r="L2346" s="8" t="s">
        <v>146</v>
      </c>
      <c r="M2346" s="8" t="s">
        <v>15467</v>
      </c>
      <c r="N2346" s="8" t="s">
        <v>128</v>
      </c>
      <c r="O2346" s="8" t="s">
        <v>15468</v>
      </c>
      <c r="P2346" s="8" t="s">
        <v>15469</v>
      </c>
      <c r="Q2346" s="8" t="s">
        <v>131</v>
      </c>
      <c r="R2346" s="8"/>
      <c r="S2346" s="8" t="s">
        <v>4008</v>
      </c>
      <c r="T2346" s="8" t="s">
        <v>983</v>
      </c>
      <c r="U2346" s="8" t="s">
        <v>134</v>
      </c>
      <c r="V2346" s="8" t="s">
        <v>131</v>
      </c>
      <c r="W2346" s="8" t="s">
        <v>983</v>
      </c>
      <c r="X2346" s="8">
        <v>14</v>
      </c>
      <c r="Y2346" s="8" t="s">
        <v>12359</v>
      </c>
      <c r="Z2346" s="8">
        <v>20</v>
      </c>
      <c r="AA2346" s="8">
        <v>0</v>
      </c>
      <c r="AB2346" s="9">
        <v>0</v>
      </c>
    </row>
    <row r="2347" spans="1:28" x14ac:dyDescent="0.2">
      <c r="A2347" s="10">
        <v>165928</v>
      </c>
      <c r="B2347" s="11" t="s">
        <v>15470</v>
      </c>
      <c r="C2347" s="11" t="s">
        <v>14348</v>
      </c>
      <c r="D2347" s="11" t="s">
        <v>14349</v>
      </c>
      <c r="E2347" s="11"/>
      <c r="F2347" s="11" t="s">
        <v>353</v>
      </c>
      <c r="G2347" s="11" t="s">
        <v>3929</v>
      </c>
      <c r="H2347" s="11" t="s">
        <v>704</v>
      </c>
      <c r="I2347" s="11" t="s">
        <v>14350</v>
      </c>
      <c r="J2347" s="11" t="s">
        <v>14351</v>
      </c>
      <c r="K2347" s="11" t="s">
        <v>850</v>
      </c>
      <c r="L2347" s="11" t="s">
        <v>126</v>
      </c>
      <c r="M2347" s="11" t="s">
        <v>15471</v>
      </c>
      <c r="N2347" s="11" t="s">
        <v>128</v>
      </c>
      <c r="O2347" s="11" t="s">
        <v>15472</v>
      </c>
      <c r="P2347" s="11"/>
      <c r="Q2347" s="11" t="s">
        <v>131</v>
      </c>
      <c r="R2347" s="11"/>
      <c r="S2347" s="11" t="s">
        <v>14354</v>
      </c>
      <c r="T2347" s="11" t="s">
        <v>983</v>
      </c>
      <c r="U2347" s="11" t="s">
        <v>134</v>
      </c>
      <c r="V2347" s="11" t="s">
        <v>131</v>
      </c>
      <c r="W2347" s="11" t="s">
        <v>983</v>
      </c>
      <c r="X2347" s="11">
        <v>14</v>
      </c>
      <c r="Y2347" s="11" t="s">
        <v>12359</v>
      </c>
      <c r="Z2347" s="11">
        <v>20</v>
      </c>
      <c r="AA2347" s="11">
        <v>0</v>
      </c>
      <c r="AB2347" s="12">
        <v>0</v>
      </c>
    </row>
    <row r="2348" spans="1:28" x14ac:dyDescent="0.2">
      <c r="A2348" s="7">
        <v>22026</v>
      </c>
      <c r="B2348" s="8" t="s">
        <v>15473</v>
      </c>
      <c r="C2348" s="8" t="s">
        <v>15474</v>
      </c>
      <c r="D2348" s="8" t="s">
        <v>9336</v>
      </c>
      <c r="E2348" s="8" t="s">
        <v>15475</v>
      </c>
      <c r="F2348" s="8" t="s">
        <v>1658</v>
      </c>
      <c r="G2348" s="8" t="s">
        <v>141</v>
      </c>
      <c r="H2348" s="8" t="s">
        <v>142</v>
      </c>
      <c r="I2348" s="8" t="s">
        <v>15476</v>
      </c>
      <c r="J2348" s="8" t="s">
        <v>15477</v>
      </c>
      <c r="K2348" s="8" t="s">
        <v>145</v>
      </c>
      <c r="L2348" s="8" t="s">
        <v>146</v>
      </c>
      <c r="M2348" s="8" t="s">
        <v>15478</v>
      </c>
      <c r="N2348" s="8" t="s">
        <v>128</v>
      </c>
      <c r="O2348" s="8" t="s">
        <v>15479</v>
      </c>
      <c r="P2348" s="8" t="s">
        <v>15480</v>
      </c>
      <c r="Q2348" s="8" t="s">
        <v>131</v>
      </c>
      <c r="R2348" s="8"/>
      <c r="S2348" s="8" t="s">
        <v>15481</v>
      </c>
      <c r="T2348" s="8" t="s">
        <v>133</v>
      </c>
      <c r="U2348" s="8" t="s">
        <v>134</v>
      </c>
      <c r="V2348" s="8" t="s">
        <v>131</v>
      </c>
      <c r="W2348" s="8" t="s">
        <v>133</v>
      </c>
      <c r="X2348" s="8">
        <v>14</v>
      </c>
      <c r="Y2348" s="8" t="s">
        <v>12359</v>
      </c>
      <c r="Z2348" s="8">
        <v>20</v>
      </c>
      <c r="AA2348" s="8">
        <v>0</v>
      </c>
      <c r="AB2348" s="9">
        <v>0</v>
      </c>
    </row>
    <row r="2349" spans="1:28" x14ac:dyDescent="0.2">
      <c r="A2349" s="10">
        <v>22530</v>
      </c>
      <c r="B2349" s="11" t="s">
        <v>15482</v>
      </c>
      <c r="C2349" s="11" t="s">
        <v>15239</v>
      </c>
      <c r="D2349" s="11" t="s">
        <v>15240</v>
      </c>
      <c r="E2349" s="11" t="s">
        <v>15483</v>
      </c>
      <c r="F2349" s="11" t="s">
        <v>13718</v>
      </c>
      <c r="G2349" s="11" t="s">
        <v>224</v>
      </c>
      <c r="H2349" s="11" t="s">
        <v>225</v>
      </c>
      <c r="I2349" s="11" t="s">
        <v>4240</v>
      </c>
      <c r="J2349" s="11" t="s">
        <v>13719</v>
      </c>
      <c r="K2349" s="11" t="s">
        <v>228</v>
      </c>
      <c r="L2349" s="11" t="s">
        <v>229</v>
      </c>
      <c r="M2349" s="11" t="s">
        <v>15484</v>
      </c>
      <c r="N2349" s="11" t="s">
        <v>128</v>
      </c>
      <c r="O2349" s="11" t="s">
        <v>15485</v>
      </c>
      <c r="P2349" s="11" t="s">
        <v>15486</v>
      </c>
      <c r="Q2349" s="11" t="s">
        <v>150</v>
      </c>
      <c r="R2349" s="11"/>
      <c r="S2349" s="11" t="s">
        <v>4244</v>
      </c>
      <c r="T2349" s="11" t="s">
        <v>869</v>
      </c>
      <c r="U2349" s="11" t="s">
        <v>150</v>
      </c>
      <c r="V2349" s="11" t="s">
        <v>869</v>
      </c>
      <c r="W2349" s="11" t="s">
        <v>869</v>
      </c>
      <c r="X2349" s="11">
        <v>14</v>
      </c>
      <c r="Y2349" s="11" t="s">
        <v>12359</v>
      </c>
      <c r="Z2349" s="11">
        <v>20</v>
      </c>
      <c r="AA2349" s="11">
        <v>0</v>
      </c>
      <c r="AB2349" s="12">
        <v>0</v>
      </c>
    </row>
    <row r="2350" spans="1:28" x14ac:dyDescent="0.2">
      <c r="A2350" s="7">
        <v>22617</v>
      </c>
      <c r="B2350" s="8" t="s">
        <v>15487</v>
      </c>
      <c r="C2350" s="8" t="s">
        <v>15488</v>
      </c>
      <c r="D2350" s="8" t="s">
        <v>15489</v>
      </c>
      <c r="E2350" s="8" t="s">
        <v>15490</v>
      </c>
      <c r="F2350" s="8" t="s">
        <v>15491</v>
      </c>
      <c r="G2350" s="8" t="s">
        <v>846</v>
      </c>
      <c r="H2350" s="8" t="s">
        <v>847</v>
      </c>
      <c r="I2350" s="8" t="s">
        <v>15492</v>
      </c>
      <c r="J2350" s="8" t="s">
        <v>15493</v>
      </c>
      <c r="K2350" s="8" t="s">
        <v>1091</v>
      </c>
      <c r="L2350" s="8" t="s">
        <v>126</v>
      </c>
      <c r="M2350" s="8" t="s">
        <v>15494</v>
      </c>
      <c r="N2350" s="8" t="s">
        <v>128</v>
      </c>
      <c r="O2350" s="8" t="s">
        <v>15495</v>
      </c>
      <c r="P2350" s="8" t="s">
        <v>15496</v>
      </c>
      <c r="Q2350" s="8" t="s">
        <v>150</v>
      </c>
      <c r="R2350" s="8"/>
      <c r="S2350" s="8" t="s">
        <v>71</v>
      </c>
      <c r="T2350" s="8" t="s">
        <v>2697</v>
      </c>
      <c r="U2350" s="8" t="s">
        <v>150</v>
      </c>
      <c r="V2350" s="8" t="s">
        <v>2697</v>
      </c>
      <c r="W2350" s="8" t="s">
        <v>2697</v>
      </c>
      <c r="X2350" s="8">
        <v>14</v>
      </c>
      <c r="Y2350" s="8" t="s">
        <v>12359</v>
      </c>
      <c r="Z2350" s="8">
        <v>20</v>
      </c>
      <c r="AA2350" s="8">
        <v>0</v>
      </c>
      <c r="AB2350" s="9">
        <v>0</v>
      </c>
    </row>
    <row r="2351" spans="1:28" x14ac:dyDescent="0.2">
      <c r="A2351" s="10">
        <v>22628</v>
      </c>
      <c r="B2351" s="11" t="s">
        <v>15497</v>
      </c>
      <c r="C2351" s="11" t="s">
        <v>2300</v>
      </c>
      <c r="D2351" s="11" t="s">
        <v>10570</v>
      </c>
      <c r="E2351" s="11" t="s">
        <v>15498</v>
      </c>
      <c r="F2351" s="11" t="s">
        <v>353</v>
      </c>
      <c r="G2351" s="11" t="s">
        <v>3612</v>
      </c>
      <c r="H2351" s="11" t="s">
        <v>704</v>
      </c>
      <c r="I2351" s="11" t="s">
        <v>13878</v>
      </c>
      <c r="J2351" s="11" t="s">
        <v>13879</v>
      </c>
      <c r="K2351" s="11" t="s">
        <v>707</v>
      </c>
      <c r="L2351" s="11" t="s">
        <v>126</v>
      </c>
      <c r="M2351" s="11" t="s">
        <v>15499</v>
      </c>
      <c r="N2351" s="11" t="s">
        <v>128</v>
      </c>
      <c r="O2351" s="11" t="s">
        <v>15500</v>
      </c>
      <c r="P2351" s="11" t="s">
        <v>15501</v>
      </c>
      <c r="Q2351" s="11" t="s">
        <v>150</v>
      </c>
      <c r="R2351" s="11"/>
      <c r="S2351" s="11" t="s">
        <v>13883</v>
      </c>
      <c r="T2351" s="11" t="s">
        <v>2697</v>
      </c>
      <c r="U2351" s="11" t="s">
        <v>150</v>
      </c>
      <c r="V2351" s="11" t="s">
        <v>2697</v>
      </c>
      <c r="W2351" s="11" t="s">
        <v>2697</v>
      </c>
      <c r="X2351" s="11">
        <v>14</v>
      </c>
      <c r="Y2351" s="11" t="s">
        <v>12359</v>
      </c>
      <c r="Z2351" s="11">
        <v>20</v>
      </c>
      <c r="AA2351" s="11">
        <v>0</v>
      </c>
      <c r="AB2351" s="12">
        <v>0</v>
      </c>
    </row>
    <row r="2352" spans="1:28" x14ac:dyDescent="0.2">
      <c r="A2352" s="7">
        <v>235345</v>
      </c>
      <c r="B2352" s="8" t="s">
        <v>15502</v>
      </c>
      <c r="C2352" s="8" t="s">
        <v>3108</v>
      </c>
      <c r="D2352" s="8" t="s">
        <v>3109</v>
      </c>
      <c r="E2352" s="8"/>
      <c r="F2352" s="8" t="s">
        <v>15503</v>
      </c>
      <c r="G2352" s="8" t="s">
        <v>615</v>
      </c>
      <c r="H2352" s="8" t="s">
        <v>616</v>
      </c>
      <c r="I2352" s="8" t="s">
        <v>6749</v>
      </c>
      <c r="J2352" s="8" t="s">
        <v>3113</v>
      </c>
      <c r="K2352" s="8" t="s">
        <v>619</v>
      </c>
      <c r="L2352" s="8" t="s">
        <v>163</v>
      </c>
      <c r="M2352" s="8" t="s">
        <v>15504</v>
      </c>
      <c r="N2352" s="8" t="s">
        <v>128</v>
      </c>
      <c r="O2352" s="8" t="s">
        <v>15505</v>
      </c>
      <c r="P2352" s="8"/>
      <c r="Q2352" s="8" t="s">
        <v>150</v>
      </c>
      <c r="R2352" s="8"/>
      <c r="S2352" s="8" t="s">
        <v>3117</v>
      </c>
      <c r="T2352" s="8" t="s">
        <v>5470</v>
      </c>
      <c r="U2352" s="8" t="s">
        <v>150</v>
      </c>
      <c r="V2352" s="8" t="s">
        <v>5470</v>
      </c>
      <c r="W2352" s="8" t="s">
        <v>5470</v>
      </c>
      <c r="X2352" s="8">
        <v>14</v>
      </c>
      <c r="Y2352" s="8" t="s">
        <v>12359</v>
      </c>
      <c r="Z2352" s="8">
        <v>20</v>
      </c>
      <c r="AA2352" s="8">
        <v>0</v>
      </c>
      <c r="AB2352" s="9">
        <v>0</v>
      </c>
    </row>
    <row r="2353" spans="1:28" x14ac:dyDescent="0.2">
      <c r="A2353" s="10">
        <v>22985</v>
      </c>
      <c r="B2353" s="11" t="s">
        <v>15506</v>
      </c>
      <c r="C2353" s="11" t="s">
        <v>5879</v>
      </c>
      <c r="D2353" s="11" t="s">
        <v>9341</v>
      </c>
      <c r="E2353" s="11" t="s">
        <v>281</v>
      </c>
      <c r="F2353" s="11" t="s">
        <v>353</v>
      </c>
      <c r="G2353" s="11" t="s">
        <v>2642</v>
      </c>
      <c r="H2353" s="11" t="s">
        <v>329</v>
      </c>
      <c r="I2353" s="11" t="s">
        <v>15507</v>
      </c>
      <c r="J2353" s="11" t="s">
        <v>15508</v>
      </c>
      <c r="K2353" s="11" t="s">
        <v>572</v>
      </c>
      <c r="L2353" s="11" t="s">
        <v>333</v>
      </c>
      <c r="M2353" s="11" t="s">
        <v>15509</v>
      </c>
      <c r="N2353" s="11" t="s">
        <v>128</v>
      </c>
      <c r="O2353" s="11" t="s">
        <v>15510</v>
      </c>
      <c r="P2353" s="11" t="s">
        <v>3523</v>
      </c>
      <c r="Q2353" s="11" t="s">
        <v>150</v>
      </c>
      <c r="R2353" s="11"/>
      <c r="S2353" s="11" t="s">
        <v>71</v>
      </c>
      <c r="T2353" s="11" t="s">
        <v>70</v>
      </c>
      <c r="U2353" s="11" t="s">
        <v>150</v>
      </c>
      <c r="V2353" s="11" t="s">
        <v>70</v>
      </c>
      <c r="W2353" s="11" t="s">
        <v>70</v>
      </c>
      <c r="X2353" s="11">
        <v>14</v>
      </c>
      <c r="Y2353" s="11" t="s">
        <v>12359</v>
      </c>
      <c r="Z2353" s="11">
        <v>20</v>
      </c>
      <c r="AA2353" s="11">
        <v>0</v>
      </c>
      <c r="AB2353" s="12">
        <v>0</v>
      </c>
    </row>
    <row r="2354" spans="1:28" x14ac:dyDescent="0.2">
      <c r="A2354" s="7">
        <v>23205</v>
      </c>
      <c r="B2354" s="8" t="s">
        <v>15511</v>
      </c>
      <c r="C2354" s="8" t="s">
        <v>15512</v>
      </c>
      <c r="D2354" s="8" t="s">
        <v>6807</v>
      </c>
      <c r="E2354" s="8" t="s">
        <v>15513</v>
      </c>
      <c r="F2354" s="8" t="s">
        <v>353</v>
      </c>
      <c r="G2354" s="8" t="s">
        <v>648</v>
      </c>
      <c r="H2354" s="8" t="s">
        <v>142</v>
      </c>
      <c r="I2354" s="8" t="s">
        <v>15514</v>
      </c>
      <c r="J2354" s="8" t="s">
        <v>15515</v>
      </c>
      <c r="K2354" s="8" t="s">
        <v>651</v>
      </c>
      <c r="L2354" s="8" t="s">
        <v>146</v>
      </c>
      <c r="M2354" s="8" t="s">
        <v>15516</v>
      </c>
      <c r="N2354" s="8" t="s">
        <v>128</v>
      </c>
      <c r="O2354" s="8" t="s">
        <v>15517</v>
      </c>
      <c r="P2354" s="8" t="s">
        <v>15518</v>
      </c>
      <c r="Q2354" s="8" t="s">
        <v>150</v>
      </c>
      <c r="R2354" s="8"/>
      <c r="S2354" s="8" t="s">
        <v>71</v>
      </c>
      <c r="T2354" s="8" t="s">
        <v>70</v>
      </c>
      <c r="U2354" s="8" t="s">
        <v>150</v>
      </c>
      <c r="V2354" s="8" t="s">
        <v>70</v>
      </c>
      <c r="W2354" s="8" t="s">
        <v>70</v>
      </c>
      <c r="X2354" s="8">
        <v>14</v>
      </c>
      <c r="Y2354" s="8" t="s">
        <v>12359</v>
      </c>
      <c r="Z2354" s="8">
        <v>20</v>
      </c>
      <c r="AA2354" s="8">
        <v>0</v>
      </c>
      <c r="AB2354" s="9">
        <v>0</v>
      </c>
    </row>
    <row r="2355" spans="1:28" x14ac:dyDescent="0.2">
      <c r="A2355" s="10">
        <v>22891</v>
      </c>
      <c r="B2355" s="11" t="s">
        <v>15519</v>
      </c>
      <c r="C2355" s="11" t="s">
        <v>6394</v>
      </c>
      <c r="D2355" s="11" t="s">
        <v>15520</v>
      </c>
      <c r="E2355" s="11" t="s">
        <v>281</v>
      </c>
      <c r="F2355" s="11" t="s">
        <v>6397</v>
      </c>
      <c r="G2355" s="11" t="s">
        <v>6398</v>
      </c>
      <c r="H2355" s="11" t="s">
        <v>329</v>
      </c>
      <c r="I2355" s="11" t="s">
        <v>6399</v>
      </c>
      <c r="J2355" s="11" t="s">
        <v>15521</v>
      </c>
      <c r="K2355" s="11" t="s">
        <v>572</v>
      </c>
      <c r="L2355" s="11" t="s">
        <v>333</v>
      </c>
      <c r="M2355" s="11" t="s">
        <v>15522</v>
      </c>
      <c r="N2355" s="11" t="s">
        <v>128</v>
      </c>
      <c r="O2355" s="11" t="s">
        <v>15523</v>
      </c>
      <c r="P2355" s="11" t="s">
        <v>15524</v>
      </c>
      <c r="Q2355" s="11" t="s">
        <v>150</v>
      </c>
      <c r="R2355" s="11"/>
      <c r="S2355" s="11" t="s">
        <v>71</v>
      </c>
      <c r="T2355" s="11" t="s">
        <v>70</v>
      </c>
      <c r="U2355" s="11" t="s">
        <v>150</v>
      </c>
      <c r="V2355" s="11" t="s">
        <v>70</v>
      </c>
      <c r="W2355" s="11" t="s">
        <v>70</v>
      </c>
      <c r="X2355" s="11">
        <v>14</v>
      </c>
      <c r="Y2355" s="11" t="s">
        <v>12359</v>
      </c>
      <c r="Z2355" s="11">
        <v>20</v>
      </c>
      <c r="AA2355" s="11">
        <v>0</v>
      </c>
      <c r="AB2355" s="12">
        <v>0</v>
      </c>
    </row>
    <row r="2356" spans="1:28" x14ac:dyDescent="0.2">
      <c r="A2356" s="7">
        <v>23153</v>
      </c>
      <c r="B2356" s="8" t="s">
        <v>15525</v>
      </c>
      <c r="C2356" s="8" t="s">
        <v>15526</v>
      </c>
      <c r="D2356" s="8" t="s">
        <v>6206</v>
      </c>
      <c r="E2356" s="8"/>
      <c r="F2356" s="8" t="s">
        <v>353</v>
      </c>
      <c r="G2356" s="8" t="s">
        <v>1794</v>
      </c>
      <c r="H2356" s="8" t="s">
        <v>142</v>
      </c>
      <c r="I2356" s="8" t="s">
        <v>15527</v>
      </c>
      <c r="J2356" s="8" t="s">
        <v>15528</v>
      </c>
      <c r="K2356" s="8" t="s">
        <v>779</v>
      </c>
      <c r="L2356" s="8" t="s">
        <v>464</v>
      </c>
      <c r="M2356" s="8" t="s">
        <v>15529</v>
      </c>
      <c r="N2356" s="8" t="s">
        <v>128</v>
      </c>
      <c r="O2356" s="8" t="s">
        <v>15530</v>
      </c>
      <c r="P2356" s="8" t="s">
        <v>15531</v>
      </c>
      <c r="Q2356" s="8" t="s">
        <v>150</v>
      </c>
      <c r="R2356" s="8"/>
      <c r="S2356" s="8" t="s">
        <v>71</v>
      </c>
      <c r="T2356" s="8" t="s">
        <v>70</v>
      </c>
      <c r="U2356" s="8" t="s">
        <v>150</v>
      </c>
      <c r="V2356" s="8" t="s">
        <v>70</v>
      </c>
      <c r="W2356" s="8" t="s">
        <v>70</v>
      </c>
      <c r="X2356" s="8">
        <v>14</v>
      </c>
      <c r="Y2356" s="8" t="s">
        <v>12359</v>
      </c>
      <c r="Z2356" s="8">
        <v>20</v>
      </c>
      <c r="AA2356" s="8">
        <v>0</v>
      </c>
      <c r="AB2356" s="9">
        <v>0</v>
      </c>
    </row>
    <row r="2357" spans="1:28" x14ac:dyDescent="0.2">
      <c r="A2357" s="10">
        <v>23311</v>
      </c>
      <c r="B2357" s="11" t="s">
        <v>15532</v>
      </c>
      <c r="C2357" s="11" t="s">
        <v>15533</v>
      </c>
      <c r="D2357" s="11" t="s">
        <v>14178</v>
      </c>
      <c r="E2357" s="11"/>
      <c r="F2357" s="11" t="s">
        <v>353</v>
      </c>
      <c r="G2357" s="11" t="s">
        <v>3929</v>
      </c>
      <c r="H2357" s="11" t="s">
        <v>704</v>
      </c>
      <c r="I2357" s="11" t="s">
        <v>15534</v>
      </c>
      <c r="J2357" s="11" t="s">
        <v>15535</v>
      </c>
      <c r="K2357" s="11" t="s">
        <v>850</v>
      </c>
      <c r="L2357" s="11" t="s">
        <v>126</v>
      </c>
      <c r="M2357" s="11" t="s">
        <v>15536</v>
      </c>
      <c r="N2357" s="11" t="s">
        <v>128</v>
      </c>
      <c r="O2357" s="11" t="s">
        <v>15537</v>
      </c>
      <c r="P2357" s="11" t="s">
        <v>7369</v>
      </c>
      <c r="Q2357" s="11" t="s">
        <v>150</v>
      </c>
      <c r="R2357" s="11"/>
      <c r="S2357" s="11" t="s">
        <v>71</v>
      </c>
      <c r="T2357" s="11" t="s">
        <v>70</v>
      </c>
      <c r="U2357" s="11" t="s">
        <v>150</v>
      </c>
      <c r="V2357" s="11" t="s">
        <v>70</v>
      </c>
      <c r="W2357" s="11" t="s">
        <v>70</v>
      </c>
      <c r="X2357" s="11">
        <v>14</v>
      </c>
      <c r="Y2357" s="11" t="s">
        <v>12359</v>
      </c>
      <c r="Z2357" s="11">
        <v>20</v>
      </c>
      <c r="AA2357" s="11">
        <v>0</v>
      </c>
      <c r="AB2357" s="12">
        <v>0</v>
      </c>
    </row>
    <row r="2358" spans="1:28" x14ac:dyDescent="0.2">
      <c r="A2358" s="7">
        <v>28619</v>
      </c>
      <c r="B2358" s="8" t="s">
        <v>15538</v>
      </c>
      <c r="C2358" s="8" t="s">
        <v>15539</v>
      </c>
      <c r="D2358" s="8" t="s">
        <v>9691</v>
      </c>
      <c r="E2358" s="8"/>
      <c r="F2358" s="8" t="s">
        <v>15540</v>
      </c>
      <c r="G2358" s="8" t="s">
        <v>2192</v>
      </c>
      <c r="H2358" s="8" t="s">
        <v>704</v>
      </c>
      <c r="I2358" s="8" t="s">
        <v>15541</v>
      </c>
      <c r="J2358" s="8" t="s">
        <v>15542</v>
      </c>
      <c r="K2358" s="8" t="s">
        <v>707</v>
      </c>
      <c r="L2358" s="8" t="s">
        <v>126</v>
      </c>
      <c r="M2358" s="8" t="s">
        <v>15543</v>
      </c>
      <c r="N2358" s="8" t="s">
        <v>128</v>
      </c>
      <c r="O2358" s="8" t="s">
        <v>15544</v>
      </c>
      <c r="P2358" s="8" t="s">
        <v>15545</v>
      </c>
      <c r="Q2358" s="8" t="s">
        <v>150</v>
      </c>
      <c r="R2358" s="8"/>
      <c r="S2358" s="8" t="s">
        <v>15546</v>
      </c>
      <c r="T2358" s="8" t="s">
        <v>70</v>
      </c>
      <c r="U2358" s="8" t="s">
        <v>150</v>
      </c>
      <c r="V2358" s="8" t="s">
        <v>70</v>
      </c>
      <c r="W2358" s="8" t="s">
        <v>70</v>
      </c>
      <c r="X2358" s="8">
        <v>14</v>
      </c>
      <c r="Y2358" s="8" t="s">
        <v>12359</v>
      </c>
      <c r="Z2358" s="8">
        <v>20</v>
      </c>
      <c r="AA2358" s="8">
        <v>0</v>
      </c>
      <c r="AB2358" s="9">
        <v>0</v>
      </c>
    </row>
    <row r="2359" spans="1:28" x14ac:dyDescent="0.2">
      <c r="A2359" s="10">
        <v>23752</v>
      </c>
      <c r="B2359" s="11" t="s">
        <v>15547</v>
      </c>
      <c r="C2359" s="11" t="s">
        <v>2481</v>
      </c>
      <c r="D2359" s="11" t="s">
        <v>12544</v>
      </c>
      <c r="E2359" s="11"/>
      <c r="F2359" s="11" t="s">
        <v>353</v>
      </c>
      <c r="G2359" s="11" t="s">
        <v>615</v>
      </c>
      <c r="H2359" s="11" t="s">
        <v>616</v>
      </c>
      <c r="I2359" s="11" t="s">
        <v>15548</v>
      </c>
      <c r="J2359" s="11" t="s">
        <v>15549</v>
      </c>
      <c r="K2359" s="11" t="s">
        <v>619</v>
      </c>
      <c r="L2359" s="11" t="s">
        <v>163</v>
      </c>
      <c r="M2359" s="11" t="s">
        <v>15550</v>
      </c>
      <c r="N2359" s="11" t="s">
        <v>128</v>
      </c>
      <c r="O2359" s="11" t="s">
        <v>15551</v>
      </c>
      <c r="P2359" s="11" t="s">
        <v>15552</v>
      </c>
      <c r="Q2359" s="11" t="s">
        <v>150</v>
      </c>
      <c r="R2359" s="11"/>
      <c r="S2359" s="11" t="s">
        <v>71</v>
      </c>
      <c r="T2359" s="11" t="s">
        <v>168</v>
      </c>
      <c r="U2359" s="11" t="s">
        <v>150</v>
      </c>
      <c r="V2359" s="11" t="s">
        <v>168</v>
      </c>
      <c r="W2359" s="11" t="s">
        <v>168</v>
      </c>
      <c r="X2359" s="11">
        <v>14</v>
      </c>
      <c r="Y2359" s="11" t="s">
        <v>12359</v>
      </c>
      <c r="Z2359" s="11">
        <v>20</v>
      </c>
      <c r="AA2359" s="11">
        <v>0</v>
      </c>
      <c r="AB2359" s="12">
        <v>0</v>
      </c>
    </row>
    <row r="2360" spans="1:28" x14ac:dyDescent="0.2">
      <c r="A2360" s="7">
        <v>37866</v>
      </c>
      <c r="B2360" s="8" t="s">
        <v>15553</v>
      </c>
      <c r="C2360" s="8" t="s">
        <v>10117</v>
      </c>
      <c r="D2360" s="8" t="s">
        <v>10118</v>
      </c>
      <c r="E2360" s="8"/>
      <c r="F2360" s="8" t="s">
        <v>10119</v>
      </c>
      <c r="G2360" s="8" t="s">
        <v>10870</v>
      </c>
      <c r="H2360" s="8" t="s">
        <v>191</v>
      </c>
      <c r="I2360" s="8" t="s">
        <v>10120</v>
      </c>
      <c r="J2360" s="8" t="s">
        <v>15554</v>
      </c>
      <c r="K2360" s="8" t="s">
        <v>194</v>
      </c>
      <c r="L2360" s="8" t="s">
        <v>163</v>
      </c>
      <c r="M2360" s="8" t="s">
        <v>15555</v>
      </c>
      <c r="N2360" s="8" t="s">
        <v>128</v>
      </c>
      <c r="O2360" s="8" t="s">
        <v>15556</v>
      </c>
      <c r="P2360" s="8" t="s">
        <v>15557</v>
      </c>
      <c r="Q2360" s="8" t="s">
        <v>150</v>
      </c>
      <c r="R2360" s="8"/>
      <c r="S2360" s="8" t="s">
        <v>10125</v>
      </c>
      <c r="T2360" s="8" t="s">
        <v>168</v>
      </c>
      <c r="U2360" s="8" t="s">
        <v>150</v>
      </c>
      <c r="V2360" s="8" t="s">
        <v>168</v>
      </c>
      <c r="W2360" s="8" t="s">
        <v>168</v>
      </c>
      <c r="X2360" s="8">
        <v>14</v>
      </c>
      <c r="Y2360" s="8" t="s">
        <v>12359</v>
      </c>
      <c r="Z2360" s="8">
        <v>20</v>
      </c>
      <c r="AA2360" s="8">
        <v>0</v>
      </c>
      <c r="AB2360" s="9">
        <v>0</v>
      </c>
    </row>
    <row r="2361" spans="1:28" x14ac:dyDescent="0.2">
      <c r="A2361" s="10">
        <v>24141</v>
      </c>
      <c r="B2361" s="11" t="s">
        <v>15558</v>
      </c>
      <c r="C2361" s="11" t="s">
        <v>5843</v>
      </c>
      <c r="D2361" s="11" t="s">
        <v>5844</v>
      </c>
      <c r="E2361" s="11" t="s">
        <v>15559</v>
      </c>
      <c r="F2361" s="11" t="s">
        <v>5845</v>
      </c>
      <c r="G2361" s="11" t="s">
        <v>5846</v>
      </c>
      <c r="H2361" s="11" t="s">
        <v>159</v>
      </c>
      <c r="I2361" s="11" t="s">
        <v>6046</v>
      </c>
      <c r="J2361" s="11" t="s">
        <v>6047</v>
      </c>
      <c r="K2361" s="11" t="s">
        <v>162</v>
      </c>
      <c r="L2361" s="11" t="s">
        <v>163</v>
      </c>
      <c r="M2361" s="11" t="s">
        <v>15560</v>
      </c>
      <c r="N2361" s="11" t="s">
        <v>128</v>
      </c>
      <c r="O2361" s="11" t="s">
        <v>15561</v>
      </c>
      <c r="P2361" s="11" t="s">
        <v>15562</v>
      </c>
      <c r="Q2361" s="11" t="s">
        <v>150</v>
      </c>
      <c r="R2361" s="11"/>
      <c r="S2361" s="11" t="s">
        <v>5852</v>
      </c>
      <c r="T2361" s="11" t="s">
        <v>3270</v>
      </c>
      <c r="U2361" s="11" t="s">
        <v>150</v>
      </c>
      <c r="V2361" s="11" t="s">
        <v>3270</v>
      </c>
      <c r="W2361" s="11" t="s">
        <v>3270</v>
      </c>
      <c r="X2361" s="11">
        <v>14</v>
      </c>
      <c r="Y2361" s="11" t="s">
        <v>12359</v>
      </c>
      <c r="Z2361" s="11">
        <v>20</v>
      </c>
      <c r="AA2361" s="11">
        <v>0</v>
      </c>
      <c r="AB2361" s="12">
        <v>0</v>
      </c>
    </row>
    <row r="2362" spans="1:28" x14ac:dyDescent="0.2">
      <c r="A2362" s="7">
        <v>24883</v>
      </c>
      <c r="B2362" s="8" t="s">
        <v>15563</v>
      </c>
      <c r="C2362" s="8" t="s">
        <v>6061</v>
      </c>
      <c r="D2362" s="8" t="s">
        <v>6062</v>
      </c>
      <c r="E2362" s="8" t="s">
        <v>15564</v>
      </c>
      <c r="F2362" s="8" t="s">
        <v>6064</v>
      </c>
      <c r="G2362" s="8" t="s">
        <v>1937</v>
      </c>
      <c r="H2362" s="8" t="s">
        <v>142</v>
      </c>
      <c r="I2362" s="8" t="s">
        <v>6065</v>
      </c>
      <c r="J2362" s="8" t="s">
        <v>6066</v>
      </c>
      <c r="K2362" s="8" t="s">
        <v>1673</v>
      </c>
      <c r="L2362" s="8" t="s">
        <v>464</v>
      </c>
      <c r="M2362" s="8" t="s">
        <v>15565</v>
      </c>
      <c r="N2362" s="8" t="s">
        <v>128</v>
      </c>
      <c r="O2362" s="8" t="s">
        <v>15566</v>
      </c>
      <c r="P2362" s="8" t="s">
        <v>15567</v>
      </c>
      <c r="Q2362" s="8" t="s">
        <v>150</v>
      </c>
      <c r="R2362" s="8"/>
      <c r="S2362" s="8" t="s">
        <v>6069</v>
      </c>
      <c r="T2362" s="8" t="s">
        <v>1738</v>
      </c>
      <c r="U2362" s="8" t="s">
        <v>150</v>
      </c>
      <c r="V2362" s="8" t="s">
        <v>1738</v>
      </c>
      <c r="W2362" s="8" t="s">
        <v>1738</v>
      </c>
      <c r="X2362" s="8">
        <v>14</v>
      </c>
      <c r="Y2362" s="8" t="s">
        <v>12359</v>
      </c>
      <c r="Z2362" s="8">
        <v>20</v>
      </c>
      <c r="AA2362" s="8">
        <v>0</v>
      </c>
      <c r="AB2362" s="9">
        <v>0</v>
      </c>
    </row>
    <row r="2363" spans="1:28" x14ac:dyDescent="0.2">
      <c r="A2363" s="10">
        <v>115856</v>
      </c>
      <c r="B2363" s="11" t="s">
        <v>15568</v>
      </c>
      <c r="C2363" s="11" t="s">
        <v>11392</v>
      </c>
      <c r="D2363" s="11" t="s">
        <v>2091</v>
      </c>
      <c r="E2363" s="11"/>
      <c r="F2363" s="11" t="s">
        <v>13608</v>
      </c>
      <c r="G2363" s="11" t="s">
        <v>11394</v>
      </c>
      <c r="H2363" s="11" t="s">
        <v>704</v>
      </c>
      <c r="I2363" s="11" t="s">
        <v>15569</v>
      </c>
      <c r="J2363" s="11" t="s">
        <v>13284</v>
      </c>
      <c r="K2363" s="11" t="s">
        <v>707</v>
      </c>
      <c r="L2363" s="11" t="s">
        <v>126</v>
      </c>
      <c r="M2363" s="11" t="s">
        <v>15570</v>
      </c>
      <c r="N2363" s="11" t="s">
        <v>128</v>
      </c>
      <c r="O2363" s="11" t="s">
        <v>15571</v>
      </c>
      <c r="P2363" s="11" t="s">
        <v>15572</v>
      </c>
      <c r="Q2363" s="11" t="s">
        <v>150</v>
      </c>
      <c r="R2363" s="11"/>
      <c r="S2363" s="11" t="s">
        <v>11399</v>
      </c>
      <c r="T2363" s="11" t="s">
        <v>1738</v>
      </c>
      <c r="U2363" s="11" t="s">
        <v>150</v>
      </c>
      <c r="V2363" s="11" t="s">
        <v>1738</v>
      </c>
      <c r="W2363" s="11" t="s">
        <v>1738</v>
      </c>
      <c r="X2363" s="11">
        <v>14</v>
      </c>
      <c r="Y2363" s="11" t="s">
        <v>12359</v>
      </c>
      <c r="Z2363" s="11">
        <v>20</v>
      </c>
      <c r="AA2363" s="11">
        <v>0</v>
      </c>
      <c r="AB2363" s="12">
        <v>0</v>
      </c>
    </row>
    <row r="2364" spans="1:28" x14ac:dyDescent="0.2">
      <c r="A2364" s="7">
        <v>218074</v>
      </c>
      <c r="B2364" s="8" t="s">
        <v>15573</v>
      </c>
      <c r="C2364" s="8" t="s">
        <v>15017</v>
      </c>
      <c r="D2364" s="8" t="s">
        <v>8452</v>
      </c>
      <c r="E2364" s="8" t="s">
        <v>15574</v>
      </c>
      <c r="F2364" s="8" t="s">
        <v>353</v>
      </c>
      <c r="G2364" s="8" t="s">
        <v>1727</v>
      </c>
      <c r="H2364" s="8" t="s">
        <v>557</v>
      </c>
      <c r="I2364" s="8" t="s">
        <v>15575</v>
      </c>
      <c r="J2364" s="8" t="s">
        <v>15020</v>
      </c>
      <c r="K2364" s="8" t="s">
        <v>1562</v>
      </c>
      <c r="L2364" s="8" t="s">
        <v>229</v>
      </c>
      <c r="M2364" s="8" t="s">
        <v>15576</v>
      </c>
      <c r="N2364" s="8" t="s">
        <v>128</v>
      </c>
      <c r="O2364" s="8" t="s">
        <v>15577</v>
      </c>
      <c r="P2364" s="8"/>
      <c r="Q2364" s="8" t="s">
        <v>740</v>
      </c>
      <c r="R2364" s="8"/>
      <c r="S2364" s="8" t="s">
        <v>15023</v>
      </c>
      <c r="T2364" s="8" t="s">
        <v>1745</v>
      </c>
      <c r="U2364" s="8" t="s">
        <v>134</v>
      </c>
      <c r="V2364" s="8" t="s">
        <v>740</v>
      </c>
      <c r="W2364" s="8" t="s">
        <v>1745</v>
      </c>
      <c r="X2364" s="8">
        <v>14</v>
      </c>
      <c r="Y2364" s="8" t="s">
        <v>12359</v>
      </c>
      <c r="Z2364" s="8">
        <v>20</v>
      </c>
      <c r="AA2364" s="8">
        <v>0</v>
      </c>
      <c r="AB2364" s="9">
        <v>0</v>
      </c>
    </row>
    <row r="2365" spans="1:28" x14ac:dyDescent="0.2">
      <c r="A2365" s="10">
        <v>218077</v>
      </c>
      <c r="B2365" s="11" t="s">
        <v>15578</v>
      </c>
      <c r="C2365" s="11" t="s">
        <v>15017</v>
      </c>
      <c r="D2365" s="11" t="s">
        <v>8452</v>
      </c>
      <c r="E2365" s="11" t="s">
        <v>15579</v>
      </c>
      <c r="F2365" s="11" t="s">
        <v>353</v>
      </c>
      <c r="G2365" s="11" t="s">
        <v>1727</v>
      </c>
      <c r="H2365" s="11" t="s">
        <v>557</v>
      </c>
      <c r="I2365" s="11" t="s">
        <v>15019</v>
      </c>
      <c r="J2365" s="11" t="s">
        <v>15020</v>
      </c>
      <c r="K2365" s="11" t="s">
        <v>1562</v>
      </c>
      <c r="L2365" s="11" t="s">
        <v>229</v>
      </c>
      <c r="M2365" s="11" t="s">
        <v>15580</v>
      </c>
      <c r="N2365" s="11" t="s">
        <v>128</v>
      </c>
      <c r="O2365" s="11" t="s">
        <v>15581</v>
      </c>
      <c r="P2365" s="11"/>
      <c r="Q2365" s="11" t="s">
        <v>740</v>
      </c>
      <c r="R2365" s="11"/>
      <c r="S2365" s="11" t="s">
        <v>15023</v>
      </c>
      <c r="T2365" s="11" t="s">
        <v>1745</v>
      </c>
      <c r="U2365" s="11" t="s">
        <v>134</v>
      </c>
      <c r="V2365" s="11" t="s">
        <v>740</v>
      </c>
      <c r="W2365" s="11" t="s">
        <v>1745</v>
      </c>
      <c r="X2365" s="11">
        <v>14</v>
      </c>
      <c r="Y2365" s="11" t="s">
        <v>12359</v>
      </c>
      <c r="Z2365" s="11">
        <v>20</v>
      </c>
      <c r="AA2365" s="11">
        <v>0</v>
      </c>
      <c r="AB2365" s="12">
        <v>0</v>
      </c>
    </row>
    <row r="2366" spans="1:28" x14ac:dyDescent="0.2">
      <c r="A2366" s="7">
        <v>25347</v>
      </c>
      <c r="B2366" s="8" t="s">
        <v>15582</v>
      </c>
      <c r="C2366" s="8" t="s">
        <v>2519</v>
      </c>
      <c r="D2366" s="8" t="s">
        <v>2520</v>
      </c>
      <c r="E2366" s="8" t="s">
        <v>15583</v>
      </c>
      <c r="F2366" s="8" t="s">
        <v>6892</v>
      </c>
      <c r="G2366" s="8" t="s">
        <v>364</v>
      </c>
      <c r="H2366" s="8" t="s">
        <v>365</v>
      </c>
      <c r="I2366" s="8" t="s">
        <v>6893</v>
      </c>
      <c r="J2366" s="8" t="s">
        <v>2524</v>
      </c>
      <c r="K2366" s="8" t="s">
        <v>162</v>
      </c>
      <c r="L2366" s="8" t="s">
        <v>163</v>
      </c>
      <c r="M2366" s="8" t="s">
        <v>15584</v>
      </c>
      <c r="N2366" s="8" t="s">
        <v>128</v>
      </c>
      <c r="O2366" s="8" t="s">
        <v>15585</v>
      </c>
      <c r="P2366" s="8"/>
      <c r="Q2366" s="8" t="s">
        <v>740</v>
      </c>
      <c r="R2366" s="8"/>
      <c r="S2366" s="8" t="s">
        <v>2528</v>
      </c>
      <c r="T2366" s="8" t="s">
        <v>1745</v>
      </c>
      <c r="U2366" s="8" t="s">
        <v>134</v>
      </c>
      <c r="V2366" s="8" t="s">
        <v>740</v>
      </c>
      <c r="W2366" s="8" t="s">
        <v>1745</v>
      </c>
      <c r="X2366" s="8">
        <v>14</v>
      </c>
      <c r="Y2366" s="8" t="s">
        <v>12359</v>
      </c>
      <c r="Z2366" s="8">
        <v>20</v>
      </c>
      <c r="AA2366" s="8">
        <v>0</v>
      </c>
      <c r="AB2366" s="9">
        <v>0</v>
      </c>
    </row>
    <row r="2367" spans="1:28" x14ac:dyDescent="0.2">
      <c r="A2367" s="10">
        <v>20741</v>
      </c>
      <c r="B2367" s="11" t="s">
        <v>15586</v>
      </c>
      <c r="C2367" s="11" t="s">
        <v>6508</v>
      </c>
      <c r="D2367" s="11" t="s">
        <v>6509</v>
      </c>
      <c r="E2367" s="11"/>
      <c r="F2367" s="11" t="s">
        <v>6510</v>
      </c>
      <c r="G2367" s="11" t="s">
        <v>141</v>
      </c>
      <c r="H2367" s="11" t="s">
        <v>142</v>
      </c>
      <c r="I2367" s="11" t="s">
        <v>6511</v>
      </c>
      <c r="J2367" s="11" t="s">
        <v>6512</v>
      </c>
      <c r="K2367" s="11" t="s">
        <v>472</v>
      </c>
      <c r="L2367" s="11" t="s">
        <v>146</v>
      </c>
      <c r="M2367" s="11" t="s">
        <v>15587</v>
      </c>
      <c r="N2367" s="11" t="s">
        <v>128</v>
      </c>
      <c r="O2367" s="11" t="s">
        <v>15588</v>
      </c>
      <c r="P2367" s="11" t="s">
        <v>15589</v>
      </c>
      <c r="Q2367" s="11" t="s">
        <v>740</v>
      </c>
      <c r="R2367" s="11"/>
      <c r="S2367" s="11" t="s">
        <v>6516</v>
      </c>
      <c r="T2367" s="11" t="s">
        <v>1745</v>
      </c>
      <c r="U2367" s="11" t="s">
        <v>134</v>
      </c>
      <c r="V2367" s="11" t="s">
        <v>740</v>
      </c>
      <c r="W2367" s="11" t="s">
        <v>1745</v>
      </c>
      <c r="X2367" s="11">
        <v>14</v>
      </c>
      <c r="Y2367" s="11" t="s">
        <v>12359</v>
      </c>
      <c r="Z2367" s="11">
        <v>20</v>
      </c>
      <c r="AA2367" s="11">
        <v>0</v>
      </c>
      <c r="AB2367" s="12">
        <v>0</v>
      </c>
    </row>
    <row r="2368" spans="1:28" x14ac:dyDescent="0.2">
      <c r="A2368" s="7">
        <v>25658</v>
      </c>
      <c r="B2368" s="8" t="s">
        <v>15590</v>
      </c>
      <c r="C2368" s="8" t="s">
        <v>11639</v>
      </c>
      <c r="D2368" s="8" t="s">
        <v>11640</v>
      </c>
      <c r="E2368" s="8"/>
      <c r="F2368" s="8"/>
      <c r="G2368" s="8" t="s">
        <v>2117</v>
      </c>
      <c r="H2368" s="8" t="s">
        <v>142</v>
      </c>
      <c r="I2368" s="8" t="s">
        <v>2118</v>
      </c>
      <c r="J2368" s="8" t="s">
        <v>15591</v>
      </c>
      <c r="K2368" s="8" t="s">
        <v>1673</v>
      </c>
      <c r="L2368" s="8" t="s">
        <v>464</v>
      </c>
      <c r="M2368" s="8" t="s">
        <v>15592</v>
      </c>
      <c r="N2368" s="8" t="s">
        <v>128</v>
      </c>
      <c r="O2368" s="8" t="s">
        <v>15593</v>
      </c>
      <c r="P2368" s="8"/>
      <c r="Q2368" s="8" t="s">
        <v>740</v>
      </c>
      <c r="R2368" s="8"/>
      <c r="S2368" s="8" t="s">
        <v>11648</v>
      </c>
      <c r="T2368" s="8" t="s">
        <v>1745</v>
      </c>
      <c r="U2368" s="8" t="s">
        <v>134</v>
      </c>
      <c r="V2368" s="8" t="s">
        <v>740</v>
      </c>
      <c r="W2368" s="8" t="s">
        <v>1745</v>
      </c>
      <c r="X2368" s="8">
        <v>14</v>
      </c>
      <c r="Y2368" s="8" t="s">
        <v>12359</v>
      </c>
      <c r="Z2368" s="8">
        <v>20</v>
      </c>
      <c r="AA2368" s="8">
        <v>0</v>
      </c>
      <c r="AB2368" s="9">
        <v>0</v>
      </c>
    </row>
    <row r="2369" spans="1:28" x14ac:dyDescent="0.2">
      <c r="A2369" s="10">
        <v>25236</v>
      </c>
      <c r="B2369" s="11" t="s">
        <v>15594</v>
      </c>
      <c r="C2369" s="11" t="s">
        <v>8262</v>
      </c>
      <c r="D2369" s="11" t="s">
        <v>2690</v>
      </c>
      <c r="E2369" s="11" t="s">
        <v>15595</v>
      </c>
      <c r="F2369" s="11" t="s">
        <v>353</v>
      </c>
      <c r="G2369" s="11" t="s">
        <v>2618</v>
      </c>
      <c r="H2369" s="11" t="s">
        <v>142</v>
      </c>
      <c r="I2369" s="11" t="s">
        <v>8264</v>
      </c>
      <c r="J2369" s="11" t="s">
        <v>8265</v>
      </c>
      <c r="K2369" s="11" t="s">
        <v>651</v>
      </c>
      <c r="L2369" s="11" t="s">
        <v>146</v>
      </c>
      <c r="M2369" s="11" t="s">
        <v>15596</v>
      </c>
      <c r="N2369" s="11" t="s">
        <v>128</v>
      </c>
      <c r="O2369" s="11" t="s">
        <v>15597</v>
      </c>
      <c r="P2369" s="11" t="s">
        <v>15598</v>
      </c>
      <c r="Q2369" s="11" t="s">
        <v>740</v>
      </c>
      <c r="R2369" s="11"/>
      <c r="S2369" s="11" t="s">
        <v>8268</v>
      </c>
      <c r="T2369" s="11" t="s">
        <v>741</v>
      </c>
      <c r="U2369" s="11" t="s">
        <v>134</v>
      </c>
      <c r="V2369" s="11" t="s">
        <v>740</v>
      </c>
      <c r="W2369" s="11" t="s">
        <v>741</v>
      </c>
      <c r="X2369" s="11">
        <v>14</v>
      </c>
      <c r="Y2369" s="11" t="s">
        <v>12359</v>
      </c>
      <c r="Z2369" s="11">
        <v>20</v>
      </c>
      <c r="AA2369" s="11">
        <v>0</v>
      </c>
      <c r="AB2369" s="12">
        <v>0</v>
      </c>
    </row>
    <row r="2370" spans="1:28" x14ac:dyDescent="0.2">
      <c r="A2370" s="7">
        <v>25125</v>
      </c>
      <c r="B2370" s="8" t="s">
        <v>15599</v>
      </c>
      <c r="C2370" s="8" t="s">
        <v>6953</v>
      </c>
      <c r="D2370" s="8" t="s">
        <v>6954</v>
      </c>
      <c r="E2370" s="8" t="s">
        <v>15600</v>
      </c>
      <c r="F2370" s="8" t="s">
        <v>6956</v>
      </c>
      <c r="G2370" s="8" t="s">
        <v>2332</v>
      </c>
      <c r="H2370" s="8" t="s">
        <v>142</v>
      </c>
      <c r="I2370" s="8" t="s">
        <v>6957</v>
      </c>
      <c r="J2370" s="8" t="s">
        <v>6958</v>
      </c>
      <c r="K2370" s="8" t="s">
        <v>779</v>
      </c>
      <c r="L2370" s="8" t="s">
        <v>464</v>
      </c>
      <c r="M2370" s="8" t="s">
        <v>15601</v>
      </c>
      <c r="N2370" s="8" t="s">
        <v>128</v>
      </c>
      <c r="O2370" s="8" t="s">
        <v>15602</v>
      </c>
      <c r="P2370" s="8" t="s">
        <v>15603</v>
      </c>
      <c r="Q2370" s="8" t="s">
        <v>740</v>
      </c>
      <c r="R2370" s="8"/>
      <c r="S2370" s="8" t="s">
        <v>6961</v>
      </c>
      <c r="T2370" s="8" t="s">
        <v>741</v>
      </c>
      <c r="U2370" s="8" t="s">
        <v>134</v>
      </c>
      <c r="V2370" s="8" t="s">
        <v>740</v>
      </c>
      <c r="W2370" s="8" t="s">
        <v>741</v>
      </c>
      <c r="X2370" s="8">
        <v>14</v>
      </c>
      <c r="Y2370" s="8" t="s">
        <v>12359</v>
      </c>
      <c r="Z2370" s="8">
        <v>20</v>
      </c>
      <c r="AA2370" s="8">
        <v>0</v>
      </c>
      <c r="AB2370" s="9">
        <v>0</v>
      </c>
    </row>
    <row r="2371" spans="1:28" x14ac:dyDescent="0.2">
      <c r="A2371" s="10">
        <v>31260</v>
      </c>
      <c r="B2371" s="11" t="s">
        <v>15604</v>
      </c>
      <c r="C2371" s="11" t="s">
        <v>11975</v>
      </c>
      <c r="D2371" s="11" t="s">
        <v>11976</v>
      </c>
      <c r="E2371" s="11"/>
      <c r="F2371" s="11" t="s">
        <v>11977</v>
      </c>
      <c r="G2371" s="11" t="s">
        <v>158</v>
      </c>
      <c r="H2371" s="11" t="s">
        <v>159</v>
      </c>
      <c r="I2371" s="11" t="s">
        <v>15605</v>
      </c>
      <c r="J2371" s="11" t="s">
        <v>15606</v>
      </c>
      <c r="K2371" s="11" t="s">
        <v>274</v>
      </c>
      <c r="L2371" s="11" t="s">
        <v>163</v>
      </c>
      <c r="M2371" s="11" t="s">
        <v>15607</v>
      </c>
      <c r="N2371" s="11" t="s">
        <v>128</v>
      </c>
      <c r="O2371" s="11" t="s">
        <v>15608</v>
      </c>
      <c r="P2371" s="11" t="s">
        <v>15609</v>
      </c>
      <c r="Q2371" s="11" t="s">
        <v>740</v>
      </c>
      <c r="R2371" s="11"/>
      <c r="S2371" s="11" t="s">
        <v>11983</v>
      </c>
      <c r="T2371" s="11" t="s">
        <v>741</v>
      </c>
      <c r="U2371" s="11" t="s">
        <v>134</v>
      </c>
      <c r="V2371" s="11" t="s">
        <v>740</v>
      </c>
      <c r="W2371" s="11" t="s">
        <v>741</v>
      </c>
      <c r="X2371" s="11">
        <v>14</v>
      </c>
      <c r="Y2371" s="11" t="s">
        <v>12359</v>
      </c>
      <c r="Z2371" s="11">
        <v>20</v>
      </c>
      <c r="AA2371" s="11">
        <v>0</v>
      </c>
      <c r="AB2371" s="12">
        <v>0</v>
      </c>
    </row>
    <row r="2372" spans="1:28" x14ac:dyDescent="0.2">
      <c r="A2372" s="7">
        <v>25282</v>
      </c>
      <c r="B2372" s="8" t="s">
        <v>15610</v>
      </c>
      <c r="C2372" s="8" t="s">
        <v>7282</v>
      </c>
      <c r="D2372" s="8" t="s">
        <v>15611</v>
      </c>
      <c r="E2372" s="8"/>
      <c r="F2372" s="8" t="s">
        <v>353</v>
      </c>
      <c r="G2372" s="8" t="s">
        <v>3259</v>
      </c>
      <c r="H2372" s="8" t="s">
        <v>557</v>
      </c>
      <c r="I2372" s="8" t="s">
        <v>14833</v>
      </c>
      <c r="J2372" s="8" t="s">
        <v>15612</v>
      </c>
      <c r="K2372" s="8" t="s">
        <v>1562</v>
      </c>
      <c r="L2372" s="8" t="s">
        <v>229</v>
      </c>
      <c r="M2372" s="8" t="s">
        <v>15613</v>
      </c>
      <c r="N2372" s="8" t="s">
        <v>128</v>
      </c>
      <c r="O2372" s="8" t="s">
        <v>15614</v>
      </c>
      <c r="P2372" s="8"/>
      <c r="Q2372" s="8" t="s">
        <v>740</v>
      </c>
      <c r="R2372" s="8"/>
      <c r="S2372" s="8" t="s">
        <v>71</v>
      </c>
      <c r="T2372" s="8" t="s">
        <v>741</v>
      </c>
      <c r="U2372" s="8" t="s">
        <v>134</v>
      </c>
      <c r="V2372" s="8" t="s">
        <v>740</v>
      </c>
      <c r="W2372" s="8" t="s">
        <v>741</v>
      </c>
      <c r="X2372" s="8">
        <v>14</v>
      </c>
      <c r="Y2372" s="8" t="s">
        <v>12359</v>
      </c>
      <c r="Z2372" s="8">
        <v>20</v>
      </c>
      <c r="AA2372" s="8">
        <v>0</v>
      </c>
      <c r="AB2372" s="9">
        <v>0</v>
      </c>
    </row>
    <row r="2373" spans="1:28" x14ac:dyDescent="0.2">
      <c r="A2373" s="10">
        <v>22152</v>
      </c>
      <c r="B2373" s="11" t="s">
        <v>15615</v>
      </c>
      <c r="C2373" s="11" t="s">
        <v>1214</v>
      </c>
      <c r="D2373" s="11" t="s">
        <v>1215</v>
      </c>
      <c r="E2373" s="11" t="s">
        <v>15616</v>
      </c>
      <c r="F2373" s="11" t="s">
        <v>353</v>
      </c>
      <c r="G2373" s="11" t="s">
        <v>536</v>
      </c>
      <c r="H2373" s="11" t="s">
        <v>329</v>
      </c>
      <c r="I2373" s="11" t="s">
        <v>1216</v>
      </c>
      <c r="J2373" s="11" t="s">
        <v>15617</v>
      </c>
      <c r="K2373" s="11" t="s">
        <v>572</v>
      </c>
      <c r="L2373" s="11" t="s">
        <v>333</v>
      </c>
      <c r="M2373" s="11" t="s">
        <v>15618</v>
      </c>
      <c r="N2373" s="11" t="s">
        <v>128</v>
      </c>
      <c r="O2373" s="11" t="s">
        <v>15619</v>
      </c>
      <c r="P2373" s="11"/>
      <c r="Q2373" s="11" t="s">
        <v>249</v>
      </c>
      <c r="R2373" s="11"/>
      <c r="S2373" s="11" t="s">
        <v>1643</v>
      </c>
      <c r="T2373" s="11" t="s">
        <v>1523</v>
      </c>
      <c r="U2373" s="11" t="s">
        <v>134</v>
      </c>
      <c r="V2373" s="11" t="s">
        <v>249</v>
      </c>
      <c r="W2373" s="11" t="s">
        <v>1523</v>
      </c>
      <c r="X2373" s="11">
        <v>14</v>
      </c>
      <c r="Y2373" s="11" t="s">
        <v>12359</v>
      </c>
      <c r="Z2373" s="11">
        <v>20</v>
      </c>
      <c r="AA2373" s="11">
        <v>0</v>
      </c>
      <c r="AB2373" s="12">
        <v>0</v>
      </c>
    </row>
    <row r="2374" spans="1:28" x14ac:dyDescent="0.2">
      <c r="A2374" s="7">
        <v>218076</v>
      </c>
      <c r="B2374" s="8" t="s">
        <v>15620</v>
      </c>
      <c r="C2374" s="8" t="s">
        <v>15017</v>
      </c>
      <c r="D2374" s="8" t="s">
        <v>8452</v>
      </c>
      <c r="E2374" s="8" t="s">
        <v>15621</v>
      </c>
      <c r="F2374" s="8" t="s">
        <v>353</v>
      </c>
      <c r="G2374" s="8" t="s">
        <v>1727</v>
      </c>
      <c r="H2374" s="8" t="s">
        <v>557</v>
      </c>
      <c r="I2374" s="8" t="s">
        <v>15622</v>
      </c>
      <c r="J2374" s="8" t="s">
        <v>15020</v>
      </c>
      <c r="K2374" s="8" t="s">
        <v>1562</v>
      </c>
      <c r="L2374" s="8" t="s">
        <v>229</v>
      </c>
      <c r="M2374" s="8" t="s">
        <v>15623</v>
      </c>
      <c r="N2374" s="8" t="s">
        <v>128</v>
      </c>
      <c r="O2374" s="8" t="s">
        <v>15624</v>
      </c>
      <c r="P2374" s="8"/>
      <c r="Q2374" s="8" t="s">
        <v>249</v>
      </c>
      <c r="R2374" s="8"/>
      <c r="S2374" s="8" t="s">
        <v>15023</v>
      </c>
      <c r="T2374" s="8" t="s">
        <v>1523</v>
      </c>
      <c r="U2374" s="8" t="s">
        <v>134</v>
      </c>
      <c r="V2374" s="8" t="s">
        <v>249</v>
      </c>
      <c r="W2374" s="8" t="s">
        <v>1523</v>
      </c>
      <c r="X2374" s="8">
        <v>14</v>
      </c>
      <c r="Y2374" s="8" t="s">
        <v>12359</v>
      </c>
      <c r="Z2374" s="8">
        <v>20</v>
      </c>
      <c r="AA2374" s="8">
        <v>0</v>
      </c>
      <c r="AB2374" s="9">
        <v>0</v>
      </c>
    </row>
    <row r="2375" spans="1:28" x14ac:dyDescent="0.2">
      <c r="A2375" s="10">
        <v>114859</v>
      </c>
      <c r="B2375" s="11" t="s">
        <v>15625</v>
      </c>
      <c r="C2375" s="11" t="s">
        <v>9102</v>
      </c>
      <c r="D2375" s="11" t="s">
        <v>7953</v>
      </c>
      <c r="E2375" s="11" t="s">
        <v>15626</v>
      </c>
      <c r="F2375" s="11" t="s">
        <v>9104</v>
      </c>
      <c r="G2375" s="11" t="s">
        <v>4137</v>
      </c>
      <c r="H2375" s="11" t="s">
        <v>142</v>
      </c>
      <c r="I2375" s="11" t="s">
        <v>9105</v>
      </c>
      <c r="J2375" s="11" t="s">
        <v>15627</v>
      </c>
      <c r="K2375" s="11" t="s">
        <v>1199</v>
      </c>
      <c r="L2375" s="11" t="s">
        <v>464</v>
      </c>
      <c r="M2375" s="11" t="s">
        <v>15628</v>
      </c>
      <c r="N2375" s="11" t="s">
        <v>128</v>
      </c>
      <c r="O2375" s="11" t="s">
        <v>15629</v>
      </c>
      <c r="P2375" s="11"/>
      <c r="Q2375" s="11" t="s">
        <v>249</v>
      </c>
      <c r="R2375" s="11"/>
      <c r="S2375" s="11" t="s">
        <v>9110</v>
      </c>
      <c r="T2375" s="11" t="s">
        <v>1523</v>
      </c>
      <c r="U2375" s="11" t="s">
        <v>134</v>
      </c>
      <c r="V2375" s="11" t="s">
        <v>249</v>
      </c>
      <c r="W2375" s="11" t="s">
        <v>1523</v>
      </c>
      <c r="X2375" s="11">
        <v>14</v>
      </c>
      <c r="Y2375" s="11" t="s">
        <v>12359</v>
      </c>
      <c r="Z2375" s="11">
        <v>20</v>
      </c>
      <c r="AA2375" s="11">
        <v>0</v>
      </c>
      <c r="AB2375" s="12">
        <v>0</v>
      </c>
    </row>
    <row r="2376" spans="1:28" x14ac:dyDescent="0.2">
      <c r="A2376" s="7">
        <v>22144</v>
      </c>
      <c r="B2376" s="8" t="s">
        <v>15630</v>
      </c>
      <c r="C2376" s="8" t="s">
        <v>137</v>
      </c>
      <c r="D2376" s="8" t="s">
        <v>138</v>
      </c>
      <c r="E2376" s="8"/>
      <c r="F2376" s="8" t="s">
        <v>140</v>
      </c>
      <c r="G2376" s="8" t="s">
        <v>141</v>
      </c>
      <c r="H2376" s="8" t="s">
        <v>142</v>
      </c>
      <c r="I2376" s="8" t="s">
        <v>7277</v>
      </c>
      <c r="J2376" s="8" t="s">
        <v>15631</v>
      </c>
      <c r="K2376" s="8" t="s">
        <v>145</v>
      </c>
      <c r="L2376" s="8" t="s">
        <v>146</v>
      </c>
      <c r="M2376" s="8" t="s">
        <v>15632</v>
      </c>
      <c r="N2376" s="8" t="s">
        <v>128</v>
      </c>
      <c r="O2376" s="8" t="s">
        <v>15633</v>
      </c>
      <c r="P2376" s="8"/>
      <c r="Q2376" s="8" t="s">
        <v>249</v>
      </c>
      <c r="R2376" s="8"/>
      <c r="S2376" s="8" t="s">
        <v>151</v>
      </c>
      <c r="T2376" s="8" t="s">
        <v>1523</v>
      </c>
      <c r="U2376" s="8" t="s">
        <v>134</v>
      </c>
      <c r="V2376" s="8" t="s">
        <v>249</v>
      </c>
      <c r="W2376" s="8" t="s">
        <v>1523</v>
      </c>
      <c r="X2376" s="8">
        <v>14</v>
      </c>
      <c r="Y2376" s="8" t="s">
        <v>12359</v>
      </c>
      <c r="Z2376" s="8">
        <v>20</v>
      </c>
      <c r="AA2376" s="8">
        <v>0</v>
      </c>
      <c r="AB2376" s="9">
        <v>0</v>
      </c>
    </row>
    <row r="2377" spans="1:28" x14ac:dyDescent="0.2">
      <c r="A2377" s="10">
        <v>37989</v>
      </c>
      <c r="B2377" s="11" t="s">
        <v>15634</v>
      </c>
      <c r="C2377" s="11" t="s">
        <v>15099</v>
      </c>
      <c r="D2377" s="11" t="s">
        <v>3377</v>
      </c>
      <c r="E2377" s="11"/>
      <c r="F2377" s="11" t="s">
        <v>15100</v>
      </c>
      <c r="G2377" s="11" t="s">
        <v>141</v>
      </c>
      <c r="H2377" s="11" t="s">
        <v>142</v>
      </c>
      <c r="I2377" s="11" t="s">
        <v>12974</v>
      </c>
      <c r="J2377" s="11" t="s">
        <v>15635</v>
      </c>
      <c r="K2377" s="11" t="s">
        <v>991</v>
      </c>
      <c r="L2377" s="11" t="s">
        <v>146</v>
      </c>
      <c r="M2377" s="11" t="s">
        <v>15636</v>
      </c>
      <c r="N2377" s="11" t="s">
        <v>128</v>
      </c>
      <c r="O2377" s="11" t="s">
        <v>15637</v>
      </c>
      <c r="P2377" s="11"/>
      <c r="Q2377" s="11" t="s">
        <v>249</v>
      </c>
      <c r="R2377" s="11"/>
      <c r="S2377" s="11" t="s">
        <v>15105</v>
      </c>
      <c r="T2377" s="11" t="s">
        <v>1523</v>
      </c>
      <c r="U2377" s="11" t="s">
        <v>134</v>
      </c>
      <c r="V2377" s="11" t="s">
        <v>249</v>
      </c>
      <c r="W2377" s="11" t="s">
        <v>1523</v>
      </c>
      <c r="X2377" s="11">
        <v>14</v>
      </c>
      <c r="Y2377" s="11" t="s">
        <v>12359</v>
      </c>
      <c r="Z2377" s="11">
        <v>20</v>
      </c>
      <c r="AA2377" s="11">
        <v>0</v>
      </c>
      <c r="AB2377" s="12">
        <v>0</v>
      </c>
    </row>
    <row r="2378" spans="1:28" x14ac:dyDescent="0.2">
      <c r="A2378" s="7">
        <v>116054</v>
      </c>
      <c r="B2378" s="8" t="s">
        <v>15638</v>
      </c>
      <c r="C2378" s="8" t="s">
        <v>11639</v>
      </c>
      <c r="D2378" s="8" t="s">
        <v>11640</v>
      </c>
      <c r="E2378" s="8"/>
      <c r="F2378" s="8" t="s">
        <v>15639</v>
      </c>
      <c r="G2378" s="8" t="s">
        <v>2117</v>
      </c>
      <c r="H2378" s="8" t="s">
        <v>142</v>
      </c>
      <c r="I2378" s="8" t="s">
        <v>15289</v>
      </c>
      <c r="J2378" s="8" t="s">
        <v>11644</v>
      </c>
      <c r="K2378" s="8" t="s">
        <v>1673</v>
      </c>
      <c r="L2378" s="8" t="s">
        <v>464</v>
      </c>
      <c r="M2378" s="8" t="s">
        <v>15640</v>
      </c>
      <c r="N2378" s="8" t="s">
        <v>128</v>
      </c>
      <c r="O2378" s="8" t="s">
        <v>15641</v>
      </c>
      <c r="P2378" s="8"/>
      <c r="Q2378" s="8" t="s">
        <v>249</v>
      </c>
      <c r="R2378" s="8"/>
      <c r="S2378" s="8" t="s">
        <v>11648</v>
      </c>
      <c r="T2378" s="8" t="s">
        <v>1523</v>
      </c>
      <c r="U2378" s="8" t="s">
        <v>134</v>
      </c>
      <c r="V2378" s="8" t="s">
        <v>249</v>
      </c>
      <c r="W2378" s="8" t="s">
        <v>1523</v>
      </c>
      <c r="X2378" s="8">
        <v>14</v>
      </c>
      <c r="Y2378" s="8" t="s">
        <v>12359</v>
      </c>
      <c r="Z2378" s="8">
        <v>20</v>
      </c>
      <c r="AA2378" s="8">
        <v>0</v>
      </c>
      <c r="AB2378" s="9">
        <v>0</v>
      </c>
    </row>
    <row r="2379" spans="1:28" x14ac:dyDescent="0.2">
      <c r="A2379" s="10">
        <v>92872</v>
      </c>
      <c r="B2379" s="11" t="s">
        <v>15642</v>
      </c>
      <c r="C2379" s="11" t="s">
        <v>8613</v>
      </c>
      <c r="D2379" s="11" t="s">
        <v>15643</v>
      </c>
      <c r="E2379" s="11"/>
      <c r="F2379" s="11" t="s">
        <v>353</v>
      </c>
      <c r="G2379" s="11" t="s">
        <v>15644</v>
      </c>
      <c r="H2379" s="11" t="s">
        <v>142</v>
      </c>
      <c r="I2379" s="11" t="s">
        <v>8615</v>
      </c>
      <c r="J2379" s="11" t="s">
        <v>15645</v>
      </c>
      <c r="K2379" s="11" t="s">
        <v>1199</v>
      </c>
      <c r="L2379" s="11" t="s">
        <v>464</v>
      </c>
      <c r="M2379" s="11" t="s">
        <v>15646</v>
      </c>
      <c r="N2379" s="11" t="s">
        <v>128</v>
      </c>
      <c r="O2379" s="11" t="s">
        <v>15647</v>
      </c>
      <c r="P2379" s="11"/>
      <c r="Q2379" s="11" t="s">
        <v>249</v>
      </c>
      <c r="R2379" s="11"/>
      <c r="S2379" s="11" t="s">
        <v>71</v>
      </c>
      <c r="T2379" s="11" t="s">
        <v>1523</v>
      </c>
      <c r="U2379" s="11" t="s">
        <v>134</v>
      </c>
      <c r="V2379" s="11" t="s">
        <v>249</v>
      </c>
      <c r="W2379" s="11" t="s">
        <v>1523</v>
      </c>
      <c r="X2379" s="11">
        <v>14</v>
      </c>
      <c r="Y2379" s="11" t="s">
        <v>12359</v>
      </c>
      <c r="Z2379" s="11">
        <v>20</v>
      </c>
      <c r="AA2379" s="11">
        <v>0</v>
      </c>
      <c r="AB2379" s="12">
        <v>0</v>
      </c>
    </row>
    <row r="2380" spans="1:28" x14ac:dyDescent="0.2">
      <c r="A2380" s="7">
        <v>25452</v>
      </c>
      <c r="B2380" s="8" t="s">
        <v>15648</v>
      </c>
      <c r="C2380" s="8" t="s">
        <v>7393</v>
      </c>
      <c r="D2380" s="8" t="s">
        <v>5994</v>
      </c>
      <c r="E2380" s="8" t="s">
        <v>15649</v>
      </c>
      <c r="F2380" s="8" t="s">
        <v>7395</v>
      </c>
      <c r="G2380" s="8" t="s">
        <v>2175</v>
      </c>
      <c r="H2380" s="8" t="s">
        <v>2176</v>
      </c>
      <c r="I2380" s="8" t="s">
        <v>15650</v>
      </c>
      <c r="J2380" s="8" t="s">
        <v>7396</v>
      </c>
      <c r="K2380" s="8" t="s">
        <v>194</v>
      </c>
      <c r="L2380" s="8" t="s">
        <v>163</v>
      </c>
      <c r="M2380" s="8" t="s">
        <v>15651</v>
      </c>
      <c r="N2380" s="8" t="s">
        <v>128</v>
      </c>
      <c r="O2380" s="8" t="s">
        <v>15652</v>
      </c>
      <c r="P2380" s="8" t="s">
        <v>15653</v>
      </c>
      <c r="Q2380" s="8" t="s">
        <v>249</v>
      </c>
      <c r="R2380" s="8"/>
      <c r="S2380" s="8" t="s">
        <v>6002</v>
      </c>
      <c r="T2380" s="8" t="s">
        <v>250</v>
      </c>
      <c r="U2380" s="8" t="s">
        <v>134</v>
      </c>
      <c r="V2380" s="8" t="s">
        <v>249</v>
      </c>
      <c r="W2380" s="8" t="s">
        <v>250</v>
      </c>
      <c r="X2380" s="8">
        <v>14</v>
      </c>
      <c r="Y2380" s="8" t="s">
        <v>12359</v>
      </c>
      <c r="Z2380" s="8">
        <v>20</v>
      </c>
      <c r="AA2380" s="8">
        <v>0</v>
      </c>
      <c r="AB2380" s="9">
        <v>0</v>
      </c>
    </row>
    <row r="2381" spans="1:28" x14ac:dyDescent="0.2">
      <c r="A2381" s="10">
        <v>25458</v>
      </c>
      <c r="B2381" s="11" t="s">
        <v>15654</v>
      </c>
      <c r="C2381" s="11" t="s">
        <v>15655</v>
      </c>
      <c r="D2381" s="11" t="s">
        <v>4623</v>
      </c>
      <c r="E2381" s="11"/>
      <c r="F2381" s="11"/>
      <c r="G2381" s="11" t="s">
        <v>4226</v>
      </c>
      <c r="H2381" s="11" t="s">
        <v>329</v>
      </c>
      <c r="I2381" s="11" t="s">
        <v>15656</v>
      </c>
      <c r="J2381" s="11" t="s">
        <v>15657</v>
      </c>
      <c r="K2381" s="11" t="s">
        <v>415</v>
      </c>
      <c r="L2381" s="11" t="s">
        <v>333</v>
      </c>
      <c r="M2381" s="11" t="s">
        <v>15658</v>
      </c>
      <c r="N2381" s="11" t="s">
        <v>128</v>
      </c>
      <c r="O2381" s="11" t="s">
        <v>15659</v>
      </c>
      <c r="P2381" s="11" t="s">
        <v>15660</v>
      </c>
      <c r="Q2381" s="11" t="s">
        <v>249</v>
      </c>
      <c r="R2381" s="11"/>
      <c r="S2381" s="11" t="s">
        <v>15661</v>
      </c>
      <c r="T2381" s="11" t="s">
        <v>250</v>
      </c>
      <c r="U2381" s="11" t="s">
        <v>134</v>
      </c>
      <c r="V2381" s="11" t="s">
        <v>249</v>
      </c>
      <c r="W2381" s="11" t="s">
        <v>250</v>
      </c>
      <c r="X2381" s="11">
        <v>14</v>
      </c>
      <c r="Y2381" s="11" t="s">
        <v>12359</v>
      </c>
      <c r="Z2381" s="11">
        <v>20</v>
      </c>
      <c r="AA2381" s="11">
        <v>0</v>
      </c>
      <c r="AB2381" s="12">
        <v>0</v>
      </c>
    </row>
    <row r="2382" spans="1:28" x14ac:dyDescent="0.2">
      <c r="A2382" s="7">
        <v>31569</v>
      </c>
      <c r="B2382" s="8" t="s">
        <v>15662</v>
      </c>
      <c r="C2382" s="8" t="s">
        <v>11975</v>
      </c>
      <c r="D2382" s="8" t="s">
        <v>11976</v>
      </c>
      <c r="E2382" s="8"/>
      <c r="F2382" s="8" t="s">
        <v>11977</v>
      </c>
      <c r="G2382" s="8" t="s">
        <v>158</v>
      </c>
      <c r="H2382" s="8" t="s">
        <v>159</v>
      </c>
      <c r="I2382" s="8" t="s">
        <v>15605</v>
      </c>
      <c r="J2382" s="8" t="s">
        <v>15606</v>
      </c>
      <c r="K2382" s="8" t="s">
        <v>274</v>
      </c>
      <c r="L2382" s="8" t="s">
        <v>163</v>
      </c>
      <c r="M2382" s="8" t="s">
        <v>15663</v>
      </c>
      <c r="N2382" s="8" t="s">
        <v>128</v>
      </c>
      <c r="O2382" s="8" t="s">
        <v>15664</v>
      </c>
      <c r="P2382" s="8" t="s">
        <v>15665</v>
      </c>
      <c r="Q2382" s="8" t="s">
        <v>249</v>
      </c>
      <c r="R2382" s="8"/>
      <c r="S2382" s="8" t="s">
        <v>11983</v>
      </c>
      <c r="T2382" s="8" t="s">
        <v>250</v>
      </c>
      <c r="U2382" s="8" t="s">
        <v>134</v>
      </c>
      <c r="V2382" s="8" t="s">
        <v>249</v>
      </c>
      <c r="W2382" s="8" t="s">
        <v>250</v>
      </c>
      <c r="X2382" s="8">
        <v>14</v>
      </c>
      <c r="Y2382" s="8" t="s">
        <v>12359</v>
      </c>
      <c r="Z2382" s="8">
        <v>20</v>
      </c>
      <c r="AA2382" s="8">
        <v>0</v>
      </c>
      <c r="AB2382" s="9">
        <v>0</v>
      </c>
    </row>
    <row r="2383" spans="1:28" x14ac:dyDescent="0.2">
      <c r="A2383" s="10">
        <v>20824</v>
      </c>
      <c r="B2383" s="11" t="s">
        <v>15666</v>
      </c>
      <c r="C2383" s="11" t="s">
        <v>15667</v>
      </c>
      <c r="D2383" s="11" t="s">
        <v>2507</v>
      </c>
      <c r="E2383" s="11"/>
      <c r="F2383" s="11" t="s">
        <v>15668</v>
      </c>
      <c r="G2383" s="11" t="s">
        <v>2992</v>
      </c>
      <c r="H2383" s="11" t="s">
        <v>122</v>
      </c>
      <c r="I2383" s="11" t="s">
        <v>7511</v>
      </c>
      <c r="J2383" s="11" t="s">
        <v>15669</v>
      </c>
      <c r="K2383" s="11" t="s">
        <v>125</v>
      </c>
      <c r="L2383" s="11" t="s">
        <v>126</v>
      </c>
      <c r="M2383" s="11" t="s">
        <v>15670</v>
      </c>
      <c r="N2383" s="11" t="s">
        <v>128</v>
      </c>
      <c r="O2383" s="11" t="s">
        <v>15671</v>
      </c>
      <c r="P2383" s="11" t="s">
        <v>15672</v>
      </c>
      <c r="Q2383" s="11" t="s">
        <v>150</v>
      </c>
      <c r="R2383" s="11"/>
      <c r="S2383" s="11" t="s">
        <v>71</v>
      </c>
      <c r="T2383" s="11" t="s">
        <v>289</v>
      </c>
      <c r="U2383" s="11" t="s">
        <v>150</v>
      </c>
      <c r="V2383" s="11" t="s">
        <v>289</v>
      </c>
      <c r="W2383" s="11" t="s">
        <v>289</v>
      </c>
      <c r="X2383" s="11">
        <v>13</v>
      </c>
      <c r="Y2383" s="11" t="s">
        <v>12359</v>
      </c>
      <c r="Z2383" s="11">
        <v>20</v>
      </c>
      <c r="AA2383" s="11">
        <v>0</v>
      </c>
      <c r="AB2383" s="12">
        <v>0</v>
      </c>
    </row>
    <row r="2384" spans="1:28" x14ac:dyDescent="0.2">
      <c r="A2384" s="7">
        <v>21144</v>
      </c>
      <c r="B2384" s="8" t="s">
        <v>15673</v>
      </c>
      <c r="C2384" s="8" t="s">
        <v>15674</v>
      </c>
      <c r="D2384" s="8" t="s">
        <v>340</v>
      </c>
      <c r="E2384" s="8"/>
      <c r="F2384" s="8" t="s">
        <v>15675</v>
      </c>
      <c r="G2384" s="8" t="s">
        <v>1813</v>
      </c>
      <c r="H2384" s="8" t="s">
        <v>142</v>
      </c>
      <c r="I2384" s="8" t="s">
        <v>15676</v>
      </c>
      <c r="J2384" s="8" t="s">
        <v>15677</v>
      </c>
      <c r="K2384" s="8" t="s">
        <v>974</v>
      </c>
      <c r="L2384" s="8" t="s">
        <v>146</v>
      </c>
      <c r="M2384" s="8" t="s">
        <v>15678</v>
      </c>
      <c r="N2384" s="8" t="s">
        <v>128</v>
      </c>
      <c r="O2384" s="8" t="s">
        <v>15679</v>
      </c>
      <c r="P2384" s="8" t="s">
        <v>15680</v>
      </c>
      <c r="Q2384" s="8" t="s">
        <v>150</v>
      </c>
      <c r="R2384" s="8"/>
      <c r="S2384" s="8" t="s">
        <v>71</v>
      </c>
      <c r="T2384" s="8" t="s">
        <v>289</v>
      </c>
      <c r="U2384" s="8" t="s">
        <v>150</v>
      </c>
      <c r="V2384" s="8" t="s">
        <v>289</v>
      </c>
      <c r="W2384" s="8" t="s">
        <v>289</v>
      </c>
      <c r="X2384" s="8">
        <v>13</v>
      </c>
      <c r="Y2384" s="8" t="s">
        <v>12359</v>
      </c>
      <c r="Z2384" s="8">
        <v>20</v>
      </c>
      <c r="AA2384" s="8">
        <v>0</v>
      </c>
      <c r="AB2384" s="9">
        <v>0</v>
      </c>
    </row>
    <row r="2385" spans="1:28" x14ac:dyDescent="0.2">
      <c r="A2385" s="10">
        <v>26144</v>
      </c>
      <c r="B2385" s="11" t="s">
        <v>15681</v>
      </c>
      <c r="C2385" s="11" t="s">
        <v>8875</v>
      </c>
      <c r="D2385" s="11" t="s">
        <v>15682</v>
      </c>
      <c r="E2385" s="11"/>
      <c r="F2385" s="11" t="s">
        <v>353</v>
      </c>
      <c r="G2385" s="11" t="s">
        <v>8876</v>
      </c>
      <c r="H2385" s="11" t="s">
        <v>329</v>
      </c>
      <c r="I2385" s="11" t="s">
        <v>15683</v>
      </c>
      <c r="J2385" s="11" t="s">
        <v>15684</v>
      </c>
      <c r="K2385" s="11" t="s">
        <v>415</v>
      </c>
      <c r="L2385" s="11" t="s">
        <v>333</v>
      </c>
      <c r="M2385" s="11" t="s">
        <v>15685</v>
      </c>
      <c r="N2385" s="11" t="s">
        <v>128</v>
      </c>
      <c r="O2385" s="11" t="s">
        <v>15686</v>
      </c>
      <c r="P2385" s="11" t="s">
        <v>15687</v>
      </c>
      <c r="Q2385" s="11" t="s">
        <v>150</v>
      </c>
      <c r="R2385" s="11"/>
      <c r="S2385" s="11" t="s">
        <v>71</v>
      </c>
      <c r="T2385" s="11" t="s">
        <v>642</v>
      </c>
      <c r="U2385" s="11" t="s">
        <v>150</v>
      </c>
      <c r="V2385" s="11" t="s">
        <v>642</v>
      </c>
      <c r="W2385" s="11" t="s">
        <v>642</v>
      </c>
      <c r="X2385" s="11">
        <v>13</v>
      </c>
      <c r="Y2385" s="11" t="s">
        <v>12359</v>
      </c>
      <c r="Z2385" s="11">
        <v>20</v>
      </c>
      <c r="AA2385" s="11">
        <v>0</v>
      </c>
      <c r="AB2385" s="12">
        <v>0</v>
      </c>
    </row>
    <row r="2386" spans="1:28" x14ac:dyDescent="0.2">
      <c r="A2386" s="7">
        <v>32119</v>
      </c>
      <c r="B2386" s="8" t="s">
        <v>15688</v>
      </c>
      <c r="C2386" s="8" t="s">
        <v>324</v>
      </c>
      <c r="D2386" s="8" t="s">
        <v>10045</v>
      </c>
      <c r="E2386" s="8"/>
      <c r="F2386" s="8" t="s">
        <v>7725</v>
      </c>
      <c r="G2386" s="8" t="s">
        <v>328</v>
      </c>
      <c r="H2386" s="8" t="s">
        <v>329</v>
      </c>
      <c r="I2386" s="8" t="s">
        <v>10046</v>
      </c>
      <c r="J2386" s="8" t="s">
        <v>10047</v>
      </c>
      <c r="K2386" s="8" t="s">
        <v>332</v>
      </c>
      <c r="L2386" s="8" t="s">
        <v>333</v>
      </c>
      <c r="M2386" s="8" t="s">
        <v>15689</v>
      </c>
      <c r="N2386" s="8" t="s">
        <v>128</v>
      </c>
      <c r="O2386" s="8"/>
      <c r="P2386" s="8" t="s">
        <v>15690</v>
      </c>
      <c r="Q2386" s="8" t="s">
        <v>150</v>
      </c>
      <c r="R2386" s="8"/>
      <c r="S2386" s="8" t="s">
        <v>10051</v>
      </c>
      <c r="T2386" s="8" t="s">
        <v>642</v>
      </c>
      <c r="U2386" s="8" t="s">
        <v>150</v>
      </c>
      <c r="V2386" s="8" t="s">
        <v>642</v>
      </c>
      <c r="W2386" s="8" t="s">
        <v>642</v>
      </c>
      <c r="X2386" s="8">
        <v>13</v>
      </c>
      <c r="Y2386" s="8" t="s">
        <v>12359</v>
      </c>
      <c r="Z2386" s="8">
        <v>20</v>
      </c>
      <c r="AA2386" s="8">
        <v>0</v>
      </c>
      <c r="AB2386" s="9">
        <v>0</v>
      </c>
    </row>
    <row r="2387" spans="1:28" x14ac:dyDescent="0.2">
      <c r="A2387" s="10">
        <v>127775</v>
      </c>
      <c r="B2387" s="11" t="s">
        <v>15691</v>
      </c>
      <c r="C2387" s="11" t="s">
        <v>9805</v>
      </c>
      <c r="D2387" s="11" t="s">
        <v>10807</v>
      </c>
      <c r="E2387" s="11"/>
      <c r="F2387" s="11" t="s">
        <v>15692</v>
      </c>
      <c r="G2387" s="11" t="s">
        <v>1852</v>
      </c>
      <c r="H2387" s="11" t="s">
        <v>671</v>
      </c>
      <c r="I2387" s="11" t="s">
        <v>13980</v>
      </c>
      <c r="J2387" s="11" t="s">
        <v>15693</v>
      </c>
      <c r="K2387" s="11" t="s">
        <v>572</v>
      </c>
      <c r="L2387" s="11" t="s">
        <v>333</v>
      </c>
      <c r="M2387" s="11" t="s">
        <v>15694</v>
      </c>
      <c r="N2387" s="11" t="s">
        <v>128</v>
      </c>
      <c r="O2387" s="11" t="s">
        <v>15695</v>
      </c>
      <c r="P2387" s="11"/>
      <c r="Q2387" s="11" t="s">
        <v>150</v>
      </c>
      <c r="R2387" s="11"/>
      <c r="S2387" s="11" t="s">
        <v>71</v>
      </c>
      <c r="T2387" s="11" t="s">
        <v>642</v>
      </c>
      <c r="U2387" s="11" t="s">
        <v>150</v>
      </c>
      <c r="V2387" s="11" t="s">
        <v>642</v>
      </c>
      <c r="W2387" s="11" t="s">
        <v>642</v>
      </c>
      <c r="X2387" s="11">
        <v>13</v>
      </c>
      <c r="Y2387" s="11" t="s">
        <v>12359</v>
      </c>
      <c r="Z2387" s="11">
        <v>20</v>
      </c>
      <c r="AA2387" s="11">
        <v>0</v>
      </c>
      <c r="AB2387" s="12">
        <v>0</v>
      </c>
    </row>
    <row r="2388" spans="1:28" x14ac:dyDescent="0.2">
      <c r="A2388" s="7">
        <v>21412</v>
      </c>
      <c r="B2388" s="8" t="s">
        <v>15696</v>
      </c>
      <c r="C2388" s="8" t="s">
        <v>15697</v>
      </c>
      <c r="D2388" s="8" t="s">
        <v>713</v>
      </c>
      <c r="E2388" s="8" t="s">
        <v>15698</v>
      </c>
      <c r="F2388" s="8" t="s">
        <v>8852</v>
      </c>
      <c r="G2388" s="8" t="s">
        <v>846</v>
      </c>
      <c r="H2388" s="8" t="s">
        <v>847</v>
      </c>
      <c r="I2388" s="8" t="s">
        <v>15699</v>
      </c>
      <c r="J2388" s="8" t="s">
        <v>15700</v>
      </c>
      <c r="K2388" s="8" t="s">
        <v>850</v>
      </c>
      <c r="L2388" s="8" t="s">
        <v>126</v>
      </c>
      <c r="M2388" s="8" t="s">
        <v>15701</v>
      </c>
      <c r="N2388" s="8" t="s">
        <v>128</v>
      </c>
      <c r="O2388" s="8" t="s">
        <v>15702</v>
      </c>
      <c r="P2388" s="8" t="s">
        <v>15703</v>
      </c>
      <c r="Q2388" s="8" t="s">
        <v>150</v>
      </c>
      <c r="R2388" s="8"/>
      <c r="S2388" s="8" t="s">
        <v>15704</v>
      </c>
      <c r="T2388" s="8" t="s">
        <v>67</v>
      </c>
      <c r="U2388" s="8" t="s">
        <v>150</v>
      </c>
      <c r="V2388" s="8" t="s">
        <v>152</v>
      </c>
      <c r="W2388" s="8" t="s">
        <v>67</v>
      </c>
      <c r="X2388" s="8">
        <v>13</v>
      </c>
      <c r="Y2388" s="8" t="s">
        <v>12359</v>
      </c>
      <c r="Z2388" s="8">
        <v>20</v>
      </c>
      <c r="AA2388" s="8">
        <v>0</v>
      </c>
      <c r="AB2388" s="9">
        <v>0</v>
      </c>
    </row>
    <row r="2389" spans="1:28" x14ac:dyDescent="0.2">
      <c r="A2389" s="10">
        <v>21451</v>
      </c>
      <c r="B2389" s="11" t="s">
        <v>15705</v>
      </c>
      <c r="C2389" s="11" t="s">
        <v>15706</v>
      </c>
      <c r="D2389" s="11" t="s">
        <v>15707</v>
      </c>
      <c r="E2389" s="11"/>
      <c r="F2389" s="11" t="s">
        <v>5674</v>
      </c>
      <c r="G2389" s="11" t="s">
        <v>846</v>
      </c>
      <c r="H2389" s="11" t="s">
        <v>847</v>
      </c>
      <c r="I2389" s="11" t="s">
        <v>15708</v>
      </c>
      <c r="J2389" s="11" t="s">
        <v>15709</v>
      </c>
      <c r="K2389" s="11" t="s">
        <v>1091</v>
      </c>
      <c r="L2389" s="11" t="s">
        <v>126</v>
      </c>
      <c r="M2389" s="11" t="s">
        <v>15710</v>
      </c>
      <c r="N2389" s="11" t="s">
        <v>128</v>
      </c>
      <c r="O2389" s="11" t="s">
        <v>15711</v>
      </c>
      <c r="P2389" s="11" t="s">
        <v>15712</v>
      </c>
      <c r="Q2389" s="11" t="s">
        <v>150</v>
      </c>
      <c r="R2389" s="11"/>
      <c r="S2389" s="11" t="s">
        <v>71</v>
      </c>
      <c r="T2389" s="11" t="s">
        <v>67</v>
      </c>
      <c r="U2389" s="11" t="s">
        <v>150</v>
      </c>
      <c r="V2389" s="11" t="s">
        <v>152</v>
      </c>
      <c r="W2389" s="11" t="s">
        <v>67</v>
      </c>
      <c r="X2389" s="11">
        <v>13</v>
      </c>
      <c r="Y2389" s="11" t="s">
        <v>12359</v>
      </c>
      <c r="Z2389" s="11">
        <v>20</v>
      </c>
      <c r="AA2389" s="11">
        <v>0</v>
      </c>
      <c r="AB2389" s="12">
        <v>0</v>
      </c>
    </row>
    <row r="2390" spans="1:28" x14ac:dyDescent="0.2">
      <c r="A2390" s="7">
        <v>22063</v>
      </c>
      <c r="B2390" s="8" t="s">
        <v>15713</v>
      </c>
      <c r="C2390" s="8" t="s">
        <v>8945</v>
      </c>
      <c r="D2390" s="8" t="s">
        <v>8946</v>
      </c>
      <c r="E2390" s="8" t="s">
        <v>15714</v>
      </c>
      <c r="F2390" s="8" t="s">
        <v>8234</v>
      </c>
      <c r="G2390" s="8" t="s">
        <v>556</v>
      </c>
      <c r="H2390" s="8" t="s">
        <v>557</v>
      </c>
      <c r="I2390" s="8" t="s">
        <v>8948</v>
      </c>
      <c r="J2390" s="8" t="s">
        <v>8949</v>
      </c>
      <c r="K2390" s="8" t="s">
        <v>560</v>
      </c>
      <c r="L2390" s="8" t="s">
        <v>229</v>
      </c>
      <c r="M2390" s="8" t="s">
        <v>15715</v>
      </c>
      <c r="N2390" s="8" t="s">
        <v>128</v>
      </c>
      <c r="O2390" s="8" t="s">
        <v>15716</v>
      </c>
      <c r="P2390" s="8"/>
      <c r="Q2390" s="8" t="s">
        <v>131</v>
      </c>
      <c r="R2390" s="8"/>
      <c r="S2390" s="8" t="s">
        <v>8953</v>
      </c>
      <c r="T2390" s="8" t="s">
        <v>983</v>
      </c>
      <c r="U2390" s="8" t="s">
        <v>134</v>
      </c>
      <c r="V2390" s="8" t="s">
        <v>131</v>
      </c>
      <c r="W2390" s="8" t="s">
        <v>983</v>
      </c>
      <c r="X2390" s="8">
        <v>13</v>
      </c>
      <c r="Y2390" s="8" t="s">
        <v>12359</v>
      </c>
      <c r="Z2390" s="8">
        <v>20</v>
      </c>
      <c r="AA2390" s="8">
        <v>0</v>
      </c>
      <c r="AB2390" s="9">
        <v>0</v>
      </c>
    </row>
    <row r="2391" spans="1:28" x14ac:dyDescent="0.2">
      <c r="A2391" s="10">
        <v>27853</v>
      </c>
      <c r="B2391" s="11" t="s">
        <v>15717</v>
      </c>
      <c r="C2391" s="11" t="s">
        <v>15718</v>
      </c>
      <c r="D2391" s="11" t="s">
        <v>9608</v>
      </c>
      <c r="E2391" s="11" t="s">
        <v>15719</v>
      </c>
      <c r="F2391" s="11" t="s">
        <v>15720</v>
      </c>
      <c r="G2391" s="11" t="s">
        <v>6565</v>
      </c>
      <c r="H2391" s="11" t="s">
        <v>142</v>
      </c>
      <c r="I2391" s="11" t="s">
        <v>15721</v>
      </c>
      <c r="J2391" s="11" t="s">
        <v>15722</v>
      </c>
      <c r="K2391" s="11" t="s">
        <v>1673</v>
      </c>
      <c r="L2391" s="11" t="s">
        <v>464</v>
      </c>
      <c r="M2391" s="11" t="s">
        <v>15723</v>
      </c>
      <c r="N2391" s="11" t="s">
        <v>128</v>
      </c>
      <c r="O2391" s="11" t="s">
        <v>15724</v>
      </c>
      <c r="P2391" s="11"/>
      <c r="Q2391" s="11" t="s">
        <v>131</v>
      </c>
      <c r="R2391" s="11"/>
      <c r="S2391" s="11" t="s">
        <v>15725</v>
      </c>
      <c r="T2391" s="11" t="s">
        <v>983</v>
      </c>
      <c r="U2391" s="11" t="s">
        <v>134</v>
      </c>
      <c r="V2391" s="11" t="s">
        <v>131</v>
      </c>
      <c r="W2391" s="11" t="s">
        <v>983</v>
      </c>
      <c r="X2391" s="11">
        <v>13</v>
      </c>
      <c r="Y2391" s="11" t="s">
        <v>12359</v>
      </c>
      <c r="Z2391" s="11">
        <v>20</v>
      </c>
      <c r="AA2391" s="11">
        <v>0</v>
      </c>
      <c r="AB2391" s="12">
        <v>0</v>
      </c>
    </row>
    <row r="2392" spans="1:28" x14ac:dyDescent="0.2">
      <c r="A2392" s="7">
        <v>105913</v>
      </c>
      <c r="B2392" s="8" t="s">
        <v>15726</v>
      </c>
      <c r="C2392" s="8" t="s">
        <v>15727</v>
      </c>
      <c r="D2392" s="8" t="s">
        <v>15728</v>
      </c>
      <c r="E2392" s="8" t="s">
        <v>15729</v>
      </c>
      <c r="F2392" s="8" t="s">
        <v>14013</v>
      </c>
      <c r="G2392" s="8" t="s">
        <v>15730</v>
      </c>
      <c r="H2392" s="8" t="s">
        <v>142</v>
      </c>
      <c r="I2392" s="8" t="s">
        <v>15731</v>
      </c>
      <c r="J2392" s="8" t="s">
        <v>15732</v>
      </c>
      <c r="K2392" s="8" t="s">
        <v>1029</v>
      </c>
      <c r="L2392" s="8" t="s">
        <v>464</v>
      </c>
      <c r="M2392" s="8" t="s">
        <v>15733</v>
      </c>
      <c r="N2392" s="8" t="s">
        <v>128</v>
      </c>
      <c r="O2392" s="8" t="s">
        <v>15734</v>
      </c>
      <c r="P2392" s="8"/>
      <c r="Q2392" s="8" t="s">
        <v>131</v>
      </c>
      <c r="R2392" s="8"/>
      <c r="S2392" s="8" t="s">
        <v>15735</v>
      </c>
      <c r="T2392" s="8" t="s">
        <v>983</v>
      </c>
      <c r="U2392" s="8" t="s">
        <v>134</v>
      </c>
      <c r="V2392" s="8" t="s">
        <v>131</v>
      </c>
      <c r="W2392" s="8" t="s">
        <v>983</v>
      </c>
      <c r="X2392" s="8">
        <v>13</v>
      </c>
      <c r="Y2392" s="8" t="s">
        <v>12359</v>
      </c>
      <c r="Z2392" s="8">
        <v>20</v>
      </c>
      <c r="AA2392" s="8">
        <v>0</v>
      </c>
      <c r="AB2392" s="9">
        <v>0</v>
      </c>
    </row>
    <row r="2393" spans="1:28" x14ac:dyDescent="0.2">
      <c r="A2393" s="10">
        <v>165927</v>
      </c>
      <c r="B2393" s="11" t="s">
        <v>15736</v>
      </c>
      <c r="C2393" s="11" t="s">
        <v>2615</v>
      </c>
      <c r="D2393" s="11" t="s">
        <v>6246</v>
      </c>
      <c r="E2393" s="11" t="s">
        <v>15737</v>
      </c>
      <c r="F2393" s="11" t="s">
        <v>353</v>
      </c>
      <c r="G2393" s="11" t="s">
        <v>2618</v>
      </c>
      <c r="H2393" s="11" t="s">
        <v>142</v>
      </c>
      <c r="I2393" s="11" t="s">
        <v>15738</v>
      </c>
      <c r="J2393" s="11" t="s">
        <v>15739</v>
      </c>
      <c r="K2393" s="11" t="s">
        <v>651</v>
      </c>
      <c r="L2393" s="11" t="s">
        <v>146</v>
      </c>
      <c r="M2393" s="11" t="s">
        <v>15740</v>
      </c>
      <c r="N2393" s="11" t="s">
        <v>128</v>
      </c>
      <c r="O2393" s="11" t="s">
        <v>15741</v>
      </c>
      <c r="P2393" s="11"/>
      <c r="Q2393" s="11" t="s">
        <v>131</v>
      </c>
      <c r="R2393" s="11"/>
      <c r="S2393" s="11" t="s">
        <v>71</v>
      </c>
      <c r="T2393" s="11" t="s">
        <v>983</v>
      </c>
      <c r="U2393" s="11" t="s">
        <v>134</v>
      </c>
      <c r="V2393" s="11" t="s">
        <v>131</v>
      </c>
      <c r="W2393" s="11" t="s">
        <v>983</v>
      </c>
      <c r="X2393" s="11">
        <v>13</v>
      </c>
      <c r="Y2393" s="11" t="s">
        <v>12359</v>
      </c>
      <c r="Z2393" s="11">
        <v>20</v>
      </c>
      <c r="AA2393" s="11">
        <v>0</v>
      </c>
      <c r="AB2393" s="12">
        <v>0</v>
      </c>
    </row>
    <row r="2394" spans="1:28" x14ac:dyDescent="0.2">
      <c r="A2394" s="7">
        <v>30128</v>
      </c>
      <c r="B2394" s="8" t="s">
        <v>15742</v>
      </c>
      <c r="C2394" s="8" t="s">
        <v>15743</v>
      </c>
      <c r="D2394" s="8" t="s">
        <v>518</v>
      </c>
      <c r="E2394" s="8"/>
      <c r="F2394" s="8" t="s">
        <v>15744</v>
      </c>
      <c r="G2394" s="8" t="s">
        <v>328</v>
      </c>
      <c r="H2394" s="8" t="s">
        <v>329</v>
      </c>
      <c r="I2394" s="8" t="s">
        <v>15745</v>
      </c>
      <c r="J2394" s="8" t="s">
        <v>15746</v>
      </c>
      <c r="K2394" s="8" t="s">
        <v>332</v>
      </c>
      <c r="L2394" s="8" t="s">
        <v>333</v>
      </c>
      <c r="M2394" s="8" t="s">
        <v>15747</v>
      </c>
      <c r="N2394" s="8" t="s">
        <v>128</v>
      </c>
      <c r="O2394" s="8" t="s">
        <v>15748</v>
      </c>
      <c r="P2394" s="8"/>
      <c r="Q2394" s="8" t="s">
        <v>131</v>
      </c>
      <c r="R2394" s="8"/>
      <c r="S2394" s="8" t="s">
        <v>15749</v>
      </c>
      <c r="T2394" s="8" t="s">
        <v>983</v>
      </c>
      <c r="U2394" s="8" t="s">
        <v>134</v>
      </c>
      <c r="V2394" s="8" t="s">
        <v>131</v>
      </c>
      <c r="W2394" s="8" t="s">
        <v>983</v>
      </c>
      <c r="X2394" s="8">
        <v>13</v>
      </c>
      <c r="Y2394" s="8" t="s">
        <v>12359</v>
      </c>
      <c r="Z2394" s="8">
        <v>20</v>
      </c>
      <c r="AA2394" s="8">
        <v>0</v>
      </c>
      <c r="AB2394" s="9">
        <v>0</v>
      </c>
    </row>
    <row r="2395" spans="1:28" x14ac:dyDescent="0.2">
      <c r="A2395" s="10">
        <v>116055</v>
      </c>
      <c r="B2395" s="11" t="s">
        <v>15750</v>
      </c>
      <c r="C2395" s="11" t="s">
        <v>15751</v>
      </c>
      <c r="D2395" s="11" t="s">
        <v>15752</v>
      </c>
      <c r="E2395" s="11"/>
      <c r="F2395" s="11" t="s">
        <v>15753</v>
      </c>
      <c r="G2395" s="11" t="s">
        <v>846</v>
      </c>
      <c r="H2395" s="11" t="s">
        <v>847</v>
      </c>
      <c r="I2395" s="11" t="s">
        <v>15754</v>
      </c>
      <c r="J2395" s="11" t="s">
        <v>15755</v>
      </c>
      <c r="K2395" s="11" t="s">
        <v>850</v>
      </c>
      <c r="L2395" s="11" t="s">
        <v>126</v>
      </c>
      <c r="M2395" s="11" t="s">
        <v>15756</v>
      </c>
      <c r="N2395" s="11" t="s">
        <v>128</v>
      </c>
      <c r="O2395" s="11" t="s">
        <v>15757</v>
      </c>
      <c r="P2395" s="11"/>
      <c r="Q2395" s="11" t="s">
        <v>131</v>
      </c>
      <c r="R2395" s="11"/>
      <c r="S2395" s="11" t="s">
        <v>15758</v>
      </c>
      <c r="T2395" s="11" t="s">
        <v>983</v>
      </c>
      <c r="U2395" s="11" t="s">
        <v>134</v>
      </c>
      <c r="V2395" s="11" t="s">
        <v>131</v>
      </c>
      <c r="W2395" s="11" t="s">
        <v>983</v>
      </c>
      <c r="X2395" s="11">
        <v>13</v>
      </c>
      <c r="Y2395" s="11" t="s">
        <v>12359</v>
      </c>
      <c r="Z2395" s="11">
        <v>20</v>
      </c>
      <c r="AA2395" s="11">
        <v>0</v>
      </c>
      <c r="AB2395" s="12">
        <v>0</v>
      </c>
    </row>
    <row r="2396" spans="1:28" x14ac:dyDescent="0.2">
      <c r="A2396" s="7">
        <v>126802</v>
      </c>
      <c r="B2396" s="8" t="s">
        <v>15759</v>
      </c>
      <c r="C2396" s="8" t="s">
        <v>2506</v>
      </c>
      <c r="D2396" s="8" t="s">
        <v>2507</v>
      </c>
      <c r="E2396" s="8"/>
      <c r="F2396" s="8" t="s">
        <v>15760</v>
      </c>
      <c r="G2396" s="8" t="s">
        <v>2510</v>
      </c>
      <c r="H2396" s="8" t="s">
        <v>2511</v>
      </c>
      <c r="I2396" s="8" t="s">
        <v>15761</v>
      </c>
      <c r="J2396" s="8" t="s">
        <v>2513</v>
      </c>
      <c r="K2396" s="8" t="s">
        <v>1562</v>
      </c>
      <c r="L2396" s="8" t="s">
        <v>229</v>
      </c>
      <c r="M2396" s="8" t="s">
        <v>15762</v>
      </c>
      <c r="N2396" s="8" t="s">
        <v>128</v>
      </c>
      <c r="O2396" s="8" t="s">
        <v>15763</v>
      </c>
      <c r="P2396" s="8"/>
      <c r="Q2396" s="8" t="s">
        <v>131</v>
      </c>
      <c r="R2396" s="8"/>
      <c r="S2396" s="8" t="s">
        <v>2517</v>
      </c>
      <c r="T2396" s="8" t="s">
        <v>983</v>
      </c>
      <c r="U2396" s="8" t="s">
        <v>134</v>
      </c>
      <c r="V2396" s="8" t="s">
        <v>131</v>
      </c>
      <c r="W2396" s="8" t="s">
        <v>983</v>
      </c>
      <c r="X2396" s="8">
        <v>13</v>
      </c>
      <c r="Y2396" s="8" t="s">
        <v>12359</v>
      </c>
      <c r="Z2396" s="8">
        <v>20</v>
      </c>
      <c r="AA2396" s="8">
        <v>0</v>
      </c>
      <c r="AB2396" s="9">
        <v>0</v>
      </c>
    </row>
    <row r="2397" spans="1:28" x14ac:dyDescent="0.2">
      <c r="A2397" s="10">
        <v>111080</v>
      </c>
      <c r="B2397" s="11" t="s">
        <v>15764</v>
      </c>
      <c r="C2397" s="11" t="s">
        <v>1214</v>
      </c>
      <c r="D2397" s="11" t="s">
        <v>1215</v>
      </c>
      <c r="E2397" s="11"/>
      <c r="F2397" s="11" t="s">
        <v>353</v>
      </c>
      <c r="G2397" s="11" t="s">
        <v>536</v>
      </c>
      <c r="H2397" s="11" t="s">
        <v>329</v>
      </c>
      <c r="I2397" s="11" t="s">
        <v>15765</v>
      </c>
      <c r="J2397" s="11" t="s">
        <v>1217</v>
      </c>
      <c r="K2397" s="11" t="s">
        <v>431</v>
      </c>
      <c r="L2397" s="11" t="s">
        <v>333</v>
      </c>
      <c r="M2397" s="11" t="s">
        <v>15766</v>
      </c>
      <c r="N2397" s="11" t="s">
        <v>128</v>
      </c>
      <c r="O2397" s="11" t="s">
        <v>15767</v>
      </c>
      <c r="P2397" s="11"/>
      <c r="Q2397" s="11" t="s">
        <v>131</v>
      </c>
      <c r="R2397" s="11"/>
      <c r="S2397" s="11" t="s">
        <v>1221</v>
      </c>
      <c r="T2397" s="11" t="s">
        <v>983</v>
      </c>
      <c r="U2397" s="11" t="s">
        <v>134</v>
      </c>
      <c r="V2397" s="11" t="s">
        <v>131</v>
      </c>
      <c r="W2397" s="11" t="s">
        <v>983</v>
      </c>
      <c r="X2397" s="11">
        <v>13</v>
      </c>
      <c r="Y2397" s="11" t="s">
        <v>12359</v>
      </c>
      <c r="Z2397" s="11">
        <v>20</v>
      </c>
      <c r="AA2397" s="11">
        <v>0</v>
      </c>
      <c r="AB2397" s="12">
        <v>0</v>
      </c>
    </row>
    <row r="2398" spans="1:28" x14ac:dyDescent="0.2">
      <c r="A2398" s="7">
        <v>85093</v>
      </c>
      <c r="B2398" s="8" t="s">
        <v>15768</v>
      </c>
      <c r="C2398" s="8" t="s">
        <v>15769</v>
      </c>
      <c r="D2398" s="8" t="s">
        <v>2983</v>
      </c>
      <c r="E2398" s="8"/>
      <c r="F2398" s="8" t="s">
        <v>6430</v>
      </c>
      <c r="G2398" s="8" t="s">
        <v>2676</v>
      </c>
      <c r="H2398" s="8" t="s">
        <v>142</v>
      </c>
      <c r="I2398" s="8" t="s">
        <v>15770</v>
      </c>
      <c r="J2398" s="8" t="s">
        <v>15771</v>
      </c>
      <c r="K2398" s="8" t="s">
        <v>779</v>
      </c>
      <c r="L2398" s="8" t="s">
        <v>464</v>
      </c>
      <c r="M2398" s="8" t="s">
        <v>15772</v>
      </c>
      <c r="N2398" s="8" t="s">
        <v>128</v>
      </c>
      <c r="O2398" s="8" t="s">
        <v>15773</v>
      </c>
      <c r="P2398" s="8"/>
      <c r="Q2398" s="8" t="s">
        <v>131</v>
      </c>
      <c r="R2398" s="8"/>
      <c r="S2398" s="8" t="s">
        <v>71</v>
      </c>
      <c r="T2398" s="8" t="s">
        <v>983</v>
      </c>
      <c r="U2398" s="8" t="s">
        <v>134</v>
      </c>
      <c r="V2398" s="8" t="s">
        <v>131</v>
      </c>
      <c r="W2398" s="8" t="s">
        <v>983</v>
      </c>
      <c r="X2398" s="8">
        <v>13</v>
      </c>
      <c r="Y2398" s="8" t="s">
        <v>12359</v>
      </c>
      <c r="Z2398" s="8">
        <v>20</v>
      </c>
      <c r="AA2398" s="8">
        <v>0</v>
      </c>
      <c r="AB2398" s="9">
        <v>0</v>
      </c>
    </row>
    <row r="2399" spans="1:28" x14ac:dyDescent="0.2">
      <c r="A2399" s="10">
        <v>30132</v>
      </c>
      <c r="B2399" s="11" t="s">
        <v>15774</v>
      </c>
      <c r="C2399" s="11" t="s">
        <v>9930</v>
      </c>
      <c r="D2399" s="11" t="s">
        <v>4418</v>
      </c>
      <c r="E2399" s="11"/>
      <c r="F2399" s="11"/>
      <c r="G2399" s="11" t="s">
        <v>328</v>
      </c>
      <c r="H2399" s="11" t="s">
        <v>329</v>
      </c>
      <c r="I2399" s="11" t="s">
        <v>9933</v>
      </c>
      <c r="J2399" s="11" t="s">
        <v>15201</v>
      </c>
      <c r="K2399" s="11" t="s">
        <v>332</v>
      </c>
      <c r="L2399" s="11" t="s">
        <v>333</v>
      </c>
      <c r="M2399" s="11" t="s">
        <v>15775</v>
      </c>
      <c r="N2399" s="11" t="s">
        <v>128</v>
      </c>
      <c r="O2399" s="11"/>
      <c r="P2399" s="11"/>
      <c r="Q2399" s="11" t="s">
        <v>131</v>
      </c>
      <c r="R2399" s="11"/>
      <c r="S2399" s="11" t="s">
        <v>9938</v>
      </c>
      <c r="T2399" s="11" t="s">
        <v>983</v>
      </c>
      <c r="U2399" s="11" t="s">
        <v>134</v>
      </c>
      <c r="V2399" s="11" t="s">
        <v>131</v>
      </c>
      <c r="W2399" s="11" t="s">
        <v>983</v>
      </c>
      <c r="X2399" s="11">
        <v>13</v>
      </c>
      <c r="Y2399" s="11" t="s">
        <v>12359</v>
      </c>
      <c r="Z2399" s="11">
        <v>20</v>
      </c>
      <c r="AA2399" s="11">
        <v>0</v>
      </c>
      <c r="AB2399" s="12">
        <v>0</v>
      </c>
    </row>
    <row r="2400" spans="1:28" x14ac:dyDescent="0.2">
      <c r="A2400" s="7">
        <v>22025</v>
      </c>
      <c r="B2400" s="8" t="s">
        <v>15776</v>
      </c>
      <c r="C2400" s="8" t="s">
        <v>3909</v>
      </c>
      <c r="D2400" s="8" t="s">
        <v>2006</v>
      </c>
      <c r="E2400" s="8" t="s">
        <v>15777</v>
      </c>
      <c r="F2400" s="8" t="s">
        <v>15778</v>
      </c>
      <c r="G2400" s="8" t="s">
        <v>3912</v>
      </c>
      <c r="H2400" s="8" t="s">
        <v>557</v>
      </c>
      <c r="I2400" s="8" t="s">
        <v>3913</v>
      </c>
      <c r="J2400" s="8" t="s">
        <v>15779</v>
      </c>
      <c r="K2400" s="8" t="s">
        <v>1562</v>
      </c>
      <c r="L2400" s="8" t="s">
        <v>229</v>
      </c>
      <c r="M2400" s="8" t="s">
        <v>15780</v>
      </c>
      <c r="N2400" s="8" t="s">
        <v>128</v>
      </c>
      <c r="O2400" s="8" t="s">
        <v>15781</v>
      </c>
      <c r="P2400" s="8" t="s">
        <v>15782</v>
      </c>
      <c r="Q2400" s="8" t="s">
        <v>131</v>
      </c>
      <c r="R2400" s="8"/>
      <c r="S2400" s="8" t="s">
        <v>71</v>
      </c>
      <c r="T2400" s="8" t="s">
        <v>133</v>
      </c>
      <c r="U2400" s="8" t="s">
        <v>134</v>
      </c>
      <c r="V2400" s="8" t="s">
        <v>131</v>
      </c>
      <c r="W2400" s="8" t="s">
        <v>133</v>
      </c>
      <c r="X2400" s="8">
        <v>13</v>
      </c>
      <c r="Y2400" s="8" t="s">
        <v>12359</v>
      </c>
      <c r="Z2400" s="8">
        <v>20</v>
      </c>
      <c r="AA2400" s="8">
        <v>0</v>
      </c>
      <c r="AB2400" s="9">
        <v>0</v>
      </c>
    </row>
    <row r="2401" spans="1:28" x14ac:dyDescent="0.2">
      <c r="A2401" s="10">
        <v>22050</v>
      </c>
      <c r="B2401" s="11" t="s">
        <v>15783</v>
      </c>
      <c r="C2401" s="11" t="s">
        <v>2300</v>
      </c>
      <c r="D2401" s="11" t="s">
        <v>10570</v>
      </c>
      <c r="E2401" s="11"/>
      <c r="F2401" s="11" t="s">
        <v>353</v>
      </c>
      <c r="G2401" s="11" t="s">
        <v>3612</v>
      </c>
      <c r="H2401" s="11" t="s">
        <v>704</v>
      </c>
      <c r="I2401" s="11" t="s">
        <v>13878</v>
      </c>
      <c r="J2401" s="11" t="s">
        <v>15784</v>
      </c>
      <c r="K2401" s="11" t="s">
        <v>707</v>
      </c>
      <c r="L2401" s="11" t="s">
        <v>126</v>
      </c>
      <c r="M2401" s="11" t="s">
        <v>15785</v>
      </c>
      <c r="N2401" s="11" t="s">
        <v>128</v>
      </c>
      <c r="O2401" s="11" t="s">
        <v>15786</v>
      </c>
      <c r="P2401" s="11" t="s">
        <v>15787</v>
      </c>
      <c r="Q2401" s="11" t="s">
        <v>131</v>
      </c>
      <c r="R2401" s="11"/>
      <c r="S2401" s="11" t="s">
        <v>13883</v>
      </c>
      <c r="T2401" s="11" t="s">
        <v>133</v>
      </c>
      <c r="U2401" s="11" t="s">
        <v>134</v>
      </c>
      <c r="V2401" s="11" t="s">
        <v>131</v>
      </c>
      <c r="W2401" s="11" t="s">
        <v>133</v>
      </c>
      <c r="X2401" s="11">
        <v>13</v>
      </c>
      <c r="Y2401" s="11" t="s">
        <v>12359</v>
      </c>
      <c r="Z2401" s="11">
        <v>20</v>
      </c>
      <c r="AA2401" s="11">
        <v>0</v>
      </c>
      <c r="AB2401" s="12">
        <v>0</v>
      </c>
    </row>
    <row r="2402" spans="1:28" x14ac:dyDescent="0.2">
      <c r="A2402" s="7">
        <v>22106</v>
      </c>
      <c r="B2402" s="8" t="s">
        <v>15788</v>
      </c>
      <c r="C2402" s="8" t="s">
        <v>4099</v>
      </c>
      <c r="D2402" s="8" t="s">
        <v>15789</v>
      </c>
      <c r="E2402" s="8"/>
      <c r="F2402" s="8" t="s">
        <v>353</v>
      </c>
      <c r="G2402" s="8" t="s">
        <v>3929</v>
      </c>
      <c r="H2402" s="8" t="s">
        <v>704</v>
      </c>
      <c r="I2402" s="8" t="s">
        <v>9976</v>
      </c>
      <c r="J2402" s="8" t="s">
        <v>15790</v>
      </c>
      <c r="K2402" s="8" t="s">
        <v>850</v>
      </c>
      <c r="L2402" s="8" t="s">
        <v>126</v>
      </c>
      <c r="M2402" s="8" t="s">
        <v>15791</v>
      </c>
      <c r="N2402" s="8" t="s">
        <v>128</v>
      </c>
      <c r="O2402" s="8" t="s">
        <v>15792</v>
      </c>
      <c r="P2402" s="8" t="s">
        <v>15793</v>
      </c>
      <c r="Q2402" s="8" t="s">
        <v>150</v>
      </c>
      <c r="R2402" s="8"/>
      <c r="S2402" s="8" t="s">
        <v>71</v>
      </c>
      <c r="T2402" s="8" t="s">
        <v>6736</v>
      </c>
      <c r="U2402" s="8" t="s">
        <v>150</v>
      </c>
      <c r="V2402" s="8" t="s">
        <v>6736</v>
      </c>
      <c r="W2402" s="8" t="s">
        <v>6736</v>
      </c>
      <c r="X2402" s="8">
        <v>13</v>
      </c>
      <c r="Y2402" s="8" t="s">
        <v>12359</v>
      </c>
      <c r="Z2402" s="8">
        <v>20</v>
      </c>
      <c r="AA2402" s="8">
        <v>0</v>
      </c>
      <c r="AB2402" s="9">
        <v>0</v>
      </c>
    </row>
    <row r="2403" spans="1:28" x14ac:dyDescent="0.2">
      <c r="A2403" s="10">
        <v>22510</v>
      </c>
      <c r="B2403" s="11" t="s">
        <v>15794</v>
      </c>
      <c r="C2403" s="11" t="s">
        <v>5075</v>
      </c>
      <c r="D2403" s="11"/>
      <c r="E2403" s="11" t="s">
        <v>15795</v>
      </c>
      <c r="F2403" s="11" t="s">
        <v>5077</v>
      </c>
      <c r="G2403" s="11" t="s">
        <v>300</v>
      </c>
      <c r="H2403" s="11" t="s">
        <v>301</v>
      </c>
      <c r="I2403" s="11" t="s">
        <v>5078</v>
      </c>
      <c r="J2403" s="11" t="s">
        <v>5079</v>
      </c>
      <c r="K2403" s="11" t="s">
        <v>304</v>
      </c>
      <c r="L2403" s="11" t="s">
        <v>229</v>
      </c>
      <c r="M2403" s="11" t="s">
        <v>15796</v>
      </c>
      <c r="N2403" s="11" t="s">
        <v>128</v>
      </c>
      <c r="O2403" s="11" t="s">
        <v>15797</v>
      </c>
      <c r="P2403" s="11" t="s">
        <v>14199</v>
      </c>
      <c r="Q2403" s="11" t="s">
        <v>150</v>
      </c>
      <c r="R2403" s="11"/>
      <c r="S2403" s="11" t="s">
        <v>71</v>
      </c>
      <c r="T2403" s="11" t="s">
        <v>869</v>
      </c>
      <c r="U2403" s="11" t="s">
        <v>150</v>
      </c>
      <c r="V2403" s="11" t="s">
        <v>869</v>
      </c>
      <c r="W2403" s="11" t="s">
        <v>869</v>
      </c>
      <c r="X2403" s="11">
        <v>13</v>
      </c>
      <c r="Y2403" s="11" t="s">
        <v>12359</v>
      </c>
      <c r="Z2403" s="11">
        <v>20</v>
      </c>
      <c r="AA2403" s="11">
        <v>0</v>
      </c>
      <c r="AB2403" s="12">
        <v>0</v>
      </c>
    </row>
    <row r="2404" spans="1:28" x14ac:dyDescent="0.2">
      <c r="A2404" s="7">
        <v>22597</v>
      </c>
      <c r="B2404" s="8" t="s">
        <v>15798</v>
      </c>
      <c r="C2404" s="8" t="s">
        <v>15799</v>
      </c>
      <c r="D2404" s="8" t="s">
        <v>15800</v>
      </c>
      <c r="E2404" s="8"/>
      <c r="F2404" s="8" t="s">
        <v>15801</v>
      </c>
      <c r="G2404" s="8" t="s">
        <v>3929</v>
      </c>
      <c r="H2404" s="8" t="s">
        <v>704</v>
      </c>
      <c r="I2404" s="8" t="s">
        <v>15802</v>
      </c>
      <c r="J2404" s="8" t="s">
        <v>15803</v>
      </c>
      <c r="K2404" s="8" t="s">
        <v>850</v>
      </c>
      <c r="L2404" s="8" t="s">
        <v>126</v>
      </c>
      <c r="M2404" s="8" t="s">
        <v>15804</v>
      </c>
      <c r="N2404" s="8" t="s">
        <v>128</v>
      </c>
      <c r="O2404" s="8" t="s">
        <v>15805</v>
      </c>
      <c r="P2404" s="8" t="s">
        <v>15806</v>
      </c>
      <c r="Q2404" s="8" t="s">
        <v>150</v>
      </c>
      <c r="R2404" s="8"/>
      <c r="S2404" s="8" t="s">
        <v>15807</v>
      </c>
      <c r="T2404" s="8" t="s">
        <v>2697</v>
      </c>
      <c r="U2404" s="8" t="s">
        <v>150</v>
      </c>
      <c r="V2404" s="8" t="s">
        <v>2697</v>
      </c>
      <c r="W2404" s="8" t="s">
        <v>2697</v>
      </c>
      <c r="X2404" s="8">
        <v>13</v>
      </c>
      <c r="Y2404" s="8" t="s">
        <v>12359</v>
      </c>
      <c r="Z2404" s="8">
        <v>20</v>
      </c>
      <c r="AA2404" s="8">
        <v>0</v>
      </c>
      <c r="AB2404" s="9">
        <v>0</v>
      </c>
    </row>
    <row r="2405" spans="1:28" x14ac:dyDescent="0.2">
      <c r="A2405" s="10">
        <v>238176</v>
      </c>
      <c r="B2405" s="11" t="s">
        <v>15808</v>
      </c>
      <c r="C2405" s="11" t="s">
        <v>1261</v>
      </c>
      <c r="D2405" s="11" t="s">
        <v>1262</v>
      </c>
      <c r="E2405" s="11"/>
      <c r="F2405" s="11" t="s">
        <v>757</v>
      </c>
      <c r="G2405" s="11" t="s">
        <v>521</v>
      </c>
      <c r="H2405" s="11" t="s">
        <v>522</v>
      </c>
      <c r="I2405" s="11" t="s">
        <v>1264</v>
      </c>
      <c r="J2405" s="11" t="s">
        <v>1265</v>
      </c>
      <c r="K2405" s="11" t="s">
        <v>525</v>
      </c>
      <c r="L2405" s="11" t="s">
        <v>526</v>
      </c>
      <c r="M2405" s="11" t="s">
        <v>15809</v>
      </c>
      <c r="N2405" s="11" t="s">
        <v>128</v>
      </c>
      <c r="O2405" s="11" t="s">
        <v>15810</v>
      </c>
      <c r="P2405" s="11"/>
      <c r="Q2405" s="11" t="s">
        <v>150</v>
      </c>
      <c r="R2405" s="11"/>
      <c r="S2405" s="11" t="s">
        <v>1269</v>
      </c>
      <c r="T2405" s="11" t="s">
        <v>15811</v>
      </c>
      <c r="U2405" s="11" t="s">
        <v>150</v>
      </c>
      <c r="V2405" s="11" t="s">
        <v>15811</v>
      </c>
      <c r="W2405" s="11" t="s">
        <v>15811</v>
      </c>
      <c r="X2405" s="11">
        <v>13</v>
      </c>
      <c r="Y2405" s="11" t="s">
        <v>12359</v>
      </c>
      <c r="Z2405" s="11">
        <v>20</v>
      </c>
      <c r="AA2405" s="11">
        <v>0</v>
      </c>
      <c r="AB2405" s="12">
        <v>0</v>
      </c>
    </row>
    <row r="2406" spans="1:28" x14ac:dyDescent="0.2">
      <c r="A2406" s="7">
        <v>28364</v>
      </c>
      <c r="B2406" s="8" t="s">
        <v>15812</v>
      </c>
      <c r="C2406" s="8" t="s">
        <v>7219</v>
      </c>
      <c r="D2406" s="8" t="s">
        <v>15813</v>
      </c>
      <c r="E2406" s="8"/>
      <c r="F2406" s="8" t="s">
        <v>353</v>
      </c>
      <c r="G2406" s="8" t="s">
        <v>4831</v>
      </c>
      <c r="H2406" s="8" t="s">
        <v>122</v>
      </c>
      <c r="I2406" s="8"/>
      <c r="J2406" s="8" t="s">
        <v>15814</v>
      </c>
      <c r="K2406" s="8" t="s">
        <v>1051</v>
      </c>
      <c r="L2406" s="8" t="s">
        <v>126</v>
      </c>
      <c r="M2406" s="8" t="s">
        <v>15815</v>
      </c>
      <c r="N2406" s="8" t="s">
        <v>128</v>
      </c>
      <c r="O2406" s="8"/>
      <c r="P2406" s="8" t="s">
        <v>3523</v>
      </c>
      <c r="Q2406" s="8" t="s">
        <v>150</v>
      </c>
      <c r="R2406" s="8"/>
      <c r="S2406" s="8" t="s">
        <v>71</v>
      </c>
      <c r="T2406" s="8" t="s">
        <v>7189</v>
      </c>
      <c r="U2406" s="8" t="s">
        <v>150</v>
      </c>
      <c r="V2406" s="8" t="s">
        <v>7189</v>
      </c>
      <c r="W2406" s="8" t="s">
        <v>7189</v>
      </c>
      <c r="X2406" s="8">
        <v>13</v>
      </c>
      <c r="Y2406" s="8" t="s">
        <v>12359</v>
      </c>
      <c r="Z2406" s="8">
        <v>20</v>
      </c>
      <c r="AA2406" s="8">
        <v>0</v>
      </c>
      <c r="AB2406" s="9">
        <v>0</v>
      </c>
    </row>
    <row r="2407" spans="1:28" x14ac:dyDescent="0.2">
      <c r="A2407" s="10">
        <v>46985</v>
      </c>
      <c r="B2407" s="11" t="s">
        <v>15816</v>
      </c>
      <c r="C2407" s="11" t="s">
        <v>15817</v>
      </c>
      <c r="D2407" s="11" t="s">
        <v>10045</v>
      </c>
      <c r="E2407" s="11" t="s">
        <v>15818</v>
      </c>
      <c r="F2407" s="11" t="s">
        <v>15819</v>
      </c>
      <c r="G2407" s="11" t="s">
        <v>328</v>
      </c>
      <c r="H2407" s="11" t="s">
        <v>329</v>
      </c>
      <c r="I2407" s="11" t="s">
        <v>10046</v>
      </c>
      <c r="J2407" s="11" t="s">
        <v>15820</v>
      </c>
      <c r="K2407" s="11" t="s">
        <v>332</v>
      </c>
      <c r="L2407" s="11" t="s">
        <v>333</v>
      </c>
      <c r="M2407" s="11" t="s">
        <v>15821</v>
      </c>
      <c r="N2407" s="11" t="s">
        <v>128</v>
      </c>
      <c r="O2407" s="11" t="s">
        <v>15822</v>
      </c>
      <c r="P2407" s="11" t="s">
        <v>15823</v>
      </c>
      <c r="Q2407" s="11" t="s">
        <v>150</v>
      </c>
      <c r="R2407" s="11"/>
      <c r="S2407" s="11" t="s">
        <v>71</v>
      </c>
      <c r="T2407" s="11" t="s">
        <v>70</v>
      </c>
      <c r="U2407" s="11" t="s">
        <v>150</v>
      </c>
      <c r="V2407" s="11" t="s">
        <v>70</v>
      </c>
      <c r="W2407" s="11" t="s">
        <v>70</v>
      </c>
      <c r="X2407" s="11">
        <v>13</v>
      </c>
      <c r="Y2407" s="11" t="s">
        <v>12359</v>
      </c>
      <c r="Z2407" s="11">
        <v>20</v>
      </c>
      <c r="AA2407" s="11">
        <v>0</v>
      </c>
      <c r="AB2407" s="12">
        <v>0</v>
      </c>
    </row>
    <row r="2408" spans="1:28" x14ac:dyDescent="0.2">
      <c r="A2408" s="7">
        <v>23057</v>
      </c>
      <c r="B2408" s="8" t="s">
        <v>15824</v>
      </c>
      <c r="C2408" s="8" t="s">
        <v>11076</v>
      </c>
      <c r="D2408" s="8" t="s">
        <v>2173</v>
      </c>
      <c r="E2408" s="8" t="s">
        <v>15825</v>
      </c>
      <c r="F2408" s="8" t="s">
        <v>10069</v>
      </c>
      <c r="G2408" s="8" t="s">
        <v>141</v>
      </c>
      <c r="H2408" s="8" t="s">
        <v>142</v>
      </c>
      <c r="I2408" s="8" t="s">
        <v>15826</v>
      </c>
      <c r="J2408" s="8" t="s">
        <v>15827</v>
      </c>
      <c r="K2408" s="8" t="s">
        <v>991</v>
      </c>
      <c r="L2408" s="8" t="s">
        <v>146</v>
      </c>
      <c r="M2408" s="8" t="s">
        <v>15828</v>
      </c>
      <c r="N2408" s="8" t="s">
        <v>128</v>
      </c>
      <c r="O2408" s="8" t="s">
        <v>15829</v>
      </c>
      <c r="P2408" s="8" t="s">
        <v>15830</v>
      </c>
      <c r="Q2408" s="8" t="s">
        <v>150</v>
      </c>
      <c r="R2408" s="8"/>
      <c r="S2408" s="8" t="s">
        <v>71</v>
      </c>
      <c r="T2408" s="8" t="s">
        <v>70</v>
      </c>
      <c r="U2408" s="8" t="s">
        <v>150</v>
      </c>
      <c r="V2408" s="8" t="s">
        <v>70</v>
      </c>
      <c r="W2408" s="8" t="s">
        <v>70</v>
      </c>
      <c r="X2408" s="8">
        <v>13</v>
      </c>
      <c r="Y2408" s="8" t="s">
        <v>12359</v>
      </c>
      <c r="Z2408" s="8">
        <v>20</v>
      </c>
      <c r="AA2408" s="8">
        <v>0</v>
      </c>
      <c r="AB2408" s="9">
        <v>0</v>
      </c>
    </row>
    <row r="2409" spans="1:28" x14ac:dyDescent="0.2">
      <c r="A2409" s="10">
        <v>22954</v>
      </c>
      <c r="B2409" s="11" t="s">
        <v>15831</v>
      </c>
      <c r="C2409" s="11" t="s">
        <v>15832</v>
      </c>
      <c r="D2409" s="11" t="s">
        <v>138</v>
      </c>
      <c r="E2409" s="11" t="s">
        <v>15833</v>
      </c>
      <c r="F2409" s="11" t="s">
        <v>15834</v>
      </c>
      <c r="G2409" s="11" t="s">
        <v>4557</v>
      </c>
      <c r="H2409" s="11" t="s">
        <v>301</v>
      </c>
      <c r="I2409" s="11" t="s">
        <v>4659</v>
      </c>
      <c r="J2409" s="11" t="s">
        <v>15835</v>
      </c>
      <c r="K2409" s="11" t="s">
        <v>304</v>
      </c>
      <c r="L2409" s="11" t="s">
        <v>229</v>
      </c>
      <c r="M2409" s="11" t="s">
        <v>15836</v>
      </c>
      <c r="N2409" s="11" t="s">
        <v>128</v>
      </c>
      <c r="O2409" s="11" t="s">
        <v>15837</v>
      </c>
      <c r="P2409" s="11" t="s">
        <v>3097</v>
      </c>
      <c r="Q2409" s="11" t="s">
        <v>150</v>
      </c>
      <c r="R2409" s="11"/>
      <c r="S2409" s="11" t="s">
        <v>71</v>
      </c>
      <c r="T2409" s="11" t="s">
        <v>70</v>
      </c>
      <c r="U2409" s="11" t="s">
        <v>150</v>
      </c>
      <c r="V2409" s="11" t="s">
        <v>70</v>
      </c>
      <c r="W2409" s="11" t="s">
        <v>70</v>
      </c>
      <c r="X2409" s="11">
        <v>13</v>
      </c>
      <c r="Y2409" s="11" t="s">
        <v>12359</v>
      </c>
      <c r="Z2409" s="11">
        <v>20</v>
      </c>
      <c r="AA2409" s="11">
        <v>0</v>
      </c>
      <c r="AB2409" s="12">
        <v>0</v>
      </c>
    </row>
    <row r="2410" spans="1:28" x14ac:dyDescent="0.2">
      <c r="A2410" s="7">
        <v>23251</v>
      </c>
      <c r="B2410" s="8" t="s">
        <v>15838</v>
      </c>
      <c r="C2410" s="8" t="s">
        <v>15839</v>
      </c>
      <c r="D2410" s="8" t="s">
        <v>5637</v>
      </c>
      <c r="E2410" s="8" t="s">
        <v>6703</v>
      </c>
      <c r="F2410" s="8" t="s">
        <v>353</v>
      </c>
      <c r="G2410" s="8" t="s">
        <v>7562</v>
      </c>
      <c r="H2410" s="8" t="s">
        <v>847</v>
      </c>
      <c r="I2410" s="8" t="s">
        <v>15840</v>
      </c>
      <c r="J2410" s="8" t="s">
        <v>15841</v>
      </c>
      <c r="K2410" s="8" t="s">
        <v>850</v>
      </c>
      <c r="L2410" s="8" t="s">
        <v>126</v>
      </c>
      <c r="M2410" s="8" t="s">
        <v>15842</v>
      </c>
      <c r="N2410" s="8" t="s">
        <v>128</v>
      </c>
      <c r="O2410" s="8" t="s">
        <v>15843</v>
      </c>
      <c r="P2410" s="8" t="s">
        <v>15844</v>
      </c>
      <c r="Q2410" s="8" t="s">
        <v>150</v>
      </c>
      <c r="R2410" s="8"/>
      <c r="S2410" s="8" t="s">
        <v>15845</v>
      </c>
      <c r="T2410" s="8" t="s">
        <v>70</v>
      </c>
      <c r="U2410" s="8" t="s">
        <v>150</v>
      </c>
      <c r="V2410" s="8" t="s">
        <v>70</v>
      </c>
      <c r="W2410" s="8" t="s">
        <v>70</v>
      </c>
      <c r="X2410" s="8">
        <v>13</v>
      </c>
      <c r="Y2410" s="8" t="s">
        <v>12359</v>
      </c>
      <c r="Z2410" s="8">
        <v>20</v>
      </c>
      <c r="AA2410" s="8">
        <v>0</v>
      </c>
      <c r="AB2410" s="9">
        <v>0</v>
      </c>
    </row>
    <row r="2411" spans="1:28" x14ac:dyDescent="0.2">
      <c r="A2411" s="10">
        <v>23074</v>
      </c>
      <c r="B2411" s="11" t="s">
        <v>15846</v>
      </c>
      <c r="C2411" s="11" t="s">
        <v>842</v>
      </c>
      <c r="D2411" s="11" t="s">
        <v>4482</v>
      </c>
      <c r="E2411" s="11" t="s">
        <v>281</v>
      </c>
      <c r="F2411" s="11" t="s">
        <v>353</v>
      </c>
      <c r="G2411" s="11" t="s">
        <v>1488</v>
      </c>
      <c r="H2411" s="11" t="s">
        <v>329</v>
      </c>
      <c r="I2411" s="11" t="s">
        <v>4484</v>
      </c>
      <c r="J2411" s="11" t="s">
        <v>10306</v>
      </c>
      <c r="K2411" s="11" t="s">
        <v>415</v>
      </c>
      <c r="L2411" s="11" t="s">
        <v>333</v>
      </c>
      <c r="M2411" s="11" t="s">
        <v>15847</v>
      </c>
      <c r="N2411" s="11" t="s">
        <v>128</v>
      </c>
      <c r="O2411" s="11" t="s">
        <v>15848</v>
      </c>
      <c r="P2411" s="11" t="s">
        <v>15849</v>
      </c>
      <c r="Q2411" s="11" t="s">
        <v>150</v>
      </c>
      <c r="R2411" s="11"/>
      <c r="S2411" s="11" t="s">
        <v>4489</v>
      </c>
      <c r="T2411" s="11" t="s">
        <v>70</v>
      </c>
      <c r="U2411" s="11" t="s">
        <v>150</v>
      </c>
      <c r="V2411" s="11" t="s">
        <v>70</v>
      </c>
      <c r="W2411" s="11" t="s">
        <v>70</v>
      </c>
      <c r="X2411" s="11">
        <v>13</v>
      </c>
      <c r="Y2411" s="11" t="s">
        <v>12359</v>
      </c>
      <c r="Z2411" s="11">
        <v>20</v>
      </c>
      <c r="AA2411" s="11">
        <v>0</v>
      </c>
      <c r="AB2411" s="12">
        <v>0</v>
      </c>
    </row>
    <row r="2412" spans="1:28" x14ac:dyDescent="0.2">
      <c r="A2412" s="7">
        <v>32135</v>
      </c>
      <c r="B2412" s="8" t="s">
        <v>15850</v>
      </c>
      <c r="C2412" s="8" t="s">
        <v>15851</v>
      </c>
      <c r="D2412" s="8" t="s">
        <v>4623</v>
      </c>
      <c r="E2412" s="8" t="s">
        <v>15852</v>
      </c>
      <c r="F2412" s="8" t="s">
        <v>353</v>
      </c>
      <c r="G2412" s="8" t="s">
        <v>1784</v>
      </c>
      <c r="H2412" s="8" t="s">
        <v>329</v>
      </c>
      <c r="I2412" s="8" t="s">
        <v>11949</v>
      </c>
      <c r="J2412" s="8" t="s">
        <v>11950</v>
      </c>
      <c r="K2412" s="8" t="s">
        <v>431</v>
      </c>
      <c r="L2412" s="8" t="s">
        <v>333</v>
      </c>
      <c r="M2412" s="8" t="s">
        <v>15853</v>
      </c>
      <c r="N2412" s="8" t="s">
        <v>128</v>
      </c>
      <c r="O2412" s="8" t="s">
        <v>15854</v>
      </c>
      <c r="P2412" s="8" t="s">
        <v>3523</v>
      </c>
      <c r="Q2412" s="8" t="s">
        <v>150</v>
      </c>
      <c r="R2412" s="8"/>
      <c r="S2412" s="8" t="s">
        <v>11954</v>
      </c>
      <c r="T2412" s="8" t="s">
        <v>70</v>
      </c>
      <c r="U2412" s="8" t="s">
        <v>150</v>
      </c>
      <c r="V2412" s="8" t="s">
        <v>70</v>
      </c>
      <c r="W2412" s="8" t="s">
        <v>70</v>
      </c>
      <c r="X2412" s="8">
        <v>13</v>
      </c>
      <c r="Y2412" s="8" t="s">
        <v>12359</v>
      </c>
      <c r="Z2412" s="8">
        <v>20</v>
      </c>
      <c r="AA2412" s="8">
        <v>0</v>
      </c>
      <c r="AB2412" s="9">
        <v>0</v>
      </c>
    </row>
    <row r="2413" spans="1:28" x14ac:dyDescent="0.2">
      <c r="A2413" s="10">
        <v>22906</v>
      </c>
      <c r="B2413" s="11" t="s">
        <v>15855</v>
      </c>
      <c r="C2413" s="11" t="s">
        <v>1610</v>
      </c>
      <c r="D2413" s="11" t="s">
        <v>1611</v>
      </c>
      <c r="E2413" s="11" t="s">
        <v>15856</v>
      </c>
      <c r="F2413" s="11" t="s">
        <v>1613</v>
      </c>
      <c r="G2413" s="11" t="s">
        <v>1614</v>
      </c>
      <c r="H2413" s="11" t="s">
        <v>142</v>
      </c>
      <c r="I2413" s="11" t="s">
        <v>1615</v>
      </c>
      <c r="J2413" s="11" t="s">
        <v>1616</v>
      </c>
      <c r="K2413" s="11" t="s">
        <v>717</v>
      </c>
      <c r="L2413" s="11" t="s">
        <v>464</v>
      </c>
      <c r="M2413" s="11" t="s">
        <v>15857</v>
      </c>
      <c r="N2413" s="11" t="s">
        <v>128</v>
      </c>
      <c r="O2413" s="11" t="s">
        <v>15858</v>
      </c>
      <c r="P2413" s="11" t="s">
        <v>15859</v>
      </c>
      <c r="Q2413" s="11" t="s">
        <v>150</v>
      </c>
      <c r="R2413" s="11"/>
      <c r="S2413" s="11" t="s">
        <v>1620</v>
      </c>
      <c r="T2413" s="11" t="s">
        <v>70</v>
      </c>
      <c r="U2413" s="11" t="s">
        <v>150</v>
      </c>
      <c r="V2413" s="11" t="s">
        <v>70</v>
      </c>
      <c r="W2413" s="11" t="s">
        <v>70</v>
      </c>
      <c r="X2413" s="11">
        <v>13</v>
      </c>
      <c r="Y2413" s="11" t="s">
        <v>12359</v>
      </c>
      <c r="Z2413" s="11">
        <v>20</v>
      </c>
      <c r="AA2413" s="11">
        <v>0</v>
      </c>
      <c r="AB2413" s="12">
        <v>0</v>
      </c>
    </row>
    <row r="2414" spans="1:28" x14ac:dyDescent="0.2">
      <c r="A2414" s="7">
        <v>23025</v>
      </c>
      <c r="B2414" s="8" t="s">
        <v>15860</v>
      </c>
      <c r="C2414" s="8" t="s">
        <v>8955</v>
      </c>
      <c r="D2414" s="8" t="s">
        <v>8956</v>
      </c>
      <c r="E2414" s="8" t="s">
        <v>15861</v>
      </c>
      <c r="F2414" s="8" t="s">
        <v>8958</v>
      </c>
      <c r="G2414" s="8" t="s">
        <v>8614</v>
      </c>
      <c r="H2414" s="8" t="s">
        <v>142</v>
      </c>
      <c r="I2414" s="8" t="s">
        <v>9169</v>
      </c>
      <c r="J2414" s="8" t="s">
        <v>8960</v>
      </c>
      <c r="K2414" s="8" t="s">
        <v>1199</v>
      </c>
      <c r="L2414" s="8" t="s">
        <v>464</v>
      </c>
      <c r="M2414" s="8" t="s">
        <v>15862</v>
      </c>
      <c r="N2414" s="8" t="s">
        <v>128</v>
      </c>
      <c r="O2414" s="8" t="s">
        <v>15863</v>
      </c>
      <c r="P2414" s="8" t="s">
        <v>15864</v>
      </c>
      <c r="Q2414" s="8" t="s">
        <v>150</v>
      </c>
      <c r="R2414" s="8"/>
      <c r="S2414" s="8" t="s">
        <v>8964</v>
      </c>
      <c r="T2414" s="8" t="s">
        <v>70</v>
      </c>
      <c r="U2414" s="8" t="s">
        <v>150</v>
      </c>
      <c r="V2414" s="8" t="s">
        <v>70</v>
      </c>
      <c r="W2414" s="8" t="s">
        <v>70</v>
      </c>
      <c r="X2414" s="8">
        <v>13</v>
      </c>
      <c r="Y2414" s="8" t="s">
        <v>12359</v>
      </c>
      <c r="Z2414" s="8">
        <v>20</v>
      </c>
      <c r="AA2414" s="8">
        <v>0</v>
      </c>
      <c r="AB2414" s="9">
        <v>0</v>
      </c>
    </row>
    <row r="2415" spans="1:28" x14ac:dyDescent="0.2">
      <c r="A2415" s="10">
        <v>111405</v>
      </c>
      <c r="B2415" s="11" t="s">
        <v>15865</v>
      </c>
      <c r="C2415" s="11" t="s">
        <v>9102</v>
      </c>
      <c r="D2415" s="11" t="s">
        <v>7953</v>
      </c>
      <c r="E2415" s="11" t="s">
        <v>15866</v>
      </c>
      <c r="F2415" s="11" t="s">
        <v>15867</v>
      </c>
      <c r="G2415" s="11" t="s">
        <v>4137</v>
      </c>
      <c r="H2415" s="11" t="s">
        <v>142</v>
      </c>
      <c r="I2415" s="11" t="s">
        <v>9105</v>
      </c>
      <c r="J2415" s="11" t="s">
        <v>15627</v>
      </c>
      <c r="K2415" s="11" t="s">
        <v>1199</v>
      </c>
      <c r="L2415" s="11" t="s">
        <v>464</v>
      </c>
      <c r="M2415" s="11" t="s">
        <v>15868</v>
      </c>
      <c r="N2415" s="11" t="s">
        <v>128</v>
      </c>
      <c r="O2415" s="11" t="s">
        <v>15869</v>
      </c>
      <c r="P2415" s="11" t="s">
        <v>8812</v>
      </c>
      <c r="Q2415" s="11" t="s">
        <v>150</v>
      </c>
      <c r="R2415" s="11"/>
      <c r="S2415" s="11" t="s">
        <v>9110</v>
      </c>
      <c r="T2415" s="11" t="s">
        <v>70</v>
      </c>
      <c r="U2415" s="11" t="s">
        <v>150</v>
      </c>
      <c r="V2415" s="11" t="s">
        <v>70</v>
      </c>
      <c r="W2415" s="11" t="s">
        <v>70</v>
      </c>
      <c r="X2415" s="11">
        <v>13</v>
      </c>
      <c r="Y2415" s="11" t="s">
        <v>12359</v>
      </c>
      <c r="Z2415" s="11">
        <v>20</v>
      </c>
      <c r="AA2415" s="11">
        <v>0</v>
      </c>
      <c r="AB2415" s="12">
        <v>0</v>
      </c>
    </row>
    <row r="2416" spans="1:28" x14ac:dyDescent="0.2">
      <c r="A2416" s="7">
        <v>22885</v>
      </c>
      <c r="B2416" s="8" t="s">
        <v>15870</v>
      </c>
      <c r="C2416" s="8" t="s">
        <v>15743</v>
      </c>
      <c r="D2416" s="8" t="s">
        <v>518</v>
      </c>
      <c r="E2416" s="8" t="s">
        <v>15871</v>
      </c>
      <c r="F2416" s="8" t="s">
        <v>327</v>
      </c>
      <c r="G2416" s="8" t="s">
        <v>328</v>
      </c>
      <c r="H2416" s="8" t="s">
        <v>329</v>
      </c>
      <c r="I2416" s="8" t="s">
        <v>15872</v>
      </c>
      <c r="J2416" s="8" t="s">
        <v>15873</v>
      </c>
      <c r="K2416" s="8" t="s">
        <v>332</v>
      </c>
      <c r="L2416" s="8" t="s">
        <v>333</v>
      </c>
      <c r="M2416" s="8" t="s">
        <v>15874</v>
      </c>
      <c r="N2416" s="8" t="s">
        <v>128</v>
      </c>
      <c r="O2416" s="8" t="s">
        <v>15875</v>
      </c>
      <c r="P2416" s="8" t="s">
        <v>8325</v>
      </c>
      <c r="Q2416" s="8" t="s">
        <v>150</v>
      </c>
      <c r="R2416" s="8"/>
      <c r="S2416" s="8" t="s">
        <v>15749</v>
      </c>
      <c r="T2416" s="8" t="s">
        <v>70</v>
      </c>
      <c r="U2416" s="8" t="s">
        <v>150</v>
      </c>
      <c r="V2416" s="8" t="s">
        <v>70</v>
      </c>
      <c r="W2416" s="8" t="s">
        <v>70</v>
      </c>
      <c r="X2416" s="8">
        <v>13</v>
      </c>
      <c r="Y2416" s="8" t="s">
        <v>12359</v>
      </c>
      <c r="Z2416" s="8">
        <v>20</v>
      </c>
      <c r="AA2416" s="8">
        <v>0</v>
      </c>
      <c r="AB2416" s="9">
        <v>0</v>
      </c>
    </row>
    <row r="2417" spans="1:28" x14ac:dyDescent="0.2">
      <c r="A2417" s="10">
        <v>22907</v>
      </c>
      <c r="B2417" s="11" t="s">
        <v>15876</v>
      </c>
      <c r="C2417" s="11" t="s">
        <v>15877</v>
      </c>
      <c r="D2417" s="11" t="s">
        <v>3863</v>
      </c>
      <c r="E2417" s="11" t="s">
        <v>15878</v>
      </c>
      <c r="F2417" s="11" t="s">
        <v>327</v>
      </c>
      <c r="G2417" s="11" t="s">
        <v>328</v>
      </c>
      <c r="H2417" s="11" t="s">
        <v>329</v>
      </c>
      <c r="I2417" s="11" t="s">
        <v>15879</v>
      </c>
      <c r="J2417" s="11" t="s">
        <v>15880</v>
      </c>
      <c r="K2417" s="11" t="s">
        <v>332</v>
      </c>
      <c r="L2417" s="11" t="s">
        <v>333</v>
      </c>
      <c r="M2417" s="11" t="s">
        <v>15881</v>
      </c>
      <c r="N2417" s="11" t="s">
        <v>128</v>
      </c>
      <c r="O2417" s="11" t="s">
        <v>15882</v>
      </c>
      <c r="P2417" s="11" t="s">
        <v>15883</v>
      </c>
      <c r="Q2417" s="11" t="s">
        <v>150</v>
      </c>
      <c r="R2417" s="11"/>
      <c r="S2417" s="11" t="s">
        <v>15884</v>
      </c>
      <c r="T2417" s="11" t="s">
        <v>70</v>
      </c>
      <c r="U2417" s="11" t="s">
        <v>150</v>
      </c>
      <c r="V2417" s="11" t="s">
        <v>70</v>
      </c>
      <c r="W2417" s="11" t="s">
        <v>70</v>
      </c>
      <c r="X2417" s="11">
        <v>13</v>
      </c>
      <c r="Y2417" s="11" t="s">
        <v>12359</v>
      </c>
      <c r="Z2417" s="11">
        <v>20</v>
      </c>
      <c r="AA2417" s="11">
        <v>0</v>
      </c>
      <c r="AB2417" s="12">
        <v>0</v>
      </c>
    </row>
    <row r="2418" spans="1:28" x14ac:dyDescent="0.2">
      <c r="A2418" s="7">
        <v>28469</v>
      </c>
      <c r="B2418" s="8" t="s">
        <v>15885</v>
      </c>
      <c r="C2418" s="8" t="s">
        <v>10037</v>
      </c>
      <c r="D2418" s="8" t="s">
        <v>4080</v>
      </c>
      <c r="E2418" s="8"/>
      <c r="F2418" s="8" t="s">
        <v>10038</v>
      </c>
      <c r="G2418" s="8" t="s">
        <v>1852</v>
      </c>
      <c r="H2418" s="8" t="s">
        <v>671</v>
      </c>
      <c r="I2418" s="8" t="s">
        <v>10039</v>
      </c>
      <c r="J2418" s="8" t="s">
        <v>10040</v>
      </c>
      <c r="K2418" s="8" t="s">
        <v>572</v>
      </c>
      <c r="L2418" s="8" t="s">
        <v>333</v>
      </c>
      <c r="M2418" s="8" t="s">
        <v>15886</v>
      </c>
      <c r="N2418" s="8" t="s">
        <v>128</v>
      </c>
      <c r="O2418" s="8" t="s">
        <v>15887</v>
      </c>
      <c r="P2418" s="8" t="s">
        <v>15888</v>
      </c>
      <c r="Q2418" s="8" t="s">
        <v>150</v>
      </c>
      <c r="R2418" s="8"/>
      <c r="S2418" s="8" t="s">
        <v>10043</v>
      </c>
      <c r="T2418" s="8" t="s">
        <v>70</v>
      </c>
      <c r="U2418" s="8" t="s">
        <v>150</v>
      </c>
      <c r="V2418" s="8" t="s">
        <v>70</v>
      </c>
      <c r="W2418" s="8" t="s">
        <v>70</v>
      </c>
      <c r="X2418" s="8">
        <v>13</v>
      </c>
      <c r="Y2418" s="8" t="s">
        <v>12359</v>
      </c>
      <c r="Z2418" s="8">
        <v>20</v>
      </c>
      <c r="AA2418" s="8">
        <v>0</v>
      </c>
      <c r="AB2418" s="9">
        <v>0</v>
      </c>
    </row>
    <row r="2419" spans="1:28" x14ac:dyDescent="0.2">
      <c r="A2419" s="10">
        <v>28542</v>
      </c>
      <c r="B2419" s="11" t="s">
        <v>15889</v>
      </c>
      <c r="C2419" s="11" t="s">
        <v>10381</v>
      </c>
      <c r="D2419" s="11" t="s">
        <v>10382</v>
      </c>
      <c r="E2419" s="11"/>
      <c r="F2419" s="11" t="s">
        <v>1994</v>
      </c>
      <c r="G2419" s="11" t="s">
        <v>4012</v>
      </c>
      <c r="H2419" s="11" t="s">
        <v>671</v>
      </c>
      <c r="I2419" s="11" t="s">
        <v>15890</v>
      </c>
      <c r="J2419" s="11" t="s">
        <v>10384</v>
      </c>
      <c r="K2419" s="11" t="s">
        <v>572</v>
      </c>
      <c r="L2419" s="11" t="s">
        <v>333</v>
      </c>
      <c r="M2419" s="11" t="s">
        <v>15891</v>
      </c>
      <c r="N2419" s="11" t="s">
        <v>128</v>
      </c>
      <c r="O2419" s="11" t="s">
        <v>15892</v>
      </c>
      <c r="P2419" s="11" t="s">
        <v>994</v>
      </c>
      <c r="Q2419" s="11" t="s">
        <v>150</v>
      </c>
      <c r="R2419" s="11"/>
      <c r="S2419" s="11" t="s">
        <v>10388</v>
      </c>
      <c r="T2419" s="11" t="s">
        <v>70</v>
      </c>
      <c r="U2419" s="11" t="s">
        <v>150</v>
      </c>
      <c r="V2419" s="11" t="s">
        <v>70</v>
      </c>
      <c r="W2419" s="11" t="s">
        <v>70</v>
      </c>
      <c r="X2419" s="11">
        <v>13</v>
      </c>
      <c r="Y2419" s="11" t="s">
        <v>12359</v>
      </c>
      <c r="Z2419" s="11">
        <v>20</v>
      </c>
      <c r="AA2419" s="11">
        <v>0</v>
      </c>
      <c r="AB2419" s="12">
        <v>0</v>
      </c>
    </row>
    <row r="2420" spans="1:28" x14ac:dyDescent="0.2">
      <c r="A2420" s="7">
        <v>28574</v>
      </c>
      <c r="B2420" s="8" t="s">
        <v>15893</v>
      </c>
      <c r="C2420" s="8" t="s">
        <v>9824</v>
      </c>
      <c r="D2420" s="8" t="s">
        <v>9825</v>
      </c>
      <c r="E2420" s="8"/>
      <c r="F2420" s="8" t="s">
        <v>9826</v>
      </c>
      <c r="G2420" s="8" t="s">
        <v>1852</v>
      </c>
      <c r="H2420" s="8" t="s">
        <v>671</v>
      </c>
      <c r="I2420" s="8" t="s">
        <v>9827</v>
      </c>
      <c r="J2420" s="8" t="s">
        <v>9828</v>
      </c>
      <c r="K2420" s="8" t="s">
        <v>572</v>
      </c>
      <c r="L2420" s="8" t="s">
        <v>333</v>
      </c>
      <c r="M2420" s="8" t="s">
        <v>15894</v>
      </c>
      <c r="N2420" s="8" t="s">
        <v>128</v>
      </c>
      <c r="O2420" s="8" t="s">
        <v>15895</v>
      </c>
      <c r="P2420" s="8" t="s">
        <v>1339</v>
      </c>
      <c r="Q2420" s="8" t="s">
        <v>150</v>
      </c>
      <c r="R2420" s="8"/>
      <c r="S2420" s="8" t="s">
        <v>9832</v>
      </c>
      <c r="T2420" s="8" t="s">
        <v>70</v>
      </c>
      <c r="U2420" s="8" t="s">
        <v>150</v>
      </c>
      <c r="V2420" s="8" t="s">
        <v>70</v>
      </c>
      <c r="W2420" s="8" t="s">
        <v>70</v>
      </c>
      <c r="X2420" s="8">
        <v>13</v>
      </c>
      <c r="Y2420" s="8" t="s">
        <v>12359</v>
      </c>
      <c r="Z2420" s="8">
        <v>20</v>
      </c>
      <c r="AA2420" s="8">
        <v>0</v>
      </c>
      <c r="AB2420" s="9">
        <v>0</v>
      </c>
    </row>
    <row r="2421" spans="1:28" x14ac:dyDescent="0.2">
      <c r="A2421" s="10">
        <v>23439</v>
      </c>
      <c r="B2421" s="11" t="s">
        <v>15896</v>
      </c>
      <c r="C2421" s="11" t="s">
        <v>773</v>
      </c>
      <c r="D2421" s="11" t="s">
        <v>15897</v>
      </c>
      <c r="E2421" s="11"/>
      <c r="F2421" s="11" t="s">
        <v>353</v>
      </c>
      <c r="G2421" s="11" t="s">
        <v>7562</v>
      </c>
      <c r="H2421" s="11" t="s">
        <v>847</v>
      </c>
      <c r="I2421" s="11" t="s">
        <v>7563</v>
      </c>
      <c r="J2421" s="11" t="s">
        <v>15898</v>
      </c>
      <c r="K2421" s="11" t="s">
        <v>850</v>
      </c>
      <c r="L2421" s="11" t="s">
        <v>126</v>
      </c>
      <c r="M2421" s="11" t="s">
        <v>15899</v>
      </c>
      <c r="N2421" s="11" t="s">
        <v>128</v>
      </c>
      <c r="O2421" s="11" t="s">
        <v>15900</v>
      </c>
      <c r="P2421" s="11" t="s">
        <v>15901</v>
      </c>
      <c r="Q2421" s="11" t="s">
        <v>150</v>
      </c>
      <c r="R2421" s="11"/>
      <c r="S2421" s="11" t="s">
        <v>71</v>
      </c>
      <c r="T2421" s="11" t="s">
        <v>1415</v>
      </c>
      <c r="U2421" s="11" t="s">
        <v>150</v>
      </c>
      <c r="V2421" s="11" t="s">
        <v>1415</v>
      </c>
      <c r="W2421" s="11" t="s">
        <v>1415</v>
      </c>
      <c r="X2421" s="11">
        <v>13</v>
      </c>
      <c r="Y2421" s="11" t="s">
        <v>12359</v>
      </c>
      <c r="Z2421" s="11">
        <v>20</v>
      </c>
      <c r="AA2421" s="11">
        <v>0</v>
      </c>
      <c r="AB2421" s="12">
        <v>0</v>
      </c>
    </row>
    <row r="2422" spans="1:28" x14ac:dyDescent="0.2">
      <c r="A2422" s="7">
        <v>23382</v>
      </c>
      <c r="B2422" s="8" t="s">
        <v>15902</v>
      </c>
      <c r="C2422" s="8" t="s">
        <v>15903</v>
      </c>
      <c r="D2422" s="8" t="s">
        <v>6841</v>
      </c>
      <c r="E2422" s="8"/>
      <c r="F2422" s="8" t="s">
        <v>237</v>
      </c>
      <c r="G2422" s="8" t="s">
        <v>141</v>
      </c>
      <c r="H2422" s="8" t="s">
        <v>142</v>
      </c>
      <c r="I2422" s="8" t="s">
        <v>15904</v>
      </c>
      <c r="J2422" s="8" t="s">
        <v>15905</v>
      </c>
      <c r="K2422" s="8" t="s">
        <v>216</v>
      </c>
      <c r="L2422" s="8" t="s">
        <v>146</v>
      </c>
      <c r="M2422" s="8" t="s">
        <v>15906</v>
      </c>
      <c r="N2422" s="8" t="s">
        <v>128</v>
      </c>
      <c r="O2422" s="8" t="s">
        <v>15907</v>
      </c>
      <c r="P2422" s="8" t="s">
        <v>15908</v>
      </c>
      <c r="Q2422" s="8" t="s">
        <v>150</v>
      </c>
      <c r="R2422" s="8"/>
      <c r="S2422" s="8" t="s">
        <v>71</v>
      </c>
      <c r="T2422" s="8" t="s">
        <v>1415</v>
      </c>
      <c r="U2422" s="8" t="s">
        <v>150</v>
      </c>
      <c r="V2422" s="8" t="s">
        <v>1415</v>
      </c>
      <c r="W2422" s="8" t="s">
        <v>1415</v>
      </c>
      <c r="X2422" s="8">
        <v>13</v>
      </c>
      <c r="Y2422" s="8" t="s">
        <v>12359</v>
      </c>
      <c r="Z2422" s="8">
        <v>20</v>
      </c>
      <c r="AA2422" s="8">
        <v>0</v>
      </c>
      <c r="AB2422" s="9">
        <v>0</v>
      </c>
    </row>
    <row r="2423" spans="1:28" x14ac:dyDescent="0.2">
      <c r="A2423" s="10">
        <v>23692</v>
      </c>
      <c r="B2423" s="11" t="s">
        <v>15909</v>
      </c>
      <c r="C2423" s="11" t="s">
        <v>8399</v>
      </c>
      <c r="D2423" s="11" t="s">
        <v>15910</v>
      </c>
      <c r="E2423" s="11"/>
      <c r="F2423" s="11" t="s">
        <v>8400</v>
      </c>
      <c r="G2423" s="11" t="s">
        <v>141</v>
      </c>
      <c r="H2423" s="11" t="s">
        <v>142</v>
      </c>
      <c r="I2423" s="11" t="s">
        <v>15911</v>
      </c>
      <c r="J2423" s="11" t="s">
        <v>15912</v>
      </c>
      <c r="K2423" s="11" t="s">
        <v>584</v>
      </c>
      <c r="L2423" s="11" t="s">
        <v>146</v>
      </c>
      <c r="M2423" s="11" t="s">
        <v>15913</v>
      </c>
      <c r="N2423" s="11" t="s">
        <v>128</v>
      </c>
      <c r="O2423" s="11" t="s">
        <v>15914</v>
      </c>
      <c r="P2423" s="11" t="s">
        <v>1215</v>
      </c>
      <c r="Q2423" s="11" t="s">
        <v>150</v>
      </c>
      <c r="R2423" s="11"/>
      <c r="S2423" s="11" t="s">
        <v>15915</v>
      </c>
      <c r="T2423" s="11" t="s">
        <v>168</v>
      </c>
      <c r="U2423" s="11" t="s">
        <v>150</v>
      </c>
      <c r="V2423" s="11" t="s">
        <v>168</v>
      </c>
      <c r="W2423" s="11" t="s">
        <v>168</v>
      </c>
      <c r="X2423" s="11">
        <v>13</v>
      </c>
      <c r="Y2423" s="11" t="s">
        <v>12359</v>
      </c>
      <c r="Z2423" s="11">
        <v>20</v>
      </c>
      <c r="AA2423" s="11">
        <v>0</v>
      </c>
      <c r="AB2423" s="12">
        <v>0</v>
      </c>
    </row>
    <row r="2424" spans="1:28" x14ac:dyDescent="0.2">
      <c r="A2424" s="7">
        <v>93562</v>
      </c>
      <c r="B2424" s="8" t="s">
        <v>15916</v>
      </c>
      <c r="C2424" s="8" t="s">
        <v>15917</v>
      </c>
      <c r="D2424" s="8" t="s">
        <v>2454</v>
      </c>
      <c r="E2424" s="8"/>
      <c r="F2424" s="8" t="s">
        <v>15918</v>
      </c>
      <c r="G2424" s="8" t="s">
        <v>15919</v>
      </c>
      <c r="H2424" s="8" t="s">
        <v>5805</v>
      </c>
      <c r="I2424" s="8" t="s">
        <v>15920</v>
      </c>
      <c r="J2424" s="8" t="s">
        <v>15921</v>
      </c>
      <c r="K2424" s="8" t="s">
        <v>274</v>
      </c>
      <c r="L2424" s="8" t="s">
        <v>163</v>
      </c>
      <c r="M2424" s="8" t="s">
        <v>15922</v>
      </c>
      <c r="N2424" s="8" t="s">
        <v>128</v>
      </c>
      <c r="O2424" s="8" t="s">
        <v>15923</v>
      </c>
      <c r="P2424" s="8" t="s">
        <v>9100</v>
      </c>
      <c r="Q2424" s="8" t="s">
        <v>150</v>
      </c>
      <c r="R2424" s="8"/>
      <c r="S2424" s="8" t="s">
        <v>15924</v>
      </c>
      <c r="T2424" s="8" t="s">
        <v>168</v>
      </c>
      <c r="U2424" s="8" t="s">
        <v>150</v>
      </c>
      <c r="V2424" s="8" t="s">
        <v>168</v>
      </c>
      <c r="W2424" s="8" t="s">
        <v>168</v>
      </c>
      <c r="X2424" s="8">
        <v>13</v>
      </c>
      <c r="Y2424" s="8" t="s">
        <v>12359</v>
      </c>
      <c r="Z2424" s="8">
        <v>20</v>
      </c>
      <c r="AA2424" s="8">
        <v>0</v>
      </c>
      <c r="AB2424" s="9">
        <v>0</v>
      </c>
    </row>
    <row r="2425" spans="1:28" x14ac:dyDescent="0.2">
      <c r="A2425" s="10">
        <v>28997</v>
      </c>
      <c r="B2425" s="11" t="s">
        <v>15925</v>
      </c>
      <c r="C2425" s="11" t="s">
        <v>7307</v>
      </c>
      <c r="D2425" s="11" t="s">
        <v>3539</v>
      </c>
      <c r="E2425" s="11"/>
      <c r="F2425" s="11" t="s">
        <v>11898</v>
      </c>
      <c r="G2425" s="11" t="s">
        <v>6409</v>
      </c>
      <c r="H2425" s="11" t="s">
        <v>6410</v>
      </c>
      <c r="I2425" s="11" t="s">
        <v>7309</v>
      </c>
      <c r="J2425" s="11" t="s">
        <v>13586</v>
      </c>
      <c r="K2425" s="11" t="s">
        <v>1956</v>
      </c>
      <c r="L2425" s="11" t="s">
        <v>526</v>
      </c>
      <c r="M2425" s="11" t="s">
        <v>15926</v>
      </c>
      <c r="N2425" s="11" t="s">
        <v>128</v>
      </c>
      <c r="O2425" s="11" t="s">
        <v>15927</v>
      </c>
      <c r="P2425" s="11"/>
      <c r="Q2425" s="11" t="s">
        <v>150</v>
      </c>
      <c r="R2425" s="11"/>
      <c r="S2425" s="11" t="s">
        <v>7314</v>
      </c>
      <c r="T2425" s="11" t="s">
        <v>13491</v>
      </c>
      <c r="U2425" s="11" t="s">
        <v>150</v>
      </c>
      <c r="V2425" s="11" t="s">
        <v>13491</v>
      </c>
      <c r="W2425" s="11" t="s">
        <v>13491</v>
      </c>
      <c r="X2425" s="11">
        <v>13</v>
      </c>
      <c r="Y2425" s="11" t="s">
        <v>12359</v>
      </c>
      <c r="Z2425" s="11">
        <v>20</v>
      </c>
      <c r="AA2425" s="11">
        <v>0</v>
      </c>
      <c r="AB2425" s="12">
        <v>0</v>
      </c>
    </row>
    <row r="2426" spans="1:28" x14ac:dyDescent="0.2">
      <c r="A2426" s="7">
        <v>24737</v>
      </c>
      <c r="B2426" s="8" t="s">
        <v>15928</v>
      </c>
      <c r="C2426" s="8" t="s">
        <v>7282</v>
      </c>
      <c r="D2426" s="8" t="s">
        <v>197</v>
      </c>
      <c r="E2426" s="8"/>
      <c r="F2426" s="8" t="s">
        <v>353</v>
      </c>
      <c r="G2426" s="8" t="s">
        <v>3259</v>
      </c>
      <c r="H2426" s="8" t="s">
        <v>557</v>
      </c>
      <c r="I2426" s="8" t="s">
        <v>14833</v>
      </c>
      <c r="J2426" s="8" t="s">
        <v>15929</v>
      </c>
      <c r="K2426" s="8" t="s">
        <v>1562</v>
      </c>
      <c r="L2426" s="8" t="s">
        <v>229</v>
      </c>
      <c r="M2426" s="8" t="s">
        <v>15930</v>
      </c>
      <c r="N2426" s="8" t="s">
        <v>128</v>
      </c>
      <c r="O2426" s="8" t="s">
        <v>15931</v>
      </c>
      <c r="P2426" s="8" t="s">
        <v>9341</v>
      </c>
      <c r="Q2426" s="8" t="s">
        <v>150</v>
      </c>
      <c r="R2426" s="8"/>
      <c r="S2426" s="8" t="s">
        <v>71</v>
      </c>
      <c r="T2426" s="8" t="s">
        <v>69</v>
      </c>
      <c r="U2426" s="8" t="s">
        <v>150</v>
      </c>
      <c r="V2426" s="8" t="s">
        <v>152</v>
      </c>
      <c r="W2426" s="8" t="s">
        <v>69</v>
      </c>
      <c r="X2426" s="8">
        <v>13</v>
      </c>
      <c r="Y2426" s="8" t="s">
        <v>12359</v>
      </c>
      <c r="Z2426" s="8">
        <v>20</v>
      </c>
      <c r="AA2426" s="8">
        <v>0</v>
      </c>
      <c r="AB2426" s="9">
        <v>0</v>
      </c>
    </row>
    <row r="2427" spans="1:28" x14ac:dyDescent="0.2">
      <c r="A2427" s="10">
        <v>190831</v>
      </c>
      <c r="B2427" s="11" t="s">
        <v>15932</v>
      </c>
      <c r="C2427" s="11" t="s">
        <v>1645</v>
      </c>
      <c r="D2427" s="11" t="s">
        <v>1646</v>
      </c>
      <c r="E2427" s="11" t="s">
        <v>15933</v>
      </c>
      <c r="F2427" s="11" t="s">
        <v>1648</v>
      </c>
      <c r="G2427" s="11" t="s">
        <v>328</v>
      </c>
      <c r="H2427" s="11" t="s">
        <v>329</v>
      </c>
      <c r="I2427" s="11" t="s">
        <v>8678</v>
      </c>
      <c r="J2427" s="11" t="s">
        <v>1650</v>
      </c>
      <c r="K2427" s="11" t="s">
        <v>572</v>
      </c>
      <c r="L2427" s="11" t="s">
        <v>333</v>
      </c>
      <c r="M2427" s="11" t="s">
        <v>15934</v>
      </c>
      <c r="N2427" s="11" t="s">
        <v>128</v>
      </c>
      <c r="O2427" s="11" t="s">
        <v>15935</v>
      </c>
      <c r="P2427" s="11"/>
      <c r="Q2427" s="11" t="s">
        <v>150</v>
      </c>
      <c r="R2427" s="11"/>
      <c r="S2427" s="11" t="s">
        <v>1654</v>
      </c>
      <c r="T2427" s="11" t="s">
        <v>4755</v>
      </c>
      <c r="U2427" s="11" t="s">
        <v>150</v>
      </c>
      <c r="V2427" s="11" t="s">
        <v>4755</v>
      </c>
      <c r="W2427" s="11" t="s">
        <v>4755</v>
      </c>
      <c r="X2427" s="11">
        <v>13</v>
      </c>
      <c r="Y2427" s="11" t="s">
        <v>12359</v>
      </c>
      <c r="Z2427" s="11">
        <v>20</v>
      </c>
      <c r="AA2427" s="11">
        <v>0</v>
      </c>
      <c r="AB2427" s="12">
        <v>0</v>
      </c>
    </row>
    <row r="2428" spans="1:28" x14ac:dyDescent="0.2">
      <c r="A2428" s="7">
        <v>106324</v>
      </c>
      <c r="B2428" s="8" t="s">
        <v>15936</v>
      </c>
      <c r="C2428" s="8" t="s">
        <v>9930</v>
      </c>
      <c r="D2428" s="8" t="s">
        <v>4418</v>
      </c>
      <c r="E2428" s="8" t="s">
        <v>15937</v>
      </c>
      <c r="F2428" s="8" t="s">
        <v>13292</v>
      </c>
      <c r="G2428" s="8" t="s">
        <v>390</v>
      </c>
      <c r="H2428" s="8" t="s">
        <v>329</v>
      </c>
      <c r="I2428" s="8" t="s">
        <v>9933</v>
      </c>
      <c r="J2428" s="8" t="s">
        <v>9934</v>
      </c>
      <c r="K2428" s="8" t="s">
        <v>332</v>
      </c>
      <c r="L2428" s="8" t="s">
        <v>333</v>
      </c>
      <c r="M2428" s="8" t="s">
        <v>15938</v>
      </c>
      <c r="N2428" s="8" t="s">
        <v>128</v>
      </c>
      <c r="O2428" s="8" t="s">
        <v>15939</v>
      </c>
      <c r="P2428" s="8"/>
      <c r="Q2428" s="8" t="s">
        <v>740</v>
      </c>
      <c r="R2428" s="8"/>
      <c r="S2428" s="8" t="s">
        <v>9938</v>
      </c>
      <c r="T2428" s="8" t="s">
        <v>1745</v>
      </c>
      <c r="U2428" s="8" t="s">
        <v>134</v>
      </c>
      <c r="V2428" s="8" t="s">
        <v>740</v>
      </c>
      <c r="W2428" s="8" t="s">
        <v>1745</v>
      </c>
      <c r="X2428" s="8">
        <v>13</v>
      </c>
      <c r="Y2428" s="8" t="s">
        <v>12359</v>
      </c>
      <c r="Z2428" s="8">
        <v>20</v>
      </c>
      <c r="AA2428" s="8">
        <v>0</v>
      </c>
      <c r="AB2428" s="9">
        <v>0</v>
      </c>
    </row>
    <row r="2429" spans="1:28" x14ac:dyDescent="0.2">
      <c r="A2429" s="10">
        <v>22742</v>
      </c>
      <c r="B2429" s="11" t="s">
        <v>15940</v>
      </c>
      <c r="C2429" s="11" t="s">
        <v>15839</v>
      </c>
      <c r="D2429" s="11" t="s">
        <v>5637</v>
      </c>
      <c r="E2429" s="11" t="s">
        <v>512</v>
      </c>
      <c r="F2429" s="11" t="s">
        <v>353</v>
      </c>
      <c r="G2429" s="11" t="s">
        <v>7562</v>
      </c>
      <c r="H2429" s="11" t="s">
        <v>847</v>
      </c>
      <c r="I2429" s="11" t="s">
        <v>15840</v>
      </c>
      <c r="J2429" s="11" t="s">
        <v>15841</v>
      </c>
      <c r="K2429" s="11" t="s">
        <v>850</v>
      </c>
      <c r="L2429" s="11" t="s">
        <v>126</v>
      </c>
      <c r="M2429" s="11" t="s">
        <v>15941</v>
      </c>
      <c r="N2429" s="11" t="s">
        <v>128</v>
      </c>
      <c r="O2429" s="11" t="s">
        <v>15942</v>
      </c>
      <c r="P2429" s="11" t="s">
        <v>15943</v>
      </c>
      <c r="Q2429" s="11" t="s">
        <v>740</v>
      </c>
      <c r="R2429" s="11"/>
      <c r="S2429" s="11" t="s">
        <v>15845</v>
      </c>
      <c r="T2429" s="11" t="s">
        <v>1745</v>
      </c>
      <c r="U2429" s="11" t="s">
        <v>134</v>
      </c>
      <c r="V2429" s="11" t="s">
        <v>740</v>
      </c>
      <c r="W2429" s="11" t="s">
        <v>1745</v>
      </c>
      <c r="X2429" s="11">
        <v>13</v>
      </c>
      <c r="Y2429" s="11" t="s">
        <v>12359</v>
      </c>
      <c r="Z2429" s="11">
        <v>20</v>
      </c>
      <c r="AA2429" s="11">
        <v>0</v>
      </c>
      <c r="AB2429" s="12">
        <v>0</v>
      </c>
    </row>
    <row r="2430" spans="1:28" x14ac:dyDescent="0.2">
      <c r="A2430" s="7">
        <v>107976</v>
      </c>
      <c r="B2430" s="8" t="s">
        <v>15944</v>
      </c>
      <c r="C2430" s="8" t="s">
        <v>15945</v>
      </c>
      <c r="D2430" s="8" t="s">
        <v>7953</v>
      </c>
      <c r="E2430" s="8"/>
      <c r="F2430" s="8" t="s">
        <v>15946</v>
      </c>
      <c r="G2430" s="8" t="s">
        <v>4137</v>
      </c>
      <c r="H2430" s="8" t="s">
        <v>142</v>
      </c>
      <c r="I2430" s="8" t="s">
        <v>9105</v>
      </c>
      <c r="J2430" s="8" t="s">
        <v>15947</v>
      </c>
      <c r="K2430" s="8" t="s">
        <v>1199</v>
      </c>
      <c r="L2430" s="8" t="s">
        <v>464</v>
      </c>
      <c r="M2430" s="8" t="s">
        <v>15948</v>
      </c>
      <c r="N2430" s="8" t="s">
        <v>128</v>
      </c>
      <c r="O2430" s="8" t="s">
        <v>15949</v>
      </c>
      <c r="P2430" s="8" t="s">
        <v>15950</v>
      </c>
      <c r="Q2430" s="8" t="s">
        <v>740</v>
      </c>
      <c r="R2430" s="8"/>
      <c r="S2430" s="8" t="s">
        <v>9110</v>
      </c>
      <c r="T2430" s="8" t="s">
        <v>1745</v>
      </c>
      <c r="U2430" s="8" t="s">
        <v>134</v>
      </c>
      <c r="V2430" s="8" t="s">
        <v>740</v>
      </c>
      <c r="W2430" s="8" t="s">
        <v>1745</v>
      </c>
      <c r="X2430" s="8">
        <v>13</v>
      </c>
      <c r="Y2430" s="8" t="s">
        <v>12359</v>
      </c>
      <c r="Z2430" s="8">
        <v>20</v>
      </c>
      <c r="AA2430" s="8">
        <v>0</v>
      </c>
      <c r="AB2430" s="9">
        <v>0</v>
      </c>
    </row>
    <row r="2431" spans="1:28" x14ac:dyDescent="0.2">
      <c r="A2431" s="10">
        <v>30953</v>
      </c>
      <c r="B2431" s="11" t="s">
        <v>15951</v>
      </c>
      <c r="C2431" s="11" t="s">
        <v>15036</v>
      </c>
      <c r="D2431" s="11" t="s">
        <v>4623</v>
      </c>
      <c r="E2431" s="11"/>
      <c r="F2431" s="11" t="s">
        <v>8819</v>
      </c>
      <c r="G2431" s="11" t="s">
        <v>328</v>
      </c>
      <c r="H2431" s="11" t="s">
        <v>329</v>
      </c>
      <c r="I2431" s="11" t="s">
        <v>15952</v>
      </c>
      <c r="J2431" s="11" t="s">
        <v>15038</v>
      </c>
      <c r="K2431" s="11" t="s">
        <v>332</v>
      </c>
      <c r="L2431" s="11" t="s">
        <v>333</v>
      </c>
      <c r="M2431" s="11" t="s">
        <v>15953</v>
      </c>
      <c r="N2431" s="11" t="s">
        <v>128</v>
      </c>
      <c r="O2431" s="11" t="s">
        <v>15954</v>
      </c>
      <c r="P2431" s="11"/>
      <c r="Q2431" s="11" t="s">
        <v>740</v>
      </c>
      <c r="R2431" s="11"/>
      <c r="S2431" s="11" t="s">
        <v>15041</v>
      </c>
      <c r="T2431" s="11" t="s">
        <v>1745</v>
      </c>
      <c r="U2431" s="11" t="s">
        <v>134</v>
      </c>
      <c r="V2431" s="11" t="s">
        <v>740</v>
      </c>
      <c r="W2431" s="11" t="s">
        <v>1745</v>
      </c>
      <c r="X2431" s="11">
        <v>13</v>
      </c>
      <c r="Y2431" s="11" t="s">
        <v>12359</v>
      </c>
      <c r="Z2431" s="11">
        <v>20</v>
      </c>
      <c r="AA2431" s="11">
        <v>0</v>
      </c>
      <c r="AB2431" s="12">
        <v>0</v>
      </c>
    </row>
    <row r="2432" spans="1:28" x14ac:dyDescent="0.2">
      <c r="A2432" s="7">
        <v>25340</v>
      </c>
      <c r="B2432" s="8" t="s">
        <v>15955</v>
      </c>
      <c r="C2432" s="8" t="s">
        <v>2989</v>
      </c>
      <c r="D2432" s="8" t="s">
        <v>15956</v>
      </c>
      <c r="E2432" s="8"/>
      <c r="F2432" s="8" t="s">
        <v>353</v>
      </c>
      <c r="G2432" s="8" t="s">
        <v>2992</v>
      </c>
      <c r="H2432" s="8" t="s">
        <v>122</v>
      </c>
      <c r="I2432" s="8" t="s">
        <v>2993</v>
      </c>
      <c r="J2432" s="8" t="s">
        <v>15957</v>
      </c>
      <c r="K2432" s="8" t="s">
        <v>125</v>
      </c>
      <c r="L2432" s="8" t="s">
        <v>126</v>
      </c>
      <c r="M2432" s="8" t="s">
        <v>15958</v>
      </c>
      <c r="N2432" s="8" t="s">
        <v>128</v>
      </c>
      <c r="O2432" s="8" t="s">
        <v>15959</v>
      </c>
      <c r="P2432" s="8"/>
      <c r="Q2432" s="8" t="s">
        <v>740</v>
      </c>
      <c r="R2432" s="8"/>
      <c r="S2432" s="8" t="s">
        <v>71</v>
      </c>
      <c r="T2432" s="8" t="s">
        <v>1745</v>
      </c>
      <c r="U2432" s="8" t="s">
        <v>134</v>
      </c>
      <c r="V2432" s="8" t="s">
        <v>740</v>
      </c>
      <c r="W2432" s="8" t="s">
        <v>1745</v>
      </c>
      <c r="X2432" s="8">
        <v>13</v>
      </c>
      <c r="Y2432" s="8" t="s">
        <v>12359</v>
      </c>
      <c r="Z2432" s="8">
        <v>20</v>
      </c>
      <c r="AA2432" s="8">
        <v>0</v>
      </c>
      <c r="AB2432" s="9">
        <v>0</v>
      </c>
    </row>
    <row r="2433" spans="1:28" x14ac:dyDescent="0.2">
      <c r="A2433" s="10">
        <v>25220</v>
      </c>
      <c r="B2433" s="11" t="s">
        <v>15960</v>
      </c>
      <c r="C2433" s="11" t="s">
        <v>15961</v>
      </c>
      <c r="D2433" s="11" t="s">
        <v>2447</v>
      </c>
      <c r="E2433" s="11" t="s">
        <v>15962</v>
      </c>
      <c r="F2433" s="11" t="s">
        <v>13305</v>
      </c>
      <c r="G2433" s="11" t="s">
        <v>7402</v>
      </c>
      <c r="H2433" s="11" t="s">
        <v>847</v>
      </c>
      <c r="I2433" s="11" t="s">
        <v>15963</v>
      </c>
      <c r="J2433" s="11" t="s">
        <v>15964</v>
      </c>
      <c r="K2433" s="11" t="s">
        <v>1091</v>
      </c>
      <c r="L2433" s="11" t="s">
        <v>126</v>
      </c>
      <c r="M2433" s="11" t="s">
        <v>15965</v>
      </c>
      <c r="N2433" s="11" t="s">
        <v>128</v>
      </c>
      <c r="O2433" s="11" t="s">
        <v>15966</v>
      </c>
      <c r="P2433" s="11" t="s">
        <v>15967</v>
      </c>
      <c r="Q2433" s="11" t="s">
        <v>740</v>
      </c>
      <c r="R2433" s="11"/>
      <c r="S2433" s="11" t="s">
        <v>15968</v>
      </c>
      <c r="T2433" s="11" t="s">
        <v>741</v>
      </c>
      <c r="U2433" s="11" t="s">
        <v>134</v>
      </c>
      <c r="V2433" s="11" t="s">
        <v>740</v>
      </c>
      <c r="W2433" s="11" t="s">
        <v>741</v>
      </c>
      <c r="X2433" s="11">
        <v>13</v>
      </c>
      <c r="Y2433" s="11" t="s">
        <v>12359</v>
      </c>
      <c r="Z2433" s="11">
        <v>20</v>
      </c>
      <c r="AA2433" s="11">
        <v>0</v>
      </c>
      <c r="AB2433" s="12">
        <v>0</v>
      </c>
    </row>
    <row r="2434" spans="1:28" x14ac:dyDescent="0.2">
      <c r="A2434" s="7">
        <v>25214</v>
      </c>
      <c r="B2434" s="8" t="s">
        <v>15969</v>
      </c>
      <c r="C2434" s="8" t="s">
        <v>15799</v>
      </c>
      <c r="D2434" s="8" t="s">
        <v>15800</v>
      </c>
      <c r="E2434" s="8"/>
      <c r="F2434" s="8" t="s">
        <v>15801</v>
      </c>
      <c r="G2434" s="8" t="s">
        <v>3929</v>
      </c>
      <c r="H2434" s="8" t="s">
        <v>704</v>
      </c>
      <c r="I2434" s="8" t="s">
        <v>15802</v>
      </c>
      <c r="J2434" s="8" t="s">
        <v>15970</v>
      </c>
      <c r="K2434" s="8" t="s">
        <v>850</v>
      </c>
      <c r="L2434" s="8" t="s">
        <v>126</v>
      </c>
      <c r="M2434" s="8" t="s">
        <v>15971</v>
      </c>
      <c r="N2434" s="8" t="s">
        <v>128</v>
      </c>
      <c r="O2434" s="8" t="s">
        <v>15972</v>
      </c>
      <c r="P2434" s="8" t="s">
        <v>15973</v>
      </c>
      <c r="Q2434" s="8" t="s">
        <v>740</v>
      </c>
      <c r="R2434" s="8"/>
      <c r="S2434" s="8" t="s">
        <v>15807</v>
      </c>
      <c r="T2434" s="8" t="s">
        <v>741</v>
      </c>
      <c r="U2434" s="8" t="s">
        <v>134</v>
      </c>
      <c r="V2434" s="8" t="s">
        <v>740</v>
      </c>
      <c r="W2434" s="8" t="s">
        <v>741</v>
      </c>
      <c r="X2434" s="8">
        <v>13</v>
      </c>
      <c r="Y2434" s="8" t="s">
        <v>12359</v>
      </c>
      <c r="Z2434" s="8">
        <v>20</v>
      </c>
      <c r="AA2434" s="8">
        <v>0</v>
      </c>
      <c r="AB2434" s="9">
        <v>0</v>
      </c>
    </row>
    <row r="2435" spans="1:28" x14ac:dyDescent="0.2">
      <c r="A2435" s="10">
        <v>49683</v>
      </c>
      <c r="B2435" s="11" t="s">
        <v>15974</v>
      </c>
      <c r="C2435" s="11" t="s">
        <v>15743</v>
      </c>
      <c r="D2435" s="11" t="s">
        <v>518</v>
      </c>
      <c r="E2435" s="11"/>
      <c r="F2435" s="11" t="s">
        <v>15975</v>
      </c>
      <c r="G2435" s="11" t="s">
        <v>328</v>
      </c>
      <c r="H2435" s="11" t="s">
        <v>329</v>
      </c>
      <c r="I2435" s="11" t="s">
        <v>15745</v>
      </c>
      <c r="J2435" s="11" t="s">
        <v>15976</v>
      </c>
      <c r="K2435" s="11" t="s">
        <v>415</v>
      </c>
      <c r="L2435" s="11" t="s">
        <v>333</v>
      </c>
      <c r="M2435" s="11" t="s">
        <v>15977</v>
      </c>
      <c r="N2435" s="11" t="s">
        <v>128</v>
      </c>
      <c r="O2435" s="11" t="s">
        <v>15978</v>
      </c>
      <c r="P2435" s="11"/>
      <c r="Q2435" s="11" t="s">
        <v>249</v>
      </c>
      <c r="R2435" s="11"/>
      <c r="S2435" s="11" t="s">
        <v>15749</v>
      </c>
      <c r="T2435" s="11" t="s">
        <v>1523</v>
      </c>
      <c r="U2435" s="11" t="s">
        <v>134</v>
      </c>
      <c r="V2435" s="11" t="s">
        <v>249</v>
      </c>
      <c r="W2435" s="11" t="s">
        <v>1523</v>
      </c>
      <c r="X2435" s="11">
        <v>13</v>
      </c>
      <c r="Y2435" s="11" t="s">
        <v>12359</v>
      </c>
      <c r="Z2435" s="11">
        <v>20</v>
      </c>
      <c r="AA2435" s="11">
        <v>0</v>
      </c>
      <c r="AB2435" s="12">
        <v>0</v>
      </c>
    </row>
    <row r="2436" spans="1:28" x14ac:dyDescent="0.2">
      <c r="A2436" s="7">
        <v>31647</v>
      </c>
      <c r="B2436" s="8" t="s">
        <v>15979</v>
      </c>
      <c r="C2436" s="8" t="s">
        <v>3909</v>
      </c>
      <c r="D2436" s="8" t="s">
        <v>15980</v>
      </c>
      <c r="E2436" s="8"/>
      <c r="F2436" s="8" t="s">
        <v>353</v>
      </c>
      <c r="G2436" s="8" t="s">
        <v>3912</v>
      </c>
      <c r="H2436" s="8" t="s">
        <v>557</v>
      </c>
      <c r="I2436" s="8" t="s">
        <v>7322</v>
      </c>
      <c r="J2436" s="8" t="s">
        <v>15981</v>
      </c>
      <c r="K2436" s="8" t="s">
        <v>1562</v>
      </c>
      <c r="L2436" s="8" t="s">
        <v>229</v>
      </c>
      <c r="M2436" s="8" t="s">
        <v>15982</v>
      </c>
      <c r="N2436" s="8" t="s">
        <v>128</v>
      </c>
      <c r="O2436" s="8" t="s">
        <v>15983</v>
      </c>
      <c r="P2436" s="8"/>
      <c r="Q2436" s="8" t="s">
        <v>249</v>
      </c>
      <c r="R2436" s="8"/>
      <c r="S2436" s="8" t="s">
        <v>71</v>
      </c>
      <c r="T2436" s="8" t="s">
        <v>1523</v>
      </c>
      <c r="U2436" s="8" t="s">
        <v>134</v>
      </c>
      <c r="V2436" s="8" t="s">
        <v>249</v>
      </c>
      <c r="W2436" s="8" t="s">
        <v>1523</v>
      </c>
      <c r="X2436" s="8">
        <v>13</v>
      </c>
      <c r="Y2436" s="8" t="s">
        <v>12359</v>
      </c>
      <c r="Z2436" s="8">
        <v>20</v>
      </c>
      <c r="AA2436" s="8">
        <v>0</v>
      </c>
      <c r="AB2436" s="9">
        <v>0</v>
      </c>
    </row>
    <row r="2437" spans="1:28" x14ac:dyDescent="0.2">
      <c r="A2437" s="10">
        <v>192465</v>
      </c>
      <c r="B2437" s="11" t="s">
        <v>15984</v>
      </c>
      <c r="C2437" s="11" t="s">
        <v>6491</v>
      </c>
      <c r="D2437" s="11" t="s">
        <v>3784</v>
      </c>
      <c r="E2437" s="11"/>
      <c r="F2437" s="11" t="s">
        <v>353</v>
      </c>
      <c r="G2437" s="11" t="s">
        <v>2676</v>
      </c>
      <c r="H2437" s="11" t="s">
        <v>142</v>
      </c>
      <c r="I2437" s="11" t="s">
        <v>6492</v>
      </c>
      <c r="J2437" s="11" t="s">
        <v>15985</v>
      </c>
      <c r="K2437" s="11" t="s">
        <v>779</v>
      </c>
      <c r="L2437" s="11" t="s">
        <v>464</v>
      </c>
      <c r="M2437" s="11" t="s">
        <v>15986</v>
      </c>
      <c r="N2437" s="11" t="s">
        <v>128</v>
      </c>
      <c r="O2437" s="11" t="s">
        <v>15987</v>
      </c>
      <c r="P2437" s="11"/>
      <c r="Q2437" s="11" t="s">
        <v>249</v>
      </c>
      <c r="R2437" s="11"/>
      <c r="S2437" s="11" t="s">
        <v>71</v>
      </c>
      <c r="T2437" s="11" t="s">
        <v>1523</v>
      </c>
      <c r="U2437" s="11" t="s">
        <v>134</v>
      </c>
      <c r="V2437" s="11" t="s">
        <v>249</v>
      </c>
      <c r="W2437" s="11" t="s">
        <v>1523</v>
      </c>
      <c r="X2437" s="11">
        <v>13</v>
      </c>
      <c r="Y2437" s="11" t="s">
        <v>12359</v>
      </c>
      <c r="Z2437" s="11">
        <v>20</v>
      </c>
      <c r="AA2437" s="11">
        <v>0</v>
      </c>
      <c r="AB2437" s="12">
        <v>0</v>
      </c>
    </row>
    <row r="2438" spans="1:28" x14ac:dyDescent="0.2">
      <c r="A2438" s="7">
        <v>107220</v>
      </c>
      <c r="B2438" s="8" t="s">
        <v>15988</v>
      </c>
      <c r="C2438" s="8" t="s">
        <v>15989</v>
      </c>
      <c r="D2438" s="8" t="s">
        <v>138</v>
      </c>
      <c r="E2438" s="8"/>
      <c r="F2438" s="8" t="s">
        <v>4657</v>
      </c>
      <c r="G2438" s="8" t="s">
        <v>4557</v>
      </c>
      <c r="H2438" s="8" t="s">
        <v>301</v>
      </c>
      <c r="I2438" s="8" t="s">
        <v>4659</v>
      </c>
      <c r="J2438" s="8" t="s">
        <v>15990</v>
      </c>
      <c r="K2438" s="8" t="s">
        <v>304</v>
      </c>
      <c r="L2438" s="8" t="s">
        <v>229</v>
      </c>
      <c r="M2438" s="8" t="s">
        <v>15991</v>
      </c>
      <c r="N2438" s="8" t="s">
        <v>128</v>
      </c>
      <c r="O2438" s="8" t="s">
        <v>15992</v>
      </c>
      <c r="P2438" s="8"/>
      <c r="Q2438" s="8" t="s">
        <v>249</v>
      </c>
      <c r="R2438" s="8"/>
      <c r="S2438" s="8" t="s">
        <v>71</v>
      </c>
      <c r="T2438" s="8" t="s">
        <v>1523</v>
      </c>
      <c r="U2438" s="8" t="s">
        <v>134</v>
      </c>
      <c r="V2438" s="8" t="s">
        <v>249</v>
      </c>
      <c r="W2438" s="8" t="s">
        <v>1523</v>
      </c>
      <c r="X2438" s="8">
        <v>13</v>
      </c>
      <c r="Y2438" s="8" t="s">
        <v>12359</v>
      </c>
      <c r="Z2438" s="8">
        <v>20</v>
      </c>
      <c r="AA2438" s="8">
        <v>0</v>
      </c>
      <c r="AB2438" s="9">
        <v>0</v>
      </c>
    </row>
    <row r="2439" spans="1:28" x14ac:dyDescent="0.2">
      <c r="A2439" s="10">
        <v>26930</v>
      </c>
      <c r="B2439" s="11" t="s">
        <v>15993</v>
      </c>
      <c r="C2439" s="11" t="s">
        <v>9930</v>
      </c>
      <c r="D2439" s="11" t="s">
        <v>4418</v>
      </c>
      <c r="E2439" s="11"/>
      <c r="F2439" s="11" t="s">
        <v>9932</v>
      </c>
      <c r="G2439" s="11" t="s">
        <v>328</v>
      </c>
      <c r="H2439" s="11" t="s">
        <v>329</v>
      </c>
      <c r="I2439" s="11" t="s">
        <v>15994</v>
      </c>
      <c r="J2439" s="11" t="s">
        <v>15201</v>
      </c>
      <c r="K2439" s="11" t="s">
        <v>332</v>
      </c>
      <c r="L2439" s="11" t="s">
        <v>333</v>
      </c>
      <c r="M2439" s="11" t="s">
        <v>15995</v>
      </c>
      <c r="N2439" s="11" t="s">
        <v>128</v>
      </c>
      <c r="O2439" s="11"/>
      <c r="P2439" s="11"/>
      <c r="Q2439" s="11" t="s">
        <v>249</v>
      </c>
      <c r="R2439" s="11"/>
      <c r="S2439" s="11" t="s">
        <v>9938</v>
      </c>
      <c r="T2439" s="11" t="s">
        <v>1523</v>
      </c>
      <c r="U2439" s="11" t="s">
        <v>134</v>
      </c>
      <c r="V2439" s="11" t="s">
        <v>249</v>
      </c>
      <c r="W2439" s="11" t="s">
        <v>1523</v>
      </c>
      <c r="X2439" s="11">
        <v>13</v>
      </c>
      <c r="Y2439" s="11" t="s">
        <v>12359</v>
      </c>
      <c r="Z2439" s="11">
        <v>20</v>
      </c>
      <c r="AA2439" s="11">
        <v>0</v>
      </c>
      <c r="AB2439" s="12">
        <v>0</v>
      </c>
    </row>
    <row r="2440" spans="1:28" x14ac:dyDescent="0.2">
      <c r="A2440" s="7">
        <v>238175</v>
      </c>
      <c r="B2440" s="8" t="s">
        <v>15996</v>
      </c>
      <c r="C2440" s="8" t="s">
        <v>842</v>
      </c>
      <c r="D2440" s="8" t="s">
        <v>4482</v>
      </c>
      <c r="E2440" s="8" t="s">
        <v>15997</v>
      </c>
      <c r="F2440" s="8" t="s">
        <v>353</v>
      </c>
      <c r="G2440" s="8" t="s">
        <v>1488</v>
      </c>
      <c r="H2440" s="8" t="s">
        <v>329</v>
      </c>
      <c r="I2440" s="8" t="s">
        <v>4484</v>
      </c>
      <c r="J2440" s="8" t="s">
        <v>10306</v>
      </c>
      <c r="K2440" s="8" t="s">
        <v>415</v>
      </c>
      <c r="L2440" s="8" t="s">
        <v>333</v>
      </c>
      <c r="M2440" s="8" t="s">
        <v>15998</v>
      </c>
      <c r="N2440" s="8" t="s">
        <v>128</v>
      </c>
      <c r="O2440" s="8" t="s">
        <v>15999</v>
      </c>
      <c r="P2440" s="8" t="s">
        <v>16000</v>
      </c>
      <c r="Q2440" s="8" t="s">
        <v>249</v>
      </c>
      <c r="R2440" s="8"/>
      <c r="S2440" s="8" t="s">
        <v>4489</v>
      </c>
      <c r="T2440" s="8" t="s">
        <v>250</v>
      </c>
      <c r="U2440" s="8" t="s">
        <v>134</v>
      </c>
      <c r="V2440" s="8" t="s">
        <v>249</v>
      </c>
      <c r="W2440" s="8" t="s">
        <v>250</v>
      </c>
      <c r="X2440" s="8">
        <v>13</v>
      </c>
      <c r="Y2440" s="8" t="s">
        <v>12359</v>
      </c>
      <c r="Z2440" s="8">
        <v>20</v>
      </c>
      <c r="AA2440" s="8">
        <v>0</v>
      </c>
      <c r="AB2440" s="9">
        <v>0</v>
      </c>
    </row>
    <row r="2441" spans="1:28" x14ac:dyDescent="0.2">
      <c r="A2441" s="10">
        <v>31510</v>
      </c>
      <c r="B2441" s="11" t="s">
        <v>16001</v>
      </c>
      <c r="C2441" s="11" t="s">
        <v>10905</v>
      </c>
      <c r="D2441" s="11" t="s">
        <v>4623</v>
      </c>
      <c r="E2441" s="11"/>
      <c r="F2441" s="11" t="s">
        <v>16002</v>
      </c>
      <c r="G2441" s="11" t="s">
        <v>2175</v>
      </c>
      <c r="H2441" s="11" t="s">
        <v>2176</v>
      </c>
      <c r="I2441" s="11" t="s">
        <v>16003</v>
      </c>
      <c r="J2441" s="11" t="s">
        <v>16004</v>
      </c>
      <c r="K2441" s="11" t="s">
        <v>194</v>
      </c>
      <c r="L2441" s="11" t="s">
        <v>163</v>
      </c>
      <c r="M2441" s="11" t="s">
        <v>16005</v>
      </c>
      <c r="N2441" s="11" t="s">
        <v>128</v>
      </c>
      <c r="O2441" s="11" t="s">
        <v>16006</v>
      </c>
      <c r="P2441" s="11" t="s">
        <v>16007</v>
      </c>
      <c r="Q2441" s="11" t="s">
        <v>249</v>
      </c>
      <c r="R2441" s="11"/>
      <c r="S2441" s="11" t="s">
        <v>71</v>
      </c>
      <c r="T2441" s="11" t="s">
        <v>250</v>
      </c>
      <c r="U2441" s="11" t="s">
        <v>134</v>
      </c>
      <c r="V2441" s="11" t="s">
        <v>249</v>
      </c>
      <c r="W2441" s="11" t="s">
        <v>250</v>
      </c>
      <c r="X2441" s="11">
        <v>13</v>
      </c>
      <c r="Y2441" s="11" t="s">
        <v>12359</v>
      </c>
      <c r="Z2441" s="11">
        <v>20</v>
      </c>
      <c r="AA2441" s="11">
        <v>0</v>
      </c>
      <c r="AB2441" s="12">
        <v>0</v>
      </c>
    </row>
    <row r="2442" spans="1:28" x14ac:dyDescent="0.2">
      <c r="A2442" s="7">
        <v>238163</v>
      </c>
      <c r="B2442" s="8" t="s">
        <v>16008</v>
      </c>
      <c r="C2442" s="8" t="s">
        <v>6681</v>
      </c>
      <c r="D2442" s="8" t="s">
        <v>5166</v>
      </c>
      <c r="E2442" s="8"/>
      <c r="F2442" s="8" t="s">
        <v>353</v>
      </c>
      <c r="G2442" s="8" t="s">
        <v>2192</v>
      </c>
      <c r="H2442" s="8" t="s">
        <v>704</v>
      </c>
      <c r="I2442" s="8" t="s">
        <v>2193</v>
      </c>
      <c r="J2442" s="8" t="s">
        <v>16009</v>
      </c>
      <c r="K2442" s="8" t="s">
        <v>707</v>
      </c>
      <c r="L2442" s="8" t="s">
        <v>126</v>
      </c>
      <c r="M2442" s="8" t="s">
        <v>16010</v>
      </c>
      <c r="N2442" s="8" t="s">
        <v>128</v>
      </c>
      <c r="O2442" s="8" t="s">
        <v>16011</v>
      </c>
      <c r="P2442" s="8"/>
      <c r="Q2442" s="8" t="s">
        <v>150</v>
      </c>
      <c r="R2442" s="8"/>
      <c r="S2442" s="8" t="s">
        <v>71</v>
      </c>
      <c r="T2442" s="8" t="s">
        <v>16012</v>
      </c>
      <c r="U2442" s="8" t="s">
        <v>150</v>
      </c>
      <c r="V2442" s="8" t="s">
        <v>16012</v>
      </c>
      <c r="W2442" s="8" t="s">
        <v>16012</v>
      </c>
      <c r="X2442" s="8">
        <v>12</v>
      </c>
      <c r="Y2442" s="8" t="s">
        <v>12359</v>
      </c>
      <c r="Z2442" s="8">
        <v>20</v>
      </c>
      <c r="AA2442" s="8">
        <v>0</v>
      </c>
      <c r="AB2442" s="9">
        <v>0</v>
      </c>
    </row>
    <row r="2443" spans="1:28" x14ac:dyDescent="0.2">
      <c r="A2443" s="10">
        <v>21147</v>
      </c>
      <c r="B2443" s="11" t="s">
        <v>16013</v>
      </c>
      <c r="C2443" s="11" t="s">
        <v>8721</v>
      </c>
      <c r="D2443" s="11" t="s">
        <v>2153</v>
      </c>
      <c r="E2443" s="11"/>
      <c r="F2443" s="11" t="s">
        <v>16014</v>
      </c>
      <c r="G2443" s="11" t="s">
        <v>648</v>
      </c>
      <c r="H2443" s="11" t="s">
        <v>142</v>
      </c>
      <c r="I2443" s="11" t="s">
        <v>8724</v>
      </c>
      <c r="J2443" s="11" t="s">
        <v>16015</v>
      </c>
      <c r="K2443" s="11" t="s">
        <v>651</v>
      </c>
      <c r="L2443" s="11" t="s">
        <v>146</v>
      </c>
      <c r="M2443" s="11" t="s">
        <v>16016</v>
      </c>
      <c r="N2443" s="11" t="s">
        <v>128</v>
      </c>
      <c r="O2443" s="11" t="s">
        <v>16017</v>
      </c>
      <c r="P2443" s="11" t="s">
        <v>16018</v>
      </c>
      <c r="Q2443" s="11" t="s">
        <v>150</v>
      </c>
      <c r="R2443" s="11"/>
      <c r="S2443" s="11" t="s">
        <v>71</v>
      </c>
      <c r="T2443" s="11" t="s">
        <v>289</v>
      </c>
      <c r="U2443" s="11" t="s">
        <v>150</v>
      </c>
      <c r="V2443" s="11" t="s">
        <v>289</v>
      </c>
      <c r="W2443" s="11" t="s">
        <v>289</v>
      </c>
      <c r="X2443" s="11">
        <v>12</v>
      </c>
      <c r="Y2443" s="11" t="s">
        <v>12359</v>
      </c>
      <c r="Z2443" s="11">
        <v>20</v>
      </c>
      <c r="AA2443" s="11">
        <v>0</v>
      </c>
      <c r="AB2443" s="12">
        <v>0</v>
      </c>
    </row>
    <row r="2444" spans="1:28" x14ac:dyDescent="0.2">
      <c r="A2444" s="7">
        <v>26386</v>
      </c>
      <c r="B2444" s="8" t="s">
        <v>16019</v>
      </c>
      <c r="C2444" s="8" t="s">
        <v>16020</v>
      </c>
      <c r="D2444" s="8" t="s">
        <v>6735</v>
      </c>
      <c r="E2444" s="8"/>
      <c r="F2444" s="8" t="s">
        <v>353</v>
      </c>
      <c r="G2444" s="8" t="s">
        <v>16021</v>
      </c>
      <c r="H2444" s="8" t="s">
        <v>329</v>
      </c>
      <c r="I2444" s="8" t="s">
        <v>16022</v>
      </c>
      <c r="J2444" s="8" t="s">
        <v>16023</v>
      </c>
      <c r="K2444" s="8" t="s">
        <v>415</v>
      </c>
      <c r="L2444" s="8" t="s">
        <v>333</v>
      </c>
      <c r="M2444" s="8" t="s">
        <v>16024</v>
      </c>
      <c r="N2444" s="8" t="s">
        <v>128</v>
      </c>
      <c r="O2444" s="8" t="s">
        <v>16025</v>
      </c>
      <c r="P2444" s="8" t="s">
        <v>8637</v>
      </c>
      <c r="Q2444" s="8" t="s">
        <v>150</v>
      </c>
      <c r="R2444" s="8"/>
      <c r="S2444" s="8" t="s">
        <v>71</v>
      </c>
      <c r="T2444" s="8" t="s">
        <v>67</v>
      </c>
      <c r="U2444" s="8" t="s">
        <v>150</v>
      </c>
      <c r="V2444" s="8" t="s">
        <v>152</v>
      </c>
      <c r="W2444" s="8" t="s">
        <v>67</v>
      </c>
      <c r="X2444" s="8">
        <v>12</v>
      </c>
      <c r="Y2444" s="8" t="s">
        <v>12359</v>
      </c>
      <c r="Z2444" s="8">
        <v>20</v>
      </c>
      <c r="AA2444" s="8">
        <v>0</v>
      </c>
      <c r="AB2444" s="9">
        <v>0</v>
      </c>
    </row>
    <row r="2445" spans="1:28" x14ac:dyDescent="0.2">
      <c r="A2445" s="10">
        <v>26184</v>
      </c>
      <c r="B2445" s="11" t="s">
        <v>16026</v>
      </c>
      <c r="C2445" s="11" t="s">
        <v>16027</v>
      </c>
      <c r="D2445" s="11" t="s">
        <v>10534</v>
      </c>
      <c r="E2445" s="11"/>
      <c r="F2445" s="11" t="s">
        <v>8275</v>
      </c>
      <c r="G2445" s="11" t="s">
        <v>141</v>
      </c>
      <c r="H2445" s="11" t="s">
        <v>142</v>
      </c>
      <c r="I2445" s="11" t="s">
        <v>16028</v>
      </c>
      <c r="J2445" s="11" t="s">
        <v>16029</v>
      </c>
      <c r="K2445" s="11" t="s">
        <v>584</v>
      </c>
      <c r="L2445" s="11" t="s">
        <v>146</v>
      </c>
      <c r="M2445" s="11" t="s">
        <v>16030</v>
      </c>
      <c r="N2445" s="11" t="s">
        <v>128</v>
      </c>
      <c r="O2445" s="11" t="s">
        <v>16031</v>
      </c>
      <c r="P2445" s="11" t="s">
        <v>16032</v>
      </c>
      <c r="Q2445" s="11" t="s">
        <v>150</v>
      </c>
      <c r="R2445" s="11"/>
      <c r="S2445" s="11" t="s">
        <v>71</v>
      </c>
      <c r="T2445" s="11" t="s">
        <v>67</v>
      </c>
      <c r="U2445" s="11" t="s">
        <v>150</v>
      </c>
      <c r="V2445" s="11" t="s">
        <v>152</v>
      </c>
      <c r="W2445" s="11" t="s">
        <v>67</v>
      </c>
      <c r="X2445" s="11">
        <v>12</v>
      </c>
      <c r="Y2445" s="11" t="s">
        <v>12359</v>
      </c>
      <c r="Z2445" s="11">
        <v>20</v>
      </c>
      <c r="AA2445" s="11">
        <v>0</v>
      </c>
      <c r="AB2445" s="12">
        <v>0</v>
      </c>
    </row>
    <row r="2446" spans="1:28" x14ac:dyDescent="0.2">
      <c r="A2446" s="7">
        <v>21355</v>
      </c>
      <c r="B2446" s="8" t="s">
        <v>16033</v>
      </c>
      <c r="C2446" s="8" t="s">
        <v>5894</v>
      </c>
      <c r="D2446" s="8" t="s">
        <v>9667</v>
      </c>
      <c r="E2446" s="8"/>
      <c r="F2446" s="8" t="s">
        <v>14222</v>
      </c>
      <c r="G2446" s="8" t="s">
        <v>5804</v>
      </c>
      <c r="H2446" s="8" t="s">
        <v>5805</v>
      </c>
      <c r="I2446" s="8" t="s">
        <v>5897</v>
      </c>
      <c r="J2446" s="8" t="s">
        <v>16034</v>
      </c>
      <c r="K2446" s="8" t="s">
        <v>274</v>
      </c>
      <c r="L2446" s="8" t="s">
        <v>163</v>
      </c>
      <c r="M2446" s="8" t="s">
        <v>16035</v>
      </c>
      <c r="N2446" s="8" t="s">
        <v>128</v>
      </c>
      <c r="O2446" s="8" t="s">
        <v>16036</v>
      </c>
      <c r="P2446" s="8" t="s">
        <v>16037</v>
      </c>
      <c r="Q2446" s="8" t="s">
        <v>150</v>
      </c>
      <c r="R2446" s="8"/>
      <c r="S2446" s="8" t="s">
        <v>5902</v>
      </c>
      <c r="T2446" s="8" t="s">
        <v>67</v>
      </c>
      <c r="U2446" s="8" t="s">
        <v>150</v>
      </c>
      <c r="V2446" s="8" t="s">
        <v>152</v>
      </c>
      <c r="W2446" s="8" t="s">
        <v>67</v>
      </c>
      <c r="X2446" s="8">
        <v>12</v>
      </c>
      <c r="Y2446" s="8" t="s">
        <v>12359</v>
      </c>
      <c r="Z2446" s="8">
        <v>20</v>
      </c>
      <c r="AA2446" s="8">
        <v>0</v>
      </c>
      <c r="AB2446" s="9">
        <v>0</v>
      </c>
    </row>
    <row r="2447" spans="1:28" x14ac:dyDescent="0.2">
      <c r="A2447" s="10">
        <v>26255</v>
      </c>
      <c r="B2447" s="11" t="s">
        <v>16038</v>
      </c>
      <c r="C2447" s="11" t="s">
        <v>16039</v>
      </c>
      <c r="D2447" s="11" t="s">
        <v>208</v>
      </c>
      <c r="E2447" s="11"/>
      <c r="F2447" s="11" t="s">
        <v>16040</v>
      </c>
      <c r="G2447" s="11" t="s">
        <v>615</v>
      </c>
      <c r="H2447" s="11" t="s">
        <v>616</v>
      </c>
      <c r="I2447" s="11" t="s">
        <v>16041</v>
      </c>
      <c r="J2447" s="11" t="s">
        <v>12147</v>
      </c>
      <c r="K2447" s="11" t="s">
        <v>619</v>
      </c>
      <c r="L2447" s="11" t="s">
        <v>163</v>
      </c>
      <c r="M2447" s="11" t="s">
        <v>16042</v>
      </c>
      <c r="N2447" s="11" t="s">
        <v>128</v>
      </c>
      <c r="O2447" s="11" t="s">
        <v>16043</v>
      </c>
      <c r="P2447" s="11" t="s">
        <v>5790</v>
      </c>
      <c r="Q2447" s="11" t="s">
        <v>150</v>
      </c>
      <c r="R2447" s="11"/>
      <c r="S2447" s="11" t="s">
        <v>12150</v>
      </c>
      <c r="T2447" s="11" t="s">
        <v>67</v>
      </c>
      <c r="U2447" s="11" t="s">
        <v>150</v>
      </c>
      <c r="V2447" s="11" t="s">
        <v>152</v>
      </c>
      <c r="W2447" s="11" t="s">
        <v>67</v>
      </c>
      <c r="X2447" s="11">
        <v>12</v>
      </c>
      <c r="Y2447" s="11" t="s">
        <v>12359</v>
      </c>
      <c r="Z2447" s="11">
        <v>20</v>
      </c>
      <c r="AA2447" s="11">
        <v>0</v>
      </c>
      <c r="AB2447" s="12">
        <v>0</v>
      </c>
    </row>
    <row r="2448" spans="1:28" x14ac:dyDescent="0.2">
      <c r="A2448" s="7">
        <v>22484</v>
      </c>
      <c r="B2448" s="8" t="s">
        <v>16044</v>
      </c>
      <c r="C2448" s="8" t="s">
        <v>15075</v>
      </c>
      <c r="D2448" s="8" t="s">
        <v>1912</v>
      </c>
      <c r="E2448" s="8" t="s">
        <v>16045</v>
      </c>
      <c r="F2448" s="8" t="s">
        <v>7746</v>
      </c>
      <c r="G2448" s="8" t="s">
        <v>141</v>
      </c>
      <c r="H2448" s="8" t="s">
        <v>142</v>
      </c>
      <c r="I2448" s="8" t="s">
        <v>15077</v>
      </c>
      <c r="J2448" s="8" t="s">
        <v>15078</v>
      </c>
      <c r="K2448" s="8" t="s">
        <v>584</v>
      </c>
      <c r="L2448" s="8" t="s">
        <v>146</v>
      </c>
      <c r="M2448" s="8" t="s">
        <v>16046</v>
      </c>
      <c r="N2448" s="8" t="s">
        <v>128</v>
      </c>
      <c r="O2448" s="8" t="s">
        <v>16047</v>
      </c>
      <c r="P2448" s="8"/>
      <c r="Q2448" s="8" t="s">
        <v>131</v>
      </c>
      <c r="R2448" s="8"/>
      <c r="S2448" s="8" t="s">
        <v>15082</v>
      </c>
      <c r="T2448" s="8" t="s">
        <v>983</v>
      </c>
      <c r="U2448" s="8" t="s">
        <v>134</v>
      </c>
      <c r="V2448" s="8" t="s">
        <v>131</v>
      </c>
      <c r="W2448" s="8" t="s">
        <v>983</v>
      </c>
      <c r="X2448" s="8">
        <v>12</v>
      </c>
      <c r="Y2448" s="8" t="s">
        <v>12359</v>
      </c>
      <c r="Z2448" s="8">
        <v>20</v>
      </c>
      <c r="AA2448" s="8">
        <v>0</v>
      </c>
      <c r="AB2448" s="9">
        <v>0</v>
      </c>
    </row>
    <row r="2449" spans="1:28" x14ac:dyDescent="0.2">
      <c r="A2449" s="10">
        <v>24032</v>
      </c>
      <c r="B2449" s="11" t="s">
        <v>16048</v>
      </c>
      <c r="C2449" s="11" t="s">
        <v>2419</v>
      </c>
      <c r="D2449" s="11" t="s">
        <v>2420</v>
      </c>
      <c r="E2449" s="11" t="s">
        <v>11259</v>
      </c>
      <c r="F2449" s="11" t="s">
        <v>2422</v>
      </c>
      <c r="G2449" s="11" t="s">
        <v>2423</v>
      </c>
      <c r="H2449" s="11" t="s">
        <v>557</v>
      </c>
      <c r="I2449" s="11" t="s">
        <v>2424</v>
      </c>
      <c r="J2449" s="11" t="s">
        <v>2425</v>
      </c>
      <c r="K2449" s="11" t="s">
        <v>1562</v>
      </c>
      <c r="L2449" s="11" t="s">
        <v>229</v>
      </c>
      <c r="M2449" s="11" t="s">
        <v>16049</v>
      </c>
      <c r="N2449" s="11" t="s">
        <v>128</v>
      </c>
      <c r="O2449" s="11" t="s">
        <v>16050</v>
      </c>
      <c r="P2449" s="11"/>
      <c r="Q2449" s="11" t="s">
        <v>131</v>
      </c>
      <c r="R2449" s="11"/>
      <c r="S2449" s="11" t="s">
        <v>2429</v>
      </c>
      <c r="T2449" s="11" t="s">
        <v>983</v>
      </c>
      <c r="U2449" s="11" t="s">
        <v>134</v>
      </c>
      <c r="V2449" s="11" t="s">
        <v>131</v>
      </c>
      <c r="W2449" s="11" t="s">
        <v>983</v>
      </c>
      <c r="X2449" s="11">
        <v>12</v>
      </c>
      <c r="Y2449" s="11" t="s">
        <v>12359</v>
      </c>
      <c r="Z2449" s="11">
        <v>20</v>
      </c>
      <c r="AA2449" s="11">
        <v>0</v>
      </c>
      <c r="AB2449" s="12">
        <v>0</v>
      </c>
    </row>
    <row r="2450" spans="1:28" x14ac:dyDescent="0.2">
      <c r="A2450" s="7">
        <v>49850</v>
      </c>
      <c r="B2450" s="8" t="s">
        <v>16051</v>
      </c>
      <c r="C2450" s="8" t="s">
        <v>2101</v>
      </c>
      <c r="D2450" s="8" t="s">
        <v>2102</v>
      </c>
      <c r="E2450" s="8" t="s">
        <v>8263</v>
      </c>
      <c r="F2450" s="8" t="s">
        <v>6430</v>
      </c>
      <c r="G2450" s="8" t="s">
        <v>1626</v>
      </c>
      <c r="H2450" s="8" t="s">
        <v>142</v>
      </c>
      <c r="I2450" s="8" t="s">
        <v>2103</v>
      </c>
      <c r="J2450" s="8" t="s">
        <v>16052</v>
      </c>
      <c r="K2450" s="8" t="s">
        <v>472</v>
      </c>
      <c r="L2450" s="8" t="s">
        <v>146</v>
      </c>
      <c r="M2450" s="8" t="s">
        <v>16053</v>
      </c>
      <c r="N2450" s="8" t="s">
        <v>128</v>
      </c>
      <c r="O2450" s="8" t="s">
        <v>16054</v>
      </c>
      <c r="P2450" s="8"/>
      <c r="Q2450" s="8" t="s">
        <v>131</v>
      </c>
      <c r="R2450" s="8"/>
      <c r="S2450" s="8" t="s">
        <v>2108</v>
      </c>
      <c r="T2450" s="8" t="s">
        <v>983</v>
      </c>
      <c r="U2450" s="8" t="s">
        <v>134</v>
      </c>
      <c r="V2450" s="8" t="s">
        <v>131</v>
      </c>
      <c r="W2450" s="8" t="s">
        <v>983</v>
      </c>
      <c r="X2450" s="8">
        <v>12</v>
      </c>
      <c r="Y2450" s="8" t="s">
        <v>12359</v>
      </c>
      <c r="Z2450" s="8">
        <v>20</v>
      </c>
      <c r="AA2450" s="8">
        <v>0</v>
      </c>
      <c r="AB2450" s="9">
        <v>0</v>
      </c>
    </row>
    <row r="2451" spans="1:28" x14ac:dyDescent="0.2">
      <c r="A2451" s="10">
        <v>93570</v>
      </c>
      <c r="B2451" s="11" t="s">
        <v>16055</v>
      </c>
      <c r="C2451" s="11" t="s">
        <v>6181</v>
      </c>
      <c r="D2451" s="11" t="s">
        <v>6182</v>
      </c>
      <c r="E2451" s="11" t="s">
        <v>16056</v>
      </c>
      <c r="F2451" s="11" t="s">
        <v>16057</v>
      </c>
      <c r="G2451" s="11" t="s">
        <v>270</v>
      </c>
      <c r="H2451" s="11" t="s">
        <v>271</v>
      </c>
      <c r="I2451" s="11" t="s">
        <v>6185</v>
      </c>
      <c r="J2451" s="11" t="s">
        <v>6186</v>
      </c>
      <c r="K2451" s="11" t="s">
        <v>274</v>
      </c>
      <c r="L2451" s="11" t="s">
        <v>163</v>
      </c>
      <c r="M2451" s="11" t="s">
        <v>16058</v>
      </c>
      <c r="N2451" s="11" t="s">
        <v>128</v>
      </c>
      <c r="O2451" s="11" t="s">
        <v>16059</v>
      </c>
      <c r="P2451" s="11"/>
      <c r="Q2451" s="11" t="s">
        <v>131</v>
      </c>
      <c r="R2451" s="11"/>
      <c r="S2451" s="11" t="s">
        <v>6190</v>
      </c>
      <c r="T2451" s="11" t="s">
        <v>983</v>
      </c>
      <c r="U2451" s="11" t="s">
        <v>134</v>
      </c>
      <c r="V2451" s="11" t="s">
        <v>131</v>
      </c>
      <c r="W2451" s="11" t="s">
        <v>983</v>
      </c>
      <c r="X2451" s="11">
        <v>12</v>
      </c>
      <c r="Y2451" s="11" t="s">
        <v>12359</v>
      </c>
      <c r="Z2451" s="11">
        <v>20</v>
      </c>
      <c r="AA2451" s="11">
        <v>0</v>
      </c>
      <c r="AB2451" s="12">
        <v>0</v>
      </c>
    </row>
    <row r="2452" spans="1:28" x14ac:dyDescent="0.2">
      <c r="A2452" s="7">
        <v>22073</v>
      </c>
      <c r="B2452" s="8" t="s">
        <v>16060</v>
      </c>
      <c r="C2452" s="8" t="s">
        <v>7260</v>
      </c>
      <c r="D2452" s="8" t="s">
        <v>2348</v>
      </c>
      <c r="E2452" s="8" t="s">
        <v>16061</v>
      </c>
      <c r="F2452" s="8" t="s">
        <v>353</v>
      </c>
      <c r="G2452" s="8" t="s">
        <v>5872</v>
      </c>
      <c r="H2452" s="8" t="s">
        <v>142</v>
      </c>
      <c r="I2452" s="8" t="s">
        <v>16062</v>
      </c>
      <c r="J2452" s="8" t="s">
        <v>13150</v>
      </c>
      <c r="K2452" s="8" t="s">
        <v>403</v>
      </c>
      <c r="L2452" s="8" t="s">
        <v>146</v>
      </c>
      <c r="M2452" s="8" t="s">
        <v>16063</v>
      </c>
      <c r="N2452" s="8" t="s">
        <v>128</v>
      </c>
      <c r="O2452" s="8" t="s">
        <v>16064</v>
      </c>
      <c r="P2452" s="8"/>
      <c r="Q2452" s="8" t="s">
        <v>131</v>
      </c>
      <c r="R2452" s="8"/>
      <c r="S2452" s="8" t="s">
        <v>71</v>
      </c>
      <c r="T2452" s="8" t="s">
        <v>983</v>
      </c>
      <c r="U2452" s="8" t="s">
        <v>134</v>
      </c>
      <c r="V2452" s="8" t="s">
        <v>131</v>
      </c>
      <c r="W2452" s="8" t="s">
        <v>983</v>
      </c>
      <c r="X2452" s="8">
        <v>12</v>
      </c>
      <c r="Y2452" s="8" t="s">
        <v>12359</v>
      </c>
      <c r="Z2452" s="8">
        <v>20</v>
      </c>
      <c r="AA2452" s="8">
        <v>0</v>
      </c>
      <c r="AB2452" s="9">
        <v>0</v>
      </c>
    </row>
    <row r="2453" spans="1:28" x14ac:dyDescent="0.2">
      <c r="A2453" s="10">
        <v>120218</v>
      </c>
      <c r="B2453" s="11" t="s">
        <v>16065</v>
      </c>
      <c r="C2453" s="11" t="s">
        <v>10028</v>
      </c>
      <c r="D2453" s="11" t="s">
        <v>774</v>
      </c>
      <c r="E2453" s="11"/>
      <c r="F2453" s="11" t="s">
        <v>10029</v>
      </c>
      <c r="G2453" s="11" t="s">
        <v>3189</v>
      </c>
      <c r="H2453" s="11" t="s">
        <v>142</v>
      </c>
      <c r="I2453" s="11" t="s">
        <v>10030</v>
      </c>
      <c r="J2453" s="11" t="s">
        <v>10031</v>
      </c>
      <c r="K2453" s="11" t="s">
        <v>472</v>
      </c>
      <c r="L2453" s="11" t="s">
        <v>146</v>
      </c>
      <c r="M2453" s="11" t="s">
        <v>16066</v>
      </c>
      <c r="N2453" s="11" t="s">
        <v>128</v>
      </c>
      <c r="O2453" s="11" t="s">
        <v>16067</v>
      </c>
      <c r="P2453" s="11"/>
      <c r="Q2453" s="11" t="s">
        <v>131</v>
      </c>
      <c r="R2453" s="11"/>
      <c r="S2453" s="11" t="s">
        <v>10035</v>
      </c>
      <c r="T2453" s="11" t="s">
        <v>983</v>
      </c>
      <c r="U2453" s="11" t="s">
        <v>134</v>
      </c>
      <c r="V2453" s="11" t="s">
        <v>131</v>
      </c>
      <c r="W2453" s="11" t="s">
        <v>983</v>
      </c>
      <c r="X2453" s="11">
        <v>12</v>
      </c>
      <c r="Y2453" s="11" t="s">
        <v>12359</v>
      </c>
      <c r="Z2453" s="11">
        <v>20</v>
      </c>
      <c r="AA2453" s="11">
        <v>0</v>
      </c>
      <c r="AB2453" s="12">
        <v>0</v>
      </c>
    </row>
    <row r="2454" spans="1:28" x14ac:dyDescent="0.2">
      <c r="A2454" s="7">
        <v>226719</v>
      </c>
      <c r="B2454" s="8" t="s">
        <v>16068</v>
      </c>
      <c r="C2454" s="8" t="s">
        <v>5271</v>
      </c>
      <c r="D2454" s="8" t="s">
        <v>5272</v>
      </c>
      <c r="E2454" s="8"/>
      <c r="F2454" s="8" t="s">
        <v>9700</v>
      </c>
      <c r="G2454" s="8" t="s">
        <v>2652</v>
      </c>
      <c r="H2454" s="8" t="s">
        <v>1843</v>
      </c>
      <c r="I2454" s="8" t="s">
        <v>9701</v>
      </c>
      <c r="J2454" s="8" t="s">
        <v>5275</v>
      </c>
      <c r="K2454" s="8" t="s">
        <v>1562</v>
      </c>
      <c r="L2454" s="8" t="s">
        <v>229</v>
      </c>
      <c r="M2454" s="8" t="s">
        <v>16069</v>
      </c>
      <c r="N2454" s="8" t="s">
        <v>128</v>
      </c>
      <c r="O2454" s="8" t="s">
        <v>16070</v>
      </c>
      <c r="P2454" s="8"/>
      <c r="Q2454" s="8" t="s">
        <v>131</v>
      </c>
      <c r="R2454" s="8"/>
      <c r="S2454" s="8" t="s">
        <v>5279</v>
      </c>
      <c r="T2454" s="8" t="s">
        <v>983</v>
      </c>
      <c r="U2454" s="8" t="s">
        <v>134</v>
      </c>
      <c r="V2454" s="8" t="s">
        <v>131</v>
      </c>
      <c r="W2454" s="8" t="s">
        <v>983</v>
      </c>
      <c r="X2454" s="8">
        <v>12</v>
      </c>
      <c r="Y2454" s="8" t="s">
        <v>12359</v>
      </c>
      <c r="Z2454" s="8">
        <v>20</v>
      </c>
      <c r="AA2454" s="8">
        <v>0</v>
      </c>
      <c r="AB2454" s="9">
        <v>0</v>
      </c>
    </row>
    <row r="2455" spans="1:28" x14ac:dyDescent="0.2">
      <c r="A2455" s="10">
        <v>49331</v>
      </c>
      <c r="B2455" s="11" t="s">
        <v>16071</v>
      </c>
      <c r="C2455" s="11" t="s">
        <v>13591</v>
      </c>
      <c r="D2455" s="11" t="s">
        <v>4604</v>
      </c>
      <c r="E2455" s="11"/>
      <c r="F2455" s="11" t="s">
        <v>353</v>
      </c>
      <c r="G2455" s="11" t="s">
        <v>1253</v>
      </c>
      <c r="H2455" s="11" t="s">
        <v>142</v>
      </c>
      <c r="I2455" s="11" t="s">
        <v>13592</v>
      </c>
      <c r="J2455" s="11" t="s">
        <v>16072</v>
      </c>
      <c r="K2455" s="11" t="s">
        <v>1199</v>
      </c>
      <c r="L2455" s="11" t="s">
        <v>464</v>
      </c>
      <c r="M2455" s="11" t="s">
        <v>16073</v>
      </c>
      <c r="N2455" s="11" t="s">
        <v>128</v>
      </c>
      <c r="O2455" s="11" t="s">
        <v>16074</v>
      </c>
      <c r="P2455" s="11"/>
      <c r="Q2455" s="11" t="s">
        <v>131</v>
      </c>
      <c r="R2455" s="11"/>
      <c r="S2455" s="11" t="s">
        <v>13597</v>
      </c>
      <c r="T2455" s="11" t="s">
        <v>983</v>
      </c>
      <c r="U2455" s="11" t="s">
        <v>134</v>
      </c>
      <c r="V2455" s="11" t="s">
        <v>131</v>
      </c>
      <c r="W2455" s="11" t="s">
        <v>983</v>
      </c>
      <c r="X2455" s="11">
        <v>12</v>
      </c>
      <c r="Y2455" s="11" t="s">
        <v>12359</v>
      </c>
      <c r="Z2455" s="11">
        <v>20</v>
      </c>
      <c r="AA2455" s="11">
        <v>0</v>
      </c>
      <c r="AB2455" s="12">
        <v>0</v>
      </c>
    </row>
    <row r="2456" spans="1:28" x14ac:dyDescent="0.2">
      <c r="A2456" s="7">
        <v>127915</v>
      </c>
      <c r="B2456" s="8" t="s">
        <v>16075</v>
      </c>
      <c r="C2456" s="8" t="s">
        <v>16076</v>
      </c>
      <c r="D2456" s="8" t="s">
        <v>235</v>
      </c>
      <c r="E2456" s="8"/>
      <c r="F2456" s="8" t="s">
        <v>353</v>
      </c>
      <c r="G2456" s="8" t="s">
        <v>16021</v>
      </c>
      <c r="H2456" s="8" t="s">
        <v>329</v>
      </c>
      <c r="I2456" s="8" t="s">
        <v>16022</v>
      </c>
      <c r="J2456" s="8" t="s">
        <v>16077</v>
      </c>
      <c r="K2456" s="8" t="s">
        <v>415</v>
      </c>
      <c r="L2456" s="8" t="s">
        <v>333</v>
      </c>
      <c r="M2456" s="8" t="s">
        <v>16078</v>
      </c>
      <c r="N2456" s="8" t="s">
        <v>128</v>
      </c>
      <c r="O2456" s="8" t="s">
        <v>16079</v>
      </c>
      <c r="P2456" s="8"/>
      <c r="Q2456" s="8" t="s">
        <v>131</v>
      </c>
      <c r="R2456" s="8"/>
      <c r="S2456" s="8" t="s">
        <v>71</v>
      </c>
      <c r="T2456" s="8" t="s">
        <v>983</v>
      </c>
      <c r="U2456" s="8" t="s">
        <v>134</v>
      </c>
      <c r="V2456" s="8" t="s">
        <v>131</v>
      </c>
      <c r="W2456" s="8" t="s">
        <v>983</v>
      </c>
      <c r="X2456" s="8">
        <v>12</v>
      </c>
      <c r="Y2456" s="8" t="s">
        <v>12359</v>
      </c>
      <c r="Z2456" s="8">
        <v>20</v>
      </c>
      <c r="AA2456" s="8">
        <v>0</v>
      </c>
      <c r="AB2456" s="9">
        <v>0</v>
      </c>
    </row>
    <row r="2457" spans="1:28" x14ac:dyDescent="0.2">
      <c r="A2457" s="10">
        <v>106040</v>
      </c>
      <c r="B2457" s="11" t="s">
        <v>16080</v>
      </c>
      <c r="C2457" s="11" t="s">
        <v>16081</v>
      </c>
      <c r="D2457" s="11" t="s">
        <v>4630</v>
      </c>
      <c r="E2457" s="11"/>
      <c r="F2457" s="11" t="s">
        <v>353</v>
      </c>
      <c r="G2457" s="11" t="s">
        <v>16082</v>
      </c>
      <c r="H2457" s="11" t="s">
        <v>557</v>
      </c>
      <c r="I2457" s="11" t="s">
        <v>16083</v>
      </c>
      <c r="J2457" s="11" t="s">
        <v>16084</v>
      </c>
      <c r="K2457" s="11" t="s">
        <v>560</v>
      </c>
      <c r="L2457" s="11" t="s">
        <v>229</v>
      </c>
      <c r="M2457" s="11" t="s">
        <v>16085</v>
      </c>
      <c r="N2457" s="11" t="s">
        <v>128</v>
      </c>
      <c r="O2457" s="11" t="s">
        <v>16086</v>
      </c>
      <c r="P2457" s="11" t="s">
        <v>7674</v>
      </c>
      <c r="Q2457" s="11" t="s">
        <v>131</v>
      </c>
      <c r="R2457" s="11"/>
      <c r="S2457" s="11" t="s">
        <v>71</v>
      </c>
      <c r="T2457" s="11" t="s">
        <v>133</v>
      </c>
      <c r="U2457" s="11" t="s">
        <v>134</v>
      </c>
      <c r="V2457" s="11" t="s">
        <v>131</v>
      </c>
      <c r="W2457" s="11" t="s">
        <v>133</v>
      </c>
      <c r="X2457" s="11">
        <v>12</v>
      </c>
      <c r="Y2457" s="11" t="s">
        <v>12359</v>
      </c>
      <c r="Z2457" s="11">
        <v>20</v>
      </c>
      <c r="AA2457" s="11">
        <v>0</v>
      </c>
      <c r="AB2457" s="12">
        <v>0</v>
      </c>
    </row>
    <row r="2458" spans="1:28" x14ac:dyDescent="0.2">
      <c r="A2458" s="7">
        <v>22056</v>
      </c>
      <c r="B2458" s="8" t="s">
        <v>16087</v>
      </c>
      <c r="C2458" s="8" t="s">
        <v>16088</v>
      </c>
      <c r="D2458" s="8"/>
      <c r="E2458" s="8"/>
      <c r="F2458" s="8" t="s">
        <v>16089</v>
      </c>
      <c r="G2458" s="8" t="s">
        <v>224</v>
      </c>
      <c r="H2458" s="8" t="s">
        <v>225</v>
      </c>
      <c r="I2458" s="8" t="s">
        <v>16090</v>
      </c>
      <c r="J2458" s="8" t="s">
        <v>16091</v>
      </c>
      <c r="K2458" s="8" t="s">
        <v>228</v>
      </c>
      <c r="L2458" s="8" t="s">
        <v>229</v>
      </c>
      <c r="M2458" s="8" t="s">
        <v>16092</v>
      </c>
      <c r="N2458" s="8" t="s">
        <v>128</v>
      </c>
      <c r="O2458" s="8" t="s">
        <v>16093</v>
      </c>
      <c r="P2458" s="8" t="s">
        <v>16094</v>
      </c>
      <c r="Q2458" s="8" t="s">
        <v>131</v>
      </c>
      <c r="R2458" s="8"/>
      <c r="S2458" s="8" t="s">
        <v>16095</v>
      </c>
      <c r="T2458" s="8" t="s">
        <v>133</v>
      </c>
      <c r="U2458" s="8" t="s">
        <v>134</v>
      </c>
      <c r="V2458" s="8" t="s">
        <v>131</v>
      </c>
      <c r="W2458" s="8" t="s">
        <v>133</v>
      </c>
      <c r="X2458" s="8">
        <v>12</v>
      </c>
      <c r="Y2458" s="8" t="s">
        <v>12359</v>
      </c>
      <c r="Z2458" s="8">
        <v>20</v>
      </c>
      <c r="AA2458" s="8">
        <v>0</v>
      </c>
      <c r="AB2458" s="9">
        <v>0</v>
      </c>
    </row>
    <row r="2459" spans="1:28" x14ac:dyDescent="0.2">
      <c r="A2459" s="10">
        <v>21987</v>
      </c>
      <c r="B2459" s="11" t="s">
        <v>16096</v>
      </c>
      <c r="C2459" s="11" t="s">
        <v>16097</v>
      </c>
      <c r="D2459" s="11" t="s">
        <v>3710</v>
      </c>
      <c r="E2459" s="11"/>
      <c r="F2459" s="11"/>
      <c r="G2459" s="11" t="s">
        <v>450</v>
      </c>
      <c r="H2459" s="11" t="s">
        <v>301</v>
      </c>
      <c r="I2459" s="11" t="s">
        <v>16098</v>
      </c>
      <c r="J2459" s="11" t="s">
        <v>16099</v>
      </c>
      <c r="K2459" s="11" t="s">
        <v>304</v>
      </c>
      <c r="L2459" s="11" t="s">
        <v>229</v>
      </c>
      <c r="M2459" s="11" t="s">
        <v>16100</v>
      </c>
      <c r="N2459" s="11" t="s">
        <v>128</v>
      </c>
      <c r="O2459" s="11"/>
      <c r="P2459" s="11"/>
      <c r="Q2459" s="11" t="s">
        <v>131</v>
      </c>
      <c r="R2459" s="11"/>
      <c r="S2459" s="11" t="s">
        <v>71</v>
      </c>
      <c r="T2459" s="11" t="s">
        <v>133</v>
      </c>
      <c r="U2459" s="11" t="s">
        <v>134</v>
      </c>
      <c r="V2459" s="11" t="s">
        <v>131</v>
      </c>
      <c r="W2459" s="11" t="s">
        <v>133</v>
      </c>
      <c r="X2459" s="11">
        <v>12</v>
      </c>
      <c r="Y2459" s="11" t="s">
        <v>12359</v>
      </c>
      <c r="Z2459" s="11">
        <v>20</v>
      </c>
      <c r="AA2459" s="11">
        <v>0</v>
      </c>
      <c r="AB2459" s="12">
        <v>0</v>
      </c>
    </row>
    <row r="2460" spans="1:28" x14ac:dyDescent="0.2">
      <c r="A2460" s="7">
        <v>235553</v>
      </c>
      <c r="B2460" s="8" t="s">
        <v>16101</v>
      </c>
      <c r="C2460" s="8" t="s">
        <v>3187</v>
      </c>
      <c r="D2460" s="8" t="s">
        <v>7378</v>
      </c>
      <c r="E2460" s="8"/>
      <c r="F2460" s="8" t="s">
        <v>353</v>
      </c>
      <c r="G2460" s="8" t="s">
        <v>7329</v>
      </c>
      <c r="H2460" s="8" t="s">
        <v>1953</v>
      </c>
      <c r="I2460" s="8" t="s">
        <v>14657</v>
      </c>
      <c r="J2460" s="8" t="s">
        <v>16102</v>
      </c>
      <c r="K2460" s="8" t="s">
        <v>1956</v>
      </c>
      <c r="L2460" s="8" t="s">
        <v>526</v>
      </c>
      <c r="M2460" s="8" t="s">
        <v>16103</v>
      </c>
      <c r="N2460" s="8" t="s">
        <v>128</v>
      </c>
      <c r="O2460" s="8" t="s">
        <v>16104</v>
      </c>
      <c r="P2460" s="8" t="s">
        <v>16105</v>
      </c>
      <c r="Q2460" s="8" t="s">
        <v>150</v>
      </c>
      <c r="R2460" s="8"/>
      <c r="S2460" s="8" t="s">
        <v>71</v>
      </c>
      <c r="T2460" s="8" t="s">
        <v>7898</v>
      </c>
      <c r="U2460" s="8" t="s">
        <v>150</v>
      </c>
      <c r="V2460" s="8" t="s">
        <v>7898</v>
      </c>
      <c r="W2460" s="8" t="s">
        <v>7898</v>
      </c>
      <c r="X2460" s="8">
        <v>12</v>
      </c>
      <c r="Y2460" s="8" t="s">
        <v>12359</v>
      </c>
      <c r="Z2460" s="8">
        <v>20</v>
      </c>
      <c r="AA2460" s="8">
        <v>0</v>
      </c>
      <c r="AB2460" s="9">
        <v>0</v>
      </c>
    </row>
    <row r="2461" spans="1:28" x14ac:dyDescent="0.2">
      <c r="A2461" s="10">
        <v>22586</v>
      </c>
      <c r="B2461" s="11" t="s">
        <v>16106</v>
      </c>
      <c r="C2461" s="11" t="s">
        <v>16107</v>
      </c>
      <c r="D2461" s="11" t="s">
        <v>12009</v>
      </c>
      <c r="E2461" s="11"/>
      <c r="F2461" s="11" t="s">
        <v>16108</v>
      </c>
      <c r="G2461" s="11" t="s">
        <v>1438</v>
      </c>
      <c r="H2461" s="11" t="s">
        <v>122</v>
      </c>
      <c r="I2461" s="11" t="s">
        <v>16109</v>
      </c>
      <c r="J2461" s="11" t="s">
        <v>16110</v>
      </c>
      <c r="K2461" s="11" t="s">
        <v>125</v>
      </c>
      <c r="L2461" s="11" t="s">
        <v>126</v>
      </c>
      <c r="M2461" s="11" t="s">
        <v>16111</v>
      </c>
      <c r="N2461" s="11" t="s">
        <v>128</v>
      </c>
      <c r="O2461" s="11" t="s">
        <v>16112</v>
      </c>
      <c r="P2461" s="11" t="s">
        <v>16113</v>
      </c>
      <c r="Q2461" s="11" t="s">
        <v>150</v>
      </c>
      <c r="R2461" s="11"/>
      <c r="S2461" s="11" t="s">
        <v>71</v>
      </c>
      <c r="T2461" s="11" t="s">
        <v>2697</v>
      </c>
      <c r="U2461" s="11" t="s">
        <v>150</v>
      </c>
      <c r="V2461" s="11" t="s">
        <v>2697</v>
      </c>
      <c r="W2461" s="11" t="s">
        <v>2697</v>
      </c>
      <c r="X2461" s="11">
        <v>12</v>
      </c>
      <c r="Y2461" s="11" t="s">
        <v>12359</v>
      </c>
      <c r="Z2461" s="11">
        <v>20</v>
      </c>
      <c r="AA2461" s="11">
        <v>0</v>
      </c>
      <c r="AB2461" s="12">
        <v>0</v>
      </c>
    </row>
    <row r="2462" spans="1:28" x14ac:dyDescent="0.2">
      <c r="A2462" s="7">
        <v>22589</v>
      </c>
      <c r="B2462" s="8" t="s">
        <v>16114</v>
      </c>
      <c r="C2462" s="8" t="s">
        <v>3999</v>
      </c>
      <c r="D2462" s="8" t="s">
        <v>16115</v>
      </c>
      <c r="E2462" s="8"/>
      <c r="F2462" s="8" t="s">
        <v>2422</v>
      </c>
      <c r="G2462" s="8" t="s">
        <v>846</v>
      </c>
      <c r="H2462" s="8" t="s">
        <v>847</v>
      </c>
      <c r="I2462" s="8" t="s">
        <v>16116</v>
      </c>
      <c r="J2462" s="8" t="s">
        <v>16117</v>
      </c>
      <c r="K2462" s="8" t="s">
        <v>1091</v>
      </c>
      <c r="L2462" s="8" t="s">
        <v>126</v>
      </c>
      <c r="M2462" s="8" t="s">
        <v>16118</v>
      </c>
      <c r="N2462" s="8" t="s">
        <v>128</v>
      </c>
      <c r="O2462" s="8" t="s">
        <v>16119</v>
      </c>
      <c r="P2462" s="8" t="s">
        <v>16120</v>
      </c>
      <c r="Q2462" s="8" t="s">
        <v>150</v>
      </c>
      <c r="R2462" s="8"/>
      <c r="S2462" s="8" t="s">
        <v>71</v>
      </c>
      <c r="T2462" s="8" t="s">
        <v>2697</v>
      </c>
      <c r="U2462" s="8" t="s">
        <v>150</v>
      </c>
      <c r="V2462" s="8" t="s">
        <v>2697</v>
      </c>
      <c r="W2462" s="8" t="s">
        <v>2697</v>
      </c>
      <c r="X2462" s="8">
        <v>12</v>
      </c>
      <c r="Y2462" s="8" t="s">
        <v>12359</v>
      </c>
      <c r="Z2462" s="8">
        <v>20</v>
      </c>
      <c r="AA2462" s="8">
        <v>0</v>
      </c>
      <c r="AB2462" s="9">
        <v>0</v>
      </c>
    </row>
    <row r="2463" spans="1:28" x14ac:dyDescent="0.2">
      <c r="A2463" s="10">
        <v>127776</v>
      </c>
      <c r="B2463" s="11" t="s">
        <v>16121</v>
      </c>
      <c r="C2463" s="11" t="s">
        <v>3482</v>
      </c>
      <c r="D2463" s="11" t="s">
        <v>2690</v>
      </c>
      <c r="E2463" s="11"/>
      <c r="F2463" s="11" t="s">
        <v>7595</v>
      </c>
      <c r="G2463" s="11" t="s">
        <v>3484</v>
      </c>
      <c r="H2463" s="11" t="s">
        <v>671</v>
      </c>
      <c r="I2463" s="11" t="s">
        <v>3485</v>
      </c>
      <c r="J2463" s="11" t="s">
        <v>3486</v>
      </c>
      <c r="K2463" s="11" t="s">
        <v>572</v>
      </c>
      <c r="L2463" s="11" t="s">
        <v>333</v>
      </c>
      <c r="M2463" s="11" t="s">
        <v>16122</v>
      </c>
      <c r="N2463" s="11" t="s">
        <v>128</v>
      </c>
      <c r="O2463" s="11" t="s">
        <v>16123</v>
      </c>
      <c r="P2463" s="11"/>
      <c r="Q2463" s="11" t="s">
        <v>150</v>
      </c>
      <c r="R2463" s="11"/>
      <c r="S2463" s="11" t="s">
        <v>3489</v>
      </c>
      <c r="T2463" s="11" t="s">
        <v>5470</v>
      </c>
      <c r="U2463" s="11" t="s">
        <v>150</v>
      </c>
      <c r="V2463" s="11" t="s">
        <v>5470</v>
      </c>
      <c r="W2463" s="11" t="s">
        <v>5470</v>
      </c>
      <c r="X2463" s="11">
        <v>12</v>
      </c>
      <c r="Y2463" s="11" t="s">
        <v>12359</v>
      </c>
      <c r="Z2463" s="11">
        <v>20</v>
      </c>
      <c r="AA2463" s="11">
        <v>0</v>
      </c>
      <c r="AB2463" s="12">
        <v>0</v>
      </c>
    </row>
    <row r="2464" spans="1:28" x14ac:dyDescent="0.2">
      <c r="A2464" s="7">
        <v>23228</v>
      </c>
      <c r="B2464" s="8" t="s">
        <v>16124</v>
      </c>
      <c r="C2464" s="8" t="s">
        <v>10572</v>
      </c>
      <c r="D2464" s="8" t="s">
        <v>9529</v>
      </c>
      <c r="E2464" s="8" t="s">
        <v>16125</v>
      </c>
      <c r="F2464" s="8" t="s">
        <v>3819</v>
      </c>
      <c r="G2464" s="8" t="s">
        <v>328</v>
      </c>
      <c r="H2464" s="8" t="s">
        <v>329</v>
      </c>
      <c r="I2464" s="8" t="s">
        <v>16126</v>
      </c>
      <c r="J2464" s="8" t="s">
        <v>16127</v>
      </c>
      <c r="K2464" s="8" t="s">
        <v>431</v>
      </c>
      <c r="L2464" s="8" t="s">
        <v>333</v>
      </c>
      <c r="M2464" s="8" t="s">
        <v>16128</v>
      </c>
      <c r="N2464" s="8" t="s">
        <v>128</v>
      </c>
      <c r="O2464" s="8" t="s">
        <v>16129</v>
      </c>
      <c r="P2464" s="8" t="s">
        <v>16130</v>
      </c>
      <c r="Q2464" s="8" t="s">
        <v>150</v>
      </c>
      <c r="R2464" s="8"/>
      <c r="S2464" s="8" t="s">
        <v>71</v>
      </c>
      <c r="T2464" s="8" t="s">
        <v>70</v>
      </c>
      <c r="U2464" s="8" t="s">
        <v>150</v>
      </c>
      <c r="V2464" s="8" t="s">
        <v>70</v>
      </c>
      <c r="W2464" s="8" t="s">
        <v>70</v>
      </c>
      <c r="X2464" s="8">
        <v>12</v>
      </c>
      <c r="Y2464" s="8" t="s">
        <v>12359</v>
      </c>
      <c r="Z2464" s="8">
        <v>20</v>
      </c>
      <c r="AA2464" s="8">
        <v>0</v>
      </c>
      <c r="AB2464" s="9">
        <v>0</v>
      </c>
    </row>
    <row r="2465" spans="1:28" x14ac:dyDescent="0.2">
      <c r="A2465" s="10">
        <v>22881</v>
      </c>
      <c r="B2465" s="11" t="s">
        <v>16131</v>
      </c>
      <c r="C2465" s="11" t="s">
        <v>4172</v>
      </c>
      <c r="D2465" s="11" t="s">
        <v>16132</v>
      </c>
      <c r="E2465" s="11" t="s">
        <v>16133</v>
      </c>
      <c r="F2465" s="11" t="s">
        <v>4174</v>
      </c>
      <c r="G2465" s="11" t="s">
        <v>4175</v>
      </c>
      <c r="H2465" s="11" t="s">
        <v>329</v>
      </c>
      <c r="I2465" s="11" t="s">
        <v>16134</v>
      </c>
      <c r="J2465" s="11" t="s">
        <v>16135</v>
      </c>
      <c r="K2465" s="11" t="s">
        <v>415</v>
      </c>
      <c r="L2465" s="11" t="s">
        <v>333</v>
      </c>
      <c r="M2465" s="11" t="s">
        <v>16136</v>
      </c>
      <c r="N2465" s="11" t="s">
        <v>128</v>
      </c>
      <c r="O2465" s="11" t="s">
        <v>16137</v>
      </c>
      <c r="P2465" s="11" t="s">
        <v>4955</v>
      </c>
      <c r="Q2465" s="11" t="s">
        <v>150</v>
      </c>
      <c r="R2465" s="11"/>
      <c r="S2465" s="11" t="s">
        <v>71</v>
      </c>
      <c r="T2465" s="11" t="s">
        <v>70</v>
      </c>
      <c r="U2465" s="11" t="s">
        <v>150</v>
      </c>
      <c r="V2465" s="11" t="s">
        <v>70</v>
      </c>
      <c r="W2465" s="11" t="s">
        <v>70</v>
      </c>
      <c r="X2465" s="11">
        <v>12</v>
      </c>
      <c r="Y2465" s="11" t="s">
        <v>12359</v>
      </c>
      <c r="Z2465" s="11">
        <v>20</v>
      </c>
      <c r="AA2465" s="11">
        <v>0</v>
      </c>
      <c r="AB2465" s="12">
        <v>0</v>
      </c>
    </row>
    <row r="2466" spans="1:28" x14ac:dyDescent="0.2">
      <c r="A2466" s="7">
        <v>28566</v>
      </c>
      <c r="B2466" s="8" t="s">
        <v>16138</v>
      </c>
      <c r="C2466" s="8" t="s">
        <v>16139</v>
      </c>
      <c r="D2466" s="8" t="s">
        <v>7268</v>
      </c>
      <c r="E2466" s="8"/>
      <c r="F2466" s="8" t="s">
        <v>353</v>
      </c>
      <c r="G2466" s="8" t="s">
        <v>3484</v>
      </c>
      <c r="H2466" s="8" t="s">
        <v>671</v>
      </c>
      <c r="I2466" s="8" t="s">
        <v>16140</v>
      </c>
      <c r="J2466" s="8" t="s">
        <v>16141</v>
      </c>
      <c r="K2466" s="8" t="s">
        <v>572</v>
      </c>
      <c r="L2466" s="8" t="s">
        <v>333</v>
      </c>
      <c r="M2466" s="8" t="s">
        <v>16142</v>
      </c>
      <c r="N2466" s="8" t="s">
        <v>128</v>
      </c>
      <c r="O2466" s="8" t="s">
        <v>16143</v>
      </c>
      <c r="P2466" s="8" t="s">
        <v>16144</v>
      </c>
      <c r="Q2466" s="8" t="s">
        <v>150</v>
      </c>
      <c r="R2466" s="8"/>
      <c r="S2466" s="8" t="s">
        <v>71</v>
      </c>
      <c r="T2466" s="8" t="s">
        <v>70</v>
      </c>
      <c r="U2466" s="8" t="s">
        <v>150</v>
      </c>
      <c r="V2466" s="8" t="s">
        <v>70</v>
      </c>
      <c r="W2466" s="8" t="s">
        <v>70</v>
      </c>
      <c r="X2466" s="8">
        <v>12</v>
      </c>
      <c r="Y2466" s="8" t="s">
        <v>12359</v>
      </c>
      <c r="Z2466" s="8">
        <v>20</v>
      </c>
      <c r="AA2466" s="8">
        <v>0</v>
      </c>
      <c r="AB2466" s="9">
        <v>0</v>
      </c>
    </row>
    <row r="2467" spans="1:28" x14ac:dyDescent="0.2">
      <c r="A2467" s="10">
        <v>109194</v>
      </c>
      <c r="B2467" s="11" t="s">
        <v>16145</v>
      </c>
      <c r="C2467" s="11" t="s">
        <v>10068</v>
      </c>
      <c r="D2467" s="11" t="s">
        <v>9743</v>
      </c>
      <c r="E2467" s="11"/>
      <c r="F2467" s="11" t="s">
        <v>353</v>
      </c>
      <c r="G2467" s="11" t="s">
        <v>9522</v>
      </c>
      <c r="H2467" s="11" t="s">
        <v>159</v>
      </c>
      <c r="I2467" s="11" t="s">
        <v>16146</v>
      </c>
      <c r="J2467" s="11" t="s">
        <v>16147</v>
      </c>
      <c r="K2467" s="11" t="s">
        <v>162</v>
      </c>
      <c r="L2467" s="11" t="s">
        <v>163</v>
      </c>
      <c r="M2467" s="11" t="s">
        <v>16148</v>
      </c>
      <c r="N2467" s="11" t="s">
        <v>128</v>
      </c>
      <c r="O2467" s="11" t="s">
        <v>16149</v>
      </c>
      <c r="P2467" s="11" t="s">
        <v>16150</v>
      </c>
      <c r="Q2467" s="11" t="s">
        <v>150</v>
      </c>
      <c r="R2467" s="11"/>
      <c r="S2467" s="11" t="s">
        <v>71</v>
      </c>
      <c r="T2467" s="11" t="s">
        <v>70</v>
      </c>
      <c r="U2467" s="11" t="s">
        <v>150</v>
      </c>
      <c r="V2467" s="11" t="s">
        <v>70</v>
      </c>
      <c r="W2467" s="11" t="s">
        <v>70</v>
      </c>
      <c r="X2467" s="11">
        <v>12</v>
      </c>
      <c r="Y2467" s="11" t="s">
        <v>12359</v>
      </c>
      <c r="Z2467" s="11">
        <v>20</v>
      </c>
      <c r="AA2467" s="11">
        <v>0</v>
      </c>
      <c r="AB2467" s="12">
        <v>0</v>
      </c>
    </row>
    <row r="2468" spans="1:28" x14ac:dyDescent="0.2">
      <c r="A2468" s="7">
        <v>125679</v>
      </c>
      <c r="B2468" s="8" t="s">
        <v>16151</v>
      </c>
      <c r="C2468" s="8" t="s">
        <v>16076</v>
      </c>
      <c r="D2468" s="8" t="s">
        <v>1283</v>
      </c>
      <c r="E2468" s="8"/>
      <c r="F2468" s="8" t="s">
        <v>353</v>
      </c>
      <c r="G2468" s="8" t="s">
        <v>16021</v>
      </c>
      <c r="H2468" s="8" t="s">
        <v>329</v>
      </c>
      <c r="I2468" s="8" t="s">
        <v>16022</v>
      </c>
      <c r="J2468" s="8" t="s">
        <v>16152</v>
      </c>
      <c r="K2468" s="8" t="s">
        <v>415</v>
      </c>
      <c r="L2468" s="8" t="s">
        <v>333</v>
      </c>
      <c r="M2468" s="8" t="s">
        <v>16153</v>
      </c>
      <c r="N2468" s="8" t="s">
        <v>128</v>
      </c>
      <c r="O2468" s="8" t="s">
        <v>16154</v>
      </c>
      <c r="P2468" s="8" t="s">
        <v>6937</v>
      </c>
      <c r="Q2468" s="8" t="s">
        <v>150</v>
      </c>
      <c r="R2468" s="8"/>
      <c r="S2468" s="8" t="s">
        <v>71</v>
      </c>
      <c r="T2468" s="8" t="s">
        <v>70</v>
      </c>
      <c r="U2468" s="8" t="s">
        <v>150</v>
      </c>
      <c r="V2468" s="8" t="s">
        <v>70</v>
      </c>
      <c r="W2468" s="8" t="s">
        <v>70</v>
      </c>
      <c r="X2468" s="8">
        <v>12</v>
      </c>
      <c r="Y2468" s="8" t="s">
        <v>12359</v>
      </c>
      <c r="Z2468" s="8">
        <v>20</v>
      </c>
      <c r="AA2468" s="8">
        <v>0</v>
      </c>
      <c r="AB2468" s="9">
        <v>0</v>
      </c>
    </row>
    <row r="2469" spans="1:28" x14ac:dyDescent="0.2">
      <c r="A2469" s="10">
        <v>22898</v>
      </c>
      <c r="B2469" s="11" t="s">
        <v>16155</v>
      </c>
      <c r="C2469" s="11" t="s">
        <v>1125</v>
      </c>
      <c r="D2469" s="11" t="s">
        <v>16156</v>
      </c>
      <c r="E2469" s="11"/>
      <c r="F2469" s="11" t="s">
        <v>7985</v>
      </c>
      <c r="G2469" s="11" t="s">
        <v>450</v>
      </c>
      <c r="H2469" s="11" t="s">
        <v>301</v>
      </c>
      <c r="I2469" s="11" t="s">
        <v>16157</v>
      </c>
      <c r="J2469" s="11" t="s">
        <v>16158</v>
      </c>
      <c r="K2469" s="11" t="s">
        <v>304</v>
      </c>
      <c r="L2469" s="11" t="s">
        <v>229</v>
      </c>
      <c r="M2469" s="11" t="s">
        <v>16159</v>
      </c>
      <c r="N2469" s="11" t="s">
        <v>128</v>
      </c>
      <c r="O2469" s="11" t="s">
        <v>16160</v>
      </c>
      <c r="P2469" s="11" t="s">
        <v>16161</v>
      </c>
      <c r="Q2469" s="11" t="s">
        <v>150</v>
      </c>
      <c r="R2469" s="11"/>
      <c r="S2469" s="11" t="s">
        <v>71</v>
      </c>
      <c r="T2469" s="11" t="s">
        <v>70</v>
      </c>
      <c r="U2469" s="11" t="s">
        <v>150</v>
      </c>
      <c r="V2469" s="11" t="s">
        <v>70</v>
      </c>
      <c r="W2469" s="11" t="s">
        <v>70</v>
      </c>
      <c r="X2469" s="11">
        <v>12</v>
      </c>
      <c r="Y2469" s="11" t="s">
        <v>12359</v>
      </c>
      <c r="Z2469" s="11">
        <v>20</v>
      </c>
      <c r="AA2469" s="11">
        <v>0</v>
      </c>
      <c r="AB2469" s="12">
        <v>0</v>
      </c>
    </row>
    <row r="2470" spans="1:28" x14ac:dyDescent="0.2">
      <c r="A2470" s="7">
        <v>209417</v>
      </c>
      <c r="B2470" s="8" t="s">
        <v>16162</v>
      </c>
      <c r="C2470" s="8" t="s">
        <v>5281</v>
      </c>
      <c r="D2470" s="8" t="s">
        <v>16163</v>
      </c>
      <c r="E2470" s="8"/>
      <c r="F2470" s="8" t="s">
        <v>16164</v>
      </c>
      <c r="G2470" s="8" t="s">
        <v>141</v>
      </c>
      <c r="H2470" s="8" t="s">
        <v>142</v>
      </c>
      <c r="I2470" s="8" t="s">
        <v>16165</v>
      </c>
      <c r="J2470" s="8" t="s">
        <v>16166</v>
      </c>
      <c r="K2470" s="8" t="s">
        <v>145</v>
      </c>
      <c r="L2470" s="8" t="s">
        <v>146</v>
      </c>
      <c r="M2470" s="8" t="s">
        <v>16167</v>
      </c>
      <c r="N2470" s="8" t="s">
        <v>128</v>
      </c>
      <c r="O2470" s="8" t="s">
        <v>16168</v>
      </c>
      <c r="P2470" s="8" t="s">
        <v>16169</v>
      </c>
      <c r="Q2470" s="8" t="s">
        <v>150</v>
      </c>
      <c r="R2470" s="8"/>
      <c r="S2470" s="8" t="s">
        <v>71</v>
      </c>
      <c r="T2470" s="8" t="s">
        <v>70</v>
      </c>
      <c r="U2470" s="8" t="s">
        <v>150</v>
      </c>
      <c r="V2470" s="8" t="s">
        <v>70</v>
      </c>
      <c r="W2470" s="8" t="s">
        <v>70</v>
      </c>
      <c r="X2470" s="8">
        <v>12</v>
      </c>
      <c r="Y2470" s="8" t="s">
        <v>12359</v>
      </c>
      <c r="Z2470" s="8">
        <v>20</v>
      </c>
      <c r="AA2470" s="8">
        <v>0</v>
      </c>
      <c r="AB2470" s="9">
        <v>0</v>
      </c>
    </row>
    <row r="2471" spans="1:28" x14ac:dyDescent="0.2">
      <c r="A2471" s="10">
        <v>23188</v>
      </c>
      <c r="B2471" s="11" t="s">
        <v>16170</v>
      </c>
      <c r="C2471" s="11" t="s">
        <v>16171</v>
      </c>
      <c r="D2471" s="11" t="s">
        <v>16172</v>
      </c>
      <c r="E2471" s="11"/>
      <c r="F2471" s="11" t="s">
        <v>16173</v>
      </c>
      <c r="G2471" s="11" t="s">
        <v>9522</v>
      </c>
      <c r="H2471" s="11" t="s">
        <v>159</v>
      </c>
      <c r="I2471" s="11" t="s">
        <v>16174</v>
      </c>
      <c r="J2471" s="11" t="s">
        <v>16175</v>
      </c>
      <c r="K2471" s="11" t="s">
        <v>162</v>
      </c>
      <c r="L2471" s="11" t="s">
        <v>163</v>
      </c>
      <c r="M2471" s="11" t="s">
        <v>16176</v>
      </c>
      <c r="N2471" s="11" t="s">
        <v>128</v>
      </c>
      <c r="O2471" s="11" t="s">
        <v>16177</v>
      </c>
      <c r="P2471" s="11" t="s">
        <v>16178</v>
      </c>
      <c r="Q2471" s="11" t="s">
        <v>150</v>
      </c>
      <c r="R2471" s="11"/>
      <c r="S2471" s="11" t="s">
        <v>16179</v>
      </c>
      <c r="T2471" s="11" t="s">
        <v>70</v>
      </c>
      <c r="U2471" s="11" t="s">
        <v>150</v>
      </c>
      <c r="V2471" s="11" t="s">
        <v>70</v>
      </c>
      <c r="W2471" s="11" t="s">
        <v>70</v>
      </c>
      <c r="X2471" s="11">
        <v>12</v>
      </c>
      <c r="Y2471" s="11" t="s">
        <v>12359</v>
      </c>
      <c r="Z2471" s="11">
        <v>20</v>
      </c>
      <c r="AA2471" s="11">
        <v>0</v>
      </c>
      <c r="AB2471" s="12">
        <v>0</v>
      </c>
    </row>
    <row r="2472" spans="1:28" x14ac:dyDescent="0.2">
      <c r="A2472" s="7">
        <v>116045</v>
      </c>
      <c r="B2472" s="8" t="s">
        <v>16180</v>
      </c>
      <c r="C2472" s="8" t="s">
        <v>10209</v>
      </c>
      <c r="D2472" s="8" t="s">
        <v>11257</v>
      </c>
      <c r="E2472" s="8"/>
      <c r="F2472" s="8" t="s">
        <v>353</v>
      </c>
      <c r="G2472" s="8" t="s">
        <v>2166</v>
      </c>
      <c r="H2472" s="8" t="s">
        <v>142</v>
      </c>
      <c r="I2472" s="8" t="s">
        <v>5091</v>
      </c>
      <c r="J2472" s="8" t="s">
        <v>16181</v>
      </c>
      <c r="K2472" s="8" t="s">
        <v>1199</v>
      </c>
      <c r="L2472" s="8" t="s">
        <v>464</v>
      </c>
      <c r="M2472" s="8" t="s">
        <v>16182</v>
      </c>
      <c r="N2472" s="8" t="s">
        <v>128</v>
      </c>
      <c r="O2472" s="8" t="s">
        <v>16183</v>
      </c>
      <c r="P2472" s="8" t="s">
        <v>12774</v>
      </c>
      <c r="Q2472" s="8" t="s">
        <v>150</v>
      </c>
      <c r="R2472" s="8"/>
      <c r="S2472" s="8" t="s">
        <v>71</v>
      </c>
      <c r="T2472" s="8" t="s">
        <v>168</v>
      </c>
      <c r="U2472" s="8" t="s">
        <v>150</v>
      </c>
      <c r="V2472" s="8" t="s">
        <v>168</v>
      </c>
      <c r="W2472" s="8" t="s">
        <v>168</v>
      </c>
      <c r="X2472" s="8">
        <v>12</v>
      </c>
      <c r="Y2472" s="8" t="s">
        <v>12359</v>
      </c>
      <c r="Z2472" s="8">
        <v>20</v>
      </c>
      <c r="AA2472" s="8">
        <v>0</v>
      </c>
      <c r="AB2472" s="9">
        <v>0</v>
      </c>
    </row>
    <row r="2473" spans="1:28" x14ac:dyDescent="0.2">
      <c r="A2473" s="10">
        <v>127916</v>
      </c>
      <c r="B2473" s="11" t="s">
        <v>16184</v>
      </c>
      <c r="C2473" s="11" t="s">
        <v>16185</v>
      </c>
      <c r="D2473" s="11" t="s">
        <v>2040</v>
      </c>
      <c r="E2473" s="11"/>
      <c r="F2473" s="11" t="s">
        <v>353</v>
      </c>
      <c r="G2473" s="11" t="s">
        <v>4226</v>
      </c>
      <c r="H2473" s="11" t="s">
        <v>329</v>
      </c>
      <c r="I2473" s="11" t="s">
        <v>16186</v>
      </c>
      <c r="J2473" s="11" t="s">
        <v>16187</v>
      </c>
      <c r="K2473" s="11" t="s">
        <v>415</v>
      </c>
      <c r="L2473" s="11" t="s">
        <v>333</v>
      </c>
      <c r="M2473" s="11" t="s">
        <v>16188</v>
      </c>
      <c r="N2473" s="11" t="s">
        <v>128</v>
      </c>
      <c r="O2473" s="11" t="s">
        <v>16189</v>
      </c>
      <c r="P2473" s="11" t="s">
        <v>16190</v>
      </c>
      <c r="Q2473" s="11" t="s">
        <v>150</v>
      </c>
      <c r="R2473" s="11"/>
      <c r="S2473" s="11" t="s">
        <v>71</v>
      </c>
      <c r="T2473" s="11" t="s">
        <v>168</v>
      </c>
      <c r="U2473" s="11" t="s">
        <v>150</v>
      </c>
      <c r="V2473" s="11" t="s">
        <v>168</v>
      </c>
      <c r="W2473" s="11" t="s">
        <v>168</v>
      </c>
      <c r="X2473" s="11">
        <v>12</v>
      </c>
      <c r="Y2473" s="11" t="s">
        <v>12359</v>
      </c>
      <c r="Z2473" s="11">
        <v>20</v>
      </c>
      <c r="AA2473" s="11">
        <v>0</v>
      </c>
      <c r="AB2473" s="12">
        <v>0</v>
      </c>
    </row>
    <row r="2474" spans="1:28" x14ac:dyDescent="0.2">
      <c r="A2474" s="7">
        <v>23643</v>
      </c>
      <c r="B2474" s="8" t="s">
        <v>16191</v>
      </c>
      <c r="C2474" s="8" t="s">
        <v>360</v>
      </c>
      <c r="D2474" s="8" t="s">
        <v>16192</v>
      </c>
      <c r="E2474" s="8"/>
      <c r="F2474" s="8" t="s">
        <v>16193</v>
      </c>
      <c r="G2474" s="8" t="s">
        <v>364</v>
      </c>
      <c r="H2474" s="8" t="s">
        <v>365</v>
      </c>
      <c r="I2474" s="8" t="s">
        <v>16194</v>
      </c>
      <c r="J2474" s="8" t="s">
        <v>16195</v>
      </c>
      <c r="K2474" s="8" t="s">
        <v>162</v>
      </c>
      <c r="L2474" s="8" t="s">
        <v>163</v>
      </c>
      <c r="M2474" s="8" t="s">
        <v>16196</v>
      </c>
      <c r="N2474" s="8" t="s">
        <v>128</v>
      </c>
      <c r="O2474" s="8" t="s">
        <v>16197</v>
      </c>
      <c r="P2474" s="8" t="s">
        <v>5304</v>
      </c>
      <c r="Q2474" s="8" t="s">
        <v>150</v>
      </c>
      <c r="R2474" s="8"/>
      <c r="S2474" s="8" t="s">
        <v>16198</v>
      </c>
      <c r="T2474" s="8" t="s">
        <v>168</v>
      </c>
      <c r="U2474" s="8" t="s">
        <v>150</v>
      </c>
      <c r="V2474" s="8" t="s">
        <v>168</v>
      </c>
      <c r="W2474" s="8" t="s">
        <v>168</v>
      </c>
      <c r="X2474" s="8">
        <v>12</v>
      </c>
      <c r="Y2474" s="8" t="s">
        <v>12359</v>
      </c>
      <c r="Z2474" s="8">
        <v>20</v>
      </c>
      <c r="AA2474" s="8">
        <v>0</v>
      </c>
      <c r="AB2474" s="9">
        <v>0</v>
      </c>
    </row>
    <row r="2475" spans="1:28" x14ac:dyDescent="0.2">
      <c r="A2475" s="10">
        <v>28880</v>
      </c>
      <c r="B2475" s="11" t="s">
        <v>16199</v>
      </c>
      <c r="C2475" s="11" t="s">
        <v>16200</v>
      </c>
      <c r="D2475" s="11" t="s">
        <v>10600</v>
      </c>
      <c r="E2475" s="11"/>
      <c r="F2475" s="11" t="s">
        <v>16201</v>
      </c>
      <c r="G2475" s="11" t="s">
        <v>9598</v>
      </c>
      <c r="H2475" s="11" t="s">
        <v>704</v>
      </c>
      <c r="I2475" s="11" t="s">
        <v>16202</v>
      </c>
      <c r="J2475" s="11" t="s">
        <v>16203</v>
      </c>
      <c r="K2475" s="11" t="s">
        <v>707</v>
      </c>
      <c r="L2475" s="11" t="s">
        <v>126</v>
      </c>
      <c r="M2475" s="11" t="s">
        <v>16204</v>
      </c>
      <c r="N2475" s="11" t="s">
        <v>128</v>
      </c>
      <c r="O2475" s="11" t="s">
        <v>16205</v>
      </c>
      <c r="P2475" s="11" t="s">
        <v>9529</v>
      </c>
      <c r="Q2475" s="11" t="s">
        <v>150</v>
      </c>
      <c r="R2475" s="11"/>
      <c r="S2475" s="11" t="s">
        <v>16206</v>
      </c>
      <c r="T2475" s="11" t="s">
        <v>168</v>
      </c>
      <c r="U2475" s="11" t="s">
        <v>150</v>
      </c>
      <c r="V2475" s="11" t="s">
        <v>168</v>
      </c>
      <c r="W2475" s="11" t="s">
        <v>168</v>
      </c>
      <c r="X2475" s="11">
        <v>12</v>
      </c>
      <c r="Y2475" s="11" t="s">
        <v>12359</v>
      </c>
      <c r="Z2475" s="11">
        <v>20</v>
      </c>
      <c r="AA2475" s="11">
        <v>0</v>
      </c>
      <c r="AB2475" s="12">
        <v>0</v>
      </c>
    </row>
    <row r="2476" spans="1:28" x14ac:dyDescent="0.2">
      <c r="A2476" s="7">
        <v>29000</v>
      </c>
      <c r="B2476" s="8" t="s">
        <v>16207</v>
      </c>
      <c r="C2476" s="8" t="s">
        <v>16208</v>
      </c>
      <c r="D2476" s="8" t="s">
        <v>2871</v>
      </c>
      <c r="E2476" s="8"/>
      <c r="F2476" s="8" t="s">
        <v>16209</v>
      </c>
      <c r="G2476" s="8" t="s">
        <v>6409</v>
      </c>
      <c r="H2476" s="8" t="s">
        <v>6410</v>
      </c>
      <c r="I2476" s="8" t="s">
        <v>16210</v>
      </c>
      <c r="J2476" s="8" t="s">
        <v>16211</v>
      </c>
      <c r="K2476" s="8" t="s">
        <v>1956</v>
      </c>
      <c r="L2476" s="8" t="s">
        <v>526</v>
      </c>
      <c r="M2476" s="8" t="s">
        <v>16212</v>
      </c>
      <c r="N2476" s="8" t="s">
        <v>128</v>
      </c>
      <c r="O2476" s="8"/>
      <c r="P2476" s="8"/>
      <c r="Q2476" s="8" t="s">
        <v>150</v>
      </c>
      <c r="R2476" s="8"/>
      <c r="S2476" s="8" t="s">
        <v>71</v>
      </c>
      <c r="T2476" s="8" t="s">
        <v>13491</v>
      </c>
      <c r="U2476" s="8" t="s">
        <v>150</v>
      </c>
      <c r="V2476" s="8" t="s">
        <v>13491</v>
      </c>
      <c r="W2476" s="8" t="s">
        <v>13491</v>
      </c>
      <c r="X2476" s="8">
        <v>12</v>
      </c>
      <c r="Y2476" s="8" t="s">
        <v>12359</v>
      </c>
      <c r="Z2476" s="8">
        <v>20</v>
      </c>
      <c r="AA2476" s="8">
        <v>0</v>
      </c>
      <c r="AB2476" s="9">
        <v>0</v>
      </c>
    </row>
    <row r="2477" spans="1:28" x14ac:dyDescent="0.2">
      <c r="A2477" s="10">
        <v>24951</v>
      </c>
      <c r="B2477" s="11" t="s">
        <v>16213</v>
      </c>
      <c r="C2477" s="11" t="s">
        <v>1982</v>
      </c>
      <c r="D2477" s="11" t="s">
        <v>1983</v>
      </c>
      <c r="E2477" s="11" t="s">
        <v>16214</v>
      </c>
      <c r="F2477" s="11" t="s">
        <v>1985</v>
      </c>
      <c r="G2477" s="11" t="s">
        <v>428</v>
      </c>
      <c r="H2477" s="11" t="s">
        <v>329</v>
      </c>
      <c r="I2477" s="11" t="s">
        <v>1986</v>
      </c>
      <c r="J2477" s="11" t="s">
        <v>1987</v>
      </c>
      <c r="K2477" s="11" t="s">
        <v>431</v>
      </c>
      <c r="L2477" s="11" t="s">
        <v>333</v>
      </c>
      <c r="M2477" s="11" t="s">
        <v>16215</v>
      </c>
      <c r="N2477" s="11" t="s">
        <v>128</v>
      </c>
      <c r="O2477" s="11" t="s">
        <v>16216</v>
      </c>
      <c r="P2477" s="11" t="s">
        <v>11973</v>
      </c>
      <c r="Q2477" s="11" t="s">
        <v>150</v>
      </c>
      <c r="R2477" s="11"/>
      <c r="S2477" s="11" t="s">
        <v>1991</v>
      </c>
      <c r="T2477" s="11" t="s">
        <v>1738</v>
      </c>
      <c r="U2477" s="11" t="s">
        <v>150</v>
      </c>
      <c r="V2477" s="11" t="s">
        <v>1738</v>
      </c>
      <c r="W2477" s="11" t="s">
        <v>1738</v>
      </c>
      <c r="X2477" s="11">
        <v>12</v>
      </c>
      <c r="Y2477" s="11" t="s">
        <v>12359</v>
      </c>
      <c r="Z2477" s="11">
        <v>20</v>
      </c>
      <c r="AA2477" s="11">
        <v>0</v>
      </c>
      <c r="AB2477" s="12">
        <v>0</v>
      </c>
    </row>
    <row r="2478" spans="1:28" x14ac:dyDescent="0.2">
      <c r="A2478" s="7">
        <v>24959</v>
      </c>
      <c r="B2478" s="8" t="s">
        <v>16217</v>
      </c>
      <c r="C2478" s="8" t="s">
        <v>2481</v>
      </c>
      <c r="D2478" s="8" t="s">
        <v>10578</v>
      </c>
      <c r="E2478" s="8"/>
      <c r="F2478" s="8" t="s">
        <v>353</v>
      </c>
      <c r="G2478" s="8" t="s">
        <v>615</v>
      </c>
      <c r="H2478" s="8" t="s">
        <v>616</v>
      </c>
      <c r="I2478" s="8" t="s">
        <v>15548</v>
      </c>
      <c r="J2478" s="8" t="s">
        <v>16218</v>
      </c>
      <c r="K2478" s="8" t="s">
        <v>619</v>
      </c>
      <c r="L2478" s="8" t="s">
        <v>163</v>
      </c>
      <c r="M2478" s="8" t="s">
        <v>16219</v>
      </c>
      <c r="N2478" s="8" t="s">
        <v>128</v>
      </c>
      <c r="O2478" s="8" t="s">
        <v>16220</v>
      </c>
      <c r="P2478" s="8" t="s">
        <v>1022</v>
      </c>
      <c r="Q2478" s="8" t="s">
        <v>150</v>
      </c>
      <c r="R2478" s="8"/>
      <c r="S2478" s="8" t="s">
        <v>71</v>
      </c>
      <c r="T2478" s="8" t="s">
        <v>1738</v>
      </c>
      <c r="U2478" s="8" t="s">
        <v>150</v>
      </c>
      <c r="V2478" s="8" t="s">
        <v>1738</v>
      </c>
      <c r="W2478" s="8" t="s">
        <v>1738</v>
      </c>
      <c r="X2478" s="8">
        <v>12</v>
      </c>
      <c r="Y2478" s="8" t="s">
        <v>12359</v>
      </c>
      <c r="Z2478" s="8">
        <v>20</v>
      </c>
      <c r="AA2478" s="8">
        <v>0</v>
      </c>
      <c r="AB2478" s="9">
        <v>0</v>
      </c>
    </row>
    <row r="2479" spans="1:28" x14ac:dyDescent="0.2">
      <c r="A2479" s="10">
        <v>24983</v>
      </c>
      <c r="B2479" s="11" t="s">
        <v>16221</v>
      </c>
      <c r="C2479" s="11" t="s">
        <v>426</v>
      </c>
      <c r="D2479" s="11" t="s">
        <v>9975</v>
      </c>
      <c r="E2479" s="11"/>
      <c r="F2479" s="11" t="s">
        <v>16222</v>
      </c>
      <c r="G2479" s="11" t="s">
        <v>428</v>
      </c>
      <c r="H2479" s="11" t="s">
        <v>329</v>
      </c>
      <c r="I2479" s="11" t="s">
        <v>429</v>
      </c>
      <c r="J2479" s="11" t="s">
        <v>16223</v>
      </c>
      <c r="K2479" s="11" t="s">
        <v>431</v>
      </c>
      <c r="L2479" s="11" t="s">
        <v>333</v>
      </c>
      <c r="M2479" s="11" t="s">
        <v>16224</v>
      </c>
      <c r="N2479" s="11" t="s">
        <v>128</v>
      </c>
      <c r="O2479" s="11" t="s">
        <v>16225</v>
      </c>
      <c r="P2479" s="11" t="s">
        <v>16226</v>
      </c>
      <c r="Q2479" s="11" t="s">
        <v>150</v>
      </c>
      <c r="R2479" s="11"/>
      <c r="S2479" s="11" t="s">
        <v>71</v>
      </c>
      <c r="T2479" s="11" t="s">
        <v>1738</v>
      </c>
      <c r="U2479" s="11" t="s">
        <v>150</v>
      </c>
      <c r="V2479" s="11" t="s">
        <v>1738</v>
      </c>
      <c r="W2479" s="11" t="s">
        <v>1738</v>
      </c>
      <c r="X2479" s="11">
        <v>12</v>
      </c>
      <c r="Y2479" s="11" t="s">
        <v>12359</v>
      </c>
      <c r="Z2479" s="11">
        <v>20</v>
      </c>
      <c r="AA2479" s="11">
        <v>0</v>
      </c>
      <c r="AB2479" s="12">
        <v>0</v>
      </c>
    </row>
    <row r="2480" spans="1:28" x14ac:dyDescent="0.2">
      <c r="A2480" s="7">
        <v>30508</v>
      </c>
      <c r="B2480" s="8" t="s">
        <v>16227</v>
      </c>
      <c r="C2480" s="8" t="s">
        <v>3482</v>
      </c>
      <c r="D2480" s="8" t="s">
        <v>2690</v>
      </c>
      <c r="E2480" s="8"/>
      <c r="F2480" s="8" t="s">
        <v>7731</v>
      </c>
      <c r="G2480" s="8" t="s">
        <v>3484</v>
      </c>
      <c r="H2480" s="8" t="s">
        <v>671</v>
      </c>
      <c r="I2480" s="8" t="s">
        <v>3485</v>
      </c>
      <c r="J2480" s="8" t="s">
        <v>3486</v>
      </c>
      <c r="K2480" s="8" t="s">
        <v>572</v>
      </c>
      <c r="L2480" s="8" t="s">
        <v>333</v>
      </c>
      <c r="M2480" s="8" t="s">
        <v>16228</v>
      </c>
      <c r="N2480" s="8" t="s">
        <v>128</v>
      </c>
      <c r="O2480" s="8" t="s">
        <v>16229</v>
      </c>
      <c r="P2480" s="8" t="s">
        <v>16230</v>
      </c>
      <c r="Q2480" s="8" t="s">
        <v>150</v>
      </c>
      <c r="R2480" s="8"/>
      <c r="S2480" s="8" t="s">
        <v>3489</v>
      </c>
      <c r="T2480" s="8" t="s">
        <v>1738</v>
      </c>
      <c r="U2480" s="8" t="s">
        <v>150</v>
      </c>
      <c r="V2480" s="8" t="s">
        <v>1738</v>
      </c>
      <c r="W2480" s="8" t="s">
        <v>1738</v>
      </c>
      <c r="X2480" s="8">
        <v>12</v>
      </c>
      <c r="Y2480" s="8" t="s">
        <v>12359</v>
      </c>
      <c r="Z2480" s="8">
        <v>20</v>
      </c>
      <c r="AA2480" s="8">
        <v>0</v>
      </c>
      <c r="AB2480" s="9">
        <v>0</v>
      </c>
    </row>
    <row r="2481" spans="1:28" x14ac:dyDescent="0.2">
      <c r="A2481" s="10">
        <v>22675</v>
      </c>
      <c r="B2481" s="11" t="s">
        <v>16231</v>
      </c>
      <c r="C2481" s="11" t="s">
        <v>3862</v>
      </c>
      <c r="D2481" s="11" t="s">
        <v>3863</v>
      </c>
      <c r="E2481" s="11" t="s">
        <v>16232</v>
      </c>
      <c r="F2481" s="11" t="s">
        <v>3865</v>
      </c>
      <c r="G2481" s="11" t="s">
        <v>3612</v>
      </c>
      <c r="H2481" s="11" t="s">
        <v>704</v>
      </c>
      <c r="I2481" s="11" t="s">
        <v>3866</v>
      </c>
      <c r="J2481" s="11" t="s">
        <v>16233</v>
      </c>
      <c r="K2481" s="11" t="s">
        <v>707</v>
      </c>
      <c r="L2481" s="11" t="s">
        <v>126</v>
      </c>
      <c r="M2481" s="11" t="s">
        <v>16234</v>
      </c>
      <c r="N2481" s="11" t="s">
        <v>128</v>
      </c>
      <c r="O2481" s="11" t="s">
        <v>16235</v>
      </c>
      <c r="P2481" s="11"/>
      <c r="Q2481" s="11" t="s">
        <v>740</v>
      </c>
      <c r="R2481" s="11"/>
      <c r="S2481" s="11" t="s">
        <v>3871</v>
      </c>
      <c r="T2481" s="11" t="s">
        <v>1745</v>
      </c>
      <c r="U2481" s="11" t="s">
        <v>134</v>
      </c>
      <c r="V2481" s="11" t="s">
        <v>740</v>
      </c>
      <c r="W2481" s="11" t="s">
        <v>1745</v>
      </c>
      <c r="X2481" s="11">
        <v>12</v>
      </c>
      <c r="Y2481" s="11" t="s">
        <v>12359</v>
      </c>
      <c r="Z2481" s="11">
        <v>20</v>
      </c>
      <c r="AA2481" s="11">
        <v>0</v>
      </c>
      <c r="AB2481" s="12">
        <v>0</v>
      </c>
    </row>
    <row r="2482" spans="1:28" x14ac:dyDescent="0.2">
      <c r="A2482" s="7">
        <v>240269</v>
      </c>
      <c r="B2482" s="8" t="s">
        <v>16236</v>
      </c>
      <c r="C2482" s="8" t="s">
        <v>16237</v>
      </c>
      <c r="D2482" s="8" t="s">
        <v>10816</v>
      </c>
      <c r="E2482" s="8" t="s">
        <v>16238</v>
      </c>
      <c r="F2482" s="8" t="s">
        <v>16239</v>
      </c>
      <c r="G2482" s="8" t="s">
        <v>7653</v>
      </c>
      <c r="H2482" s="8" t="s">
        <v>142</v>
      </c>
      <c r="I2482" s="8" t="s">
        <v>16240</v>
      </c>
      <c r="J2482" s="8" t="s">
        <v>16241</v>
      </c>
      <c r="K2482" s="8" t="s">
        <v>717</v>
      </c>
      <c r="L2482" s="8" t="s">
        <v>464</v>
      </c>
      <c r="M2482" s="8" t="s">
        <v>16242</v>
      </c>
      <c r="N2482" s="8" t="s">
        <v>128</v>
      </c>
      <c r="O2482" s="8" t="s">
        <v>16243</v>
      </c>
      <c r="P2482" s="8"/>
      <c r="Q2482" s="8" t="s">
        <v>740</v>
      </c>
      <c r="R2482" s="8"/>
      <c r="S2482" s="8" t="s">
        <v>16244</v>
      </c>
      <c r="T2482" s="8" t="s">
        <v>1745</v>
      </c>
      <c r="U2482" s="8" t="s">
        <v>134</v>
      </c>
      <c r="V2482" s="8" t="s">
        <v>740</v>
      </c>
      <c r="W2482" s="8" t="s">
        <v>1745</v>
      </c>
      <c r="X2482" s="8">
        <v>12</v>
      </c>
      <c r="Y2482" s="8" t="s">
        <v>12359</v>
      </c>
      <c r="Z2482" s="8">
        <v>20</v>
      </c>
      <c r="AA2482" s="8">
        <v>0</v>
      </c>
      <c r="AB2482" s="9">
        <v>0</v>
      </c>
    </row>
    <row r="2483" spans="1:28" x14ac:dyDescent="0.2">
      <c r="A2483" s="10">
        <v>25262</v>
      </c>
      <c r="B2483" s="11" t="s">
        <v>16245</v>
      </c>
      <c r="C2483" s="11" t="s">
        <v>13437</v>
      </c>
      <c r="D2483" s="11" t="s">
        <v>9100</v>
      </c>
      <c r="E2483" s="11" t="s">
        <v>281</v>
      </c>
      <c r="F2483" s="11" t="s">
        <v>353</v>
      </c>
      <c r="G2483" s="11" t="s">
        <v>7116</v>
      </c>
      <c r="H2483" s="11" t="s">
        <v>142</v>
      </c>
      <c r="I2483" s="11" t="s">
        <v>13438</v>
      </c>
      <c r="J2483" s="11" t="s">
        <v>13439</v>
      </c>
      <c r="K2483" s="11" t="s">
        <v>1199</v>
      </c>
      <c r="L2483" s="11" t="s">
        <v>464</v>
      </c>
      <c r="M2483" s="11" t="s">
        <v>16246</v>
      </c>
      <c r="N2483" s="11" t="s">
        <v>128</v>
      </c>
      <c r="O2483" s="11" t="s">
        <v>16247</v>
      </c>
      <c r="P2483" s="11" t="s">
        <v>16248</v>
      </c>
      <c r="Q2483" s="11" t="s">
        <v>740</v>
      </c>
      <c r="R2483" s="11"/>
      <c r="S2483" s="11" t="s">
        <v>13442</v>
      </c>
      <c r="T2483" s="11" t="s">
        <v>1745</v>
      </c>
      <c r="U2483" s="11" t="s">
        <v>134</v>
      </c>
      <c r="V2483" s="11" t="s">
        <v>740</v>
      </c>
      <c r="W2483" s="11" t="s">
        <v>1745</v>
      </c>
      <c r="X2483" s="11">
        <v>12</v>
      </c>
      <c r="Y2483" s="11" t="s">
        <v>12359</v>
      </c>
      <c r="Z2483" s="11">
        <v>20</v>
      </c>
      <c r="AA2483" s="11">
        <v>0</v>
      </c>
      <c r="AB2483" s="12">
        <v>0</v>
      </c>
    </row>
    <row r="2484" spans="1:28" x14ac:dyDescent="0.2">
      <c r="A2484" s="7">
        <v>29030</v>
      </c>
      <c r="B2484" s="8" t="s">
        <v>16249</v>
      </c>
      <c r="C2484" s="8" t="s">
        <v>15718</v>
      </c>
      <c r="D2484" s="8" t="s">
        <v>9608</v>
      </c>
      <c r="E2484" s="8" t="s">
        <v>16250</v>
      </c>
      <c r="F2484" s="8" t="s">
        <v>15720</v>
      </c>
      <c r="G2484" s="8" t="s">
        <v>6565</v>
      </c>
      <c r="H2484" s="8" t="s">
        <v>142</v>
      </c>
      <c r="I2484" s="8" t="s">
        <v>15721</v>
      </c>
      <c r="J2484" s="8" t="s">
        <v>15722</v>
      </c>
      <c r="K2484" s="8" t="s">
        <v>1673</v>
      </c>
      <c r="L2484" s="8" t="s">
        <v>464</v>
      </c>
      <c r="M2484" s="8" t="s">
        <v>16251</v>
      </c>
      <c r="N2484" s="8" t="s">
        <v>128</v>
      </c>
      <c r="O2484" s="8" t="s">
        <v>16252</v>
      </c>
      <c r="P2484" s="8" t="s">
        <v>16253</v>
      </c>
      <c r="Q2484" s="8" t="s">
        <v>740</v>
      </c>
      <c r="R2484" s="8"/>
      <c r="S2484" s="8" t="s">
        <v>15725</v>
      </c>
      <c r="T2484" s="8" t="s">
        <v>1745</v>
      </c>
      <c r="U2484" s="8" t="s">
        <v>134</v>
      </c>
      <c r="V2484" s="8" t="s">
        <v>740</v>
      </c>
      <c r="W2484" s="8" t="s">
        <v>1745</v>
      </c>
      <c r="X2484" s="8">
        <v>12</v>
      </c>
      <c r="Y2484" s="8" t="s">
        <v>12359</v>
      </c>
      <c r="Z2484" s="8">
        <v>20</v>
      </c>
      <c r="AA2484" s="8">
        <v>0</v>
      </c>
      <c r="AB2484" s="9">
        <v>0</v>
      </c>
    </row>
    <row r="2485" spans="1:28" x14ac:dyDescent="0.2">
      <c r="A2485" s="10">
        <v>105909</v>
      </c>
      <c r="B2485" s="11" t="s">
        <v>16254</v>
      </c>
      <c r="C2485" s="11" t="s">
        <v>16255</v>
      </c>
      <c r="D2485" s="11" t="s">
        <v>16256</v>
      </c>
      <c r="E2485" s="11" t="s">
        <v>16257</v>
      </c>
      <c r="F2485" s="11" t="s">
        <v>14013</v>
      </c>
      <c r="G2485" s="11" t="s">
        <v>15730</v>
      </c>
      <c r="H2485" s="11" t="s">
        <v>142</v>
      </c>
      <c r="I2485" s="11" t="s">
        <v>15731</v>
      </c>
      <c r="J2485" s="11" t="s">
        <v>15732</v>
      </c>
      <c r="K2485" s="11" t="s">
        <v>1029</v>
      </c>
      <c r="L2485" s="11" t="s">
        <v>464</v>
      </c>
      <c r="M2485" s="11" t="s">
        <v>16258</v>
      </c>
      <c r="N2485" s="11" t="s">
        <v>128</v>
      </c>
      <c r="O2485" s="11" t="s">
        <v>16259</v>
      </c>
      <c r="P2485" s="11" t="s">
        <v>16260</v>
      </c>
      <c r="Q2485" s="11" t="s">
        <v>740</v>
      </c>
      <c r="R2485" s="11"/>
      <c r="S2485" s="11" t="s">
        <v>15735</v>
      </c>
      <c r="T2485" s="11" t="s">
        <v>1745</v>
      </c>
      <c r="U2485" s="11" t="s">
        <v>134</v>
      </c>
      <c r="V2485" s="11" t="s">
        <v>740</v>
      </c>
      <c r="W2485" s="11" t="s">
        <v>1745</v>
      </c>
      <c r="X2485" s="11">
        <v>12</v>
      </c>
      <c r="Y2485" s="11" t="s">
        <v>12359</v>
      </c>
      <c r="Z2485" s="11">
        <v>20</v>
      </c>
      <c r="AA2485" s="11">
        <v>0</v>
      </c>
      <c r="AB2485" s="12">
        <v>0</v>
      </c>
    </row>
    <row r="2486" spans="1:28" x14ac:dyDescent="0.2">
      <c r="A2486" s="7">
        <v>106144</v>
      </c>
      <c r="B2486" s="8" t="s">
        <v>16261</v>
      </c>
      <c r="C2486" s="8" t="s">
        <v>1214</v>
      </c>
      <c r="D2486" s="8" t="s">
        <v>1215</v>
      </c>
      <c r="E2486" s="8"/>
      <c r="F2486" s="8" t="s">
        <v>353</v>
      </c>
      <c r="G2486" s="8" t="s">
        <v>536</v>
      </c>
      <c r="H2486" s="8" t="s">
        <v>329</v>
      </c>
      <c r="I2486" s="8" t="s">
        <v>16262</v>
      </c>
      <c r="J2486" s="8" t="s">
        <v>1217</v>
      </c>
      <c r="K2486" s="8" t="s">
        <v>431</v>
      </c>
      <c r="L2486" s="8" t="s">
        <v>333</v>
      </c>
      <c r="M2486" s="8" t="s">
        <v>16263</v>
      </c>
      <c r="N2486" s="8" t="s">
        <v>128</v>
      </c>
      <c r="O2486" s="8" t="s">
        <v>16264</v>
      </c>
      <c r="P2486" s="8" t="s">
        <v>16265</v>
      </c>
      <c r="Q2486" s="8" t="s">
        <v>740</v>
      </c>
      <c r="R2486" s="8"/>
      <c r="S2486" s="8" t="s">
        <v>1221</v>
      </c>
      <c r="T2486" s="8" t="s">
        <v>1745</v>
      </c>
      <c r="U2486" s="8" t="s">
        <v>134</v>
      </c>
      <c r="V2486" s="8" t="s">
        <v>740</v>
      </c>
      <c r="W2486" s="8" t="s">
        <v>1745</v>
      </c>
      <c r="X2486" s="8">
        <v>12</v>
      </c>
      <c r="Y2486" s="8" t="s">
        <v>12359</v>
      </c>
      <c r="Z2486" s="8">
        <v>20</v>
      </c>
      <c r="AA2486" s="8">
        <v>0</v>
      </c>
      <c r="AB2486" s="9">
        <v>0</v>
      </c>
    </row>
    <row r="2487" spans="1:28" x14ac:dyDescent="0.2">
      <c r="A2487" s="10">
        <v>106321</v>
      </c>
      <c r="B2487" s="11" t="s">
        <v>16266</v>
      </c>
      <c r="C2487" s="11" t="s">
        <v>10028</v>
      </c>
      <c r="D2487" s="11" t="s">
        <v>774</v>
      </c>
      <c r="E2487" s="11"/>
      <c r="F2487" s="11" t="s">
        <v>10029</v>
      </c>
      <c r="G2487" s="11" t="s">
        <v>3189</v>
      </c>
      <c r="H2487" s="11" t="s">
        <v>142</v>
      </c>
      <c r="I2487" s="11" t="s">
        <v>10030</v>
      </c>
      <c r="J2487" s="11" t="s">
        <v>10031</v>
      </c>
      <c r="K2487" s="11" t="s">
        <v>472</v>
      </c>
      <c r="L2487" s="11" t="s">
        <v>146</v>
      </c>
      <c r="M2487" s="11" t="s">
        <v>16267</v>
      </c>
      <c r="N2487" s="11" t="s">
        <v>128</v>
      </c>
      <c r="O2487" s="11" t="s">
        <v>16268</v>
      </c>
      <c r="P2487" s="11"/>
      <c r="Q2487" s="11" t="s">
        <v>740</v>
      </c>
      <c r="R2487" s="11"/>
      <c r="S2487" s="11" t="s">
        <v>10035</v>
      </c>
      <c r="T2487" s="11" t="s">
        <v>1745</v>
      </c>
      <c r="U2487" s="11" t="s">
        <v>134</v>
      </c>
      <c r="V2487" s="11" t="s">
        <v>740</v>
      </c>
      <c r="W2487" s="11" t="s">
        <v>1745</v>
      </c>
      <c r="X2487" s="11">
        <v>12</v>
      </c>
      <c r="Y2487" s="11" t="s">
        <v>12359</v>
      </c>
      <c r="Z2487" s="11">
        <v>20</v>
      </c>
      <c r="AA2487" s="11">
        <v>0</v>
      </c>
      <c r="AB2487" s="12">
        <v>0</v>
      </c>
    </row>
    <row r="2488" spans="1:28" x14ac:dyDescent="0.2">
      <c r="A2488" s="7">
        <v>159999</v>
      </c>
      <c r="B2488" s="8" t="s">
        <v>16269</v>
      </c>
      <c r="C2488" s="8" t="s">
        <v>10989</v>
      </c>
      <c r="D2488" s="8" t="s">
        <v>2191</v>
      </c>
      <c r="E2488" s="8"/>
      <c r="F2488" s="8" t="s">
        <v>353</v>
      </c>
      <c r="G2488" s="8" t="s">
        <v>1325</v>
      </c>
      <c r="H2488" s="8" t="s">
        <v>142</v>
      </c>
      <c r="I2488" s="8" t="s">
        <v>16270</v>
      </c>
      <c r="J2488" s="8" t="s">
        <v>16271</v>
      </c>
      <c r="K2488" s="8" t="s">
        <v>974</v>
      </c>
      <c r="L2488" s="8" t="s">
        <v>146</v>
      </c>
      <c r="M2488" s="8" t="s">
        <v>16272</v>
      </c>
      <c r="N2488" s="8" t="s">
        <v>128</v>
      </c>
      <c r="O2488" s="8" t="s">
        <v>16273</v>
      </c>
      <c r="P2488" s="8"/>
      <c r="Q2488" s="8" t="s">
        <v>740</v>
      </c>
      <c r="R2488" s="8"/>
      <c r="S2488" s="8" t="s">
        <v>71</v>
      </c>
      <c r="T2488" s="8" t="s">
        <v>1745</v>
      </c>
      <c r="U2488" s="8" t="s">
        <v>134</v>
      </c>
      <c r="V2488" s="8" t="s">
        <v>740</v>
      </c>
      <c r="W2488" s="8" t="s">
        <v>1745</v>
      </c>
      <c r="X2488" s="8">
        <v>12</v>
      </c>
      <c r="Y2488" s="8" t="s">
        <v>12359</v>
      </c>
      <c r="Z2488" s="8">
        <v>20</v>
      </c>
      <c r="AA2488" s="8">
        <v>0</v>
      </c>
      <c r="AB2488" s="9">
        <v>0</v>
      </c>
    </row>
    <row r="2489" spans="1:28" x14ac:dyDescent="0.2">
      <c r="A2489" s="10">
        <v>85250</v>
      </c>
      <c r="B2489" s="11" t="s">
        <v>16274</v>
      </c>
      <c r="C2489" s="11" t="s">
        <v>2042</v>
      </c>
      <c r="D2489" s="11" t="s">
        <v>6515</v>
      </c>
      <c r="E2489" s="11"/>
      <c r="F2489" s="11" t="s">
        <v>6430</v>
      </c>
      <c r="G2489" s="11" t="s">
        <v>16275</v>
      </c>
      <c r="H2489" s="11" t="s">
        <v>142</v>
      </c>
      <c r="I2489" s="11" t="s">
        <v>2045</v>
      </c>
      <c r="J2489" s="11" t="s">
        <v>16276</v>
      </c>
      <c r="K2489" s="11" t="s">
        <v>1029</v>
      </c>
      <c r="L2489" s="11" t="s">
        <v>464</v>
      </c>
      <c r="M2489" s="11" t="s">
        <v>16277</v>
      </c>
      <c r="N2489" s="11" t="s">
        <v>128</v>
      </c>
      <c r="O2489" s="11" t="s">
        <v>16278</v>
      </c>
      <c r="P2489" s="11"/>
      <c r="Q2489" s="11" t="s">
        <v>740</v>
      </c>
      <c r="R2489" s="11"/>
      <c r="S2489" s="11" t="s">
        <v>71</v>
      </c>
      <c r="T2489" s="11" t="s">
        <v>1745</v>
      </c>
      <c r="U2489" s="11" t="s">
        <v>134</v>
      </c>
      <c r="V2489" s="11" t="s">
        <v>740</v>
      </c>
      <c r="W2489" s="11" t="s">
        <v>1745</v>
      </c>
      <c r="X2489" s="11">
        <v>12</v>
      </c>
      <c r="Y2489" s="11" t="s">
        <v>12359</v>
      </c>
      <c r="Z2489" s="11">
        <v>20</v>
      </c>
      <c r="AA2489" s="11">
        <v>0</v>
      </c>
      <c r="AB2489" s="12">
        <v>0</v>
      </c>
    </row>
    <row r="2490" spans="1:28" x14ac:dyDescent="0.2">
      <c r="A2490" s="7">
        <v>25187</v>
      </c>
      <c r="B2490" s="8" t="s">
        <v>16279</v>
      </c>
      <c r="C2490" s="8" t="s">
        <v>8955</v>
      </c>
      <c r="D2490" s="8" t="s">
        <v>8956</v>
      </c>
      <c r="E2490" s="8" t="s">
        <v>16280</v>
      </c>
      <c r="F2490" s="8" t="s">
        <v>8958</v>
      </c>
      <c r="G2490" s="8" t="s">
        <v>8614</v>
      </c>
      <c r="H2490" s="8" t="s">
        <v>142</v>
      </c>
      <c r="I2490" s="8" t="s">
        <v>8959</v>
      </c>
      <c r="J2490" s="8" t="s">
        <v>8960</v>
      </c>
      <c r="K2490" s="8" t="s">
        <v>1199</v>
      </c>
      <c r="L2490" s="8" t="s">
        <v>464</v>
      </c>
      <c r="M2490" s="8" t="s">
        <v>16281</v>
      </c>
      <c r="N2490" s="8" t="s">
        <v>128</v>
      </c>
      <c r="O2490" s="8" t="s">
        <v>16282</v>
      </c>
      <c r="P2490" s="8" t="s">
        <v>16283</v>
      </c>
      <c r="Q2490" s="8" t="s">
        <v>740</v>
      </c>
      <c r="R2490" s="8"/>
      <c r="S2490" s="8" t="s">
        <v>8964</v>
      </c>
      <c r="T2490" s="8" t="s">
        <v>741</v>
      </c>
      <c r="U2490" s="8" t="s">
        <v>134</v>
      </c>
      <c r="V2490" s="8" t="s">
        <v>740</v>
      </c>
      <c r="W2490" s="8" t="s">
        <v>741</v>
      </c>
      <c r="X2490" s="8">
        <v>12</v>
      </c>
      <c r="Y2490" s="8" t="s">
        <v>12359</v>
      </c>
      <c r="Z2490" s="8">
        <v>20</v>
      </c>
      <c r="AA2490" s="8">
        <v>0</v>
      </c>
      <c r="AB2490" s="9">
        <v>0</v>
      </c>
    </row>
    <row r="2491" spans="1:28" x14ac:dyDescent="0.2">
      <c r="A2491" s="10">
        <v>22135</v>
      </c>
      <c r="B2491" s="11" t="s">
        <v>16284</v>
      </c>
      <c r="C2491" s="11" t="s">
        <v>1214</v>
      </c>
      <c r="D2491" s="11" t="s">
        <v>1215</v>
      </c>
      <c r="E2491" s="11" t="s">
        <v>281</v>
      </c>
      <c r="F2491" s="11" t="s">
        <v>353</v>
      </c>
      <c r="G2491" s="11" t="s">
        <v>536</v>
      </c>
      <c r="H2491" s="11" t="s">
        <v>329</v>
      </c>
      <c r="I2491" s="11" t="s">
        <v>1216</v>
      </c>
      <c r="J2491" s="11" t="s">
        <v>16285</v>
      </c>
      <c r="K2491" s="11" t="s">
        <v>431</v>
      </c>
      <c r="L2491" s="11" t="s">
        <v>333</v>
      </c>
      <c r="M2491" s="11" t="s">
        <v>16286</v>
      </c>
      <c r="N2491" s="11" t="s">
        <v>128</v>
      </c>
      <c r="O2491" s="11" t="s">
        <v>16287</v>
      </c>
      <c r="P2491" s="11"/>
      <c r="Q2491" s="11" t="s">
        <v>249</v>
      </c>
      <c r="R2491" s="11"/>
      <c r="S2491" s="11" t="s">
        <v>1221</v>
      </c>
      <c r="T2491" s="11" t="s">
        <v>1523</v>
      </c>
      <c r="U2491" s="11" t="s">
        <v>134</v>
      </c>
      <c r="V2491" s="11" t="s">
        <v>249</v>
      </c>
      <c r="W2491" s="11" t="s">
        <v>1523</v>
      </c>
      <c r="X2491" s="11">
        <v>12</v>
      </c>
      <c r="Y2491" s="11" t="s">
        <v>12359</v>
      </c>
      <c r="Z2491" s="11">
        <v>20</v>
      </c>
      <c r="AA2491" s="11">
        <v>0</v>
      </c>
      <c r="AB2491" s="12">
        <v>0</v>
      </c>
    </row>
    <row r="2492" spans="1:28" x14ac:dyDescent="0.2">
      <c r="A2492" s="7">
        <v>25391</v>
      </c>
      <c r="B2492" s="8" t="s">
        <v>16288</v>
      </c>
      <c r="C2492" s="8" t="s">
        <v>14315</v>
      </c>
      <c r="D2492" s="8" t="s">
        <v>14316</v>
      </c>
      <c r="E2492" s="8" t="s">
        <v>281</v>
      </c>
      <c r="F2492" s="8" t="s">
        <v>14318</v>
      </c>
      <c r="G2492" s="8" t="s">
        <v>7402</v>
      </c>
      <c r="H2492" s="8" t="s">
        <v>847</v>
      </c>
      <c r="I2492" s="8" t="s">
        <v>14319</v>
      </c>
      <c r="J2492" s="8" t="s">
        <v>16289</v>
      </c>
      <c r="K2492" s="8" t="s">
        <v>1091</v>
      </c>
      <c r="L2492" s="8" t="s">
        <v>126</v>
      </c>
      <c r="M2492" s="8" t="s">
        <v>16290</v>
      </c>
      <c r="N2492" s="8" t="s">
        <v>128</v>
      </c>
      <c r="O2492" s="8" t="s">
        <v>16291</v>
      </c>
      <c r="P2492" s="8"/>
      <c r="Q2492" s="8" t="s">
        <v>249</v>
      </c>
      <c r="R2492" s="8"/>
      <c r="S2492" s="8" t="s">
        <v>14323</v>
      </c>
      <c r="T2492" s="8" t="s">
        <v>1523</v>
      </c>
      <c r="U2492" s="8" t="s">
        <v>134</v>
      </c>
      <c r="V2492" s="8" t="s">
        <v>249</v>
      </c>
      <c r="W2492" s="8" t="s">
        <v>1523</v>
      </c>
      <c r="X2492" s="8">
        <v>12</v>
      </c>
      <c r="Y2492" s="8" t="s">
        <v>12359</v>
      </c>
      <c r="Z2492" s="8">
        <v>20</v>
      </c>
      <c r="AA2492" s="8">
        <v>0</v>
      </c>
      <c r="AB2492" s="9">
        <v>0</v>
      </c>
    </row>
    <row r="2493" spans="1:28" x14ac:dyDescent="0.2">
      <c r="A2493" s="10">
        <v>22165</v>
      </c>
      <c r="B2493" s="11" t="s">
        <v>16292</v>
      </c>
      <c r="C2493" s="11" t="s">
        <v>11270</v>
      </c>
      <c r="D2493" s="11" t="s">
        <v>10649</v>
      </c>
      <c r="E2493" s="11" t="s">
        <v>16293</v>
      </c>
      <c r="F2493" s="11" t="s">
        <v>11272</v>
      </c>
      <c r="G2493" s="11" t="s">
        <v>141</v>
      </c>
      <c r="H2493" s="11" t="s">
        <v>142</v>
      </c>
      <c r="I2493" s="11" t="s">
        <v>11273</v>
      </c>
      <c r="J2493" s="11" t="s">
        <v>11274</v>
      </c>
      <c r="K2493" s="11" t="s">
        <v>991</v>
      </c>
      <c r="L2493" s="11" t="s">
        <v>146</v>
      </c>
      <c r="M2493" s="11" t="s">
        <v>16294</v>
      </c>
      <c r="N2493" s="11" t="s">
        <v>128</v>
      </c>
      <c r="O2493" s="11" t="s">
        <v>16295</v>
      </c>
      <c r="P2493" s="11"/>
      <c r="Q2493" s="11" t="s">
        <v>249</v>
      </c>
      <c r="R2493" s="11"/>
      <c r="S2493" s="11" t="s">
        <v>11278</v>
      </c>
      <c r="T2493" s="11" t="s">
        <v>1523</v>
      </c>
      <c r="U2493" s="11" t="s">
        <v>134</v>
      </c>
      <c r="V2493" s="11" t="s">
        <v>249</v>
      </c>
      <c r="W2493" s="11" t="s">
        <v>1523</v>
      </c>
      <c r="X2493" s="11">
        <v>12</v>
      </c>
      <c r="Y2493" s="11" t="s">
        <v>12359</v>
      </c>
      <c r="Z2493" s="11">
        <v>20</v>
      </c>
      <c r="AA2493" s="11">
        <v>0</v>
      </c>
      <c r="AB2493" s="12">
        <v>0</v>
      </c>
    </row>
    <row r="2494" spans="1:28" x14ac:dyDescent="0.2">
      <c r="A2494" s="7">
        <v>119656</v>
      </c>
      <c r="B2494" s="8" t="s">
        <v>16296</v>
      </c>
      <c r="C2494" s="8" t="s">
        <v>2257</v>
      </c>
      <c r="D2494" s="8" t="s">
        <v>11650</v>
      </c>
      <c r="E2494" s="8" t="s">
        <v>16297</v>
      </c>
      <c r="F2494" s="8" t="s">
        <v>2259</v>
      </c>
      <c r="G2494" s="8" t="s">
        <v>521</v>
      </c>
      <c r="H2494" s="8" t="s">
        <v>522</v>
      </c>
      <c r="I2494" s="8" t="s">
        <v>11652</v>
      </c>
      <c r="J2494" s="8" t="s">
        <v>11653</v>
      </c>
      <c r="K2494" s="8" t="s">
        <v>525</v>
      </c>
      <c r="L2494" s="8" t="s">
        <v>526</v>
      </c>
      <c r="M2494" s="8" t="s">
        <v>16298</v>
      </c>
      <c r="N2494" s="8" t="s">
        <v>128</v>
      </c>
      <c r="O2494" s="8" t="s">
        <v>16299</v>
      </c>
      <c r="P2494" s="8"/>
      <c r="Q2494" s="8" t="s">
        <v>249</v>
      </c>
      <c r="R2494" s="8"/>
      <c r="S2494" s="8" t="s">
        <v>2265</v>
      </c>
      <c r="T2494" s="8" t="s">
        <v>1523</v>
      </c>
      <c r="U2494" s="8" t="s">
        <v>134</v>
      </c>
      <c r="V2494" s="8" t="s">
        <v>249</v>
      </c>
      <c r="W2494" s="8" t="s">
        <v>1523</v>
      </c>
      <c r="X2494" s="8">
        <v>12</v>
      </c>
      <c r="Y2494" s="8" t="s">
        <v>12359</v>
      </c>
      <c r="Z2494" s="8">
        <v>20</v>
      </c>
      <c r="AA2494" s="8">
        <v>0</v>
      </c>
      <c r="AB2494" s="9">
        <v>0</v>
      </c>
    </row>
    <row r="2495" spans="1:28" x14ac:dyDescent="0.2">
      <c r="A2495" s="10">
        <v>115867</v>
      </c>
      <c r="B2495" s="11" t="s">
        <v>16300</v>
      </c>
      <c r="C2495" s="11" t="s">
        <v>16255</v>
      </c>
      <c r="D2495" s="11" t="s">
        <v>16256</v>
      </c>
      <c r="E2495" s="11"/>
      <c r="F2495" s="11" t="s">
        <v>14013</v>
      </c>
      <c r="G2495" s="11" t="s">
        <v>4047</v>
      </c>
      <c r="H2495" s="11" t="s">
        <v>142</v>
      </c>
      <c r="I2495" s="11" t="s">
        <v>15731</v>
      </c>
      <c r="J2495" s="11" t="s">
        <v>15732</v>
      </c>
      <c r="K2495" s="11" t="s">
        <v>1029</v>
      </c>
      <c r="L2495" s="11" t="s">
        <v>464</v>
      </c>
      <c r="M2495" s="11" t="s">
        <v>16301</v>
      </c>
      <c r="N2495" s="11" t="s">
        <v>128</v>
      </c>
      <c r="O2495" s="11" t="s">
        <v>16302</v>
      </c>
      <c r="P2495" s="11"/>
      <c r="Q2495" s="11" t="s">
        <v>249</v>
      </c>
      <c r="R2495" s="11"/>
      <c r="S2495" s="11" t="s">
        <v>15735</v>
      </c>
      <c r="T2495" s="11" t="s">
        <v>1523</v>
      </c>
      <c r="U2495" s="11" t="s">
        <v>134</v>
      </c>
      <c r="V2495" s="11" t="s">
        <v>249</v>
      </c>
      <c r="W2495" s="11" t="s">
        <v>1523</v>
      </c>
      <c r="X2495" s="11">
        <v>12</v>
      </c>
      <c r="Y2495" s="11" t="s">
        <v>12359</v>
      </c>
      <c r="Z2495" s="11">
        <v>20</v>
      </c>
      <c r="AA2495" s="11">
        <v>0</v>
      </c>
      <c r="AB2495" s="12">
        <v>0</v>
      </c>
    </row>
    <row r="2496" spans="1:28" x14ac:dyDescent="0.2">
      <c r="A2496" s="7">
        <v>25416</v>
      </c>
      <c r="B2496" s="8" t="s">
        <v>16303</v>
      </c>
      <c r="C2496" s="8" t="s">
        <v>16304</v>
      </c>
      <c r="D2496" s="8" t="s">
        <v>16305</v>
      </c>
      <c r="E2496" s="8" t="s">
        <v>281</v>
      </c>
      <c r="F2496" s="8" t="s">
        <v>16306</v>
      </c>
      <c r="G2496" s="8" t="s">
        <v>141</v>
      </c>
      <c r="H2496" s="8" t="s">
        <v>142</v>
      </c>
      <c r="I2496" s="8" t="s">
        <v>16307</v>
      </c>
      <c r="J2496" s="8" t="s">
        <v>16308</v>
      </c>
      <c r="K2496" s="8" t="s">
        <v>216</v>
      </c>
      <c r="L2496" s="8" t="s">
        <v>146</v>
      </c>
      <c r="M2496" s="8" t="s">
        <v>16309</v>
      </c>
      <c r="N2496" s="8" t="s">
        <v>128</v>
      </c>
      <c r="O2496" s="8" t="s">
        <v>16310</v>
      </c>
      <c r="P2496" s="8" t="s">
        <v>16311</v>
      </c>
      <c r="Q2496" s="8" t="s">
        <v>249</v>
      </c>
      <c r="R2496" s="8"/>
      <c r="S2496" s="8" t="s">
        <v>71</v>
      </c>
      <c r="T2496" s="8" t="s">
        <v>250</v>
      </c>
      <c r="U2496" s="8" t="s">
        <v>134</v>
      </c>
      <c r="V2496" s="8" t="s">
        <v>249</v>
      </c>
      <c r="W2496" s="8" t="s">
        <v>250</v>
      </c>
      <c r="X2496" s="8">
        <v>12</v>
      </c>
      <c r="Y2496" s="8" t="s">
        <v>12359</v>
      </c>
      <c r="Z2496" s="8">
        <v>20</v>
      </c>
      <c r="AA2496" s="8">
        <v>0</v>
      </c>
      <c r="AB2496" s="9">
        <v>0</v>
      </c>
    </row>
    <row r="2497" spans="1:28" x14ac:dyDescent="0.2">
      <c r="A2497" s="10">
        <v>25580</v>
      </c>
      <c r="B2497" s="11" t="s">
        <v>16312</v>
      </c>
      <c r="C2497" s="11" t="s">
        <v>16313</v>
      </c>
      <c r="D2497" s="11" t="s">
        <v>138</v>
      </c>
      <c r="E2497" s="11" t="s">
        <v>16314</v>
      </c>
      <c r="F2497" s="11" t="s">
        <v>16089</v>
      </c>
      <c r="G2497" s="11" t="s">
        <v>224</v>
      </c>
      <c r="H2497" s="11" t="s">
        <v>225</v>
      </c>
      <c r="I2497" s="11" t="s">
        <v>16090</v>
      </c>
      <c r="J2497" s="11" t="s">
        <v>16091</v>
      </c>
      <c r="K2497" s="11" t="s">
        <v>228</v>
      </c>
      <c r="L2497" s="11" t="s">
        <v>229</v>
      </c>
      <c r="M2497" s="11" t="s">
        <v>16315</v>
      </c>
      <c r="N2497" s="11" t="s">
        <v>128</v>
      </c>
      <c r="O2497" s="11" t="s">
        <v>16316</v>
      </c>
      <c r="P2497" s="11" t="s">
        <v>16317</v>
      </c>
      <c r="Q2497" s="11" t="s">
        <v>249</v>
      </c>
      <c r="R2497" s="11"/>
      <c r="S2497" s="11" t="s">
        <v>16095</v>
      </c>
      <c r="T2497" s="11" t="s">
        <v>250</v>
      </c>
      <c r="U2497" s="11" t="s">
        <v>134</v>
      </c>
      <c r="V2497" s="11" t="s">
        <v>249</v>
      </c>
      <c r="W2497" s="11" t="s">
        <v>250</v>
      </c>
      <c r="X2497" s="11">
        <v>12</v>
      </c>
      <c r="Y2497" s="11" t="s">
        <v>12359</v>
      </c>
      <c r="Z2497" s="11">
        <v>20</v>
      </c>
      <c r="AA2497" s="11">
        <v>0</v>
      </c>
      <c r="AB2497" s="12">
        <v>0</v>
      </c>
    </row>
    <row r="2498" spans="1:28" x14ac:dyDescent="0.2">
      <c r="A2498" s="7">
        <v>218092</v>
      </c>
      <c r="B2498" s="8" t="s">
        <v>16318</v>
      </c>
      <c r="C2498" s="8" t="s">
        <v>668</v>
      </c>
      <c r="D2498" s="8" t="s">
        <v>16319</v>
      </c>
      <c r="E2498" s="8"/>
      <c r="F2498" s="8" t="s">
        <v>7644</v>
      </c>
      <c r="G2498" s="8" t="s">
        <v>670</v>
      </c>
      <c r="H2498" s="8" t="s">
        <v>671</v>
      </c>
      <c r="I2498" s="8" t="s">
        <v>672</v>
      </c>
      <c r="J2498" s="8" t="s">
        <v>16320</v>
      </c>
      <c r="K2498" s="8" t="s">
        <v>572</v>
      </c>
      <c r="L2498" s="8" t="s">
        <v>333</v>
      </c>
      <c r="M2498" s="8" t="s">
        <v>16321</v>
      </c>
      <c r="N2498" s="8" t="s">
        <v>128</v>
      </c>
      <c r="O2498" s="8" t="s">
        <v>16322</v>
      </c>
      <c r="P2498" s="8" t="s">
        <v>16323</v>
      </c>
      <c r="Q2498" s="8" t="s">
        <v>249</v>
      </c>
      <c r="R2498" s="8"/>
      <c r="S2498" s="8" t="s">
        <v>71</v>
      </c>
      <c r="T2498" s="8" t="s">
        <v>250</v>
      </c>
      <c r="U2498" s="8" t="s">
        <v>134</v>
      </c>
      <c r="V2498" s="8" t="s">
        <v>249</v>
      </c>
      <c r="W2498" s="8" t="s">
        <v>250</v>
      </c>
      <c r="X2498" s="8">
        <v>12</v>
      </c>
      <c r="Y2498" s="8" t="s">
        <v>12359</v>
      </c>
      <c r="Z2498" s="8">
        <v>20</v>
      </c>
      <c r="AA2498" s="8">
        <v>0</v>
      </c>
      <c r="AB2498" s="9">
        <v>0</v>
      </c>
    </row>
    <row r="2499" spans="1:28" x14ac:dyDescent="0.2">
      <c r="A2499" s="10">
        <v>31539</v>
      </c>
      <c r="B2499" s="11" t="s">
        <v>16324</v>
      </c>
      <c r="C2499" s="11" t="s">
        <v>9824</v>
      </c>
      <c r="D2499" s="11" t="s">
        <v>9825</v>
      </c>
      <c r="E2499" s="11"/>
      <c r="F2499" s="11" t="s">
        <v>9826</v>
      </c>
      <c r="G2499" s="11" t="s">
        <v>1852</v>
      </c>
      <c r="H2499" s="11" t="s">
        <v>671</v>
      </c>
      <c r="I2499" s="11" t="s">
        <v>9827</v>
      </c>
      <c r="J2499" s="11" t="s">
        <v>9828</v>
      </c>
      <c r="K2499" s="11" t="s">
        <v>572</v>
      </c>
      <c r="L2499" s="11" t="s">
        <v>333</v>
      </c>
      <c r="M2499" s="11" t="s">
        <v>16325</v>
      </c>
      <c r="N2499" s="11" t="s">
        <v>128</v>
      </c>
      <c r="O2499" s="11" t="s">
        <v>16326</v>
      </c>
      <c r="P2499" s="11" t="s">
        <v>16327</v>
      </c>
      <c r="Q2499" s="11" t="s">
        <v>249</v>
      </c>
      <c r="R2499" s="11"/>
      <c r="S2499" s="11" t="s">
        <v>9832</v>
      </c>
      <c r="T2499" s="11" t="s">
        <v>250</v>
      </c>
      <c r="U2499" s="11" t="s">
        <v>134</v>
      </c>
      <c r="V2499" s="11" t="s">
        <v>249</v>
      </c>
      <c r="W2499" s="11" t="s">
        <v>250</v>
      </c>
      <c r="X2499" s="11">
        <v>12</v>
      </c>
      <c r="Y2499" s="11" t="s">
        <v>12359</v>
      </c>
      <c r="Z2499" s="11">
        <v>20</v>
      </c>
      <c r="AA2499" s="11">
        <v>0</v>
      </c>
      <c r="AB2499" s="12">
        <v>0</v>
      </c>
    </row>
    <row r="2500" spans="1:28" x14ac:dyDescent="0.2">
      <c r="A2500" s="7">
        <v>21223</v>
      </c>
      <c r="B2500" s="8" t="s">
        <v>16328</v>
      </c>
      <c r="C2500" s="8" t="s">
        <v>5979</v>
      </c>
      <c r="D2500" s="8" t="s">
        <v>5139</v>
      </c>
      <c r="E2500" s="8"/>
      <c r="F2500" s="8" t="s">
        <v>1994</v>
      </c>
      <c r="G2500" s="8" t="s">
        <v>328</v>
      </c>
      <c r="H2500" s="8" t="s">
        <v>329</v>
      </c>
      <c r="I2500" s="8" t="s">
        <v>6092</v>
      </c>
      <c r="J2500" s="8" t="s">
        <v>5982</v>
      </c>
      <c r="K2500" s="8" t="s">
        <v>332</v>
      </c>
      <c r="L2500" s="8" t="s">
        <v>333</v>
      </c>
      <c r="M2500" s="8" t="s">
        <v>16329</v>
      </c>
      <c r="N2500" s="8" t="s">
        <v>128</v>
      </c>
      <c r="O2500" s="8" t="s">
        <v>16330</v>
      </c>
      <c r="P2500" s="8" t="s">
        <v>16331</v>
      </c>
      <c r="Q2500" s="8" t="s">
        <v>150</v>
      </c>
      <c r="R2500" s="8"/>
      <c r="S2500" s="8" t="s">
        <v>5986</v>
      </c>
      <c r="T2500" s="8" t="s">
        <v>642</v>
      </c>
      <c r="U2500" s="8" t="s">
        <v>150</v>
      </c>
      <c r="V2500" s="8" t="s">
        <v>642</v>
      </c>
      <c r="W2500" s="8" t="s">
        <v>642</v>
      </c>
      <c r="X2500" s="8">
        <v>11</v>
      </c>
      <c r="Y2500" s="8" t="s">
        <v>12359</v>
      </c>
      <c r="Z2500" s="8">
        <v>20</v>
      </c>
      <c r="AA2500" s="8">
        <v>0</v>
      </c>
      <c r="AB2500" s="9">
        <v>0</v>
      </c>
    </row>
    <row r="2501" spans="1:28" x14ac:dyDescent="0.2">
      <c r="A2501" s="10">
        <v>21517</v>
      </c>
      <c r="B2501" s="11" t="s">
        <v>16332</v>
      </c>
      <c r="C2501" s="11" t="s">
        <v>9653</v>
      </c>
      <c r="D2501" s="11" t="s">
        <v>2918</v>
      </c>
      <c r="E2501" s="11"/>
      <c r="F2501" s="11" t="s">
        <v>353</v>
      </c>
      <c r="G2501" s="11" t="s">
        <v>10244</v>
      </c>
      <c r="H2501" s="11" t="s">
        <v>142</v>
      </c>
      <c r="I2501" s="11" t="s">
        <v>11917</v>
      </c>
      <c r="J2501" s="11" t="s">
        <v>16333</v>
      </c>
      <c r="K2501" s="11" t="s">
        <v>779</v>
      </c>
      <c r="L2501" s="11" t="s">
        <v>464</v>
      </c>
      <c r="M2501" s="11" t="s">
        <v>16334</v>
      </c>
      <c r="N2501" s="11" t="s">
        <v>128</v>
      </c>
      <c r="O2501" s="11" t="s">
        <v>16335</v>
      </c>
      <c r="P2501" s="11" t="s">
        <v>16336</v>
      </c>
      <c r="Q2501" s="11" t="s">
        <v>150</v>
      </c>
      <c r="R2501" s="11"/>
      <c r="S2501" s="11" t="s">
        <v>71</v>
      </c>
      <c r="T2501" s="11" t="s">
        <v>67</v>
      </c>
      <c r="U2501" s="11" t="s">
        <v>150</v>
      </c>
      <c r="V2501" s="11" t="s">
        <v>152</v>
      </c>
      <c r="W2501" s="11" t="s">
        <v>67</v>
      </c>
      <c r="X2501" s="11">
        <v>11</v>
      </c>
      <c r="Y2501" s="11" t="s">
        <v>12359</v>
      </c>
      <c r="Z2501" s="11">
        <v>20</v>
      </c>
      <c r="AA2501" s="11">
        <v>0</v>
      </c>
      <c r="AB2501" s="12">
        <v>0</v>
      </c>
    </row>
    <row r="2502" spans="1:28" x14ac:dyDescent="0.2">
      <c r="A2502" s="7">
        <v>85190</v>
      </c>
      <c r="B2502" s="8" t="s">
        <v>16337</v>
      </c>
      <c r="C2502" s="8" t="s">
        <v>16338</v>
      </c>
      <c r="D2502" s="8" t="s">
        <v>12057</v>
      </c>
      <c r="E2502" s="8"/>
      <c r="F2502" s="8" t="s">
        <v>6430</v>
      </c>
      <c r="G2502" s="8" t="s">
        <v>16339</v>
      </c>
      <c r="H2502" s="8" t="s">
        <v>159</v>
      </c>
      <c r="I2502" s="8" t="s">
        <v>16340</v>
      </c>
      <c r="J2502" s="8" t="s">
        <v>16341</v>
      </c>
      <c r="K2502" s="8" t="s">
        <v>162</v>
      </c>
      <c r="L2502" s="8" t="s">
        <v>163</v>
      </c>
      <c r="M2502" s="8" t="s">
        <v>16342</v>
      </c>
      <c r="N2502" s="8" t="s">
        <v>128</v>
      </c>
      <c r="O2502" s="8" t="s">
        <v>16343</v>
      </c>
      <c r="P2502" s="8" t="s">
        <v>16344</v>
      </c>
      <c r="Q2502" s="8" t="s">
        <v>150</v>
      </c>
      <c r="R2502" s="8"/>
      <c r="S2502" s="8" t="s">
        <v>71</v>
      </c>
      <c r="T2502" s="8" t="s">
        <v>67</v>
      </c>
      <c r="U2502" s="8" t="s">
        <v>150</v>
      </c>
      <c r="V2502" s="8" t="s">
        <v>152</v>
      </c>
      <c r="W2502" s="8" t="s">
        <v>67</v>
      </c>
      <c r="X2502" s="8">
        <v>11</v>
      </c>
      <c r="Y2502" s="8" t="s">
        <v>12359</v>
      </c>
      <c r="Z2502" s="8">
        <v>20</v>
      </c>
      <c r="AA2502" s="8">
        <v>0</v>
      </c>
      <c r="AB2502" s="9">
        <v>0</v>
      </c>
    </row>
    <row r="2503" spans="1:28" x14ac:dyDescent="0.2">
      <c r="A2503" s="10">
        <v>21395</v>
      </c>
      <c r="B2503" s="11" t="s">
        <v>16345</v>
      </c>
      <c r="C2503" s="11" t="s">
        <v>2785</v>
      </c>
      <c r="D2503" s="11" t="s">
        <v>16346</v>
      </c>
      <c r="E2503" s="11"/>
      <c r="F2503" s="11" t="s">
        <v>16347</v>
      </c>
      <c r="G2503" s="11" t="s">
        <v>846</v>
      </c>
      <c r="H2503" s="11" t="s">
        <v>847</v>
      </c>
      <c r="I2503" s="11" t="s">
        <v>16348</v>
      </c>
      <c r="J2503" s="11" t="s">
        <v>16349</v>
      </c>
      <c r="K2503" s="11" t="s">
        <v>850</v>
      </c>
      <c r="L2503" s="11" t="s">
        <v>126</v>
      </c>
      <c r="M2503" s="11" t="s">
        <v>16350</v>
      </c>
      <c r="N2503" s="11" t="s">
        <v>128</v>
      </c>
      <c r="O2503" s="11" t="s">
        <v>16351</v>
      </c>
      <c r="P2503" s="11" t="s">
        <v>16352</v>
      </c>
      <c r="Q2503" s="11" t="s">
        <v>150</v>
      </c>
      <c r="R2503" s="11"/>
      <c r="S2503" s="11" t="s">
        <v>71</v>
      </c>
      <c r="T2503" s="11" t="s">
        <v>67</v>
      </c>
      <c r="U2503" s="11" t="s">
        <v>150</v>
      </c>
      <c r="V2503" s="11" t="s">
        <v>152</v>
      </c>
      <c r="W2503" s="11" t="s">
        <v>67</v>
      </c>
      <c r="X2503" s="11">
        <v>11</v>
      </c>
      <c r="Y2503" s="11" t="s">
        <v>12359</v>
      </c>
      <c r="Z2503" s="11">
        <v>20</v>
      </c>
      <c r="AA2503" s="11">
        <v>0</v>
      </c>
      <c r="AB2503" s="12">
        <v>0</v>
      </c>
    </row>
    <row r="2504" spans="1:28" x14ac:dyDescent="0.2">
      <c r="A2504" s="7">
        <v>21265</v>
      </c>
      <c r="B2504" s="8" t="s">
        <v>16353</v>
      </c>
      <c r="C2504" s="8" t="s">
        <v>13472</v>
      </c>
      <c r="D2504" s="8" t="s">
        <v>5844</v>
      </c>
      <c r="E2504" s="8"/>
      <c r="F2504" s="8" t="s">
        <v>1752</v>
      </c>
      <c r="G2504" s="8" t="s">
        <v>6614</v>
      </c>
      <c r="H2504" s="8" t="s">
        <v>159</v>
      </c>
      <c r="I2504" s="8" t="s">
        <v>13474</v>
      </c>
      <c r="J2504" s="8" t="s">
        <v>14336</v>
      </c>
      <c r="K2504" s="8" t="s">
        <v>162</v>
      </c>
      <c r="L2504" s="8" t="s">
        <v>163</v>
      </c>
      <c r="M2504" s="8" t="s">
        <v>16354</v>
      </c>
      <c r="N2504" s="8" t="s">
        <v>128</v>
      </c>
      <c r="O2504" s="8" t="s">
        <v>16355</v>
      </c>
      <c r="P2504" s="8" t="s">
        <v>16356</v>
      </c>
      <c r="Q2504" s="8" t="s">
        <v>150</v>
      </c>
      <c r="R2504" s="8"/>
      <c r="S2504" s="8" t="s">
        <v>13479</v>
      </c>
      <c r="T2504" s="8" t="s">
        <v>67</v>
      </c>
      <c r="U2504" s="8" t="s">
        <v>150</v>
      </c>
      <c r="V2504" s="8" t="s">
        <v>152</v>
      </c>
      <c r="W2504" s="8" t="s">
        <v>67</v>
      </c>
      <c r="X2504" s="8">
        <v>11</v>
      </c>
      <c r="Y2504" s="8" t="s">
        <v>12359</v>
      </c>
      <c r="Z2504" s="8">
        <v>20</v>
      </c>
      <c r="AA2504" s="8">
        <v>0</v>
      </c>
      <c r="AB2504" s="9">
        <v>0</v>
      </c>
    </row>
    <row r="2505" spans="1:28" x14ac:dyDescent="0.2">
      <c r="A2505" s="10">
        <v>93122</v>
      </c>
      <c r="B2505" s="11" t="s">
        <v>16357</v>
      </c>
      <c r="C2505" s="11" t="s">
        <v>16358</v>
      </c>
      <c r="D2505" s="11" t="s">
        <v>16359</v>
      </c>
      <c r="E2505" s="11"/>
      <c r="F2505" s="11" t="s">
        <v>16360</v>
      </c>
      <c r="G2505" s="11" t="s">
        <v>5514</v>
      </c>
      <c r="H2505" s="11" t="s">
        <v>1953</v>
      </c>
      <c r="I2505" s="11" t="s">
        <v>16361</v>
      </c>
      <c r="J2505" s="11" t="s">
        <v>16362</v>
      </c>
      <c r="K2505" s="11" t="s">
        <v>1956</v>
      </c>
      <c r="L2505" s="11" t="s">
        <v>526</v>
      </c>
      <c r="M2505" s="11" t="s">
        <v>16363</v>
      </c>
      <c r="N2505" s="11" t="s">
        <v>128</v>
      </c>
      <c r="O2505" s="11" t="s">
        <v>16364</v>
      </c>
      <c r="P2505" s="11" t="s">
        <v>16365</v>
      </c>
      <c r="Q2505" s="11" t="s">
        <v>150</v>
      </c>
      <c r="R2505" s="11"/>
      <c r="S2505" s="11" t="s">
        <v>16366</v>
      </c>
      <c r="T2505" s="11" t="s">
        <v>67</v>
      </c>
      <c r="U2505" s="11" t="s">
        <v>150</v>
      </c>
      <c r="V2505" s="11" t="s">
        <v>152</v>
      </c>
      <c r="W2505" s="11" t="s">
        <v>67</v>
      </c>
      <c r="X2505" s="11">
        <v>11</v>
      </c>
      <c r="Y2505" s="11" t="s">
        <v>12359</v>
      </c>
      <c r="Z2505" s="11">
        <v>20</v>
      </c>
      <c r="AA2505" s="11">
        <v>0</v>
      </c>
      <c r="AB2505" s="12">
        <v>0</v>
      </c>
    </row>
    <row r="2506" spans="1:28" x14ac:dyDescent="0.2">
      <c r="A2506" s="7">
        <v>22094</v>
      </c>
      <c r="B2506" s="8" t="s">
        <v>16367</v>
      </c>
      <c r="C2506" s="8" t="s">
        <v>16368</v>
      </c>
      <c r="D2506" s="8" t="s">
        <v>8406</v>
      </c>
      <c r="E2506" s="8" t="s">
        <v>16369</v>
      </c>
      <c r="F2506" s="8" t="s">
        <v>353</v>
      </c>
      <c r="G2506" s="8" t="s">
        <v>776</v>
      </c>
      <c r="H2506" s="8" t="s">
        <v>142</v>
      </c>
      <c r="I2506" s="8" t="s">
        <v>16370</v>
      </c>
      <c r="J2506" s="8" t="s">
        <v>16371</v>
      </c>
      <c r="K2506" s="8" t="s">
        <v>779</v>
      </c>
      <c r="L2506" s="8" t="s">
        <v>464</v>
      </c>
      <c r="M2506" s="8" t="s">
        <v>16372</v>
      </c>
      <c r="N2506" s="8" t="s">
        <v>128</v>
      </c>
      <c r="O2506" s="8" t="s">
        <v>16373</v>
      </c>
      <c r="P2506" s="8"/>
      <c r="Q2506" s="8" t="s">
        <v>131</v>
      </c>
      <c r="R2506" s="8"/>
      <c r="S2506" s="8" t="s">
        <v>16374</v>
      </c>
      <c r="T2506" s="8" t="s">
        <v>983</v>
      </c>
      <c r="U2506" s="8" t="s">
        <v>134</v>
      </c>
      <c r="V2506" s="8" t="s">
        <v>131</v>
      </c>
      <c r="W2506" s="8" t="s">
        <v>983</v>
      </c>
      <c r="X2506" s="8">
        <v>11</v>
      </c>
      <c r="Y2506" s="8" t="s">
        <v>12359</v>
      </c>
      <c r="Z2506" s="8">
        <v>20</v>
      </c>
      <c r="AA2506" s="8">
        <v>0</v>
      </c>
      <c r="AB2506" s="9">
        <v>0</v>
      </c>
    </row>
    <row r="2507" spans="1:28" x14ac:dyDescent="0.2">
      <c r="A2507" s="10">
        <v>119344</v>
      </c>
      <c r="B2507" s="11" t="s">
        <v>16375</v>
      </c>
      <c r="C2507" s="11" t="s">
        <v>16171</v>
      </c>
      <c r="D2507" s="11" t="s">
        <v>16172</v>
      </c>
      <c r="E2507" s="11"/>
      <c r="F2507" s="11" t="s">
        <v>16376</v>
      </c>
      <c r="G2507" s="11" t="s">
        <v>9522</v>
      </c>
      <c r="H2507" s="11" t="s">
        <v>159</v>
      </c>
      <c r="I2507" s="11" t="s">
        <v>16377</v>
      </c>
      <c r="J2507" s="11" t="s">
        <v>16175</v>
      </c>
      <c r="K2507" s="11" t="s">
        <v>162</v>
      </c>
      <c r="L2507" s="11" t="s">
        <v>163</v>
      </c>
      <c r="M2507" s="11" t="s">
        <v>16378</v>
      </c>
      <c r="N2507" s="11" t="s">
        <v>128</v>
      </c>
      <c r="O2507" s="11" t="s">
        <v>16379</v>
      </c>
      <c r="P2507" s="11"/>
      <c r="Q2507" s="11" t="s">
        <v>131</v>
      </c>
      <c r="R2507" s="11"/>
      <c r="S2507" s="11" t="s">
        <v>16179</v>
      </c>
      <c r="T2507" s="11" t="s">
        <v>983</v>
      </c>
      <c r="U2507" s="11" t="s">
        <v>134</v>
      </c>
      <c r="V2507" s="11" t="s">
        <v>131</v>
      </c>
      <c r="W2507" s="11" t="s">
        <v>983</v>
      </c>
      <c r="X2507" s="11">
        <v>11</v>
      </c>
      <c r="Y2507" s="11" t="s">
        <v>12359</v>
      </c>
      <c r="Z2507" s="11">
        <v>20</v>
      </c>
      <c r="AA2507" s="11">
        <v>0</v>
      </c>
      <c r="AB2507" s="12">
        <v>0</v>
      </c>
    </row>
    <row r="2508" spans="1:28" x14ac:dyDescent="0.2">
      <c r="A2508" s="7">
        <v>22098</v>
      </c>
      <c r="B2508" s="8" t="s">
        <v>16380</v>
      </c>
      <c r="C2508" s="8" t="s">
        <v>8262</v>
      </c>
      <c r="D2508" s="8" t="s">
        <v>2690</v>
      </c>
      <c r="E2508" s="8"/>
      <c r="F2508" s="8" t="s">
        <v>353</v>
      </c>
      <c r="G2508" s="8" t="s">
        <v>2618</v>
      </c>
      <c r="H2508" s="8" t="s">
        <v>142</v>
      </c>
      <c r="I2508" s="8" t="s">
        <v>11576</v>
      </c>
      <c r="J2508" s="8" t="s">
        <v>16381</v>
      </c>
      <c r="K2508" s="8" t="s">
        <v>651</v>
      </c>
      <c r="L2508" s="8" t="s">
        <v>146</v>
      </c>
      <c r="M2508" s="8" t="s">
        <v>16382</v>
      </c>
      <c r="N2508" s="8" t="s">
        <v>128</v>
      </c>
      <c r="O2508" s="8" t="s">
        <v>16383</v>
      </c>
      <c r="P2508" s="8"/>
      <c r="Q2508" s="8" t="s">
        <v>131</v>
      </c>
      <c r="R2508" s="8"/>
      <c r="S2508" s="8" t="s">
        <v>8268</v>
      </c>
      <c r="T2508" s="8" t="s">
        <v>983</v>
      </c>
      <c r="U2508" s="8" t="s">
        <v>134</v>
      </c>
      <c r="V2508" s="8" t="s">
        <v>131</v>
      </c>
      <c r="W2508" s="8" t="s">
        <v>983</v>
      </c>
      <c r="X2508" s="8">
        <v>11</v>
      </c>
      <c r="Y2508" s="8" t="s">
        <v>12359</v>
      </c>
      <c r="Z2508" s="8">
        <v>20</v>
      </c>
      <c r="AA2508" s="8">
        <v>0</v>
      </c>
      <c r="AB2508" s="9">
        <v>0</v>
      </c>
    </row>
    <row r="2509" spans="1:28" x14ac:dyDescent="0.2">
      <c r="A2509" s="10">
        <v>240271</v>
      </c>
      <c r="B2509" s="11" t="s">
        <v>16384</v>
      </c>
      <c r="C2509" s="11" t="s">
        <v>10117</v>
      </c>
      <c r="D2509" s="11" t="s">
        <v>15120</v>
      </c>
      <c r="E2509" s="11"/>
      <c r="F2509" s="11" t="s">
        <v>16385</v>
      </c>
      <c r="G2509" s="11" t="s">
        <v>12108</v>
      </c>
      <c r="H2509" s="11" t="s">
        <v>847</v>
      </c>
      <c r="I2509" s="11" t="s">
        <v>16386</v>
      </c>
      <c r="J2509" s="11" t="s">
        <v>16387</v>
      </c>
      <c r="K2509" s="11" t="s">
        <v>1091</v>
      </c>
      <c r="L2509" s="11" t="s">
        <v>126</v>
      </c>
      <c r="M2509" s="11" t="s">
        <v>16388</v>
      </c>
      <c r="N2509" s="11" t="s">
        <v>128</v>
      </c>
      <c r="O2509" s="11" t="s">
        <v>16389</v>
      </c>
      <c r="P2509" s="11"/>
      <c r="Q2509" s="11" t="s">
        <v>131</v>
      </c>
      <c r="R2509" s="11"/>
      <c r="S2509" s="11" t="s">
        <v>71</v>
      </c>
      <c r="T2509" s="11" t="s">
        <v>983</v>
      </c>
      <c r="U2509" s="11" t="s">
        <v>134</v>
      </c>
      <c r="V2509" s="11" t="s">
        <v>131</v>
      </c>
      <c r="W2509" s="11" t="s">
        <v>983</v>
      </c>
      <c r="X2509" s="11">
        <v>11</v>
      </c>
      <c r="Y2509" s="11" t="s">
        <v>12359</v>
      </c>
      <c r="Z2509" s="11">
        <v>20</v>
      </c>
      <c r="AA2509" s="11">
        <v>0</v>
      </c>
      <c r="AB2509" s="12">
        <v>0</v>
      </c>
    </row>
    <row r="2510" spans="1:28" x14ac:dyDescent="0.2">
      <c r="A2510" s="7">
        <v>21802</v>
      </c>
      <c r="B2510" s="8" t="s">
        <v>16390</v>
      </c>
      <c r="C2510" s="8" t="s">
        <v>16391</v>
      </c>
      <c r="D2510" s="8" t="s">
        <v>16392</v>
      </c>
      <c r="E2510" s="8" t="s">
        <v>16393</v>
      </c>
      <c r="F2510" s="8" t="s">
        <v>16394</v>
      </c>
      <c r="G2510" s="8" t="s">
        <v>4606</v>
      </c>
      <c r="H2510" s="8" t="s">
        <v>142</v>
      </c>
      <c r="I2510" s="8" t="s">
        <v>16395</v>
      </c>
      <c r="J2510" s="8" t="s">
        <v>16396</v>
      </c>
      <c r="K2510" s="8" t="s">
        <v>1029</v>
      </c>
      <c r="L2510" s="8" t="s">
        <v>464</v>
      </c>
      <c r="M2510" s="8" t="s">
        <v>16397</v>
      </c>
      <c r="N2510" s="8" t="s">
        <v>128</v>
      </c>
      <c r="O2510" s="8" t="s">
        <v>16398</v>
      </c>
      <c r="P2510" s="8"/>
      <c r="Q2510" s="8" t="s">
        <v>131</v>
      </c>
      <c r="R2510" s="8"/>
      <c r="S2510" s="8" t="s">
        <v>16399</v>
      </c>
      <c r="T2510" s="8" t="s">
        <v>133</v>
      </c>
      <c r="U2510" s="8" t="s">
        <v>134</v>
      </c>
      <c r="V2510" s="8" t="s">
        <v>131</v>
      </c>
      <c r="W2510" s="8" t="s">
        <v>133</v>
      </c>
      <c r="X2510" s="8">
        <v>11</v>
      </c>
      <c r="Y2510" s="8" t="s">
        <v>12359</v>
      </c>
      <c r="Z2510" s="8">
        <v>20</v>
      </c>
      <c r="AA2510" s="8">
        <v>0</v>
      </c>
      <c r="AB2510" s="9">
        <v>0</v>
      </c>
    </row>
    <row r="2511" spans="1:28" x14ac:dyDescent="0.2">
      <c r="A2511" s="10">
        <v>21884</v>
      </c>
      <c r="B2511" s="11" t="s">
        <v>16400</v>
      </c>
      <c r="C2511" s="11" t="s">
        <v>15667</v>
      </c>
      <c r="D2511" s="11" t="s">
        <v>9825</v>
      </c>
      <c r="E2511" s="11" t="s">
        <v>16401</v>
      </c>
      <c r="F2511" s="11" t="s">
        <v>353</v>
      </c>
      <c r="G2511" s="11" t="s">
        <v>2117</v>
      </c>
      <c r="H2511" s="11" t="s">
        <v>142</v>
      </c>
      <c r="I2511" s="11" t="s">
        <v>16402</v>
      </c>
      <c r="J2511" s="11" t="s">
        <v>16403</v>
      </c>
      <c r="K2511" s="11" t="s">
        <v>1673</v>
      </c>
      <c r="L2511" s="11" t="s">
        <v>464</v>
      </c>
      <c r="M2511" s="11" t="s">
        <v>16404</v>
      </c>
      <c r="N2511" s="11" t="s">
        <v>128</v>
      </c>
      <c r="O2511" s="11" t="s">
        <v>16405</v>
      </c>
      <c r="P2511" s="11" t="s">
        <v>16406</v>
      </c>
      <c r="Q2511" s="11" t="s">
        <v>131</v>
      </c>
      <c r="R2511" s="11"/>
      <c r="S2511" s="11" t="s">
        <v>16407</v>
      </c>
      <c r="T2511" s="11" t="s">
        <v>133</v>
      </c>
      <c r="U2511" s="11" t="s">
        <v>134</v>
      </c>
      <c r="V2511" s="11" t="s">
        <v>131</v>
      </c>
      <c r="W2511" s="11" t="s">
        <v>133</v>
      </c>
      <c r="X2511" s="11">
        <v>11</v>
      </c>
      <c r="Y2511" s="11" t="s">
        <v>12359</v>
      </c>
      <c r="Z2511" s="11">
        <v>20</v>
      </c>
      <c r="AA2511" s="11">
        <v>0</v>
      </c>
      <c r="AB2511" s="12">
        <v>0</v>
      </c>
    </row>
    <row r="2512" spans="1:28" x14ac:dyDescent="0.2">
      <c r="A2512" s="7">
        <v>26680</v>
      </c>
      <c r="B2512" s="8" t="s">
        <v>16408</v>
      </c>
      <c r="C2512" s="8" t="s">
        <v>10147</v>
      </c>
      <c r="D2512" s="8" t="s">
        <v>2690</v>
      </c>
      <c r="E2512" s="8" t="s">
        <v>16409</v>
      </c>
      <c r="F2512" s="8" t="s">
        <v>10149</v>
      </c>
      <c r="G2512" s="8" t="s">
        <v>3654</v>
      </c>
      <c r="H2512" s="8" t="s">
        <v>142</v>
      </c>
      <c r="I2512" s="8" t="s">
        <v>10150</v>
      </c>
      <c r="J2512" s="8" t="s">
        <v>10151</v>
      </c>
      <c r="K2512" s="8" t="s">
        <v>1029</v>
      </c>
      <c r="L2512" s="8" t="s">
        <v>464</v>
      </c>
      <c r="M2512" s="8" t="s">
        <v>16410</v>
      </c>
      <c r="N2512" s="8" t="s">
        <v>128</v>
      </c>
      <c r="O2512" s="8" t="s">
        <v>16411</v>
      </c>
      <c r="P2512" s="8" t="s">
        <v>16412</v>
      </c>
      <c r="Q2512" s="8" t="s">
        <v>131</v>
      </c>
      <c r="R2512" s="8"/>
      <c r="S2512" s="8" t="s">
        <v>10155</v>
      </c>
      <c r="T2512" s="8" t="s">
        <v>133</v>
      </c>
      <c r="U2512" s="8" t="s">
        <v>134</v>
      </c>
      <c r="V2512" s="8" t="s">
        <v>131</v>
      </c>
      <c r="W2512" s="8" t="s">
        <v>133</v>
      </c>
      <c r="X2512" s="8">
        <v>11</v>
      </c>
      <c r="Y2512" s="8" t="s">
        <v>12359</v>
      </c>
      <c r="Z2512" s="8">
        <v>20</v>
      </c>
      <c r="AA2512" s="8">
        <v>0</v>
      </c>
      <c r="AB2512" s="9">
        <v>0</v>
      </c>
    </row>
    <row r="2513" spans="1:28" x14ac:dyDescent="0.2">
      <c r="A2513" s="10">
        <v>26558</v>
      </c>
      <c r="B2513" s="11" t="s">
        <v>16413</v>
      </c>
      <c r="C2513" s="11" t="s">
        <v>16414</v>
      </c>
      <c r="D2513" s="11" t="s">
        <v>12075</v>
      </c>
      <c r="E2513" s="11"/>
      <c r="F2513" s="11" t="s">
        <v>4475</v>
      </c>
      <c r="G2513" s="11" t="s">
        <v>224</v>
      </c>
      <c r="H2513" s="11" t="s">
        <v>225</v>
      </c>
      <c r="I2513" s="11" t="s">
        <v>16415</v>
      </c>
      <c r="J2513" s="11" t="s">
        <v>16416</v>
      </c>
      <c r="K2513" s="11" t="s">
        <v>228</v>
      </c>
      <c r="L2513" s="11" t="s">
        <v>229</v>
      </c>
      <c r="M2513" s="11" t="s">
        <v>16417</v>
      </c>
      <c r="N2513" s="11" t="s">
        <v>128</v>
      </c>
      <c r="O2513" s="11"/>
      <c r="P2513" s="11"/>
      <c r="Q2513" s="11" t="s">
        <v>131</v>
      </c>
      <c r="R2513" s="11"/>
      <c r="S2513" s="11" t="s">
        <v>16418</v>
      </c>
      <c r="T2513" s="11" t="s">
        <v>133</v>
      </c>
      <c r="U2513" s="11" t="s">
        <v>134</v>
      </c>
      <c r="V2513" s="11" t="s">
        <v>131</v>
      </c>
      <c r="W2513" s="11" t="s">
        <v>133</v>
      </c>
      <c r="X2513" s="11">
        <v>11</v>
      </c>
      <c r="Y2513" s="11" t="s">
        <v>12359</v>
      </c>
      <c r="Z2513" s="11">
        <v>20</v>
      </c>
      <c r="AA2513" s="11">
        <v>0</v>
      </c>
      <c r="AB2513" s="12">
        <v>0</v>
      </c>
    </row>
    <row r="2514" spans="1:28" x14ac:dyDescent="0.2">
      <c r="A2514" s="7">
        <v>22577</v>
      </c>
      <c r="B2514" s="8" t="s">
        <v>16419</v>
      </c>
      <c r="C2514" s="8" t="s">
        <v>14315</v>
      </c>
      <c r="D2514" s="8" t="s">
        <v>14316</v>
      </c>
      <c r="E2514" s="8" t="s">
        <v>16420</v>
      </c>
      <c r="F2514" s="8" t="s">
        <v>14318</v>
      </c>
      <c r="G2514" s="8" t="s">
        <v>7402</v>
      </c>
      <c r="H2514" s="8" t="s">
        <v>847</v>
      </c>
      <c r="I2514" s="8" t="s">
        <v>14319</v>
      </c>
      <c r="J2514" s="8" t="s">
        <v>14320</v>
      </c>
      <c r="K2514" s="8" t="s">
        <v>1091</v>
      </c>
      <c r="L2514" s="8" t="s">
        <v>126</v>
      </c>
      <c r="M2514" s="8" t="s">
        <v>16421</v>
      </c>
      <c r="N2514" s="8" t="s">
        <v>128</v>
      </c>
      <c r="O2514" s="8" t="s">
        <v>16422</v>
      </c>
      <c r="P2514" s="8" t="s">
        <v>16423</v>
      </c>
      <c r="Q2514" s="8" t="s">
        <v>150</v>
      </c>
      <c r="R2514" s="8"/>
      <c r="S2514" s="8" t="s">
        <v>14323</v>
      </c>
      <c r="T2514" s="8" t="s">
        <v>2697</v>
      </c>
      <c r="U2514" s="8" t="s">
        <v>150</v>
      </c>
      <c r="V2514" s="8" t="s">
        <v>2697</v>
      </c>
      <c r="W2514" s="8" t="s">
        <v>2697</v>
      </c>
      <c r="X2514" s="8">
        <v>11</v>
      </c>
      <c r="Y2514" s="8" t="s">
        <v>12359</v>
      </c>
      <c r="Z2514" s="8">
        <v>20</v>
      </c>
      <c r="AA2514" s="8">
        <v>0</v>
      </c>
      <c r="AB2514" s="9">
        <v>0</v>
      </c>
    </row>
    <row r="2515" spans="1:28" x14ac:dyDescent="0.2">
      <c r="A2515" s="10">
        <v>22606</v>
      </c>
      <c r="B2515" s="11" t="s">
        <v>16424</v>
      </c>
      <c r="C2515" s="11" t="s">
        <v>16425</v>
      </c>
      <c r="D2515" s="11" t="s">
        <v>16426</v>
      </c>
      <c r="E2515" s="11"/>
      <c r="F2515" s="11" t="s">
        <v>16427</v>
      </c>
      <c r="G2515" s="11" t="s">
        <v>703</v>
      </c>
      <c r="H2515" s="11" t="s">
        <v>704</v>
      </c>
      <c r="I2515" s="11" t="s">
        <v>16428</v>
      </c>
      <c r="J2515" s="11" t="s">
        <v>16429</v>
      </c>
      <c r="K2515" s="11" t="s">
        <v>707</v>
      </c>
      <c r="L2515" s="11" t="s">
        <v>126</v>
      </c>
      <c r="M2515" s="11" t="s">
        <v>16430</v>
      </c>
      <c r="N2515" s="11" t="s">
        <v>128</v>
      </c>
      <c r="O2515" s="11" t="s">
        <v>16431</v>
      </c>
      <c r="P2515" s="11" t="s">
        <v>16432</v>
      </c>
      <c r="Q2515" s="11" t="s">
        <v>150</v>
      </c>
      <c r="R2515" s="11"/>
      <c r="S2515" s="11" t="s">
        <v>71</v>
      </c>
      <c r="T2515" s="11" t="s">
        <v>2697</v>
      </c>
      <c r="U2515" s="11" t="s">
        <v>150</v>
      </c>
      <c r="V2515" s="11" t="s">
        <v>2697</v>
      </c>
      <c r="W2515" s="11" t="s">
        <v>2697</v>
      </c>
      <c r="X2515" s="11">
        <v>11</v>
      </c>
      <c r="Y2515" s="11" t="s">
        <v>12359</v>
      </c>
      <c r="Z2515" s="11">
        <v>20</v>
      </c>
      <c r="AA2515" s="11">
        <v>0</v>
      </c>
      <c r="AB2515" s="12">
        <v>0</v>
      </c>
    </row>
    <row r="2516" spans="1:28" x14ac:dyDescent="0.2">
      <c r="A2516" s="7">
        <v>22623</v>
      </c>
      <c r="B2516" s="8" t="s">
        <v>16433</v>
      </c>
      <c r="C2516" s="8" t="s">
        <v>16434</v>
      </c>
      <c r="D2516" s="8" t="s">
        <v>7629</v>
      </c>
      <c r="E2516" s="8"/>
      <c r="F2516" s="8" t="s">
        <v>16435</v>
      </c>
      <c r="G2516" s="8" t="s">
        <v>846</v>
      </c>
      <c r="H2516" s="8" t="s">
        <v>847</v>
      </c>
      <c r="I2516" s="8" t="s">
        <v>16436</v>
      </c>
      <c r="J2516" s="8" t="s">
        <v>16437</v>
      </c>
      <c r="K2516" s="8" t="s">
        <v>850</v>
      </c>
      <c r="L2516" s="8" t="s">
        <v>126</v>
      </c>
      <c r="M2516" s="8" t="s">
        <v>16438</v>
      </c>
      <c r="N2516" s="8" t="s">
        <v>128</v>
      </c>
      <c r="O2516" s="8" t="s">
        <v>16439</v>
      </c>
      <c r="P2516" s="8" t="s">
        <v>16440</v>
      </c>
      <c r="Q2516" s="8" t="s">
        <v>150</v>
      </c>
      <c r="R2516" s="8"/>
      <c r="S2516" s="8" t="s">
        <v>71</v>
      </c>
      <c r="T2516" s="8" t="s">
        <v>2697</v>
      </c>
      <c r="U2516" s="8" t="s">
        <v>150</v>
      </c>
      <c r="V2516" s="8" t="s">
        <v>2697</v>
      </c>
      <c r="W2516" s="8" t="s">
        <v>2697</v>
      </c>
      <c r="X2516" s="8">
        <v>11</v>
      </c>
      <c r="Y2516" s="8" t="s">
        <v>12359</v>
      </c>
      <c r="Z2516" s="8">
        <v>20</v>
      </c>
      <c r="AA2516" s="8">
        <v>0</v>
      </c>
      <c r="AB2516" s="9">
        <v>0</v>
      </c>
    </row>
    <row r="2517" spans="1:28" x14ac:dyDescent="0.2">
      <c r="A2517" s="10">
        <v>27796</v>
      </c>
      <c r="B2517" s="11" t="s">
        <v>16441</v>
      </c>
      <c r="C2517" s="11" t="s">
        <v>8983</v>
      </c>
      <c r="D2517" s="11" t="s">
        <v>3917</v>
      </c>
      <c r="E2517" s="11"/>
      <c r="F2517" s="11" t="s">
        <v>8984</v>
      </c>
      <c r="G2517" s="11" t="s">
        <v>971</v>
      </c>
      <c r="H2517" s="11" t="s">
        <v>142</v>
      </c>
      <c r="I2517" s="11" t="s">
        <v>9590</v>
      </c>
      <c r="J2517" s="11" t="s">
        <v>9591</v>
      </c>
      <c r="K2517" s="11" t="s">
        <v>974</v>
      </c>
      <c r="L2517" s="11" t="s">
        <v>146</v>
      </c>
      <c r="M2517" s="11" t="s">
        <v>16442</v>
      </c>
      <c r="N2517" s="11" t="s">
        <v>128</v>
      </c>
      <c r="O2517" s="11" t="s">
        <v>16443</v>
      </c>
      <c r="P2517" s="11" t="s">
        <v>16444</v>
      </c>
      <c r="Q2517" s="11" t="s">
        <v>150</v>
      </c>
      <c r="R2517" s="11"/>
      <c r="S2517" s="11" t="s">
        <v>71</v>
      </c>
      <c r="T2517" s="11" t="s">
        <v>2697</v>
      </c>
      <c r="U2517" s="11" t="s">
        <v>150</v>
      </c>
      <c r="V2517" s="11" t="s">
        <v>2697</v>
      </c>
      <c r="W2517" s="11" t="s">
        <v>2697</v>
      </c>
      <c r="X2517" s="11">
        <v>11</v>
      </c>
      <c r="Y2517" s="11" t="s">
        <v>12359</v>
      </c>
      <c r="Z2517" s="11">
        <v>20</v>
      </c>
      <c r="AA2517" s="11">
        <v>0</v>
      </c>
      <c r="AB2517" s="12">
        <v>0</v>
      </c>
    </row>
    <row r="2518" spans="1:28" x14ac:dyDescent="0.2">
      <c r="A2518" s="7">
        <v>22734</v>
      </c>
      <c r="B2518" s="8" t="s">
        <v>16445</v>
      </c>
      <c r="C2518" s="8" t="s">
        <v>1936</v>
      </c>
      <c r="D2518" s="8" t="s">
        <v>12808</v>
      </c>
      <c r="E2518" s="8"/>
      <c r="F2518" s="8" t="s">
        <v>353</v>
      </c>
      <c r="G2518" s="8" t="s">
        <v>1937</v>
      </c>
      <c r="H2518" s="8" t="s">
        <v>142</v>
      </c>
      <c r="I2518" s="8" t="s">
        <v>1938</v>
      </c>
      <c r="J2518" s="8" t="s">
        <v>16446</v>
      </c>
      <c r="K2518" s="8" t="s">
        <v>1673</v>
      </c>
      <c r="L2518" s="8" t="s">
        <v>464</v>
      </c>
      <c r="M2518" s="8" t="s">
        <v>16447</v>
      </c>
      <c r="N2518" s="8" t="s">
        <v>128</v>
      </c>
      <c r="O2518" s="8" t="s">
        <v>16448</v>
      </c>
      <c r="P2518" s="8"/>
      <c r="Q2518" s="8" t="s">
        <v>150</v>
      </c>
      <c r="R2518" s="8"/>
      <c r="S2518" s="8" t="s">
        <v>71</v>
      </c>
      <c r="T2518" s="8" t="s">
        <v>13822</v>
      </c>
      <c r="U2518" s="8" t="s">
        <v>150</v>
      </c>
      <c r="V2518" s="8" t="s">
        <v>13822</v>
      </c>
      <c r="W2518" s="8" t="s">
        <v>13822</v>
      </c>
      <c r="X2518" s="8">
        <v>11</v>
      </c>
      <c r="Y2518" s="8" t="s">
        <v>12359</v>
      </c>
      <c r="Z2518" s="8">
        <v>20</v>
      </c>
      <c r="AA2518" s="8">
        <v>0</v>
      </c>
      <c r="AB2518" s="9">
        <v>0</v>
      </c>
    </row>
    <row r="2519" spans="1:28" x14ac:dyDescent="0.2">
      <c r="A2519" s="10">
        <v>23352</v>
      </c>
      <c r="B2519" s="11" t="s">
        <v>16449</v>
      </c>
      <c r="C2519" s="11" t="s">
        <v>9923</v>
      </c>
      <c r="D2519" s="11" t="s">
        <v>3716</v>
      </c>
      <c r="E2519" s="11" t="s">
        <v>16450</v>
      </c>
      <c r="F2519" s="11" t="s">
        <v>9924</v>
      </c>
      <c r="G2519" s="11" t="s">
        <v>328</v>
      </c>
      <c r="H2519" s="11" t="s">
        <v>329</v>
      </c>
      <c r="I2519" s="11" t="s">
        <v>16451</v>
      </c>
      <c r="J2519" s="11" t="s">
        <v>16452</v>
      </c>
      <c r="K2519" s="11" t="s">
        <v>415</v>
      </c>
      <c r="L2519" s="11" t="s">
        <v>333</v>
      </c>
      <c r="M2519" s="11" t="s">
        <v>16453</v>
      </c>
      <c r="N2519" s="11" t="s">
        <v>128</v>
      </c>
      <c r="O2519" s="11" t="s">
        <v>16454</v>
      </c>
      <c r="P2519" s="11" t="s">
        <v>13978</v>
      </c>
      <c r="Q2519" s="11" t="s">
        <v>150</v>
      </c>
      <c r="R2519" s="11"/>
      <c r="S2519" s="11" t="s">
        <v>71</v>
      </c>
      <c r="T2519" s="11" t="s">
        <v>70</v>
      </c>
      <c r="U2519" s="11" t="s">
        <v>150</v>
      </c>
      <c r="V2519" s="11" t="s">
        <v>70</v>
      </c>
      <c r="W2519" s="11" t="s">
        <v>70</v>
      </c>
      <c r="X2519" s="11">
        <v>11</v>
      </c>
      <c r="Y2519" s="11" t="s">
        <v>12359</v>
      </c>
      <c r="Z2519" s="11">
        <v>20</v>
      </c>
      <c r="AA2519" s="11">
        <v>0</v>
      </c>
      <c r="AB2519" s="12">
        <v>0</v>
      </c>
    </row>
    <row r="2520" spans="1:28" x14ac:dyDescent="0.2">
      <c r="A2520" s="7">
        <v>183921</v>
      </c>
      <c r="B2520" s="8" t="s">
        <v>16455</v>
      </c>
      <c r="C2520" s="8" t="s">
        <v>10390</v>
      </c>
      <c r="D2520" s="8" t="s">
        <v>3375</v>
      </c>
      <c r="E2520" s="8" t="s">
        <v>13217</v>
      </c>
      <c r="F2520" s="8" t="s">
        <v>16456</v>
      </c>
      <c r="G2520" s="8" t="s">
        <v>10391</v>
      </c>
      <c r="H2520" s="8" t="s">
        <v>142</v>
      </c>
      <c r="I2520" s="8" t="s">
        <v>13096</v>
      </c>
      <c r="J2520" s="8" t="s">
        <v>16457</v>
      </c>
      <c r="K2520" s="8" t="s">
        <v>472</v>
      </c>
      <c r="L2520" s="8" t="s">
        <v>146</v>
      </c>
      <c r="M2520" s="8" t="s">
        <v>16458</v>
      </c>
      <c r="N2520" s="8" t="s">
        <v>128</v>
      </c>
      <c r="O2520" s="8" t="s">
        <v>16459</v>
      </c>
      <c r="P2520" s="8" t="s">
        <v>16460</v>
      </c>
      <c r="Q2520" s="8" t="s">
        <v>150</v>
      </c>
      <c r="R2520" s="8"/>
      <c r="S2520" s="8" t="s">
        <v>71</v>
      </c>
      <c r="T2520" s="8" t="s">
        <v>70</v>
      </c>
      <c r="U2520" s="8" t="s">
        <v>150</v>
      </c>
      <c r="V2520" s="8" t="s">
        <v>70</v>
      </c>
      <c r="W2520" s="8" t="s">
        <v>70</v>
      </c>
      <c r="X2520" s="8">
        <v>11</v>
      </c>
      <c r="Y2520" s="8" t="s">
        <v>12359</v>
      </c>
      <c r="Z2520" s="8">
        <v>20</v>
      </c>
      <c r="AA2520" s="8">
        <v>0</v>
      </c>
      <c r="AB2520" s="9">
        <v>0</v>
      </c>
    </row>
    <row r="2521" spans="1:28" x14ac:dyDescent="0.2">
      <c r="A2521" s="10">
        <v>23227</v>
      </c>
      <c r="B2521" s="11" t="s">
        <v>16461</v>
      </c>
      <c r="C2521" s="11" t="s">
        <v>13437</v>
      </c>
      <c r="D2521" s="11" t="s">
        <v>9100</v>
      </c>
      <c r="E2521" s="11" t="s">
        <v>16462</v>
      </c>
      <c r="F2521" s="11" t="s">
        <v>353</v>
      </c>
      <c r="G2521" s="11" t="s">
        <v>7116</v>
      </c>
      <c r="H2521" s="11" t="s">
        <v>142</v>
      </c>
      <c r="I2521" s="11" t="s">
        <v>13438</v>
      </c>
      <c r="J2521" s="11" t="s">
        <v>16463</v>
      </c>
      <c r="K2521" s="11" t="s">
        <v>1199</v>
      </c>
      <c r="L2521" s="11" t="s">
        <v>464</v>
      </c>
      <c r="M2521" s="11" t="s">
        <v>16464</v>
      </c>
      <c r="N2521" s="11" t="s">
        <v>128</v>
      </c>
      <c r="O2521" s="11" t="s">
        <v>16465</v>
      </c>
      <c r="P2521" s="11" t="s">
        <v>16466</v>
      </c>
      <c r="Q2521" s="11" t="s">
        <v>150</v>
      </c>
      <c r="R2521" s="11"/>
      <c r="S2521" s="11" t="s">
        <v>13442</v>
      </c>
      <c r="T2521" s="11" t="s">
        <v>70</v>
      </c>
      <c r="U2521" s="11" t="s">
        <v>150</v>
      </c>
      <c r="V2521" s="11" t="s">
        <v>70</v>
      </c>
      <c r="W2521" s="11" t="s">
        <v>70</v>
      </c>
      <c r="X2521" s="11">
        <v>11</v>
      </c>
      <c r="Y2521" s="11" t="s">
        <v>12359</v>
      </c>
      <c r="Z2521" s="11">
        <v>20</v>
      </c>
      <c r="AA2521" s="11">
        <v>0</v>
      </c>
      <c r="AB2521" s="12">
        <v>0</v>
      </c>
    </row>
    <row r="2522" spans="1:28" x14ac:dyDescent="0.2">
      <c r="A2522" s="7">
        <v>93567</v>
      </c>
      <c r="B2522" s="8" t="s">
        <v>16467</v>
      </c>
      <c r="C2522" s="8" t="s">
        <v>15718</v>
      </c>
      <c r="D2522" s="8" t="s">
        <v>9608</v>
      </c>
      <c r="E2522" s="8" t="s">
        <v>5691</v>
      </c>
      <c r="F2522" s="8" t="s">
        <v>16468</v>
      </c>
      <c r="G2522" s="8" t="s">
        <v>16469</v>
      </c>
      <c r="H2522" s="8" t="s">
        <v>142</v>
      </c>
      <c r="I2522" s="8" t="s">
        <v>15721</v>
      </c>
      <c r="J2522" s="8" t="s">
        <v>16470</v>
      </c>
      <c r="K2522" s="8" t="s">
        <v>1673</v>
      </c>
      <c r="L2522" s="8" t="s">
        <v>464</v>
      </c>
      <c r="M2522" s="8" t="s">
        <v>16471</v>
      </c>
      <c r="N2522" s="8" t="s">
        <v>128</v>
      </c>
      <c r="O2522" s="8" t="s">
        <v>16472</v>
      </c>
      <c r="P2522" s="8" t="s">
        <v>16473</v>
      </c>
      <c r="Q2522" s="8" t="s">
        <v>150</v>
      </c>
      <c r="R2522" s="8"/>
      <c r="S2522" s="8" t="s">
        <v>15725</v>
      </c>
      <c r="T2522" s="8" t="s">
        <v>70</v>
      </c>
      <c r="U2522" s="8" t="s">
        <v>150</v>
      </c>
      <c r="V2522" s="8" t="s">
        <v>70</v>
      </c>
      <c r="W2522" s="8" t="s">
        <v>70</v>
      </c>
      <c r="X2522" s="8">
        <v>11</v>
      </c>
      <c r="Y2522" s="8" t="s">
        <v>12359</v>
      </c>
      <c r="Z2522" s="8">
        <v>20</v>
      </c>
      <c r="AA2522" s="8">
        <v>0</v>
      </c>
      <c r="AB2522" s="9">
        <v>0</v>
      </c>
    </row>
    <row r="2523" spans="1:28" x14ac:dyDescent="0.2">
      <c r="A2523" s="10">
        <v>23285</v>
      </c>
      <c r="B2523" s="11" t="s">
        <v>16474</v>
      </c>
      <c r="C2523" s="11" t="s">
        <v>13555</v>
      </c>
      <c r="D2523" s="11" t="s">
        <v>13556</v>
      </c>
      <c r="E2523" s="11" t="s">
        <v>16475</v>
      </c>
      <c r="F2523" s="11" t="s">
        <v>845</v>
      </c>
      <c r="G2523" s="11" t="s">
        <v>846</v>
      </c>
      <c r="H2523" s="11" t="s">
        <v>847</v>
      </c>
      <c r="I2523" s="11" t="s">
        <v>10236</v>
      </c>
      <c r="J2523" s="11" t="s">
        <v>16476</v>
      </c>
      <c r="K2523" s="11" t="s">
        <v>850</v>
      </c>
      <c r="L2523" s="11" t="s">
        <v>126</v>
      </c>
      <c r="M2523" s="11" t="s">
        <v>16477</v>
      </c>
      <c r="N2523" s="11" t="s">
        <v>128</v>
      </c>
      <c r="O2523" s="11" t="s">
        <v>16478</v>
      </c>
      <c r="P2523" s="11" t="s">
        <v>16479</v>
      </c>
      <c r="Q2523" s="11" t="s">
        <v>150</v>
      </c>
      <c r="R2523" s="11"/>
      <c r="S2523" s="11" t="s">
        <v>13561</v>
      </c>
      <c r="T2523" s="11" t="s">
        <v>70</v>
      </c>
      <c r="U2523" s="11" t="s">
        <v>150</v>
      </c>
      <c r="V2523" s="11" t="s">
        <v>70</v>
      </c>
      <c r="W2523" s="11" t="s">
        <v>70</v>
      </c>
      <c r="X2523" s="11">
        <v>11</v>
      </c>
      <c r="Y2523" s="11" t="s">
        <v>12359</v>
      </c>
      <c r="Z2523" s="11">
        <v>20</v>
      </c>
      <c r="AA2523" s="11">
        <v>0</v>
      </c>
      <c r="AB2523" s="12">
        <v>0</v>
      </c>
    </row>
    <row r="2524" spans="1:28" x14ac:dyDescent="0.2">
      <c r="A2524" s="7">
        <v>107959</v>
      </c>
      <c r="B2524" s="8" t="s">
        <v>16480</v>
      </c>
      <c r="C2524" s="8" t="s">
        <v>16481</v>
      </c>
      <c r="D2524" s="8" t="s">
        <v>16482</v>
      </c>
      <c r="E2524" s="8" t="s">
        <v>16483</v>
      </c>
      <c r="F2524" s="8" t="s">
        <v>16484</v>
      </c>
      <c r="G2524" s="8" t="s">
        <v>1438</v>
      </c>
      <c r="H2524" s="8" t="s">
        <v>122</v>
      </c>
      <c r="I2524" s="8" t="s">
        <v>16485</v>
      </c>
      <c r="J2524" s="8" t="s">
        <v>16486</v>
      </c>
      <c r="K2524" s="8" t="s">
        <v>125</v>
      </c>
      <c r="L2524" s="8" t="s">
        <v>126</v>
      </c>
      <c r="M2524" s="8" t="s">
        <v>16487</v>
      </c>
      <c r="N2524" s="8" t="s">
        <v>128</v>
      </c>
      <c r="O2524" s="8" t="s">
        <v>16488</v>
      </c>
      <c r="P2524" s="8" t="s">
        <v>13201</v>
      </c>
      <c r="Q2524" s="8" t="s">
        <v>150</v>
      </c>
      <c r="R2524" s="8"/>
      <c r="S2524" s="8" t="s">
        <v>16489</v>
      </c>
      <c r="T2524" s="8" t="s">
        <v>70</v>
      </c>
      <c r="U2524" s="8" t="s">
        <v>150</v>
      </c>
      <c r="V2524" s="8" t="s">
        <v>70</v>
      </c>
      <c r="W2524" s="8" t="s">
        <v>70</v>
      </c>
      <c r="X2524" s="8">
        <v>11</v>
      </c>
      <c r="Y2524" s="8" t="s">
        <v>12359</v>
      </c>
      <c r="Z2524" s="8">
        <v>20</v>
      </c>
      <c r="AA2524" s="8">
        <v>0</v>
      </c>
      <c r="AB2524" s="9">
        <v>0</v>
      </c>
    </row>
    <row r="2525" spans="1:28" x14ac:dyDescent="0.2">
      <c r="A2525" s="10">
        <v>22897</v>
      </c>
      <c r="B2525" s="11" t="s">
        <v>16490</v>
      </c>
      <c r="C2525" s="11" t="s">
        <v>1125</v>
      </c>
      <c r="D2525" s="11" t="s">
        <v>1126</v>
      </c>
      <c r="E2525" s="11" t="s">
        <v>16491</v>
      </c>
      <c r="F2525" s="11" t="s">
        <v>1128</v>
      </c>
      <c r="G2525" s="11" t="s">
        <v>450</v>
      </c>
      <c r="H2525" s="11" t="s">
        <v>301</v>
      </c>
      <c r="I2525" s="11" t="s">
        <v>1129</v>
      </c>
      <c r="J2525" s="11" t="s">
        <v>1130</v>
      </c>
      <c r="K2525" s="11" t="s">
        <v>304</v>
      </c>
      <c r="L2525" s="11" t="s">
        <v>229</v>
      </c>
      <c r="M2525" s="11" t="s">
        <v>16492</v>
      </c>
      <c r="N2525" s="11" t="s">
        <v>128</v>
      </c>
      <c r="O2525" s="11" t="s">
        <v>16493</v>
      </c>
      <c r="P2525" s="11" t="s">
        <v>16494</v>
      </c>
      <c r="Q2525" s="11" t="s">
        <v>150</v>
      </c>
      <c r="R2525" s="11"/>
      <c r="S2525" s="11" t="s">
        <v>1134</v>
      </c>
      <c r="T2525" s="11" t="s">
        <v>70</v>
      </c>
      <c r="U2525" s="11" t="s">
        <v>150</v>
      </c>
      <c r="V2525" s="11" t="s">
        <v>70</v>
      </c>
      <c r="W2525" s="11" t="s">
        <v>70</v>
      </c>
      <c r="X2525" s="11">
        <v>11</v>
      </c>
      <c r="Y2525" s="11" t="s">
        <v>12359</v>
      </c>
      <c r="Z2525" s="11">
        <v>20</v>
      </c>
      <c r="AA2525" s="11">
        <v>0</v>
      </c>
      <c r="AB2525" s="12">
        <v>0</v>
      </c>
    </row>
    <row r="2526" spans="1:28" x14ac:dyDescent="0.2">
      <c r="A2526" s="7">
        <v>23190</v>
      </c>
      <c r="B2526" s="8" t="s">
        <v>16495</v>
      </c>
      <c r="C2526" s="8" t="s">
        <v>16496</v>
      </c>
      <c r="D2526" s="8"/>
      <c r="E2526" s="8" t="s">
        <v>281</v>
      </c>
      <c r="F2526" s="8" t="s">
        <v>6510</v>
      </c>
      <c r="G2526" s="8" t="s">
        <v>141</v>
      </c>
      <c r="H2526" s="8" t="s">
        <v>142</v>
      </c>
      <c r="I2526" s="8" t="s">
        <v>16497</v>
      </c>
      <c r="J2526" s="8" t="s">
        <v>16498</v>
      </c>
      <c r="K2526" s="8" t="s">
        <v>472</v>
      </c>
      <c r="L2526" s="8" t="s">
        <v>146</v>
      </c>
      <c r="M2526" s="8" t="s">
        <v>16499</v>
      </c>
      <c r="N2526" s="8" t="s">
        <v>128</v>
      </c>
      <c r="O2526" s="8" t="s">
        <v>16500</v>
      </c>
      <c r="P2526" s="8" t="s">
        <v>16501</v>
      </c>
      <c r="Q2526" s="8" t="s">
        <v>150</v>
      </c>
      <c r="R2526" s="8"/>
      <c r="S2526" s="8" t="s">
        <v>6516</v>
      </c>
      <c r="T2526" s="8" t="s">
        <v>70</v>
      </c>
      <c r="U2526" s="8" t="s">
        <v>150</v>
      </c>
      <c r="V2526" s="8" t="s">
        <v>70</v>
      </c>
      <c r="W2526" s="8" t="s">
        <v>70</v>
      </c>
      <c r="X2526" s="8">
        <v>11</v>
      </c>
      <c r="Y2526" s="8" t="s">
        <v>12359</v>
      </c>
      <c r="Z2526" s="8">
        <v>20</v>
      </c>
      <c r="AA2526" s="8">
        <v>0</v>
      </c>
      <c r="AB2526" s="9">
        <v>0</v>
      </c>
    </row>
    <row r="2527" spans="1:28" x14ac:dyDescent="0.2">
      <c r="A2527" s="10">
        <v>23274</v>
      </c>
      <c r="B2527" s="11" t="s">
        <v>16502</v>
      </c>
      <c r="C2527" s="11" t="s">
        <v>15474</v>
      </c>
      <c r="D2527" s="11"/>
      <c r="E2527" s="11" t="s">
        <v>281</v>
      </c>
      <c r="F2527" s="11" t="s">
        <v>1658</v>
      </c>
      <c r="G2527" s="11" t="s">
        <v>141</v>
      </c>
      <c r="H2527" s="11" t="s">
        <v>142</v>
      </c>
      <c r="I2527" s="11" t="s">
        <v>15476</v>
      </c>
      <c r="J2527" s="11" t="s">
        <v>16503</v>
      </c>
      <c r="K2527" s="11" t="s">
        <v>145</v>
      </c>
      <c r="L2527" s="11" t="s">
        <v>146</v>
      </c>
      <c r="M2527" s="11" t="s">
        <v>16504</v>
      </c>
      <c r="N2527" s="11" t="s">
        <v>128</v>
      </c>
      <c r="O2527" s="11" t="s">
        <v>16505</v>
      </c>
      <c r="P2527" s="11" t="s">
        <v>16506</v>
      </c>
      <c r="Q2527" s="11" t="s">
        <v>150</v>
      </c>
      <c r="R2527" s="11"/>
      <c r="S2527" s="11" t="s">
        <v>15481</v>
      </c>
      <c r="T2527" s="11" t="s">
        <v>70</v>
      </c>
      <c r="U2527" s="11" t="s">
        <v>150</v>
      </c>
      <c r="V2527" s="11" t="s">
        <v>70</v>
      </c>
      <c r="W2527" s="11" t="s">
        <v>70</v>
      </c>
      <c r="X2527" s="11">
        <v>11</v>
      </c>
      <c r="Y2527" s="11" t="s">
        <v>12359</v>
      </c>
      <c r="Z2527" s="11">
        <v>20</v>
      </c>
      <c r="AA2527" s="11">
        <v>0</v>
      </c>
      <c r="AB2527" s="12">
        <v>0</v>
      </c>
    </row>
    <row r="2528" spans="1:28" x14ac:dyDescent="0.2">
      <c r="A2528" s="7">
        <v>23325</v>
      </c>
      <c r="B2528" s="8" t="s">
        <v>16507</v>
      </c>
      <c r="C2528" s="8" t="s">
        <v>773</v>
      </c>
      <c r="D2528" s="8" t="s">
        <v>16508</v>
      </c>
      <c r="E2528" s="8"/>
      <c r="F2528" s="8" t="s">
        <v>353</v>
      </c>
      <c r="G2528" s="8" t="s">
        <v>7562</v>
      </c>
      <c r="H2528" s="8" t="s">
        <v>847</v>
      </c>
      <c r="I2528" s="8" t="s">
        <v>7563</v>
      </c>
      <c r="J2528" s="8" t="s">
        <v>16509</v>
      </c>
      <c r="K2528" s="8" t="s">
        <v>850</v>
      </c>
      <c r="L2528" s="8" t="s">
        <v>126</v>
      </c>
      <c r="M2528" s="8" t="s">
        <v>16510</v>
      </c>
      <c r="N2528" s="8" t="s">
        <v>128</v>
      </c>
      <c r="O2528" s="8" t="s">
        <v>16511</v>
      </c>
      <c r="P2528" s="8" t="s">
        <v>16512</v>
      </c>
      <c r="Q2528" s="8" t="s">
        <v>150</v>
      </c>
      <c r="R2528" s="8"/>
      <c r="S2528" s="8" t="s">
        <v>71</v>
      </c>
      <c r="T2528" s="8" t="s">
        <v>70</v>
      </c>
      <c r="U2528" s="8" t="s">
        <v>150</v>
      </c>
      <c r="V2528" s="8" t="s">
        <v>70</v>
      </c>
      <c r="W2528" s="8" t="s">
        <v>70</v>
      </c>
      <c r="X2528" s="8">
        <v>11</v>
      </c>
      <c r="Y2528" s="8" t="s">
        <v>12359</v>
      </c>
      <c r="Z2528" s="8">
        <v>20</v>
      </c>
      <c r="AA2528" s="8">
        <v>0</v>
      </c>
      <c r="AB2528" s="9">
        <v>0</v>
      </c>
    </row>
    <row r="2529" spans="1:28" x14ac:dyDescent="0.2">
      <c r="A2529" s="10">
        <v>22970</v>
      </c>
      <c r="B2529" s="11" t="s">
        <v>16513</v>
      </c>
      <c r="C2529" s="11" t="s">
        <v>2825</v>
      </c>
      <c r="D2529" s="11" t="s">
        <v>7382</v>
      </c>
      <c r="E2529" s="11"/>
      <c r="F2529" s="11" t="s">
        <v>353</v>
      </c>
      <c r="G2529" s="11" t="s">
        <v>971</v>
      </c>
      <c r="H2529" s="11" t="s">
        <v>142</v>
      </c>
      <c r="I2529" s="11" t="s">
        <v>2826</v>
      </c>
      <c r="J2529" s="11" t="s">
        <v>16514</v>
      </c>
      <c r="K2529" s="11" t="s">
        <v>974</v>
      </c>
      <c r="L2529" s="11" t="s">
        <v>146</v>
      </c>
      <c r="M2529" s="11" t="s">
        <v>16515</v>
      </c>
      <c r="N2529" s="11" t="s">
        <v>128</v>
      </c>
      <c r="O2529" s="11" t="s">
        <v>16516</v>
      </c>
      <c r="P2529" s="11" t="s">
        <v>16517</v>
      </c>
      <c r="Q2529" s="11" t="s">
        <v>150</v>
      </c>
      <c r="R2529" s="11"/>
      <c r="S2529" s="11" t="s">
        <v>71</v>
      </c>
      <c r="T2529" s="11" t="s">
        <v>70</v>
      </c>
      <c r="U2529" s="11" t="s">
        <v>150</v>
      </c>
      <c r="V2529" s="11" t="s">
        <v>70</v>
      </c>
      <c r="W2529" s="11" t="s">
        <v>70</v>
      </c>
      <c r="X2529" s="11">
        <v>11</v>
      </c>
      <c r="Y2529" s="11" t="s">
        <v>12359</v>
      </c>
      <c r="Z2529" s="11">
        <v>20</v>
      </c>
      <c r="AA2529" s="11">
        <v>0</v>
      </c>
      <c r="AB2529" s="12">
        <v>0</v>
      </c>
    </row>
    <row r="2530" spans="1:28" x14ac:dyDescent="0.2">
      <c r="A2530" s="7">
        <v>22883</v>
      </c>
      <c r="B2530" s="8" t="s">
        <v>16518</v>
      </c>
      <c r="C2530" s="8" t="s">
        <v>5155</v>
      </c>
      <c r="D2530" s="8" t="s">
        <v>16519</v>
      </c>
      <c r="E2530" s="8"/>
      <c r="F2530" s="8" t="s">
        <v>16520</v>
      </c>
      <c r="G2530" s="8" t="s">
        <v>5158</v>
      </c>
      <c r="H2530" s="8" t="s">
        <v>142</v>
      </c>
      <c r="I2530" s="8" t="s">
        <v>5159</v>
      </c>
      <c r="J2530" s="8" t="s">
        <v>16521</v>
      </c>
      <c r="K2530" s="8" t="s">
        <v>717</v>
      </c>
      <c r="L2530" s="8" t="s">
        <v>464</v>
      </c>
      <c r="M2530" s="8" t="s">
        <v>16522</v>
      </c>
      <c r="N2530" s="8" t="s">
        <v>128</v>
      </c>
      <c r="O2530" s="8" t="s">
        <v>16523</v>
      </c>
      <c r="P2530" s="8" t="s">
        <v>16524</v>
      </c>
      <c r="Q2530" s="8" t="s">
        <v>150</v>
      </c>
      <c r="R2530" s="8"/>
      <c r="S2530" s="8" t="s">
        <v>71</v>
      </c>
      <c r="T2530" s="8" t="s">
        <v>70</v>
      </c>
      <c r="U2530" s="8" t="s">
        <v>150</v>
      </c>
      <c r="V2530" s="8" t="s">
        <v>70</v>
      </c>
      <c r="W2530" s="8" t="s">
        <v>70</v>
      </c>
      <c r="X2530" s="8">
        <v>11</v>
      </c>
      <c r="Y2530" s="8" t="s">
        <v>12359</v>
      </c>
      <c r="Z2530" s="8">
        <v>20</v>
      </c>
      <c r="AA2530" s="8">
        <v>0</v>
      </c>
      <c r="AB2530" s="9">
        <v>0</v>
      </c>
    </row>
    <row r="2531" spans="1:28" x14ac:dyDescent="0.2">
      <c r="A2531" s="10">
        <v>22933</v>
      </c>
      <c r="B2531" s="11" t="s">
        <v>16525</v>
      </c>
      <c r="C2531" s="11" t="s">
        <v>16255</v>
      </c>
      <c r="D2531" s="11" t="s">
        <v>16256</v>
      </c>
      <c r="E2531" s="11"/>
      <c r="F2531" s="11" t="s">
        <v>14013</v>
      </c>
      <c r="G2531" s="11" t="s">
        <v>4047</v>
      </c>
      <c r="H2531" s="11" t="s">
        <v>142</v>
      </c>
      <c r="I2531" s="11" t="s">
        <v>15731</v>
      </c>
      <c r="J2531" s="11" t="s">
        <v>16526</v>
      </c>
      <c r="K2531" s="11" t="s">
        <v>1029</v>
      </c>
      <c r="L2531" s="11" t="s">
        <v>464</v>
      </c>
      <c r="M2531" s="11" t="s">
        <v>16527</v>
      </c>
      <c r="N2531" s="11" t="s">
        <v>128</v>
      </c>
      <c r="O2531" s="11" t="s">
        <v>16528</v>
      </c>
      <c r="P2531" s="11" t="s">
        <v>16529</v>
      </c>
      <c r="Q2531" s="11" t="s">
        <v>150</v>
      </c>
      <c r="R2531" s="11"/>
      <c r="S2531" s="11" t="s">
        <v>71</v>
      </c>
      <c r="T2531" s="11" t="s">
        <v>70</v>
      </c>
      <c r="U2531" s="11" t="s">
        <v>150</v>
      </c>
      <c r="V2531" s="11" t="s">
        <v>70</v>
      </c>
      <c r="W2531" s="11" t="s">
        <v>70</v>
      </c>
      <c r="X2531" s="11">
        <v>11</v>
      </c>
      <c r="Y2531" s="11" t="s">
        <v>12359</v>
      </c>
      <c r="Z2531" s="11">
        <v>20</v>
      </c>
      <c r="AA2531" s="11">
        <v>0</v>
      </c>
      <c r="AB2531" s="12">
        <v>0</v>
      </c>
    </row>
    <row r="2532" spans="1:28" x14ac:dyDescent="0.2">
      <c r="A2532" s="7">
        <v>23112</v>
      </c>
      <c r="B2532" s="8" t="s">
        <v>16530</v>
      </c>
      <c r="C2532" s="8" t="s">
        <v>7650</v>
      </c>
      <c r="D2532" s="8" t="s">
        <v>11190</v>
      </c>
      <c r="E2532" s="8"/>
      <c r="F2532" s="8" t="s">
        <v>8621</v>
      </c>
      <c r="G2532" s="8" t="s">
        <v>7653</v>
      </c>
      <c r="H2532" s="8" t="s">
        <v>142</v>
      </c>
      <c r="I2532" s="8" t="s">
        <v>16531</v>
      </c>
      <c r="J2532" s="8" t="s">
        <v>16532</v>
      </c>
      <c r="K2532" s="8" t="s">
        <v>717</v>
      </c>
      <c r="L2532" s="8" t="s">
        <v>464</v>
      </c>
      <c r="M2532" s="8" t="s">
        <v>16533</v>
      </c>
      <c r="N2532" s="8" t="s">
        <v>128</v>
      </c>
      <c r="O2532" s="8" t="s">
        <v>16534</v>
      </c>
      <c r="P2532" s="8" t="s">
        <v>16535</v>
      </c>
      <c r="Q2532" s="8" t="s">
        <v>150</v>
      </c>
      <c r="R2532" s="8"/>
      <c r="S2532" s="8" t="s">
        <v>71</v>
      </c>
      <c r="T2532" s="8" t="s">
        <v>70</v>
      </c>
      <c r="U2532" s="8" t="s">
        <v>150</v>
      </c>
      <c r="V2532" s="8" t="s">
        <v>70</v>
      </c>
      <c r="W2532" s="8" t="s">
        <v>70</v>
      </c>
      <c r="X2532" s="8">
        <v>11</v>
      </c>
      <c r="Y2532" s="8" t="s">
        <v>12359</v>
      </c>
      <c r="Z2532" s="8">
        <v>20</v>
      </c>
      <c r="AA2532" s="8">
        <v>0</v>
      </c>
      <c r="AB2532" s="9">
        <v>0</v>
      </c>
    </row>
    <row r="2533" spans="1:28" x14ac:dyDescent="0.2">
      <c r="A2533" s="10">
        <v>23413</v>
      </c>
      <c r="B2533" s="11" t="s">
        <v>16536</v>
      </c>
      <c r="C2533" s="11" t="s">
        <v>2785</v>
      </c>
      <c r="D2533" s="11" t="s">
        <v>16537</v>
      </c>
      <c r="E2533" s="11"/>
      <c r="F2533" s="11" t="s">
        <v>16538</v>
      </c>
      <c r="G2533" s="11" t="s">
        <v>846</v>
      </c>
      <c r="H2533" s="11" t="s">
        <v>847</v>
      </c>
      <c r="I2533" s="11" t="s">
        <v>16539</v>
      </c>
      <c r="J2533" s="11" t="s">
        <v>16540</v>
      </c>
      <c r="K2533" s="11" t="s">
        <v>850</v>
      </c>
      <c r="L2533" s="11" t="s">
        <v>126</v>
      </c>
      <c r="M2533" s="11" t="s">
        <v>16541</v>
      </c>
      <c r="N2533" s="11" t="s">
        <v>128</v>
      </c>
      <c r="O2533" s="11" t="s">
        <v>16542</v>
      </c>
      <c r="P2533" s="11" t="s">
        <v>16543</v>
      </c>
      <c r="Q2533" s="11" t="s">
        <v>150</v>
      </c>
      <c r="R2533" s="11"/>
      <c r="S2533" s="11" t="s">
        <v>71</v>
      </c>
      <c r="T2533" s="11" t="s">
        <v>1415</v>
      </c>
      <c r="U2533" s="11" t="s">
        <v>150</v>
      </c>
      <c r="V2533" s="11" t="s">
        <v>1415</v>
      </c>
      <c r="W2533" s="11" t="s">
        <v>1415</v>
      </c>
      <c r="X2533" s="11">
        <v>11</v>
      </c>
      <c r="Y2533" s="11" t="s">
        <v>12359</v>
      </c>
      <c r="Z2533" s="11">
        <v>20</v>
      </c>
      <c r="AA2533" s="11">
        <v>0</v>
      </c>
      <c r="AB2533" s="12">
        <v>0</v>
      </c>
    </row>
    <row r="2534" spans="1:28" x14ac:dyDescent="0.2">
      <c r="A2534" s="7">
        <v>23756</v>
      </c>
      <c r="B2534" s="8" t="s">
        <v>16544</v>
      </c>
      <c r="C2534" s="8" t="s">
        <v>16545</v>
      </c>
      <c r="D2534" s="8" t="s">
        <v>16546</v>
      </c>
      <c r="E2534" s="8" t="s">
        <v>16547</v>
      </c>
      <c r="F2534" s="8" t="s">
        <v>353</v>
      </c>
      <c r="G2534" s="8" t="s">
        <v>14308</v>
      </c>
      <c r="H2534" s="8" t="s">
        <v>142</v>
      </c>
      <c r="I2534" s="8" t="s">
        <v>16548</v>
      </c>
      <c r="J2534" s="8" t="s">
        <v>16549</v>
      </c>
      <c r="K2534" s="8" t="s">
        <v>1673</v>
      </c>
      <c r="L2534" s="8" t="s">
        <v>464</v>
      </c>
      <c r="M2534" s="8" t="s">
        <v>16550</v>
      </c>
      <c r="N2534" s="8" t="s">
        <v>128</v>
      </c>
      <c r="O2534" s="8" t="s">
        <v>16551</v>
      </c>
      <c r="P2534" s="8" t="s">
        <v>994</v>
      </c>
      <c r="Q2534" s="8" t="s">
        <v>150</v>
      </c>
      <c r="R2534" s="8"/>
      <c r="S2534" s="8" t="s">
        <v>71</v>
      </c>
      <c r="T2534" s="8" t="s">
        <v>168</v>
      </c>
      <c r="U2534" s="8" t="s">
        <v>150</v>
      </c>
      <c r="V2534" s="8" t="s">
        <v>168</v>
      </c>
      <c r="W2534" s="8" t="s">
        <v>168</v>
      </c>
      <c r="X2534" s="8">
        <v>11</v>
      </c>
      <c r="Y2534" s="8" t="s">
        <v>12359</v>
      </c>
      <c r="Z2534" s="8">
        <v>20</v>
      </c>
      <c r="AA2534" s="8">
        <v>0</v>
      </c>
      <c r="AB2534" s="9">
        <v>0</v>
      </c>
    </row>
    <row r="2535" spans="1:28" x14ac:dyDescent="0.2">
      <c r="A2535" s="10">
        <v>23616</v>
      </c>
      <c r="B2535" s="11" t="s">
        <v>16552</v>
      </c>
      <c r="C2535" s="11" t="s">
        <v>5548</v>
      </c>
      <c r="D2535" s="11" t="s">
        <v>12758</v>
      </c>
      <c r="E2535" s="11" t="s">
        <v>4223</v>
      </c>
      <c r="F2535" s="11" t="s">
        <v>1344</v>
      </c>
      <c r="G2535" s="11" t="s">
        <v>1026</v>
      </c>
      <c r="H2535" s="11" t="s">
        <v>142</v>
      </c>
      <c r="I2535" s="11" t="s">
        <v>16553</v>
      </c>
      <c r="J2535" s="11" t="s">
        <v>16554</v>
      </c>
      <c r="K2535" s="11" t="s">
        <v>1029</v>
      </c>
      <c r="L2535" s="11" t="s">
        <v>464</v>
      </c>
      <c r="M2535" s="11" t="s">
        <v>16555</v>
      </c>
      <c r="N2535" s="11" t="s">
        <v>128</v>
      </c>
      <c r="O2535" s="11" t="s">
        <v>16556</v>
      </c>
      <c r="P2535" s="11" t="s">
        <v>915</v>
      </c>
      <c r="Q2535" s="11" t="s">
        <v>150</v>
      </c>
      <c r="R2535" s="11"/>
      <c r="S2535" s="11" t="s">
        <v>71</v>
      </c>
      <c r="T2535" s="11" t="s">
        <v>168</v>
      </c>
      <c r="U2535" s="11" t="s">
        <v>150</v>
      </c>
      <c r="V2535" s="11" t="s">
        <v>168</v>
      </c>
      <c r="W2535" s="11" t="s">
        <v>168</v>
      </c>
      <c r="X2535" s="11">
        <v>11</v>
      </c>
      <c r="Y2535" s="11" t="s">
        <v>12359</v>
      </c>
      <c r="Z2535" s="11">
        <v>20</v>
      </c>
      <c r="AA2535" s="11">
        <v>0</v>
      </c>
      <c r="AB2535" s="12">
        <v>0</v>
      </c>
    </row>
    <row r="2536" spans="1:28" x14ac:dyDescent="0.2">
      <c r="A2536" s="7">
        <v>23746</v>
      </c>
      <c r="B2536" s="8" t="s">
        <v>16557</v>
      </c>
      <c r="C2536" s="8" t="s">
        <v>16558</v>
      </c>
      <c r="D2536" s="8" t="s">
        <v>3784</v>
      </c>
      <c r="E2536" s="8"/>
      <c r="F2536" s="8" t="s">
        <v>3678</v>
      </c>
      <c r="G2536" s="8" t="s">
        <v>141</v>
      </c>
      <c r="H2536" s="8" t="s">
        <v>142</v>
      </c>
      <c r="I2536" s="8" t="s">
        <v>16559</v>
      </c>
      <c r="J2536" s="8" t="s">
        <v>16560</v>
      </c>
      <c r="K2536" s="8" t="s">
        <v>584</v>
      </c>
      <c r="L2536" s="8" t="s">
        <v>146</v>
      </c>
      <c r="M2536" s="8" t="s">
        <v>16561</v>
      </c>
      <c r="N2536" s="8" t="s">
        <v>128</v>
      </c>
      <c r="O2536" s="8" t="s">
        <v>16562</v>
      </c>
      <c r="P2536" s="8" t="s">
        <v>1470</v>
      </c>
      <c r="Q2536" s="8" t="s">
        <v>150</v>
      </c>
      <c r="R2536" s="8"/>
      <c r="S2536" s="8" t="s">
        <v>71</v>
      </c>
      <c r="T2536" s="8" t="s">
        <v>168</v>
      </c>
      <c r="U2536" s="8" t="s">
        <v>150</v>
      </c>
      <c r="V2536" s="8" t="s">
        <v>168</v>
      </c>
      <c r="W2536" s="8" t="s">
        <v>168</v>
      </c>
      <c r="X2536" s="8">
        <v>11</v>
      </c>
      <c r="Y2536" s="8" t="s">
        <v>12359</v>
      </c>
      <c r="Z2536" s="8">
        <v>20</v>
      </c>
      <c r="AA2536" s="8">
        <v>0</v>
      </c>
      <c r="AB2536" s="9">
        <v>0</v>
      </c>
    </row>
    <row r="2537" spans="1:28" x14ac:dyDescent="0.2">
      <c r="A2537" s="10">
        <v>23845</v>
      </c>
      <c r="B2537" s="11" t="s">
        <v>16563</v>
      </c>
      <c r="C2537" s="11" t="s">
        <v>16564</v>
      </c>
      <c r="D2537" s="11" t="s">
        <v>10406</v>
      </c>
      <c r="E2537" s="11"/>
      <c r="F2537" s="11" t="s">
        <v>16565</v>
      </c>
      <c r="G2537" s="11" t="s">
        <v>14809</v>
      </c>
      <c r="H2537" s="11" t="s">
        <v>847</v>
      </c>
      <c r="I2537" s="11" t="s">
        <v>16566</v>
      </c>
      <c r="J2537" s="11" t="s">
        <v>16567</v>
      </c>
      <c r="K2537" s="11" t="s">
        <v>1091</v>
      </c>
      <c r="L2537" s="11" t="s">
        <v>126</v>
      </c>
      <c r="M2537" s="11" t="s">
        <v>16568</v>
      </c>
      <c r="N2537" s="11" t="s">
        <v>128</v>
      </c>
      <c r="O2537" s="11" t="s">
        <v>16569</v>
      </c>
      <c r="P2537" s="11" t="s">
        <v>16570</v>
      </c>
      <c r="Q2537" s="11" t="s">
        <v>150</v>
      </c>
      <c r="R2537" s="11"/>
      <c r="S2537" s="11" t="s">
        <v>71</v>
      </c>
      <c r="T2537" s="11" t="s">
        <v>168</v>
      </c>
      <c r="U2537" s="11" t="s">
        <v>150</v>
      </c>
      <c r="V2537" s="11" t="s">
        <v>168</v>
      </c>
      <c r="W2537" s="11" t="s">
        <v>168</v>
      </c>
      <c r="X2537" s="11">
        <v>11</v>
      </c>
      <c r="Y2537" s="11" t="s">
        <v>12359</v>
      </c>
      <c r="Z2537" s="11">
        <v>20</v>
      </c>
      <c r="AA2537" s="11">
        <v>0</v>
      </c>
      <c r="AB2537" s="12">
        <v>0</v>
      </c>
    </row>
    <row r="2538" spans="1:28" x14ac:dyDescent="0.2">
      <c r="A2538" s="7">
        <v>24945</v>
      </c>
      <c r="B2538" s="8" t="s">
        <v>16571</v>
      </c>
      <c r="C2538" s="8" t="s">
        <v>16171</v>
      </c>
      <c r="D2538" s="8" t="s">
        <v>16172</v>
      </c>
      <c r="E2538" s="8" t="s">
        <v>9635</v>
      </c>
      <c r="F2538" s="8" t="s">
        <v>16173</v>
      </c>
      <c r="G2538" s="8" t="s">
        <v>9522</v>
      </c>
      <c r="H2538" s="8" t="s">
        <v>159</v>
      </c>
      <c r="I2538" s="8" t="s">
        <v>16174</v>
      </c>
      <c r="J2538" s="8" t="s">
        <v>16175</v>
      </c>
      <c r="K2538" s="8" t="s">
        <v>162</v>
      </c>
      <c r="L2538" s="8" t="s">
        <v>163</v>
      </c>
      <c r="M2538" s="8" t="s">
        <v>16572</v>
      </c>
      <c r="N2538" s="8" t="s">
        <v>128</v>
      </c>
      <c r="O2538" s="8" t="s">
        <v>16573</v>
      </c>
      <c r="P2538" s="8" t="s">
        <v>15072</v>
      </c>
      <c r="Q2538" s="8" t="s">
        <v>150</v>
      </c>
      <c r="R2538" s="8"/>
      <c r="S2538" s="8" t="s">
        <v>16179</v>
      </c>
      <c r="T2538" s="8" t="s">
        <v>1738</v>
      </c>
      <c r="U2538" s="8" t="s">
        <v>150</v>
      </c>
      <c r="V2538" s="8" t="s">
        <v>1738</v>
      </c>
      <c r="W2538" s="8" t="s">
        <v>1738</v>
      </c>
      <c r="X2538" s="8">
        <v>11</v>
      </c>
      <c r="Y2538" s="8" t="s">
        <v>12359</v>
      </c>
      <c r="Z2538" s="8">
        <v>20</v>
      </c>
      <c r="AA2538" s="8">
        <v>0</v>
      </c>
      <c r="AB2538" s="9">
        <v>0</v>
      </c>
    </row>
    <row r="2539" spans="1:28" x14ac:dyDescent="0.2">
      <c r="A2539" s="10">
        <v>24867</v>
      </c>
      <c r="B2539" s="11" t="s">
        <v>16574</v>
      </c>
      <c r="C2539" s="11" t="s">
        <v>2090</v>
      </c>
      <c r="D2539" s="11" t="s">
        <v>2091</v>
      </c>
      <c r="E2539" s="11" t="s">
        <v>16575</v>
      </c>
      <c r="F2539" s="11" t="s">
        <v>353</v>
      </c>
      <c r="G2539" s="11" t="s">
        <v>2093</v>
      </c>
      <c r="H2539" s="11" t="s">
        <v>142</v>
      </c>
      <c r="I2539" s="11" t="s">
        <v>2094</v>
      </c>
      <c r="J2539" s="11" t="s">
        <v>2095</v>
      </c>
      <c r="K2539" s="11" t="s">
        <v>651</v>
      </c>
      <c r="L2539" s="11" t="s">
        <v>146</v>
      </c>
      <c r="M2539" s="11" t="s">
        <v>16576</v>
      </c>
      <c r="N2539" s="11" t="s">
        <v>128</v>
      </c>
      <c r="O2539" s="11" t="s">
        <v>16577</v>
      </c>
      <c r="P2539" s="11" t="s">
        <v>9130</v>
      </c>
      <c r="Q2539" s="11" t="s">
        <v>150</v>
      </c>
      <c r="R2539" s="11"/>
      <c r="S2539" s="11" t="s">
        <v>2099</v>
      </c>
      <c r="T2539" s="11" t="s">
        <v>1738</v>
      </c>
      <c r="U2539" s="11" t="s">
        <v>150</v>
      </c>
      <c r="V2539" s="11" t="s">
        <v>1738</v>
      </c>
      <c r="W2539" s="11" t="s">
        <v>1738</v>
      </c>
      <c r="X2539" s="11">
        <v>11</v>
      </c>
      <c r="Y2539" s="11" t="s">
        <v>12359</v>
      </c>
      <c r="Z2539" s="11">
        <v>20</v>
      </c>
      <c r="AA2539" s="11">
        <v>0</v>
      </c>
      <c r="AB2539" s="12">
        <v>0</v>
      </c>
    </row>
    <row r="2540" spans="1:28" x14ac:dyDescent="0.2">
      <c r="A2540" s="7">
        <v>125371</v>
      </c>
      <c r="B2540" s="8" t="s">
        <v>16578</v>
      </c>
      <c r="C2540" s="8" t="s">
        <v>15474</v>
      </c>
      <c r="D2540" s="8" t="s">
        <v>9336</v>
      </c>
      <c r="E2540" s="8" t="s">
        <v>16579</v>
      </c>
      <c r="F2540" s="8" t="s">
        <v>14120</v>
      </c>
      <c r="G2540" s="8" t="s">
        <v>141</v>
      </c>
      <c r="H2540" s="8" t="s">
        <v>142</v>
      </c>
      <c r="I2540" s="8" t="s">
        <v>15476</v>
      </c>
      <c r="J2540" s="8" t="s">
        <v>16580</v>
      </c>
      <c r="K2540" s="8" t="s">
        <v>145</v>
      </c>
      <c r="L2540" s="8" t="s">
        <v>146</v>
      </c>
      <c r="M2540" s="8" t="s">
        <v>16581</v>
      </c>
      <c r="N2540" s="8" t="s">
        <v>128</v>
      </c>
      <c r="O2540" s="8" t="s">
        <v>16582</v>
      </c>
      <c r="P2540" s="8" t="s">
        <v>16583</v>
      </c>
      <c r="Q2540" s="8" t="s">
        <v>740</v>
      </c>
      <c r="R2540" s="8"/>
      <c r="S2540" s="8" t="s">
        <v>15481</v>
      </c>
      <c r="T2540" s="8" t="s">
        <v>1745</v>
      </c>
      <c r="U2540" s="8" t="s">
        <v>134</v>
      </c>
      <c r="V2540" s="8" t="s">
        <v>740</v>
      </c>
      <c r="W2540" s="8" t="s">
        <v>1745</v>
      </c>
      <c r="X2540" s="8">
        <v>11</v>
      </c>
      <c r="Y2540" s="8" t="s">
        <v>12359</v>
      </c>
      <c r="Z2540" s="8">
        <v>20</v>
      </c>
      <c r="AA2540" s="8">
        <v>0</v>
      </c>
      <c r="AB2540" s="9">
        <v>0</v>
      </c>
    </row>
    <row r="2541" spans="1:28" x14ac:dyDescent="0.2">
      <c r="A2541" s="10">
        <v>85244</v>
      </c>
      <c r="B2541" s="11" t="s">
        <v>16584</v>
      </c>
      <c r="C2541" s="11" t="s">
        <v>16558</v>
      </c>
      <c r="D2541" s="11" t="s">
        <v>7616</v>
      </c>
      <c r="E2541" s="11"/>
      <c r="F2541" s="11" t="s">
        <v>16585</v>
      </c>
      <c r="G2541" s="11" t="s">
        <v>141</v>
      </c>
      <c r="H2541" s="11" t="s">
        <v>142</v>
      </c>
      <c r="I2541" s="11" t="s">
        <v>16586</v>
      </c>
      <c r="J2541" s="11" t="s">
        <v>16587</v>
      </c>
      <c r="K2541" s="11" t="s">
        <v>584</v>
      </c>
      <c r="L2541" s="11" t="s">
        <v>146</v>
      </c>
      <c r="M2541" s="11" t="s">
        <v>16588</v>
      </c>
      <c r="N2541" s="11" t="s">
        <v>128</v>
      </c>
      <c r="O2541" s="11" t="s">
        <v>16589</v>
      </c>
      <c r="P2541" s="11" t="s">
        <v>16590</v>
      </c>
      <c r="Q2541" s="11" t="s">
        <v>740</v>
      </c>
      <c r="R2541" s="11"/>
      <c r="S2541" s="11" t="s">
        <v>16591</v>
      </c>
      <c r="T2541" s="11" t="s">
        <v>1745</v>
      </c>
      <c r="U2541" s="11" t="s">
        <v>134</v>
      </c>
      <c r="V2541" s="11" t="s">
        <v>740</v>
      </c>
      <c r="W2541" s="11" t="s">
        <v>1745</v>
      </c>
      <c r="X2541" s="11">
        <v>11</v>
      </c>
      <c r="Y2541" s="11" t="s">
        <v>12359</v>
      </c>
      <c r="Z2541" s="11">
        <v>20</v>
      </c>
      <c r="AA2541" s="11">
        <v>0</v>
      </c>
      <c r="AB2541" s="12">
        <v>0</v>
      </c>
    </row>
    <row r="2542" spans="1:28" x14ac:dyDescent="0.2">
      <c r="A2542" s="7">
        <v>32117</v>
      </c>
      <c r="B2542" s="8" t="s">
        <v>16592</v>
      </c>
      <c r="C2542" s="8" t="s">
        <v>2090</v>
      </c>
      <c r="D2542" s="8" t="s">
        <v>2091</v>
      </c>
      <c r="E2542" s="8"/>
      <c r="F2542" s="8" t="s">
        <v>353</v>
      </c>
      <c r="G2542" s="8" t="s">
        <v>2093</v>
      </c>
      <c r="H2542" s="8" t="s">
        <v>142</v>
      </c>
      <c r="I2542" s="8" t="s">
        <v>2094</v>
      </c>
      <c r="J2542" s="8" t="s">
        <v>16593</v>
      </c>
      <c r="K2542" s="8" t="s">
        <v>651</v>
      </c>
      <c r="L2542" s="8" t="s">
        <v>146</v>
      </c>
      <c r="M2542" s="8" t="s">
        <v>16594</v>
      </c>
      <c r="N2542" s="8" t="s">
        <v>128</v>
      </c>
      <c r="O2542" s="8" t="s">
        <v>16595</v>
      </c>
      <c r="P2542" s="8" t="s">
        <v>16596</v>
      </c>
      <c r="Q2542" s="8" t="s">
        <v>740</v>
      </c>
      <c r="R2542" s="8"/>
      <c r="S2542" s="8" t="s">
        <v>2099</v>
      </c>
      <c r="T2542" s="8" t="s">
        <v>1745</v>
      </c>
      <c r="U2542" s="8" t="s">
        <v>134</v>
      </c>
      <c r="V2542" s="8" t="s">
        <v>740</v>
      </c>
      <c r="W2542" s="8" t="s">
        <v>1745</v>
      </c>
      <c r="X2542" s="8">
        <v>11</v>
      </c>
      <c r="Y2542" s="8" t="s">
        <v>12359</v>
      </c>
      <c r="Z2542" s="8">
        <v>20</v>
      </c>
      <c r="AA2542" s="8">
        <v>0</v>
      </c>
      <c r="AB2542" s="9">
        <v>0</v>
      </c>
    </row>
    <row r="2543" spans="1:28" x14ac:dyDescent="0.2">
      <c r="A2543" s="10">
        <v>25107</v>
      </c>
      <c r="B2543" s="11" t="s">
        <v>16597</v>
      </c>
      <c r="C2543" s="11" t="s">
        <v>16598</v>
      </c>
      <c r="D2543" s="11" t="s">
        <v>16599</v>
      </c>
      <c r="E2543" s="11"/>
      <c r="F2543" s="11" t="s">
        <v>7985</v>
      </c>
      <c r="G2543" s="11" t="s">
        <v>224</v>
      </c>
      <c r="H2543" s="11" t="s">
        <v>225</v>
      </c>
      <c r="I2543" s="11" t="s">
        <v>16600</v>
      </c>
      <c r="J2543" s="11" t="s">
        <v>16601</v>
      </c>
      <c r="K2543" s="11" t="s">
        <v>228</v>
      </c>
      <c r="L2543" s="11" t="s">
        <v>229</v>
      </c>
      <c r="M2543" s="11" t="s">
        <v>16602</v>
      </c>
      <c r="N2543" s="11" t="s">
        <v>128</v>
      </c>
      <c r="O2543" s="11" t="s">
        <v>16603</v>
      </c>
      <c r="P2543" s="11"/>
      <c r="Q2543" s="11" t="s">
        <v>740</v>
      </c>
      <c r="R2543" s="11"/>
      <c r="S2543" s="11" t="s">
        <v>16418</v>
      </c>
      <c r="T2543" s="11" t="s">
        <v>1745</v>
      </c>
      <c r="U2543" s="11" t="s">
        <v>134</v>
      </c>
      <c r="V2543" s="11" t="s">
        <v>740</v>
      </c>
      <c r="W2543" s="11" t="s">
        <v>1745</v>
      </c>
      <c r="X2543" s="11">
        <v>11</v>
      </c>
      <c r="Y2543" s="11" t="s">
        <v>12359</v>
      </c>
      <c r="Z2543" s="11">
        <v>20</v>
      </c>
      <c r="AA2543" s="11">
        <v>0</v>
      </c>
      <c r="AB2543" s="12">
        <v>0</v>
      </c>
    </row>
    <row r="2544" spans="1:28" x14ac:dyDescent="0.2">
      <c r="A2544" s="7">
        <v>25317</v>
      </c>
      <c r="B2544" s="8" t="s">
        <v>16604</v>
      </c>
      <c r="C2544" s="8" t="s">
        <v>15170</v>
      </c>
      <c r="D2544" s="8" t="s">
        <v>553</v>
      </c>
      <c r="E2544" s="8" t="s">
        <v>16605</v>
      </c>
      <c r="F2544" s="8" t="s">
        <v>15171</v>
      </c>
      <c r="G2544" s="8" t="s">
        <v>3364</v>
      </c>
      <c r="H2544" s="8" t="s">
        <v>704</v>
      </c>
      <c r="I2544" s="8" t="s">
        <v>16606</v>
      </c>
      <c r="J2544" s="8" t="s">
        <v>16607</v>
      </c>
      <c r="K2544" s="8" t="s">
        <v>1051</v>
      </c>
      <c r="L2544" s="8" t="s">
        <v>126</v>
      </c>
      <c r="M2544" s="8" t="s">
        <v>16608</v>
      </c>
      <c r="N2544" s="8" t="s">
        <v>128</v>
      </c>
      <c r="O2544" s="8" t="s">
        <v>16609</v>
      </c>
      <c r="P2544" s="8" t="s">
        <v>16610</v>
      </c>
      <c r="Q2544" s="8" t="s">
        <v>740</v>
      </c>
      <c r="R2544" s="8"/>
      <c r="S2544" s="8" t="s">
        <v>15175</v>
      </c>
      <c r="T2544" s="8" t="s">
        <v>741</v>
      </c>
      <c r="U2544" s="8" t="s">
        <v>134</v>
      </c>
      <c r="V2544" s="8" t="s">
        <v>740</v>
      </c>
      <c r="W2544" s="8" t="s">
        <v>741</v>
      </c>
      <c r="X2544" s="8">
        <v>11</v>
      </c>
      <c r="Y2544" s="8" t="s">
        <v>12359</v>
      </c>
      <c r="Z2544" s="8">
        <v>20</v>
      </c>
      <c r="AA2544" s="8">
        <v>0</v>
      </c>
      <c r="AB2544" s="9">
        <v>0</v>
      </c>
    </row>
    <row r="2545" spans="1:28" x14ac:dyDescent="0.2">
      <c r="A2545" s="10">
        <v>106328</v>
      </c>
      <c r="B2545" s="11" t="s">
        <v>16611</v>
      </c>
      <c r="C2545" s="11" t="s">
        <v>10192</v>
      </c>
      <c r="D2545" s="11" t="s">
        <v>7213</v>
      </c>
      <c r="E2545" s="11"/>
      <c r="F2545" s="11" t="s">
        <v>6117</v>
      </c>
      <c r="G2545" s="11" t="s">
        <v>141</v>
      </c>
      <c r="H2545" s="11" t="s">
        <v>142</v>
      </c>
      <c r="I2545" s="11" t="s">
        <v>10194</v>
      </c>
      <c r="J2545" s="11" t="s">
        <v>16612</v>
      </c>
      <c r="K2545" s="11" t="s">
        <v>584</v>
      </c>
      <c r="L2545" s="11" t="s">
        <v>146</v>
      </c>
      <c r="M2545" s="11" t="s">
        <v>16613</v>
      </c>
      <c r="N2545" s="11" t="s">
        <v>128</v>
      </c>
      <c r="O2545" s="11" t="s">
        <v>16614</v>
      </c>
      <c r="P2545" s="11" t="s">
        <v>16615</v>
      </c>
      <c r="Q2545" s="11" t="s">
        <v>740</v>
      </c>
      <c r="R2545" s="11"/>
      <c r="S2545" s="11" t="s">
        <v>71</v>
      </c>
      <c r="T2545" s="11" t="s">
        <v>741</v>
      </c>
      <c r="U2545" s="11" t="s">
        <v>134</v>
      </c>
      <c r="V2545" s="11" t="s">
        <v>740</v>
      </c>
      <c r="W2545" s="11" t="s">
        <v>741</v>
      </c>
      <c r="X2545" s="11">
        <v>11</v>
      </c>
      <c r="Y2545" s="11" t="s">
        <v>12359</v>
      </c>
      <c r="Z2545" s="11">
        <v>20</v>
      </c>
      <c r="AA2545" s="11">
        <v>0</v>
      </c>
      <c r="AB2545" s="12">
        <v>0</v>
      </c>
    </row>
    <row r="2546" spans="1:28" x14ac:dyDescent="0.2">
      <c r="A2546" s="7">
        <v>37883</v>
      </c>
      <c r="B2546" s="8" t="s">
        <v>16616</v>
      </c>
      <c r="C2546" s="8" t="s">
        <v>16358</v>
      </c>
      <c r="D2546" s="8" t="s">
        <v>16359</v>
      </c>
      <c r="E2546" s="8"/>
      <c r="F2546" s="8" t="s">
        <v>16617</v>
      </c>
      <c r="G2546" s="8" t="s">
        <v>1952</v>
      </c>
      <c r="H2546" s="8" t="s">
        <v>1953</v>
      </c>
      <c r="I2546" s="8" t="s">
        <v>16618</v>
      </c>
      <c r="J2546" s="8" t="s">
        <v>16362</v>
      </c>
      <c r="K2546" s="8" t="s">
        <v>1956</v>
      </c>
      <c r="L2546" s="8" t="s">
        <v>526</v>
      </c>
      <c r="M2546" s="8" t="s">
        <v>16619</v>
      </c>
      <c r="N2546" s="8" t="s">
        <v>128</v>
      </c>
      <c r="O2546" s="8" t="s">
        <v>16620</v>
      </c>
      <c r="P2546" s="8" t="s">
        <v>16621</v>
      </c>
      <c r="Q2546" s="8" t="s">
        <v>740</v>
      </c>
      <c r="R2546" s="8"/>
      <c r="S2546" s="8" t="s">
        <v>16366</v>
      </c>
      <c r="T2546" s="8" t="s">
        <v>741</v>
      </c>
      <c r="U2546" s="8" t="s">
        <v>134</v>
      </c>
      <c r="V2546" s="8" t="s">
        <v>740</v>
      </c>
      <c r="W2546" s="8" t="s">
        <v>741</v>
      </c>
      <c r="X2546" s="8">
        <v>11</v>
      </c>
      <c r="Y2546" s="8" t="s">
        <v>12359</v>
      </c>
      <c r="Z2546" s="8">
        <v>20</v>
      </c>
      <c r="AA2546" s="8">
        <v>0</v>
      </c>
      <c r="AB2546" s="9">
        <v>0</v>
      </c>
    </row>
    <row r="2547" spans="1:28" x14ac:dyDescent="0.2">
      <c r="A2547" s="10">
        <v>25153</v>
      </c>
      <c r="B2547" s="11" t="s">
        <v>16622</v>
      </c>
      <c r="C2547" s="11" t="s">
        <v>11088</v>
      </c>
      <c r="D2547" s="11" t="s">
        <v>9975</v>
      </c>
      <c r="E2547" s="11"/>
      <c r="F2547" s="11" t="s">
        <v>16623</v>
      </c>
      <c r="G2547" s="11" t="s">
        <v>3758</v>
      </c>
      <c r="H2547" s="11" t="s">
        <v>847</v>
      </c>
      <c r="I2547" s="11" t="s">
        <v>16624</v>
      </c>
      <c r="J2547" s="11" t="s">
        <v>16625</v>
      </c>
      <c r="K2547" s="11" t="s">
        <v>1091</v>
      </c>
      <c r="L2547" s="11" t="s">
        <v>126</v>
      </c>
      <c r="M2547" s="11" t="s">
        <v>16626</v>
      </c>
      <c r="N2547" s="11" t="s">
        <v>128</v>
      </c>
      <c r="O2547" s="11" t="s">
        <v>16627</v>
      </c>
      <c r="P2547" s="11"/>
      <c r="Q2547" s="11" t="s">
        <v>740</v>
      </c>
      <c r="R2547" s="11"/>
      <c r="S2547" s="11" t="s">
        <v>16628</v>
      </c>
      <c r="T2547" s="11" t="s">
        <v>741</v>
      </c>
      <c r="U2547" s="11" t="s">
        <v>134</v>
      </c>
      <c r="V2547" s="11" t="s">
        <v>740</v>
      </c>
      <c r="W2547" s="11" t="s">
        <v>741</v>
      </c>
      <c r="X2547" s="11">
        <v>11</v>
      </c>
      <c r="Y2547" s="11" t="s">
        <v>12359</v>
      </c>
      <c r="Z2547" s="11">
        <v>20</v>
      </c>
      <c r="AA2547" s="11">
        <v>0</v>
      </c>
      <c r="AB2547" s="12">
        <v>0</v>
      </c>
    </row>
    <row r="2548" spans="1:28" x14ac:dyDescent="0.2">
      <c r="A2548" s="7">
        <v>183907</v>
      </c>
      <c r="B2548" s="8" t="s">
        <v>16629</v>
      </c>
      <c r="C2548" s="8" t="s">
        <v>16630</v>
      </c>
      <c r="D2548" s="8" t="s">
        <v>1064</v>
      </c>
      <c r="E2548" s="8"/>
      <c r="F2548" s="8" t="s">
        <v>16631</v>
      </c>
      <c r="G2548" s="8" t="s">
        <v>776</v>
      </c>
      <c r="H2548" s="8" t="s">
        <v>142</v>
      </c>
      <c r="I2548" s="8" t="s">
        <v>16632</v>
      </c>
      <c r="J2548" s="8" t="s">
        <v>16633</v>
      </c>
      <c r="K2548" s="8" t="s">
        <v>779</v>
      </c>
      <c r="L2548" s="8" t="s">
        <v>464</v>
      </c>
      <c r="M2548" s="8" t="s">
        <v>16634</v>
      </c>
      <c r="N2548" s="8" t="s">
        <v>128</v>
      </c>
      <c r="O2548" s="8" t="s">
        <v>16635</v>
      </c>
      <c r="P2548" s="8"/>
      <c r="Q2548" s="8" t="s">
        <v>740</v>
      </c>
      <c r="R2548" s="8"/>
      <c r="S2548" s="8" t="s">
        <v>16636</v>
      </c>
      <c r="T2548" s="8" t="s">
        <v>741</v>
      </c>
      <c r="U2548" s="8" t="s">
        <v>134</v>
      </c>
      <c r="V2548" s="8" t="s">
        <v>740</v>
      </c>
      <c r="W2548" s="8" t="s">
        <v>741</v>
      </c>
      <c r="X2548" s="8">
        <v>11</v>
      </c>
      <c r="Y2548" s="8" t="s">
        <v>12359</v>
      </c>
      <c r="Z2548" s="8">
        <v>20</v>
      </c>
      <c r="AA2548" s="8">
        <v>0</v>
      </c>
      <c r="AB2548" s="9">
        <v>0</v>
      </c>
    </row>
    <row r="2549" spans="1:28" x14ac:dyDescent="0.2">
      <c r="A2549" s="10">
        <v>117177</v>
      </c>
      <c r="B2549" s="11" t="s">
        <v>16637</v>
      </c>
      <c r="C2549" s="11" t="s">
        <v>8042</v>
      </c>
      <c r="D2549" s="11" t="s">
        <v>138</v>
      </c>
      <c r="E2549" s="11" t="s">
        <v>16638</v>
      </c>
      <c r="F2549" s="11" t="s">
        <v>353</v>
      </c>
      <c r="G2549" s="11" t="s">
        <v>5012</v>
      </c>
      <c r="H2549" s="11" t="s">
        <v>301</v>
      </c>
      <c r="I2549" s="11" t="s">
        <v>8044</v>
      </c>
      <c r="J2549" s="11" t="s">
        <v>8045</v>
      </c>
      <c r="K2549" s="11" t="s">
        <v>228</v>
      </c>
      <c r="L2549" s="11" t="s">
        <v>229</v>
      </c>
      <c r="M2549" s="11" t="s">
        <v>16639</v>
      </c>
      <c r="N2549" s="11" t="s">
        <v>128</v>
      </c>
      <c r="O2549" s="11" t="s">
        <v>16640</v>
      </c>
      <c r="P2549" s="11"/>
      <c r="Q2549" s="11" t="s">
        <v>249</v>
      </c>
      <c r="R2549" s="11"/>
      <c r="S2549" s="11" t="s">
        <v>8049</v>
      </c>
      <c r="T2549" s="11" t="s">
        <v>1523</v>
      </c>
      <c r="U2549" s="11" t="s">
        <v>134</v>
      </c>
      <c r="V2549" s="11" t="s">
        <v>249</v>
      </c>
      <c r="W2549" s="11" t="s">
        <v>1523</v>
      </c>
      <c r="X2549" s="11">
        <v>11</v>
      </c>
      <c r="Y2549" s="11" t="s">
        <v>12359</v>
      </c>
      <c r="Z2549" s="11">
        <v>20</v>
      </c>
      <c r="AA2549" s="11">
        <v>0</v>
      </c>
      <c r="AB2549" s="12">
        <v>0</v>
      </c>
    </row>
    <row r="2550" spans="1:28" x14ac:dyDescent="0.2">
      <c r="A2550" s="7">
        <v>22130</v>
      </c>
      <c r="B2550" s="8" t="s">
        <v>16641</v>
      </c>
      <c r="C2550" s="8" t="s">
        <v>2742</v>
      </c>
      <c r="D2550" s="8" t="s">
        <v>5904</v>
      </c>
      <c r="E2550" s="8" t="s">
        <v>16642</v>
      </c>
      <c r="F2550" s="8" t="s">
        <v>5906</v>
      </c>
      <c r="G2550" s="8" t="s">
        <v>141</v>
      </c>
      <c r="H2550" s="8" t="s">
        <v>142</v>
      </c>
      <c r="I2550" s="8" t="s">
        <v>5907</v>
      </c>
      <c r="J2550" s="8" t="s">
        <v>5908</v>
      </c>
      <c r="K2550" s="8" t="s">
        <v>403</v>
      </c>
      <c r="L2550" s="8" t="s">
        <v>146</v>
      </c>
      <c r="M2550" s="8" t="s">
        <v>16643</v>
      </c>
      <c r="N2550" s="8" t="s">
        <v>128</v>
      </c>
      <c r="O2550" s="8" t="s">
        <v>16644</v>
      </c>
      <c r="P2550" s="8"/>
      <c r="Q2550" s="8" t="s">
        <v>249</v>
      </c>
      <c r="R2550" s="8"/>
      <c r="S2550" s="8" t="s">
        <v>5912</v>
      </c>
      <c r="T2550" s="8" t="s">
        <v>1523</v>
      </c>
      <c r="U2550" s="8" t="s">
        <v>134</v>
      </c>
      <c r="V2550" s="8" t="s">
        <v>249</v>
      </c>
      <c r="W2550" s="8" t="s">
        <v>1523</v>
      </c>
      <c r="X2550" s="8">
        <v>11</v>
      </c>
      <c r="Y2550" s="8" t="s">
        <v>12359</v>
      </c>
      <c r="Z2550" s="8">
        <v>20</v>
      </c>
      <c r="AA2550" s="8">
        <v>0</v>
      </c>
      <c r="AB2550" s="9">
        <v>0</v>
      </c>
    </row>
    <row r="2551" spans="1:28" x14ac:dyDescent="0.2">
      <c r="A2551" s="10">
        <v>25632</v>
      </c>
      <c r="B2551" s="11" t="s">
        <v>16645</v>
      </c>
      <c r="C2551" s="11" t="s">
        <v>1610</v>
      </c>
      <c r="D2551" s="11" t="s">
        <v>1611</v>
      </c>
      <c r="E2551" s="11" t="s">
        <v>14361</v>
      </c>
      <c r="F2551" s="11" t="s">
        <v>1613</v>
      </c>
      <c r="G2551" s="11" t="s">
        <v>1614</v>
      </c>
      <c r="H2551" s="11" t="s">
        <v>142</v>
      </c>
      <c r="I2551" s="11" t="s">
        <v>1615</v>
      </c>
      <c r="J2551" s="11" t="s">
        <v>1616</v>
      </c>
      <c r="K2551" s="11" t="s">
        <v>717</v>
      </c>
      <c r="L2551" s="11" t="s">
        <v>464</v>
      </c>
      <c r="M2551" s="11" t="s">
        <v>16646</v>
      </c>
      <c r="N2551" s="11" t="s">
        <v>128</v>
      </c>
      <c r="O2551" s="11" t="s">
        <v>16647</v>
      </c>
      <c r="P2551" s="11"/>
      <c r="Q2551" s="11" t="s">
        <v>249</v>
      </c>
      <c r="R2551" s="11"/>
      <c r="S2551" s="11" t="s">
        <v>1620</v>
      </c>
      <c r="T2551" s="11" t="s">
        <v>1523</v>
      </c>
      <c r="U2551" s="11" t="s">
        <v>134</v>
      </c>
      <c r="V2551" s="11" t="s">
        <v>249</v>
      </c>
      <c r="W2551" s="11" t="s">
        <v>1523</v>
      </c>
      <c r="X2551" s="11">
        <v>11</v>
      </c>
      <c r="Y2551" s="11" t="s">
        <v>12359</v>
      </c>
      <c r="Z2551" s="11">
        <v>20</v>
      </c>
      <c r="AA2551" s="11">
        <v>0</v>
      </c>
      <c r="AB2551" s="12">
        <v>0</v>
      </c>
    </row>
    <row r="2552" spans="1:28" x14ac:dyDescent="0.2">
      <c r="A2552" s="7">
        <v>111694</v>
      </c>
      <c r="B2552" s="8" t="s">
        <v>16648</v>
      </c>
      <c r="C2552" s="8" t="s">
        <v>4844</v>
      </c>
      <c r="D2552" s="8" t="s">
        <v>4845</v>
      </c>
      <c r="E2552" s="8"/>
      <c r="F2552" s="8" t="s">
        <v>4847</v>
      </c>
      <c r="G2552" s="8" t="s">
        <v>141</v>
      </c>
      <c r="H2552" s="8" t="s">
        <v>142</v>
      </c>
      <c r="I2552" s="8" t="s">
        <v>4848</v>
      </c>
      <c r="J2552" s="8" t="s">
        <v>4849</v>
      </c>
      <c r="K2552" s="8" t="s">
        <v>584</v>
      </c>
      <c r="L2552" s="8" t="s">
        <v>146</v>
      </c>
      <c r="M2552" s="8" t="s">
        <v>16649</v>
      </c>
      <c r="N2552" s="8" t="s">
        <v>128</v>
      </c>
      <c r="O2552" s="8" t="s">
        <v>16650</v>
      </c>
      <c r="P2552" s="8"/>
      <c r="Q2552" s="8" t="s">
        <v>249</v>
      </c>
      <c r="R2552" s="8"/>
      <c r="S2552" s="8" t="s">
        <v>4853</v>
      </c>
      <c r="T2552" s="8" t="s">
        <v>1523</v>
      </c>
      <c r="U2552" s="8" t="s">
        <v>134</v>
      </c>
      <c r="V2552" s="8" t="s">
        <v>249</v>
      </c>
      <c r="W2552" s="8" t="s">
        <v>1523</v>
      </c>
      <c r="X2552" s="8">
        <v>11</v>
      </c>
      <c r="Y2552" s="8" t="s">
        <v>12359</v>
      </c>
      <c r="Z2552" s="8">
        <v>20</v>
      </c>
      <c r="AA2552" s="8">
        <v>0</v>
      </c>
      <c r="AB2552" s="9">
        <v>0</v>
      </c>
    </row>
    <row r="2553" spans="1:28" x14ac:dyDescent="0.2">
      <c r="A2553" s="10">
        <v>115227</v>
      </c>
      <c r="B2553" s="11" t="s">
        <v>16651</v>
      </c>
      <c r="C2553" s="11" t="s">
        <v>6508</v>
      </c>
      <c r="D2553" s="11" t="s">
        <v>6509</v>
      </c>
      <c r="E2553" s="11"/>
      <c r="F2553" s="11" t="s">
        <v>16652</v>
      </c>
      <c r="G2553" s="11" t="s">
        <v>141</v>
      </c>
      <c r="H2553" s="11" t="s">
        <v>142</v>
      </c>
      <c r="I2553" s="11" t="s">
        <v>16653</v>
      </c>
      <c r="J2553" s="11" t="s">
        <v>6512</v>
      </c>
      <c r="K2553" s="11" t="s">
        <v>472</v>
      </c>
      <c r="L2553" s="11" t="s">
        <v>146</v>
      </c>
      <c r="M2553" s="11" t="s">
        <v>16654</v>
      </c>
      <c r="N2553" s="11" t="s">
        <v>128</v>
      </c>
      <c r="O2553" s="11" t="s">
        <v>16655</v>
      </c>
      <c r="P2553" s="11"/>
      <c r="Q2553" s="11" t="s">
        <v>249</v>
      </c>
      <c r="R2553" s="11"/>
      <c r="S2553" s="11" t="s">
        <v>6516</v>
      </c>
      <c r="T2553" s="11" t="s">
        <v>1523</v>
      </c>
      <c r="U2553" s="11" t="s">
        <v>134</v>
      </c>
      <c r="V2553" s="11" t="s">
        <v>249</v>
      </c>
      <c r="W2553" s="11" t="s">
        <v>1523</v>
      </c>
      <c r="X2553" s="11">
        <v>11</v>
      </c>
      <c r="Y2553" s="11" t="s">
        <v>12359</v>
      </c>
      <c r="Z2553" s="11">
        <v>20</v>
      </c>
      <c r="AA2553" s="11">
        <v>0</v>
      </c>
      <c r="AB2553" s="12">
        <v>0</v>
      </c>
    </row>
    <row r="2554" spans="1:28" x14ac:dyDescent="0.2">
      <c r="A2554" s="7">
        <v>22160</v>
      </c>
      <c r="B2554" s="8" t="s">
        <v>16656</v>
      </c>
      <c r="C2554" s="8" t="s">
        <v>8184</v>
      </c>
      <c r="D2554" s="8" t="s">
        <v>8185</v>
      </c>
      <c r="E2554" s="8"/>
      <c r="F2554" s="8" t="s">
        <v>353</v>
      </c>
      <c r="G2554" s="8" t="s">
        <v>3643</v>
      </c>
      <c r="H2554" s="8" t="s">
        <v>142</v>
      </c>
      <c r="I2554" s="8" t="s">
        <v>9056</v>
      </c>
      <c r="J2554" s="8" t="s">
        <v>16657</v>
      </c>
      <c r="K2554" s="8" t="s">
        <v>651</v>
      </c>
      <c r="L2554" s="8" t="s">
        <v>146</v>
      </c>
      <c r="M2554" s="8" t="s">
        <v>16658</v>
      </c>
      <c r="N2554" s="8" t="s">
        <v>128</v>
      </c>
      <c r="O2554" s="8" t="s">
        <v>16659</v>
      </c>
      <c r="P2554" s="8"/>
      <c r="Q2554" s="8" t="s">
        <v>249</v>
      </c>
      <c r="R2554" s="8"/>
      <c r="S2554" s="8" t="s">
        <v>4620</v>
      </c>
      <c r="T2554" s="8" t="s">
        <v>1523</v>
      </c>
      <c r="U2554" s="8" t="s">
        <v>134</v>
      </c>
      <c r="V2554" s="8" t="s">
        <v>249</v>
      </c>
      <c r="W2554" s="8" t="s">
        <v>1523</v>
      </c>
      <c r="X2554" s="8">
        <v>11</v>
      </c>
      <c r="Y2554" s="8" t="s">
        <v>12359</v>
      </c>
      <c r="Z2554" s="8">
        <v>20</v>
      </c>
      <c r="AA2554" s="8">
        <v>0</v>
      </c>
      <c r="AB2554" s="9">
        <v>0</v>
      </c>
    </row>
    <row r="2555" spans="1:28" x14ac:dyDescent="0.2">
      <c r="A2555" s="10">
        <v>226711</v>
      </c>
      <c r="B2555" s="11" t="s">
        <v>16660</v>
      </c>
      <c r="C2555" s="11" t="s">
        <v>16076</v>
      </c>
      <c r="D2555" s="11" t="s">
        <v>10293</v>
      </c>
      <c r="E2555" s="11"/>
      <c r="F2555" s="11" t="s">
        <v>353</v>
      </c>
      <c r="G2555" s="11" t="s">
        <v>16021</v>
      </c>
      <c r="H2555" s="11" t="s">
        <v>329</v>
      </c>
      <c r="I2555" s="11" t="s">
        <v>16022</v>
      </c>
      <c r="J2555" s="11" t="s">
        <v>16661</v>
      </c>
      <c r="K2555" s="11" t="s">
        <v>415</v>
      </c>
      <c r="L2555" s="11" t="s">
        <v>333</v>
      </c>
      <c r="M2555" s="11" t="s">
        <v>16662</v>
      </c>
      <c r="N2555" s="11" t="s">
        <v>128</v>
      </c>
      <c r="O2555" s="11" t="s">
        <v>16663</v>
      </c>
      <c r="P2555" s="11" t="s">
        <v>16664</v>
      </c>
      <c r="Q2555" s="11" t="s">
        <v>249</v>
      </c>
      <c r="R2555" s="11"/>
      <c r="S2555" s="11" t="s">
        <v>71</v>
      </c>
      <c r="T2555" s="11" t="s">
        <v>250</v>
      </c>
      <c r="U2555" s="11" t="s">
        <v>134</v>
      </c>
      <c r="V2555" s="11" t="s">
        <v>249</v>
      </c>
      <c r="W2555" s="11" t="s">
        <v>250</v>
      </c>
      <c r="X2555" s="11">
        <v>11</v>
      </c>
      <c r="Y2555" s="11" t="s">
        <v>12359</v>
      </c>
      <c r="Z2555" s="11">
        <v>20</v>
      </c>
      <c r="AA2555" s="11">
        <v>0</v>
      </c>
      <c r="AB2555" s="12">
        <v>0</v>
      </c>
    </row>
    <row r="2556" spans="1:28" x14ac:dyDescent="0.2">
      <c r="A2556" s="7">
        <v>25389</v>
      </c>
      <c r="B2556" s="8" t="s">
        <v>16665</v>
      </c>
      <c r="C2556" s="8" t="s">
        <v>16358</v>
      </c>
      <c r="D2556" s="8" t="s">
        <v>16359</v>
      </c>
      <c r="E2556" s="8"/>
      <c r="F2556" s="8" t="s">
        <v>16617</v>
      </c>
      <c r="G2556" s="8" t="s">
        <v>1952</v>
      </c>
      <c r="H2556" s="8" t="s">
        <v>1953</v>
      </c>
      <c r="I2556" s="8" t="s">
        <v>16666</v>
      </c>
      <c r="J2556" s="8" t="s">
        <v>16362</v>
      </c>
      <c r="K2556" s="8" t="s">
        <v>1956</v>
      </c>
      <c r="L2556" s="8" t="s">
        <v>526</v>
      </c>
      <c r="M2556" s="8" t="s">
        <v>16667</v>
      </c>
      <c r="N2556" s="8" t="s">
        <v>128</v>
      </c>
      <c r="O2556" s="8" t="s">
        <v>16668</v>
      </c>
      <c r="P2556" s="8" t="s">
        <v>16669</v>
      </c>
      <c r="Q2556" s="8" t="s">
        <v>249</v>
      </c>
      <c r="R2556" s="8"/>
      <c r="S2556" s="8" t="s">
        <v>16366</v>
      </c>
      <c r="T2556" s="8" t="s">
        <v>250</v>
      </c>
      <c r="U2556" s="8" t="s">
        <v>134</v>
      </c>
      <c r="V2556" s="8" t="s">
        <v>249</v>
      </c>
      <c r="W2556" s="8" t="s">
        <v>250</v>
      </c>
      <c r="X2556" s="8">
        <v>11</v>
      </c>
      <c r="Y2556" s="8" t="s">
        <v>12359</v>
      </c>
      <c r="Z2556" s="8">
        <v>20</v>
      </c>
      <c r="AA2556" s="8">
        <v>0</v>
      </c>
      <c r="AB2556" s="9">
        <v>0</v>
      </c>
    </row>
    <row r="2557" spans="1:28" x14ac:dyDescent="0.2">
      <c r="A2557" s="10">
        <v>25488</v>
      </c>
      <c r="B2557" s="11" t="s">
        <v>16670</v>
      </c>
      <c r="C2557" s="11" t="s">
        <v>6018</v>
      </c>
      <c r="D2557" s="11" t="s">
        <v>6019</v>
      </c>
      <c r="E2557" s="11"/>
      <c r="F2557" s="11" t="s">
        <v>16671</v>
      </c>
      <c r="G2557" s="11" t="s">
        <v>1325</v>
      </c>
      <c r="H2557" s="11" t="s">
        <v>142</v>
      </c>
      <c r="I2557" s="11" t="s">
        <v>13077</v>
      </c>
      <c r="J2557" s="11" t="s">
        <v>16672</v>
      </c>
      <c r="K2557" s="11" t="s">
        <v>974</v>
      </c>
      <c r="L2557" s="11" t="s">
        <v>146</v>
      </c>
      <c r="M2557" s="11" t="s">
        <v>16673</v>
      </c>
      <c r="N2557" s="11" t="s">
        <v>128</v>
      </c>
      <c r="O2557" s="11" t="s">
        <v>16674</v>
      </c>
      <c r="P2557" s="11" t="s">
        <v>16675</v>
      </c>
      <c r="Q2557" s="11" t="s">
        <v>249</v>
      </c>
      <c r="R2557" s="11"/>
      <c r="S2557" s="11" t="s">
        <v>6027</v>
      </c>
      <c r="T2557" s="11" t="s">
        <v>250</v>
      </c>
      <c r="U2557" s="11" t="s">
        <v>134</v>
      </c>
      <c r="V2557" s="11" t="s">
        <v>249</v>
      </c>
      <c r="W2557" s="11" t="s">
        <v>250</v>
      </c>
      <c r="X2557" s="11">
        <v>11</v>
      </c>
      <c r="Y2557" s="11" t="s">
        <v>12359</v>
      </c>
      <c r="Z2557" s="11">
        <v>20</v>
      </c>
      <c r="AA2557" s="11">
        <v>0</v>
      </c>
      <c r="AB2557" s="12">
        <v>0</v>
      </c>
    </row>
    <row r="2558" spans="1:28" x14ac:dyDescent="0.2">
      <c r="A2558" s="7">
        <v>111406</v>
      </c>
      <c r="B2558" s="8" t="s">
        <v>16676</v>
      </c>
      <c r="C2558" s="8" t="s">
        <v>16414</v>
      </c>
      <c r="D2558" s="8" t="s">
        <v>12075</v>
      </c>
      <c r="E2558" s="8"/>
      <c r="F2558" s="8" t="s">
        <v>16677</v>
      </c>
      <c r="G2558" s="8" t="s">
        <v>16678</v>
      </c>
      <c r="H2558" s="8" t="s">
        <v>225</v>
      </c>
      <c r="I2558" s="8" t="s">
        <v>16600</v>
      </c>
      <c r="J2558" s="8" t="s">
        <v>16679</v>
      </c>
      <c r="K2558" s="8" t="s">
        <v>228</v>
      </c>
      <c r="L2558" s="8" t="s">
        <v>229</v>
      </c>
      <c r="M2558" s="8" t="s">
        <v>16680</v>
      </c>
      <c r="N2558" s="8" t="s">
        <v>128</v>
      </c>
      <c r="O2558" s="8" t="s">
        <v>16681</v>
      </c>
      <c r="P2558" s="8" t="s">
        <v>16682</v>
      </c>
      <c r="Q2558" s="8" t="s">
        <v>249</v>
      </c>
      <c r="R2558" s="8"/>
      <c r="S2558" s="8" t="s">
        <v>16418</v>
      </c>
      <c r="T2558" s="8" t="s">
        <v>250</v>
      </c>
      <c r="U2558" s="8" t="s">
        <v>134</v>
      </c>
      <c r="V2558" s="8" t="s">
        <v>249</v>
      </c>
      <c r="W2558" s="8" t="s">
        <v>250</v>
      </c>
      <c r="X2558" s="8">
        <v>11</v>
      </c>
      <c r="Y2558" s="8" t="s">
        <v>12359</v>
      </c>
      <c r="Z2558" s="8">
        <v>20</v>
      </c>
      <c r="AA2558" s="8">
        <v>0</v>
      </c>
      <c r="AB2558" s="9">
        <v>0</v>
      </c>
    </row>
    <row r="2559" spans="1:28" x14ac:dyDescent="0.2">
      <c r="A2559" s="10">
        <v>126078</v>
      </c>
      <c r="B2559" s="11" t="s">
        <v>16683</v>
      </c>
      <c r="C2559" s="11" t="s">
        <v>6181</v>
      </c>
      <c r="D2559" s="11" t="s">
        <v>6182</v>
      </c>
      <c r="E2559" s="11"/>
      <c r="F2559" s="11" t="s">
        <v>16057</v>
      </c>
      <c r="G2559" s="11" t="s">
        <v>270</v>
      </c>
      <c r="H2559" s="11" t="s">
        <v>271</v>
      </c>
      <c r="I2559" s="11" t="s">
        <v>6185</v>
      </c>
      <c r="J2559" s="11" t="s">
        <v>6186</v>
      </c>
      <c r="K2559" s="11" t="s">
        <v>274</v>
      </c>
      <c r="L2559" s="11" t="s">
        <v>163</v>
      </c>
      <c r="M2559" s="11" t="s">
        <v>16684</v>
      </c>
      <c r="N2559" s="11" t="s">
        <v>128</v>
      </c>
      <c r="O2559" s="11" t="s">
        <v>16685</v>
      </c>
      <c r="P2559" s="11" t="s">
        <v>16686</v>
      </c>
      <c r="Q2559" s="11" t="s">
        <v>249</v>
      </c>
      <c r="R2559" s="11"/>
      <c r="S2559" s="11" t="s">
        <v>6190</v>
      </c>
      <c r="T2559" s="11" t="s">
        <v>250</v>
      </c>
      <c r="U2559" s="11" t="s">
        <v>134</v>
      </c>
      <c r="V2559" s="11" t="s">
        <v>249</v>
      </c>
      <c r="W2559" s="11" t="s">
        <v>250</v>
      </c>
      <c r="X2559" s="11">
        <v>11</v>
      </c>
      <c r="Y2559" s="11" t="s">
        <v>12359</v>
      </c>
      <c r="Z2559" s="11">
        <v>20</v>
      </c>
      <c r="AA2559" s="11">
        <v>0</v>
      </c>
      <c r="AB2559" s="12">
        <v>0</v>
      </c>
    </row>
    <row r="2560" spans="1:28" x14ac:dyDescent="0.2">
      <c r="A2560" s="7">
        <v>218098</v>
      </c>
      <c r="B2560" s="8" t="s">
        <v>16687</v>
      </c>
      <c r="C2560" s="8" t="s">
        <v>16688</v>
      </c>
      <c r="D2560" s="8" t="s">
        <v>16689</v>
      </c>
      <c r="E2560" s="8"/>
      <c r="F2560" s="8" t="s">
        <v>16690</v>
      </c>
      <c r="G2560" s="8" t="s">
        <v>4012</v>
      </c>
      <c r="H2560" s="8" t="s">
        <v>671</v>
      </c>
      <c r="I2560" s="8" t="s">
        <v>15890</v>
      </c>
      <c r="J2560" s="8" t="s">
        <v>10384</v>
      </c>
      <c r="K2560" s="8" t="s">
        <v>572</v>
      </c>
      <c r="L2560" s="8" t="s">
        <v>333</v>
      </c>
      <c r="M2560" s="8" t="s">
        <v>16691</v>
      </c>
      <c r="N2560" s="8" t="s">
        <v>128</v>
      </c>
      <c r="O2560" s="8" t="s">
        <v>16692</v>
      </c>
      <c r="P2560" s="8" t="s">
        <v>16693</v>
      </c>
      <c r="Q2560" s="8" t="s">
        <v>249</v>
      </c>
      <c r="R2560" s="8"/>
      <c r="S2560" s="8" t="s">
        <v>10388</v>
      </c>
      <c r="T2560" s="8" t="s">
        <v>250</v>
      </c>
      <c r="U2560" s="8" t="s">
        <v>134</v>
      </c>
      <c r="V2560" s="8" t="s">
        <v>249</v>
      </c>
      <c r="W2560" s="8" t="s">
        <v>250</v>
      </c>
      <c r="X2560" s="8">
        <v>11</v>
      </c>
      <c r="Y2560" s="8" t="s">
        <v>12359</v>
      </c>
      <c r="Z2560" s="8">
        <v>20</v>
      </c>
      <c r="AA2560" s="8">
        <v>0</v>
      </c>
      <c r="AB2560" s="9">
        <v>0</v>
      </c>
    </row>
    <row r="2561" spans="1:28" x14ac:dyDescent="0.2">
      <c r="A2561" s="10">
        <v>25841</v>
      </c>
      <c r="B2561" s="11" t="s">
        <v>16694</v>
      </c>
      <c r="C2561" s="11" t="s">
        <v>16695</v>
      </c>
      <c r="D2561" s="11" t="s">
        <v>3159</v>
      </c>
      <c r="E2561" s="11"/>
      <c r="F2561" s="11" t="s">
        <v>353</v>
      </c>
      <c r="G2561" s="11" t="s">
        <v>3364</v>
      </c>
      <c r="H2561" s="11" t="s">
        <v>704</v>
      </c>
      <c r="I2561" s="11" t="s">
        <v>16696</v>
      </c>
      <c r="J2561" s="11" t="s">
        <v>16697</v>
      </c>
      <c r="K2561" s="11" t="s">
        <v>1051</v>
      </c>
      <c r="L2561" s="11" t="s">
        <v>126</v>
      </c>
      <c r="M2561" s="11" t="s">
        <v>16698</v>
      </c>
      <c r="N2561" s="11" t="s">
        <v>128</v>
      </c>
      <c r="O2561" s="11"/>
      <c r="P2561" s="11"/>
      <c r="Q2561" s="11" t="s">
        <v>150</v>
      </c>
      <c r="R2561" s="11"/>
      <c r="S2561" s="11" t="s">
        <v>71</v>
      </c>
      <c r="T2561" s="11" t="s">
        <v>16699</v>
      </c>
      <c r="U2561" s="11" t="s">
        <v>150</v>
      </c>
      <c r="V2561" s="11" t="s">
        <v>16699</v>
      </c>
      <c r="W2561" s="11" t="s">
        <v>16699</v>
      </c>
      <c r="X2561" s="11">
        <v>10</v>
      </c>
      <c r="Y2561" s="11" t="s">
        <v>12359</v>
      </c>
      <c r="Z2561" s="11">
        <v>20</v>
      </c>
      <c r="AA2561" s="11">
        <v>0</v>
      </c>
      <c r="AB2561" s="12">
        <v>0</v>
      </c>
    </row>
    <row r="2562" spans="1:28" x14ac:dyDescent="0.2">
      <c r="A2562" s="7">
        <v>20788</v>
      </c>
      <c r="B2562" s="8" t="s">
        <v>16700</v>
      </c>
      <c r="C2562" s="8" t="s">
        <v>16701</v>
      </c>
      <c r="D2562" s="8" t="s">
        <v>7225</v>
      </c>
      <c r="E2562" s="8"/>
      <c r="F2562" s="8" t="s">
        <v>353</v>
      </c>
      <c r="G2562" s="8" t="s">
        <v>3364</v>
      </c>
      <c r="H2562" s="8" t="s">
        <v>704</v>
      </c>
      <c r="I2562" s="8" t="s">
        <v>8017</v>
      </c>
      <c r="J2562" s="8" t="s">
        <v>16702</v>
      </c>
      <c r="K2562" s="8" t="s">
        <v>1051</v>
      </c>
      <c r="L2562" s="8" t="s">
        <v>126</v>
      </c>
      <c r="M2562" s="8" t="s">
        <v>16703</v>
      </c>
      <c r="N2562" s="8" t="s">
        <v>128</v>
      </c>
      <c r="O2562" s="8" t="s">
        <v>16704</v>
      </c>
      <c r="P2562" s="8"/>
      <c r="Q2562" s="8" t="s">
        <v>150</v>
      </c>
      <c r="R2562" s="8"/>
      <c r="S2562" s="8" t="s">
        <v>71</v>
      </c>
      <c r="T2562" s="8" t="s">
        <v>16705</v>
      </c>
      <c r="U2562" s="8" t="s">
        <v>150</v>
      </c>
      <c r="V2562" s="8" t="s">
        <v>16705</v>
      </c>
      <c r="W2562" s="8" t="s">
        <v>16705</v>
      </c>
      <c r="X2562" s="8">
        <v>10</v>
      </c>
      <c r="Y2562" s="8" t="s">
        <v>12359</v>
      </c>
      <c r="Z2562" s="8">
        <v>20</v>
      </c>
      <c r="AA2562" s="8">
        <v>0</v>
      </c>
      <c r="AB2562" s="9">
        <v>0</v>
      </c>
    </row>
    <row r="2563" spans="1:28" x14ac:dyDescent="0.2">
      <c r="A2563" s="10">
        <v>22640</v>
      </c>
      <c r="B2563" s="11" t="s">
        <v>16706</v>
      </c>
      <c r="C2563" s="11" t="s">
        <v>16707</v>
      </c>
      <c r="D2563" s="11" t="s">
        <v>16708</v>
      </c>
      <c r="E2563" s="11" t="s">
        <v>281</v>
      </c>
      <c r="F2563" s="11" t="s">
        <v>16709</v>
      </c>
      <c r="G2563" s="11" t="s">
        <v>158</v>
      </c>
      <c r="H2563" s="11" t="s">
        <v>159</v>
      </c>
      <c r="I2563" s="11" t="s">
        <v>16710</v>
      </c>
      <c r="J2563" s="11" t="s">
        <v>16711</v>
      </c>
      <c r="K2563" s="11" t="s">
        <v>162</v>
      </c>
      <c r="L2563" s="11" t="s">
        <v>163</v>
      </c>
      <c r="M2563" s="11" t="s">
        <v>16712</v>
      </c>
      <c r="N2563" s="11" t="s">
        <v>128</v>
      </c>
      <c r="O2563" s="11" t="s">
        <v>16713</v>
      </c>
      <c r="P2563" s="11" t="s">
        <v>16714</v>
      </c>
      <c r="Q2563" s="11" t="s">
        <v>150</v>
      </c>
      <c r="R2563" s="11"/>
      <c r="S2563" s="11" t="s">
        <v>71</v>
      </c>
      <c r="T2563" s="11" t="s">
        <v>289</v>
      </c>
      <c r="U2563" s="11" t="s">
        <v>150</v>
      </c>
      <c r="V2563" s="11" t="s">
        <v>289</v>
      </c>
      <c r="W2563" s="11" t="s">
        <v>289</v>
      </c>
      <c r="X2563" s="11">
        <v>10</v>
      </c>
      <c r="Y2563" s="11" t="s">
        <v>12359</v>
      </c>
      <c r="Z2563" s="11">
        <v>20</v>
      </c>
      <c r="AA2563" s="11">
        <v>0</v>
      </c>
      <c r="AB2563" s="12">
        <v>0</v>
      </c>
    </row>
    <row r="2564" spans="1:28" x14ac:dyDescent="0.2">
      <c r="A2564" s="7">
        <v>26152</v>
      </c>
      <c r="B2564" s="8" t="s">
        <v>16715</v>
      </c>
      <c r="C2564" s="8" t="s">
        <v>1585</v>
      </c>
      <c r="D2564" s="8" t="s">
        <v>1064</v>
      </c>
      <c r="E2564" s="8"/>
      <c r="F2564" s="8" t="s">
        <v>14356</v>
      </c>
      <c r="G2564" s="8" t="s">
        <v>1488</v>
      </c>
      <c r="H2564" s="8" t="s">
        <v>329</v>
      </c>
      <c r="I2564" s="8" t="s">
        <v>1588</v>
      </c>
      <c r="J2564" s="8" t="s">
        <v>16716</v>
      </c>
      <c r="K2564" s="8" t="s">
        <v>415</v>
      </c>
      <c r="L2564" s="8" t="s">
        <v>333</v>
      </c>
      <c r="M2564" s="8" t="s">
        <v>16717</v>
      </c>
      <c r="N2564" s="8" t="s">
        <v>128</v>
      </c>
      <c r="O2564" s="8"/>
      <c r="P2564" s="8" t="s">
        <v>16718</v>
      </c>
      <c r="Q2564" s="8" t="s">
        <v>150</v>
      </c>
      <c r="R2564" s="8"/>
      <c r="S2564" s="8" t="s">
        <v>71</v>
      </c>
      <c r="T2564" s="8" t="s">
        <v>642</v>
      </c>
      <c r="U2564" s="8" t="s">
        <v>150</v>
      </c>
      <c r="V2564" s="8" t="s">
        <v>642</v>
      </c>
      <c r="W2564" s="8" t="s">
        <v>642</v>
      </c>
      <c r="X2564" s="8">
        <v>10</v>
      </c>
      <c r="Y2564" s="8" t="s">
        <v>12359</v>
      </c>
      <c r="Z2564" s="8">
        <v>20</v>
      </c>
      <c r="AA2564" s="8">
        <v>0</v>
      </c>
      <c r="AB2564" s="9">
        <v>0</v>
      </c>
    </row>
    <row r="2565" spans="1:28" x14ac:dyDescent="0.2">
      <c r="A2565" s="10">
        <v>126079</v>
      </c>
      <c r="B2565" s="11" t="s">
        <v>16719</v>
      </c>
      <c r="C2565" s="11" t="s">
        <v>10381</v>
      </c>
      <c r="D2565" s="11" t="s">
        <v>10382</v>
      </c>
      <c r="E2565" s="11"/>
      <c r="F2565" s="11" t="s">
        <v>16690</v>
      </c>
      <c r="G2565" s="11" t="s">
        <v>4012</v>
      </c>
      <c r="H2565" s="11" t="s">
        <v>671</v>
      </c>
      <c r="I2565" s="11" t="s">
        <v>10383</v>
      </c>
      <c r="J2565" s="11" t="s">
        <v>10384</v>
      </c>
      <c r="K2565" s="11" t="s">
        <v>572</v>
      </c>
      <c r="L2565" s="11" t="s">
        <v>333</v>
      </c>
      <c r="M2565" s="11" t="s">
        <v>16720</v>
      </c>
      <c r="N2565" s="11" t="s">
        <v>128</v>
      </c>
      <c r="O2565" s="11" t="s">
        <v>16721</v>
      </c>
      <c r="P2565" s="11"/>
      <c r="Q2565" s="11" t="s">
        <v>150</v>
      </c>
      <c r="R2565" s="11"/>
      <c r="S2565" s="11" t="s">
        <v>10388</v>
      </c>
      <c r="T2565" s="11" t="s">
        <v>642</v>
      </c>
      <c r="U2565" s="11" t="s">
        <v>150</v>
      </c>
      <c r="V2565" s="11" t="s">
        <v>642</v>
      </c>
      <c r="W2565" s="11" t="s">
        <v>642</v>
      </c>
      <c r="X2565" s="11">
        <v>10</v>
      </c>
      <c r="Y2565" s="11" t="s">
        <v>12359</v>
      </c>
      <c r="Z2565" s="11">
        <v>20</v>
      </c>
      <c r="AA2565" s="11">
        <v>0</v>
      </c>
      <c r="AB2565" s="12">
        <v>0</v>
      </c>
    </row>
    <row r="2566" spans="1:28" x14ac:dyDescent="0.2">
      <c r="A2566" s="7">
        <v>21592</v>
      </c>
      <c r="B2566" s="8" t="s">
        <v>16722</v>
      </c>
      <c r="C2566" s="8" t="s">
        <v>2481</v>
      </c>
      <c r="D2566" s="8" t="s">
        <v>16723</v>
      </c>
      <c r="E2566" s="8" t="s">
        <v>16724</v>
      </c>
      <c r="F2566" s="8" t="s">
        <v>353</v>
      </c>
      <c r="G2566" s="8" t="s">
        <v>10062</v>
      </c>
      <c r="H2566" s="8" t="s">
        <v>142</v>
      </c>
      <c r="I2566" s="8" t="s">
        <v>16725</v>
      </c>
      <c r="J2566" s="8" t="s">
        <v>16726</v>
      </c>
      <c r="K2566" s="8" t="s">
        <v>1029</v>
      </c>
      <c r="L2566" s="8" t="s">
        <v>464</v>
      </c>
      <c r="M2566" s="8" t="s">
        <v>16727</v>
      </c>
      <c r="N2566" s="8" t="s">
        <v>128</v>
      </c>
      <c r="O2566" s="8" t="s">
        <v>16728</v>
      </c>
      <c r="P2566" s="8" t="s">
        <v>16729</v>
      </c>
      <c r="Q2566" s="8" t="s">
        <v>150</v>
      </c>
      <c r="R2566" s="8"/>
      <c r="S2566" s="8" t="s">
        <v>71</v>
      </c>
      <c r="T2566" s="8" t="s">
        <v>67</v>
      </c>
      <c r="U2566" s="8" t="s">
        <v>150</v>
      </c>
      <c r="V2566" s="8" t="s">
        <v>152</v>
      </c>
      <c r="W2566" s="8" t="s">
        <v>67</v>
      </c>
      <c r="X2566" s="8">
        <v>10</v>
      </c>
      <c r="Y2566" s="8" t="s">
        <v>12359</v>
      </c>
      <c r="Z2566" s="8">
        <v>20</v>
      </c>
      <c r="AA2566" s="8">
        <v>0</v>
      </c>
      <c r="AB2566" s="9">
        <v>0</v>
      </c>
    </row>
    <row r="2567" spans="1:28" x14ac:dyDescent="0.2">
      <c r="A2567" s="10">
        <v>21533</v>
      </c>
      <c r="B2567" s="11" t="s">
        <v>16730</v>
      </c>
      <c r="C2567" s="11" t="s">
        <v>16731</v>
      </c>
      <c r="D2567" s="11" t="s">
        <v>9706</v>
      </c>
      <c r="E2567" s="11" t="s">
        <v>6116</v>
      </c>
      <c r="F2567" s="11" t="s">
        <v>353</v>
      </c>
      <c r="G2567" s="11" t="s">
        <v>16732</v>
      </c>
      <c r="H2567" s="11" t="s">
        <v>142</v>
      </c>
      <c r="I2567" s="11" t="s">
        <v>16733</v>
      </c>
      <c r="J2567" s="11" t="s">
        <v>16734</v>
      </c>
      <c r="K2567" s="11" t="s">
        <v>1199</v>
      </c>
      <c r="L2567" s="11" t="s">
        <v>464</v>
      </c>
      <c r="M2567" s="11" t="s">
        <v>16735</v>
      </c>
      <c r="N2567" s="11" t="s">
        <v>128</v>
      </c>
      <c r="O2567" s="11" t="s">
        <v>16736</v>
      </c>
      <c r="P2567" s="11" t="s">
        <v>14479</v>
      </c>
      <c r="Q2567" s="11" t="s">
        <v>150</v>
      </c>
      <c r="R2567" s="11"/>
      <c r="S2567" s="11" t="s">
        <v>71</v>
      </c>
      <c r="T2567" s="11" t="s">
        <v>67</v>
      </c>
      <c r="U2567" s="11" t="s">
        <v>150</v>
      </c>
      <c r="V2567" s="11" t="s">
        <v>152</v>
      </c>
      <c r="W2567" s="11" t="s">
        <v>67</v>
      </c>
      <c r="X2567" s="11">
        <v>10</v>
      </c>
      <c r="Y2567" s="11" t="s">
        <v>12359</v>
      </c>
      <c r="Z2567" s="11">
        <v>20</v>
      </c>
      <c r="AA2567" s="11">
        <v>0</v>
      </c>
      <c r="AB2567" s="12">
        <v>0</v>
      </c>
    </row>
    <row r="2568" spans="1:28" x14ac:dyDescent="0.2">
      <c r="A2568" s="7">
        <v>21607</v>
      </c>
      <c r="B2568" s="8" t="s">
        <v>16737</v>
      </c>
      <c r="C2568" s="8" t="s">
        <v>10572</v>
      </c>
      <c r="D2568" s="8" t="s">
        <v>1054</v>
      </c>
      <c r="E2568" s="8" t="s">
        <v>1112</v>
      </c>
      <c r="F2568" s="8" t="s">
        <v>3819</v>
      </c>
      <c r="G2568" s="8" t="s">
        <v>328</v>
      </c>
      <c r="H2568" s="8" t="s">
        <v>329</v>
      </c>
      <c r="I2568" s="8" t="s">
        <v>10574</v>
      </c>
      <c r="J2568" s="8" t="s">
        <v>16738</v>
      </c>
      <c r="K2568" s="8" t="s">
        <v>431</v>
      </c>
      <c r="L2568" s="8" t="s">
        <v>333</v>
      </c>
      <c r="M2568" s="8" t="s">
        <v>16739</v>
      </c>
      <c r="N2568" s="8" t="s">
        <v>128</v>
      </c>
      <c r="O2568" s="8" t="s">
        <v>16740</v>
      </c>
      <c r="P2568" s="8" t="s">
        <v>16741</v>
      </c>
      <c r="Q2568" s="8" t="s">
        <v>150</v>
      </c>
      <c r="R2568" s="8"/>
      <c r="S2568" s="8" t="s">
        <v>71</v>
      </c>
      <c r="T2568" s="8" t="s">
        <v>67</v>
      </c>
      <c r="U2568" s="8" t="s">
        <v>150</v>
      </c>
      <c r="V2568" s="8" t="s">
        <v>152</v>
      </c>
      <c r="W2568" s="8" t="s">
        <v>67</v>
      </c>
      <c r="X2568" s="8">
        <v>10</v>
      </c>
      <c r="Y2568" s="8" t="s">
        <v>12359</v>
      </c>
      <c r="Z2568" s="8">
        <v>20</v>
      </c>
      <c r="AA2568" s="8">
        <v>0</v>
      </c>
      <c r="AB2568" s="9">
        <v>0</v>
      </c>
    </row>
    <row r="2569" spans="1:28" x14ac:dyDescent="0.2">
      <c r="A2569" s="10">
        <v>236333</v>
      </c>
      <c r="B2569" s="11" t="s">
        <v>16742</v>
      </c>
      <c r="C2569" s="11" t="s">
        <v>16743</v>
      </c>
      <c r="D2569" s="11" t="s">
        <v>14269</v>
      </c>
      <c r="E2569" s="11"/>
      <c r="F2569" s="11" t="s">
        <v>1207</v>
      </c>
      <c r="G2569" s="11" t="s">
        <v>615</v>
      </c>
      <c r="H2569" s="11" t="s">
        <v>616</v>
      </c>
      <c r="I2569" s="11" t="s">
        <v>16744</v>
      </c>
      <c r="J2569" s="11" t="s">
        <v>16745</v>
      </c>
      <c r="K2569" s="11" t="s">
        <v>619</v>
      </c>
      <c r="L2569" s="11" t="s">
        <v>163</v>
      </c>
      <c r="M2569" s="11" t="s">
        <v>16746</v>
      </c>
      <c r="N2569" s="11" t="s">
        <v>128</v>
      </c>
      <c r="O2569" s="11" t="s">
        <v>16747</v>
      </c>
      <c r="P2569" s="11" t="s">
        <v>16748</v>
      </c>
      <c r="Q2569" s="11" t="s">
        <v>150</v>
      </c>
      <c r="R2569" s="11"/>
      <c r="S2569" s="11" t="s">
        <v>71</v>
      </c>
      <c r="T2569" s="11" t="s">
        <v>67</v>
      </c>
      <c r="U2569" s="11" t="s">
        <v>150</v>
      </c>
      <c r="V2569" s="11" t="s">
        <v>152</v>
      </c>
      <c r="W2569" s="11" t="s">
        <v>67</v>
      </c>
      <c r="X2569" s="11">
        <v>10</v>
      </c>
      <c r="Y2569" s="11" t="s">
        <v>12359</v>
      </c>
      <c r="Z2569" s="11">
        <v>20</v>
      </c>
      <c r="AA2569" s="11">
        <v>0</v>
      </c>
      <c r="AB2569" s="12">
        <v>0</v>
      </c>
    </row>
    <row r="2570" spans="1:28" x14ac:dyDescent="0.2">
      <c r="A2570" s="7">
        <v>107634</v>
      </c>
      <c r="B2570" s="8" t="s">
        <v>16749</v>
      </c>
      <c r="C2570" s="8" t="s">
        <v>16750</v>
      </c>
      <c r="D2570" s="8" t="s">
        <v>5844</v>
      </c>
      <c r="E2570" s="8"/>
      <c r="F2570" s="8" t="s">
        <v>16751</v>
      </c>
      <c r="G2570" s="8" t="s">
        <v>7116</v>
      </c>
      <c r="H2570" s="8" t="s">
        <v>142</v>
      </c>
      <c r="I2570" s="8" t="s">
        <v>16752</v>
      </c>
      <c r="J2570" s="8" t="s">
        <v>16753</v>
      </c>
      <c r="K2570" s="8" t="s">
        <v>1199</v>
      </c>
      <c r="L2570" s="8" t="s">
        <v>464</v>
      </c>
      <c r="M2570" s="8" t="s">
        <v>16754</v>
      </c>
      <c r="N2570" s="8" t="s">
        <v>128</v>
      </c>
      <c r="O2570" s="8" t="s">
        <v>16755</v>
      </c>
      <c r="P2570" s="8" t="s">
        <v>16756</v>
      </c>
      <c r="Q2570" s="8" t="s">
        <v>150</v>
      </c>
      <c r="R2570" s="8"/>
      <c r="S2570" s="8" t="s">
        <v>16757</v>
      </c>
      <c r="T2570" s="8" t="s">
        <v>67</v>
      </c>
      <c r="U2570" s="8" t="s">
        <v>150</v>
      </c>
      <c r="V2570" s="8" t="s">
        <v>152</v>
      </c>
      <c r="W2570" s="8" t="s">
        <v>67</v>
      </c>
      <c r="X2570" s="8">
        <v>10</v>
      </c>
      <c r="Y2570" s="8" t="s">
        <v>12359</v>
      </c>
      <c r="Z2570" s="8">
        <v>20</v>
      </c>
      <c r="AA2570" s="8">
        <v>0</v>
      </c>
      <c r="AB2570" s="9">
        <v>0</v>
      </c>
    </row>
    <row r="2571" spans="1:28" x14ac:dyDescent="0.2">
      <c r="A2571" s="10">
        <v>85245</v>
      </c>
      <c r="B2571" s="11" t="s">
        <v>16758</v>
      </c>
      <c r="C2571" s="11" t="s">
        <v>16558</v>
      </c>
      <c r="D2571" s="11" t="s">
        <v>7037</v>
      </c>
      <c r="E2571" s="11" t="s">
        <v>16759</v>
      </c>
      <c r="F2571" s="11" t="s">
        <v>16585</v>
      </c>
      <c r="G2571" s="11" t="s">
        <v>141</v>
      </c>
      <c r="H2571" s="11" t="s">
        <v>142</v>
      </c>
      <c r="I2571" s="11" t="s">
        <v>16586</v>
      </c>
      <c r="J2571" s="11" t="s">
        <v>16587</v>
      </c>
      <c r="K2571" s="11" t="s">
        <v>584</v>
      </c>
      <c r="L2571" s="11" t="s">
        <v>146</v>
      </c>
      <c r="M2571" s="11" t="s">
        <v>16760</v>
      </c>
      <c r="N2571" s="11" t="s">
        <v>128</v>
      </c>
      <c r="O2571" s="11" t="s">
        <v>16761</v>
      </c>
      <c r="P2571" s="11"/>
      <c r="Q2571" s="11" t="s">
        <v>131</v>
      </c>
      <c r="R2571" s="11"/>
      <c r="S2571" s="11" t="s">
        <v>16591</v>
      </c>
      <c r="T2571" s="11" t="s">
        <v>983</v>
      </c>
      <c r="U2571" s="11" t="s">
        <v>134</v>
      </c>
      <c r="V2571" s="11" t="s">
        <v>131</v>
      </c>
      <c r="W2571" s="11" t="s">
        <v>983</v>
      </c>
      <c r="X2571" s="11">
        <v>10</v>
      </c>
      <c r="Y2571" s="11" t="s">
        <v>12359</v>
      </c>
      <c r="Z2571" s="11">
        <v>20</v>
      </c>
      <c r="AA2571" s="11">
        <v>0</v>
      </c>
      <c r="AB2571" s="12">
        <v>0</v>
      </c>
    </row>
    <row r="2572" spans="1:28" x14ac:dyDescent="0.2">
      <c r="A2572" s="7">
        <v>107430</v>
      </c>
      <c r="B2572" s="8" t="s">
        <v>16762</v>
      </c>
      <c r="C2572" s="8" t="s">
        <v>16763</v>
      </c>
      <c r="D2572" s="8" t="s">
        <v>10816</v>
      </c>
      <c r="E2572" s="8" t="s">
        <v>16764</v>
      </c>
      <c r="F2572" s="8" t="s">
        <v>6117</v>
      </c>
      <c r="G2572" s="8" t="s">
        <v>141</v>
      </c>
      <c r="H2572" s="8" t="s">
        <v>142</v>
      </c>
      <c r="I2572" s="8" t="s">
        <v>16765</v>
      </c>
      <c r="J2572" s="8" t="s">
        <v>16766</v>
      </c>
      <c r="K2572" s="8" t="s">
        <v>584</v>
      </c>
      <c r="L2572" s="8" t="s">
        <v>146</v>
      </c>
      <c r="M2572" s="8" t="s">
        <v>16767</v>
      </c>
      <c r="N2572" s="8" t="s">
        <v>128</v>
      </c>
      <c r="O2572" s="8" t="s">
        <v>16768</v>
      </c>
      <c r="P2572" s="8"/>
      <c r="Q2572" s="8" t="s">
        <v>131</v>
      </c>
      <c r="R2572" s="8"/>
      <c r="S2572" s="8" t="s">
        <v>16769</v>
      </c>
      <c r="T2572" s="8" t="s">
        <v>983</v>
      </c>
      <c r="U2572" s="8" t="s">
        <v>134</v>
      </c>
      <c r="V2572" s="8" t="s">
        <v>131</v>
      </c>
      <c r="W2572" s="8" t="s">
        <v>983</v>
      </c>
      <c r="X2572" s="8">
        <v>10</v>
      </c>
      <c r="Y2572" s="8" t="s">
        <v>12359</v>
      </c>
      <c r="Z2572" s="8">
        <v>20</v>
      </c>
      <c r="AA2572" s="8">
        <v>0</v>
      </c>
      <c r="AB2572" s="9">
        <v>0</v>
      </c>
    </row>
    <row r="2573" spans="1:28" x14ac:dyDescent="0.2">
      <c r="A2573" s="10">
        <v>125883</v>
      </c>
      <c r="B2573" s="11" t="s">
        <v>16770</v>
      </c>
      <c r="C2573" s="11" t="s">
        <v>13645</v>
      </c>
      <c r="D2573" s="11" t="s">
        <v>13646</v>
      </c>
      <c r="E2573" s="11" t="s">
        <v>8263</v>
      </c>
      <c r="F2573" s="11" t="s">
        <v>13647</v>
      </c>
      <c r="G2573" s="11" t="s">
        <v>5804</v>
      </c>
      <c r="H2573" s="11" t="s">
        <v>5805</v>
      </c>
      <c r="I2573" s="11" t="s">
        <v>13648</v>
      </c>
      <c r="J2573" s="11" t="s">
        <v>15342</v>
      </c>
      <c r="K2573" s="11" t="s">
        <v>274</v>
      </c>
      <c r="L2573" s="11" t="s">
        <v>163</v>
      </c>
      <c r="M2573" s="11" t="s">
        <v>16771</v>
      </c>
      <c r="N2573" s="11" t="s">
        <v>128</v>
      </c>
      <c r="O2573" s="11" t="s">
        <v>16772</v>
      </c>
      <c r="P2573" s="11"/>
      <c r="Q2573" s="11" t="s">
        <v>131</v>
      </c>
      <c r="R2573" s="11"/>
      <c r="S2573" s="11" t="s">
        <v>13652</v>
      </c>
      <c r="T2573" s="11" t="s">
        <v>983</v>
      </c>
      <c r="U2573" s="11" t="s">
        <v>134</v>
      </c>
      <c r="V2573" s="11" t="s">
        <v>131</v>
      </c>
      <c r="W2573" s="11" t="s">
        <v>983</v>
      </c>
      <c r="X2573" s="11">
        <v>10</v>
      </c>
      <c r="Y2573" s="11" t="s">
        <v>12359</v>
      </c>
      <c r="Z2573" s="11">
        <v>20</v>
      </c>
      <c r="AA2573" s="11">
        <v>0</v>
      </c>
      <c r="AB2573" s="12">
        <v>0</v>
      </c>
    </row>
    <row r="2574" spans="1:28" x14ac:dyDescent="0.2">
      <c r="A2574" s="7">
        <v>129122</v>
      </c>
      <c r="B2574" s="8" t="s">
        <v>16773</v>
      </c>
      <c r="C2574" s="8" t="s">
        <v>10037</v>
      </c>
      <c r="D2574" s="8" t="s">
        <v>4080</v>
      </c>
      <c r="E2574" s="8" t="s">
        <v>13783</v>
      </c>
      <c r="F2574" s="8" t="s">
        <v>10038</v>
      </c>
      <c r="G2574" s="8" t="s">
        <v>1852</v>
      </c>
      <c r="H2574" s="8" t="s">
        <v>671</v>
      </c>
      <c r="I2574" s="8" t="s">
        <v>10039</v>
      </c>
      <c r="J2574" s="8" t="s">
        <v>10040</v>
      </c>
      <c r="K2574" s="8" t="s">
        <v>572</v>
      </c>
      <c r="L2574" s="8" t="s">
        <v>333</v>
      </c>
      <c r="M2574" s="8" t="s">
        <v>16774</v>
      </c>
      <c r="N2574" s="8" t="s">
        <v>128</v>
      </c>
      <c r="O2574" s="8" t="s">
        <v>16775</v>
      </c>
      <c r="P2574" s="8"/>
      <c r="Q2574" s="8" t="s">
        <v>131</v>
      </c>
      <c r="R2574" s="8"/>
      <c r="S2574" s="8" t="s">
        <v>10043</v>
      </c>
      <c r="T2574" s="8" t="s">
        <v>983</v>
      </c>
      <c r="U2574" s="8" t="s">
        <v>134</v>
      </c>
      <c r="V2574" s="8" t="s">
        <v>131</v>
      </c>
      <c r="W2574" s="8" t="s">
        <v>983</v>
      </c>
      <c r="X2574" s="8">
        <v>10</v>
      </c>
      <c r="Y2574" s="8" t="s">
        <v>12359</v>
      </c>
      <c r="Z2574" s="8">
        <v>20</v>
      </c>
      <c r="AA2574" s="8">
        <v>0</v>
      </c>
      <c r="AB2574" s="9">
        <v>0</v>
      </c>
    </row>
    <row r="2575" spans="1:28" x14ac:dyDescent="0.2">
      <c r="A2575" s="10">
        <v>240274</v>
      </c>
      <c r="B2575" s="11" t="s">
        <v>16776</v>
      </c>
      <c r="C2575" s="11" t="s">
        <v>16237</v>
      </c>
      <c r="D2575" s="11" t="s">
        <v>10816</v>
      </c>
      <c r="E2575" s="11" t="s">
        <v>16777</v>
      </c>
      <c r="F2575" s="11" t="s">
        <v>16239</v>
      </c>
      <c r="G2575" s="11" t="s">
        <v>7653</v>
      </c>
      <c r="H2575" s="11" t="s">
        <v>142</v>
      </c>
      <c r="I2575" s="11" t="s">
        <v>16240</v>
      </c>
      <c r="J2575" s="11" t="s">
        <v>16241</v>
      </c>
      <c r="K2575" s="11" t="s">
        <v>717</v>
      </c>
      <c r="L2575" s="11" t="s">
        <v>464</v>
      </c>
      <c r="M2575" s="11" t="s">
        <v>16778</v>
      </c>
      <c r="N2575" s="11" t="s">
        <v>128</v>
      </c>
      <c r="O2575" s="11" t="s">
        <v>16779</v>
      </c>
      <c r="P2575" s="11"/>
      <c r="Q2575" s="11" t="s">
        <v>131</v>
      </c>
      <c r="R2575" s="11"/>
      <c r="S2575" s="11" t="s">
        <v>16244</v>
      </c>
      <c r="T2575" s="11" t="s">
        <v>983</v>
      </c>
      <c r="U2575" s="11" t="s">
        <v>134</v>
      </c>
      <c r="V2575" s="11" t="s">
        <v>131</v>
      </c>
      <c r="W2575" s="11" t="s">
        <v>983</v>
      </c>
      <c r="X2575" s="11">
        <v>10</v>
      </c>
      <c r="Y2575" s="11" t="s">
        <v>12359</v>
      </c>
      <c r="Z2575" s="11">
        <v>20</v>
      </c>
      <c r="AA2575" s="11">
        <v>0</v>
      </c>
      <c r="AB2575" s="12">
        <v>0</v>
      </c>
    </row>
    <row r="2576" spans="1:28" x14ac:dyDescent="0.2">
      <c r="A2576" s="7">
        <v>114888</v>
      </c>
      <c r="B2576" s="8" t="s">
        <v>16780</v>
      </c>
      <c r="C2576" s="8" t="s">
        <v>10390</v>
      </c>
      <c r="D2576" s="8" t="s">
        <v>4605</v>
      </c>
      <c r="E2576" s="8" t="s">
        <v>14894</v>
      </c>
      <c r="F2576" s="8" t="s">
        <v>16781</v>
      </c>
      <c r="G2576" s="8" t="s">
        <v>10391</v>
      </c>
      <c r="H2576" s="8" t="s">
        <v>142</v>
      </c>
      <c r="I2576" s="8" t="s">
        <v>13096</v>
      </c>
      <c r="J2576" s="8" t="s">
        <v>16782</v>
      </c>
      <c r="K2576" s="8" t="s">
        <v>472</v>
      </c>
      <c r="L2576" s="8" t="s">
        <v>146</v>
      </c>
      <c r="M2576" s="8" t="s">
        <v>16783</v>
      </c>
      <c r="N2576" s="8" t="s">
        <v>128</v>
      </c>
      <c r="O2576" s="8" t="s">
        <v>16784</v>
      </c>
      <c r="P2576" s="8"/>
      <c r="Q2576" s="8" t="s">
        <v>131</v>
      </c>
      <c r="R2576" s="8"/>
      <c r="S2576" s="8" t="s">
        <v>71</v>
      </c>
      <c r="T2576" s="8" t="s">
        <v>983</v>
      </c>
      <c r="U2576" s="8" t="s">
        <v>134</v>
      </c>
      <c r="V2576" s="8" t="s">
        <v>131</v>
      </c>
      <c r="W2576" s="8" t="s">
        <v>983</v>
      </c>
      <c r="X2576" s="8">
        <v>10</v>
      </c>
      <c r="Y2576" s="8" t="s">
        <v>12359</v>
      </c>
      <c r="Z2576" s="8">
        <v>20</v>
      </c>
      <c r="AA2576" s="8">
        <v>0</v>
      </c>
      <c r="AB2576" s="9">
        <v>0</v>
      </c>
    </row>
    <row r="2577" spans="1:28" x14ac:dyDescent="0.2">
      <c r="A2577" s="10">
        <v>21932</v>
      </c>
      <c r="B2577" s="11" t="s">
        <v>16785</v>
      </c>
      <c r="C2577" s="11" t="s">
        <v>15799</v>
      </c>
      <c r="D2577" s="11" t="s">
        <v>15800</v>
      </c>
      <c r="E2577" s="11" t="s">
        <v>16786</v>
      </c>
      <c r="F2577" s="11" t="s">
        <v>15801</v>
      </c>
      <c r="G2577" s="11" t="s">
        <v>3929</v>
      </c>
      <c r="H2577" s="11" t="s">
        <v>704</v>
      </c>
      <c r="I2577" s="11" t="s">
        <v>15802</v>
      </c>
      <c r="J2577" s="11" t="s">
        <v>16787</v>
      </c>
      <c r="K2577" s="11" t="s">
        <v>850</v>
      </c>
      <c r="L2577" s="11" t="s">
        <v>126</v>
      </c>
      <c r="M2577" s="11" t="s">
        <v>16788</v>
      </c>
      <c r="N2577" s="11" t="s">
        <v>128</v>
      </c>
      <c r="O2577" s="11" t="s">
        <v>16789</v>
      </c>
      <c r="P2577" s="11" t="s">
        <v>16790</v>
      </c>
      <c r="Q2577" s="11" t="s">
        <v>131</v>
      </c>
      <c r="R2577" s="11"/>
      <c r="S2577" s="11" t="s">
        <v>15807</v>
      </c>
      <c r="T2577" s="11" t="s">
        <v>983</v>
      </c>
      <c r="U2577" s="11" t="s">
        <v>134</v>
      </c>
      <c r="V2577" s="11" t="s">
        <v>131</v>
      </c>
      <c r="W2577" s="11" t="s">
        <v>983</v>
      </c>
      <c r="X2577" s="11">
        <v>10</v>
      </c>
      <c r="Y2577" s="11" t="s">
        <v>12359</v>
      </c>
      <c r="Z2577" s="11">
        <v>20</v>
      </c>
      <c r="AA2577" s="11">
        <v>0</v>
      </c>
      <c r="AB2577" s="12">
        <v>0</v>
      </c>
    </row>
    <row r="2578" spans="1:28" x14ac:dyDescent="0.2">
      <c r="A2578" s="7">
        <v>24569</v>
      </c>
      <c r="B2578" s="8" t="s">
        <v>16791</v>
      </c>
      <c r="C2578" s="8" t="s">
        <v>1634</v>
      </c>
      <c r="D2578" s="8" t="s">
        <v>1635</v>
      </c>
      <c r="E2578" s="8"/>
      <c r="F2578" s="8" t="s">
        <v>16792</v>
      </c>
      <c r="G2578" s="8" t="s">
        <v>328</v>
      </c>
      <c r="H2578" s="8" t="s">
        <v>329</v>
      </c>
      <c r="I2578" s="8" t="s">
        <v>16793</v>
      </c>
      <c r="J2578" s="8" t="s">
        <v>16794</v>
      </c>
      <c r="K2578" s="8" t="s">
        <v>572</v>
      </c>
      <c r="L2578" s="8" t="s">
        <v>333</v>
      </c>
      <c r="M2578" s="8" t="s">
        <v>16795</v>
      </c>
      <c r="N2578" s="8" t="s">
        <v>128</v>
      </c>
      <c r="O2578" s="8" t="s">
        <v>16796</v>
      </c>
      <c r="P2578" s="8"/>
      <c r="Q2578" s="8" t="s">
        <v>131</v>
      </c>
      <c r="R2578" s="8"/>
      <c r="S2578" s="8" t="s">
        <v>1643</v>
      </c>
      <c r="T2578" s="8" t="s">
        <v>983</v>
      </c>
      <c r="U2578" s="8" t="s">
        <v>134</v>
      </c>
      <c r="V2578" s="8" t="s">
        <v>131</v>
      </c>
      <c r="W2578" s="8" t="s">
        <v>983</v>
      </c>
      <c r="X2578" s="8">
        <v>10</v>
      </c>
      <c r="Y2578" s="8" t="s">
        <v>12359</v>
      </c>
      <c r="Z2578" s="8">
        <v>20</v>
      </c>
      <c r="AA2578" s="8">
        <v>0</v>
      </c>
      <c r="AB2578" s="9">
        <v>0</v>
      </c>
    </row>
    <row r="2579" spans="1:28" x14ac:dyDescent="0.2">
      <c r="A2579" s="10">
        <v>26799</v>
      </c>
      <c r="B2579" s="11" t="s">
        <v>16797</v>
      </c>
      <c r="C2579" s="11" t="s">
        <v>360</v>
      </c>
      <c r="D2579" s="11" t="s">
        <v>16192</v>
      </c>
      <c r="E2579" s="11"/>
      <c r="F2579" s="11" t="s">
        <v>16798</v>
      </c>
      <c r="G2579" s="11" t="s">
        <v>364</v>
      </c>
      <c r="H2579" s="11" t="s">
        <v>365</v>
      </c>
      <c r="I2579" s="11" t="s">
        <v>16194</v>
      </c>
      <c r="J2579" s="11" t="s">
        <v>16195</v>
      </c>
      <c r="K2579" s="11" t="s">
        <v>162</v>
      </c>
      <c r="L2579" s="11" t="s">
        <v>163</v>
      </c>
      <c r="M2579" s="11" t="s">
        <v>16799</v>
      </c>
      <c r="N2579" s="11" t="s">
        <v>128</v>
      </c>
      <c r="O2579" s="11" t="s">
        <v>16800</v>
      </c>
      <c r="P2579" s="11"/>
      <c r="Q2579" s="11" t="s">
        <v>131</v>
      </c>
      <c r="R2579" s="11"/>
      <c r="S2579" s="11" t="s">
        <v>16198</v>
      </c>
      <c r="T2579" s="11" t="s">
        <v>983</v>
      </c>
      <c r="U2579" s="11" t="s">
        <v>134</v>
      </c>
      <c r="V2579" s="11" t="s">
        <v>131</v>
      </c>
      <c r="W2579" s="11" t="s">
        <v>983</v>
      </c>
      <c r="X2579" s="11">
        <v>10</v>
      </c>
      <c r="Y2579" s="11" t="s">
        <v>12359</v>
      </c>
      <c r="Z2579" s="11">
        <v>20</v>
      </c>
      <c r="AA2579" s="11">
        <v>0</v>
      </c>
      <c r="AB2579" s="12">
        <v>0</v>
      </c>
    </row>
    <row r="2580" spans="1:28" x14ac:dyDescent="0.2">
      <c r="A2580" s="7">
        <v>26835</v>
      </c>
      <c r="B2580" s="8" t="s">
        <v>16801</v>
      </c>
      <c r="C2580" s="8" t="s">
        <v>16802</v>
      </c>
      <c r="D2580" s="8" t="s">
        <v>904</v>
      </c>
      <c r="E2580" s="8"/>
      <c r="F2580" s="8" t="s">
        <v>906</v>
      </c>
      <c r="G2580" s="8" t="s">
        <v>615</v>
      </c>
      <c r="H2580" s="8" t="s">
        <v>616</v>
      </c>
      <c r="I2580" s="8" t="s">
        <v>11487</v>
      </c>
      <c r="J2580" s="8" t="s">
        <v>13683</v>
      </c>
      <c r="K2580" s="8" t="s">
        <v>619</v>
      </c>
      <c r="L2580" s="8" t="s">
        <v>163</v>
      </c>
      <c r="M2580" s="8" t="s">
        <v>16803</v>
      </c>
      <c r="N2580" s="8" t="s">
        <v>128</v>
      </c>
      <c r="O2580" s="8" t="s">
        <v>16804</v>
      </c>
      <c r="P2580" s="8"/>
      <c r="Q2580" s="8" t="s">
        <v>131</v>
      </c>
      <c r="R2580" s="8"/>
      <c r="S2580" s="8" t="s">
        <v>912</v>
      </c>
      <c r="T2580" s="8" t="s">
        <v>983</v>
      </c>
      <c r="U2580" s="8" t="s">
        <v>134</v>
      </c>
      <c r="V2580" s="8" t="s">
        <v>131</v>
      </c>
      <c r="W2580" s="8" t="s">
        <v>983</v>
      </c>
      <c r="X2580" s="8">
        <v>10</v>
      </c>
      <c r="Y2580" s="8" t="s">
        <v>12359</v>
      </c>
      <c r="Z2580" s="8">
        <v>20</v>
      </c>
      <c r="AA2580" s="8">
        <v>0</v>
      </c>
      <c r="AB2580" s="9">
        <v>0</v>
      </c>
    </row>
    <row r="2581" spans="1:28" x14ac:dyDescent="0.2">
      <c r="A2581" s="10">
        <v>30139</v>
      </c>
      <c r="B2581" s="11" t="s">
        <v>16805</v>
      </c>
      <c r="C2581" s="11" t="s">
        <v>1645</v>
      </c>
      <c r="D2581" s="11" t="s">
        <v>1646</v>
      </c>
      <c r="E2581" s="11"/>
      <c r="F2581" s="11" t="s">
        <v>1648</v>
      </c>
      <c r="G2581" s="11" t="s">
        <v>328</v>
      </c>
      <c r="H2581" s="11" t="s">
        <v>329</v>
      </c>
      <c r="I2581" s="11" t="s">
        <v>8678</v>
      </c>
      <c r="J2581" s="11" t="s">
        <v>16806</v>
      </c>
      <c r="K2581" s="11" t="s">
        <v>572</v>
      </c>
      <c r="L2581" s="11" t="s">
        <v>333</v>
      </c>
      <c r="M2581" s="11" t="s">
        <v>16807</v>
      </c>
      <c r="N2581" s="11" t="s">
        <v>128</v>
      </c>
      <c r="O2581" s="11" t="s">
        <v>16808</v>
      </c>
      <c r="P2581" s="11"/>
      <c r="Q2581" s="11" t="s">
        <v>131</v>
      </c>
      <c r="R2581" s="11"/>
      <c r="S2581" s="11" t="s">
        <v>1654</v>
      </c>
      <c r="T2581" s="11" t="s">
        <v>983</v>
      </c>
      <c r="U2581" s="11" t="s">
        <v>134</v>
      </c>
      <c r="V2581" s="11" t="s">
        <v>131</v>
      </c>
      <c r="W2581" s="11" t="s">
        <v>983</v>
      </c>
      <c r="X2581" s="11">
        <v>10</v>
      </c>
      <c r="Y2581" s="11" t="s">
        <v>12359</v>
      </c>
      <c r="Z2581" s="11">
        <v>20</v>
      </c>
      <c r="AA2581" s="11">
        <v>0</v>
      </c>
      <c r="AB2581" s="12">
        <v>0</v>
      </c>
    </row>
    <row r="2582" spans="1:28" x14ac:dyDescent="0.2">
      <c r="A2582" s="7">
        <v>111064</v>
      </c>
      <c r="B2582" s="8" t="s">
        <v>16809</v>
      </c>
      <c r="C2582" s="8" t="s">
        <v>16750</v>
      </c>
      <c r="D2582" s="8" t="s">
        <v>5844</v>
      </c>
      <c r="E2582" s="8"/>
      <c r="F2582" s="8" t="s">
        <v>16810</v>
      </c>
      <c r="G2582" s="8" t="s">
        <v>7116</v>
      </c>
      <c r="H2582" s="8" t="s">
        <v>142</v>
      </c>
      <c r="I2582" s="8" t="s">
        <v>16752</v>
      </c>
      <c r="J2582" s="8" t="s">
        <v>16811</v>
      </c>
      <c r="K2582" s="8" t="s">
        <v>1199</v>
      </c>
      <c r="L2582" s="8" t="s">
        <v>464</v>
      </c>
      <c r="M2582" s="8" t="s">
        <v>16812</v>
      </c>
      <c r="N2582" s="8" t="s">
        <v>128</v>
      </c>
      <c r="O2582" s="8" t="s">
        <v>16813</v>
      </c>
      <c r="P2582" s="8"/>
      <c r="Q2582" s="8" t="s">
        <v>131</v>
      </c>
      <c r="R2582" s="8"/>
      <c r="S2582" s="8" t="s">
        <v>16757</v>
      </c>
      <c r="T2582" s="8" t="s">
        <v>983</v>
      </c>
      <c r="U2582" s="8" t="s">
        <v>134</v>
      </c>
      <c r="V2582" s="8" t="s">
        <v>131</v>
      </c>
      <c r="W2582" s="8" t="s">
        <v>983</v>
      </c>
      <c r="X2582" s="8">
        <v>10</v>
      </c>
      <c r="Y2582" s="8" t="s">
        <v>12359</v>
      </c>
      <c r="Z2582" s="8">
        <v>20</v>
      </c>
      <c r="AA2582" s="8">
        <v>0</v>
      </c>
      <c r="AB2582" s="9">
        <v>0</v>
      </c>
    </row>
    <row r="2583" spans="1:28" x14ac:dyDescent="0.2">
      <c r="A2583" s="10">
        <v>126726</v>
      </c>
      <c r="B2583" s="11" t="s">
        <v>16814</v>
      </c>
      <c r="C2583" s="11" t="s">
        <v>16815</v>
      </c>
      <c r="D2583" s="11" t="s">
        <v>9495</v>
      </c>
      <c r="E2583" s="11"/>
      <c r="F2583" s="11" t="s">
        <v>353</v>
      </c>
      <c r="G2583" s="11" t="s">
        <v>16816</v>
      </c>
      <c r="H2583" s="11" t="s">
        <v>847</v>
      </c>
      <c r="I2583" s="11" t="s">
        <v>16817</v>
      </c>
      <c r="J2583" s="11" t="s">
        <v>16818</v>
      </c>
      <c r="K2583" s="11" t="s">
        <v>1091</v>
      </c>
      <c r="L2583" s="11" t="s">
        <v>126</v>
      </c>
      <c r="M2583" s="11" t="s">
        <v>16819</v>
      </c>
      <c r="N2583" s="11" t="s">
        <v>128</v>
      </c>
      <c r="O2583" s="11" t="s">
        <v>16820</v>
      </c>
      <c r="P2583" s="11"/>
      <c r="Q2583" s="11" t="s">
        <v>131</v>
      </c>
      <c r="R2583" s="11"/>
      <c r="S2583" s="11" t="s">
        <v>71</v>
      </c>
      <c r="T2583" s="11" t="s">
        <v>983</v>
      </c>
      <c r="U2583" s="11" t="s">
        <v>134</v>
      </c>
      <c r="V2583" s="11" t="s">
        <v>131</v>
      </c>
      <c r="W2583" s="11" t="s">
        <v>983</v>
      </c>
      <c r="X2583" s="11">
        <v>10</v>
      </c>
      <c r="Y2583" s="11" t="s">
        <v>12359</v>
      </c>
      <c r="Z2583" s="11">
        <v>20</v>
      </c>
      <c r="AA2583" s="11">
        <v>0</v>
      </c>
      <c r="AB2583" s="12">
        <v>0</v>
      </c>
    </row>
    <row r="2584" spans="1:28" x14ac:dyDescent="0.2">
      <c r="A2584" s="7">
        <v>22000</v>
      </c>
      <c r="B2584" s="8" t="s">
        <v>16821</v>
      </c>
      <c r="C2584" s="8" t="s">
        <v>16822</v>
      </c>
      <c r="D2584" s="8" t="s">
        <v>2507</v>
      </c>
      <c r="E2584" s="8" t="s">
        <v>16823</v>
      </c>
      <c r="F2584" s="8" t="s">
        <v>353</v>
      </c>
      <c r="G2584" s="8" t="s">
        <v>846</v>
      </c>
      <c r="H2584" s="8" t="s">
        <v>847</v>
      </c>
      <c r="I2584" s="8" t="s">
        <v>16824</v>
      </c>
      <c r="J2584" s="8" t="s">
        <v>16825</v>
      </c>
      <c r="K2584" s="8" t="s">
        <v>850</v>
      </c>
      <c r="L2584" s="8" t="s">
        <v>126</v>
      </c>
      <c r="M2584" s="8" t="s">
        <v>16826</v>
      </c>
      <c r="N2584" s="8" t="s">
        <v>128</v>
      </c>
      <c r="O2584" s="8" t="s">
        <v>16827</v>
      </c>
      <c r="P2584" s="8" t="s">
        <v>16828</v>
      </c>
      <c r="Q2584" s="8" t="s">
        <v>131</v>
      </c>
      <c r="R2584" s="8"/>
      <c r="S2584" s="8" t="s">
        <v>16829</v>
      </c>
      <c r="T2584" s="8" t="s">
        <v>133</v>
      </c>
      <c r="U2584" s="8" t="s">
        <v>134</v>
      </c>
      <c r="V2584" s="8" t="s">
        <v>131</v>
      </c>
      <c r="W2584" s="8" t="s">
        <v>133</v>
      </c>
      <c r="X2584" s="8">
        <v>10</v>
      </c>
      <c r="Y2584" s="8" t="s">
        <v>12359</v>
      </c>
      <c r="Z2584" s="8">
        <v>20</v>
      </c>
      <c r="AA2584" s="8">
        <v>0</v>
      </c>
      <c r="AB2584" s="9">
        <v>0</v>
      </c>
    </row>
    <row r="2585" spans="1:28" x14ac:dyDescent="0.2">
      <c r="A2585" s="10">
        <v>21850</v>
      </c>
      <c r="B2585" s="11" t="s">
        <v>16830</v>
      </c>
      <c r="C2585" s="11" t="s">
        <v>15170</v>
      </c>
      <c r="D2585" s="11" t="s">
        <v>553</v>
      </c>
      <c r="E2585" s="11" t="s">
        <v>16831</v>
      </c>
      <c r="F2585" s="11" t="s">
        <v>15171</v>
      </c>
      <c r="G2585" s="11" t="s">
        <v>3364</v>
      </c>
      <c r="H2585" s="11" t="s">
        <v>704</v>
      </c>
      <c r="I2585" s="11" t="s">
        <v>16606</v>
      </c>
      <c r="J2585" s="11" t="s">
        <v>16607</v>
      </c>
      <c r="K2585" s="11" t="s">
        <v>1051</v>
      </c>
      <c r="L2585" s="11" t="s">
        <v>126</v>
      </c>
      <c r="M2585" s="11" t="s">
        <v>16832</v>
      </c>
      <c r="N2585" s="11" t="s">
        <v>128</v>
      </c>
      <c r="O2585" s="11" t="s">
        <v>16833</v>
      </c>
      <c r="P2585" s="11" t="s">
        <v>16834</v>
      </c>
      <c r="Q2585" s="11" t="s">
        <v>131</v>
      </c>
      <c r="R2585" s="11"/>
      <c r="S2585" s="11" t="s">
        <v>15175</v>
      </c>
      <c r="T2585" s="11" t="s">
        <v>133</v>
      </c>
      <c r="U2585" s="11" t="s">
        <v>134</v>
      </c>
      <c r="V2585" s="11" t="s">
        <v>131</v>
      </c>
      <c r="W2585" s="11" t="s">
        <v>133</v>
      </c>
      <c r="X2585" s="11">
        <v>10</v>
      </c>
      <c r="Y2585" s="11" t="s">
        <v>12359</v>
      </c>
      <c r="Z2585" s="11">
        <v>20</v>
      </c>
      <c r="AA2585" s="11">
        <v>0</v>
      </c>
      <c r="AB2585" s="12">
        <v>0</v>
      </c>
    </row>
    <row r="2586" spans="1:28" x14ac:dyDescent="0.2">
      <c r="A2586" s="7">
        <v>21798</v>
      </c>
      <c r="B2586" s="8" t="s">
        <v>16835</v>
      </c>
      <c r="C2586" s="8" t="s">
        <v>1928</v>
      </c>
      <c r="D2586" s="8" t="s">
        <v>4209</v>
      </c>
      <c r="E2586" s="8"/>
      <c r="F2586" s="8" t="s">
        <v>4211</v>
      </c>
      <c r="G2586" s="8" t="s">
        <v>2510</v>
      </c>
      <c r="H2586" s="8" t="s">
        <v>2511</v>
      </c>
      <c r="I2586" s="8" t="s">
        <v>4212</v>
      </c>
      <c r="J2586" s="8" t="s">
        <v>14675</v>
      </c>
      <c r="K2586" s="8" t="s">
        <v>1562</v>
      </c>
      <c r="L2586" s="8" t="s">
        <v>229</v>
      </c>
      <c r="M2586" s="8" t="s">
        <v>16836</v>
      </c>
      <c r="N2586" s="8" t="s">
        <v>128</v>
      </c>
      <c r="O2586" s="8" t="s">
        <v>16837</v>
      </c>
      <c r="P2586" s="8" t="s">
        <v>16838</v>
      </c>
      <c r="Q2586" s="8" t="s">
        <v>131</v>
      </c>
      <c r="R2586" s="8"/>
      <c r="S2586" s="8" t="s">
        <v>4217</v>
      </c>
      <c r="T2586" s="8" t="s">
        <v>133</v>
      </c>
      <c r="U2586" s="8" t="s">
        <v>134</v>
      </c>
      <c r="V2586" s="8" t="s">
        <v>131</v>
      </c>
      <c r="W2586" s="8" t="s">
        <v>133</v>
      </c>
      <c r="X2586" s="8">
        <v>10</v>
      </c>
      <c r="Y2586" s="8" t="s">
        <v>12359</v>
      </c>
      <c r="Z2586" s="8">
        <v>20</v>
      </c>
      <c r="AA2586" s="8">
        <v>0</v>
      </c>
      <c r="AB2586" s="9">
        <v>0</v>
      </c>
    </row>
    <row r="2587" spans="1:28" x14ac:dyDescent="0.2">
      <c r="A2587" s="10">
        <v>21937</v>
      </c>
      <c r="B2587" s="11" t="s">
        <v>16839</v>
      </c>
      <c r="C2587" s="11" t="s">
        <v>10332</v>
      </c>
      <c r="D2587" s="11" t="s">
        <v>10333</v>
      </c>
      <c r="E2587" s="11"/>
      <c r="F2587" s="11" t="s">
        <v>10334</v>
      </c>
      <c r="G2587" s="11" t="s">
        <v>270</v>
      </c>
      <c r="H2587" s="11" t="s">
        <v>271</v>
      </c>
      <c r="I2587" s="11" t="s">
        <v>16840</v>
      </c>
      <c r="J2587" s="11" t="s">
        <v>16841</v>
      </c>
      <c r="K2587" s="11" t="s">
        <v>274</v>
      </c>
      <c r="L2587" s="11" t="s">
        <v>163</v>
      </c>
      <c r="M2587" s="11" t="s">
        <v>16842</v>
      </c>
      <c r="N2587" s="11" t="s">
        <v>128</v>
      </c>
      <c r="O2587" s="11" t="s">
        <v>16843</v>
      </c>
      <c r="P2587" s="11" t="s">
        <v>16844</v>
      </c>
      <c r="Q2587" s="11" t="s">
        <v>131</v>
      </c>
      <c r="R2587" s="11"/>
      <c r="S2587" s="11" t="s">
        <v>10339</v>
      </c>
      <c r="T2587" s="11" t="s">
        <v>133</v>
      </c>
      <c r="U2587" s="11" t="s">
        <v>134</v>
      </c>
      <c r="V2587" s="11" t="s">
        <v>131</v>
      </c>
      <c r="W2587" s="11" t="s">
        <v>133</v>
      </c>
      <c r="X2587" s="11">
        <v>10</v>
      </c>
      <c r="Y2587" s="11" t="s">
        <v>12359</v>
      </c>
      <c r="Z2587" s="11">
        <v>20</v>
      </c>
      <c r="AA2587" s="11">
        <v>0</v>
      </c>
      <c r="AB2587" s="12">
        <v>0</v>
      </c>
    </row>
    <row r="2588" spans="1:28" x14ac:dyDescent="0.2">
      <c r="A2588" s="7">
        <v>92244</v>
      </c>
      <c r="B2588" s="8" t="s">
        <v>16845</v>
      </c>
      <c r="C2588" s="8" t="s">
        <v>15917</v>
      </c>
      <c r="D2588" s="8" t="s">
        <v>2454</v>
      </c>
      <c r="E2588" s="8"/>
      <c r="F2588" s="8" t="s">
        <v>15918</v>
      </c>
      <c r="G2588" s="8" t="s">
        <v>15919</v>
      </c>
      <c r="H2588" s="8" t="s">
        <v>5805</v>
      </c>
      <c r="I2588" s="8" t="s">
        <v>15920</v>
      </c>
      <c r="J2588" s="8" t="s">
        <v>16846</v>
      </c>
      <c r="K2588" s="8" t="s">
        <v>274</v>
      </c>
      <c r="L2588" s="8" t="s">
        <v>163</v>
      </c>
      <c r="M2588" s="8" t="s">
        <v>16847</v>
      </c>
      <c r="N2588" s="8" t="s">
        <v>128</v>
      </c>
      <c r="O2588" s="8" t="s">
        <v>16848</v>
      </c>
      <c r="P2588" s="8"/>
      <c r="Q2588" s="8" t="s">
        <v>131</v>
      </c>
      <c r="R2588" s="8"/>
      <c r="S2588" s="8" t="s">
        <v>15924</v>
      </c>
      <c r="T2588" s="8" t="s">
        <v>133</v>
      </c>
      <c r="U2588" s="8" t="s">
        <v>134</v>
      </c>
      <c r="V2588" s="8" t="s">
        <v>131</v>
      </c>
      <c r="W2588" s="8" t="s">
        <v>133</v>
      </c>
      <c r="X2588" s="8">
        <v>10</v>
      </c>
      <c r="Y2588" s="8" t="s">
        <v>12359</v>
      </c>
      <c r="Z2588" s="8">
        <v>20</v>
      </c>
      <c r="AA2588" s="8">
        <v>0</v>
      </c>
      <c r="AB2588" s="9">
        <v>0</v>
      </c>
    </row>
    <row r="2589" spans="1:28" x14ac:dyDescent="0.2">
      <c r="A2589" s="10">
        <v>26729</v>
      </c>
      <c r="B2589" s="11" t="s">
        <v>16849</v>
      </c>
      <c r="C2589" s="11" t="s">
        <v>11975</v>
      </c>
      <c r="D2589" s="11" t="s">
        <v>11976</v>
      </c>
      <c r="E2589" s="11"/>
      <c r="F2589" s="11" t="s">
        <v>11977</v>
      </c>
      <c r="G2589" s="11" t="s">
        <v>158</v>
      </c>
      <c r="H2589" s="11" t="s">
        <v>159</v>
      </c>
      <c r="I2589" s="11" t="s">
        <v>15605</v>
      </c>
      <c r="J2589" s="11" t="s">
        <v>15606</v>
      </c>
      <c r="K2589" s="11" t="s">
        <v>274</v>
      </c>
      <c r="L2589" s="11" t="s">
        <v>163</v>
      </c>
      <c r="M2589" s="11" t="s">
        <v>16850</v>
      </c>
      <c r="N2589" s="11" t="s">
        <v>128</v>
      </c>
      <c r="O2589" s="11"/>
      <c r="P2589" s="11"/>
      <c r="Q2589" s="11" t="s">
        <v>131</v>
      </c>
      <c r="R2589" s="11"/>
      <c r="S2589" s="11" t="s">
        <v>11983</v>
      </c>
      <c r="T2589" s="11" t="s">
        <v>133</v>
      </c>
      <c r="U2589" s="11" t="s">
        <v>134</v>
      </c>
      <c r="V2589" s="11" t="s">
        <v>131</v>
      </c>
      <c r="W2589" s="11" t="s">
        <v>133</v>
      </c>
      <c r="X2589" s="11">
        <v>10</v>
      </c>
      <c r="Y2589" s="11" t="s">
        <v>12359</v>
      </c>
      <c r="Z2589" s="11">
        <v>20</v>
      </c>
      <c r="AA2589" s="11">
        <v>0</v>
      </c>
      <c r="AB2589" s="12">
        <v>0</v>
      </c>
    </row>
    <row r="2590" spans="1:28" x14ac:dyDescent="0.2">
      <c r="A2590" s="7">
        <v>23517</v>
      </c>
      <c r="B2590" s="8" t="s">
        <v>16851</v>
      </c>
      <c r="C2590" s="8" t="s">
        <v>3362</v>
      </c>
      <c r="D2590" s="8" t="s">
        <v>16852</v>
      </c>
      <c r="E2590" s="8" t="s">
        <v>526</v>
      </c>
      <c r="F2590" s="8" t="s">
        <v>353</v>
      </c>
      <c r="G2590" s="8" t="s">
        <v>3364</v>
      </c>
      <c r="H2590" s="8" t="s">
        <v>704</v>
      </c>
      <c r="I2590" s="8" t="s">
        <v>3365</v>
      </c>
      <c r="J2590" s="8" t="s">
        <v>16853</v>
      </c>
      <c r="K2590" s="8" t="s">
        <v>1051</v>
      </c>
      <c r="L2590" s="8" t="s">
        <v>126</v>
      </c>
      <c r="M2590" s="8" t="s">
        <v>16854</v>
      </c>
      <c r="N2590" s="8" t="s">
        <v>128</v>
      </c>
      <c r="O2590" s="8" t="s">
        <v>16855</v>
      </c>
      <c r="P2590" s="8" t="s">
        <v>16856</v>
      </c>
      <c r="Q2590" s="8" t="s">
        <v>150</v>
      </c>
      <c r="R2590" s="8"/>
      <c r="S2590" s="8" t="s">
        <v>71</v>
      </c>
      <c r="T2590" s="8" t="s">
        <v>6736</v>
      </c>
      <c r="U2590" s="8" t="s">
        <v>150</v>
      </c>
      <c r="V2590" s="8" t="s">
        <v>6736</v>
      </c>
      <c r="W2590" s="8" t="s">
        <v>6736</v>
      </c>
      <c r="X2590" s="8">
        <v>10</v>
      </c>
      <c r="Y2590" s="8" t="s">
        <v>12359</v>
      </c>
      <c r="Z2590" s="8">
        <v>20</v>
      </c>
      <c r="AA2590" s="8">
        <v>0</v>
      </c>
      <c r="AB2590" s="9">
        <v>0</v>
      </c>
    </row>
    <row r="2591" spans="1:28" x14ac:dyDescent="0.2">
      <c r="A2591" s="10">
        <v>26858</v>
      </c>
      <c r="B2591" s="11" t="s">
        <v>16857</v>
      </c>
      <c r="C2591" s="11" t="s">
        <v>9150</v>
      </c>
      <c r="D2591" s="11" t="s">
        <v>977</v>
      </c>
      <c r="E2591" s="11"/>
      <c r="F2591" s="11" t="s">
        <v>9152</v>
      </c>
      <c r="G2591" s="11" t="s">
        <v>121</v>
      </c>
      <c r="H2591" s="11" t="s">
        <v>122</v>
      </c>
      <c r="I2591" s="11" t="s">
        <v>11787</v>
      </c>
      <c r="J2591" s="11" t="s">
        <v>16858</v>
      </c>
      <c r="K2591" s="11" t="s">
        <v>1051</v>
      </c>
      <c r="L2591" s="11" t="s">
        <v>126</v>
      </c>
      <c r="M2591" s="11" t="s">
        <v>16859</v>
      </c>
      <c r="N2591" s="11" t="s">
        <v>128</v>
      </c>
      <c r="O2591" s="11" t="s">
        <v>16860</v>
      </c>
      <c r="P2591" s="11" t="s">
        <v>1437</v>
      </c>
      <c r="Q2591" s="11" t="s">
        <v>150</v>
      </c>
      <c r="R2591" s="11"/>
      <c r="S2591" s="11" t="s">
        <v>71</v>
      </c>
      <c r="T2591" s="11" t="s">
        <v>6736</v>
      </c>
      <c r="U2591" s="11" t="s">
        <v>150</v>
      </c>
      <c r="V2591" s="11" t="s">
        <v>6736</v>
      </c>
      <c r="W2591" s="11" t="s">
        <v>6736</v>
      </c>
      <c r="X2591" s="11">
        <v>10</v>
      </c>
      <c r="Y2591" s="11" t="s">
        <v>12359</v>
      </c>
      <c r="Z2591" s="11">
        <v>20</v>
      </c>
      <c r="AA2591" s="11">
        <v>0</v>
      </c>
      <c r="AB2591" s="12">
        <v>0</v>
      </c>
    </row>
    <row r="2592" spans="1:28" x14ac:dyDescent="0.2">
      <c r="A2592" s="7">
        <v>125660</v>
      </c>
      <c r="B2592" s="8" t="s">
        <v>16861</v>
      </c>
      <c r="C2592" s="8" t="s">
        <v>8913</v>
      </c>
      <c r="D2592" s="8" t="s">
        <v>16862</v>
      </c>
      <c r="E2592" s="8"/>
      <c r="F2592" s="8" t="s">
        <v>353</v>
      </c>
      <c r="G2592" s="8" t="s">
        <v>8844</v>
      </c>
      <c r="H2592" s="8" t="s">
        <v>122</v>
      </c>
      <c r="I2592" s="8" t="s">
        <v>8845</v>
      </c>
      <c r="J2592" s="8" t="s">
        <v>16863</v>
      </c>
      <c r="K2592" s="8" t="s">
        <v>125</v>
      </c>
      <c r="L2592" s="8" t="s">
        <v>126</v>
      </c>
      <c r="M2592" s="8" t="s">
        <v>16864</v>
      </c>
      <c r="N2592" s="8" t="s">
        <v>128</v>
      </c>
      <c r="O2592" s="8" t="s">
        <v>16865</v>
      </c>
      <c r="P2592" s="8"/>
      <c r="Q2592" s="8" t="s">
        <v>150</v>
      </c>
      <c r="R2592" s="8"/>
      <c r="S2592" s="8" t="s">
        <v>71</v>
      </c>
      <c r="T2592" s="8" t="s">
        <v>6736</v>
      </c>
      <c r="U2592" s="8" t="s">
        <v>150</v>
      </c>
      <c r="V2592" s="8" t="s">
        <v>6736</v>
      </c>
      <c r="W2592" s="8" t="s">
        <v>6736</v>
      </c>
      <c r="X2592" s="8">
        <v>10</v>
      </c>
      <c r="Y2592" s="8" t="s">
        <v>12359</v>
      </c>
      <c r="Z2592" s="8">
        <v>20</v>
      </c>
      <c r="AA2592" s="8">
        <v>0</v>
      </c>
      <c r="AB2592" s="9">
        <v>0</v>
      </c>
    </row>
    <row r="2593" spans="1:28" x14ac:dyDescent="0.2">
      <c r="A2593" s="10">
        <v>126912</v>
      </c>
      <c r="B2593" s="11" t="s">
        <v>16866</v>
      </c>
      <c r="C2593" s="11" t="s">
        <v>1840</v>
      </c>
      <c r="D2593" s="11" t="s">
        <v>16867</v>
      </c>
      <c r="E2593" s="11"/>
      <c r="F2593" s="11" t="s">
        <v>353</v>
      </c>
      <c r="G2593" s="11" t="s">
        <v>1842</v>
      </c>
      <c r="H2593" s="11" t="s">
        <v>1843</v>
      </c>
      <c r="I2593" s="11" t="s">
        <v>1844</v>
      </c>
      <c r="J2593" s="11" t="s">
        <v>16868</v>
      </c>
      <c r="K2593" s="11" t="s">
        <v>1562</v>
      </c>
      <c r="L2593" s="11" t="s">
        <v>229</v>
      </c>
      <c r="M2593" s="11" t="s">
        <v>16869</v>
      </c>
      <c r="N2593" s="11" t="s">
        <v>128</v>
      </c>
      <c r="O2593" s="11" t="s">
        <v>16870</v>
      </c>
      <c r="P2593" s="11"/>
      <c r="Q2593" s="11" t="s">
        <v>150</v>
      </c>
      <c r="R2593" s="11"/>
      <c r="S2593" s="11" t="s">
        <v>71</v>
      </c>
      <c r="T2593" s="11" t="s">
        <v>7898</v>
      </c>
      <c r="U2593" s="11" t="s">
        <v>150</v>
      </c>
      <c r="V2593" s="11" t="s">
        <v>7898</v>
      </c>
      <c r="W2593" s="11" t="s">
        <v>7898</v>
      </c>
      <c r="X2593" s="11">
        <v>10</v>
      </c>
      <c r="Y2593" s="11" t="s">
        <v>12359</v>
      </c>
      <c r="Z2593" s="11">
        <v>20</v>
      </c>
      <c r="AA2593" s="11">
        <v>0</v>
      </c>
      <c r="AB2593" s="12">
        <v>0</v>
      </c>
    </row>
    <row r="2594" spans="1:28" x14ac:dyDescent="0.2">
      <c r="A2594" s="7">
        <v>27803</v>
      </c>
      <c r="B2594" s="8" t="s">
        <v>16871</v>
      </c>
      <c r="C2594" s="8" t="s">
        <v>13555</v>
      </c>
      <c r="D2594" s="8" t="s">
        <v>13556</v>
      </c>
      <c r="E2594" s="8" t="s">
        <v>135</v>
      </c>
      <c r="F2594" s="8" t="s">
        <v>353</v>
      </c>
      <c r="G2594" s="8" t="s">
        <v>846</v>
      </c>
      <c r="H2594" s="8" t="s">
        <v>847</v>
      </c>
      <c r="I2594" s="8" t="s">
        <v>10236</v>
      </c>
      <c r="J2594" s="8" t="s">
        <v>16872</v>
      </c>
      <c r="K2594" s="8" t="s">
        <v>850</v>
      </c>
      <c r="L2594" s="8" t="s">
        <v>126</v>
      </c>
      <c r="M2594" s="8" t="s">
        <v>16873</v>
      </c>
      <c r="N2594" s="8" t="s">
        <v>128</v>
      </c>
      <c r="O2594" s="8" t="s">
        <v>16874</v>
      </c>
      <c r="P2594" s="8" t="s">
        <v>16875</v>
      </c>
      <c r="Q2594" s="8" t="s">
        <v>150</v>
      </c>
      <c r="R2594" s="8"/>
      <c r="S2594" s="8" t="s">
        <v>13561</v>
      </c>
      <c r="T2594" s="8" t="s">
        <v>2697</v>
      </c>
      <c r="U2594" s="8" t="s">
        <v>150</v>
      </c>
      <c r="V2594" s="8" t="s">
        <v>2697</v>
      </c>
      <c r="W2594" s="8" t="s">
        <v>2697</v>
      </c>
      <c r="X2594" s="8">
        <v>10</v>
      </c>
      <c r="Y2594" s="8" t="s">
        <v>12359</v>
      </c>
      <c r="Z2594" s="8">
        <v>20</v>
      </c>
      <c r="AA2594" s="8">
        <v>0</v>
      </c>
      <c r="AB2594" s="9">
        <v>0</v>
      </c>
    </row>
    <row r="2595" spans="1:28" x14ac:dyDescent="0.2">
      <c r="A2595" s="10">
        <v>22840</v>
      </c>
      <c r="B2595" s="11" t="s">
        <v>16876</v>
      </c>
      <c r="C2595" s="11" t="s">
        <v>8840</v>
      </c>
      <c r="D2595" s="11" t="s">
        <v>16877</v>
      </c>
      <c r="E2595" s="11" t="s">
        <v>5691</v>
      </c>
      <c r="F2595" s="11" t="s">
        <v>353</v>
      </c>
      <c r="G2595" s="11" t="s">
        <v>8844</v>
      </c>
      <c r="H2595" s="11" t="s">
        <v>122</v>
      </c>
      <c r="I2595" s="11" t="s">
        <v>16878</v>
      </c>
      <c r="J2595" s="11" t="s">
        <v>16879</v>
      </c>
      <c r="K2595" s="11" t="s">
        <v>125</v>
      </c>
      <c r="L2595" s="11" t="s">
        <v>126</v>
      </c>
      <c r="M2595" s="11" t="s">
        <v>16880</v>
      </c>
      <c r="N2595" s="11" t="s">
        <v>128</v>
      </c>
      <c r="O2595" s="11" t="s">
        <v>16881</v>
      </c>
      <c r="P2595" s="11" t="s">
        <v>3073</v>
      </c>
      <c r="Q2595" s="11" t="s">
        <v>150</v>
      </c>
      <c r="R2595" s="11"/>
      <c r="S2595" s="11" t="s">
        <v>71</v>
      </c>
      <c r="T2595" s="11" t="s">
        <v>7189</v>
      </c>
      <c r="U2595" s="11" t="s">
        <v>150</v>
      </c>
      <c r="V2595" s="11" t="s">
        <v>7189</v>
      </c>
      <c r="W2595" s="11" t="s">
        <v>7189</v>
      </c>
      <c r="X2595" s="11">
        <v>10</v>
      </c>
      <c r="Y2595" s="11" t="s">
        <v>12359</v>
      </c>
      <c r="Z2595" s="11">
        <v>20</v>
      </c>
      <c r="AA2595" s="11">
        <v>0</v>
      </c>
      <c r="AB2595" s="12">
        <v>0</v>
      </c>
    </row>
    <row r="2596" spans="1:28" x14ac:dyDescent="0.2">
      <c r="A2596" s="7">
        <v>22831</v>
      </c>
      <c r="B2596" s="8" t="s">
        <v>16882</v>
      </c>
      <c r="C2596" s="8" t="s">
        <v>6307</v>
      </c>
      <c r="D2596" s="8" t="s">
        <v>16883</v>
      </c>
      <c r="E2596" s="8" t="s">
        <v>16884</v>
      </c>
      <c r="F2596" s="8" t="s">
        <v>16885</v>
      </c>
      <c r="G2596" s="8" t="s">
        <v>121</v>
      </c>
      <c r="H2596" s="8" t="s">
        <v>122</v>
      </c>
      <c r="I2596" s="8" t="s">
        <v>16886</v>
      </c>
      <c r="J2596" s="8" t="s">
        <v>16887</v>
      </c>
      <c r="K2596" s="8" t="s">
        <v>1051</v>
      </c>
      <c r="L2596" s="8" t="s">
        <v>126</v>
      </c>
      <c r="M2596" s="8" t="s">
        <v>16888</v>
      </c>
      <c r="N2596" s="8" t="s">
        <v>128</v>
      </c>
      <c r="O2596" s="8" t="s">
        <v>16889</v>
      </c>
      <c r="P2596" s="8" t="s">
        <v>10663</v>
      </c>
      <c r="Q2596" s="8" t="s">
        <v>150</v>
      </c>
      <c r="R2596" s="8"/>
      <c r="S2596" s="8" t="s">
        <v>71</v>
      </c>
      <c r="T2596" s="8" t="s">
        <v>7189</v>
      </c>
      <c r="U2596" s="8" t="s">
        <v>150</v>
      </c>
      <c r="V2596" s="8" t="s">
        <v>7189</v>
      </c>
      <c r="W2596" s="8" t="s">
        <v>7189</v>
      </c>
      <c r="X2596" s="8">
        <v>10</v>
      </c>
      <c r="Y2596" s="8" t="s">
        <v>12359</v>
      </c>
      <c r="Z2596" s="8">
        <v>20</v>
      </c>
      <c r="AA2596" s="8">
        <v>0</v>
      </c>
      <c r="AB2596" s="9">
        <v>0</v>
      </c>
    </row>
    <row r="2597" spans="1:28" x14ac:dyDescent="0.2">
      <c r="A2597" s="10">
        <v>23262</v>
      </c>
      <c r="B2597" s="11" t="s">
        <v>16890</v>
      </c>
      <c r="C2597" s="11" t="s">
        <v>14910</v>
      </c>
      <c r="D2597" s="11" t="s">
        <v>11591</v>
      </c>
      <c r="E2597" s="11" t="s">
        <v>16891</v>
      </c>
      <c r="F2597" s="11" t="s">
        <v>353</v>
      </c>
      <c r="G2597" s="11" t="s">
        <v>3758</v>
      </c>
      <c r="H2597" s="11" t="s">
        <v>847</v>
      </c>
      <c r="I2597" s="11" t="s">
        <v>14911</v>
      </c>
      <c r="J2597" s="11" t="s">
        <v>14912</v>
      </c>
      <c r="K2597" s="11" t="s">
        <v>1091</v>
      </c>
      <c r="L2597" s="11" t="s">
        <v>126</v>
      </c>
      <c r="M2597" s="11" t="s">
        <v>16892</v>
      </c>
      <c r="N2597" s="11" t="s">
        <v>128</v>
      </c>
      <c r="O2597" s="11" t="s">
        <v>16893</v>
      </c>
      <c r="P2597" s="11" t="s">
        <v>16894</v>
      </c>
      <c r="Q2597" s="11" t="s">
        <v>150</v>
      </c>
      <c r="R2597" s="11"/>
      <c r="S2597" s="11" t="s">
        <v>14916</v>
      </c>
      <c r="T2597" s="11" t="s">
        <v>70</v>
      </c>
      <c r="U2597" s="11" t="s">
        <v>150</v>
      </c>
      <c r="V2597" s="11" t="s">
        <v>70</v>
      </c>
      <c r="W2597" s="11" t="s">
        <v>70</v>
      </c>
      <c r="X2597" s="11">
        <v>10</v>
      </c>
      <c r="Y2597" s="11" t="s">
        <v>12359</v>
      </c>
      <c r="Z2597" s="11">
        <v>20</v>
      </c>
      <c r="AA2597" s="11">
        <v>0</v>
      </c>
      <c r="AB2597" s="12">
        <v>0</v>
      </c>
    </row>
    <row r="2598" spans="1:28" x14ac:dyDescent="0.2">
      <c r="A2598" s="7">
        <v>22977</v>
      </c>
      <c r="B2598" s="8" t="s">
        <v>16895</v>
      </c>
      <c r="C2598" s="8" t="s">
        <v>15170</v>
      </c>
      <c r="D2598" s="8" t="s">
        <v>553</v>
      </c>
      <c r="E2598" s="8" t="s">
        <v>16896</v>
      </c>
      <c r="F2598" s="8" t="s">
        <v>15171</v>
      </c>
      <c r="G2598" s="8" t="s">
        <v>3364</v>
      </c>
      <c r="H2598" s="8" t="s">
        <v>704</v>
      </c>
      <c r="I2598" s="8" t="s">
        <v>16606</v>
      </c>
      <c r="J2598" s="8" t="s">
        <v>16607</v>
      </c>
      <c r="K2598" s="8" t="s">
        <v>1051</v>
      </c>
      <c r="L2598" s="8" t="s">
        <v>126</v>
      </c>
      <c r="M2598" s="8" t="s">
        <v>16897</v>
      </c>
      <c r="N2598" s="8" t="s">
        <v>128</v>
      </c>
      <c r="O2598" s="8" t="s">
        <v>16898</v>
      </c>
      <c r="P2598" s="8" t="s">
        <v>16899</v>
      </c>
      <c r="Q2598" s="8" t="s">
        <v>150</v>
      </c>
      <c r="R2598" s="8"/>
      <c r="S2598" s="8" t="s">
        <v>15175</v>
      </c>
      <c r="T2598" s="8" t="s">
        <v>70</v>
      </c>
      <c r="U2598" s="8" t="s">
        <v>150</v>
      </c>
      <c r="V2598" s="8" t="s">
        <v>70</v>
      </c>
      <c r="W2598" s="8" t="s">
        <v>70</v>
      </c>
      <c r="X2598" s="8">
        <v>10</v>
      </c>
      <c r="Y2598" s="8" t="s">
        <v>12359</v>
      </c>
      <c r="Z2598" s="8">
        <v>20</v>
      </c>
      <c r="AA2598" s="8">
        <v>0</v>
      </c>
      <c r="AB2598" s="9">
        <v>0</v>
      </c>
    </row>
    <row r="2599" spans="1:28" x14ac:dyDescent="0.2">
      <c r="A2599" s="10">
        <v>23256</v>
      </c>
      <c r="B2599" s="11" t="s">
        <v>16900</v>
      </c>
      <c r="C2599" s="11" t="s">
        <v>8798</v>
      </c>
      <c r="D2599" s="11" t="s">
        <v>1333</v>
      </c>
      <c r="E2599" s="11" t="s">
        <v>16901</v>
      </c>
      <c r="F2599" s="11" t="s">
        <v>8800</v>
      </c>
      <c r="G2599" s="11" t="s">
        <v>141</v>
      </c>
      <c r="H2599" s="11" t="s">
        <v>142</v>
      </c>
      <c r="I2599" s="11" t="s">
        <v>8801</v>
      </c>
      <c r="J2599" s="11" t="s">
        <v>8802</v>
      </c>
      <c r="K2599" s="11" t="s">
        <v>145</v>
      </c>
      <c r="L2599" s="11" t="s">
        <v>146</v>
      </c>
      <c r="M2599" s="11" t="s">
        <v>16902</v>
      </c>
      <c r="N2599" s="11" t="s">
        <v>128</v>
      </c>
      <c r="O2599" s="11" t="s">
        <v>16903</v>
      </c>
      <c r="P2599" s="11" t="s">
        <v>16904</v>
      </c>
      <c r="Q2599" s="11" t="s">
        <v>150</v>
      </c>
      <c r="R2599" s="11"/>
      <c r="S2599" s="11" t="s">
        <v>8805</v>
      </c>
      <c r="T2599" s="11" t="s">
        <v>70</v>
      </c>
      <c r="U2599" s="11" t="s">
        <v>150</v>
      </c>
      <c r="V2599" s="11" t="s">
        <v>70</v>
      </c>
      <c r="W2599" s="11" t="s">
        <v>70</v>
      </c>
      <c r="X2599" s="11">
        <v>10</v>
      </c>
      <c r="Y2599" s="11" t="s">
        <v>12359</v>
      </c>
      <c r="Z2599" s="11">
        <v>20</v>
      </c>
      <c r="AA2599" s="11">
        <v>0</v>
      </c>
      <c r="AB2599" s="12">
        <v>0</v>
      </c>
    </row>
    <row r="2600" spans="1:28" x14ac:dyDescent="0.2">
      <c r="A2600" s="7">
        <v>23039</v>
      </c>
      <c r="B2600" s="8" t="s">
        <v>16905</v>
      </c>
      <c r="C2600" s="8" t="s">
        <v>2060</v>
      </c>
      <c r="D2600" s="8" t="s">
        <v>16906</v>
      </c>
      <c r="E2600" s="8"/>
      <c r="F2600" s="8" t="s">
        <v>2550</v>
      </c>
      <c r="G2600" s="8" t="s">
        <v>141</v>
      </c>
      <c r="H2600" s="8" t="s">
        <v>142</v>
      </c>
      <c r="I2600" s="8" t="s">
        <v>16907</v>
      </c>
      <c r="J2600" s="8" t="s">
        <v>16908</v>
      </c>
      <c r="K2600" s="8" t="s">
        <v>145</v>
      </c>
      <c r="L2600" s="8" t="s">
        <v>146</v>
      </c>
      <c r="M2600" s="8" t="s">
        <v>16909</v>
      </c>
      <c r="N2600" s="8" t="s">
        <v>128</v>
      </c>
      <c r="O2600" s="8" t="s">
        <v>16910</v>
      </c>
      <c r="P2600" s="8" t="s">
        <v>16911</v>
      </c>
      <c r="Q2600" s="8" t="s">
        <v>150</v>
      </c>
      <c r="R2600" s="8"/>
      <c r="S2600" s="8" t="s">
        <v>71</v>
      </c>
      <c r="T2600" s="8" t="s">
        <v>70</v>
      </c>
      <c r="U2600" s="8" t="s">
        <v>150</v>
      </c>
      <c r="V2600" s="8" t="s">
        <v>70</v>
      </c>
      <c r="W2600" s="8" t="s">
        <v>70</v>
      </c>
      <c r="X2600" s="8">
        <v>10</v>
      </c>
      <c r="Y2600" s="8" t="s">
        <v>12359</v>
      </c>
      <c r="Z2600" s="8">
        <v>20</v>
      </c>
      <c r="AA2600" s="8">
        <v>0</v>
      </c>
      <c r="AB2600" s="9">
        <v>0</v>
      </c>
    </row>
    <row r="2601" spans="1:28" x14ac:dyDescent="0.2">
      <c r="A2601" s="10">
        <v>86803</v>
      </c>
      <c r="B2601" s="11" t="s">
        <v>16912</v>
      </c>
      <c r="C2601" s="11" t="s">
        <v>16913</v>
      </c>
      <c r="D2601" s="11" t="s">
        <v>138</v>
      </c>
      <c r="E2601" s="11"/>
      <c r="F2601" s="11" t="s">
        <v>13718</v>
      </c>
      <c r="G2601" s="11" t="s">
        <v>224</v>
      </c>
      <c r="H2601" s="11" t="s">
        <v>225</v>
      </c>
      <c r="I2601" s="11" t="s">
        <v>16914</v>
      </c>
      <c r="J2601" s="11" t="s">
        <v>16915</v>
      </c>
      <c r="K2601" s="11" t="s">
        <v>228</v>
      </c>
      <c r="L2601" s="11" t="s">
        <v>229</v>
      </c>
      <c r="M2601" s="11" t="s">
        <v>16916</v>
      </c>
      <c r="N2601" s="11" t="s">
        <v>128</v>
      </c>
      <c r="O2601" s="11" t="s">
        <v>16917</v>
      </c>
      <c r="P2601" s="11" t="s">
        <v>16918</v>
      </c>
      <c r="Q2601" s="11" t="s">
        <v>150</v>
      </c>
      <c r="R2601" s="11"/>
      <c r="S2601" s="11" t="s">
        <v>16919</v>
      </c>
      <c r="T2601" s="11" t="s">
        <v>70</v>
      </c>
      <c r="U2601" s="11" t="s">
        <v>150</v>
      </c>
      <c r="V2601" s="11" t="s">
        <v>70</v>
      </c>
      <c r="W2601" s="11" t="s">
        <v>70</v>
      </c>
      <c r="X2601" s="11">
        <v>10</v>
      </c>
      <c r="Y2601" s="11" t="s">
        <v>12359</v>
      </c>
      <c r="Z2601" s="11">
        <v>20</v>
      </c>
      <c r="AA2601" s="11">
        <v>0</v>
      </c>
      <c r="AB2601" s="12">
        <v>0</v>
      </c>
    </row>
    <row r="2602" spans="1:28" x14ac:dyDescent="0.2">
      <c r="A2602" s="7">
        <v>28595</v>
      </c>
      <c r="B2602" s="8" t="s">
        <v>16920</v>
      </c>
      <c r="C2602" s="8" t="s">
        <v>16763</v>
      </c>
      <c r="D2602" s="8" t="s">
        <v>10816</v>
      </c>
      <c r="E2602" s="8"/>
      <c r="F2602" s="8" t="s">
        <v>6117</v>
      </c>
      <c r="G2602" s="8" t="s">
        <v>141</v>
      </c>
      <c r="H2602" s="8" t="s">
        <v>142</v>
      </c>
      <c r="I2602" s="8" t="s">
        <v>16765</v>
      </c>
      <c r="J2602" s="8" t="s">
        <v>16921</v>
      </c>
      <c r="K2602" s="8" t="s">
        <v>584</v>
      </c>
      <c r="L2602" s="8" t="s">
        <v>146</v>
      </c>
      <c r="M2602" s="8" t="s">
        <v>16922</v>
      </c>
      <c r="N2602" s="8" t="s">
        <v>128</v>
      </c>
      <c r="O2602" s="8" t="s">
        <v>16923</v>
      </c>
      <c r="P2602" s="8" t="s">
        <v>16924</v>
      </c>
      <c r="Q2602" s="8" t="s">
        <v>150</v>
      </c>
      <c r="R2602" s="8"/>
      <c r="S2602" s="8" t="s">
        <v>16769</v>
      </c>
      <c r="T2602" s="8" t="s">
        <v>70</v>
      </c>
      <c r="U2602" s="8" t="s">
        <v>150</v>
      </c>
      <c r="V2602" s="8" t="s">
        <v>70</v>
      </c>
      <c r="W2602" s="8" t="s">
        <v>70</v>
      </c>
      <c r="X2602" s="8">
        <v>10</v>
      </c>
      <c r="Y2602" s="8" t="s">
        <v>12359</v>
      </c>
      <c r="Z2602" s="8">
        <v>20</v>
      </c>
      <c r="AA2602" s="8">
        <v>0</v>
      </c>
      <c r="AB2602" s="9">
        <v>0</v>
      </c>
    </row>
    <row r="2603" spans="1:28" x14ac:dyDescent="0.2">
      <c r="A2603" s="10">
        <v>106318</v>
      </c>
      <c r="B2603" s="11" t="s">
        <v>16925</v>
      </c>
      <c r="C2603" s="11" t="s">
        <v>10028</v>
      </c>
      <c r="D2603" s="11" t="s">
        <v>774</v>
      </c>
      <c r="E2603" s="11"/>
      <c r="F2603" s="11" t="s">
        <v>10029</v>
      </c>
      <c r="G2603" s="11" t="s">
        <v>3189</v>
      </c>
      <c r="H2603" s="11" t="s">
        <v>142</v>
      </c>
      <c r="I2603" s="11" t="s">
        <v>10030</v>
      </c>
      <c r="J2603" s="11" t="s">
        <v>10031</v>
      </c>
      <c r="K2603" s="11" t="s">
        <v>472</v>
      </c>
      <c r="L2603" s="11" t="s">
        <v>146</v>
      </c>
      <c r="M2603" s="11" t="s">
        <v>16926</v>
      </c>
      <c r="N2603" s="11" t="s">
        <v>128</v>
      </c>
      <c r="O2603" s="11" t="s">
        <v>16927</v>
      </c>
      <c r="P2603" s="11" t="s">
        <v>8043</v>
      </c>
      <c r="Q2603" s="11" t="s">
        <v>150</v>
      </c>
      <c r="R2603" s="11"/>
      <c r="S2603" s="11" t="s">
        <v>10035</v>
      </c>
      <c r="T2603" s="11" t="s">
        <v>70</v>
      </c>
      <c r="U2603" s="11" t="s">
        <v>150</v>
      </c>
      <c r="V2603" s="11" t="s">
        <v>70</v>
      </c>
      <c r="W2603" s="11" t="s">
        <v>70</v>
      </c>
      <c r="X2603" s="11">
        <v>10</v>
      </c>
      <c r="Y2603" s="11" t="s">
        <v>12359</v>
      </c>
      <c r="Z2603" s="11">
        <v>20</v>
      </c>
      <c r="AA2603" s="11">
        <v>0</v>
      </c>
      <c r="AB2603" s="12">
        <v>0</v>
      </c>
    </row>
    <row r="2604" spans="1:28" x14ac:dyDescent="0.2">
      <c r="A2604" s="7">
        <v>28703</v>
      </c>
      <c r="B2604" s="8" t="s">
        <v>16928</v>
      </c>
      <c r="C2604" s="8" t="s">
        <v>10421</v>
      </c>
      <c r="D2604" s="8" t="s">
        <v>2554</v>
      </c>
      <c r="E2604" s="8"/>
      <c r="F2604" s="8"/>
      <c r="G2604" s="8" t="s">
        <v>16929</v>
      </c>
      <c r="H2604" s="8" t="s">
        <v>142</v>
      </c>
      <c r="I2604" s="8" t="s">
        <v>16930</v>
      </c>
      <c r="J2604" s="8" t="s">
        <v>16931</v>
      </c>
      <c r="K2604" s="8" t="s">
        <v>1673</v>
      </c>
      <c r="L2604" s="8" t="s">
        <v>464</v>
      </c>
      <c r="M2604" s="8" t="s">
        <v>16932</v>
      </c>
      <c r="N2604" s="8" t="s">
        <v>128</v>
      </c>
      <c r="O2604" s="8" t="s">
        <v>16933</v>
      </c>
      <c r="P2604" s="8" t="s">
        <v>16934</v>
      </c>
      <c r="Q2604" s="8" t="s">
        <v>150</v>
      </c>
      <c r="R2604" s="8"/>
      <c r="S2604" s="8" t="s">
        <v>71</v>
      </c>
      <c r="T2604" s="8" t="s">
        <v>1415</v>
      </c>
      <c r="U2604" s="8" t="s">
        <v>150</v>
      </c>
      <c r="V2604" s="8" t="s">
        <v>1415</v>
      </c>
      <c r="W2604" s="8" t="s">
        <v>1415</v>
      </c>
      <c r="X2604" s="8">
        <v>10</v>
      </c>
      <c r="Y2604" s="8" t="s">
        <v>12359</v>
      </c>
      <c r="Z2604" s="8">
        <v>20</v>
      </c>
      <c r="AA2604" s="8">
        <v>0</v>
      </c>
      <c r="AB2604" s="9">
        <v>0</v>
      </c>
    </row>
    <row r="2605" spans="1:28" x14ac:dyDescent="0.2">
      <c r="A2605" s="10">
        <v>106046</v>
      </c>
      <c r="B2605" s="11" t="s">
        <v>16935</v>
      </c>
      <c r="C2605" s="11" t="s">
        <v>10131</v>
      </c>
      <c r="D2605" s="11" t="s">
        <v>16936</v>
      </c>
      <c r="E2605" s="11"/>
      <c r="F2605" s="11" t="s">
        <v>16937</v>
      </c>
      <c r="G2605" s="11" t="s">
        <v>4675</v>
      </c>
      <c r="H2605" s="11" t="s">
        <v>191</v>
      </c>
      <c r="I2605" s="11" t="s">
        <v>16938</v>
      </c>
      <c r="J2605" s="11" t="s">
        <v>16939</v>
      </c>
      <c r="K2605" s="11" t="s">
        <v>194</v>
      </c>
      <c r="L2605" s="11" t="s">
        <v>163</v>
      </c>
      <c r="M2605" s="11" t="s">
        <v>16940</v>
      </c>
      <c r="N2605" s="11" t="s">
        <v>128</v>
      </c>
      <c r="O2605" s="11" t="s">
        <v>16941</v>
      </c>
      <c r="P2605" s="11" t="s">
        <v>16942</v>
      </c>
      <c r="Q2605" s="11" t="s">
        <v>150</v>
      </c>
      <c r="R2605" s="11"/>
      <c r="S2605" s="11" t="s">
        <v>71</v>
      </c>
      <c r="T2605" s="11" t="s">
        <v>5007</v>
      </c>
      <c r="U2605" s="11" t="s">
        <v>150</v>
      </c>
      <c r="V2605" s="11" t="s">
        <v>5007</v>
      </c>
      <c r="W2605" s="11" t="s">
        <v>5007</v>
      </c>
      <c r="X2605" s="11">
        <v>10</v>
      </c>
      <c r="Y2605" s="11" t="s">
        <v>12359</v>
      </c>
      <c r="Z2605" s="11">
        <v>20</v>
      </c>
      <c r="AA2605" s="11">
        <v>0</v>
      </c>
      <c r="AB2605" s="12">
        <v>0</v>
      </c>
    </row>
    <row r="2606" spans="1:28" x14ac:dyDescent="0.2">
      <c r="A2606" s="7">
        <v>28757</v>
      </c>
      <c r="B2606" s="8" t="s">
        <v>16943</v>
      </c>
      <c r="C2606" s="8" t="s">
        <v>9202</v>
      </c>
      <c r="D2606" s="8" t="s">
        <v>4080</v>
      </c>
      <c r="E2606" s="8"/>
      <c r="F2606" s="8" t="s">
        <v>353</v>
      </c>
      <c r="G2606" s="8" t="s">
        <v>2992</v>
      </c>
      <c r="H2606" s="8" t="s">
        <v>122</v>
      </c>
      <c r="I2606" s="8" t="s">
        <v>16944</v>
      </c>
      <c r="J2606" s="8" t="s">
        <v>16945</v>
      </c>
      <c r="K2606" s="8" t="s">
        <v>125</v>
      </c>
      <c r="L2606" s="8" t="s">
        <v>126</v>
      </c>
      <c r="M2606" s="8" t="s">
        <v>16946</v>
      </c>
      <c r="N2606" s="8" t="s">
        <v>128</v>
      </c>
      <c r="O2606" s="8" t="s">
        <v>16947</v>
      </c>
      <c r="P2606" s="8"/>
      <c r="Q2606" s="8" t="s">
        <v>150</v>
      </c>
      <c r="R2606" s="8"/>
      <c r="S2606" s="8" t="s">
        <v>71</v>
      </c>
      <c r="T2606" s="8" t="s">
        <v>14887</v>
      </c>
      <c r="U2606" s="8" t="s">
        <v>150</v>
      </c>
      <c r="V2606" s="8" t="s">
        <v>14887</v>
      </c>
      <c r="W2606" s="8" t="s">
        <v>14887</v>
      </c>
      <c r="X2606" s="8">
        <v>10</v>
      </c>
      <c r="Y2606" s="8" t="s">
        <v>12359</v>
      </c>
      <c r="Z2606" s="8">
        <v>20</v>
      </c>
      <c r="AA2606" s="8">
        <v>0</v>
      </c>
      <c r="AB2606" s="9">
        <v>0</v>
      </c>
    </row>
    <row r="2607" spans="1:28" x14ac:dyDescent="0.2">
      <c r="A2607" s="10">
        <v>23905</v>
      </c>
      <c r="B2607" s="11" t="s">
        <v>16948</v>
      </c>
      <c r="C2607" s="11" t="s">
        <v>14784</v>
      </c>
      <c r="D2607" s="11" t="s">
        <v>3617</v>
      </c>
      <c r="E2607" s="11" t="s">
        <v>10671</v>
      </c>
      <c r="F2607" s="11" t="s">
        <v>353</v>
      </c>
      <c r="G2607" s="11" t="s">
        <v>5369</v>
      </c>
      <c r="H2607" s="11" t="s">
        <v>847</v>
      </c>
      <c r="I2607" s="11" t="s">
        <v>14787</v>
      </c>
      <c r="J2607" s="11" t="s">
        <v>16949</v>
      </c>
      <c r="K2607" s="11" t="s">
        <v>850</v>
      </c>
      <c r="L2607" s="11" t="s">
        <v>126</v>
      </c>
      <c r="M2607" s="11" t="s">
        <v>16950</v>
      </c>
      <c r="N2607" s="11" t="s">
        <v>128</v>
      </c>
      <c r="O2607" s="11" t="s">
        <v>16951</v>
      </c>
      <c r="P2607" s="11" t="s">
        <v>2625</v>
      </c>
      <c r="Q2607" s="11" t="s">
        <v>150</v>
      </c>
      <c r="R2607" s="11"/>
      <c r="S2607" s="11" t="s">
        <v>71</v>
      </c>
      <c r="T2607" s="11" t="s">
        <v>168</v>
      </c>
      <c r="U2607" s="11" t="s">
        <v>150</v>
      </c>
      <c r="V2607" s="11" t="s">
        <v>168</v>
      </c>
      <c r="W2607" s="11" t="s">
        <v>168</v>
      </c>
      <c r="X2607" s="11">
        <v>10</v>
      </c>
      <c r="Y2607" s="11" t="s">
        <v>12359</v>
      </c>
      <c r="Z2607" s="11">
        <v>20</v>
      </c>
      <c r="AA2607" s="11">
        <v>0</v>
      </c>
      <c r="AB2607" s="12">
        <v>0</v>
      </c>
    </row>
    <row r="2608" spans="1:28" x14ac:dyDescent="0.2">
      <c r="A2608" s="7">
        <v>23960</v>
      </c>
      <c r="B2608" s="8" t="s">
        <v>16952</v>
      </c>
      <c r="C2608" s="8" t="s">
        <v>10488</v>
      </c>
      <c r="D2608" s="8" t="s">
        <v>1464</v>
      </c>
      <c r="E2608" s="8"/>
      <c r="F2608" s="8" t="s">
        <v>353</v>
      </c>
      <c r="G2608" s="8" t="s">
        <v>16732</v>
      </c>
      <c r="H2608" s="8" t="s">
        <v>142</v>
      </c>
      <c r="I2608" s="8" t="s">
        <v>16953</v>
      </c>
      <c r="J2608" s="8" t="s">
        <v>16954</v>
      </c>
      <c r="K2608" s="8" t="s">
        <v>1199</v>
      </c>
      <c r="L2608" s="8" t="s">
        <v>464</v>
      </c>
      <c r="M2608" s="8" t="s">
        <v>16955</v>
      </c>
      <c r="N2608" s="8" t="s">
        <v>128</v>
      </c>
      <c r="O2608" s="8" t="s">
        <v>16956</v>
      </c>
      <c r="P2608" s="8" t="s">
        <v>13514</v>
      </c>
      <c r="Q2608" s="8" t="s">
        <v>150</v>
      </c>
      <c r="R2608" s="8"/>
      <c r="S2608" s="8" t="s">
        <v>71</v>
      </c>
      <c r="T2608" s="8" t="s">
        <v>168</v>
      </c>
      <c r="U2608" s="8" t="s">
        <v>150</v>
      </c>
      <c r="V2608" s="8" t="s">
        <v>168</v>
      </c>
      <c r="W2608" s="8" t="s">
        <v>168</v>
      </c>
      <c r="X2608" s="8">
        <v>10</v>
      </c>
      <c r="Y2608" s="8" t="s">
        <v>12359</v>
      </c>
      <c r="Z2608" s="8">
        <v>20</v>
      </c>
      <c r="AA2608" s="8">
        <v>0</v>
      </c>
      <c r="AB2608" s="9">
        <v>0</v>
      </c>
    </row>
    <row r="2609" spans="1:28" x14ac:dyDescent="0.2">
      <c r="A2609" s="10">
        <v>37870</v>
      </c>
      <c r="B2609" s="11" t="s">
        <v>16957</v>
      </c>
      <c r="C2609" s="11" t="s">
        <v>16958</v>
      </c>
      <c r="D2609" s="11" t="s">
        <v>12057</v>
      </c>
      <c r="E2609" s="11"/>
      <c r="F2609" s="11" t="s">
        <v>353</v>
      </c>
      <c r="G2609" s="11" t="s">
        <v>16339</v>
      </c>
      <c r="H2609" s="11" t="s">
        <v>159</v>
      </c>
      <c r="I2609" s="11" t="s">
        <v>16340</v>
      </c>
      <c r="J2609" s="11" t="s">
        <v>16959</v>
      </c>
      <c r="K2609" s="11" t="s">
        <v>162</v>
      </c>
      <c r="L2609" s="11" t="s">
        <v>163</v>
      </c>
      <c r="M2609" s="11" t="s">
        <v>16960</v>
      </c>
      <c r="N2609" s="11" t="s">
        <v>128</v>
      </c>
      <c r="O2609" s="11" t="s">
        <v>16961</v>
      </c>
      <c r="P2609" s="11" t="s">
        <v>8224</v>
      </c>
      <c r="Q2609" s="11" t="s">
        <v>150</v>
      </c>
      <c r="R2609" s="11"/>
      <c r="S2609" s="11" t="s">
        <v>71</v>
      </c>
      <c r="T2609" s="11" t="s">
        <v>168</v>
      </c>
      <c r="U2609" s="11" t="s">
        <v>150</v>
      </c>
      <c r="V2609" s="11" t="s">
        <v>168</v>
      </c>
      <c r="W2609" s="11" t="s">
        <v>168</v>
      </c>
      <c r="X2609" s="11">
        <v>10</v>
      </c>
      <c r="Y2609" s="11" t="s">
        <v>12359</v>
      </c>
      <c r="Z2609" s="11">
        <v>20</v>
      </c>
      <c r="AA2609" s="11">
        <v>0</v>
      </c>
      <c r="AB2609" s="12">
        <v>0</v>
      </c>
    </row>
    <row r="2610" spans="1:28" x14ac:dyDescent="0.2">
      <c r="A2610" s="7">
        <v>119347</v>
      </c>
      <c r="B2610" s="8" t="s">
        <v>16962</v>
      </c>
      <c r="C2610" s="8" t="s">
        <v>16963</v>
      </c>
      <c r="D2610" s="8" t="s">
        <v>3846</v>
      </c>
      <c r="E2610" s="8"/>
      <c r="F2610" s="8" t="s">
        <v>16964</v>
      </c>
      <c r="G2610" s="8" t="s">
        <v>121</v>
      </c>
      <c r="H2610" s="8" t="s">
        <v>122</v>
      </c>
      <c r="I2610" s="8" t="s">
        <v>16965</v>
      </c>
      <c r="J2610" s="8" t="s">
        <v>16966</v>
      </c>
      <c r="K2610" s="8" t="s">
        <v>125</v>
      </c>
      <c r="L2610" s="8" t="s">
        <v>126</v>
      </c>
      <c r="M2610" s="8" t="s">
        <v>16967</v>
      </c>
      <c r="N2610" s="8" t="s">
        <v>128</v>
      </c>
      <c r="O2610" s="8" t="s">
        <v>16968</v>
      </c>
      <c r="P2610" s="8" t="s">
        <v>11326</v>
      </c>
      <c r="Q2610" s="8" t="s">
        <v>150</v>
      </c>
      <c r="R2610" s="8"/>
      <c r="S2610" s="8" t="s">
        <v>71</v>
      </c>
      <c r="T2610" s="8" t="s">
        <v>168</v>
      </c>
      <c r="U2610" s="8" t="s">
        <v>150</v>
      </c>
      <c r="V2610" s="8" t="s">
        <v>168</v>
      </c>
      <c r="W2610" s="8" t="s">
        <v>168</v>
      </c>
      <c r="X2610" s="8">
        <v>10</v>
      </c>
      <c r="Y2610" s="8" t="s">
        <v>12359</v>
      </c>
      <c r="Z2610" s="8">
        <v>20</v>
      </c>
      <c r="AA2610" s="8">
        <v>0</v>
      </c>
      <c r="AB2610" s="9">
        <v>0</v>
      </c>
    </row>
    <row r="2611" spans="1:28" x14ac:dyDescent="0.2">
      <c r="A2611" s="10">
        <v>125684</v>
      </c>
      <c r="B2611" s="11" t="s">
        <v>16969</v>
      </c>
      <c r="C2611" s="11" t="s">
        <v>16970</v>
      </c>
      <c r="D2611" s="11" t="s">
        <v>16971</v>
      </c>
      <c r="E2611" s="11"/>
      <c r="F2611" s="11" t="s">
        <v>2073</v>
      </c>
      <c r="G2611" s="11" t="s">
        <v>328</v>
      </c>
      <c r="H2611" s="11" t="s">
        <v>329</v>
      </c>
      <c r="I2611" s="11" t="s">
        <v>16972</v>
      </c>
      <c r="J2611" s="11" t="s">
        <v>16973</v>
      </c>
      <c r="K2611" s="11" t="s">
        <v>332</v>
      </c>
      <c r="L2611" s="11" t="s">
        <v>333</v>
      </c>
      <c r="M2611" s="11" t="s">
        <v>16974</v>
      </c>
      <c r="N2611" s="11" t="s">
        <v>128</v>
      </c>
      <c r="O2611" s="11" t="s">
        <v>16975</v>
      </c>
      <c r="P2611" s="11" t="s">
        <v>16976</v>
      </c>
      <c r="Q2611" s="11" t="s">
        <v>150</v>
      </c>
      <c r="R2611" s="11"/>
      <c r="S2611" s="11" t="s">
        <v>71</v>
      </c>
      <c r="T2611" s="11" t="s">
        <v>168</v>
      </c>
      <c r="U2611" s="11" t="s">
        <v>150</v>
      </c>
      <c r="V2611" s="11" t="s">
        <v>168</v>
      </c>
      <c r="W2611" s="11" t="s">
        <v>168</v>
      </c>
      <c r="X2611" s="11">
        <v>10</v>
      </c>
      <c r="Y2611" s="11" t="s">
        <v>12359</v>
      </c>
      <c r="Z2611" s="11">
        <v>20</v>
      </c>
      <c r="AA2611" s="11">
        <v>0</v>
      </c>
      <c r="AB2611" s="12">
        <v>0</v>
      </c>
    </row>
    <row r="2612" spans="1:28" x14ac:dyDescent="0.2">
      <c r="A2612" s="7">
        <v>110292</v>
      </c>
      <c r="B2612" s="8" t="s">
        <v>16977</v>
      </c>
      <c r="C2612" s="8" t="s">
        <v>16750</v>
      </c>
      <c r="D2612" s="8" t="s">
        <v>5844</v>
      </c>
      <c r="E2612" s="8"/>
      <c r="F2612" s="8" t="s">
        <v>16751</v>
      </c>
      <c r="G2612" s="8" t="s">
        <v>7116</v>
      </c>
      <c r="H2612" s="8" t="s">
        <v>142</v>
      </c>
      <c r="I2612" s="8" t="s">
        <v>16978</v>
      </c>
      <c r="J2612" s="8" t="s">
        <v>16811</v>
      </c>
      <c r="K2612" s="8" t="s">
        <v>1199</v>
      </c>
      <c r="L2612" s="8" t="s">
        <v>464</v>
      </c>
      <c r="M2612" s="8" t="s">
        <v>16979</v>
      </c>
      <c r="N2612" s="8" t="s">
        <v>128</v>
      </c>
      <c r="O2612" s="8" t="s">
        <v>16980</v>
      </c>
      <c r="P2612" s="8" t="s">
        <v>16981</v>
      </c>
      <c r="Q2612" s="8" t="s">
        <v>150</v>
      </c>
      <c r="R2612" s="8"/>
      <c r="S2612" s="8" t="s">
        <v>16757</v>
      </c>
      <c r="T2612" s="8" t="s">
        <v>168</v>
      </c>
      <c r="U2612" s="8" t="s">
        <v>150</v>
      </c>
      <c r="V2612" s="8" t="s">
        <v>168</v>
      </c>
      <c r="W2612" s="8" t="s">
        <v>168</v>
      </c>
      <c r="X2612" s="8">
        <v>10</v>
      </c>
      <c r="Y2612" s="8" t="s">
        <v>12359</v>
      </c>
      <c r="Z2612" s="8">
        <v>20</v>
      </c>
      <c r="AA2612" s="8">
        <v>0</v>
      </c>
      <c r="AB2612" s="9">
        <v>0</v>
      </c>
    </row>
    <row r="2613" spans="1:28" x14ac:dyDescent="0.2">
      <c r="A2613" s="10">
        <v>24021</v>
      </c>
      <c r="B2613" s="11" t="s">
        <v>16982</v>
      </c>
      <c r="C2613" s="11" t="s">
        <v>13872</v>
      </c>
      <c r="D2613" s="11" t="s">
        <v>410</v>
      </c>
      <c r="E2613" s="11" t="s">
        <v>281</v>
      </c>
      <c r="F2613" s="11" t="s">
        <v>7666</v>
      </c>
      <c r="G2613" s="11" t="s">
        <v>6409</v>
      </c>
      <c r="H2613" s="11" t="s">
        <v>6410</v>
      </c>
      <c r="I2613" s="11" t="s">
        <v>7667</v>
      </c>
      <c r="J2613" s="11" t="s">
        <v>13873</v>
      </c>
      <c r="K2613" s="11" t="s">
        <v>1956</v>
      </c>
      <c r="L2613" s="11" t="s">
        <v>526</v>
      </c>
      <c r="M2613" s="11" t="s">
        <v>16983</v>
      </c>
      <c r="N2613" s="11" t="s">
        <v>128</v>
      </c>
      <c r="O2613" s="11" t="s">
        <v>16984</v>
      </c>
      <c r="P2613" s="11"/>
      <c r="Q2613" s="11" t="s">
        <v>150</v>
      </c>
      <c r="R2613" s="11"/>
      <c r="S2613" s="11" t="s">
        <v>7138</v>
      </c>
      <c r="T2613" s="11" t="s">
        <v>13491</v>
      </c>
      <c r="U2613" s="11" t="s">
        <v>150</v>
      </c>
      <c r="V2613" s="11" t="s">
        <v>13491</v>
      </c>
      <c r="W2613" s="11" t="s">
        <v>13491</v>
      </c>
      <c r="X2613" s="11">
        <v>10</v>
      </c>
      <c r="Y2613" s="11" t="s">
        <v>12359</v>
      </c>
      <c r="Z2613" s="11">
        <v>20</v>
      </c>
      <c r="AA2613" s="11">
        <v>0</v>
      </c>
      <c r="AB2613" s="12">
        <v>0</v>
      </c>
    </row>
    <row r="2614" spans="1:28" x14ac:dyDescent="0.2">
      <c r="A2614" s="7">
        <v>125370</v>
      </c>
      <c r="B2614" s="8" t="s">
        <v>16985</v>
      </c>
      <c r="C2614" s="8" t="s">
        <v>16171</v>
      </c>
      <c r="D2614" s="8" t="s">
        <v>16172</v>
      </c>
      <c r="E2614" s="8"/>
      <c r="F2614" s="8" t="s">
        <v>16173</v>
      </c>
      <c r="G2614" s="8" t="s">
        <v>9522</v>
      </c>
      <c r="H2614" s="8" t="s">
        <v>159</v>
      </c>
      <c r="I2614" s="8" t="s">
        <v>16377</v>
      </c>
      <c r="J2614" s="8" t="s">
        <v>16175</v>
      </c>
      <c r="K2614" s="8" t="s">
        <v>162</v>
      </c>
      <c r="L2614" s="8" t="s">
        <v>163</v>
      </c>
      <c r="M2614" s="8" t="s">
        <v>16986</v>
      </c>
      <c r="N2614" s="8" t="s">
        <v>128</v>
      </c>
      <c r="O2614" s="8" t="s">
        <v>16987</v>
      </c>
      <c r="P2614" s="8"/>
      <c r="Q2614" s="8" t="s">
        <v>150</v>
      </c>
      <c r="R2614" s="8"/>
      <c r="S2614" s="8" t="s">
        <v>16179</v>
      </c>
      <c r="T2614" s="8" t="s">
        <v>5438</v>
      </c>
      <c r="U2614" s="8" t="s">
        <v>150</v>
      </c>
      <c r="V2614" s="8" t="s">
        <v>5438</v>
      </c>
      <c r="W2614" s="8" t="s">
        <v>5438</v>
      </c>
      <c r="X2614" s="8">
        <v>10</v>
      </c>
      <c r="Y2614" s="8" t="s">
        <v>12359</v>
      </c>
      <c r="Z2614" s="8">
        <v>20</v>
      </c>
      <c r="AA2614" s="8">
        <v>0</v>
      </c>
      <c r="AB2614" s="9">
        <v>0</v>
      </c>
    </row>
    <row r="2615" spans="1:28" x14ac:dyDescent="0.2">
      <c r="A2615" s="10">
        <v>24856</v>
      </c>
      <c r="B2615" s="11" t="s">
        <v>16988</v>
      </c>
      <c r="C2615" s="11" t="s">
        <v>1622</v>
      </c>
      <c r="D2615" s="11" t="s">
        <v>1623</v>
      </c>
      <c r="E2615" s="11" t="s">
        <v>16989</v>
      </c>
      <c r="F2615" s="11" t="s">
        <v>1625</v>
      </c>
      <c r="G2615" s="11" t="s">
        <v>1626</v>
      </c>
      <c r="H2615" s="11" t="s">
        <v>142</v>
      </c>
      <c r="I2615" s="11" t="s">
        <v>1627</v>
      </c>
      <c r="J2615" s="11" t="s">
        <v>1628</v>
      </c>
      <c r="K2615" s="11" t="s">
        <v>472</v>
      </c>
      <c r="L2615" s="11" t="s">
        <v>146</v>
      </c>
      <c r="M2615" s="11" t="s">
        <v>16990</v>
      </c>
      <c r="N2615" s="11" t="s">
        <v>128</v>
      </c>
      <c r="O2615" s="11" t="s">
        <v>16991</v>
      </c>
      <c r="P2615" s="11" t="s">
        <v>16992</v>
      </c>
      <c r="Q2615" s="11" t="s">
        <v>150</v>
      </c>
      <c r="R2615" s="11"/>
      <c r="S2615" s="11" t="s">
        <v>1632</v>
      </c>
      <c r="T2615" s="11" t="s">
        <v>1738</v>
      </c>
      <c r="U2615" s="11" t="s">
        <v>150</v>
      </c>
      <c r="V2615" s="11" t="s">
        <v>1738</v>
      </c>
      <c r="W2615" s="11" t="s">
        <v>1738</v>
      </c>
      <c r="X2615" s="11">
        <v>10</v>
      </c>
      <c r="Y2615" s="11" t="s">
        <v>12359</v>
      </c>
      <c r="Z2615" s="11">
        <v>20</v>
      </c>
      <c r="AA2615" s="11">
        <v>0</v>
      </c>
      <c r="AB2615" s="12">
        <v>0</v>
      </c>
    </row>
    <row r="2616" spans="1:28" x14ac:dyDescent="0.2">
      <c r="A2616" s="7">
        <v>30523</v>
      </c>
      <c r="B2616" s="8" t="s">
        <v>16993</v>
      </c>
      <c r="C2616" s="8" t="s">
        <v>1849</v>
      </c>
      <c r="D2616" s="8" t="s">
        <v>1850</v>
      </c>
      <c r="E2616" s="8"/>
      <c r="F2616" s="8" t="s">
        <v>353</v>
      </c>
      <c r="G2616" s="8" t="s">
        <v>1852</v>
      </c>
      <c r="H2616" s="8" t="s">
        <v>671</v>
      </c>
      <c r="I2616" s="8" t="s">
        <v>1853</v>
      </c>
      <c r="J2616" s="8" t="s">
        <v>1854</v>
      </c>
      <c r="K2616" s="8" t="s">
        <v>572</v>
      </c>
      <c r="L2616" s="8" t="s">
        <v>333</v>
      </c>
      <c r="M2616" s="8" t="s">
        <v>16994</v>
      </c>
      <c r="N2616" s="8" t="s">
        <v>128</v>
      </c>
      <c r="O2616" s="8" t="s">
        <v>16995</v>
      </c>
      <c r="P2616" s="8" t="s">
        <v>16996</v>
      </c>
      <c r="Q2616" s="8" t="s">
        <v>150</v>
      </c>
      <c r="R2616" s="8"/>
      <c r="S2616" s="8" t="s">
        <v>1858</v>
      </c>
      <c r="T2616" s="8" t="s">
        <v>1738</v>
      </c>
      <c r="U2616" s="8" t="s">
        <v>150</v>
      </c>
      <c r="V2616" s="8" t="s">
        <v>1738</v>
      </c>
      <c r="W2616" s="8" t="s">
        <v>1738</v>
      </c>
      <c r="X2616" s="8">
        <v>10</v>
      </c>
      <c r="Y2616" s="8" t="s">
        <v>12359</v>
      </c>
      <c r="Z2616" s="8">
        <v>20</v>
      </c>
      <c r="AA2616" s="8">
        <v>0</v>
      </c>
      <c r="AB2616" s="9">
        <v>0</v>
      </c>
    </row>
    <row r="2617" spans="1:28" x14ac:dyDescent="0.2">
      <c r="A2617" s="10">
        <v>30977</v>
      </c>
      <c r="B2617" s="11" t="s">
        <v>16997</v>
      </c>
      <c r="C2617" s="11" t="s">
        <v>1849</v>
      </c>
      <c r="D2617" s="11" t="s">
        <v>1850</v>
      </c>
      <c r="E2617" s="11"/>
      <c r="F2617" s="11" t="s">
        <v>353</v>
      </c>
      <c r="G2617" s="11" t="s">
        <v>1852</v>
      </c>
      <c r="H2617" s="11" t="s">
        <v>671</v>
      </c>
      <c r="I2617" s="11" t="s">
        <v>1853</v>
      </c>
      <c r="J2617" s="11" t="s">
        <v>1854</v>
      </c>
      <c r="K2617" s="11" t="s">
        <v>572</v>
      </c>
      <c r="L2617" s="11" t="s">
        <v>333</v>
      </c>
      <c r="M2617" s="11" t="s">
        <v>16998</v>
      </c>
      <c r="N2617" s="11" t="s">
        <v>128</v>
      </c>
      <c r="O2617" s="11" t="s">
        <v>16999</v>
      </c>
      <c r="P2617" s="11"/>
      <c r="Q2617" s="11" t="s">
        <v>150</v>
      </c>
      <c r="R2617" s="11"/>
      <c r="S2617" s="11" t="s">
        <v>1858</v>
      </c>
      <c r="T2617" s="11" t="s">
        <v>13984</v>
      </c>
      <c r="U2617" s="11" t="s">
        <v>150</v>
      </c>
      <c r="V2617" s="11" t="s">
        <v>13984</v>
      </c>
      <c r="W2617" s="11" t="s">
        <v>13984</v>
      </c>
      <c r="X2617" s="11">
        <v>10</v>
      </c>
      <c r="Y2617" s="11" t="s">
        <v>12359</v>
      </c>
      <c r="Z2617" s="11">
        <v>20</v>
      </c>
      <c r="AA2617" s="11">
        <v>0</v>
      </c>
      <c r="AB2617" s="12">
        <v>0</v>
      </c>
    </row>
    <row r="2618" spans="1:28" x14ac:dyDescent="0.2">
      <c r="A2618" s="7">
        <v>30966</v>
      </c>
      <c r="B2618" s="8" t="s">
        <v>17000</v>
      </c>
      <c r="C2618" s="8" t="s">
        <v>668</v>
      </c>
      <c r="D2618" s="8" t="s">
        <v>6788</v>
      </c>
      <c r="E2618" s="8"/>
      <c r="F2618" s="8"/>
      <c r="G2618" s="8" t="s">
        <v>670</v>
      </c>
      <c r="H2618" s="8" t="s">
        <v>671</v>
      </c>
      <c r="I2618" s="8" t="s">
        <v>672</v>
      </c>
      <c r="J2618" s="8" t="s">
        <v>17001</v>
      </c>
      <c r="K2618" s="8" t="s">
        <v>572</v>
      </c>
      <c r="L2618" s="8" t="s">
        <v>333</v>
      </c>
      <c r="M2618" s="8" t="s">
        <v>17002</v>
      </c>
      <c r="N2618" s="8" t="s">
        <v>128</v>
      </c>
      <c r="O2618" s="8" t="s">
        <v>17003</v>
      </c>
      <c r="P2618" s="8"/>
      <c r="Q2618" s="8" t="s">
        <v>150</v>
      </c>
      <c r="R2618" s="8"/>
      <c r="S2618" s="8" t="s">
        <v>71</v>
      </c>
      <c r="T2618" s="8" t="s">
        <v>13984</v>
      </c>
      <c r="U2618" s="8" t="s">
        <v>150</v>
      </c>
      <c r="V2618" s="8" t="s">
        <v>13984</v>
      </c>
      <c r="W2618" s="8" t="s">
        <v>13984</v>
      </c>
      <c r="X2618" s="8">
        <v>10</v>
      </c>
      <c r="Y2618" s="8" t="s">
        <v>12359</v>
      </c>
      <c r="Z2618" s="8">
        <v>20</v>
      </c>
      <c r="AA2618" s="8">
        <v>0</v>
      </c>
      <c r="AB2618" s="9">
        <v>0</v>
      </c>
    </row>
    <row r="2619" spans="1:28" x14ac:dyDescent="0.2">
      <c r="A2619" s="10">
        <v>20754</v>
      </c>
      <c r="B2619" s="11" t="s">
        <v>17004</v>
      </c>
      <c r="C2619" s="11" t="s">
        <v>15751</v>
      </c>
      <c r="D2619" s="11" t="s">
        <v>15752</v>
      </c>
      <c r="E2619" s="11" t="s">
        <v>17005</v>
      </c>
      <c r="F2619" s="11" t="s">
        <v>353</v>
      </c>
      <c r="G2619" s="11" t="s">
        <v>846</v>
      </c>
      <c r="H2619" s="11" t="s">
        <v>847</v>
      </c>
      <c r="I2619" s="11" t="s">
        <v>15754</v>
      </c>
      <c r="J2619" s="11" t="s">
        <v>15755</v>
      </c>
      <c r="K2619" s="11" t="s">
        <v>850</v>
      </c>
      <c r="L2619" s="11" t="s">
        <v>126</v>
      </c>
      <c r="M2619" s="11" t="s">
        <v>17006</v>
      </c>
      <c r="N2619" s="11" t="s">
        <v>128</v>
      </c>
      <c r="O2619" s="11" t="s">
        <v>17007</v>
      </c>
      <c r="P2619" s="11"/>
      <c r="Q2619" s="11" t="s">
        <v>740</v>
      </c>
      <c r="R2619" s="11"/>
      <c r="S2619" s="11" t="s">
        <v>15758</v>
      </c>
      <c r="T2619" s="11" t="s">
        <v>1745</v>
      </c>
      <c r="U2619" s="11" t="s">
        <v>134</v>
      </c>
      <c r="V2619" s="11" t="s">
        <v>740</v>
      </c>
      <c r="W2619" s="11" t="s">
        <v>1745</v>
      </c>
      <c r="X2619" s="11">
        <v>10</v>
      </c>
      <c r="Y2619" s="11" t="s">
        <v>12359</v>
      </c>
      <c r="Z2619" s="11">
        <v>20</v>
      </c>
      <c r="AA2619" s="11">
        <v>0</v>
      </c>
      <c r="AB2619" s="12">
        <v>0</v>
      </c>
    </row>
    <row r="2620" spans="1:28" x14ac:dyDescent="0.2">
      <c r="A2620" s="7">
        <v>25263</v>
      </c>
      <c r="B2620" s="8" t="s">
        <v>17008</v>
      </c>
      <c r="C2620" s="8" t="s">
        <v>15075</v>
      </c>
      <c r="D2620" s="8" t="s">
        <v>1912</v>
      </c>
      <c r="E2620" s="8" t="s">
        <v>17009</v>
      </c>
      <c r="F2620" s="8" t="s">
        <v>7746</v>
      </c>
      <c r="G2620" s="8" t="s">
        <v>141</v>
      </c>
      <c r="H2620" s="8" t="s">
        <v>142</v>
      </c>
      <c r="I2620" s="8" t="s">
        <v>15077</v>
      </c>
      <c r="J2620" s="8" t="s">
        <v>15078</v>
      </c>
      <c r="K2620" s="8" t="s">
        <v>584</v>
      </c>
      <c r="L2620" s="8" t="s">
        <v>146</v>
      </c>
      <c r="M2620" s="8" t="s">
        <v>17010</v>
      </c>
      <c r="N2620" s="8" t="s">
        <v>128</v>
      </c>
      <c r="O2620" s="8" t="s">
        <v>17011</v>
      </c>
      <c r="P2620" s="8" t="s">
        <v>17012</v>
      </c>
      <c r="Q2620" s="8" t="s">
        <v>740</v>
      </c>
      <c r="R2620" s="8"/>
      <c r="S2620" s="8" t="s">
        <v>15082</v>
      </c>
      <c r="T2620" s="8" t="s">
        <v>1745</v>
      </c>
      <c r="U2620" s="8" t="s">
        <v>134</v>
      </c>
      <c r="V2620" s="8" t="s">
        <v>740</v>
      </c>
      <c r="W2620" s="8" t="s">
        <v>1745</v>
      </c>
      <c r="X2620" s="8">
        <v>10</v>
      </c>
      <c r="Y2620" s="8" t="s">
        <v>12359</v>
      </c>
      <c r="Z2620" s="8">
        <v>20</v>
      </c>
      <c r="AA2620" s="8">
        <v>0</v>
      </c>
      <c r="AB2620" s="9">
        <v>0</v>
      </c>
    </row>
    <row r="2621" spans="1:28" x14ac:dyDescent="0.2">
      <c r="A2621" s="10">
        <v>22234</v>
      </c>
      <c r="B2621" s="11" t="s">
        <v>17013</v>
      </c>
      <c r="C2621" s="11" t="s">
        <v>15697</v>
      </c>
      <c r="D2621" s="11" t="s">
        <v>713</v>
      </c>
      <c r="E2621" s="11" t="s">
        <v>702</v>
      </c>
      <c r="F2621" s="11" t="s">
        <v>8852</v>
      </c>
      <c r="G2621" s="11" t="s">
        <v>846</v>
      </c>
      <c r="H2621" s="11" t="s">
        <v>847</v>
      </c>
      <c r="I2621" s="11" t="s">
        <v>15699</v>
      </c>
      <c r="J2621" s="11" t="s">
        <v>15700</v>
      </c>
      <c r="K2621" s="11" t="s">
        <v>850</v>
      </c>
      <c r="L2621" s="11" t="s">
        <v>126</v>
      </c>
      <c r="M2621" s="11" t="s">
        <v>17014</v>
      </c>
      <c r="N2621" s="11" t="s">
        <v>128</v>
      </c>
      <c r="O2621" s="11" t="s">
        <v>17015</v>
      </c>
      <c r="P2621" s="11" t="s">
        <v>17016</v>
      </c>
      <c r="Q2621" s="11" t="s">
        <v>740</v>
      </c>
      <c r="R2621" s="11"/>
      <c r="S2621" s="11" t="s">
        <v>15704</v>
      </c>
      <c r="T2621" s="11" t="s">
        <v>1745</v>
      </c>
      <c r="U2621" s="11" t="s">
        <v>134</v>
      </c>
      <c r="V2621" s="11" t="s">
        <v>740</v>
      </c>
      <c r="W2621" s="11" t="s">
        <v>1745</v>
      </c>
      <c r="X2621" s="11">
        <v>10</v>
      </c>
      <c r="Y2621" s="11" t="s">
        <v>12359</v>
      </c>
      <c r="Z2621" s="11">
        <v>20</v>
      </c>
      <c r="AA2621" s="11">
        <v>0</v>
      </c>
      <c r="AB2621" s="12">
        <v>0</v>
      </c>
    </row>
    <row r="2622" spans="1:28" x14ac:dyDescent="0.2">
      <c r="A2622" s="7">
        <v>31218</v>
      </c>
      <c r="B2622" s="8" t="s">
        <v>17017</v>
      </c>
      <c r="C2622" s="8" t="s">
        <v>10332</v>
      </c>
      <c r="D2622" s="8" t="s">
        <v>10333</v>
      </c>
      <c r="E2622" s="8"/>
      <c r="F2622" s="8" t="s">
        <v>10334</v>
      </c>
      <c r="G2622" s="8" t="s">
        <v>270</v>
      </c>
      <c r="H2622" s="8" t="s">
        <v>271</v>
      </c>
      <c r="I2622" s="8" t="s">
        <v>10335</v>
      </c>
      <c r="J2622" s="8" t="s">
        <v>10336</v>
      </c>
      <c r="K2622" s="8" t="s">
        <v>274</v>
      </c>
      <c r="L2622" s="8" t="s">
        <v>163</v>
      </c>
      <c r="M2622" s="8" t="s">
        <v>17018</v>
      </c>
      <c r="N2622" s="8" t="s">
        <v>128</v>
      </c>
      <c r="O2622" s="8" t="s">
        <v>17019</v>
      </c>
      <c r="P2622" s="8" t="s">
        <v>17020</v>
      </c>
      <c r="Q2622" s="8" t="s">
        <v>740</v>
      </c>
      <c r="R2622" s="8"/>
      <c r="S2622" s="8" t="s">
        <v>10339</v>
      </c>
      <c r="T2622" s="8" t="s">
        <v>1745</v>
      </c>
      <c r="U2622" s="8" t="s">
        <v>134</v>
      </c>
      <c r="V2622" s="8" t="s">
        <v>740</v>
      </c>
      <c r="W2622" s="8" t="s">
        <v>1745</v>
      </c>
      <c r="X2622" s="8">
        <v>10</v>
      </c>
      <c r="Y2622" s="8" t="s">
        <v>12359</v>
      </c>
      <c r="Z2622" s="8">
        <v>20</v>
      </c>
      <c r="AA2622" s="8">
        <v>0</v>
      </c>
      <c r="AB2622" s="9">
        <v>0</v>
      </c>
    </row>
    <row r="2623" spans="1:28" x14ac:dyDescent="0.2">
      <c r="A2623" s="10">
        <v>31374</v>
      </c>
      <c r="B2623" s="11" t="s">
        <v>17021</v>
      </c>
      <c r="C2623" s="11" t="s">
        <v>1361</v>
      </c>
      <c r="D2623" s="11" t="s">
        <v>1362</v>
      </c>
      <c r="E2623" s="11"/>
      <c r="F2623" s="11" t="s">
        <v>353</v>
      </c>
      <c r="G2623" s="11" t="s">
        <v>1364</v>
      </c>
      <c r="H2623" s="11" t="s">
        <v>329</v>
      </c>
      <c r="I2623" s="11" t="s">
        <v>1455</v>
      </c>
      <c r="J2623" s="11" t="s">
        <v>17022</v>
      </c>
      <c r="K2623" s="11" t="s">
        <v>431</v>
      </c>
      <c r="L2623" s="11" t="s">
        <v>333</v>
      </c>
      <c r="M2623" s="11" t="s">
        <v>17023</v>
      </c>
      <c r="N2623" s="11" t="s">
        <v>128</v>
      </c>
      <c r="O2623" s="11" t="s">
        <v>17024</v>
      </c>
      <c r="P2623" s="11" t="s">
        <v>17025</v>
      </c>
      <c r="Q2623" s="11" t="s">
        <v>740</v>
      </c>
      <c r="R2623" s="11"/>
      <c r="S2623" s="11" t="s">
        <v>1370</v>
      </c>
      <c r="T2623" s="11" t="s">
        <v>1745</v>
      </c>
      <c r="U2623" s="11" t="s">
        <v>134</v>
      </c>
      <c r="V2623" s="11" t="s">
        <v>740</v>
      </c>
      <c r="W2623" s="11" t="s">
        <v>1745</v>
      </c>
      <c r="X2623" s="11">
        <v>10</v>
      </c>
      <c r="Y2623" s="11" t="s">
        <v>12359</v>
      </c>
      <c r="Z2623" s="11">
        <v>20</v>
      </c>
      <c r="AA2623" s="11">
        <v>0</v>
      </c>
      <c r="AB2623" s="12">
        <v>0</v>
      </c>
    </row>
    <row r="2624" spans="1:28" x14ac:dyDescent="0.2">
      <c r="A2624" s="7">
        <v>106140</v>
      </c>
      <c r="B2624" s="8" t="s">
        <v>17026</v>
      </c>
      <c r="C2624" s="8" t="s">
        <v>8721</v>
      </c>
      <c r="D2624" s="8" t="s">
        <v>8690</v>
      </c>
      <c r="E2624" s="8"/>
      <c r="F2624" s="8" t="s">
        <v>17027</v>
      </c>
      <c r="G2624" s="8" t="s">
        <v>648</v>
      </c>
      <c r="H2624" s="8" t="s">
        <v>142</v>
      </c>
      <c r="I2624" s="8" t="s">
        <v>8724</v>
      </c>
      <c r="J2624" s="8" t="s">
        <v>13712</v>
      </c>
      <c r="K2624" s="8" t="s">
        <v>651</v>
      </c>
      <c r="L2624" s="8" t="s">
        <v>146</v>
      </c>
      <c r="M2624" s="8" t="s">
        <v>17028</v>
      </c>
      <c r="N2624" s="8" t="s">
        <v>128</v>
      </c>
      <c r="O2624" s="8" t="s">
        <v>17029</v>
      </c>
      <c r="P2624" s="8" t="s">
        <v>17030</v>
      </c>
      <c r="Q2624" s="8" t="s">
        <v>740</v>
      </c>
      <c r="R2624" s="8"/>
      <c r="S2624" s="8" t="s">
        <v>8729</v>
      </c>
      <c r="T2624" s="8" t="s">
        <v>1745</v>
      </c>
      <c r="U2624" s="8" t="s">
        <v>134</v>
      </c>
      <c r="V2624" s="8" t="s">
        <v>740</v>
      </c>
      <c r="W2624" s="8" t="s">
        <v>1745</v>
      </c>
      <c r="X2624" s="8">
        <v>10</v>
      </c>
      <c r="Y2624" s="8" t="s">
        <v>12359</v>
      </c>
      <c r="Z2624" s="8">
        <v>20</v>
      </c>
      <c r="AA2624" s="8">
        <v>0</v>
      </c>
      <c r="AB2624" s="9">
        <v>0</v>
      </c>
    </row>
    <row r="2625" spans="1:28" x14ac:dyDescent="0.2">
      <c r="A2625" s="10">
        <v>25201</v>
      </c>
      <c r="B2625" s="11" t="s">
        <v>17031</v>
      </c>
      <c r="C2625" s="11" t="s">
        <v>2506</v>
      </c>
      <c r="D2625" s="11" t="s">
        <v>2507</v>
      </c>
      <c r="E2625" s="11"/>
      <c r="F2625" s="11" t="s">
        <v>2509</v>
      </c>
      <c r="G2625" s="11" t="s">
        <v>2510</v>
      </c>
      <c r="H2625" s="11" t="s">
        <v>2511</v>
      </c>
      <c r="I2625" s="11" t="s">
        <v>2512</v>
      </c>
      <c r="J2625" s="11" t="s">
        <v>2513</v>
      </c>
      <c r="K2625" s="11" t="s">
        <v>1562</v>
      </c>
      <c r="L2625" s="11" t="s">
        <v>229</v>
      </c>
      <c r="M2625" s="11" t="s">
        <v>17032</v>
      </c>
      <c r="N2625" s="11" t="s">
        <v>128</v>
      </c>
      <c r="O2625" s="11" t="s">
        <v>17033</v>
      </c>
      <c r="P2625" s="11"/>
      <c r="Q2625" s="11" t="s">
        <v>740</v>
      </c>
      <c r="R2625" s="11"/>
      <c r="S2625" s="11" t="s">
        <v>2517</v>
      </c>
      <c r="T2625" s="11" t="s">
        <v>1745</v>
      </c>
      <c r="U2625" s="11" t="s">
        <v>134</v>
      </c>
      <c r="V2625" s="11" t="s">
        <v>740</v>
      </c>
      <c r="W2625" s="11" t="s">
        <v>1745</v>
      </c>
      <c r="X2625" s="11">
        <v>10</v>
      </c>
      <c r="Y2625" s="11" t="s">
        <v>12359</v>
      </c>
      <c r="Z2625" s="11">
        <v>20</v>
      </c>
      <c r="AA2625" s="11">
        <v>0</v>
      </c>
      <c r="AB2625" s="12">
        <v>0</v>
      </c>
    </row>
    <row r="2626" spans="1:28" x14ac:dyDescent="0.2">
      <c r="A2626" s="7">
        <v>25353</v>
      </c>
      <c r="B2626" s="8" t="s">
        <v>17034</v>
      </c>
      <c r="C2626" s="8" t="s">
        <v>1361</v>
      </c>
      <c r="D2626" s="8" t="s">
        <v>1362</v>
      </c>
      <c r="E2626" s="8"/>
      <c r="F2626" s="8" t="s">
        <v>353</v>
      </c>
      <c r="G2626" s="8" t="s">
        <v>1364</v>
      </c>
      <c r="H2626" s="8" t="s">
        <v>329</v>
      </c>
      <c r="I2626" s="8" t="s">
        <v>1365</v>
      </c>
      <c r="J2626" s="8" t="s">
        <v>17035</v>
      </c>
      <c r="K2626" s="8" t="s">
        <v>431</v>
      </c>
      <c r="L2626" s="8" t="s">
        <v>333</v>
      </c>
      <c r="M2626" s="8" t="s">
        <v>17036</v>
      </c>
      <c r="N2626" s="8" t="s">
        <v>128</v>
      </c>
      <c r="O2626" s="8" t="s">
        <v>17037</v>
      </c>
      <c r="P2626" s="8"/>
      <c r="Q2626" s="8" t="s">
        <v>740</v>
      </c>
      <c r="R2626" s="8"/>
      <c r="S2626" s="8" t="s">
        <v>1370</v>
      </c>
      <c r="T2626" s="8" t="s">
        <v>1745</v>
      </c>
      <c r="U2626" s="8" t="s">
        <v>134</v>
      </c>
      <c r="V2626" s="8" t="s">
        <v>740</v>
      </c>
      <c r="W2626" s="8" t="s">
        <v>1745</v>
      </c>
      <c r="X2626" s="8">
        <v>10</v>
      </c>
      <c r="Y2626" s="8" t="s">
        <v>12359</v>
      </c>
      <c r="Z2626" s="8">
        <v>20</v>
      </c>
      <c r="AA2626" s="8">
        <v>0</v>
      </c>
      <c r="AB2626" s="9">
        <v>0</v>
      </c>
    </row>
    <row r="2627" spans="1:28" x14ac:dyDescent="0.2">
      <c r="A2627" s="10">
        <v>225280</v>
      </c>
      <c r="B2627" s="11" t="s">
        <v>17038</v>
      </c>
      <c r="C2627" s="11" t="s">
        <v>6408</v>
      </c>
      <c r="D2627" s="11" t="s">
        <v>7714</v>
      </c>
      <c r="E2627" s="11"/>
      <c r="F2627" s="11" t="s">
        <v>353</v>
      </c>
      <c r="G2627" s="11" t="s">
        <v>6409</v>
      </c>
      <c r="H2627" s="11" t="s">
        <v>6410</v>
      </c>
      <c r="I2627" s="11" t="s">
        <v>17039</v>
      </c>
      <c r="J2627" s="11" t="s">
        <v>17040</v>
      </c>
      <c r="K2627" s="11" t="s">
        <v>1956</v>
      </c>
      <c r="L2627" s="11" t="s">
        <v>526</v>
      </c>
      <c r="M2627" s="11" t="s">
        <v>17041</v>
      </c>
      <c r="N2627" s="11" t="s">
        <v>128</v>
      </c>
      <c r="O2627" s="11" t="s">
        <v>17042</v>
      </c>
      <c r="P2627" s="11"/>
      <c r="Q2627" s="11" t="s">
        <v>740</v>
      </c>
      <c r="R2627" s="11"/>
      <c r="S2627" s="11" t="s">
        <v>71</v>
      </c>
      <c r="T2627" s="11" t="s">
        <v>1745</v>
      </c>
      <c r="U2627" s="11" t="s">
        <v>134</v>
      </c>
      <c r="V2627" s="11" t="s">
        <v>740</v>
      </c>
      <c r="W2627" s="11" t="s">
        <v>1745</v>
      </c>
      <c r="X2627" s="11">
        <v>10</v>
      </c>
      <c r="Y2627" s="11" t="s">
        <v>12359</v>
      </c>
      <c r="Z2627" s="11">
        <v>20</v>
      </c>
      <c r="AA2627" s="11">
        <v>0</v>
      </c>
      <c r="AB2627" s="12">
        <v>0</v>
      </c>
    </row>
    <row r="2628" spans="1:28" x14ac:dyDescent="0.2">
      <c r="A2628" s="7">
        <v>31254</v>
      </c>
      <c r="B2628" s="8" t="s">
        <v>17043</v>
      </c>
      <c r="C2628" s="8" t="s">
        <v>16763</v>
      </c>
      <c r="D2628" s="8" t="s">
        <v>10816</v>
      </c>
      <c r="E2628" s="8"/>
      <c r="F2628" s="8" t="s">
        <v>6117</v>
      </c>
      <c r="G2628" s="8" t="s">
        <v>141</v>
      </c>
      <c r="H2628" s="8" t="s">
        <v>142</v>
      </c>
      <c r="I2628" s="8" t="s">
        <v>16765</v>
      </c>
      <c r="J2628" s="8" t="s">
        <v>16921</v>
      </c>
      <c r="K2628" s="8" t="s">
        <v>584</v>
      </c>
      <c r="L2628" s="8" t="s">
        <v>146</v>
      </c>
      <c r="M2628" s="8" t="s">
        <v>17044</v>
      </c>
      <c r="N2628" s="8" t="s">
        <v>128</v>
      </c>
      <c r="O2628" s="8"/>
      <c r="P2628" s="8"/>
      <c r="Q2628" s="8" t="s">
        <v>740</v>
      </c>
      <c r="R2628" s="8"/>
      <c r="S2628" s="8" t="s">
        <v>16769</v>
      </c>
      <c r="T2628" s="8" t="s">
        <v>1745</v>
      </c>
      <c r="U2628" s="8" t="s">
        <v>134</v>
      </c>
      <c r="V2628" s="8" t="s">
        <v>740</v>
      </c>
      <c r="W2628" s="8" t="s">
        <v>1745</v>
      </c>
      <c r="X2628" s="8">
        <v>10</v>
      </c>
      <c r="Y2628" s="8" t="s">
        <v>12359</v>
      </c>
      <c r="Z2628" s="8">
        <v>20</v>
      </c>
      <c r="AA2628" s="8">
        <v>0</v>
      </c>
      <c r="AB2628" s="9">
        <v>0</v>
      </c>
    </row>
    <row r="2629" spans="1:28" x14ac:dyDescent="0.2">
      <c r="A2629" s="10">
        <v>31164</v>
      </c>
      <c r="B2629" s="11" t="s">
        <v>17045</v>
      </c>
      <c r="C2629" s="11" t="s">
        <v>14820</v>
      </c>
      <c r="D2629" s="11" t="s">
        <v>427</v>
      </c>
      <c r="E2629" s="11"/>
      <c r="F2629" s="11" t="s">
        <v>17046</v>
      </c>
      <c r="G2629" s="11" t="s">
        <v>1813</v>
      </c>
      <c r="H2629" s="11" t="s">
        <v>142</v>
      </c>
      <c r="I2629" s="11" t="s">
        <v>14822</v>
      </c>
      <c r="J2629" s="11" t="s">
        <v>15178</v>
      </c>
      <c r="K2629" s="11" t="s">
        <v>974</v>
      </c>
      <c r="L2629" s="11" t="s">
        <v>146</v>
      </c>
      <c r="M2629" s="11" t="s">
        <v>17047</v>
      </c>
      <c r="N2629" s="11" t="s">
        <v>128</v>
      </c>
      <c r="O2629" s="11"/>
      <c r="P2629" s="11"/>
      <c r="Q2629" s="11" t="s">
        <v>740</v>
      </c>
      <c r="R2629" s="11"/>
      <c r="S2629" s="11" t="s">
        <v>14826</v>
      </c>
      <c r="T2629" s="11" t="s">
        <v>741</v>
      </c>
      <c r="U2629" s="11" t="s">
        <v>134</v>
      </c>
      <c r="V2629" s="11" t="s">
        <v>740</v>
      </c>
      <c r="W2629" s="11" t="s">
        <v>741</v>
      </c>
      <c r="X2629" s="11">
        <v>10</v>
      </c>
      <c r="Y2629" s="11" t="s">
        <v>12359</v>
      </c>
      <c r="Z2629" s="11">
        <v>20</v>
      </c>
      <c r="AA2629" s="11">
        <v>0</v>
      </c>
      <c r="AB2629" s="12">
        <v>0</v>
      </c>
    </row>
    <row r="2630" spans="1:28" x14ac:dyDescent="0.2">
      <c r="A2630" s="7">
        <v>26940</v>
      </c>
      <c r="B2630" s="8" t="s">
        <v>17048</v>
      </c>
      <c r="C2630" s="8" t="s">
        <v>466</v>
      </c>
      <c r="D2630" s="8" t="s">
        <v>467</v>
      </c>
      <c r="E2630" s="8" t="s">
        <v>17049</v>
      </c>
      <c r="F2630" s="8" t="s">
        <v>468</v>
      </c>
      <c r="G2630" s="8" t="s">
        <v>469</v>
      </c>
      <c r="H2630" s="8" t="s">
        <v>142</v>
      </c>
      <c r="I2630" s="8" t="s">
        <v>470</v>
      </c>
      <c r="J2630" s="8" t="s">
        <v>471</v>
      </c>
      <c r="K2630" s="8" t="s">
        <v>472</v>
      </c>
      <c r="L2630" s="8" t="s">
        <v>146</v>
      </c>
      <c r="M2630" s="8" t="s">
        <v>17050</v>
      </c>
      <c r="N2630" s="8" t="s">
        <v>128</v>
      </c>
      <c r="O2630" s="8" t="s">
        <v>17051</v>
      </c>
      <c r="P2630" s="8"/>
      <c r="Q2630" s="8" t="s">
        <v>249</v>
      </c>
      <c r="R2630" s="8"/>
      <c r="S2630" s="8" t="s">
        <v>476</v>
      </c>
      <c r="T2630" s="8" t="s">
        <v>1523</v>
      </c>
      <c r="U2630" s="8" t="s">
        <v>134</v>
      </c>
      <c r="V2630" s="8" t="s">
        <v>249</v>
      </c>
      <c r="W2630" s="8" t="s">
        <v>1523</v>
      </c>
      <c r="X2630" s="8">
        <v>10</v>
      </c>
      <c r="Y2630" s="8" t="s">
        <v>12359</v>
      </c>
      <c r="Z2630" s="8">
        <v>20</v>
      </c>
      <c r="AA2630" s="8">
        <v>0</v>
      </c>
      <c r="AB2630" s="9">
        <v>0</v>
      </c>
    </row>
    <row r="2631" spans="1:28" x14ac:dyDescent="0.2">
      <c r="A2631" s="10">
        <v>85257</v>
      </c>
      <c r="B2631" s="11" t="s">
        <v>17052</v>
      </c>
      <c r="C2631" s="11" t="s">
        <v>16558</v>
      </c>
      <c r="D2631" s="11" t="s">
        <v>7616</v>
      </c>
      <c r="E2631" s="11" t="s">
        <v>15729</v>
      </c>
      <c r="F2631" s="11" t="s">
        <v>16585</v>
      </c>
      <c r="G2631" s="11" t="s">
        <v>141</v>
      </c>
      <c r="H2631" s="11" t="s">
        <v>142</v>
      </c>
      <c r="I2631" s="11" t="s">
        <v>17053</v>
      </c>
      <c r="J2631" s="11" t="s">
        <v>16587</v>
      </c>
      <c r="K2631" s="11" t="s">
        <v>584</v>
      </c>
      <c r="L2631" s="11" t="s">
        <v>146</v>
      </c>
      <c r="M2631" s="11" t="s">
        <v>17054</v>
      </c>
      <c r="N2631" s="11" t="s">
        <v>128</v>
      </c>
      <c r="O2631" s="11" t="s">
        <v>17055</v>
      </c>
      <c r="P2631" s="11"/>
      <c r="Q2631" s="11" t="s">
        <v>249</v>
      </c>
      <c r="R2631" s="11"/>
      <c r="S2631" s="11" t="s">
        <v>16591</v>
      </c>
      <c r="T2631" s="11" t="s">
        <v>1523</v>
      </c>
      <c r="U2631" s="11" t="s">
        <v>134</v>
      </c>
      <c r="V2631" s="11" t="s">
        <v>249</v>
      </c>
      <c r="W2631" s="11" t="s">
        <v>1523</v>
      </c>
      <c r="X2631" s="11">
        <v>10</v>
      </c>
      <c r="Y2631" s="11" t="s">
        <v>12359</v>
      </c>
      <c r="Z2631" s="11">
        <v>20</v>
      </c>
      <c r="AA2631" s="11">
        <v>0</v>
      </c>
      <c r="AB2631" s="12">
        <v>0</v>
      </c>
    </row>
    <row r="2632" spans="1:28" x14ac:dyDescent="0.2">
      <c r="A2632" s="7">
        <v>107481</v>
      </c>
      <c r="B2632" s="8" t="s">
        <v>17056</v>
      </c>
      <c r="C2632" s="8" t="s">
        <v>16391</v>
      </c>
      <c r="D2632" s="8" t="s">
        <v>16392</v>
      </c>
      <c r="E2632" s="8" t="s">
        <v>11259</v>
      </c>
      <c r="F2632" s="8" t="s">
        <v>17057</v>
      </c>
      <c r="G2632" s="8" t="s">
        <v>4606</v>
      </c>
      <c r="H2632" s="8" t="s">
        <v>142</v>
      </c>
      <c r="I2632" s="8" t="s">
        <v>16395</v>
      </c>
      <c r="J2632" s="8" t="s">
        <v>16396</v>
      </c>
      <c r="K2632" s="8" t="s">
        <v>1029</v>
      </c>
      <c r="L2632" s="8" t="s">
        <v>464</v>
      </c>
      <c r="M2632" s="8" t="s">
        <v>17058</v>
      </c>
      <c r="N2632" s="8" t="s">
        <v>128</v>
      </c>
      <c r="O2632" s="8" t="s">
        <v>17059</v>
      </c>
      <c r="P2632" s="8"/>
      <c r="Q2632" s="8" t="s">
        <v>249</v>
      </c>
      <c r="R2632" s="8"/>
      <c r="S2632" s="8" t="s">
        <v>16399</v>
      </c>
      <c r="T2632" s="8" t="s">
        <v>1523</v>
      </c>
      <c r="U2632" s="8" t="s">
        <v>134</v>
      </c>
      <c r="V2632" s="8" t="s">
        <v>249</v>
      </c>
      <c r="W2632" s="8" t="s">
        <v>1523</v>
      </c>
      <c r="X2632" s="8">
        <v>10</v>
      </c>
      <c r="Y2632" s="8" t="s">
        <v>12359</v>
      </c>
      <c r="Z2632" s="8">
        <v>20</v>
      </c>
      <c r="AA2632" s="8">
        <v>0</v>
      </c>
      <c r="AB2632" s="9">
        <v>0</v>
      </c>
    </row>
    <row r="2633" spans="1:28" x14ac:dyDescent="0.2">
      <c r="A2633" s="10">
        <v>111697</v>
      </c>
      <c r="B2633" s="11" t="s">
        <v>17060</v>
      </c>
      <c r="C2633" s="11" t="s">
        <v>7219</v>
      </c>
      <c r="D2633" s="11" t="s">
        <v>4173</v>
      </c>
      <c r="E2633" s="11" t="s">
        <v>353</v>
      </c>
      <c r="F2633" s="11" t="s">
        <v>353</v>
      </c>
      <c r="G2633" s="11" t="s">
        <v>4831</v>
      </c>
      <c r="H2633" s="11" t="s">
        <v>122</v>
      </c>
      <c r="I2633" s="11" t="s">
        <v>17061</v>
      </c>
      <c r="J2633" s="11" t="s">
        <v>17062</v>
      </c>
      <c r="K2633" s="11" t="s">
        <v>1051</v>
      </c>
      <c r="L2633" s="11" t="s">
        <v>126</v>
      </c>
      <c r="M2633" s="11" t="s">
        <v>17063</v>
      </c>
      <c r="N2633" s="11" t="s">
        <v>128</v>
      </c>
      <c r="O2633" s="11" t="s">
        <v>17064</v>
      </c>
      <c r="P2633" s="11"/>
      <c r="Q2633" s="11" t="s">
        <v>249</v>
      </c>
      <c r="R2633" s="11"/>
      <c r="S2633" s="11" t="s">
        <v>71</v>
      </c>
      <c r="T2633" s="11" t="s">
        <v>1523</v>
      </c>
      <c r="U2633" s="11" t="s">
        <v>134</v>
      </c>
      <c r="V2633" s="11" t="s">
        <v>249</v>
      </c>
      <c r="W2633" s="11" t="s">
        <v>1523</v>
      </c>
      <c r="X2633" s="11">
        <v>10</v>
      </c>
      <c r="Y2633" s="11" t="s">
        <v>12359</v>
      </c>
      <c r="Z2633" s="11">
        <v>20</v>
      </c>
      <c r="AA2633" s="11">
        <v>0</v>
      </c>
      <c r="AB2633" s="12">
        <v>0</v>
      </c>
    </row>
    <row r="2634" spans="1:28" x14ac:dyDescent="0.2">
      <c r="A2634" s="7">
        <v>25515</v>
      </c>
      <c r="B2634" s="8" t="s">
        <v>17065</v>
      </c>
      <c r="C2634" s="8" t="s">
        <v>17066</v>
      </c>
      <c r="D2634" s="8" t="s">
        <v>15252</v>
      </c>
      <c r="E2634" s="8" t="s">
        <v>281</v>
      </c>
      <c r="F2634" s="8" t="s">
        <v>353</v>
      </c>
      <c r="G2634" s="8" t="s">
        <v>450</v>
      </c>
      <c r="H2634" s="8" t="s">
        <v>301</v>
      </c>
      <c r="I2634" s="8" t="s">
        <v>17067</v>
      </c>
      <c r="J2634" s="8" t="s">
        <v>17068</v>
      </c>
      <c r="K2634" s="8" t="s">
        <v>304</v>
      </c>
      <c r="L2634" s="8" t="s">
        <v>229</v>
      </c>
      <c r="M2634" s="8" t="s">
        <v>17069</v>
      </c>
      <c r="N2634" s="8" t="s">
        <v>128</v>
      </c>
      <c r="O2634" s="8" t="s">
        <v>17070</v>
      </c>
      <c r="P2634" s="8"/>
      <c r="Q2634" s="8" t="s">
        <v>249</v>
      </c>
      <c r="R2634" s="8"/>
      <c r="S2634" s="8" t="s">
        <v>71</v>
      </c>
      <c r="T2634" s="8" t="s">
        <v>1523</v>
      </c>
      <c r="U2634" s="8" t="s">
        <v>134</v>
      </c>
      <c r="V2634" s="8" t="s">
        <v>249</v>
      </c>
      <c r="W2634" s="8" t="s">
        <v>1523</v>
      </c>
      <c r="X2634" s="8">
        <v>10</v>
      </c>
      <c r="Y2634" s="8" t="s">
        <v>12359</v>
      </c>
      <c r="Z2634" s="8">
        <v>20</v>
      </c>
      <c r="AA2634" s="8">
        <v>0</v>
      </c>
      <c r="AB2634" s="9">
        <v>0</v>
      </c>
    </row>
    <row r="2635" spans="1:28" x14ac:dyDescent="0.2">
      <c r="A2635" s="10">
        <v>22155</v>
      </c>
      <c r="B2635" s="11" t="s">
        <v>17071</v>
      </c>
      <c r="C2635" s="11" t="s">
        <v>1911</v>
      </c>
      <c r="D2635" s="11" t="s">
        <v>1912</v>
      </c>
      <c r="E2635" s="11"/>
      <c r="F2635" s="11" t="s">
        <v>1914</v>
      </c>
      <c r="G2635" s="11" t="s">
        <v>1915</v>
      </c>
      <c r="H2635" s="11" t="s">
        <v>122</v>
      </c>
      <c r="I2635" s="11" t="s">
        <v>1916</v>
      </c>
      <c r="J2635" s="11" t="s">
        <v>1917</v>
      </c>
      <c r="K2635" s="11" t="s">
        <v>1051</v>
      </c>
      <c r="L2635" s="11" t="s">
        <v>126</v>
      </c>
      <c r="M2635" s="11" t="s">
        <v>17072</v>
      </c>
      <c r="N2635" s="11" t="s">
        <v>128</v>
      </c>
      <c r="O2635" s="11" t="s">
        <v>17073</v>
      </c>
      <c r="P2635" s="11"/>
      <c r="Q2635" s="11" t="s">
        <v>249</v>
      </c>
      <c r="R2635" s="11"/>
      <c r="S2635" s="11" t="s">
        <v>1921</v>
      </c>
      <c r="T2635" s="11" t="s">
        <v>1523</v>
      </c>
      <c r="U2635" s="11" t="s">
        <v>134</v>
      </c>
      <c r="V2635" s="11" t="s">
        <v>249</v>
      </c>
      <c r="W2635" s="11" t="s">
        <v>1523</v>
      </c>
      <c r="X2635" s="11">
        <v>10</v>
      </c>
      <c r="Y2635" s="11" t="s">
        <v>12359</v>
      </c>
      <c r="Z2635" s="11">
        <v>20</v>
      </c>
      <c r="AA2635" s="11">
        <v>0</v>
      </c>
      <c r="AB2635" s="12">
        <v>0</v>
      </c>
    </row>
    <row r="2636" spans="1:28" x14ac:dyDescent="0.2">
      <c r="A2636" s="7">
        <v>31520</v>
      </c>
      <c r="B2636" s="8" t="s">
        <v>17074</v>
      </c>
      <c r="C2636" s="8" t="s">
        <v>17075</v>
      </c>
      <c r="D2636" s="8" t="s">
        <v>4881</v>
      </c>
      <c r="E2636" s="8"/>
      <c r="F2636" s="8" t="s">
        <v>17076</v>
      </c>
      <c r="G2636" s="8" t="s">
        <v>1842</v>
      </c>
      <c r="H2636" s="8" t="s">
        <v>1843</v>
      </c>
      <c r="I2636" s="8" t="s">
        <v>17077</v>
      </c>
      <c r="J2636" s="8" t="s">
        <v>17078</v>
      </c>
      <c r="K2636" s="8" t="s">
        <v>1562</v>
      </c>
      <c r="L2636" s="8" t="s">
        <v>229</v>
      </c>
      <c r="M2636" s="8" t="s">
        <v>17079</v>
      </c>
      <c r="N2636" s="8" t="s">
        <v>128</v>
      </c>
      <c r="O2636" s="8" t="s">
        <v>17080</v>
      </c>
      <c r="P2636" s="8"/>
      <c r="Q2636" s="8" t="s">
        <v>249</v>
      </c>
      <c r="R2636" s="8"/>
      <c r="S2636" s="8" t="s">
        <v>17081</v>
      </c>
      <c r="T2636" s="8" t="s">
        <v>1523</v>
      </c>
      <c r="U2636" s="8" t="s">
        <v>134</v>
      </c>
      <c r="V2636" s="8" t="s">
        <v>249</v>
      </c>
      <c r="W2636" s="8" t="s">
        <v>1523</v>
      </c>
      <c r="X2636" s="8">
        <v>10</v>
      </c>
      <c r="Y2636" s="8" t="s">
        <v>12359</v>
      </c>
      <c r="Z2636" s="8">
        <v>20</v>
      </c>
      <c r="AA2636" s="8">
        <v>0</v>
      </c>
      <c r="AB2636" s="9">
        <v>0</v>
      </c>
    </row>
    <row r="2637" spans="1:28" x14ac:dyDescent="0.2">
      <c r="A2637" s="10">
        <v>31560</v>
      </c>
      <c r="B2637" s="11" t="s">
        <v>17082</v>
      </c>
      <c r="C2637" s="11" t="s">
        <v>16763</v>
      </c>
      <c r="D2637" s="11" t="s">
        <v>10816</v>
      </c>
      <c r="E2637" s="11"/>
      <c r="F2637" s="11" t="s">
        <v>6117</v>
      </c>
      <c r="G2637" s="11" t="s">
        <v>141</v>
      </c>
      <c r="H2637" s="11" t="s">
        <v>142</v>
      </c>
      <c r="I2637" s="11" t="s">
        <v>16765</v>
      </c>
      <c r="J2637" s="11" t="s">
        <v>16921</v>
      </c>
      <c r="K2637" s="11" t="s">
        <v>584</v>
      </c>
      <c r="L2637" s="11" t="s">
        <v>146</v>
      </c>
      <c r="M2637" s="11" t="s">
        <v>17083</v>
      </c>
      <c r="N2637" s="11" t="s">
        <v>128</v>
      </c>
      <c r="O2637" s="11" t="s">
        <v>17084</v>
      </c>
      <c r="P2637" s="11"/>
      <c r="Q2637" s="11" t="s">
        <v>249</v>
      </c>
      <c r="R2637" s="11"/>
      <c r="S2637" s="11" t="s">
        <v>16769</v>
      </c>
      <c r="T2637" s="11" t="s">
        <v>1523</v>
      </c>
      <c r="U2637" s="11" t="s">
        <v>134</v>
      </c>
      <c r="V2637" s="11" t="s">
        <v>249</v>
      </c>
      <c r="W2637" s="11" t="s">
        <v>1523</v>
      </c>
      <c r="X2637" s="11">
        <v>10</v>
      </c>
      <c r="Y2637" s="11" t="s">
        <v>12359</v>
      </c>
      <c r="Z2637" s="11">
        <v>20</v>
      </c>
      <c r="AA2637" s="11">
        <v>0</v>
      </c>
      <c r="AB2637" s="12">
        <v>0</v>
      </c>
    </row>
    <row r="2638" spans="1:28" x14ac:dyDescent="0.2">
      <c r="A2638" s="7">
        <v>114864</v>
      </c>
      <c r="B2638" s="8" t="s">
        <v>17085</v>
      </c>
      <c r="C2638" s="8" t="s">
        <v>9682</v>
      </c>
      <c r="D2638" s="8" t="s">
        <v>9683</v>
      </c>
      <c r="E2638" s="8"/>
      <c r="F2638" s="8" t="s">
        <v>9684</v>
      </c>
      <c r="G2638" s="8" t="s">
        <v>4257</v>
      </c>
      <c r="H2638" s="8" t="s">
        <v>301</v>
      </c>
      <c r="I2638" s="8" t="s">
        <v>17086</v>
      </c>
      <c r="J2638" s="8" t="s">
        <v>9686</v>
      </c>
      <c r="K2638" s="8" t="s">
        <v>228</v>
      </c>
      <c r="L2638" s="8" t="s">
        <v>229</v>
      </c>
      <c r="M2638" s="8" t="s">
        <v>17087</v>
      </c>
      <c r="N2638" s="8" t="s">
        <v>128</v>
      </c>
      <c r="O2638" s="8" t="s">
        <v>17088</v>
      </c>
      <c r="P2638" s="8"/>
      <c r="Q2638" s="8" t="s">
        <v>249</v>
      </c>
      <c r="R2638" s="8"/>
      <c r="S2638" s="8" t="s">
        <v>9688</v>
      </c>
      <c r="T2638" s="8" t="s">
        <v>1523</v>
      </c>
      <c r="U2638" s="8" t="s">
        <v>134</v>
      </c>
      <c r="V2638" s="8" t="s">
        <v>249</v>
      </c>
      <c r="W2638" s="8" t="s">
        <v>1523</v>
      </c>
      <c r="X2638" s="8">
        <v>10</v>
      </c>
      <c r="Y2638" s="8" t="s">
        <v>12359</v>
      </c>
      <c r="Z2638" s="8">
        <v>20</v>
      </c>
      <c r="AA2638" s="8">
        <v>0</v>
      </c>
      <c r="AB2638" s="9">
        <v>0</v>
      </c>
    </row>
    <row r="2639" spans="1:28" x14ac:dyDescent="0.2">
      <c r="A2639" s="10">
        <v>126729</v>
      </c>
      <c r="B2639" s="11" t="s">
        <v>17089</v>
      </c>
      <c r="C2639" s="11" t="s">
        <v>3999</v>
      </c>
      <c r="D2639" s="11" t="s">
        <v>4000</v>
      </c>
      <c r="E2639" s="11"/>
      <c r="F2639" s="11" t="s">
        <v>4002</v>
      </c>
      <c r="G2639" s="11" t="s">
        <v>1813</v>
      </c>
      <c r="H2639" s="11" t="s">
        <v>142</v>
      </c>
      <c r="I2639" s="11" t="s">
        <v>4003</v>
      </c>
      <c r="J2639" s="11" t="s">
        <v>4004</v>
      </c>
      <c r="K2639" s="11" t="s">
        <v>974</v>
      </c>
      <c r="L2639" s="11" t="s">
        <v>146</v>
      </c>
      <c r="M2639" s="11" t="s">
        <v>17090</v>
      </c>
      <c r="N2639" s="11" t="s">
        <v>128</v>
      </c>
      <c r="O2639" s="11" t="s">
        <v>17091</v>
      </c>
      <c r="P2639" s="11"/>
      <c r="Q2639" s="11" t="s">
        <v>249</v>
      </c>
      <c r="R2639" s="11"/>
      <c r="S2639" s="11" t="s">
        <v>4008</v>
      </c>
      <c r="T2639" s="11" t="s">
        <v>1523</v>
      </c>
      <c r="U2639" s="11" t="s">
        <v>134</v>
      </c>
      <c r="V2639" s="11" t="s">
        <v>249</v>
      </c>
      <c r="W2639" s="11" t="s">
        <v>1523</v>
      </c>
      <c r="X2639" s="11">
        <v>10</v>
      </c>
      <c r="Y2639" s="11" t="s">
        <v>12359</v>
      </c>
      <c r="Z2639" s="11">
        <v>20</v>
      </c>
      <c r="AA2639" s="11">
        <v>0</v>
      </c>
      <c r="AB2639" s="12">
        <v>0</v>
      </c>
    </row>
    <row r="2640" spans="1:28" x14ac:dyDescent="0.2">
      <c r="A2640" s="7">
        <v>31838</v>
      </c>
      <c r="B2640" s="8" t="s">
        <v>17092</v>
      </c>
      <c r="C2640" s="8" t="s">
        <v>15851</v>
      </c>
      <c r="D2640" s="8" t="s">
        <v>4623</v>
      </c>
      <c r="E2640" s="8"/>
      <c r="F2640" s="8" t="s">
        <v>353</v>
      </c>
      <c r="G2640" s="8" t="s">
        <v>1784</v>
      </c>
      <c r="H2640" s="8" t="s">
        <v>329</v>
      </c>
      <c r="I2640" s="8" t="s">
        <v>11949</v>
      </c>
      <c r="J2640" s="8" t="s">
        <v>11950</v>
      </c>
      <c r="K2640" s="8" t="s">
        <v>431</v>
      </c>
      <c r="L2640" s="8" t="s">
        <v>333</v>
      </c>
      <c r="M2640" s="8" t="s">
        <v>17093</v>
      </c>
      <c r="N2640" s="8" t="s">
        <v>128</v>
      </c>
      <c r="O2640" s="8" t="s">
        <v>17094</v>
      </c>
      <c r="P2640" s="8"/>
      <c r="Q2640" s="8" t="s">
        <v>249</v>
      </c>
      <c r="R2640" s="8"/>
      <c r="S2640" s="8" t="s">
        <v>11954</v>
      </c>
      <c r="T2640" s="8" t="s">
        <v>1523</v>
      </c>
      <c r="U2640" s="8" t="s">
        <v>134</v>
      </c>
      <c r="V2640" s="8" t="s">
        <v>249</v>
      </c>
      <c r="W2640" s="8" t="s">
        <v>1523</v>
      </c>
      <c r="X2640" s="8">
        <v>10</v>
      </c>
      <c r="Y2640" s="8" t="s">
        <v>12359</v>
      </c>
      <c r="Z2640" s="8">
        <v>20</v>
      </c>
      <c r="AA2640" s="8">
        <v>0</v>
      </c>
      <c r="AB2640" s="9">
        <v>0</v>
      </c>
    </row>
    <row r="2641" spans="1:28" x14ac:dyDescent="0.2">
      <c r="A2641" s="10">
        <v>22127</v>
      </c>
      <c r="B2641" s="11" t="s">
        <v>17095</v>
      </c>
      <c r="C2641" s="11" t="s">
        <v>552</v>
      </c>
      <c r="D2641" s="11" t="s">
        <v>789</v>
      </c>
      <c r="E2641" s="11"/>
      <c r="F2641" s="11" t="s">
        <v>555</v>
      </c>
      <c r="G2641" s="11" t="s">
        <v>556</v>
      </c>
      <c r="H2641" s="11" t="s">
        <v>557</v>
      </c>
      <c r="I2641" s="11" t="s">
        <v>558</v>
      </c>
      <c r="J2641" s="11" t="s">
        <v>2208</v>
      </c>
      <c r="K2641" s="11" t="s">
        <v>560</v>
      </c>
      <c r="L2641" s="11" t="s">
        <v>229</v>
      </c>
      <c r="M2641" s="11" t="s">
        <v>17096</v>
      </c>
      <c r="N2641" s="11" t="s">
        <v>128</v>
      </c>
      <c r="O2641" s="11"/>
      <c r="P2641" s="11"/>
      <c r="Q2641" s="11" t="s">
        <v>249</v>
      </c>
      <c r="R2641" s="11"/>
      <c r="S2641" s="11" t="s">
        <v>796</v>
      </c>
      <c r="T2641" s="11" t="s">
        <v>1523</v>
      </c>
      <c r="U2641" s="11" t="s">
        <v>134</v>
      </c>
      <c r="V2641" s="11" t="s">
        <v>249</v>
      </c>
      <c r="W2641" s="11" t="s">
        <v>1523</v>
      </c>
      <c r="X2641" s="11">
        <v>10</v>
      </c>
      <c r="Y2641" s="11" t="s">
        <v>12359</v>
      </c>
      <c r="Z2641" s="11">
        <v>20</v>
      </c>
      <c r="AA2641" s="11">
        <v>0</v>
      </c>
      <c r="AB2641" s="12">
        <v>0</v>
      </c>
    </row>
    <row r="2642" spans="1:28" x14ac:dyDescent="0.2">
      <c r="A2642" s="7">
        <v>26961</v>
      </c>
      <c r="B2642" s="8" t="s">
        <v>17097</v>
      </c>
      <c r="C2642" s="8" t="s">
        <v>2101</v>
      </c>
      <c r="D2642" s="8" t="s">
        <v>2102</v>
      </c>
      <c r="E2642" s="8"/>
      <c r="F2642" s="8" t="s">
        <v>353</v>
      </c>
      <c r="G2642" s="8" t="s">
        <v>1626</v>
      </c>
      <c r="H2642" s="8" t="s">
        <v>142</v>
      </c>
      <c r="I2642" s="8" t="s">
        <v>2103</v>
      </c>
      <c r="J2642" s="8" t="s">
        <v>17098</v>
      </c>
      <c r="K2642" s="8" t="s">
        <v>472</v>
      </c>
      <c r="L2642" s="8" t="s">
        <v>146</v>
      </c>
      <c r="M2642" s="8" t="s">
        <v>17099</v>
      </c>
      <c r="N2642" s="8" t="s">
        <v>128</v>
      </c>
      <c r="O2642" s="8"/>
      <c r="P2642" s="8"/>
      <c r="Q2642" s="8" t="s">
        <v>249</v>
      </c>
      <c r="R2642" s="8"/>
      <c r="S2642" s="8" t="s">
        <v>2108</v>
      </c>
      <c r="T2642" s="8" t="s">
        <v>1523</v>
      </c>
      <c r="U2642" s="8" t="s">
        <v>134</v>
      </c>
      <c r="V2642" s="8" t="s">
        <v>249</v>
      </c>
      <c r="W2642" s="8" t="s">
        <v>1523</v>
      </c>
      <c r="X2642" s="8">
        <v>10</v>
      </c>
      <c r="Y2642" s="8" t="s">
        <v>12359</v>
      </c>
      <c r="Z2642" s="8">
        <v>20</v>
      </c>
      <c r="AA2642" s="8">
        <v>0</v>
      </c>
      <c r="AB2642" s="9">
        <v>0</v>
      </c>
    </row>
    <row r="2643" spans="1:28" x14ac:dyDescent="0.2">
      <c r="A2643" s="10">
        <v>25530</v>
      </c>
      <c r="B2643" s="11" t="s">
        <v>17100</v>
      </c>
      <c r="C2643" s="11" t="s">
        <v>16822</v>
      </c>
      <c r="D2643" s="11" t="s">
        <v>2507</v>
      </c>
      <c r="E2643" s="11" t="s">
        <v>17101</v>
      </c>
      <c r="F2643" s="11" t="s">
        <v>353</v>
      </c>
      <c r="G2643" s="11" t="s">
        <v>846</v>
      </c>
      <c r="H2643" s="11" t="s">
        <v>847</v>
      </c>
      <c r="I2643" s="11" t="s">
        <v>17102</v>
      </c>
      <c r="J2643" s="11" t="s">
        <v>16825</v>
      </c>
      <c r="K2643" s="11" t="s">
        <v>850</v>
      </c>
      <c r="L2643" s="11" t="s">
        <v>126</v>
      </c>
      <c r="M2643" s="11" t="s">
        <v>17103</v>
      </c>
      <c r="N2643" s="11" t="s">
        <v>128</v>
      </c>
      <c r="O2643" s="11" t="s">
        <v>17104</v>
      </c>
      <c r="P2643" s="11" t="s">
        <v>17105</v>
      </c>
      <c r="Q2643" s="11" t="s">
        <v>249</v>
      </c>
      <c r="R2643" s="11"/>
      <c r="S2643" s="11" t="s">
        <v>16829</v>
      </c>
      <c r="T2643" s="11" t="s">
        <v>250</v>
      </c>
      <c r="U2643" s="11" t="s">
        <v>134</v>
      </c>
      <c r="V2643" s="11" t="s">
        <v>249</v>
      </c>
      <c r="W2643" s="11" t="s">
        <v>250</v>
      </c>
      <c r="X2643" s="11">
        <v>10</v>
      </c>
      <c r="Y2643" s="11" t="s">
        <v>12359</v>
      </c>
      <c r="Z2643" s="11">
        <v>20</v>
      </c>
      <c r="AA2643" s="11">
        <v>0</v>
      </c>
      <c r="AB2643" s="12">
        <v>0</v>
      </c>
    </row>
    <row r="2644" spans="1:28" x14ac:dyDescent="0.2">
      <c r="A2644" s="7">
        <v>112859</v>
      </c>
      <c r="B2644" s="8" t="s">
        <v>17106</v>
      </c>
      <c r="C2644" s="8" t="s">
        <v>10332</v>
      </c>
      <c r="D2644" s="8" t="s">
        <v>10333</v>
      </c>
      <c r="E2644" s="8"/>
      <c r="F2644" s="8" t="s">
        <v>17107</v>
      </c>
      <c r="G2644" s="8" t="s">
        <v>270</v>
      </c>
      <c r="H2644" s="8" t="s">
        <v>271</v>
      </c>
      <c r="I2644" s="8" t="s">
        <v>17108</v>
      </c>
      <c r="J2644" s="8" t="s">
        <v>10336</v>
      </c>
      <c r="K2644" s="8" t="s">
        <v>274</v>
      </c>
      <c r="L2644" s="8" t="s">
        <v>163</v>
      </c>
      <c r="M2644" s="8" t="s">
        <v>17109</v>
      </c>
      <c r="N2644" s="8" t="s">
        <v>128</v>
      </c>
      <c r="O2644" s="8" t="s">
        <v>17110</v>
      </c>
      <c r="P2644" s="8" t="s">
        <v>17111</v>
      </c>
      <c r="Q2644" s="8" t="s">
        <v>249</v>
      </c>
      <c r="R2644" s="8"/>
      <c r="S2644" s="8" t="s">
        <v>10339</v>
      </c>
      <c r="T2644" s="8" t="s">
        <v>250</v>
      </c>
      <c r="U2644" s="8" t="s">
        <v>134</v>
      </c>
      <c r="V2644" s="8" t="s">
        <v>249</v>
      </c>
      <c r="W2644" s="8" t="s">
        <v>250</v>
      </c>
      <c r="X2644" s="8">
        <v>10</v>
      </c>
      <c r="Y2644" s="8" t="s">
        <v>12359</v>
      </c>
      <c r="Z2644" s="8">
        <v>20</v>
      </c>
      <c r="AA2644" s="8">
        <v>0</v>
      </c>
      <c r="AB2644" s="9">
        <v>0</v>
      </c>
    </row>
    <row r="2645" spans="1:28" x14ac:dyDescent="0.2">
      <c r="A2645" s="10">
        <v>25862</v>
      </c>
      <c r="B2645" s="11" t="s">
        <v>17112</v>
      </c>
      <c r="C2645" s="11" t="s">
        <v>17113</v>
      </c>
      <c r="D2645" s="11" t="s">
        <v>7629</v>
      </c>
      <c r="E2645" s="11"/>
      <c r="F2645" s="11" t="s">
        <v>353</v>
      </c>
      <c r="G2645" s="11" t="s">
        <v>2691</v>
      </c>
      <c r="H2645" s="11" t="s">
        <v>704</v>
      </c>
      <c r="I2645" s="11" t="s">
        <v>17114</v>
      </c>
      <c r="J2645" s="11" t="s">
        <v>17115</v>
      </c>
      <c r="K2645" s="11" t="s">
        <v>707</v>
      </c>
      <c r="L2645" s="11" t="s">
        <v>126</v>
      </c>
      <c r="M2645" s="11" t="s">
        <v>17116</v>
      </c>
      <c r="N2645" s="11" t="s">
        <v>128</v>
      </c>
      <c r="O2645" s="11" t="s">
        <v>17117</v>
      </c>
      <c r="P2645" s="11"/>
      <c r="Q2645" s="11" t="s">
        <v>150</v>
      </c>
      <c r="R2645" s="11"/>
      <c r="S2645" s="11" t="s">
        <v>71</v>
      </c>
      <c r="T2645" s="11" t="s">
        <v>16705</v>
      </c>
      <c r="U2645" s="11" t="s">
        <v>150</v>
      </c>
      <c r="V2645" s="11" t="s">
        <v>16705</v>
      </c>
      <c r="W2645" s="11" t="s">
        <v>16705</v>
      </c>
      <c r="X2645" s="11">
        <v>9</v>
      </c>
      <c r="Y2645" s="11" t="s">
        <v>12359</v>
      </c>
      <c r="Z2645" s="11">
        <v>20</v>
      </c>
      <c r="AA2645" s="11">
        <v>0</v>
      </c>
      <c r="AB2645" s="12">
        <v>0</v>
      </c>
    </row>
    <row r="2646" spans="1:28" x14ac:dyDescent="0.2">
      <c r="A2646" s="7">
        <v>20790</v>
      </c>
      <c r="B2646" s="8" t="s">
        <v>17118</v>
      </c>
      <c r="C2646" s="8" t="s">
        <v>6052</v>
      </c>
      <c r="D2646" s="8" t="s">
        <v>744</v>
      </c>
      <c r="E2646" s="8"/>
      <c r="F2646" s="8" t="s">
        <v>353</v>
      </c>
      <c r="G2646" s="8" t="s">
        <v>2691</v>
      </c>
      <c r="H2646" s="8" t="s">
        <v>704</v>
      </c>
      <c r="I2646" s="8" t="s">
        <v>6055</v>
      </c>
      <c r="J2646" s="8" t="s">
        <v>17119</v>
      </c>
      <c r="K2646" s="8" t="s">
        <v>707</v>
      </c>
      <c r="L2646" s="8" t="s">
        <v>126</v>
      </c>
      <c r="M2646" s="8" t="s">
        <v>17120</v>
      </c>
      <c r="N2646" s="8" t="s">
        <v>128</v>
      </c>
      <c r="O2646" s="8" t="s">
        <v>17121</v>
      </c>
      <c r="P2646" s="8"/>
      <c r="Q2646" s="8" t="s">
        <v>150</v>
      </c>
      <c r="R2646" s="8"/>
      <c r="S2646" s="8" t="s">
        <v>71</v>
      </c>
      <c r="T2646" s="8" t="s">
        <v>16012</v>
      </c>
      <c r="U2646" s="8" t="s">
        <v>150</v>
      </c>
      <c r="V2646" s="8" t="s">
        <v>16012</v>
      </c>
      <c r="W2646" s="8" t="s">
        <v>16012</v>
      </c>
      <c r="X2646" s="8">
        <v>9</v>
      </c>
      <c r="Y2646" s="8" t="s">
        <v>12359</v>
      </c>
      <c r="Z2646" s="8">
        <v>20</v>
      </c>
      <c r="AA2646" s="8">
        <v>0</v>
      </c>
      <c r="AB2646" s="9">
        <v>0</v>
      </c>
    </row>
    <row r="2647" spans="1:28" x14ac:dyDescent="0.2">
      <c r="A2647" s="10">
        <v>21243</v>
      </c>
      <c r="B2647" s="11" t="s">
        <v>17122</v>
      </c>
      <c r="C2647" s="11" t="s">
        <v>1361</v>
      </c>
      <c r="D2647" s="11" t="s">
        <v>1362</v>
      </c>
      <c r="E2647" s="11" t="s">
        <v>17123</v>
      </c>
      <c r="F2647" s="11" t="s">
        <v>353</v>
      </c>
      <c r="G2647" s="11" t="s">
        <v>1364</v>
      </c>
      <c r="H2647" s="11" t="s">
        <v>329</v>
      </c>
      <c r="I2647" s="11" t="s">
        <v>1365</v>
      </c>
      <c r="J2647" s="11" t="s">
        <v>17124</v>
      </c>
      <c r="K2647" s="11" t="s">
        <v>431</v>
      </c>
      <c r="L2647" s="11" t="s">
        <v>333</v>
      </c>
      <c r="M2647" s="11" t="s">
        <v>17125</v>
      </c>
      <c r="N2647" s="11" t="s">
        <v>128</v>
      </c>
      <c r="O2647" s="11" t="s">
        <v>17126</v>
      </c>
      <c r="P2647" s="11" t="s">
        <v>17127</v>
      </c>
      <c r="Q2647" s="11" t="s">
        <v>150</v>
      </c>
      <c r="R2647" s="11"/>
      <c r="S2647" s="11" t="s">
        <v>1370</v>
      </c>
      <c r="T2647" s="11" t="s">
        <v>642</v>
      </c>
      <c r="U2647" s="11" t="s">
        <v>150</v>
      </c>
      <c r="V2647" s="11" t="s">
        <v>642</v>
      </c>
      <c r="W2647" s="11" t="s">
        <v>642</v>
      </c>
      <c r="X2647" s="11">
        <v>9</v>
      </c>
      <c r="Y2647" s="11" t="s">
        <v>12359</v>
      </c>
      <c r="Z2647" s="11">
        <v>20</v>
      </c>
      <c r="AA2647" s="11">
        <v>0</v>
      </c>
      <c r="AB2647" s="12">
        <v>0</v>
      </c>
    </row>
    <row r="2648" spans="1:28" x14ac:dyDescent="0.2">
      <c r="A2648" s="7">
        <v>26145</v>
      </c>
      <c r="B2648" s="8" t="s">
        <v>17128</v>
      </c>
      <c r="C2648" s="8" t="s">
        <v>17129</v>
      </c>
      <c r="D2648" s="8" t="s">
        <v>7852</v>
      </c>
      <c r="E2648" s="8"/>
      <c r="F2648" s="8" t="s">
        <v>2073</v>
      </c>
      <c r="G2648" s="8" t="s">
        <v>328</v>
      </c>
      <c r="H2648" s="8" t="s">
        <v>329</v>
      </c>
      <c r="I2648" s="8" t="s">
        <v>17130</v>
      </c>
      <c r="J2648" s="8" t="s">
        <v>17131</v>
      </c>
      <c r="K2648" s="8" t="s">
        <v>332</v>
      </c>
      <c r="L2648" s="8" t="s">
        <v>333</v>
      </c>
      <c r="M2648" s="8" t="s">
        <v>17132</v>
      </c>
      <c r="N2648" s="8" t="s">
        <v>128</v>
      </c>
      <c r="O2648" s="8" t="s">
        <v>17133</v>
      </c>
      <c r="P2648" s="8" t="s">
        <v>2073</v>
      </c>
      <c r="Q2648" s="8" t="s">
        <v>150</v>
      </c>
      <c r="R2648" s="8"/>
      <c r="S2648" s="8" t="s">
        <v>71</v>
      </c>
      <c r="T2648" s="8" t="s">
        <v>642</v>
      </c>
      <c r="U2648" s="8" t="s">
        <v>150</v>
      </c>
      <c r="V2648" s="8" t="s">
        <v>642</v>
      </c>
      <c r="W2648" s="8" t="s">
        <v>642</v>
      </c>
      <c r="X2648" s="8">
        <v>9</v>
      </c>
      <c r="Y2648" s="8" t="s">
        <v>12359</v>
      </c>
      <c r="Z2648" s="8">
        <v>20</v>
      </c>
      <c r="AA2648" s="8">
        <v>0</v>
      </c>
      <c r="AB2648" s="9">
        <v>0</v>
      </c>
    </row>
    <row r="2649" spans="1:28" x14ac:dyDescent="0.2">
      <c r="A2649" s="10">
        <v>106603</v>
      </c>
      <c r="B2649" s="11" t="s">
        <v>17134</v>
      </c>
      <c r="C2649" s="11" t="s">
        <v>10037</v>
      </c>
      <c r="D2649" s="11" t="s">
        <v>4080</v>
      </c>
      <c r="E2649" s="11"/>
      <c r="F2649" s="11" t="s">
        <v>10038</v>
      </c>
      <c r="G2649" s="11" t="s">
        <v>1852</v>
      </c>
      <c r="H2649" s="11" t="s">
        <v>671</v>
      </c>
      <c r="I2649" s="11" t="s">
        <v>17135</v>
      </c>
      <c r="J2649" s="11" t="s">
        <v>10040</v>
      </c>
      <c r="K2649" s="11" t="s">
        <v>572</v>
      </c>
      <c r="L2649" s="11" t="s">
        <v>333</v>
      </c>
      <c r="M2649" s="11" t="s">
        <v>17136</v>
      </c>
      <c r="N2649" s="11" t="s">
        <v>128</v>
      </c>
      <c r="O2649" s="11" t="s">
        <v>17137</v>
      </c>
      <c r="P2649" s="11" t="s">
        <v>17138</v>
      </c>
      <c r="Q2649" s="11" t="s">
        <v>150</v>
      </c>
      <c r="R2649" s="11"/>
      <c r="S2649" s="11" t="s">
        <v>10043</v>
      </c>
      <c r="T2649" s="11" t="s">
        <v>642</v>
      </c>
      <c r="U2649" s="11" t="s">
        <v>150</v>
      </c>
      <c r="V2649" s="11" t="s">
        <v>642</v>
      </c>
      <c r="W2649" s="11" t="s">
        <v>642</v>
      </c>
      <c r="X2649" s="11">
        <v>9</v>
      </c>
      <c r="Y2649" s="11" t="s">
        <v>12359</v>
      </c>
      <c r="Z2649" s="11">
        <v>20</v>
      </c>
      <c r="AA2649" s="11">
        <v>0</v>
      </c>
      <c r="AB2649" s="12">
        <v>0</v>
      </c>
    </row>
    <row r="2650" spans="1:28" x14ac:dyDescent="0.2">
      <c r="A2650" s="7">
        <v>43111</v>
      </c>
      <c r="B2650" s="8" t="s">
        <v>17139</v>
      </c>
      <c r="C2650" s="8" t="s">
        <v>17140</v>
      </c>
      <c r="D2650" s="8" t="s">
        <v>17141</v>
      </c>
      <c r="E2650" s="8"/>
      <c r="F2650" s="8" t="s">
        <v>353</v>
      </c>
      <c r="G2650" s="8" t="s">
        <v>1559</v>
      </c>
      <c r="H2650" s="8" t="s">
        <v>557</v>
      </c>
      <c r="I2650" s="8" t="s">
        <v>17142</v>
      </c>
      <c r="J2650" s="8" t="s">
        <v>17143</v>
      </c>
      <c r="K2650" s="8" t="s">
        <v>1562</v>
      </c>
      <c r="L2650" s="8" t="s">
        <v>229</v>
      </c>
      <c r="M2650" s="8" t="s">
        <v>17144</v>
      </c>
      <c r="N2650" s="8" t="s">
        <v>128</v>
      </c>
      <c r="O2650" s="8" t="s">
        <v>17145</v>
      </c>
      <c r="P2650" s="8"/>
      <c r="Q2650" s="8" t="s">
        <v>150</v>
      </c>
      <c r="R2650" s="8"/>
      <c r="S2650" s="8" t="s">
        <v>71</v>
      </c>
      <c r="T2650" s="8" t="s">
        <v>642</v>
      </c>
      <c r="U2650" s="8" t="s">
        <v>150</v>
      </c>
      <c r="V2650" s="8" t="s">
        <v>642</v>
      </c>
      <c r="W2650" s="8" t="s">
        <v>642</v>
      </c>
      <c r="X2650" s="8">
        <v>9</v>
      </c>
      <c r="Y2650" s="8" t="s">
        <v>12359</v>
      </c>
      <c r="Z2650" s="8">
        <v>20</v>
      </c>
      <c r="AA2650" s="8">
        <v>0</v>
      </c>
      <c r="AB2650" s="9">
        <v>0</v>
      </c>
    </row>
    <row r="2651" spans="1:28" x14ac:dyDescent="0.2">
      <c r="A2651" s="10">
        <v>21413</v>
      </c>
      <c r="B2651" s="11" t="s">
        <v>17146</v>
      </c>
      <c r="C2651" s="11" t="s">
        <v>17147</v>
      </c>
      <c r="D2651" s="11" t="s">
        <v>7990</v>
      </c>
      <c r="E2651" s="11" t="s">
        <v>17148</v>
      </c>
      <c r="F2651" s="11" t="s">
        <v>3678</v>
      </c>
      <c r="G2651" s="11" t="s">
        <v>141</v>
      </c>
      <c r="H2651" s="11" t="s">
        <v>142</v>
      </c>
      <c r="I2651" s="11" t="s">
        <v>17149</v>
      </c>
      <c r="J2651" s="11" t="s">
        <v>17150</v>
      </c>
      <c r="K2651" s="11" t="s">
        <v>584</v>
      </c>
      <c r="L2651" s="11" t="s">
        <v>146</v>
      </c>
      <c r="M2651" s="11" t="s">
        <v>17151</v>
      </c>
      <c r="N2651" s="11" t="s">
        <v>128</v>
      </c>
      <c r="O2651" s="11" t="s">
        <v>17152</v>
      </c>
      <c r="P2651" s="11" t="s">
        <v>17153</v>
      </c>
      <c r="Q2651" s="11" t="s">
        <v>150</v>
      </c>
      <c r="R2651" s="11"/>
      <c r="S2651" s="11" t="s">
        <v>71</v>
      </c>
      <c r="T2651" s="11" t="s">
        <v>67</v>
      </c>
      <c r="U2651" s="11" t="s">
        <v>150</v>
      </c>
      <c r="V2651" s="11" t="s">
        <v>152</v>
      </c>
      <c r="W2651" s="11" t="s">
        <v>67</v>
      </c>
      <c r="X2651" s="11">
        <v>9</v>
      </c>
      <c r="Y2651" s="11" t="s">
        <v>12359</v>
      </c>
      <c r="Z2651" s="11">
        <v>20</v>
      </c>
      <c r="AA2651" s="11">
        <v>0</v>
      </c>
      <c r="AB2651" s="12">
        <v>0</v>
      </c>
    </row>
    <row r="2652" spans="1:28" x14ac:dyDescent="0.2">
      <c r="A2652" s="7">
        <v>21703</v>
      </c>
      <c r="B2652" s="8" t="s">
        <v>17154</v>
      </c>
      <c r="C2652" s="8" t="s">
        <v>17155</v>
      </c>
      <c r="D2652" s="8" t="s">
        <v>17156</v>
      </c>
      <c r="E2652" s="8" t="s">
        <v>17157</v>
      </c>
      <c r="F2652" s="8" t="s">
        <v>3749</v>
      </c>
      <c r="G2652" s="8" t="s">
        <v>141</v>
      </c>
      <c r="H2652" s="8" t="s">
        <v>142</v>
      </c>
      <c r="I2652" s="8" t="s">
        <v>17158</v>
      </c>
      <c r="J2652" s="8" t="s">
        <v>17159</v>
      </c>
      <c r="K2652" s="8" t="s">
        <v>584</v>
      </c>
      <c r="L2652" s="8" t="s">
        <v>146</v>
      </c>
      <c r="M2652" s="8" t="s">
        <v>17160</v>
      </c>
      <c r="N2652" s="8" t="s">
        <v>128</v>
      </c>
      <c r="O2652" s="8" t="s">
        <v>17161</v>
      </c>
      <c r="P2652" s="8" t="s">
        <v>17162</v>
      </c>
      <c r="Q2652" s="8" t="s">
        <v>150</v>
      </c>
      <c r="R2652" s="8"/>
      <c r="S2652" s="8" t="s">
        <v>71</v>
      </c>
      <c r="T2652" s="8" t="s">
        <v>67</v>
      </c>
      <c r="U2652" s="8" t="s">
        <v>150</v>
      </c>
      <c r="V2652" s="8" t="s">
        <v>152</v>
      </c>
      <c r="W2652" s="8" t="s">
        <v>67</v>
      </c>
      <c r="X2652" s="8">
        <v>9</v>
      </c>
      <c r="Y2652" s="8" t="s">
        <v>12359</v>
      </c>
      <c r="Z2652" s="8">
        <v>20</v>
      </c>
      <c r="AA2652" s="8">
        <v>0</v>
      </c>
      <c r="AB2652" s="9">
        <v>0</v>
      </c>
    </row>
    <row r="2653" spans="1:28" x14ac:dyDescent="0.2">
      <c r="A2653" s="10">
        <v>50012</v>
      </c>
      <c r="B2653" s="11" t="s">
        <v>17163</v>
      </c>
      <c r="C2653" s="11" t="s">
        <v>6443</v>
      </c>
      <c r="D2653" s="11" t="s">
        <v>9975</v>
      </c>
      <c r="E2653" s="11" t="s">
        <v>5796</v>
      </c>
      <c r="F2653" s="11" t="s">
        <v>17164</v>
      </c>
      <c r="G2653" s="11" t="s">
        <v>158</v>
      </c>
      <c r="H2653" s="11" t="s">
        <v>159</v>
      </c>
      <c r="I2653" s="11" t="s">
        <v>6445</v>
      </c>
      <c r="J2653" s="11" t="s">
        <v>17165</v>
      </c>
      <c r="K2653" s="11" t="s">
        <v>274</v>
      </c>
      <c r="L2653" s="11" t="s">
        <v>163</v>
      </c>
      <c r="M2653" s="11" t="s">
        <v>17166</v>
      </c>
      <c r="N2653" s="11" t="s">
        <v>128</v>
      </c>
      <c r="O2653" s="11" t="s">
        <v>17167</v>
      </c>
      <c r="P2653" s="11" t="s">
        <v>17168</v>
      </c>
      <c r="Q2653" s="11" t="s">
        <v>150</v>
      </c>
      <c r="R2653" s="11"/>
      <c r="S2653" s="11" t="s">
        <v>71</v>
      </c>
      <c r="T2653" s="11" t="s">
        <v>67</v>
      </c>
      <c r="U2653" s="11" t="s">
        <v>150</v>
      </c>
      <c r="V2653" s="11" t="s">
        <v>152</v>
      </c>
      <c r="W2653" s="11" t="s">
        <v>67</v>
      </c>
      <c r="X2653" s="11">
        <v>9</v>
      </c>
      <c r="Y2653" s="11" t="s">
        <v>12359</v>
      </c>
      <c r="Z2653" s="11">
        <v>20</v>
      </c>
      <c r="AA2653" s="11">
        <v>0</v>
      </c>
      <c r="AB2653" s="12">
        <v>0</v>
      </c>
    </row>
    <row r="2654" spans="1:28" x14ac:dyDescent="0.2">
      <c r="A2654" s="7">
        <v>26219</v>
      </c>
      <c r="B2654" s="8" t="s">
        <v>17169</v>
      </c>
      <c r="C2654" s="8" t="s">
        <v>10351</v>
      </c>
      <c r="D2654" s="8" t="s">
        <v>1434</v>
      </c>
      <c r="E2654" s="8"/>
      <c r="F2654" s="8" t="s">
        <v>353</v>
      </c>
      <c r="G2654" s="8" t="s">
        <v>3484</v>
      </c>
      <c r="H2654" s="8" t="s">
        <v>671</v>
      </c>
      <c r="I2654" s="8" t="s">
        <v>17170</v>
      </c>
      <c r="J2654" s="8" t="s">
        <v>17171</v>
      </c>
      <c r="K2654" s="8" t="s">
        <v>572</v>
      </c>
      <c r="L2654" s="8" t="s">
        <v>333</v>
      </c>
      <c r="M2654" s="8" t="s">
        <v>17172</v>
      </c>
      <c r="N2654" s="8" t="s">
        <v>128</v>
      </c>
      <c r="O2654" s="8" t="s">
        <v>17173</v>
      </c>
      <c r="P2654" s="8" t="s">
        <v>1220</v>
      </c>
      <c r="Q2654" s="8" t="s">
        <v>150</v>
      </c>
      <c r="R2654" s="8"/>
      <c r="S2654" s="8" t="s">
        <v>71</v>
      </c>
      <c r="T2654" s="8" t="s">
        <v>67</v>
      </c>
      <c r="U2654" s="8" t="s">
        <v>150</v>
      </c>
      <c r="V2654" s="8" t="s">
        <v>152</v>
      </c>
      <c r="W2654" s="8" t="s">
        <v>67</v>
      </c>
      <c r="X2654" s="8">
        <v>9</v>
      </c>
      <c r="Y2654" s="8" t="s">
        <v>12359</v>
      </c>
      <c r="Z2654" s="8">
        <v>20</v>
      </c>
      <c r="AA2654" s="8">
        <v>0</v>
      </c>
      <c r="AB2654" s="9">
        <v>0</v>
      </c>
    </row>
    <row r="2655" spans="1:28" x14ac:dyDescent="0.2">
      <c r="A2655" s="10">
        <v>37948</v>
      </c>
      <c r="B2655" s="11" t="s">
        <v>17174</v>
      </c>
      <c r="C2655" s="11" t="s">
        <v>17175</v>
      </c>
      <c r="D2655" s="11" t="s">
        <v>1942</v>
      </c>
      <c r="E2655" s="11"/>
      <c r="F2655" s="11" t="s">
        <v>353</v>
      </c>
      <c r="G2655" s="11" t="s">
        <v>17176</v>
      </c>
      <c r="H2655" s="11" t="s">
        <v>329</v>
      </c>
      <c r="I2655" s="11" t="s">
        <v>17177</v>
      </c>
      <c r="J2655" s="11" t="s">
        <v>17178</v>
      </c>
      <c r="K2655" s="11" t="s">
        <v>572</v>
      </c>
      <c r="L2655" s="11" t="s">
        <v>333</v>
      </c>
      <c r="M2655" s="11" t="s">
        <v>17179</v>
      </c>
      <c r="N2655" s="11" t="s">
        <v>128</v>
      </c>
      <c r="O2655" s="11" t="s">
        <v>17180</v>
      </c>
      <c r="P2655" s="11" t="s">
        <v>17181</v>
      </c>
      <c r="Q2655" s="11" t="s">
        <v>150</v>
      </c>
      <c r="R2655" s="11"/>
      <c r="S2655" s="11" t="s">
        <v>71</v>
      </c>
      <c r="T2655" s="11" t="s">
        <v>67</v>
      </c>
      <c r="U2655" s="11" t="s">
        <v>150</v>
      </c>
      <c r="V2655" s="11" t="s">
        <v>152</v>
      </c>
      <c r="W2655" s="11" t="s">
        <v>67</v>
      </c>
      <c r="X2655" s="11">
        <v>9</v>
      </c>
      <c r="Y2655" s="11" t="s">
        <v>12359</v>
      </c>
      <c r="Z2655" s="11">
        <v>20</v>
      </c>
      <c r="AA2655" s="11">
        <v>0</v>
      </c>
      <c r="AB2655" s="12">
        <v>0</v>
      </c>
    </row>
    <row r="2656" spans="1:28" x14ac:dyDescent="0.2">
      <c r="A2656" s="7">
        <v>125873</v>
      </c>
      <c r="B2656" s="8" t="s">
        <v>17182</v>
      </c>
      <c r="C2656" s="8" t="s">
        <v>17183</v>
      </c>
      <c r="D2656" s="8" t="s">
        <v>14655</v>
      </c>
      <c r="E2656" s="8"/>
      <c r="F2656" s="8" t="s">
        <v>353</v>
      </c>
      <c r="G2656" s="8" t="s">
        <v>14650</v>
      </c>
      <c r="H2656" s="8" t="s">
        <v>122</v>
      </c>
      <c r="I2656" s="8" t="s">
        <v>14651</v>
      </c>
      <c r="J2656" s="8" t="s">
        <v>17184</v>
      </c>
      <c r="K2656" s="8" t="s">
        <v>125</v>
      </c>
      <c r="L2656" s="8" t="s">
        <v>126</v>
      </c>
      <c r="M2656" s="8" t="s">
        <v>17185</v>
      </c>
      <c r="N2656" s="8" t="s">
        <v>128</v>
      </c>
      <c r="O2656" s="8" t="s">
        <v>17186</v>
      </c>
      <c r="P2656" s="8" t="s">
        <v>17187</v>
      </c>
      <c r="Q2656" s="8" t="s">
        <v>150</v>
      </c>
      <c r="R2656" s="8"/>
      <c r="S2656" s="8" t="s">
        <v>71</v>
      </c>
      <c r="T2656" s="8" t="s">
        <v>67</v>
      </c>
      <c r="U2656" s="8" t="s">
        <v>150</v>
      </c>
      <c r="V2656" s="8" t="s">
        <v>152</v>
      </c>
      <c r="W2656" s="8" t="s">
        <v>67</v>
      </c>
      <c r="X2656" s="8">
        <v>9</v>
      </c>
      <c r="Y2656" s="8" t="s">
        <v>12359</v>
      </c>
      <c r="Z2656" s="8">
        <v>20</v>
      </c>
      <c r="AA2656" s="8">
        <v>0</v>
      </c>
      <c r="AB2656" s="9">
        <v>0</v>
      </c>
    </row>
    <row r="2657" spans="1:28" x14ac:dyDescent="0.2">
      <c r="A2657" s="10">
        <v>21255</v>
      </c>
      <c r="B2657" s="11" t="s">
        <v>17188</v>
      </c>
      <c r="C2657" s="11" t="s">
        <v>17189</v>
      </c>
      <c r="D2657" s="11" t="s">
        <v>16856</v>
      </c>
      <c r="E2657" s="11"/>
      <c r="F2657" s="11" t="s">
        <v>17190</v>
      </c>
      <c r="G2657" s="11" t="s">
        <v>17191</v>
      </c>
      <c r="H2657" s="11" t="s">
        <v>142</v>
      </c>
      <c r="I2657" s="11" t="s">
        <v>17192</v>
      </c>
      <c r="J2657" s="11" t="s">
        <v>17193</v>
      </c>
      <c r="K2657" s="11" t="s">
        <v>584</v>
      </c>
      <c r="L2657" s="11" t="s">
        <v>146</v>
      </c>
      <c r="M2657" s="11" t="s">
        <v>17194</v>
      </c>
      <c r="N2657" s="11" t="s">
        <v>128</v>
      </c>
      <c r="O2657" s="11" t="s">
        <v>17195</v>
      </c>
      <c r="P2657" s="11" t="s">
        <v>14518</v>
      </c>
      <c r="Q2657" s="11" t="s">
        <v>150</v>
      </c>
      <c r="R2657" s="11"/>
      <c r="S2657" s="11" t="s">
        <v>71</v>
      </c>
      <c r="T2657" s="11" t="s">
        <v>67</v>
      </c>
      <c r="U2657" s="11" t="s">
        <v>150</v>
      </c>
      <c r="V2657" s="11" t="s">
        <v>152</v>
      </c>
      <c r="W2657" s="11" t="s">
        <v>67</v>
      </c>
      <c r="X2657" s="11">
        <v>9</v>
      </c>
      <c r="Y2657" s="11" t="s">
        <v>12359</v>
      </c>
      <c r="Z2657" s="11">
        <v>20</v>
      </c>
      <c r="AA2657" s="11">
        <v>0</v>
      </c>
      <c r="AB2657" s="12">
        <v>0</v>
      </c>
    </row>
    <row r="2658" spans="1:28" x14ac:dyDescent="0.2">
      <c r="A2658" s="7">
        <v>116204</v>
      </c>
      <c r="B2658" s="8" t="s">
        <v>17196</v>
      </c>
      <c r="C2658" s="8" t="s">
        <v>7009</v>
      </c>
      <c r="D2658" s="8" t="s">
        <v>7010</v>
      </c>
      <c r="E2658" s="8" t="s">
        <v>13994</v>
      </c>
      <c r="F2658" s="8" t="s">
        <v>13292</v>
      </c>
      <c r="G2658" s="8" t="s">
        <v>328</v>
      </c>
      <c r="H2658" s="8" t="s">
        <v>329</v>
      </c>
      <c r="I2658" s="8" t="s">
        <v>17197</v>
      </c>
      <c r="J2658" s="8" t="s">
        <v>7013</v>
      </c>
      <c r="K2658" s="8" t="s">
        <v>332</v>
      </c>
      <c r="L2658" s="8" t="s">
        <v>333</v>
      </c>
      <c r="M2658" s="8" t="s">
        <v>17198</v>
      </c>
      <c r="N2658" s="8" t="s">
        <v>128</v>
      </c>
      <c r="O2658" s="8" t="s">
        <v>17199</v>
      </c>
      <c r="P2658" s="8"/>
      <c r="Q2658" s="8" t="s">
        <v>131</v>
      </c>
      <c r="R2658" s="8"/>
      <c r="S2658" s="8" t="s">
        <v>7017</v>
      </c>
      <c r="T2658" s="8" t="s">
        <v>983</v>
      </c>
      <c r="U2658" s="8" t="s">
        <v>134</v>
      </c>
      <c r="V2658" s="8" t="s">
        <v>131</v>
      </c>
      <c r="W2658" s="8" t="s">
        <v>983</v>
      </c>
      <c r="X2658" s="8">
        <v>9</v>
      </c>
      <c r="Y2658" s="8" t="s">
        <v>12359</v>
      </c>
      <c r="Z2658" s="8">
        <v>20</v>
      </c>
      <c r="AA2658" s="8">
        <v>0</v>
      </c>
      <c r="AB2658" s="9">
        <v>0</v>
      </c>
    </row>
    <row r="2659" spans="1:28" x14ac:dyDescent="0.2">
      <c r="A2659" s="10">
        <v>21104</v>
      </c>
      <c r="B2659" s="11" t="s">
        <v>17200</v>
      </c>
      <c r="C2659" s="11" t="s">
        <v>1634</v>
      </c>
      <c r="D2659" s="11" t="s">
        <v>1635</v>
      </c>
      <c r="E2659" s="11"/>
      <c r="F2659" s="11" t="s">
        <v>17201</v>
      </c>
      <c r="G2659" s="11" t="s">
        <v>328</v>
      </c>
      <c r="H2659" s="11" t="s">
        <v>329</v>
      </c>
      <c r="I2659" s="11" t="s">
        <v>16793</v>
      </c>
      <c r="J2659" s="11" t="s">
        <v>16794</v>
      </c>
      <c r="K2659" s="11" t="s">
        <v>572</v>
      </c>
      <c r="L2659" s="11" t="s">
        <v>333</v>
      </c>
      <c r="M2659" s="11" t="s">
        <v>17202</v>
      </c>
      <c r="N2659" s="11" t="s">
        <v>128</v>
      </c>
      <c r="O2659" s="11" t="s">
        <v>17203</v>
      </c>
      <c r="P2659" s="11"/>
      <c r="Q2659" s="11" t="s">
        <v>131</v>
      </c>
      <c r="R2659" s="11"/>
      <c r="S2659" s="11" t="s">
        <v>1643</v>
      </c>
      <c r="T2659" s="11" t="s">
        <v>983</v>
      </c>
      <c r="U2659" s="11" t="s">
        <v>134</v>
      </c>
      <c r="V2659" s="11" t="s">
        <v>131</v>
      </c>
      <c r="W2659" s="11" t="s">
        <v>983</v>
      </c>
      <c r="X2659" s="11">
        <v>9</v>
      </c>
      <c r="Y2659" s="11" t="s">
        <v>12359</v>
      </c>
      <c r="Z2659" s="11">
        <v>20</v>
      </c>
      <c r="AA2659" s="11">
        <v>0</v>
      </c>
      <c r="AB2659" s="12">
        <v>0</v>
      </c>
    </row>
    <row r="2660" spans="1:28" x14ac:dyDescent="0.2">
      <c r="A2660" s="7">
        <v>22070</v>
      </c>
      <c r="B2660" s="8" t="s">
        <v>17204</v>
      </c>
      <c r="C2660" s="8" t="s">
        <v>8955</v>
      </c>
      <c r="D2660" s="8" t="s">
        <v>8956</v>
      </c>
      <c r="E2660" s="8"/>
      <c r="F2660" s="8" t="s">
        <v>17205</v>
      </c>
      <c r="G2660" s="8" t="s">
        <v>8614</v>
      </c>
      <c r="H2660" s="8" t="s">
        <v>142</v>
      </c>
      <c r="I2660" s="8" t="s">
        <v>9169</v>
      </c>
      <c r="J2660" s="8" t="s">
        <v>9306</v>
      </c>
      <c r="K2660" s="8" t="s">
        <v>1199</v>
      </c>
      <c r="L2660" s="8" t="s">
        <v>464</v>
      </c>
      <c r="M2660" s="8" t="s">
        <v>17206</v>
      </c>
      <c r="N2660" s="8" t="s">
        <v>128</v>
      </c>
      <c r="O2660" s="8" t="s">
        <v>17207</v>
      </c>
      <c r="P2660" s="8"/>
      <c r="Q2660" s="8" t="s">
        <v>131</v>
      </c>
      <c r="R2660" s="8"/>
      <c r="S2660" s="8" t="s">
        <v>8964</v>
      </c>
      <c r="T2660" s="8" t="s">
        <v>983</v>
      </c>
      <c r="U2660" s="8" t="s">
        <v>134</v>
      </c>
      <c r="V2660" s="8" t="s">
        <v>131</v>
      </c>
      <c r="W2660" s="8" t="s">
        <v>983</v>
      </c>
      <c r="X2660" s="8">
        <v>9</v>
      </c>
      <c r="Y2660" s="8" t="s">
        <v>12359</v>
      </c>
      <c r="Z2660" s="8">
        <v>20</v>
      </c>
      <c r="AA2660" s="8">
        <v>0</v>
      </c>
      <c r="AB2660" s="9">
        <v>0</v>
      </c>
    </row>
    <row r="2661" spans="1:28" x14ac:dyDescent="0.2">
      <c r="A2661" s="10">
        <v>22204</v>
      </c>
      <c r="B2661" s="11" t="s">
        <v>17208</v>
      </c>
      <c r="C2661" s="11" t="s">
        <v>16481</v>
      </c>
      <c r="D2661" s="11" t="s">
        <v>16482</v>
      </c>
      <c r="E2661" s="11"/>
      <c r="F2661" s="11" t="s">
        <v>17209</v>
      </c>
      <c r="G2661" s="11" t="s">
        <v>1438</v>
      </c>
      <c r="H2661" s="11" t="s">
        <v>122</v>
      </c>
      <c r="I2661" s="11" t="s">
        <v>17210</v>
      </c>
      <c r="J2661" s="11" t="s">
        <v>16486</v>
      </c>
      <c r="K2661" s="11" t="s">
        <v>125</v>
      </c>
      <c r="L2661" s="11" t="s">
        <v>126</v>
      </c>
      <c r="M2661" s="11" t="s">
        <v>17211</v>
      </c>
      <c r="N2661" s="11" t="s">
        <v>128</v>
      </c>
      <c r="O2661" s="11" t="s">
        <v>17212</v>
      </c>
      <c r="P2661" s="11"/>
      <c r="Q2661" s="11" t="s">
        <v>131</v>
      </c>
      <c r="R2661" s="11"/>
      <c r="S2661" s="11" t="s">
        <v>16489</v>
      </c>
      <c r="T2661" s="11" t="s">
        <v>983</v>
      </c>
      <c r="U2661" s="11" t="s">
        <v>134</v>
      </c>
      <c r="V2661" s="11" t="s">
        <v>131</v>
      </c>
      <c r="W2661" s="11" t="s">
        <v>983</v>
      </c>
      <c r="X2661" s="11">
        <v>9</v>
      </c>
      <c r="Y2661" s="11" t="s">
        <v>12359</v>
      </c>
      <c r="Z2661" s="11">
        <v>20</v>
      </c>
      <c r="AA2661" s="11">
        <v>0</v>
      </c>
      <c r="AB2661" s="12">
        <v>0</v>
      </c>
    </row>
    <row r="2662" spans="1:28" x14ac:dyDescent="0.2">
      <c r="A2662" s="7">
        <v>127917</v>
      </c>
      <c r="B2662" s="8" t="s">
        <v>17213</v>
      </c>
      <c r="C2662" s="8" t="s">
        <v>17214</v>
      </c>
      <c r="D2662" s="8" t="s">
        <v>2871</v>
      </c>
      <c r="E2662" s="8"/>
      <c r="F2662" s="8" t="s">
        <v>746</v>
      </c>
      <c r="G2662" s="8" t="s">
        <v>328</v>
      </c>
      <c r="H2662" s="8" t="s">
        <v>329</v>
      </c>
      <c r="I2662" s="8" t="s">
        <v>17215</v>
      </c>
      <c r="J2662" s="8" t="s">
        <v>17216</v>
      </c>
      <c r="K2662" s="8" t="s">
        <v>415</v>
      </c>
      <c r="L2662" s="8" t="s">
        <v>333</v>
      </c>
      <c r="M2662" s="8" t="s">
        <v>17217</v>
      </c>
      <c r="N2662" s="8" t="s">
        <v>128</v>
      </c>
      <c r="O2662" s="8" t="s">
        <v>17218</v>
      </c>
      <c r="P2662" s="8"/>
      <c r="Q2662" s="8" t="s">
        <v>131</v>
      </c>
      <c r="R2662" s="8"/>
      <c r="S2662" s="8" t="s">
        <v>17219</v>
      </c>
      <c r="T2662" s="8" t="s">
        <v>983</v>
      </c>
      <c r="U2662" s="8" t="s">
        <v>134</v>
      </c>
      <c r="V2662" s="8" t="s">
        <v>131</v>
      </c>
      <c r="W2662" s="8" t="s">
        <v>983</v>
      </c>
      <c r="X2662" s="8">
        <v>9</v>
      </c>
      <c r="Y2662" s="8" t="s">
        <v>12359</v>
      </c>
      <c r="Z2662" s="8">
        <v>20</v>
      </c>
      <c r="AA2662" s="8">
        <v>0</v>
      </c>
      <c r="AB2662" s="9">
        <v>0</v>
      </c>
    </row>
    <row r="2663" spans="1:28" x14ac:dyDescent="0.2">
      <c r="A2663" s="10">
        <v>208883</v>
      </c>
      <c r="B2663" s="11" t="s">
        <v>17220</v>
      </c>
      <c r="C2663" s="11" t="s">
        <v>7393</v>
      </c>
      <c r="D2663" s="11" t="s">
        <v>5994</v>
      </c>
      <c r="E2663" s="11"/>
      <c r="F2663" s="11" t="s">
        <v>7395</v>
      </c>
      <c r="G2663" s="11" t="s">
        <v>2175</v>
      </c>
      <c r="H2663" s="11" t="s">
        <v>2176</v>
      </c>
      <c r="I2663" s="11" t="s">
        <v>5997</v>
      </c>
      <c r="J2663" s="11" t="s">
        <v>7396</v>
      </c>
      <c r="K2663" s="11" t="s">
        <v>194</v>
      </c>
      <c r="L2663" s="11" t="s">
        <v>163</v>
      </c>
      <c r="M2663" s="11" t="s">
        <v>17221</v>
      </c>
      <c r="N2663" s="11" t="s">
        <v>128</v>
      </c>
      <c r="O2663" s="11" t="s">
        <v>17222</v>
      </c>
      <c r="P2663" s="11"/>
      <c r="Q2663" s="11" t="s">
        <v>131</v>
      </c>
      <c r="R2663" s="11"/>
      <c r="S2663" s="11" t="s">
        <v>6002</v>
      </c>
      <c r="T2663" s="11" t="s">
        <v>983</v>
      </c>
      <c r="U2663" s="11" t="s">
        <v>134</v>
      </c>
      <c r="V2663" s="11" t="s">
        <v>131</v>
      </c>
      <c r="W2663" s="11" t="s">
        <v>983</v>
      </c>
      <c r="X2663" s="11">
        <v>9</v>
      </c>
      <c r="Y2663" s="11" t="s">
        <v>12359</v>
      </c>
      <c r="Z2663" s="11">
        <v>20</v>
      </c>
      <c r="AA2663" s="11">
        <v>0</v>
      </c>
      <c r="AB2663" s="12">
        <v>0</v>
      </c>
    </row>
    <row r="2664" spans="1:28" x14ac:dyDescent="0.2">
      <c r="A2664" s="7">
        <v>24022</v>
      </c>
      <c r="B2664" s="8" t="s">
        <v>17223</v>
      </c>
      <c r="C2664" s="8" t="s">
        <v>7952</v>
      </c>
      <c r="D2664" s="8" t="s">
        <v>2776</v>
      </c>
      <c r="E2664" s="8"/>
      <c r="F2664" s="8" t="s">
        <v>353</v>
      </c>
      <c r="G2664" s="8" t="s">
        <v>3259</v>
      </c>
      <c r="H2664" s="8" t="s">
        <v>557</v>
      </c>
      <c r="I2664" s="8" t="s">
        <v>8295</v>
      </c>
      <c r="J2664" s="8" t="s">
        <v>17224</v>
      </c>
      <c r="K2664" s="8" t="s">
        <v>1562</v>
      </c>
      <c r="L2664" s="8" t="s">
        <v>229</v>
      </c>
      <c r="M2664" s="8" t="s">
        <v>17225</v>
      </c>
      <c r="N2664" s="8" t="s">
        <v>128</v>
      </c>
      <c r="O2664" s="8" t="s">
        <v>17226</v>
      </c>
      <c r="P2664" s="8"/>
      <c r="Q2664" s="8" t="s">
        <v>131</v>
      </c>
      <c r="R2664" s="8"/>
      <c r="S2664" s="8" t="s">
        <v>71</v>
      </c>
      <c r="T2664" s="8" t="s">
        <v>983</v>
      </c>
      <c r="U2664" s="8" t="s">
        <v>134</v>
      </c>
      <c r="V2664" s="8" t="s">
        <v>131</v>
      </c>
      <c r="W2664" s="8" t="s">
        <v>983</v>
      </c>
      <c r="X2664" s="8">
        <v>9</v>
      </c>
      <c r="Y2664" s="8" t="s">
        <v>12359</v>
      </c>
      <c r="Z2664" s="8">
        <v>20</v>
      </c>
      <c r="AA2664" s="8">
        <v>0</v>
      </c>
      <c r="AB2664" s="9">
        <v>0</v>
      </c>
    </row>
    <row r="2665" spans="1:28" x14ac:dyDescent="0.2">
      <c r="A2665" s="10">
        <v>30138</v>
      </c>
      <c r="B2665" s="11" t="s">
        <v>17227</v>
      </c>
      <c r="C2665" s="11" t="s">
        <v>1645</v>
      </c>
      <c r="D2665" s="11" t="s">
        <v>1646</v>
      </c>
      <c r="E2665" s="11"/>
      <c r="F2665" s="11" t="s">
        <v>1648</v>
      </c>
      <c r="G2665" s="11" t="s">
        <v>328</v>
      </c>
      <c r="H2665" s="11" t="s">
        <v>329</v>
      </c>
      <c r="I2665" s="11" t="s">
        <v>8678</v>
      </c>
      <c r="J2665" s="11" t="s">
        <v>16806</v>
      </c>
      <c r="K2665" s="11" t="s">
        <v>572</v>
      </c>
      <c r="L2665" s="11" t="s">
        <v>333</v>
      </c>
      <c r="M2665" s="11" t="s">
        <v>17228</v>
      </c>
      <c r="N2665" s="11" t="s">
        <v>128</v>
      </c>
      <c r="O2665" s="11"/>
      <c r="P2665" s="11"/>
      <c r="Q2665" s="11" t="s">
        <v>131</v>
      </c>
      <c r="R2665" s="11"/>
      <c r="S2665" s="11" t="s">
        <v>1654</v>
      </c>
      <c r="T2665" s="11" t="s">
        <v>983</v>
      </c>
      <c r="U2665" s="11" t="s">
        <v>134</v>
      </c>
      <c r="V2665" s="11" t="s">
        <v>131</v>
      </c>
      <c r="W2665" s="11" t="s">
        <v>983</v>
      </c>
      <c r="X2665" s="11">
        <v>9</v>
      </c>
      <c r="Y2665" s="11" t="s">
        <v>12359</v>
      </c>
      <c r="Z2665" s="11">
        <v>20</v>
      </c>
      <c r="AA2665" s="11">
        <v>0</v>
      </c>
      <c r="AB2665" s="12">
        <v>0</v>
      </c>
    </row>
    <row r="2666" spans="1:28" x14ac:dyDescent="0.2">
      <c r="A2666" s="7">
        <v>21868</v>
      </c>
      <c r="B2666" s="8" t="s">
        <v>17229</v>
      </c>
      <c r="C2666" s="8" t="s">
        <v>17230</v>
      </c>
      <c r="D2666" s="8" t="s">
        <v>17231</v>
      </c>
      <c r="E2666" s="8" t="s">
        <v>17232</v>
      </c>
      <c r="F2666" s="8" t="s">
        <v>1446</v>
      </c>
      <c r="G2666" s="8" t="s">
        <v>3259</v>
      </c>
      <c r="H2666" s="8" t="s">
        <v>557</v>
      </c>
      <c r="I2666" s="8" t="s">
        <v>17233</v>
      </c>
      <c r="J2666" s="8" t="s">
        <v>17234</v>
      </c>
      <c r="K2666" s="8" t="s">
        <v>1562</v>
      </c>
      <c r="L2666" s="8" t="s">
        <v>229</v>
      </c>
      <c r="M2666" s="8" t="s">
        <v>17235</v>
      </c>
      <c r="N2666" s="8" t="s">
        <v>128</v>
      </c>
      <c r="O2666" s="8" t="s">
        <v>17236</v>
      </c>
      <c r="P2666" s="8" t="s">
        <v>17237</v>
      </c>
      <c r="Q2666" s="8" t="s">
        <v>131</v>
      </c>
      <c r="R2666" s="8"/>
      <c r="S2666" s="8" t="s">
        <v>17238</v>
      </c>
      <c r="T2666" s="8" t="s">
        <v>133</v>
      </c>
      <c r="U2666" s="8" t="s">
        <v>134</v>
      </c>
      <c r="V2666" s="8" t="s">
        <v>131</v>
      </c>
      <c r="W2666" s="8" t="s">
        <v>133</v>
      </c>
      <c r="X2666" s="8">
        <v>9</v>
      </c>
      <c r="Y2666" s="8" t="s">
        <v>12359</v>
      </c>
      <c r="Z2666" s="8">
        <v>20</v>
      </c>
      <c r="AA2666" s="8">
        <v>0</v>
      </c>
      <c r="AB2666" s="9">
        <v>0</v>
      </c>
    </row>
    <row r="2667" spans="1:28" x14ac:dyDescent="0.2">
      <c r="A2667" s="10">
        <v>22102</v>
      </c>
      <c r="B2667" s="11" t="s">
        <v>17239</v>
      </c>
      <c r="C2667" s="11" t="s">
        <v>17240</v>
      </c>
      <c r="D2667" s="11" t="s">
        <v>8952</v>
      </c>
      <c r="E2667" s="11"/>
      <c r="F2667" s="11" t="s">
        <v>353</v>
      </c>
      <c r="G2667" s="11" t="s">
        <v>7562</v>
      </c>
      <c r="H2667" s="11" t="s">
        <v>847</v>
      </c>
      <c r="I2667" s="11" t="s">
        <v>17241</v>
      </c>
      <c r="J2667" s="11" t="s">
        <v>17242</v>
      </c>
      <c r="K2667" s="11" t="s">
        <v>850</v>
      </c>
      <c r="L2667" s="11" t="s">
        <v>126</v>
      </c>
      <c r="M2667" s="11" t="s">
        <v>17243</v>
      </c>
      <c r="N2667" s="11" t="s">
        <v>128</v>
      </c>
      <c r="O2667" s="11" t="s">
        <v>17244</v>
      </c>
      <c r="P2667" s="11" t="s">
        <v>7605</v>
      </c>
      <c r="Q2667" s="11" t="s">
        <v>150</v>
      </c>
      <c r="R2667" s="11"/>
      <c r="S2667" s="11" t="s">
        <v>71</v>
      </c>
      <c r="T2667" s="11" t="s">
        <v>6736</v>
      </c>
      <c r="U2667" s="11" t="s">
        <v>150</v>
      </c>
      <c r="V2667" s="11" t="s">
        <v>6736</v>
      </c>
      <c r="W2667" s="11" t="s">
        <v>6736</v>
      </c>
      <c r="X2667" s="11">
        <v>9</v>
      </c>
      <c r="Y2667" s="11" t="s">
        <v>12359</v>
      </c>
      <c r="Z2667" s="11">
        <v>20</v>
      </c>
      <c r="AA2667" s="11">
        <v>0</v>
      </c>
      <c r="AB2667" s="12">
        <v>0</v>
      </c>
    </row>
    <row r="2668" spans="1:28" x14ac:dyDescent="0.2">
      <c r="A2668" s="7">
        <v>22626</v>
      </c>
      <c r="B2668" s="8" t="s">
        <v>17245</v>
      </c>
      <c r="C2668" s="8" t="s">
        <v>773</v>
      </c>
      <c r="D2668" s="8" t="s">
        <v>11966</v>
      </c>
      <c r="E2668" s="8"/>
      <c r="F2668" s="8" t="s">
        <v>353</v>
      </c>
      <c r="G2668" s="8" t="s">
        <v>7562</v>
      </c>
      <c r="H2668" s="8" t="s">
        <v>847</v>
      </c>
      <c r="I2668" s="8" t="s">
        <v>7563</v>
      </c>
      <c r="J2668" s="8" t="s">
        <v>11967</v>
      </c>
      <c r="K2668" s="8" t="s">
        <v>850</v>
      </c>
      <c r="L2668" s="8" t="s">
        <v>126</v>
      </c>
      <c r="M2668" s="8" t="s">
        <v>17246</v>
      </c>
      <c r="N2668" s="8" t="s">
        <v>128</v>
      </c>
      <c r="O2668" s="8" t="s">
        <v>17247</v>
      </c>
      <c r="P2668" s="8" t="s">
        <v>17248</v>
      </c>
      <c r="Q2668" s="8" t="s">
        <v>150</v>
      </c>
      <c r="R2668" s="8"/>
      <c r="S2668" s="8" t="s">
        <v>71</v>
      </c>
      <c r="T2668" s="8" t="s">
        <v>2697</v>
      </c>
      <c r="U2668" s="8" t="s">
        <v>150</v>
      </c>
      <c r="V2668" s="8" t="s">
        <v>2697</v>
      </c>
      <c r="W2668" s="8" t="s">
        <v>2697</v>
      </c>
      <c r="X2668" s="8">
        <v>9</v>
      </c>
      <c r="Y2668" s="8" t="s">
        <v>12359</v>
      </c>
      <c r="Z2668" s="8">
        <v>20</v>
      </c>
      <c r="AA2668" s="8">
        <v>0</v>
      </c>
      <c r="AB2668" s="9">
        <v>0</v>
      </c>
    </row>
    <row r="2669" spans="1:28" x14ac:dyDescent="0.2">
      <c r="A2669" s="10">
        <v>22608</v>
      </c>
      <c r="B2669" s="11" t="s">
        <v>17249</v>
      </c>
      <c r="C2669" s="11" t="s">
        <v>17250</v>
      </c>
      <c r="D2669" s="11" t="s">
        <v>17251</v>
      </c>
      <c r="E2669" s="11"/>
      <c r="F2669" s="11"/>
      <c r="G2669" s="11" t="s">
        <v>703</v>
      </c>
      <c r="H2669" s="11" t="s">
        <v>704</v>
      </c>
      <c r="I2669" s="11" t="s">
        <v>17252</v>
      </c>
      <c r="J2669" s="11" t="s">
        <v>17253</v>
      </c>
      <c r="K2669" s="11" t="s">
        <v>707</v>
      </c>
      <c r="L2669" s="11" t="s">
        <v>126</v>
      </c>
      <c r="M2669" s="11" t="s">
        <v>17254</v>
      </c>
      <c r="N2669" s="11" t="s">
        <v>128</v>
      </c>
      <c r="O2669" s="11" t="s">
        <v>17255</v>
      </c>
      <c r="P2669" s="11" t="s">
        <v>17256</v>
      </c>
      <c r="Q2669" s="11" t="s">
        <v>150</v>
      </c>
      <c r="R2669" s="11"/>
      <c r="S2669" s="11" t="s">
        <v>71</v>
      </c>
      <c r="T2669" s="11" t="s">
        <v>2697</v>
      </c>
      <c r="U2669" s="11" t="s">
        <v>150</v>
      </c>
      <c r="V2669" s="11" t="s">
        <v>2697</v>
      </c>
      <c r="W2669" s="11" t="s">
        <v>2697</v>
      </c>
      <c r="X2669" s="11">
        <v>9</v>
      </c>
      <c r="Y2669" s="11" t="s">
        <v>12359</v>
      </c>
      <c r="Z2669" s="11">
        <v>20</v>
      </c>
      <c r="AA2669" s="11">
        <v>0</v>
      </c>
      <c r="AB2669" s="12">
        <v>0</v>
      </c>
    </row>
    <row r="2670" spans="1:28" x14ac:dyDescent="0.2">
      <c r="A2670" s="7">
        <v>92862</v>
      </c>
      <c r="B2670" s="8" t="s">
        <v>17257</v>
      </c>
      <c r="C2670" s="8" t="s">
        <v>6307</v>
      </c>
      <c r="D2670" s="8" t="s">
        <v>17258</v>
      </c>
      <c r="E2670" s="8"/>
      <c r="F2670" s="8" t="s">
        <v>16885</v>
      </c>
      <c r="G2670" s="8" t="s">
        <v>17259</v>
      </c>
      <c r="H2670" s="8" t="s">
        <v>122</v>
      </c>
      <c r="I2670" s="8" t="s">
        <v>17260</v>
      </c>
      <c r="J2670" s="8" t="s">
        <v>17261</v>
      </c>
      <c r="K2670" s="8" t="s">
        <v>125</v>
      </c>
      <c r="L2670" s="8" t="s">
        <v>126</v>
      </c>
      <c r="M2670" s="8" t="s">
        <v>17262</v>
      </c>
      <c r="N2670" s="8" t="s">
        <v>128</v>
      </c>
      <c r="O2670" s="8" t="s">
        <v>17263</v>
      </c>
      <c r="P2670" s="8" t="s">
        <v>17264</v>
      </c>
      <c r="Q2670" s="8" t="s">
        <v>150</v>
      </c>
      <c r="R2670" s="8"/>
      <c r="S2670" s="8" t="s">
        <v>71</v>
      </c>
      <c r="T2670" s="8" t="s">
        <v>2697</v>
      </c>
      <c r="U2670" s="8" t="s">
        <v>150</v>
      </c>
      <c r="V2670" s="8" t="s">
        <v>2697</v>
      </c>
      <c r="W2670" s="8" t="s">
        <v>2697</v>
      </c>
      <c r="X2670" s="8">
        <v>9</v>
      </c>
      <c r="Y2670" s="8" t="s">
        <v>12359</v>
      </c>
      <c r="Z2670" s="8">
        <v>20</v>
      </c>
      <c r="AA2670" s="8">
        <v>0</v>
      </c>
      <c r="AB2670" s="9">
        <v>0</v>
      </c>
    </row>
    <row r="2671" spans="1:28" x14ac:dyDescent="0.2">
      <c r="A2671" s="10">
        <v>85055</v>
      </c>
      <c r="B2671" s="11" t="s">
        <v>17265</v>
      </c>
      <c r="C2671" s="11" t="s">
        <v>754</v>
      </c>
      <c r="D2671" s="11" t="s">
        <v>755</v>
      </c>
      <c r="E2671" s="11"/>
      <c r="F2671" s="11" t="s">
        <v>17266</v>
      </c>
      <c r="G2671" s="11" t="s">
        <v>521</v>
      </c>
      <c r="H2671" s="11" t="s">
        <v>522</v>
      </c>
      <c r="I2671" s="11" t="s">
        <v>758</v>
      </c>
      <c r="J2671" s="11" t="s">
        <v>17267</v>
      </c>
      <c r="K2671" s="11" t="s">
        <v>525</v>
      </c>
      <c r="L2671" s="11" t="s">
        <v>526</v>
      </c>
      <c r="M2671" s="11" t="s">
        <v>17268</v>
      </c>
      <c r="N2671" s="11" t="s">
        <v>128</v>
      </c>
      <c r="O2671" s="11" t="s">
        <v>17269</v>
      </c>
      <c r="P2671" s="11"/>
      <c r="Q2671" s="11" t="s">
        <v>150</v>
      </c>
      <c r="R2671" s="11"/>
      <c r="S2671" s="11" t="s">
        <v>763</v>
      </c>
      <c r="T2671" s="11" t="s">
        <v>2702</v>
      </c>
      <c r="U2671" s="11" t="s">
        <v>150</v>
      </c>
      <c r="V2671" s="11" t="s">
        <v>2702</v>
      </c>
      <c r="W2671" s="11" t="s">
        <v>2702</v>
      </c>
      <c r="X2671" s="11">
        <v>9</v>
      </c>
      <c r="Y2671" s="11" t="s">
        <v>12359</v>
      </c>
      <c r="Z2671" s="11">
        <v>20</v>
      </c>
      <c r="AA2671" s="11">
        <v>0</v>
      </c>
      <c r="AB2671" s="12">
        <v>0</v>
      </c>
    </row>
    <row r="2672" spans="1:28" x14ac:dyDescent="0.2">
      <c r="A2672" s="7">
        <v>22773</v>
      </c>
      <c r="B2672" s="8" t="s">
        <v>17270</v>
      </c>
      <c r="C2672" s="8" t="s">
        <v>17271</v>
      </c>
      <c r="D2672" s="8" t="s">
        <v>17272</v>
      </c>
      <c r="E2672" s="8"/>
      <c r="F2672" s="8" t="s">
        <v>353</v>
      </c>
      <c r="G2672" s="8" t="s">
        <v>11394</v>
      </c>
      <c r="H2672" s="8" t="s">
        <v>704</v>
      </c>
      <c r="I2672" s="8" t="s">
        <v>17273</v>
      </c>
      <c r="J2672" s="8" t="s">
        <v>17274</v>
      </c>
      <c r="K2672" s="8" t="s">
        <v>707</v>
      </c>
      <c r="L2672" s="8" t="s">
        <v>126</v>
      </c>
      <c r="M2672" s="8" t="s">
        <v>17275</v>
      </c>
      <c r="N2672" s="8" t="s">
        <v>128</v>
      </c>
      <c r="O2672" s="8"/>
      <c r="P2672" s="8"/>
      <c r="Q2672" s="8" t="s">
        <v>150</v>
      </c>
      <c r="R2672" s="8"/>
      <c r="S2672" s="8" t="s">
        <v>71</v>
      </c>
      <c r="T2672" s="8" t="s">
        <v>2817</v>
      </c>
      <c r="U2672" s="8" t="s">
        <v>150</v>
      </c>
      <c r="V2672" s="8" t="s">
        <v>2817</v>
      </c>
      <c r="W2672" s="8" t="s">
        <v>2817</v>
      </c>
      <c r="X2672" s="8">
        <v>9</v>
      </c>
      <c r="Y2672" s="8" t="s">
        <v>12359</v>
      </c>
      <c r="Z2672" s="8">
        <v>20</v>
      </c>
      <c r="AA2672" s="8">
        <v>0</v>
      </c>
      <c r="AB2672" s="9">
        <v>0</v>
      </c>
    </row>
    <row r="2673" spans="1:28" x14ac:dyDescent="0.2">
      <c r="A2673" s="10">
        <v>125692</v>
      </c>
      <c r="B2673" s="11" t="s">
        <v>17276</v>
      </c>
      <c r="C2673" s="11" t="s">
        <v>4324</v>
      </c>
      <c r="D2673" s="11" t="s">
        <v>10935</v>
      </c>
      <c r="E2673" s="11"/>
      <c r="F2673" s="11" t="s">
        <v>4326</v>
      </c>
      <c r="G2673" s="11" t="s">
        <v>190</v>
      </c>
      <c r="H2673" s="11" t="s">
        <v>191</v>
      </c>
      <c r="I2673" s="11" t="s">
        <v>17277</v>
      </c>
      <c r="J2673" s="11" t="s">
        <v>4328</v>
      </c>
      <c r="K2673" s="11" t="s">
        <v>194</v>
      </c>
      <c r="L2673" s="11" t="s">
        <v>163</v>
      </c>
      <c r="M2673" s="11" t="s">
        <v>17278</v>
      </c>
      <c r="N2673" s="11" t="s">
        <v>128</v>
      </c>
      <c r="O2673" s="11" t="s">
        <v>17279</v>
      </c>
      <c r="P2673" s="11"/>
      <c r="Q2673" s="11" t="s">
        <v>150</v>
      </c>
      <c r="R2673" s="11"/>
      <c r="S2673" s="11" t="s">
        <v>4332</v>
      </c>
      <c r="T2673" s="11" t="s">
        <v>5470</v>
      </c>
      <c r="U2673" s="11" t="s">
        <v>150</v>
      </c>
      <c r="V2673" s="11" t="s">
        <v>5470</v>
      </c>
      <c r="W2673" s="11" t="s">
        <v>5470</v>
      </c>
      <c r="X2673" s="11">
        <v>9</v>
      </c>
      <c r="Y2673" s="11" t="s">
        <v>12359</v>
      </c>
      <c r="Z2673" s="11">
        <v>20</v>
      </c>
      <c r="AA2673" s="11">
        <v>0</v>
      </c>
      <c r="AB2673" s="12">
        <v>0</v>
      </c>
    </row>
    <row r="2674" spans="1:28" x14ac:dyDescent="0.2">
      <c r="A2674" s="7">
        <v>22830</v>
      </c>
      <c r="B2674" s="8" t="s">
        <v>17280</v>
      </c>
      <c r="C2674" s="8" t="s">
        <v>6307</v>
      </c>
      <c r="D2674" s="8" t="s">
        <v>13261</v>
      </c>
      <c r="E2674" s="8"/>
      <c r="F2674" s="8" t="s">
        <v>120</v>
      </c>
      <c r="G2674" s="8" t="s">
        <v>121</v>
      </c>
      <c r="H2674" s="8" t="s">
        <v>122</v>
      </c>
      <c r="I2674" s="8" t="s">
        <v>6309</v>
      </c>
      <c r="J2674" s="8" t="s">
        <v>17281</v>
      </c>
      <c r="K2674" s="8" t="s">
        <v>1051</v>
      </c>
      <c r="L2674" s="8" t="s">
        <v>126</v>
      </c>
      <c r="M2674" s="8" t="s">
        <v>17282</v>
      </c>
      <c r="N2674" s="8" t="s">
        <v>128</v>
      </c>
      <c r="O2674" s="8" t="s">
        <v>17283</v>
      </c>
      <c r="P2674" s="8" t="s">
        <v>4623</v>
      </c>
      <c r="Q2674" s="8" t="s">
        <v>150</v>
      </c>
      <c r="R2674" s="8"/>
      <c r="S2674" s="8" t="s">
        <v>71</v>
      </c>
      <c r="T2674" s="8" t="s">
        <v>7189</v>
      </c>
      <c r="U2674" s="8" t="s">
        <v>150</v>
      </c>
      <c r="V2674" s="8" t="s">
        <v>7189</v>
      </c>
      <c r="W2674" s="8" t="s">
        <v>7189</v>
      </c>
      <c r="X2674" s="8">
        <v>9</v>
      </c>
      <c r="Y2674" s="8" t="s">
        <v>12359</v>
      </c>
      <c r="Z2674" s="8">
        <v>20</v>
      </c>
      <c r="AA2674" s="8">
        <v>0</v>
      </c>
      <c r="AB2674" s="9">
        <v>0</v>
      </c>
    </row>
    <row r="2675" spans="1:28" x14ac:dyDescent="0.2">
      <c r="A2675" s="10">
        <v>23161</v>
      </c>
      <c r="B2675" s="11" t="s">
        <v>17284</v>
      </c>
      <c r="C2675" s="11" t="s">
        <v>17285</v>
      </c>
      <c r="D2675" s="11" t="s">
        <v>4787</v>
      </c>
      <c r="E2675" s="11" t="s">
        <v>17286</v>
      </c>
      <c r="F2675" s="11" t="s">
        <v>353</v>
      </c>
      <c r="G2675" s="11" t="s">
        <v>1727</v>
      </c>
      <c r="H2675" s="11" t="s">
        <v>557</v>
      </c>
      <c r="I2675" s="11" t="s">
        <v>17287</v>
      </c>
      <c r="J2675" s="11" t="s">
        <v>17288</v>
      </c>
      <c r="K2675" s="11" t="s">
        <v>1562</v>
      </c>
      <c r="L2675" s="11" t="s">
        <v>229</v>
      </c>
      <c r="M2675" s="11" t="s">
        <v>17289</v>
      </c>
      <c r="N2675" s="11" t="s">
        <v>128</v>
      </c>
      <c r="O2675" s="11" t="s">
        <v>17290</v>
      </c>
      <c r="P2675" s="11" t="s">
        <v>14904</v>
      </c>
      <c r="Q2675" s="11" t="s">
        <v>150</v>
      </c>
      <c r="R2675" s="11"/>
      <c r="S2675" s="11" t="s">
        <v>71</v>
      </c>
      <c r="T2675" s="11" t="s">
        <v>70</v>
      </c>
      <c r="U2675" s="11" t="s">
        <v>150</v>
      </c>
      <c r="V2675" s="11" t="s">
        <v>70</v>
      </c>
      <c r="W2675" s="11" t="s">
        <v>70</v>
      </c>
      <c r="X2675" s="11">
        <v>9</v>
      </c>
      <c r="Y2675" s="11" t="s">
        <v>12359</v>
      </c>
      <c r="Z2675" s="11">
        <v>20</v>
      </c>
      <c r="AA2675" s="11">
        <v>0</v>
      </c>
      <c r="AB2675" s="12">
        <v>0</v>
      </c>
    </row>
    <row r="2676" spans="1:28" x14ac:dyDescent="0.2">
      <c r="A2676" s="7">
        <v>32134</v>
      </c>
      <c r="B2676" s="8" t="s">
        <v>17291</v>
      </c>
      <c r="C2676" s="8" t="s">
        <v>324</v>
      </c>
      <c r="D2676" s="8" t="s">
        <v>1064</v>
      </c>
      <c r="E2676" s="8" t="s">
        <v>17292</v>
      </c>
      <c r="F2676" s="8" t="s">
        <v>327</v>
      </c>
      <c r="G2676" s="8" t="s">
        <v>328</v>
      </c>
      <c r="H2676" s="8" t="s">
        <v>329</v>
      </c>
      <c r="I2676" s="8" t="s">
        <v>17293</v>
      </c>
      <c r="J2676" s="8" t="s">
        <v>17294</v>
      </c>
      <c r="K2676" s="8" t="s">
        <v>332</v>
      </c>
      <c r="L2676" s="8" t="s">
        <v>333</v>
      </c>
      <c r="M2676" s="8" t="s">
        <v>17295</v>
      </c>
      <c r="N2676" s="8" t="s">
        <v>128</v>
      </c>
      <c r="O2676" s="8" t="s">
        <v>17296</v>
      </c>
      <c r="P2676" s="8" t="s">
        <v>17297</v>
      </c>
      <c r="Q2676" s="8" t="s">
        <v>150</v>
      </c>
      <c r="R2676" s="8"/>
      <c r="S2676" s="8" t="s">
        <v>71</v>
      </c>
      <c r="T2676" s="8" t="s">
        <v>70</v>
      </c>
      <c r="U2676" s="8" t="s">
        <v>150</v>
      </c>
      <c r="V2676" s="8" t="s">
        <v>70</v>
      </c>
      <c r="W2676" s="8" t="s">
        <v>70</v>
      </c>
      <c r="X2676" s="8">
        <v>9</v>
      </c>
      <c r="Y2676" s="8" t="s">
        <v>12359</v>
      </c>
      <c r="Z2676" s="8">
        <v>20</v>
      </c>
      <c r="AA2676" s="8">
        <v>0</v>
      </c>
      <c r="AB2676" s="9">
        <v>0</v>
      </c>
    </row>
    <row r="2677" spans="1:28" x14ac:dyDescent="0.2">
      <c r="A2677" s="10">
        <v>23358</v>
      </c>
      <c r="B2677" s="11" t="s">
        <v>17298</v>
      </c>
      <c r="C2677" s="11" t="s">
        <v>17299</v>
      </c>
      <c r="D2677" s="11" t="s">
        <v>1035</v>
      </c>
      <c r="E2677" s="11" t="s">
        <v>281</v>
      </c>
      <c r="F2677" s="11" t="s">
        <v>1037</v>
      </c>
      <c r="G2677" s="11" t="s">
        <v>703</v>
      </c>
      <c r="H2677" s="11" t="s">
        <v>704</v>
      </c>
      <c r="I2677" s="11" t="s">
        <v>15031</v>
      </c>
      <c r="J2677" s="11" t="s">
        <v>15061</v>
      </c>
      <c r="K2677" s="11" t="s">
        <v>707</v>
      </c>
      <c r="L2677" s="11" t="s">
        <v>126</v>
      </c>
      <c r="M2677" s="11" t="s">
        <v>17300</v>
      </c>
      <c r="N2677" s="11" t="s">
        <v>128</v>
      </c>
      <c r="O2677" s="11" t="s">
        <v>17301</v>
      </c>
      <c r="P2677" s="11" t="s">
        <v>17302</v>
      </c>
      <c r="Q2677" s="11" t="s">
        <v>150</v>
      </c>
      <c r="R2677" s="11"/>
      <c r="S2677" s="11" t="s">
        <v>71</v>
      </c>
      <c r="T2677" s="11" t="s">
        <v>70</v>
      </c>
      <c r="U2677" s="11" t="s">
        <v>150</v>
      </c>
      <c r="V2677" s="11" t="s">
        <v>70</v>
      </c>
      <c r="W2677" s="11" t="s">
        <v>70</v>
      </c>
      <c r="X2677" s="11">
        <v>9</v>
      </c>
      <c r="Y2677" s="11" t="s">
        <v>12359</v>
      </c>
      <c r="Z2677" s="11">
        <v>20</v>
      </c>
      <c r="AA2677" s="11">
        <v>0</v>
      </c>
      <c r="AB2677" s="12">
        <v>0</v>
      </c>
    </row>
    <row r="2678" spans="1:28" x14ac:dyDescent="0.2">
      <c r="A2678" s="7">
        <v>23136</v>
      </c>
      <c r="B2678" s="8" t="s">
        <v>17303</v>
      </c>
      <c r="C2678" s="8" t="s">
        <v>17304</v>
      </c>
      <c r="D2678" s="8" t="s">
        <v>17305</v>
      </c>
      <c r="E2678" s="8" t="s">
        <v>9506</v>
      </c>
      <c r="F2678" s="8" t="s">
        <v>17306</v>
      </c>
      <c r="G2678" s="8" t="s">
        <v>141</v>
      </c>
      <c r="H2678" s="8" t="s">
        <v>142</v>
      </c>
      <c r="I2678" s="8" t="s">
        <v>17307</v>
      </c>
      <c r="J2678" s="8" t="s">
        <v>17308</v>
      </c>
      <c r="K2678" s="8" t="s">
        <v>584</v>
      </c>
      <c r="L2678" s="8" t="s">
        <v>146</v>
      </c>
      <c r="M2678" s="8" t="s">
        <v>17309</v>
      </c>
      <c r="N2678" s="8" t="s">
        <v>128</v>
      </c>
      <c r="O2678" s="8" t="s">
        <v>17310</v>
      </c>
      <c r="P2678" s="8" t="s">
        <v>17311</v>
      </c>
      <c r="Q2678" s="8" t="s">
        <v>150</v>
      </c>
      <c r="R2678" s="8"/>
      <c r="S2678" s="8" t="s">
        <v>71</v>
      </c>
      <c r="T2678" s="8" t="s">
        <v>70</v>
      </c>
      <c r="U2678" s="8" t="s">
        <v>150</v>
      </c>
      <c r="V2678" s="8" t="s">
        <v>70</v>
      </c>
      <c r="W2678" s="8" t="s">
        <v>70</v>
      </c>
      <c r="X2678" s="8">
        <v>9</v>
      </c>
      <c r="Y2678" s="8" t="s">
        <v>12359</v>
      </c>
      <c r="Z2678" s="8">
        <v>20</v>
      </c>
      <c r="AA2678" s="8">
        <v>0</v>
      </c>
      <c r="AB2678" s="9">
        <v>0</v>
      </c>
    </row>
    <row r="2679" spans="1:28" x14ac:dyDescent="0.2">
      <c r="A2679" s="10">
        <v>23137</v>
      </c>
      <c r="B2679" s="11" t="s">
        <v>17312</v>
      </c>
      <c r="C2679" s="11" t="s">
        <v>4794</v>
      </c>
      <c r="D2679" s="11" t="s">
        <v>8292</v>
      </c>
      <c r="E2679" s="11" t="s">
        <v>17313</v>
      </c>
      <c r="F2679" s="11" t="s">
        <v>4796</v>
      </c>
      <c r="G2679" s="11" t="s">
        <v>141</v>
      </c>
      <c r="H2679" s="11" t="s">
        <v>142</v>
      </c>
      <c r="I2679" s="11" t="s">
        <v>4797</v>
      </c>
      <c r="J2679" s="11" t="s">
        <v>17314</v>
      </c>
      <c r="K2679" s="11" t="s">
        <v>145</v>
      </c>
      <c r="L2679" s="11" t="s">
        <v>146</v>
      </c>
      <c r="M2679" s="11" t="s">
        <v>17315</v>
      </c>
      <c r="N2679" s="11" t="s">
        <v>128</v>
      </c>
      <c r="O2679" s="11" t="s">
        <v>17316</v>
      </c>
      <c r="P2679" s="11" t="s">
        <v>17317</v>
      </c>
      <c r="Q2679" s="11" t="s">
        <v>150</v>
      </c>
      <c r="R2679" s="11"/>
      <c r="S2679" s="11" t="s">
        <v>71</v>
      </c>
      <c r="T2679" s="11" t="s">
        <v>70</v>
      </c>
      <c r="U2679" s="11" t="s">
        <v>150</v>
      </c>
      <c r="V2679" s="11" t="s">
        <v>70</v>
      </c>
      <c r="W2679" s="11" t="s">
        <v>70</v>
      </c>
      <c r="X2679" s="11">
        <v>9</v>
      </c>
      <c r="Y2679" s="11" t="s">
        <v>12359</v>
      </c>
      <c r="Z2679" s="11">
        <v>20</v>
      </c>
      <c r="AA2679" s="11">
        <v>0</v>
      </c>
      <c r="AB2679" s="12">
        <v>0</v>
      </c>
    </row>
    <row r="2680" spans="1:28" x14ac:dyDescent="0.2">
      <c r="A2680" s="7">
        <v>22995</v>
      </c>
      <c r="B2680" s="8" t="s">
        <v>17318</v>
      </c>
      <c r="C2680" s="8" t="s">
        <v>9767</v>
      </c>
      <c r="D2680" s="8" t="s">
        <v>9768</v>
      </c>
      <c r="E2680" s="8" t="s">
        <v>17319</v>
      </c>
      <c r="F2680" s="8" t="s">
        <v>353</v>
      </c>
      <c r="G2680" s="8" t="s">
        <v>5116</v>
      </c>
      <c r="H2680" s="8" t="s">
        <v>122</v>
      </c>
      <c r="I2680" s="8" t="s">
        <v>9770</v>
      </c>
      <c r="J2680" s="8" t="s">
        <v>9771</v>
      </c>
      <c r="K2680" s="8" t="s">
        <v>125</v>
      </c>
      <c r="L2680" s="8" t="s">
        <v>126</v>
      </c>
      <c r="M2680" s="8" t="s">
        <v>17320</v>
      </c>
      <c r="N2680" s="8" t="s">
        <v>128</v>
      </c>
      <c r="O2680" s="8" t="s">
        <v>17321</v>
      </c>
      <c r="P2680" s="8" t="s">
        <v>17322</v>
      </c>
      <c r="Q2680" s="8" t="s">
        <v>150</v>
      </c>
      <c r="R2680" s="8"/>
      <c r="S2680" s="8" t="s">
        <v>9774</v>
      </c>
      <c r="T2680" s="8" t="s">
        <v>70</v>
      </c>
      <c r="U2680" s="8" t="s">
        <v>150</v>
      </c>
      <c r="V2680" s="8" t="s">
        <v>70</v>
      </c>
      <c r="W2680" s="8" t="s">
        <v>70</v>
      </c>
      <c r="X2680" s="8">
        <v>9</v>
      </c>
      <c r="Y2680" s="8" t="s">
        <v>12359</v>
      </c>
      <c r="Z2680" s="8">
        <v>20</v>
      </c>
      <c r="AA2680" s="8">
        <v>0</v>
      </c>
      <c r="AB2680" s="9">
        <v>0</v>
      </c>
    </row>
    <row r="2681" spans="1:28" x14ac:dyDescent="0.2">
      <c r="A2681" s="10">
        <v>23090</v>
      </c>
      <c r="B2681" s="11" t="s">
        <v>17323</v>
      </c>
      <c r="C2681" s="11" t="s">
        <v>6993</v>
      </c>
      <c r="D2681" s="11" t="s">
        <v>6994</v>
      </c>
      <c r="E2681" s="11" t="s">
        <v>17324</v>
      </c>
      <c r="F2681" s="11" t="s">
        <v>353</v>
      </c>
      <c r="G2681" s="11" t="s">
        <v>2618</v>
      </c>
      <c r="H2681" s="11" t="s">
        <v>142</v>
      </c>
      <c r="I2681" s="11" t="s">
        <v>6996</v>
      </c>
      <c r="J2681" s="11" t="s">
        <v>6997</v>
      </c>
      <c r="K2681" s="11" t="s">
        <v>651</v>
      </c>
      <c r="L2681" s="11" t="s">
        <v>146</v>
      </c>
      <c r="M2681" s="11" t="s">
        <v>17325</v>
      </c>
      <c r="N2681" s="11" t="s">
        <v>128</v>
      </c>
      <c r="O2681" s="11" t="s">
        <v>17326</v>
      </c>
      <c r="P2681" s="11" t="s">
        <v>12009</v>
      </c>
      <c r="Q2681" s="11" t="s">
        <v>150</v>
      </c>
      <c r="R2681" s="11"/>
      <c r="S2681" s="11" t="s">
        <v>7001</v>
      </c>
      <c r="T2681" s="11" t="s">
        <v>70</v>
      </c>
      <c r="U2681" s="11" t="s">
        <v>150</v>
      </c>
      <c r="V2681" s="11" t="s">
        <v>70</v>
      </c>
      <c r="W2681" s="11" t="s">
        <v>70</v>
      </c>
      <c r="X2681" s="11">
        <v>9</v>
      </c>
      <c r="Y2681" s="11" t="s">
        <v>12359</v>
      </c>
      <c r="Z2681" s="11">
        <v>20</v>
      </c>
      <c r="AA2681" s="11">
        <v>0</v>
      </c>
      <c r="AB2681" s="12">
        <v>0</v>
      </c>
    </row>
    <row r="2682" spans="1:28" x14ac:dyDescent="0.2">
      <c r="A2682" s="7">
        <v>23061</v>
      </c>
      <c r="B2682" s="8" t="s">
        <v>17327</v>
      </c>
      <c r="C2682" s="8" t="s">
        <v>8721</v>
      </c>
      <c r="D2682" s="8" t="s">
        <v>8690</v>
      </c>
      <c r="E2682" s="8" t="s">
        <v>17328</v>
      </c>
      <c r="F2682" s="8" t="s">
        <v>8723</v>
      </c>
      <c r="G2682" s="8" t="s">
        <v>648</v>
      </c>
      <c r="H2682" s="8" t="s">
        <v>142</v>
      </c>
      <c r="I2682" s="8" t="s">
        <v>8724</v>
      </c>
      <c r="J2682" s="8" t="s">
        <v>8725</v>
      </c>
      <c r="K2682" s="8" t="s">
        <v>651</v>
      </c>
      <c r="L2682" s="8" t="s">
        <v>146</v>
      </c>
      <c r="M2682" s="8" t="s">
        <v>17329</v>
      </c>
      <c r="N2682" s="8" t="s">
        <v>128</v>
      </c>
      <c r="O2682" s="8" t="s">
        <v>17330</v>
      </c>
      <c r="P2682" s="8" t="s">
        <v>5744</v>
      </c>
      <c r="Q2682" s="8" t="s">
        <v>150</v>
      </c>
      <c r="R2682" s="8"/>
      <c r="S2682" s="8" t="s">
        <v>8729</v>
      </c>
      <c r="T2682" s="8" t="s">
        <v>70</v>
      </c>
      <c r="U2682" s="8" t="s">
        <v>150</v>
      </c>
      <c r="V2682" s="8" t="s">
        <v>70</v>
      </c>
      <c r="W2682" s="8" t="s">
        <v>70</v>
      </c>
      <c r="X2682" s="8">
        <v>9</v>
      </c>
      <c r="Y2682" s="8" t="s">
        <v>12359</v>
      </c>
      <c r="Z2682" s="8">
        <v>20</v>
      </c>
      <c r="AA2682" s="8">
        <v>0</v>
      </c>
      <c r="AB2682" s="9">
        <v>0</v>
      </c>
    </row>
    <row r="2683" spans="1:28" x14ac:dyDescent="0.2">
      <c r="A2683" s="10">
        <v>23081</v>
      </c>
      <c r="B2683" s="11" t="s">
        <v>17331</v>
      </c>
      <c r="C2683" s="11" t="s">
        <v>10185</v>
      </c>
      <c r="D2683" s="11" t="s">
        <v>2403</v>
      </c>
      <c r="E2683" s="11"/>
      <c r="F2683" s="11" t="s">
        <v>353</v>
      </c>
      <c r="G2683" s="11" t="s">
        <v>7653</v>
      </c>
      <c r="H2683" s="11" t="s">
        <v>142</v>
      </c>
      <c r="I2683" s="11" t="s">
        <v>11832</v>
      </c>
      <c r="J2683" s="11" t="s">
        <v>17332</v>
      </c>
      <c r="K2683" s="11" t="s">
        <v>717</v>
      </c>
      <c r="L2683" s="11" t="s">
        <v>464</v>
      </c>
      <c r="M2683" s="11" t="s">
        <v>17333</v>
      </c>
      <c r="N2683" s="11" t="s">
        <v>128</v>
      </c>
      <c r="O2683" s="11" t="s">
        <v>17334</v>
      </c>
      <c r="P2683" s="11" t="s">
        <v>17335</v>
      </c>
      <c r="Q2683" s="11" t="s">
        <v>150</v>
      </c>
      <c r="R2683" s="11"/>
      <c r="S2683" s="11" t="s">
        <v>71</v>
      </c>
      <c r="T2683" s="11" t="s">
        <v>70</v>
      </c>
      <c r="U2683" s="11" t="s">
        <v>150</v>
      </c>
      <c r="V2683" s="11" t="s">
        <v>70</v>
      </c>
      <c r="W2683" s="11" t="s">
        <v>70</v>
      </c>
      <c r="X2683" s="11">
        <v>9</v>
      </c>
      <c r="Y2683" s="11" t="s">
        <v>12359</v>
      </c>
      <c r="Z2683" s="11">
        <v>20</v>
      </c>
      <c r="AA2683" s="11">
        <v>0</v>
      </c>
      <c r="AB2683" s="12">
        <v>0</v>
      </c>
    </row>
    <row r="2684" spans="1:28" x14ac:dyDescent="0.2">
      <c r="A2684" s="7">
        <v>23114</v>
      </c>
      <c r="B2684" s="8" t="s">
        <v>17336</v>
      </c>
      <c r="C2684" s="8" t="s">
        <v>17337</v>
      </c>
      <c r="D2684" s="8" t="s">
        <v>17338</v>
      </c>
      <c r="E2684" s="8"/>
      <c r="F2684" s="8" t="s">
        <v>353</v>
      </c>
      <c r="G2684" s="8" t="s">
        <v>4226</v>
      </c>
      <c r="H2684" s="8" t="s">
        <v>329</v>
      </c>
      <c r="I2684" s="8" t="s">
        <v>17339</v>
      </c>
      <c r="J2684" s="8" t="s">
        <v>17340</v>
      </c>
      <c r="K2684" s="8" t="s">
        <v>415</v>
      </c>
      <c r="L2684" s="8" t="s">
        <v>333</v>
      </c>
      <c r="M2684" s="8" t="s">
        <v>17341</v>
      </c>
      <c r="N2684" s="8" t="s">
        <v>128</v>
      </c>
      <c r="O2684" s="8" t="s">
        <v>17342</v>
      </c>
      <c r="P2684" s="8" t="s">
        <v>17343</v>
      </c>
      <c r="Q2684" s="8" t="s">
        <v>150</v>
      </c>
      <c r="R2684" s="8"/>
      <c r="S2684" s="8" t="s">
        <v>71</v>
      </c>
      <c r="T2684" s="8" t="s">
        <v>70</v>
      </c>
      <c r="U2684" s="8" t="s">
        <v>150</v>
      </c>
      <c r="V2684" s="8" t="s">
        <v>70</v>
      </c>
      <c r="W2684" s="8" t="s">
        <v>70</v>
      </c>
      <c r="X2684" s="8">
        <v>9</v>
      </c>
      <c r="Y2684" s="8" t="s">
        <v>12359</v>
      </c>
      <c r="Z2684" s="8">
        <v>20</v>
      </c>
      <c r="AA2684" s="8">
        <v>0</v>
      </c>
      <c r="AB2684" s="9">
        <v>0</v>
      </c>
    </row>
    <row r="2685" spans="1:28" x14ac:dyDescent="0.2">
      <c r="A2685" s="10">
        <v>23297</v>
      </c>
      <c r="B2685" s="11" t="s">
        <v>17344</v>
      </c>
      <c r="C2685" s="11" t="s">
        <v>3845</v>
      </c>
      <c r="D2685" s="11" t="s">
        <v>17345</v>
      </c>
      <c r="E2685" s="11"/>
      <c r="F2685" s="11" t="s">
        <v>353</v>
      </c>
      <c r="G2685" s="11" t="s">
        <v>2435</v>
      </c>
      <c r="H2685" s="11" t="s">
        <v>142</v>
      </c>
      <c r="I2685" s="11" t="s">
        <v>3847</v>
      </c>
      <c r="J2685" s="11" t="s">
        <v>17346</v>
      </c>
      <c r="K2685" s="11" t="s">
        <v>1029</v>
      </c>
      <c r="L2685" s="11" t="s">
        <v>464</v>
      </c>
      <c r="M2685" s="11" t="s">
        <v>17347</v>
      </c>
      <c r="N2685" s="11" t="s">
        <v>128</v>
      </c>
      <c r="O2685" s="11" t="s">
        <v>17348</v>
      </c>
      <c r="P2685" s="11" t="s">
        <v>8242</v>
      </c>
      <c r="Q2685" s="11" t="s">
        <v>150</v>
      </c>
      <c r="R2685" s="11"/>
      <c r="S2685" s="11" t="s">
        <v>71</v>
      </c>
      <c r="T2685" s="11" t="s">
        <v>70</v>
      </c>
      <c r="U2685" s="11" t="s">
        <v>150</v>
      </c>
      <c r="V2685" s="11" t="s">
        <v>70</v>
      </c>
      <c r="W2685" s="11" t="s">
        <v>70</v>
      </c>
      <c r="X2685" s="11">
        <v>9</v>
      </c>
      <c r="Y2685" s="11" t="s">
        <v>12359</v>
      </c>
      <c r="Z2685" s="11">
        <v>20</v>
      </c>
      <c r="AA2685" s="11">
        <v>0</v>
      </c>
      <c r="AB2685" s="12">
        <v>0</v>
      </c>
    </row>
    <row r="2686" spans="1:28" x14ac:dyDescent="0.2">
      <c r="A2686" s="7">
        <v>116647</v>
      </c>
      <c r="B2686" s="8" t="s">
        <v>17349</v>
      </c>
      <c r="C2686" s="8" t="s">
        <v>10589</v>
      </c>
      <c r="D2686" s="8" t="s">
        <v>14462</v>
      </c>
      <c r="E2686" s="8"/>
      <c r="F2686" s="8" t="s">
        <v>353</v>
      </c>
      <c r="G2686" s="8" t="s">
        <v>3643</v>
      </c>
      <c r="H2686" s="8" t="s">
        <v>142</v>
      </c>
      <c r="I2686" s="8" t="s">
        <v>10593</v>
      </c>
      <c r="J2686" s="8" t="s">
        <v>17350</v>
      </c>
      <c r="K2686" s="8" t="s">
        <v>651</v>
      </c>
      <c r="L2686" s="8" t="s">
        <v>146</v>
      </c>
      <c r="M2686" s="8" t="s">
        <v>17351</v>
      </c>
      <c r="N2686" s="8" t="s">
        <v>128</v>
      </c>
      <c r="O2686" s="8" t="s">
        <v>17352</v>
      </c>
      <c r="P2686" s="8" t="s">
        <v>17353</v>
      </c>
      <c r="Q2686" s="8" t="s">
        <v>150</v>
      </c>
      <c r="R2686" s="8"/>
      <c r="S2686" s="8" t="s">
        <v>71</v>
      </c>
      <c r="T2686" s="8" t="s">
        <v>70</v>
      </c>
      <c r="U2686" s="8" t="s">
        <v>150</v>
      </c>
      <c r="V2686" s="8" t="s">
        <v>70</v>
      </c>
      <c r="W2686" s="8" t="s">
        <v>70</v>
      </c>
      <c r="X2686" s="8">
        <v>9</v>
      </c>
      <c r="Y2686" s="8" t="s">
        <v>12359</v>
      </c>
      <c r="Z2686" s="8">
        <v>20</v>
      </c>
      <c r="AA2686" s="8">
        <v>0</v>
      </c>
      <c r="AB2686" s="9">
        <v>0</v>
      </c>
    </row>
    <row r="2687" spans="1:28" x14ac:dyDescent="0.2">
      <c r="A2687" s="10">
        <v>22913</v>
      </c>
      <c r="B2687" s="11" t="s">
        <v>17354</v>
      </c>
      <c r="C2687" s="11" t="s">
        <v>4777</v>
      </c>
      <c r="D2687" s="11" t="s">
        <v>17355</v>
      </c>
      <c r="E2687" s="11"/>
      <c r="F2687" s="11"/>
      <c r="G2687" s="11" t="s">
        <v>7170</v>
      </c>
      <c r="H2687" s="11" t="s">
        <v>142</v>
      </c>
      <c r="I2687" s="11" t="s">
        <v>7171</v>
      </c>
      <c r="J2687" s="11" t="s">
        <v>17356</v>
      </c>
      <c r="K2687" s="11" t="s">
        <v>974</v>
      </c>
      <c r="L2687" s="11" t="s">
        <v>146</v>
      </c>
      <c r="M2687" s="11" t="s">
        <v>17357</v>
      </c>
      <c r="N2687" s="11" t="s">
        <v>128</v>
      </c>
      <c r="O2687" s="11" t="s">
        <v>17358</v>
      </c>
      <c r="P2687" s="11" t="s">
        <v>17359</v>
      </c>
      <c r="Q2687" s="11" t="s">
        <v>150</v>
      </c>
      <c r="R2687" s="11"/>
      <c r="S2687" s="11" t="s">
        <v>71</v>
      </c>
      <c r="T2687" s="11" t="s">
        <v>70</v>
      </c>
      <c r="U2687" s="11" t="s">
        <v>150</v>
      </c>
      <c r="V2687" s="11" t="s">
        <v>70</v>
      </c>
      <c r="W2687" s="11" t="s">
        <v>70</v>
      </c>
      <c r="X2687" s="11">
        <v>9</v>
      </c>
      <c r="Y2687" s="11" t="s">
        <v>12359</v>
      </c>
      <c r="Z2687" s="11">
        <v>20</v>
      </c>
      <c r="AA2687" s="11">
        <v>0</v>
      </c>
      <c r="AB2687" s="12">
        <v>0</v>
      </c>
    </row>
    <row r="2688" spans="1:28" x14ac:dyDescent="0.2">
      <c r="A2688" s="7">
        <v>22895</v>
      </c>
      <c r="B2688" s="8" t="s">
        <v>17360</v>
      </c>
      <c r="C2688" s="8" t="s">
        <v>17361</v>
      </c>
      <c r="D2688" s="8" t="s">
        <v>1451</v>
      </c>
      <c r="E2688" s="8"/>
      <c r="F2688" s="8" t="s">
        <v>2788</v>
      </c>
      <c r="G2688" s="8" t="s">
        <v>1286</v>
      </c>
      <c r="H2688" s="8" t="s">
        <v>142</v>
      </c>
      <c r="I2688" s="8" t="s">
        <v>17362</v>
      </c>
      <c r="J2688" s="8" t="s">
        <v>17363</v>
      </c>
      <c r="K2688" s="8" t="s">
        <v>717</v>
      </c>
      <c r="L2688" s="8" t="s">
        <v>464</v>
      </c>
      <c r="M2688" s="8" t="s">
        <v>17364</v>
      </c>
      <c r="N2688" s="8" t="s">
        <v>128</v>
      </c>
      <c r="O2688" s="8" t="s">
        <v>17365</v>
      </c>
      <c r="P2688" s="8" t="s">
        <v>17366</v>
      </c>
      <c r="Q2688" s="8" t="s">
        <v>150</v>
      </c>
      <c r="R2688" s="8"/>
      <c r="S2688" s="8" t="s">
        <v>71</v>
      </c>
      <c r="T2688" s="8" t="s">
        <v>70</v>
      </c>
      <c r="U2688" s="8" t="s">
        <v>150</v>
      </c>
      <c r="V2688" s="8" t="s">
        <v>70</v>
      </c>
      <c r="W2688" s="8" t="s">
        <v>70</v>
      </c>
      <c r="X2688" s="8">
        <v>9</v>
      </c>
      <c r="Y2688" s="8" t="s">
        <v>12359</v>
      </c>
      <c r="Z2688" s="8">
        <v>20</v>
      </c>
      <c r="AA2688" s="8">
        <v>0</v>
      </c>
      <c r="AB2688" s="9">
        <v>0</v>
      </c>
    </row>
    <row r="2689" spans="1:28" x14ac:dyDescent="0.2">
      <c r="A2689" s="10">
        <v>22994</v>
      </c>
      <c r="B2689" s="11" t="s">
        <v>17367</v>
      </c>
      <c r="C2689" s="11" t="s">
        <v>3746</v>
      </c>
      <c r="D2689" s="11" t="s">
        <v>17368</v>
      </c>
      <c r="E2689" s="11"/>
      <c r="F2689" s="11" t="s">
        <v>8554</v>
      </c>
      <c r="G2689" s="11" t="s">
        <v>141</v>
      </c>
      <c r="H2689" s="11" t="s">
        <v>142</v>
      </c>
      <c r="I2689" s="11" t="s">
        <v>17369</v>
      </c>
      <c r="J2689" s="11" t="s">
        <v>17370</v>
      </c>
      <c r="K2689" s="11" t="s">
        <v>584</v>
      </c>
      <c r="L2689" s="11" t="s">
        <v>146</v>
      </c>
      <c r="M2689" s="11" t="s">
        <v>17371</v>
      </c>
      <c r="N2689" s="11" t="s">
        <v>128</v>
      </c>
      <c r="O2689" s="11" t="s">
        <v>17372</v>
      </c>
      <c r="P2689" s="11" t="s">
        <v>17373</v>
      </c>
      <c r="Q2689" s="11" t="s">
        <v>150</v>
      </c>
      <c r="R2689" s="11"/>
      <c r="S2689" s="11" t="s">
        <v>71</v>
      </c>
      <c r="T2689" s="11" t="s">
        <v>70</v>
      </c>
      <c r="U2689" s="11" t="s">
        <v>150</v>
      </c>
      <c r="V2689" s="11" t="s">
        <v>70</v>
      </c>
      <c r="W2689" s="11" t="s">
        <v>70</v>
      </c>
      <c r="X2689" s="11">
        <v>9</v>
      </c>
      <c r="Y2689" s="11" t="s">
        <v>12359</v>
      </c>
      <c r="Z2689" s="11">
        <v>20</v>
      </c>
      <c r="AA2689" s="11">
        <v>0</v>
      </c>
      <c r="AB2689" s="12">
        <v>0</v>
      </c>
    </row>
    <row r="2690" spans="1:28" x14ac:dyDescent="0.2">
      <c r="A2690" s="7">
        <v>23079</v>
      </c>
      <c r="B2690" s="8" t="s">
        <v>17374</v>
      </c>
      <c r="C2690" s="8" t="s">
        <v>8113</v>
      </c>
      <c r="D2690" s="8" t="s">
        <v>4630</v>
      </c>
      <c r="E2690" s="8"/>
      <c r="F2690" s="8" t="s">
        <v>8115</v>
      </c>
      <c r="G2690" s="8" t="s">
        <v>141</v>
      </c>
      <c r="H2690" s="8" t="s">
        <v>142</v>
      </c>
      <c r="I2690" s="8" t="s">
        <v>14093</v>
      </c>
      <c r="J2690" s="8" t="s">
        <v>17375</v>
      </c>
      <c r="K2690" s="8" t="s">
        <v>651</v>
      </c>
      <c r="L2690" s="8" t="s">
        <v>146</v>
      </c>
      <c r="M2690" s="8" t="s">
        <v>17376</v>
      </c>
      <c r="N2690" s="8" t="s">
        <v>128</v>
      </c>
      <c r="O2690" s="8" t="s">
        <v>17377</v>
      </c>
      <c r="P2690" s="8" t="s">
        <v>17378</v>
      </c>
      <c r="Q2690" s="8" t="s">
        <v>150</v>
      </c>
      <c r="R2690" s="8"/>
      <c r="S2690" s="8" t="s">
        <v>8120</v>
      </c>
      <c r="T2690" s="8" t="s">
        <v>70</v>
      </c>
      <c r="U2690" s="8" t="s">
        <v>150</v>
      </c>
      <c r="V2690" s="8" t="s">
        <v>70</v>
      </c>
      <c r="W2690" s="8" t="s">
        <v>70</v>
      </c>
      <c r="X2690" s="8">
        <v>9</v>
      </c>
      <c r="Y2690" s="8" t="s">
        <v>12359</v>
      </c>
      <c r="Z2690" s="8">
        <v>20</v>
      </c>
      <c r="AA2690" s="8">
        <v>0</v>
      </c>
      <c r="AB2690" s="9">
        <v>0</v>
      </c>
    </row>
    <row r="2691" spans="1:28" x14ac:dyDescent="0.2">
      <c r="A2691" s="10">
        <v>22927</v>
      </c>
      <c r="B2691" s="11" t="s">
        <v>17379</v>
      </c>
      <c r="C2691" s="11" t="s">
        <v>16358</v>
      </c>
      <c r="D2691" s="11" t="s">
        <v>16359</v>
      </c>
      <c r="E2691" s="11"/>
      <c r="F2691" s="11" t="s">
        <v>17380</v>
      </c>
      <c r="G2691" s="11" t="s">
        <v>1952</v>
      </c>
      <c r="H2691" s="11" t="s">
        <v>1953</v>
      </c>
      <c r="I2691" s="11" t="s">
        <v>16666</v>
      </c>
      <c r="J2691" s="11" t="s">
        <v>16362</v>
      </c>
      <c r="K2691" s="11" t="s">
        <v>1956</v>
      </c>
      <c r="L2691" s="11" t="s">
        <v>526</v>
      </c>
      <c r="M2691" s="11" t="s">
        <v>17381</v>
      </c>
      <c r="N2691" s="11" t="s">
        <v>128</v>
      </c>
      <c r="O2691" s="11" t="s">
        <v>17382</v>
      </c>
      <c r="P2691" s="11" t="s">
        <v>17383</v>
      </c>
      <c r="Q2691" s="11" t="s">
        <v>150</v>
      </c>
      <c r="R2691" s="11"/>
      <c r="S2691" s="11" t="s">
        <v>16366</v>
      </c>
      <c r="T2691" s="11" t="s">
        <v>70</v>
      </c>
      <c r="U2691" s="11" t="s">
        <v>150</v>
      </c>
      <c r="V2691" s="11" t="s">
        <v>70</v>
      </c>
      <c r="W2691" s="11" t="s">
        <v>70</v>
      </c>
      <c r="X2691" s="11">
        <v>9</v>
      </c>
      <c r="Y2691" s="11" t="s">
        <v>12359</v>
      </c>
      <c r="Z2691" s="11">
        <v>20</v>
      </c>
      <c r="AA2691" s="11">
        <v>0</v>
      </c>
      <c r="AB2691" s="12">
        <v>0</v>
      </c>
    </row>
    <row r="2692" spans="1:28" x14ac:dyDescent="0.2">
      <c r="A2692" s="7">
        <v>22978</v>
      </c>
      <c r="B2692" s="8" t="s">
        <v>17384</v>
      </c>
      <c r="C2692" s="8" t="s">
        <v>17385</v>
      </c>
      <c r="D2692" s="8" t="s">
        <v>17386</v>
      </c>
      <c r="E2692" s="8"/>
      <c r="F2692" s="8" t="s">
        <v>15668</v>
      </c>
      <c r="G2692" s="8" t="s">
        <v>2992</v>
      </c>
      <c r="H2692" s="8" t="s">
        <v>122</v>
      </c>
      <c r="I2692" s="8" t="s">
        <v>17387</v>
      </c>
      <c r="J2692" s="8" t="s">
        <v>17388</v>
      </c>
      <c r="K2692" s="8" t="s">
        <v>125</v>
      </c>
      <c r="L2692" s="8" t="s">
        <v>126</v>
      </c>
      <c r="M2692" s="8" t="s">
        <v>17389</v>
      </c>
      <c r="N2692" s="8" t="s">
        <v>128</v>
      </c>
      <c r="O2692" s="8" t="s">
        <v>17390</v>
      </c>
      <c r="P2692" s="8" t="s">
        <v>17391</v>
      </c>
      <c r="Q2692" s="8" t="s">
        <v>150</v>
      </c>
      <c r="R2692" s="8"/>
      <c r="S2692" s="8" t="s">
        <v>17392</v>
      </c>
      <c r="T2692" s="8" t="s">
        <v>70</v>
      </c>
      <c r="U2692" s="8" t="s">
        <v>150</v>
      </c>
      <c r="V2692" s="8" t="s">
        <v>70</v>
      </c>
      <c r="W2692" s="8" t="s">
        <v>70</v>
      </c>
      <c r="X2692" s="8">
        <v>9</v>
      </c>
      <c r="Y2692" s="8" t="s">
        <v>12359</v>
      </c>
      <c r="Z2692" s="8">
        <v>20</v>
      </c>
      <c r="AA2692" s="8">
        <v>0</v>
      </c>
      <c r="AB2692" s="9">
        <v>0</v>
      </c>
    </row>
    <row r="2693" spans="1:28" x14ac:dyDescent="0.2">
      <c r="A2693" s="10">
        <v>23002</v>
      </c>
      <c r="B2693" s="11" t="s">
        <v>17393</v>
      </c>
      <c r="C2693" s="11" t="s">
        <v>6823</v>
      </c>
      <c r="D2693" s="11" t="s">
        <v>17394</v>
      </c>
      <c r="E2693" s="11"/>
      <c r="F2693" s="11" t="s">
        <v>17395</v>
      </c>
      <c r="G2693" s="11" t="s">
        <v>3259</v>
      </c>
      <c r="H2693" s="11" t="s">
        <v>557</v>
      </c>
      <c r="I2693" s="11" t="s">
        <v>17396</v>
      </c>
      <c r="J2693" s="11" t="s">
        <v>17397</v>
      </c>
      <c r="K2693" s="11" t="s">
        <v>1562</v>
      </c>
      <c r="L2693" s="11" t="s">
        <v>229</v>
      </c>
      <c r="M2693" s="11" t="s">
        <v>17398</v>
      </c>
      <c r="N2693" s="11" t="s">
        <v>128</v>
      </c>
      <c r="O2693" s="11" t="s">
        <v>17399</v>
      </c>
      <c r="P2693" s="11" t="s">
        <v>17400</v>
      </c>
      <c r="Q2693" s="11" t="s">
        <v>150</v>
      </c>
      <c r="R2693" s="11"/>
      <c r="S2693" s="11" t="s">
        <v>17238</v>
      </c>
      <c r="T2693" s="11" t="s">
        <v>70</v>
      </c>
      <c r="U2693" s="11" t="s">
        <v>150</v>
      </c>
      <c r="V2693" s="11" t="s">
        <v>70</v>
      </c>
      <c r="W2693" s="11" t="s">
        <v>70</v>
      </c>
      <c r="X2693" s="11">
        <v>9</v>
      </c>
      <c r="Y2693" s="11" t="s">
        <v>12359</v>
      </c>
      <c r="Z2693" s="11">
        <v>20</v>
      </c>
      <c r="AA2693" s="11">
        <v>0</v>
      </c>
      <c r="AB2693" s="12">
        <v>0</v>
      </c>
    </row>
    <row r="2694" spans="1:28" x14ac:dyDescent="0.2">
      <c r="A2694" s="7">
        <v>116135</v>
      </c>
      <c r="B2694" s="8" t="s">
        <v>17401</v>
      </c>
      <c r="C2694" s="8" t="s">
        <v>17402</v>
      </c>
      <c r="D2694" s="8" t="s">
        <v>4746</v>
      </c>
      <c r="E2694" s="8"/>
      <c r="F2694" s="8" t="s">
        <v>17403</v>
      </c>
      <c r="G2694" s="8" t="s">
        <v>2192</v>
      </c>
      <c r="H2694" s="8" t="s">
        <v>704</v>
      </c>
      <c r="I2694" s="8" t="s">
        <v>17404</v>
      </c>
      <c r="J2694" s="8" t="s">
        <v>17405</v>
      </c>
      <c r="K2694" s="8" t="s">
        <v>707</v>
      </c>
      <c r="L2694" s="8" t="s">
        <v>126</v>
      </c>
      <c r="M2694" s="8" t="s">
        <v>17406</v>
      </c>
      <c r="N2694" s="8" t="s">
        <v>128</v>
      </c>
      <c r="O2694" s="8" t="s">
        <v>17407</v>
      </c>
      <c r="P2694" s="8" t="s">
        <v>6923</v>
      </c>
      <c r="Q2694" s="8" t="s">
        <v>150</v>
      </c>
      <c r="R2694" s="8"/>
      <c r="S2694" s="8" t="s">
        <v>17408</v>
      </c>
      <c r="T2694" s="8" t="s">
        <v>70</v>
      </c>
      <c r="U2694" s="8" t="s">
        <v>150</v>
      </c>
      <c r="V2694" s="8" t="s">
        <v>70</v>
      </c>
      <c r="W2694" s="8" t="s">
        <v>70</v>
      </c>
      <c r="X2694" s="8">
        <v>9</v>
      </c>
      <c r="Y2694" s="8" t="s">
        <v>12359</v>
      </c>
      <c r="Z2694" s="8">
        <v>20</v>
      </c>
      <c r="AA2694" s="8">
        <v>0</v>
      </c>
      <c r="AB2694" s="9">
        <v>0</v>
      </c>
    </row>
    <row r="2695" spans="1:28" x14ac:dyDescent="0.2">
      <c r="A2695" s="10">
        <v>23383</v>
      </c>
      <c r="B2695" s="11" t="s">
        <v>17409</v>
      </c>
      <c r="C2695" s="11" t="s">
        <v>17189</v>
      </c>
      <c r="D2695" s="11" t="s">
        <v>1464</v>
      </c>
      <c r="E2695" s="11"/>
      <c r="F2695" s="11" t="s">
        <v>353</v>
      </c>
      <c r="G2695" s="11" t="s">
        <v>17191</v>
      </c>
      <c r="H2695" s="11" t="s">
        <v>142</v>
      </c>
      <c r="I2695" s="11" t="s">
        <v>17192</v>
      </c>
      <c r="J2695" s="11" t="s">
        <v>17410</v>
      </c>
      <c r="K2695" s="11" t="s">
        <v>584</v>
      </c>
      <c r="L2695" s="11" t="s">
        <v>146</v>
      </c>
      <c r="M2695" s="11" t="s">
        <v>17411</v>
      </c>
      <c r="N2695" s="11" t="s">
        <v>128</v>
      </c>
      <c r="O2695" s="11" t="s">
        <v>17412</v>
      </c>
      <c r="P2695" s="11" t="s">
        <v>17413</v>
      </c>
      <c r="Q2695" s="11" t="s">
        <v>150</v>
      </c>
      <c r="R2695" s="11"/>
      <c r="S2695" s="11" t="s">
        <v>71</v>
      </c>
      <c r="T2695" s="11" t="s">
        <v>1415</v>
      </c>
      <c r="U2695" s="11" t="s">
        <v>150</v>
      </c>
      <c r="V2695" s="11" t="s">
        <v>1415</v>
      </c>
      <c r="W2695" s="11" t="s">
        <v>1415</v>
      </c>
      <c r="X2695" s="11">
        <v>9</v>
      </c>
      <c r="Y2695" s="11" t="s">
        <v>12359</v>
      </c>
      <c r="Z2695" s="11">
        <v>20</v>
      </c>
      <c r="AA2695" s="11">
        <v>0</v>
      </c>
      <c r="AB2695" s="12">
        <v>0</v>
      </c>
    </row>
    <row r="2696" spans="1:28" x14ac:dyDescent="0.2">
      <c r="A2696" s="7">
        <v>23425</v>
      </c>
      <c r="B2696" s="8" t="s">
        <v>17414</v>
      </c>
      <c r="C2696" s="8" t="s">
        <v>16558</v>
      </c>
      <c r="D2696" s="8" t="s">
        <v>6358</v>
      </c>
      <c r="E2696" s="8"/>
      <c r="F2696" s="8" t="s">
        <v>3678</v>
      </c>
      <c r="G2696" s="8" t="s">
        <v>141</v>
      </c>
      <c r="H2696" s="8" t="s">
        <v>142</v>
      </c>
      <c r="I2696" s="8" t="s">
        <v>16586</v>
      </c>
      <c r="J2696" s="8" t="s">
        <v>17415</v>
      </c>
      <c r="K2696" s="8" t="s">
        <v>584</v>
      </c>
      <c r="L2696" s="8" t="s">
        <v>146</v>
      </c>
      <c r="M2696" s="8" t="s">
        <v>17416</v>
      </c>
      <c r="N2696" s="8" t="s">
        <v>128</v>
      </c>
      <c r="O2696" s="8" t="s">
        <v>17417</v>
      </c>
      <c r="P2696" s="8" t="s">
        <v>17418</v>
      </c>
      <c r="Q2696" s="8" t="s">
        <v>150</v>
      </c>
      <c r="R2696" s="8"/>
      <c r="S2696" s="8" t="s">
        <v>71</v>
      </c>
      <c r="T2696" s="8" t="s">
        <v>1415</v>
      </c>
      <c r="U2696" s="8" t="s">
        <v>150</v>
      </c>
      <c r="V2696" s="8" t="s">
        <v>1415</v>
      </c>
      <c r="W2696" s="8" t="s">
        <v>1415</v>
      </c>
      <c r="X2696" s="8">
        <v>9</v>
      </c>
      <c r="Y2696" s="8" t="s">
        <v>12359</v>
      </c>
      <c r="Z2696" s="8">
        <v>20</v>
      </c>
      <c r="AA2696" s="8">
        <v>0</v>
      </c>
      <c r="AB2696" s="9">
        <v>0</v>
      </c>
    </row>
    <row r="2697" spans="1:28" x14ac:dyDescent="0.2">
      <c r="A2697" s="10">
        <v>126734</v>
      </c>
      <c r="B2697" s="11" t="s">
        <v>17419</v>
      </c>
      <c r="C2697" s="11" t="s">
        <v>17183</v>
      </c>
      <c r="D2697" s="11" t="s">
        <v>14349</v>
      </c>
      <c r="E2697" s="11"/>
      <c r="F2697" s="11" t="s">
        <v>353</v>
      </c>
      <c r="G2697" s="11" t="s">
        <v>14650</v>
      </c>
      <c r="H2697" s="11" t="s">
        <v>122</v>
      </c>
      <c r="I2697" s="11" t="s">
        <v>14651</v>
      </c>
      <c r="J2697" s="11" t="s">
        <v>17420</v>
      </c>
      <c r="K2697" s="11" t="s">
        <v>125</v>
      </c>
      <c r="L2697" s="11" t="s">
        <v>126</v>
      </c>
      <c r="M2697" s="11" t="s">
        <v>17421</v>
      </c>
      <c r="N2697" s="11" t="s">
        <v>128</v>
      </c>
      <c r="O2697" s="11" t="s">
        <v>17422</v>
      </c>
      <c r="P2697" s="11"/>
      <c r="Q2697" s="11" t="s">
        <v>150</v>
      </c>
      <c r="R2697" s="11"/>
      <c r="S2697" s="11" t="s">
        <v>71</v>
      </c>
      <c r="T2697" s="11" t="s">
        <v>14887</v>
      </c>
      <c r="U2697" s="11" t="s">
        <v>150</v>
      </c>
      <c r="V2697" s="11" t="s">
        <v>14887</v>
      </c>
      <c r="W2697" s="11" t="s">
        <v>14887</v>
      </c>
      <c r="X2697" s="11">
        <v>9</v>
      </c>
      <c r="Y2697" s="11" t="s">
        <v>12359</v>
      </c>
      <c r="Z2697" s="11">
        <v>20</v>
      </c>
      <c r="AA2697" s="11">
        <v>0</v>
      </c>
      <c r="AB2697" s="12">
        <v>0</v>
      </c>
    </row>
    <row r="2698" spans="1:28" x14ac:dyDescent="0.2">
      <c r="A2698" s="7">
        <v>28768</v>
      </c>
      <c r="B2698" s="8" t="s">
        <v>17423</v>
      </c>
      <c r="C2698" s="8" t="s">
        <v>668</v>
      </c>
      <c r="D2698" s="8" t="s">
        <v>5751</v>
      </c>
      <c r="E2698" s="8"/>
      <c r="F2698" s="8" t="s">
        <v>17424</v>
      </c>
      <c r="G2698" s="8" t="s">
        <v>670</v>
      </c>
      <c r="H2698" s="8" t="s">
        <v>671</v>
      </c>
      <c r="I2698" s="8" t="s">
        <v>672</v>
      </c>
      <c r="J2698" s="8" t="s">
        <v>17425</v>
      </c>
      <c r="K2698" s="8" t="s">
        <v>572</v>
      </c>
      <c r="L2698" s="8" t="s">
        <v>333</v>
      </c>
      <c r="M2698" s="8" t="s">
        <v>17426</v>
      </c>
      <c r="N2698" s="8" t="s">
        <v>128</v>
      </c>
      <c r="O2698" s="8" t="s">
        <v>17427</v>
      </c>
      <c r="P2698" s="8" t="s">
        <v>12057</v>
      </c>
      <c r="Q2698" s="8" t="s">
        <v>150</v>
      </c>
      <c r="R2698" s="8"/>
      <c r="S2698" s="8" t="s">
        <v>71</v>
      </c>
      <c r="T2698" s="8" t="s">
        <v>14176</v>
      </c>
      <c r="U2698" s="8" t="s">
        <v>150</v>
      </c>
      <c r="V2698" s="8" t="s">
        <v>14176</v>
      </c>
      <c r="W2698" s="8" t="s">
        <v>14176</v>
      </c>
      <c r="X2698" s="8">
        <v>9</v>
      </c>
      <c r="Y2698" s="8" t="s">
        <v>12359</v>
      </c>
      <c r="Z2698" s="8">
        <v>20</v>
      </c>
      <c r="AA2698" s="8">
        <v>0</v>
      </c>
      <c r="AB2698" s="9">
        <v>0</v>
      </c>
    </row>
    <row r="2699" spans="1:28" x14ac:dyDescent="0.2">
      <c r="A2699" s="10">
        <v>23672</v>
      </c>
      <c r="B2699" s="11" t="s">
        <v>17428</v>
      </c>
      <c r="C2699" s="11" t="s">
        <v>17429</v>
      </c>
      <c r="D2699" s="11" t="s">
        <v>7140</v>
      </c>
      <c r="E2699" s="11" t="s">
        <v>17430</v>
      </c>
      <c r="F2699" s="11" t="s">
        <v>7636</v>
      </c>
      <c r="G2699" s="11" t="s">
        <v>1026</v>
      </c>
      <c r="H2699" s="11" t="s">
        <v>142</v>
      </c>
      <c r="I2699" s="11" t="s">
        <v>17431</v>
      </c>
      <c r="J2699" s="11" t="s">
        <v>17432</v>
      </c>
      <c r="K2699" s="11" t="s">
        <v>1029</v>
      </c>
      <c r="L2699" s="11" t="s">
        <v>464</v>
      </c>
      <c r="M2699" s="11" t="s">
        <v>17433</v>
      </c>
      <c r="N2699" s="11" t="s">
        <v>128</v>
      </c>
      <c r="O2699" s="11" t="s">
        <v>17434</v>
      </c>
      <c r="P2699" s="11" t="s">
        <v>8256</v>
      </c>
      <c r="Q2699" s="11" t="s">
        <v>150</v>
      </c>
      <c r="R2699" s="11"/>
      <c r="S2699" s="11" t="s">
        <v>17435</v>
      </c>
      <c r="T2699" s="11" t="s">
        <v>168</v>
      </c>
      <c r="U2699" s="11" t="s">
        <v>150</v>
      </c>
      <c r="V2699" s="11" t="s">
        <v>168</v>
      </c>
      <c r="W2699" s="11" t="s">
        <v>168</v>
      </c>
      <c r="X2699" s="11">
        <v>9</v>
      </c>
      <c r="Y2699" s="11" t="s">
        <v>12359</v>
      </c>
      <c r="Z2699" s="11">
        <v>20</v>
      </c>
      <c r="AA2699" s="11">
        <v>0</v>
      </c>
      <c r="AB2699" s="12">
        <v>0</v>
      </c>
    </row>
    <row r="2700" spans="1:28" x14ac:dyDescent="0.2">
      <c r="A2700" s="7">
        <v>23564</v>
      </c>
      <c r="B2700" s="8" t="s">
        <v>17436</v>
      </c>
      <c r="C2700" s="8" t="s">
        <v>17189</v>
      </c>
      <c r="D2700" s="8" t="s">
        <v>17141</v>
      </c>
      <c r="E2700" s="8"/>
      <c r="F2700" s="8" t="s">
        <v>353</v>
      </c>
      <c r="G2700" s="8" t="s">
        <v>17191</v>
      </c>
      <c r="H2700" s="8" t="s">
        <v>142</v>
      </c>
      <c r="I2700" s="8" t="s">
        <v>17192</v>
      </c>
      <c r="J2700" s="8" t="s">
        <v>17410</v>
      </c>
      <c r="K2700" s="8" t="s">
        <v>584</v>
      </c>
      <c r="L2700" s="8" t="s">
        <v>146</v>
      </c>
      <c r="M2700" s="8" t="s">
        <v>17437</v>
      </c>
      <c r="N2700" s="8" t="s">
        <v>128</v>
      </c>
      <c r="O2700" s="8" t="s">
        <v>17438</v>
      </c>
      <c r="P2700" s="8" t="s">
        <v>2712</v>
      </c>
      <c r="Q2700" s="8" t="s">
        <v>150</v>
      </c>
      <c r="R2700" s="8"/>
      <c r="S2700" s="8" t="s">
        <v>71</v>
      </c>
      <c r="T2700" s="8" t="s">
        <v>168</v>
      </c>
      <c r="U2700" s="8" t="s">
        <v>150</v>
      </c>
      <c r="V2700" s="8" t="s">
        <v>168</v>
      </c>
      <c r="W2700" s="8" t="s">
        <v>168</v>
      </c>
      <c r="X2700" s="8">
        <v>9</v>
      </c>
      <c r="Y2700" s="8" t="s">
        <v>12359</v>
      </c>
      <c r="Z2700" s="8">
        <v>20</v>
      </c>
      <c r="AA2700" s="8">
        <v>0</v>
      </c>
      <c r="AB2700" s="9">
        <v>0</v>
      </c>
    </row>
    <row r="2701" spans="1:28" x14ac:dyDescent="0.2">
      <c r="A2701" s="10">
        <v>106022</v>
      </c>
      <c r="B2701" s="11" t="s">
        <v>17439</v>
      </c>
      <c r="C2701" s="11" t="s">
        <v>17440</v>
      </c>
      <c r="D2701" s="11" t="s">
        <v>17441</v>
      </c>
      <c r="E2701" s="11"/>
      <c r="F2701" s="11" t="s">
        <v>353</v>
      </c>
      <c r="G2701" s="11" t="s">
        <v>17442</v>
      </c>
      <c r="H2701" s="11" t="s">
        <v>5805</v>
      </c>
      <c r="I2701" s="11" t="s">
        <v>17443</v>
      </c>
      <c r="J2701" s="11" t="s">
        <v>17444</v>
      </c>
      <c r="K2701" s="11" t="s">
        <v>274</v>
      </c>
      <c r="L2701" s="11" t="s">
        <v>163</v>
      </c>
      <c r="M2701" s="11" t="s">
        <v>17445</v>
      </c>
      <c r="N2701" s="11" t="s">
        <v>128</v>
      </c>
      <c r="O2701" s="11" t="s">
        <v>17446</v>
      </c>
      <c r="P2701" s="11" t="s">
        <v>17447</v>
      </c>
      <c r="Q2701" s="11" t="s">
        <v>150</v>
      </c>
      <c r="R2701" s="11"/>
      <c r="S2701" s="11" t="s">
        <v>71</v>
      </c>
      <c r="T2701" s="11" t="s">
        <v>168</v>
      </c>
      <c r="U2701" s="11" t="s">
        <v>150</v>
      </c>
      <c r="V2701" s="11" t="s">
        <v>168</v>
      </c>
      <c r="W2701" s="11" t="s">
        <v>168</v>
      </c>
      <c r="X2701" s="11">
        <v>9</v>
      </c>
      <c r="Y2701" s="11" t="s">
        <v>12359</v>
      </c>
      <c r="Z2701" s="11">
        <v>20</v>
      </c>
      <c r="AA2701" s="11">
        <v>0</v>
      </c>
      <c r="AB2701" s="12">
        <v>0</v>
      </c>
    </row>
    <row r="2702" spans="1:28" x14ac:dyDescent="0.2">
      <c r="A2702" s="7">
        <v>107229</v>
      </c>
      <c r="B2702" s="8" t="s">
        <v>17448</v>
      </c>
      <c r="C2702" s="8" t="s">
        <v>17449</v>
      </c>
      <c r="D2702" s="8" t="s">
        <v>17450</v>
      </c>
      <c r="E2702" s="8"/>
      <c r="F2702" s="8" t="s">
        <v>353</v>
      </c>
      <c r="G2702" s="8" t="s">
        <v>17451</v>
      </c>
      <c r="H2702" s="8" t="s">
        <v>142</v>
      </c>
      <c r="I2702" s="8" t="s">
        <v>17452</v>
      </c>
      <c r="J2702" s="8" t="s">
        <v>17453</v>
      </c>
      <c r="K2702" s="8" t="s">
        <v>1673</v>
      </c>
      <c r="L2702" s="8" t="s">
        <v>464</v>
      </c>
      <c r="M2702" s="8" t="s">
        <v>17454</v>
      </c>
      <c r="N2702" s="8" t="s">
        <v>128</v>
      </c>
      <c r="O2702" s="8" t="s">
        <v>17455</v>
      </c>
      <c r="P2702" s="8" t="s">
        <v>10444</v>
      </c>
      <c r="Q2702" s="8" t="s">
        <v>150</v>
      </c>
      <c r="R2702" s="8"/>
      <c r="S2702" s="8" t="s">
        <v>71</v>
      </c>
      <c r="T2702" s="8" t="s">
        <v>168</v>
      </c>
      <c r="U2702" s="8" t="s">
        <v>150</v>
      </c>
      <c r="V2702" s="8" t="s">
        <v>168</v>
      </c>
      <c r="W2702" s="8" t="s">
        <v>168</v>
      </c>
      <c r="X2702" s="8">
        <v>9</v>
      </c>
      <c r="Y2702" s="8" t="s">
        <v>12359</v>
      </c>
      <c r="Z2702" s="8">
        <v>20</v>
      </c>
      <c r="AA2702" s="8">
        <v>0</v>
      </c>
      <c r="AB2702" s="9">
        <v>0</v>
      </c>
    </row>
    <row r="2703" spans="1:28" x14ac:dyDescent="0.2">
      <c r="A2703" s="10">
        <v>28864</v>
      </c>
      <c r="B2703" s="11" t="s">
        <v>17456</v>
      </c>
      <c r="C2703" s="11" t="s">
        <v>10421</v>
      </c>
      <c r="D2703" s="11" t="s">
        <v>1054</v>
      </c>
      <c r="E2703" s="11"/>
      <c r="F2703" s="11"/>
      <c r="G2703" s="11" t="s">
        <v>16929</v>
      </c>
      <c r="H2703" s="11" t="s">
        <v>142</v>
      </c>
      <c r="I2703" s="11"/>
      <c r="J2703" s="11" t="s">
        <v>17457</v>
      </c>
      <c r="K2703" s="11" t="s">
        <v>1673</v>
      </c>
      <c r="L2703" s="11" t="s">
        <v>464</v>
      </c>
      <c r="M2703" s="11" t="s">
        <v>17458</v>
      </c>
      <c r="N2703" s="11" t="s">
        <v>128</v>
      </c>
      <c r="O2703" s="11" t="s">
        <v>17459</v>
      </c>
      <c r="P2703" s="11" t="s">
        <v>235</v>
      </c>
      <c r="Q2703" s="11" t="s">
        <v>150</v>
      </c>
      <c r="R2703" s="11"/>
      <c r="S2703" s="11" t="s">
        <v>71</v>
      </c>
      <c r="T2703" s="11" t="s">
        <v>168</v>
      </c>
      <c r="U2703" s="11" t="s">
        <v>150</v>
      </c>
      <c r="V2703" s="11" t="s">
        <v>168</v>
      </c>
      <c r="W2703" s="11" t="s">
        <v>168</v>
      </c>
      <c r="X2703" s="11">
        <v>9</v>
      </c>
      <c r="Y2703" s="11" t="s">
        <v>12359</v>
      </c>
      <c r="Z2703" s="11">
        <v>20</v>
      </c>
      <c r="AA2703" s="11">
        <v>0</v>
      </c>
      <c r="AB2703" s="12">
        <v>0</v>
      </c>
    </row>
    <row r="2704" spans="1:28" x14ac:dyDescent="0.2">
      <c r="A2704" s="7">
        <v>117179</v>
      </c>
      <c r="B2704" s="8" t="s">
        <v>17460</v>
      </c>
      <c r="C2704" s="8" t="s">
        <v>10572</v>
      </c>
      <c r="D2704" s="8" t="s">
        <v>10573</v>
      </c>
      <c r="E2704" s="8"/>
      <c r="F2704" s="8" t="s">
        <v>3819</v>
      </c>
      <c r="G2704" s="8" t="s">
        <v>328</v>
      </c>
      <c r="H2704" s="8" t="s">
        <v>329</v>
      </c>
      <c r="I2704" s="8" t="s">
        <v>10574</v>
      </c>
      <c r="J2704" s="8" t="s">
        <v>17461</v>
      </c>
      <c r="K2704" s="8" t="s">
        <v>431</v>
      </c>
      <c r="L2704" s="8" t="s">
        <v>333</v>
      </c>
      <c r="M2704" s="8" t="s">
        <v>17462</v>
      </c>
      <c r="N2704" s="8" t="s">
        <v>128</v>
      </c>
      <c r="O2704" s="8" t="s">
        <v>17463</v>
      </c>
      <c r="P2704" s="8" t="s">
        <v>17464</v>
      </c>
      <c r="Q2704" s="8" t="s">
        <v>150</v>
      </c>
      <c r="R2704" s="8"/>
      <c r="S2704" s="8" t="s">
        <v>71</v>
      </c>
      <c r="T2704" s="8" t="s">
        <v>168</v>
      </c>
      <c r="U2704" s="8" t="s">
        <v>150</v>
      </c>
      <c r="V2704" s="8" t="s">
        <v>168</v>
      </c>
      <c r="W2704" s="8" t="s">
        <v>168</v>
      </c>
      <c r="X2704" s="8">
        <v>9</v>
      </c>
      <c r="Y2704" s="8" t="s">
        <v>12359</v>
      </c>
      <c r="Z2704" s="8">
        <v>20</v>
      </c>
      <c r="AA2704" s="8">
        <v>0</v>
      </c>
      <c r="AB2704" s="9">
        <v>0</v>
      </c>
    </row>
    <row r="2705" spans="1:28" x14ac:dyDescent="0.2">
      <c r="A2705" s="10">
        <v>29001</v>
      </c>
      <c r="B2705" s="11" t="s">
        <v>17465</v>
      </c>
      <c r="C2705" s="11" t="s">
        <v>7307</v>
      </c>
      <c r="D2705" s="11" t="s">
        <v>1980</v>
      </c>
      <c r="E2705" s="11"/>
      <c r="F2705" s="11" t="s">
        <v>11898</v>
      </c>
      <c r="G2705" s="11" t="s">
        <v>6409</v>
      </c>
      <c r="H2705" s="11" t="s">
        <v>6410</v>
      </c>
      <c r="I2705" s="11" t="s">
        <v>17466</v>
      </c>
      <c r="J2705" s="11" t="s">
        <v>17467</v>
      </c>
      <c r="K2705" s="11" t="s">
        <v>1956</v>
      </c>
      <c r="L2705" s="11" t="s">
        <v>526</v>
      </c>
      <c r="M2705" s="11" t="s">
        <v>17468</v>
      </c>
      <c r="N2705" s="11" t="s">
        <v>128</v>
      </c>
      <c r="O2705" s="11" t="s">
        <v>17469</v>
      </c>
      <c r="P2705" s="11"/>
      <c r="Q2705" s="11" t="s">
        <v>150</v>
      </c>
      <c r="R2705" s="11"/>
      <c r="S2705" s="11" t="s">
        <v>71</v>
      </c>
      <c r="T2705" s="11" t="s">
        <v>13491</v>
      </c>
      <c r="U2705" s="11" t="s">
        <v>150</v>
      </c>
      <c r="V2705" s="11" t="s">
        <v>13491</v>
      </c>
      <c r="W2705" s="11" t="s">
        <v>13491</v>
      </c>
      <c r="X2705" s="11">
        <v>9</v>
      </c>
      <c r="Y2705" s="11" t="s">
        <v>12359</v>
      </c>
      <c r="Z2705" s="11">
        <v>20</v>
      </c>
      <c r="AA2705" s="11">
        <v>0</v>
      </c>
      <c r="AB2705" s="12">
        <v>0</v>
      </c>
    </row>
    <row r="2706" spans="1:28" x14ac:dyDescent="0.2">
      <c r="A2706" s="7">
        <v>118247</v>
      </c>
      <c r="B2706" s="8" t="s">
        <v>17470</v>
      </c>
      <c r="C2706" s="8" t="s">
        <v>17471</v>
      </c>
      <c r="D2706" s="8" t="s">
        <v>1064</v>
      </c>
      <c r="E2706" s="8"/>
      <c r="F2706" s="8" t="s">
        <v>17472</v>
      </c>
      <c r="G2706" s="8" t="s">
        <v>4270</v>
      </c>
      <c r="H2706" s="8" t="s">
        <v>4271</v>
      </c>
      <c r="I2706" s="8" t="s">
        <v>17473</v>
      </c>
      <c r="J2706" s="8" t="s">
        <v>17474</v>
      </c>
      <c r="K2706" s="8" t="s">
        <v>619</v>
      </c>
      <c r="L2706" s="8" t="s">
        <v>163</v>
      </c>
      <c r="M2706" s="8" t="s">
        <v>17475</v>
      </c>
      <c r="N2706" s="8" t="s">
        <v>128</v>
      </c>
      <c r="O2706" s="8" t="s">
        <v>17476</v>
      </c>
      <c r="P2706" s="8"/>
      <c r="Q2706" s="8" t="s">
        <v>150</v>
      </c>
      <c r="R2706" s="8"/>
      <c r="S2706" s="8" t="s">
        <v>71</v>
      </c>
      <c r="T2706" s="8" t="s">
        <v>17477</v>
      </c>
      <c r="U2706" s="8" t="s">
        <v>150</v>
      </c>
      <c r="V2706" s="8" t="s">
        <v>17477</v>
      </c>
      <c r="W2706" s="8" t="s">
        <v>17477</v>
      </c>
      <c r="X2706" s="8">
        <v>9</v>
      </c>
      <c r="Y2706" s="8" t="s">
        <v>12359</v>
      </c>
      <c r="Z2706" s="8">
        <v>20</v>
      </c>
      <c r="AA2706" s="8">
        <v>0</v>
      </c>
      <c r="AB2706" s="9">
        <v>0</v>
      </c>
    </row>
    <row r="2707" spans="1:28" x14ac:dyDescent="0.2">
      <c r="A2707" s="10">
        <v>24592</v>
      </c>
      <c r="B2707" s="11" t="s">
        <v>17478</v>
      </c>
      <c r="C2707" s="11" t="s">
        <v>4777</v>
      </c>
      <c r="D2707" s="11" t="s">
        <v>11956</v>
      </c>
      <c r="E2707" s="11" t="s">
        <v>17479</v>
      </c>
      <c r="F2707" s="11" t="s">
        <v>11958</v>
      </c>
      <c r="G2707" s="11" t="s">
        <v>328</v>
      </c>
      <c r="H2707" s="11" t="s">
        <v>329</v>
      </c>
      <c r="I2707" s="11" t="s">
        <v>11959</v>
      </c>
      <c r="J2707" s="11" t="s">
        <v>11960</v>
      </c>
      <c r="K2707" s="11" t="s">
        <v>572</v>
      </c>
      <c r="L2707" s="11" t="s">
        <v>333</v>
      </c>
      <c r="M2707" s="11" t="s">
        <v>17480</v>
      </c>
      <c r="N2707" s="11" t="s">
        <v>128</v>
      </c>
      <c r="O2707" s="11" t="s">
        <v>17481</v>
      </c>
      <c r="P2707" s="11" t="s">
        <v>15643</v>
      </c>
      <c r="Q2707" s="11" t="s">
        <v>150</v>
      </c>
      <c r="R2707" s="11"/>
      <c r="S2707" s="11" t="s">
        <v>11964</v>
      </c>
      <c r="T2707" s="11" t="s">
        <v>69</v>
      </c>
      <c r="U2707" s="11" t="s">
        <v>150</v>
      </c>
      <c r="V2707" s="11" t="s">
        <v>152</v>
      </c>
      <c r="W2707" s="11" t="s">
        <v>69</v>
      </c>
      <c r="X2707" s="11">
        <v>9</v>
      </c>
      <c r="Y2707" s="11" t="s">
        <v>12359</v>
      </c>
      <c r="Z2707" s="11">
        <v>20</v>
      </c>
      <c r="AA2707" s="11">
        <v>0</v>
      </c>
      <c r="AB2707" s="12">
        <v>0</v>
      </c>
    </row>
    <row r="2708" spans="1:28" x14ac:dyDescent="0.2">
      <c r="A2708" s="7">
        <v>24616</v>
      </c>
      <c r="B2708" s="8" t="s">
        <v>17482</v>
      </c>
      <c r="C2708" s="8" t="s">
        <v>17385</v>
      </c>
      <c r="D2708" s="8" t="s">
        <v>17386</v>
      </c>
      <c r="E2708" s="8" t="s">
        <v>17483</v>
      </c>
      <c r="F2708" s="8" t="s">
        <v>15668</v>
      </c>
      <c r="G2708" s="8" t="s">
        <v>2992</v>
      </c>
      <c r="H2708" s="8" t="s">
        <v>122</v>
      </c>
      <c r="I2708" s="8" t="s">
        <v>17387</v>
      </c>
      <c r="J2708" s="8" t="s">
        <v>17388</v>
      </c>
      <c r="K2708" s="8" t="s">
        <v>125</v>
      </c>
      <c r="L2708" s="8" t="s">
        <v>126</v>
      </c>
      <c r="M2708" s="8" t="s">
        <v>17484</v>
      </c>
      <c r="N2708" s="8" t="s">
        <v>128</v>
      </c>
      <c r="O2708" s="8" t="s">
        <v>17485</v>
      </c>
      <c r="P2708" s="8" t="s">
        <v>3710</v>
      </c>
      <c r="Q2708" s="8" t="s">
        <v>150</v>
      </c>
      <c r="R2708" s="8"/>
      <c r="S2708" s="8" t="s">
        <v>17392</v>
      </c>
      <c r="T2708" s="8" t="s">
        <v>69</v>
      </c>
      <c r="U2708" s="8" t="s">
        <v>150</v>
      </c>
      <c r="V2708" s="8" t="s">
        <v>152</v>
      </c>
      <c r="W2708" s="8" t="s">
        <v>69</v>
      </c>
      <c r="X2708" s="8">
        <v>9</v>
      </c>
      <c r="Y2708" s="8" t="s">
        <v>12359</v>
      </c>
      <c r="Z2708" s="8">
        <v>20</v>
      </c>
      <c r="AA2708" s="8">
        <v>0</v>
      </c>
      <c r="AB2708" s="9">
        <v>0</v>
      </c>
    </row>
    <row r="2709" spans="1:28" x14ac:dyDescent="0.2">
      <c r="A2709" s="10">
        <v>30192</v>
      </c>
      <c r="B2709" s="11" t="s">
        <v>17486</v>
      </c>
      <c r="C2709" s="11" t="s">
        <v>4010</v>
      </c>
      <c r="D2709" s="11" t="s">
        <v>4913</v>
      </c>
      <c r="E2709" s="11"/>
      <c r="F2709" s="11"/>
      <c r="G2709" s="11" t="s">
        <v>4012</v>
      </c>
      <c r="H2709" s="11" t="s">
        <v>671</v>
      </c>
      <c r="I2709" s="11" t="s">
        <v>4013</v>
      </c>
      <c r="J2709" s="11" t="s">
        <v>17487</v>
      </c>
      <c r="K2709" s="11" t="s">
        <v>572</v>
      </c>
      <c r="L2709" s="11" t="s">
        <v>333</v>
      </c>
      <c r="M2709" s="11" t="s">
        <v>17488</v>
      </c>
      <c r="N2709" s="11" t="s">
        <v>128</v>
      </c>
      <c r="O2709" s="11" t="s">
        <v>17489</v>
      </c>
      <c r="P2709" s="11" t="s">
        <v>6368</v>
      </c>
      <c r="Q2709" s="11" t="s">
        <v>150</v>
      </c>
      <c r="R2709" s="11"/>
      <c r="S2709" s="11" t="s">
        <v>71</v>
      </c>
      <c r="T2709" s="11" t="s">
        <v>69</v>
      </c>
      <c r="U2709" s="11" t="s">
        <v>150</v>
      </c>
      <c r="V2709" s="11" t="s">
        <v>152</v>
      </c>
      <c r="W2709" s="11" t="s">
        <v>69</v>
      </c>
      <c r="X2709" s="11">
        <v>9</v>
      </c>
      <c r="Y2709" s="11" t="s">
        <v>12359</v>
      </c>
      <c r="Z2709" s="11">
        <v>20</v>
      </c>
      <c r="AA2709" s="11">
        <v>0</v>
      </c>
      <c r="AB2709" s="12">
        <v>0</v>
      </c>
    </row>
    <row r="2710" spans="1:28" x14ac:dyDescent="0.2">
      <c r="A2710" s="7">
        <v>24878</v>
      </c>
      <c r="B2710" s="8" t="s">
        <v>17490</v>
      </c>
      <c r="C2710" s="8" t="s">
        <v>1723</v>
      </c>
      <c r="D2710" s="8" t="s">
        <v>1724</v>
      </c>
      <c r="E2710" s="8" t="s">
        <v>17491</v>
      </c>
      <c r="F2710" s="8" t="s">
        <v>1726</v>
      </c>
      <c r="G2710" s="8" t="s">
        <v>1727</v>
      </c>
      <c r="H2710" s="8" t="s">
        <v>557</v>
      </c>
      <c r="I2710" s="8" t="s">
        <v>1728</v>
      </c>
      <c r="J2710" s="8" t="s">
        <v>1729</v>
      </c>
      <c r="K2710" s="8" t="s">
        <v>1562</v>
      </c>
      <c r="L2710" s="8" t="s">
        <v>229</v>
      </c>
      <c r="M2710" s="8" t="s">
        <v>17492</v>
      </c>
      <c r="N2710" s="8" t="s">
        <v>128</v>
      </c>
      <c r="O2710" s="8" t="s">
        <v>17493</v>
      </c>
      <c r="P2710" s="8" t="s">
        <v>698</v>
      </c>
      <c r="Q2710" s="8" t="s">
        <v>150</v>
      </c>
      <c r="R2710" s="8"/>
      <c r="S2710" s="8" t="s">
        <v>1732</v>
      </c>
      <c r="T2710" s="8" t="s">
        <v>1738</v>
      </c>
      <c r="U2710" s="8" t="s">
        <v>150</v>
      </c>
      <c r="V2710" s="8" t="s">
        <v>1738</v>
      </c>
      <c r="W2710" s="8" t="s">
        <v>1738</v>
      </c>
      <c r="X2710" s="8">
        <v>9</v>
      </c>
      <c r="Y2710" s="8" t="s">
        <v>12359</v>
      </c>
      <c r="Z2710" s="8">
        <v>20</v>
      </c>
      <c r="AA2710" s="8">
        <v>0</v>
      </c>
      <c r="AB2710" s="9">
        <v>0</v>
      </c>
    </row>
    <row r="2711" spans="1:28" x14ac:dyDescent="0.2">
      <c r="A2711" s="10">
        <v>24946</v>
      </c>
      <c r="B2711" s="11" t="s">
        <v>17494</v>
      </c>
      <c r="C2711" s="11" t="s">
        <v>1809</v>
      </c>
      <c r="D2711" s="11" t="s">
        <v>1810</v>
      </c>
      <c r="E2711" s="11" t="s">
        <v>17495</v>
      </c>
      <c r="F2711" s="11" t="s">
        <v>1812</v>
      </c>
      <c r="G2711" s="11" t="s">
        <v>1813</v>
      </c>
      <c r="H2711" s="11" t="s">
        <v>142</v>
      </c>
      <c r="I2711" s="11" t="s">
        <v>1814</v>
      </c>
      <c r="J2711" s="11" t="s">
        <v>1815</v>
      </c>
      <c r="K2711" s="11" t="s">
        <v>974</v>
      </c>
      <c r="L2711" s="11" t="s">
        <v>146</v>
      </c>
      <c r="M2711" s="11" t="s">
        <v>17496</v>
      </c>
      <c r="N2711" s="11" t="s">
        <v>128</v>
      </c>
      <c r="O2711" s="11" t="s">
        <v>17497</v>
      </c>
      <c r="P2711" s="11" t="s">
        <v>17498</v>
      </c>
      <c r="Q2711" s="11" t="s">
        <v>150</v>
      </c>
      <c r="R2711" s="11"/>
      <c r="S2711" s="11" t="s">
        <v>1819</v>
      </c>
      <c r="T2711" s="11" t="s">
        <v>1738</v>
      </c>
      <c r="U2711" s="11" t="s">
        <v>150</v>
      </c>
      <c r="V2711" s="11" t="s">
        <v>1738</v>
      </c>
      <c r="W2711" s="11" t="s">
        <v>1738</v>
      </c>
      <c r="X2711" s="11">
        <v>9</v>
      </c>
      <c r="Y2711" s="11" t="s">
        <v>12359</v>
      </c>
      <c r="Z2711" s="11">
        <v>20</v>
      </c>
      <c r="AA2711" s="11">
        <v>0</v>
      </c>
      <c r="AB2711" s="12">
        <v>0</v>
      </c>
    </row>
    <row r="2712" spans="1:28" x14ac:dyDescent="0.2">
      <c r="A2712" s="7">
        <v>24989</v>
      </c>
      <c r="B2712" s="8" t="s">
        <v>17499</v>
      </c>
      <c r="C2712" s="8" t="s">
        <v>1361</v>
      </c>
      <c r="D2712" s="8" t="s">
        <v>1362</v>
      </c>
      <c r="E2712" s="8" t="s">
        <v>281</v>
      </c>
      <c r="F2712" s="8" t="s">
        <v>17500</v>
      </c>
      <c r="G2712" s="8" t="s">
        <v>1364</v>
      </c>
      <c r="H2712" s="8" t="s">
        <v>329</v>
      </c>
      <c r="I2712" s="8" t="s">
        <v>1455</v>
      </c>
      <c r="J2712" s="8" t="s">
        <v>17501</v>
      </c>
      <c r="K2712" s="8" t="s">
        <v>431</v>
      </c>
      <c r="L2712" s="8" t="s">
        <v>333</v>
      </c>
      <c r="M2712" s="8" t="s">
        <v>17502</v>
      </c>
      <c r="N2712" s="8" t="s">
        <v>128</v>
      </c>
      <c r="O2712" s="8" t="s">
        <v>17503</v>
      </c>
      <c r="P2712" s="8" t="s">
        <v>17504</v>
      </c>
      <c r="Q2712" s="8" t="s">
        <v>150</v>
      </c>
      <c r="R2712" s="8"/>
      <c r="S2712" s="8" t="s">
        <v>1370</v>
      </c>
      <c r="T2712" s="8" t="s">
        <v>1738</v>
      </c>
      <c r="U2712" s="8" t="s">
        <v>150</v>
      </c>
      <c r="V2712" s="8" t="s">
        <v>1738</v>
      </c>
      <c r="W2712" s="8" t="s">
        <v>1738</v>
      </c>
      <c r="X2712" s="8">
        <v>9</v>
      </c>
      <c r="Y2712" s="8" t="s">
        <v>12359</v>
      </c>
      <c r="Z2712" s="8">
        <v>20</v>
      </c>
      <c r="AA2712" s="8">
        <v>0</v>
      </c>
      <c r="AB2712" s="9">
        <v>0</v>
      </c>
    </row>
    <row r="2713" spans="1:28" x14ac:dyDescent="0.2">
      <c r="A2713" s="10">
        <v>114643</v>
      </c>
      <c r="B2713" s="11" t="s">
        <v>17505</v>
      </c>
      <c r="C2713" s="11" t="s">
        <v>4844</v>
      </c>
      <c r="D2713" s="11" t="s">
        <v>4845</v>
      </c>
      <c r="E2713" s="11"/>
      <c r="F2713" s="11" t="s">
        <v>4847</v>
      </c>
      <c r="G2713" s="11" t="s">
        <v>141</v>
      </c>
      <c r="H2713" s="11" t="s">
        <v>142</v>
      </c>
      <c r="I2713" s="11" t="s">
        <v>4848</v>
      </c>
      <c r="J2713" s="11" t="s">
        <v>4849</v>
      </c>
      <c r="K2713" s="11" t="s">
        <v>584</v>
      </c>
      <c r="L2713" s="11" t="s">
        <v>146</v>
      </c>
      <c r="M2713" s="11" t="s">
        <v>17506</v>
      </c>
      <c r="N2713" s="11" t="s">
        <v>128</v>
      </c>
      <c r="O2713" s="11" t="s">
        <v>17507</v>
      </c>
      <c r="P2713" s="11" t="s">
        <v>17508</v>
      </c>
      <c r="Q2713" s="11" t="s">
        <v>150</v>
      </c>
      <c r="R2713" s="11"/>
      <c r="S2713" s="11" t="s">
        <v>4853</v>
      </c>
      <c r="T2713" s="11" t="s">
        <v>1738</v>
      </c>
      <c r="U2713" s="11" t="s">
        <v>150</v>
      </c>
      <c r="V2713" s="11" t="s">
        <v>1738</v>
      </c>
      <c r="W2713" s="11" t="s">
        <v>1738</v>
      </c>
      <c r="X2713" s="11">
        <v>9</v>
      </c>
      <c r="Y2713" s="11" t="s">
        <v>12359</v>
      </c>
      <c r="Z2713" s="11">
        <v>20</v>
      </c>
      <c r="AA2713" s="11">
        <v>0</v>
      </c>
      <c r="AB2713" s="12">
        <v>0</v>
      </c>
    </row>
    <row r="2714" spans="1:28" x14ac:dyDescent="0.2">
      <c r="A2714" s="7">
        <v>24981</v>
      </c>
      <c r="B2714" s="8" t="s">
        <v>17509</v>
      </c>
      <c r="C2714" s="8" t="s">
        <v>16481</v>
      </c>
      <c r="D2714" s="8" t="s">
        <v>16482</v>
      </c>
      <c r="E2714" s="8"/>
      <c r="F2714" s="8" t="s">
        <v>17209</v>
      </c>
      <c r="G2714" s="8" t="s">
        <v>1438</v>
      </c>
      <c r="H2714" s="8" t="s">
        <v>122</v>
      </c>
      <c r="I2714" s="8" t="s">
        <v>17210</v>
      </c>
      <c r="J2714" s="8" t="s">
        <v>16486</v>
      </c>
      <c r="K2714" s="8" t="s">
        <v>125</v>
      </c>
      <c r="L2714" s="8" t="s">
        <v>126</v>
      </c>
      <c r="M2714" s="8" t="s">
        <v>17510</v>
      </c>
      <c r="N2714" s="8" t="s">
        <v>128</v>
      </c>
      <c r="O2714" s="8" t="s">
        <v>17511</v>
      </c>
      <c r="P2714" s="8" t="s">
        <v>17512</v>
      </c>
      <c r="Q2714" s="8" t="s">
        <v>150</v>
      </c>
      <c r="R2714" s="8"/>
      <c r="S2714" s="8" t="s">
        <v>16489</v>
      </c>
      <c r="T2714" s="8" t="s">
        <v>1738</v>
      </c>
      <c r="U2714" s="8" t="s">
        <v>150</v>
      </c>
      <c r="V2714" s="8" t="s">
        <v>1738</v>
      </c>
      <c r="W2714" s="8" t="s">
        <v>1738</v>
      </c>
      <c r="X2714" s="8">
        <v>9</v>
      </c>
      <c r="Y2714" s="8" t="s">
        <v>12359</v>
      </c>
      <c r="Z2714" s="8">
        <v>20</v>
      </c>
      <c r="AA2714" s="8">
        <v>0</v>
      </c>
      <c r="AB2714" s="9">
        <v>0</v>
      </c>
    </row>
    <row r="2715" spans="1:28" x14ac:dyDescent="0.2">
      <c r="A2715" s="10">
        <v>30978</v>
      </c>
      <c r="B2715" s="11" t="s">
        <v>17513</v>
      </c>
      <c r="C2715" s="11" t="s">
        <v>10381</v>
      </c>
      <c r="D2715" s="11" t="s">
        <v>10382</v>
      </c>
      <c r="E2715" s="11"/>
      <c r="F2715" s="11" t="s">
        <v>8819</v>
      </c>
      <c r="G2715" s="11" t="s">
        <v>4012</v>
      </c>
      <c r="H2715" s="11" t="s">
        <v>671</v>
      </c>
      <c r="I2715" s="11" t="s">
        <v>10383</v>
      </c>
      <c r="J2715" s="11" t="s">
        <v>10384</v>
      </c>
      <c r="K2715" s="11" t="s">
        <v>572</v>
      </c>
      <c r="L2715" s="11" t="s">
        <v>333</v>
      </c>
      <c r="M2715" s="11" t="s">
        <v>17514</v>
      </c>
      <c r="N2715" s="11" t="s">
        <v>128</v>
      </c>
      <c r="O2715" s="11" t="s">
        <v>17515</v>
      </c>
      <c r="P2715" s="11"/>
      <c r="Q2715" s="11" t="s">
        <v>150</v>
      </c>
      <c r="R2715" s="11"/>
      <c r="S2715" s="11" t="s">
        <v>10388</v>
      </c>
      <c r="T2715" s="11" t="s">
        <v>13984</v>
      </c>
      <c r="U2715" s="11" t="s">
        <v>150</v>
      </c>
      <c r="V2715" s="11" t="s">
        <v>13984</v>
      </c>
      <c r="W2715" s="11" t="s">
        <v>13984</v>
      </c>
      <c r="X2715" s="11">
        <v>9</v>
      </c>
      <c r="Y2715" s="11" t="s">
        <v>12359</v>
      </c>
      <c r="Z2715" s="11">
        <v>20</v>
      </c>
      <c r="AA2715" s="11">
        <v>0</v>
      </c>
      <c r="AB2715" s="12">
        <v>0</v>
      </c>
    </row>
    <row r="2716" spans="1:28" x14ac:dyDescent="0.2">
      <c r="A2716" s="7">
        <v>116650</v>
      </c>
      <c r="B2716" s="8" t="s">
        <v>17516</v>
      </c>
      <c r="C2716" s="8" t="s">
        <v>9824</v>
      </c>
      <c r="D2716" s="8" t="s">
        <v>9825</v>
      </c>
      <c r="E2716" s="8"/>
      <c r="F2716" s="8" t="s">
        <v>9826</v>
      </c>
      <c r="G2716" s="8" t="s">
        <v>1852</v>
      </c>
      <c r="H2716" s="8" t="s">
        <v>671</v>
      </c>
      <c r="I2716" s="8" t="s">
        <v>17517</v>
      </c>
      <c r="J2716" s="8" t="s">
        <v>9828</v>
      </c>
      <c r="K2716" s="8" t="s">
        <v>572</v>
      </c>
      <c r="L2716" s="8" t="s">
        <v>333</v>
      </c>
      <c r="M2716" s="8" t="s">
        <v>17518</v>
      </c>
      <c r="N2716" s="8" t="s">
        <v>128</v>
      </c>
      <c r="O2716" s="8" t="s">
        <v>17519</v>
      </c>
      <c r="P2716" s="8"/>
      <c r="Q2716" s="8" t="s">
        <v>150</v>
      </c>
      <c r="R2716" s="8"/>
      <c r="S2716" s="8" t="s">
        <v>9832</v>
      </c>
      <c r="T2716" s="8" t="s">
        <v>13984</v>
      </c>
      <c r="U2716" s="8" t="s">
        <v>150</v>
      </c>
      <c r="V2716" s="8" t="s">
        <v>13984</v>
      </c>
      <c r="W2716" s="8" t="s">
        <v>13984</v>
      </c>
      <c r="X2716" s="8">
        <v>9</v>
      </c>
      <c r="Y2716" s="8" t="s">
        <v>12359</v>
      </c>
      <c r="Z2716" s="8">
        <v>20</v>
      </c>
      <c r="AA2716" s="8">
        <v>0</v>
      </c>
      <c r="AB2716" s="9">
        <v>0</v>
      </c>
    </row>
    <row r="2717" spans="1:28" x14ac:dyDescent="0.2">
      <c r="A2717" s="10">
        <v>106601</v>
      </c>
      <c r="B2717" s="11" t="s">
        <v>17520</v>
      </c>
      <c r="C2717" s="11" t="s">
        <v>16139</v>
      </c>
      <c r="D2717" s="11" t="s">
        <v>17521</v>
      </c>
      <c r="E2717" s="11"/>
      <c r="F2717" s="11" t="s">
        <v>353</v>
      </c>
      <c r="G2717" s="11" t="s">
        <v>3484</v>
      </c>
      <c r="H2717" s="11" t="s">
        <v>671</v>
      </c>
      <c r="I2717" s="11" t="s">
        <v>17522</v>
      </c>
      <c r="J2717" s="11" t="s">
        <v>17523</v>
      </c>
      <c r="K2717" s="11" t="s">
        <v>572</v>
      </c>
      <c r="L2717" s="11" t="s">
        <v>333</v>
      </c>
      <c r="M2717" s="11" t="s">
        <v>17524</v>
      </c>
      <c r="N2717" s="11" t="s">
        <v>128</v>
      </c>
      <c r="O2717" s="11" t="s">
        <v>17525</v>
      </c>
      <c r="P2717" s="11"/>
      <c r="Q2717" s="11" t="s">
        <v>150</v>
      </c>
      <c r="R2717" s="11"/>
      <c r="S2717" s="11" t="s">
        <v>71</v>
      </c>
      <c r="T2717" s="11" t="s">
        <v>13984</v>
      </c>
      <c r="U2717" s="11" t="s">
        <v>150</v>
      </c>
      <c r="V2717" s="11" t="s">
        <v>13984</v>
      </c>
      <c r="W2717" s="11" t="s">
        <v>13984</v>
      </c>
      <c r="X2717" s="11">
        <v>9</v>
      </c>
      <c r="Y2717" s="11" t="s">
        <v>12359</v>
      </c>
      <c r="Z2717" s="11">
        <v>20</v>
      </c>
      <c r="AA2717" s="11">
        <v>0</v>
      </c>
      <c r="AB2717" s="12">
        <v>0</v>
      </c>
    </row>
    <row r="2718" spans="1:28" x14ac:dyDescent="0.2">
      <c r="A2718" s="7">
        <v>30974</v>
      </c>
      <c r="B2718" s="8" t="s">
        <v>17526</v>
      </c>
      <c r="C2718" s="8" t="s">
        <v>17527</v>
      </c>
      <c r="D2718" s="8" t="s">
        <v>5947</v>
      </c>
      <c r="E2718" s="8"/>
      <c r="F2718" s="8"/>
      <c r="G2718" s="8" t="s">
        <v>1852</v>
      </c>
      <c r="H2718" s="8" t="s">
        <v>671</v>
      </c>
      <c r="I2718" s="8" t="s">
        <v>17528</v>
      </c>
      <c r="J2718" s="8" t="s">
        <v>17529</v>
      </c>
      <c r="K2718" s="8" t="s">
        <v>572</v>
      </c>
      <c r="L2718" s="8" t="s">
        <v>333</v>
      </c>
      <c r="M2718" s="8" t="s">
        <v>17530</v>
      </c>
      <c r="N2718" s="8" t="s">
        <v>128</v>
      </c>
      <c r="O2718" s="8" t="s">
        <v>17531</v>
      </c>
      <c r="P2718" s="8"/>
      <c r="Q2718" s="8" t="s">
        <v>150</v>
      </c>
      <c r="R2718" s="8"/>
      <c r="S2718" s="8" t="s">
        <v>71</v>
      </c>
      <c r="T2718" s="8" t="s">
        <v>13984</v>
      </c>
      <c r="U2718" s="8" t="s">
        <v>150</v>
      </c>
      <c r="V2718" s="8" t="s">
        <v>13984</v>
      </c>
      <c r="W2718" s="8" t="s">
        <v>13984</v>
      </c>
      <c r="X2718" s="8">
        <v>9</v>
      </c>
      <c r="Y2718" s="8" t="s">
        <v>12359</v>
      </c>
      <c r="Z2718" s="8">
        <v>20</v>
      </c>
      <c r="AA2718" s="8">
        <v>0</v>
      </c>
      <c r="AB2718" s="9">
        <v>0</v>
      </c>
    </row>
    <row r="2719" spans="1:28" x14ac:dyDescent="0.2">
      <c r="A2719" s="10">
        <v>107228</v>
      </c>
      <c r="B2719" s="11" t="s">
        <v>17532</v>
      </c>
      <c r="C2719" s="11" t="s">
        <v>7009</v>
      </c>
      <c r="D2719" s="11" t="s">
        <v>7010</v>
      </c>
      <c r="E2719" s="11"/>
      <c r="F2719" s="11" t="s">
        <v>7011</v>
      </c>
      <c r="G2719" s="11" t="s">
        <v>328</v>
      </c>
      <c r="H2719" s="11" t="s">
        <v>329</v>
      </c>
      <c r="I2719" s="11" t="s">
        <v>17197</v>
      </c>
      <c r="J2719" s="11" t="s">
        <v>7013</v>
      </c>
      <c r="K2719" s="11" t="s">
        <v>332</v>
      </c>
      <c r="L2719" s="11" t="s">
        <v>333</v>
      </c>
      <c r="M2719" s="11" t="s">
        <v>17533</v>
      </c>
      <c r="N2719" s="11" t="s">
        <v>128</v>
      </c>
      <c r="O2719" s="11" t="s">
        <v>17534</v>
      </c>
      <c r="P2719" s="11"/>
      <c r="Q2719" s="11" t="s">
        <v>150</v>
      </c>
      <c r="R2719" s="11"/>
      <c r="S2719" s="11" t="s">
        <v>7017</v>
      </c>
      <c r="T2719" s="11" t="s">
        <v>4755</v>
      </c>
      <c r="U2719" s="11" t="s">
        <v>150</v>
      </c>
      <c r="V2719" s="11" t="s">
        <v>4755</v>
      </c>
      <c r="W2719" s="11" t="s">
        <v>4755</v>
      </c>
      <c r="X2719" s="11">
        <v>9</v>
      </c>
      <c r="Y2719" s="11" t="s">
        <v>12359</v>
      </c>
      <c r="Z2719" s="11">
        <v>20</v>
      </c>
      <c r="AA2719" s="11">
        <v>0</v>
      </c>
      <c r="AB2719" s="12">
        <v>0</v>
      </c>
    </row>
    <row r="2720" spans="1:28" x14ac:dyDescent="0.2">
      <c r="A2720" s="7">
        <v>25659</v>
      </c>
      <c r="B2720" s="8" t="s">
        <v>17535</v>
      </c>
      <c r="C2720" s="8" t="s">
        <v>13187</v>
      </c>
      <c r="D2720" s="8" t="s">
        <v>13188</v>
      </c>
      <c r="E2720" s="8" t="s">
        <v>281</v>
      </c>
      <c r="F2720" s="8" t="s">
        <v>13190</v>
      </c>
      <c r="G2720" s="8" t="s">
        <v>2117</v>
      </c>
      <c r="H2720" s="8" t="s">
        <v>142</v>
      </c>
      <c r="I2720" s="8" t="s">
        <v>13191</v>
      </c>
      <c r="J2720" s="8" t="s">
        <v>17536</v>
      </c>
      <c r="K2720" s="8" t="s">
        <v>1673</v>
      </c>
      <c r="L2720" s="8" t="s">
        <v>464</v>
      </c>
      <c r="M2720" s="8" t="s">
        <v>17537</v>
      </c>
      <c r="N2720" s="8" t="s">
        <v>128</v>
      </c>
      <c r="O2720" s="8" t="s">
        <v>17538</v>
      </c>
      <c r="P2720" s="8"/>
      <c r="Q2720" s="8" t="s">
        <v>740</v>
      </c>
      <c r="R2720" s="8"/>
      <c r="S2720" s="8" t="s">
        <v>13195</v>
      </c>
      <c r="T2720" s="8" t="s">
        <v>1745</v>
      </c>
      <c r="U2720" s="8" t="s">
        <v>134</v>
      </c>
      <c r="V2720" s="8" t="s">
        <v>740</v>
      </c>
      <c r="W2720" s="8" t="s">
        <v>1745</v>
      </c>
      <c r="X2720" s="8">
        <v>9</v>
      </c>
      <c r="Y2720" s="8" t="s">
        <v>12359</v>
      </c>
      <c r="Z2720" s="8">
        <v>20</v>
      </c>
      <c r="AA2720" s="8">
        <v>0</v>
      </c>
      <c r="AB2720" s="9">
        <v>0</v>
      </c>
    </row>
    <row r="2721" spans="1:28" x14ac:dyDescent="0.2">
      <c r="A2721" s="10">
        <v>85216</v>
      </c>
      <c r="B2721" s="11" t="s">
        <v>17539</v>
      </c>
      <c r="C2721" s="11" t="s">
        <v>12143</v>
      </c>
      <c r="D2721" s="11" t="s">
        <v>208</v>
      </c>
      <c r="E2721" s="11" t="s">
        <v>17540</v>
      </c>
      <c r="F2721" s="11" t="s">
        <v>12145</v>
      </c>
      <c r="G2721" s="11" t="s">
        <v>615</v>
      </c>
      <c r="H2721" s="11" t="s">
        <v>616</v>
      </c>
      <c r="I2721" s="11" t="s">
        <v>12146</v>
      </c>
      <c r="J2721" s="11" t="s">
        <v>17541</v>
      </c>
      <c r="K2721" s="11" t="s">
        <v>619</v>
      </c>
      <c r="L2721" s="11" t="s">
        <v>163</v>
      </c>
      <c r="M2721" s="11" t="s">
        <v>17542</v>
      </c>
      <c r="N2721" s="11" t="s">
        <v>128</v>
      </c>
      <c r="O2721" s="11" t="s">
        <v>17543</v>
      </c>
      <c r="P2721" s="11"/>
      <c r="Q2721" s="11" t="s">
        <v>740</v>
      </c>
      <c r="R2721" s="11"/>
      <c r="S2721" s="11" t="s">
        <v>12150</v>
      </c>
      <c r="T2721" s="11" t="s">
        <v>1745</v>
      </c>
      <c r="U2721" s="11" t="s">
        <v>134</v>
      </c>
      <c r="V2721" s="11" t="s">
        <v>740</v>
      </c>
      <c r="W2721" s="11" t="s">
        <v>1745</v>
      </c>
      <c r="X2721" s="11">
        <v>9</v>
      </c>
      <c r="Y2721" s="11" t="s">
        <v>12359</v>
      </c>
      <c r="Z2721" s="11">
        <v>20</v>
      </c>
      <c r="AA2721" s="11">
        <v>0</v>
      </c>
      <c r="AB2721" s="12">
        <v>0</v>
      </c>
    </row>
    <row r="2722" spans="1:28" x14ac:dyDescent="0.2">
      <c r="A2722" s="7">
        <v>25157</v>
      </c>
      <c r="B2722" s="8" t="s">
        <v>17544</v>
      </c>
      <c r="C2722" s="8" t="s">
        <v>3676</v>
      </c>
      <c r="D2722" s="8" t="s">
        <v>3677</v>
      </c>
      <c r="E2722" s="8" t="s">
        <v>17545</v>
      </c>
      <c r="F2722" s="8" t="s">
        <v>3678</v>
      </c>
      <c r="G2722" s="8" t="s">
        <v>141</v>
      </c>
      <c r="H2722" s="8" t="s">
        <v>142</v>
      </c>
      <c r="I2722" s="8" t="s">
        <v>3679</v>
      </c>
      <c r="J2722" s="8" t="s">
        <v>3680</v>
      </c>
      <c r="K2722" s="8" t="s">
        <v>584</v>
      </c>
      <c r="L2722" s="8" t="s">
        <v>146</v>
      </c>
      <c r="M2722" s="8" t="s">
        <v>17546</v>
      </c>
      <c r="N2722" s="8" t="s">
        <v>128</v>
      </c>
      <c r="O2722" s="8" t="s">
        <v>17547</v>
      </c>
      <c r="P2722" s="8" t="s">
        <v>17548</v>
      </c>
      <c r="Q2722" s="8" t="s">
        <v>740</v>
      </c>
      <c r="R2722" s="8"/>
      <c r="S2722" s="8" t="s">
        <v>3684</v>
      </c>
      <c r="T2722" s="8" t="s">
        <v>1745</v>
      </c>
      <c r="U2722" s="8" t="s">
        <v>134</v>
      </c>
      <c r="V2722" s="8" t="s">
        <v>740</v>
      </c>
      <c r="W2722" s="8" t="s">
        <v>1745</v>
      </c>
      <c r="X2722" s="8">
        <v>9</v>
      </c>
      <c r="Y2722" s="8" t="s">
        <v>12359</v>
      </c>
      <c r="Z2722" s="8">
        <v>20</v>
      </c>
      <c r="AA2722" s="8">
        <v>0</v>
      </c>
      <c r="AB2722" s="9">
        <v>0</v>
      </c>
    </row>
    <row r="2723" spans="1:28" x14ac:dyDescent="0.2">
      <c r="A2723" s="10">
        <v>25210</v>
      </c>
      <c r="B2723" s="11" t="s">
        <v>17549</v>
      </c>
      <c r="C2723" s="11" t="s">
        <v>6884</v>
      </c>
      <c r="D2723" s="11" t="s">
        <v>3116</v>
      </c>
      <c r="E2723" s="11" t="s">
        <v>5590</v>
      </c>
      <c r="F2723" s="11" t="s">
        <v>1658</v>
      </c>
      <c r="G2723" s="11" t="s">
        <v>141</v>
      </c>
      <c r="H2723" s="11" t="s">
        <v>142</v>
      </c>
      <c r="I2723" s="11" t="s">
        <v>6885</v>
      </c>
      <c r="J2723" s="11" t="s">
        <v>6886</v>
      </c>
      <c r="K2723" s="11" t="s">
        <v>145</v>
      </c>
      <c r="L2723" s="11" t="s">
        <v>146</v>
      </c>
      <c r="M2723" s="11" t="s">
        <v>17550</v>
      </c>
      <c r="N2723" s="11" t="s">
        <v>128</v>
      </c>
      <c r="O2723" s="11" t="s">
        <v>17551</v>
      </c>
      <c r="P2723" s="11" t="s">
        <v>17552</v>
      </c>
      <c r="Q2723" s="11" t="s">
        <v>740</v>
      </c>
      <c r="R2723" s="11"/>
      <c r="S2723" s="11" t="s">
        <v>6890</v>
      </c>
      <c r="T2723" s="11" t="s">
        <v>1745</v>
      </c>
      <c r="U2723" s="11" t="s">
        <v>134</v>
      </c>
      <c r="V2723" s="11" t="s">
        <v>740</v>
      </c>
      <c r="W2723" s="11" t="s">
        <v>1745</v>
      </c>
      <c r="X2723" s="11">
        <v>9</v>
      </c>
      <c r="Y2723" s="11" t="s">
        <v>12359</v>
      </c>
      <c r="Z2723" s="11">
        <v>20</v>
      </c>
      <c r="AA2723" s="11">
        <v>0</v>
      </c>
      <c r="AB2723" s="12">
        <v>0</v>
      </c>
    </row>
    <row r="2724" spans="1:28" x14ac:dyDescent="0.2">
      <c r="A2724" s="7">
        <v>107224</v>
      </c>
      <c r="B2724" s="8" t="s">
        <v>17553</v>
      </c>
      <c r="C2724" s="8" t="s">
        <v>7009</v>
      </c>
      <c r="D2724" s="8" t="s">
        <v>7010</v>
      </c>
      <c r="E2724" s="8" t="s">
        <v>17554</v>
      </c>
      <c r="F2724" s="8" t="s">
        <v>7011</v>
      </c>
      <c r="G2724" s="8" t="s">
        <v>328</v>
      </c>
      <c r="H2724" s="8" t="s">
        <v>329</v>
      </c>
      <c r="I2724" s="8" t="s">
        <v>17197</v>
      </c>
      <c r="J2724" s="8" t="s">
        <v>7013</v>
      </c>
      <c r="K2724" s="8" t="s">
        <v>332</v>
      </c>
      <c r="L2724" s="8" t="s">
        <v>333</v>
      </c>
      <c r="M2724" s="8" t="s">
        <v>17555</v>
      </c>
      <c r="N2724" s="8" t="s">
        <v>128</v>
      </c>
      <c r="O2724" s="8" t="s">
        <v>17556</v>
      </c>
      <c r="P2724" s="8" t="s">
        <v>17557</v>
      </c>
      <c r="Q2724" s="8" t="s">
        <v>740</v>
      </c>
      <c r="R2724" s="8"/>
      <c r="S2724" s="8" t="s">
        <v>7017</v>
      </c>
      <c r="T2724" s="8" t="s">
        <v>1745</v>
      </c>
      <c r="U2724" s="8" t="s">
        <v>134</v>
      </c>
      <c r="V2724" s="8" t="s">
        <v>740</v>
      </c>
      <c r="W2724" s="8" t="s">
        <v>1745</v>
      </c>
      <c r="X2724" s="8">
        <v>9</v>
      </c>
      <c r="Y2724" s="8" t="s">
        <v>12359</v>
      </c>
      <c r="Z2724" s="8">
        <v>20</v>
      </c>
      <c r="AA2724" s="8">
        <v>0</v>
      </c>
      <c r="AB2724" s="9">
        <v>0</v>
      </c>
    </row>
    <row r="2725" spans="1:28" x14ac:dyDescent="0.2">
      <c r="A2725" s="10">
        <v>212516</v>
      </c>
      <c r="B2725" s="11" t="s">
        <v>17558</v>
      </c>
      <c r="C2725" s="11" t="s">
        <v>13716</v>
      </c>
      <c r="D2725" s="11" t="s">
        <v>138</v>
      </c>
      <c r="E2725" s="11" t="s">
        <v>17559</v>
      </c>
      <c r="F2725" s="11" t="s">
        <v>17560</v>
      </c>
      <c r="G2725" s="11" t="s">
        <v>224</v>
      </c>
      <c r="H2725" s="11" t="s">
        <v>225</v>
      </c>
      <c r="I2725" s="11" t="s">
        <v>4240</v>
      </c>
      <c r="J2725" s="11" t="s">
        <v>13719</v>
      </c>
      <c r="K2725" s="11" t="s">
        <v>228</v>
      </c>
      <c r="L2725" s="11" t="s">
        <v>229</v>
      </c>
      <c r="M2725" s="11" t="s">
        <v>17561</v>
      </c>
      <c r="N2725" s="11" t="s">
        <v>128</v>
      </c>
      <c r="O2725" s="11" t="s">
        <v>17562</v>
      </c>
      <c r="P2725" s="11" t="s">
        <v>17563</v>
      </c>
      <c r="Q2725" s="11" t="s">
        <v>740</v>
      </c>
      <c r="R2725" s="11"/>
      <c r="S2725" s="11" t="s">
        <v>4244</v>
      </c>
      <c r="T2725" s="11" t="s">
        <v>1745</v>
      </c>
      <c r="U2725" s="11" t="s">
        <v>134</v>
      </c>
      <c r="V2725" s="11" t="s">
        <v>740</v>
      </c>
      <c r="W2725" s="11" t="s">
        <v>1745</v>
      </c>
      <c r="X2725" s="11">
        <v>9</v>
      </c>
      <c r="Y2725" s="11" t="s">
        <v>12359</v>
      </c>
      <c r="Z2725" s="11">
        <v>20</v>
      </c>
      <c r="AA2725" s="11">
        <v>0</v>
      </c>
      <c r="AB2725" s="12">
        <v>0</v>
      </c>
    </row>
    <row r="2726" spans="1:28" x14ac:dyDescent="0.2">
      <c r="A2726" s="7">
        <v>26998</v>
      </c>
      <c r="B2726" s="8" t="s">
        <v>17564</v>
      </c>
      <c r="C2726" s="8" t="s">
        <v>17565</v>
      </c>
      <c r="D2726" s="8" t="s">
        <v>2647</v>
      </c>
      <c r="E2726" s="8"/>
      <c r="F2726" s="8" t="s">
        <v>15918</v>
      </c>
      <c r="G2726" s="8" t="s">
        <v>6005</v>
      </c>
      <c r="H2726" s="8" t="s">
        <v>5805</v>
      </c>
      <c r="I2726" s="8" t="s">
        <v>17566</v>
      </c>
      <c r="J2726" s="8" t="s">
        <v>17567</v>
      </c>
      <c r="K2726" s="8" t="s">
        <v>274</v>
      </c>
      <c r="L2726" s="8" t="s">
        <v>163</v>
      </c>
      <c r="M2726" s="8" t="s">
        <v>17568</v>
      </c>
      <c r="N2726" s="8" t="s">
        <v>128</v>
      </c>
      <c r="O2726" s="8" t="s">
        <v>17569</v>
      </c>
      <c r="P2726" s="8"/>
      <c r="Q2726" s="8" t="s">
        <v>740</v>
      </c>
      <c r="R2726" s="8"/>
      <c r="S2726" s="8" t="s">
        <v>15924</v>
      </c>
      <c r="T2726" s="8" t="s">
        <v>1745</v>
      </c>
      <c r="U2726" s="8" t="s">
        <v>134</v>
      </c>
      <c r="V2726" s="8" t="s">
        <v>740</v>
      </c>
      <c r="W2726" s="8" t="s">
        <v>1745</v>
      </c>
      <c r="X2726" s="8">
        <v>9</v>
      </c>
      <c r="Y2726" s="8" t="s">
        <v>12359</v>
      </c>
      <c r="Z2726" s="8">
        <v>20</v>
      </c>
      <c r="AA2726" s="8">
        <v>0</v>
      </c>
      <c r="AB2726" s="9">
        <v>0</v>
      </c>
    </row>
    <row r="2727" spans="1:28" x14ac:dyDescent="0.2">
      <c r="A2727" s="10">
        <v>37884</v>
      </c>
      <c r="B2727" s="11" t="s">
        <v>17570</v>
      </c>
      <c r="C2727" s="11" t="s">
        <v>8113</v>
      </c>
      <c r="D2727" s="11" t="s">
        <v>4630</v>
      </c>
      <c r="E2727" s="11"/>
      <c r="F2727" s="11" t="s">
        <v>17571</v>
      </c>
      <c r="G2727" s="11" t="s">
        <v>141</v>
      </c>
      <c r="H2727" s="11" t="s">
        <v>142</v>
      </c>
      <c r="I2727" s="11" t="s">
        <v>14093</v>
      </c>
      <c r="J2727" s="11" t="s">
        <v>14143</v>
      </c>
      <c r="K2727" s="11" t="s">
        <v>651</v>
      </c>
      <c r="L2727" s="11" t="s">
        <v>146</v>
      </c>
      <c r="M2727" s="11" t="s">
        <v>17572</v>
      </c>
      <c r="N2727" s="11" t="s">
        <v>128</v>
      </c>
      <c r="O2727" s="11" t="s">
        <v>17573</v>
      </c>
      <c r="P2727" s="11"/>
      <c r="Q2727" s="11" t="s">
        <v>740</v>
      </c>
      <c r="R2727" s="11"/>
      <c r="S2727" s="11" t="s">
        <v>8120</v>
      </c>
      <c r="T2727" s="11" t="s">
        <v>1745</v>
      </c>
      <c r="U2727" s="11" t="s">
        <v>134</v>
      </c>
      <c r="V2727" s="11" t="s">
        <v>740</v>
      </c>
      <c r="W2727" s="11" t="s">
        <v>1745</v>
      </c>
      <c r="X2727" s="11">
        <v>9</v>
      </c>
      <c r="Y2727" s="11" t="s">
        <v>12359</v>
      </c>
      <c r="Z2727" s="11">
        <v>20</v>
      </c>
      <c r="AA2727" s="11">
        <v>0</v>
      </c>
      <c r="AB2727" s="12">
        <v>0</v>
      </c>
    </row>
    <row r="2728" spans="1:28" x14ac:dyDescent="0.2">
      <c r="A2728" s="7">
        <v>118173</v>
      </c>
      <c r="B2728" s="8" t="s">
        <v>17574</v>
      </c>
      <c r="C2728" s="8" t="s">
        <v>7290</v>
      </c>
      <c r="D2728" s="8" t="s">
        <v>341</v>
      </c>
      <c r="E2728" s="8"/>
      <c r="F2728" s="8" t="s">
        <v>2073</v>
      </c>
      <c r="G2728" s="8" t="s">
        <v>328</v>
      </c>
      <c r="H2728" s="8" t="s">
        <v>329</v>
      </c>
      <c r="I2728" s="8" t="s">
        <v>7292</v>
      </c>
      <c r="J2728" s="8" t="s">
        <v>7293</v>
      </c>
      <c r="K2728" s="8" t="s">
        <v>332</v>
      </c>
      <c r="L2728" s="8" t="s">
        <v>333</v>
      </c>
      <c r="M2728" s="8" t="s">
        <v>17575</v>
      </c>
      <c r="N2728" s="8" t="s">
        <v>128</v>
      </c>
      <c r="O2728" s="8" t="s">
        <v>17576</v>
      </c>
      <c r="P2728" s="8"/>
      <c r="Q2728" s="8" t="s">
        <v>740</v>
      </c>
      <c r="R2728" s="8"/>
      <c r="S2728" s="8" t="s">
        <v>7297</v>
      </c>
      <c r="T2728" s="8" t="s">
        <v>1745</v>
      </c>
      <c r="U2728" s="8" t="s">
        <v>134</v>
      </c>
      <c r="V2728" s="8" t="s">
        <v>740</v>
      </c>
      <c r="W2728" s="8" t="s">
        <v>1745</v>
      </c>
      <c r="X2728" s="8">
        <v>9</v>
      </c>
      <c r="Y2728" s="8" t="s">
        <v>12359</v>
      </c>
      <c r="Z2728" s="8">
        <v>20</v>
      </c>
      <c r="AA2728" s="8">
        <v>0</v>
      </c>
      <c r="AB2728" s="9">
        <v>0</v>
      </c>
    </row>
    <row r="2729" spans="1:28" x14ac:dyDescent="0.2">
      <c r="A2729" s="10">
        <v>140470</v>
      </c>
      <c r="B2729" s="11" t="s">
        <v>17577</v>
      </c>
      <c r="C2729" s="11" t="s">
        <v>8262</v>
      </c>
      <c r="D2729" s="11" t="s">
        <v>2690</v>
      </c>
      <c r="E2729" s="11"/>
      <c r="F2729" s="11" t="s">
        <v>353</v>
      </c>
      <c r="G2729" s="11" t="s">
        <v>17578</v>
      </c>
      <c r="H2729" s="11" t="s">
        <v>142</v>
      </c>
      <c r="I2729" s="11" t="s">
        <v>17579</v>
      </c>
      <c r="J2729" s="11" t="s">
        <v>8265</v>
      </c>
      <c r="K2729" s="11" t="s">
        <v>651</v>
      </c>
      <c r="L2729" s="11" t="s">
        <v>146</v>
      </c>
      <c r="M2729" s="11" t="s">
        <v>17580</v>
      </c>
      <c r="N2729" s="11" t="s">
        <v>128</v>
      </c>
      <c r="O2729" s="11" t="s">
        <v>17581</v>
      </c>
      <c r="P2729" s="11"/>
      <c r="Q2729" s="11" t="s">
        <v>740</v>
      </c>
      <c r="R2729" s="11"/>
      <c r="S2729" s="11" t="s">
        <v>8268</v>
      </c>
      <c r="T2729" s="11" t="s">
        <v>1745</v>
      </c>
      <c r="U2729" s="11" t="s">
        <v>134</v>
      </c>
      <c r="V2729" s="11" t="s">
        <v>740</v>
      </c>
      <c r="W2729" s="11" t="s">
        <v>1745</v>
      </c>
      <c r="X2729" s="11">
        <v>9</v>
      </c>
      <c r="Y2729" s="11" t="s">
        <v>12359</v>
      </c>
      <c r="Z2729" s="11">
        <v>20</v>
      </c>
      <c r="AA2729" s="11">
        <v>0</v>
      </c>
      <c r="AB2729" s="12">
        <v>0</v>
      </c>
    </row>
    <row r="2730" spans="1:28" x14ac:dyDescent="0.2">
      <c r="A2730" s="7">
        <v>225275</v>
      </c>
      <c r="B2730" s="8" t="s">
        <v>17582</v>
      </c>
      <c r="C2730" s="8" t="s">
        <v>14784</v>
      </c>
      <c r="D2730" s="8" t="s">
        <v>7932</v>
      </c>
      <c r="E2730" s="8"/>
      <c r="F2730" s="8" t="s">
        <v>353</v>
      </c>
      <c r="G2730" s="8" t="s">
        <v>5369</v>
      </c>
      <c r="H2730" s="8" t="s">
        <v>847</v>
      </c>
      <c r="I2730" s="8" t="s">
        <v>17583</v>
      </c>
      <c r="J2730" s="8" t="s">
        <v>17584</v>
      </c>
      <c r="K2730" s="8" t="s">
        <v>850</v>
      </c>
      <c r="L2730" s="8" t="s">
        <v>126</v>
      </c>
      <c r="M2730" s="8" t="s">
        <v>17585</v>
      </c>
      <c r="N2730" s="8" t="s">
        <v>128</v>
      </c>
      <c r="O2730" s="8" t="s">
        <v>17586</v>
      </c>
      <c r="P2730" s="8"/>
      <c r="Q2730" s="8" t="s">
        <v>740</v>
      </c>
      <c r="R2730" s="8"/>
      <c r="S2730" s="8" t="s">
        <v>71</v>
      </c>
      <c r="T2730" s="8" t="s">
        <v>1745</v>
      </c>
      <c r="U2730" s="8" t="s">
        <v>134</v>
      </c>
      <c r="V2730" s="8" t="s">
        <v>740</v>
      </c>
      <c r="W2730" s="8" t="s">
        <v>1745</v>
      </c>
      <c r="X2730" s="8">
        <v>9</v>
      </c>
      <c r="Y2730" s="8" t="s">
        <v>12359</v>
      </c>
      <c r="Z2730" s="8">
        <v>20</v>
      </c>
      <c r="AA2730" s="8">
        <v>0</v>
      </c>
      <c r="AB2730" s="9">
        <v>0</v>
      </c>
    </row>
    <row r="2731" spans="1:28" x14ac:dyDescent="0.2">
      <c r="A2731" s="10">
        <v>25269</v>
      </c>
      <c r="B2731" s="11" t="s">
        <v>17587</v>
      </c>
      <c r="C2731" s="11" t="s">
        <v>14098</v>
      </c>
      <c r="D2731" s="11" t="s">
        <v>5546</v>
      </c>
      <c r="E2731" s="11"/>
      <c r="F2731" s="11"/>
      <c r="G2731" s="11" t="s">
        <v>1438</v>
      </c>
      <c r="H2731" s="11" t="s">
        <v>122</v>
      </c>
      <c r="I2731" s="11"/>
      <c r="J2731" s="11" t="s">
        <v>17588</v>
      </c>
      <c r="K2731" s="11" t="s">
        <v>125</v>
      </c>
      <c r="L2731" s="11" t="s">
        <v>126</v>
      </c>
      <c r="M2731" s="11" t="s">
        <v>17589</v>
      </c>
      <c r="N2731" s="11" t="s">
        <v>128</v>
      </c>
      <c r="O2731" s="11" t="s">
        <v>17590</v>
      </c>
      <c r="P2731" s="11" t="s">
        <v>17591</v>
      </c>
      <c r="Q2731" s="11" t="s">
        <v>740</v>
      </c>
      <c r="R2731" s="11"/>
      <c r="S2731" s="11" t="s">
        <v>71</v>
      </c>
      <c r="T2731" s="11" t="s">
        <v>741</v>
      </c>
      <c r="U2731" s="11" t="s">
        <v>134</v>
      </c>
      <c r="V2731" s="11" t="s">
        <v>740</v>
      </c>
      <c r="W2731" s="11" t="s">
        <v>741</v>
      </c>
      <c r="X2731" s="11">
        <v>9</v>
      </c>
      <c r="Y2731" s="11" t="s">
        <v>12359</v>
      </c>
      <c r="Z2731" s="11">
        <v>20</v>
      </c>
      <c r="AA2731" s="11">
        <v>0</v>
      </c>
      <c r="AB2731" s="12">
        <v>0</v>
      </c>
    </row>
    <row r="2732" spans="1:28" x14ac:dyDescent="0.2">
      <c r="A2732" s="7">
        <v>31306</v>
      </c>
      <c r="B2732" s="8" t="s">
        <v>17592</v>
      </c>
      <c r="C2732" s="8" t="s">
        <v>360</v>
      </c>
      <c r="D2732" s="8" t="s">
        <v>16192</v>
      </c>
      <c r="E2732" s="8"/>
      <c r="F2732" s="8" t="s">
        <v>16193</v>
      </c>
      <c r="G2732" s="8" t="s">
        <v>364</v>
      </c>
      <c r="H2732" s="8" t="s">
        <v>365</v>
      </c>
      <c r="I2732" s="8" t="s">
        <v>16194</v>
      </c>
      <c r="J2732" s="8" t="s">
        <v>16195</v>
      </c>
      <c r="K2732" s="8" t="s">
        <v>162</v>
      </c>
      <c r="L2732" s="8" t="s">
        <v>163</v>
      </c>
      <c r="M2732" s="8" t="s">
        <v>17593</v>
      </c>
      <c r="N2732" s="8" t="s">
        <v>128</v>
      </c>
      <c r="O2732" s="8" t="s">
        <v>17594</v>
      </c>
      <c r="P2732" s="8"/>
      <c r="Q2732" s="8" t="s">
        <v>740</v>
      </c>
      <c r="R2732" s="8"/>
      <c r="S2732" s="8" t="s">
        <v>16198</v>
      </c>
      <c r="T2732" s="8" t="s">
        <v>741</v>
      </c>
      <c r="U2732" s="8" t="s">
        <v>134</v>
      </c>
      <c r="V2732" s="8" t="s">
        <v>740</v>
      </c>
      <c r="W2732" s="8" t="s">
        <v>741</v>
      </c>
      <c r="X2732" s="8">
        <v>9</v>
      </c>
      <c r="Y2732" s="8" t="s">
        <v>12359</v>
      </c>
      <c r="Z2732" s="8">
        <v>20</v>
      </c>
      <c r="AA2732" s="8">
        <v>0</v>
      </c>
      <c r="AB2732" s="9">
        <v>0</v>
      </c>
    </row>
    <row r="2733" spans="1:28" x14ac:dyDescent="0.2">
      <c r="A2733" s="10">
        <v>22151</v>
      </c>
      <c r="B2733" s="11" t="s">
        <v>17595</v>
      </c>
      <c r="C2733" s="11" t="s">
        <v>8966</v>
      </c>
      <c r="D2733" s="11" t="s">
        <v>171</v>
      </c>
      <c r="E2733" s="11" t="s">
        <v>9635</v>
      </c>
      <c r="F2733" s="11" t="s">
        <v>353</v>
      </c>
      <c r="G2733" s="11" t="s">
        <v>8969</v>
      </c>
      <c r="H2733" s="11" t="s">
        <v>142</v>
      </c>
      <c r="I2733" s="11" t="s">
        <v>13438</v>
      </c>
      <c r="J2733" s="11" t="s">
        <v>17596</v>
      </c>
      <c r="K2733" s="11" t="s">
        <v>1199</v>
      </c>
      <c r="L2733" s="11" t="s">
        <v>464</v>
      </c>
      <c r="M2733" s="11" t="s">
        <v>17597</v>
      </c>
      <c r="N2733" s="11" t="s">
        <v>128</v>
      </c>
      <c r="O2733" s="11" t="s">
        <v>17598</v>
      </c>
      <c r="P2733" s="11"/>
      <c r="Q2733" s="11" t="s">
        <v>249</v>
      </c>
      <c r="R2733" s="11"/>
      <c r="S2733" s="11" t="s">
        <v>8975</v>
      </c>
      <c r="T2733" s="11" t="s">
        <v>1523</v>
      </c>
      <c r="U2733" s="11" t="s">
        <v>134</v>
      </c>
      <c r="V2733" s="11" t="s">
        <v>249</v>
      </c>
      <c r="W2733" s="11" t="s">
        <v>1523</v>
      </c>
      <c r="X2733" s="11">
        <v>9</v>
      </c>
      <c r="Y2733" s="11" t="s">
        <v>12359</v>
      </c>
      <c r="Z2733" s="11">
        <v>20</v>
      </c>
      <c r="AA2733" s="11">
        <v>0</v>
      </c>
      <c r="AB2733" s="12">
        <v>0</v>
      </c>
    </row>
    <row r="2734" spans="1:28" x14ac:dyDescent="0.2">
      <c r="A2734" s="7">
        <v>21774</v>
      </c>
      <c r="B2734" s="8" t="s">
        <v>17599</v>
      </c>
      <c r="C2734" s="8" t="s">
        <v>1982</v>
      </c>
      <c r="D2734" s="8" t="s">
        <v>1983</v>
      </c>
      <c r="E2734" s="8" t="s">
        <v>17600</v>
      </c>
      <c r="F2734" s="8" t="s">
        <v>1985</v>
      </c>
      <c r="G2734" s="8" t="s">
        <v>428</v>
      </c>
      <c r="H2734" s="8" t="s">
        <v>329</v>
      </c>
      <c r="I2734" s="8" t="s">
        <v>1986</v>
      </c>
      <c r="J2734" s="8" t="s">
        <v>1987</v>
      </c>
      <c r="K2734" s="8" t="s">
        <v>431</v>
      </c>
      <c r="L2734" s="8" t="s">
        <v>333</v>
      </c>
      <c r="M2734" s="8" t="s">
        <v>17601</v>
      </c>
      <c r="N2734" s="8" t="s">
        <v>128</v>
      </c>
      <c r="O2734" s="8" t="s">
        <v>17602</v>
      </c>
      <c r="P2734" s="8"/>
      <c r="Q2734" s="8" t="s">
        <v>249</v>
      </c>
      <c r="R2734" s="8"/>
      <c r="S2734" s="8" t="s">
        <v>1991</v>
      </c>
      <c r="T2734" s="8" t="s">
        <v>1523</v>
      </c>
      <c r="U2734" s="8" t="s">
        <v>134</v>
      </c>
      <c r="V2734" s="8" t="s">
        <v>249</v>
      </c>
      <c r="W2734" s="8" t="s">
        <v>1523</v>
      </c>
      <c r="X2734" s="8">
        <v>9</v>
      </c>
      <c r="Y2734" s="8" t="s">
        <v>12359</v>
      </c>
      <c r="Z2734" s="8">
        <v>20</v>
      </c>
      <c r="AA2734" s="8">
        <v>0</v>
      </c>
      <c r="AB2734" s="9">
        <v>0</v>
      </c>
    </row>
    <row r="2735" spans="1:28" x14ac:dyDescent="0.2">
      <c r="A2735" s="10">
        <v>85251</v>
      </c>
      <c r="B2735" s="11" t="s">
        <v>17603</v>
      </c>
      <c r="C2735" s="11" t="s">
        <v>13437</v>
      </c>
      <c r="D2735" s="11" t="s">
        <v>9100</v>
      </c>
      <c r="E2735" s="11" t="s">
        <v>17604</v>
      </c>
      <c r="F2735" s="11" t="s">
        <v>6430</v>
      </c>
      <c r="G2735" s="11" t="s">
        <v>7116</v>
      </c>
      <c r="H2735" s="11" t="s">
        <v>142</v>
      </c>
      <c r="I2735" s="11" t="s">
        <v>13438</v>
      </c>
      <c r="J2735" s="11" t="s">
        <v>17605</v>
      </c>
      <c r="K2735" s="11" t="s">
        <v>1199</v>
      </c>
      <c r="L2735" s="11" t="s">
        <v>464</v>
      </c>
      <c r="M2735" s="11" t="s">
        <v>17606</v>
      </c>
      <c r="N2735" s="11" t="s">
        <v>128</v>
      </c>
      <c r="O2735" s="11" t="s">
        <v>17607</v>
      </c>
      <c r="P2735" s="11"/>
      <c r="Q2735" s="11" t="s">
        <v>249</v>
      </c>
      <c r="R2735" s="11"/>
      <c r="S2735" s="11" t="s">
        <v>13442</v>
      </c>
      <c r="T2735" s="11" t="s">
        <v>1523</v>
      </c>
      <c r="U2735" s="11" t="s">
        <v>134</v>
      </c>
      <c r="V2735" s="11" t="s">
        <v>249</v>
      </c>
      <c r="W2735" s="11" t="s">
        <v>1523</v>
      </c>
      <c r="X2735" s="11">
        <v>9</v>
      </c>
      <c r="Y2735" s="11" t="s">
        <v>12359</v>
      </c>
      <c r="Z2735" s="11">
        <v>20</v>
      </c>
      <c r="AA2735" s="11">
        <v>0</v>
      </c>
      <c r="AB2735" s="12">
        <v>0</v>
      </c>
    </row>
    <row r="2736" spans="1:28" x14ac:dyDescent="0.2">
      <c r="A2736" s="7">
        <v>107957</v>
      </c>
      <c r="B2736" s="8" t="s">
        <v>17608</v>
      </c>
      <c r="C2736" s="8" t="s">
        <v>16481</v>
      </c>
      <c r="D2736" s="8" t="s">
        <v>16482</v>
      </c>
      <c r="E2736" s="8" t="s">
        <v>17609</v>
      </c>
      <c r="F2736" s="8" t="s">
        <v>16484</v>
      </c>
      <c r="G2736" s="8" t="s">
        <v>1438</v>
      </c>
      <c r="H2736" s="8" t="s">
        <v>122</v>
      </c>
      <c r="I2736" s="8" t="s">
        <v>16485</v>
      </c>
      <c r="J2736" s="8" t="s">
        <v>16486</v>
      </c>
      <c r="K2736" s="8" t="s">
        <v>125</v>
      </c>
      <c r="L2736" s="8" t="s">
        <v>126</v>
      </c>
      <c r="M2736" s="8" t="s">
        <v>17610</v>
      </c>
      <c r="N2736" s="8" t="s">
        <v>128</v>
      </c>
      <c r="O2736" s="8" t="s">
        <v>17611</v>
      </c>
      <c r="P2736" s="8"/>
      <c r="Q2736" s="8" t="s">
        <v>249</v>
      </c>
      <c r="R2736" s="8"/>
      <c r="S2736" s="8" t="s">
        <v>16489</v>
      </c>
      <c r="T2736" s="8" t="s">
        <v>1523</v>
      </c>
      <c r="U2736" s="8" t="s">
        <v>134</v>
      </c>
      <c r="V2736" s="8" t="s">
        <v>249</v>
      </c>
      <c r="W2736" s="8" t="s">
        <v>1523</v>
      </c>
      <c r="X2736" s="8">
        <v>9</v>
      </c>
      <c r="Y2736" s="8" t="s">
        <v>12359</v>
      </c>
      <c r="Z2736" s="8">
        <v>20</v>
      </c>
      <c r="AA2736" s="8">
        <v>0</v>
      </c>
      <c r="AB2736" s="9">
        <v>0</v>
      </c>
    </row>
    <row r="2737" spans="1:28" x14ac:dyDescent="0.2">
      <c r="A2737" s="10">
        <v>25496</v>
      </c>
      <c r="B2737" s="11" t="s">
        <v>17612</v>
      </c>
      <c r="C2737" s="11" t="s">
        <v>17613</v>
      </c>
      <c r="D2737" s="11" t="s">
        <v>4881</v>
      </c>
      <c r="E2737" s="11" t="s">
        <v>17614</v>
      </c>
      <c r="F2737" s="11" t="s">
        <v>353</v>
      </c>
      <c r="G2737" s="11" t="s">
        <v>2691</v>
      </c>
      <c r="H2737" s="11" t="s">
        <v>704</v>
      </c>
      <c r="I2737" s="11" t="s">
        <v>17615</v>
      </c>
      <c r="J2737" s="11" t="s">
        <v>17616</v>
      </c>
      <c r="K2737" s="11" t="s">
        <v>707</v>
      </c>
      <c r="L2737" s="11" t="s">
        <v>126</v>
      </c>
      <c r="M2737" s="11" t="s">
        <v>17617</v>
      </c>
      <c r="N2737" s="11" t="s">
        <v>128</v>
      </c>
      <c r="O2737" s="11" t="s">
        <v>17618</v>
      </c>
      <c r="P2737" s="11"/>
      <c r="Q2737" s="11" t="s">
        <v>249</v>
      </c>
      <c r="R2737" s="11"/>
      <c r="S2737" s="11" t="s">
        <v>71</v>
      </c>
      <c r="T2737" s="11" t="s">
        <v>1523</v>
      </c>
      <c r="U2737" s="11" t="s">
        <v>134</v>
      </c>
      <c r="V2737" s="11" t="s">
        <v>249</v>
      </c>
      <c r="W2737" s="11" t="s">
        <v>1523</v>
      </c>
      <c r="X2737" s="11">
        <v>9</v>
      </c>
      <c r="Y2737" s="11" t="s">
        <v>12359</v>
      </c>
      <c r="Z2737" s="11">
        <v>20</v>
      </c>
      <c r="AA2737" s="11">
        <v>0</v>
      </c>
      <c r="AB2737" s="12">
        <v>0</v>
      </c>
    </row>
    <row r="2738" spans="1:28" x14ac:dyDescent="0.2">
      <c r="A2738" s="7">
        <v>22145</v>
      </c>
      <c r="B2738" s="8" t="s">
        <v>17619</v>
      </c>
      <c r="C2738" s="8" t="s">
        <v>8955</v>
      </c>
      <c r="D2738" s="8" t="s">
        <v>8956</v>
      </c>
      <c r="E2738" s="8"/>
      <c r="F2738" s="8" t="s">
        <v>17620</v>
      </c>
      <c r="G2738" s="8" t="s">
        <v>8614</v>
      </c>
      <c r="H2738" s="8" t="s">
        <v>142</v>
      </c>
      <c r="I2738" s="8" t="s">
        <v>8959</v>
      </c>
      <c r="J2738" s="8" t="s">
        <v>17621</v>
      </c>
      <c r="K2738" s="8" t="s">
        <v>1199</v>
      </c>
      <c r="L2738" s="8" t="s">
        <v>464</v>
      </c>
      <c r="M2738" s="8" t="s">
        <v>17622</v>
      </c>
      <c r="N2738" s="8" t="s">
        <v>128</v>
      </c>
      <c r="O2738" s="8" t="s">
        <v>17623</v>
      </c>
      <c r="P2738" s="8"/>
      <c r="Q2738" s="8" t="s">
        <v>249</v>
      </c>
      <c r="R2738" s="8"/>
      <c r="S2738" s="8" t="s">
        <v>8964</v>
      </c>
      <c r="T2738" s="8" t="s">
        <v>1523</v>
      </c>
      <c r="U2738" s="8" t="s">
        <v>134</v>
      </c>
      <c r="V2738" s="8" t="s">
        <v>249</v>
      </c>
      <c r="W2738" s="8" t="s">
        <v>1523</v>
      </c>
      <c r="X2738" s="8">
        <v>9</v>
      </c>
      <c r="Y2738" s="8" t="s">
        <v>12359</v>
      </c>
      <c r="Z2738" s="8">
        <v>20</v>
      </c>
      <c r="AA2738" s="8">
        <v>0</v>
      </c>
      <c r="AB2738" s="9">
        <v>0</v>
      </c>
    </row>
    <row r="2739" spans="1:28" x14ac:dyDescent="0.2">
      <c r="A2739" s="10">
        <v>26941</v>
      </c>
      <c r="B2739" s="11" t="s">
        <v>17624</v>
      </c>
      <c r="C2739" s="11" t="s">
        <v>6884</v>
      </c>
      <c r="D2739" s="11" t="s">
        <v>3116</v>
      </c>
      <c r="E2739" s="11"/>
      <c r="F2739" s="11" t="s">
        <v>17625</v>
      </c>
      <c r="G2739" s="11" t="s">
        <v>141</v>
      </c>
      <c r="H2739" s="11" t="s">
        <v>142</v>
      </c>
      <c r="I2739" s="11" t="s">
        <v>6885</v>
      </c>
      <c r="J2739" s="11" t="s">
        <v>17626</v>
      </c>
      <c r="K2739" s="11" t="s">
        <v>145</v>
      </c>
      <c r="L2739" s="11" t="s">
        <v>146</v>
      </c>
      <c r="M2739" s="11" t="s">
        <v>17627</v>
      </c>
      <c r="N2739" s="11" t="s">
        <v>128</v>
      </c>
      <c r="O2739" s="11" t="s">
        <v>17628</v>
      </c>
      <c r="P2739" s="11"/>
      <c r="Q2739" s="11" t="s">
        <v>249</v>
      </c>
      <c r="R2739" s="11"/>
      <c r="S2739" s="11" t="s">
        <v>6890</v>
      </c>
      <c r="T2739" s="11" t="s">
        <v>1523</v>
      </c>
      <c r="U2739" s="11" t="s">
        <v>134</v>
      </c>
      <c r="V2739" s="11" t="s">
        <v>249</v>
      </c>
      <c r="W2739" s="11" t="s">
        <v>1523</v>
      </c>
      <c r="X2739" s="11">
        <v>9</v>
      </c>
      <c r="Y2739" s="11" t="s">
        <v>12359</v>
      </c>
      <c r="Z2739" s="11">
        <v>20</v>
      </c>
      <c r="AA2739" s="11">
        <v>0</v>
      </c>
      <c r="AB2739" s="12">
        <v>0</v>
      </c>
    </row>
    <row r="2740" spans="1:28" x14ac:dyDescent="0.2">
      <c r="A2740" s="7">
        <v>31479</v>
      </c>
      <c r="B2740" s="8" t="s">
        <v>17629</v>
      </c>
      <c r="C2740" s="8" t="s">
        <v>17385</v>
      </c>
      <c r="D2740" s="8" t="s">
        <v>17630</v>
      </c>
      <c r="E2740" s="8"/>
      <c r="F2740" s="8" t="s">
        <v>15668</v>
      </c>
      <c r="G2740" s="8" t="s">
        <v>2992</v>
      </c>
      <c r="H2740" s="8" t="s">
        <v>122</v>
      </c>
      <c r="I2740" s="8" t="s">
        <v>17387</v>
      </c>
      <c r="J2740" s="8" t="s">
        <v>17631</v>
      </c>
      <c r="K2740" s="8" t="s">
        <v>125</v>
      </c>
      <c r="L2740" s="8" t="s">
        <v>126</v>
      </c>
      <c r="M2740" s="8" t="s">
        <v>17632</v>
      </c>
      <c r="N2740" s="8" t="s">
        <v>128</v>
      </c>
      <c r="O2740" s="8" t="s">
        <v>17633</v>
      </c>
      <c r="P2740" s="8"/>
      <c r="Q2740" s="8" t="s">
        <v>249</v>
      </c>
      <c r="R2740" s="8"/>
      <c r="S2740" s="8" t="s">
        <v>17392</v>
      </c>
      <c r="T2740" s="8" t="s">
        <v>1523</v>
      </c>
      <c r="U2740" s="8" t="s">
        <v>134</v>
      </c>
      <c r="V2740" s="8" t="s">
        <v>249</v>
      </c>
      <c r="W2740" s="8" t="s">
        <v>1523</v>
      </c>
      <c r="X2740" s="8">
        <v>9</v>
      </c>
      <c r="Y2740" s="8" t="s">
        <v>12359</v>
      </c>
      <c r="Z2740" s="8">
        <v>20</v>
      </c>
      <c r="AA2740" s="8">
        <v>0</v>
      </c>
      <c r="AB2740" s="9">
        <v>0</v>
      </c>
    </row>
    <row r="2741" spans="1:28" x14ac:dyDescent="0.2">
      <c r="A2741" s="10">
        <v>110270</v>
      </c>
      <c r="B2741" s="11" t="s">
        <v>17634</v>
      </c>
      <c r="C2741" s="11" t="s">
        <v>17635</v>
      </c>
      <c r="D2741" s="11" t="s">
        <v>15212</v>
      </c>
      <c r="E2741" s="11"/>
      <c r="F2741" s="11" t="s">
        <v>353</v>
      </c>
      <c r="G2741" s="11" t="s">
        <v>6005</v>
      </c>
      <c r="H2741" s="11" t="s">
        <v>5805</v>
      </c>
      <c r="I2741" s="11" t="s">
        <v>17636</v>
      </c>
      <c r="J2741" s="11" t="s">
        <v>17637</v>
      </c>
      <c r="K2741" s="11" t="s">
        <v>274</v>
      </c>
      <c r="L2741" s="11" t="s">
        <v>163</v>
      </c>
      <c r="M2741" s="11" t="s">
        <v>17638</v>
      </c>
      <c r="N2741" s="11" t="s">
        <v>128</v>
      </c>
      <c r="O2741" s="11" t="s">
        <v>17639</v>
      </c>
      <c r="P2741" s="11"/>
      <c r="Q2741" s="11" t="s">
        <v>249</v>
      </c>
      <c r="R2741" s="11"/>
      <c r="S2741" s="11" t="s">
        <v>71</v>
      </c>
      <c r="T2741" s="11" t="s">
        <v>1523</v>
      </c>
      <c r="U2741" s="11" t="s">
        <v>134</v>
      </c>
      <c r="V2741" s="11" t="s">
        <v>249</v>
      </c>
      <c r="W2741" s="11" t="s">
        <v>1523</v>
      </c>
      <c r="X2741" s="11">
        <v>9</v>
      </c>
      <c r="Y2741" s="11" t="s">
        <v>12359</v>
      </c>
      <c r="Z2741" s="11">
        <v>20</v>
      </c>
      <c r="AA2741" s="11">
        <v>0</v>
      </c>
      <c r="AB2741" s="12">
        <v>0</v>
      </c>
    </row>
    <row r="2742" spans="1:28" x14ac:dyDescent="0.2">
      <c r="A2742" s="7">
        <v>125930</v>
      </c>
      <c r="B2742" s="8" t="s">
        <v>17640</v>
      </c>
      <c r="C2742" s="8" t="s">
        <v>16815</v>
      </c>
      <c r="D2742" s="8" t="s">
        <v>8650</v>
      </c>
      <c r="E2742" s="8"/>
      <c r="F2742" s="8" t="s">
        <v>17641</v>
      </c>
      <c r="G2742" s="8" t="s">
        <v>16816</v>
      </c>
      <c r="H2742" s="8" t="s">
        <v>847</v>
      </c>
      <c r="I2742" s="8" t="s">
        <v>16817</v>
      </c>
      <c r="J2742" s="8" t="s">
        <v>17642</v>
      </c>
      <c r="K2742" s="8" t="s">
        <v>1091</v>
      </c>
      <c r="L2742" s="8" t="s">
        <v>126</v>
      </c>
      <c r="M2742" s="8" t="s">
        <v>17643</v>
      </c>
      <c r="N2742" s="8" t="s">
        <v>128</v>
      </c>
      <c r="O2742" s="8" t="s">
        <v>17644</v>
      </c>
      <c r="P2742" s="8"/>
      <c r="Q2742" s="8" t="s">
        <v>249</v>
      </c>
      <c r="R2742" s="8"/>
      <c r="S2742" s="8" t="s">
        <v>71</v>
      </c>
      <c r="T2742" s="8" t="s">
        <v>1523</v>
      </c>
      <c r="U2742" s="8" t="s">
        <v>134</v>
      </c>
      <c r="V2742" s="8" t="s">
        <v>249</v>
      </c>
      <c r="W2742" s="8" t="s">
        <v>1523</v>
      </c>
      <c r="X2742" s="8">
        <v>9</v>
      </c>
      <c r="Y2742" s="8" t="s">
        <v>12359</v>
      </c>
      <c r="Z2742" s="8">
        <v>20</v>
      </c>
      <c r="AA2742" s="8">
        <v>0</v>
      </c>
      <c r="AB2742" s="9">
        <v>0</v>
      </c>
    </row>
    <row r="2743" spans="1:28" x14ac:dyDescent="0.2">
      <c r="A2743" s="10">
        <v>26943</v>
      </c>
      <c r="B2743" s="11" t="s">
        <v>17645</v>
      </c>
      <c r="C2743" s="11" t="s">
        <v>6018</v>
      </c>
      <c r="D2743" s="11" t="s">
        <v>6019</v>
      </c>
      <c r="E2743" s="11"/>
      <c r="F2743" s="11" t="s">
        <v>1088</v>
      </c>
      <c r="G2743" s="11" t="s">
        <v>1325</v>
      </c>
      <c r="H2743" s="11" t="s">
        <v>142</v>
      </c>
      <c r="I2743" s="11" t="s">
        <v>6022</v>
      </c>
      <c r="J2743" s="11" t="s">
        <v>16672</v>
      </c>
      <c r="K2743" s="11" t="s">
        <v>974</v>
      </c>
      <c r="L2743" s="11" t="s">
        <v>146</v>
      </c>
      <c r="M2743" s="11" t="s">
        <v>17646</v>
      </c>
      <c r="N2743" s="11" t="s">
        <v>128</v>
      </c>
      <c r="O2743" s="11"/>
      <c r="P2743" s="11"/>
      <c r="Q2743" s="11" t="s">
        <v>249</v>
      </c>
      <c r="R2743" s="11"/>
      <c r="S2743" s="11" t="s">
        <v>6027</v>
      </c>
      <c r="T2743" s="11" t="s">
        <v>1523</v>
      </c>
      <c r="U2743" s="11" t="s">
        <v>134</v>
      </c>
      <c r="V2743" s="11" t="s">
        <v>249</v>
      </c>
      <c r="W2743" s="11" t="s">
        <v>1523</v>
      </c>
      <c r="X2743" s="11">
        <v>9</v>
      </c>
      <c r="Y2743" s="11" t="s">
        <v>12359</v>
      </c>
      <c r="Z2743" s="11">
        <v>20</v>
      </c>
      <c r="AA2743" s="11">
        <v>0</v>
      </c>
      <c r="AB2743" s="12">
        <v>0</v>
      </c>
    </row>
    <row r="2744" spans="1:28" x14ac:dyDescent="0.2">
      <c r="A2744" s="7">
        <v>25560</v>
      </c>
      <c r="B2744" s="8" t="s">
        <v>17647</v>
      </c>
      <c r="C2744" s="8" t="s">
        <v>2541</v>
      </c>
      <c r="D2744" s="8" t="s">
        <v>1300</v>
      </c>
      <c r="E2744" s="8" t="s">
        <v>1547</v>
      </c>
      <c r="F2744" s="8" t="s">
        <v>353</v>
      </c>
      <c r="G2744" s="8" t="s">
        <v>3912</v>
      </c>
      <c r="H2744" s="8" t="s">
        <v>557</v>
      </c>
      <c r="I2744" s="8" t="s">
        <v>17648</v>
      </c>
      <c r="J2744" s="8" t="s">
        <v>17649</v>
      </c>
      <c r="K2744" s="8" t="s">
        <v>1562</v>
      </c>
      <c r="L2744" s="8" t="s">
        <v>229</v>
      </c>
      <c r="M2744" s="8" t="s">
        <v>17650</v>
      </c>
      <c r="N2744" s="8" t="s">
        <v>128</v>
      </c>
      <c r="O2744" s="8" t="s">
        <v>17651</v>
      </c>
      <c r="P2744" s="8" t="s">
        <v>17652</v>
      </c>
      <c r="Q2744" s="8" t="s">
        <v>249</v>
      </c>
      <c r="R2744" s="8"/>
      <c r="S2744" s="8" t="s">
        <v>71</v>
      </c>
      <c r="T2744" s="8" t="s">
        <v>250</v>
      </c>
      <c r="U2744" s="8" t="s">
        <v>134</v>
      </c>
      <c r="V2744" s="8" t="s">
        <v>249</v>
      </c>
      <c r="W2744" s="8" t="s">
        <v>250</v>
      </c>
      <c r="X2744" s="8">
        <v>9</v>
      </c>
      <c r="Y2744" s="8" t="s">
        <v>12359</v>
      </c>
      <c r="Z2744" s="8">
        <v>20</v>
      </c>
      <c r="AA2744" s="8">
        <v>0</v>
      </c>
      <c r="AB2744" s="9">
        <v>0</v>
      </c>
    </row>
    <row r="2745" spans="1:28" x14ac:dyDescent="0.2">
      <c r="A2745" s="10">
        <v>31475</v>
      </c>
      <c r="B2745" s="11" t="s">
        <v>17653</v>
      </c>
      <c r="C2745" s="11" t="s">
        <v>10037</v>
      </c>
      <c r="D2745" s="11" t="s">
        <v>4080</v>
      </c>
      <c r="E2745" s="11"/>
      <c r="F2745" s="11" t="s">
        <v>17654</v>
      </c>
      <c r="G2745" s="11" t="s">
        <v>1852</v>
      </c>
      <c r="H2745" s="11" t="s">
        <v>671</v>
      </c>
      <c r="I2745" s="11" t="s">
        <v>10039</v>
      </c>
      <c r="J2745" s="11" t="s">
        <v>10040</v>
      </c>
      <c r="K2745" s="11" t="s">
        <v>572</v>
      </c>
      <c r="L2745" s="11" t="s">
        <v>333</v>
      </c>
      <c r="M2745" s="11" t="s">
        <v>17655</v>
      </c>
      <c r="N2745" s="11" t="s">
        <v>128</v>
      </c>
      <c r="O2745" s="11" t="s">
        <v>17656</v>
      </c>
      <c r="P2745" s="11" t="s">
        <v>17657</v>
      </c>
      <c r="Q2745" s="11" t="s">
        <v>249</v>
      </c>
      <c r="R2745" s="11"/>
      <c r="S2745" s="11" t="s">
        <v>10043</v>
      </c>
      <c r="T2745" s="11" t="s">
        <v>250</v>
      </c>
      <c r="U2745" s="11" t="s">
        <v>134</v>
      </c>
      <c r="V2745" s="11" t="s">
        <v>249</v>
      </c>
      <c r="W2745" s="11" t="s">
        <v>250</v>
      </c>
      <c r="X2745" s="11">
        <v>9</v>
      </c>
      <c r="Y2745" s="11" t="s">
        <v>12359</v>
      </c>
      <c r="Z2745" s="11">
        <v>20</v>
      </c>
      <c r="AA2745" s="11">
        <v>0</v>
      </c>
      <c r="AB2745" s="12">
        <v>0</v>
      </c>
    </row>
    <row r="2746" spans="1:28" x14ac:dyDescent="0.2">
      <c r="A2746" s="7">
        <v>85375</v>
      </c>
      <c r="B2746" s="8" t="s">
        <v>17658</v>
      </c>
      <c r="C2746" s="8" t="s">
        <v>12143</v>
      </c>
      <c r="D2746" s="8" t="s">
        <v>208</v>
      </c>
      <c r="E2746" s="8"/>
      <c r="F2746" s="8"/>
      <c r="G2746" s="8" t="s">
        <v>615</v>
      </c>
      <c r="H2746" s="8" t="s">
        <v>616</v>
      </c>
      <c r="I2746" s="8" t="s">
        <v>12146</v>
      </c>
      <c r="J2746" s="8" t="s">
        <v>17659</v>
      </c>
      <c r="K2746" s="8" t="s">
        <v>619</v>
      </c>
      <c r="L2746" s="8" t="s">
        <v>163</v>
      </c>
      <c r="M2746" s="8" t="s">
        <v>17660</v>
      </c>
      <c r="N2746" s="8" t="s">
        <v>128</v>
      </c>
      <c r="O2746" s="8" t="s">
        <v>17661</v>
      </c>
      <c r="P2746" s="8" t="s">
        <v>17662</v>
      </c>
      <c r="Q2746" s="8" t="s">
        <v>249</v>
      </c>
      <c r="R2746" s="8"/>
      <c r="S2746" s="8" t="s">
        <v>12150</v>
      </c>
      <c r="T2746" s="8" t="s">
        <v>250</v>
      </c>
      <c r="U2746" s="8" t="s">
        <v>134</v>
      </c>
      <c r="V2746" s="8" t="s">
        <v>249</v>
      </c>
      <c r="W2746" s="8" t="s">
        <v>250</v>
      </c>
      <c r="X2746" s="8">
        <v>9</v>
      </c>
      <c r="Y2746" s="8" t="s">
        <v>12359</v>
      </c>
      <c r="Z2746" s="8">
        <v>20</v>
      </c>
      <c r="AA2746" s="8">
        <v>0</v>
      </c>
      <c r="AB2746" s="9">
        <v>0</v>
      </c>
    </row>
    <row r="2747" spans="1:28" x14ac:dyDescent="0.2">
      <c r="A2747" s="10">
        <v>218100</v>
      </c>
      <c r="B2747" s="11" t="s">
        <v>17663</v>
      </c>
      <c r="C2747" s="11" t="s">
        <v>1849</v>
      </c>
      <c r="D2747" s="11" t="s">
        <v>1850</v>
      </c>
      <c r="E2747" s="11"/>
      <c r="F2747" s="11" t="s">
        <v>13523</v>
      </c>
      <c r="G2747" s="11" t="s">
        <v>1852</v>
      </c>
      <c r="H2747" s="11" t="s">
        <v>671</v>
      </c>
      <c r="I2747" s="11" t="s">
        <v>1853</v>
      </c>
      <c r="J2747" s="11" t="s">
        <v>1854</v>
      </c>
      <c r="K2747" s="11" t="s">
        <v>572</v>
      </c>
      <c r="L2747" s="11" t="s">
        <v>333</v>
      </c>
      <c r="M2747" s="11" t="s">
        <v>17664</v>
      </c>
      <c r="N2747" s="11" t="s">
        <v>128</v>
      </c>
      <c r="O2747" s="11" t="s">
        <v>17665</v>
      </c>
      <c r="P2747" s="11" t="s">
        <v>17666</v>
      </c>
      <c r="Q2747" s="11" t="s">
        <v>249</v>
      </c>
      <c r="R2747" s="11"/>
      <c r="S2747" s="11" t="s">
        <v>1858</v>
      </c>
      <c r="T2747" s="11" t="s">
        <v>250</v>
      </c>
      <c r="U2747" s="11" t="s">
        <v>134</v>
      </c>
      <c r="V2747" s="11" t="s">
        <v>249</v>
      </c>
      <c r="W2747" s="11" t="s">
        <v>250</v>
      </c>
      <c r="X2747" s="11">
        <v>9</v>
      </c>
      <c r="Y2747" s="11" t="s">
        <v>12359</v>
      </c>
      <c r="Z2747" s="11">
        <v>20</v>
      </c>
      <c r="AA2747" s="11">
        <v>0</v>
      </c>
      <c r="AB2747" s="12">
        <v>0</v>
      </c>
    </row>
    <row r="2748" spans="1:28" x14ac:dyDescent="0.2">
      <c r="A2748" s="7">
        <v>20822</v>
      </c>
      <c r="B2748" s="8" t="s">
        <v>17667</v>
      </c>
      <c r="C2748" s="8" t="s">
        <v>17668</v>
      </c>
      <c r="D2748" s="8" t="s">
        <v>12240</v>
      </c>
      <c r="E2748" s="8"/>
      <c r="F2748" s="8" t="s">
        <v>845</v>
      </c>
      <c r="G2748" s="8" t="s">
        <v>846</v>
      </c>
      <c r="H2748" s="8" t="s">
        <v>847</v>
      </c>
      <c r="I2748" s="8" t="s">
        <v>17669</v>
      </c>
      <c r="J2748" s="8" t="s">
        <v>17670</v>
      </c>
      <c r="K2748" s="8" t="s">
        <v>850</v>
      </c>
      <c r="L2748" s="8" t="s">
        <v>126</v>
      </c>
      <c r="M2748" s="8" t="s">
        <v>17671</v>
      </c>
      <c r="N2748" s="8" t="s">
        <v>128</v>
      </c>
      <c r="O2748" s="8" t="s">
        <v>17672</v>
      </c>
      <c r="P2748" s="8" t="s">
        <v>17673</v>
      </c>
      <c r="Q2748" s="8" t="s">
        <v>150</v>
      </c>
      <c r="R2748" s="8"/>
      <c r="S2748" s="8" t="s">
        <v>71</v>
      </c>
      <c r="T2748" s="8" t="s">
        <v>289</v>
      </c>
      <c r="U2748" s="8" t="s">
        <v>150</v>
      </c>
      <c r="V2748" s="8" t="s">
        <v>289</v>
      </c>
      <c r="W2748" s="8" t="s">
        <v>289</v>
      </c>
      <c r="X2748" s="8">
        <v>8</v>
      </c>
      <c r="Y2748" s="8" t="s">
        <v>12359</v>
      </c>
      <c r="Z2748" s="8">
        <v>20</v>
      </c>
      <c r="AA2748" s="8">
        <v>0</v>
      </c>
      <c r="AB2748" s="9">
        <v>0</v>
      </c>
    </row>
    <row r="2749" spans="1:28" x14ac:dyDescent="0.2">
      <c r="A2749" s="10">
        <v>21226</v>
      </c>
      <c r="B2749" s="11" t="s">
        <v>17674</v>
      </c>
      <c r="C2749" s="11" t="s">
        <v>1982</v>
      </c>
      <c r="D2749" s="11" t="s">
        <v>1983</v>
      </c>
      <c r="E2749" s="11" t="s">
        <v>135</v>
      </c>
      <c r="F2749" s="11" t="s">
        <v>1985</v>
      </c>
      <c r="G2749" s="11" t="s">
        <v>428</v>
      </c>
      <c r="H2749" s="11" t="s">
        <v>329</v>
      </c>
      <c r="I2749" s="11" t="s">
        <v>1986</v>
      </c>
      <c r="J2749" s="11" t="s">
        <v>1987</v>
      </c>
      <c r="K2749" s="11" t="s">
        <v>431</v>
      </c>
      <c r="L2749" s="11" t="s">
        <v>333</v>
      </c>
      <c r="M2749" s="11" t="s">
        <v>17675</v>
      </c>
      <c r="N2749" s="11" t="s">
        <v>128</v>
      </c>
      <c r="O2749" s="11" t="s">
        <v>17676</v>
      </c>
      <c r="P2749" s="11" t="s">
        <v>17677</v>
      </c>
      <c r="Q2749" s="11" t="s">
        <v>150</v>
      </c>
      <c r="R2749" s="11"/>
      <c r="S2749" s="11" t="s">
        <v>1991</v>
      </c>
      <c r="T2749" s="11" t="s">
        <v>642</v>
      </c>
      <c r="U2749" s="11" t="s">
        <v>150</v>
      </c>
      <c r="V2749" s="11" t="s">
        <v>642</v>
      </c>
      <c r="W2749" s="11" t="s">
        <v>642</v>
      </c>
      <c r="X2749" s="11">
        <v>8</v>
      </c>
      <c r="Y2749" s="11" t="s">
        <v>12359</v>
      </c>
      <c r="Z2749" s="11">
        <v>20</v>
      </c>
      <c r="AA2749" s="11">
        <v>0</v>
      </c>
      <c r="AB2749" s="12">
        <v>0</v>
      </c>
    </row>
    <row r="2750" spans="1:28" x14ac:dyDescent="0.2">
      <c r="A2750" s="7">
        <v>21201</v>
      </c>
      <c r="B2750" s="8" t="s">
        <v>17678</v>
      </c>
      <c r="C2750" s="8" t="s">
        <v>2566</v>
      </c>
      <c r="D2750" s="8" t="s">
        <v>2567</v>
      </c>
      <c r="E2750" s="8"/>
      <c r="F2750" s="8" t="s">
        <v>17679</v>
      </c>
      <c r="G2750" s="8" t="s">
        <v>536</v>
      </c>
      <c r="H2750" s="8" t="s">
        <v>329</v>
      </c>
      <c r="I2750" s="8" t="s">
        <v>17680</v>
      </c>
      <c r="J2750" s="8" t="s">
        <v>17681</v>
      </c>
      <c r="K2750" s="8" t="s">
        <v>431</v>
      </c>
      <c r="L2750" s="8" t="s">
        <v>333</v>
      </c>
      <c r="M2750" s="8" t="s">
        <v>17682</v>
      </c>
      <c r="N2750" s="8" t="s">
        <v>128</v>
      </c>
      <c r="O2750" s="8" t="s">
        <v>17683</v>
      </c>
      <c r="P2750" s="8" t="s">
        <v>17684</v>
      </c>
      <c r="Q2750" s="8" t="s">
        <v>150</v>
      </c>
      <c r="R2750" s="8"/>
      <c r="S2750" s="8" t="s">
        <v>2575</v>
      </c>
      <c r="T2750" s="8" t="s">
        <v>642</v>
      </c>
      <c r="U2750" s="8" t="s">
        <v>150</v>
      </c>
      <c r="V2750" s="8" t="s">
        <v>642</v>
      </c>
      <c r="W2750" s="8" t="s">
        <v>642</v>
      </c>
      <c r="X2750" s="8">
        <v>8</v>
      </c>
      <c r="Y2750" s="8" t="s">
        <v>12359</v>
      </c>
      <c r="Z2750" s="8">
        <v>20</v>
      </c>
      <c r="AA2750" s="8">
        <v>0</v>
      </c>
      <c r="AB2750" s="9">
        <v>0</v>
      </c>
    </row>
    <row r="2751" spans="1:28" x14ac:dyDescent="0.2">
      <c r="A2751" s="10">
        <v>21389</v>
      </c>
      <c r="B2751" s="11" t="s">
        <v>17685</v>
      </c>
      <c r="C2751" s="11" t="s">
        <v>2615</v>
      </c>
      <c r="D2751" s="11" t="s">
        <v>15240</v>
      </c>
      <c r="E2751" s="11"/>
      <c r="F2751" s="11" t="s">
        <v>353</v>
      </c>
      <c r="G2751" s="11" t="s">
        <v>846</v>
      </c>
      <c r="H2751" s="11" t="s">
        <v>847</v>
      </c>
      <c r="I2751" s="11" t="s">
        <v>12764</v>
      </c>
      <c r="J2751" s="11" t="s">
        <v>17686</v>
      </c>
      <c r="K2751" s="11" t="s">
        <v>850</v>
      </c>
      <c r="L2751" s="11" t="s">
        <v>126</v>
      </c>
      <c r="M2751" s="11" t="s">
        <v>17687</v>
      </c>
      <c r="N2751" s="11" t="s">
        <v>128</v>
      </c>
      <c r="O2751" s="11" t="s">
        <v>17688</v>
      </c>
      <c r="P2751" s="11" t="s">
        <v>11433</v>
      </c>
      <c r="Q2751" s="11" t="s">
        <v>150</v>
      </c>
      <c r="R2751" s="11"/>
      <c r="S2751" s="11" t="s">
        <v>71</v>
      </c>
      <c r="T2751" s="11" t="s">
        <v>67</v>
      </c>
      <c r="U2751" s="11" t="s">
        <v>150</v>
      </c>
      <c r="V2751" s="11" t="s">
        <v>152</v>
      </c>
      <c r="W2751" s="11" t="s">
        <v>67</v>
      </c>
      <c r="X2751" s="11">
        <v>8</v>
      </c>
      <c r="Y2751" s="11" t="s">
        <v>12359</v>
      </c>
      <c r="Z2751" s="11">
        <v>20</v>
      </c>
      <c r="AA2751" s="11">
        <v>0</v>
      </c>
      <c r="AB2751" s="12">
        <v>0</v>
      </c>
    </row>
    <row r="2752" spans="1:28" x14ac:dyDescent="0.2">
      <c r="A2752" s="7">
        <v>21493</v>
      </c>
      <c r="B2752" s="8" t="s">
        <v>17689</v>
      </c>
      <c r="C2752" s="8" t="s">
        <v>17690</v>
      </c>
      <c r="D2752" s="8" t="s">
        <v>17691</v>
      </c>
      <c r="E2752" s="8"/>
      <c r="F2752" s="8" t="s">
        <v>353</v>
      </c>
      <c r="G2752" s="8" t="s">
        <v>17692</v>
      </c>
      <c r="H2752" s="8" t="s">
        <v>142</v>
      </c>
      <c r="I2752" s="8" t="s">
        <v>17693</v>
      </c>
      <c r="J2752" s="8" t="s">
        <v>17694</v>
      </c>
      <c r="K2752" s="8" t="s">
        <v>779</v>
      </c>
      <c r="L2752" s="8" t="s">
        <v>464</v>
      </c>
      <c r="M2752" s="8" t="s">
        <v>17695</v>
      </c>
      <c r="N2752" s="8" t="s">
        <v>128</v>
      </c>
      <c r="O2752" s="8" t="s">
        <v>17696</v>
      </c>
      <c r="P2752" s="8" t="s">
        <v>17697</v>
      </c>
      <c r="Q2752" s="8" t="s">
        <v>150</v>
      </c>
      <c r="R2752" s="8"/>
      <c r="S2752" s="8" t="s">
        <v>71</v>
      </c>
      <c r="T2752" s="8" t="s">
        <v>67</v>
      </c>
      <c r="U2752" s="8" t="s">
        <v>150</v>
      </c>
      <c r="V2752" s="8" t="s">
        <v>152</v>
      </c>
      <c r="W2752" s="8" t="s">
        <v>67</v>
      </c>
      <c r="X2752" s="8">
        <v>8</v>
      </c>
      <c r="Y2752" s="8" t="s">
        <v>12359</v>
      </c>
      <c r="Z2752" s="8">
        <v>20</v>
      </c>
      <c r="AA2752" s="8">
        <v>0</v>
      </c>
      <c r="AB2752" s="9">
        <v>0</v>
      </c>
    </row>
    <row r="2753" spans="1:28" x14ac:dyDescent="0.2">
      <c r="A2753" s="10">
        <v>167254</v>
      </c>
      <c r="B2753" s="11" t="s">
        <v>17698</v>
      </c>
      <c r="C2753" s="11" t="s">
        <v>17699</v>
      </c>
      <c r="D2753" s="11" t="s">
        <v>9797</v>
      </c>
      <c r="E2753" s="11"/>
      <c r="F2753" s="11" t="s">
        <v>17700</v>
      </c>
      <c r="G2753" s="11" t="s">
        <v>141</v>
      </c>
      <c r="H2753" s="11" t="s">
        <v>142</v>
      </c>
      <c r="I2753" s="11" t="s">
        <v>17701</v>
      </c>
      <c r="J2753" s="11" t="s">
        <v>17702</v>
      </c>
      <c r="K2753" s="11" t="s">
        <v>145</v>
      </c>
      <c r="L2753" s="11" t="s">
        <v>146</v>
      </c>
      <c r="M2753" s="11" t="s">
        <v>17703</v>
      </c>
      <c r="N2753" s="11" t="s">
        <v>128</v>
      </c>
      <c r="O2753" s="11" t="s">
        <v>17704</v>
      </c>
      <c r="P2753" s="11" t="s">
        <v>17705</v>
      </c>
      <c r="Q2753" s="11" t="s">
        <v>150</v>
      </c>
      <c r="R2753" s="11"/>
      <c r="S2753" s="11" t="s">
        <v>71</v>
      </c>
      <c r="T2753" s="11" t="s">
        <v>67</v>
      </c>
      <c r="U2753" s="11" t="s">
        <v>150</v>
      </c>
      <c r="V2753" s="11" t="s">
        <v>152</v>
      </c>
      <c r="W2753" s="11" t="s">
        <v>67</v>
      </c>
      <c r="X2753" s="11">
        <v>8</v>
      </c>
      <c r="Y2753" s="11" t="s">
        <v>12359</v>
      </c>
      <c r="Z2753" s="11">
        <v>20</v>
      </c>
      <c r="AA2753" s="11">
        <v>0</v>
      </c>
      <c r="AB2753" s="12">
        <v>0</v>
      </c>
    </row>
    <row r="2754" spans="1:28" x14ac:dyDescent="0.2">
      <c r="A2754" s="7">
        <v>22487</v>
      </c>
      <c r="B2754" s="8" t="s">
        <v>17706</v>
      </c>
      <c r="C2754" s="8" t="s">
        <v>8399</v>
      </c>
      <c r="D2754" s="8" t="s">
        <v>15910</v>
      </c>
      <c r="E2754" s="8" t="s">
        <v>17707</v>
      </c>
      <c r="F2754" s="8" t="s">
        <v>8400</v>
      </c>
      <c r="G2754" s="8" t="s">
        <v>141</v>
      </c>
      <c r="H2754" s="8" t="s">
        <v>142</v>
      </c>
      <c r="I2754" s="8" t="s">
        <v>17708</v>
      </c>
      <c r="J2754" s="8" t="s">
        <v>15912</v>
      </c>
      <c r="K2754" s="8" t="s">
        <v>584</v>
      </c>
      <c r="L2754" s="8" t="s">
        <v>146</v>
      </c>
      <c r="M2754" s="8" t="s">
        <v>17709</v>
      </c>
      <c r="N2754" s="8" t="s">
        <v>128</v>
      </c>
      <c r="O2754" s="8" t="s">
        <v>17710</v>
      </c>
      <c r="P2754" s="8"/>
      <c r="Q2754" s="8" t="s">
        <v>131</v>
      </c>
      <c r="R2754" s="8"/>
      <c r="S2754" s="8" t="s">
        <v>15915</v>
      </c>
      <c r="T2754" s="8" t="s">
        <v>983</v>
      </c>
      <c r="U2754" s="8" t="s">
        <v>134</v>
      </c>
      <c r="V2754" s="8" t="s">
        <v>131</v>
      </c>
      <c r="W2754" s="8" t="s">
        <v>983</v>
      </c>
      <c r="X2754" s="8">
        <v>8</v>
      </c>
      <c r="Y2754" s="8" t="s">
        <v>12359</v>
      </c>
      <c r="Z2754" s="8">
        <v>20</v>
      </c>
      <c r="AA2754" s="8">
        <v>0</v>
      </c>
      <c r="AB2754" s="9">
        <v>0</v>
      </c>
    </row>
    <row r="2755" spans="1:28" x14ac:dyDescent="0.2">
      <c r="A2755" s="10">
        <v>165929</v>
      </c>
      <c r="B2755" s="11" t="s">
        <v>17711</v>
      </c>
      <c r="C2755" s="11" t="s">
        <v>324</v>
      </c>
      <c r="D2755" s="11" t="s">
        <v>1064</v>
      </c>
      <c r="E2755" s="11" t="s">
        <v>17712</v>
      </c>
      <c r="F2755" s="11" t="s">
        <v>327</v>
      </c>
      <c r="G2755" s="11" t="s">
        <v>328</v>
      </c>
      <c r="H2755" s="11" t="s">
        <v>329</v>
      </c>
      <c r="I2755" s="11" t="s">
        <v>17713</v>
      </c>
      <c r="J2755" s="11" t="s">
        <v>17714</v>
      </c>
      <c r="K2755" s="11" t="s">
        <v>332</v>
      </c>
      <c r="L2755" s="11" t="s">
        <v>333</v>
      </c>
      <c r="M2755" s="11" t="s">
        <v>17715</v>
      </c>
      <c r="N2755" s="11" t="s">
        <v>128</v>
      </c>
      <c r="O2755" s="11" t="s">
        <v>17716</v>
      </c>
      <c r="P2755" s="11"/>
      <c r="Q2755" s="11" t="s">
        <v>131</v>
      </c>
      <c r="R2755" s="11"/>
      <c r="S2755" s="11" t="s">
        <v>17717</v>
      </c>
      <c r="T2755" s="11" t="s">
        <v>983</v>
      </c>
      <c r="U2755" s="11" t="s">
        <v>134</v>
      </c>
      <c r="V2755" s="11" t="s">
        <v>131</v>
      </c>
      <c r="W2755" s="11" t="s">
        <v>983</v>
      </c>
      <c r="X2755" s="11">
        <v>8</v>
      </c>
      <c r="Y2755" s="11" t="s">
        <v>12359</v>
      </c>
      <c r="Z2755" s="11">
        <v>20</v>
      </c>
      <c r="AA2755" s="11">
        <v>0</v>
      </c>
      <c r="AB2755" s="12">
        <v>0</v>
      </c>
    </row>
    <row r="2756" spans="1:28" x14ac:dyDescent="0.2">
      <c r="A2756" s="7">
        <v>124153</v>
      </c>
      <c r="B2756" s="8" t="s">
        <v>17718</v>
      </c>
      <c r="C2756" s="8" t="s">
        <v>3547</v>
      </c>
      <c r="D2756" s="8" t="s">
        <v>16256</v>
      </c>
      <c r="E2756" s="8" t="s">
        <v>17719</v>
      </c>
      <c r="F2756" s="8" t="s">
        <v>3549</v>
      </c>
      <c r="G2756" s="8" t="s">
        <v>224</v>
      </c>
      <c r="H2756" s="8" t="s">
        <v>225</v>
      </c>
      <c r="I2756" s="8" t="s">
        <v>17720</v>
      </c>
      <c r="J2756" s="8" t="s">
        <v>17721</v>
      </c>
      <c r="K2756" s="8" t="s">
        <v>228</v>
      </c>
      <c r="L2756" s="8" t="s">
        <v>229</v>
      </c>
      <c r="M2756" s="8" t="s">
        <v>17722</v>
      </c>
      <c r="N2756" s="8" t="s">
        <v>128</v>
      </c>
      <c r="O2756" s="8" t="s">
        <v>17723</v>
      </c>
      <c r="P2756" s="8"/>
      <c r="Q2756" s="8" t="s">
        <v>131</v>
      </c>
      <c r="R2756" s="8"/>
      <c r="S2756" s="8" t="s">
        <v>71</v>
      </c>
      <c r="T2756" s="8" t="s">
        <v>983</v>
      </c>
      <c r="U2756" s="8" t="s">
        <v>134</v>
      </c>
      <c r="V2756" s="8" t="s">
        <v>131</v>
      </c>
      <c r="W2756" s="8" t="s">
        <v>983</v>
      </c>
      <c r="X2756" s="8">
        <v>8</v>
      </c>
      <c r="Y2756" s="8" t="s">
        <v>12359</v>
      </c>
      <c r="Z2756" s="8">
        <v>20</v>
      </c>
      <c r="AA2756" s="8">
        <v>0</v>
      </c>
      <c r="AB2756" s="9">
        <v>0</v>
      </c>
    </row>
    <row r="2757" spans="1:28" x14ac:dyDescent="0.2">
      <c r="A2757" s="10">
        <v>93291</v>
      </c>
      <c r="B2757" s="11" t="s">
        <v>17724</v>
      </c>
      <c r="C2757" s="11" t="s">
        <v>17725</v>
      </c>
      <c r="D2757" s="11" t="s">
        <v>2432</v>
      </c>
      <c r="E2757" s="11"/>
      <c r="F2757" s="11" t="s">
        <v>17726</v>
      </c>
      <c r="G2757" s="11" t="s">
        <v>12550</v>
      </c>
      <c r="H2757" s="11" t="s">
        <v>142</v>
      </c>
      <c r="I2757" s="11" t="s">
        <v>17727</v>
      </c>
      <c r="J2757" s="11" t="s">
        <v>17728</v>
      </c>
      <c r="K2757" s="11" t="s">
        <v>584</v>
      </c>
      <c r="L2757" s="11" t="s">
        <v>146</v>
      </c>
      <c r="M2757" s="11" t="s">
        <v>17729</v>
      </c>
      <c r="N2757" s="11" t="s">
        <v>128</v>
      </c>
      <c r="O2757" s="11" t="s">
        <v>17730</v>
      </c>
      <c r="P2757" s="11"/>
      <c r="Q2757" s="11" t="s">
        <v>131</v>
      </c>
      <c r="R2757" s="11"/>
      <c r="S2757" s="11" t="s">
        <v>17731</v>
      </c>
      <c r="T2757" s="11" t="s">
        <v>983</v>
      </c>
      <c r="U2757" s="11" t="s">
        <v>134</v>
      </c>
      <c r="V2757" s="11" t="s">
        <v>131</v>
      </c>
      <c r="W2757" s="11" t="s">
        <v>983</v>
      </c>
      <c r="X2757" s="11">
        <v>8</v>
      </c>
      <c r="Y2757" s="11" t="s">
        <v>12359</v>
      </c>
      <c r="Z2757" s="11">
        <v>20</v>
      </c>
      <c r="AA2757" s="11">
        <v>0</v>
      </c>
      <c r="AB2757" s="12">
        <v>0</v>
      </c>
    </row>
    <row r="2758" spans="1:28" x14ac:dyDescent="0.2">
      <c r="A2758" s="7">
        <v>172201</v>
      </c>
      <c r="B2758" s="8" t="s">
        <v>17732</v>
      </c>
      <c r="C2758" s="8" t="s">
        <v>17733</v>
      </c>
      <c r="D2758" s="8" t="s">
        <v>5404</v>
      </c>
      <c r="E2758" s="8"/>
      <c r="F2758" s="8" t="s">
        <v>17734</v>
      </c>
      <c r="G2758" s="8" t="s">
        <v>328</v>
      </c>
      <c r="H2758" s="8" t="s">
        <v>329</v>
      </c>
      <c r="I2758" s="8" t="s">
        <v>17735</v>
      </c>
      <c r="J2758" s="8" t="s">
        <v>17736</v>
      </c>
      <c r="K2758" s="8" t="s">
        <v>415</v>
      </c>
      <c r="L2758" s="8" t="s">
        <v>333</v>
      </c>
      <c r="M2758" s="8" t="s">
        <v>17737</v>
      </c>
      <c r="N2758" s="8" t="s">
        <v>128</v>
      </c>
      <c r="O2758" s="8" t="s">
        <v>17738</v>
      </c>
      <c r="P2758" s="8"/>
      <c r="Q2758" s="8" t="s">
        <v>131</v>
      </c>
      <c r="R2758" s="8"/>
      <c r="S2758" s="8" t="s">
        <v>17739</v>
      </c>
      <c r="T2758" s="8" t="s">
        <v>983</v>
      </c>
      <c r="U2758" s="8" t="s">
        <v>134</v>
      </c>
      <c r="V2758" s="8" t="s">
        <v>131</v>
      </c>
      <c r="W2758" s="8" t="s">
        <v>983</v>
      </c>
      <c r="X2758" s="8">
        <v>8</v>
      </c>
      <c r="Y2758" s="8" t="s">
        <v>12359</v>
      </c>
      <c r="Z2758" s="8">
        <v>20</v>
      </c>
      <c r="AA2758" s="8">
        <v>0</v>
      </c>
      <c r="AB2758" s="9">
        <v>0</v>
      </c>
    </row>
    <row r="2759" spans="1:28" x14ac:dyDescent="0.2">
      <c r="A2759" s="10">
        <v>125865</v>
      </c>
      <c r="B2759" s="11" t="s">
        <v>17740</v>
      </c>
      <c r="C2759" s="11" t="s">
        <v>16913</v>
      </c>
      <c r="D2759" s="11" t="s">
        <v>138</v>
      </c>
      <c r="E2759" s="11"/>
      <c r="F2759" s="11" t="s">
        <v>17741</v>
      </c>
      <c r="G2759" s="11" t="s">
        <v>224</v>
      </c>
      <c r="H2759" s="11" t="s">
        <v>225</v>
      </c>
      <c r="I2759" s="11" t="s">
        <v>16914</v>
      </c>
      <c r="J2759" s="11" t="s">
        <v>17742</v>
      </c>
      <c r="K2759" s="11" t="s">
        <v>228</v>
      </c>
      <c r="L2759" s="11" t="s">
        <v>229</v>
      </c>
      <c r="M2759" s="11" t="s">
        <v>17743</v>
      </c>
      <c r="N2759" s="11" t="s">
        <v>128</v>
      </c>
      <c r="O2759" s="11" t="s">
        <v>17744</v>
      </c>
      <c r="P2759" s="11"/>
      <c r="Q2759" s="11" t="s">
        <v>131</v>
      </c>
      <c r="R2759" s="11"/>
      <c r="S2759" s="11" t="s">
        <v>16919</v>
      </c>
      <c r="T2759" s="11" t="s">
        <v>983</v>
      </c>
      <c r="U2759" s="11" t="s">
        <v>134</v>
      </c>
      <c r="V2759" s="11" t="s">
        <v>131</v>
      </c>
      <c r="W2759" s="11" t="s">
        <v>983</v>
      </c>
      <c r="X2759" s="11">
        <v>8</v>
      </c>
      <c r="Y2759" s="11" t="s">
        <v>12359</v>
      </c>
      <c r="Z2759" s="11">
        <v>20</v>
      </c>
      <c r="AA2759" s="11">
        <v>0</v>
      </c>
      <c r="AB2759" s="12">
        <v>0</v>
      </c>
    </row>
    <row r="2760" spans="1:28" x14ac:dyDescent="0.2">
      <c r="A2760" s="7">
        <v>214044</v>
      </c>
      <c r="B2760" s="8" t="s">
        <v>17745</v>
      </c>
      <c r="C2760" s="8" t="s">
        <v>2861</v>
      </c>
      <c r="D2760" s="8" t="s">
        <v>15469</v>
      </c>
      <c r="E2760" s="8"/>
      <c r="F2760" s="8" t="s">
        <v>353</v>
      </c>
      <c r="G2760" s="8" t="s">
        <v>2863</v>
      </c>
      <c r="H2760" s="8" t="s">
        <v>142</v>
      </c>
      <c r="I2760" s="8" t="s">
        <v>17746</v>
      </c>
      <c r="J2760" s="8" t="s">
        <v>17747</v>
      </c>
      <c r="K2760" s="8" t="s">
        <v>974</v>
      </c>
      <c r="L2760" s="8" t="s">
        <v>146</v>
      </c>
      <c r="M2760" s="8" t="s">
        <v>17748</v>
      </c>
      <c r="N2760" s="8" t="s">
        <v>128</v>
      </c>
      <c r="O2760" s="8" t="s">
        <v>17749</v>
      </c>
      <c r="P2760" s="8"/>
      <c r="Q2760" s="8" t="s">
        <v>131</v>
      </c>
      <c r="R2760" s="8"/>
      <c r="S2760" s="8" t="s">
        <v>71</v>
      </c>
      <c r="T2760" s="8" t="s">
        <v>983</v>
      </c>
      <c r="U2760" s="8" t="s">
        <v>134</v>
      </c>
      <c r="V2760" s="8" t="s">
        <v>131</v>
      </c>
      <c r="W2760" s="8" t="s">
        <v>983</v>
      </c>
      <c r="X2760" s="8">
        <v>8</v>
      </c>
      <c r="Y2760" s="8" t="s">
        <v>12359</v>
      </c>
      <c r="Z2760" s="8">
        <v>20</v>
      </c>
      <c r="AA2760" s="8">
        <v>0</v>
      </c>
      <c r="AB2760" s="9">
        <v>0</v>
      </c>
    </row>
    <row r="2761" spans="1:28" x14ac:dyDescent="0.2">
      <c r="A2761" s="10">
        <v>235827</v>
      </c>
      <c r="B2761" s="11" t="s">
        <v>17750</v>
      </c>
      <c r="C2761" s="11" t="s">
        <v>8522</v>
      </c>
      <c r="D2761" s="11" t="s">
        <v>17751</v>
      </c>
      <c r="E2761" s="11"/>
      <c r="F2761" s="11" t="s">
        <v>353</v>
      </c>
      <c r="G2761" s="11" t="s">
        <v>2175</v>
      </c>
      <c r="H2761" s="11" t="s">
        <v>2176</v>
      </c>
      <c r="I2761" s="11" t="s">
        <v>17752</v>
      </c>
      <c r="J2761" s="11" t="s">
        <v>17753</v>
      </c>
      <c r="K2761" s="11" t="s">
        <v>194</v>
      </c>
      <c r="L2761" s="11" t="s">
        <v>163</v>
      </c>
      <c r="M2761" s="11" t="s">
        <v>17754</v>
      </c>
      <c r="N2761" s="11" t="s">
        <v>128</v>
      </c>
      <c r="O2761" s="11" t="s">
        <v>17755</v>
      </c>
      <c r="P2761" s="11"/>
      <c r="Q2761" s="11" t="s">
        <v>131</v>
      </c>
      <c r="R2761" s="11"/>
      <c r="S2761" s="11" t="s">
        <v>71</v>
      </c>
      <c r="T2761" s="11" t="s">
        <v>983</v>
      </c>
      <c r="U2761" s="11" t="s">
        <v>134</v>
      </c>
      <c r="V2761" s="11" t="s">
        <v>131</v>
      </c>
      <c r="W2761" s="11" t="s">
        <v>983</v>
      </c>
      <c r="X2761" s="11">
        <v>8</v>
      </c>
      <c r="Y2761" s="11" t="s">
        <v>12359</v>
      </c>
      <c r="Z2761" s="11">
        <v>20</v>
      </c>
      <c r="AA2761" s="11">
        <v>0</v>
      </c>
      <c r="AB2761" s="12">
        <v>0</v>
      </c>
    </row>
    <row r="2762" spans="1:28" x14ac:dyDescent="0.2">
      <c r="A2762" s="7">
        <v>21903</v>
      </c>
      <c r="B2762" s="8" t="s">
        <v>17756</v>
      </c>
      <c r="C2762" s="8" t="s">
        <v>15697</v>
      </c>
      <c r="D2762" s="8" t="s">
        <v>713</v>
      </c>
      <c r="E2762" s="8" t="s">
        <v>281</v>
      </c>
      <c r="F2762" s="8" t="s">
        <v>8852</v>
      </c>
      <c r="G2762" s="8" t="s">
        <v>846</v>
      </c>
      <c r="H2762" s="8" t="s">
        <v>847</v>
      </c>
      <c r="I2762" s="8" t="s">
        <v>15699</v>
      </c>
      <c r="J2762" s="8" t="s">
        <v>17757</v>
      </c>
      <c r="K2762" s="8" t="s">
        <v>850</v>
      </c>
      <c r="L2762" s="8" t="s">
        <v>126</v>
      </c>
      <c r="M2762" s="8" t="s">
        <v>17758</v>
      </c>
      <c r="N2762" s="8" t="s">
        <v>128</v>
      </c>
      <c r="O2762" s="8" t="s">
        <v>17759</v>
      </c>
      <c r="P2762" s="8"/>
      <c r="Q2762" s="8" t="s">
        <v>131</v>
      </c>
      <c r="R2762" s="8"/>
      <c r="S2762" s="8" t="s">
        <v>15704</v>
      </c>
      <c r="T2762" s="8" t="s">
        <v>133</v>
      </c>
      <c r="U2762" s="8" t="s">
        <v>134</v>
      </c>
      <c r="V2762" s="8" t="s">
        <v>131</v>
      </c>
      <c r="W2762" s="8" t="s">
        <v>133</v>
      </c>
      <c r="X2762" s="8">
        <v>8</v>
      </c>
      <c r="Y2762" s="8" t="s">
        <v>12359</v>
      </c>
      <c r="Z2762" s="8">
        <v>20</v>
      </c>
      <c r="AA2762" s="8">
        <v>0</v>
      </c>
      <c r="AB2762" s="9">
        <v>0</v>
      </c>
    </row>
    <row r="2763" spans="1:28" x14ac:dyDescent="0.2">
      <c r="A2763" s="10">
        <v>21896</v>
      </c>
      <c r="B2763" s="11" t="s">
        <v>17760</v>
      </c>
      <c r="C2763" s="11" t="s">
        <v>11354</v>
      </c>
      <c r="D2763" s="11" t="s">
        <v>6578</v>
      </c>
      <c r="E2763" s="11" t="s">
        <v>4871</v>
      </c>
      <c r="F2763" s="11" t="s">
        <v>17761</v>
      </c>
      <c r="G2763" s="11" t="s">
        <v>7653</v>
      </c>
      <c r="H2763" s="11" t="s">
        <v>142</v>
      </c>
      <c r="I2763" s="11" t="s">
        <v>17762</v>
      </c>
      <c r="J2763" s="11" t="s">
        <v>17763</v>
      </c>
      <c r="K2763" s="11" t="s">
        <v>717</v>
      </c>
      <c r="L2763" s="11" t="s">
        <v>464</v>
      </c>
      <c r="M2763" s="11" t="s">
        <v>17764</v>
      </c>
      <c r="N2763" s="11" t="s">
        <v>128</v>
      </c>
      <c r="O2763" s="11" t="s">
        <v>17765</v>
      </c>
      <c r="P2763" s="11" t="s">
        <v>17766</v>
      </c>
      <c r="Q2763" s="11" t="s">
        <v>131</v>
      </c>
      <c r="R2763" s="11"/>
      <c r="S2763" s="11" t="s">
        <v>17767</v>
      </c>
      <c r="T2763" s="11" t="s">
        <v>133</v>
      </c>
      <c r="U2763" s="11" t="s">
        <v>134</v>
      </c>
      <c r="V2763" s="11" t="s">
        <v>131</v>
      </c>
      <c r="W2763" s="11" t="s">
        <v>133</v>
      </c>
      <c r="X2763" s="11">
        <v>8</v>
      </c>
      <c r="Y2763" s="11" t="s">
        <v>12359</v>
      </c>
      <c r="Z2763" s="11">
        <v>20</v>
      </c>
      <c r="AA2763" s="11">
        <v>0</v>
      </c>
      <c r="AB2763" s="12">
        <v>0</v>
      </c>
    </row>
    <row r="2764" spans="1:28" x14ac:dyDescent="0.2">
      <c r="A2764" s="7">
        <v>21843</v>
      </c>
      <c r="B2764" s="8" t="s">
        <v>17768</v>
      </c>
      <c r="C2764" s="8" t="s">
        <v>1622</v>
      </c>
      <c r="D2764" s="8" t="s">
        <v>17769</v>
      </c>
      <c r="E2764" s="8" t="s">
        <v>17770</v>
      </c>
      <c r="F2764" s="8" t="s">
        <v>1625</v>
      </c>
      <c r="G2764" s="8" t="s">
        <v>1626</v>
      </c>
      <c r="H2764" s="8" t="s">
        <v>142</v>
      </c>
      <c r="I2764" s="8" t="s">
        <v>8540</v>
      </c>
      <c r="J2764" s="8" t="s">
        <v>17771</v>
      </c>
      <c r="K2764" s="8" t="s">
        <v>472</v>
      </c>
      <c r="L2764" s="8" t="s">
        <v>146</v>
      </c>
      <c r="M2764" s="8" t="s">
        <v>17772</v>
      </c>
      <c r="N2764" s="8" t="s">
        <v>128</v>
      </c>
      <c r="O2764" s="8" t="s">
        <v>17773</v>
      </c>
      <c r="P2764" s="8" t="s">
        <v>17774</v>
      </c>
      <c r="Q2764" s="8" t="s">
        <v>131</v>
      </c>
      <c r="R2764" s="8"/>
      <c r="S2764" s="8" t="s">
        <v>10715</v>
      </c>
      <c r="T2764" s="8" t="s">
        <v>133</v>
      </c>
      <c r="U2764" s="8" t="s">
        <v>134</v>
      </c>
      <c r="V2764" s="8" t="s">
        <v>131</v>
      </c>
      <c r="W2764" s="8" t="s">
        <v>133</v>
      </c>
      <c r="X2764" s="8">
        <v>8</v>
      </c>
      <c r="Y2764" s="8" t="s">
        <v>12359</v>
      </c>
      <c r="Z2764" s="8">
        <v>20</v>
      </c>
      <c r="AA2764" s="8">
        <v>0</v>
      </c>
      <c r="AB2764" s="9">
        <v>0</v>
      </c>
    </row>
    <row r="2765" spans="1:28" x14ac:dyDescent="0.2">
      <c r="A2765" s="10">
        <v>21863</v>
      </c>
      <c r="B2765" s="11" t="s">
        <v>17775</v>
      </c>
      <c r="C2765" s="11" t="s">
        <v>9767</v>
      </c>
      <c r="D2765" s="11" t="s">
        <v>9768</v>
      </c>
      <c r="E2765" s="11" t="s">
        <v>17776</v>
      </c>
      <c r="F2765" s="11" t="s">
        <v>353</v>
      </c>
      <c r="G2765" s="11" t="s">
        <v>5116</v>
      </c>
      <c r="H2765" s="11" t="s">
        <v>122</v>
      </c>
      <c r="I2765" s="11" t="s">
        <v>9770</v>
      </c>
      <c r="J2765" s="11" t="s">
        <v>9771</v>
      </c>
      <c r="K2765" s="11" t="s">
        <v>125</v>
      </c>
      <c r="L2765" s="11" t="s">
        <v>126</v>
      </c>
      <c r="M2765" s="11" t="s">
        <v>17777</v>
      </c>
      <c r="N2765" s="11" t="s">
        <v>128</v>
      </c>
      <c r="O2765" s="11" t="s">
        <v>17778</v>
      </c>
      <c r="P2765" s="11" t="s">
        <v>17779</v>
      </c>
      <c r="Q2765" s="11" t="s">
        <v>131</v>
      </c>
      <c r="R2765" s="11"/>
      <c r="S2765" s="11" t="s">
        <v>9774</v>
      </c>
      <c r="T2765" s="11" t="s">
        <v>133</v>
      </c>
      <c r="U2765" s="11" t="s">
        <v>134</v>
      </c>
      <c r="V2765" s="11" t="s">
        <v>131</v>
      </c>
      <c r="W2765" s="11" t="s">
        <v>133</v>
      </c>
      <c r="X2765" s="11">
        <v>8</v>
      </c>
      <c r="Y2765" s="11" t="s">
        <v>12359</v>
      </c>
      <c r="Z2765" s="11">
        <v>20</v>
      </c>
      <c r="AA2765" s="11">
        <v>0</v>
      </c>
      <c r="AB2765" s="12">
        <v>0</v>
      </c>
    </row>
    <row r="2766" spans="1:28" x14ac:dyDescent="0.2">
      <c r="A2766" s="7">
        <v>21794</v>
      </c>
      <c r="B2766" s="8" t="s">
        <v>17780</v>
      </c>
      <c r="C2766" s="8" t="s">
        <v>17781</v>
      </c>
      <c r="D2766" s="8" t="s">
        <v>1362</v>
      </c>
      <c r="E2766" s="8"/>
      <c r="F2766" s="8" t="s">
        <v>10082</v>
      </c>
      <c r="G2766" s="8" t="s">
        <v>469</v>
      </c>
      <c r="H2766" s="8" t="s">
        <v>142</v>
      </c>
      <c r="I2766" s="8" t="s">
        <v>17782</v>
      </c>
      <c r="J2766" s="8" t="s">
        <v>17783</v>
      </c>
      <c r="K2766" s="8" t="s">
        <v>472</v>
      </c>
      <c r="L2766" s="8" t="s">
        <v>146</v>
      </c>
      <c r="M2766" s="8" t="s">
        <v>17784</v>
      </c>
      <c r="N2766" s="8" t="s">
        <v>128</v>
      </c>
      <c r="O2766" s="8" t="s">
        <v>17785</v>
      </c>
      <c r="P2766" s="8" t="s">
        <v>550</v>
      </c>
      <c r="Q2766" s="8" t="s">
        <v>131</v>
      </c>
      <c r="R2766" s="8"/>
      <c r="S2766" s="8" t="s">
        <v>17786</v>
      </c>
      <c r="T2766" s="8" t="s">
        <v>133</v>
      </c>
      <c r="U2766" s="8" t="s">
        <v>134</v>
      </c>
      <c r="V2766" s="8" t="s">
        <v>131</v>
      </c>
      <c r="W2766" s="8" t="s">
        <v>133</v>
      </c>
      <c r="X2766" s="8">
        <v>8</v>
      </c>
      <c r="Y2766" s="8" t="s">
        <v>12359</v>
      </c>
      <c r="Z2766" s="8">
        <v>20</v>
      </c>
      <c r="AA2766" s="8">
        <v>0</v>
      </c>
      <c r="AB2766" s="9">
        <v>0</v>
      </c>
    </row>
    <row r="2767" spans="1:28" x14ac:dyDescent="0.2">
      <c r="A2767" s="10">
        <v>22005</v>
      </c>
      <c r="B2767" s="11" t="s">
        <v>17787</v>
      </c>
      <c r="C2767" s="11" t="s">
        <v>17788</v>
      </c>
      <c r="D2767" s="11" t="s">
        <v>155</v>
      </c>
      <c r="E2767" s="11"/>
      <c r="F2767" s="11" t="s">
        <v>17789</v>
      </c>
      <c r="G2767" s="11" t="s">
        <v>412</v>
      </c>
      <c r="H2767" s="11" t="s">
        <v>329</v>
      </c>
      <c r="I2767" s="11" t="s">
        <v>17790</v>
      </c>
      <c r="J2767" s="11" t="s">
        <v>17791</v>
      </c>
      <c r="K2767" s="11" t="s">
        <v>415</v>
      </c>
      <c r="L2767" s="11" t="s">
        <v>333</v>
      </c>
      <c r="M2767" s="11" t="s">
        <v>17792</v>
      </c>
      <c r="N2767" s="11" t="s">
        <v>128</v>
      </c>
      <c r="O2767" s="11" t="s">
        <v>17793</v>
      </c>
      <c r="P2767" s="11" t="s">
        <v>17794</v>
      </c>
      <c r="Q2767" s="11" t="s">
        <v>131</v>
      </c>
      <c r="R2767" s="11"/>
      <c r="S2767" s="11" t="s">
        <v>17795</v>
      </c>
      <c r="T2767" s="11" t="s">
        <v>133</v>
      </c>
      <c r="U2767" s="11" t="s">
        <v>134</v>
      </c>
      <c r="V2767" s="11" t="s">
        <v>131</v>
      </c>
      <c r="W2767" s="11" t="s">
        <v>133</v>
      </c>
      <c r="X2767" s="11">
        <v>8</v>
      </c>
      <c r="Y2767" s="11" t="s">
        <v>12359</v>
      </c>
      <c r="Z2767" s="11">
        <v>20</v>
      </c>
      <c r="AA2767" s="11">
        <v>0</v>
      </c>
      <c r="AB2767" s="12">
        <v>0</v>
      </c>
    </row>
    <row r="2768" spans="1:28" x14ac:dyDescent="0.2">
      <c r="A2768" s="7">
        <v>23519</v>
      </c>
      <c r="B2768" s="8" t="s">
        <v>17796</v>
      </c>
      <c r="C2768" s="8" t="s">
        <v>3919</v>
      </c>
      <c r="D2768" s="8" t="s">
        <v>17797</v>
      </c>
      <c r="E2768" s="8"/>
      <c r="F2768" s="8" t="s">
        <v>353</v>
      </c>
      <c r="G2768" s="8" t="s">
        <v>3921</v>
      </c>
      <c r="H2768" s="8" t="s">
        <v>122</v>
      </c>
      <c r="I2768" s="8" t="s">
        <v>17241</v>
      </c>
      <c r="J2768" s="8" t="s">
        <v>17798</v>
      </c>
      <c r="K2768" s="8" t="s">
        <v>1051</v>
      </c>
      <c r="L2768" s="8" t="s">
        <v>126</v>
      </c>
      <c r="M2768" s="8" t="s">
        <v>17799</v>
      </c>
      <c r="N2768" s="8" t="s">
        <v>128</v>
      </c>
      <c r="O2768" s="8" t="s">
        <v>17800</v>
      </c>
      <c r="P2768" s="8" t="s">
        <v>1942</v>
      </c>
      <c r="Q2768" s="8" t="s">
        <v>150</v>
      </c>
      <c r="R2768" s="8"/>
      <c r="S2768" s="8" t="s">
        <v>71</v>
      </c>
      <c r="T2768" s="8" t="s">
        <v>6736</v>
      </c>
      <c r="U2768" s="8" t="s">
        <v>150</v>
      </c>
      <c r="V2768" s="8" t="s">
        <v>6736</v>
      </c>
      <c r="W2768" s="8" t="s">
        <v>6736</v>
      </c>
      <c r="X2768" s="8">
        <v>8</v>
      </c>
      <c r="Y2768" s="8" t="s">
        <v>12359</v>
      </c>
      <c r="Z2768" s="8">
        <v>20</v>
      </c>
      <c r="AA2768" s="8">
        <v>0</v>
      </c>
      <c r="AB2768" s="9">
        <v>0</v>
      </c>
    </row>
    <row r="2769" spans="1:28" x14ac:dyDescent="0.2">
      <c r="A2769" s="10">
        <v>23520</v>
      </c>
      <c r="B2769" s="11" t="s">
        <v>17801</v>
      </c>
      <c r="C2769" s="11" t="s">
        <v>16815</v>
      </c>
      <c r="D2769" s="11" t="s">
        <v>17802</v>
      </c>
      <c r="E2769" s="11"/>
      <c r="F2769" s="11" t="s">
        <v>17803</v>
      </c>
      <c r="G2769" s="11" t="s">
        <v>16816</v>
      </c>
      <c r="H2769" s="11" t="s">
        <v>847</v>
      </c>
      <c r="I2769" s="11" t="s">
        <v>16817</v>
      </c>
      <c r="J2769" s="11" t="s">
        <v>17804</v>
      </c>
      <c r="K2769" s="11" t="s">
        <v>1091</v>
      </c>
      <c r="L2769" s="11" t="s">
        <v>126</v>
      </c>
      <c r="M2769" s="11" t="s">
        <v>17805</v>
      </c>
      <c r="N2769" s="11" t="s">
        <v>128</v>
      </c>
      <c r="O2769" s="11" t="s">
        <v>17806</v>
      </c>
      <c r="P2769" s="11" t="s">
        <v>13113</v>
      </c>
      <c r="Q2769" s="11" t="s">
        <v>150</v>
      </c>
      <c r="R2769" s="11"/>
      <c r="S2769" s="11" t="s">
        <v>71</v>
      </c>
      <c r="T2769" s="11" t="s">
        <v>6736</v>
      </c>
      <c r="U2769" s="11" t="s">
        <v>150</v>
      </c>
      <c r="V2769" s="11" t="s">
        <v>6736</v>
      </c>
      <c r="W2769" s="11" t="s">
        <v>6736</v>
      </c>
      <c r="X2769" s="11">
        <v>8</v>
      </c>
      <c r="Y2769" s="11" t="s">
        <v>12359</v>
      </c>
      <c r="Z2769" s="11">
        <v>20</v>
      </c>
      <c r="AA2769" s="11">
        <v>0</v>
      </c>
      <c r="AB2769" s="12">
        <v>0</v>
      </c>
    </row>
    <row r="2770" spans="1:28" x14ac:dyDescent="0.2">
      <c r="A2770" s="7">
        <v>192466</v>
      </c>
      <c r="B2770" s="8" t="s">
        <v>17807</v>
      </c>
      <c r="C2770" s="8" t="s">
        <v>6307</v>
      </c>
      <c r="D2770" s="8" t="s">
        <v>17808</v>
      </c>
      <c r="E2770" s="8"/>
      <c r="F2770" s="8" t="s">
        <v>16885</v>
      </c>
      <c r="G2770" s="8" t="s">
        <v>121</v>
      </c>
      <c r="H2770" s="8" t="s">
        <v>122</v>
      </c>
      <c r="I2770" s="8" t="s">
        <v>16886</v>
      </c>
      <c r="J2770" s="8" t="s">
        <v>17809</v>
      </c>
      <c r="K2770" s="8" t="s">
        <v>1051</v>
      </c>
      <c r="L2770" s="8" t="s">
        <v>126</v>
      </c>
      <c r="M2770" s="8" t="s">
        <v>17810</v>
      </c>
      <c r="N2770" s="8" t="s">
        <v>128</v>
      </c>
      <c r="O2770" s="8" t="s">
        <v>17811</v>
      </c>
      <c r="P2770" s="8"/>
      <c r="Q2770" s="8" t="s">
        <v>150</v>
      </c>
      <c r="R2770" s="8"/>
      <c r="S2770" s="8" t="s">
        <v>71</v>
      </c>
      <c r="T2770" s="8" t="s">
        <v>6736</v>
      </c>
      <c r="U2770" s="8" t="s">
        <v>150</v>
      </c>
      <c r="V2770" s="8" t="s">
        <v>6736</v>
      </c>
      <c r="W2770" s="8" t="s">
        <v>6736</v>
      </c>
      <c r="X2770" s="8">
        <v>8</v>
      </c>
      <c r="Y2770" s="8" t="s">
        <v>12359</v>
      </c>
      <c r="Z2770" s="8">
        <v>20</v>
      </c>
      <c r="AA2770" s="8">
        <v>0</v>
      </c>
      <c r="AB2770" s="9">
        <v>0</v>
      </c>
    </row>
    <row r="2771" spans="1:28" x14ac:dyDescent="0.2">
      <c r="A2771" s="10">
        <v>107609</v>
      </c>
      <c r="B2771" s="11" t="s">
        <v>17812</v>
      </c>
      <c r="C2771" s="11" t="s">
        <v>2257</v>
      </c>
      <c r="D2771" s="11" t="s">
        <v>11650</v>
      </c>
      <c r="E2771" s="11"/>
      <c r="F2771" s="11" t="s">
        <v>11651</v>
      </c>
      <c r="G2771" s="11" t="s">
        <v>521</v>
      </c>
      <c r="H2771" s="11" t="s">
        <v>522</v>
      </c>
      <c r="I2771" s="11" t="s">
        <v>17813</v>
      </c>
      <c r="J2771" s="11" t="s">
        <v>11653</v>
      </c>
      <c r="K2771" s="11" t="s">
        <v>525</v>
      </c>
      <c r="L2771" s="11" t="s">
        <v>526</v>
      </c>
      <c r="M2771" s="11" t="s">
        <v>17814</v>
      </c>
      <c r="N2771" s="11" t="s">
        <v>128</v>
      </c>
      <c r="O2771" s="11" t="s">
        <v>17815</v>
      </c>
      <c r="P2771" s="11"/>
      <c r="Q2771" s="11" t="s">
        <v>150</v>
      </c>
      <c r="R2771" s="11"/>
      <c r="S2771" s="11" t="s">
        <v>2265</v>
      </c>
      <c r="T2771" s="11" t="s">
        <v>1899</v>
      </c>
      <c r="U2771" s="11" t="s">
        <v>150</v>
      </c>
      <c r="V2771" s="11" t="s">
        <v>1899</v>
      </c>
      <c r="W2771" s="11" t="s">
        <v>1899</v>
      </c>
      <c r="X2771" s="11">
        <v>8</v>
      </c>
      <c r="Y2771" s="11" t="s">
        <v>12359</v>
      </c>
      <c r="Z2771" s="11">
        <v>20</v>
      </c>
      <c r="AA2771" s="11">
        <v>0</v>
      </c>
      <c r="AB2771" s="12">
        <v>0</v>
      </c>
    </row>
    <row r="2772" spans="1:28" x14ac:dyDescent="0.2">
      <c r="A2772" s="7">
        <v>119398</v>
      </c>
      <c r="B2772" s="8" t="s">
        <v>17816</v>
      </c>
      <c r="C2772" s="8" t="s">
        <v>17817</v>
      </c>
      <c r="D2772" s="8" t="s">
        <v>138</v>
      </c>
      <c r="E2772" s="8" t="s">
        <v>17818</v>
      </c>
      <c r="F2772" s="8" t="s">
        <v>17819</v>
      </c>
      <c r="G2772" s="8" t="s">
        <v>224</v>
      </c>
      <c r="H2772" s="8" t="s">
        <v>225</v>
      </c>
      <c r="I2772" s="8" t="s">
        <v>17820</v>
      </c>
      <c r="J2772" s="8" t="s">
        <v>17821</v>
      </c>
      <c r="K2772" s="8" t="s">
        <v>228</v>
      </c>
      <c r="L2772" s="8" t="s">
        <v>229</v>
      </c>
      <c r="M2772" s="8" t="s">
        <v>17822</v>
      </c>
      <c r="N2772" s="8" t="s">
        <v>128</v>
      </c>
      <c r="O2772" s="8" t="s">
        <v>17823</v>
      </c>
      <c r="P2772" s="8" t="s">
        <v>17824</v>
      </c>
      <c r="Q2772" s="8" t="s">
        <v>150</v>
      </c>
      <c r="R2772" s="8"/>
      <c r="S2772" s="8" t="s">
        <v>71</v>
      </c>
      <c r="T2772" s="8" t="s">
        <v>869</v>
      </c>
      <c r="U2772" s="8" t="s">
        <v>150</v>
      </c>
      <c r="V2772" s="8" t="s">
        <v>869</v>
      </c>
      <c r="W2772" s="8" t="s">
        <v>869</v>
      </c>
      <c r="X2772" s="8">
        <v>8</v>
      </c>
      <c r="Y2772" s="8" t="s">
        <v>12359</v>
      </c>
      <c r="Z2772" s="8">
        <v>20</v>
      </c>
      <c r="AA2772" s="8">
        <v>0</v>
      </c>
      <c r="AB2772" s="9">
        <v>0</v>
      </c>
    </row>
    <row r="2773" spans="1:28" x14ac:dyDescent="0.2">
      <c r="A2773" s="10">
        <v>22583</v>
      </c>
      <c r="B2773" s="11" t="s">
        <v>17825</v>
      </c>
      <c r="C2773" s="11" t="s">
        <v>15170</v>
      </c>
      <c r="D2773" s="11" t="s">
        <v>553</v>
      </c>
      <c r="E2773" s="11" t="s">
        <v>17826</v>
      </c>
      <c r="F2773" s="11" t="s">
        <v>15171</v>
      </c>
      <c r="G2773" s="11" t="s">
        <v>3364</v>
      </c>
      <c r="H2773" s="11" t="s">
        <v>704</v>
      </c>
      <c r="I2773" s="11" t="s">
        <v>16606</v>
      </c>
      <c r="J2773" s="11" t="s">
        <v>16607</v>
      </c>
      <c r="K2773" s="11" t="s">
        <v>1051</v>
      </c>
      <c r="L2773" s="11" t="s">
        <v>126</v>
      </c>
      <c r="M2773" s="11" t="s">
        <v>17827</v>
      </c>
      <c r="N2773" s="11" t="s">
        <v>128</v>
      </c>
      <c r="O2773" s="11" t="s">
        <v>17828</v>
      </c>
      <c r="P2773" s="11" t="s">
        <v>17829</v>
      </c>
      <c r="Q2773" s="11" t="s">
        <v>150</v>
      </c>
      <c r="R2773" s="11"/>
      <c r="S2773" s="11" t="s">
        <v>15175</v>
      </c>
      <c r="T2773" s="11" t="s">
        <v>2697</v>
      </c>
      <c r="U2773" s="11" t="s">
        <v>150</v>
      </c>
      <c r="V2773" s="11" t="s">
        <v>2697</v>
      </c>
      <c r="W2773" s="11" t="s">
        <v>2697</v>
      </c>
      <c r="X2773" s="11">
        <v>8</v>
      </c>
      <c r="Y2773" s="11" t="s">
        <v>12359</v>
      </c>
      <c r="Z2773" s="11">
        <v>20</v>
      </c>
      <c r="AA2773" s="11">
        <v>0</v>
      </c>
      <c r="AB2773" s="12">
        <v>0</v>
      </c>
    </row>
    <row r="2774" spans="1:28" x14ac:dyDescent="0.2">
      <c r="A2774" s="7">
        <v>22600</v>
      </c>
      <c r="B2774" s="8" t="s">
        <v>17830</v>
      </c>
      <c r="C2774" s="8" t="s">
        <v>17831</v>
      </c>
      <c r="D2774" s="8" t="s">
        <v>17832</v>
      </c>
      <c r="E2774" s="8"/>
      <c r="F2774" s="8" t="s">
        <v>17833</v>
      </c>
      <c r="G2774" s="8" t="s">
        <v>2992</v>
      </c>
      <c r="H2774" s="8" t="s">
        <v>122</v>
      </c>
      <c r="I2774" s="8" t="s">
        <v>17834</v>
      </c>
      <c r="J2774" s="8" t="s">
        <v>17835</v>
      </c>
      <c r="K2774" s="8" t="s">
        <v>125</v>
      </c>
      <c r="L2774" s="8" t="s">
        <v>126</v>
      </c>
      <c r="M2774" s="8" t="s">
        <v>17836</v>
      </c>
      <c r="N2774" s="8" t="s">
        <v>128</v>
      </c>
      <c r="O2774" s="8" t="s">
        <v>17837</v>
      </c>
      <c r="P2774" s="8" t="s">
        <v>17838</v>
      </c>
      <c r="Q2774" s="8" t="s">
        <v>150</v>
      </c>
      <c r="R2774" s="8"/>
      <c r="S2774" s="8" t="s">
        <v>71</v>
      </c>
      <c r="T2774" s="8" t="s">
        <v>2697</v>
      </c>
      <c r="U2774" s="8" t="s">
        <v>150</v>
      </c>
      <c r="V2774" s="8" t="s">
        <v>2697</v>
      </c>
      <c r="W2774" s="8" t="s">
        <v>2697</v>
      </c>
      <c r="X2774" s="8">
        <v>8</v>
      </c>
      <c r="Y2774" s="8" t="s">
        <v>12359</v>
      </c>
      <c r="Z2774" s="8">
        <v>20</v>
      </c>
      <c r="AA2774" s="8">
        <v>0</v>
      </c>
      <c r="AB2774" s="9">
        <v>0</v>
      </c>
    </row>
    <row r="2775" spans="1:28" x14ac:dyDescent="0.2">
      <c r="A2775" s="10">
        <v>93509</v>
      </c>
      <c r="B2775" s="11" t="s">
        <v>17839</v>
      </c>
      <c r="C2775" s="11" t="s">
        <v>17840</v>
      </c>
      <c r="D2775" s="11" t="s">
        <v>17841</v>
      </c>
      <c r="E2775" s="11"/>
      <c r="F2775" s="11" t="s">
        <v>17842</v>
      </c>
      <c r="G2775" s="11" t="s">
        <v>10403</v>
      </c>
      <c r="H2775" s="11" t="s">
        <v>142</v>
      </c>
      <c r="I2775" s="11" t="s">
        <v>17843</v>
      </c>
      <c r="J2775" s="11" t="s">
        <v>17844</v>
      </c>
      <c r="K2775" s="11" t="s">
        <v>472</v>
      </c>
      <c r="L2775" s="11" t="s">
        <v>146</v>
      </c>
      <c r="M2775" s="11" t="s">
        <v>17845</v>
      </c>
      <c r="N2775" s="11" t="s">
        <v>128</v>
      </c>
      <c r="O2775" s="11" t="s">
        <v>17846</v>
      </c>
      <c r="P2775" s="11" t="s">
        <v>17847</v>
      </c>
      <c r="Q2775" s="11" t="s">
        <v>150</v>
      </c>
      <c r="R2775" s="11"/>
      <c r="S2775" s="11" t="s">
        <v>71</v>
      </c>
      <c r="T2775" s="11" t="s">
        <v>2697</v>
      </c>
      <c r="U2775" s="11" t="s">
        <v>150</v>
      </c>
      <c r="V2775" s="11" t="s">
        <v>2697</v>
      </c>
      <c r="W2775" s="11" t="s">
        <v>2697</v>
      </c>
      <c r="X2775" s="11">
        <v>8</v>
      </c>
      <c r="Y2775" s="11" t="s">
        <v>12359</v>
      </c>
      <c r="Z2775" s="11">
        <v>20</v>
      </c>
      <c r="AA2775" s="11">
        <v>0</v>
      </c>
      <c r="AB2775" s="12">
        <v>0</v>
      </c>
    </row>
    <row r="2776" spans="1:28" x14ac:dyDescent="0.2">
      <c r="A2776" s="7">
        <v>22771</v>
      </c>
      <c r="B2776" s="8" t="s">
        <v>17848</v>
      </c>
      <c r="C2776" s="8" t="s">
        <v>409</v>
      </c>
      <c r="D2776" s="8" t="s">
        <v>242</v>
      </c>
      <c r="E2776" s="8"/>
      <c r="F2776" s="8" t="s">
        <v>353</v>
      </c>
      <c r="G2776" s="8" t="s">
        <v>3929</v>
      </c>
      <c r="H2776" s="8" t="s">
        <v>704</v>
      </c>
      <c r="I2776" s="8" t="s">
        <v>4706</v>
      </c>
      <c r="J2776" s="8" t="s">
        <v>17849</v>
      </c>
      <c r="K2776" s="8" t="s">
        <v>850</v>
      </c>
      <c r="L2776" s="8" t="s">
        <v>126</v>
      </c>
      <c r="M2776" s="8" t="s">
        <v>17850</v>
      </c>
      <c r="N2776" s="8" t="s">
        <v>128</v>
      </c>
      <c r="O2776" s="8" t="s">
        <v>17851</v>
      </c>
      <c r="P2776" s="8"/>
      <c r="Q2776" s="8" t="s">
        <v>150</v>
      </c>
      <c r="R2776" s="8"/>
      <c r="S2776" s="8" t="s">
        <v>71</v>
      </c>
      <c r="T2776" s="8" t="s">
        <v>2817</v>
      </c>
      <c r="U2776" s="8" t="s">
        <v>150</v>
      </c>
      <c r="V2776" s="8" t="s">
        <v>2817</v>
      </c>
      <c r="W2776" s="8" t="s">
        <v>2817</v>
      </c>
      <c r="X2776" s="8">
        <v>8</v>
      </c>
      <c r="Y2776" s="8" t="s">
        <v>12359</v>
      </c>
      <c r="Z2776" s="8">
        <v>20</v>
      </c>
      <c r="AA2776" s="8">
        <v>0</v>
      </c>
      <c r="AB2776" s="9">
        <v>0</v>
      </c>
    </row>
    <row r="2777" spans="1:28" x14ac:dyDescent="0.2">
      <c r="A2777" s="10">
        <v>22779</v>
      </c>
      <c r="B2777" s="11" t="s">
        <v>17852</v>
      </c>
      <c r="C2777" s="11" t="s">
        <v>842</v>
      </c>
      <c r="D2777" s="11" t="s">
        <v>11511</v>
      </c>
      <c r="E2777" s="11"/>
      <c r="F2777" s="11" t="s">
        <v>3464</v>
      </c>
      <c r="G2777" s="11" t="s">
        <v>1419</v>
      </c>
      <c r="H2777" s="11" t="s">
        <v>704</v>
      </c>
      <c r="I2777" s="11" t="s">
        <v>12961</v>
      </c>
      <c r="J2777" s="11" t="s">
        <v>17853</v>
      </c>
      <c r="K2777" s="11" t="s">
        <v>707</v>
      </c>
      <c r="L2777" s="11" t="s">
        <v>126</v>
      </c>
      <c r="M2777" s="11" t="s">
        <v>17854</v>
      </c>
      <c r="N2777" s="11" t="s">
        <v>128</v>
      </c>
      <c r="O2777" s="11" t="s">
        <v>17855</v>
      </c>
      <c r="P2777" s="11"/>
      <c r="Q2777" s="11" t="s">
        <v>150</v>
      </c>
      <c r="R2777" s="11"/>
      <c r="S2777" s="11" t="s">
        <v>71</v>
      </c>
      <c r="T2777" s="11" t="s">
        <v>2817</v>
      </c>
      <c r="U2777" s="11" t="s">
        <v>150</v>
      </c>
      <c r="V2777" s="11" t="s">
        <v>2817</v>
      </c>
      <c r="W2777" s="11" t="s">
        <v>2817</v>
      </c>
      <c r="X2777" s="11">
        <v>8</v>
      </c>
      <c r="Y2777" s="11" t="s">
        <v>12359</v>
      </c>
      <c r="Z2777" s="11">
        <v>20</v>
      </c>
      <c r="AA2777" s="11">
        <v>0</v>
      </c>
      <c r="AB2777" s="12">
        <v>0</v>
      </c>
    </row>
    <row r="2778" spans="1:28" x14ac:dyDescent="0.2">
      <c r="A2778" s="7">
        <v>28149</v>
      </c>
      <c r="B2778" s="8" t="s">
        <v>17856</v>
      </c>
      <c r="C2778" s="8" t="s">
        <v>17857</v>
      </c>
      <c r="D2778" s="8" t="s">
        <v>2690</v>
      </c>
      <c r="E2778" s="8"/>
      <c r="F2778" s="8" t="s">
        <v>17858</v>
      </c>
      <c r="G2778" s="8" t="s">
        <v>3929</v>
      </c>
      <c r="H2778" s="8" t="s">
        <v>704</v>
      </c>
      <c r="I2778" s="8" t="s">
        <v>17859</v>
      </c>
      <c r="J2778" s="8" t="s">
        <v>17860</v>
      </c>
      <c r="K2778" s="8" t="s">
        <v>850</v>
      </c>
      <c r="L2778" s="8" t="s">
        <v>126</v>
      </c>
      <c r="M2778" s="8" t="s">
        <v>17861</v>
      </c>
      <c r="N2778" s="8" t="s">
        <v>128</v>
      </c>
      <c r="O2778" s="8"/>
      <c r="P2778" s="8"/>
      <c r="Q2778" s="8" t="s">
        <v>150</v>
      </c>
      <c r="R2778" s="8"/>
      <c r="S2778" s="8" t="s">
        <v>71</v>
      </c>
      <c r="T2778" s="8" t="s">
        <v>2817</v>
      </c>
      <c r="U2778" s="8" t="s">
        <v>150</v>
      </c>
      <c r="V2778" s="8" t="s">
        <v>2817</v>
      </c>
      <c r="W2778" s="8" t="s">
        <v>2817</v>
      </c>
      <c r="X2778" s="8">
        <v>8</v>
      </c>
      <c r="Y2778" s="8" t="s">
        <v>12359</v>
      </c>
      <c r="Z2778" s="8">
        <v>20</v>
      </c>
      <c r="AA2778" s="8">
        <v>0</v>
      </c>
      <c r="AB2778" s="9">
        <v>0</v>
      </c>
    </row>
    <row r="2779" spans="1:28" x14ac:dyDescent="0.2">
      <c r="A2779" s="10">
        <v>28360</v>
      </c>
      <c r="B2779" s="11" t="s">
        <v>17862</v>
      </c>
      <c r="C2779" s="11" t="s">
        <v>7219</v>
      </c>
      <c r="D2779" s="11" t="s">
        <v>5844</v>
      </c>
      <c r="E2779" s="11"/>
      <c r="F2779" s="11" t="s">
        <v>17863</v>
      </c>
      <c r="G2779" s="11" t="s">
        <v>4831</v>
      </c>
      <c r="H2779" s="11" t="s">
        <v>122</v>
      </c>
      <c r="I2779" s="11" t="s">
        <v>17864</v>
      </c>
      <c r="J2779" s="11" t="s">
        <v>17865</v>
      </c>
      <c r="K2779" s="11" t="s">
        <v>1051</v>
      </c>
      <c r="L2779" s="11" t="s">
        <v>126</v>
      </c>
      <c r="M2779" s="11" t="s">
        <v>17866</v>
      </c>
      <c r="N2779" s="11" t="s">
        <v>128</v>
      </c>
      <c r="O2779" s="11" t="s">
        <v>17867</v>
      </c>
      <c r="P2779" s="11" t="s">
        <v>4881</v>
      </c>
      <c r="Q2779" s="11" t="s">
        <v>150</v>
      </c>
      <c r="R2779" s="11"/>
      <c r="S2779" s="11" t="s">
        <v>71</v>
      </c>
      <c r="T2779" s="11" t="s">
        <v>7189</v>
      </c>
      <c r="U2779" s="11" t="s">
        <v>150</v>
      </c>
      <c r="V2779" s="11" t="s">
        <v>7189</v>
      </c>
      <c r="W2779" s="11" t="s">
        <v>7189</v>
      </c>
      <c r="X2779" s="11">
        <v>8</v>
      </c>
      <c r="Y2779" s="11" t="s">
        <v>12359</v>
      </c>
      <c r="Z2779" s="11">
        <v>20</v>
      </c>
      <c r="AA2779" s="11">
        <v>0</v>
      </c>
      <c r="AB2779" s="12">
        <v>0</v>
      </c>
    </row>
    <row r="2780" spans="1:28" x14ac:dyDescent="0.2">
      <c r="A2780" s="7">
        <v>23212</v>
      </c>
      <c r="B2780" s="8" t="s">
        <v>17868</v>
      </c>
      <c r="C2780" s="8" t="s">
        <v>17869</v>
      </c>
      <c r="D2780" s="8" t="s">
        <v>17870</v>
      </c>
      <c r="E2780" s="8" t="s">
        <v>281</v>
      </c>
      <c r="F2780" s="8" t="s">
        <v>353</v>
      </c>
      <c r="G2780" s="8" t="s">
        <v>6338</v>
      </c>
      <c r="H2780" s="8" t="s">
        <v>329</v>
      </c>
      <c r="I2780" s="8" t="s">
        <v>17871</v>
      </c>
      <c r="J2780" s="8" t="s">
        <v>17872</v>
      </c>
      <c r="K2780" s="8" t="s">
        <v>572</v>
      </c>
      <c r="L2780" s="8" t="s">
        <v>333</v>
      </c>
      <c r="M2780" s="8" t="s">
        <v>17873</v>
      </c>
      <c r="N2780" s="8" t="s">
        <v>128</v>
      </c>
      <c r="O2780" s="8" t="s">
        <v>17874</v>
      </c>
      <c r="P2780" s="8" t="s">
        <v>17875</v>
      </c>
      <c r="Q2780" s="8" t="s">
        <v>150</v>
      </c>
      <c r="R2780" s="8"/>
      <c r="S2780" s="8" t="s">
        <v>71</v>
      </c>
      <c r="T2780" s="8" t="s">
        <v>70</v>
      </c>
      <c r="U2780" s="8" t="s">
        <v>150</v>
      </c>
      <c r="V2780" s="8" t="s">
        <v>70</v>
      </c>
      <c r="W2780" s="8" t="s">
        <v>70</v>
      </c>
      <c r="X2780" s="8">
        <v>8</v>
      </c>
      <c r="Y2780" s="8" t="s">
        <v>12359</v>
      </c>
      <c r="Z2780" s="8">
        <v>20</v>
      </c>
      <c r="AA2780" s="8">
        <v>0</v>
      </c>
      <c r="AB2780" s="9">
        <v>0</v>
      </c>
    </row>
    <row r="2781" spans="1:28" x14ac:dyDescent="0.2">
      <c r="A2781" s="10">
        <v>23067</v>
      </c>
      <c r="B2781" s="11" t="s">
        <v>17876</v>
      </c>
      <c r="C2781" s="11" t="s">
        <v>10725</v>
      </c>
      <c r="D2781" s="11" t="s">
        <v>17187</v>
      </c>
      <c r="E2781" s="11" t="s">
        <v>17877</v>
      </c>
      <c r="F2781" s="11" t="s">
        <v>17878</v>
      </c>
      <c r="G2781" s="11" t="s">
        <v>2093</v>
      </c>
      <c r="H2781" s="11" t="s">
        <v>142</v>
      </c>
      <c r="I2781" s="11" t="s">
        <v>10728</v>
      </c>
      <c r="J2781" s="11" t="s">
        <v>17879</v>
      </c>
      <c r="K2781" s="11" t="s">
        <v>651</v>
      </c>
      <c r="L2781" s="11" t="s">
        <v>146</v>
      </c>
      <c r="M2781" s="11" t="s">
        <v>17880</v>
      </c>
      <c r="N2781" s="11" t="s">
        <v>128</v>
      </c>
      <c r="O2781" s="11" t="s">
        <v>17881</v>
      </c>
      <c r="P2781" s="11" t="s">
        <v>518</v>
      </c>
      <c r="Q2781" s="11" t="s">
        <v>150</v>
      </c>
      <c r="R2781" s="11"/>
      <c r="S2781" s="11" t="s">
        <v>71</v>
      </c>
      <c r="T2781" s="11" t="s">
        <v>70</v>
      </c>
      <c r="U2781" s="11" t="s">
        <v>150</v>
      </c>
      <c r="V2781" s="11" t="s">
        <v>70</v>
      </c>
      <c r="W2781" s="11" t="s">
        <v>70</v>
      </c>
      <c r="X2781" s="11">
        <v>8</v>
      </c>
      <c r="Y2781" s="11" t="s">
        <v>12359</v>
      </c>
      <c r="Z2781" s="11">
        <v>20</v>
      </c>
      <c r="AA2781" s="11">
        <v>0</v>
      </c>
      <c r="AB2781" s="12">
        <v>0</v>
      </c>
    </row>
    <row r="2782" spans="1:28" x14ac:dyDescent="0.2">
      <c r="A2782" s="7">
        <v>125062</v>
      </c>
      <c r="B2782" s="8" t="s">
        <v>17882</v>
      </c>
      <c r="C2782" s="8" t="s">
        <v>17883</v>
      </c>
      <c r="D2782" s="8" t="s">
        <v>8869</v>
      </c>
      <c r="E2782" s="8" t="s">
        <v>9506</v>
      </c>
      <c r="F2782" s="8" t="s">
        <v>17884</v>
      </c>
      <c r="G2782" s="8" t="s">
        <v>615</v>
      </c>
      <c r="H2782" s="8" t="s">
        <v>616</v>
      </c>
      <c r="I2782" s="8" t="s">
        <v>17885</v>
      </c>
      <c r="J2782" s="8" t="s">
        <v>17886</v>
      </c>
      <c r="K2782" s="8" t="s">
        <v>619</v>
      </c>
      <c r="L2782" s="8" t="s">
        <v>163</v>
      </c>
      <c r="M2782" s="8" t="s">
        <v>17887</v>
      </c>
      <c r="N2782" s="8" t="s">
        <v>128</v>
      </c>
      <c r="O2782" s="8" t="s">
        <v>17888</v>
      </c>
      <c r="P2782" s="8" t="s">
        <v>816</v>
      </c>
      <c r="Q2782" s="8" t="s">
        <v>150</v>
      </c>
      <c r="R2782" s="8"/>
      <c r="S2782" s="8" t="s">
        <v>71</v>
      </c>
      <c r="T2782" s="8" t="s">
        <v>70</v>
      </c>
      <c r="U2782" s="8" t="s">
        <v>150</v>
      </c>
      <c r="V2782" s="8" t="s">
        <v>70</v>
      </c>
      <c r="W2782" s="8" t="s">
        <v>70</v>
      </c>
      <c r="X2782" s="8">
        <v>8</v>
      </c>
      <c r="Y2782" s="8" t="s">
        <v>12359</v>
      </c>
      <c r="Z2782" s="8">
        <v>20</v>
      </c>
      <c r="AA2782" s="8">
        <v>0</v>
      </c>
      <c r="AB2782" s="9">
        <v>0</v>
      </c>
    </row>
    <row r="2783" spans="1:28" x14ac:dyDescent="0.2">
      <c r="A2783" s="10">
        <v>22961</v>
      </c>
      <c r="B2783" s="11" t="s">
        <v>17889</v>
      </c>
      <c r="C2783" s="11" t="s">
        <v>1622</v>
      </c>
      <c r="D2783" s="11" t="s">
        <v>17769</v>
      </c>
      <c r="E2783" s="11" t="s">
        <v>17890</v>
      </c>
      <c r="F2783" s="11" t="s">
        <v>1625</v>
      </c>
      <c r="G2783" s="11" t="s">
        <v>1626</v>
      </c>
      <c r="H2783" s="11" t="s">
        <v>142</v>
      </c>
      <c r="I2783" s="11" t="s">
        <v>1627</v>
      </c>
      <c r="J2783" s="11" t="s">
        <v>17771</v>
      </c>
      <c r="K2783" s="11" t="s">
        <v>472</v>
      </c>
      <c r="L2783" s="11" t="s">
        <v>146</v>
      </c>
      <c r="M2783" s="11" t="s">
        <v>17891</v>
      </c>
      <c r="N2783" s="11" t="s">
        <v>128</v>
      </c>
      <c r="O2783" s="11" t="s">
        <v>17892</v>
      </c>
      <c r="P2783" s="11" t="s">
        <v>17893</v>
      </c>
      <c r="Q2783" s="11" t="s">
        <v>150</v>
      </c>
      <c r="R2783" s="11"/>
      <c r="S2783" s="11" t="s">
        <v>10715</v>
      </c>
      <c r="T2783" s="11" t="s">
        <v>70</v>
      </c>
      <c r="U2783" s="11" t="s">
        <v>150</v>
      </c>
      <c r="V2783" s="11" t="s">
        <v>70</v>
      </c>
      <c r="W2783" s="11" t="s">
        <v>70</v>
      </c>
      <c r="X2783" s="11">
        <v>8</v>
      </c>
      <c r="Y2783" s="11" t="s">
        <v>12359</v>
      </c>
      <c r="Z2783" s="11">
        <v>20</v>
      </c>
      <c r="AA2783" s="11">
        <v>0</v>
      </c>
      <c r="AB2783" s="12">
        <v>0</v>
      </c>
    </row>
    <row r="2784" spans="1:28" x14ac:dyDescent="0.2">
      <c r="A2784" s="7">
        <v>28456</v>
      </c>
      <c r="B2784" s="8" t="s">
        <v>17894</v>
      </c>
      <c r="C2784" s="8" t="s">
        <v>1840</v>
      </c>
      <c r="D2784" s="8" t="s">
        <v>17895</v>
      </c>
      <c r="E2784" s="8"/>
      <c r="F2784" s="8" t="s">
        <v>353</v>
      </c>
      <c r="G2784" s="8" t="s">
        <v>2652</v>
      </c>
      <c r="H2784" s="8" t="s">
        <v>1843</v>
      </c>
      <c r="I2784" s="8" t="s">
        <v>1844</v>
      </c>
      <c r="J2784" s="8" t="s">
        <v>17896</v>
      </c>
      <c r="K2784" s="8" t="s">
        <v>1562</v>
      </c>
      <c r="L2784" s="8" t="s">
        <v>229</v>
      </c>
      <c r="M2784" s="8" t="s">
        <v>17897</v>
      </c>
      <c r="N2784" s="8" t="s">
        <v>128</v>
      </c>
      <c r="O2784" s="8" t="s">
        <v>17898</v>
      </c>
      <c r="P2784" s="8" t="s">
        <v>5621</v>
      </c>
      <c r="Q2784" s="8" t="s">
        <v>150</v>
      </c>
      <c r="R2784" s="8"/>
      <c r="S2784" s="8" t="s">
        <v>71</v>
      </c>
      <c r="T2784" s="8" t="s">
        <v>70</v>
      </c>
      <c r="U2784" s="8" t="s">
        <v>150</v>
      </c>
      <c r="V2784" s="8" t="s">
        <v>70</v>
      </c>
      <c r="W2784" s="8" t="s">
        <v>70</v>
      </c>
      <c r="X2784" s="8">
        <v>8</v>
      </c>
      <c r="Y2784" s="8" t="s">
        <v>12359</v>
      </c>
      <c r="Z2784" s="8">
        <v>20</v>
      </c>
      <c r="AA2784" s="8">
        <v>0</v>
      </c>
      <c r="AB2784" s="9">
        <v>0</v>
      </c>
    </row>
    <row r="2785" spans="1:28" x14ac:dyDescent="0.2">
      <c r="A2785" s="10">
        <v>28628</v>
      </c>
      <c r="B2785" s="11" t="s">
        <v>17899</v>
      </c>
      <c r="C2785" s="11" t="s">
        <v>17900</v>
      </c>
      <c r="D2785" s="11" t="s">
        <v>17901</v>
      </c>
      <c r="E2785" s="11"/>
      <c r="F2785" s="11"/>
      <c r="G2785" s="11" t="s">
        <v>12090</v>
      </c>
      <c r="H2785" s="11" t="s">
        <v>671</v>
      </c>
      <c r="I2785" s="11" t="s">
        <v>17902</v>
      </c>
      <c r="J2785" s="11" t="s">
        <v>17903</v>
      </c>
      <c r="K2785" s="11" t="s">
        <v>572</v>
      </c>
      <c r="L2785" s="11" t="s">
        <v>333</v>
      </c>
      <c r="M2785" s="11" t="s">
        <v>17904</v>
      </c>
      <c r="N2785" s="11" t="s">
        <v>128</v>
      </c>
      <c r="O2785" s="11" t="s">
        <v>17905</v>
      </c>
      <c r="P2785" s="11" t="s">
        <v>17906</v>
      </c>
      <c r="Q2785" s="11" t="s">
        <v>150</v>
      </c>
      <c r="R2785" s="11"/>
      <c r="S2785" s="11" t="s">
        <v>71</v>
      </c>
      <c r="T2785" s="11" t="s">
        <v>70</v>
      </c>
      <c r="U2785" s="11" t="s">
        <v>150</v>
      </c>
      <c r="V2785" s="11" t="s">
        <v>70</v>
      </c>
      <c r="W2785" s="11" t="s">
        <v>70</v>
      </c>
      <c r="X2785" s="11">
        <v>8</v>
      </c>
      <c r="Y2785" s="11" t="s">
        <v>12359</v>
      </c>
      <c r="Z2785" s="11">
        <v>20</v>
      </c>
      <c r="AA2785" s="11">
        <v>0</v>
      </c>
      <c r="AB2785" s="12">
        <v>0</v>
      </c>
    </row>
    <row r="2786" spans="1:28" x14ac:dyDescent="0.2">
      <c r="A2786" s="7">
        <v>22903</v>
      </c>
      <c r="B2786" s="8" t="s">
        <v>17907</v>
      </c>
      <c r="C2786" s="8" t="s">
        <v>17908</v>
      </c>
      <c r="D2786" s="8" t="s">
        <v>10600</v>
      </c>
      <c r="E2786" s="8"/>
      <c r="F2786" s="8" t="s">
        <v>17909</v>
      </c>
      <c r="G2786" s="8" t="s">
        <v>9598</v>
      </c>
      <c r="H2786" s="8" t="s">
        <v>704</v>
      </c>
      <c r="I2786" s="8" t="s">
        <v>17910</v>
      </c>
      <c r="J2786" s="8" t="s">
        <v>17911</v>
      </c>
      <c r="K2786" s="8" t="s">
        <v>707</v>
      </c>
      <c r="L2786" s="8" t="s">
        <v>126</v>
      </c>
      <c r="M2786" s="8" t="s">
        <v>17912</v>
      </c>
      <c r="N2786" s="8" t="s">
        <v>128</v>
      </c>
      <c r="O2786" s="8" t="s">
        <v>17913</v>
      </c>
      <c r="P2786" s="8" t="s">
        <v>9487</v>
      </c>
      <c r="Q2786" s="8" t="s">
        <v>150</v>
      </c>
      <c r="R2786" s="8"/>
      <c r="S2786" s="8" t="s">
        <v>71</v>
      </c>
      <c r="T2786" s="8" t="s">
        <v>70</v>
      </c>
      <c r="U2786" s="8" t="s">
        <v>150</v>
      </c>
      <c r="V2786" s="8" t="s">
        <v>70</v>
      </c>
      <c r="W2786" s="8" t="s">
        <v>70</v>
      </c>
      <c r="X2786" s="8">
        <v>8</v>
      </c>
      <c r="Y2786" s="8" t="s">
        <v>12359</v>
      </c>
      <c r="Z2786" s="8">
        <v>20</v>
      </c>
      <c r="AA2786" s="8">
        <v>0</v>
      </c>
      <c r="AB2786" s="9">
        <v>0</v>
      </c>
    </row>
    <row r="2787" spans="1:28" x14ac:dyDescent="0.2">
      <c r="A2787" s="10">
        <v>23255</v>
      </c>
      <c r="B2787" s="11" t="s">
        <v>17914</v>
      </c>
      <c r="C2787" s="11" t="s">
        <v>350</v>
      </c>
      <c r="D2787" s="11" t="s">
        <v>10444</v>
      </c>
      <c r="E2787" s="11"/>
      <c r="F2787" s="11" t="s">
        <v>7183</v>
      </c>
      <c r="G2787" s="11" t="s">
        <v>121</v>
      </c>
      <c r="H2787" s="11" t="s">
        <v>122</v>
      </c>
      <c r="I2787" s="11" t="s">
        <v>354</v>
      </c>
      <c r="J2787" s="11" t="s">
        <v>17915</v>
      </c>
      <c r="K2787" s="11" t="s">
        <v>125</v>
      </c>
      <c r="L2787" s="11" t="s">
        <v>126</v>
      </c>
      <c r="M2787" s="11" t="s">
        <v>17916</v>
      </c>
      <c r="N2787" s="11" t="s">
        <v>128</v>
      </c>
      <c r="O2787" s="11" t="s">
        <v>17917</v>
      </c>
      <c r="P2787" s="11" t="s">
        <v>2098</v>
      </c>
      <c r="Q2787" s="11" t="s">
        <v>150</v>
      </c>
      <c r="R2787" s="11"/>
      <c r="S2787" s="11" t="s">
        <v>71</v>
      </c>
      <c r="T2787" s="11" t="s">
        <v>70</v>
      </c>
      <c r="U2787" s="11" t="s">
        <v>150</v>
      </c>
      <c r="V2787" s="11" t="s">
        <v>70</v>
      </c>
      <c r="W2787" s="11" t="s">
        <v>70</v>
      </c>
      <c r="X2787" s="11">
        <v>8</v>
      </c>
      <c r="Y2787" s="11" t="s">
        <v>12359</v>
      </c>
      <c r="Z2787" s="11">
        <v>20</v>
      </c>
      <c r="AA2787" s="11">
        <v>0</v>
      </c>
      <c r="AB2787" s="12">
        <v>0</v>
      </c>
    </row>
    <row r="2788" spans="1:28" x14ac:dyDescent="0.2">
      <c r="A2788" s="7">
        <v>159997</v>
      </c>
      <c r="B2788" s="8" t="s">
        <v>17918</v>
      </c>
      <c r="C2788" s="8" t="s">
        <v>17919</v>
      </c>
      <c r="D2788" s="8" t="s">
        <v>6169</v>
      </c>
      <c r="E2788" s="8"/>
      <c r="F2788" s="8" t="s">
        <v>10016</v>
      </c>
      <c r="G2788" s="8" t="s">
        <v>141</v>
      </c>
      <c r="H2788" s="8" t="s">
        <v>142</v>
      </c>
      <c r="I2788" s="8" t="s">
        <v>14205</v>
      </c>
      <c r="J2788" s="8" t="s">
        <v>17920</v>
      </c>
      <c r="K2788" s="8" t="s">
        <v>145</v>
      </c>
      <c r="L2788" s="8" t="s">
        <v>146</v>
      </c>
      <c r="M2788" s="8" t="s">
        <v>17921</v>
      </c>
      <c r="N2788" s="8" t="s">
        <v>128</v>
      </c>
      <c r="O2788" s="8" t="s">
        <v>17922</v>
      </c>
      <c r="P2788" s="8" t="s">
        <v>17923</v>
      </c>
      <c r="Q2788" s="8" t="s">
        <v>150</v>
      </c>
      <c r="R2788" s="8"/>
      <c r="S2788" s="8" t="s">
        <v>71</v>
      </c>
      <c r="T2788" s="8" t="s">
        <v>70</v>
      </c>
      <c r="U2788" s="8" t="s">
        <v>150</v>
      </c>
      <c r="V2788" s="8" t="s">
        <v>70</v>
      </c>
      <c r="W2788" s="8" t="s">
        <v>70</v>
      </c>
      <c r="X2788" s="8">
        <v>8</v>
      </c>
      <c r="Y2788" s="8" t="s">
        <v>12359</v>
      </c>
      <c r="Z2788" s="8">
        <v>20</v>
      </c>
      <c r="AA2788" s="8">
        <v>0</v>
      </c>
      <c r="AB2788" s="9">
        <v>0</v>
      </c>
    </row>
    <row r="2789" spans="1:28" x14ac:dyDescent="0.2">
      <c r="A2789" s="10">
        <v>110261</v>
      </c>
      <c r="B2789" s="11" t="s">
        <v>17924</v>
      </c>
      <c r="C2789" s="11" t="s">
        <v>16630</v>
      </c>
      <c r="D2789" s="11" t="s">
        <v>1064</v>
      </c>
      <c r="E2789" s="11"/>
      <c r="F2789" s="11" t="s">
        <v>4062</v>
      </c>
      <c r="G2789" s="11" t="s">
        <v>776</v>
      </c>
      <c r="H2789" s="11" t="s">
        <v>142</v>
      </c>
      <c r="I2789" s="11" t="s">
        <v>16632</v>
      </c>
      <c r="J2789" s="11" t="s">
        <v>16633</v>
      </c>
      <c r="K2789" s="11" t="s">
        <v>779</v>
      </c>
      <c r="L2789" s="11" t="s">
        <v>464</v>
      </c>
      <c r="M2789" s="11" t="s">
        <v>17925</v>
      </c>
      <c r="N2789" s="11" t="s">
        <v>128</v>
      </c>
      <c r="O2789" s="11" t="s">
        <v>17926</v>
      </c>
      <c r="P2789" s="11" t="s">
        <v>10190</v>
      </c>
      <c r="Q2789" s="11" t="s">
        <v>150</v>
      </c>
      <c r="R2789" s="11"/>
      <c r="S2789" s="11" t="s">
        <v>16636</v>
      </c>
      <c r="T2789" s="11" t="s">
        <v>70</v>
      </c>
      <c r="U2789" s="11" t="s">
        <v>150</v>
      </c>
      <c r="V2789" s="11" t="s">
        <v>70</v>
      </c>
      <c r="W2789" s="11" t="s">
        <v>70</v>
      </c>
      <c r="X2789" s="11">
        <v>8</v>
      </c>
      <c r="Y2789" s="11" t="s">
        <v>12359</v>
      </c>
      <c r="Z2789" s="11">
        <v>20</v>
      </c>
      <c r="AA2789" s="11">
        <v>0</v>
      </c>
      <c r="AB2789" s="12">
        <v>0</v>
      </c>
    </row>
    <row r="2790" spans="1:28" x14ac:dyDescent="0.2">
      <c r="A2790" s="7">
        <v>28457</v>
      </c>
      <c r="B2790" s="8" t="s">
        <v>17927</v>
      </c>
      <c r="C2790" s="8" t="s">
        <v>17725</v>
      </c>
      <c r="D2790" s="8" t="s">
        <v>2432</v>
      </c>
      <c r="E2790" s="8"/>
      <c r="F2790" s="8" t="s">
        <v>17726</v>
      </c>
      <c r="G2790" s="8" t="s">
        <v>141</v>
      </c>
      <c r="H2790" s="8" t="s">
        <v>142</v>
      </c>
      <c r="I2790" s="8" t="s">
        <v>17727</v>
      </c>
      <c r="J2790" s="8" t="s">
        <v>17728</v>
      </c>
      <c r="K2790" s="8" t="s">
        <v>584</v>
      </c>
      <c r="L2790" s="8" t="s">
        <v>146</v>
      </c>
      <c r="M2790" s="8" t="s">
        <v>17928</v>
      </c>
      <c r="N2790" s="8" t="s">
        <v>128</v>
      </c>
      <c r="O2790" s="8" t="s">
        <v>17929</v>
      </c>
      <c r="P2790" s="8" t="s">
        <v>541</v>
      </c>
      <c r="Q2790" s="8" t="s">
        <v>150</v>
      </c>
      <c r="R2790" s="8"/>
      <c r="S2790" s="8" t="s">
        <v>17731</v>
      </c>
      <c r="T2790" s="8" t="s">
        <v>70</v>
      </c>
      <c r="U2790" s="8" t="s">
        <v>150</v>
      </c>
      <c r="V2790" s="8" t="s">
        <v>70</v>
      </c>
      <c r="W2790" s="8" t="s">
        <v>70</v>
      </c>
      <c r="X2790" s="8">
        <v>8</v>
      </c>
      <c r="Y2790" s="8" t="s">
        <v>12359</v>
      </c>
      <c r="Z2790" s="8">
        <v>20</v>
      </c>
      <c r="AA2790" s="8">
        <v>0</v>
      </c>
      <c r="AB2790" s="9">
        <v>0</v>
      </c>
    </row>
    <row r="2791" spans="1:28" x14ac:dyDescent="0.2">
      <c r="A2791" s="10">
        <v>23446</v>
      </c>
      <c r="B2791" s="11" t="s">
        <v>17930</v>
      </c>
      <c r="C2791" s="11" t="s">
        <v>17931</v>
      </c>
      <c r="D2791" s="11" t="s">
        <v>1206</v>
      </c>
      <c r="E2791" s="11"/>
      <c r="F2791" s="11" t="s">
        <v>353</v>
      </c>
      <c r="G2791" s="11" t="s">
        <v>17932</v>
      </c>
      <c r="H2791" s="11" t="s">
        <v>142</v>
      </c>
      <c r="I2791" s="11" t="s">
        <v>17933</v>
      </c>
      <c r="J2791" s="11" t="s">
        <v>17934</v>
      </c>
      <c r="K2791" s="11" t="s">
        <v>779</v>
      </c>
      <c r="L2791" s="11" t="s">
        <v>464</v>
      </c>
      <c r="M2791" s="11" t="s">
        <v>17935</v>
      </c>
      <c r="N2791" s="11" t="s">
        <v>128</v>
      </c>
      <c r="O2791" s="11" t="s">
        <v>17936</v>
      </c>
      <c r="P2791" s="11" t="s">
        <v>17937</v>
      </c>
      <c r="Q2791" s="11" t="s">
        <v>150</v>
      </c>
      <c r="R2791" s="11"/>
      <c r="S2791" s="11" t="s">
        <v>71</v>
      </c>
      <c r="T2791" s="11" t="s">
        <v>1415</v>
      </c>
      <c r="U2791" s="11" t="s">
        <v>150</v>
      </c>
      <c r="V2791" s="11" t="s">
        <v>1415</v>
      </c>
      <c r="W2791" s="11" t="s">
        <v>1415</v>
      </c>
      <c r="X2791" s="11">
        <v>8</v>
      </c>
      <c r="Y2791" s="11" t="s">
        <v>12359</v>
      </c>
      <c r="Z2791" s="11">
        <v>20</v>
      </c>
      <c r="AA2791" s="11">
        <v>0</v>
      </c>
      <c r="AB2791" s="12">
        <v>0</v>
      </c>
    </row>
    <row r="2792" spans="1:28" x14ac:dyDescent="0.2">
      <c r="A2792" s="7">
        <v>23494</v>
      </c>
      <c r="B2792" s="8" t="s">
        <v>17938</v>
      </c>
      <c r="C2792" s="8" t="s">
        <v>17939</v>
      </c>
      <c r="D2792" s="8" t="s">
        <v>4011</v>
      </c>
      <c r="E2792" s="8"/>
      <c r="F2792" s="8" t="s">
        <v>353</v>
      </c>
      <c r="G2792" s="8" t="s">
        <v>16732</v>
      </c>
      <c r="H2792" s="8" t="s">
        <v>142</v>
      </c>
      <c r="I2792" s="8" t="s">
        <v>17940</v>
      </c>
      <c r="J2792" s="8" t="s">
        <v>17941</v>
      </c>
      <c r="K2792" s="8" t="s">
        <v>1199</v>
      </c>
      <c r="L2792" s="8" t="s">
        <v>464</v>
      </c>
      <c r="M2792" s="8" t="s">
        <v>17942</v>
      </c>
      <c r="N2792" s="8" t="s">
        <v>128</v>
      </c>
      <c r="O2792" s="8" t="s">
        <v>17943</v>
      </c>
      <c r="P2792" s="8" t="s">
        <v>17944</v>
      </c>
      <c r="Q2792" s="8" t="s">
        <v>150</v>
      </c>
      <c r="R2792" s="8"/>
      <c r="S2792" s="8" t="s">
        <v>71</v>
      </c>
      <c r="T2792" s="8" t="s">
        <v>1415</v>
      </c>
      <c r="U2792" s="8" t="s">
        <v>150</v>
      </c>
      <c r="V2792" s="8" t="s">
        <v>1415</v>
      </c>
      <c r="W2792" s="8" t="s">
        <v>1415</v>
      </c>
      <c r="X2792" s="8">
        <v>8</v>
      </c>
      <c r="Y2792" s="8" t="s">
        <v>12359</v>
      </c>
      <c r="Z2792" s="8">
        <v>20</v>
      </c>
      <c r="AA2792" s="8">
        <v>0</v>
      </c>
      <c r="AB2792" s="9">
        <v>0</v>
      </c>
    </row>
    <row r="2793" spans="1:28" x14ac:dyDescent="0.2">
      <c r="A2793" s="10">
        <v>28719</v>
      </c>
      <c r="B2793" s="11" t="s">
        <v>17945</v>
      </c>
      <c r="C2793" s="11" t="s">
        <v>4603</v>
      </c>
      <c r="D2793" s="11" t="s">
        <v>259</v>
      </c>
      <c r="E2793" s="11"/>
      <c r="F2793" s="11" t="s">
        <v>353</v>
      </c>
      <c r="G2793" s="11" t="s">
        <v>17946</v>
      </c>
      <c r="H2793" s="11" t="s">
        <v>142</v>
      </c>
      <c r="I2793" s="11" t="s">
        <v>17947</v>
      </c>
      <c r="J2793" s="11" t="s">
        <v>17948</v>
      </c>
      <c r="K2793" s="11" t="s">
        <v>1673</v>
      </c>
      <c r="L2793" s="11" t="s">
        <v>464</v>
      </c>
      <c r="M2793" s="11" t="s">
        <v>17949</v>
      </c>
      <c r="N2793" s="11" t="s">
        <v>128</v>
      </c>
      <c r="O2793" s="11" t="s">
        <v>17950</v>
      </c>
      <c r="P2793" s="11" t="s">
        <v>17951</v>
      </c>
      <c r="Q2793" s="11" t="s">
        <v>150</v>
      </c>
      <c r="R2793" s="11"/>
      <c r="S2793" s="11" t="s">
        <v>71</v>
      </c>
      <c r="T2793" s="11" t="s">
        <v>1415</v>
      </c>
      <c r="U2793" s="11" t="s">
        <v>150</v>
      </c>
      <c r="V2793" s="11" t="s">
        <v>1415</v>
      </c>
      <c r="W2793" s="11" t="s">
        <v>1415</v>
      </c>
      <c r="X2793" s="11">
        <v>8</v>
      </c>
      <c r="Y2793" s="11" t="s">
        <v>12359</v>
      </c>
      <c r="Z2793" s="11">
        <v>20</v>
      </c>
      <c r="AA2793" s="11">
        <v>0</v>
      </c>
      <c r="AB2793" s="12">
        <v>0</v>
      </c>
    </row>
    <row r="2794" spans="1:28" x14ac:dyDescent="0.2">
      <c r="A2794" s="7">
        <v>37968</v>
      </c>
      <c r="B2794" s="8" t="s">
        <v>17952</v>
      </c>
      <c r="C2794" s="8" t="s">
        <v>12882</v>
      </c>
      <c r="D2794" s="8" t="s">
        <v>11411</v>
      </c>
      <c r="E2794" s="8"/>
      <c r="F2794" s="8" t="s">
        <v>353</v>
      </c>
      <c r="G2794" s="8" t="s">
        <v>17176</v>
      </c>
      <c r="H2794" s="8" t="s">
        <v>329</v>
      </c>
      <c r="I2794" s="8" t="s">
        <v>17177</v>
      </c>
      <c r="J2794" s="8" t="s">
        <v>17953</v>
      </c>
      <c r="K2794" s="8" t="s">
        <v>572</v>
      </c>
      <c r="L2794" s="8" t="s">
        <v>333</v>
      </c>
      <c r="M2794" s="8" t="s">
        <v>17954</v>
      </c>
      <c r="N2794" s="8" t="s">
        <v>128</v>
      </c>
      <c r="O2794" s="8" t="s">
        <v>17955</v>
      </c>
      <c r="P2794" s="8" t="s">
        <v>17956</v>
      </c>
      <c r="Q2794" s="8" t="s">
        <v>150</v>
      </c>
      <c r="R2794" s="8"/>
      <c r="S2794" s="8" t="s">
        <v>71</v>
      </c>
      <c r="T2794" s="8" t="s">
        <v>1415</v>
      </c>
      <c r="U2794" s="8" t="s">
        <v>150</v>
      </c>
      <c r="V2794" s="8" t="s">
        <v>1415</v>
      </c>
      <c r="W2794" s="8" t="s">
        <v>1415</v>
      </c>
      <c r="X2794" s="8">
        <v>8</v>
      </c>
      <c r="Y2794" s="8" t="s">
        <v>12359</v>
      </c>
      <c r="Z2794" s="8">
        <v>20</v>
      </c>
      <c r="AA2794" s="8">
        <v>0</v>
      </c>
      <c r="AB2794" s="9">
        <v>0</v>
      </c>
    </row>
    <row r="2795" spans="1:28" x14ac:dyDescent="0.2">
      <c r="A2795" s="10">
        <v>49707</v>
      </c>
      <c r="B2795" s="11" t="s">
        <v>17957</v>
      </c>
      <c r="C2795" s="11" t="s">
        <v>17958</v>
      </c>
      <c r="D2795" s="11" t="s">
        <v>3427</v>
      </c>
      <c r="E2795" s="11"/>
      <c r="F2795" s="11" t="s">
        <v>353</v>
      </c>
      <c r="G2795" s="11" t="s">
        <v>17959</v>
      </c>
      <c r="H2795" s="11" t="s">
        <v>142</v>
      </c>
      <c r="I2795" s="11" t="s">
        <v>17960</v>
      </c>
      <c r="J2795" s="11" t="s">
        <v>17961</v>
      </c>
      <c r="K2795" s="11" t="s">
        <v>1199</v>
      </c>
      <c r="L2795" s="11" t="s">
        <v>464</v>
      </c>
      <c r="M2795" s="11" t="s">
        <v>17962</v>
      </c>
      <c r="N2795" s="11" t="s">
        <v>128</v>
      </c>
      <c r="O2795" s="11" t="s">
        <v>17963</v>
      </c>
      <c r="P2795" s="11" t="s">
        <v>17964</v>
      </c>
      <c r="Q2795" s="11" t="s">
        <v>150</v>
      </c>
      <c r="R2795" s="11"/>
      <c r="S2795" s="11" t="s">
        <v>71</v>
      </c>
      <c r="T2795" s="11" t="s">
        <v>1415</v>
      </c>
      <c r="U2795" s="11" t="s">
        <v>150</v>
      </c>
      <c r="V2795" s="11" t="s">
        <v>1415</v>
      </c>
      <c r="W2795" s="11" t="s">
        <v>1415</v>
      </c>
      <c r="X2795" s="11">
        <v>8</v>
      </c>
      <c r="Y2795" s="11" t="s">
        <v>12359</v>
      </c>
      <c r="Z2795" s="11">
        <v>20</v>
      </c>
      <c r="AA2795" s="11">
        <v>0</v>
      </c>
      <c r="AB2795" s="12">
        <v>0</v>
      </c>
    </row>
    <row r="2796" spans="1:28" x14ac:dyDescent="0.2">
      <c r="A2796" s="7">
        <v>23719</v>
      </c>
      <c r="B2796" s="8" t="s">
        <v>17965</v>
      </c>
      <c r="C2796" s="8" t="s">
        <v>15799</v>
      </c>
      <c r="D2796" s="8" t="s">
        <v>15800</v>
      </c>
      <c r="E2796" s="8" t="s">
        <v>17966</v>
      </c>
      <c r="F2796" s="8" t="s">
        <v>15801</v>
      </c>
      <c r="G2796" s="8" t="s">
        <v>3929</v>
      </c>
      <c r="H2796" s="8" t="s">
        <v>704</v>
      </c>
      <c r="I2796" s="8" t="s">
        <v>15802</v>
      </c>
      <c r="J2796" s="8" t="s">
        <v>15803</v>
      </c>
      <c r="K2796" s="8" t="s">
        <v>850</v>
      </c>
      <c r="L2796" s="8" t="s">
        <v>126</v>
      </c>
      <c r="M2796" s="8" t="s">
        <v>17967</v>
      </c>
      <c r="N2796" s="8" t="s">
        <v>128</v>
      </c>
      <c r="O2796" s="8" t="s">
        <v>17968</v>
      </c>
      <c r="P2796" s="8" t="s">
        <v>3097</v>
      </c>
      <c r="Q2796" s="8" t="s">
        <v>150</v>
      </c>
      <c r="R2796" s="8"/>
      <c r="S2796" s="8" t="s">
        <v>15807</v>
      </c>
      <c r="T2796" s="8" t="s">
        <v>168</v>
      </c>
      <c r="U2796" s="8" t="s">
        <v>150</v>
      </c>
      <c r="V2796" s="8" t="s">
        <v>168</v>
      </c>
      <c r="W2796" s="8" t="s">
        <v>168</v>
      </c>
      <c r="X2796" s="8">
        <v>8</v>
      </c>
      <c r="Y2796" s="8" t="s">
        <v>12359</v>
      </c>
      <c r="Z2796" s="8">
        <v>20</v>
      </c>
      <c r="AA2796" s="8">
        <v>0</v>
      </c>
      <c r="AB2796" s="9">
        <v>0</v>
      </c>
    </row>
    <row r="2797" spans="1:28" x14ac:dyDescent="0.2">
      <c r="A2797" s="10">
        <v>23556</v>
      </c>
      <c r="B2797" s="11" t="s">
        <v>17969</v>
      </c>
      <c r="C2797" s="11" t="s">
        <v>17970</v>
      </c>
      <c r="D2797" s="11" t="s">
        <v>1362</v>
      </c>
      <c r="E2797" s="11"/>
      <c r="F2797" s="11" t="s">
        <v>353</v>
      </c>
      <c r="G2797" s="11" t="s">
        <v>17971</v>
      </c>
      <c r="H2797" s="11" t="s">
        <v>142</v>
      </c>
      <c r="I2797" s="11" t="s">
        <v>17972</v>
      </c>
      <c r="J2797" s="11" t="s">
        <v>17973</v>
      </c>
      <c r="K2797" s="11" t="s">
        <v>1199</v>
      </c>
      <c r="L2797" s="11" t="s">
        <v>464</v>
      </c>
      <c r="M2797" s="11" t="s">
        <v>17974</v>
      </c>
      <c r="N2797" s="11" t="s">
        <v>128</v>
      </c>
      <c r="O2797" s="11" t="s">
        <v>17975</v>
      </c>
      <c r="P2797" s="11" t="s">
        <v>17976</v>
      </c>
      <c r="Q2797" s="11" t="s">
        <v>150</v>
      </c>
      <c r="R2797" s="11"/>
      <c r="S2797" s="11" t="s">
        <v>71</v>
      </c>
      <c r="T2797" s="11" t="s">
        <v>168</v>
      </c>
      <c r="U2797" s="11" t="s">
        <v>150</v>
      </c>
      <c r="V2797" s="11" t="s">
        <v>168</v>
      </c>
      <c r="W2797" s="11" t="s">
        <v>168</v>
      </c>
      <c r="X2797" s="11">
        <v>8</v>
      </c>
      <c r="Y2797" s="11" t="s">
        <v>12359</v>
      </c>
      <c r="Z2797" s="11">
        <v>20</v>
      </c>
      <c r="AA2797" s="11">
        <v>0</v>
      </c>
      <c r="AB2797" s="12">
        <v>0</v>
      </c>
    </row>
    <row r="2798" spans="1:28" x14ac:dyDescent="0.2">
      <c r="A2798" s="7">
        <v>28913</v>
      </c>
      <c r="B2798" s="8" t="s">
        <v>17977</v>
      </c>
      <c r="C2798" s="8" t="s">
        <v>4603</v>
      </c>
      <c r="D2798" s="8" t="s">
        <v>1362</v>
      </c>
      <c r="E2798" s="8"/>
      <c r="F2798" s="8" t="s">
        <v>353</v>
      </c>
      <c r="G2798" s="8" t="s">
        <v>17946</v>
      </c>
      <c r="H2798" s="8" t="s">
        <v>142</v>
      </c>
      <c r="I2798" s="8" t="s">
        <v>17947</v>
      </c>
      <c r="J2798" s="8" t="s">
        <v>17978</v>
      </c>
      <c r="K2798" s="8" t="s">
        <v>1673</v>
      </c>
      <c r="L2798" s="8" t="s">
        <v>464</v>
      </c>
      <c r="M2798" s="8" t="s">
        <v>17979</v>
      </c>
      <c r="N2798" s="8" t="s">
        <v>128</v>
      </c>
      <c r="O2798" s="8" t="s">
        <v>17980</v>
      </c>
      <c r="P2798" s="8" t="s">
        <v>2443</v>
      </c>
      <c r="Q2798" s="8" t="s">
        <v>150</v>
      </c>
      <c r="R2798" s="8"/>
      <c r="S2798" s="8" t="s">
        <v>71</v>
      </c>
      <c r="T2798" s="8" t="s">
        <v>168</v>
      </c>
      <c r="U2798" s="8" t="s">
        <v>150</v>
      </c>
      <c r="V2798" s="8" t="s">
        <v>168</v>
      </c>
      <c r="W2798" s="8" t="s">
        <v>168</v>
      </c>
      <c r="X2798" s="8">
        <v>8</v>
      </c>
      <c r="Y2798" s="8" t="s">
        <v>12359</v>
      </c>
      <c r="Z2798" s="8">
        <v>20</v>
      </c>
      <c r="AA2798" s="8">
        <v>0</v>
      </c>
      <c r="AB2798" s="9">
        <v>0</v>
      </c>
    </row>
    <row r="2799" spans="1:28" x14ac:dyDescent="0.2">
      <c r="A2799" s="10">
        <v>214587</v>
      </c>
      <c r="B2799" s="11" t="s">
        <v>17981</v>
      </c>
      <c r="C2799" s="11" t="s">
        <v>17982</v>
      </c>
      <c r="D2799" s="11" t="s">
        <v>1334</v>
      </c>
      <c r="E2799" s="11"/>
      <c r="F2799" s="11" t="s">
        <v>353</v>
      </c>
      <c r="G2799" s="11" t="s">
        <v>7329</v>
      </c>
      <c r="H2799" s="11" t="s">
        <v>1953</v>
      </c>
      <c r="I2799" s="11" t="s">
        <v>17983</v>
      </c>
      <c r="J2799" s="11" t="s">
        <v>17984</v>
      </c>
      <c r="K2799" s="11" t="s">
        <v>1956</v>
      </c>
      <c r="L2799" s="11" t="s">
        <v>526</v>
      </c>
      <c r="M2799" s="11" t="s">
        <v>17985</v>
      </c>
      <c r="N2799" s="11" t="s">
        <v>128</v>
      </c>
      <c r="O2799" s="11" t="s">
        <v>17986</v>
      </c>
      <c r="P2799" s="11" t="s">
        <v>6636</v>
      </c>
      <c r="Q2799" s="11" t="s">
        <v>150</v>
      </c>
      <c r="R2799" s="11"/>
      <c r="S2799" s="11" t="s">
        <v>71</v>
      </c>
      <c r="T2799" s="11" t="s">
        <v>168</v>
      </c>
      <c r="U2799" s="11" t="s">
        <v>150</v>
      </c>
      <c r="V2799" s="11" t="s">
        <v>168</v>
      </c>
      <c r="W2799" s="11" t="s">
        <v>168</v>
      </c>
      <c r="X2799" s="11">
        <v>8</v>
      </c>
      <c r="Y2799" s="11" t="s">
        <v>12359</v>
      </c>
      <c r="Z2799" s="11">
        <v>20</v>
      </c>
      <c r="AA2799" s="11">
        <v>0</v>
      </c>
      <c r="AB2799" s="12">
        <v>0</v>
      </c>
    </row>
    <row r="2800" spans="1:28" x14ac:dyDescent="0.2">
      <c r="A2800" s="7">
        <v>23861</v>
      </c>
      <c r="B2800" s="8" t="s">
        <v>17987</v>
      </c>
      <c r="C2800" s="8" t="s">
        <v>17988</v>
      </c>
      <c r="D2800" s="8" t="s">
        <v>2542</v>
      </c>
      <c r="E2800" s="8"/>
      <c r="F2800" s="8" t="s">
        <v>17989</v>
      </c>
      <c r="G2800" s="8" t="s">
        <v>158</v>
      </c>
      <c r="H2800" s="8" t="s">
        <v>159</v>
      </c>
      <c r="I2800" s="8" t="s">
        <v>17990</v>
      </c>
      <c r="J2800" s="8" t="s">
        <v>17991</v>
      </c>
      <c r="K2800" s="8" t="s">
        <v>274</v>
      </c>
      <c r="L2800" s="8" t="s">
        <v>163</v>
      </c>
      <c r="M2800" s="8" t="s">
        <v>17992</v>
      </c>
      <c r="N2800" s="8" t="s">
        <v>128</v>
      </c>
      <c r="O2800" s="8" t="s">
        <v>17993</v>
      </c>
      <c r="P2800" s="8" t="s">
        <v>7076</v>
      </c>
      <c r="Q2800" s="8" t="s">
        <v>150</v>
      </c>
      <c r="R2800" s="8"/>
      <c r="S2800" s="8" t="s">
        <v>71</v>
      </c>
      <c r="T2800" s="8" t="s">
        <v>168</v>
      </c>
      <c r="U2800" s="8" t="s">
        <v>150</v>
      </c>
      <c r="V2800" s="8" t="s">
        <v>168</v>
      </c>
      <c r="W2800" s="8" t="s">
        <v>168</v>
      </c>
      <c r="X2800" s="8">
        <v>8</v>
      </c>
      <c r="Y2800" s="8" t="s">
        <v>12359</v>
      </c>
      <c r="Z2800" s="8">
        <v>20</v>
      </c>
      <c r="AA2800" s="8">
        <v>0</v>
      </c>
      <c r="AB2800" s="9">
        <v>0</v>
      </c>
    </row>
    <row r="2801" spans="1:28" x14ac:dyDescent="0.2">
      <c r="A2801" s="10">
        <v>23917</v>
      </c>
      <c r="B2801" s="11" t="s">
        <v>17994</v>
      </c>
      <c r="C2801" s="11" t="s">
        <v>12003</v>
      </c>
      <c r="D2801" s="11" t="s">
        <v>11831</v>
      </c>
      <c r="E2801" s="11"/>
      <c r="F2801" s="11" t="s">
        <v>10982</v>
      </c>
      <c r="G2801" s="11" t="s">
        <v>10983</v>
      </c>
      <c r="H2801" s="11" t="s">
        <v>142</v>
      </c>
      <c r="I2801" s="11" t="s">
        <v>12005</v>
      </c>
      <c r="J2801" s="11" t="s">
        <v>17995</v>
      </c>
      <c r="K2801" s="11" t="s">
        <v>1199</v>
      </c>
      <c r="L2801" s="11" t="s">
        <v>464</v>
      </c>
      <c r="M2801" s="11" t="s">
        <v>17996</v>
      </c>
      <c r="N2801" s="11" t="s">
        <v>128</v>
      </c>
      <c r="O2801" s="11" t="s">
        <v>17997</v>
      </c>
      <c r="P2801" s="11" t="s">
        <v>15030</v>
      </c>
      <c r="Q2801" s="11" t="s">
        <v>150</v>
      </c>
      <c r="R2801" s="11"/>
      <c r="S2801" s="11" t="s">
        <v>71</v>
      </c>
      <c r="T2801" s="11" t="s">
        <v>168</v>
      </c>
      <c r="U2801" s="11" t="s">
        <v>150</v>
      </c>
      <c r="V2801" s="11" t="s">
        <v>168</v>
      </c>
      <c r="W2801" s="11" t="s">
        <v>168</v>
      </c>
      <c r="X2801" s="11">
        <v>8</v>
      </c>
      <c r="Y2801" s="11" t="s">
        <v>12359</v>
      </c>
      <c r="Z2801" s="11">
        <v>20</v>
      </c>
      <c r="AA2801" s="11">
        <v>0</v>
      </c>
      <c r="AB2801" s="12">
        <v>0</v>
      </c>
    </row>
    <row r="2802" spans="1:28" x14ac:dyDescent="0.2">
      <c r="A2802" s="7">
        <v>124365</v>
      </c>
      <c r="B2802" s="8" t="s">
        <v>17998</v>
      </c>
      <c r="C2802" s="8" t="s">
        <v>17999</v>
      </c>
      <c r="D2802" s="8" t="s">
        <v>18000</v>
      </c>
      <c r="E2802" s="8"/>
      <c r="F2802" s="8" t="s">
        <v>18001</v>
      </c>
      <c r="G2802" s="8" t="s">
        <v>1952</v>
      </c>
      <c r="H2802" s="8" t="s">
        <v>1953</v>
      </c>
      <c r="I2802" s="8" t="s">
        <v>18002</v>
      </c>
      <c r="J2802" s="8" t="s">
        <v>18003</v>
      </c>
      <c r="K2802" s="8" t="s">
        <v>1956</v>
      </c>
      <c r="L2802" s="8" t="s">
        <v>526</v>
      </c>
      <c r="M2802" s="8" t="s">
        <v>18004</v>
      </c>
      <c r="N2802" s="8" t="s">
        <v>128</v>
      </c>
      <c r="O2802" s="8" t="s">
        <v>18005</v>
      </c>
      <c r="P2802" s="8" t="s">
        <v>4810</v>
      </c>
      <c r="Q2802" s="8" t="s">
        <v>150</v>
      </c>
      <c r="R2802" s="8"/>
      <c r="S2802" s="8" t="s">
        <v>71</v>
      </c>
      <c r="T2802" s="8" t="s">
        <v>168</v>
      </c>
      <c r="U2802" s="8" t="s">
        <v>150</v>
      </c>
      <c r="V2802" s="8" t="s">
        <v>168</v>
      </c>
      <c r="W2802" s="8" t="s">
        <v>168</v>
      </c>
      <c r="X2802" s="8">
        <v>8</v>
      </c>
      <c r="Y2802" s="8" t="s">
        <v>12359</v>
      </c>
      <c r="Z2802" s="8">
        <v>20</v>
      </c>
      <c r="AA2802" s="8">
        <v>0</v>
      </c>
      <c r="AB2802" s="9">
        <v>0</v>
      </c>
    </row>
    <row r="2803" spans="1:28" x14ac:dyDescent="0.2">
      <c r="A2803" s="10">
        <v>214042</v>
      </c>
      <c r="B2803" s="11" t="s">
        <v>18006</v>
      </c>
      <c r="C2803" s="11" t="s">
        <v>4964</v>
      </c>
      <c r="D2803" s="11" t="s">
        <v>5844</v>
      </c>
      <c r="E2803" s="11"/>
      <c r="F2803" s="11" t="s">
        <v>173</v>
      </c>
      <c r="G2803" s="11" t="s">
        <v>158</v>
      </c>
      <c r="H2803" s="11" t="s">
        <v>159</v>
      </c>
      <c r="I2803" s="11" t="s">
        <v>1542</v>
      </c>
      <c r="J2803" s="11" t="s">
        <v>18007</v>
      </c>
      <c r="K2803" s="11" t="s">
        <v>162</v>
      </c>
      <c r="L2803" s="11" t="s">
        <v>163</v>
      </c>
      <c r="M2803" s="11" t="s">
        <v>18008</v>
      </c>
      <c r="N2803" s="11" t="s">
        <v>128</v>
      </c>
      <c r="O2803" s="11" t="s">
        <v>18009</v>
      </c>
      <c r="P2803" s="11"/>
      <c r="Q2803" s="11" t="s">
        <v>150</v>
      </c>
      <c r="R2803" s="11"/>
      <c r="S2803" s="11" t="s">
        <v>71</v>
      </c>
      <c r="T2803" s="11" t="s">
        <v>13491</v>
      </c>
      <c r="U2803" s="11" t="s">
        <v>150</v>
      </c>
      <c r="V2803" s="11" t="s">
        <v>13491</v>
      </c>
      <c r="W2803" s="11" t="s">
        <v>13491</v>
      </c>
      <c r="X2803" s="11">
        <v>8</v>
      </c>
      <c r="Y2803" s="11" t="s">
        <v>12359</v>
      </c>
      <c r="Z2803" s="11">
        <v>20</v>
      </c>
      <c r="AA2803" s="11">
        <v>0</v>
      </c>
      <c r="AB2803" s="12">
        <v>0</v>
      </c>
    </row>
    <row r="2804" spans="1:28" x14ac:dyDescent="0.2">
      <c r="A2804" s="7">
        <v>24828</v>
      </c>
      <c r="B2804" s="8" t="s">
        <v>18010</v>
      </c>
      <c r="C2804" s="8" t="s">
        <v>2257</v>
      </c>
      <c r="D2804" s="8" t="s">
        <v>18011</v>
      </c>
      <c r="E2804" s="8" t="s">
        <v>281</v>
      </c>
      <c r="F2804" s="8" t="s">
        <v>18012</v>
      </c>
      <c r="G2804" s="8" t="s">
        <v>521</v>
      </c>
      <c r="H2804" s="8" t="s">
        <v>522</v>
      </c>
      <c r="I2804" s="8" t="s">
        <v>11652</v>
      </c>
      <c r="J2804" s="8" t="s">
        <v>11770</v>
      </c>
      <c r="K2804" s="8" t="s">
        <v>525</v>
      </c>
      <c r="L2804" s="8" t="s">
        <v>526</v>
      </c>
      <c r="M2804" s="8" t="s">
        <v>18013</v>
      </c>
      <c r="N2804" s="8" t="s">
        <v>128</v>
      </c>
      <c r="O2804" s="8" t="s">
        <v>18014</v>
      </c>
      <c r="P2804" s="8" t="s">
        <v>14865</v>
      </c>
      <c r="Q2804" s="8" t="s">
        <v>150</v>
      </c>
      <c r="R2804" s="8"/>
      <c r="S2804" s="8" t="s">
        <v>2265</v>
      </c>
      <c r="T2804" s="8" t="s">
        <v>1738</v>
      </c>
      <c r="U2804" s="8" t="s">
        <v>150</v>
      </c>
      <c r="V2804" s="8" t="s">
        <v>1738</v>
      </c>
      <c r="W2804" s="8" t="s">
        <v>1738</v>
      </c>
      <c r="X2804" s="8">
        <v>8</v>
      </c>
      <c r="Y2804" s="8" t="s">
        <v>12359</v>
      </c>
      <c r="Z2804" s="8">
        <v>20</v>
      </c>
      <c r="AA2804" s="8">
        <v>0</v>
      </c>
      <c r="AB2804" s="9">
        <v>0</v>
      </c>
    </row>
    <row r="2805" spans="1:28" x14ac:dyDescent="0.2">
      <c r="A2805" s="10">
        <v>24848</v>
      </c>
      <c r="B2805" s="11" t="s">
        <v>18015</v>
      </c>
      <c r="C2805" s="11" t="s">
        <v>324</v>
      </c>
      <c r="D2805" s="11" t="s">
        <v>7723</v>
      </c>
      <c r="E2805" s="11" t="s">
        <v>18016</v>
      </c>
      <c r="F2805" s="11" t="s">
        <v>7725</v>
      </c>
      <c r="G2805" s="11" t="s">
        <v>328</v>
      </c>
      <c r="H2805" s="11" t="s">
        <v>329</v>
      </c>
      <c r="I2805" s="11" t="s">
        <v>7726</v>
      </c>
      <c r="J2805" s="11" t="s">
        <v>7727</v>
      </c>
      <c r="K2805" s="11" t="s">
        <v>332</v>
      </c>
      <c r="L2805" s="11" t="s">
        <v>333</v>
      </c>
      <c r="M2805" s="11" t="s">
        <v>18017</v>
      </c>
      <c r="N2805" s="11" t="s">
        <v>128</v>
      </c>
      <c r="O2805" s="11" t="s">
        <v>18018</v>
      </c>
      <c r="P2805" s="11" t="s">
        <v>18019</v>
      </c>
      <c r="Q2805" s="11" t="s">
        <v>150</v>
      </c>
      <c r="R2805" s="11"/>
      <c r="S2805" s="11" t="s">
        <v>7729</v>
      </c>
      <c r="T2805" s="11" t="s">
        <v>1738</v>
      </c>
      <c r="U2805" s="11" t="s">
        <v>150</v>
      </c>
      <c r="V2805" s="11" t="s">
        <v>1738</v>
      </c>
      <c r="W2805" s="11" t="s">
        <v>1738</v>
      </c>
      <c r="X2805" s="11">
        <v>8</v>
      </c>
      <c r="Y2805" s="11" t="s">
        <v>12359</v>
      </c>
      <c r="Z2805" s="11">
        <v>20</v>
      </c>
      <c r="AA2805" s="11">
        <v>0</v>
      </c>
      <c r="AB2805" s="12">
        <v>0</v>
      </c>
    </row>
    <row r="2806" spans="1:28" x14ac:dyDescent="0.2">
      <c r="A2806" s="7">
        <v>24858</v>
      </c>
      <c r="B2806" s="8" t="s">
        <v>18020</v>
      </c>
      <c r="C2806" s="8" t="s">
        <v>8113</v>
      </c>
      <c r="D2806" s="8" t="s">
        <v>4630</v>
      </c>
      <c r="E2806" s="8" t="s">
        <v>18021</v>
      </c>
      <c r="F2806" s="8" t="s">
        <v>8115</v>
      </c>
      <c r="G2806" s="8" t="s">
        <v>141</v>
      </c>
      <c r="H2806" s="8" t="s">
        <v>142</v>
      </c>
      <c r="I2806" s="8" t="s">
        <v>8116</v>
      </c>
      <c r="J2806" s="8" t="s">
        <v>8117</v>
      </c>
      <c r="K2806" s="8" t="s">
        <v>651</v>
      </c>
      <c r="L2806" s="8" t="s">
        <v>146</v>
      </c>
      <c r="M2806" s="8" t="s">
        <v>18022</v>
      </c>
      <c r="N2806" s="8" t="s">
        <v>128</v>
      </c>
      <c r="O2806" s="8" t="s">
        <v>18023</v>
      </c>
      <c r="P2806" s="8" t="s">
        <v>5387</v>
      </c>
      <c r="Q2806" s="8" t="s">
        <v>150</v>
      </c>
      <c r="R2806" s="8"/>
      <c r="S2806" s="8" t="s">
        <v>8120</v>
      </c>
      <c r="T2806" s="8" t="s">
        <v>1738</v>
      </c>
      <c r="U2806" s="8" t="s">
        <v>150</v>
      </c>
      <c r="V2806" s="8" t="s">
        <v>1738</v>
      </c>
      <c r="W2806" s="8" t="s">
        <v>1738</v>
      </c>
      <c r="X2806" s="8">
        <v>8</v>
      </c>
      <c r="Y2806" s="8" t="s">
        <v>12359</v>
      </c>
      <c r="Z2806" s="8">
        <v>20</v>
      </c>
      <c r="AA2806" s="8">
        <v>0</v>
      </c>
      <c r="AB2806" s="9">
        <v>0</v>
      </c>
    </row>
    <row r="2807" spans="1:28" x14ac:dyDescent="0.2">
      <c r="A2807" s="10">
        <v>24876</v>
      </c>
      <c r="B2807" s="11" t="s">
        <v>18024</v>
      </c>
      <c r="C2807" s="11" t="s">
        <v>457</v>
      </c>
      <c r="D2807" s="11" t="s">
        <v>477</v>
      </c>
      <c r="E2807" s="11" t="s">
        <v>18025</v>
      </c>
      <c r="F2807" s="11" t="s">
        <v>459</v>
      </c>
      <c r="G2807" s="11" t="s">
        <v>141</v>
      </c>
      <c r="H2807" s="11" t="s">
        <v>142</v>
      </c>
      <c r="I2807" s="11" t="s">
        <v>460</v>
      </c>
      <c r="J2807" s="11" t="s">
        <v>479</v>
      </c>
      <c r="K2807" s="11" t="s">
        <v>403</v>
      </c>
      <c r="L2807" s="11" t="s">
        <v>146</v>
      </c>
      <c r="M2807" s="11" t="s">
        <v>18026</v>
      </c>
      <c r="N2807" s="11" t="s">
        <v>128</v>
      </c>
      <c r="O2807" s="11" t="s">
        <v>18027</v>
      </c>
      <c r="P2807" s="11" t="s">
        <v>1180</v>
      </c>
      <c r="Q2807" s="11" t="s">
        <v>150</v>
      </c>
      <c r="R2807" s="11"/>
      <c r="S2807" s="11" t="s">
        <v>68</v>
      </c>
      <c r="T2807" s="11" t="s">
        <v>1738</v>
      </c>
      <c r="U2807" s="11" t="s">
        <v>150</v>
      </c>
      <c r="V2807" s="11" t="s">
        <v>1738</v>
      </c>
      <c r="W2807" s="11" t="s">
        <v>1738</v>
      </c>
      <c r="X2807" s="11">
        <v>8</v>
      </c>
      <c r="Y2807" s="11" t="s">
        <v>12359</v>
      </c>
      <c r="Z2807" s="11">
        <v>20</v>
      </c>
      <c r="AA2807" s="11">
        <v>0</v>
      </c>
      <c r="AB2807" s="12">
        <v>0</v>
      </c>
    </row>
    <row r="2808" spans="1:28" x14ac:dyDescent="0.2">
      <c r="A2808" s="7">
        <v>24931</v>
      </c>
      <c r="B2808" s="8" t="s">
        <v>18028</v>
      </c>
      <c r="C2808" s="8" t="s">
        <v>5979</v>
      </c>
      <c r="D2808" s="8" t="s">
        <v>5139</v>
      </c>
      <c r="E2808" s="8" t="s">
        <v>18029</v>
      </c>
      <c r="F2808" s="8" t="s">
        <v>1994</v>
      </c>
      <c r="G2808" s="8" t="s">
        <v>328</v>
      </c>
      <c r="H2808" s="8" t="s">
        <v>329</v>
      </c>
      <c r="I2808" s="8" t="s">
        <v>6092</v>
      </c>
      <c r="J2808" s="8" t="s">
        <v>5982</v>
      </c>
      <c r="K2808" s="8" t="s">
        <v>332</v>
      </c>
      <c r="L2808" s="8" t="s">
        <v>333</v>
      </c>
      <c r="M2808" s="8" t="s">
        <v>18030</v>
      </c>
      <c r="N2808" s="8" t="s">
        <v>128</v>
      </c>
      <c r="O2808" s="8" t="s">
        <v>18031</v>
      </c>
      <c r="P2808" s="8" t="s">
        <v>4165</v>
      </c>
      <c r="Q2808" s="8" t="s">
        <v>150</v>
      </c>
      <c r="R2808" s="8"/>
      <c r="S2808" s="8" t="s">
        <v>5986</v>
      </c>
      <c r="T2808" s="8" t="s">
        <v>1738</v>
      </c>
      <c r="U2808" s="8" t="s">
        <v>150</v>
      </c>
      <c r="V2808" s="8" t="s">
        <v>1738</v>
      </c>
      <c r="W2808" s="8" t="s">
        <v>1738</v>
      </c>
      <c r="X2808" s="8">
        <v>8</v>
      </c>
      <c r="Y2808" s="8" t="s">
        <v>12359</v>
      </c>
      <c r="Z2808" s="8">
        <v>20</v>
      </c>
      <c r="AA2808" s="8">
        <v>0</v>
      </c>
      <c r="AB2808" s="9">
        <v>0</v>
      </c>
    </row>
    <row r="2809" spans="1:28" x14ac:dyDescent="0.2">
      <c r="A2809" s="10">
        <v>24933</v>
      </c>
      <c r="B2809" s="11" t="s">
        <v>18032</v>
      </c>
      <c r="C2809" s="11" t="s">
        <v>14575</v>
      </c>
      <c r="D2809" s="11" t="s">
        <v>138</v>
      </c>
      <c r="E2809" s="11" t="s">
        <v>18033</v>
      </c>
      <c r="F2809" s="11" t="s">
        <v>1487</v>
      </c>
      <c r="G2809" s="11" t="s">
        <v>1488</v>
      </c>
      <c r="H2809" s="11" t="s">
        <v>329</v>
      </c>
      <c r="I2809" s="11" t="s">
        <v>14576</v>
      </c>
      <c r="J2809" s="11" t="s">
        <v>18034</v>
      </c>
      <c r="K2809" s="11" t="s">
        <v>415</v>
      </c>
      <c r="L2809" s="11" t="s">
        <v>333</v>
      </c>
      <c r="M2809" s="11" t="s">
        <v>18035</v>
      </c>
      <c r="N2809" s="11" t="s">
        <v>128</v>
      </c>
      <c r="O2809" s="11" t="s">
        <v>18036</v>
      </c>
      <c r="P2809" s="11" t="s">
        <v>18037</v>
      </c>
      <c r="Q2809" s="11" t="s">
        <v>150</v>
      </c>
      <c r="R2809" s="11"/>
      <c r="S2809" s="11" t="s">
        <v>14580</v>
      </c>
      <c r="T2809" s="11" t="s">
        <v>1738</v>
      </c>
      <c r="U2809" s="11" t="s">
        <v>150</v>
      </c>
      <c r="V2809" s="11" t="s">
        <v>1738</v>
      </c>
      <c r="W2809" s="11" t="s">
        <v>1738</v>
      </c>
      <c r="X2809" s="11">
        <v>8</v>
      </c>
      <c r="Y2809" s="11" t="s">
        <v>12359</v>
      </c>
      <c r="Z2809" s="11">
        <v>20</v>
      </c>
      <c r="AA2809" s="11">
        <v>0</v>
      </c>
      <c r="AB2809" s="12">
        <v>0</v>
      </c>
    </row>
    <row r="2810" spans="1:28" x14ac:dyDescent="0.2">
      <c r="A2810" s="7">
        <v>24868</v>
      </c>
      <c r="B2810" s="8" t="s">
        <v>18038</v>
      </c>
      <c r="C2810" s="8" t="s">
        <v>1214</v>
      </c>
      <c r="D2810" s="8" t="s">
        <v>1215</v>
      </c>
      <c r="E2810" s="8" t="s">
        <v>18039</v>
      </c>
      <c r="F2810" s="8" t="s">
        <v>353</v>
      </c>
      <c r="G2810" s="8" t="s">
        <v>536</v>
      </c>
      <c r="H2810" s="8" t="s">
        <v>329</v>
      </c>
      <c r="I2810" s="8" t="s">
        <v>1216</v>
      </c>
      <c r="J2810" s="8" t="s">
        <v>18040</v>
      </c>
      <c r="K2810" s="8" t="s">
        <v>431</v>
      </c>
      <c r="L2810" s="8" t="s">
        <v>333</v>
      </c>
      <c r="M2810" s="8" t="s">
        <v>18041</v>
      </c>
      <c r="N2810" s="8" t="s">
        <v>128</v>
      </c>
      <c r="O2810" s="8" t="s">
        <v>18042</v>
      </c>
      <c r="P2810" s="8" t="s">
        <v>18043</v>
      </c>
      <c r="Q2810" s="8" t="s">
        <v>150</v>
      </c>
      <c r="R2810" s="8"/>
      <c r="S2810" s="8" t="s">
        <v>1221</v>
      </c>
      <c r="T2810" s="8" t="s">
        <v>1738</v>
      </c>
      <c r="U2810" s="8" t="s">
        <v>150</v>
      </c>
      <c r="V2810" s="8" t="s">
        <v>1738</v>
      </c>
      <c r="W2810" s="8" t="s">
        <v>1738</v>
      </c>
      <c r="X2810" s="8">
        <v>8</v>
      </c>
      <c r="Y2810" s="8" t="s">
        <v>12359</v>
      </c>
      <c r="Z2810" s="8">
        <v>20</v>
      </c>
      <c r="AA2810" s="8">
        <v>0</v>
      </c>
      <c r="AB2810" s="9">
        <v>0</v>
      </c>
    </row>
    <row r="2811" spans="1:28" x14ac:dyDescent="0.2">
      <c r="A2811" s="10">
        <v>24815</v>
      </c>
      <c r="B2811" s="11" t="s">
        <v>18044</v>
      </c>
      <c r="C2811" s="11" t="s">
        <v>1928</v>
      </c>
      <c r="D2811" s="11" t="s">
        <v>14042</v>
      </c>
      <c r="E2811" s="11"/>
      <c r="F2811" s="11" t="s">
        <v>353</v>
      </c>
      <c r="G2811" s="11" t="s">
        <v>1727</v>
      </c>
      <c r="H2811" s="11" t="s">
        <v>557</v>
      </c>
      <c r="I2811" s="11" t="s">
        <v>1930</v>
      </c>
      <c r="J2811" s="11" t="s">
        <v>18045</v>
      </c>
      <c r="K2811" s="11" t="s">
        <v>1562</v>
      </c>
      <c r="L2811" s="11" t="s">
        <v>229</v>
      </c>
      <c r="M2811" s="11" t="s">
        <v>18046</v>
      </c>
      <c r="N2811" s="11" t="s">
        <v>128</v>
      </c>
      <c r="O2811" s="11" t="s">
        <v>18047</v>
      </c>
      <c r="P2811" s="11" t="s">
        <v>598</v>
      </c>
      <c r="Q2811" s="11" t="s">
        <v>150</v>
      </c>
      <c r="R2811" s="11"/>
      <c r="S2811" s="11" t="s">
        <v>71</v>
      </c>
      <c r="T2811" s="11" t="s">
        <v>1738</v>
      </c>
      <c r="U2811" s="11" t="s">
        <v>150</v>
      </c>
      <c r="V2811" s="11" t="s">
        <v>1738</v>
      </c>
      <c r="W2811" s="11" t="s">
        <v>1738</v>
      </c>
      <c r="X2811" s="11">
        <v>8</v>
      </c>
      <c r="Y2811" s="11" t="s">
        <v>12359</v>
      </c>
      <c r="Z2811" s="11">
        <v>20</v>
      </c>
      <c r="AA2811" s="11">
        <v>0</v>
      </c>
      <c r="AB2811" s="12">
        <v>0</v>
      </c>
    </row>
    <row r="2812" spans="1:28" x14ac:dyDescent="0.2">
      <c r="A2812" s="7">
        <v>24838</v>
      </c>
      <c r="B2812" s="8" t="s">
        <v>18048</v>
      </c>
      <c r="C2812" s="8" t="s">
        <v>1136</v>
      </c>
      <c r="D2812" s="8" t="s">
        <v>18049</v>
      </c>
      <c r="E2812" s="8"/>
      <c r="F2812" s="8" t="s">
        <v>353</v>
      </c>
      <c r="G2812" s="8" t="s">
        <v>2652</v>
      </c>
      <c r="H2812" s="8" t="s">
        <v>1843</v>
      </c>
      <c r="I2812" s="8" t="s">
        <v>8853</v>
      </c>
      <c r="J2812" s="8" t="s">
        <v>18050</v>
      </c>
      <c r="K2812" s="8" t="s">
        <v>1562</v>
      </c>
      <c r="L2812" s="8" t="s">
        <v>229</v>
      </c>
      <c r="M2812" s="8" t="s">
        <v>18051</v>
      </c>
      <c r="N2812" s="8" t="s">
        <v>128</v>
      </c>
      <c r="O2812" s="8" t="s">
        <v>18052</v>
      </c>
      <c r="P2812" s="8" t="s">
        <v>11825</v>
      </c>
      <c r="Q2812" s="8" t="s">
        <v>150</v>
      </c>
      <c r="R2812" s="8"/>
      <c r="S2812" s="8" t="s">
        <v>8858</v>
      </c>
      <c r="T2812" s="8" t="s">
        <v>1738</v>
      </c>
      <c r="U2812" s="8" t="s">
        <v>150</v>
      </c>
      <c r="V2812" s="8" t="s">
        <v>1738</v>
      </c>
      <c r="W2812" s="8" t="s">
        <v>1738</v>
      </c>
      <c r="X2812" s="8">
        <v>8</v>
      </c>
      <c r="Y2812" s="8" t="s">
        <v>12359</v>
      </c>
      <c r="Z2812" s="8">
        <v>20</v>
      </c>
      <c r="AA2812" s="8">
        <v>0</v>
      </c>
      <c r="AB2812" s="9">
        <v>0</v>
      </c>
    </row>
    <row r="2813" spans="1:28" x14ac:dyDescent="0.2">
      <c r="A2813" s="10">
        <v>20755</v>
      </c>
      <c r="B2813" s="11" t="s">
        <v>18053</v>
      </c>
      <c r="C2813" s="11" t="s">
        <v>16822</v>
      </c>
      <c r="D2813" s="11" t="s">
        <v>2507</v>
      </c>
      <c r="E2813" s="11" t="s">
        <v>281</v>
      </c>
      <c r="F2813" s="11" t="s">
        <v>353</v>
      </c>
      <c r="G2813" s="11" t="s">
        <v>846</v>
      </c>
      <c r="H2813" s="11" t="s">
        <v>847</v>
      </c>
      <c r="I2813" s="11" t="s">
        <v>18054</v>
      </c>
      <c r="J2813" s="11" t="s">
        <v>18055</v>
      </c>
      <c r="K2813" s="11" t="s">
        <v>850</v>
      </c>
      <c r="L2813" s="11" t="s">
        <v>126</v>
      </c>
      <c r="M2813" s="11" t="s">
        <v>18056</v>
      </c>
      <c r="N2813" s="11" t="s">
        <v>128</v>
      </c>
      <c r="O2813" s="11" t="s">
        <v>18057</v>
      </c>
      <c r="P2813" s="11"/>
      <c r="Q2813" s="11" t="s">
        <v>740</v>
      </c>
      <c r="R2813" s="11"/>
      <c r="S2813" s="11" t="s">
        <v>16829</v>
      </c>
      <c r="T2813" s="11" t="s">
        <v>1745</v>
      </c>
      <c r="U2813" s="11" t="s">
        <v>134</v>
      </c>
      <c r="V2813" s="11" t="s">
        <v>740</v>
      </c>
      <c r="W2813" s="11" t="s">
        <v>1745</v>
      </c>
      <c r="X2813" s="11">
        <v>8</v>
      </c>
      <c r="Y2813" s="11" t="s">
        <v>12359</v>
      </c>
      <c r="Z2813" s="11">
        <v>20</v>
      </c>
      <c r="AA2813" s="11">
        <v>0</v>
      </c>
      <c r="AB2813" s="12">
        <v>0</v>
      </c>
    </row>
    <row r="2814" spans="1:28" x14ac:dyDescent="0.2">
      <c r="A2814" s="7">
        <v>22216</v>
      </c>
      <c r="B2814" s="8" t="s">
        <v>18058</v>
      </c>
      <c r="C2814" s="8" t="s">
        <v>4777</v>
      </c>
      <c r="D2814" s="8" t="s">
        <v>12011</v>
      </c>
      <c r="E2814" s="8" t="s">
        <v>18059</v>
      </c>
      <c r="F2814" s="8" t="s">
        <v>12013</v>
      </c>
      <c r="G2814" s="8" t="s">
        <v>3259</v>
      </c>
      <c r="H2814" s="8" t="s">
        <v>557</v>
      </c>
      <c r="I2814" s="8" t="s">
        <v>10703</v>
      </c>
      <c r="J2814" s="8" t="s">
        <v>10704</v>
      </c>
      <c r="K2814" s="8" t="s">
        <v>1562</v>
      </c>
      <c r="L2814" s="8" t="s">
        <v>229</v>
      </c>
      <c r="M2814" s="8" t="s">
        <v>18060</v>
      </c>
      <c r="N2814" s="8" t="s">
        <v>128</v>
      </c>
      <c r="O2814" s="8" t="s">
        <v>18061</v>
      </c>
      <c r="P2814" s="8"/>
      <c r="Q2814" s="8" t="s">
        <v>740</v>
      </c>
      <c r="R2814" s="8"/>
      <c r="S2814" s="8" t="s">
        <v>10708</v>
      </c>
      <c r="T2814" s="8" t="s">
        <v>1745</v>
      </c>
      <c r="U2814" s="8" t="s">
        <v>134</v>
      </c>
      <c r="V2814" s="8" t="s">
        <v>740</v>
      </c>
      <c r="W2814" s="8" t="s">
        <v>1745</v>
      </c>
      <c r="X2814" s="8">
        <v>8</v>
      </c>
      <c r="Y2814" s="8" t="s">
        <v>12359</v>
      </c>
      <c r="Z2814" s="8">
        <v>20</v>
      </c>
      <c r="AA2814" s="8">
        <v>0</v>
      </c>
      <c r="AB2814" s="9">
        <v>0</v>
      </c>
    </row>
    <row r="2815" spans="1:28" x14ac:dyDescent="0.2">
      <c r="A2815" s="10">
        <v>23974</v>
      </c>
      <c r="B2815" s="11" t="s">
        <v>18062</v>
      </c>
      <c r="C2815" s="11" t="s">
        <v>6823</v>
      </c>
      <c r="D2815" s="11" t="s">
        <v>17231</v>
      </c>
      <c r="E2815" s="11" t="s">
        <v>14551</v>
      </c>
      <c r="F2815" s="11" t="s">
        <v>18063</v>
      </c>
      <c r="G2815" s="11" t="s">
        <v>3259</v>
      </c>
      <c r="H2815" s="11" t="s">
        <v>557</v>
      </c>
      <c r="I2815" s="11" t="s">
        <v>17233</v>
      </c>
      <c r="J2815" s="11" t="s">
        <v>18064</v>
      </c>
      <c r="K2815" s="11" t="s">
        <v>1562</v>
      </c>
      <c r="L2815" s="11" t="s">
        <v>229</v>
      </c>
      <c r="M2815" s="11" t="s">
        <v>18065</v>
      </c>
      <c r="N2815" s="11" t="s">
        <v>128</v>
      </c>
      <c r="O2815" s="11" t="s">
        <v>18066</v>
      </c>
      <c r="P2815" s="11"/>
      <c r="Q2815" s="11" t="s">
        <v>740</v>
      </c>
      <c r="R2815" s="11"/>
      <c r="S2815" s="11" t="s">
        <v>17238</v>
      </c>
      <c r="T2815" s="11" t="s">
        <v>1745</v>
      </c>
      <c r="U2815" s="11" t="s">
        <v>134</v>
      </c>
      <c r="V2815" s="11" t="s">
        <v>740</v>
      </c>
      <c r="W2815" s="11" t="s">
        <v>1745</v>
      </c>
      <c r="X2815" s="11">
        <v>8</v>
      </c>
      <c r="Y2815" s="11" t="s">
        <v>12359</v>
      </c>
      <c r="Z2815" s="11">
        <v>20</v>
      </c>
      <c r="AA2815" s="11">
        <v>0</v>
      </c>
      <c r="AB2815" s="12">
        <v>0</v>
      </c>
    </row>
    <row r="2816" spans="1:28" x14ac:dyDescent="0.2">
      <c r="A2816" s="7">
        <v>25064</v>
      </c>
      <c r="B2816" s="8" t="s">
        <v>18067</v>
      </c>
      <c r="C2816" s="8" t="s">
        <v>1645</v>
      </c>
      <c r="D2816" s="8" t="s">
        <v>1646</v>
      </c>
      <c r="E2816" s="8" t="s">
        <v>18068</v>
      </c>
      <c r="F2816" s="8" t="s">
        <v>1648</v>
      </c>
      <c r="G2816" s="8" t="s">
        <v>328</v>
      </c>
      <c r="H2816" s="8" t="s">
        <v>329</v>
      </c>
      <c r="I2816" s="8" t="s">
        <v>1649</v>
      </c>
      <c r="J2816" s="8" t="s">
        <v>1650</v>
      </c>
      <c r="K2816" s="8" t="s">
        <v>572</v>
      </c>
      <c r="L2816" s="8" t="s">
        <v>333</v>
      </c>
      <c r="M2816" s="8" t="s">
        <v>18069</v>
      </c>
      <c r="N2816" s="8" t="s">
        <v>128</v>
      </c>
      <c r="O2816" s="8" t="s">
        <v>18070</v>
      </c>
      <c r="P2816" s="8"/>
      <c r="Q2816" s="8" t="s">
        <v>740</v>
      </c>
      <c r="R2816" s="8"/>
      <c r="S2816" s="8" t="s">
        <v>1654</v>
      </c>
      <c r="T2816" s="8" t="s">
        <v>1745</v>
      </c>
      <c r="U2816" s="8" t="s">
        <v>134</v>
      </c>
      <c r="V2816" s="8" t="s">
        <v>740</v>
      </c>
      <c r="W2816" s="8" t="s">
        <v>1745</v>
      </c>
      <c r="X2816" s="8">
        <v>8</v>
      </c>
      <c r="Y2816" s="8" t="s">
        <v>12359</v>
      </c>
      <c r="Z2816" s="8">
        <v>20</v>
      </c>
      <c r="AA2816" s="8">
        <v>0</v>
      </c>
      <c r="AB2816" s="9">
        <v>0</v>
      </c>
    </row>
    <row r="2817" spans="1:28" x14ac:dyDescent="0.2">
      <c r="A2817" s="10">
        <v>140472</v>
      </c>
      <c r="B2817" s="11" t="s">
        <v>18071</v>
      </c>
      <c r="C2817" s="11" t="s">
        <v>6953</v>
      </c>
      <c r="D2817" s="11" t="s">
        <v>6954</v>
      </c>
      <c r="E2817" s="11" t="s">
        <v>18072</v>
      </c>
      <c r="F2817" s="11" t="s">
        <v>6956</v>
      </c>
      <c r="G2817" s="11" t="s">
        <v>2332</v>
      </c>
      <c r="H2817" s="11" t="s">
        <v>142</v>
      </c>
      <c r="I2817" s="11" t="s">
        <v>6957</v>
      </c>
      <c r="J2817" s="11" t="s">
        <v>6958</v>
      </c>
      <c r="K2817" s="11" t="s">
        <v>779</v>
      </c>
      <c r="L2817" s="11" t="s">
        <v>464</v>
      </c>
      <c r="M2817" s="11" t="s">
        <v>18073</v>
      </c>
      <c r="N2817" s="11" t="s">
        <v>128</v>
      </c>
      <c r="O2817" s="11" t="s">
        <v>18074</v>
      </c>
      <c r="P2817" s="11"/>
      <c r="Q2817" s="11" t="s">
        <v>740</v>
      </c>
      <c r="R2817" s="11"/>
      <c r="S2817" s="11" t="s">
        <v>6961</v>
      </c>
      <c r="T2817" s="11" t="s">
        <v>1745</v>
      </c>
      <c r="U2817" s="11" t="s">
        <v>134</v>
      </c>
      <c r="V2817" s="11" t="s">
        <v>740</v>
      </c>
      <c r="W2817" s="11" t="s">
        <v>1745</v>
      </c>
      <c r="X2817" s="11">
        <v>8</v>
      </c>
      <c r="Y2817" s="11" t="s">
        <v>12359</v>
      </c>
      <c r="Z2817" s="11">
        <v>20</v>
      </c>
      <c r="AA2817" s="11">
        <v>0</v>
      </c>
      <c r="AB2817" s="12">
        <v>0</v>
      </c>
    </row>
    <row r="2818" spans="1:28" x14ac:dyDescent="0.2">
      <c r="A2818" s="7">
        <v>25103</v>
      </c>
      <c r="B2818" s="8" t="s">
        <v>18075</v>
      </c>
      <c r="C2818" s="8" t="s">
        <v>4316</v>
      </c>
      <c r="D2818" s="8" t="s">
        <v>138</v>
      </c>
      <c r="E2818" s="8" t="s">
        <v>18076</v>
      </c>
      <c r="F2818" s="8" t="s">
        <v>4318</v>
      </c>
      <c r="G2818" s="8" t="s">
        <v>4063</v>
      </c>
      <c r="H2818" s="8" t="s">
        <v>301</v>
      </c>
      <c r="I2818" s="8" t="s">
        <v>3964</v>
      </c>
      <c r="J2818" s="8" t="s">
        <v>4319</v>
      </c>
      <c r="K2818" s="8" t="s">
        <v>228</v>
      </c>
      <c r="L2818" s="8" t="s">
        <v>229</v>
      </c>
      <c r="M2818" s="8" t="s">
        <v>18077</v>
      </c>
      <c r="N2818" s="8" t="s">
        <v>128</v>
      </c>
      <c r="O2818" s="8" t="s">
        <v>18078</v>
      </c>
      <c r="P2818" s="8"/>
      <c r="Q2818" s="8" t="s">
        <v>740</v>
      </c>
      <c r="R2818" s="8"/>
      <c r="S2818" s="8" t="s">
        <v>3968</v>
      </c>
      <c r="T2818" s="8" t="s">
        <v>1745</v>
      </c>
      <c r="U2818" s="8" t="s">
        <v>134</v>
      </c>
      <c r="V2818" s="8" t="s">
        <v>740</v>
      </c>
      <c r="W2818" s="8" t="s">
        <v>1745</v>
      </c>
      <c r="X2818" s="8">
        <v>8</v>
      </c>
      <c r="Y2818" s="8" t="s">
        <v>12359</v>
      </c>
      <c r="Z2818" s="8">
        <v>20</v>
      </c>
      <c r="AA2818" s="8">
        <v>0</v>
      </c>
      <c r="AB2818" s="9">
        <v>0</v>
      </c>
    </row>
    <row r="2819" spans="1:28" x14ac:dyDescent="0.2">
      <c r="A2819" s="10">
        <v>25270</v>
      </c>
      <c r="B2819" s="11" t="s">
        <v>18079</v>
      </c>
      <c r="C2819" s="11" t="s">
        <v>8798</v>
      </c>
      <c r="D2819" s="11" t="s">
        <v>1333</v>
      </c>
      <c r="E2819" s="11" t="s">
        <v>18080</v>
      </c>
      <c r="F2819" s="11" t="s">
        <v>8800</v>
      </c>
      <c r="G2819" s="11" t="s">
        <v>141</v>
      </c>
      <c r="H2819" s="11" t="s">
        <v>142</v>
      </c>
      <c r="I2819" s="11" t="s">
        <v>8801</v>
      </c>
      <c r="J2819" s="11" t="s">
        <v>8802</v>
      </c>
      <c r="K2819" s="11" t="s">
        <v>145</v>
      </c>
      <c r="L2819" s="11" t="s">
        <v>146</v>
      </c>
      <c r="M2819" s="11" t="s">
        <v>18081</v>
      </c>
      <c r="N2819" s="11" t="s">
        <v>128</v>
      </c>
      <c r="O2819" s="11" t="s">
        <v>18082</v>
      </c>
      <c r="P2819" s="11" t="s">
        <v>18083</v>
      </c>
      <c r="Q2819" s="11" t="s">
        <v>740</v>
      </c>
      <c r="R2819" s="11"/>
      <c r="S2819" s="11" t="s">
        <v>8805</v>
      </c>
      <c r="T2819" s="11" t="s">
        <v>1745</v>
      </c>
      <c r="U2819" s="11" t="s">
        <v>134</v>
      </c>
      <c r="V2819" s="11" t="s">
        <v>740</v>
      </c>
      <c r="W2819" s="11" t="s">
        <v>1745</v>
      </c>
      <c r="X2819" s="11">
        <v>8</v>
      </c>
      <c r="Y2819" s="11" t="s">
        <v>12359</v>
      </c>
      <c r="Z2819" s="11">
        <v>20</v>
      </c>
      <c r="AA2819" s="11">
        <v>0</v>
      </c>
      <c r="AB2819" s="12">
        <v>0</v>
      </c>
    </row>
    <row r="2820" spans="1:28" x14ac:dyDescent="0.2">
      <c r="A2820" s="7">
        <v>22740</v>
      </c>
      <c r="B2820" s="8" t="s">
        <v>18084</v>
      </c>
      <c r="C2820" s="8" t="s">
        <v>18085</v>
      </c>
      <c r="D2820" s="8" t="s">
        <v>18086</v>
      </c>
      <c r="E2820" s="8" t="s">
        <v>18087</v>
      </c>
      <c r="F2820" s="8" t="s">
        <v>18088</v>
      </c>
      <c r="G2820" s="8" t="s">
        <v>4513</v>
      </c>
      <c r="H2820" s="8" t="s">
        <v>847</v>
      </c>
      <c r="I2820" s="8" t="s">
        <v>18089</v>
      </c>
      <c r="J2820" s="8" t="s">
        <v>18090</v>
      </c>
      <c r="K2820" s="8" t="s">
        <v>1091</v>
      </c>
      <c r="L2820" s="8" t="s">
        <v>126</v>
      </c>
      <c r="M2820" s="8" t="s">
        <v>18091</v>
      </c>
      <c r="N2820" s="8" t="s">
        <v>128</v>
      </c>
      <c r="O2820" s="8" t="s">
        <v>18092</v>
      </c>
      <c r="P2820" s="8" t="s">
        <v>18093</v>
      </c>
      <c r="Q2820" s="8" t="s">
        <v>740</v>
      </c>
      <c r="R2820" s="8"/>
      <c r="S2820" s="8" t="s">
        <v>18094</v>
      </c>
      <c r="T2820" s="8" t="s">
        <v>1745</v>
      </c>
      <c r="U2820" s="8" t="s">
        <v>134</v>
      </c>
      <c r="V2820" s="8" t="s">
        <v>740</v>
      </c>
      <c r="W2820" s="8" t="s">
        <v>1745</v>
      </c>
      <c r="X2820" s="8">
        <v>8</v>
      </c>
      <c r="Y2820" s="8" t="s">
        <v>12359</v>
      </c>
      <c r="Z2820" s="8">
        <v>20</v>
      </c>
      <c r="AA2820" s="8">
        <v>0</v>
      </c>
      <c r="AB2820" s="9">
        <v>0</v>
      </c>
    </row>
    <row r="2821" spans="1:28" x14ac:dyDescent="0.2">
      <c r="A2821" s="10">
        <v>25243</v>
      </c>
      <c r="B2821" s="11" t="s">
        <v>18095</v>
      </c>
      <c r="C2821" s="11" t="s">
        <v>4521</v>
      </c>
      <c r="D2821" s="11" t="s">
        <v>138</v>
      </c>
      <c r="E2821" s="11" t="s">
        <v>18096</v>
      </c>
      <c r="F2821" s="11" t="s">
        <v>4523</v>
      </c>
      <c r="G2821" s="11" t="s">
        <v>4513</v>
      </c>
      <c r="H2821" s="11" t="s">
        <v>847</v>
      </c>
      <c r="I2821" s="11" t="s">
        <v>4524</v>
      </c>
      <c r="J2821" s="11" t="s">
        <v>4525</v>
      </c>
      <c r="K2821" s="11" t="s">
        <v>1091</v>
      </c>
      <c r="L2821" s="11" t="s">
        <v>126</v>
      </c>
      <c r="M2821" s="11" t="s">
        <v>18097</v>
      </c>
      <c r="N2821" s="11" t="s">
        <v>128</v>
      </c>
      <c r="O2821" s="11" t="s">
        <v>18098</v>
      </c>
      <c r="P2821" s="11" t="s">
        <v>18099</v>
      </c>
      <c r="Q2821" s="11" t="s">
        <v>740</v>
      </c>
      <c r="R2821" s="11"/>
      <c r="S2821" s="11" t="s">
        <v>4528</v>
      </c>
      <c r="T2821" s="11" t="s">
        <v>1745</v>
      </c>
      <c r="U2821" s="11" t="s">
        <v>134</v>
      </c>
      <c r="V2821" s="11" t="s">
        <v>740</v>
      </c>
      <c r="W2821" s="11" t="s">
        <v>1745</v>
      </c>
      <c r="X2821" s="11">
        <v>8</v>
      </c>
      <c r="Y2821" s="11" t="s">
        <v>12359</v>
      </c>
      <c r="Z2821" s="11">
        <v>20</v>
      </c>
      <c r="AA2821" s="11">
        <v>0</v>
      </c>
      <c r="AB2821" s="12">
        <v>0</v>
      </c>
    </row>
    <row r="2822" spans="1:28" x14ac:dyDescent="0.2">
      <c r="A2822" s="7">
        <v>31081</v>
      </c>
      <c r="B2822" s="8" t="s">
        <v>18100</v>
      </c>
      <c r="C2822" s="8" t="s">
        <v>16913</v>
      </c>
      <c r="D2822" s="8" t="s">
        <v>138</v>
      </c>
      <c r="E2822" s="8"/>
      <c r="F2822" s="8" t="s">
        <v>18101</v>
      </c>
      <c r="G2822" s="8" t="s">
        <v>224</v>
      </c>
      <c r="H2822" s="8" t="s">
        <v>225</v>
      </c>
      <c r="I2822" s="8" t="s">
        <v>16914</v>
      </c>
      <c r="J2822" s="8" t="s">
        <v>18102</v>
      </c>
      <c r="K2822" s="8" t="s">
        <v>228</v>
      </c>
      <c r="L2822" s="8" t="s">
        <v>229</v>
      </c>
      <c r="M2822" s="8" t="s">
        <v>18103</v>
      </c>
      <c r="N2822" s="8" t="s">
        <v>128</v>
      </c>
      <c r="O2822" s="8" t="s">
        <v>18104</v>
      </c>
      <c r="P2822" s="8" t="s">
        <v>18105</v>
      </c>
      <c r="Q2822" s="8" t="s">
        <v>740</v>
      </c>
      <c r="R2822" s="8"/>
      <c r="S2822" s="8" t="s">
        <v>16919</v>
      </c>
      <c r="T2822" s="8" t="s">
        <v>1745</v>
      </c>
      <c r="U2822" s="8" t="s">
        <v>134</v>
      </c>
      <c r="V2822" s="8" t="s">
        <v>740</v>
      </c>
      <c r="W2822" s="8" t="s">
        <v>1745</v>
      </c>
      <c r="X2822" s="8">
        <v>8</v>
      </c>
      <c r="Y2822" s="8" t="s">
        <v>12359</v>
      </c>
      <c r="Z2822" s="8">
        <v>20</v>
      </c>
      <c r="AA2822" s="8">
        <v>0</v>
      </c>
      <c r="AB2822" s="9">
        <v>0</v>
      </c>
    </row>
    <row r="2823" spans="1:28" x14ac:dyDescent="0.2">
      <c r="A2823" s="10">
        <v>86587</v>
      </c>
      <c r="B2823" s="11" t="s">
        <v>18106</v>
      </c>
      <c r="C2823" s="11" t="s">
        <v>2566</v>
      </c>
      <c r="D2823" s="11" t="s">
        <v>2567</v>
      </c>
      <c r="E2823" s="11"/>
      <c r="F2823" s="11" t="s">
        <v>2568</v>
      </c>
      <c r="G2823" s="11" t="s">
        <v>536</v>
      </c>
      <c r="H2823" s="11" t="s">
        <v>329</v>
      </c>
      <c r="I2823" s="11" t="s">
        <v>2570</v>
      </c>
      <c r="J2823" s="11" t="s">
        <v>18107</v>
      </c>
      <c r="K2823" s="11" t="s">
        <v>431</v>
      </c>
      <c r="L2823" s="11" t="s">
        <v>333</v>
      </c>
      <c r="M2823" s="11" t="s">
        <v>18108</v>
      </c>
      <c r="N2823" s="11" t="s">
        <v>128</v>
      </c>
      <c r="O2823" s="11" t="s">
        <v>18109</v>
      </c>
      <c r="P2823" s="11" t="s">
        <v>18110</v>
      </c>
      <c r="Q2823" s="11" t="s">
        <v>740</v>
      </c>
      <c r="R2823" s="11"/>
      <c r="S2823" s="11" t="s">
        <v>2575</v>
      </c>
      <c r="T2823" s="11" t="s">
        <v>1745</v>
      </c>
      <c r="U2823" s="11" t="s">
        <v>134</v>
      </c>
      <c r="V2823" s="11" t="s">
        <v>740</v>
      </c>
      <c r="W2823" s="11" t="s">
        <v>1745</v>
      </c>
      <c r="X2823" s="11">
        <v>8</v>
      </c>
      <c r="Y2823" s="11" t="s">
        <v>12359</v>
      </c>
      <c r="Z2823" s="11">
        <v>20</v>
      </c>
      <c r="AA2823" s="11">
        <v>0</v>
      </c>
      <c r="AB2823" s="12">
        <v>0</v>
      </c>
    </row>
    <row r="2824" spans="1:28" x14ac:dyDescent="0.2">
      <c r="A2824" s="7">
        <v>240281</v>
      </c>
      <c r="B2824" s="8" t="s">
        <v>18111</v>
      </c>
      <c r="C2824" s="8" t="s">
        <v>3661</v>
      </c>
      <c r="D2824" s="8" t="s">
        <v>3598</v>
      </c>
      <c r="E2824" s="8"/>
      <c r="F2824" s="8" t="s">
        <v>353</v>
      </c>
      <c r="G2824" s="8" t="s">
        <v>412</v>
      </c>
      <c r="H2824" s="8" t="s">
        <v>329</v>
      </c>
      <c r="I2824" s="8" t="s">
        <v>3663</v>
      </c>
      <c r="J2824" s="8" t="s">
        <v>3664</v>
      </c>
      <c r="K2824" s="8" t="s">
        <v>415</v>
      </c>
      <c r="L2824" s="8" t="s">
        <v>333</v>
      </c>
      <c r="M2824" s="8" t="s">
        <v>18112</v>
      </c>
      <c r="N2824" s="8" t="s">
        <v>128</v>
      </c>
      <c r="O2824" s="8" t="s">
        <v>18113</v>
      </c>
      <c r="P2824" s="8" t="s">
        <v>18114</v>
      </c>
      <c r="Q2824" s="8" t="s">
        <v>740</v>
      </c>
      <c r="R2824" s="8"/>
      <c r="S2824" s="8" t="s">
        <v>3668</v>
      </c>
      <c r="T2824" s="8" t="s">
        <v>1745</v>
      </c>
      <c r="U2824" s="8" t="s">
        <v>134</v>
      </c>
      <c r="V2824" s="8" t="s">
        <v>740</v>
      </c>
      <c r="W2824" s="8" t="s">
        <v>1745</v>
      </c>
      <c r="X2824" s="8">
        <v>8</v>
      </c>
      <c r="Y2824" s="8" t="s">
        <v>12359</v>
      </c>
      <c r="Z2824" s="8">
        <v>20</v>
      </c>
      <c r="AA2824" s="8">
        <v>0</v>
      </c>
      <c r="AB2824" s="9">
        <v>0</v>
      </c>
    </row>
    <row r="2825" spans="1:28" x14ac:dyDescent="0.2">
      <c r="A2825" s="10">
        <v>25325</v>
      </c>
      <c r="B2825" s="11" t="s">
        <v>18115</v>
      </c>
      <c r="C2825" s="11" t="s">
        <v>9295</v>
      </c>
      <c r="D2825" s="11" t="s">
        <v>2871</v>
      </c>
      <c r="E2825" s="11"/>
      <c r="F2825" s="11" t="s">
        <v>18116</v>
      </c>
      <c r="G2825" s="11" t="s">
        <v>469</v>
      </c>
      <c r="H2825" s="11" t="s">
        <v>142</v>
      </c>
      <c r="I2825" s="11" t="s">
        <v>9298</v>
      </c>
      <c r="J2825" s="11" t="s">
        <v>18117</v>
      </c>
      <c r="K2825" s="11" t="s">
        <v>472</v>
      </c>
      <c r="L2825" s="11" t="s">
        <v>146</v>
      </c>
      <c r="M2825" s="11" t="s">
        <v>18118</v>
      </c>
      <c r="N2825" s="11" t="s">
        <v>128</v>
      </c>
      <c r="O2825" s="11" t="s">
        <v>18119</v>
      </c>
      <c r="P2825" s="11" t="s">
        <v>18120</v>
      </c>
      <c r="Q2825" s="11" t="s">
        <v>740</v>
      </c>
      <c r="R2825" s="11"/>
      <c r="S2825" s="11" t="s">
        <v>9303</v>
      </c>
      <c r="T2825" s="11" t="s">
        <v>1745</v>
      </c>
      <c r="U2825" s="11" t="s">
        <v>134</v>
      </c>
      <c r="V2825" s="11" t="s">
        <v>740</v>
      </c>
      <c r="W2825" s="11" t="s">
        <v>1745</v>
      </c>
      <c r="X2825" s="11">
        <v>8</v>
      </c>
      <c r="Y2825" s="11" t="s">
        <v>12359</v>
      </c>
      <c r="Z2825" s="11">
        <v>20</v>
      </c>
      <c r="AA2825" s="11">
        <v>0</v>
      </c>
      <c r="AB2825" s="12">
        <v>0</v>
      </c>
    </row>
    <row r="2826" spans="1:28" x14ac:dyDescent="0.2">
      <c r="A2826" s="7">
        <v>93134</v>
      </c>
      <c r="B2826" s="8" t="s">
        <v>18121</v>
      </c>
      <c r="C2826" s="8" t="s">
        <v>324</v>
      </c>
      <c r="D2826" s="8" t="s">
        <v>7723</v>
      </c>
      <c r="E2826" s="8"/>
      <c r="F2826" s="8" t="s">
        <v>7725</v>
      </c>
      <c r="G2826" s="8" t="s">
        <v>2721</v>
      </c>
      <c r="H2826" s="8" t="s">
        <v>329</v>
      </c>
      <c r="I2826" s="8" t="s">
        <v>7726</v>
      </c>
      <c r="J2826" s="8" t="s">
        <v>7727</v>
      </c>
      <c r="K2826" s="8" t="s">
        <v>332</v>
      </c>
      <c r="L2826" s="8" t="s">
        <v>333</v>
      </c>
      <c r="M2826" s="8" t="s">
        <v>18122</v>
      </c>
      <c r="N2826" s="8" t="s">
        <v>128</v>
      </c>
      <c r="O2826" s="8" t="s">
        <v>18123</v>
      </c>
      <c r="P2826" s="8"/>
      <c r="Q2826" s="8" t="s">
        <v>740</v>
      </c>
      <c r="R2826" s="8"/>
      <c r="S2826" s="8" t="s">
        <v>7729</v>
      </c>
      <c r="T2826" s="8" t="s">
        <v>1745</v>
      </c>
      <c r="U2826" s="8" t="s">
        <v>134</v>
      </c>
      <c r="V2826" s="8" t="s">
        <v>740</v>
      </c>
      <c r="W2826" s="8" t="s">
        <v>1745</v>
      </c>
      <c r="X2826" s="8">
        <v>8</v>
      </c>
      <c r="Y2826" s="8" t="s">
        <v>12359</v>
      </c>
      <c r="Z2826" s="8">
        <v>20</v>
      </c>
      <c r="AA2826" s="8">
        <v>0</v>
      </c>
      <c r="AB2826" s="9">
        <v>0</v>
      </c>
    </row>
    <row r="2827" spans="1:28" x14ac:dyDescent="0.2">
      <c r="A2827" s="10">
        <v>25114</v>
      </c>
      <c r="B2827" s="11" t="s">
        <v>18124</v>
      </c>
      <c r="C2827" s="11" t="s">
        <v>6052</v>
      </c>
      <c r="D2827" s="11" t="s">
        <v>544</v>
      </c>
      <c r="E2827" s="11"/>
      <c r="F2827" s="11" t="s">
        <v>353</v>
      </c>
      <c r="G2827" s="11" t="s">
        <v>2691</v>
      </c>
      <c r="H2827" s="11" t="s">
        <v>704</v>
      </c>
      <c r="I2827" s="11" t="s">
        <v>6055</v>
      </c>
      <c r="J2827" s="11" t="s">
        <v>18125</v>
      </c>
      <c r="K2827" s="11" t="s">
        <v>707</v>
      </c>
      <c r="L2827" s="11" t="s">
        <v>126</v>
      </c>
      <c r="M2827" s="11" t="s">
        <v>18126</v>
      </c>
      <c r="N2827" s="11" t="s">
        <v>128</v>
      </c>
      <c r="O2827" s="11" t="s">
        <v>18127</v>
      </c>
      <c r="P2827" s="11"/>
      <c r="Q2827" s="11" t="s">
        <v>740</v>
      </c>
      <c r="R2827" s="11"/>
      <c r="S2827" s="11" t="s">
        <v>71</v>
      </c>
      <c r="T2827" s="11" t="s">
        <v>1745</v>
      </c>
      <c r="U2827" s="11" t="s">
        <v>134</v>
      </c>
      <c r="V2827" s="11" t="s">
        <v>740</v>
      </c>
      <c r="W2827" s="11" t="s">
        <v>1745</v>
      </c>
      <c r="X2827" s="11">
        <v>8</v>
      </c>
      <c r="Y2827" s="11" t="s">
        <v>12359</v>
      </c>
      <c r="Z2827" s="11">
        <v>20</v>
      </c>
      <c r="AA2827" s="11">
        <v>0</v>
      </c>
      <c r="AB2827" s="12">
        <v>0</v>
      </c>
    </row>
    <row r="2828" spans="1:28" x14ac:dyDescent="0.2">
      <c r="A2828" s="7">
        <v>25589</v>
      </c>
      <c r="B2828" s="8" t="s">
        <v>18128</v>
      </c>
      <c r="C2828" s="8" t="s">
        <v>6823</v>
      </c>
      <c r="D2828" s="8" t="s">
        <v>17231</v>
      </c>
      <c r="E2828" s="8" t="s">
        <v>281</v>
      </c>
      <c r="F2828" s="8" t="s">
        <v>17395</v>
      </c>
      <c r="G2828" s="8" t="s">
        <v>3259</v>
      </c>
      <c r="H2828" s="8" t="s">
        <v>557</v>
      </c>
      <c r="I2828" s="8" t="s">
        <v>17233</v>
      </c>
      <c r="J2828" s="8" t="s">
        <v>18129</v>
      </c>
      <c r="K2828" s="8" t="s">
        <v>1562</v>
      </c>
      <c r="L2828" s="8" t="s">
        <v>229</v>
      </c>
      <c r="M2828" s="8" t="s">
        <v>18130</v>
      </c>
      <c r="N2828" s="8" t="s">
        <v>128</v>
      </c>
      <c r="O2828" s="8" t="s">
        <v>18131</v>
      </c>
      <c r="P2828" s="8"/>
      <c r="Q2828" s="8" t="s">
        <v>249</v>
      </c>
      <c r="R2828" s="8"/>
      <c r="S2828" s="8" t="s">
        <v>17238</v>
      </c>
      <c r="T2828" s="8" t="s">
        <v>1523</v>
      </c>
      <c r="U2828" s="8" t="s">
        <v>134</v>
      </c>
      <c r="V2828" s="8" t="s">
        <v>249</v>
      </c>
      <c r="W2828" s="8" t="s">
        <v>1523</v>
      </c>
      <c r="X2828" s="8">
        <v>8</v>
      </c>
      <c r="Y2828" s="8" t="s">
        <v>12359</v>
      </c>
      <c r="Z2828" s="8">
        <v>20</v>
      </c>
      <c r="AA2828" s="8">
        <v>0</v>
      </c>
      <c r="AB2828" s="9">
        <v>0</v>
      </c>
    </row>
    <row r="2829" spans="1:28" x14ac:dyDescent="0.2">
      <c r="A2829" s="10">
        <v>25592</v>
      </c>
      <c r="B2829" s="11" t="s">
        <v>18132</v>
      </c>
      <c r="C2829" s="11" t="s">
        <v>15799</v>
      </c>
      <c r="D2829" s="11" t="s">
        <v>15800</v>
      </c>
      <c r="E2829" s="11" t="s">
        <v>281</v>
      </c>
      <c r="F2829" s="11" t="s">
        <v>18133</v>
      </c>
      <c r="G2829" s="11" t="s">
        <v>3929</v>
      </c>
      <c r="H2829" s="11" t="s">
        <v>704</v>
      </c>
      <c r="I2829" s="11" t="s">
        <v>15802</v>
      </c>
      <c r="J2829" s="11" t="s">
        <v>15803</v>
      </c>
      <c r="K2829" s="11" t="s">
        <v>850</v>
      </c>
      <c r="L2829" s="11" t="s">
        <v>126</v>
      </c>
      <c r="M2829" s="11" t="s">
        <v>18134</v>
      </c>
      <c r="N2829" s="11" t="s">
        <v>128</v>
      </c>
      <c r="O2829" s="11" t="s">
        <v>18135</v>
      </c>
      <c r="P2829" s="11"/>
      <c r="Q2829" s="11" t="s">
        <v>249</v>
      </c>
      <c r="R2829" s="11"/>
      <c r="S2829" s="11" t="s">
        <v>15807</v>
      </c>
      <c r="T2829" s="11" t="s">
        <v>1523</v>
      </c>
      <c r="U2829" s="11" t="s">
        <v>134</v>
      </c>
      <c r="V2829" s="11" t="s">
        <v>249</v>
      </c>
      <c r="W2829" s="11" t="s">
        <v>1523</v>
      </c>
      <c r="X2829" s="11">
        <v>8</v>
      </c>
      <c r="Y2829" s="11" t="s">
        <v>12359</v>
      </c>
      <c r="Z2829" s="11">
        <v>20</v>
      </c>
      <c r="AA2829" s="11">
        <v>0</v>
      </c>
      <c r="AB2829" s="12">
        <v>0</v>
      </c>
    </row>
    <row r="2830" spans="1:28" x14ac:dyDescent="0.2">
      <c r="A2830" s="7">
        <v>25613</v>
      </c>
      <c r="B2830" s="8" t="s">
        <v>18136</v>
      </c>
      <c r="C2830" s="8" t="s">
        <v>18137</v>
      </c>
      <c r="D2830" s="8"/>
      <c r="E2830" s="8" t="s">
        <v>18138</v>
      </c>
      <c r="F2830" s="8" t="s">
        <v>18139</v>
      </c>
      <c r="G2830" s="8" t="s">
        <v>4063</v>
      </c>
      <c r="H2830" s="8" t="s">
        <v>301</v>
      </c>
      <c r="I2830" s="8" t="s">
        <v>18140</v>
      </c>
      <c r="J2830" s="8" t="s">
        <v>18141</v>
      </c>
      <c r="K2830" s="8" t="s">
        <v>228</v>
      </c>
      <c r="L2830" s="8" t="s">
        <v>229</v>
      </c>
      <c r="M2830" s="8" t="s">
        <v>18142</v>
      </c>
      <c r="N2830" s="8" t="s">
        <v>128</v>
      </c>
      <c r="O2830" s="8" t="s">
        <v>18143</v>
      </c>
      <c r="P2830" s="8"/>
      <c r="Q2830" s="8" t="s">
        <v>249</v>
      </c>
      <c r="R2830" s="8"/>
      <c r="S2830" s="8" t="s">
        <v>3968</v>
      </c>
      <c r="T2830" s="8" t="s">
        <v>1523</v>
      </c>
      <c r="U2830" s="8" t="s">
        <v>134</v>
      </c>
      <c r="V2830" s="8" t="s">
        <v>249</v>
      </c>
      <c r="W2830" s="8" t="s">
        <v>1523</v>
      </c>
      <c r="X2830" s="8">
        <v>8</v>
      </c>
      <c r="Y2830" s="8" t="s">
        <v>12359</v>
      </c>
      <c r="Z2830" s="8">
        <v>20</v>
      </c>
      <c r="AA2830" s="8">
        <v>0</v>
      </c>
      <c r="AB2830" s="9">
        <v>0</v>
      </c>
    </row>
    <row r="2831" spans="1:28" x14ac:dyDescent="0.2">
      <c r="A2831" s="10">
        <v>124155</v>
      </c>
      <c r="B2831" s="11" t="s">
        <v>18144</v>
      </c>
      <c r="C2831" s="11" t="s">
        <v>12038</v>
      </c>
      <c r="D2831" s="11" t="s">
        <v>12039</v>
      </c>
      <c r="E2831" s="11" t="s">
        <v>18145</v>
      </c>
      <c r="F2831" s="11" t="s">
        <v>1207</v>
      </c>
      <c r="G2831" s="11" t="s">
        <v>615</v>
      </c>
      <c r="H2831" s="11" t="s">
        <v>616</v>
      </c>
      <c r="I2831" s="11" t="s">
        <v>12041</v>
      </c>
      <c r="J2831" s="11" t="s">
        <v>18146</v>
      </c>
      <c r="K2831" s="11" t="s">
        <v>619</v>
      </c>
      <c r="L2831" s="11" t="s">
        <v>163</v>
      </c>
      <c r="M2831" s="11" t="s">
        <v>18147</v>
      </c>
      <c r="N2831" s="11" t="s">
        <v>128</v>
      </c>
      <c r="O2831" s="11" t="s">
        <v>18148</v>
      </c>
      <c r="P2831" s="11"/>
      <c r="Q2831" s="11" t="s">
        <v>249</v>
      </c>
      <c r="R2831" s="11"/>
      <c r="S2831" s="11" t="s">
        <v>12046</v>
      </c>
      <c r="T2831" s="11" t="s">
        <v>1523</v>
      </c>
      <c r="U2831" s="11" t="s">
        <v>134</v>
      </c>
      <c r="V2831" s="11" t="s">
        <v>249</v>
      </c>
      <c r="W2831" s="11" t="s">
        <v>1523</v>
      </c>
      <c r="X2831" s="11">
        <v>8</v>
      </c>
      <c r="Y2831" s="11" t="s">
        <v>12359</v>
      </c>
      <c r="Z2831" s="11">
        <v>20</v>
      </c>
      <c r="AA2831" s="11">
        <v>0</v>
      </c>
      <c r="AB2831" s="12">
        <v>0</v>
      </c>
    </row>
    <row r="2832" spans="1:28" x14ac:dyDescent="0.2">
      <c r="A2832" s="7">
        <v>21763</v>
      </c>
      <c r="B2832" s="8" t="s">
        <v>18149</v>
      </c>
      <c r="C2832" s="8" t="s">
        <v>324</v>
      </c>
      <c r="D2832" s="8" t="s">
        <v>7723</v>
      </c>
      <c r="E2832" s="8"/>
      <c r="F2832" s="8" t="s">
        <v>7725</v>
      </c>
      <c r="G2832" s="8" t="s">
        <v>328</v>
      </c>
      <c r="H2832" s="8" t="s">
        <v>329</v>
      </c>
      <c r="I2832" s="8" t="s">
        <v>7726</v>
      </c>
      <c r="J2832" s="8" t="s">
        <v>13413</v>
      </c>
      <c r="K2832" s="8" t="s">
        <v>332</v>
      </c>
      <c r="L2832" s="8" t="s">
        <v>333</v>
      </c>
      <c r="M2832" s="8" t="s">
        <v>18150</v>
      </c>
      <c r="N2832" s="8" t="s">
        <v>128</v>
      </c>
      <c r="O2832" s="8" t="s">
        <v>18151</v>
      </c>
      <c r="P2832" s="8"/>
      <c r="Q2832" s="8" t="s">
        <v>249</v>
      </c>
      <c r="R2832" s="8"/>
      <c r="S2832" s="8" t="s">
        <v>7729</v>
      </c>
      <c r="T2832" s="8" t="s">
        <v>1523</v>
      </c>
      <c r="U2832" s="8" t="s">
        <v>134</v>
      </c>
      <c r="V2832" s="8" t="s">
        <v>249</v>
      </c>
      <c r="W2832" s="8" t="s">
        <v>1523</v>
      </c>
      <c r="X2832" s="8">
        <v>8</v>
      </c>
      <c r="Y2832" s="8" t="s">
        <v>12359</v>
      </c>
      <c r="Z2832" s="8">
        <v>20</v>
      </c>
      <c r="AA2832" s="8">
        <v>0</v>
      </c>
      <c r="AB2832" s="9">
        <v>0</v>
      </c>
    </row>
    <row r="2833" spans="1:28" x14ac:dyDescent="0.2">
      <c r="A2833" s="10">
        <v>26477</v>
      </c>
      <c r="B2833" s="11" t="s">
        <v>18152</v>
      </c>
      <c r="C2833" s="11" t="s">
        <v>324</v>
      </c>
      <c r="D2833" s="11" t="s">
        <v>1064</v>
      </c>
      <c r="E2833" s="11"/>
      <c r="F2833" s="11" t="s">
        <v>327</v>
      </c>
      <c r="G2833" s="11" t="s">
        <v>328</v>
      </c>
      <c r="H2833" s="11" t="s">
        <v>329</v>
      </c>
      <c r="I2833" s="11" t="s">
        <v>17293</v>
      </c>
      <c r="J2833" s="11" t="s">
        <v>18153</v>
      </c>
      <c r="K2833" s="11" t="s">
        <v>332</v>
      </c>
      <c r="L2833" s="11" t="s">
        <v>333</v>
      </c>
      <c r="M2833" s="11" t="s">
        <v>18154</v>
      </c>
      <c r="N2833" s="11" t="s">
        <v>128</v>
      </c>
      <c r="O2833" s="11" t="s">
        <v>18155</v>
      </c>
      <c r="P2833" s="11"/>
      <c r="Q2833" s="11" t="s">
        <v>249</v>
      </c>
      <c r="R2833" s="11"/>
      <c r="S2833" s="11" t="s">
        <v>17717</v>
      </c>
      <c r="T2833" s="11" t="s">
        <v>1523</v>
      </c>
      <c r="U2833" s="11" t="s">
        <v>134</v>
      </c>
      <c r="V2833" s="11" t="s">
        <v>249</v>
      </c>
      <c r="W2833" s="11" t="s">
        <v>1523</v>
      </c>
      <c r="X2833" s="11">
        <v>8</v>
      </c>
      <c r="Y2833" s="11" t="s">
        <v>12359</v>
      </c>
      <c r="Z2833" s="11">
        <v>20</v>
      </c>
      <c r="AA2833" s="11">
        <v>0</v>
      </c>
      <c r="AB2833" s="12">
        <v>0</v>
      </c>
    </row>
    <row r="2834" spans="1:28" x14ac:dyDescent="0.2">
      <c r="A2834" s="7">
        <v>31470</v>
      </c>
      <c r="B2834" s="8" t="s">
        <v>18156</v>
      </c>
      <c r="C2834" s="8" t="s">
        <v>1622</v>
      </c>
      <c r="D2834" s="8" t="s">
        <v>17769</v>
      </c>
      <c r="E2834" s="8"/>
      <c r="F2834" s="8" t="s">
        <v>18157</v>
      </c>
      <c r="G2834" s="8" t="s">
        <v>1626</v>
      </c>
      <c r="H2834" s="8" t="s">
        <v>142</v>
      </c>
      <c r="I2834" s="8" t="s">
        <v>8540</v>
      </c>
      <c r="J2834" s="8" t="s">
        <v>18158</v>
      </c>
      <c r="K2834" s="8" t="s">
        <v>472</v>
      </c>
      <c r="L2834" s="8" t="s">
        <v>146</v>
      </c>
      <c r="M2834" s="8" t="s">
        <v>18159</v>
      </c>
      <c r="N2834" s="8" t="s">
        <v>128</v>
      </c>
      <c r="O2834" s="8" t="s">
        <v>18160</v>
      </c>
      <c r="P2834" s="8"/>
      <c r="Q2834" s="8" t="s">
        <v>249</v>
      </c>
      <c r="R2834" s="8"/>
      <c r="S2834" s="8" t="s">
        <v>10715</v>
      </c>
      <c r="T2834" s="8" t="s">
        <v>1523</v>
      </c>
      <c r="U2834" s="8" t="s">
        <v>134</v>
      </c>
      <c r="V2834" s="8" t="s">
        <v>249</v>
      </c>
      <c r="W2834" s="8" t="s">
        <v>1523</v>
      </c>
      <c r="X2834" s="8">
        <v>8</v>
      </c>
      <c r="Y2834" s="8" t="s">
        <v>12359</v>
      </c>
      <c r="Z2834" s="8">
        <v>20</v>
      </c>
      <c r="AA2834" s="8">
        <v>0</v>
      </c>
      <c r="AB2834" s="9">
        <v>0</v>
      </c>
    </row>
    <row r="2835" spans="1:28" x14ac:dyDescent="0.2">
      <c r="A2835" s="10">
        <v>31508</v>
      </c>
      <c r="B2835" s="11" t="s">
        <v>18161</v>
      </c>
      <c r="C2835" s="11" t="s">
        <v>8399</v>
      </c>
      <c r="D2835" s="11" t="s">
        <v>15910</v>
      </c>
      <c r="E2835" s="11"/>
      <c r="F2835" s="11" t="s">
        <v>18162</v>
      </c>
      <c r="G2835" s="11" t="s">
        <v>141</v>
      </c>
      <c r="H2835" s="11" t="s">
        <v>142</v>
      </c>
      <c r="I2835" s="11" t="s">
        <v>15911</v>
      </c>
      <c r="J2835" s="11" t="s">
        <v>18163</v>
      </c>
      <c r="K2835" s="11" t="s">
        <v>584</v>
      </c>
      <c r="L2835" s="11" t="s">
        <v>146</v>
      </c>
      <c r="M2835" s="11" t="s">
        <v>18164</v>
      </c>
      <c r="N2835" s="11" t="s">
        <v>128</v>
      </c>
      <c r="O2835" s="11" t="s">
        <v>18165</v>
      </c>
      <c r="P2835" s="11"/>
      <c r="Q2835" s="11" t="s">
        <v>249</v>
      </c>
      <c r="R2835" s="11"/>
      <c r="S2835" s="11" t="s">
        <v>15915</v>
      </c>
      <c r="T2835" s="11" t="s">
        <v>1523</v>
      </c>
      <c r="U2835" s="11" t="s">
        <v>134</v>
      </c>
      <c r="V2835" s="11" t="s">
        <v>249</v>
      </c>
      <c r="W2835" s="11" t="s">
        <v>1523</v>
      </c>
      <c r="X2835" s="11">
        <v>8</v>
      </c>
      <c r="Y2835" s="11" t="s">
        <v>12359</v>
      </c>
      <c r="Z2835" s="11">
        <v>20</v>
      </c>
      <c r="AA2835" s="11">
        <v>0</v>
      </c>
      <c r="AB2835" s="12">
        <v>0</v>
      </c>
    </row>
    <row r="2836" spans="1:28" x14ac:dyDescent="0.2">
      <c r="A2836" s="7">
        <v>93292</v>
      </c>
      <c r="B2836" s="8" t="s">
        <v>18166</v>
      </c>
      <c r="C2836" s="8" t="s">
        <v>17725</v>
      </c>
      <c r="D2836" s="8" t="s">
        <v>2432</v>
      </c>
      <c r="E2836" s="8"/>
      <c r="F2836" s="8" t="s">
        <v>17726</v>
      </c>
      <c r="G2836" s="8" t="s">
        <v>12550</v>
      </c>
      <c r="H2836" s="8" t="s">
        <v>142</v>
      </c>
      <c r="I2836" s="8" t="s">
        <v>17727</v>
      </c>
      <c r="J2836" s="8" t="s">
        <v>17728</v>
      </c>
      <c r="K2836" s="8" t="s">
        <v>584</v>
      </c>
      <c r="L2836" s="8" t="s">
        <v>146</v>
      </c>
      <c r="M2836" s="8" t="s">
        <v>18167</v>
      </c>
      <c r="N2836" s="8" t="s">
        <v>128</v>
      </c>
      <c r="O2836" s="8" t="s">
        <v>18168</v>
      </c>
      <c r="P2836" s="8"/>
      <c r="Q2836" s="8" t="s">
        <v>249</v>
      </c>
      <c r="R2836" s="8"/>
      <c r="S2836" s="8" t="s">
        <v>17731</v>
      </c>
      <c r="T2836" s="8" t="s">
        <v>1523</v>
      </c>
      <c r="U2836" s="8" t="s">
        <v>134</v>
      </c>
      <c r="V2836" s="8" t="s">
        <v>249</v>
      </c>
      <c r="W2836" s="8" t="s">
        <v>1523</v>
      </c>
      <c r="X2836" s="8">
        <v>8</v>
      </c>
      <c r="Y2836" s="8" t="s">
        <v>12359</v>
      </c>
      <c r="Z2836" s="8">
        <v>20</v>
      </c>
      <c r="AA2836" s="8">
        <v>0</v>
      </c>
      <c r="AB2836" s="9">
        <v>0</v>
      </c>
    </row>
    <row r="2837" spans="1:28" x14ac:dyDescent="0.2">
      <c r="A2837" s="10">
        <v>124501</v>
      </c>
      <c r="B2837" s="11" t="s">
        <v>18169</v>
      </c>
      <c r="C2837" s="11" t="s">
        <v>14473</v>
      </c>
      <c r="D2837" s="11" t="s">
        <v>5114</v>
      </c>
      <c r="E2837" s="11"/>
      <c r="F2837" s="11" t="s">
        <v>18170</v>
      </c>
      <c r="G2837" s="11" t="s">
        <v>6501</v>
      </c>
      <c r="H2837" s="11" t="s">
        <v>159</v>
      </c>
      <c r="I2837" s="11" t="s">
        <v>18171</v>
      </c>
      <c r="J2837" s="11" t="s">
        <v>18172</v>
      </c>
      <c r="K2837" s="11" t="s">
        <v>162</v>
      </c>
      <c r="L2837" s="11" t="s">
        <v>163</v>
      </c>
      <c r="M2837" s="11" t="s">
        <v>18173</v>
      </c>
      <c r="N2837" s="11" t="s">
        <v>128</v>
      </c>
      <c r="O2837" s="11" t="s">
        <v>18174</v>
      </c>
      <c r="P2837" s="11"/>
      <c r="Q2837" s="11" t="s">
        <v>249</v>
      </c>
      <c r="R2837" s="11"/>
      <c r="S2837" s="11" t="s">
        <v>14480</v>
      </c>
      <c r="T2837" s="11" t="s">
        <v>1523</v>
      </c>
      <c r="U2837" s="11" t="s">
        <v>134</v>
      </c>
      <c r="V2837" s="11" t="s">
        <v>249</v>
      </c>
      <c r="W2837" s="11" t="s">
        <v>1523</v>
      </c>
      <c r="X2837" s="11">
        <v>8</v>
      </c>
      <c r="Y2837" s="11" t="s">
        <v>12359</v>
      </c>
      <c r="Z2837" s="11">
        <v>20</v>
      </c>
      <c r="AA2837" s="11">
        <v>0</v>
      </c>
      <c r="AB2837" s="12">
        <v>0</v>
      </c>
    </row>
    <row r="2838" spans="1:28" x14ac:dyDescent="0.2">
      <c r="A2838" s="7">
        <v>129127</v>
      </c>
      <c r="B2838" s="8" t="s">
        <v>18175</v>
      </c>
      <c r="C2838" s="8" t="s">
        <v>15007</v>
      </c>
      <c r="D2838" s="8" t="s">
        <v>9562</v>
      </c>
      <c r="E2838" s="8"/>
      <c r="F2838" s="8" t="s">
        <v>9382</v>
      </c>
      <c r="G2838" s="8" t="s">
        <v>328</v>
      </c>
      <c r="H2838" s="8" t="s">
        <v>329</v>
      </c>
      <c r="I2838" s="8" t="s">
        <v>9383</v>
      </c>
      <c r="J2838" s="8" t="s">
        <v>9565</v>
      </c>
      <c r="K2838" s="8" t="s">
        <v>332</v>
      </c>
      <c r="L2838" s="8" t="s">
        <v>333</v>
      </c>
      <c r="M2838" s="8" t="s">
        <v>18176</v>
      </c>
      <c r="N2838" s="8" t="s">
        <v>128</v>
      </c>
      <c r="O2838" s="8" t="s">
        <v>18177</v>
      </c>
      <c r="P2838" s="8"/>
      <c r="Q2838" s="8" t="s">
        <v>249</v>
      </c>
      <c r="R2838" s="8"/>
      <c r="S2838" s="8" t="s">
        <v>9388</v>
      </c>
      <c r="T2838" s="8" t="s">
        <v>1523</v>
      </c>
      <c r="U2838" s="8" t="s">
        <v>134</v>
      </c>
      <c r="V2838" s="8" t="s">
        <v>249</v>
      </c>
      <c r="W2838" s="8" t="s">
        <v>1523</v>
      </c>
      <c r="X2838" s="8">
        <v>8</v>
      </c>
      <c r="Y2838" s="8" t="s">
        <v>12359</v>
      </c>
      <c r="Z2838" s="8">
        <v>20</v>
      </c>
      <c r="AA2838" s="8">
        <v>0</v>
      </c>
      <c r="AB2838" s="9">
        <v>0</v>
      </c>
    </row>
    <row r="2839" spans="1:28" x14ac:dyDescent="0.2">
      <c r="A2839" s="10">
        <v>22164</v>
      </c>
      <c r="B2839" s="11" t="s">
        <v>18178</v>
      </c>
      <c r="C2839" s="11" t="s">
        <v>18179</v>
      </c>
      <c r="D2839" s="11" t="s">
        <v>11623</v>
      </c>
      <c r="E2839" s="11"/>
      <c r="F2839" s="11" t="s">
        <v>353</v>
      </c>
      <c r="G2839" s="11" t="s">
        <v>3921</v>
      </c>
      <c r="H2839" s="11" t="s">
        <v>122</v>
      </c>
      <c r="I2839" s="11" t="s">
        <v>18180</v>
      </c>
      <c r="J2839" s="11" t="s">
        <v>18181</v>
      </c>
      <c r="K2839" s="11" t="s">
        <v>1051</v>
      </c>
      <c r="L2839" s="11" t="s">
        <v>126</v>
      </c>
      <c r="M2839" s="11" t="s">
        <v>18182</v>
      </c>
      <c r="N2839" s="11" t="s">
        <v>128</v>
      </c>
      <c r="O2839" s="11" t="s">
        <v>18183</v>
      </c>
      <c r="P2839" s="11"/>
      <c r="Q2839" s="11" t="s">
        <v>249</v>
      </c>
      <c r="R2839" s="11"/>
      <c r="S2839" s="11" t="s">
        <v>18184</v>
      </c>
      <c r="T2839" s="11" t="s">
        <v>1523</v>
      </c>
      <c r="U2839" s="11" t="s">
        <v>134</v>
      </c>
      <c r="V2839" s="11" t="s">
        <v>249</v>
      </c>
      <c r="W2839" s="11" t="s">
        <v>1523</v>
      </c>
      <c r="X2839" s="11">
        <v>8</v>
      </c>
      <c r="Y2839" s="11" t="s">
        <v>12359</v>
      </c>
      <c r="Z2839" s="11">
        <v>20</v>
      </c>
      <c r="AA2839" s="11">
        <v>0</v>
      </c>
      <c r="AB2839" s="12">
        <v>0</v>
      </c>
    </row>
    <row r="2840" spans="1:28" x14ac:dyDescent="0.2">
      <c r="A2840" s="7">
        <v>116245</v>
      </c>
      <c r="B2840" s="8" t="s">
        <v>18185</v>
      </c>
      <c r="C2840" s="8" t="s">
        <v>8807</v>
      </c>
      <c r="D2840" s="8" t="s">
        <v>1747</v>
      </c>
      <c r="E2840" s="8"/>
      <c r="F2840" s="8" t="s">
        <v>353</v>
      </c>
      <c r="G2840" s="8" t="s">
        <v>4226</v>
      </c>
      <c r="H2840" s="8" t="s">
        <v>329</v>
      </c>
      <c r="I2840" s="8" t="s">
        <v>8808</v>
      </c>
      <c r="J2840" s="8" t="s">
        <v>18186</v>
      </c>
      <c r="K2840" s="8" t="s">
        <v>415</v>
      </c>
      <c r="L2840" s="8" t="s">
        <v>333</v>
      </c>
      <c r="M2840" s="8" t="s">
        <v>18187</v>
      </c>
      <c r="N2840" s="8" t="s">
        <v>128</v>
      </c>
      <c r="O2840" s="8" t="s">
        <v>18188</v>
      </c>
      <c r="P2840" s="8"/>
      <c r="Q2840" s="8" t="s">
        <v>249</v>
      </c>
      <c r="R2840" s="8"/>
      <c r="S2840" s="8" t="s">
        <v>71</v>
      </c>
      <c r="T2840" s="8" t="s">
        <v>1523</v>
      </c>
      <c r="U2840" s="8" t="s">
        <v>134</v>
      </c>
      <c r="V2840" s="8" t="s">
        <v>249</v>
      </c>
      <c r="W2840" s="8" t="s">
        <v>1523</v>
      </c>
      <c r="X2840" s="8">
        <v>8</v>
      </c>
      <c r="Y2840" s="8" t="s">
        <v>12359</v>
      </c>
      <c r="Z2840" s="8">
        <v>20</v>
      </c>
      <c r="AA2840" s="8">
        <v>0</v>
      </c>
      <c r="AB2840" s="9">
        <v>0</v>
      </c>
    </row>
    <row r="2841" spans="1:28" x14ac:dyDescent="0.2">
      <c r="A2841" s="10">
        <v>25594</v>
      </c>
      <c r="B2841" s="11" t="s">
        <v>18189</v>
      </c>
      <c r="C2841" s="11" t="s">
        <v>8130</v>
      </c>
      <c r="D2841" s="11" t="s">
        <v>5540</v>
      </c>
      <c r="E2841" s="11"/>
      <c r="F2841" s="11"/>
      <c r="G2841" s="11" t="s">
        <v>4606</v>
      </c>
      <c r="H2841" s="11" t="s">
        <v>142</v>
      </c>
      <c r="I2841" s="11" t="s">
        <v>4607</v>
      </c>
      <c r="J2841" s="11" t="s">
        <v>18190</v>
      </c>
      <c r="K2841" s="11" t="s">
        <v>1029</v>
      </c>
      <c r="L2841" s="11" t="s">
        <v>464</v>
      </c>
      <c r="M2841" s="11" t="s">
        <v>18191</v>
      </c>
      <c r="N2841" s="11" t="s">
        <v>128</v>
      </c>
      <c r="O2841" s="11" t="s">
        <v>18192</v>
      </c>
      <c r="P2841" s="11"/>
      <c r="Q2841" s="11" t="s">
        <v>249</v>
      </c>
      <c r="R2841" s="11"/>
      <c r="S2841" s="11" t="s">
        <v>71</v>
      </c>
      <c r="T2841" s="11" t="s">
        <v>1523</v>
      </c>
      <c r="U2841" s="11" t="s">
        <v>134</v>
      </c>
      <c r="V2841" s="11" t="s">
        <v>249</v>
      </c>
      <c r="W2841" s="11" t="s">
        <v>1523</v>
      </c>
      <c r="X2841" s="11">
        <v>8</v>
      </c>
      <c r="Y2841" s="11" t="s">
        <v>12359</v>
      </c>
      <c r="Z2841" s="11">
        <v>20</v>
      </c>
      <c r="AA2841" s="11">
        <v>0</v>
      </c>
      <c r="AB2841" s="12">
        <v>0</v>
      </c>
    </row>
    <row r="2842" spans="1:28" x14ac:dyDescent="0.2">
      <c r="A2842" s="7">
        <v>25448</v>
      </c>
      <c r="B2842" s="8" t="s">
        <v>18193</v>
      </c>
      <c r="C2842" s="8" t="s">
        <v>11354</v>
      </c>
      <c r="D2842" s="8" t="s">
        <v>6578</v>
      </c>
      <c r="E2842" s="8" t="s">
        <v>18194</v>
      </c>
      <c r="F2842" s="8" t="s">
        <v>17761</v>
      </c>
      <c r="G2842" s="8" t="s">
        <v>7653</v>
      </c>
      <c r="H2842" s="8" t="s">
        <v>142</v>
      </c>
      <c r="I2842" s="8" t="s">
        <v>17762</v>
      </c>
      <c r="J2842" s="8" t="s">
        <v>17763</v>
      </c>
      <c r="K2842" s="8" t="s">
        <v>717</v>
      </c>
      <c r="L2842" s="8" t="s">
        <v>464</v>
      </c>
      <c r="M2842" s="8" t="s">
        <v>18195</v>
      </c>
      <c r="N2842" s="8" t="s">
        <v>128</v>
      </c>
      <c r="O2842" s="8" t="s">
        <v>18196</v>
      </c>
      <c r="P2842" s="8" t="s">
        <v>18197</v>
      </c>
      <c r="Q2842" s="8" t="s">
        <v>249</v>
      </c>
      <c r="R2842" s="8"/>
      <c r="S2842" s="8" t="s">
        <v>17767</v>
      </c>
      <c r="T2842" s="8" t="s">
        <v>250</v>
      </c>
      <c r="U2842" s="8" t="s">
        <v>134</v>
      </c>
      <c r="V2842" s="8" t="s">
        <v>249</v>
      </c>
      <c r="W2842" s="8" t="s">
        <v>250</v>
      </c>
      <c r="X2842" s="8">
        <v>8</v>
      </c>
      <c r="Y2842" s="8" t="s">
        <v>12359</v>
      </c>
      <c r="Z2842" s="8">
        <v>20</v>
      </c>
      <c r="AA2842" s="8">
        <v>0</v>
      </c>
      <c r="AB2842" s="9">
        <v>0</v>
      </c>
    </row>
    <row r="2843" spans="1:28" x14ac:dyDescent="0.2">
      <c r="A2843" s="10">
        <v>226710</v>
      </c>
      <c r="B2843" s="11" t="s">
        <v>18198</v>
      </c>
      <c r="C2843" s="11" t="s">
        <v>18199</v>
      </c>
      <c r="D2843" s="11" t="s">
        <v>18200</v>
      </c>
      <c r="E2843" s="11" t="s">
        <v>18201</v>
      </c>
      <c r="F2843" s="11" t="s">
        <v>18202</v>
      </c>
      <c r="G2843" s="11" t="s">
        <v>412</v>
      </c>
      <c r="H2843" s="11" t="s">
        <v>329</v>
      </c>
      <c r="I2843" s="11" t="s">
        <v>18203</v>
      </c>
      <c r="J2843" s="11" t="s">
        <v>18204</v>
      </c>
      <c r="K2843" s="11" t="s">
        <v>415</v>
      </c>
      <c r="L2843" s="11" t="s">
        <v>333</v>
      </c>
      <c r="M2843" s="11" t="s">
        <v>18205</v>
      </c>
      <c r="N2843" s="11" t="s">
        <v>128</v>
      </c>
      <c r="O2843" s="11" t="s">
        <v>18206</v>
      </c>
      <c r="P2843" s="11" t="s">
        <v>18207</v>
      </c>
      <c r="Q2843" s="11" t="s">
        <v>249</v>
      </c>
      <c r="R2843" s="11"/>
      <c r="S2843" s="11" t="s">
        <v>71</v>
      </c>
      <c r="T2843" s="11" t="s">
        <v>250</v>
      </c>
      <c r="U2843" s="11" t="s">
        <v>134</v>
      </c>
      <c r="V2843" s="11" t="s">
        <v>249</v>
      </c>
      <c r="W2843" s="11" t="s">
        <v>250</v>
      </c>
      <c r="X2843" s="11">
        <v>8</v>
      </c>
      <c r="Y2843" s="11" t="s">
        <v>12359</v>
      </c>
      <c r="Z2843" s="11">
        <v>20</v>
      </c>
      <c r="AA2843" s="11">
        <v>0</v>
      </c>
      <c r="AB2843" s="12">
        <v>0</v>
      </c>
    </row>
    <row r="2844" spans="1:28" x14ac:dyDescent="0.2">
      <c r="A2844" s="7">
        <v>25596</v>
      </c>
      <c r="B2844" s="8" t="s">
        <v>18208</v>
      </c>
      <c r="C2844" s="8" t="s">
        <v>15839</v>
      </c>
      <c r="D2844" s="8" t="s">
        <v>5637</v>
      </c>
      <c r="E2844" s="8" t="s">
        <v>2819</v>
      </c>
      <c r="F2844" s="8" t="s">
        <v>353</v>
      </c>
      <c r="G2844" s="8" t="s">
        <v>7562</v>
      </c>
      <c r="H2844" s="8" t="s">
        <v>847</v>
      </c>
      <c r="I2844" s="8" t="s">
        <v>15840</v>
      </c>
      <c r="J2844" s="8" t="s">
        <v>15841</v>
      </c>
      <c r="K2844" s="8" t="s">
        <v>850</v>
      </c>
      <c r="L2844" s="8" t="s">
        <v>126</v>
      </c>
      <c r="M2844" s="8" t="s">
        <v>18209</v>
      </c>
      <c r="N2844" s="8" t="s">
        <v>128</v>
      </c>
      <c r="O2844" s="8" t="s">
        <v>18210</v>
      </c>
      <c r="P2844" s="8" t="s">
        <v>18211</v>
      </c>
      <c r="Q2844" s="8" t="s">
        <v>249</v>
      </c>
      <c r="R2844" s="8"/>
      <c r="S2844" s="8" t="s">
        <v>15845</v>
      </c>
      <c r="T2844" s="8" t="s">
        <v>250</v>
      </c>
      <c r="U2844" s="8" t="s">
        <v>134</v>
      </c>
      <c r="V2844" s="8" t="s">
        <v>249</v>
      </c>
      <c r="W2844" s="8" t="s">
        <v>250</v>
      </c>
      <c r="X2844" s="8">
        <v>8</v>
      </c>
      <c r="Y2844" s="8" t="s">
        <v>12359</v>
      </c>
      <c r="Z2844" s="8">
        <v>20</v>
      </c>
      <c r="AA2844" s="8">
        <v>0</v>
      </c>
      <c r="AB2844" s="9">
        <v>0</v>
      </c>
    </row>
    <row r="2845" spans="1:28" x14ac:dyDescent="0.2">
      <c r="A2845" s="10">
        <v>31476</v>
      </c>
      <c r="B2845" s="11" t="s">
        <v>18212</v>
      </c>
      <c r="C2845" s="11" t="s">
        <v>18213</v>
      </c>
      <c r="D2845" s="11" t="s">
        <v>6980</v>
      </c>
      <c r="E2845" s="11"/>
      <c r="F2845" s="11" t="s">
        <v>353</v>
      </c>
      <c r="G2845" s="11" t="s">
        <v>12090</v>
      </c>
      <c r="H2845" s="11" t="s">
        <v>671</v>
      </c>
      <c r="I2845" s="11" t="s">
        <v>18214</v>
      </c>
      <c r="J2845" s="11" t="s">
        <v>18215</v>
      </c>
      <c r="K2845" s="11" t="s">
        <v>572</v>
      </c>
      <c r="L2845" s="11" t="s">
        <v>333</v>
      </c>
      <c r="M2845" s="11" t="s">
        <v>18216</v>
      </c>
      <c r="N2845" s="11" t="s">
        <v>128</v>
      </c>
      <c r="O2845" s="11" t="s">
        <v>18217</v>
      </c>
      <c r="P2845" s="11" t="s">
        <v>18218</v>
      </c>
      <c r="Q2845" s="11" t="s">
        <v>249</v>
      </c>
      <c r="R2845" s="11"/>
      <c r="S2845" s="11" t="s">
        <v>71</v>
      </c>
      <c r="T2845" s="11" t="s">
        <v>250</v>
      </c>
      <c r="U2845" s="11" t="s">
        <v>134</v>
      </c>
      <c r="V2845" s="11" t="s">
        <v>249</v>
      </c>
      <c r="W2845" s="11" t="s">
        <v>250</v>
      </c>
      <c r="X2845" s="11">
        <v>8</v>
      </c>
      <c r="Y2845" s="11" t="s">
        <v>12359</v>
      </c>
      <c r="Z2845" s="11">
        <v>20</v>
      </c>
      <c r="AA2845" s="11">
        <v>0</v>
      </c>
      <c r="AB2845" s="12">
        <v>0</v>
      </c>
    </row>
    <row r="2846" spans="1:28" x14ac:dyDescent="0.2">
      <c r="A2846" s="7">
        <v>25364</v>
      </c>
      <c r="B2846" s="8" t="s">
        <v>18219</v>
      </c>
      <c r="C2846" s="8" t="s">
        <v>17781</v>
      </c>
      <c r="D2846" s="8" t="s">
        <v>1362</v>
      </c>
      <c r="E2846" s="8"/>
      <c r="F2846" s="8" t="s">
        <v>10082</v>
      </c>
      <c r="G2846" s="8" t="s">
        <v>469</v>
      </c>
      <c r="H2846" s="8" t="s">
        <v>142</v>
      </c>
      <c r="I2846" s="8" t="s">
        <v>18220</v>
      </c>
      <c r="J2846" s="8" t="s">
        <v>17783</v>
      </c>
      <c r="K2846" s="8" t="s">
        <v>472</v>
      </c>
      <c r="L2846" s="8" t="s">
        <v>146</v>
      </c>
      <c r="M2846" s="8" t="s">
        <v>18221</v>
      </c>
      <c r="N2846" s="8" t="s">
        <v>128</v>
      </c>
      <c r="O2846" s="8" t="s">
        <v>18222</v>
      </c>
      <c r="P2846" s="8" t="s">
        <v>18223</v>
      </c>
      <c r="Q2846" s="8" t="s">
        <v>249</v>
      </c>
      <c r="R2846" s="8"/>
      <c r="S2846" s="8" t="s">
        <v>17786</v>
      </c>
      <c r="T2846" s="8" t="s">
        <v>250</v>
      </c>
      <c r="U2846" s="8" t="s">
        <v>134</v>
      </c>
      <c r="V2846" s="8" t="s">
        <v>249</v>
      </c>
      <c r="W2846" s="8" t="s">
        <v>250</v>
      </c>
      <c r="X2846" s="8">
        <v>8</v>
      </c>
      <c r="Y2846" s="8" t="s">
        <v>12359</v>
      </c>
      <c r="Z2846" s="8">
        <v>20</v>
      </c>
      <c r="AA2846" s="8">
        <v>0</v>
      </c>
      <c r="AB2846" s="9">
        <v>0</v>
      </c>
    </row>
    <row r="2847" spans="1:28" x14ac:dyDescent="0.2">
      <c r="A2847" s="10">
        <v>25773</v>
      </c>
      <c r="B2847" s="11" t="s">
        <v>18224</v>
      </c>
      <c r="C2847" s="11" t="s">
        <v>18225</v>
      </c>
      <c r="D2847" s="11"/>
      <c r="E2847" s="11"/>
      <c r="F2847" s="11" t="s">
        <v>353</v>
      </c>
      <c r="G2847" s="11" t="s">
        <v>4270</v>
      </c>
      <c r="H2847" s="11" t="s">
        <v>4271</v>
      </c>
      <c r="I2847" s="11" t="s">
        <v>8082</v>
      </c>
      <c r="J2847" s="11" t="s">
        <v>18226</v>
      </c>
      <c r="K2847" s="11" t="s">
        <v>619</v>
      </c>
      <c r="L2847" s="11" t="s">
        <v>163</v>
      </c>
      <c r="M2847" s="11" t="s">
        <v>18227</v>
      </c>
      <c r="N2847" s="11" t="s">
        <v>128</v>
      </c>
      <c r="O2847" s="11" t="s">
        <v>18228</v>
      </c>
      <c r="P2847" s="11"/>
      <c r="Q2847" s="11" t="s">
        <v>150</v>
      </c>
      <c r="R2847" s="11"/>
      <c r="S2847" s="11" t="s">
        <v>71</v>
      </c>
      <c r="T2847" s="11" t="s">
        <v>8111</v>
      </c>
      <c r="U2847" s="11" t="s">
        <v>150</v>
      </c>
      <c r="V2847" s="11" t="s">
        <v>8111</v>
      </c>
      <c r="W2847" s="11" t="s">
        <v>8111</v>
      </c>
      <c r="X2847" s="11">
        <v>7</v>
      </c>
      <c r="Y2847" s="11" t="s">
        <v>12359</v>
      </c>
      <c r="Z2847" s="11">
        <v>20</v>
      </c>
      <c r="AA2847" s="11">
        <v>0</v>
      </c>
      <c r="AB2847" s="12">
        <v>0</v>
      </c>
    </row>
    <row r="2848" spans="1:28" x14ac:dyDescent="0.2">
      <c r="A2848" s="7">
        <v>21246</v>
      </c>
      <c r="B2848" s="8" t="s">
        <v>18229</v>
      </c>
      <c r="C2848" s="8" t="s">
        <v>18230</v>
      </c>
      <c r="D2848" s="8" t="s">
        <v>3387</v>
      </c>
      <c r="E2848" s="8" t="s">
        <v>11355</v>
      </c>
      <c r="F2848" s="8" t="s">
        <v>353</v>
      </c>
      <c r="G2848" s="8" t="s">
        <v>328</v>
      </c>
      <c r="H2848" s="8" t="s">
        <v>329</v>
      </c>
      <c r="I2848" s="8" t="s">
        <v>9572</v>
      </c>
      <c r="J2848" s="8" t="s">
        <v>18231</v>
      </c>
      <c r="K2848" s="8" t="s">
        <v>415</v>
      </c>
      <c r="L2848" s="8" t="s">
        <v>333</v>
      </c>
      <c r="M2848" s="8" t="s">
        <v>18232</v>
      </c>
      <c r="N2848" s="8" t="s">
        <v>128</v>
      </c>
      <c r="O2848" s="8" t="s">
        <v>18233</v>
      </c>
      <c r="P2848" s="8" t="s">
        <v>9570</v>
      </c>
      <c r="Q2848" s="8" t="s">
        <v>150</v>
      </c>
      <c r="R2848" s="8"/>
      <c r="S2848" s="8" t="s">
        <v>71</v>
      </c>
      <c r="T2848" s="8" t="s">
        <v>642</v>
      </c>
      <c r="U2848" s="8" t="s">
        <v>150</v>
      </c>
      <c r="V2848" s="8" t="s">
        <v>642</v>
      </c>
      <c r="W2848" s="8" t="s">
        <v>642</v>
      </c>
      <c r="X2848" s="8">
        <v>7</v>
      </c>
      <c r="Y2848" s="8" t="s">
        <v>12359</v>
      </c>
      <c r="Z2848" s="8">
        <v>20</v>
      </c>
      <c r="AA2848" s="8">
        <v>0</v>
      </c>
      <c r="AB2848" s="9">
        <v>0</v>
      </c>
    </row>
    <row r="2849" spans="1:28" x14ac:dyDescent="0.2">
      <c r="A2849" s="10">
        <v>21220</v>
      </c>
      <c r="B2849" s="11" t="s">
        <v>18234</v>
      </c>
      <c r="C2849" s="11" t="s">
        <v>1634</v>
      </c>
      <c r="D2849" s="11" t="s">
        <v>1635</v>
      </c>
      <c r="E2849" s="11" t="s">
        <v>18235</v>
      </c>
      <c r="F2849" s="11" t="s">
        <v>1637</v>
      </c>
      <c r="G2849" s="11" t="s">
        <v>328</v>
      </c>
      <c r="H2849" s="11" t="s">
        <v>329</v>
      </c>
      <c r="I2849" s="11" t="s">
        <v>1638</v>
      </c>
      <c r="J2849" s="11" t="s">
        <v>1639</v>
      </c>
      <c r="K2849" s="11" t="s">
        <v>572</v>
      </c>
      <c r="L2849" s="11" t="s">
        <v>333</v>
      </c>
      <c r="M2849" s="11" t="s">
        <v>18236</v>
      </c>
      <c r="N2849" s="11" t="s">
        <v>128</v>
      </c>
      <c r="O2849" s="11" t="s">
        <v>18237</v>
      </c>
      <c r="P2849" s="11" t="s">
        <v>18238</v>
      </c>
      <c r="Q2849" s="11" t="s">
        <v>150</v>
      </c>
      <c r="R2849" s="11"/>
      <c r="S2849" s="11" t="s">
        <v>1643</v>
      </c>
      <c r="T2849" s="11" t="s">
        <v>642</v>
      </c>
      <c r="U2849" s="11" t="s">
        <v>150</v>
      </c>
      <c r="V2849" s="11" t="s">
        <v>642</v>
      </c>
      <c r="W2849" s="11" t="s">
        <v>642</v>
      </c>
      <c r="X2849" s="11">
        <v>7</v>
      </c>
      <c r="Y2849" s="11" t="s">
        <v>12359</v>
      </c>
      <c r="Z2849" s="11">
        <v>20</v>
      </c>
      <c r="AA2849" s="11">
        <v>0</v>
      </c>
      <c r="AB2849" s="12">
        <v>0</v>
      </c>
    </row>
    <row r="2850" spans="1:28" x14ac:dyDescent="0.2">
      <c r="A2850" s="7">
        <v>21203</v>
      </c>
      <c r="B2850" s="8" t="s">
        <v>18239</v>
      </c>
      <c r="C2850" s="8" t="s">
        <v>18240</v>
      </c>
      <c r="D2850" s="8" t="s">
        <v>11107</v>
      </c>
      <c r="E2850" s="8"/>
      <c r="F2850" s="8" t="s">
        <v>3273</v>
      </c>
      <c r="G2850" s="8" t="s">
        <v>3274</v>
      </c>
      <c r="H2850" s="8" t="s">
        <v>329</v>
      </c>
      <c r="I2850" s="8" t="s">
        <v>4192</v>
      </c>
      <c r="J2850" s="8" t="s">
        <v>18241</v>
      </c>
      <c r="K2850" s="8" t="s">
        <v>431</v>
      </c>
      <c r="L2850" s="8" t="s">
        <v>333</v>
      </c>
      <c r="M2850" s="8" t="s">
        <v>18242</v>
      </c>
      <c r="N2850" s="8" t="s">
        <v>128</v>
      </c>
      <c r="O2850" s="8" t="s">
        <v>18243</v>
      </c>
      <c r="P2850" s="8" t="s">
        <v>3273</v>
      </c>
      <c r="Q2850" s="8" t="s">
        <v>150</v>
      </c>
      <c r="R2850" s="8"/>
      <c r="S2850" s="8" t="s">
        <v>71</v>
      </c>
      <c r="T2850" s="8" t="s">
        <v>642</v>
      </c>
      <c r="U2850" s="8" t="s">
        <v>150</v>
      </c>
      <c r="V2850" s="8" t="s">
        <v>642</v>
      </c>
      <c r="W2850" s="8" t="s">
        <v>642</v>
      </c>
      <c r="X2850" s="8">
        <v>7</v>
      </c>
      <c r="Y2850" s="8" t="s">
        <v>12359</v>
      </c>
      <c r="Z2850" s="8">
        <v>20</v>
      </c>
      <c r="AA2850" s="8">
        <v>0</v>
      </c>
      <c r="AB2850" s="9">
        <v>0</v>
      </c>
    </row>
    <row r="2851" spans="1:28" x14ac:dyDescent="0.2">
      <c r="A2851" s="10">
        <v>126004</v>
      </c>
      <c r="B2851" s="11" t="s">
        <v>18244</v>
      </c>
      <c r="C2851" s="11" t="s">
        <v>17900</v>
      </c>
      <c r="D2851" s="11" t="s">
        <v>10066</v>
      </c>
      <c r="E2851" s="11"/>
      <c r="F2851" s="11" t="s">
        <v>353</v>
      </c>
      <c r="G2851" s="11" t="s">
        <v>12090</v>
      </c>
      <c r="H2851" s="11" t="s">
        <v>671</v>
      </c>
      <c r="I2851" s="11" t="s">
        <v>18245</v>
      </c>
      <c r="J2851" s="11" t="s">
        <v>18246</v>
      </c>
      <c r="K2851" s="11" t="s">
        <v>572</v>
      </c>
      <c r="L2851" s="11" t="s">
        <v>333</v>
      </c>
      <c r="M2851" s="11" t="s">
        <v>18247</v>
      </c>
      <c r="N2851" s="11" t="s">
        <v>128</v>
      </c>
      <c r="O2851" s="11" t="s">
        <v>18248</v>
      </c>
      <c r="P2851" s="11"/>
      <c r="Q2851" s="11" t="s">
        <v>150</v>
      </c>
      <c r="R2851" s="11"/>
      <c r="S2851" s="11" t="s">
        <v>71</v>
      </c>
      <c r="T2851" s="11" t="s">
        <v>642</v>
      </c>
      <c r="U2851" s="11" t="s">
        <v>150</v>
      </c>
      <c r="V2851" s="11" t="s">
        <v>642</v>
      </c>
      <c r="W2851" s="11" t="s">
        <v>642</v>
      </c>
      <c r="X2851" s="11">
        <v>7</v>
      </c>
      <c r="Y2851" s="11" t="s">
        <v>12359</v>
      </c>
      <c r="Z2851" s="11">
        <v>20</v>
      </c>
      <c r="AA2851" s="11">
        <v>0</v>
      </c>
      <c r="AB2851" s="12">
        <v>0</v>
      </c>
    </row>
    <row r="2852" spans="1:28" x14ac:dyDescent="0.2">
      <c r="A2852" s="7">
        <v>21369</v>
      </c>
      <c r="B2852" s="8" t="s">
        <v>18249</v>
      </c>
      <c r="C2852" s="8" t="s">
        <v>7871</v>
      </c>
      <c r="D2852" s="8" t="s">
        <v>18250</v>
      </c>
      <c r="E2852" s="8" t="s">
        <v>18251</v>
      </c>
      <c r="F2852" s="8" t="s">
        <v>8101</v>
      </c>
      <c r="G2852" s="8" t="s">
        <v>2423</v>
      </c>
      <c r="H2852" s="8" t="s">
        <v>557</v>
      </c>
      <c r="I2852" s="8" t="s">
        <v>18252</v>
      </c>
      <c r="J2852" s="8" t="s">
        <v>18253</v>
      </c>
      <c r="K2852" s="8" t="s">
        <v>1562</v>
      </c>
      <c r="L2852" s="8" t="s">
        <v>229</v>
      </c>
      <c r="M2852" s="8" t="s">
        <v>18254</v>
      </c>
      <c r="N2852" s="8" t="s">
        <v>128</v>
      </c>
      <c r="O2852" s="8" t="s">
        <v>18255</v>
      </c>
      <c r="P2852" s="8" t="s">
        <v>18256</v>
      </c>
      <c r="Q2852" s="8" t="s">
        <v>150</v>
      </c>
      <c r="R2852" s="8"/>
      <c r="S2852" s="8" t="s">
        <v>18257</v>
      </c>
      <c r="T2852" s="8" t="s">
        <v>67</v>
      </c>
      <c r="U2852" s="8" t="s">
        <v>150</v>
      </c>
      <c r="V2852" s="8" t="s">
        <v>152</v>
      </c>
      <c r="W2852" s="8" t="s">
        <v>67</v>
      </c>
      <c r="X2852" s="8">
        <v>7</v>
      </c>
      <c r="Y2852" s="8" t="s">
        <v>12359</v>
      </c>
      <c r="Z2852" s="8">
        <v>20</v>
      </c>
      <c r="AA2852" s="8">
        <v>0</v>
      </c>
      <c r="AB2852" s="9">
        <v>0</v>
      </c>
    </row>
    <row r="2853" spans="1:28" x14ac:dyDescent="0.2">
      <c r="A2853" s="10">
        <v>107477</v>
      </c>
      <c r="B2853" s="11" t="s">
        <v>18258</v>
      </c>
      <c r="C2853" s="11" t="s">
        <v>4777</v>
      </c>
      <c r="D2853" s="11" t="s">
        <v>18259</v>
      </c>
      <c r="E2853" s="11"/>
      <c r="F2853" s="11" t="s">
        <v>353</v>
      </c>
      <c r="G2853" s="11" t="s">
        <v>18260</v>
      </c>
      <c r="H2853" s="11" t="s">
        <v>142</v>
      </c>
      <c r="I2853" s="11" t="s">
        <v>18261</v>
      </c>
      <c r="J2853" s="11" t="s">
        <v>18262</v>
      </c>
      <c r="K2853" s="11" t="s">
        <v>1673</v>
      </c>
      <c r="L2853" s="11" t="s">
        <v>464</v>
      </c>
      <c r="M2853" s="11" t="s">
        <v>18263</v>
      </c>
      <c r="N2853" s="11" t="s">
        <v>128</v>
      </c>
      <c r="O2853" s="11" t="s">
        <v>18264</v>
      </c>
      <c r="P2853" s="11" t="s">
        <v>18265</v>
      </c>
      <c r="Q2853" s="11" t="s">
        <v>150</v>
      </c>
      <c r="R2853" s="11"/>
      <c r="S2853" s="11" t="s">
        <v>71</v>
      </c>
      <c r="T2853" s="11" t="s">
        <v>67</v>
      </c>
      <c r="U2853" s="11" t="s">
        <v>150</v>
      </c>
      <c r="V2853" s="11" t="s">
        <v>152</v>
      </c>
      <c r="W2853" s="11" t="s">
        <v>67</v>
      </c>
      <c r="X2853" s="11">
        <v>7</v>
      </c>
      <c r="Y2853" s="11" t="s">
        <v>12359</v>
      </c>
      <c r="Z2853" s="11">
        <v>20</v>
      </c>
      <c r="AA2853" s="11">
        <v>0</v>
      </c>
      <c r="AB2853" s="12">
        <v>0</v>
      </c>
    </row>
    <row r="2854" spans="1:28" x14ac:dyDescent="0.2">
      <c r="A2854" s="7">
        <v>21489</v>
      </c>
      <c r="B2854" s="8" t="s">
        <v>18266</v>
      </c>
      <c r="C2854" s="8" t="s">
        <v>18267</v>
      </c>
      <c r="D2854" s="8" t="s">
        <v>7261</v>
      </c>
      <c r="E2854" s="8"/>
      <c r="F2854" s="8" t="s">
        <v>353</v>
      </c>
      <c r="G2854" s="8" t="s">
        <v>17932</v>
      </c>
      <c r="H2854" s="8" t="s">
        <v>142</v>
      </c>
      <c r="I2854" s="8" t="s">
        <v>18268</v>
      </c>
      <c r="J2854" s="8" t="s">
        <v>18269</v>
      </c>
      <c r="K2854" s="8" t="s">
        <v>779</v>
      </c>
      <c r="L2854" s="8" t="s">
        <v>464</v>
      </c>
      <c r="M2854" s="8" t="s">
        <v>18270</v>
      </c>
      <c r="N2854" s="8" t="s">
        <v>128</v>
      </c>
      <c r="O2854" s="8" t="s">
        <v>18271</v>
      </c>
      <c r="P2854" s="8" t="s">
        <v>7132</v>
      </c>
      <c r="Q2854" s="8" t="s">
        <v>150</v>
      </c>
      <c r="R2854" s="8"/>
      <c r="S2854" s="8" t="s">
        <v>71</v>
      </c>
      <c r="T2854" s="8" t="s">
        <v>67</v>
      </c>
      <c r="U2854" s="8" t="s">
        <v>150</v>
      </c>
      <c r="V2854" s="8" t="s">
        <v>152</v>
      </c>
      <c r="W2854" s="8" t="s">
        <v>67</v>
      </c>
      <c r="X2854" s="8">
        <v>7</v>
      </c>
      <c r="Y2854" s="8" t="s">
        <v>12359</v>
      </c>
      <c r="Z2854" s="8">
        <v>20</v>
      </c>
      <c r="AA2854" s="8">
        <v>0</v>
      </c>
      <c r="AB2854" s="9">
        <v>0</v>
      </c>
    </row>
    <row r="2855" spans="1:28" x14ac:dyDescent="0.2">
      <c r="A2855" s="10">
        <v>120122</v>
      </c>
      <c r="B2855" s="11" t="s">
        <v>18272</v>
      </c>
      <c r="C2855" s="11" t="s">
        <v>5879</v>
      </c>
      <c r="D2855" s="11" t="s">
        <v>18273</v>
      </c>
      <c r="E2855" s="11"/>
      <c r="F2855" s="11" t="s">
        <v>353</v>
      </c>
      <c r="G2855" s="11" t="s">
        <v>18274</v>
      </c>
      <c r="H2855" s="11" t="s">
        <v>847</v>
      </c>
      <c r="I2855" s="11" t="s">
        <v>18275</v>
      </c>
      <c r="J2855" s="11" t="s">
        <v>18276</v>
      </c>
      <c r="K2855" s="11" t="s">
        <v>850</v>
      </c>
      <c r="L2855" s="11" t="s">
        <v>126</v>
      </c>
      <c r="M2855" s="11" t="s">
        <v>18277</v>
      </c>
      <c r="N2855" s="11" t="s">
        <v>128</v>
      </c>
      <c r="O2855" s="11" t="s">
        <v>18278</v>
      </c>
      <c r="P2855" s="11" t="s">
        <v>18279</v>
      </c>
      <c r="Q2855" s="11" t="s">
        <v>150</v>
      </c>
      <c r="R2855" s="11"/>
      <c r="S2855" s="11" t="s">
        <v>71</v>
      </c>
      <c r="T2855" s="11" t="s">
        <v>67</v>
      </c>
      <c r="U2855" s="11" t="s">
        <v>150</v>
      </c>
      <c r="V2855" s="11" t="s">
        <v>152</v>
      </c>
      <c r="W2855" s="11" t="s">
        <v>67</v>
      </c>
      <c r="X2855" s="11">
        <v>7</v>
      </c>
      <c r="Y2855" s="11" t="s">
        <v>12359</v>
      </c>
      <c r="Z2855" s="11">
        <v>20</v>
      </c>
      <c r="AA2855" s="11">
        <v>0</v>
      </c>
      <c r="AB2855" s="12">
        <v>0</v>
      </c>
    </row>
    <row r="2856" spans="1:28" x14ac:dyDescent="0.2">
      <c r="A2856" s="7">
        <v>26210</v>
      </c>
      <c r="B2856" s="8" t="s">
        <v>18280</v>
      </c>
      <c r="C2856" s="8" t="s">
        <v>5879</v>
      </c>
      <c r="D2856" s="8" t="s">
        <v>8508</v>
      </c>
      <c r="E2856" s="8"/>
      <c r="F2856" s="8"/>
      <c r="G2856" s="8" t="s">
        <v>12227</v>
      </c>
      <c r="H2856" s="8" t="s">
        <v>329</v>
      </c>
      <c r="I2856" s="8" t="s">
        <v>12228</v>
      </c>
      <c r="J2856" s="8" t="s">
        <v>18281</v>
      </c>
      <c r="K2856" s="8" t="s">
        <v>415</v>
      </c>
      <c r="L2856" s="8" t="s">
        <v>333</v>
      </c>
      <c r="M2856" s="8" t="s">
        <v>18282</v>
      </c>
      <c r="N2856" s="8" t="s">
        <v>128</v>
      </c>
      <c r="O2856" s="8" t="s">
        <v>18283</v>
      </c>
      <c r="P2856" s="8" t="s">
        <v>7708</v>
      </c>
      <c r="Q2856" s="8" t="s">
        <v>150</v>
      </c>
      <c r="R2856" s="8"/>
      <c r="S2856" s="8" t="s">
        <v>71</v>
      </c>
      <c r="T2856" s="8" t="s">
        <v>67</v>
      </c>
      <c r="U2856" s="8" t="s">
        <v>150</v>
      </c>
      <c r="V2856" s="8" t="s">
        <v>152</v>
      </c>
      <c r="W2856" s="8" t="s">
        <v>67</v>
      </c>
      <c r="X2856" s="8">
        <v>7</v>
      </c>
      <c r="Y2856" s="8" t="s">
        <v>12359</v>
      </c>
      <c r="Z2856" s="8">
        <v>20</v>
      </c>
      <c r="AA2856" s="8">
        <v>0</v>
      </c>
      <c r="AB2856" s="9">
        <v>0</v>
      </c>
    </row>
    <row r="2857" spans="1:28" x14ac:dyDescent="0.2">
      <c r="A2857" s="10">
        <v>26181</v>
      </c>
      <c r="B2857" s="11" t="s">
        <v>18284</v>
      </c>
      <c r="C2857" s="11" t="s">
        <v>18285</v>
      </c>
      <c r="D2857" s="11" t="s">
        <v>18286</v>
      </c>
      <c r="E2857" s="11"/>
      <c r="F2857" s="11" t="s">
        <v>18287</v>
      </c>
      <c r="G2857" s="11" t="s">
        <v>1626</v>
      </c>
      <c r="H2857" s="11" t="s">
        <v>142</v>
      </c>
      <c r="I2857" s="11" t="s">
        <v>18288</v>
      </c>
      <c r="J2857" s="11" t="s">
        <v>18289</v>
      </c>
      <c r="K2857" s="11" t="s">
        <v>472</v>
      </c>
      <c r="L2857" s="11" t="s">
        <v>146</v>
      </c>
      <c r="M2857" s="11" t="s">
        <v>18290</v>
      </c>
      <c r="N2857" s="11" t="s">
        <v>128</v>
      </c>
      <c r="O2857" s="11"/>
      <c r="P2857" s="11" t="s">
        <v>6923</v>
      </c>
      <c r="Q2857" s="11" t="s">
        <v>150</v>
      </c>
      <c r="R2857" s="11"/>
      <c r="S2857" s="11" t="s">
        <v>71</v>
      </c>
      <c r="T2857" s="11" t="s">
        <v>67</v>
      </c>
      <c r="U2857" s="11" t="s">
        <v>150</v>
      </c>
      <c r="V2857" s="11" t="s">
        <v>152</v>
      </c>
      <c r="W2857" s="11" t="s">
        <v>67</v>
      </c>
      <c r="X2857" s="11">
        <v>7</v>
      </c>
      <c r="Y2857" s="11" t="s">
        <v>12359</v>
      </c>
      <c r="Z2857" s="11">
        <v>20</v>
      </c>
      <c r="AA2857" s="11">
        <v>0</v>
      </c>
      <c r="AB2857" s="12">
        <v>0</v>
      </c>
    </row>
    <row r="2858" spans="1:28" x14ac:dyDescent="0.2">
      <c r="A2858" s="7">
        <v>26244</v>
      </c>
      <c r="B2858" s="8" t="s">
        <v>18291</v>
      </c>
      <c r="C2858" s="8" t="s">
        <v>9286</v>
      </c>
      <c r="D2858" s="8" t="s">
        <v>8209</v>
      </c>
      <c r="E2858" s="8"/>
      <c r="F2858" s="8" t="s">
        <v>18292</v>
      </c>
      <c r="G2858" s="8" t="s">
        <v>1626</v>
      </c>
      <c r="H2858" s="8" t="s">
        <v>142</v>
      </c>
      <c r="I2858" s="8" t="s">
        <v>18293</v>
      </c>
      <c r="J2858" s="8" t="s">
        <v>18294</v>
      </c>
      <c r="K2858" s="8" t="s">
        <v>472</v>
      </c>
      <c r="L2858" s="8" t="s">
        <v>146</v>
      </c>
      <c r="M2858" s="8" t="s">
        <v>18295</v>
      </c>
      <c r="N2858" s="8" t="s">
        <v>128</v>
      </c>
      <c r="O2858" s="8"/>
      <c r="P2858" s="8" t="s">
        <v>18296</v>
      </c>
      <c r="Q2858" s="8" t="s">
        <v>150</v>
      </c>
      <c r="R2858" s="8"/>
      <c r="S2858" s="8" t="s">
        <v>71</v>
      </c>
      <c r="T2858" s="8" t="s">
        <v>67</v>
      </c>
      <c r="U2858" s="8" t="s">
        <v>150</v>
      </c>
      <c r="V2858" s="8" t="s">
        <v>152</v>
      </c>
      <c r="W2858" s="8" t="s">
        <v>67</v>
      </c>
      <c r="X2858" s="8">
        <v>7</v>
      </c>
      <c r="Y2858" s="8" t="s">
        <v>12359</v>
      </c>
      <c r="Z2858" s="8">
        <v>20</v>
      </c>
      <c r="AA2858" s="8">
        <v>0</v>
      </c>
      <c r="AB2858" s="9">
        <v>0</v>
      </c>
    </row>
    <row r="2859" spans="1:28" x14ac:dyDescent="0.2">
      <c r="A2859" s="10">
        <v>49706</v>
      </c>
      <c r="B2859" s="11" t="s">
        <v>18297</v>
      </c>
      <c r="C2859" s="11" t="s">
        <v>18298</v>
      </c>
      <c r="D2859" s="11" t="s">
        <v>5441</v>
      </c>
      <c r="E2859" s="11"/>
      <c r="F2859" s="11" t="s">
        <v>6430</v>
      </c>
      <c r="G2859" s="11" t="s">
        <v>17959</v>
      </c>
      <c r="H2859" s="11" t="s">
        <v>142</v>
      </c>
      <c r="I2859" s="11" t="s">
        <v>18299</v>
      </c>
      <c r="J2859" s="11" t="s">
        <v>18300</v>
      </c>
      <c r="K2859" s="11" t="s">
        <v>1199</v>
      </c>
      <c r="L2859" s="11" t="s">
        <v>464</v>
      </c>
      <c r="M2859" s="11" t="s">
        <v>18301</v>
      </c>
      <c r="N2859" s="11" t="s">
        <v>128</v>
      </c>
      <c r="O2859" s="11" t="s">
        <v>18302</v>
      </c>
      <c r="P2859" s="11" t="s">
        <v>15480</v>
      </c>
      <c r="Q2859" s="11" t="s">
        <v>150</v>
      </c>
      <c r="R2859" s="11"/>
      <c r="S2859" s="11" t="s">
        <v>71</v>
      </c>
      <c r="T2859" s="11" t="s">
        <v>67</v>
      </c>
      <c r="U2859" s="11" t="s">
        <v>150</v>
      </c>
      <c r="V2859" s="11" t="s">
        <v>152</v>
      </c>
      <c r="W2859" s="11" t="s">
        <v>67</v>
      </c>
      <c r="X2859" s="11">
        <v>7</v>
      </c>
      <c r="Y2859" s="11" t="s">
        <v>12359</v>
      </c>
      <c r="Z2859" s="11">
        <v>20</v>
      </c>
      <c r="AA2859" s="11">
        <v>0</v>
      </c>
      <c r="AB2859" s="12">
        <v>0</v>
      </c>
    </row>
    <row r="2860" spans="1:28" x14ac:dyDescent="0.2">
      <c r="A2860" s="7">
        <v>21377</v>
      </c>
      <c r="B2860" s="8" t="s">
        <v>18303</v>
      </c>
      <c r="C2860" s="8" t="s">
        <v>10778</v>
      </c>
      <c r="D2860" s="8" t="s">
        <v>7175</v>
      </c>
      <c r="E2860" s="8"/>
      <c r="F2860" s="8" t="s">
        <v>18304</v>
      </c>
      <c r="G2860" s="8" t="s">
        <v>10780</v>
      </c>
      <c r="H2860" s="8" t="s">
        <v>142</v>
      </c>
      <c r="I2860" s="8" t="s">
        <v>10781</v>
      </c>
      <c r="J2860" s="8" t="s">
        <v>18305</v>
      </c>
      <c r="K2860" s="8" t="s">
        <v>1199</v>
      </c>
      <c r="L2860" s="8" t="s">
        <v>464</v>
      </c>
      <c r="M2860" s="8" t="s">
        <v>18306</v>
      </c>
      <c r="N2860" s="8" t="s">
        <v>128</v>
      </c>
      <c r="O2860" s="8" t="s">
        <v>18307</v>
      </c>
      <c r="P2860" s="8" t="s">
        <v>18308</v>
      </c>
      <c r="Q2860" s="8" t="s">
        <v>150</v>
      </c>
      <c r="R2860" s="8"/>
      <c r="S2860" s="8" t="s">
        <v>71</v>
      </c>
      <c r="T2860" s="8" t="s">
        <v>67</v>
      </c>
      <c r="U2860" s="8" t="s">
        <v>150</v>
      </c>
      <c r="V2860" s="8" t="s">
        <v>152</v>
      </c>
      <c r="W2860" s="8" t="s">
        <v>67</v>
      </c>
      <c r="X2860" s="8">
        <v>7</v>
      </c>
      <c r="Y2860" s="8" t="s">
        <v>12359</v>
      </c>
      <c r="Z2860" s="8">
        <v>20</v>
      </c>
      <c r="AA2860" s="8">
        <v>0</v>
      </c>
      <c r="AB2860" s="9">
        <v>0</v>
      </c>
    </row>
    <row r="2861" spans="1:28" x14ac:dyDescent="0.2">
      <c r="A2861" s="10">
        <v>85450</v>
      </c>
      <c r="B2861" s="11" t="s">
        <v>18309</v>
      </c>
      <c r="C2861" s="11" t="s">
        <v>17988</v>
      </c>
      <c r="D2861" s="11" t="s">
        <v>15800</v>
      </c>
      <c r="E2861" s="11"/>
      <c r="F2861" s="11" t="s">
        <v>18310</v>
      </c>
      <c r="G2861" s="11" t="s">
        <v>158</v>
      </c>
      <c r="H2861" s="11" t="s">
        <v>159</v>
      </c>
      <c r="I2861" s="11" t="s">
        <v>17990</v>
      </c>
      <c r="J2861" s="11" t="s">
        <v>18311</v>
      </c>
      <c r="K2861" s="11" t="s">
        <v>274</v>
      </c>
      <c r="L2861" s="11" t="s">
        <v>163</v>
      </c>
      <c r="M2861" s="11" t="s">
        <v>18312</v>
      </c>
      <c r="N2861" s="11" t="s">
        <v>128</v>
      </c>
      <c r="O2861" s="11" t="s">
        <v>18313</v>
      </c>
      <c r="P2861" s="11" t="s">
        <v>18314</v>
      </c>
      <c r="Q2861" s="11" t="s">
        <v>150</v>
      </c>
      <c r="R2861" s="11"/>
      <c r="S2861" s="11" t="s">
        <v>71</v>
      </c>
      <c r="T2861" s="11" t="s">
        <v>67</v>
      </c>
      <c r="U2861" s="11" t="s">
        <v>150</v>
      </c>
      <c r="V2861" s="11" t="s">
        <v>152</v>
      </c>
      <c r="W2861" s="11" t="s">
        <v>67</v>
      </c>
      <c r="X2861" s="11">
        <v>7</v>
      </c>
      <c r="Y2861" s="11" t="s">
        <v>12359</v>
      </c>
      <c r="Z2861" s="11">
        <v>20</v>
      </c>
      <c r="AA2861" s="11">
        <v>0</v>
      </c>
      <c r="AB2861" s="12">
        <v>0</v>
      </c>
    </row>
    <row r="2862" spans="1:28" x14ac:dyDescent="0.2">
      <c r="A2862" s="7">
        <v>26376</v>
      </c>
      <c r="B2862" s="8" t="s">
        <v>18315</v>
      </c>
      <c r="C2862" s="8" t="s">
        <v>18316</v>
      </c>
      <c r="D2862" s="8" t="s">
        <v>138</v>
      </c>
      <c r="E2862" s="8"/>
      <c r="F2862" s="8" t="s">
        <v>18317</v>
      </c>
      <c r="G2862" s="8" t="s">
        <v>18318</v>
      </c>
      <c r="H2862" s="8" t="s">
        <v>2176</v>
      </c>
      <c r="I2862" s="8" t="s">
        <v>18319</v>
      </c>
      <c r="J2862" s="8" t="s">
        <v>18320</v>
      </c>
      <c r="K2862" s="8" t="s">
        <v>194</v>
      </c>
      <c r="L2862" s="8" t="s">
        <v>163</v>
      </c>
      <c r="M2862" s="8" t="s">
        <v>18321</v>
      </c>
      <c r="N2862" s="8" t="s">
        <v>128</v>
      </c>
      <c r="O2862" s="8" t="s">
        <v>18322</v>
      </c>
      <c r="P2862" s="8" t="s">
        <v>18323</v>
      </c>
      <c r="Q2862" s="8" t="s">
        <v>150</v>
      </c>
      <c r="R2862" s="8"/>
      <c r="S2862" s="8" t="s">
        <v>18324</v>
      </c>
      <c r="T2862" s="8" t="s">
        <v>67</v>
      </c>
      <c r="U2862" s="8" t="s">
        <v>150</v>
      </c>
      <c r="V2862" s="8" t="s">
        <v>152</v>
      </c>
      <c r="W2862" s="8" t="s">
        <v>67</v>
      </c>
      <c r="X2862" s="8">
        <v>7</v>
      </c>
      <c r="Y2862" s="8" t="s">
        <v>12359</v>
      </c>
      <c r="Z2862" s="8">
        <v>20</v>
      </c>
      <c r="AA2862" s="8">
        <v>0</v>
      </c>
      <c r="AB2862" s="9">
        <v>0</v>
      </c>
    </row>
    <row r="2863" spans="1:28" x14ac:dyDescent="0.2">
      <c r="A2863" s="10">
        <v>32140</v>
      </c>
      <c r="B2863" s="11" t="s">
        <v>18325</v>
      </c>
      <c r="C2863" s="11" t="s">
        <v>15851</v>
      </c>
      <c r="D2863" s="11" t="s">
        <v>4623</v>
      </c>
      <c r="E2863" s="11" t="s">
        <v>512</v>
      </c>
      <c r="F2863" s="11" t="s">
        <v>353</v>
      </c>
      <c r="G2863" s="11" t="s">
        <v>1784</v>
      </c>
      <c r="H2863" s="11" t="s">
        <v>329</v>
      </c>
      <c r="I2863" s="11" t="s">
        <v>11949</v>
      </c>
      <c r="J2863" s="11" t="s">
        <v>11950</v>
      </c>
      <c r="K2863" s="11" t="s">
        <v>431</v>
      </c>
      <c r="L2863" s="11" t="s">
        <v>333</v>
      </c>
      <c r="M2863" s="11" t="s">
        <v>18326</v>
      </c>
      <c r="N2863" s="11" t="s">
        <v>128</v>
      </c>
      <c r="O2863" s="11" t="s">
        <v>18327</v>
      </c>
      <c r="P2863" s="11"/>
      <c r="Q2863" s="11" t="s">
        <v>131</v>
      </c>
      <c r="R2863" s="11"/>
      <c r="S2863" s="11" t="s">
        <v>11954</v>
      </c>
      <c r="T2863" s="11" t="s">
        <v>983</v>
      </c>
      <c r="U2863" s="11" t="s">
        <v>134</v>
      </c>
      <c r="V2863" s="11" t="s">
        <v>131</v>
      </c>
      <c r="W2863" s="11" t="s">
        <v>983</v>
      </c>
      <c r="X2863" s="11">
        <v>7</v>
      </c>
      <c r="Y2863" s="11" t="s">
        <v>12359</v>
      </c>
      <c r="Z2863" s="11">
        <v>20</v>
      </c>
      <c r="AA2863" s="11">
        <v>0</v>
      </c>
      <c r="AB2863" s="12">
        <v>0</v>
      </c>
    </row>
    <row r="2864" spans="1:28" x14ac:dyDescent="0.2">
      <c r="A2864" s="7">
        <v>21886</v>
      </c>
      <c r="B2864" s="8" t="s">
        <v>18328</v>
      </c>
      <c r="C2864" s="8" t="s">
        <v>18329</v>
      </c>
      <c r="D2864" s="8" t="s">
        <v>11184</v>
      </c>
      <c r="E2864" s="8" t="s">
        <v>18330</v>
      </c>
      <c r="F2864" s="8" t="s">
        <v>18331</v>
      </c>
      <c r="G2864" s="8" t="s">
        <v>2618</v>
      </c>
      <c r="H2864" s="8" t="s">
        <v>142</v>
      </c>
      <c r="I2864" s="8" t="s">
        <v>18332</v>
      </c>
      <c r="J2864" s="8" t="s">
        <v>18333</v>
      </c>
      <c r="K2864" s="8" t="s">
        <v>651</v>
      </c>
      <c r="L2864" s="8" t="s">
        <v>146</v>
      </c>
      <c r="M2864" s="8" t="s">
        <v>18334</v>
      </c>
      <c r="N2864" s="8" t="s">
        <v>128</v>
      </c>
      <c r="O2864" s="8" t="s">
        <v>18335</v>
      </c>
      <c r="P2864" s="8"/>
      <c r="Q2864" s="8" t="s">
        <v>131</v>
      </c>
      <c r="R2864" s="8"/>
      <c r="S2864" s="8" t="s">
        <v>18336</v>
      </c>
      <c r="T2864" s="8" t="s">
        <v>983</v>
      </c>
      <c r="U2864" s="8" t="s">
        <v>134</v>
      </c>
      <c r="V2864" s="8" t="s">
        <v>131</v>
      </c>
      <c r="W2864" s="8" t="s">
        <v>983</v>
      </c>
      <c r="X2864" s="8">
        <v>7</v>
      </c>
      <c r="Y2864" s="8" t="s">
        <v>12359</v>
      </c>
      <c r="Z2864" s="8">
        <v>20</v>
      </c>
      <c r="AA2864" s="8">
        <v>0</v>
      </c>
      <c r="AB2864" s="9">
        <v>0</v>
      </c>
    </row>
    <row r="2865" spans="1:28" x14ac:dyDescent="0.2">
      <c r="A2865" s="10">
        <v>183909</v>
      </c>
      <c r="B2865" s="11" t="s">
        <v>18337</v>
      </c>
      <c r="C2865" s="11" t="s">
        <v>6884</v>
      </c>
      <c r="D2865" s="11" t="s">
        <v>3116</v>
      </c>
      <c r="E2865" s="11" t="s">
        <v>18338</v>
      </c>
      <c r="F2865" s="11" t="s">
        <v>17625</v>
      </c>
      <c r="G2865" s="11" t="s">
        <v>141</v>
      </c>
      <c r="H2865" s="11" t="s">
        <v>142</v>
      </c>
      <c r="I2865" s="11" t="s">
        <v>6885</v>
      </c>
      <c r="J2865" s="11" t="s">
        <v>6886</v>
      </c>
      <c r="K2865" s="11" t="s">
        <v>145</v>
      </c>
      <c r="L2865" s="11" t="s">
        <v>146</v>
      </c>
      <c r="M2865" s="11" t="s">
        <v>18339</v>
      </c>
      <c r="N2865" s="11" t="s">
        <v>128</v>
      </c>
      <c r="O2865" s="11" t="s">
        <v>18340</v>
      </c>
      <c r="P2865" s="11"/>
      <c r="Q2865" s="11" t="s">
        <v>131</v>
      </c>
      <c r="R2865" s="11"/>
      <c r="S2865" s="11" t="s">
        <v>6890</v>
      </c>
      <c r="T2865" s="11" t="s">
        <v>983</v>
      </c>
      <c r="U2865" s="11" t="s">
        <v>134</v>
      </c>
      <c r="V2865" s="11" t="s">
        <v>131</v>
      </c>
      <c r="W2865" s="11" t="s">
        <v>983</v>
      </c>
      <c r="X2865" s="11">
        <v>7</v>
      </c>
      <c r="Y2865" s="11" t="s">
        <v>12359</v>
      </c>
      <c r="Z2865" s="11">
        <v>20</v>
      </c>
      <c r="AA2865" s="11">
        <v>0</v>
      </c>
      <c r="AB2865" s="12">
        <v>0</v>
      </c>
    </row>
    <row r="2866" spans="1:28" x14ac:dyDescent="0.2">
      <c r="A2866" s="7">
        <v>20700</v>
      </c>
      <c r="B2866" s="8" t="s">
        <v>18341</v>
      </c>
      <c r="C2866" s="8" t="s">
        <v>1928</v>
      </c>
      <c r="D2866" s="8" t="s">
        <v>18342</v>
      </c>
      <c r="E2866" s="8" t="s">
        <v>135</v>
      </c>
      <c r="F2866" s="8" t="s">
        <v>353</v>
      </c>
      <c r="G2866" s="8" t="s">
        <v>556</v>
      </c>
      <c r="H2866" s="8" t="s">
        <v>557</v>
      </c>
      <c r="I2866" s="8" t="s">
        <v>6899</v>
      </c>
      <c r="J2866" s="8" t="s">
        <v>18343</v>
      </c>
      <c r="K2866" s="8" t="s">
        <v>560</v>
      </c>
      <c r="L2866" s="8" t="s">
        <v>229</v>
      </c>
      <c r="M2866" s="8" t="s">
        <v>18344</v>
      </c>
      <c r="N2866" s="8" t="s">
        <v>128</v>
      </c>
      <c r="O2866" s="8" t="s">
        <v>6902</v>
      </c>
      <c r="P2866" s="8"/>
      <c r="Q2866" s="8" t="s">
        <v>131</v>
      </c>
      <c r="R2866" s="8"/>
      <c r="S2866" s="8" t="s">
        <v>71</v>
      </c>
      <c r="T2866" s="8" t="s">
        <v>983</v>
      </c>
      <c r="U2866" s="8" t="s">
        <v>134</v>
      </c>
      <c r="V2866" s="8" t="s">
        <v>131</v>
      </c>
      <c r="W2866" s="8" t="s">
        <v>983</v>
      </c>
      <c r="X2866" s="8">
        <v>7</v>
      </c>
      <c r="Y2866" s="8" t="s">
        <v>12359</v>
      </c>
      <c r="Z2866" s="8">
        <v>20</v>
      </c>
      <c r="AA2866" s="8">
        <v>0</v>
      </c>
      <c r="AB2866" s="9">
        <v>0</v>
      </c>
    </row>
    <row r="2867" spans="1:28" x14ac:dyDescent="0.2">
      <c r="A2867" s="10">
        <v>21971</v>
      </c>
      <c r="B2867" s="11" t="s">
        <v>18345</v>
      </c>
      <c r="C2867" s="11" t="s">
        <v>13124</v>
      </c>
      <c r="D2867" s="11" t="s">
        <v>6738</v>
      </c>
      <c r="E2867" s="11"/>
      <c r="F2867" s="11" t="s">
        <v>6740</v>
      </c>
      <c r="G2867" s="11" t="s">
        <v>6741</v>
      </c>
      <c r="H2867" s="11" t="s">
        <v>1953</v>
      </c>
      <c r="I2867" s="11" t="s">
        <v>14456</v>
      </c>
      <c r="J2867" s="11" t="s">
        <v>18346</v>
      </c>
      <c r="K2867" s="11" t="s">
        <v>1956</v>
      </c>
      <c r="L2867" s="11" t="s">
        <v>526</v>
      </c>
      <c r="M2867" s="11" t="s">
        <v>18347</v>
      </c>
      <c r="N2867" s="11" t="s">
        <v>128</v>
      </c>
      <c r="O2867" s="11" t="s">
        <v>18348</v>
      </c>
      <c r="P2867" s="11" t="s">
        <v>18349</v>
      </c>
      <c r="Q2867" s="11" t="s">
        <v>131</v>
      </c>
      <c r="R2867" s="11"/>
      <c r="S2867" s="11" t="s">
        <v>6747</v>
      </c>
      <c r="T2867" s="11" t="s">
        <v>983</v>
      </c>
      <c r="U2867" s="11" t="s">
        <v>134</v>
      </c>
      <c r="V2867" s="11" t="s">
        <v>131</v>
      </c>
      <c r="W2867" s="11" t="s">
        <v>983</v>
      </c>
      <c r="X2867" s="11">
        <v>7</v>
      </c>
      <c r="Y2867" s="11" t="s">
        <v>12359</v>
      </c>
      <c r="Z2867" s="11">
        <v>20</v>
      </c>
      <c r="AA2867" s="11">
        <v>0</v>
      </c>
      <c r="AB2867" s="12">
        <v>0</v>
      </c>
    </row>
    <row r="2868" spans="1:28" x14ac:dyDescent="0.2">
      <c r="A2868" s="7">
        <v>111757</v>
      </c>
      <c r="B2868" s="8" t="s">
        <v>18350</v>
      </c>
      <c r="C2868" s="8" t="s">
        <v>9466</v>
      </c>
      <c r="D2868" s="8" t="s">
        <v>2091</v>
      </c>
      <c r="E2868" s="8"/>
      <c r="F2868" s="8" t="s">
        <v>18351</v>
      </c>
      <c r="G2868" s="8" t="s">
        <v>224</v>
      </c>
      <c r="H2868" s="8" t="s">
        <v>225</v>
      </c>
      <c r="I2868" s="8" t="s">
        <v>9467</v>
      </c>
      <c r="J2868" s="8" t="s">
        <v>18352</v>
      </c>
      <c r="K2868" s="8" t="s">
        <v>228</v>
      </c>
      <c r="L2868" s="8" t="s">
        <v>229</v>
      </c>
      <c r="M2868" s="8" t="s">
        <v>18353</v>
      </c>
      <c r="N2868" s="8" t="s">
        <v>128</v>
      </c>
      <c r="O2868" s="8" t="s">
        <v>18354</v>
      </c>
      <c r="P2868" s="8"/>
      <c r="Q2868" s="8" t="s">
        <v>131</v>
      </c>
      <c r="R2868" s="8"/>
      <c r="S2868" s="8" t="s">
        <v>18355</v>
      </c>
      <c r="T2868" s="8" t="s">
        <v>983</v>
      </c>
      <c r="U2868" s="8" t="s">
        <v>134</v>
      </c>
      <c r="V2868" s="8" t="s">
        <v>131</v>
      </c>
      <c r="W2868" s="8" t="s">
        <v>983</v>
      </c>
      <c r="X2868" s="8">
        <v>7</v>
      </c>
      <c r="Y2868" s="8" t="s">
        <v>12359</v>
      </c>
      <c r="Z2868" s="8">
        <v>20</v>
      </c>
      <c r="AA2868" s="8">
        <v>0</v>
      </c>
      <c r="AB2868" s="9">
        <v>0</v>
      </c>
    </row>
    <row r="2869" spans="1:28" x14ac:dyDescent="0.2">
      <c r="A2869" s="10">
        <v>120111</v>
      </c>
      <c r="B2869" s="11" t="s">
        <v>18356</v>
      </c>
      <c r="C2869" s="11" t="s">
        <v>18357</v>
      </c>
      <c r="D2869" s="11" t="s">
        <v>18358</v>
      </c>
      <c r="E2869" s="11"/>
      <c r="F2869" s="11" t="s">
        <v>18359</v>
      </c>
      <c r="G2869" s="11" t="s">
        <v>412</v>
      </c>
      <c r="H2869" s="11" t="s">
        <v>329</v>
      </c>
      <c r="I2869" s="11" t="s">
        <v>18360</v>
      </c>
      <c r="J2869" s="11" t="s">
        <v>18361</v>
      </c>
      <c r="K2869" s="11" t="s">
        <v>415</v>
      </c>
      <c r="L2869" s="11" t="s">
        <v>333</v>
      </c>
      <c r="M2869" s="11" t="s">
        <v>18362</v>
      </c>
      <c r="N2869" s="11" t="s">
        <v>128</v>
      </c>
      <c r="O2869" s="11" t="s">
        <v>18363</v>
      </c>
      <c r="P2869" s="11"/>
      <c r="Q2869" s="11" t="s">
        <v>131</v>
      </c>
      <c r="R2869" s="11"/>
      <c r="S2869" s="11" t="s">
        <v>18364</v>
      </c>
      <c r="T2869" s="11" t="s">
        <v>983</v>
      </c>
      <c r="U2869" s="11" t="s">
        <v>134</v>
      </c>
      <c r="V2869" s="11" t="s">
        <v>131</v>
      </c>
      <c r="W2869" s="11" t="s">
        <v>983</v>
      </c>
      <c r="X2869" s="11">
        <v>7</v>
      </c>
      <c r="Y2869" s="11" t="s">
        <v>12359</v>
      </c>
      <c r="Z2869" s="11">
        <v>20</v>
      </c>
      <c r="AA2869" s="11">
        <v>0</v>
      </c>
      <c r="AB2869" s="12">
        <v>0</v>
      </c>
    </row>
    <row r="2870" spans="1:28" x14ac:dyDescent="0.2">
      <c r="A2870" s="7">
        <v>183913</v>
      </c>
      <c r="B2870" s="8" t="s">
        <v>18365</v>
      </c>
      <c r="C2870" s="8" t="s">
        <v>18366</v>
      </c>
      <c r="D2870" s="8" t="s">
        <v>9975</v>
      </c>
      <c r="E2870" s="8"/>
      <c r="F2870" s="8" t="s">
        <v>18367</v>
      </c>
      <c r="G2870" s="8" t="s">
        <v>2642</v>
      </c>
      <c r="H2870" s="8" t="s">
        <v>329</v>
      </c>
      <c r="I2870" s="8" t="s">
        <v>18368</v>
      </c>
      <c r="J2870" s="8" t="s">
        <v>18369</v>
      </c>
      <c r="K2870" s="8" t="s">
        <v>572</v>
      </c>
      <c r="L2870" s="8" t="s">
        <v>333</v>
      </c>
      <c r="M2870" s="8" t="s">
        <v>18370</v>
      </c>
      <c r="N2870" s="8" t="s">
        <v>128</v>
      </c>
      <c r="O2870" s="8" t="s">
        <v>18371</v>
      </c>
      <c r="P2870" s="8"/>
      <c r="Q2870" s="8" t="s">
        <v>131</v>
      </c>
      <c r="R2870" s="8"/>
      <c r="S2870" s="8" t="s">
        <v>18372</v>
      </c>
      <c r="T2870" s="8" t="s">
        <v>983</v>
      </c>
      <c r="U2870" s="8" t="s">
        <v>134</v>
      </c>
      <c r="V2870" s="8" t="s">
        <v>131</v>
      </c>
      <c r="W2870" s="8" t="s">
        <v>983</v>
      </c>
      <c r="X2870" s="8">
        <v>7</v>
      </c>
      <c r="Y2870" s="8" t="s">
        <v>12359</v>
      </c>
      <c r="Z2870" s="8">
        <v>20</v>
      </c>
      <c r="AA2870" s="8">
        <v>0</v>
      </c>
      <c r="AB2870" s="9">
        <v>0</v>
      </c>
    </row>
    <row r="2871" spans="1:28" x14ac:dyDescent="0.2">
      <c r="A2871" s="10">
        <v>26588</v>
      </c>
      <c r="B2871" s="11" t="s">
        <v>18373</v>
      </c>
      <c r="C2871" s="11" t="s">
        <v>18374</v>
      </c>
      <c r="D2871" s="11" t="s">
        <v>138</v>
      </c>
      <c r="E2871" s="11"/>
      <c r="F2871" s="11" t="s">
        <v>18375</v>
      </c>
      <c r="G2871" s="11" t="s">
        <v>18318</v>
      </c>
      <c r="H2871" s="11" t="s">
        <v>2176</v>
      </c>
      <c r="I2871" s="11" t="s">
        <v>18319</v>
      </c>
      <c r="J2871" s="11" t="s">
        <v>18320</v>
      </c>
      <c r="K2871" s="11" t="s">
        <v>194</v>
      </c>
      <c r="L2871" s="11" t="s">
        <v>163</v>
      </c>
      <c r="M2871" s="11" t="s">
        <v>18376</v>
      </c>
      <c r="N2871" s="11" t="s">
        <v>128</v>
      </c>
      <c r="O2871" s="11" t="s">
        <v>18377</v>
      </c>
      <c r="P2871" s="11"/>
      <c r="Q2871" s="11" t="s">
        <v>131</v>
      </c>
      <c r="R2871" s="11"/>
      <c r="S2871" s="11" t="s">
        <v>18324</v>
      </c>
      <c r="T2871" s="11" t="s">
        <v>983</v>
      </c>
      <c r="U2871" s="11" t="s">
        <v>134</v>
      </c>
      <c r="V2871" s="11" t="s">
        <v>131</v>
      </c>
      <c r="W2871" s="11" t="s">
        <v>983</v>
      </c>
      <c r="X2871" s="11">
        <v>7</v>
      </c>
      <c r="Y2871" s="11" t="s">
        <v>12359</v>
      </c>
      <c r="Z2871" s="11">
        <v>20</v>
      </c>
      <c r="AA2871" s="11">
        <v>0</v>
      </c>
      <c r="AB2871" s="12">
        <v>0</v>
      </c>
    </row>
    <row r="2872" spans="1:28" x14ac:dyDescent="0.2">
      <c r="A2872" s="7">
        <v>221753</v>
      </c>
      <c r="B2872" s="8" t="s">
        <v>18378</v>
      </c>
      <c r="C2872" s="8" t="s">
        <v>6823</v>
      </c>
      <c r="D2872" s="8" t="s">
        <v>138</v>
      </c>
      <c r="E2872" s="8"/>
      <c r="F2872" s="8" t="s">
        <v>6825</v>
      </c>
      <c r="G2872" s="8" t="s">
        <v>300</v>
      </c>
      <c r="H2872" s="8" t="s">
        <v>301</v>
      </c>
      <c r="I2872" s="8" t="s">
        <v>13324</v>
      </c>
      <c r="J2872" s="8" t="s">
        <v>18379</v>
      </c>
      <c r="K2872" s="8" t="s">
        <v>304</v>
      </c>
      <c r="L2872" s="8" t="s">
        <v>229</v>
      </c>
      <c r="M2872" s="8" t="s">
        <v>18380</v>
      </c>
      <c r="N2872" s="8" t="s">
        <v>128</v>
      </c>
      <c r="O2872" s="8" t="s">
        <v>18381</v>
      </c>
      <c r="P2872" s="8"/>
      <c r="Q2872" s="8" t="s">
        <v>131</v>
      </c>
      <c r="R2872" s="8"/>
      <c r="S2872" s="8" t="s">
        <v>6831</v>
      </c>
      <c r="T2872" s="8" t="s">
        <v>983</v>
      </c>
      <c r="U2872" s="8" t="s">
        <v>134</v>
      </c>
      <c r="V2872" s="8" t="s">
        <v>131</v>
      </c>
      <c r="W2872" s="8" t="s">
        <v>983</v>
      </c>
      <c r="X2872" s="8">
        <v>7</v>
      </c>
      <c r="Y2872" s="8" t="s">
        <v>12359</v>
      </c>
      <c r="Z2872" s="8">
        <v>20</v>
      </c>
      <c r="AA2872" s="8">
        <v>0</v>
      </c>
      <c r="AB2872" s="9">
        <v>0</v>
      </c>
    </row>
    <row r="2873" spans="1:28" x14ac:dyDescent="0.2">
      <c r="A2873" s="10">
        <v>22038</v>
      </c>
      <c r="B2873" s="11" t="s">
        <v>18382</v>
      </c>
      <c r="C2873" s="11" t="s">
        <v>2615</v>
      </c>
      <c r="D2873" s="11" t="s">
        <v>10457</v>
      </c>
      <c r="E2873" s="11"/>
      <c r="F2873" s="11" t="s">
        <v>353</v>
      </c>
      <c r="G2873" s="11" t="s">
        <v>846</v>
      </c>
      <c r="H2873" s="11" t="s">
        <v>847</v>
      </c>
      <c r="I2873" s="11" t="s">
        <v>18383</v>
      </c>
      <c r="J2873" s="11" t="s">
        <v>18384</v>
      </c>
      <c r="K2873" s="11" t="s">
        <v>850</v>
      </c>
      <c r="L2873" s="11" t="s">
        <v>126</v>
      </c>
      <c r="M2873" s="11" t="s">
        <v>18385</v>
      </c>
      <c r="N2873" s="11" t="s">
        <v>128</v>
      </c>
      <c r="O2873" s="11" t="s">
        <v>18386</v>
      </c>
      <c r="P2873" s="11"/>
      <c r="Q2873" s="11" t="s">
        <v>131</v>
      </c>
      <c r="R2873" s="11"/>
      <c r="S2873" s="11" t="s">
        <v>71</v>
      </c>
      <c r="T2873" s="11" t="s">
        <v>983</v>
      </c>
      <c r="U2873" s="11" t="s">
        <v>134</v>
      </c>
      <c r="V2873" s="11" t="s">
        <v>131</v>
      </c>
      <c r="W2873" s="11" t="s">
        <v>983</v>
      </c>
      <c r="X2873" s="11">
        <v>7</v>
      </c>
      <c r="Y2873" s="11" t="s">
        <v>12359</v>
      </c>
      <c r="Z2873" s="11">
        <v>20</v>
      </c>
      <c r="AA2873" s="11">
        <v>0</v>
      </c>
      <c r="AB2873" s="12">
        <v>0</v>
      </c>
    </row>
    <row r="2874" spans="1:28" x14ac:dyDescent="0.2">
      <c r="A2874" s="7">
        <v>22666</v>
      </c>
      <c r="B2874" s="8" t="s">
        <v>18387</v>
      </c>
      <c r="C2874" s="8" t="s">
        <v>18388</v>
      </c>
      <c r="D2874" s="8" t="s">
        <v>18389</v>
      </c>
      <c r="E2874" s="8"/>
      <c r="F2874" s="8" t="s">
        <v>353</v>
      </c>
      <c r="G2874" s="8" t="s">
        <v>3855</v>
      </c>
      <c r="H2874" s="8" t="s">
        <v>142</v>
      </c>
      <c r="I2874" s="8" t="s">
        <v>18390</v>
      </c>
      <c r="J2874" s="8" t="s">
        <v>18391</v>
      </c>
      <c r="K2874" s="8" t="s">
        <v>1673</v>
      </c>
      <c r="L2874" s="8" t="s">
        <v>464</v>
      </c>
      <c r="M2874" s="8" t="s">
        <v>18392</v>
      </c>
      <c r="N2874" s="8" t="s">
        <v>128</v>
      </c>
      <c r="O2874" s="8" t="s">
        <v>18393</v>
      </c>
      <c r="P2874" s="8"/>
      <c r="Q2874" s="8" t="s">
        <v>131</v>
      </c>
      <c r="R2874" s="8"/>
      <c r="S2874" s="8" t="s">
        <v>71</v>
      </c>
      <c r="T2874" s="8" t="s">
        <v>983</v>
      </c>
      <c r="U2874" s="8" t="s">
        <v>134</v>
      </c>
      <c r="V2874" s="8" t="s">
        <v>131</v>
      </c>
      <c r="W2874" s="8" t="s">
        <v>983</v>
      </c>
      <c r="X2874" s="8">
        <v>7</v>
      </c>
      <c r="Y2874" s="8" t="s">
        <v>12359</v>
      </c>
      <c r="Z2874" s="8">
        <v>20</v>
      </c>
      <c r="AA2874" s="8">
        <v>0</v>
      </c>
      <c r="AB2874" s="9">
        <v>0</v>
      </c>
    </row>
    <row r="2875" spans="1:28" x14ac:dyDescent="0.2">
      <c r="A2875" s="10">
        <v>24571</v>
      </c>
      <c r="B2875" s="11" t="s">
        <v>18394</v>
      </c>
      <c r="C2875" s="11" t="s">
        <v>18395</v>
      </c>
      <c r="D2875" s="11" t="s">
        <v>18396</v>
      </c>
      <c r="E2875" s="11"/>
      <c r="F2875" s="11" t="s">
        <v>10583</v>
      </c>
      <c r="G2875" s="11" t="s">
        <v>328</v>
      </c>
      <c r="H2875" s="11" t="s">
        <v>329</v>
      </c>
      <c r="I2875" s="11" t="s">
        <v>18397</v>
      </c>
      <c r="J2875" s="11" t="s">
        <v>18398</v>
      </c>
      <c r="K2875" s="11" t="s">
        <v>415</v>
      </c>
      <c r="L2875" s="11" t="s">
        <v>333</v>
      </c>
      <c r="M2875" s="11" t="s">
        <v>18399</v>
      </c>
      <c r="N2875" s="11" t="s">
        <v>128</v>
      </c>
      <c r="O2875" s="11" t="s">
        <v>18400</v>
      </c>
      <c r="P2875" s="11"/>
      <c r="Q2875" s="11" t="s">
        <v>131</v>
      </c>
      <c r="R2875" s="11"/>
      <c r="S2875" s="11" t="s">
        <v>71</v>
      </c>
      <c r="T2875" s="11" t="s">
        <v>983</v>
      </c>
      <c r="U2875" s="11" t="s">
        <v>134</v>
      </c>
      <c r="V2875" s="11" t="s">
        <v>131</v>
      </c>
      <c r="W2875" s="11" t="s">
        <v>983</v>
      </c>
      <c r="X2875" s="11">
        <v>7</v>
      </c>
      <c r="Y2875" s="11" t="s">
        <v>12359</v>
      </c>
      <c r="Z2875" s="11">
        <v>20</v>
      </c>
      <c r="AA2875" s="11">
        <v>0</v>
      </c>
      <c r="AB2875" s="12">
        <v>0</v>
      </c>
    </row>
    <row r="2876" spans="1:28" x14ac:dyDescent="0.2">
      <c r="A2876" s="7">
        <v>49334</v>
      </c>
      <c r="B2876" s="8" t="s">
        <v>18401</v>
      </c>
      <c r="C2876" s="8" t="s">
        <v>2664</v>
      </c>
      <c r="D2876" s="8" t="s">
        <v>2665</v>
      </c>
      <c r="E2876" s="8"/>
      <c r="F2876" s="8" t="s">
        <v>18402</v>
      </c>
      <c r="G2876" s="8" t="s">
        <v>190</v>
      </c>
      <c r="H2876" s="8" t="s">
        <v>191</v>
      </c>
      <c r="I2876" s="8" t="s">
        <v>2668</v>
      </c>
      <c r="J2876" s="8" t="s">
        <v>18403</v>
      </c>
      <c r="K2876" s="8" t="s">
        <v>194</v>
      </c>
      <c r="L2876" s="8" t="s">
        <v>163</v>
      </c>
      <c r="M2876" s="8" t="s">
        <v>18404</v>
      </c>
      <c r="N2876" s="8" t="s">
        <v>128</v>
      </c>
      <c r="O2876" s="8"/>
      <c r="P2876" s="8"/>
      <c r="Q2876" s="8" t="s">
        <v>131</v>
      </c>
      <c r="R2876" s="8"/>
      <c r="S2876" s="8" t="s">
        <v>2672</v>
      </c>
      <c r="T2876" s="8" t="s">
        <v>983</v>
      </c>
      <c r="U2876" s="8" t="s">
        <v>134</v>
      </c>
      <c r="V2876" s="8" t="s">
        <v>131</v>
      </c>
      <c r="W2876" s="8" t="s">
        <v>983</v>
      </c>
      <c r="X2876" s="8">
        <v>7</v>
      </c>
      <c r="Y2876" s="8" t="s">
        <v>12359</v>
      </c>
      <c r="Z2876" s="8">
        <v>20</v>
      </c>
      <c r="AA2876" s="8">
        <v>0</v>
      </c>
      <c r="AB2876" s="9">
        <v>0</v>
      </c>
    </row>
    <row r="2877" spans="1:28" x14ac:dyDescent="0.2">
      <c r="A2877" s="10">
        <v>22024</v>
      </c>
      <c r="B2877" s="11" t="s">
        <v>18405</v>
      </c>
      <c r="C2877" s="11" t="s">
        <v>9295</v>
      </c>
      <c r="D2877" s="11" t="s">
        <v>2871</v>
      </c>
      <c r="E2877" s="11" t="s">
        <v>18406</v>
      </c>
      <c r="F2877" s="11" t="s">
        <v>9297</v>
      </c>
      <c r="G2877" s="11" t="s">
        <v>469</v>
      </c>
      <c r="H2877" s="11" t="s">
        <v>142</v>
      </c>
      <c r="I2877" s="11" t="s">
        <v>9298</v>
      </c>
      <c r="J2877" s="11" t="s">
        <v>9299</v>
      </c>
      <c r="K2877" s="11" t="s">
        <v>472</v>
      </c>
      <c r="L2877" s="11" t="s">
        <v>146</v>
      </c>
      <c r="M2877" s="11" t="s">
        <v>18407</v>
      </c>
      <c r="N2877" s="11" t="s">
        <v>128</v>
      </c>
      <c r="O2877" s="11" t="s">
        <v>18408</v>
      </c>
      <c r="P2877" s="11" t="s">
        <v>4348</v>
      </c>
      <c r="Q2877" s="11" t="s">
        <v>131</v>
      </c>
      <c r="R2877" s="11"/>
      <c r="S2877" s="11" t="s">
        <v>9303</v>
      </c>
      <c r="T2877" s="11" t="s">
        <v>133</v>
      </c>
      <c r="U2877" s="11" t="s">
        <v>134</v>
      </c>
      <c r="V2877" s="11" t="s">
        <v>131</v>
      </c>
      <c r="W2877" s="11" t="s">
        <v>133</v>
      </c>
      <c r="X2877" s="11">
        <v>7</v>
      </c>
      <c r="Y2877" s="11" t="s">
        <v>12359</v>
      </c>
      <c r="Z2877" s="11">
        <v>20</v>
      </c>
      <c r="AA2877" s="11">
        <v>0</v>
      </c>
      <c r="AB2877" s="12">
        <v>0</v>
      </c>
    </row>
    <row r="2878" spans="1:28" x14ac:dyDescent="0.2">
      <c r="A2878" s="7">
        <v>22018</v>
      </c>
      <c r="B2878" s="8" t="s">
        <v>18409</v>
      </c>
      <c r="C2878" s="8" t="s">
        <v>18410</v>
      </c>
      <c r="D2878" s="8" t="s">
        <v>11581</v>
      </c>
      <c r="E2878" s="8"/>
      <c r="F2878" s="8" t="s">
        <v>353</v>
      </c>
      <c r="G2878" s="8" t="s">
        <v>1915</v>
      </c>
      <c r="H2878" s="8" t="s">
        <v>122</v>
      </c>
      <c r="I2878" s="8" t="s">
        <v>18411</v>
      </c>
      <c r="J2878" s="8" t="s">
        <v>18412</v>
      </c>
      <c r="K2878" s="8" t="s">
        <v>1051</v>
      </c>
      <c r="L2878" s="8" t="s">
        <v>126</v>
      </c>
      <c r="M2878" s="8" t="s">
        <v>18413</v>
      </c>
      <c r="N2878" s="8" t="s">
        <v>128</v>
      </c>
      <c r="O2878" s="8" t="s">
        <v>18414</v>
      </c>
      <c r="P2878" s="8" t="s">
        <v>18415</v>
      </c>
      <c r="Q2878" s="8" t="s">
        <v>131</v>
      </c>
      <c r="R2878" s="8"/>
      <c r="S2878" s="8" t="s">
        <v>71</v>
      </c>
      <c r="T2878" s="8" t="s">
        <v>133</v>
      </c>
      <c r="U2878" s="8" t="s">
        <v>134</v>
      </c>
      <c r="V2878" s="8" t="s">
        <v>131</v>
      </c>
      <c r="W2878" s="8" t="s">
        <v>133</v>
      </c>
      <c r="X2878" s="8">
        <v>7</v>
      </c>
      <c r="Y2878" s="8" t="s">
        <v>12359</v>
      </c>
      <c r="Z2878" s="8">
        <v>20</v>
      </c>
      <c r="AA2878" s="8">
        <v>0</v>
      </c>
      <c r="AB2878" s="9">
        <v>0</v>
      </c>
    </row>
    <row r="2879" spans="1:28" x14ac:dyDescent="0.2">
      <c r="A2879" s="10">
        <v>21935</v>
      </c>
      <c r="B2879" s="11" t="s">
        <v>18416</v>
      </c>
      <c r="C2879" s="11" t="s">
        <v>11392</v>
      </c>
      <c r="D2879" s="11" t="s">
        <v>2091</v>
      </c>
      <c r="E2879" s="11"/>
      <c r="F2879" s="11" t="s">
        <v>11393</v>
      </c>
      <c r="G2879" s="11" t="s">
        <v>11394</v>
      </c>
      <c r="H2879" s="11" t="s">
        <v>704</v>
      </c>
      <c r="I2879" s="11" t="s">
        <v>11395</v>
      </c>
      <c r="J2879" s="11" t="s">
        <v>13004</v>
      </c>
      <c r="K2879" s="11" t="s">
        <v>707</v>
      </c>
      <c r="L2879" s="11" t="s">
        <v>126</v>
      </c>
      <c r="M2879" s="11" t="s">
        <v>18417</v>
      </c>
      <c r="N2879" s="11" t="s">
        <v>128</v>
      </c>
      <c r="O2879" s="11" t="s">
        <v>18418</v>
      </c>
      <c r="P2879" s="11" t="s">
        <v>18419</v>
      </c>
      <c r="Q2879" s="11" t="s">
        <v>131</v>
      </c>
      <c r="R2879" s="11"/>
      <c r="S2879" s="11" t="s">
        <v>11399</v>
      </c>
      <c r="T2879" s="11" t="s">
        <v>133</v>
      </c>
      <c r="U2879" s="11" t="s">
        <v>134</v>
      </c>
      <c r="V2879" s="11" t="s">
        <v>131</v>
      </c>
      <c r="W2879" s="11" t="s">
        <v>133</v>
      </c>
      <c r="X2879" s="11">
        <v>7</v>
      </c>
      <c r="Y2879" s="11" t="s">
        <v>12359</v>
      </c>
      <c r="Z2879" s="11">
        <v>20</v>
      </c>
      <c r="AA2879" s="11">
        <v>0</v>
      </c>
      <c r="AB2879" s="12">
        <v>0</v>
      </c>
    </row>
    <row r="2880" spans="1:28" x14ac:dyDescent="0.2">
      <c r="A2880" s="7">
        <v>26620</v>
      </c>
      <c r="B2880" s="8" t="s">
        <v>18420</v>
      </c>
      <c r="C2880" s="8" t="s">
        <v>10734</v>
      </c>
      <c r="D2880" s="8" t="s">
        <v>904</v>
      </c>
      <c r="E2880" s="8"/>
      <c r="F2880" s="8" t="s">
        <v>10735</v>
      </c>
      <c r="G2880" s="8" t="s">
        <v>670</v>
      </c>
      <c r="H2880" s="8" t="s">
        <v>671</v>
      </c>
      <c r="I2880" s="8" t="s">
        <v>10736</v>
      </c>
      <c r="J2880" s="8" t="s">
        <v>10737</v>
      </c>
      <c r="K2880" s="8" t="s">
        <v>572</v>
      </c>
      <c r="L2880" s="8" t="s">
        <v>333</v>
      </c>
      <c r="M2880" s="8" t="s">
        <v>18421</v>
      </c>
      <c r="N2880" s="8" t="s">
        <v>128</v>
      </c>
      <c r="O2880" s="8"/>
      <c r="P2880" s="8" t="s">
        <v>18422</v>
      </c>
      <c r="Q2880" s="8" t="s">
        <v>131</v>
      </c>
      <c r="R2880" s="8"/>
      <c r="S2880" s="8" t="s">
        <v>10740</v>
      </c>
      <c r="T2880" s="8" t="s">
        <v>133</v>
      </c>
      <c r="U2880" s="8" t="s">
        <v>134</v>
      </c>
      <c r="V2880" s="8" t="s">
        <v>131</v>
      </c>
      <c r="W2880" s="8" t="s">
        <v>133</v>
      </c>
      <c r="X2880" s="8">
        <v>7</v>
      </c>
      <c r="Y2880" s="8" t="s">
        <v>12359</v>
      </c>
      <c r="Z2880" s="8">
        <v>20</v>
      </c>
      <c r="AA2880" s="8">
        <v>0</v>
      </c>
      <c r="AB2880" s="9">
        <v>0</v>
      </c>
    </row>
    <row r="2881" spans="1:28" x14ac:dyDescent="0.2">
      <c r="A2881" s="10">
        <v>21992</v>
      </c>
      <c r="B2881" s="11" t="s">
        <v>18423</v>
      </c>
      <c r="C2881" s="11" t="s">
        <v>2989</v>
      </c>
      <c r="D2881" s="11" t="s">
        <v>18424</v>
      </c>
      <c r="E2881" s="11"/>
      <c r="F2881" s="11" t="s">
        <v>353</v>
      </c>
      <c r="G2881" s="11" t="s">
        <v>2992</v>
      </c>
      <c r="H2881" s="11" t="s">
        <v>122</v>
      </c>
      <c r="I2881" s="11" t="s">
        <v>2993</v>
      </c>
      <c r="J2881" s="11" t="s">
        <v>18425</v>
      </c>
      <c r="K2881" s="11" t="s">
        <v>125</v>
      </c>
      <c r="L2881" s="11" t="s">
        <v>126</v>
      </c>
      <c r="M2881" s="11" t="s">
        <v>18426</v>
      </c>
      <c r="N2881" s="11" t="s">
        <v>128</v>
      </c>
      <c r="O2881" s="11" t="s">
        <v>13258</v>
      </c>
      <c r="P2881" s="11"/>
      <c r="Q2881" s="11" t="s">
        <v>131</v>
      </c>
      <c r="R2881" s="11"/>
      <c r="S2881" s="11" t="s">
        <v>71</v>
      </c>
      <c r="T2881" s="11" t="s">
        <v>133</v>
      </c>
      <c r="U2881" s="11" t="s">
        <v>134</v>
      </c>
      <c r="V2881" s="11" t="s">
        <v>131</v>
      </c>
      <c r="W2881" s="11" t="s">
        <v>133</v>
      </c>
      <c r="X2881" s="11">
        <v>7</v>
      </c>
      <c r="Y2881" s="11" t="s">
        <v>12359</v>
      </c>
      <c r="Z2881" s="11">
        <v>20</v>
      </c>
      <c r="AA2881" s="11">
        <v>0</v>
      </c>
      <c r="AB2881" s="12">
        <v>0</v>
      </c>
    </row>
    <row r="2882" spans="1:28" x14ac:dyDescent="0.2">
      <c r="A2882" s="7">
        <v>26752</v>
      </c>
      <c r="B2882" s="8" t="s">
        <v>18427</v>
      </c>
      <c r="C2882" s="8" t="s">
        <v>18428</v>
      </c>
      <c r="D2882" s="8" t="s">
        <v>1025</v>
      </c>
      <c r="E2882" s="8"/>
      <c r="F2882" s="8" t="s">
        <v>353</v>
      </c>
      <c r="G2882" s="8" t="s">
        <v>3921</v>
      </c>
      <c r="H2882" s="8" t="s">
        <v>122</v>
      </c>
      <c r="I2882" s="8" t="s">
        <v>18429</v>
      </c>
      <c r="J2882" s="8" t="s">
        <v>18430</v>
      </c>
      <c r="K2882" s="8" t="s">
        <v>1051</v>
      </c>
      <c r="L2882" s="8" t="s">
        <v>126</v>
      </c>
      <c r="M2882" s="8" t="s">
        <v>18431</v>
      </c>
      <c r="N2882" s="8" t="s">
        <v>128</v>
      </c>
      <c r="O2882" s="8"/>
      <c r="P2882" s="8"/>
      <c r="Q2882" s="8" t="s">
        <v>131</v>
      </c>
      <c r="R2882" s="8"/>
      <c r="S2882" s="8" t="s">
        <v>71</v>
      </c>
      <c r="T2882" s="8" t="s">
        <v>133</v>
      </c>
      <c r="U2882" s="8" t="s">
        <v>134</v>
      </c>
      <c r="V2882" s="8" t="s">
        <v>131</v>
      </c>
      <c r="W2882" s="8" t="s">
        <v>133</v>
      </c>
      <c r="X2882" s="8">
        <v>7</v>
      </c>
      <c r="Y2882" s="8" t="s">
        <v>12359</v>
      </c>
      <c r="Z2882" s="8">
        <v>20</v>
      </c>
      <c r="AA2882" s="8">
        <v>0</v>
      </c>
      <c r="AB2882" s="9">
        <v>0</v>
      </c>
    </row>
    <row r="2883" spans="1:28" x14ac:dyDescent="0.2">
      <c r="A2883" s="10">
        <v>22107</v>
      </c>
      <c r="B2883" s="11" t="s">
        <v>18432</v>
      </c>
      <c r="C2883" s="11" t="s">
        <v>773</v>
      </c>
      <c r="D2883" s="11" t="s">
        <v>8946</v>
      </c>
      <c r="E2883" s="11"/>
      <c r="F2883" s="11" t="s">
        <v>353</v>
      </c>
      <c r="G2883" s="11" t="s">
        <v>3612</v>
      </c>
      <c r="H2883" s="11" t="s">
        <v>704</v>
      </c>
      <c r="I2883" s="11" t="s">
        <v>18433</v>
      </c>
      <c r="J2883" s="11" t="s">
        <v>18434</v>
      </c>
      <c r="K2883" s="11" t="s">
        <v>707</v>
      </c>
      <c r="L2883" s="11" t="s">
        <v>126</v>
      </c>
      <c r="M2883" s="11" t="s">
        <v>18435</v>
      </c>
      <c r="N2883" s="11" t="s">
        <v>128</v>
      </c>
      <c r="O2883" s="11" t="s">
        <v>18436</v>
      </c>
      <c r="P2883" s="11" t="s">
        <v>6682</v>
      </c>
      <c r="Q2883" s="11" t="s">
        <v>150</v>
      </c>
      <c r="R2883" s="11"/>
      <c r="S2883" s="11" t="s">
        <v>71</v>
      </c>
      <c r="T2883" s="11" t="s">
        <v>6736</v>
      </c>
      <c r="U2883" s="11" t="s">
        <v>150</v>
      </c>
      <c r="V2883" s="11" t="s">
        <v>6736</v>
      </c>
      <c r="W2883" s="11" t="s">
        <v>6736</v>
      </c>
      <c r="X2883" s="11">
        <v>7</v>
      </c>
      <c r="Y2883" s="11" t="s">
        <v>12359</v>
      </c>
      <c r="Z2883" s="11">
        <v>20</v>
      </c>
      <c r="AA2883" s="11">
        <v>0</v>
      </c>
      <c r="AB2883" s="12">
        <v>0</v>
      </c>
    </row>
    <row r="2884" spans="1:28" x14ac:dyDescent="0.2">
      <c r="A2884" s="7">
        <v>23535</v>
      </c>
      <c r="B2884" s="8" t="s">
        <v>18437</v>
      </c>
      <c r="C2884" s="8" t="s">
        <v>842</v>
      </c>
      <c r="D2884" s="8" t="s">
        <v>18438</v>
      </c>
      <c r="E2884" s="8"/>
      <c r="F2884" s="8" t="s">
        <v>3464</v>
      </c>
      <c r="G2884" s="8" t="s">
        <v>1419</v>
      </c>
      <c r="H2884" s="8" t="s">
        <v>704</v>
      </c>
      <c r="I2884" s="8" t="s">
        <v>18439</v>
      </c>
      <c r="J2884" s="8" t="s">
        <v>18440</v>
      </c>
      <c r="K2884" s="8" t="s">
        <v>707</v>
      </c>
      <c r="L2884" s="8" t="s">
        <v>126</v>
      </c>
      <c r="M2884" s="8" t="s">
        <v>18441</v>
      </c>
      <c r="N2884" s="8" t="s">
        <v>128</v>
      </c>
      <c r="O2884" s="8" t="s">
        <v>18442</v>
      </c>
      <c r="P2884" s="8" t="s">
        <v>9262</v>
      </c>
      <c r="Q2884" s="8" t="s">
        <v>150</v>
      </c>
      <c r="R2884" s="8"/>
      <c r="S2884" s="8" t="s">
        <v>71</v>
      </c>
      <c r="T2884" s="8" t="s">
        <v>6736</v>
      </c>
      <c r="U2884" s="8" t="s">
        <v>150</v>
      </c>
      <c r="V2884" s="8" t="s">
        <v>6736</v>
      </c>
      <c r="W2884" s="8" t="s">
        <v>6736</v>
      </c>
      <c r="X2884" s="8">
        <v>7</v>
      </c>
      <c r="Y2884" s="8" t="s">
        <v>12359</v>
      </c>
      <c r="Z2884" s="8">
        <v>20</v>
      </c>
      <c r="AA2884" s="8">
        <v>0</v>
      </c>
      <c r="AB2884" s="9">
        <v>0</v>
      </c>
    </row>
    <row r="2885" spans="1:28" x14ac:dyDescent="0.2">
      <c r="A2885" s="10">
        <v>22529</v>
      </c>
      <c r="B2885" s="11" t="s">
        <v>18443</v>
      </c>
      <c r="C2885" s="11" t="s">
        <v>18444</v>
      </c>
      <c r="D2885" s="11" t="s">
        <v>7542</v>
      </c>
      <c r="E2885" s="11"/>
      <c r="F2885" s="11" t="s">
        <v>18445</v>
      </c>
      <c r="G2885" s="11" t="s">
        <v>224</v>
      </c>
      <c r="H2885" s="11" t="s">
        <v>225</v>
      </c>
      <c r="I2885" s="11" t="s">
        <v>18446</v>
      </c>
      <c r="J2885" s="11" t="s">
        <v>18447</v>
      </c>
      <c r="K2885" s="11" t="s">
        <v>228</v>
      </c>
      <c r="L2885" s="11" t="s">
        <v>229</v>
      </c>
      <c r="M2885" s="11" t="s">
        <v>18448</v>
      </c>
      <c r="N2885" s="11" t="s">
        <v>128</v>
      </c>
      <c r="O2885" s="11" t="s">
        <v>18449</v>
      </c>
      <c r="P2885" s="11"/>
      <c r="Q2885" s="11" t="s">
        <v>150</v>
      </c>
      <c r="R2885" s="11"/>
      <c r="S2885" s="11" t="s">
        <v>71</v>
      </c>
      <c r="T2885" s="11" t="s">
        <v>869</v>
      </c>
      <c r="U2885" s="11" t="s">
        <v>150</v>
      </c>
      <c r="V2885" s="11" t="s">
        <v>869</v>
      </c>
      <c r="W2885" s="11" t="s">
        <v>869</v>
      </c>
      <c r="X2885" s="11">
        <v>7</v>
      </c>
      <c r="Y2885" s="11" t="s">
        <v>12359</v>
      </c>
      <c r="Z2885" s="11">
        <v>20</v>
      </c>
      <c r="AA2885" s="11">
        <v>0</v>
      </c>
      <c r="AB2885" s="12">
        <v>0</v>
      </c>
    </row>
    <row r="2886" spans="1:28" x14ac:dyDescent="0.2">
      <c r="A2886" s="7">
        <v>22610</v>
      </c>
      <c r="B2886" s="8" t="s">
        <v>18450</v>
      </c>
      <c r="C2886" s="8" t="s">
        <v>5366</v>
      </c>
      <c r="D2886" s="8" t="s">
        <v>18451</v>
      </c>
      <c r="E2886" s="8"/>
      <c r="F2886" s="8" t="s">
        <v>18452</v>
      </c>
      <c r="G2886" s="8" t="s">
        <v>5369</v>
      </c>
      <c r="H2886" s="8" t="s">
        <v>847</v>
      </c>
      <c r="I2886" s="8" t="s">
        <v>18453</v>
      </c>
      <c r="J2886" s="8" t="s">
        <v>18454</v>
      </c>
      <c r="K2886" s="8" t="s">
        <v>850</v>
      </c>
      <c r="L2886" s="8" t="s">
        <v>126</v>
      </c>
      <c r="M2886" s="8" t="s">
        <v>18455</v>
      </c>
      <c r="N2886" s="8" t="s">
        <v>128</v>
      </c>
      <c r="O2886" s="8" t="s">
        <v>18456</v>
      </c>
      <c r="P2886" s="8" t="s">
        <v>18457</v>
      </c>
      <c r="Q2886" s="8" t="s">
        <v>150</v>
      </c>
      <c r="R2886" s="8"/>
      <c r="S2886" s="8" t="s">
        <v>71</v>
      </c>
      <c r="T2886" s="8" t="s">
        <v>2697</v>
      </c>
      <c r="U2886" s="8" t="s">
        <v>150</v>
      </c>
      <c r="V2886" s="8" t="s">
        <v>2697</v>
      </c>
      <c r="W2886" s="8" t="s">
        <v>2697</v>
      </c>
      <c r="X2886" s="8">
        <v>7</v>
      </c>
      <c r="Y2886" s="8" t="s">
        <v>12359</v>
      </c>
      <c r="Z2886" s="8">
        <v>20</v>
      </c>
      <c r="AA2886" s="8">
        <v>0</v>
      </c>
      <c r="AB2886" s="9">
        <v>0</v>
      </c>
    </row>
    <row r="2887" spans="1:28" x14ac:dyDescent="0.2">
      <c r="A2887" s="10">
        <v>22604</v>
      </c>
      <c r="B2887" s="11" t="s">
        <v>18458</v>
      </c>
      <c r="C2887" s="11" t="s">
        <v>18459</v>
      </c>
      <c r="D2887" s="11" t="s">
        <v>550</v>
      </c>
      <c r="E2887" s="11"/>
      <c r="F2887" s="11" t="s">
        <v>18460</v>
      </c>
      <c r="G2887" s="11" t="s">
        <v>2642</v>
      </c>
      <c r="H2887" s="11" t="s">
        <v>329</v>
      </c>
      <c r="I2887" s="11" t="s">
        <v>18461</v>
      </c>
      <c r="J2887" s="11" t="s">
        <v>18462</v>
      </c>
      <c r="K2887" s="11" t="s">
        <v>572</v>
      </c>
      <c r="L2887" s="11" t="s">
        <v>333</v>
      </c>
      <c r="M2887" s="11" t="s">
        <v>18463</v>
      </c>
      <c r="N2887" s="11" t="s">
        <v>128</v>
      </c>
      <c r="O2887" s="11" t="s">
        <v>18464</v>
      </c>
      <c r="P2887" s="11" t="s">
        <v>18465</v>
      </c>
      <c r="Q2887" s="11" t="s">
        <v>150</v>
      </c>
      <c r="R2887" s="11"/>
      <c r="S2887" s="11" t="s">
        <v>18466</v>
      </c>
      <c r="T2887" s="11" t="s">
        <v>2697</v>
      </c>
      <c r="U2887" s="11" t="s">
        <v>150</v>
      </c>
      <c r="V2887" s="11" t="s">
        <v>2697</v>
      </c>
      <c r="W2887" s="11" t="s">
        <v>2697</v>
      </c>
      <c r="X2887" s="11">
        <v>7</v>
      </c>
      <c r="Y2887" s="11" t="s">
        <v>12359</v>
      </c>
      <c r="Z2887" s="11">
        <v>20</v>
      </c>
      <c r="AA2887" s="11">
        <v>0</v>
      </c>
      <c r="AB2887" s="12">
        <v>0</v>
      </c>
    </row>
    <row r="2888" spans="1:28" x14ac:dyDescent="0.2">
      <c r="A2888" s="7">
        <v>22785</v>
      </c>
      <c r="B2888" s="8" t="s">
        <v>18467</v>
      </c>
      <c r="C2888" s="8" t="s">
        <v>18468</v>
      </c>
      <c r="D2888" s="8" t="s">
        <v>3171</v>
      </c>
      <c r="E2888" s="8"/>
      <c r="F2888" s="8" t="s">
        <v>353</v>
      </c>
      <c r="G2888" s="8" t="s">
        <v>3612</v>
      </c>
      <c r="H2888" s="8" t="s">
        <v>704</v>
      </c>
      <c r="I2888" s="8" t="s">
        <v>3613</v>
      </c>
      <c r="J2888" s="8" t="s">
        <v>18469</v>
      </c>
      <c r="K2888" s="8" t="s">
        <v>707</v>
      </c>
      <c r="L2888" s="8" t="s">
        <v>126</v>
      </c>
      <c r="M2888" s="8" t="s">
        <v>18470</v>
      </c>
      <c r="N2888" s="8" t="s">
        <v>128</v>
      </c>
      <c r="O2888" s="8" t="s">
        <v>18471</v>
      </c>
      <c r="P2888" s="8"/>
      <c r="Q2888" s="8" t="s">
        <v>150</v>
      </c>
      <c r="R2888" s="8"/>
      <c r="S2888" s="8" t="s">
        <v>71</v>
      </c>
      <c r="T2888" s="8" t="s">
        <v>2817</v>
      </c>
      <c r="U2888" s="8" t="s">
        <v>150</v>
      </c>
      <c r="V2888" s="8" t="s">
        <v>2817</v>
      </c>
      <c r="W2888" s="8" t="s">
        <v>2817</v>
      </c>
      <c r="X2888" s="8">
        <v>7</v>
      </c>
      <c r="Y2888" s="8" t="s">
        <v>12359</v>
      </c>
      <c r="Z2888" s="8">
        <v>20</v>
      </c>
      <c r="AA2888" s="8">
        <v>0</v>
      </c>
      <c r="AB2888" s="9">
        <v>0</v>
      </c>
    </row>
    <row r="2889" spans="1:28" x14ac:dyDescent="0.2">
      <c r="A2889" s="10">
        <v>22790</v>
      </c>
      <c r="B2889" s="11" t="s">
        <v>18472</v>
      </c>
      <c r="C2889" s="11" t="s">
        <v>18473</v>
      </c>
      <c r="D2889" s="11" t="s">
        <v>138</v>
      </c>
      <c r="E2889" s="11"/>
      <c r="F2889" s="11" t="s">
        <v>3464</v>
      </c>
      <c r="G2889" s="11" t="s">
        <v>1419</v>
      </c>
      <c r="H2889" s="11" t="s">
        <v>704</v>
      </c>
      <c r="I2889" s="11" t="s">
        <v>18474</v>
      </c>
      <c r="J2889" s="11" t="s">
        <v>18475</v>
      </c>
      <c r="K2889" s="11" t="s">
        <v>707</v>
      </c>
      <c r="L2889" s="11" t="s">
        <v>126</v>
      </c>
      <c r="M2889" s="11" t="s">
        <v>18476</v>
      </c>
      <c r="N2889" s="11" t="s">
        <v>128</v>
      </c>
      <c r="O2889" s="11" t="s">
        <v>18477</v>
      </c>
      <c r="P2889" s="11"/>
      <c r="Q2889" s="11" t="s">
        <v>150</v>
      </c>
      <c r="R2889" s="11"/>
      <c r="S2889" s="11" t="s">
        <v>71</v>
      </c>
      <c r="T2889" s="11" t="s">
        <v>2817</v>
      </c>
      <c r="U2889" s="11" t="s">
        <v>150</v>
      </c>
      <c r="V2889" s="11" t="s">
        <v>2817</v>
      </c>
      <c r="W2889" s="11" t="s">
        <v>2817</v>
      </c>
      <c r="X2889" s="11">
        <v>7</v>
      </c>
      <c r="Y2889" s="11" t="s">
        <v>12359</v>
      </c>
      <c r="Z2889" s="11">
        <v>20</v>
      </c>
      <c r="AA2889" s="11">
        <v>0</v>
      </c>
      <c r="AB2889" s="12">
        <v>0</v>
      </c>
    </row>
    <row r="2890" spans="1:28" x14ac:dyDescent="0.2">
      <c r="A2890" s="7">
        <v>22986</v>
      </c>
      <c r="B2890" s="8" t="s">
        <v>18478</v>
      </c>
      <c r="C2890" s="8" t="s">
        <v>5879</v>
      </c>
      <c r="D2890" s="8" t="s">
        <v>18479</v>
      </c>
      <c r="E2890" s="8" t="s">
        <v>281</v>
      </c>
      <c r="F2890" s="8" t="s">
        <v>353</v>
      </c>
      <c r="G2890" s="8" t="s">
        <v>18274</v>
      </c>
      <c r="H2890" s="8" t="s">
        <v>847</v>
      </c>
      <c r="I2890" s="8" t="s">
        <v>18275</v>
      </c>
      <c r="J2890" s="8" t="s">
        <v>18480</v>
      </c>
      <c r="K2890" s="8" t="s">
        <v>850</v>
      </c>
      <c r="L2890" s="8" t="s">
        <v>126</v>
      </c>
      <c r="M2890" s="8" t="s">
        <v>18481</v>
      </c>
      <c r="N2890" s="8" t="s">
        <v>128</v>
      </c>
      <c r="O2890" s="8" t="s">
        <v>18482</v>
      </c>
      <c r="P2890" s="8" t="s">
        <v>18483</v>
      </c>
      <c r="Q2890" s="8" t="s">
        <v>150</v>
      </c>
      <c r="R2890" s="8"/>
      <c r="S2890" s="8" t="s">
        <v>71</v>
      </c>
      <c r="T2890" s="8" t="s">
        <v>70</v>
      </c>
      <c r="U2890" s="8" t="s">
        <v>150</v>
      </c>
      <c r="V2890" s="8" t="s">
        <v>70</v>
      </c>
      <c r="W2890" s="8" t="s">
        <v>70</v>
      </c>
      <c r="X2890" s="8">
        <v>7</v>
      </c>
      <c r="Y2890" s="8" t="s">
        <v>12359</v>
      </c>
      <c r="Z2890" s="8">
        <v>20</v>
      </c>
      <c r="AA2890" s="8">
        <v>0</v>
      </c>
      <c r="AB2890" s="9">
        <v>0</v>
      </c>
    </row>
    <row r="2891" spans="1:28" x14ac:dyDescent="0.2">
      <c r="A2891" s="10">
        <v>23235</v>
      </c>
      <c r="B2891" s="11" t="s">
        <v>18484</v>
      </c>
      <c r="C2891" s="11" t="s">
        <v>4879</v>
      </c>
      <c r="D2891" s="11" t="s">
        <v>9089</v>
      </c>
      <c r="E2891" s="11" t="s">
        <v>702</v>
      </c>
      <c r="F2891" s="11" t="s">
        <v>353</v>
      </c>
      <c r="G2891" s="11" t="s">
        <v>1364</v>
      </c>
      <c r="H2891" s="11" t="s">
        <v>329</v>
      </c>
      <c r="I2891" s="11" t="s">
        <v>4882</v>
      </c>
      <c r="J2891" s="11" t="s">
        <v>18485</v>
      </c>
      <c r="K2891" s="11" t="s">
        <v>431</v>
      </c>
      <c r="L2891" s="11" t="s">
        <v>333</v>
      </c>
      <c r="M2891" s="11" t="s">
        <v>18486</v>
      </c>
      <c r="N2891" s="11" t="s">
        <v>128</v>
      </c>
      <c r="O2891" s="11" t="s">
        <v>18487</v>
      </c>
      <c r="P2891" s="11" t="s">
        <v>14071</v>
      </c>
      <c r="Q2891" s="11" t="s">
        <v>150</v>
      </c>
      <c r="R2891" s="11"/>
      <c r="S2891" s="11" t="s">
        <v>71</v>
      </c>
      <c r="T2891" s="11" t="s">
        <v>70</v>
      </c>
      <c r="U2891" s="11" t="s">
        <v>150</v>
      </c>
      <c r="V2891" s="11" t="s">
        <v>70</v>
      </c>
      <c r="W2891" s="11" t="s">
        <v>70</v>
      </c>
      <c r="X2891" s="11">
        <v>7</v>
      </c>
      <c r="Y2891" s="11" t="s">
        <v>12359</v>
      </c>
      <c r="Z2891" s="11">
        <v>20</v>
      </c>
      <c r="AA2891" s="11">
        <v>0</v>
      </c>
      <c r="AB2891" s="12">
        <v>0</v>
      </c>
    </row>
    <row r="2892" spans="1:28" x14ac:dyDescent="0.2">
      <c r="A2892" s="7">
        <v>22962</v>
      </c>
      <c r="B2892" s="8" t="s">
        <v>18488</v>
      </c>
      <c r="C2892" s="8" t="s">
        <v>13591</v>
      </c>
      <c r="D2892" s="8" t="s">
        <v>4604</v>
      </c>
      <c r="E2892" s="8" t="s">
        <v>18489</v>
      </c>
      <c r="F2892" s="8" t="s">
        <v>353</v>
      </c>
      <c r="G2892" s="8" t="s">
        <v>1253</v>
      </c>
      <c r="H2892" s="8" t="s">
        <v>142</v>
      </c>
      <c r="I2892" s="8" t="s">
        <v>13592</v>
      </c>
      <c r="J2892" s="8" t="s">
        <v>13593</v>
      </c>
      <c r="K2892" s="8" t="s">
        <v>1199</v>
      </c>
      <c r="L2892" s="8" t="s">
        <v>464</v>
      </c>
      <c r="M2892" s="8" t="s">
        <v>18490</v>
      </c>
      <c r="N2892" s="8" t="s">
        <v>128</v>
      </c>
      <c r="O2892" s="8" t="s">
        <v>18491</v>
      </c>
      <c r="P2892" s="8" t="s">
        <v>16741</v>
      </c>
      <c r="Q2892" s="8" t="s">
        <v>150</v>
      </c>
      <c r="R2892" s="8"/>
      <c r="S2892" s="8" t="s">
        <v>13597</v>
      </c>
      <c r="T2892" s="8" t="s">
        <v>70</v>
      </c>
      <c r="U2892" s="8" t="s">
        <v>150</v>
      </c>
      <c r="V2892" s="8" t="s">
        <v>70</v>
      </c>
      <c r="W2892" s="8" t="s">
        <v>70</v>
      </c>
      <c r="X2892" s="8">
        <v>7</v>
      </c>
      <c r="Y2892" s="8" t="s">
        <v>12359</v>
      </c>
      <c r="Z2892" s="8">
        <v>20</v>
      </c>
      <c r="AA2892" s="8">
        <v>0</v>
      </c>
      <c r="AB2892" s="9">
        <v>0</v>
      </c>
    </row>
    <row r="2893" spans="1:28" x14ac:dyDescent="0.2">
      <c r="A2893" s="10">
        <v>23035</v>
      </c>
      <c r="B2893" s="11" t="s">
        <v>18492</v>
      </c>
      <c r="C2893" s="11" t="s">
        <v>2785</v>
      </c>
      <c r="D2893" s="11" t="s">
        <v>12057</v>
      </c>
      <c r="E2893" s="11" t="s">
        <v>281</v>
      </c>
      <c r="F2893" s="11" t="s">
        <v>2788</v>
      </c>
      <c r="G2893" s="11" t="s">
        <v>1286</v>
      </c>
      <c r="H2893" s="11" t="s">
        <v>142</v>
      </c>
      <c r="I2893" s="11" t="s">
        <v>18493</v>
      </c>
      <c r="J2893" s="11" t="s">
        <v>13504</v>
      </c>
      <c r="K2893" s="11" t="s">
        <v>717</v>
      </c>
      <c r="L2893" s="11" t="s">
        <v>464</v>
      </c>
      <c r="M2893" s="11" t="s">
        <v>18494</v>
      </c>
      <c r="N2893" s="11" t="s">
        <v>128</v>
      </c>
      <c r="O2893" s="11" t="s">
        <v>18495</v>
      </c>
      <c r="P2893" s="11" t="s">
        <v>18496</v>
      </c>
      <c r="Q2893" s="11" t="s">
        <v>150</v>
      </c>
      <c r="R2893" s="11"/>
      <c r="S2893" s="11" t="s">
        <v>13365</v>
      </c>
      <c r="T2893" s="11" t="s">
        <v>70</v>
      </c>
      <c r="U2893" s="11" t="s">
        <v>150</v>
      </c>
      <c r="V2893" s="11" t="s">
        <v>70</v>
      </c>
      <c r="W2893" s="11" t="s">
        <v>70</v>
      </c>
      <c r="X2893" s="11">
        <v>7</v>
      </c>
      <c r="Y2893" s="11" t="s">
        <v>12359</v>
      </c>
      <c r="Z2893" s="11">
        <v>20</v>
      </c>
      <c r="AA2893" s="11">
        <v>0</v>
      </c>
      <c r="AB2893" s="12">
        <v>0</v>
      </c>
    </row>
    <row r="2894" spans="1:28" x14ac:dyDescent="0.2">
      <c r="A2894" s="7">
        <v>23179</v>
      </c>
      <c r="B2894" s="8" t="s">
        <v>18497</v>
      </c>
      <c r="C2894" s="8" t="s">
        <v>3862</v>
      </c>
      <c r="D2894" s="8" t="s">
        <v>3863</v>
      </c>
      <c r="E2894" s="8" t="s">
        <v>6791</v>
      </c>
      <c r="F2894" s="8" t="s">
        <v>3865</v>
      </c>
      <c r="G2894" s="8" t="s">
        <v>3612</v>
      </c>
      <c r="H2894" s="8" t="s">
        <v>704</v>
      </c>
      <c r="I2894" s="8" t="s">
        <v>3866</v>
      </c>
      <c r="J2894" s="8" t="s">
        <v>3867</v>
      </c>
      <c r="K2894" s="8" t="s">
        <v>707</v>
      </c>
      <c r="L2894" s="8" t="s">
        <v>126</v>
      </c>
      <c r="M2894" s="8" t="s">
        <v>18498</v>
      </c>
      <c r="N2894" s="8" t="s">
        <v>128</v>
      </c>
      <c r="O2894" s="8" t="s">
        <v>18499</v>
      </c>
      <c r="P2894" s="8" t="s">
        <v>18500</v>
      </c>
      <c r="Q2894" s="8" t="s">
        <v>150</v>
      </c>
      <c r="R2894" s="8"/>
      <c r="S2894" s="8" t="s">
        <v>3871</v>
      </c>
      <c r="T2894" s="8" t="s">
        <v>70</v>
      </c>
      <c r="U2894" s="8" t="s">
        <v>150</v>
      </c>
      <c r="V2894" s="8" t="s">
        <v>70</v>
      </c>
      <c r="W2894" s="8" t="s">
        <v>70</v>
      </c>
      <c r="X2894" s="8">
        <v>7</v>
      </c>
      <c r="Y2894" s="8" t="s">
        <v>12359</v>
      </c>
      <c r="Z2894" s="8">
        <v>20</v>
      </c>
      <c r="AA2894" s="8">
        <v>0</v>
      </c>
      <c r="AB2894" s="9">
        <v>0</v>
      </c>
    </row>
    <row r="2895" spans="1:28" x14ac:dyDescent="0.2">
      <c r="A2895" s="10">
        <v>23023</v>
      </c>
      <c r="B2895" s="11" t="s">
        <v>18501</v>
      </c>
      <c r="C2895" s="11" t="s">
        <v>18329</v>
      </c>
      <c r="D2895" s="11" t="s">
        <v>11184</v>
      </c>
      <c r="E2895" s="11" t="s">
        <v>2353</v>
      </c>
      <c r="F2895" s="11" t="s">
        <v>18331</v>
      </c>
      <c r="G2895" s="11" t="s">
        <v>2618</v>
      </c>
      <c r="H2895" s="11" t="s">
        <v>142</v>
      </c>
      <c r="I2895" s="11" t="s">
        <v>18502</v>
      </c>
      <c r="J2895" s="11" t="s">
        <v>18333</v>
      </c>
      <c r="K2895" s="11" t="s">
        <v>651</v>
      </c>
      <c r="L2895" s="11" t="s">
        <v>146</v>
      </c>
      <c r="M2895" s="11" t="s">
        <v>18503</v>
      </c>
      <c r="N2895" s="11" t="s">
        <v>128</v>
      </c>
      <c r="O2895" s="11" t="s">
        <v>18504</v>
      </c>
      <c r="P2895" s="11" t="s">
        <v>18505</v>
      </c>
      <c r="Q2895" s="11" t="s">
        <v>150</v>
      </c>
      <c r="R2895" s="11"/>
      <c r="S2895" s="11" t="s">
        <v>18336</v>
      </c>
      <c r="T2895" s="11" t="s">
        <v>70</v>
      </c>
      <c r="U2895" s="11" t="s">
        <v>150</v>
      </c>
      <c r="V2895" s="11" t="s">
        <v>70</v>
      </c>
      <c r="W2895" s="11" t="s">
        <v>70</v>
      </c>
      <c r="X2895" s="11">
        <v>7</v>
      </c>
      <c r="Y2895" s="11" t="s">
        <v>12359</v>
      </c>
      <c r="Z2895" s="11">
        <v>20</v>
      </c>
      <c r="AA2895" s="11">
        <v>0</v>
      </c>
      <c r="AB2895" s="12">
        <v>0</v>
      </c>
    </row>
    <row r="2896" spans="1:28" x14ac:dyDescent="0.2">
      <c r="A2896" s="7">
        <v>116134</v>
      </c>
      <c r="B2896" s="8" t="s">
        <v>18506</v>
      </c>
      <c r="C2896" s="8" t="s">
        <v>17733</v>
      </c>
      <c r="D2896" s="8" t="s">
        <v>5404</v>
      </c>
      <c r="E2896" s="8" t="s">
        <v>18507</v>
      </c>
      <c r="F2896" s="8" t="s">
        <v>17734</v>
      </c>
      <c r="G2896" s="8" t="s">
        <v>328</v>
      </c>
      <c r="H2896" s="8" t="s">
        <v>329</v>
      </c>
      <c r="I2896" s="8" t="s">
        <v>18508</v>
      </c>
      <c r="J2896" s="8" t="s">
        <v>17736</v>
      </c>
      <c r="K2896" s="8" t="s">
        <v>415</v>
      </c>
      <c r="L2896" s="8" t="s">
        <v>333</v>
      </c>
      <c r="M2896" s="8" t="s">
        <v>18509</v>
      </c>
      <c r="N2896" s="8" t="s">
        <v>128</v>
      </c>
      <c r="O2896" s="8" t="s">
        <v>18510</v>
      </c>
      <c r="P2896" s="8" t="s">
        <v>18511</v>
      </c>
      <c r="Q2896" s="8" t="s">
        <v>150</v>
      </c>
      <c r="R2896" s="8"/>
      <c r="S2896" s="8" t="s">
        <v>17739</v>
      </c>
      <c r="T2896" s="8" t="s">
        <v>70</v>
      </c>
      <c r="U2896" s="8" t="s">
        <v>150</v>
      </c>
      <c r="V2896" s="8" t="s">
        <v>70</v>
      </c>
      <c r="W2896" s="8" t="s">
        <v>70</v>
      </c>
      <c r="X2896" s="8">
        <v>7</v>
      </c>
      <c r="Y2896" s="8" t="s">
        <v>12359</v>
      </c>
      <c r="Z2896" s="8">
        <v>20</v>
      </c>
      <c r="AA2896" s="8">
        <v>0</v>
      </c>
      <c r="AB2896" s="9">
        <v>0</v>
      </c>
    </row>
    <row r="2897" spans="1:28" x14ac:dyDescent="0.2">
      <c r="A2897" s="10">
        <v>23323</v>
      </c>
      <c r="B2897" s="11" t="s">
        <v>18512</v>
      </c>
      <c r="C2897" s="11" t="s">
        <v>2172</v>
      </c>
      <c r="D2897" s="11" t="s">
        <v>6865</v>
      </c>
      <c r="E2897" s="11"/>
      <c r="F2897" s="11" t="s">
        <v>353</v>
      </c>
      <c r="G2897" s="11" t="s">
        <v>6005</v>
      </c>
      <c r="H2897" s="11" t="s">
        <v>5805</v>
      </c>
      <c r="I2897" s="11" t="s">
        <v>6006</v>
      </c>
      <c r="J2897" s="11" t="s">
        <v>18513</v>
      </c>
      <c r="K2897" s="11" t="s">
        <v>274</v>
      </c>
      <c r="L2897" s="11" t="s">
        <v>163</v>
      </c>
      <c r="M2897" s="11" t="s">
        <v>18514</v>
      </c>
      <c r="N2897" s="11" t="s">
        <v>128</v>
      </c>
      <c r="O2897" s="11" t="s">
        <v>18515</v>
      </c>
      <c r="P2897" s="11" t="s">
        <v>18516</v>
      </c>
      <c r="Q2897" s="11" t="s">
        <v>150</v>
      </c>
      <c r="R2897" s="11"/>
      <c r="S2897" s="11" t="s">
        <v>71</v>
      </c>
      <c r="T2897" s="11" t="s">
        <v>70</v>
      </c>
      <c r="U2897" s="11" t="s">
        <v>150</v>
      </c>
      <c r="V2897" s="11" t="s">
        <v>70</v>
      </c>
      <c r="W2897" s="11" t="s">
        <v>70</v>
      </c>
      <c r="X2897" s="11">
        <v>7</v>
      </c>
      <c r="Y2897" s="11" t="s">
        <v>12359</v>
      </c>
      <c r="Z2897" s="11">
        <v>20</v>
      </c>
      <c r="AA2897" s="11">
        <v>0</v>
      </c>
      <c r="AB2897" s="12">
        <v>0</v>
      </c>
    </row>
    <row r="2898" spans="1:28" x14ac:dyDescent="0.2">
      <c r="A2898" s="7">
        <v>22965</v>
      </c>
      <c r="B2898" s="8" t="s">
        <v>18517</v>
      </c>
      <c r="C2898" s="8" t="s">
        <v>18518</v>
      </c>
      <c r="D2898" s="8" t="s">
        <v>6865</v>
      </c>
      <c r="E2898" s="8"/>
      <c r="F2898" s="8" t="s">
        <v>353</v>
      </c>
      <c r="G2898" s="8" t="s">
        <v>16339</v>
      </c>
      <c r="H2898" s="8" t="s">
        <v>159</v>
      </c>
      <c r="I2898" s="8" t="s">
        <v>18519</v>
      </c>
      <c r="J2898" s="8" t="s">
        <v>18520</v>
      </c>
      <c r="K2898" s="8" t="s">
        <v>162</v>
      </c>
      <c r="L2898" s="8" t="s">
        <v>163</v>
      </c>
      <c r="M2898" s="8" t="s">
        <v>18521</v>
      </c>
      <c r="N2898" s="8" t="s">
        <v>128</v>
      </c>
      <c r="O2898" s="8" t="s">
        <v>18522</v>
      </c>
      <c r="P2898" s="8" t="s">
        <v>18523</v>
      </c>
      <c r="Q2898" s="8" t="s">
        <v>150</v>
      </c>
      <c r="R2898" s="8"/>
      <c r="S2898" s="8" t="s">
        <v>71</v>
      </c>
      <c r="T2898" s="8" t="s">
        <v>70</v>
      </c>
      <c r="U2898" s="8" t="s">
        <v>150</v>
      </c>
      <c r="V2898" s="8" t="s">
        <v>70</v>
      </c>
      <c r="W2898" s="8" t="s">
        <v>70</v>
      </c>
      <c r="X2898" s="8">
        <v>7</v>
      </c>
      <c r="Y2898" s="8" t="s">
        <v>12359</v>
      </c>
      <c r="Z2898" s="8">
        <v>20</v>
      </c>
      <c r="AA2898" s="8">
        <v>0</v>
      </c>
      <c r="AB2898" s="9">
        <v>0</v>
      </c>
    </row>
    <row r="2899" spans="1:28" x14ac:dyDescent="0.2">
      <c r="A2899" s="10">
        <v>23288</v>
      </c>
      <c r="B2899" s="11" t="s">
        <v>18524</v>
      </c>
      <c r="C2899" s="11" t="s">
        <v>8652</v>
      </c>
      <c r="D2899" s="11" t="s">
        <v>2776</v>
      </c>
      <c r="E2899" s="11"/>
      <c r="F2899" s="11" t="s">
        <v>353</v>
      </c>
      <c r="G2899" s="11" t="s">
        <v>8653</v>
      </c>
      <c r="H2899" s="11" t="s">
        <v>329</v>
      </c>
      <c r="I2899" s="11" t="s">
        <v>18525</v>
      </c>
      <c r="J2899" s="11" t="s">
        <v>18526</v>
      </c>
      <c r="K2899" s="11" t="s">
        <v>572</v>
      </c>
      <c r="L2899" s="11" t="s">
        <v>333</v>
      </c>
      <c r="M2899" s="11" t="s">
        <v>18527</v>
      </c>
      <c r="N2899" s="11" t="s">
        <v>128</v>
      </c>
      <c r="O2899" s="11" t="s">
        <v>18528</v>
      </c>
      <c r="P2899" s="11" t="s">
        <v>2681</v>
      </c>
      <c r="Q2899" s="11" t="s">
        <v>150</v>
      </c>
      <c r="R2899" s="11"/>
      <c r="S2899" s="11" t="s">
        <v>71</v>
      </c>
      <c r="T2899" s="11" t="s">
        <v>70</v>
      </c>
      <c r="U2899" s="11" t="s">
        <v>150</v>
      </c>
      <c r="V2899" s="11" t="s">
        <v>70</v>
      </c>
      <c r="W2899" s="11" t="s">
        <v>70</v>
      </c>
      <c r="X2899" s="11">
        <v>7</v>
      </c>
      <c r="Y2899" s="11" t="s">
        <v>12359</v>
      </c>
      <c r="Z2899" s="11">
        <v>20</v>
      </c>
      <c r="AA2899" s="11">
        <v>0</v>
      </c>
      <c r="AB2899" s="12">
        <v>0</v>
      </c>
    </row>
    <row r="2900" spans="1:28" x14ac:dyDescent="0.2">
      <c r="A2900" s="7">
        <v>23305</v>
      </c>
      <c r="B2900" s="8" t="s">
        <v>18529</v>
      </c>
      <c r="C2900" s="8" t="s">
        <v>18530</v>
      </c>
      <c r="D2900" s="8" t="s">
        <v>7629</v>
      </c>
      <c r="E2900" s="8"/>
      <c r="F2900" s="8" t="s">
        <v>353</v>
      </c>
      <c r="G2900" s="8" t="s">
        <v>3364</v>
      </c>
      <c r="H2900" s="8" t="s">
        <v>704</v>
      </c>
      <c r="I2900" s="8" t="s">
        <v>18531</v>
      </c>
      <c r="J2900" s="8" t="s">
        <v>18532</v>
      </c>
      <c r="K2900" s="8" t="s">
        <v>1051</v>
      </c>
      <c r="L2900" s="8" t="s">
        <v>126</v>
      </c>
      <c r="M2900" s="8" t="s">
        <v>18533</v>
      </c>
      <c r="N2900" s="8" t="s">
        <v>128</v>
      </c>
      <c r="O2900" s="8" t="s">
        <v>18534</v>
      </c>
      <c r="P2900" s="8" t="s">
        <v>18535</v>
      </c>
      <c r="Q2900" s="8" t="s">
        <v>150</v>
      </c>
      <c r="R2900" s="8"/>
      <c r="S2900" s="8" t="s">
        <v>71</v>
      </c>
      <c r="T2900" s="8" t="s">
        <v>70</v>
      </c>
      <c r="U2900" s="8" t="s">
        <v>150</v>
      </c>
      <c r="V2900" s="8" t="s">
        <v>70</v>
      </c>
      <c r="W2900" s="8" t="s">
        <v>70</v>
      </c>
      <c r="X2900" s="8">
        <v>7</v>
      </c>
      <c r="Y2900" s="8" t="s">
        <v>12359</v>
      </c>
      <c r="Z2900" s="8">
        <v>20</v>
      </c>
      <c r="AA2900" s="8">
        <v>0</v>
      </c>
      <c r="AB2900" s="9">
        <v>0</v>
      </c>
    </row>
    <row r="2901" spans="1:28" x14ac:dyDescent="0.2">
      <c r="A2901" s="10">
        <v>23328</v>
      </c>
      <c r="B2901" s="11" t="s">
        <v>18536</v>
      </c>
      <c r="C2901" s="11" t="s">
        <v>18537</v>
      </c>
      <c r="D2901" s="11" t="s">
        <v>12057</v>
      </c>
      <c r="E2901" s="11"/>
      <c r="F2901" s="11" t="s">
        <v>18538</v>
      </c>
      <c r="G2901" s="11" t="s">
        <v>141</v>
      </c>
      <c r="H2901" s="11" t="s">
        <v>142</v>
      </c>
      <c r="I2901" s="11" t="s">
        <v>18539</v>
      </c>
      <c r="J2901" s="11" t="s">
        <v>18540</v>
      </c>
      <c r="K2901" s="11" t="s">
        <v>145</v>
      </c>
      <c r="L2901" s="11" t="s">
        <v>146</v>
      </c>
      <c r="M2901" s="11" t="s">
        <v>18541</v>
      </c>
      <c r="N2901" s="11" t="s">
        <v>128</v>
      </c>
      <c r="O2901" s="11" t="s">
        <v>18542</v>
      </c>
      <c r="P2901" s="11" t="s">
        <v>18543</v>
      </c>
      <c r="Q2901" s="11" t="s">
        <v>150</v>
      </c>
      <c r="R2901" s="11"/>
      <c r="S2901" s="11" t="s">
        <v>71</v>
      </c>
      <c r="T2901" s="11" t="s">
        <v>70</v>
      </c>
      <c r="U2901" s="11" t="s">
        <v>150</v>
      </c>
      <c r="V2901" s="11" t="s">
        <v>70</v>
      </c>
      <c r="W2901" s="11" t="s">
        <v>70</v>
      </c>
      <c r="X2901" s="11">
        <v>7</v>
      </c>
      <c r="Y2901" s="11" t="s">
        <v>12359</v>
      </c>
      <c r="Z2901" s="11">
        <v>20</v>
      </c>
      <c r="AA2901" s="11">
        <v>0</v>
      </c>
      <c r="AB2901" s="12">
        <v>0</v>
      </c>
    </row>
    <row r="2902" spans="1:28" x14ac:dyDescent="0.2">
      <c r="A2902" s="7">
        <v>28505</v>
      </c>
      <c r="B2902" s="8" t="s">
        <v>18544</v>
      </c>
      <c r="C2902" s="8" t="s">
        <v>18545</v>
      </c>
      <c r="D2902" s="8" t="s">
        <v>826</v>
      </c>
      <c r="E2902" s="8"/>
      <c r="F2902" s="8" t="s">
        <v>1344</v>
      </c>
      <c r="G2902" s="8" t="s">
        <v>141</v>
      </c>
      <c r="H2902" s="8" t="s">
        <v>142</v>
      </c>
      <c r="I2902" s="8" t="s">
        <v>18546</v>
      </c>
      <c r="J2902" s="8" t="s">
        <v>18547</v>
      </c>
      <c r="K2902" s="8" t="s">
        <v>651</v>
      </c>
      <c r="L2902" s="8" t="s">
        <v>146</v>
      </c>
      <c r="M2902" s="8" t="s">
        <v>18548</v>
      </c>
      <c r="N2902" s="8" t="s">
        <v>128</v>
      </c>
      <c r="O2902" s="8" t="s">
        <v>18549</v>
      </c>
      <c r="P2902" s="8" t="s">
        <v>18550</v>
      </c>
      <c r="Q2902" s="8" t="s">
        <v>150</v>
      </c>
      <c r="R2902" s="8"/>
      <c r="S2902" s="8" t="s">
        <v>71</v>
      </c>
      <c r="T2902" s="8" t="s">
        <v>70</v>
      </c>
      <c r="U2902" s="8" t="s">
        <v>150</v>
      </c>
      <c r="V2902" s="8" t="s">
        <v>70</v>
      </c>
      <c r="W2902" s="8" t="s">
        <v>70</v>
      </c>
      <c r="X2902" s="8">
        <v>7</v>
      </c>
      <c r="Y2902" s="8" t="s">
        <v>12359</v>
      </c>
      <c r="Z2902" s="8">
        <v>20</v>
      </c>
      <c r="AA2902" s="8">
        <v>0</v>
      </c>
      <c r="AB2902" s="9">
        <v>0</v>
      </c>
    </row>
    <row r="2903" spans="1:28" x14ac:dyDescent="0.2">
      <c r="A2903" s="10">
        <v>114300</v>
      </c>
      <c r="B2903" s="11" t="s">
        <v>18551</v>
      </c>
      <c r="C2903" s="11" t="s">
        <v>18552</v>
      </c>
      <c r="D2903" s="11" t="s">
        <v>18553</v>
      </c>
      <c r="E2903" s="11"/>
      <c r="F2903" s="11" t="s">
        <v>18554</v>
      </c>
      <c r="G2903" s="11" t="s">
        <v>141</v>
      </c>
      <c r="H2903" s="11" t="s">
        <v>142</v>
      </c>
      <c r="I2903" s="11" t="s">
        <v>18555</v>
      </c>
      <c r="J2903" s="11" t="s">
        <v>18556</v>
      </c>
      <c r="K2903" s="11" t="s">
        <v>145</v>
      </c>
      <c r="L2903" s="11" t="s">
        <v>146</v>
      </c>
      <c r="M2903" s="11" t="s">
        <v>18557</v>
      </c>
      <c r="N2903" s="11" t="s">
        <v>128</v>
      </c>
      <c r="O2903" s="11" t="s">
        <v>18558</v>
      </c>
      <c r="P2903" s="11" t="s">
        <v>18559</v>
      </c>
      <c r="Q2903" s="11" t="s">
        <v>150</v>
      </c>
      <c r="R2903" s="11"/>
      <c r="S2903" s="11" t="s">
        <v>71</v>
      </c>
      <c r="T2903" s="11" t="s">
        <v>70</v>
      </c>
      <c r="U2903" s="11" t="s">
        <v>150</v>
      </c>
      <c r="V2903" s="11" t="s">
        <v>70</v>
      </c>
      <c r="W2903" s="11" t="s">
        <v>70</v>
      </c>
      <c r="X2903" s="11">
        <v>7</v>
      </c>
      <c r="Y2903" s="11" t="s">
        <v>12359</v>
      </c>
      <c r="Z2903" s="11">
        <v>20</v>
      </c>
      <c r="AA2903" s="11">
        <v>0</v>
      </c>
      <c r="AB2903" s="12">
        <v>0</v>
      </c>
    </row>
    <row r="2904" spans="1:28" x14ac:dyDescent="0.2">
      <c r="A2904" s="7">
        <v>28643</v>
      </c>
      <c r="B2904" s="8" t="s">
        <v>18560</v>
      </c>
      <c r="C2904" s="8" t="s">
        <v>18316</v>
      </c>
      <c r="D2904" s="8" t="s">
        <v>138</v>
      </c>
      <c r="E2904" s="8"/>
      <c r="F2904" s="8" t="s">
        <v>18317</v>
      </c>
      <c r="G2904" s="8" t="s">
        <v>18318</v>
      </c>
      <c r="H2904" s="8" t="s">
        <v>2176</v>
      </c>
      <c r="I2904" s="8" t="s">
        <v>18319</v>
      </c>
      <c r="J2904" s="8" t="s">
        <v>18561</v>
      </c>
      <c r="K2904" s="8" t="s">
        <v>194</v>
      </c>
      <c r="L2904" s="8" t="s">
        <v>163</v>
      </c>
      <c r="M2904" s="8" t="s">
        <v>18562</v>
      </c>
      <c r="N2904" s="8" t="s">
        <v>128</v>
      </c>
      <c r="O2904" s="8" t="s">
        <v>18563</v>
      </c>
      <c r="P2904" s="8" t="s">
        <v>3554</v>
      </c>
      <c r="Q2904" s="8" t="s">
        <v>150</v>
      </c>
      <c r="R2904" s="8"/>
      <c r="S2904" s="8" t="s">
        <v>18324</v>
      </c>
      <c r="T2904" s="8" t="s">
        <v>70</v>
      </c>
      <c r="U2904" s="8" t="s">
        <v>150</v>
      </c>
      <c r="V2904" s="8" t="s">
        <v>70</v>
      </c>
      <c r="W2904" s="8" t="s">
        <v>70</v>
      </c>
      <c r="X2904" s="8">
        <v>7</v>
      </c>
      <c r="Y2904" s="8" t="s">
        <v>12359</v>
      </c>
      <c r="Z2904" s="8">
        <v>20</v>
      </c>
      <c r="AA2904" s="8">
        <v>0</v>
      </c>
      <c r="AB2904" s="9">
        <v>0</v>
      </c>
    </row>
    <row r="2905" spans="1:28" x14ac:dyDescent="0.2">
      <c r="A2905" s="10">
        <v>111759</v>
      </c>
      <c r="B2905" s="11" t="s">
        <v>18564</v>
      </c>
      <c r="C2905" s="11" t="s">
        <v>18565</v>
      </c>
      <c r="D2905" s="11" t="s">
        <v>138</v>
      </c>
      <c r="E2905" s="11"/>
      <c r="F2905" s="11" t="s">
        <v>18566</v>
      </c>
      <c r="G2905" s="11" t="s">
        <v>224</v>
      </c>
      <c r="H2905" s="11" t="s">
        <v>225</v>
      </c>
      <c r="I2905" s="11" t="s">
        <v>18567</v>
      </c>
      <c r="J2905" s="11" t="s">
        <v>18568</v>
      </c>
      <c r="K2905" s="11" t="s">
        <v>228</v>
      </c>
      <c r="L2905" s="11" t="s">
        <v>229</v>
      </c>
      <c r="M2905" s="11" t="s">
        <v>18569</v>
      </c>
      <c r="N2905" s="11" t="s">
        <v>128</v>
      </c>
      <c r="O2905" s="11" t="s">
        <v>18570</v>
      </c>
      <c r="P2905" s="11" t="s">
        <v>11490</v>
      </c>
      <c r="Q2905" s="11" t="s">
        <v>150</v>
      </c>
      <c r="R2905" s="11"/>
      <c r="S2905" s="11" t="s">
        <v>18571</v>
      </c>
      <c r="T2905" s="11" t="s">
        <v>70</v>
      </c>
      <c r="U2905" s="11" t="s">
        <v>150</v>
      </c>
      <c r="V2905" s="11" t="s">
        <v>70</v>
      </c>
      <c r="W2905" s="11" t="s">
        <v>70</v>
      </c>
      <c r="X2905" s="11">
        <v>7</v>
      </c>
      <c r="Y2905" s="11" t="s">
        <v>12359</v>
      </c>
      <c r="Z2905" s="11">
        <v>20</v>
      </c>
      <c r="AA2905" s="11">
        <v>0</v>
      </c>
      <c r="AB2905" s="12">
        <v>0</v>
      </c>
    </row>
    <row r="2906" spans="1:28" x14ac:dyDescent="0.2">
      <c r="A2906" s="7">
        <v>23168</v>
      </c>
      <c r="B2906" s="8" t="s">
        <v>18572</v>
      </c>
      <c r="C2906" s="8" t="s">
        <v>18459</v>
      </c>
      <c r="D2906" s="8" t="s">
        <v>550</v>
      </c>
      <c r="E2906" s="8"/>
      <c r="F2906" s="8" t="s">
        <v>18460</v>
      </c>
      <c r="G2906" s="8" t="s">
        <v>2642</v>
      </c>
      <c r="H2906" s="8" t="s">
        <v>329</v>
      </c>
      <c r="I2906" s="8" t="s">
        <v>18573</v>
      </c>
      <c r="J2906" s="8" t="s">
        <v>18462</v>
      </c>
      <c r="K2906" s="8" t="s">
        <v>572</v>
      </c>
      <c r="L2906" s="8" t="s">
        <v>333</v>
      </c>
      <c r="M2906" s="8" t="s">
        <v>18574</v>
      </c>
      <c r="N2906" s="8" t="s">
        <v>128</v>
      </c>
      <c r="O2906" s="8" t="s">
        <v>18575</v>
      </c>
      <c r="P2906" s="8" t="s">
        <v>18576</v>
      </c>
      <c r="Q2906" s="8" t="s">
        <v>150</v>
      </c>
      <c r="R2906" s="8"/>
      <c r="S2906" s="8" t="s">
        <v>18466</v>
      </c>
      <c r="T2906" s="8" t="s">
        <v>70</v>
      </c>
      <c r="U2906" s="8" t="s">
        <v>150</v>
      </c>
      <c r="V2906" s="8" t="s">
        <v>70</v>
      </c>
      <c r="W2906" s="8" t="s">
        <v>70</v>
      </c>
      <c r="X2906" s="8">
        <v>7</v>
      </c>
      <c r="Y2906" s="8" t="s">
        <v>12359</v>
      </c>
      <c r="Z2906" s="8">
        <v>20</v>
      </c>
      <c r="AA2906" s="8">
        <v>0</v>
      </c>
      <c r="AB2906" s="9">
        <v>0</v>
      </c>
    </row>
    <row r="2907" spans="1:28" x14ac:dyDescent="0.2">
      <c r="A2907" s="10">
        <v>23410</v>
      </c>
      <c r="B2907" s="11" t="s">
        <v>18577</v>
      </c>
      <c r="C2907" s="11" t="s">
        <v>18578</v>
      </c>
      <c r="D2907" s="11" t="s">
        <v>10649</v>
      </c>
      <c r="E2907" s="11"/>
      <c r="F2907" s="11" t="s">
        <v>353</v>
      </c>
      <c r="G2907" s="11" t="s">
        <v>17692</v>
      </c>
      <c r="H2907" s="11" t="s">
        <v>142</v>
      </c>
      <c r="I2907" s="11" t="s">
        <v>18579</v>
      </c>
      <c r="J2907" s="11" t="s">
        <v>18580</v>
      </c>
      <c r="K2907" s="11" t="s">
        <v>779</v>
      </c>
      <c r="L2907" s="11" t="s">
        <v>464</v>
      </c>
      <c r="M2907" s="11" t="s">
        <v>18581</v>
      </c>
      <c r="N2907" s="11" t="s">
        <v>128</v>
      </c>
      <c r="O2907" s="11" t="s">
        <v>18582</v>
      </c>
      <c r="P2907" s="11" t="s">
        <v>18583</v>
      </c>
      <c r="Q2907" s="11" t="s">
        <v>150</v>
      </c>
      <c r="R2907" s="11"/>
      <c r="S2907" s="11" t="s">
        <v>71</v>
      </c>
      <c r="T2907" s="11" t="s">
        <v>1415</v>
      </c>
      <c r="U2907" s="11" t="s">
        <v>150</v>
      </c>
      <c r="V2907" s="11" t="s">
        <v>1415</v>
      </c>
      <c r="W2907" s="11" t="s">
        <v>1415</v>
      </c>
      <c r="X2907" s="11">
        <v>7</v>
      </c>
      <c r="Y2907" s="11" t="s">
        <v>12359</v>
      </c>
      <c r="Z2907" s="11">
        <v>20</v>
      </c>
      <c r="AA2907" s="11">
        <v>0</v>
      </c>
      <c r="AB2907" s="12">
        <v>0</v>
      </c>
    </row>
    <row r="2908" spans="1:28" x14ac:dyDescent="0.2">
      <c r="A2908" s="7">
        <v>23469</v>
      </c>
      <c r="B2908" s="8" t="s">
        <v>18584</v>
      </c>
      <c r="C2908" s="8" t="s">
        <v>1024</v>
      </c>
      <c r="D2908" s="8" t="s">
        <v>12631</v>
      </c>
      <c r="E2908" s="8"/>
      <c r="F2908" s="8" t="s">
        <v>353</v>
      </c>
      <c r="G2908" s="8" t="s">
        <v>8969</v>
      </c>
      <c r="H2908" s="8" t="s">
        <v>142</v>
      </c>
      <c r="I2908" s="8" t="s">
        <v>8970</v>
      </c>
      <c r="J2908" s="8" t="s">
        <v>18585</v>
      </c>
      <c r="K2908" s="8" t="s">
        <v>1199</v>
      </c>
      <c r="L2908" s="8" t="s">
        <v>464</v>
      </c>
      <c r="M2908" s="8" t="s">
        <v>18586</v>
      </c>
      <c r="N2908" s="8" t="s">
        <v>128</v>
      </c>
      <c r="O2908" s="8" t="s">
        <v>18587</v>
      </c>
      <c r="P2908" s="8" t="s">
        <v>18588</v>
      </c>
      <c r="Q2908" s="8" t="s">
        <v>150</v>
      </c>
      <c r="R2908" s="8"/>
      <c r="S2908" s="8" t="s">
        <v>71</v>
      </c>
      <c r="T2908" s="8" t="s">
        <v>1415</v>
      </c>
      <c r="U2908" s="8" t="s">
        <v>150</v>
      </c>
      <c r="V2908" s="8" t="s">
        <v>1415</v>
      </c>
      <c r="W2908" s="8" t="s">
        <v>1415</v>
      </c>
      <c r="X2908" s="8">
        <v>7</v>
      </c>
      <c r="Y2908" s="8" t="s">
        <v>12359</v>
      </c>
      <c r="Z2908" s="8">
        <v>20</v>
      </c>
      <c r="AA2908" s="8">
        <v>0</v>
      </c>
      <c r="AB2908" s="9">
        <v>0</v>
      </c>
    </row>
    <row r="2909" spans="1:28" x14ac:dyDescent="0.2">
      <c r="A2909" s="10">
        <v>23492</v>
      </c>
      <c r="B2909" s="11" t="s">
        <v>18589</v>
      </c>
      <c r="C2909" s="11" t="s">
        <v>8807</v>
      </c>
      <c r="D2909" s="11" t="s">
        <v>1747</v>
      </c>
      <c r="E2909" s="11"/>
      <c r="F2909" s="11" t="s">
        <v>353</v>
      </c>
      <c r="G2909" s="11" t="s">
        <v>12128</v>
      </c>
      <c r="H2909" s="11" t="s">
        <v>142</v>
      </c>
      <c r="I2909" s="11" t="s">
        <v>12129</v>
      </c>
      <c r="J2909" s="11" t="s">
        <v>18590</v>
      </c>
      <c r="K2909" s="11" t="s">
        <v>1029</v>
      </c>
      <c r="L2909" s="11" t="s">
        <v>464</v>
      </c>
      <c r="M2909" s="11" t="s">
        <v>18591</v>
      </c>
      <c r="N2909" s="11" t="s">
        <v>128</v>
      </c>
      <c r="O2909" s="11" t="s">
        <v>18592</v>
      </c>
      <c r="P2909" s="11" t="s">
        <v>18593</v>
      </c>
      <c r="Q2909" s="11" t="s">
        <v>150</v>
      </c>
      <c r="R2909" s="11"/>
      <c r="S2909" s="11" t="s">
        <v>71</v>
      </c>
      <c r="T2909" s="11" t="s">
        <v>1415</v>
      </c>
      <c r="U2909" s="11" t="s">
        <v>150</v>
      </c>
      <c r="V2909" s="11" t="s">
        <v>1415</v>
      </c>
      <c r="W2909" s="11" t="s">
        <v>1415</v>
      </c>
      <c r="X2909" s="11">
        <v>7</v>
      </c>
      <c r="Y2909" s="11" t="s">
        <v>12359</v>
      </c>
      <c r="Z2909" s="11">
        <v>20</v>
      </c>
      <c r="AA2909" s="11">
        <v>0</v>
      </c>
      <c r="AB2909" s="12">
        <v>0</v>
      </c>
    </row>
    <row r="2910" spans="1:28" x14ac:dyDescent="0.2">
      <c r="A2910" s="7">
        <v>23459</v>
      </c>
      <c r="B2910" s="8" t="s">
        <v>18594</v>
      </c>
      <c r="C2910" s="8" t="s">
        <v>18595</v>
      </c>
      <c r="D2910" s="8" t="s">
        <v>7112</v>
      </c>
      <c r="E2910" s="8"/>
      <c r="F2910" s="8" t="s">
        <v>18596</v>
      </c>
      <c r="G2910" s="8" t="s">
        <v>141</v>
      </c>
      <c r="H2910" s="8" t="s">
        <v>142</v>
      </c>
      <c r="I2910" s="8" t="s">
        <v>18597</v>
      </c>
      <c r="J2910" s="8" t="s">
        <v>18598</v>
      </c>
      <c r="K2910" s="8" t="s">
        <v>584</v>
      </c>
      <c r="L2910" s="8" t="s">
        <v>146</v>
      </c>
      <c r="M2910" s="8" t="s">
        <v>18599</v>
      </c>
      <c r="N2910" s="8" t="s">
        <v>128</v>
      </c>
      <c r="O2910" s="8" t="s">
        <v>18600</v>
      </c>
      <c r="P2910" s="8" t="s">
        <v>18601</v>
      </c>
      <c r="Q2910" s="8" t="s">
        <v>150</v>
      </c>
      <c r="R2910" s="8"/>
      <c r="S2910" s="8" t="s">
        <v>71</v>
      </c>
      <c r="T2910" s="8" t="s">
        <v>1415</v>
      </c>
      <c r="U2910" s="8" t="s">
        <v>150</v>
      </c>
      <c r="V2910" s="8" t="s">
        <v>1415</v>
      </c>
      <c r="W2910" s="8" t="s">
        <v>1415</v>
      </c>
      <c r="X2910" s="8">
        <v>7</v>
      </c>
      <c r="Y2910" s="8" t="s">
        <v>12359</v>
      </c>
      <c r="Z2910" s="8">
        <v>20</v>
      </c>
      <c r="AA2910" s="8">
        <v>0</v>
      </c>
      <c r="AB2910" s="9">
        <v>0</v>
      </c>
    </row>
    <row r="2911" spans="1:28" x14ac:dyDescent="0.2">
      <c r="A2911" s="10">
        <v>28694</v>
      </c>
      <c r="B2911" s="11" t="s">
        <v>18602</v>
      </c>
      <c r="C2911" s="11" t="s">
        <v>18603</v>
      </c>
      <c r="D2911" s="11" t="s">
        <v>18604</v>
      </c>
      <c r="E2911" s="11"/>
      <c r="F2911" s="11" t="s">
        <v>18605</v>
      </c>
      <c r="G2911" s="11" t="s">
        <v>3454</v>
      </c>
      <c r="H2911" s="11" t="s">
        <v>142</v>
      </c>
      <c r="I2911" s="11" t="s">
        <v>18606</v>
      </c>
      <c r="J2911" s="11" t="s">
        <v>18607</v>
      </c>
      <c r="K2911" s="11" t="s">
        <v>1673</v>
      </c>
      <c r="L2911" s="11" t="s">
        <v>464</v>
      </c>
      <c r="M2911" s="11" t="s">
        <v>18608</v>
      </c>
      <c r="N2911" s="11" t="s">
        <v>128</v>
      </c>
      <c r="O2911" s="11" t="s">
        <v>18609</v>
      </c>
      <c r="P2911" s="11" t="s">
        <v>18610</v>
      </c>
      <c r="Q2911" s="11" t="s">
        <v>150</v>
      </c>
      <c r="R2911" s="11"/>
      <c r="S2911" s="11" t="s">
        <v>71</v>
      </c>
      <c r="T2911" s="11" t="s">
        <v>1415</v>
      </c>
      <c r="U2911" s="11" t="s">
        <v>150</v>
      </c>
      <c r="V2911" s="11" t="s">
        <v>1415</v>
      </c>
      <c r="W2911" s="11" t="s">
        <v>1415</v>
      </c>
      <c r="X2911" s="11">
        <v>7</v>
      </c>
      <c r="Y2911" s="11" t="s">
        <v>12359</v>
      </c>
      <c r="Z2911" s="11">
        <v>20</v>
      </c>
      <c r="AA2911" s="11">
        <v>0</v>
      </c>
      <c r="AB2911" s="12">
        <v>0</v>
      </c>
    </row>
    <row r="2912" spans="1:28" x14ac:dyDescent="0.2">
      <c r="A2912" s="7">
        <v>23734</v>
      </c>
      <c r="B2912" s="8" t="s">
        <v>18611</v>
      </c>
      <c r="C2912" s="8" t="s">
        <v>7673</v>
      </c>
      <c r="D2912" s="8" t="s">
        <v>2880</v>
      </c>
      <c r="E2912" s="8" t="s">
        <v>281</v>
      </c>
      <c r="F2912" s="8" t="s">
        <v>18612</v>
      </c>
      <c r="G2912" s="8" t="s">
        <v>1952</v>
      </c>
      <c r="H2912" s="8" t="s">
        <v>1953</v>
      </c>
      <c r="I2912" s="8" t="s">
        <v>18613</v>
      </c>
      <c r="J2912" s="8" t="s">
        <v>18614</v>
      </c>
      <c r="K2912" s="8" t="s">
        <v>1956</v>
      </c>
      <c r="L2912" s="8" t="s">
        <v>526</v>
      </c>
      <c r="M2912" s="8" t="s">
        <v>18615</v>
      </c>
      <c r="N2912" s="8" t="s">
        <v>128</v>
      </c>
      <c r="O2912" s="8" t="s">
        <v>18616</v>
      </c>
      <c r="P2912" s="8" t="s">
        <v>3079</v>
      </c>
      <c r="Q2912" s="8" t="s">
        <v>150</v>
      </c>
      <c r="R2912" s="8"/>
      <c r="S2912" s="8" t="s">
        <v>71</v>
      </c>
      <c r="T2912" s="8" t="s">
        <v>168</v>
      </c>
      <c r="U2912" s="8" t="s">
        <v>150</v>
      </c>
      <c r="V2912" s="8" t="s">
        <v>168</v>
      </c>
      <c r="W2912" s="8" t="s">
        <v>168</v>
      </c>
      <c r="X2912" s="8">
        <v>7</v>
      </c>
      <c r="Y2912" s="8" t="s">
        <v>12359</v>
      </c>
      <c r="Z2912" s="8">
        <v>20</v>
      </c>
      <c r="AA2912" s="8">
        <v>0</v>
      </c>
      <c r="AB2912" s="9">
        <v>0</v>
      </c>
    </row>
    <row r="2913" spans="1:28" x14ac:dyDescent="0.2">
      <c r="A2913" s="10">
        <v>107478</v>
      </c>
      <c r="B2913" s="11" t="s">
        <v>18617</v>
      </c>
      <c r="C2913" s="11" t="s">
        <v>4777</v>
      </c>
      <c r="D2913" s="11" t="s">
        <v>5751</v>
      </c>
      <c r="E2913" s="11"/>
      <c r="F2913" s="11" t="s">
        <v>353</v>
      </c>
      <c r="G2913" s="11" t="s">
        <v>18260</v>
      </c>
      <c r="H2913" s="11" t="s">
        <v>142</v>
      </c>
      <c r="I2913" s="11" t="s">
        <v>18261</v>
      </c>
      <c r="J2913" s="11" t="s">
        <v>18618</v>
      </c>
      <c r="K2913" s="11" t="s">
        <v>1673</v>
      </c>
      <c r="L2913" s="11" t="s">
        <v>464</v>
      </c>
      <c r="M2913" s="11" t="s">
        <v>18619</v>
      </c>
      <c r="N2913" s="11" t="s">
        <v>128</v>
      </c>
      <c r="O2913" s="11" t="s">
        <v>18620</v>
      </c>
      <c r="P2913" s="11" t="s">
        <v>18621</v>
      </c>
      <c r="Q2913" s="11" t="s">
        <v>150</v>
      </c>
      <c r="R2913" s="11"/>
      <c r="S2913" s="11" t="s">
        <v>71</v>
      </c>
      <c r="T2913" s="11" t="s">
        <v>168</v>
      </c>
      <c r="U2913" s="11" t="s">
        <v>150</v>
      </c>
      <c r="V2913" s="11" t="s">
        <v>168</v>
      </c>
      <c r="W2913" s="11" t="s">
        <v>168</v>
      </c>
      <c r="X2913" s="11">
        <v>7</v>
      </c>
      <c r="Y2913" s="11" t="s">
        <v>12359</v>
      </c>
      <c r="Z2913" s="11">
        <v>20</v>
      </c>
      <c r="AA2913" s="11">
        <v>0</v>
      </c>
      <c r="AB2913" s="12">
        <v>0</v>
      </c>
    </row>
    <row r="2914" spans="1:28" x14ac:dyDescent="0.2">
      <c r="A2914" s="7">
        <v>23614</v>
      </c>
      <c r="B2914" s="8" t="s">
        <v>18622</v>
      </c>
      <c r="C2914" s="8" t="s">
        <v>18623</v>
      </c>
      <c r="D2914" s="8" t="s">
        <v>18624</v>
      </c>
      <c r="E2914" s="8"/>
      <c r="F2914" s="8" t="s">
        <v>353</v>
      </c>
      <c r="G2914" s="8" t="s">
        <v>18625</v>
      </c>
      <c r="H2914" s="8" t="s">
        <v>142</v>
      </c>
      <c r="I2914" s="8" t="s">
        <v>18626</v>
      </c>
      <c r="J2914" s="8" t="s">
        <v>18627</v>
      </c>
      <c r="K2914" s="8" t="s">
        <v>1673</v>
      </c>
      <c r="L2914" s="8" t="s">
        <v>464</v>
      </c>
      <c r="M2914" s="8" t="s">
        <v>18628</v>
      </c>
      <c r="N2914" s="8" t="s">
        <v>128</v>
      </c>
      <c r="O2914" s="8" t="s">
        <v>18629</v>
      </c>
      <c r="P2914" s="8" t="s">
        <v>17141</v>
      </c>
      <c r="Q2914" s="8" t="s">
        <v>150</v>
      </c>
      <c r="R2914" s="8"/>
      <c r="S2914" s="8" t="s">
        <v>71</v>
      </c>
      <c r="T2914" s="8" t="s">
        <v>168</v>
      </c>
      <c r="U2914" s="8" t="s">
        <v>150</v>
      </c>
      <c r="V2914" s="8" t="s">
        <v>168</v>
      </c>
      <c r="W2914" s="8" t="s">
        <v>168</v>
      </c>
      <c r="X2914" s="8">
        <v>7</v>
      </c>
      <c r="Y2914" s="8" t="s">
        <v>12359</v>
      </c>
      <c r="Z2914" s="8">
        <v>20</v>
      </c>
      <c r="AA2914" s="8">
        <v>0</v>
      </c>
      <c r="AB2914" s="9">
        <v>0</v>
      </c>
    </row>
    <row r="2915" spans="1:28" x14ac:dyDescent="0.2">
      <c r="A2915" s="10">
        <v>23835</v>
      </c>
      <c r="B2915" s="11" t="s">
        <v>18630</v>
      </c>
      <c r="C2915" s="11" t="s">
        <v>18267</v>
      </c>
      <c r="D2915" s="11" t="s">
        <v>2862</v>
      </c>
      <c r="E2915" s="11"/>
      <c r="F2915" s="11" t="s">
        <v>353</v>
      </c>
      <c r="G2915" s="11" t="s">
        <v>17932</v>
      </c>
      <c r="H2915" s="11" t="s">
        <v>142</v>
      </c>
      <c r="I2915" s="11" t="s">
        <v>18268</v>
      </c>
      <c r="J2915" s="11" t="s">
        <v>18631</v>
      </c>
      <c r="K2915" s="11" t="s">
        <v>779</v>
      </c>
      <c r="L2915" s="11" t="s">
        <v>464</v>
      </c>
      <c r="M2915" s="11" t="s">
        <v>18632</v>
      </c>
      <c r="N2915" s="11" t="s">
        <v>128</v>
      </c>
      <c r="O2915" s="11" t="s">
        <v>18633</v>
      </c>
      <c r="P2915" s="11" t="s">
        <v>18634</v>
      </c>
      <c r="Q2915" s="11" t="s">
        <v>150</v>
      </c>
      <c r="R2915" s="11"/>
      <c r="S2915" s="11" t="s">
        <v>71</v>
      </c>
      <c r="T2915" s="11" t="s">
        <v>168</v>
      </c>
      <c r="U2915" s="11" t="s">
        <v>150</v>
      </c>
      <c r="V2915" s="11" t="s">
        <v>168</v>
      </c>
      <c r="W2915" s="11" t="s">
        <v>168</v>
      </c>
      <c r="X2915" s="11">
        <v>7</v>
      </c>
      <c r="Y2915" s="11" t="s">
        <v>12359</v>
      </c>
      <c r="Z2915" s="11">
        <v>20</v>
      </c>
      <c r="AA2915" s="11">
        <v>0</v>
      </c>
      <c r="AB2915" s="12">
        <v>0</v>
      </c>
    </row>
    <row r="2916" spans="1:28" x14ac:dyDescent="0.2">
      <c r="A2916" s="7">
        <v>23854</v>
      </c>
      <c r="B2916" s="8" t="s">
        <v>18635</v>
      </c>
      <c r="C2916" s="8" t="s">
        <v>18636</v>
      </c>
      <c r="D2916" s="8" t="s">
        <v>1558</v>
      </c>
      <c r="E2916" s="8"/>
      <c r="F2916" s="8" t="s">
        <v>353</v>
      </c>
      <c r="G2916" s="8" t="s">
        <v>17692</v>
      </c>
      <c r="H2916" s="8" t="s">
        <v>142</v>
      </c>
      <c r="I2916" s="8" t="s">
        <v>17693</v>
      </c>
      <c r="J2916" s="8" t="s">
        <v>18637</v>
      </c>
      <c r="K2916" s="8" t="s">
        <v>779</v>
      </c>
      <c r="L2916" s="8" t="s">
        <v>464</v>
      </c>
      <c r="M2916" s="8" t="s">
        <v>18638</v>
      </c>
      <c r="N2916" s="8" t="s">
        <v>128</v>
      </c>
      <c r="O2916" s="8" t="s">
        <v>18639</v>
      </c>
      <c r="P2916" s="8" t="s">
        <v>15240</v>
      </c>
      <c r="Q2916" s="8" t="s">
        <v>150</v>
      </c>
      <c r="R2916" s="8"/>
      <c r="S2916" s="8" t="s">
        <v>71</v>
      </c>
      <c r="T2916" s="8" t="s">
        <v>168</v>
      </c>
      <c r="U2916" s="8" t="s">
        <v>150</v>
      </c>
      <c r="V2916" s="8" t="s">
        <v>168</v>
      </c>
      <c r="W2916" s="8" t="s">
        <v>168</v>
      </c>
      <c r="X2916" s="8">
        <v>7</v>
      </c>
      <c r="Y2916" s="8" t="s">
        <v>12359</v>
      </c>
      <c r="Z2916" s="8">
        <v>20</v>
      </c>
      <c r="AA2916" s="8">
        <v>0</v>
      </c>
      <c r="AB2916" s="9">
        <v>0</v>
      </c>
    </row>
    <row r="2917" spans="1:28" x14ac:dyDescent="0.2">
      <c r="A2917" s="10">
        <v>28833</v>
      </c>
      <c r="B2917" s="11" t="s">
        <v>18640</v>
      </c>
      <c r="C2917" s="11" t="s">
        <v>7976</v>
      </c>
      <c r="D2917" s="11" t="s">
        <v>11932</v>
      </c>
      <c r="E2917" s="11"/>
      <c r="F2917" s="11" t="s">
        <v>353</v>
      </c>
      <c r="G2917" s="11" t="s">
        <v>12108</v>
      </c>
      <c r="H2917" s="11" t="s">
        <v>847</v>
      </c>
      <c r="I2917" s="11" t="s">
        <v>12109</v>
      </c>
      <c r="J2917" s="11" t="s">
        <v>18641</v>
      </c>
      <c r="K2917" s="11" t="s">
        <v>1091</v>
      </c>
      <c r="L2917" s="11" t="s">
        <v>126</v>
      </c>
      <c r="M2917" s="11" t="s">
        <v>18642</v>
      </c>
      <c r="N2917" s="11" t="s">
        <v>128</v>
      </c>
      <c r="O2917" s="11" t="s">
        <v>18643</v>
      </c>
      <c r="P2917" s="11" t="s">
        <v>18644</v>
      </c>
      <c r="Q2917" s="11" t="s">
        <v>150</v>
      </c>
      <c r="R2917" s="11"/>
      <c r="S2917" s="11" t="s">
        <v>71</v>
      </c>
      <c r="T2917" s="11" t="s">
        <v>168</v>
      </c>
      <c r="U2917" s="11" t="s">
        <v>150</v>
      </c>
      <c r="V2917" s="11" t="s">
        <v>168</v>
      </c>
      <c r="W2917" s="11" t="s">
        <v>168</v>
      </c>
      <c r="X2917" s="11">
        <v>7</v>
      </c>
      <c r="Y2917" s="11" t="s">
        <v>12359</v>
      </c>
      <c r="Z2917" s="11">
        <v>20</v>
      </c>
      <c r="AA2917" s="11">
        <v>0</v>
      </c>
      <c r="AB2917" s="12">
        <v>0</v>
      </c>
    </row>
    <row r="2918" spans="1:28" x14ac:dyDescent="0.2">
      <c r="A2918" s="7">
        <v>106005</v>
      </c>
      <c r="B2918" s="8" t="s">
        <v>18645</v>
      </c>
      <c r="C2918" s="8" t="s">
        <v>10286</v>
      </c>
      <c r="D2918" s="8" t="s">
        <v>12636</v>
      </c>
      <c r="E2918" s="8"/>
      <c r="F2918" s="8" t="s">
        <v>353</v>
      </c>
      <c r="G2918" s="8" t="s">
        <v>17964</v>
      </c>
      <c r="H2918" s="8" t="s">
        <v>142</v>
      </c>
      <c r="I2918" s="8" t="s">
        <v>18646</v>
      </c>
      <c r="J2918" s="8" t="s">
        <v>18647</v>
      </c>
      <c r="K2918" s="8" t="s">
        <v>1199</v>
      </c>
      <c r="L2918" s="8" t="s">
        <v>464</v>
      </c>
      <c r="M2918" s="8" t="s">
        <v>18648</v>
      </c>
      <c r="N2918" s="8" t="s">
        <v>128</v>
      </c>
      <c r="O2918" s="8" t="s">
        <v>18649</v>
      </c>
      <c r="P2918" s="8" t="s">
        <v>18650</v>
      </c>
      <c r="Q2918" s="8" t="s">
        <v>150</v>
      </c>
      <c r="R2918" s="8"/>
      <c r="S2918" s="8" t="s">
        <v>71</v>
      </c>
      <c r="T2918" s="8" t="s">
        <v>168</v>
      </c>
      <c r="U2918" s="8" t="s">
        <v>150</v>
      </c>
      <c r="V2918" s="8" t="s">
        <v>168</v>
      </c>
      <c r="W2918" s="8" t="s">
        <v>168</v>
      </c>
      <c r="X2918" s="8">
        <v>7</v>
      </c>
      <c r="Y2918" s="8" t="s">
        <v>12359</v>
      </c>
      <c r="Z2918" s="8">
        <v>20</v>
      </c>
      <c r="AA2918" s="8">
        <v>0</v>
      </c>
      <c r="AB2918" s="9">
        <v>0</v>
      </c>
    </row>
    <row r="2919" spans="1:28" x14ac:dyDescent="0.2">
      <c r="A2919" s="10">
        <v>115690</v>
      </c>
      <c r="B2919" s="11" t="s">
        <v>18651</v>
      </c>
      <c r="C2919" s="11" t="s">
        <v>12178</v>
      </c>
      <c r="D2919" s="11" t="s">
        <v>18652</v>
      </c>
      <c r="E2919" s="11"/>
      <c r="F2919" s="11" t="s">
        <v>353</v>
      </c>
      <c r="G2919" s="11" t="s">
        <v>12179</v>
      </c>
      <c r="H2919" s="11" t="s">
        <v>142</v>
      </c>
      <c r="I2919" s="11" t="s">
        <v>12180</v>
      </c>
      <c r="J2919" s="11" t="s">
        <v>18653</v>
      </c>
      <c r="K2919" s="11" t="s">
        <v>717</v>
      </c>
      <c r="L2919" s="11" t="s">
        <v>464</v>
      </c>
      <c r="M2919" s="11" t="s">
        <v>18654</v>
      </c>
      <c r="N2919" s="11" t="s">
        <v>128</v>
      </c>
      <c r="O2919" s="11" t="s">
        <v>18655</v>
      </c>
      <c r="P2919" s="11" t="s">
        <v>18656</v>
      </c>
      <c r="Q2919" s="11" t="s">
        <v>150</v>
      </c>
      <c r="R2919" s="11"/>
      <c r="S2919" s="11" t="s">
        <v>71</v>
      </c>
      <c r="T2919" s="11" t="s">
        <v>168</v>
      </c>
      <c r="U2919" s="11" t="s">
        <v>150</v>
      </c>
      <c r="V2919" s="11" t="s">
        <v>168</v>
      </c>
      <c r="W2919" s="11" t="s">
        <v>168</v>
      </c>
      <c r="X2919" s="11">
        <v>7</v>
      </c>
      <c r="Y2919" s="11" t="s">
        <v>12359</v>
      </c>
      <c r="Z2919" s="11">
        <v>20</v>
      </c>
      <c r="AA2919" s="11">
        <v>0</v>
      </c>
      <c r="AB2919" s="12">
        <v>0</v>
      </c>
    </row>
    <row r="2920" spans="1:28" x14ac:dyDescent="0.2">
      <c r="A2920" s="7">
        <v>23731</v>
      </c>
      <c r="B2920" s="8" t="s">
        <v>18657</v>
      </c>
      <c r="C2920" s="8" t="s">
        <v>18658</v>
      </c>
      <c r="D2920" s="8" t="s">
        <v>16729</v>
      </c>
      <c r="E2920" s="8"/>
      <c r="F2920" s="8" t="s">
        <v>6397</v>
      </c>
      <c r="G2920" s="8" t="s">
        <v>1026</v>
      </c>
      <c r="H2920" s="8" t="s">
        <v>142</v>
      </c>
      <c r="I2920" s="8" t="s">
        <v>18659</v>
      </c>
      <c r="J2920" s="8" t="s">
        <v>18660</v>
      </c>
      <c r="K2920" s="8" t="s">
        <v>1029</v>
      </c>
      <c r="L2920" s="8" t="s">
        <v>464</v>
      </c>
      <c r="M2920" s="8" t="s">
        <v>18661</v>
      </c>
      <c r="N2920" s="8" t="s">
        <v>128</v>
      </c>
      <c r="O2920" s="8" t="s">
        <v>18662</v>
      </c>
      <c r="P2920" s="8" t="s">
        <v>14409</v>
      </c>
      <c r="Q2920" s="8" t="s">
        <v>150</v>
      </c>
      <c r="R2920" s="8"/>
      <c r="S2920" s="8" t="s">
        <v>71</v>
      </c>
      <c r="T2920" s="8" t="s">
        <v>168</v>
      </c>
      <c r="U2920" s="8" t="s">
        <v>150</v>
      </c>
      <c r="V2920" s="8" t="s">
        <v>168</v>
      </c>
      <c r="W2920" s="8" t="s">
        <v>168</v>
      </c>
      <c r="X2920" s="8">
        <v>7</v>
      </c>
      <c r="Y2920" s="8" t="s">
        <v>12359</v>
      </c>
      <c r="Z2920" s="8">
        <v>20</v>
      </c>
      <c r="AA2920" s="8">
        <v>0</v>
      </c>
      <c r="AB2920" s="9">
        <v>0</v>
      </c>
    </row>
    <row r="2921" spans="1:28" x14ac:dyDescent="0.2">
      <c r="A2921" s="10">
        <v>23961</v>
      </c>
      <c r="B2921" s="11" t="s">
        <v>18663</v>
      </c>
      <c r="C2921" s="11" t="s">
        <v>10488</v>
      </c>
      <c r="D2921" s="11" t="s">
        <v>18664</v>
      </c>
      <c r="E2921" s="11"/>
      <c r="F2921" s="11" t="s">
        <v>18665</v>
      </c>
      <c r="G2921" s="11" t="s">
        <v>1813</v>
      </c>
      <c r="H2921" s="11" t="s">
        <v>142</v>
      </c>
      <c r="I2921" s="11" t="s">
        <v>18666</v>
      </c>
      <c r="J2921" s="11" t="s">
        <v>18667</v>
      </c>
      <c r="K2921" s="11" t="s">
        <v>974</v>
      </c>
      <c r="L2921" s="11" t="s">
        <v>146</v>
      </c>
      <c r="M2921" s="11" t="s">
        <v>18668</v>
      </c>
      <c r="N2921" s="11" t="s">
        <v>128</v>
      </c>
      <c r="O2921" s="11" t="s">
        <v>18669</v>
      </c>
      <c r="P2921" s="11" t="s">
        <v>18670</v>
      </c>
      <c r="Q2921" s="11" t="s">
        <v>150</v>
      </c>
      <c r="R2921" s="11"/>
      <c r="S2921" s="11" t="s">
        <v>71</v>
      </c>
      <c r="T2921" s="11" t="s">
        <v>168</v>
      </c>
      <c r="U2921" s="11" t="s">
        <v>150</v>
      </c>
      <c r="V2921" s="11" t="s">
        <v>168</v>
      </c>
      <c r="W2921" s="11" t="s">
        <v>168</v>
      </c>
      <c r="X2921" s="11">
        <v>7</v>
      </c>
      <c r="Y2921" s="11" t="s">
        <v>12359</v>
      </c>
      <c r="Z2921" s="11">
        <v>20</v>
      </c>
      <c r="AA2921" s="11">
        <v>0</v>
      </c>
      <c r="AB2921" s="12">
        <v>0</v>
      </c>
    </row>
    <row r="2922" spans="1:28" x14ac:dyDescent="0.2">
      <c r="A2922" s="7">
        <v>23962</v>
      </c>
      <c r="B2922" s="8" t="s">
        <v>18671</v>
      </c>
      <c r="C2922" s="8" t="s">
        <v>18672</v>
      </c>
      <c r="D2922" s="8" t="s">
        <v>18673</v>
      </c>
      <c r="E2922" s="8"/>
      <c r="F2922" s="8" t="s">
        <v>1658</v>
      </c>
      <c r="G2922" s="8" t="s">
        <v>141</v>
      </c>
      <c r="H2922" s="8" t="s">
        <v>142</v>
      </c>
      <c r="I2922" s="8" t="s">
        <v>18674</v>
      </c>
      <c r="J2922" s="8" t="s">
        <v>18675</v>
      </c>
      <c r="K2922" s="8" t="s">
        <v>145</v>
      </c>
      <c r="L2922" s="8" t="s">
        <v>146</v>
      </c>
      <c r="M2922" s="8" t="s">
        <v>18676</v>
      </c>
      <c r="N2922" s="8" t="s">
        <v>128</v>
      </c>
      <c r="O2922" s="8" t="s">
        <v>18677</v>
      </c>
      <c r="P2922" s="8" t="s">
        <v>18678</v>
      </c>
      <c r="Q2922" s="8" t="s">
        <v>150</v>
      </c>
      <c r="R2922" s="8"/>
      <c r="S2922" s="8" t="s">
        <v>71</v>
      </c>
      <c r="T2922" s="8" t="s">
        <v>168</v>
      </c>
      <c r="U2922" s="8" t="s">
        <v>150</v>
      </c>
      <c r="V2922" s="8" t="s">
        <v>168</v>
      </c>
      <c r="W2922" s="8" t="s">
        <v>168</v>
      </c>
      <c r="X2922" s="8">
        <v>7</v>
      </c>
      <c r="Y2922" s="8" t="s">
        <v>12359</v>
      </c>
      <c r="Z2922" s="8">
        <v>20</v>
      </c>
      <c r="AA2922" s="8">
        <v>0</v>
      </c>
      <c r="AB2922" s="9">
        <v>0</v>
      </c>
    </row>
    <row r="2923" spans="1:28" x14ac:dyDescent="0.2">
      <c r="A2923" s="10">
        <v>28861</v>
      </c>
      <c r="B2923" s="11" t="s">
        <v>18679</v>
      </c>
      <c r="C2923" s="11" t="s">
        <v>18680</v>
      </c>
      <c r="D2923" s="11" t="s">
        <v>15712</v>
      </c>
      <c r="E2923" s="11"/>
      <c r="F2923" s="11" t="s">
        <v>18681</v>
      </c>
      <c r="G2923" s="11" t="s">
        <v>615</v>
      </c>
      <c r="H2923" s="11" t="s">
        <v>616</v>
      </c>
      <c r="I2923" s="11" t="s">
        <v>18682</v>
      </c>
      <c r="J2923" s="11" t="s">
        <v>18683</v>
      </c>
      <c r="K2923" s="11" t="s">
        <v>619</v>
      </c>
      <c r="L2923" s="11" t="s">
        <v>163</v>
      </c>
      <c r="M2923" s="11" t="s">
        <v>18684</v>
      </c>
      <c r="N2923" s="11" t="s">
        <v>128</v>
      </c>
      <c r="O2923" s="11" t="s">
        <v>18685</v>
      </c>
      <c r="P2923" s="11" t="s">
        <v>3161</v>
      </c>
      <c r="Q2923" s="11" t="s">
        <v>150</v>
      </c>
      <c r="R2923" s="11"/>
      <c r="S2923" s="11" t="s">
        <v>71</v>
      </c>
      <c r="T2923" s="11" t="s">
        <v>168</v>
      </c>
      <c r="U2923" s="11" t="s">
        <v>150</v>
      </c>
      <c r="V2923" s="11" t="s">
        <v>168</v>
      </c>
      <c r="W2923" s="11" t="s">
        <v>168</v>
      </c>
      <c r="X2923" s="11">
        <v>7</v>
      </c>
      <c r="Y2923" s="11" t="s">
        <v>12359</v>
      </c>
      <c r="Z2923" s="11">
        <v>20</v>
      </c>
      <c r="AA2923" s="11">
        <v>0</v>
      </c>
      <c r="AB2923" s="12">
        <v>0</v>
      </c>
    </row>
    <row r="2924" spans="1:28" x14ac:dyDescent="0.2">
      <c r="A2924" s="7">
        <v>106384</v>
      </c>
      <c r="B2924" s="8" t="s">
        <v>18686</v>
      </c>
      <c r="C2924" s="8" t="s">
        <v>842</v>
      </c>
      <c r="D2924" s="8" t="s">
        <v>18687</v>
      </c>
      <c r="E2924" s="8"/>
      <c r="F2924" s="8" t="s">
        <v>18688</v>
      </c>
      <c r="G2924" s="8" t="s">
        <v>9222</v>
      </c>
      <c r="H2924" s="8" t="s">
        <v>159</v>
      </c>
      <c r="I2924" s="8" t="s">
        <v>18689</v>
      </c>
      <c r="J2924" s="8" t="s">
        <v>18690</v>
      </c>
      <c r="K2924" s="8" t="s">
        <v>274</v>
      </c>
      <c r="L2924" s="8" t="s">
        <v>163</v>
      </c>
      <c r="M2924" s="8" t="s">
        <v>18691</v>
      </c>
      <c r="N2924" s="8" t="s">
        <v>128</v>
      </c>
      <c r="O2924" s="8" t="s">
        <v>18692</v>
      </c>
      <c r="P2924" s="8" t="s">
        <v>18693</v>
      </c>
      <c r="Q2924" s="8" t="s">
        <v>150</v>
      </c>
      <c r="R2924" s="8"/>
      <c r="S2924" s="8" t="s">
        <v>71</v>
      </c>
      <c r="T2924" s="8" t="s">
        <v>168</v>
      </c>
      <c r="U2924" s="8" t="s">
        <v>150</v>
      </c>
      <c r="V2924" s="8" t="s">
        <v>168</v>
      </c>
      <c r="W2924" s="8" t="s">
        <v>168</v>
      </c>
      <c r="X2924" s="8">
        <v>7</v>
      </c>
      <c r="Y2924" s="8" t="s">
        <v>12359</v>
      </c>
      <c r="Z2924" s="8">
        <v>20</v>
      </c>
      <c r="AA2924" s="8">
        <v>0</v>
      </c>
      <c r="AB2924" s="9">
        <v>0</v>
      </c>
    </row>
    <row r="2925" spans="1:28" x14ac:dyDescent="0.2">
      <c r="A2925" s="10">
        <v>28810</v>
      </c>
      <c r="B2925" s="11" t="s">
        <v>18694</v>
      </c>
      <c r="C2925" s="11" t="s">
        <v>18374</v>
      </c>
      <c r="D2925" s="11" t="s">
        <v>138</v>
      </c>
      <c r="E2925" s="11"/>
      <c r="F2925" s="11" t="s">
        <v>18695</v>
      </c>
      <c r="G2925" s="11" t="s">
        <v>18318</v>
      </c>
      <c r="H2925" s="11" t="s">
        <v>2176</v>
      </c>
      <c r="I2925" s="11" t="s">
        <v>18319</v>
      </c>
      <c r="J2925" s="11" t="s">
        <v>18696</v>
      </c>
      <c r="K2925" s="11" t="s">
        <v>194</v>
      </c>
      <c r="L2925" s="11" t="s">
        <v>163</v>
      </c>
      <c r="M2925" s="11" t="s">
        <v>18697</v>
      </c>
      <c r="N2925" s="11" t="s">
        <v>128</v>
      </c>
      <c r="O2925" s="11" t="s">
        <v>18698</v>
      </c>
      <c r="P2925" s="11" t="s">
        <v>18699</v>
      </c>
      <c r="Q2925" s="11" t="s">
        <v>150</v>
      </c>
      <c r="R2925" s="11"/>
      <c r="S2925" s="11" t="s">
        <v>18324</v>
      </c>
      <c r="T2925" s="11" t="s">
        <v>168</v>
      </c>
      <c r="U2925" s="11" t="s">
        <v>150</v>
      </c>
      <c r="V2925" s="11" t="s">
        <v>168</v>
      </c>
      <c r="W2925" s="11" t="s">
        <v>168</v>
      </c>
      <c r="X2925" s="11">
        <v>7</v>
      </c>
      <c r="Y2925" s="11" t="s">
        <v>12359</v>
      </c>
      <c r="Z2925" s="11">
        <v>20</v>
      </c>
      <c r="AA2925" s="11">
        <v>0</v>
      </c>
      <c r="AB2925" s="12">
        <v>0</v>
      </c>
    </row>
    <row r="2926" spans="1:28" x14ac:dyDescent="0.2">
      <c r="A2926" s="7">
        <v>106428</v>
      </c>
      <c r="B2926" s="8" t="s">
        <v>18700</v>
      </c>
      <c r="C2926" s="8" t="s">
        <v>18701</v>
      </c>
      <c r="D2926" s="8" t="s">
        <v>4630</v>
      </c>
      <c r="E2926" s="8"/>
      <c r="F2926" s="8" t="s">
        <v>8435</v>
      </c>
      <c r="G2926" s="8" t="s">
        <v>4270</v>
      </c>
      <c r="H2926" s="8" t="s">
        <v>4271</v>
      </c>
      <c r="I2926" s="8" t="s">
        <v>8436</v>
      </c>
      <c r="J2926" s="8" t="s">
        <v>8437</v>
      </c>
      <c r="K2926" s="8" t="s">
        <v>619</v>
      </c>
      <c r="L2926" s="8" t="s">
        <v>163</v>
      </c>
      <c r="M2926" s="8" t="s">
        <v>18702</v>
      </c>
      <c r="N2926" s="8" t="s">
        <v>128</v>
      </c>
      <c r="O2926" s="8" t="s">
        <v>18703</v>
      </c>
      <c r="P2926" s="8" t="s">
        <v>18704</v>
      </c>
      <c r="Q2926" s="8" t="s">
        <v>150</v>
      </c>
      <c r="R2926" s="8"/>
      <c r="S2926" s="8" t="s">
        <v>8441</v>
      </c>
      <c r="T2926" s="8" t="s">
        <v>3270</v>
      </c>
      <c r="U2926" s="8" t="s">
        <v>150</v>
      </c>
      <c r="V2926" s="8" t="s">
        <v>3270</v>
      </c>
      <c r="W2926" s="8" t="s">
        <v>3270</v>
      </c>
      <c r="X2926" s="8">
        <v>7</v>
      </c>
      <c r="Y2926" s="8" t="s">
        <v>12359</v>
      </c>
      <c r="Z2926" s="8">
        <v>20</v>
      </c>
      <c r="AA2926" s="8">
        <v>0</v>
      </c>
      <c r="AB2926" s="9">
        <v>0</v>
      </c>
    </row>
    <row r="2927" spans="1:28" x14ac:dyDescent="0.2">
      <c r="A2927" s="10">
        <v>37976</v>
      </c>
      <c r="B2927" s="11" t="s">
        <v>18705</v>
      </c>
      <c r="C2927" s="11" t="s">
        <v>18357</v>
      </c>
      <c r="D2927" s="11" t="s">
        <v>18358</v>
      </c>
      <c r="E2927" s="11"/>
      <c r="F2927" s="11" t="s">
        <v>18359</v>
      </c>
      <c r="G2927" s="11" t="s">
        <v>412</v>
      </c>
      <c r="H2927" s="11" t="s">
        <v>329</v>
      </c>
      <c r="I2927" s="11" t="s">
        <v>18360</v>
      </c>
      <c r="J2927" s="11" t="s">
        <v>18706</v>
      </c>
      <c r="K2927" s="11" t="s">
        <v>415</v>
      </c>
      <c r="L2927" s="11" t="s">
        <v>333</v>
      </c>
      <c r="M2927" s="11" t="s">
        <v>18707</v>
      </c>
      <c r="N2927" s="11" t="s">
        <v>128</v>
      </c>
      <c r="O2927" s="11" t="s">
        <v>18708</v>
      </c>
      <c r="P2927" s="11" t="s">
        <v>18709</v>
      </c>
      <c r="Q2927" s="11" t="s">
        <v>150</v>
      </c>
      <c r="R2927" s="11"/>
      <c r="S2927" s="11" t="s">
        <v>18364</v>
      </c>
      <c r="T2927" s="11" t="s">
        <v>69</v>
      </c>
      <c r="U2927" s="11" t="s">
        <v>150</v>
      </c>
      <c r="V2927" s="11" t="s">
        <v>152</v>
      </c>
      <c r="W2927" s="11" t="s">
        <v>69</v>
      </c>
      <c r="X2927" s="11">
        <v>7</v>
      </c>
      <c r="Y2927" s="11" t="s">
        <v>12359</v>
      </c>
      <c r="Z2927" s="11">
        <v>20</v>
      </c>
      <c r="AA2927" s="11">
        <v>0</v>
      </c>
      <c r="AB2927" s="12">
        <v>0</v>
      </c>
    </row>
    <row r="2928" spans="1:28" x14ac:dyDescent="0.2">
      <c r="A2928" s="7">
        <v>24809</v>
      </c>
      <c r="B2928" s="8" t="s">
        <v>18710</v>
      </c>
      <c r="C2928" s="8" t="s">
        <v>3133</v>
      </c>
      <c r="D2928" s="8" t="s">
        <v>3134</v>
      </c>
      <c r="E2928" s="8" t="s">
        <v>18711</v>
      </c>
      <c r="F2928" s="8" t="s">
        <v>3136</v>
      </c>
      <c r="G2928" s="8" t="s">
        <v>190</v>
      </c>
      <c r="H2928" s="8" t="s">
        <v>191</v>
      </c>
      <c r="I2928" s="8" t="s">
        <v>3205</v>
      </c>
      <c r="J2928" s="8" t="s">
        <v>3138</v>
      </c>
      <c r="K2928" s="8" t="s">
        <v>194</v>
      </c>
      <c r="L2928" s="8" t="s">
        <v>163</v>
      </c>
      <c r="M2928" s="8" t="s">
        <v>18712</v>
      </c>
      <c r="N2928" s="8" t="s">
        <v>128</v>
      </c>
      <c r="O2928" s="8" t="s">
        <v>18713</v>
      </c>
      <c r="P2928" s="8" t="s">
        <v>3708</v>
      </c>
      <c r="Q2928" s="8" t="s">
        <v>150</v>
      </c>
      <c r="R2928" s="8"/>
      <c r="S2928" s="8" t="s">
        <v>3142</v>
      </c>
      <c r="T2928" s="8" t="s">
        <v>1738</v>
      </c>
      <c r="U2928" s="8" t="s">
        <v>150</v>
      </c>
      <c r="V2928" s="8" t="s">
        <v>1738</v>
      </c>
      <c r="W2928" s="8" t="s">
        <v>1738</v>
      </c>
      <c r="X2928" s="8">
        <v>7</v>
      </c>
      <c r="Y2928" s="8" t="s">
        <v>12359</v>
      </c>
      <c r="Z2928" s="8">
        <v>20</v>
      </c>
      <c r="AA2928" s="8">
        <v>0</v>
      </c>
      <c r="AB2928" s="9">
        <v>0</v>
      </c>
    </row>
    <row r="2929" spans="1:28" x14ac:dyDescent="0.2">
      <c r="A2929" s="10">
        <v>24824</v>
      </c>
      <c r="B2929" s="11" t="s">
        <v>18714</v>
      </c>
      <c r="C2929" s="11" t="s">
        <v>200</v>
      </c>
      <c r="D2929" s="11" t="s">
        <v>201</v>
      </c>
      <c r="E2929" s="11" t="s">
        <v>18715</v>
      </c>
      <c r="F2929" s="11" t="s">
        <v>203</v>
      </c>
      <c r="G2929" s="11" t="s">
        <v>141</v>
      </c>
      <c r="H2929" s="11" t="s">
        <v>142</v>
      </c>
      <c r="I2929" s="11" t="s">
        <v>204</v>
      </c>
      <c r="J2929" s="11" t="s">
        <v>205</v>
      </c>
      <c r="K2929" s="11" t="s">
        <v>145</v>
      </c>
      <c r="L2929" s="11" t="s">
        <v>146</v>
      </c>
      <c r="M2929" s="11" t="s">
        <v>18716</v>
      </c>
      <c r="N2929" s="11" t="s">
        <v>128</v>
      </c>
      <c r="O2929" s="11" t="s">
        <v>18717</v>
      </c>
      <c r="P2929" s="11" t="s">
        <v>18718</v>
      </c>
      <c r="Q2929" s="11" t="s">
        <v>150</v>
      </c>
      <c r="R2929" s="11"/>
      <c r="S2929" s="11" t="s">
        <v>209</v>
      </c>
      <c r="T2929" s="11" t="s">
        <v>1738</v>
      </c>
      <c r="U2929" s="11" t="s">
        <v>150</v>
      </c>
      <c r="V2929" s="11" t="s">
        <v>1738</v>
      </c>
      <c r="W2929" s="11" t="s">
        <v>1738</v>
      </c>
      <c r="X2929" s="11">
        <v>7</v>
      </c>
      <c r="Y2929" s="11" t="s">
        <v>12359</v>
      </c>
      <c r="Z2929" s="11">
        <v>20</v>
      </c>
      <c r="AA2929" s="11">
        <v>0</v>
      </c>
      <c r="AB2929" s="12">
        <v>0</v>
      </c>
    </row>
    <row r="2930" spans="1:28" x14ac:dyDescent="0.2">
      <c r="A2930" s="7">
        <v>24857</v>
      </c>
      <c r="B2930" s="8" t="s">
        <v>18719</v>
      </c>
      <c r="C2930" s="8" t="s">
        <v>3676</v>
      </c>
      <c r="D2930" s="8" t="s">
        <v>3677</v>
      </c>
      <c r="E2930" s="8" t="s">
        <v>18720</v>
      </c>
      <c r="F2930" s="8" t="s">
        <v>3678</v>
      </c>
      <c r="G2930" s="8" t="s">
        <v>141</v>
      </c>
      <c r="H2930" s="8" t="s">
        <v>142</v>
      </c>
      <c r="I2930" s="8" t="s">
        <v>3679</v>
      </c>
      <c r="J2930" s="8" t="s">
        <v>3680</v>
      </c>
      <c r="K2930" s="8" t="s">
        <v>584</v>
      </c>
      <c r="L2930" s="8" t="s">
        <v>146</v>
      </c>
      <c r="M2930" s="8" t="s">
        <v>18721</v>
      </c>
      <c r="N2930" s="8" t="s">
        <v>128</v>
      </c>
      <c r="O2930" s="8" t="s">
        <v>18722</v>
      </c>
      <c r="P2930" s="8" t="s">
        <v>13228</v>
      </c>
      <c r="Q2930" s="8" t="s">
        <v>150</v>
      </c>
      <c r="R2930" s="8"/>
      <c r="S2930" s="8" t="s">
        <v>3684</v>
      </c>
      <c r="T2930" s="8" t="s">
        <v>1738</v>
      </c>
      <c r="U2930" s="8" t="s">
        <v>150</v>
      </c>
      <c r="V2930" s="8" t="s">
        <v>1738</v>
      </c>
      <c r="W2930" s="8" t="s">
        <v>1738</v>
      </c>
      <c r="X2930" s="8">
        <v>7</v>
      </c>
      <c r="Y2930" s="8" t="s">
        <v>12359</v>
      </c>
      <c r="Z2930" s="8">
        <v>20</v>
      </c>
      <c r="AA2930" s="8">
        <v>0</v>
      </c>
      <c r="AB2930" s="9">
        <v>0</v>
      </c>
    </row>
    <row r="2931" spans="1:28" x14ac:dyDescent="0.2">
      <c r="A2931" s="10">
        <v>24863</v>
      </c>
      <c r="B2931" s="11" t="s">
        <v>18723</v>
      </c>
      <c r="C2931" s="11" t="s">
        <v>17385</v>
      </c>
      <c r="D2931" s="11" t="s">
        <v>17386</v>
      </c>
      <c r="E2931" s="11" t="s">
        <v>18724</v>
      </c>
      <c r="F2931" s="11" t="s">
        <v>15668</v>
      </c>
      <c r="G2931" s="11" t="s">
        <v>2992</v>
      </c>
      <c r="H2931" s="11" t="s">
        <v>122</v>
      </c>
      <c r="I2931" s="11" t="s">
        <v>17387</v>
      </c>
      <c r="J2931" s="11" t="s">
        <v>17388</v>
      </c>
      <c r="K2931" s="11" t="s">
        <v>125</v>
      </c>
      <c r="L2931" s="11" t="s">
        <v>126</v>
      </c>
      <c r="M2931" s="11" t="s">
        <v>18725</v>
      </c>
      <c r="N2931" s="11" t="s">
        <v>128</v>
      </c>
      <c r="O2931" s="11" t="s">
        <v>18726</v>
      </c>
      <c r="P2931" s="11" t="s">
        <v>18727</v>
      </c>
      <c r="Q2931" s="11" t="s">
        <v>150</v>
      </c>
      <c r="R2931" s="11"/>
      <c r="S2931" s="11" t="s">
        <v>17392</v>
      </c>
      <c r="T2931" s="11" t="s">
        <v>1738</v>
      </c>
      <c r="U2931" s="11" t="s">
        <v>150</v>
      </c>
      <c r="V2931" s="11" t="s">
        <v>1738</v>
      </c>
      <c r="W2931" s="11" t="s">
        <v>1738</v>
      </c>
      <c r="X2931" s="11">
        <v>7</v>
      </c>
      <c r="Y2931" s="11" t="s">
        <v>12359</v>
      </c>
      <c r="Z2931" s="11">
        <v>20</v>
      </c>
      <c r="AA2931" s="11">
        <v>0</v>
      </c>
      <c r="AB2931" s="12">
        <v>0</v>
      </c>
    </row>
    <row r="2932" spans="1:28" x14ac:dyDescent="0.2">
      <c r="A2932" s="7">
        <v>107025</v>
      </c>
      <c r="B2932" s="8" t="s">
        <v>18728</v>
      </c>
      <c r="C2932" s="8" t="s">
        <v>17075</v>
      </c>
      <c r="D2932" s="8" t="s">
        <v>4881</v>
      </c>
      <c r="E2932" s="8" t="s">
        <v>18729</v>
      </c>
      <c r="F2932" s="8" t="s">
        <v>10228</v>
      </c>
      <c r="G2932" s="8" t="s">
        <v>1842</v>
      </c>
      <c r="H2932" s="8" t="s">
        <v>1843</v>
      </c>
      <c r="I2932" s="8" t="s">
        <v>18730</v>
      </c>
      <c r="J2932" s="8" t="s">
        <v>18731</v>
      </c>
      <c r="K2932" s="8" t="s">
        <v>1562</v>
      </c>
      <c r="L2932" s="8" t="s">
        <v>229</v>
      </c>
      <c r="M2932" s="8" t="s">
        <v>18732</v>
      </c>
      <c r="N2932" s="8" t="s">
        <v>128</v>
      </c>
      <c r="O2932" s="8" t="s">
        <v>18733</v>
      </c>
      <c r="P2932" s="8" t="s">
        <v>18734</v>
      </c>
      <c r="Q2932" s="8" t="s">
        <v>150</v>
      </c>
      <c r="R2932" s="8"/>
      <c r="S2932" s="8" t="s">
        <v>17081</v>
      </c>
      <c r="T2932" s="8" t="s">
        <v>1738</v>
      </c>
      <c r="U2932" s="8" t="s">
        <v>150</v>
      </c>
      <c r="V2932" s="8" t="s">
        <v>1738</v>
      </c>
      <c r="W2932" s="8" t="s">
        <v>1738</v>
      </c>
      <c r="X2932" s="8">
        <v>7</v>
      </c>
      <c r="Y2932" s="8" t="s">
        <v>12359</v>
      </c>
      <c r="Z2932" s="8">
        <v>20</v>
      </c>
      <c r="AA2932" s="8">
        <v>0</v>
      </c>
      <c r="AB2932" s="9">
        <v>0</v>
      </c>
    </row>
    <row r="2933" spans="1:28" x14ac:dyDescent="0.2">
      <c r="A2933" s="10">
        <v>86787</v>
      </c>
      <c r="B2933" s="11" t="s">
        <v>18735</v>
      </c>
      <c r="C2933" s="11" t="s">
        <v>12143</v>
      </c>
      <c r="D2933" s="11" t="s">
        <v>208</v>
      </c>
      <c r="E2933" s="11"/>
      <c r="F2933" s="11" t="s">
        <v>12145</v>
      </c>
      <c r="G2933" s="11" t="s">
        <v>18736</v>
      </c>
      <c r="H2933" s="11" t="s">
        <v>616</v>
      </c>
      <c r="I2933" s="11" t="s">
        <v>18737</v>
      </c>
      <c r="J2933" s="11" t="s">
        <v>12147</v>
      </c>
      <c r="K2933" s="11" t="s">
        <v>619</v>
      </c>
      <c r="L2933" s="11" t="s">
        <v>163</v>
      </c>
      <c r="M2933" s="11" t="s">
        <v>18738</v>
      </c>
      <c r="N2933" s="11" t="s">
        <v>128</v>
      </c>
      <c r="O2933" s="11" t="s">
        <v>18739</v>
      </c>
      <c r="P2933" s="11" t="s">
        <v>18740</v>
      </c>
      <c r="Q2933" s="11" t="s">
        <v>150</v>
      </c>
      <c r="R2933" s="11"/>
      <c r="S2933" s="11" t="s">
        <v>12150</v>
      </c>
      <c r="T2933" s="11" t="s">
        <v>1738</v>
      </c>
      <c r="U2933" s="11" t="s">
        <v>150</v>
      </c>
      <c r="V2933" s="11" t="s">
        <v>1738</v>
      </c>
      <c r="W2933" s="11" t="s">
        <v>1738</v>
      </c>
      <c r="X2933" s="11">
        <v>7</v>
      </c>
      <c r="Y2933" s="11" t="s">
        <v>12359</v>
      </c>
      <c r="Z2933" s="11">
        <v>20</v>
      </c>
      <c r="AA2933" s="11">
        <v>0</v>
      </c>
      <c r="AB2933" s="12">
        <v>0</v>
      </c>
    </row>
    <row r="2934" spans="1:28" x14ac:dyDescent="0.2">
      <c r="A2934" s="7">
        <v>24943</v>
      </c>
      <c r="B2934" s="8" t="s">
        <v>18741</v>
      </c>
      <c r="C2934" s="8" t="s">
        <v>18742</v>
      </c>
      <c r="D2934" s="8" t="s">
        <v>550</v>
      </c>
      <c r="E2934" s="8"/>
      <c r="F2934" s="8" t="s">
        <v>18460</v>
      </c>
      <c r="G2934" s="8" t="s">
        <v>2642</v>
      </c>
      <c r="H2934" s="8" t="s">
        <v>329</v>
      </c>
      <c r="I2934" s="8" t="s">
        <v>18461</v>
      </c>
      <c r="J2934" s="8" t="s">
        <v>18462</v>
      </c>
      <c r="K2934" s="8" t="s">
        <v>572</v>
      </c>
      <c r="L2934" s="8" t="s">
        <v>333</v>
      </c>
      <c r="M2934" s="8" t="s">
        <v>18743</v>
      </c>
      <c r="N2934" s="8" t="s">
        <v>128</v>
      </c>
      <c r="O2934" s="8" t="s">
        <v>18744</v>
      </c>
      <c r="P2934" s="8" t="s">
        <v>18745</v>
      </c>
      <c r="Q2934" s="8" t="s">
        <v>150</v>
      </c>
      <c r="R2934" s="8"/>
      <c r="S2934" s="8" t="s">
        <v>18466</v>
      </c>
      <c r="T2934" s="8" t="s">
        <v>1738</v>
      </c>
      <c r="U2934" s="8" t="s">
        <v>150</v>
      </c>
      <c r="V2934" s="8" t="s">
        <v>1738</v>
      </c>
      <c r="W2934" s="8" t="s">
        <v>1738</v>
      </c>
      <c r="X2934" s="8">
        <v>7</v>
      </c>
      <c r="Y2934" s="8" t="s">
        <v>12359</v>
      </c>
      <c r="Z2934" s="8">
        <v>20</v>
      </c>
      <c r="AA2934" s="8">
        <v>0</v>
      </c>
      <c r="AB2934" s="9">
        <v>0</v>
      </c>
    </row>
    <row r="2935" spans="1:28" x14ac:dyDescent="0.2">
      <c r="A2935" s="10">
        <v>30513</v>
      </c>
      <c r="B2935" s="11" t="s">
        <v>18746</v>
      </c>
      <c r="C2935" s="11" t="s">
        <v>16358</v>
      </c>
      <c r="D2935" s="11" t="s">
        <v>16359</v>
      </c>
      <c r="E2935" s="11"/>
      <c r="F2935" s="11" t="s">
        <v>16617</v>
      </c>
      <c r="G2935" s="11" t="s">
        <v>1952</v>
      </c>
      <c r="H2935" s="11" t="s">
        <v>1953</v>
      </c>
      <c r="I2935" s="11" t="s">
        <v>16666</v>
      </c>
      <c r="J2935" s="11" t="s">
        <v>16362</v>
      </c>
      <c r="K2935" s="11" t="s">
        <v>1956</v>
      </c>
      <c r="L2935" s="11" t="s">
        <v>526</v>
      </c>
      <c r="M2935" s="11" t="s">
        <v>18747</v>
      </c>
      <c r="N2935" s="11" t="s">
        <v>128</v>
      </c>
      <c r="O2935" s="11" t="s">
        <v>18748</v>
      </c>
      <c r="P2935" s="11" t="s">
        <v>12625</v>
      </c>
      <c r="Q2935" s="11" t="s">
        <v>150</v>
      </c>
      <c r="R2935" s="11"/>
      <c r="S2935" s="11" t="s">
        <v>16366</v>
      </c>
      <c r="T2935" s="11" t="s">
        <v>1738</v>
      </c>
      <c r="U2935" s="11" t="s">
        <v>150</v>
      </c>
      <c r="V2935" s="11" t="s">
        <v>1738</v>
      </c>
      <c r="W2935" s="11" t="s">
        <v>1738</v>
      </c>
      <c r="X2935" s="11">
        <v>7</v>
      </c>
      <c r="Y2935" s="11" t="s">
        <v>12359</v>
      </c>
      <c r="Z2935" s="11">
        <v>20</v>
      </c>
      <c r="AA2935" s="11">
        <v>0</v>
      </c>
      <c r="AB2935" s="12">
        <v>0</v>
      </c>
    </row>
    <row r="2936" spans="1:28" x14ac:dyDescent="0.2">
      <c r="A2936" s="7">
        <v>86773</v>
      </c>
      <c r="B2936" s="8" t="s">
        <v>18749</v>
      </c>
      <c r="C2936" s="8" t="s">
        <v>10494</v>
      </c>
      <c r="D2936" s="8" t="s">
        <v>10495</v>
      </c>
      <c r="E2936" s="8"/>
      <c r="F2936" s="8" t="s">
        <v>10496</v>
      </c>
      <c r="G2936" s="8" t="s">
        <v>18750</v>
      </c>
      <c r="H2936" s="8" t="s">
        <v>6410</v>
      </c>
      <c r="I2936" s="8" t="s">
        <v>10498</v>
      </c>
      <c r="J2936" s="8" t="s">
        <v>10499</v>
      </c>
      <c r="K2936" s="8" t="s">
        <v>1956</v>
      </c>
      <c r="L2936" s="8" t="s">
        <v>526</v>
      </c>
      <c r="M2936" s="8" t="s">
        <v>18751</v>
      </c>
      <c r="N2936" s="8" t="s">
        <v>128</v>
      </c>
      <c r="O2936" s="8" t="s">
        <v>18752</v>
      </c>
      <c r="P2936" s="8" t="s">
        <v>18753</v>
      </c>
      <c r="Q2936" s="8" t="s">
        <v>150</v>
      </c>
      <c r="R2936" s="8"/>
      <c r="S2936" s="8" t="s">
        <v>10503</v>
      </c>
      <c r="T2936" s="8" t="s">
        <v>1738</v>
      </c>
      <c r="U2936" s="8" t="s">
        <v>150</v>
      </c>
      <c r="V2936" s="8" t="s">
        <v>1738</v>
      </c>
      <c r="W2936" s="8" t="s">
        <v>1738</v>
      </c>
      <c r="X2936" s="8">
        <v>7</v>
      </c>
      <c r="Y2936" s="8" t="s">
        <v>12359</v>
      </c>
      <c r="Z2936" s="8">
        <v>20</v>
      </c>
      <c r="AA2936" s="8">
        <v>0</v>
      </c>
      <c r="AB2936" s="9">
        <v>0</v>
      </c>
    </row>
    <row r="2937" spans="1:28" x14ac:dyDescent="0.2">
      <c r="A2937" s="10">
        <v>125681</v>
      </c>
      <c r="B2937" s="11" t="s">
        <v>18754</v>
      </c>
      <c r="C2937" s="11" t="s">
        <v>18742</v>
      </c>
      <c r="D2937" s="11" t="s">
        <v>550</v>
      </c>
      <c r="E2937" s="11" t="s">
        <v>1657</v>
      </c>
      <c r="F2937" s="11" t="s">
        <v>18460</v>
      </c>
      <c r="G2937" s="11" t="s">
        <v>2642</v>
      </c>
      <c r="H2937" s="11" t="s">
        <v>329</v>
      </c>
      <c r="I2937" s="11" t="s">
        <v>18461</v>
      </c>
      <c r="J2937" s="11" t="s">
        <v>18462</v>
      </c>
      <c r="K2937" s="11" t="s">
        <v>572</v>
      </c>
      <c r="L2937" s="11" t="s">
        <v>333</v>
      </c>
      <c r="M2937" s="11" t="s">
        <v>18755</v>
      </c>
      <c r="N2937" s="11" t="s">
        <v>128</v>
      </c>
      <c r="O2937" s="11" t="s">
        <v>18756</v>
      </c>
      <c r="P2937" s="11"/>
      <c r="Q2937" s="11" t="s">
        <v>150</v>
      </c>
      <c r="R2937" s="11"/>
      <c r="S2937" s="11" t="s">
        <v>18466</v>
      </c>
      <c r="T2937" s="11" t="s">
        <v>4755</v>
      </c>
      <c r="U2937" s="11" t="s">
        <v>150</v>
      </c>
      <c r="V2937" s="11" t="s">
        <v>4755</v>
      </c>
      <c r="W2937" s="11" t="s">
        <v>4755</v>
      </c>
      <c r="X2937" s="11">
        <v>7</v>
      </c>
      <c r="Y2937" s="11" t="s">
        <v>12359</v>
      </c>
      <c r="Z2937" s="11">
        <v>20</v>
      </c>
      <c r="AA2937" s="11">
        <v>0</v>
      </c>
      <c r="AB2937" s="12">
        <v>0</v>
      </c>
    </row>
    <row r="2938" spans="1:28" x14ac:dyDescent="0.2">
      <c r="A2938" s="7">
        <v>111058</v>
      </c>
      <c r="B2938" s="8" t="s">
        <v>18757</v>
      </c>
      <c r="C2938" s="8" t="s">
        <v>18758</v>
      </c>
      <c r="D2938" s="8" t="s">
        <v>8644</v>
      </c>
      <c r="E2938" s="8" t="s">
        <v>15729</v>
      </c>
      <c r="F2938" s="8" t="s">
        <v>18759</v>
      </c>
      <c r="G2938" s="8" t="s">
        <v>4898</v>
      </c>
      <c r="H2938" s="8" t="s">
        <v>142</v>
      </c>
      <c r="I2938" s="8" t="s">
        <v>18760</v>
      </c>
      <c r="J2938" s="8" t="s">
        <v>18761</v>
      </c>
      <c r="K2938" s="8" t="s">
        <v>1673</v>
      </c>
      <c r="L2938" s="8" t="s">
        <v>464</v>
      </c>
      <c r="M2938" s="8" t="s">
        <v>18762</v>
      </c>
      <c r="N2938" s="8" t="s">
        <v>128</v>
      </c>
      <c r="O2938" s="8" t="s">
        <v>18763</v>
      </c>
      <c r="P2938" s="8"/>
      <c r="Q2938" s="8" t="s">
        <v>740</v>
      </c>
      <c r="R2938" s="8"/>
      <c r="S2938" s="8" t="s">
        <v>18764</v>
      </c>
      <c r="T2938" s="8" t="s">
        <v>1745</v>
      </c>
      <c r="U2938" s="8" t="s">
        <v>134</v>
      </c>
      <c r="V2938" s="8" t="s">
        <v>740</v>
      </c>
      <c r="W2938" s="8" t="s">
        <v>1745</v>
      </c>
      <c r="X2938" s="8">
        <v>7</v>
      </c>
      <c r="Y2938" s="8" t="s">
        <v>12359</v>
      </c>
      <c r="Z2938" s="8">
        <v>20</v>
      </c>
      <c r="AA2938" s="8">
        <v>0</v>
      </c>
      <c r="AB2938" s="9">
        <v>0</v>
      </c>
    </row>
    <row r="2939" spans="1:28" x14ac:dyDescent="0.2">
      <c r="A2939" s="10">
        <v>236342</v>
      </c>
      <c r="B2939" s="11" t="s">
        <v>18765</v>
      </c>
      <c r="C2939" s="11" t="s">
        <v>18766</v>
      </c>
      <c r="D2939" s="11" t="s">
        <v>18767</v>
      </c>
      <c r="E2939" s="11" t="s">
        <v>18768</v>
      </c>
      <c r="F2939" s="11" t="s">
        <v>18769</v>
      </c>
      <c r="G2939" s="11" t="s">
        <v>4513</v>
      </c>
      <c r="H2939" s="11" t="s">
        <v>847</v>
      </c>
      <c r="I2939" s="11" t="s">
        <v>9866</v>
      </c>
      <c r="J2939" s="11" t="s">
        <v>18770</v>
      </c>
      <c r="K2939" s="11" t="s">
        <v>1091</v>
      </c>
      <c r="L2939" s="11" t="s">
        <v>126</v>
      </c>
      <c r="M2939" s="11" t="s">
        <v>18771</v>
      </c>
      <c r="N2939" s="11" t="s">
        <v>128</v>
      </c>
      <c r="O2939" s="11" t="s">
        <v>18772</v>
      </c>
      <c r="P2939" s="11"/>
      <c r="Q2939" s="11" t="s">
        <v>740</v>
      </c>
      <c r="R2939" s="11"/>
      <c r="S2939" s="11" t="s">
        <v>71</v>
      </c>
      <c r="T2939" s="11" t="s">
        <v>1745</v>
      </c>
      <c r="U2939" s="11" t="s">
        <v>134</v>
      </c>
      <c r="V2939" s="11" t="s">
        <v>740</v>
      </c>
      <c r="W2939" s="11" t="s">
        <v>1745</v>
      </c>
      <c r="X2939" s="11">
        <v>7</v>
      </c>
      <c r="Y2939" s="11" t="s">
        <v>12359</v>
      </c>
      <c r="Z2939" s="11">
        <v>20</v>
      </c>
      <c r="AA2939" s="11">
        <v>0</v>
      </c>
      <c r="AB2939" s="12">
        <v>0</v>
      </c>
    </row>
    <row r="2940" spans="1:28" x14ac:dyDescent="0.2">
      <c r="A2940" s="7">
        <v>25273</v>
      </c>
      <c r="B2940" s="8" t="s">
        <v>18773</v>
      </c>
      <c r="C2940" s="8" t="s">
        <v>18774</v>
      </c>
      <c r="D2940" s="8" t="s">
        <v>10935</v>
      </c>
      <c r="E2940" s="8" t="s">
        <v>18775</v>
      </c>
      <c r="F2940" s="8" t="s">
        <v>353</v>
      </c>
      <c r="G2940" s="8" t="s">
        <v>703</v>
      </c>
      <c r="H2940" s="8" t="s">
        <v>704</v>
      </c>
      <c r="I2940" s="8" t="s">
        <v>1074</v>
      </c>
      <c r="J2940" s="8" t="s">
        <v>18776</v>
      </c>
      <c r="K2940" s="8" t="s">
        <v>707</v>
      </c>
      <c r="L2940" s="8" t="s">
        <v>126</v>
      </c>
      <c r="M2940" s="8" t="s">
        <v>18777</v>
      </c>
      <c r="N2940" s="8" t="s">
        <v>128</v>
      </c>
      <c r="O2940" s="8" t="s">
        <v>18778</v>
      </c>
      <c r="P2940" s="8"/>
      <c r="Q2940" s="8" t="s">
        <v>740</v>
      </c>
      <c r="R2940" s="8"/>
      <c r="S2940" s="8" t="s">
        <v>71</v>
      </c>
      <c r="T2940" s="8" t="s">
        <v>1745</v>
      </c>
      <c r="U2940" s="8" t="s">
        <v>134</v>
      </c>
      <c r="V2940" s="8" t="s">
        <v>740</v>
      </c>
      <c r="W2940" s="8" t="s">
        <v>1745</v>
      </c>
      <c r="X2940" s="8">
        <v>7</v>
      </c>
      <c r="Y2940" s="8" t="s">
        <v>12359</v>
      </c>
      <c r="Z2940" s="8">
        <v>20</v>
      </c>
      <c r="AA2940" s="8">
        <v>0</v>
      </c>
      <c r="AB2940" s="9">
        <v>0</v>
      </c>
    </row>
    <row r="2941" spans="1:28" x14ac:dyDescent="0.2">
      <c r="A2941" s="10">
        <v>20708</v>
      </c>
      <c r="B2941" s="11" t="s">
        <v>18779</v>
      </c>
      <c r="C2941" s="11" t="s">
        <v>1928</v>
      </c>
      <c r="D2941" s="11" t="s">
        <v>18780</v>
      </c>
      <c r="E2941" s="11" t="s">
        <v>281</v>
      </c>
      <c r="F2941" s="11" t="s">
        <v>353</v>
      </c>
      <c r="G2941" s="11" t="s">
        <v>556</v>
      </c>
      <c r="H2941" s="11" t="s">
        <v>557</v>
      </c>
      <c r="I2941" s="11" t="s">
        <v>18781</v>
      </c>
      <c r="J2941" s="11" t="s">
        <v>18782</v>
      </c>
      <c r="K2941" s="11" t="s">
        <v>560</v>
      </c>
      <c r="L2941" s="11" t="s">
        <v>229</v>
      </c>
      <c r="M2941" s="11" t="s">
        <v>18783</v>
      </c>
      <c r="N2941" s="11" t="s">
        <v>128</v>
      </c>
      <c r="O2941" s="11" t="s">
        <v>18784</v>
      </c>
      <c r="P2941" s="11"/>
      <c r="Q2941" s="11" t="s">
        <v>740</v>
      </c>
      <c r="R2941" s="11"/>
      <c r="S2941" s="11" t="s">
        <v>71</v>
      </c>
      <c r="T2941" s="11" t="s">
        <v>1745</v>
      </c>
      <c r="U2941" s="11" t="s">
        <v>134</v>
      </c>
      <c r="V2941" s="11" t="s">
        <v>740</v>
      </c>
      <c r="W2941" s="11" t="s">
        <v>1745</v>
      </c>
      <c r="X2941" s="11">
        <v>7</v>
      </c>
      <c r="Y2941" s="11" t="s">
        <v>12359</v>
      </c>
      <c r="Z2941" s="11">
        <v>20</v>
      </c>
      <c r="AA2941" s="11">
        <v>0</v>
      </c>
      <c r="AB2941" s="12">
        <v>0</v>
      </c>
    </row>
    <row r="2942" spans="1:28" x14ac:dyDescent="0.2">
      <c r="A2942" s="7">
        <v>25208</v>
      </c>
      <c r="B2942" s="8" t="s">
        <v>18785</v>
      </c>
      <c r="C2942" s="8" t="s">
        <v>4844</v>
      </c>
      <c r="D2942" s="8" t="s">
        <v>4351</v>
      </c>
      <c r="E2942" s="8" t="s">
        <v>18786</v>
      </c>
      <c r="F2942" s="8" t="s">
        <v>8275</v>
      </c>
      <c r="G2942" s="8" t="s">
        <v>141</v>
      </c>
      <c r="H2942" s="8" t="s">
        <v>142</v>
      </c>
      <c r="I2942" s="8" t="s">
        <v>8276</v>
      </c>
      <c r="J2942" s="8" t="s">
        <v>8277</v>
      </c>
      <c r="K2942" s="8" t="s">
        <v>584</v>
      </c>
      <c r="L2942" s="8" t="s">
        <v>146</v>
      </c>
      <c r="M2942" s="8" t="s">
        <v>18787</v>
      </c>
      <c r="N2942" s="8" t="s">
        <v>128</v>
      </c>
      <c r="O2942" s="8" t="s">
        <v>18788</v>
      </c>
      <c r="P2942" s="8" t="s">
        <v>18789</v>
      </c>
      <c r="Q2942" s="8" t="s">
        <v>740</v>
      </c>
      <c r="R2942" s="8"/>
      <c r="S2942" s="8" t="s">
        <v>8281</v>
      </c>
      <c r="T2942" s="8" t="s">
        <v>1745</v>
      </c>
      <c r="U2942" s="8" t="s">
        <v>134</v>
      </c>
      <c r="V2942" s="8" t="s">
        <v>740</v>
      </c>
      <c r="W2942" s="8" t="s">
        <v>1745</v>
      </c>
      <c r="X2942" s="8">
        <v>7</v>
      </c>
      <c r="Y2942" s="8" t="s">
        <v>12359</v>
      </c>
      <c r="Z2942" s="8">
        <v>20</v>
      </c>
      <c r="AA2942" s="8">
        <v>0</v>
      </c>
      <c r="AB2942" s="9">
        <v>0</v>
      </c>
    </row>
    <row r="2943" spans="1:28" x14ac:dyDescent="0.2">
      <c r="A2943" s="10">
        <v>31343</v>
      </c>
      <c r="B2943" s="11" t="s">
        <v>18790</v>
      </c>
      <c r="C2943" s="11" t="s">
        <v>409</v>
      </c>
      <c r="D2943" s="11" t="s">
        <v>10649</v>
      </c>
      <c r="E2943" s="11"/>
      <c r="F2943" s="11" t="s">
        <v>353</v>
      </c>
      <c r="G2943" s="11" t="s">
        <v>2535</v>
      </c>
      <c r="H2943" s="11" t="s">
        <v>847</v>
      </c>
      <c r="I2943" s="11" t="s">
        <v>2536</v>
      </c>
      <c r="J2943" s="11" t="s">
        <v>18791</v>
      </c>
      <c r="K2943" s="11" t="s">
        <v>1091</v>
      </c>
      <c r="L2943" s="11" t="s">
        <v>126</v>
      </c>
      <c r="M2943" s="11" t="s">
        <v>18792</v>
      </c>
      <c r="N2943" s="11" t="s">
        <v>128</v>
      </c>
      <c r="O2943" s="11" t="s">
        <v>18793</v>
      </c>
      <c r="P2943" s="11" t="s">
        <v>18794</v>
      </c>
      <c r="Q2943" s="11" t="s">
        <v>740</v>
      </c>
      <c r="R2943" s="11"/>
      <c r="S2943" s="11" t="s">
        <v>71</v>
      </c>
      <c r="T2943" s="11" t="s">
        <v>1745</v>
      </c>
      <c r="U2943" s="11" t="s">
        <v>134</v>
      </c>
      <c r="V2943" s="11" t="s">
        <v>740</v>
      </c>
      <c r="W2943" s="11" t="s">
        <v>1745</v>
      </c>
      <c r="X2943" s="11">
        <v>7</v>
      </c>
      <c r="Y2943" s="11" t="s">
        <v>12359</v>
      </c>
      <c r="Z2943" s="11">
        <v>20</v>
      </c>
      <c r="AA2943" s="11">
        <v>0</v>
      </c>
      <c r="AB2943" s="12">
        <v>0</v>
      </c>
    </row>
    <row r="2944" spans="1:28" x14ac:dyDescent="0.2">
      <c r="A2944" s="7">
        <v>31083</v>
      </c>
      <c r="B2944" s="8" t="s">
        <v>18795</v>
      </c>
      <c r="C2944" s="8" t="s">
        <v>18796</v>
      </c>
      <c r="D2944" s="8" t="s">
        <v>138</v>
      </c>
      <c r="E2944" s="8"/>
      <c r="F2944" s="8" t="s">
        <v>18797</v>
      </c>
      <c r="G2944" s="8" t="s">
        <v>224</v>
      </c>
      <c r="H2944" s="8" t="s">
        <v>225</v>
      </c>
      <c r="I2944" s="8" t="s">
        <v>18567</v>
      </c>
      <c r="J2944" s="8" t="s">
        <v>18798</v>
      </c>
      <c r="K2944" s="8" t="s">
        <v>228</v>
      </c>
      <c r="L2944" s="8" t="s">
        <v>229</v>
      </c>
      <c r="M2944" s="8" t="s">
        <v>18799</v>
      </c>
      <c r="N2944" s="8" t="s">
        <v>128</v>
      </c>
      <c r="O2944" s="8" t="s">
        <v>18800</v>
      </c>
      <c r="P2944" s="8" t="s">
        <v>18801</v>
      </c>
      <c r="Q2944" s="8" t="s">
        <v>740</v>
      </c>
      <c r="R2944" s="8"/>
      <c r="S2944" s="8" t="s">
        <v>18571</v>
      </c>
      <c r="T2944" s="8" t="s">
        <v>1745</v>
      </c>
      <c r="U2944" s="8" t="s">
        <v>134</v>
      </c>
      <c r="V2944" s="8" t="s">
        <v>740</v>
      </c>
      <c r="W2944" s="8" t="s">
        <v>1745</v>
      </c>
      <c r="X2944" s="8">
        <v>7</v>
      </c>
      <c r="Y2944" s="8" t="s">
        <v>12359</v>
      </c>
      <c r="Z2944" s="8">
        <v>20</v>
      </c>
      <c r="AA2944" s="8">
        <v>0</v>
      </c>
      <c r="AB2944" s="9">
        <v>0</v>
      </c>
    </row>
    <row r="2945" spans="1:28" x14ac:dyDescent="0.2">
      <c r="A2945" s="10">
        <v>86732</v>
      </c>
      <c r="B2945" s="11" t="s">
        <v>18802</v>
      </c>
      <c r="C2945" s="11" t="s">
        <v>18803</v>
      </c>
      <c r="D2945" s="11" t="s">
        <v>9815</v>
      </c>
      <c r="E2945" s="11"/>
      <c r="F2945" s="11" t="s">
        <v>9816</v>
      </c>
      <c r="G2945" s="11" t="s">
        <v>190</v>
      </c>
      <c r="H2945" s="11" t="s">
        <v>191</v>
      </c>
      <c r="I2945" s="11" t="s">
        <v>9817</v>
      </c>
      <c r="J2945" s="11" t="s">
        <v>18804</v>
      </c>
      <c r="K2945" s="11" t="s">
        <v>194</v>
      </c>
      <c r="L2945" s="11" t="s">
        <v>163</v>
      </c>
      <c r="M2945" s="11" t="s">
        <v>18805</v>
      </c>
      <c r="N2945" s="11" t="s">
        <v>128</v>
      </c>
      <c r="O2945" s="11" t="s">
        <v>18806</v>
      </c>
      <c r="P2945" s="11" t="s">
        <v>18807</v>
      </c>
      <c r="Q2945" s="11" t="s">
        <v>740</v>
      </c>
      <c r="R2945" s="11"/>
      <c r="S2945" s="11" t="s">
        <v>9822</v>
      </c>
      <c r="T2945" s="11" t="s">
        <v>1745</v>
      </c>
      <c r="U2945" s="11" t="s">
        <v>134</v>
      </c>
      <c r="V2945" s="11" t="s">
        <v>740</v>
      </c>
      <c r="W2945" s="11" t="s">
        <v>1745</v>
      </c>
      <c r="X2945" s="11">
        <v>7</v>
      </c>
      <c r="Y2945" s="11" t="s">
        <v>12359</v>
      </c>
      <c r="Z2945" s="11">
        <v>20</v>
      </c>
      <c r="AA2945" s="11">
        <v>0</v>
      </c>
      <c r="AB2945" s="12">
        <v>0</v>
      </c>
    </row>
    <row r="2946" spans="1:28" x14ac:dyDescent="0.2">
      <c r="A2946" s="7">
        <v>25119</v>
      </c>
      <c r="B2946" s="8" t="s">
        <v>18808</v>
      </c>
      <c r="C2946" s="8" t="s">
        <v>1928</v>
      </c>
      <c r="D2946" s="8" t="s">
        <v>4209</v>
      </c>
      <c r="E2946" s="8"/>
      <c r="F2946" s="8" t="s">
        <v>14674</v>
      </c>
      <c r="G2946" s="8" t="s">
        <v>2510</v>
      </c>
      <c r="H2946" s="8" t="s">
        <v>2511</v>
      </c>
      <c r="I2946" s="8" t="s">
        <v>4212</v>
      </c>
      <c r="J2946" s="8" t="s">
        <v>14675</v>
      </c>
      <c r="K2946" s="8" t="s">
        <v>1562</v>
      </c>
      <c r="L2946" s="8" t="s">
        <v>229</v>
      </c>
      <c r="M2946" s="8" t="s">
        <v>18809</v>
      </c>
      <c r="N2946" s="8" t="s">
        <v>128</v>
      </c>
      <c r="O2946" s="8" t="s">
        <v>18810</v>
      </c>
      <c r="P2946" s="8" t="s">
        <v>18811</v>
      </c>
      <c r="Q2946" s="8" t="s">
        <v>740</v>
      </c>
      <c r="R2946" s="8"/>
      <c r="S2946" s="8" t="s">
        <v>4217</v>
      </c>
      <c r="T2946" s="8" t="s">
        <v>741</v>
      </c>
      <c r="U2946" s="8" t="s">
        <v>134</v>
      </c>
      <c r="V2946" s="8" t="s">
        <v>740</v>
      </c>
      <c r="W2946" s="8" t="s">
        <v>741</v>
      </c>
      <c r="X2946" s="8">
        <v>7</v>
      </c>
      <c r="Y2946" s="8" t="s">
        <v>12359</v>
      </c>
      <c r="Z2946" s="8">
        <v>20</v>
      </c>
      <c r="AA2946" s="8">
        <v>0</v>
      </c>
      <c r="AB2946" s="9">
        <v>0</v>
      </c>
    </row>
    <row r="2947" spans="1:28" x14ac:dyDescent="0.2">
      <c r="A2947" s="10">
        <v>31212</v>
      </c>
      <c r="B2947" s="11" t="s">
        <v>18812</v>
      </c>
      <c r="C2947" s="11" t="s">
        <v>10945</v>
      </c>
      <c r="D2947" s="11" t="s">
        <v>4768</v>
      </c>
      <c r="E2947" s="11"/>
      <c r="F2947" s="11" t="s">
        <v>18813</v>
      </c>
      <c r="G2947" s="11" t="s">
        <v>4465</v>
      </c>
      <c r="H2947" s="11" t="s">
        <v>4466</v>
      </c>
      <c r="I2947" s="11" t="s">
        <v>8598</v>
      </c>
      <c r="J2947" s="11" t="s">
        <v>10946</v>
      </c>
      <c r="K2947" s="11" t="s">
        <v>525</v>
      </c>
      <c r="L2947" s="11" t="s">
        <v>526</v>
      </c>
      <c r="M2947" s="11" t="s">
        <v>18814</v>
      </c>
      <c r="N2947" s="11" t="s">
        <v>128</v>
      </c>
      <c r="O2947" s="11" t="s">
        <v>18815</v>
      </c>
      <c r="P2947" s="11" t="s">
        <v>18816</v>
      </c>
      <c r="Q2947" s="11" t="s">
        <v>740</v>
      </c>
      <c r="R2947" s="11"/>
      <c r="S2947" s="11" t="s">
        <v>4775</v>
      </c>
      <c r="T2947" s="11" t="s">
        <v>741</v>
      </c>
      <c r="U2947" s="11" t="s">
        <v>134</v>
      </c>
      <c r="V2947" s="11" t="s">
        <v>740</v>
      </c>
      <c r="W2947" s="11" t="s">
        <v>741</v>
      </c>
      <c r="X2947" s="11">
        <v>7</v>
      </c>
      <c r="Y2947" s="11" t="s">
        <v>12359</v>
      </c>
      <c r="Z2947" s="11">
        <v>20</v>
      </c>
      <c r="AA2947" s="11">
        <v>0</v>
      </c>
      <c r="AB2947" s="12">
        <v>0</v>
      </c>
    </row>
    <row r="2948" spans="1:28" x14ac:dyDescent="0.2">
      <c r="A2948" s="7">
        <v>226707</v>
      </c>
      <c r="B2948" s="8" t="s">
        <v>18817</v>
      </c>
      <c r="C2948" s="8" t="s">
        <v>18818</v>
      </c>
      <c r="D2948" s="8" t="s">
        <v>3539</v>
      </c>
      <c r="E2948" s="8"/>
      <c r="F2948" s="8" t="s">
        <v>18819</v>
      </c>
      <c r="G2948" s="8" t="s">
        <v>141</v>
      </c>
      <c r="H2948" s="8" t="s">
        <v>142</v>
      </c>
      <c r="I2948" s="8" t="s">
        <v>18820</v>
      </c>
      <c r="J2948" s="8" t="s">
        <v>18821</v>
      </c>
      <c r="K2948" s="8" t="s">
        <v>991</v>
      </c>
      <c r="L2948" s="8" t="s">
        <v>146</v>
      </c>
      <c r="M2948" s="8" t="s">
        <v>18822</v>
      </c>
      <c r="N2948" s="8" t="s">
        <v>128</v>
      </c>
      <c r="O2948" s="8" t="s">
        <v>18823</v>
      </c>
      <c r="P2948" s="8"/>
      <c r="Q2948" s="8" t="s">
        <v>740</v>
      </c>
      <c r="R2948" s="8"/>
      <c r="S2948" s="8" t="s">
        <v>71</v>
      </c>
      <c r="T2948" s="8" t="s">
        <v>741</v>
      </c>
      <c r="U2948" s="8" t="s">
        <v>134</v>
      </c>
      <c r="V2948" s="8" t="s">
        <v>740</v>
      </c>
      <c r="W2948" s="8" t="s">
        <v>741</v>
      </c>
      <c r="X2948" s="8">
        <v>7</v>
      </c>
      <c r="Y2948" s="8" t="s">
        <v>12359</v>
      </c>
      <c r="Z2948" s="8">
        <v>20</v>
      </c>
      <c r="AA2948" s="8">
        <v>0</v>
      </c>
      <c r="AB2948" s="9">
        <v>0</v>
      </c>
    </row>
    <row r="2949" spans="1:28" x14ac:dyDescent="0.2">
      <c r="A2949" s="10">
        <v>25605</v>
      </c>
      <c r="B2949" s="11" t="s">
        <v>18824</v>
      </c>
      <c r="C2949" s="11" t="s">
        <v>2566</v>
      </c>
      <c r="D2949" s="11" t="s">
        <v>2567</v>
      </c>
      <c r="E2949" s="11" t="s">
        <v>281</v>
      </c>
      <c r="F2949" s="11" t="s">
        <v>2568</v>
      </c>
      <c r="G2949" s="11" t="s">
        <v>536</v>
      </c>
      <c r="H2949" s="11" t="s">
        <v>329</v>
      </c>
      <c r="I2949" s="11" t="s">
        <v>18825</v>
      </c>
      <c r="J2949" s="11" t="s">
        <v>18826</v>
      </c>
      <c r="K2949" s="11" t="s">
        <v>431</v>
      </c>
      <c r="L2949" s="11" t="s">
        <v>333</v>
      </c>
      <c r="M2949" s="11" t="s">
        <v>18827</v>
      </c>
      <c r="N2949" s="11" t="s">
        <v>128</v>
      </c>
      <c r="O2949" s="11" t="s">
        <v>18828</v>
      </c>
      <c r="P2949" s="11"/>
      <c r="Q2949" s="11" t="s">
        <v>249</v>
      </c>
      <c r="R2949" s="11"/>
      <c r="S2949" s="11" t="s">
        <v>2575</v>
      </c>
      <c r="T2949" s="11" t="s">
        <v>1523</v>
      </c>
      <c r="U2949" s="11" t="s">
        <v>134</v>
      </c>
      <c r="V2949" s="11" t="s">
        <v>249</v>
      </c>
      <c r="W2949" s="11" t="s">
        <v>1523</v>
      </c>
      <c r="X2949" s="11">
        <v>7</v>
      </c>
      <c r="Y2949" s="11" t="s">
        <v>12359</v>
      </c>
      <c r="Z2949" s="11">
        <v>20</v>
      </c>
      <c r="AA2949" s="11">
        <v>0</v>
      </c>
      <c r="AB2949" s="12">
        <v>0</v>
      </c>
    </row>
    <row r="2950" spans="1:28" x14ac:dyDescent="0.2">
      <c r="A2950" s="7">
        <v>25507</v>
      </c>
      <c r="B2950" s="8" t="s">
        <v>18829</v>
      </c>
      <c r="C2950" s="8" t="s">
        <v>3862</v>
      </c>
      <c r="D2950" s="8" t="s">
        <v>3863</v>
      </c>
      <c r="E2950" s="8" t="s">
        <v>18830</v>
      </c>
      <c r="F2950" s="8" t="s">
        <v>3865</v>
      </c>
      <c r="G2950" s="8" t="s">
        <v>3612</v>
      </c>
      <c r="H2950" s="8" t="s">
        <v>704</v>
      </c>
      <c r="I2950" s="8" t="s">
        <v>3866</v>
      </c>
      <c r="J2950" s="8" t="s">
        <v>16233</v>
      </c>
      <c r="K2950" s="8" t="s">
        <v>707</v>
      </c>
      <c r="L2950" s="8" t="s">
        <v>126</v>
      </c>
      <c r="M2950" s="8" t="s">
        <v>18831</v>
      </c>
      <c r="N2950" s="8" t="s">
        <v>128</v>
      </c>
      <c r="O2950" s="8" t="s">
        <v>18832</v>
      </c>
      <c r="P2950" s="8"/>
      <c r="Q2950" s="8" t="s">
        <v>249</v>
      </c>
      <c r="R2950" s="8"/>
      <c r="S2950" s="8" t="s">
        <v>3871</v>
      </c>
      <c r="T2950" s="8" t="s">
        <v>1523</v>
      </c>
      <c r="U2950" s="8" t="s">
        <v>134</v>
      </c>
      <c r="V2950" s="8" t="s">
        <v>249</v>
      </c>
      <c r="W2950" s="8" t="s">
        <v>1523</v>
      </c>
      <c r="X2950" s="8">
        <v>7</v>
      </c>
      <c r="Y2950" s="8" t="s">
        <v>12359</v>
      </c>
      <c r="Z2950" s="8">
        <v>20</v>
      </c>
      <c r="AA2950" s="8">
        <v>0</v>
      </c>
      <c r="AB2950" s="9">
        <v>0</v>
      </c>
    </row>
    <row r="2951" spans="1:28" x14ac:dyDescent="0.2">
      <c r="A2951" s="10">
        <v>116126</v>
      </c>
      <c r="B2951" s="11" t="s">
        <v>18833</v>
      </c>
      <c r="C2951" s="11" t="s">
        <v>15075</v>
      </c>
      <c r="D2951" s="11" t="s">
        <v>1912</v>
      </c>
      <c r="E2951" s="11" t="s">
        <v>18834</v>
      </c>
      <c r="F2951" s="11" t="s">
        <v>18835</v>
      </c>
      <c r="G2951" s="11" t="s">
        <v>141</v>
      </c>
      <c r="H2951" s="11" t="s">
        <v>142</v>
      </c>
      <c r="I2951" s="11" t="s">
        <v>15077</v>
      </c>
      <c r="J2951" s="11" t="s">
        <v>15078</v>
      </c>
      <c r="K2951" s="11" t="s">
        <v>584</v>
      </c>
      <c r="L2951" s="11" t="s">
        <v>146</v>
      </c>
      <c r="M2951" s="11" t="s">
        <v>18836</v>
      </c>
      <c r="N2951" s="11" t="s">
        <v>128</v>
      </c>
      <c r="O2951" s="11" t="s">
        <v>18837</v>
      </c>
      <c r="P2951" s="11"/>
      <c r="Q2951" s="11" t="s">
        <v>249</v>
      </c>
      <c r="R2951" s="11"/>
      <c r="S2951" s="11" t="s">
        <v>15082</v>
      </c>
      <c r="T2951" s="11" t="s">
        <v>1523</v>
      </c>
      <c r="U2951" s="11" t="s">
        <v>134</v>
      </c>
      <c r="V2951" s="11" t="s">
        <v>249</v>
      </c>
      <c r="W2951" s="11" t="s">
        <v>1523</v>
      </c>
      <c r="X2951" s="11">
        <v>7</v>
      </c>
      <c r="Y2951" s="11" t="s">
        <v>12359</v>
      </c>
      <c r="Z2951" s="11">
        <v>20</v>
      </c>
      <c r="AA2951" s="11">
        <v>0</v>
      </c>
      <c r="AB2951" s="12">
        <v>0</v>
      </c>
    </row>
    <row r="2952" spans="1:28" x14ac:dyDescent="0.2">
      <c r="A2952" s="7">
        <v>126016</v>
      </c>
      <c r="B2952" s="8" t="s">
        <v>18838</v>
      </c>
      <c r="C2952" s="8" t="s">
        <v>9466</v>
      </c>
      <c r="D2952" s="8" t="s">
        <v>2091</v>
      </c>
      <c r="E2952" s="8" t="s">
        <v>13283</v>
      </c>
      <c r="F2952" s="8" t="s">
        <v>18351</v>
      </c>
      <c r="G2952" s="8" t="s">
        <v>224</v>
      </c>
      <c r="H2952" s="8" t="s">
        <v>225</v>
      </c>
      <c r="I2952" s="8" t="s">
        <v>9467</v>
      </c>
      <c r="J2952" s="8" t="s">
        <v>18352</v>
      </c>
      <c r="K2952" s="8" t="s">
        <v>228</v>
      </c>
      <c r="L2952" s="8" t="s">
        <v>229</v>
      </c>
      <c r="M2952" s="8" t="s">
        <v>18839</v>
      </c>
      <c r="N2952" s="8" t="s">
        <v>128</v>
      </c>
      <c r="O2952" s="8" t="s">
        <v>18840</v>
      </c>
      <c r="P2952" s="8"/>
      <c r="Q2952" s="8" t="s">
        <v>249</v>
      </c>
      <c r="R2952" s="8"/>
      <c r="S2952" s="8" t="s">
        <v>18355</v>
      </c>
      <c r="T2952" s="8" t="s">
        <v>1523</v>
      </c>
      <c r="U2952" s="8" t="s">
        <v>134</v>
      </c>
      <c r="V2952" s="8" t="s">
        <v>249</v>
      </c>
      <c r="W2952" s="8" t="s">
        <v>1523</v>
      </c>
      <c r="X2952" s="8">
        <v>7</v>
      </c>
      <c r="Y2952" s="8" t="s">
        <v>12359</v>
      </c>
      <c r="Z2952" s="8">
        <v>20</v>
      </c>
      <c r="AA2952" s="8">
        <v>0</v>
      </c>
      <c r="AB2952" s="9">
        <v>0</v>
      </c>
    </row>
    <row r="2953" spans="1:28" x14ac:dyDescent="0.2">
      <c r="A2953" s="10">
        <v>105812</v>
      </c>
      <c r="B2953" s="11" t="s">
        <v>18841</v>
      </c>
      <c r="C2953" s="11" t="s">
        <v>10917</v>
      </c>
      <c r="D2953" s="11" t="s">
        <v>13208</v>
      </c>
      <c r="E2953" s="11" t="s">
        <v>13861</v>
      </c>
      <c r="F2953" s="11" t="s">
        <v>13209</v>
      </c>
      <c r="G2953" s="11" t="s">
        <v>13862</v>
      </c>
      <c r="H2953" s="11" t="s">
        <v>522</v>
      </c>
      <c r="I2953" s="11" t="s">
        <v>13210</v>
      </c>
      <c r="J2953" s="11" t="s">
        <v>13863</v>
      </c>
      <c r="K2953" s="11" t="s">
        <v>525</v>
      </c>
      <c r="L2953" s="11" t="s">
        <v>526</v>
      </c>
      <c r="M2953" s="11" t="s">
        <v>18842</v>
      </c>
      <c r="N2953" s="11" t="s">
        <v>128</v>
      </c>
      <c r="O2953" s="11" t="s">
        <v>18843</v>
      </c>
      <c r="P2953" s="11"/>
      <c r="Q2953" s="11" t="s">
        <v>249</v>
      </c>
      <c r="R2953" s="11"/>
      <c r="S2953" s="11" t="s">
        <v>71</v>
      </c>
      <c r="T2953" s="11" t="s">
        <v>1523</v>
      </c>
      <c r="U2953" s="11" t="s">
        <v>134</v>
      </c>
      <c r="V2953" s="11" t="s">
        <v>249</v>
      </c>
      <c r="W2953" s="11" t="s">
        <v>1523</v>
      </c>
      <c r="X2953" s="11">
        <v>7</v>
      </c>
      <c r="Y2953" s="11" t="s">
        <v>12359</v>
      </c>
      <c r="Z2953" s="11">
        <v>20</v>
      </c>
      <c r="AA2953" s="11">
        <v>0</v>
      </c>
      <c r="AB2953" s="12">
        <v>0</v>
      </c>
    </row>
    <row r="2954" spans="1:28" x14ac:dyDescent="0.2">
      <c r="A2954" s="7">
        <v>116665</v>
      </c>
      <c r="B2954" s="8" t="s">
        <v>18844</v>
      </c>
      <c r="C2954" s="8" t="s">
        <v>12048</v>
      </c>
      <c r="D2954" s="8" t="s">
        <v>17976</v>
      </c>
      <c r="E2954" s="8" t="s">
        <v>18845</v>
      </c>
      <c r="F2954" s="8" t="s">
        <v>10583</v>
      </c>
      <c r="G2954" s="8" t="s">
        <v>328</v>
      </c>
      <c r="H2954" s="8" t="s">
        <v>329</v>
      </c>
      <c r="I2954" s="8" t="s">
        <v>18846</v>
      </c>
      <c r="J2954" s="8" t="s">
        <v>18847</v>
      </c>
      <c r="K2954" s="8" t="s">
        <v>415</v>
      </c>
      <c r="L2954" s="8" t="s">
        <v>333</v>
      </c>
      <c r="M2954" s="8" t="s">
        <v>18848</v>
      </c>
      <c r="N2954" s="8" t="s">
        <v>128</v>
      </c>
      <c r="O2954" s="8" t="s">
        <v>18849</v>
      </c>
      <c r="P2954" s="8"/>
      <c r="Q2954" s="8" t="s">
        <v>249</v>
      </c>
      <c r="R2954" s="8"/>
      <c r="S2954" s="8" t="s">
        <v>71</v>
      </c>
      <c r="T2954" s="8" t="s">
        <v>1523</v>
      </c>
      <c r="U2954" s="8" t="s">
        <v>134</v>
      </c>
      <c r="V2954" s="8" t="s">
        <v>249</v>
      </c>
      <c r="W2954" s="8" t="s">
        <v>1523</v>
      </c>
      <c r="X2954" s="8">
        <v>7</v>
      </c>
      <c r="Y2954" s="8" t="s">
        <v>12359</v>
      </c>
      <c r="Z2954" s="8">
        <v>20</v>
      </c>
      <c r="AA2954" s="8">
        <v>0</v>
      </c>
      <c r="AB2954" s="9">
        <v>0</v>
      </c>
    </row>
    <row r="2955" spans="1:28" x14ac:dyDescent="0.2">
      <c r="A2955" s="10">
        <v>126736</v>
      </c>
      <c r="B2955" s="11" t="s">
        <v>18850</v>
      </c>
      <c r="C2955" s="11" t="s">
        <v>10580</v>
      </c>
      <c r="D2955" s="11" t="s">
        <v>15120</v>
      </c>
      <c r="E2955" s="11" t="s">
        <v>15359</v>
      </c>
      <c r="F2955" s="11" t="s">
        <v>10583</v>
      </c>
      <c r="G2955" s="11" t="s">
        <v>328</v>
      </c>
      <c r="H2955" s="11" t="s">
        <v>329</v>
      </c>
      <c r="I2955" s="11" t="s">
        <v>10584</v>
      </c>
      <c r="J2955" s="11" t="s">
        <v>18851</v>
      </c>
      <c r="K2955" s="11" t="s">
        <v>415</v>
      </c>
      <c r="L2955" s="11" t="s">
        <v>333</v>
      </c>
      <c r="M2955" s="11" t="s">
        <v>18852</v>
      </c>
      <c r="N2955" s="11" t="s">
        <v>128</v>
      </c>
      <c r="O2955" s="11" t="s">
        <v>18853</v>
      </c>
      <c r="P2955" s="11"/>
      <c r="Q2955" s="11" t="s">
        <v>249</v>
      </c>
      <c r="R2955" s="11"/>
      <c r="S2955" s="11" t="s">
        <v>71</v>
      </c>
      <c r="T2955" s="11" t="s">
        <v>1523</v>
      </c>
      <c r="U2955" s="11" t="s">
        <v>134</v>
      </c>
      <c r="V2955" s="11" t="s">
        <v>249</v>
      </c>
      <c r="W2955" s="11" t="s">
        <v>1523</v>
      </c>
      <c r="X2955" s="11">
        <v>7</v>
      </c>
      <c r="Y2955" s="11" t="s">
        <v>12359</v>
      </c>
      <c r="Z2955" s="11">
        <v>20</v>
      </c>
      <c r="AA2955" s="11">
        <v>0</v>
      </c>
      <c r="AB2955" s="12">
        <v>0</v>
      </c>
    </row>
    <row r="2956" spans="1:28" x14ac:dyDescent="0.2">
      <c r="A2956" s="7">
        <v>31745</v>
      </c>
      <c r="B2956" s="8" t="s">
        <v>18854</v>
      </c>
      <c r="C2956" s="8" t="s">
        <v>18796</v>
      </c>
      <c r="D2956" s="8" t="s">
        <v>138</v>
      </c>
      <c r="E2956" s="8"/>
      <c r="F2956" s="8" t="s">
        <v>18797</v>
      </c>
      <c r="G2956" s="8" t="s">
        <v>224</v>
      </c>
      <c r="H2956" s="8" t="s">
        <v>225</v>
      </c>
      <c r="I2956" s="8" t="s">
        <v>18567</v>
      </c>
      <c r="J2956" s="8" t="s">
        <v>18798</v>
      </c>
      <c r="K2956" s="8" t="s">
        <v>228</v>
      </c>
      <c r="L2956" s="8" t="s">
        <v>229</v>
      </c>
      <c r="M2956" s="8" t="s">
        <v>18855</v>
      </c>
      <c r="N2956" s="8" t="s">
        <v>128</v>
      </c>
      <c r="O2956" s="8" t="s">
        <v>18856</v>
      </c>
      <c r="P2956" s="8"/>
      <c r="Q2956" s="8" t="s">
        <v>249</v>
      </c>
      <c r="R2956" s="8"/>
      <c r="S2956" s="8" t="s">
        <v>18571</v>
      </c>
      <c r="T2956" s="8" t="s">
        <v>1523</v>
      </c>
      <c r="U2956" s="8" t="s">
        <v>134</v>
      </c>
      <c r="V2956" s="8" t="s">
        <v>249</v>
      </c>
      <c r="W2956" s="8" t="s">
        <v>1523</v>
      </c>
      <c r="X2956" s="8">
        <v>7</v>
      </c>
      <c r="Y2956" s="8" t="s">
        <v>12359</v>
      </c>
      <c r="Z2956" s="8">
        <v>20</v>
      </c>
      <c r="AA2956" s="8">
        <v>0</v>
      </c>
      <c r="AB2956" s="9">
        <v>0</v>
      </c>
    </row>
    <row r="2957" spans="1:28" x14ac:dyDescent="0.2">
      <c r="A2957" s="10">
        <v>86806</v>
      </c>
      <c r="B2957" s="11" t="s">
        <v>18857</v>
      </c>
      <c r="C2957" s="11" t="s">
        <v>18329</v>
      </c>
      <c r="D2957" s="11" t="s">
        <v>11184</v>
      </c>
      <c r="E2957" s="11"/>
      <c r="F2957" s="11" t="s">
        <v>18331</v>
      </c>
      <c r="G2957" s="11" t="s">
        <v>18858</v>
      </c>
      <c r="H2957" s="11" t="s">
        <v>142</v>
      </c>
      <c r="I2957" s="11" t="s">
        <v>18332</v>
      </c>
      <c r="J2957" s="11" t="s">
        <v>18859</v>
      </c>
      <c r="K2957" s="11" t="s">
        <v>651</v>
      </c>
      <c r="L2957" s="11" t="s">
        <v>146</v>
      </c>
      <c r="M2957" s="11" t="s">
        <v>18860</v>
      </c>
      <c r="N2957" s="11" t="s">
        <v>128</v>
      </c>
      <c r="O2957" s="11" t="s">
        <v>18861</v>
      </c>
      <c r="P2957" s="11"/>
      <c r="Q2957" s="11" t="s">
        <v>249</v>
      </c>
      <c r="R2957" s="11"/>
      <c r="S2957" s="11" t="s">
        <v>18336</v>
      </c>
      <c r="T2957" s="11" t="s">
        <v>1523</v>
      </c>
      <c r="U2957" s="11" t="s">
        <v>134</v>
      </c>
      <c r="V2957" s="11" t="s">
        <v>249</v>
      </c>
      <c r="W2957" s="11" t="s">
        <v>1523</v>
      </c>
      <c r="X2957" s="11">
        <v>7</v>
      </c>
      <c r="Y2957" s="11" t="s">
        <v>12359</v>
      </c>
      <c r="Z2957" s="11">
        <v>20</v>
      </c>
      <c r="AA2957" s="11">
        <v>0</v>
      </c>
      <c r="AB2957" s="12">
        <v>0</v>
      </c>
    </row>
    <row r="2958" spans="1:28" x14ac:dyDescent="0.2">
      <c r="A2958" s="7">
        <v>126081</v>
      </c>
      <c r="B2958" s="8" t="s">
        <v>18862</v>
      </c>
      <c r="C2958" s="8" t="s">
        <v>18863</v>
      </c>
      <c r="D2958" s="8" t="s">
        <v>7112</v>
      </c>
      <c r="E2958" s="8"/>
      <c r="F2958" s="8" t="s">
        <v>353</v>
      </c>
      <c r="G2958" s="8" t="s">
        <v>4226</v>
      </c>
      <c r="H2958" s="8" t="s">
        <v>329</v>
      </c>
      <c r="I2958" s="8" t="s">
        <v>18864</v>
      </c>
      <c r="J2958" s="8" t="s">
        <v>18865</v>
      </c>
      <c r="K2958" s="8" t="s">
        <v>415</v>
      </c>
      <c r="L2958" s="8" t="s">
        <v>333</v>
      </c>
      <c r="M2958" s="8" t="s">
        <v>18866</v>
      </c>
      <c r="N2958" s="8" t="s">
        <v>128</v>
      </c>
      <c r="O2958" s="8" t="s">
        <v>18867</v>
      </c>
      <c r="P2958" s="8"/>
      <c r="Q2958" s="8" t="s">
        <v>249</v>
      </c>
      <c r="R2958" s="8"/>
      <c r="S2958" s="8" t="s">
        <v>71</v>
      </c>
      <c r="T2958" s="8" t="s">
        <v>1523</v>
      </c>
      <c r="U2958" s="8" t="s">
        <v>134</v>
      </c>
      <c r="V2958" s="8" t="s">
        <v>249</v>
      </c>
      <c r="W2958" s="8" t="s">
        <v>1523</v>
      </c>
      <c r="X2958" s="8">
        <v>7</v>
      </c>
      <c r="Y2958" s="8" t="s">
        <v>12359</v>
      </c>
      <c r="Z2958" s="8">
        <v>20</v>
      </c>
      <c r="AA2958" s="8">
        <v>0</v>
      </c>
      <c r="AB2958" s="9">
        <v>0</v>
      </c>
    </row>
    <row r="2959" spans="1:28" x14ac:dyDescent="0.2">
      <c r="A2959" s="10">
        <v>25503</v>
      </c>
      <c r="B2959" s="11" t="s">
        <v>18868</v>
      </c>
      <c r="C2959" s="11" t="s">
        <v>18869</v>
      </c>
      <c r="D2959" s="11" t="s">
        <v>6586</v>
      </c>
      <c r="E2959" s="11"/>
      <c r="F2959" s="11" t="s">
        <v>18870</v>
      </c>
      <c r="G2959" s="11" t="s">
        <v>1952</v>
      </c>
      <c r="H2959" s="11" t="s">
        <v>1953</v>
      </c>
      <c r="I2959" s="11" t="s">
        <v>6589</v>
      </c>
      <c r="J2959" s="11" t="s">
        <v>12467</v>
      </c>
      <c r="K2959" s="11" t="s">
        <v>1956</v>
      </c>
      <c r="L2959" s="11" t="s">
        <v>526</v>
      </c>
      <c r="M2959" s="11" t="s">
        <v>18871</v>
      </c>
      <c r="N2959" s="11" t="s">
        <v>128</v>
      </c>
      <c r="O2959" s="11"/>
      <c r="P2959" s="11"/>
      <c r="Q2959" s="11" t="s">
        <v>249</v>
      </c>
      <c r="R2959" s="11"/>
      <c r="S2959" s="11" t="s">
        <v>6594</v>
      </c>
      <c r="T2959" s="11" t="s">
        <v>1523</v>
      </c>
      <c r="U2959" s="11" t="s">
        <v>134</v>
      </c>
      <c r="V2959" s="11" t="s">
        <v>249</v>
      </c>
      <c r="W2959" s="11" t="s">
        <v>1523</v>
      </c>
      <c r="X2959" s="11">
        <v>7</v>
      </c>
      <c r="Y2959" s="11" t="s">
        <v>12359</v>
      </c>
      <c r="Z2959" s="11">
        <v>20</v>
      </c>
      <c r="AA2959" s="11">
        <v>0</v>
      </c>
      <c r="AB2959" s="12">
        <v>0</v>
      </c>
    </row>
    <row r="2960" spans="1:28" x14ac:dyDescent="0.2">
      <c r="A2960" s="7">
        <v>25495</v>
      </c>
      <c r="B2960" s="8" t="s">
        <v>18872</v>
      </c>
      <c r="C2960" s="8" t="s">
        <v>10147</v>
      </c>
      <c r="D2960" s="8" t="s">
        <v>2690</v>
      </c>
      <c r="E2960" s="8" t="s">
        <v>9506</v>
      </c>
      <c r="F2960" s="8" t="s">
        <v>10149</v>
      </c>
      <c r="G2960" s="8" t="s">
        <v>3654</v>
      </c>
      <c r="H2960" s="8" t="s">
        <v>142</v>
      </c>
      <c r="I2960" s="8" t="s">
        <v>10150</v>
      </c>
      <c r="J2960" s="8" t="s">
        <v>10151</v>
      </c>
      <c r="K2960" s="8" t="s">
        <v>1029</v>
      </c>
      <c r="L2960" s="8" t="s">
        <v>464</v>
      </c>
      <c r="M2960" s="8" t="s">
        <v>18873</v>
      </c>
      <c r="N2960" s="8" t="s">
        <v>128</v>
      </c>
      <c r="O2960" s="8" t="s">
        <v>18874</v>
      </c>
      <c r="P2960" s="8" t="s">
        <v>18875</v>
      </c>
      <c r="Q2960" s="8" t="s">
        <v>249</v>
      </c>
      <c r="R2960" s="8"/>
      <c r="S2960" s="8" t="s">
        <v>10155</v>
      </c>
      <c r="T2960" s="8" t="s">
        <v>250</v>
      </c>
      <c r="U2960" s="8" t="s">
        <v>134</v>
      </c>
      <c r="V2960" s="8" t="s">
        <v>249</v>
      </c>
      <c r="W2960" s="8" t="s">
        <v>250</v>
      </c>
      <c r="X2960" s="8">
        <v>7</v>
      </c>
      <c r="Y2960" s="8" t="s">
        <v>12359</v>
      </c>
      <c r="Z2960" s="8">
        <v>20</v>
      </c>
      <c r="AA2960" s="8">
        <v>0</v>
      </c>
      <c r="AB2960" s="9">
        <v>0</v>
      </c>
    </row>
    <row r="2961" spans="1:28" x14ac:dyDescent="0.2">
      <c r="A2961" s="10">
        <v>25518</v>
      </c>
      <c r="B2961" s="11" t="s">
        <v>18876</v>
      </c>
      <c r="C2961" s="11" t="s">
        <v>773</v>
      </c>
      <c r="D2961" s="11" t="s">
        <v>18877</v>
      </c>
      <c r="E2961" s="11" t="s">
        <v>1547</v>
      </c>
      <c r="F2961" s="11" t="s">
        <v>353</v>
      </c>
      <c r="G2961" s="11" t="s">
        <v>7562</v>
      </c>
      <c r="H2961" s="11" t="s">
        <v>847</v>
      </c>
      <c r="I2961" s="11" t="s">
        <v>18878</v>
      </c>
      <c r="J2961" s="11" t="s">
        <v>18879</v>
      </c>
      <c r="K2961" s="11" t="s">
        <v>850</v>
      </c>
      <c r="L2961" s="11" t="s">
        <v>126</v>
      </c>
      <c r="M2961" s="11" t="s">
        <v>18880</v>
      </c>
      <c r="N2961" s="11" t="s">
        <v>128</v>
      </c>
      <c r="O2961" s="11" t="s">
        <v>18881</v>
      </c>
      <c r="P2961" s="11" t="s">
        <v>18882</v>
      </c>
      <c r="Q2961" s="11" t="s">
        <v>249</v>
      </c>
      <c r="R2961" s="11"/>
      <c r="S2961" s="11" t="s">
        <v>71</v>
      </c>
      <c r="T2961" s="11" t="s">
        <v>250</v>
      </c>
      <c r="U2961" s="11" t="s">
        <v>134</v>
      </c>
      <c r="V2961" s="11" t="s">
        <v>249</v>
      </c>
      <c r="W2961" s="11" t="s">
        <v>250</v>
      </c>
      <c r="X2961" s="11">
        <v>7</v>
      </c>
      <c r="Y2961" s="11" t="s">
        <v>12359</v>
      </c>
      <c r="Z2961" s="11">
        <v>20</v>
      </c>
      <c r="AA2961" s="11">
        <v>0</v>
      </c>
      <c r="AB2961" s="12">
        <v>0</v>
      </c>
    </row>
    <row r="2962" spans="1:28" x14ac:dyDescent="0.2">
      <c r="A2962" s="7">
        <v>25547</v>
      </c>
      <c r="B2962" s="8" t="s">
        <v>18883</v>
      </c>
      <c r="C2962" s="8" t="s">
        <v>7282</v>
      </c>
      <c r="D2962" s="8" t="s">
        <v>18884</v>
      </c>
      <c r="E2962" s="8" t="s">
        <v>1547</v>
      </c>
      <c r="F2962" s="8" t="s">
        <v>353</v>
      </c>
      <c r="G2962" s="8" t="s">
        <v>3259</v>
      </c>
      <c r="H2962" s="8" t="s">
        <v>557</v>
      </c>
      <c r="I2962" s="8" t="s">
        <v>14833</v>
      </c>
      <c r="J2962" s="8" t="s">
        <v>18885</v>
      </c>
      <c r="K2962" s="8" t="s">
        <v>1562</v>
      </c>
      <c r="L2962" s="8" t="s">
        <v>229</v>
      </c>
      <c r="M2962" s="8" t="s">
        <v>18886</v>
      </c>
      <c r="N2962" s="8" t="s">
        <v>128</v>
      </c>
      <c r="O2962" s="8" t="s">
        <v>18887</v>
      </c>
      <c r="P2962" s="8" t="s">
        <v>18888</v>
      </c>
      <c r="Q2962" s="8" t="s">
        <v>249</v>
      </c>
      <c r="R2962" s="8"/>
      <c r="S2962" s="8" t="s">
        <v>71</v>
      </c>
      <c r="T2962" s="8" t="s">
        <v>250</v>
      </c>
      <c r="U2962" s="8" t="s">
        <v>134</v>
      </c>
      <c r="V2962" s="8" t="s">
        <v>249</v>
      </c>
      <c r="W2962" s="8" t="s">
        <v>250</v>
      </c>
      <c r="X2962" s="8">
        <v>7</v>
      </c>
      <c r="Y2962" s="8" t="s">
        <v>12359</v>
      </c>
      <c r="Z2962" s="8">
        <v>20</v>
      </c>
      <c r="AA2962" s="8">
        <v>0</v>
      </c>
      <c r="AB2962" s="9">
        <v>0</v>
      </c>
    </row>
    <row r="2963" spans="1:28" x14ac:dyDescent="0.2">
      <c r="A2963" s="10">
        <v>25370</v>
      </c>
      <c r="B2963" s="11" t="s">
        <v>18889</v>
      </c>
      <c r="C2963" s="11" t="s">
        <v>1928</v>
      </c>
      <c r="D2963" s="11" t="s">
        <v>18890</v>
      </c>
      <c r="E2963" s="11"/>
      <c r="F2963" s="11" t="s">
        <v>353</v>
      </c>
      <c r="G2963" s="11" t="s">
        <v>2510</v>
      </c>
      <c r="H2963" s="11" t="s">
        <v>2511</v>
      </c>
      <c r="I2963" s="11" t="s">
        <v>18891</v>
      </c>
      <c r="J2963" s="11" t="s">
        <v>18892</v>
      </c>
      <c r="K2963" s="11" t="s">
        <v>1562</v>
      </c>
      <c r="L2963" s="11" t="s">
        <v>229</v>
      </c>
      <c r="M2963" s="11" t="s">
        <v>18893</v>
      </c>
      <c r="N2963" s="11" t="s">
        <v>128</v>
      </c>
      <c r="O2963" s="11" t="s">
        <v>18894</v>
      </c>
      <c r="P2963" s="11" t="s">
        <v>18895</v>
      </c>
      <c r="Q2963" s="11" t="s">
        <v>249</v>
      </c>
      <c r="R2963" s="11"/>
      <c r="S2963" s="11" t="s">
        <v>71</v>
      </c>
      <c r="T2963" s="11" t="s">
        <v>250</v>
      </c>
      <c r="U2963" s="11" t="s">
        <v>134</v>
      </c>
      <c r="V2963" s="11" t="s">
        <v>249</v>
      </c>
      <c r="W2963" s="11" t="s">
        <v>250</v>
      </c>
      <c r="X2963" s="11">
        <v>7</v>
      </c>
      <c r="Y2963" s="11" t="s">
        <v>12359</v>
      </c>
      <c r="Z2963" s="11">
        <v>20</v>
      </c>
      <c r="AA2963" s="11">
        <v>0</v>
      </c>
      <c r="AB2963" s="12">
        <v>0</v>
      </c>
    </row>
    <row r="2964" spans="1:28" x14ac:dyDescent="0.2">
      <c r="A2964" s="7">
        <v>25440</v>
      </c>
      <c r="B2964" s="8" t="s">
        <v>18896</v>
      </c>
      <c r="C2964" s="8" t="s">
        <v>6071</v>
      </c>
      <c r="D2964" s="8" t="s">
        <v>14307</v>
      </c>
      <c r="E2964" s="8"/>
      <c r="F2964" s="8" t="s">
        <v>353</v>
      </c>
      <c r="G2964" s="8" t="s">
        <v>1915</v>
      </c>
      <c r="H2964" s="8" t="s">
        <v>122</v>
      </c>
      <c r="I2964" s="8" t="s">
        <v>10511</v>
      </c>
      <c r="J2964" s="8" t="s">
        <v>18897</v>
      </c>
      <c r="K2964" s="8" t="s">
        <v>1051</v>
      </c>
      <c r="L2964" s="8" t="s">
        <v>126</v>
      </c>
      <c r="M2964" s="8" t="s">
        <v>18898</v>
      </c>
      <c r="N2964" s="8" t="s">
        <v>128</v>
      </c>
      <c r="O2964" s="8" t="s">
        <v>18899</v>
      </c>
      <c r="P2964" s="8" t="s">
        <v>18900</v>
      </c>
      <c r="Q2964" s="8" t="s">
        <v>249</v>
      </c>
      <c r="R2964" s="8"/>
      <c r="S2964" s="8" t="s">
        <v>71</v>
      </c>
      <c r="T2964" s="8" t="s">
        <v>250</v>
      </c>
      <c r="U2964" s="8" t="s">
        <v>134</v>
      </c>
      <c r="V2964" s="8" t="s">
        <v>249</v>
      </c>
      <c r="W2964" s="8" t="s">
        <v>250</v>
      </c>
      <c r="X2964" s="8">
        <v>7</v>
      </c>
      <c r="Y2964" s="8" t="s">
        <v>12359</v>
      </c>
      <c r="Z2964" s="8">
        <v>20</v>
      </c>
      <c r="AA2964" s="8">
        <v>0</v>
      </c>
      <c r="AB2964" s="9">
        <v>0</v>
      </c>
    </row>
    <row r="2965" spans="1:28" x14ac:dyDescent="0.2">
      <c r="A2965" s="10">
        <v>226720</v>
      </c>
      <c r="B2965" s="11" t="s">
        <v>18901</v>
      </c>
      <c r="C2965" s="11" t="s">
        <v>5879</v>
      </c>
      <c r="D2965" s="11" t="s">
        <v>2783</v>
      </c>
      <c r="E2965" s="11"/>
      <c r="F2965" s="11" t="s">
        <v>18902</v>
      </c>
      <c r="G2965" s="11" t="s">
        <v>18274</v>
      </c>
      <c r="H2965" s="11" t="s">
        <v>847</v>
      </c>
      <c r="I2965" s="11" t="s">
        <v>18275</v>
      </c>
      <c r="J2965" s="11" t="s">
        <v>18903</v>
      </c>
      <c r="K2965" s="11" t="s">
        <v>850</v>
      </c>
      <c r="L2965" s="11" t="s">
        <v>126</v>
      </c>
      <c r="M2965" s="11" t="s">
        <v>18904</v>
      </c>
      <c r="N2965" s="11" t="s">
        <v>128</v>
      </c>
      <c r="O2965" s="11" t="s">
        <v>18905</v>
      </c>
      <c r="P2965" s="11" t="s">
        <v>18906</v>
      </c>
      <c r="Q2965" s="11" t="s">
        <v>249</v>
      </c>
      <c r="R2965" s="11"/>
      <c r="S2965" s="11" t="s">
        <v>71</v>
      </c>
      <c r="T2965" s="11" t="s">
        <v>250</v>
      </c>
      <c r="U2965" s="11" t="s">
        <v>134</v>
      </c>
      <c r="V2965" s="11" t="s">
        <v>249</v>
      </c>
      <c r="W2965" s="11" t="s">
        <v>250</v>
      </c>
      <c r="X2965" s="11">
        <v>7</v>
      </c>
      <c r="Y2965" s="11" t="s">
        <v>12359</v>
      </c>
      <c r="Z2965" s="11">
        <v>20</v>
      </c>
      <c r="AA2965" s="11">
        <v>0</v>
      </c>
      <c r="AB2965" s="12">
        <v>0</v>
      </c>
    </row>
    <row r="2966" spans="1:28" x14ac:dyDescent="0.2">
      <c r="A2966" s="7">
        <v>31595</v>
      </c>
      <c r="B2966" s="8" t="s">
        <v>18907</v>
      </c>
      <c r="C2966" s="8" t="s">
        <v>8146</v>
      </c>
      <c r="D2966" s="8" t="s">
        <v>4579</v>
      </c>
      <c r="E2966" s="8"/>
      <c r="F2966" s="8" t="s">
        <v>5845</v>
      </c>
      <c r="G2966" s="8" t="s">
        <v>190</v>
      </c>
      <c r="H2966" s="8" t="s">
        <v>191</v>
      </c>
      <c r="I2966" s="8" t="s">
        <v>8743</v>
      </c>
      <c r="J2966" s="8" t="s">
        <v>18908</v>
      </c>
      <c r="K2966" s="8" t="s">
        <v>194</v>
      </c>
      <c r="L2966" s="8" t="s">
        <v>163</v>
      </c>
      <c r="M2966" s="8" t="s">
        <v>18909</v>
      </c>
      <c r="N2966" s="8" t="s">
        <v>128</v>
      </c>
      <c r="O2966" s="8"/>
      <c r="P2966" s="8" t="s">
        <v>18910</v>
      </c>
      <c r="Q2966" s="8" t="s">
        <v>249</v>
      </c>
      <c r="R2966" s="8"/>
      <c r="S2966" s="8" t="s">
        <v>8153</v>
      </c>
      <c r="T2966" s="8" t="s">
        <v>250</v>
      </c>
      <c r="U2966" s="8" t="s">
        <v>134</v>
      </c>
      <c r="V2966" s="8" t="s">
        <v>249</v>
      </c>
      <c r="W2966" s="8" t="s">
        <v>250</v>
      </c>
      <c r="X2966" s="8">
        <v>7</v>
      </c>
      <c r="Y2966" s="8" t="s">
        <v>12359</v>
      </c>
      <c r="Z2966" s="8">
        <v>20</v>
      </c>
      <c r="AA2966" s="8">
        <v>0</v>
      </c>
      <c r="AB2966" s="9">
        <v>0</v>
      </c>
    </row>
    <row r="2967" spans="1:28" x14ac:dyDescent="0.2">
      <c r="A2967" s="10">
        <v>25369</v>
      </c>
      <c r="B2967" s="11" t="s">
        <v>18911</v>
      </c>
      <c r="C2967" s="11" t="s">
        <v>13472</v>
      </c>
      <c r="D2967" s="11" t="s">
        <v>5844</v>
      </c>
      <c r="E2967" s="11"/>
      <c r="F2967" s="11" t="s">
        <v>1752</v>
      </c>
      <c r="G2967" s="11" t="s">
        <v>6614</v>
      </c>
      <c r="H2967" s="11" t="s">
        <v>159</v>
      </c>
      <c r="I2967" s="11" t="s">
        <v>13474</v>
      </c>
      <c r="J2967" s="11" t="s">
        <v>14336</v>
      </c>
      <c r="K2967" s="11" t="s">
        <v>162</v>
      </c>
      <c r="L2967" s="11" t="s">
        <v>163</v>
      </c>
      <c r="M2967" s="11" t="s">
        <v>18912</v>
      </c>
      <c r="N2967" s="11" t="s">
        <v>128</v>
      </c>
      <c r="O2967" s="11" t="s">
        <v>18913</v>
      </c>
      <c r="P2967" s="11" t="s">
        <v>18914</v>
      </c>
      <c r="Q2967" s="11" t="s">
        <v>249</v>
      </c>
      <c r="R2967" s="11"/>
      <c r="S2967" s="11" t="s">
        <v>13479</v>
      </c>
      <c r="T2967" s="11" t="s">
        <v>250</v>
      </c>
      <c r="U2967" s="11" t="s">
        <v>134</v>
      </c>
      <c r="V2967" s="11" t="s">
        <v>249</v>
      </c>
      <c r="W2967" s="11" t="s">
        <v>250</v>
      </c>
      <c r="X2967" s="11">
        <v>7</v>
      </c>
      <c r="Y2967" s="11" t="s">
        <v>12359</v>
      </c>
      <c r="Z2967" s="11">
        <v>20</v>
      </c>
      <c r="AA2967" s="11">
        <v>0</v>
      </c>
      <c r="AB2967" s="12">
        <v>0</v>
      </c>
    </row>
    <row r="2968" spans="1:28" x14ac:dyDescent="0.2">
      <c r="A2968" s="7">
        <v>31492</v>
      </c>
      <c r="B2968" s="8" t="s">
        <v>18915</v>
      </c>
      <c r="C2968" s="8" t="s">
        <v>10734</v>
      </c>
      <c r="D2968" s="8" t="s">
        <v>904</v>
      </c>
      <c r="E2968" s="8"/>
      <c r="F2968" s="8"/>
      <c r="G2968" s="8" t="s">
        <v>670</v>
      </c>
      <c r="H2968" s="8" t="s">
        <v>671</v>
      </c>
      <c r="I2968" s="8" t="s">
        <v>10736</v>
      </c>
      <c r="J2968" s="8" t="s">
        <v>10737</v>
      </c>
      <c r="K2968" s="8" t="s">
        <v>572</v>
      </c>
      <c r="L2968" s="8" t="s">
        <v>333</v>
      </c>
      <c r="M2968" s="8" t="s">
        <v>18916</v>
      </c>
      <c r="N2968" s="8" t="s">
        <v>128</v>
      </c>
      <c r="O2968" s="8" t="s">
        <v>18917</v>
      </c>
      <c r="P2968" s="8" t="s">
        <v>18918</v>
      </c>
      <c r="Q2968" s="8" t="s">
        <v>249</v>
      </c>
      <c r="R2968" s="8"/>
      <c r="S2968" s="8" t="s">
        <v>10740</v>
      </c>
      <c r="T2968" s="8" t="s">
        <v>250</v>
      </c>
      <c r="U2968" s="8" t="s">
        <v>134</v>
      </c>
      <c r="V2968" s="8" t="s">
        <v>249</v>
      </c>
      <c r="W2968" s="8" t="s">
        <v>250</v>
      </c>
      <c r="X2968" s="8">
        <v>7</v>
      </c>
      <c r="Y2968" s="8" t="s">
        <v>12359</v>
      </c>
      <c r="Z2968" s="8">
        <v>20</v>
      </c>
      <c r="AA2968" s="8">
        <v>0</v>
      </c>
      <c r="AB2968" s="9">
        <v>0</v>
      </c>
    </row>
    <row r="2969" spans="1:28" x14ac:dyDescent="0.2">
      <c r="A2969" s="10">
        <v>25761</v>
      </c>
      <c r="B2969" s="11" t="s">
        <v>18919</v>
      </c>
      <c r="C2969" s="11" t="s">
        <v>18920</v>
      </c>
      <c r="D2969" s="11" t="s">
        <v>612</v>
      </c>
      <c r="E2969" s="11"/>
      <c r="F2969" s="11" t="s">
        <v>14222</v>
      </c>
      <c r="G2969" s="11" t="s">
        <v>5804</v>
      </c>
      <c r="H2969" s="11" t="s">
        <v>5805</v>
      </c>
      <c r="I2969" s="11" t="s">
        <v>18921</v>
      </c>
      <c r="J2969" s="11" t="s">
        <v>18922</v>
      </c>
      <c r="K2969" s="11" t="s">
        <v>274</v>
      </c>
      <c r="L2969" s="11" t="s">
        <v>163</v>
      </c>
      <c r="M2969" s="11" t="s">
        <v>18923</v>
      </c>
      <c r="N2969" s="11" t="s">
        <v>128</v>
      </c>
      <c r="O2969" s="11" t="s">
        <v>18924</v>
      </c>
      <c r="P2969" s="11"/>
      <c r="Q2969" s="11" t="s">
        <v>150</v>
      </c>
      <c r="R2969" s="11"/>
      <c r="S2969" s="11" t="s">
        <v>71</v>
      </c>
      <c r="T2969" s="11" t="s">
        <v>8111</v>
      </c>
      <c r="U2969" s="11" t="s">
        <v>150</v>
      </c>
      <c r="V2969" s="11" t="s">
        <v>8111</v>
      </c>
      <c r="W2969" s="11" t="s">
        <v>8111</v>
      </c>
      <c r="X2969" s="11">
        <v>6</v>
      </c>
      <c r="Y2969" s="11" t="s">
        <v>12359</v>
      </c>
      <c r="Z2969" s="11">
        <v>20</v>
      </c>
      <c r="AA2969" s="11">
        <v>0</v>
      </c>
      <c r="AB2969" s="12">
        <v>0</v>
      </c>
    </row>
    <row r="2970" spans="1:28" x14ac:dyDescent="0.2">
      <c r="A2970" s="7">
        <v>21128</v>
      </c>
      <c r="B2970" s="8" t="s">
        <v>18925</v>
      </c>
      <c r="C2970" s="8" t="s">
        <v>6181</v>
      </c>
      <c r="D2970" s="8" t="s">
        <v>18926</v>
      </c>
      <c r="E2970" s="8"/>
      <c r="F2970" s="8" t="s">
        <v>6184</v>
      </c>
      <c r="G2970" s="8" t="s">
        <v>270</v>
      </c>
      <c r="H2970" s="8" t="s">
        <v>271</v>
      </c>
      <c r="I2970" s="8" t="s">
        <v>6185</v>
      </c>
      <c r="J2970" s="8" t="s">
        <v>6186</v>
      </c>
      <c r="K2970" s="8" t="s">
        <v>274</v>
      </c>
      <c r="L2970" s="8" t="s">
        <v>163</v>
      </c>
      <c r="M2970" s="8" t="s">
        <v>18927</v>
      </c>
      <c r="N2970" s="8" t="s">
        <v>128</v>
      </c>
      <c r="O2970" s="8" t="s">
        <v>18928</v>
      </c>
      <c r="P2970" s="8" t="s">
        <v>18929</v>
      </c>
      <c r="Q2970" s="8" t="s">
        <v>150</v>
      </c>
      <c r="R2970" s="8"/>
      <c r="S2970" s="8" t="s">
        <v>71</v>
      </c>
      <c r="T2970" s="8" t="s">
        <v>289</v>
      </c>
      <c r="U2970" s="8" t="s">
        <v>150</v>
      </c>
      <c r="V2970" s="8" t="s">
        <v>289</v>
      </c>
      <c r="W2970" s="8" t="s">
        <v>289</v>
      </c>
      <c r="X2970" s="8">
        <v>6</v>
      </c>
      <c r="Y2970" s="8" t="s">
        <v>12359</v>
      </c>
      <c r="Z2970" s="8">
        <v>20</v>
      </c>
      <c r="AA2970" s="8">
        <v>0</v>
      </c>
      <c r="AB2970" s="9">
        <v>0</v>
      </c>
    </row>
    <row r="2971" spans="1:28" x14ac:dyDescent="0.2">
      <c r="A2971" s="10">
        <v>21140</v>
      </c>
      <c r="B2971" s="11" t="s">
        <v>18930</v>
      </c>
      <c r="C2971" s="11" t="s">
        <v>2785</v>
      </c>
      <c r="D2971" s="11" t="s">
        <v>18931</v>
      </c>
      <c r="E2971" s="11"/>
      <c r="F2971" s="11" t="s">
        <v>16435</v>
      </c>
      <c r="G2971" s="11" t="s">
        <v>846</v>
      </c>
      <c r="H2971" s="11" t="s">
        <v>847</v>
      </c>
      <c r="I2971" s="11" t="s">
        <v>18932</v>
      </c>
      <c r="J2971" s="11" t="s">
        <v>18933</v>
      </c>
      <c r="K2971" s="11" t="s">
        <v>850</v>
      </c>
      <c r="L2971" s="11" t="s">
        <v>126</v>
      </c>
      <c r="M2971" s="11" t="s">
        <v>18934</v>
      </c>
      <c r="N2971" s="11" t="s">
        <v>128</v>
      </c>
      <c r="O2971" s="11" t="s">
        <v>18935</v>
      </c>
      <c r="P2971" s="11" t="s">
        <v>18936</v>
      </c>
      <c r="Q2971" s="11" t="s">
        <v>150</v>
      </c>
      <c r="R2971" s="11"/>
      <c r="S2971" s="11" t="s">
        <v>71</v>
      </c>
      <c r="T2971" s="11" t="s">
        <v>289</v>
      </c>
      <c r="U2971" s="11" t="s">
        <v>150</v>
      </c>
      <c r="V2971" s="11" t="s">
        <v>289</v>
      </c>
      <c r="W2971" s="11" t="s">
        <v>289</v>
      </c>
      <c r="X2971" s="11">
        <v>6</v>
      </c>
      <c r="Y2971" s="11" t="s">
        <v>12359</v>
      </c>
      <c r="Z2971" s="11">
        <v>20</v>
      </c>
      <c r="AA2971" s="11">
        <v>0</v>
      </c>
      <c r="AB2971" s="12">
        <v>0</v>
      </c>
    </row>
    <row r="2972" spans="1:28" x14ac:dyDescent="0.2">
      <c r="A2972" s="7">
        <v>21153</v>
      </c>
      <c r="B2972" s="8" t="s">
        <v>18937</v>
      </c>
      <c r="C2972" s="8" t="s">
        <v>18938</v>
      </c>
      <c r="D2972" s="8" t="s">
        <v>2832</v>
      </c>
      <c r="E2972" s="8"/>
      <c r="F2972" s="8" t="s">
        <v>18939</v>
      </c>
      <c r="G2972" s="8" t="s">
        <v>141</v>
      </c>
      <c r="H2972" s="8" t="s">
        <v>142</v>
      </c>
      <c r="I2972" s="8" t="s">
        <v>18940</v>
      </c>
      <c r="J2972" s="8" t="s">
        <v>18941</v>
      </c>
      <c r="K2972" s="8" t="s">
        <v>472</v>
      </c>
      <c r="L2972" s="8" t="s">
        <v>146</v>
      </c>
      <c r="M2972" s="8" t="s">
        <v>18942</v>
      </c>
      <c r="N2972" s="8" t="s">
        <v>128</v>
      </c>
      <c r="O2972" s="8" t="s">
        <v>18943</v>
      </c>
      <c r="P2972" s="8" t="s">
        <v>18944</v>
      </c>
      <c r="Q2972" s="8" t="s">
        <v>150</v>
      </c>
      <c r="R2972" s="8"/>
      <c r="S2972" s="8" t="s">
        <v>18945</v>
      </c>
      <c r="T2972" s="8" t="s">
        <v>289</v>
      </c>
      <c r="U2972" s="8" t="s">
        <v>150</v>
      </c>
      <c r="V2972" s="8" t="s">
        <v>289</v>
      </c>
      <c r="W2972" s="8" t="s">
        <v>289</v>
      </c>
      <c r="X2972" s="8">
        <v>6</v>
      </c>
      <c r="Y2972" s="8" t="s">
        <v>12359</v>
      </c>
      <c r="Z2972" s="8">
        <v>20</v>
      </c>
      <c r="AA2972" s="8">
        <v>0</v>
      </c>
      <c r="AB2972" s="9">
        <v>0</v>
      </c>
    </row>
    <row r="2973" spans="1:28" x14ac:dyDescent="0.2">
      <c r="A2973" s="10">
        <v>124493</v>
      </c>
      <c r="B2973" s="11" t="s">
        <v>18946</v>
      </c>
      <c r="C2973" s="11" t="s">
        <v>10734</v>
      </c>
      <c r="D2973" s="11" t="s">
        <v>904</v>
      </c>
      <c r="E2973" s="11"/>
      <c r="F2973" s="11" t="s">
        <v>18947</v>
      </c>
      <c r="G2973" s="11" t="s">
        <v>670</v>
      </c>
      <c r="H2973" s="11" t="s">
        <v>671</v>
      </c>
      <c r="I2973" s="11" t="s">
        <v>10736</v>
      </c>
      <c r="J2973" s="11" t="s">
        <v>10737</v>
      </c>
      <c r="K2973" s="11" t="s">
        <v>572</v>
      </c>
      <c r="L2973" s="11" t="s">
        <v>333</v>
      </c>
      <c r="M2973" s="11" t="s">
        <v>18948</v>
      </c>
      <c r="N2973" s="11" t="s">
        <v>128</v>
      </c>
      <c r="O2973" s="11" t="s">
        <v>18949</v>
      </c>
      <c r="P2973" s="11"/>
      <c r="Q2973" s="11" t="s">
        <v>150</v>
      </c>
      <c r="R2973" s="11"/>
      <c r="S2973" s="11" t="s">
        <v>10740</v>
      </c>
      <c r="T2973" s="11" t="s">
        <v>642</v>
      </c>
      <c r="U2973" s="11" t="s">
        <v>150</v>
      </c>
      <c r="V2973" s="11" t="s">
        <v>642</v>
      </c>
      <c r="W2973" s="11" t="s">
        <v>642</v>
      </c>
      <c r="X2973" s="11">
        <v>6</v>
      </c>
      <c r="Y2973" s="11" t="s">
        <v>12359</v>
      </c>
      <c r="Z2973" s="11">
        <v>20</v>
      </c>
      <c r="AA2973" s="11">
        <v>0</v>
      </c>
      <c r="AB2973" s="12">
        <v>0</v>
      </c>
    </row>
    <row r="2974" spans="1:28" x14ac:dyDescent="0.2">
      <c r="A2974" s="7">
        <v>21372</v>
      </c>
      <c r="B2974" s="8" t="s">
        <v>18950</v>
      </c>
      <c r="C2974" s="8" t="s">
        <v>2172</v>
      </c>
      <c r="D2974" s="8" t="s">
        <v>10444</v>
      </c>
      <c r="E2974" s="8" t="s">
        <v>2348</v>
      </c>
      <c r="F2974" s="8" t="s">
        <v>353</v>
      </c>
      <c r="G2974" s="8" t="s">
        <v>1286</v>
      </c>
      <c r="H2974" s="8" t="s">
        <v>142</v>
      </c>
      <c r="I2974" s="8" t="s">
        <v>18951</v>
      </c>
      <c r="J2974" s="8" t="s">
        <v>18952</v>
      </c>
      <c r="K2974" s="8" t="s">
        <v>717</v>
      </c>
      <c r="L2974" s="8" t="s">
        <v>464</v>
      </c>
      <c r="M2974" s="8" t="s">
        <v>18953</v>
      </c>
      <c r="N2974" s="8" t="s">
        <v>128</v>
      </c>
      <c r="O2974" s="8" t="s">
        <v>18954</v>
      </c>
      <c r="P2974" s="8" t="s">
        <v>18955</v>
      </c>
      <c r="Q2974" s="8" t="s">
        <v>150</v>
      </c>
      <c r="R2974" s="8"/>
      <c r="S2974" s="8" t="s">
        <v>71</v>
      </c>
      <c r="T2974" s="8" t="s">
        <v>67</v>
      </c>
      <c r="U2974" s="8" t="s">
        <v>150</v>
      </c>
      <c r="V2974" s="8" t="s">
        <v>152</v>
      </c>
      <c r="W2974" s="8" t="s">
        <v>67</v>
      </c>
      <c r="X2974" s="8">
        <v>6</v>
      </c>
      <c r="Y2974" s="8" t="s">
        <v>12359</v>
      </c>
      <c r="Z2974" s="8">
        <v>20</v>
      </c>
      <c r="AA2974" s="8">
        <v>0</v>
      </c>
      <c r="AB2974" s="9">
        <v>0</v>
      </c>
    </row>
    <row r="2975" spans="1:28" x14ac:dyDescent="0.2">
      <c r="A2975" s="10">
        <v>21526</v>
      </c>
      <c r="B2975" s="11" t="s">
        <v>18956</v>
      </c>
      <c r="C2975" s="11" t="s">
        <v>18957</v>
      </c>
      <c r="D2975" s="11" t="s">
        <v>2301</v>
      </c>
      <c r="E2975" s="11" t="s">
        <v>18958</v>
      </c>
      <c r="F2975" s="11" t="s">
        <v>353</v>
      </c>
      <c r="G2975" s="11" t="s">
        <v>18625</v>
      </c>
      <c r="H2975" s="11" t="s">
        <v>142</v>
      </c>
      <c r="I2975" s="11" t="s">
        <v>18959</v>
      </c>
      <c r="J2975" s="11" t="s">
        <v>18960</v>
      </c>
      <c r="K2975" s="11" t="s">
        <v>1673</v>
      </c>
      <c r="L2975" s="11" t="s">
        <v>464</v>
      </c>
      <c r="M2975" s="11" t="s">
        <v>18961</v>
      </c>
      <c r="N2975" s="11" t="s">
        <v>128</v>
      </c>
      <c r="O2975" s="11" t="s">
        <v>18962</v>
      </c>
      <c r="P2975" s="11" t="s">
        <v>11478</v>
      </c>
      <c r="Q2975" s="11" t="s">
        <v>150</v>
      </c>
      <c r="R2975" s="11"/>
      <c r="S2975" s="11" t="s">
        <v>71</v>
      </c>
      <c r="T2975" s="11" t="s">
        <v>67</v>
      </c>
      <c r="U2975" s="11" t="s">
        <v>150</v>
      </c>
      <c r="V2975" s="11" t="s">
        <v>152</v>
      </c>
      <c r="W2975" s="11" t="s">
        <v>67</v>
      </c>
      <c r="X2975" s="11">
        <v>6</v>
      </c>
      <c r="Y2975" s="11" t="s">
        <v>12359</v>
      </c>
      <c r="Z2975" s="11">
        <v>20</v>
      </c>
      <c r="AA2975" s="11">
        <v>0</v>
      </c>
      <c r="AB2975" s="12">
        <v>0</v>
      </c>
    </row>
    <row r="2976" spans="1:28" x14ac:dyDescent="0.2">
      <c r="A2976" s="7">
        <v>21579</v>
      </c>
      <c r="B2976" s="8" t="s">
        <v>18963</v>
      </c>
      <c r="C2976" s="8" t="s">
        <v>16237</v>
      </c>
      <c r="D2976" s="8" t="s">
        <v>18964</v>
      </c>
      <c r="E2976" s="8" t="s">
        <v>18965</v>
      </c>
      <c r="F2976" s="8" t="s">
        <v>353</v>
      </c>
      <c r="G2976" s="8" t="s">
        <v>18966</v>
      </c>
      <c r="H2976" s="8" t="s">
        <v>142</v>
      </c>
      <c r="I2976" s="8" t="s">
        <v>18967</v>
      </c>
      <c r="J2976" s="8" t="s">
        <v>18968</v>
      </c>
      <c r="K2976" s="8" t="s">
        <v>1673</v>
      </c>
      <c r="L2976" s="8" t="s">
        <v>464</v>
      </c>
      <c r="M2976" s="8" t="s">
        <v>18969</v>
      </c>
      <c r="N2976" s="8" t="s">
        <v>128</v>
      </c>
      <c r="O2976" s="8" t="s">
        <v>18970</v>
      </c>
      <c r="P2976" s="8" t="s">
        <v>16359</v>
      </c>
      <c r="Q2976" s="8" t="s">
        <v>150</v>
      </c>
      <c r="R2976" s="8"/>
      <c r="S2976" s="8" t="s">
        <v>71</v>
      </c>
      <c r="T2976" s="8" t="s">
        <v>67</v>
      </c>
      <c r="U2976" s="8" t="s">
        <v>150</v>
      </c>
      <c r="V2976" s="8" t="s">
        <v>152</v>
      </c>
      <c r="W2976" s="8" t="s">
        <v>67</v>
      </c>
      <c r="X2976" s="8">
        <v>6</v>
      </c>
      <c r="Y2976" s="8" t="s">
        <v>12359</v>
      </c>
      <c r="Z2976" s="8">
        <v>20</v>
      </c>
      <c r="AA2976" s="8">
        <v>0</v>
      </c>
      <c r="AB2976" s="9">
        <v>0</v>
      </c>
    </row>
    <row r="2977" spans="1:28" x14ac:dyDescent="0.2">
      <c r="A2977" s="10">
        <v>21444</v>
      </c>
      <c r="B2977" s="11" t="s">
        <v>18971</v>
      </c>
      <c r="C2977" s="11" t="s">
        <v>9726</v>
      </c>
      <c r="D2977" s="11" t="s">
        <v>18972</v>
      </c>
      <c r="E2977" s="11" t="s">
        <v>18973</v>
      </c>
      <c r="F2977" s="11" t="s">
        <v>10325</v>
      </c>
      <c r="G2977" s="11" t="s">
        <v>141</v>
      </c>
      <c r="H2977" s="11" t="s">
        <v>142</v>
      </c>
      <c r="I2977" s="11" t="s">
        <v>18974</v>
      </c>
      <c r="J2977" s="11" t="s">
        <v>18975</v>
      </c>
      <c r="K2977" s="11" t="s">
        <v>145</v>
      </c>
      <c r="L2977" s="11" t="s">
        <v>146</v>
      </c>
      <c r="M2977" s="11" t="s">
        <v>18976</v>
      </c>
      <c r="N2977" s="11" t="s">
        <v>128</v>
      </c>
      <c r="O2977" s="11" t="s">
        <v>18977</v>
      </c>
      <c r="P2977" s="11" t="s">
        <v>13484</v>
      </c>
      <c r="Q2977" s="11" t="s">
        <v>150</v>
      </c>
      <c r="R2977" s="11"/>
      <c r="S2977" s="11" t="s">
        <v>71</v>
      </c>
      <c r="T2977" s="11" t="s">
        <v>67</v>
      </c>
      <c r="U2977" s="11" t="s">
        <v>150</v>
      </c>
      <c r="V2977" s="11" t="s">
        <v>152</v>
      </c>
      <c r="W2977" s="11" t="s">
        <v>67</v>
      </c>
      <c r="X2977" s="11">
        <v>6</v>
      </c>
      <c r="Y2977" s="11" t="s">
        <v>12359</v>
      </c>
      <c r="Z2977" s="11">
        <v>20</v>
      </c>
      <c r="AA2977" s="11">
        <v>0</v>
      </c>
      <c r="AB2977" s="12">
        <v>0</v>
      </c>
    </row>
    <row r="2978" spans="1:28" x14ac:dyDescent="0.2">
      <c r="A2978" s="7">
        <v>21557</v>
      </c>
      <c r="B2978" s="8" t="s">
        <v>18978</v>
      </c>
      <c r="C2978" s="8" t="s">
        <v>10488</v>
      </c>
      <c r="D2978" s="8" t="s">
        <v>4085</v>
      </c>
      <c r="E2978" s="8" t="s">
        <v>18979</v>
      </c>
      <c r="F2978" s="8" t="s">
        <v>18665</v>
      </c>
      <c r="G2978" s="8" t="s">
        <v>1813</v>
      </c>
      <c r="H2978" s="8" t="s">
        <v>142</v>
      </c>
      <c r="I2978" s="8" t="s">
        <v>18666</v>
      </c>
      <c r="J2978" s="8" t="s">
        <v>18980</v>
      </c>
      <c r="K2978" s="8" t="s">
        <v>974</v>
      </c>
      <c r="L2978" s="8" t="s">
        <v>146</v>
      </c>
      <c r="M2978" s="8" t="s">
        <v>18981</v>
      </c>
      <c r="N2978" s="8" t="s">
        <v>128</v>
      </c>
      <c r="O2978" s="8" t="s">
        <v>18982</v>
      </c>
      <c r="P2978" s="8" t="s">
        <v>1155</v>
      </c>
      <c r="Q2978" s="8" t="s">
        <v>150</v>
      </c>
      <c r="R2978" s="8"/>
      <c r="S2978" s="8" t="s">
        <v>71</v>
      </c>
      <c r="T2978" s="8" t="s">
        <v>67</v>
      </c>
      <c r="U2978" s="8" t="s">
        <v>150</v>
      </c>
      <c r="V2978" s="8" t="s">
        <v>152</v>
      </c>
      <c r="W2978" s="8" t="s">
        <v>67</v>
      </c>
      <c r="X2978" s="8">
        <v>6</v>
      </c>
      <c r="Y2978" s="8" t="s">
        <v>12359</v>
      </c>
      <c r="Z2978" s="8">
        <v>20</v>
      </c>
      <c r="AA2978" s="8">
        <v>0</v>
      </c>
      <c r="AB2978" s="9">
        <v>0</v>
      </c>
    </row>
    <row r="2979" spans="1:28" x14ac:dyDescent="0.2">
      <c r="A2979" s="10">
        <v>106382</v>
      </c>
      <c r="B2979" s="11" t="s">
        <v>18983</v>
      </c>
      <c r="C2979" s="11" t="s">
        <v>18984</v>
      </c>
      <c r="D2979" s="11" t="s">
        <v>18985</v>
      </c>
      <c r="E2979" s="11" t="s">
        <v>18986</v>
      </c>
      <c r="F2979" s="11" t="s">
        <v>18012</v>
      </c>
      <c r="G2979" s="11" t="s">
        <v>18987</v>
      </c>
      <c r="H2979" s="11" t="s">
        <v>159</v>
      </c>
      <c r="I2979" s="11" t="s">
        <v>18988</v>
      </c>
      <c r="J2979" s="11" t="s">
        <v>18989</v>
      </c>
      <c r="K2979" s="11" t="s">
        <v>162</v>
      </c>
      <c r="L2979" s="11" t="s">
        <v>163</v>
      </c>
      <c r="M2979" s="11" t="s">
        <v>18990</v>
      </c>
      <c r="N2979" s="11" t="s">
        <v>128</v>
      </c>
      <c r="O2979" s="11" t="s">
        <v>18991</v>
      </c>
      <c r="P2979" s="11" t="s">
        <v>18992</v>
      </c>
      <c r="Q2979" s="11" t="s">
        <v>150</v>
      </c>
      <c r="R2979" s="11"/>
      <c r="S2979" s="11" t="s">
        <v>71</v>
      </c>
      <c r="T2979" s="11" t="s">
        <v>67</v>
      </c>
      <c r="U2979" s="11" t="s">
        <v>150</v>
      </c>
      <c r="V2979" s="11" t="s">
        <v>152</v>
      </c>
      <c r="W2979" s="11" t="s">
        <v>67</v>
      </c>
      <c r="X2979" s="11">
        <v>6</v>
      </c>
      <c r="Y2979" s="11" t="s">
        <v>12359</v>
      </c>
      <c r="Z2979" s="11">
        <v>20</v>
      </c>
      <c r="AA2979" s="11">
        <v>0</v>
      </c>
      <c r="AB2979" s="12">
        <v>0</v>
      </c>
    </row>
    <row r="2980" spans="1:28" x14ac:dyDescent="0.2">
      <c r="A2980" s="7">
        <v>21468</v>
      </c>
      <c r="B2980" s="8" t="s">
        <v>18993</v>
      </c>
      <c r="C2980" s="8" t="s">
        <v>18994</v>
      </c>
      <c r="D2980" s="8" t="s">
        <v>4623</v>
      </c>
      <c r="E2980" s="8" t="s">
        <v>5198</v>
      </c>
      <c r="F2980" s="8" t="s">
        <v>18995</v>
      </c>
      <c r="G2980" s="8" t="s">
        <v>18996</v>
      </c>
      <c r="H2980" s="8" t="s">
        <v>616</v>
      </c>
      <c r="I2980" s="8" t="s">
        <v>18997</v>
      </c>
      <c r="J2980" s="8" t="s">
        <v>18998</v>
      </c>
      <c r="K2980" s="8" t="s">
        <v>619</v>
      </c>
      <c r="L2980" s="8" t="s">
        <v>163</v>
      </c>
      <c r="M2980" s="8" t="s">
        <v>18999</v>
      </c>
      <c r="N2980" s="8" t="s">
        <v>128</v>
      </c>
      <c r="O2980" s="8" t="s">
        <v>19000</v>
      </c>
      <c r="P2980" s="8" t="s">
        <v>19001</v>
      </c>
      <c r="Q2980" s="8" t="s">
        <v>150</v>
      </c>
      <c r="R2980" s="8"/>
      <c r="S2980" s="8" t="s">
        <v>19002</v>
      </c>
      <c r="T2980" s="8" t="s">
        <v>67</v>
      </c>
      <c r="U2980" s="8" t="s">
        <v>150</v>
      </c>
      <c r="V2980" s="8" t="s">
        <v>152</v>
      </c>
      <c r="W2980" s="8" t="s">
        <v>67</v>
      </c>
      <c r="X2980" s="8">
        <v>6</v>
      </c>
      <c r="Y2980" s="8" t="s">
        <v>12359</v>
      </c>
      <c r="Z2980" s="8">
        <v>20</v>
      </c>
      <c r="AA2980" s="8">
        <v>0</v>
      </c>
      <c r="AB2980" s="9">
        <v>0</v>
      </c>
    </row>
    <row r="2981" spans="1:28" x14ac:dyDescent="0.2">
      <c r="A2981" s="10">
        <v>26284</v>
      </c>
      <c r="B2981" s="11" t="s">
        <v>19003</v>
      </c>
      <c r="C2981" s="11" t="s">
        <v>9653</v>
      </c>
      <c r="D2981" s="11" t="s">
        <v>3427</v>
      </c>
      <c r="E2981" s="11"/>
      <c r="F2981" s="11" t="s">
        <v>353</v>
      </c>
      <c r="G2981" s="11" t="s">
        <v>19004</v>
      </c>
      <c r="H2981" s="11" t="s">
        <v>142</v>
      </c>
      <c r="I2981" s="11" t="s">
        <v>19005</v>
      </c>
      <c r="J2981" s="11" t="s">
        <v>19006</v>
      </c>
      <c r="K2981" s="11" t="s">
        <v>779</v>
      </c>
      <c r="L2981" s="11" t="s">
        <v>464</v>
      </c>
      <c r="M2981" s="11" t="s">
        <v>19007</v>
      </c>
      <c r="N2981" s="11" t="s">
        <v>128</v>
      </c>
      <c r="O2981" s="11" t="s">
        <v>19008</v>
      </c>
      <c r="P2981" s="11" t="s">
        <v>19009</v>
      </c>
      <c r="Q2981" s="11" t="s">
        <v>150</v>
      </c>
      <c r="R2981" s="11"/>
      <c r="S2981" s="11" t="s">
        <v>71</v>
      </c>
      <c r="T2981" s="11" t="s">
        <v>67</v>
      </c>
      <c r="U2981" s="11" t="s">
        <v>150</v>
      </c>
      <c r="V2981" s="11" t="s">
        <v>152</v>
      </c>
      <c r="W2981" s="11" t="s">
        <v>67</v>
      </c>
      <c r="X2981" s="11">
        <v>6</v>
      </c>
      <c r="Y2981" s="11" t="s">
        <v>12359</v>
      </c>
      <c r="Z2981" s="11">
        <v>20</v>
      </c>
      <c r="AA2981" s="11">
        <v>0</v>
      </c>
      <c r="AB2981" s="12">
        <v>0</v>
      </c>
    </row>
    <row r="2982" spans="1:28" x14ac:dyDescent="0.2">
      <c r="A2982" s="7">
        <v>106139</v>
      </c>
      <c r="B2982" s="8" t="s">
        <v>19010</v>
      </c>
      <c r="C2982" s="8" t="s">
        <v>19011</v>
      </c>
      <c r="D2982" s="8" t="s">
        <v>3082</v>
      </c>
      <c r="E2982" s="8"/>
      <c r="F2982" s="8" t="s">
        <v>353</v>
      </c>
      <c r="G2982" s="8" t="s">
        <v>17946</v>
      </c>
      <c r="H2982" s="8" t="s">
        <v>142</v>
      </c>
      <c r="I2982" s="8" t="s">
        <v>17947</v>
      </c>
      <c r="J2982" s="8" t="s">
        <v>19012</v>
      </c>
      <c r="K2982" s="8" t="s">
        <v>1673</v>
      </c>
      <c r="L2982" s="8" t="s">
        <v>464</v>
      </c>
      <c r="M2982" s="8" t="s">
        <v>19013</v>
      </c>
      <c r="N2982" s="8" t="s">
        <v>128</v>
      </c>
      <c r="O2982" s="8" t="s">
        <v>19014</v>
      </c>
      <c r="P2982" s="8" t="s">
        <v>19015</v>
      </c>
      <c r="Q2982" s="8" t="s">
        <v>150</v>
      </c>
      <c r="R2982" s="8"/>
      <c r="S2982" s="8" t="s">
        <v>71</v>
      </c>
      <c r="T2982" s="8" t="s">
        <v>67</v>
      </c>
      <c r="U2982" s="8" t="s">
        <v>150</v>
      </c>
      <c r="V2982" s="8" t="s">
        <v>152</v>
      </c>
      <c r="W2982" s="8" t="s">
        <v>67</v>
      </c>
      <c r="X2982" s="8">
        <v>6</v>
      </c>
      <c r="Y2982" s="8" t="s">
        <v>12359</v>
      </c>
      <c r="Z2982" s="8">
        <v>20</v>
      </c>
      <c r="AA2982" s="8">
        <v>0</v>
      </c>
      <c r="AB2982" s="9">
        <v>0</v>
      </c>
    </row>
    <row r="2983" spans="1:28" x14ac:dyDescent="0.2">
      <c r="A2983" s="10">
        <v>26220</v>
      </c>
      <c r="B2983" s="11" t="s">
        <v>19016</v>
      </c>
      <c r="C2983" s="11" t="s">
        <v>19017</v>
      </c>
      <c r="D2983" s="11" t="s">
        <v>11066</v>
      </c>
      <c r="E2983" s="11"/>
      <c r="F2983" s="11" t="s">
        <v>17989</v>
      </c>
      <c r="G2983" s="11" t="s">
        <v>1626</v>
      </c>
      <c r="H2983" s="11" t="s">
        <v>142</v>
      </c>
      <c r="I2983" s="11" t="s">
        <v>19018</v>
      </c>
      <c r="J2983" s="11" t="s">
        <v>19019</v>
      </c>
      <c r="K2983" s="11" t="s">
        <v>472</v>
      </c>
      <c r="L2983" s="11" t="s">
        <v>146</v>
      </c>
      <c r="M2983" s="11" t="s">
        <v>19020</v>
      </c>
      <c r="N2983" s="11" t="s">
        <v>128</v>
      </c>
      <c r="O2983" s="11" t="s">
        <v>19021</v>
      </c>
      <c r="P2983" s="11" t="s">
        <v>388</v>
      </c>
      <c r="Q2983" s="11" t="s">
        <v>150</v>
      </c>
      <c r="R2983" s="11"/>
      <c r="S2983" s="11" t="s">
        <v>71</v>
      </c>
      <c r="T2983" s="11" t="s">
        <v>67</v>
      </c>
      <c r="U2983" s="11" t="s">
        <v>150</v>
      </c>
      <c r="V2983" s="11" t="s">
        <v>152</v>
      </c>
      <c r="W2983" s="11" t="s">
        <v>67</v>
      </c>
      <c r="X2983" s="11">
        <v>6</v>
      </c>
      <c r="Y2983" s="11" t="s">
        <v>12359</v>
      </c>
      <c r="Z2983" s="11">
        <v>20</v>
      </c>
      <c r="AA2983" s="11">
        <v>0</v>
      </c>
      <c r="AB2983" s="12">
        <v>0</v>
      </c>
    </row>
    <row r="2984" spans="1:28" x14ac:dyDescent="0.2">
      <c r="A2984" s="7">
        <v>115385</v>
      </c>
      <c r="B2984" s="8" t="s">
        <v>19022</v>
      </c>
      <c r="C2984" s="8" t="s">
        <v>15066</v>
      </c>
      <c r="D2984" s="8" t="s">
        <v>1064</v>
      </c>
      <c r="E2984" s="8" t="s">
        <v>19023</v>
      </c>
      <c r="F2984" s="8" t="s">
        <v>353</v>
      </c>
      <c r="G2984" s="8" t="s">
        <v>1794</v>
      </c>
      <c r="H2984" s="8" t="s">
        <v>142</v>
      </c>
      <c r="I2984" s="8" t="s">
        <v>19024</v>
      </c>
      <c r="J2984" s="8" t="s">
        <v>15069</v>
      </c>
      <c r="K2984" s="8" t="s">
        <v>779</v>
      </c>
      <c r="L2984" s="8" t="s">
        <v>464</v>
      </c>
      <c r="M2984" s="8" t="s">
        <v>19025</v>
      </c>
      <c r="N2984" s="8" t="s">
        <v>128</v>
      </c>
      <c r="O2984" s="8" t="s">
        <v>19026</v>
      </c>
      <c r="P2984" s="8"/>
      <c r="Q2984" s="8" t="s">
        <v>131</v>
      </c>
      <c r="R2984" s="8"/>
      <c r="S2984" s="8" t="s">
        <v>15073</v>
      </c>
      <c r="T2984" s="8" t="s">
        <v>983</v>
      </c>
      <c r="U2984" s="8" t="s">
        <v>134</v>
      </c>
      <c r="V2984" s="8" t="s">
        <v>131</v>
      </c>
      <c r="W2984" s="8" t="s">
        <v>983</v>
      </c>
      <c r="X2984" s="8">
        <v>6</v>
      </c>
      <c r="Y2984" s="8" t="s">
        <v>12359</v>
      </c>
      <c r="Z2984" s="8">
        <v>20</v>
      </c>
      <c r="AA2984" s="8">
        <v>0</v>
      </c>
      <c r="AB2984" s="9">
        <v>0</v>
      </c>
    </row>
    <row r="2985" spans="1:28" x14ac:dyDescent="0.2">
      <c r="A2985" s="10">
        <v>22124</v>
      </c>
      <c r="B2985" s="11" t="s">
        <v>19027</v>
      </c>
      <c r="C2985" s="11" t="s">
        <v>19028</v>
      </c>
      <c r="D2985" s="11" t="s">
        <v>4633</v>
      </c>
      <c r="E2985" s="11" t="s">
        <v>281</v>
      </c>
      <c r="F2985" s="11" t="s">
        <v>19029</v>
      </c>
      <c r="G2985" s="11" t="s">
        <v>3612</v>
      </c>
      <c r="H2985" s="11" t="s">
        <v>704</v>
      </c>
      <c r="I2985" s="11" t="s">
        <v>19030</v>
      </c>
      <c r="J2985" s="11" t="s">
        <v>19031</v>
      </c>
      <c r="K2985" s="11" t="s">
        <v>707</v>
      </c>
      <c r="L2985" s="11" t="s">
        <v>126</v>
      </c>
      <c r="M2985" s="11" t="s">
        <v>19032</v>
      </c>
      <c r="N2985" s="11" t="s">
        <v>128</v>
      </c>
      <c r="O2985" s="11" t="s">
        <v>19033</v>
      </c>
      <c r="P2985" s="11"/>
      <c r="Q2985" s="11" t="s">
        <v>131</v>
      </c>
      <c r="R2985" s="11"/>
      <c r="S2985" s="11" t="s">
        <v>19034</v>
      </c>
      <c r="T2985" s="11" t="s">
        <v>983</v>
      </c>
      <c r="U2985" s="11" t="s">
        <v>134</v>
      </c>
      <c r="V2985" s="11" t="s">
        <v>131</v>
      </c>
      <c r="W2985" s="11" t="s">
        <v>983</v>
      </c>
      <c r="X2985" s="11">
        <v>6</v>
      </c>
      <c r="Y2985" s="11" t="s">
        <v>12359</v>
      </c>
      <c r="Z2985" s="11">
        <v>20</v>
      </c>
      <c r="AA2985" s="11">
        <v>0</v>
      </c>
      <c r="AB2985" s="12">
        <v>0</v>
      </c>
    </row>
    <row r="2986" spans="1:28" x14ac:dyDescent="0.2">
      <c r="A2986" s="7">
        <v>111073</v>
      </c>
      <c r="B2986" s="8" t="s">
        <v>19035</v>
      </c>
      <c r="C2986" s="8" t="s">
        <v>14473</v>
      </c>
      <c r="D2986" s="8" t="s">
        <v>5114</v>
      </c>
      <c r="E2986" s="8" t="s">
        <v>19036</v>
      </c>
      <c r="F2986" s="8" t="s">
        <v>18170</v>
      </c>
      <c r="G2986" s="8" t="s">
        <v>6501</v>
      </c>
      <c r="H2986" s="8" t="s">
        <v>159</v>
      </c>
      <c r="I2986" s="8" t="s">
        <v>18171</v>
      </c>
      <c r="J2986" s="8" t="s">
        <v>18172</v>
      </c>
      <c r="K2986" s="8" t="s">
        <v>162</v>
      </c>
      <c r="L2986" s="8" t="s">
        <v>163</v>
      </c>
      <c r="M2986" s="8" t="s">
        <v>19037</v>
      </c>
      <c r="N2986" s="8" t="s">
        <v>128</v>
      </c>
      <c r="O2986" s="8" t="s">
        <v>19038</v>
      </c>
      <c r="P2986" s="8"/>
      <c r="Q2986" s="8" t="s">
        <v>131</v>
      </c>
      <c r="R2986" s="8"/>
      <c r="S2986" s="8" t="s">
        <v>14480</v>
      </c>
      <c r="T2986" s="8" t="s">
        <v>983</v>
      </c>
      <c r="U2986" s="8" t="s">
        <v>134</v>
      </c>
      <c r="V2986" s="8" t="s">
        <v>131</v>
      </c>
      <c r="W2986" s="8" t="s">
        <v>983</v>
      </c>
      <c r="X2986" s="8">
        <v>6</v>
      </c>
      <c r="Y2986" s="8" t="s">
        <v>12359</v>
      </c>
      <c r="Z2986" s="8">
        <v>20</v>
      </c>
      <c r="AA2986" s="8">
        <v>0</v>
      </c>
      <c r="AB2986" s="9">
        <v>0</v>
      </c>
    </row>
    <row r="2987" spans="1:28" x14ac:dyDescent="0.2">
      <c r="A2987" s="10">
        <v>115932</v>
      </c>
      <c r="B2987" s="11" t="s">
        <v>19039</v>
      </c>
      <c r="C2987" s="11" t="s">
        <v>16630</v>
      </c>
      <c r="D2987" s="11" t="s">
        <v>1064</v>
      </c>
      <c r="E2987" s="11" t="s">
        <v>19040</v>
      </c>
      <c r="F2987" s="11" t="s">
        <v>16631</v>
      </c>
      <c r="G2987" s="11" t="s">
        <v>776</v>
      </c>
      <c r="H2987" s="11" t="s">
        <v>142</v>
      </c>
      <c r="I2987" s="11" t="s">
        <v>16632</v>
      </c>
      <c r="J2987" s="11" t="s">
        <v>16633</v>
      </c>
      <c r="K2987" s="11" t="s">
        <v>779</v>
      </c>
      <c r="L2987" s="11" t="s">
        <v>464</v>
      </c>
      <c r="M2987" s="11" t="s">
        <v>19041</v>
      </c>
      <c r="N2987" s="11" t="s">
        <v>128</v>
      </c>
      <c r="O2987" s="11" t="s">
        <v>19042</v>
      </c>
      <c r="P2987" s="11"/>
      <c r="Q2987" s="11" t="s">
        <v>131</v>
      </c>
      <c r="R2987" s="11"/>
      <c r="S2987" s="11" t="s">
        <v>16636</v>
      </c>
      <c r="T2987" s="11" t="s">
        <v>983</v>
      </c>
      <c r="U2987" s="11" t="s">
        <v>134</v>
      </c>
      <c r="V2987" s="11" t="s">
        <v>131</v>
      </c>
      <c r="W2987" s="11" t="s">
        <v>983</v>
      </c>
      <c r="X2987" s="11">
        <v>6</v>
      </c>
      <c r="Y2987" s="11" t="s">
        <v>12359</v>
      </c>
      <c r="Z2987" s="11">
        <v>20</v>
      </c>
      <c r="AA2987" s="11">
        <v>0</v>
      </c>
      <c r="AB2987" s="12">
        <v>0</v>
      </c>
    </row>
    <row r="2988" spans="1:28" x14ac:dyDescent="0.2">
      <c r="A2988" s="7">
        <v>22481</v>
      </c>
      <c r="B2988" s="8" t="s">
        <v>19043</v>
      </c>
      <c r="C2988" s="8" t="s">
        <v>8966</v>
      </c>
      <c r="D2988" s="8" t="s">
        <v>171</v>
      </c>
      <c r="E2988" s="8"/>
      <c r="F2988" s="8" t="s">
        <v>8968</v>
      </c>
      <c r="G2988" s="8" t="s">
        <v>8969</v>
      </c>
      <c r="H2988" s="8" t="s">
        <v>142</v>
      </c>
      <c r="I2988" s="8" t="s">
        <v>19044</v>
      </c>
      <c r="J2988" s="8" t="s">
        <v>17596</v>
      </c>
      <c r="K2988" s="8" t="s">
        <v>1199</v>
      </c>
      <c r="L2988" s="8" t="s">
        <v>464</v>
      </c>
      <c r="M2988" s="8" t="s">
        <v>19045</v>
      </c>
      <c r="N2988" s="8" t="s">
        <v>128</v>
      </c>
      <c r="O2988" s="8" t="s">
        <v>19046</v>
      </c>
      <c r="P2988" s="8"/>
      <c r="Q2988" s="8" t="s">
        <v>131</v>
      </c>
      <c r="R2988" s="8"/>
      <c r="S2988" s="8" t="s">
        <v>8975</v>
      </c>
      <c r="T2988" s="8" t="s">
        <v>983</v>
      </c>
      <c r="U2988" s="8" t="s">
        <v>134</v>
      </c>
      <c r="V2988" s="8" t="s">
        <v>131</v>
      </c>
      <c r="W2988" s="8" t="s">
        <v>983</v>
      </c>
      <c r="X2988" s="8">
        <v>6</v>
      </c>
      <c r="Y2988" s="8" t="s">
        <v>12359</v>
      </c>
      <c r="Z2988" s="8">
        <v>20</v>
      </c>
      <c r="AA2988" s="8">
        <v>0</v>
      </c>
      <c r="AB2988" s="9">
        <v>0</v>
      </c>
    </row>
    <row r="2989" spans="1:28" x14ac:dyDescent="0.2">
      <c r="A2989" s="10">
        <v>21788</v>
      </c>
      <c r="B2989" s="11" t="s">
        <v>19047</v>
      </c>
      <c r="C2989" s="11" t="s">
        <v>2481</v>
      </c>
      <c r="D2989" s="11" t="s">
        <v>9664</v>
      </c>
      <c r="E2989" s="11"/>
      <c r="F2989" s="11" t="s">
        <v>353</v>
      </c>
      <c r="G2989" s="11" t="s">
        <v>10062</v>
      </c>
      <c r="H2989" s="11" t="s">
        <v>142</v>
      </c>
      <c r="I2989" s="11" t="s">
        <v>16725</v>
      </c>
      <c r="J2989" s="11" t="s">
        <v>19048</v>
      </c>
      <c r="K2989" s="11" t="s">
        <v>1029</v>
      </c>
      <c r="L2989" s="11" t="s">
        <v>464</v>
      </c>
      <c r="M2989" s="11" t="s">
        <v>19049</v>
      </c>
      <c r="N2989" s="11" t="s">
        <v>128</v>
      </c>
      <c r="O2989" s="11" t="s">
        <v>19050</v>
      </c>
      <c r="P2989" s="11"/>
      <c r="Q2989" s="11" t="s">
        <v>131</v>
      </c>
      <c r="R2989" s="11"/>
      <c r="S2989" s="11" t="s">
        <v>71</v>
      </c>
      <c r="T2989" s="11" t="s">
        <v>983</v>
      </c>
      <c r="U2989" s="11" t="s">
        <v>134</v>
      </c>
      <c r="V2989" s="11" t="s">
        <v>131</v>
      </c>
      <c r="W2989" s="11" t="s">
        <v>983</v>
      </c>
      <c r="X2989" s="11">
        <v>6</v>
      </c>
      <c r="Y2989" s="11" t="s">
        <v>12359</v>
      </c>
      <c r="Z2989" s="11">
        <v>20</v>
      </c>
      <c r="AA2989" s="11">
        <v>0</v>
      </c>
      <c r="AB2989" s="12">
        <v>0</v>
      </c>
    </row>
    <row r="2990" spans="1:28" x14ac:dyDescent="0.2">
      <c r="A2990" s="7">
        <v>125706</v>
      </c>
      <c r="B2990" s="8" t="s">
        <v>19051</v>
      </c>
      <c r="C2990" s="8" t="s">
        <v>6052</v>
      </c>
      <c r="D2990" s="8" t="s">
        <v>579</v>
      </c>
      <c r="E2990" s="8"/>
      <c r="F2990" s="8" t="s">
        <v>353</v>
      </c>
      <c r="G2990" s="8" t="s">
        <v>2691</v>
      </c>
      <c r="H2990" s="8" t="s">
        <v>704</v>
      </c>
      <c r="I2990" s="8" t="s">
        <v>17114</v>
      </c>
      <c r="J2990" s="8" t="s">
        <v>19052</v>
      </c>
      <c r="K2990" s="8" t="s">
        <v>707</v>
      </c>
      <c r="L2990" s="8" t="s">
        <v>126</v>
      </c>
      <c r="M2990" s="8" t="s">
        <v>19053</v>
      </c>
      <c r="N2990" s="8" t="s">
        <v>128</v>
      </c>
      <c r="O2990" s="8" t="s">
        <v>19054</v>
      </c>
      <c r="P2990" s="8"/>
      <c r="Q2990" s="8" t="s">
        <v>131</v>
      </c>
      <c r="R2990" s="8"/>
      <c r="S2990" s="8" t="s">
        <v>71</v>
      </c>
      <c r="T2990" s="8" t="s">
        <v>983</v>
      </c>
      <c r="U2990" s="8" t="s">
        <v>134</v>
      </c>
      <c r="V2990" s="8" t="s">
        <v>131</v>
      </c>
      <c r="W2990" s="8" t="s">
        <v>983</v>
      </c>
      <c r="X2990" s="8">
        <v>6</v>
      </c>
      <c r="Y2990" s="8" t="s">
        <v>12359</v>
      </c>
      <c r="Z2990" s="8">
        <v>20</v>
      </c>
      <c r="AA2990" s="8">
        <v>0</v>
      </c>
      <c r="AB2990" s="9">
        <v>0</v>
      </c>
    </row>
    <row r="2991" spans="1:28" x14ac:dyDescent="0.2">
      <c r="A2991" s="10">
        <v>235347</v>
      </c>
      <c r="B2991" s="11" t="s">
        <v>19055</v>
      </c>
      <c r="C2991" s="11" t="s">
        <v>2172</v>
      </c>
      <c r="D2991" s="11" t="s">
        <v>10475</v>
      </c>
      <c r="E2991" s="11"/>
      <c r="F2991" s="11" t="s">
        <v>353</v>
      </c>
      <c r="G2991" s="11" t="s">
        <v>1286</v>
      </c>
      <c r="H2991" s="11" t="s">
        <v>142</v>
      </c>
      <c r="I2991" s="11" t="s">
        <v>19056</v>
      </c>
      <c r="J2991" s="11" t="s">
        <v>19057</v>
      </c>
      <c r="K2991" s="11" t="s">
        <v>717</v>
      </c>
      <c r="L2991" s="11" t="s">
        <v>464</v>
      </c>
      <c r="M2991" s="11" t="s">
        <v>19058</v>
      </c>
      <c r="N2991" s="11" t="s">
        <v>128</v>
      </c>
      <c r="O2991" s="11" t="s">
        <v>19059</v>
      </c>
      <c r="P2991" s="11"/>
      <c r="Q2991" s="11" t="s">
        <v>131</v>
      </c>
      <c r="R2991" s="11"/>
      <c r="S2991" s="11" t="s">
        <v>71</v>
      </c>
      <c r="T2991" s="11" t="s">
        <v>983</v>
      </c>
      <c r="U2991" s="11" t="s">
        <v>134</v>
      </c>
      <c r="V2991" s="11" t="s">
        <v>131</v>
      </c>
      <c r="W2991" s="11" t="s">
        <v>983</v>
      </c>
      <c r="X2991" s="11">
        <v>6</v>
      </c>
      <c r="Y2991" s="11" t="s">
        <v>12359</v>
      </c>
      <c r="Z2991" s="11">
        <v>20</v>
      </c>
      <c r="AA2991" s="11">
        <v>0</v>
      </c>
      <c r="AB2991" s="12">
        <v>0</v>
      </c>
    </row>
    <row r="2992" spans="1:28" x14ac:dyDescent="0.2">
      <c r="A2992" s="7">
        <v>21797</v>
      </c>
      <c r="B2992" s="8" t="s">
        <v>19060</v>
      </c>
      <c r="C2992" s="8" t="s">
        <v>4897</v>
      </c>
      <c r="D2992" s="8" t="s">
        <v>19061</v>
      </c>
      <c r="E2992" s="8" t="s">
        <v>19062</v>
      </c>
      <c r="F2992" s="8" t="s">
        <v>19063</v>
      </c>
      <c r="G2992" s="8" t="s">
        <v>2332</v>
      </c>
      <c r="H2992" s="8" t="s">
        <v>142</v>
      </c>
      <c r="I2992" s="8" t="s">
        <v>19064</v>
      </c>
      <c r="J2992" s="8" t="s">
        <v>19065</v>
      </c>
      <c r="K2992" s="8" t="s">
        <v>779</v>
      </c>
      <c r="L2992" s="8" t="s">
        <v>464</v>
      </c>
      <c r="M2992" s="8" t="s">
        <v>19066</v>
      </c>
      <c r="N2992" s="8" t="s">
        <v>128</v>
      </c>
      <c r="O2992" s="8" t="s">
        <v>19067</v>
      </c>
      <c r="P2992" s="8" t="s">
        <v>19068</v>
      </c>
      <c r="Q2992" s="8" t="s">
        <v>131</v>
      </c>
      <c r="R2992" s="8"/>
      <c r="S2992" s="8" t="s">
        <v>19069</v>
      </c>
      <c r="T2992" s="8" t="s">
        <v>133</v>
      </c>
      <c r="U2992" s="8" t="s">
        <v>134</v>
      </c>
      <c r="V2992" s="8" t="s">
        <v>131</v>
      </c>
      <c r="W2992" s="8" t="s">
        <v>133</v>
      </c>
      <c r="X2992" s="8">
        <v>6</v>
      </c>
      <c r="Y2992" s="8" t="s">
        <v>12359</v>
      </c>
      <c r="Z2992" s="8">
        <v>20</v>
      </c>
      <c r="AA2992" s="8">
        <v>0</v>
      </c>
      <c r="AB2992" s="9">
        <v>0</v>
      </c>
    </row>
    <row r="2993" spans="1:28" x14ac:dyDescent="0.2">
      <c r="A2993" s="10">
        <v>21979</v>
      </c>
      <c r="B2993" s="11" t="s">
        <v>19070</v>
      </c>
      <c r="C2993" s="11" t="s">
        <v>19071</v>
      </c>
      <c r="D2993" s="11" t="s">
        <v>138</v>
      </c>
      <c r="E2993" s="11" t="s">
        <v>19072</v>
      </c>
      <c r="F2993" s="11" t="s">
        <v>19073</v>
      </c>
      <c r="G2993" s="11" t="s">
        <v>10391</v>
      </c>
      <c r="H2993" s="11" t="s">
        <v>142</v>
      </c>
      <c r="I2993" s="11" t="s">
        <v>19074</v>
      </c>
      <c r="J2993" s="11" t="s">
        <v>19075</v>
      </c>
      <c r="K2993" s="11" t="s">
        <v>472</v>
      </c>
      <c r="L2993" s="11" t="s">
        <v>146</v>
      </c>
      <c r="M2993" s="11" t="s">
        <v>19076</v>
      </c>
      <c r="N2993" s="11" t="s">
        <v>128</v>
      </c>
      <c r="O2993" s="11" t="s">
        <v>19077</v>
      </c>
      <c r="P2993" s="11" t="s">
        <v>2298</v>
      </c>
      <c r="Q2993" s="11" t="s">
        <v>131</v>
      </c>
      <c r="R2993" s="11"/>
      <c r="S2993" s="11" t="s">
        <v>19078</v>
      </c>
      <c r="T2993" s="11" t="s">
        <v>133</v>
      </c>
      <c r="U2993" s="11" t="s">
        <v>134</v>
      </c>
      <c r="V2993" s="11" t="s">
        <v>131</v>
      </c>
      <c r="W2993" s="11" t="s">
        <v>133</v>
      </c>
      <c r="X2993" s="11">
        <v>6</v>
      </c>
      <c r="Y2993" s="11" t="s">
        <v>12359</v>
      </c>
      <c r="Z2993" s="11">
        <v>20</v>
      </c>
      <c r="AA2993" s="11">
        <v>0</v>
      </c>
      <c r="AB2993" s="12">
        <v>0</v>
      </c>
    </row>
    <row r="2994" spans="1:28" x14ac:dyDescent="0.2">
      <c r="A2994" s="7">
        <v>21796</v>
      </c>
      <c r="B2994" s="8" t="s">
        <v>19079</v>
      </c>
      <c r="C2994" s="8" t="s">
        <v>6753</v>
      </c>
      <c r="D2994" s="8" t="s">
        <v>1320</v>
      </c>
      <c r="E2994" s="8"/>
      <c r="F2994" s="8" t="s">
        <v>3464</v>
      </c>
      <c r="G2994" s="8" t="s">
        <v>450</v>
      </c>
      <c r="H2994" s="8" t="s">
        <v>301</v>
      </c>
      <c r="I2994" s="8" t="s">
        <v>863</v>
      </c>
      <c r="J2994" s="8" t="s">
        <v>19080</v>
      </c>
      <c r="K2994" s="8" t="s">
        <v>304</v>
      </c>
      <c r="L2994" s="8" t="s">
        <v>229</v>
      </c>
      <c r="M2994" s="8" t="s">
        <v>19081</v>
      </c>
      <c r="N2994" s="8" t="s">
        <v>128</v>
      </c>
      <c r="O2994" s="8" t="s">
        <v>19082</v>
      </c>
      <c r="P2994" s="8" t="s">
        <v>19083</v>
      </c>
      <c r="Q2994" s="8" t="s">
        <v>131</v>
      </c>
      <c r="R2994" s="8"/>
      <c r="S2994" s="8" t="s">
        <v>71</v>
      </c>
      <c r="T2994" s="8" t="s">
        <v>133</v>
      </c>
      <c r="U2994" s="8" t="s">
        <v>134</v>
      </c>
      <c r="V2994" s="8" t="s">
        <v>131</v>
      </c>
      <c r="W2994" s="8" t="s">
        <v>133</v>
      </c>
      <c r="X2994" s="8">
        <v>6</v>
      </c>
      <c r="Y2994" s="8" t="s">
        <v>12359</v>
      </c>
      <c r="Z2994" s="8">
        <v>20</v>
      </c>
      <c r="AA2994" s="8">
        <v>0</v>
      </c>
      <c r="AB2994" s="9">
        <v>0</v>
      </c>
    </row>
    <row r="2995" spans="1:28" x14ac:dyDescent="0.2">
      <c r="A2995" s="10">
        <v>21849</v>
      </c>
      <c r="B2995" s="11" t="s">
        <v>19084</v>
      </c>
      <c r="C2995" s="11" t="s">
        <v>19085</v>
      </c>
      <c r="D2995" s="11" t="s">
        <v>8390</v>
      </c>
      <c r="E2995" s="11"/>
      <c r="F2995" s="11" t="s">
        <v>19086</v>
      </c>
      <c r="G2995" s="11" t="s">
        <v>364</v>
      </c>
      <c r="H2995" s="11" t="s">
        <v>365</v>
      </c>
      <c r="I2995" s="11" t="s">
        <v>19087</v>
      </c>
      <c r="J2995" s="11" t="s">
        <v>19088</v>
      </c>
      <c r="K2995" s="11" t="s">
        <v>162</v>
      </c>
      <c r="L2995" s="11" t="s">
        <v>163</v>
      </c>
      <c r="M2995" s="11" t="s">
        <v>19089</v>
      </c>
      <c r="N2995" s="11" t="s">
        <v>128</v>
      </c>
      <c r="O2995" s="11" t="s">
        <v>19090</v>
      </c>
      <c r="P2995" s="11" t="s">
        <v>19091</v>
      </c>
      <c r="Q2995" s="11" t="s">
        <v>131</v>
      </c>
      <c r="R2995" s="11"/>
      <c r="S2995" s="11" t="s">
        <v>71</v>
      </c>
      <c r="T2995" s="11" t="s">
        <v>133</v>
      </c>
      <c r="U2995" s="11" t="s">
        <v>134</v>
      </c>
      <c r="V2995" s="11" t="s">
        <v>131</v>
      </c>
      <c r="W2995" s="11" t="s">
        <v>133</v>
      </c>
      <c r="X2995" s="11">
        <v>6</v>
      </c>
      <c r="Y2995" s="11" t="s">
        <v>12359</v>
      </c>
      <c r="Z2995" s="11">
        <v>20</v>
      </c>
      <c r="AA2995" s="11">
        <v>0</v>
      </c>
      <c r="AB2995" s="12">
        <v>0</v>
      </c>
    </row>
    <row r="2996" spans="1:28" x14ac:dyDescent="0.2">
      <c r="A2996" s="7">
        <v>21973</v>
      </c>
      <c r="B2996" s="8" t="s">
        <v>19092</v>
      </c>
      <c r="C2996" s="8" t="s">
        <v>19093</v>
      </c>
      <c r="D2996" s="8" t="s">
        <v>138</v>
      </c>
      <c r="E2996" s="8"/>
      <c r="F2996" s="8" t="s">
        <v>6588</v>
      </c>
      <c r="G2996" s="8" t="s">
        <v>1952</v>
      </c>
      <c r="H2996" s="8" t="s">
        <v>1953</v>
      </c>
      <c r="I2996" s="8" t="s">
        <v>16666</v>
      </c>
      <c r="J2996" s="8" t="s">
        <v>19094</v>
      </c>
      <c r="K2996" s="8" t="s">
        <v>1956</v>
      </c>
      <c r="L2996" s="8" t="s">
        <v>526</v>
      </c>
      <c r="M2996" s="8" t="s">
        <v>19095</v>
      </c>
      <c r="N2996" s="8" t="s">
        <v>128</v>
      </c>
      <c r="O2996" s="8" t="s">
        <v>19096</v>
      </c>
      <c r="P2996" s="8" t="s">
        <v>19097</v>
      </c>
      <c r="Q2996" s="8" t="s">
        <v>131</v>
      </c>
      <c r="R2996" s="8"/>
      <c r="S2996" s="8" t="s">
        <v>16366</v>
      </c>
      <c r="T2996" s="8" t="s">
        <v>133</v>
      </c>
      <c r="U2996" s="8" t="s">
        <v>134</v>
      </c>
      <c r="V2996" s="8" t="s">
        <v>131</v>
      </c>
      <c r="W2996" s="8" t="s">
        <v>133</v>
      </c>
      <c r="X2996" s="8">
        <v>6</v>
      </c>
      <c r="Y2996" s="8" t="s">
        <v>12359</v>
      </c>
      <c r="Z2996" s="8">
        <v>20</v>
      </c>
      <c r="AA2996" s="8">
        <v>0</v>
      </c>
      <c r="AB2996" s="9">
        <v>0</v>
      </c>
    </row>
    <row r="2997" spans="1:28" x14ac:dyDescent="0.2">
      <c r="A2997" s="10">
        <v>21923</v>
      </c>
      <c r="B2997" s="11" t="s">
        <v>19098</v>
      </c>
      <c r="C2997" s="11" t="s">
        <v>18938</v>
      </c>
      <c r="D2997" s="11" t="s">
        <v>2832</v>
      </c>
      <c r="E2997" s="11"/>
      <c r="F2997" s="11" t="s">
        <v>18939</v>
      </c>
      <c r="G2997" s="11" t="s">
        <v>141</v>
      </c>
      <c r="H2997" s="11" t="s">
        <v>142</v>
      </c>
      <c r="I2997" s="11" t="s">
        <v>18940</v>
      </c>
      <c r="J2997" s="11" t="s">
        <v>19099</v>
      </c>
      <c r="K2997" s="11" t="s">
        <v>472</v>
      </c>
      <c r="L2997" s="11" t="s">
        <v>146</v>
      </c>
      <c r="M2997" s="11" t="s">
        <v>19100</v>
      </c>
      <c r="N2997" s="11" t="s">
        <v>128</v>
      </c>
      <c r="O2997" s="11" t="s">
        <v>19101</v>
      </c>
      <c r="P2997" s="11" t="s">
        <v>4267</v>
      </c>
      <c r="Q2997" s="11" t="s">
        <v>131</v>
      </c>
      <c r="R2997" s="11"/>
      <c r="S2997" s="11" t="s">
        <v>18945</v>
      </c>
      <c r="T2997" s="11" t="s">
        <v>133</v>
      </c>
      <c r="U2997" s="11" t="s">
        <v>134</v>
      </c>
      <c r="V2997" s="11" t="s">
        <v>131</v>
      </c>
      <c r="W2997" s="11" t="s">
        <v>133</v>
      </c>
      <c r="X2997" s="11">
        <v>6</v>
      </c>
      <c r="Y2997" s="11" t="s">
        <v>12359</v>
      </c>
      <c r="Z2997" s="11">
        <v>20</v>
      </c>
      <c r="AA2997" s="11">
        <v>0</v>
      </c>
      <c r="AB2997" s="12">
        <v>0</v>
      </c>
    </row>
    <row r="2998" spans="1:28" x14ac:dyDescent="0.2">
      <c r="A2998" s="7">
        <v>23526</v>
      </c>
      <c r="B2998" s="8" t="s">
        <v>19102</v>
      </c>
      <c r="C2998" s="8" t="s">
        <v>19103</v>
      </c>
      <c r="D2998" s="8" t="s">
        <v>2928</v>
      </c>
      <c r="E2998" s="8"/>
      <c r="F2998" s="8" t="s">
        <v>353</v>
      </c>
      <c r="G2998" s="8" t="s">
        <v>846</v>
      </c>
      <c r="H2998" s="8" t="s">
        <v>847</v>
      </c>
      <c r="I2998" s="8" t="s">
        <v>12764</v>
      </c>
      <c r="J2998" s="8" t="s">
        <v>19104</v>
      </c>
      <c r="K2998" s="8" t="s">
        <v>850</v>
      </c>
      <c r="L2998" s="8" t="s">
        <v>126</v>
      </c>
      <c r="M2998" s="8" t="s">
        <v>19105</v>
      </c>
      <c r="N2998" s="8" t="s">
        <v>128</v>
      </c>
      <c r="O2998" s="8" t="s">
        <v>19106</v>
      </c>
      <c r="P2998" s="8" t="s">
        <v>15240</v>
      </c>
      <c r="Q2998" s="8" t="s">
        <v>150</v>
      </c>
      <c r="R2998" s="8"/>
      <c r="S2998" s="8" t="s">
        <v>71</v>
      </c>
      <c r="T2998" s="8" t="s">
        <v>6736</v>
      </c>
      <c r="U2998" s="8" t="s">
        <v>150</v>
      </c>
      <c r="V2998" s="8" t="s">
        <v>6736</v>
      </c>
      <c r="W2998" s="8" t="s">
        <v>6736</v>
      </c>
      <c r="X2998" s="8">
        <v>6</v>
      </c>
      <c r="Y2998" s="8" t="s">
        <v>12359</v>
      </c>
      <c r="Z2998" s="8">
        <v>20</v>
      </c>
      <c r="AA2998" s="8">
        <v>0</v>
      </c>
      <c r="AB2998" s="9">
        <v>0</v>
      </c>
    </row>
    <row r="2999" spans="1:28" x14ac:dyDescent="0.2">
      <c r="A2999" s="10">
        <v>22248</v>
      </c>
      <c r="B2999" s="11" t="s">
        <v>19107</v>
      </c>
      <c r="C2999" s="11" t="s">
        <v>1928</v>
      </c>
      <c r="D2999" s="11" t="s">
        <v>12341</v>
      </c>
      <c r="E2999" s="11"/>
      <c r="F2999" s="11" t="s">
        <v>353</v>
      </c>
      <c r="G2999" s="11" t="s">
        <v>1727</v>
      </c>
      <c r="H2999" s="11" t="s">
        <v>557</v>
      </c>
      <c r="I2999" s="11" t="s">
        <v>1930</v>
      </c>
      <c r="J2999" s="11" t="s">
        <v>19108</v>
      </c>
      <c r="K2999" s="11" t="s">
        <v>1562</v>
      </c>
      <c r="L2999" s="11" t="s">
        <v>229</v>
      </c>
      <c r="M2999" s="11" t="s">
        <v>19109</v>
      </c>
      <c r="N2999" s="11" t="s">
        <v>128</v>
      </c>
      <c r="O2999" s="11" t="s">
        <v>19110</v>
      </c>
      <c r="P2999" s="11" t="s">
        <v>19111</v>
      </c>
      <c r="Q2999" s="11" t="s">
        <v>150</v>
      </c>
      <c r="R2999" s="11"/>
      <c r="S2999" s="11" t="s">
        <v>71</v>
      </c>
      <c r="T2999" s="11" t="s">
        <v>14420</v>
      </c>
      <c r="U2999" s="11" t="s">
        <v>150</v>
      </c>
      <c r="V2999" s="11" t="s">
        <v>14420</v>
      </c>
      <c r="W2999" s="11" t="s">
        <v>14420</v>
      </c>
      <c r="X2999" s="11">
        <v>6</v>
      </c>
      <c r="Y2999" s="11" t="s">
        <v>12359</v>
      </c>
      <c r="Z2999" s="11">
        <v>20</v>
      </c>
      <c r="AA2999" s="11">
        <v>0</v>
      </c>
      <c r="AB2999" s="12">
        <v>0</v>
      </c>
    </row>
    <row r="3000" spans="1:28" x14ac:dyDescent="0.2">
      <c r="A3000" s="7">
        <v>106147</v>
      </c>
      <c r="B3000" s="8" t="s">
        <v>19112</v>
      </c>
      <c r="C3000" s="8" t="s">
        <v>7773</v>
      </c>
      <c r="D3000" s="8" t="s">
        <v>961</v>
      </c>
      <c r="E3000" s="8"/>
      <c r="F3000" s="8" t="s">
        <v>353</v>
      </c>
      <c r="G3000" s="8" t="s">
        <v>4465</v>
      </c>
      <c r="H3000" s="8" t="s">
        <v>4466</v>
      </c>
      <c r="I3000" s="8" t="s">
        <v>19113</v>
      </c>
      <c r="J3000" s="8" t="s">
        <v>19114</v>
      </c>
      <c r="K3000" s="8" t="s">
        <v>525</v>
      </c>
      <c r="L3000" s="8" t="s">
        <v>526</v>
      </c>
      <c r="M3000" s="8" t="s">
        <v>19115</v>
      </c>
      <c r="N3000" s="8" t="s">
        <v>128</v>
      </c>
      <c r="O3000" s="8" t="s">
        <v>19116</v>
      </c>
      <c r="P3000" s="8" t="s">
        <v>19117</v>
      </c>
      <c r="Q3000" s="8" t="s">
        <v>150</v>
      </c>
      <c r="R3000" s="8"/>
      <c r="S3000" s="8" t="s">
        <v>71</v>
      </c>
      <c r="T3000" s="8" t="s">
        <v>7898</v>
      </c>
      <c r="U3000" s="8" t="s">
        <v>150</v>
      </c>
      <c r="V3000" s="8" t="s">
        <v>7898</v>
      </c>
      <c r="W3000" s="8" t="s">
        <v>7898</v>
      </c>
      <c r="X3000" s="8">
        <v>6</v>
      </c>
      <c r="Y3000" s="8" t="s">
        <v>12359</v>
      </c>
      <c r="Z3000" s="8">
        <v>20</v>
      </c>
      <c r="AA3000" s="8">
        <v>0</v>
      </c>
      <c r="AB3000" s="9">
        <v>0</v>
      </c>
    </row>
    <row r="3001" spans="1:28" x14ac:dyDescent="0.2">
      <c r="A3001" s="10">
        <v>22587</v>
      </c>
      <c r="B3001" s="11" t="s">
        <v>19118</v>
      </c>
      <c r="C3001" s="11" t="s">
        <v>19119</v>
      </c>
      <c r="D3001" s="11" t="s">
        <v>19120</v>
      </c>
      <c r="E3001" s="11" t="s">
        <v>281</v>
      </c>
      <c r="F3001" s="11" t="s">
        <v>353</v>
      </c>
      <c r="G3001" s="11" t="s">
        <v>7402</v>
      </c>
      <c r="H3001" s="11" t="s">
        <v>847</v>
      </c>
      <c r="I3001" s="11" t="s">
        <v>19121</v>
      </c>
      <c r="J3001" s="11" t="s">
        <v>19122</v>
      </c>
      <c r="K3001" s="11" t="s">
        <v>1091</v>
      </c>
      <c r="L3001" s="11" t="s">
        <v>126</v>
      </c>
      <c r="M3001" s="11" t="s">
        <v>19123</v>
      </c>
      <c r="N3001" s="11" t="s">
        <v>128</v>
      </c>
      <c r="O3001" s="11" t="s">
        <v>19124</v>
      </c>
      <c r="P3001" s="11" t="s">
        <v>19125</v>
      </c>
      <c r="Q3001" s="11" t="s">
        <v>150</v>
      </c>
      <c r="R3001" s="11"/>
      <c r="S3001" s="11" t="s">
        <v>71</v>
      </c>
      <c r="T3001" s="11" t="s">
        <v>2697</v>
      </c>
      <c r="U3001" s="11" t="s">
        <v>150</v>
      </c>
      <c r="V3001" s="11" t="s">
        <v>2697</v>
      </c>
      <c r="W3001" s="11" t="s">
        <v>2697</v>
      </c>
      <c r="X3001" s="11">
        <v>6</v>
      </c>
      <c r="Y3001" s="11" t="s">
        <v>12359</v>
      </c>
      <c r="Z3001" s="11">
        <v>20</v>
      </c>
      <c r="AA3001" s="11">
        <v>0</v>
      </c>
      <c r="AB3001" s="12">
        <v>0</v>
      </c>
    </row>
    <row r="3002" spans="1:28" x14ac:dyDescent="0.2">
      <c r="A3002" s="7">
        <v>22611</v>
      </c>
      <c r="B3002" s="8" t="s">
        <v>19126</v>
      </c>
      <c r="C3002" s="8" t="s">
        <v>19127</v>
      </c>
      <c r="D3002" s="8" t="s">
        <v>4633</v>
      </c>
      <c r="E3002" s="8"/>
      <c r="F3002" s="8" t="s">
        <v>19128</v>
      </c>
      <c r="G3002" s="8" t="s">
        <v>3612</v>
      </c>
      <c r="H3002" s="8" t="s">
        <v>704</v>
      </c>
      <c r="I3002" s="8" t="s">
        <v>19030</v>
      </c>
      <c r="J3002" s="8" t="s">
        <v>19129</v>
      </c>
      <c r="K3002" s="8" t="s">
        <v>707</v>
      </c>
      <c r="L3002" s="8" t="s">
        <v>126</v>
      </c>
      <c r="M3002" s="8" t="s">
        <v>19130</v>
      </c>
      <c r="N3002" s="8" t="s">
        <v>128</v>
      </c>
      <c r="O3002" s="8" t="s">
        <v>19131</v>
      </c>
      <c r="P3002" s="8" t="s">
        <v>19132</v>
      </c>
      <c r="Q3002" s="8" t="s">
        <v>150</v>
      </c>
      <c r="R3002" s="8"/>
      <c r="S3002" s="8" t="s">
        <v>19034</v>
      </c>
      <c r="T3002" s="8" t="s">
        <v>2697</v>
      </c>
      <c r="U3002" s="8" t="s">
        <v>150</v>
      </c>
      <c r="V3002" s="8" t="s">
        <v>2697</v>
      </c>
      <c r="W3002" s="8" t="s">
        <v>2697</v>
      </c>
      <c r="X3002" s="8">
        <v>6</v>
      </c>
      <c r="Y3002" s="8" t="s">
        <v>12359</v>
      </c>
      <c r="Z3002" s="8">
        <v>20</v>
      </c>
      <c r="AA3002" s="8">
        <v>0</v>
      </c>
      <c r="AB3002" s="9">
        <v>0</v>
      </c>
    </row>
    <row r="3003" spans="1:28" x14ac:dyDescent="0.2">
      <c r="A3003" s="10">
        <v>123928</v>
      </c>
      <c r="B3003" s="11" t="s">
        <v>19133</v>
      </c>
      <c r="C3003" s="11" t="s">
        <v>6681</v>
      </c>
      <c r="D3003" s="11" t="s">
        <v>7068</v>
      </c>
      <c r="E3003" s="11"/>
      <c r="F3003" s="11" t="s">
        <v>353</v>
      </c>
      <c r="G3003" s="11" t="s">
        <v>2192</v>
      </c>
      <c r="H3003" s="11" t="s">
        <v>704</v>
      </c>
      <c r="I3003" s="11" t="s">
        <v>2193</v>
      </c>
      <c r="J3003" s="11" t="s">
        <v>19134</v>
      </c>
      <c r="K3003" s="11" t="s">
        <v>707</v>
      </c>
      <c r="L3003" s="11" t="s">
        <v>126</v>
      </c>
      <c r="M3003" s="11" t="s">
        <v>19135</v>
      </c>
      <c r="N3003" s="11" t="s">
        <v>128</v>
      </c>
      <c r="O3003" s="11" t="s">
        <v>19136</v>
      </c>
      <c r="P3003" s="11"/>
      <c r="Q3003" s="11" t="s">
        <v>150</v>
      </c>
      <c r="R3003" s="11"/>
      <c r="S3003" s="11" t="s">
        <v>71</v>
      </c>
      <c r="T3003" s="11" t="s">
        <v>2817</v>
      </c>
      <c r="U3003" s="11" t="s">
        <v>150</v>
      </c>
      <c r="V3003" s="11" t="s">
        <v>2817</v>
      </c>
      <c r="W3003" s="11" t="s">
        <v>2817</v>
      </c>
      <c r="X3003" s="11">
        <v>6</v>
      </c>
      <c r="Y3003" s="11" t="s">
        <v>12359</v>
      </c>
      <c r="Z3003" s="11">
        <v>20</v>
      </c>
      <c r="AA3003" s="11">
        <v>0</v>
      </c>
      <c r="AB3003" s="12">
        <v>0</v>
      </c>
    </row>
    <row r="3004" spans="1:28" x14ac:dyDescent="0.2">
      <c r="A3004" s="7">
        <v>28371</v>
      </c>
      <c r="B3004" s="8" t="s">
        <v>19137</v>
      </c>
      <c r="C3004" s="8" t="s">
        <v>19138</v>
      </c>
      <c r="D3004" s="8" t="s">
        <v>5206</v>
      </c>
      <c r="E3004" s="8" t="s">
        <v>19139</v>
      </c>
      <c r="F3004" s="8" t="s">
        <v>353</v>
      </c>
      <c r="G3004" s="8" t="s">
        <v>14650</v>
      </c>
      <c r="H3004" s="8" t="s">
        <v>122</v>
      </c>
      <c r="I3004" s="8" t="s">
        <v>14651</v>
      </c>
      <c r="J3004" s="8" t="s">
        <v>19140</v>
      </c>
      <c r="K3004" s="8" t="s">
        <v>125</v>
      </c>
      <c r="L3004" s="8" t="s">
        <v>126</v>
      </c>
      <c r="M3004" s="8" t="s">
        <v>19141</v>
      </c>
      <c r="N3004" s="8" t="s">
        <v>128</v>
      </c>
      <c r="O3004" s="8" t="s">
        <v>19142</v>
      </c>
      <c r="P3004" s="8" t="s">
        <v>291</v>
      </c>
      <c r="Q3004" s="8" t="s">
        <v>150</v>
      </c>
      <c r="R3004" s="8"/>
      <c r="S3004" s="8" t="s">
        <v>71</v>
      </c>
      <c r="T3004" s="8" t="s">
        <v>7189</v>
      </c>
      <c r="U3004" s="8" t="s">
        <v>150</v>
      </c>
      <c r="V3004" s="8" t="s">
        <v>7189</v>
      </c>
      <c r="W3004" s="8" t="s">
        <v>7189</v>
      </c>
      <c r="X3004" s="8">
        <v>6</v>
      </c>
      <c r="Y3004" s="8" t="s">
        <v>12359</v>
      </c>
      <c r="Z3004" s="8">
        <v>20</v>
      </c>
      <c r="AA3004" s="8">
        <v>0</v>
      </c>
      <c r="AB3004" s="9">
        <v>0</v>
      </c>
    </row>
    <row r="3005" spans="1:28" x14ac:dyDescent="0.2">
      <c r="A3005" s="10">
        <v>23327</v>
      </c>
      <c r="B3005" s="11" t="s">
        <v>19143</v>
      </c>
      <c r="C3005" s="11" t="s">
        <v>19144</v>
      </c>
      <c r="D3005" s="11" t="s">
        <v>2983</v>
      </c>
      <c r="E3005" s="11" t="s">
        <v>19145</v>
      </c>
      <c r="F3005" s="11" t="s">
        <v>353</v>
      </c>
      <c r="G3005" s="11" t="s">
        <v>6431</v>
      </c>
      <c r="H3005" s="11" t="s">
        <v>329</v>
      </c>
      <c r="I3005" s="11" t="s">
        <v>19146</v>
      </c>
      <c r="J3005" s="11" t="s">
        <v>19147</v>
      </c>
      <c r="K3005" s="11" t="s">
        <v>332</v>
      </c>
      <c r="L3005" s="11" t="s">
        <v>333</v>
      </c>
      <c r="M3005" s="11" t="s">
        <v>19148</v>
      </c>
      <c r="N3005" s="11" t="s">
        <v>128</v>
      </c>
      <c r="O3005" s="11" t="s">
        <v>19149</v>
      </c>
      <c r="P3005" s="11" t="s">
        <v>19150</v>
      </c>
      <c r="Q3005" s="11" t="s">
        <v>150</v>
      </c>
      <c r="R3005" s="11"/>
      <c r="S3005" s="11" t="s">
        <v>71</v>
      </c>
      <c r="T3005" s="11" t="s">
        <v>70</v>
      </c>
      <c r="U3005" s="11" t="s">
        <v>150</v>
      </c>
      <c r="V3005" s="11" t="s">
        <v>70</v>
      </c>
      <c r="W3005" s="11" t="s">
        <v>70</v>
      </c>
      <c r="X3005" s="11">
        <v>6</v>
      </c>
      <c r="Y3005" s="11" t="s">
        <v>12359</v>
      </c>
      <c r="Z3005" s="11">
        <v>20</v>
      </c>
      <c r="AA3005" s="11">
        <v>0</v>
      </c>
      <c r="AB3005" s="12">
        <v>0</v>
      </c>
    </row>
    <row r="3006" spans="1:28" x14ac:dyDescent="0.2">
      <c r="A3006" s="7">
        <v>23359</v>
      </c>
      <c r="B3006" s="8" t="s">
        <v>19151</v>
      </c>
      <c r="C3006" s="8" t="s">
        <v>19152</v>
      </c>
      <c r="D3006" s="8" t="s">
        <v>138</v>
      </c>
      <c r="E3006" s="8" t="s">
        <v>281</v>
      </c>
      <c r="F3006" s="8" t="s">
        <v>4475</v>
      </c>
      <c r="G3006" s="8" t="s">
        <v>224</v>
      </c>
      <c r="H3006" s="8" t="s">
        <v>225</v>
      </c>
      <c r="I3006" s="8" t="s">
        <v>19153</v>
      </c>
      <c r="J3006" s="8" t="s">
        <v>19154</v>
      </c>
      <c r="K3006" s="8" t="s">
        <v>228</v>
      </c>
      <c r="L3006" s="8" t="s">
        <v>229</v>
      </c>
      <c r="M3006" s="8" t="s">
        <v>19155</v>
      </c>
      <c r="N3006" s="8" t="s">
        <v>128</v>
      </c>
      <c r="O3006" s="8" t="s">
        <v>19156</v>
      </c>
      <c r="P3006" s="8" t="s">
        <v>587</v>
      </c>
      <c r="Q3006" s="8" t="s">
        <v>150</v>
      </c>
      <c r="R3006" s="8"/>
      <c r="S3006" s="8" t="s">
        <v>71</v>
      </c>
      <c r="T3006" s="8" t="s">
        <v>70</v>
      </c>
      <c r="U3006" s="8" t="s">
        <v>150</v>
      </c>
      <c r="V3006" s="8" t="s">
        <v>70</v>
      </c>
      <c r="W3006" s="8" t="s">
        <v>70</v>
      </c>
      <c r="X3006" s="8">
        <v>6</v>
      </c>
      <c r="Y3006" s="8" t="s">
        <v>12359</v>
      </c>
      <c r="Z3006" s="8">
        <v>20</v>
      </c>
      <c r="AA3006" s="8">
        <v>0</v>
      </c>
      <c r="AB3006" s="9">
        <v>0</v>
      </c>
    </row>
    <row r="3007" spans="1:28" x14ac:dyDescent="0.2">
      <c r="A3007" s="10">
        <v>23289</v>
      </c>
      <c r="B3007" s="11" t="s">
        <v>19157</v>
      </c>
      <c r="C3007" s="11" t="s">
        <v>19158</v>
      </c>
      <c r="D3007" s="11" t="s">
        <v>8140</v>
      </c>
      <c r="E3007" s="11" t="s">
        <v>7458</v>
      </c>
      <c r="F3007" s="11" t="s">
        <v>19159</v>
      </c>
      <c r="G3007" s="11" t="s">
        <v>141</v>
      </c>
      <c r="H3007" s="11" t="s">
        <v>142</v>
      </c>
      <c r="I3007" s="11" t="s">
        <v>19160</v>
      </c>
      <c r="J3007" s="11" t="s">
        <v>19161</v>
      </c>
      <c r="K3007" s="11" t="s">
        <v>403</v>
      </c>
      <c r="L3007" s="11" t="s">
        <v>146</v>
      </c>
      <c r="M3007" s="11" t="s">
        <v>19162</v>
      </c>
      <c r="N3007" s="11" t="s">
        <v>128</v>
      </c>
      <c r="O3007" s="11" t="s">
        <v>19163</v>
      </c>
      <c r="P3007" s="11" t="s">
        <v>19164</v>
      </c>
      <c r="Q3007" s="11" t="s">
        <v>150</v>
      </c>
      <c r="R3007" s="11"/>
      <c r="S3007" s="11" t="s">
        <v>71</v>
      </c>
      <c r="T3007" s="11" t="s">
        <v>70</v>
      </c>
      <c r="U3007" s="11" t="s">
        <v>150</v>
      </c>
      <c r="V3007" s="11" t="s">
        <v>70</v>
      </c>
      <c r="W3007" s="11" t="s">
        <v>70</v>
      </c>
      <c r="X3007" s="11">
        <v>6</v>
      </c>
      <c r="Y3007" s="11" t="s">
        <v>12359</v>
      </c>
      <c r="Z3007" s="11">
        <v>20</v>
      </c>
      <c r="AA3007" s="11">
        <v>0</v>
      </c>
      <c r="AB3007" s="12">
        <v>0</v>
      </c>
    </row>
    <row r="3008" spans="1:28" x14ac:dyDescent="0.2">
      <c r="A3008" s="7">
        <v>23335</v>
      </c>
      <c r="B3008" s="8" t="s">
        <v>19165</v>
      </c>
      <c r="C3008" s="8" t="s">
        <v>2300</v>
      </c>
      <c r="D3008" s="8" t="s">
        <v>10570</v>
      </c>
      <c r="E3008" s="8" t="s">
        <v>18724</v>
      </c>
      <c r="F3008" s="8" t="s">
        <v>353</v>
      </c>
      <c r="G3008" s="8" t="s">
        <v>3612</v>
      </c>
      <c r="H3008" s="8" t="s">
        <v>704</v>
      </c>
      <c r="I3008" s="8" t="s">
        <v>14945</v>
      </c>
      <c r="J3008" s="8" t="s">
        <v>13879</v>
      </c>
      <c r="K3008" s="8" t="s">
        <v>707</v>
      </c>
      <c r="L3008" s="8" t="s">
        <v>126</v>
      </c>
      <c r="M3008" s="8" t="s">
        <v>19166</v>
      </c>
      <c r="N3008" s="8" t="s">
        <v>128</v>
      </c>
      <c r="O3008" s="8" t="s">
        <v>19167</v>
      </c>
      <c r="P3008" s="8" t="s">
        <v>19168</v>
      </c>
      <c r="Q3008" s="8" t="s">
        <v>150</v>
      </c>
      <c r="R3008" s="8"/>
      <c r="S3008" s="8" t="s">
        <v>13883</v>
      </c>
      <c r="T3008" s="8" t="s">
        <v>70</v>
      </c>
      <c r="U3008" s="8" t="s">
        <v>150</v>
      </c>
      <c r="V3008" s="8" t="s">
        <v>70</v>
      </c>
      <c r="W3008" s="8" t="s">
        <v>70</v>
      </c>
      <c r="X3008" s="8">
        <v>6</v>
      </c>
      <c r="Y3008" s="8" t="s">
        <v>12359</v>
      </c>
      <c r="Z3008" s="8">
        <v>20</v>
      </c>
      <c r="AA3008" s="8">
        <v>0</v>
      </c>
      <c r="AB3008" s="9">
        <v>0</v>
      </c>
    </row>
    <row r="3009" spans="1:28" x14ac:dyDescent="0.2">
      <c r="A3009" s="10">
        <v>125869</v>
      </c>
      <c r="B3009" s="11" t="s">
        <v>19169</v>
      </c>
      <c r="C3009" s="11" t="s">
        <v>14348</v>
      </c>
      <c r="D3009" s="11" t="s">
        <v>14349</v>
      </c>
      <c r="E3009" s="11" t="s">
        <v>15729</v>
      </c>
      <c r="F3009" s="11" t="s">
        <v>353</v>
      </c>
      <c r="G3009" s="11" t="s">
        <v>3929</v>
      </c>
      <c r="H3009" s="11" t="s">
        <v>704</v>
      </c>
      <c r="I3009" s="11" t="s">
        <v>14350</v>
      </c>
      <c r="J3009" s="11" t="s">
        <v>14351</v>
      </c>
      <c r="K3009" s="11" t="s">
        <v>850</v>
      </c>
      <c r="L3009" s="11" t="s">
        <v>126</v>
      </c>
      <c r="M3009" s="11" t="s">
        <v>19170</v>
      </c>
      <c r="N3009" s="11" t="s">
        <v>128</v>
      </c>
      <c r="O3009" s="11" t="s">
        <v>19171</v>
      </c>
      <c r="P3009" s="11" t="s">
        <v>19172</v>
      </c>
      <c r="Q3009" s="11" t="s">
        <v>150</v>
      </c>
      <c r="R3009" s="11"/>
      <c r="S3009" s="11" t="s">
        <v>14354</v>
      </c>
      <c r="T3009" s="11" t="s">
        <v>70</v>
      </c>
      <c r="U3009" s="11" t="s">
        <v>150</v>
      </c>
      <c r="V3009" s="11" t="s">
        <v>70</v>
      </c>
      <c r="W3009" s="11" t="s">
        <v>70</v>
      </c>
      <c r="X3009" s="11">
        <v>6</v>
      </c>
      <c r="Y3009" s="11" t="s">
        <v>12359</v>
      </c>
      <c r="Z3009" s="11">
        <v>20</v>
      </c>
      <c r="AA3009" s="11">
        <v>0</v>
      </c>
      <c r="AB3009" s="12">
        <v>0</v>
      </c>
    </row>
    <row r="3010" spans="1:28" x14ac:dyDescent="0.2">
      <c r="A3010" s="7">
        <v>22949</v>
      </c>
      <c r="B3010" s="8" t="s">
        <v>19173</v>
      </c>
      <c r="C3010" s="8" t="s">
        <v>15339</v>
      </c>
      <c r="D3010" s="8" t="s">
        <v>13646</v>
      </c>
      <c r="E3010" s="8" t="s">
        <v>19174</v>
      </c>
      <c r="F3010" s="8" t="s">
        <v>353</v>
      </c>
      <c r="G3010" s="8" t="s">
        <v>5804</v>
      </c>
      <c r="H3010" s="8" t="s">
        <v>5805</v>
      </c>
      <c r="I3010" s="8" t="s">
        <v>13648</v>
      </c>
      <c r="J3010" s="8" t="s">
        <v>15342</v>
      </c>
      <c r="K3010" s="8" t="s">
        <v>274</v>
      </c>
      <c r="L3010" s="8" t="s">
        <v>163</v>
      </c>
      <c r="M3010" s="8" t="s">
        <v>19175</v>
      </c>
      <c r="N3010" s="8" t="s">
        <v>128</v>
      </c>
      <c r="O3010" s="8" t="s">
        <v>19176</v>
      </c>
      <c r="P3010" s="8" t="s">
        <v>19177</v>
      </c>
      <c r="Q3010" s="8" t="s">
        <v>150</v>
      </c>
      <c r="R3010" s="8"/>
      <c r="S3010" s="8" t="s">
        <v>13652</v>
      </c>
      <c r="T3010" s="8" t="s">
        <v>70</v>
      </c>
      <c r="U3010" s="8" t="s">
        <v>150</v>
      </c>
      <c r="V3010" s="8" t="s">
        <v>70</v>
      </c>
      <c r="W3010" s="8" t="s">
        <v>70</v>
      </c>
      <c r="X3010" s="8">
        <v>6</v>
      </c>
      <c r="Y3010" s="8" t="s">
        <v>12359</v>
      </c>
      <c r="Z3010" s="8">
        <v>20</v>
      </c>
      <c r="AA3010" s="8">
        <v>0</v>
      </c>
      <c r="AB3010" s="9">
        <v>0</v>
      </c>
    </row>
    <row r="3011" spans="1:28" x14ac:dyDescent="0.2">
      <c r="A3011" s="10">
        <v>23191</v>
      </c>
      <c r="B3011" s="11" t="s">
        <v>19178</v>
      </c>
      <c r="C3011" s="11" t="s">
        <v>19071</v>
      </c>
      <c r="D3011" s="11" t="s">
        <v>138</v>
      </c>
      <c r="E3011" s="11" t="s">
        <v>19179</v>
      </c>
      <c r="F3011" s="11" t="s">
        <v>19073</v>
      </c>
      <c r="G3011" s="11" t="s">
        <v>10391</v>
      </c>
      <c r="H3011" s="11" t="s">
        <v>142</v>
      </c>
      <c r="I3011" s="11" t="s">
        <v>19074</v>
      </c>
      <c r="J3011" s="11" t="s">
        <v>19075</v>
      </c>
      <c r="K3011" s="11" t="s">
        <v>472</v>
      </c>
      <c r="L3011" s="11" t="s">
        <v>146</v>
      </c>
      <c r="M3011" s="11" t="s">
        <v>19180</v>
      </c>
      <c r="N3011" s="11" t="s">
        <v>128</v>
      </c>
      <c r="O3011" s="11" t="s">
        <v>19181</v>
      </c>
      <c r="P3011" s="11" t="s">
        <v>19182</v>
      </c>
      <c r="Q3011" s="11" t="s">
        <v>150</v>
      </c>
      <c r="R3011" s="11"/>
      <c r="S3011" s="11" t="s">
        <v>19078</v>
      </c>
      <c r="T3011" s="11" t="s">
        <v>70</v>
      </c>
      <c r="U3011" s="11" t="s">
        <v>150</v>
      </c>
      <c r="V3011" s="11" t="s">
        <v>70</v>
      </c>
      <c r="W3011" s="11" t="s">
        <v>70</v>
      </c>
      <c r="X3011" s="11">
        <v>6</v>
      </c>
      <c r="Y3011" s="11" t="s">
        <v>12359</v>
      </c>
      <c r="Z3011" s="11">
        <v>20</v>
      </c>
      <c r="AA3011" s="11">
        <v>0</v>
      </c>
      <c r="AB3011" s="12">
        <v>0</v>
      </c>
    </row>
    <row r="3012" spans="1:28" x14ac:dyDescent="0.2">
      <c r="A3012" s="7">
        <v>23080</v>
      </c>
      <c r="B3012" s="8" t="s">
        <v>19183</v>
      </c>
      <c r="C3012" s="8" t="s">
        <v>18938</v>
      </c>
      <c r="D3012" s="8" t="s">
        <v>2832</v>
      </c>
      <c r="E3012" s="8" t="s">
        <v>4769</v>
      </c>
      <c r="F3012" s="8" t="s">
        <v>18939</v>
      </c>
      <c r="G3012" s="8" t="s">
        <v>141</v>
      </c>
      <c r="H3012" s="8" t="s">
        <v>142</v>
      </c>
      <c r="I3012" s="8" t="s">
        <v>18940</v>
      </c>
      <c r="J3012" s="8" t="s">
        <v>18941</v>
      </c>
      <c r="K3012" s="8" t="s">
        <v>472</v>
      </c>
      <c r="L3012" s="8" t="s">
        <v>146</v>
      </c>
      <c r="M3012" s="8" t="s">
        <v>19184</v>
      </c>
      <c r="N3012" s="8" t="s">
        <v>128</v>
      </c>
      <c r="O3012" s="8" t="s">
        <v>19185</v>
      </c>
      <c r="P3012" s="8" t="s">
        <v>19186</v>
      </c>
      <c r="Q3012" s="8" t="s">
        <v>150</v>
      </c>
      <c r="R3012" s="8"/>
      <c r="S3012" s="8" t="s">
        <v>18945</v>
      </c>
      <c r="T3012" s="8" t="s">
        <v>70</v>
      </c>
      <c r="U3012" s="8" t="s">
        <v>150</v>
      </c>
      <c r="V3012" s="8" t="s">
        <v>70</v>
      </c>
      <c r="W3012" s="8" t="s">
        <v>70</v>
      </c>
      <c r="X3012" s="8">
        <v>6</v>
      </c>
      <c r="Y3012" s="8" t="s">
        <v>12359</v>
      </c>
      <c r="Z3012" s="8">
        <v>20</v>
      </c>
      <c r="AA3012" s="8">
        <v>0</v>
      </c>
      <c r="AB3012" s="9">
        <v>0</v>
      </c>
    </row>
    <row r="3013" spans="1:28" x14ac:dyDescent="0.2">
      <c r="A3013" s="10">
        <v>22925</v>
      </c>
      <c r="B3013" s="11" t="s">
        <v>19187</v>
      </c>
      <c r="C3013" s="11" t="s">
        <v>19188</v>
      </c>
      <c r="D3013" s="11" t="s">
        <v>9503</v>
      </c>
      <c r="E3013" s="11"/>
      <c r="F3013" s="11" t="s">
        <v>353</v>
      </c>
      <c r="G3013" s="11" t="s">
        <v>4465</v>
      </c>
      <c r="H3013" s="11" t="s">
        <v>4466</v>
      </c>
      <c r="I3013" s="11" t="s">
        <v>19189</v>
      </c>
      <c r="J3013" s="11" t="s">
        <v>19190</v>
      </c>
      <c r="K3013" s="11" t="s">
        <v>525</v>
      </c>
      <c r="L3013" s="11" t="s">
        <v>526</v>
      </c>
      <c r="M3013" s="11" t="s">
        <v>19191</v>
      </c>
      <c r="N3013" s="11" t="s">
        <v>128</v>
      </c>
      <c r="O3013" s="11" t="s">
        <v>19192</v>
      </c>
      <c r="P3013" s="11" t="s">
        <v>19193</v>
      </c>
      <c r="Q3013" s="11" t="s">
        <v>150</v>
      </c>
      <c r="R3013" s="11"/>
      <c r="S3013" s="11" t="s">
        <v>71</v>
      </c>
      <c r="T3013" s="11" t="s">
        <v>70</v>
      </c>
      <c r="U3013" s="11" t="s">
        <v>150</v>
      </c>
      <c r="V3013" s="11" t="s">
        <v>70</v>
      </c>
      <c r="W3013" s="11" t="s">
        <v>70</v>
      </c>
      <c r="X3013" s="11">
        <v>6</v>
      </c>
      <c r="Y3013" s="11" t="s">
        <v>12359</v>
      </c>
      <c r="Z3013" s="11">
        <v>20</v>
      </c>
      <c r="AA3013" s="11">
        <v>0</v>
      </c>
      <c r="AB3013" s="12">
        <v>0</v>
      </c>
    </row>
    <row r="3014" spans="1:28" x14ac:dyDescent="0.2">
      <c r="A3014" s="7">
        <v>23055</v>
      </c>
      <c r="B3014" s="8" t="s">
        <v>19194</v>
      </c>
      <c r="C3014" s="8" t="s">
        <v>7976</v>
      </c>
      <c r="D3014" s="8" t="s">
        <v>14462</v>
      </c>
      <c r="E3014" s="8"/>
      <c r="F3014" s="8" t="s">
        <v>353</v>
      </c>
      <c r="G3014" s="8" t="s">
        <v>4513</v>
      </c>
      <c r="H3014" s="8" t="s">
        <v>847</v>
      </c>
      <c r="I3014" s="8" t="s">
        <v>19195</v>
      </c>
      <c r="J3014" s="8" t="s">
        <v>19196</v>
      </c>
      <c r="K3014" s="8" t="s">
        <v>1091</v>
      </c>
      <c r="L3014" s="8" t="s">
        <v>126</v>
      </c>
      <c r="M3014" s="8" t="s">
        <v>19197</v>
      </c>
      <c r="N3014" s="8" t="s">
        <v>128</v>
      </c>
      <c r="O3014" s="8" t="s">
        <v>19198</v>
      </c>
      <c r="P3014" s="8" t="s">
        <v>19199</v>
      </c>
      <c r="Q3014" s="8" t="s">
        <v>150</v>
      </c>
      <c r="R3014" s="8"/>
      <c r="S3014" s="8" t="s">
        <v>71</v>
      </c>
      <c r="T3014" s="8" t="s">
        <v>70</v>
      </c>
      <c r="U3014" s="8" t="s">
        <v>150</v>
      </c>
      <c r="V3014" s="8" t="s">
        <v>70</v>
      </c>
      <c r="W3014" s="8" t="s">
        <v>70</v>
      </c>
      <c r="X3014" s="8">
        <v>6</v>
      </c>
      <c r="Y3014" s="8" t="s">
        <v>12359</v>
      </c>
      <c r="Z3014" s="8">
        <v>20</v>
      </c>
      <c r="AA3014" s="8">
        <v>0</v>
      </c>
      <c r="AB3014" s="9">
        <v>0</v>
      </c>
    </row>
    <row r="3015" spans="1:28" x14ac:dyDescent="0.2">
      <c r="A3015" s="10">
        <v>115693</v>
      </c>
      <c r="B3015" s="11" t="s">
        <v>19200</v>
      </c>
      <c r="C3015" s="11" t="s">
        <v>12178</v>
      </c>
      <c r="D3015" s="11" t="s">
        <v>19201</v>
      </c>
      <c r="E3015" s="11"/>
      <c r="F3015" s="11" t="s">
        <v>353</v>
      </c>
      <c r="G3015" s="11" t="s">
        <v>12179</v>
      </c>
      <c r="H3015" s="11" t="s">
        <v>142</v>
      </c>
      <c r="I3015" s="11" t="s">
        <v>19202</v>
      </c>
      <c r="J3015" s="11" t="s">
        <v>19203</v>
      </c>
      <c r="K3015" s="11" t="s">
        <v>717</v>
      </c>
      <c r="L3015" s="11" t="s">
        <v>464</v>
      </c>
      <c r="M3015" s="11" t="s">
        <v>19204</v>
      </c>
      <c r="N3015" s="11" t="s">
        <v>128</v>
      </c>
      <c r="O3015" s="11" t="s">
        <v>19205</v>
      </c>
      <c r="P3015" s="11" t="s">
        <v>19206</v>
      </c>
      <c r="Q3015" s="11" t="s">
        <v>150</v>
      </c>
      <c r="R3015" s="11"/>
      <c r="S3015" s="11" t="s">
        <v>71</v>
      </c>
      <c r="T3015" s="11" t="s">
        <v>70</v>
      </c>
      <c r="U3015" s="11" t="s">
        <v>150</v>
      </c>
      <c r="V3015" s="11" t="s">
        <v>70</v>
      </c>
      <c r="W3015" s="11" t="s">
        <v>70</v>
      </c>
      <c r="X3015" s="11">
        <v>6</v>
      </c>
      <c r="Y3015" s="11" t="s">
        <v>12359</v>
      </c>
      <c r="Z3015" s="11">
        <v>20</v>
      </c>
      <c r="AA3015" s="11">
        <v>0</v>
      </c>
      <c r="AB3015" s="12">
        <v>0</v>
      </c>
    </row>
    <row r="3016" spans="1:28" x14ac:dyDescent="0.2">
      <c r="A3016" s="7">
        <v>28515</v>
      </c>
      <c r="B3016" s="8" t="s">
        <v>19207</v>
      </c>
      <c r="C3016" s="8" t="s">
        <v>19208</v>
      </c>
      <c r="D3016" s="8" t="s">
        <v>138</v>
      </c>
      <c r="E3016" s="8"/>
      <c r="F3016" s="8"/>
      <c r="G3016" s="8" t="s">
        <v>1325</v>
      </c>
      <c r="H3016" s="8" t="s">
        <v>142</v>
      </c>
      <c r="I3016" s="8" t="s">
        <v>3874</v>
      </c>
      <c r="J3016" s="8" t="s">
        <v>19209</v>
      </c>
      <c r="K3016" s="8" t="s">
        <v>974</v>
      </c>
      <c r="L3016" s="8" t="s">
        <v>146</v>
      </c>
      <c r="M3016" s="8" t="s">
        <v>19210</v>
      </c>
      <c r="N3016" s="8" t="s">
        <v>128</v>
      </c>
      <c r="O3016" s="8"/>
      <c r="P3016" s="8" t="s">
        <v>3523</v>
      </c>
      <c r="Q3016" s="8" t="s">
        <v>150</v>
      </c>
      <c r="R3016" s="8"/>
      <c r="S3016" s="8" t="s">
        <v>71</v>
      </c>
      <c r="T3016" s="8" t="s">
        <v>70</v>
      </c>
      <c r="U3016" s="8" t="s">
        <v>150</v>
      </c>
      <c r="V3016" s="8" t="s">
        <v>70</v>
      </c>
      <c r="W3016" s="8" t="s">
        <v>70</v>
      </c>
      <c r="X3016" s="8">
        <v>6</v>
      </c>
      <c r="Y3016" s="8" t="s">
        <v>12359</v>
      </c>
      <c r="Z3016" s="8">
        <v>20</v>
      </c>
      <c r="AA3016" s="8">
        <v>0</v>
      </c>
      <c r="AB3016" s="9">
        <v>0</v>
      </c>
    </row>
    <row r="3017" spans="1:28" x14ac:dyDescent="0.2">
      <c r="A3017" s="10">
        <v>28620</v>
      </c>
      <c r="B3017" s="11" t="s">
        <v>19211</v>
      </c>
      <c r="C3017" s="11" t="s">
        <v>19212</v>
      </c>
      <c r="D3017" s="11" t="s">
        <v>7623</v>
      </c>
      <c r="E3017" s="11"/>
      <c r="F3017" s="11"/>
      <c r="G3017" s="11" t="s">
        <v>412</v>
      </c>
      <c r="H3017" s="11" t="s">
        <v>329</v>
      </c>
      <c r="I3017" s="11" t="s">
        <v>19213</v>
      </c>
      <c r="J3017" s="11" t="s">
        <v>19214</v>
      </c>
      <c r="K3017" s="11" t="s">
        <v>415</v>
      </c>
      <c r="L3017" s="11" t="s">
        <v>333</v>
      </c>
      <c r="M3017" s="11" t="s">
        <v>19215</v>
      </c>
      <c r="N3017" s="11" t="s">
        <v>128</v>
      </c>
      <c r="O3017" s="11" t="s">
        <v>19216</v>
      </c>
      <c r="P3017" s="11" t="s">
        <v>19217</v>
      </c>
      <c r="Q3017" s="11" t="s">
        <v>150</v>
      </c>
      <c r="R3017" s="11"/>
      <c r="S3017" s="11" t="s">
        <v>71</v>
      </c>
      <c r="T3017" s="11" t="s">
        <v>70</v>
      </c>
      <c r="U3017" s="11" t="s">
        <v>150</v>
      </c>
      <c r="V3017" s="11" t="s">
        <v>70</v>
      </c>
      <c r="W3017" s="11" t="s">
        <v>70</v>
      </c>
      <c r="X3017" s="11">
        <v>6</v>
      </c>
      <c r="Y3017" s="11" t="s">
        <v>12359</v>
      </c>
      <c r="Z3017" s="11">
        <v>20</v>
      </c>
      <c r="AA3017" s="11">
        <v>0</v>
      </c>
      <c r="AB3017" s="12">
        <v>0</v>
      </c>
    </row>
    <row r="3018" spans="1:28" x14ac:dyDescent="0.2">
      <c r="A3018" s="7">
        <v>28531</v>
      </c>
      <c r="B3018" s="8" t="s">
        <v>19218</v>
      </c>
      <c r="C3018" s="8" t="s">
        <v>19219</v>
      </c>
      <c r="D3018" s="8" t="s">
        <v>7213</v>
      </c>
      <c r="E3018" s="8"/>
      <c r="F3018" s="8" t="s">
        <v>7644</v>
      </c>
      <c r="G3018" s="8" t="s">
        <v>670</v>
      </c>
      <c r="H3018" s="8" t="s">
        <v>671</v>
      </c>
      <c r="I3018" s="8" t="s">
        <v>19220</v>
      </c>
      <c r="J3018" s="8" t="s">
        <v>19221</v>
      </c>
      <c r="K3018" s="8" t="s">
        <v>572</v>
      </c>
      <c r="L3018" s="8" t="s">
        <v>333</v>
      </c>
      <c r="M3018" s="8" t="s">
        <v>19222</v>
      </c>
      <c r="N3018" s="8" t="s">
        <v>128</v>
      </c>
      <c r="O3018" s="8" t="s">
        <v>19223</v>
      </c>
      <c r="P3018" s="8" t="s">
        <v>19224</v>
      </c>
      <c r="Q3018" s="8" t="s">
        <v>150</v>
      </c>
      <c r="R3018" s="8"/>
      <c r="S3018" s="8" t="s">
        <v>71</v>
      </c>
      <c r="T3018" s="8" t="s">
        <v>70</v>
      </c>
      <c r="U3018" s="8" t="s">
        <v>150</v>
      </c>
      <c r="V3018" s="8" t="s">
        <v>70</v>
      </c>
      <c r="W3018" s="8" t="s">
        <v>70</v>
      </c>
      <c r="X3018" s="8">
        <v>6</v>
      </c>
      <c r="Y3018" s="8" t="s">
        <v>12359</v>
      </c>
      <c r="Z3018" s="8">
        <v>20</v>
      </c>
      <c r="AA3018" s="8">
        <v>0</v>
      </c>
      <c r="AB3018" s="9">
        <v>0</v>
      </c>
    </row>
    <row r="3019" spans="1:28" x14ac:dyDescent="0.2">
      <c r="A3019" s="10">
        <v>209405</v>
      </c>
      <c r="B3019" s="11" t="s">
        <v>19225</v>
      </c>
      <c r="C3019" s="11" t="s">
        <v>19226</v>
      </c>
      <c r="D3019" s="11" t="s">
        <v>2690</v>
      </c>
      <c r="E3019" s="11"/>
      <c r="F3019" s="11" t="s">
        <v>19227</v>
      </c>
      <c r="G3019" s="11" t="s">
        <v>615</v>
      </c>
      <c r="H3019" s="11" t="s">
        <v>616</v>
      </c>
      <c r="I3019" s="11" t="s">
        <v>19228</v>
      </c>
      <c r="J3019" s="11" t="s">
        <v>19229</v>
      </c>
      <c r="K3019" s="11" t="s">
        <v>619</v>
      </c>
      <c r="L3019" s="11" t="s">
        <v>163</v>
      </c>
      <c r="M3019" s="11" t="s">
        <v>19230</v>
      </c>
      <c r="N3019" s="11" t="s">
        <v>128</v>
      </c>
      <c r="O3019" s="11" t="s">
        <v>19231</v>
      </c>
      <c r="P3019" s="11" t="s">
        <v>19232</v>
      </c>
      <c r="Q3019" s="11" t="s">
        <v>150</v>
      </c>
      <c r="R3019" s="11"/>
      <c r="S3019" s="11" t="s">
        <v>19233</v>
      </c>
      <c r="T3019" s="11" t="s">
        <v>70</v>
      </c>
      <c r="U3019" s="11" t="s">
        <v>150</v>
      </c>
      <c r="V3019" s="11" t="s">
        <v>70</v>
      </c>
      <c r="W3019" s="11" t="s">
        <v>70</v>
      </c>
      <c r="X3019" s="11">
        <v>6</v>
      </c>
      <c r="Y3019" s="11" t="s">
        <v>12359</v>
      </c>
      <c r="Z3019" s="11">
        <v>20</v>
      </c>
      <c r="AA3019" s="11">
        <v>0</v>
      </c>
      <c r="AB3019" s="12">
        <v>0</v>
      </c>
    </row>
    <row r="3020" spans="1:28" x14ac:dyDescent="0.2">
      <c r="A3020" s="7">
        <v>28490</v>
      </c>
      <c r="B3020" s="8" t="s">
        <v>19234</v>
      </c>
      <c r="C3020" s="8" t="s">
        <v>10734</v>
      </c>
      <c r="D3020" s="8" t="s">
        <v>904</v>
      </c>
      <c r="E3020" s="8"/>
      <c r="F3020" s="8" t="s">
        <v>10735</v>
      </c>
      <c r="G3020" s="8" t="s">
        <v>670</v>
      </c>
      <c r="H3020" s="8" t="s">
        <v>671</v>
      </c>
      <c r="I3020" s="8" t="s">
        <v>19235</v>
      </c>
      <c r="J3020" s="8" t="s">
        <v>10737</v>
      </c>
      <c r="K3020" s="8" t="s">
        <v>572</v>
      </c>
      <c r="L3020" s="8" t="s">
        <v>333</v>
      </c>
      <c r="M3020" s="8" t="s">
        <v>19236</v>
      </c>
      <c r="N3020" s="8" t="s">
        <v>128</v>
      </c>
      <c r="O3020" s="8" t="s">
        <v>19237</v>
      </c>
      <c r="P3020" s="8" t="s">
        <v>5648</v>
      </c>
      <c r="Q3020" s="8" t="s">
        <v>150</v>
      </c>
      <c r="R3020" s="8"/>
      <c r="S3020" s="8" t="s">
        <v>10740</v>
      </c>
      <c r="T3020" s="8" t="s">
        <v>70</v>
      </c>
      <c r="U3020" s="8" t="s">
        <v>150</v>
      </c>
      <c r="V3020" s="8" t="s">
        <v>70</v>
      </c>
      <c r="W3020" s="8" t="s">
        <v>70</v>
      </c>
      <c r="X3020" s="8">
        <v>6</v>
      </c>
      <c r="Y3020" s="8" t="s">
        <v>12359</v>
      </c>
      <c r="Z3020" s="8">
        <v>20</v>
      </c>
      <c r="AA3020" s="8">
        <v>0</v>
      </c>
      <c r="AB3020" s="9">
        <v>0</v>
      </c>
    </row>
    <row r="3021" spans="1:28" x14ac:dyDescent="0.2">
      <c r="A3021" s="10">
        <v>236334</v>
      </c>
      <c r="B3021" s="11" t="s">
        <v>19238</v>
      </c>
      <c r="C3021" s="11" t="s">
        <v>19239</v>
      </c>
      <c r="D3021" s="11" t="s">
        <v>5114</v>
      </c>
      <c r="E3021" s="11"/>
      <c r="F3021" s="11" t="s">
        <v>1207</v>
      </c>
      <c r="G3021" s="11" t="s">
        <v>615</v>
      </c>
      <c r="H3021" s="11" t="s">
        <v>616</v>
      </c>
      <c r="I3021" s="11" t="s">
        <v>19240</v>
      </c>
      <c r="J3021" s="11" t="s">
        <v>19241</v>
      </c>
      <c r="K3021" s="11" t="s">
        <v>619</v>
      </c>
      <c r="L3021" s="11" t="s">
        <v>163</v>
      </c>
      <c r="M3021" s="11" t="s">
        <v>19242</v>
      </c>
      <c r="N3021" s="11" t="s">
        <v>128</v>
      </c>
      <c r="O3021" s="11" t="s">
        <v>19243</v>
      </c>
      <c r="P3021" s="11"/>
      <c r="Q3021" s="11" t="s">
        <v>150</v>
      </c>
      <c r="R3021" s="11"/>
      <c r="S3021" s="11" t="s">
        <v>71</v>
      </c>
      <c r="T3021" s="11" t="s">
        <v>70</v>
      </c>
      <c r="U3021" s="11" t="s">
        <v>150</v>
      </c>
      <c r="V3021" s="11" t="s">
        <v>70</v>
      </c>
      <c r="W3021" s="11" t="s">
        <v>70</v>
      </c>
      <c r="X3021" s="11">
        <v>6</v>
      </c>
      <c r="Y3021" s="11" t="s">
        <v>12359</v>
      </c>
      <c r="Z3021" s="11">
        <v>20</v>
      </c>
      <c r="AA3021" s="11">
        <v>0</v>
      </c>
      <c r="AB3021" s="12">
        <v>0</v>
      </c>
    </row>
    <row r="3022" spans="1:28" x14ac:dyDescent="0.2">
      <c r="A3022" s="7">
        <v>23473</v>
      </c>
      <c r="B3022" s="8" t="s">
        <v>19244</v>
      </c>
      <c r="C3022" s="8" t="s">
        <v>2172</v>
      </c>
      <c r="D3022" s="8" t="s">
        <v>1206</v>
      </c>
      <c r="E3022" s="8"/>
      <c r="F3022" s="8" t="s">
        <v>353</v>
      </c>
      <c r="G3022" s="8" t="s">
        <v>1286</v>
      </c>
      <c r="H3022" s="8" t="s">
        <v>142</v>
      </c>
      <c r="I3022" s="8" t="s">
        <v>19245</v>
      </c>
      <c r="J3022" s="8" t="s">
        <v>19246</v>
      </c>
      <c r="K3022" s="8" t="s">
        <v>717</v>
      </c>
      <c r="L3022" s="8" t="s">
        <v>464</v>
      </c>
      <c r="M3022" s="8" t="s">
        <v>19247</v>
      </c>
      <c r="N3022" s="8" t="s">
        <v>128</v>
      </c>
      <c r="O3022" s="8" t="s">
        <v>19248</v>
      </c>
      <c r="P3022" s="8" t="s">
        <v>19249</v>
      </c>
      <c r="Q3022" s="8" t="s">
        <v>150</v>
      </c>
      <c r="R3022" s="8"/>
      <c r="S3022" s="8" t="s">
        <v>71</v>
      </c>
      <c r="T3022" s="8" t="s">
        <v>1415</v>
      </c>
      <c r="U3022" s="8" t="s">
        <v>150</v>
      </c>
      <c r="V3022" s="8" t="s">
        <v>1415</v>
      </c>
      <c r="W3022" s="8" t="s">
        <v>1415</v>
      </c>
      <c r="X3022" s="8">
        <v>6</v>
      </c>
      <c r="Y3022" s="8" t="s">
        <v>12359</v>
      </c>
      <c r="Z3022" s="8">
        <v>20</v>
      </c>
      <c r="AA3022" s="8">
        <v>0</v>
      </c>
      <c r="AB3022" s="9">
        <v>0</v>
      </c>
    </row>
    <row r="3023" spans="1:28" x14ac:dyDescent="0.2">
      <c r="A3023" s="10">
        <v>23406</v>
      </c>
      <c r="B3023" s="11" t="s">
        <v>19250</v>
      </c>
      <c r="C3023" s="11" t="s">
        <v>19251</v>
      </c>
      <c r="D3023" s="11" t="s">
        <v>3073</v>
      </c>
      <c r="E3023" s="11"/>
      <c r="F3023" s="11" t="s">
        <v>353</v>
      </c>
      <c r="G3023" s="11" t="s">
        <v>19252</v>
      </c>
      <c r="H3023" s="11" t="s">
        <v>142</v>
      </c>
      <c r="I3023" s="11" t="s">
        <v>19253</v>
      </c>
      <c r="J3023" s="11" t="s">
        <v>19254</v>
      </c>
      <c r="K3023" s="11" t="s">
        <v>1199</v>
      </c>
      <c r="L3023" s="11" t="s">
        <v>464</v>
      </c>
      <c r="M3023" s="11" t="s">
        <v>19255</v>
      </c>
      <c r="N3023" s="11" t="s">
        <v>128</v>
      </c>
      <c r="O3023" s="11" t="s">
        <v>19256</v>
      </c>
      <c r="P3023" s="11" t="s">
        <v>19257</v>
      </c>
      <c r="Q3023" s="11" t="s">
        <v>150</v>
      </c>
      <c r="R3023" s="11"/>
      <c r="S3023" s="11" t="s">
        <v>71</v>
      </c>
      <c r="T3023" s="11" t="s">
        <v>1415</v>
      </c>
      <c r="U3023" s="11" t="s">
        <v>150</v>
      </c>
      <c r="V3023" s="11" t="s">
        <v>1415</v>
      </c>
      <c r="W3023" s="11" t="s">
        <v>1415</v>
      </c>
      <c r="X3023" s="11">
        <v>6</v>
      </c>
      <c r="Y3023" s="11" t="s">
        <v>12359</v>
      </c>
      <c r="Z3023" s="11">
        <v>20</v>
      </c>
      <c r="AA3023" s="11">
        <v>0</v>
      </c>
      <c r="AB3023" s="12">
        <v>0</v>
      </c>
    </row>
    <row r="3024" spans="1:28" x14ac:dyDescent="0.2">
      <c r="A3024" s="7">
        <v>23484</v>
      </c>
      <c r="B3024" s="8" t="s">
        <v>19258</v>
      </c>
      <c r="C3024" s="8" t="s">
        <v>4603</v>
      </c>
      <c r="D3024" s="8" t="s">
        <v>19259</v>
      </c>
      <c r="E3024" s="8"/>
      <c r="F3024" s="8" t="s">
        <v>353</v>
      </c>
      <c r="G3024" s="8" t="s">
        <v>17451</v>
      </c>
      <c r="H3024" s="8" t="s">
        <v>142</v>
      </c>
      <c r="I3024" s="8" t="s">
        <v>19260</v>
      </c>
      <c r="J3024" s="8" t="s">
        <v>19261</v>
      </c>
      <c r="K3024" s="8" t="s">
        <v>1673</v>
      </c>
      <c r="L3024" s="8" t="s">
        <v>464</v>
      </c>
      <c r="M3024" s="8" t="s">
        <v>19262</v>
      </c>
      <c r="N3024" s="8" t="s">
        <v>128</v>
      </c>
      <c r="O3024" s="8" t="s">
        <v>19263</v>
      </c>
      <c r="P3024" s="8" t="s">
        <v>19264</v>
      </c>
      <c r="Q3024" s="8" t="s">
        <v>150</v>
      </c>
      <c r="R3024" s="8"/>
      <c r="S3024" s="8" t="s">
        <v>71</v>
      </c>
      <c r="T3024" s="8" t="s">
        <v>1415</v>
      </c>
      <c r="U3024" s="8" t="s">
        <v>150</v>
      </c>
      <c r="V3024" s="8" t="s">
        <v>1415</v>
      </c>
      <c r="W3024" s="8" t="s">
        <v>1415</v>
      </c>
      <c r="X3024" s="8">
        <v>6</v>
      </c>
      <c r="Y3024" s="8" t="s">
        <v>12359</v>
      </c>
      <c r="Z3024" s="8">
        <v>20</v>
      </c>
      <c r="AA3024" s="8">
        <v>0</v>
      </c>
      <c r="AB3024" s="9">
        <v>0</v>
      </c>
    </row>
    <row r="3025" spans="1:28" x14ac:dyDescent="0.2">
      <c r="A3025" s="10">
        <v>23497</v>
      </c>
      <c r="B3025" s="11" t="s">
        <v>19265</v>
      </c>
      <c r="C3025" s="11" t="s">
        <v>19266</v>
      </c>
      <c r="D3025" s="11" t="s">
        <v>17797</v>
      </c>
      <c r="E3025" s="11"/>
      <c r="F3025" s="11" t="s">
        <v>353</v>
      </c>
      <c r="G3025" s="11" t="s">
        <v>18625</v>
      </c>
      <c r="H3025" s="11" t="s">
        <v>142</v>
      </c>
      <c r="I3025" s="11" t="s">
        <v>19267</v>
      </c>
      <c r="J3025" s="11" t="s">
        <v>19268</v>
      </c>
      <c r="K3025" s="11" t="s">
        <v>1673</v>
      </c>
      <c r="L3025" s="11" t="s">
        <v>464</v>
      </c>
      <c r="M3025" s="11" t="s">
        <v>19269</v>
      </c>
      <c r="N3025" s="11" t="s">
        <v>128</v>
      </c>
      <c r="O3025" s="11" t="s">
        <v>19270</v>
      </c>
      <c r="P3025" s="11" t="s">
        <v>19271</v>
      </c>
      <c r="Q3025" s="11" t="s">
        <v>150</v>
      </c>
      <c r="R3025" s="11"/>
      <c r="S3025" s="11" t="s">
        <v>71</v>
      </c>
      <c r="T3025" s="11" t="s">
        <v>1415</v>
      </c>
      <c r="U3025" s="11" t="s">
        <v>150</v>
      </c>
      <c r="V3025" s="11" t="s">
        <v>1415</v>
      </c>
      <c r="W3025" s="11" t="s">
        <v>1415</v>
      </c>
      <c r="X3025" s="11">
        <v>6</v>
      </c>
      <c r="Y3025" s="11" t="s">
        <v>12359</v>
      </c>
      <c r="Z3025" s="11">
        <v>20</v>
      </c>
      <c r="AA3025" s="11">
        <v>0</v>
      </c>
      <c r="AB3025" s="12">
        <v>0</v>
      </c>
    </row>
    <row r="3026" spans="1:28" x14ac:dyDescent="0.2">
      <c r="A3026" s="7">
        <v>124302</v>
      </c>
      <c r="B3026" s="8" t="s">
        <v>19272</v>
      </c>
      <c r="C3026" s="8" t="s">
        <v>19273</v>
      </c>
      <c r="D3026" s="8" t="s">
        <v>18479</v>
      </c>
      <c r="E3026" s="8"/>
      <c r="F3026" s="8" t="s">
        <v>353</v>
      </c>
      <c r="G3026" s="8" t="s">
        <v>18260</v>
      </c>
      <c r="H3026" s="8" t="s">
        <v>142</v>
      </c>
      <c r="I3026" s="8" t="s">
        <v>18261</v>
      </c>
      <c r="J3026" s="8" t="s">
        <v>19274</v>
      </c>
      <c r="K3026" s="8" t="s">
        <v>1673</v>
      </c>
      <c r="L3026" s="8" t="s">
        <v>464</v>
      </c>
      <c r="M3026" s="8" t="s">
        <v>19275</v>
      </c>
      <c r="N3026" s="8" t="s">
        <v>128</v>
      </c>
      <c r="O3026" s="8" t="s">
        <v>19276</v>
      </c>
      <c r="P3026" s="8" t="s">
        <v>19277</v>
      </c>
      <c r="Q3026" s="8" t="s">
        <v>150</v>
      </c>
      <c r="R3026" s="8"/>
      <c r="S3026" s="8" t="s">
        <v>71</v>
      </c>
      <c r="T3026" s="8" t="s">
        <v>1415</v>
      </c>
      <c r="U3026" s="8" t="s">
        <v>150</v>
      </c>
      <c r="V3026" s="8" t="s">
        <v>1415</v>
      </c>
      <c r="W3026" s="8" t="s">
        <v>1415</v>
      </c>
      <c r="X3026" s="8">
        <v>6</v>
      </c>
      <c r="Y3026" s="8" t="s">
        <v>12359</v>
      </c>
      <c r="Z3026" s="8">
        <v>20</v>
      </c>
      <c r="AA3026" s="8">
        <v>0</v>
      </c>
      <c r="AB3026" s="9">
        <v>0</v>
      </c>
    </row>
    <row r="3027" spans="1:28" x14ac:dyDescent="0.2">
      <c r="A3027" s="10">
        <v>23421</v>
      </c>
      <c r="B3027" s="11" t="s">
        <v>19278</v>
      </c>
      <c r="C3027" s="11" t="s">
        <v>9863</v>
      </c>
      <c r="D3027" s="11" t="s">
        <v>19279</v>
      </c>
      <c r="E3027" s="11"/>
      <c r="F3027" s="11" t="s">
        <v>19280</v>
      </c>
      <c r="G3027" s="11" t="s">
        <v>4513</v>
      </c>
      <c r="H3027" s="11" t="s">
        <v>847</v>
      </c>
      <c r="I3027" s="11" t="s">
        <v>9866</v>
      </c>
      <c r="J3027" s="11" t="s">
        <v>19281</v>
      </c>
      <c r="K3027" s="11" t="s">
        <v>1091</v>
      </c>
      <c r="L3027" s="11" t="s">
        <v>126</v>
      </c>
      <c r="M3027" s="11" t="s">
        <v>19282</v>
      </c>
      <c r="N3027" s="11" t="s">
        <v>128</v>
      </c>
      <c r="O3027" s="11" t="s">
        <v>19283</v>
      </c>
      <c r="P3027" s="11" t="s">
        <v>19284</v>
      </c>
      <c r="Q3027" s="11" t="s">
        <v>150</v>
      </c>
      <c r="R3027" s="11"/>
      <c r="S3027" s="11" t="s">
        <v>71</v>
      </c>
      <c r="T3027" s="11" t="s">
        <v>1415</v>
      </c>
      <c r="U3027" s="11" t="s">
        <v>150</v>
      </c>
      <c r="V3027" s="11" t="s">
        <v>1415</v>
      </c>
      <c r="W3027" s="11" t="s">
        <v>1415</v>
      </c>
      <c r="X3027" s="11">
        <v>6</v>
      </c>
      <c r="Y3027" s="11" t="s">
        <v>12359</v>
      </c>
      <c r="Z3027" s="11">
        <v>20</v>
      </c>
      <c r="AA3027" s="11">
        <v>0</v>
      </c>
      <c r="AB3027" s="12">
        <v>0</v>
      </c>
    </row>
    <row r="3028" spans="1:28" x14ac:dyDescent="0.2">
      <c r="A3028" s="7">
        <v>28774</v>
      </c>
      <c r="B3028" s="8" t="s">
        <v>19285</v>
      </c>
      <c r="C3028" s="8" t="s">
        <v>10734</v>
      </c>
      <c r="D3028" s="8" t="s">
        <v>904</v>
      </c>
      <c r="E3028" s="8"/>
      <c r="F3028" s="8" t="s">
        <v>19286</v>
      </c>
      <c r="G3028" s="8" t="s">
        <v>670</v>
      </c>
      <c r="H3028" s="8" t="s">
        <v>671</v>
      </c>
      <c r="I3028" s="8" t="s">
        <v>10736</v>
      </c>
      <c r="J3028" s="8" t="s">
        <v>10737</v>
      </c>
      <c r="K3028" s="8" t="s">
        <v>572</v>
      </c>
      <c r="L3028" s="8" t="s">
        <v>333</v>
      </c>
      <c r="M3028" s="8" t="s">
        <v>19287</v>
      </c>
      <c r="N3028" s="8" t="s">
        <v>128</v>
      </c>
      <c r="O3028" s="8"/>
      <c r="P3028" s="8" t="s">
        <v>3073</v>
      </c>
      <c r="Q3028" s="8" t="s">
        <v>150</v>
      </c>
      <c r="R3028" s="8"/>
      <c r="S3028" s="8" t="s">
        <v>10740</v>
      </c>
      <c r="T3028" s="8" t="s">
        <v>14176</v>
      </c>
      <c r="U3028" s="8" t="s">
        <v>150</v>
      </c>
      <c r="V3028" s="8" t="s">
        <v>14176</v>
      </c>
      <c r="W3028" s="8" t="s">
        <v>14176</v>
      </c>
      <c r="X3028" s="8">
        <v>6</v>
      </c>
      <c r="Y3028" s="8" t="s">
        <v>12359</v>
      </c>
      <c r="Z3028" s="8">
        <v>20</v>
      </c>
      <c r="AA3028" s="8">
        <v>0</v>
      </c>
      <c r="AB3028" s="9">
        <v>0</v>
      </c>
    </row>
    <row r="3029" spans="1:28" x14ac:dyDescent="0.2">
      <c r="A3029" s="10">
        <v>23667</v>
      </c>
      <c r="B3029" s="11" t="s">
        <v>19288</v>
      </c>
      <c r="C3029" s="11" t="s">
        <v>15667</v>
      </c>
      <c r="D3029" s="11" t="s">
        <v>9825</v>
      </c>
      <c r="E3029" s="11" t="s">
        <v>19289</v>
      </c>
      <c r="F3029" s="11" t="s">
        <v>353</v>
      </c>
      <c r="G3029" s="11" t="s">
        <v>2117</v>
      </c>
      <c r="H3029" s="11" t="s">
        <v>142</v>
      </c>
      <c r="I3029" s="11" t="s">
        <v>16402</v>
      </c>
      <c r="J3029" s="11" t="s">
        <v>16403</v>
      </c>
      <c r="K3029" s="11" t="s">
        <v>1673</v>
      </c>
      <c r="L3029" s="11" t="s">
        <v>464</v>
      </c>
      <c r="M3029" s="11" t="s">
        <v>19290</v>
      </c>
      <c r="N3029" s="11" t="s">
        <v>128</v>
      </c>
      <c r="O3029" s="11" t="s">
        <v>19291</v>
      </c>
      <c r="P3029" s="11" t="s">
        <v>7269</v>
      </c>
      <c r="Q3029" s="11" t="s">
        <v>150</v>
      </c>
      <c r="R3029" s="11"/>
      <c r="S3029" s="11" t="s">
        <v>16407</v>
      </c>
      <c r="T3029" s="11" t="s">
        <v>168</v>
      </c>
      <c r="U3029" s="11" t="s">
        <v>150</v>
      </c>
      <c r="V3029" s="11" t="s">
        <v>168</v>
      </c>
      <c r="W3029" s="11" t="s">
        <v>168</v>
      </c>
      <c r="X3029" s="11">
        <v>6</v>
      </c>
      <c r="Y3029" s="11" t="s">
        <v>12359</v>
      </c>
      <c r="Z3029" s="11">
        <v>20</v>
      </c>
      <c r="AA3029" s="11">
        <v>0</v>
      </c>
      <c r="AB3029" s="12">
        <v>0</v>
      </c>
    </row>
    <row r="3030" spans="1:28" x14ac:dyDescent="0.2">
      <c r="A3030" s="7">
        <v>23831</v>
      </c>
      <c r="B3030" s="8" t="s">
        <v>19292</v>
      </c>
      <c r="C3030" s="8" t="s">
        <v>2481</v>
      </c>
      <c r="D3030" s="8" t="s">
        <v>19293</v>
      </c>
      <c r="E3030" s="8"/>
      <c r="F3030" s="8" t="s">
        <v>353</v>
      </c>
      <c r="G3030" s="8" t="s">
        <v>12213</v>
      </c>
      <c r="H3030" s="8" t="s">
        <v>142</v>
      </c>
      <c r="I3030" s="8" t="s">
        <v>12214</v>
      </c>
      <c r="J3030" s="8" t="s">
        <v>19294</v>
      </c>
      <c r="K3030" s="8" t="s">
        <v>1029</v>
      </c>
      <c r="L3030" s="8" t="s">
        <v>464</v>
      </c>
      <c r="M3030" s="8" t="s">
        <v>19295</v>
      </c>
      <c r="N3030" s="8" t="s">
        <v>128</v>
      </c>
      <c r="O3030" s="8" t="s">
        <v>19296</v>
      </c>
      <c r="P3030" s="8" t="s">
        <v>19297</v>
      </c>
      <c r="Q3030" s="8" t="s">
        <v>150</v>
      </c>
      <c r="R3030" s="8"/>
      <c r="S3030" s="8" t="s">
        <v>71</v>
      </c>
      <c r="T3030" s="8" t="s">
        <v>168</v>
      </c>
      <c r="U3030" s="8" t="s">
        <v>150</v>
      </c>
      <c r="V3030" s="8" t="s">
        <v>168</v>
      </c>
      <c r="W3030" s="8" t="s">
        <v>168</v>
      </c>
      <c r="X3030" s="8">
        <v>6</v>
      </c>
      <c r="Y3030" s="8" t="s">
        <v>12359</v>
      </c>
      <c r="Z3030" s="8">
        <v>20</v>
      </c>
      <c r="AA3030" s="8">
        <v>0</v>
      </c>
      <c r="AB3030" s="9">
        <v>0</v>
      </c>
    </row>
    <row r="3031" spans="1:28" x14ac:dyDescent="0.2">
      <c r="A3031" s="10">
        <v>23638</v>
      </c>
      <c r="B3031" s="11" t="s">
        <v>19298</v>
      </c>
      <c r="C3031" s="11" t="s">
        <v>19299</v>
      </c>
      <c r="D3031" s="11" t="s">
        <v>19300</v>
      </c>
      <c r="E3031" s="11"/>
      <c r="F3031" s="11" t="s">
        <v>353</v>
      </c>
      <c r="G3031" s="11" t="s">
        <v>19301</v>
      </c>
      <c r="H3031" s="11" t="s">
        <v>704</v>
      </c>
      <c r="I3031" s="11" t="s">
        <v>19302</v>
      </c>
      <c r="J3031" s="11" t="s">
        <v>19303</v>
      </c>
      <c r="K3031" s="11" t="s">
        <v>707</v>
      </c>
      <c r="L3031" s="11" t="s">
        <v>126</v>
      </c>
      <c r="M3031" s="11" t="s">
        <v>19304</v>
      </c>
      <c r="N3031" s="11" t="s">
        <v>128</v>
      </c>
      <c r="O3031" s="11" t="s">
        <v>19305</v>
      </c>
      <c r="P3031" s="11" t="s">
        <v>4778</v>
      </c>
      <c r="Q3031" s="11" t="s">
        <v>150</v>
      </c>
      <c r="R3031" s="11"/>
      <c r="S3031" s="11" t="s">
        <v>71</v>
      </c>
      <c r="T3031" s="11" t="s">
        <v>168</v>
      </c>
      <c r="U3031" s="11" t="s">
        <v>150</v>
      </c>
      <c r="V3031" s="11" t="s">
        <v>168</v>
      </c>
      <c r="W3031" s="11" t="s">
        <v>168</v>
      </c>
      <c r="X3031" s="11">
        <v>6</v>
      </c>
      <c r="Y3031" s="11" t="s">
        <v>12359</v>
      </c>
      <c r="Z3031" s="11">
        <v>20</v>
      </c>
      <c r="AA3031" s="11">
        <v>0</v>
      </c>
      <c r="AB3031" s="12">
        <v>0</v>
      </c>
    </row>
    <row r="3032" spans="1:28" x14ac:dyDescent="0.2">
      <c r="A3032" s="7">
        <v>23906</v>
      </c>
      <c r="B3032" s="8" t="s">
        <v>19306</v>
      </c>
      <c r="C3032" s="8" t="s">
        <v>19307</v>
      </c>
      <c r="D3032" s="8" t="s">
        <v>10534</v>
      </c>
      <c r="E3032" s="8"/>
      <c r="F3032" s="8" t="s">
        <v>353</v>
      </c>
      <c r="G3032" s="8" t="s">
        <v>19252</v>
      </c>
      <c r="H3032" s="8" t="s">
        <v>142</v>
      </c>
      <c r="I3032" s="8" t="s">
        <v>19253</v>
      </c>
      <c r="J3032" s="8" t="s">
        <v>19308</v>
      </c>
      <c r="K3032" s="8" t="s">
        <v>1199</v>
      </c>
      <c r="L3032" s="8" t="s">
        <v>464</v>
      </c>
      <c r="M3032" s="8" t="s">
        <v>19309</v>
      </c>
      <c r="N3032" s="8" t="s">
        <v>128</v>
      </c>
      <c r="O3032" s="8" t="s">
        <v>19310</v>
      </c>
      <c r="P3032" s="8" t="s">
        <v>3659</v>
      </c>
      <c r="Q3032" s="8" t="s">
        <v>150</v>
      </c>
      <c r="R3032" s="8"/>
      <c r="S3032" s="8" t="s">
        <v>71</v>
      </c>
      <c r="T3032" s="8" t="s">
        <v>168</v>
      </c>
      <c r="U3032" s="8" t="s">
        <v>150</v>
      </c>
      <c r="V3032" s="8" t="s">
        <v>168</v>
      </c>
      <c r="W3032" s="8" t="s">
        <v>168</v>
      </c>
      <c r="X3032" s="8">
        <v>6</v>
      </c>
      <c r="Y3032" s="8" t="s">
        <v>12359</v>
      </c>
      <c r="Z3032" s="8">
        <v>20</v>
      </c>
      <c r="AA3032" s="8">
        <v>0</v>
      </c>
      <c r="AB3032" s="9">
        <v>0</v>
      </c>
    </row>
    <row r="3033" spans="1:28" x14ac:dyDescent="0.2">
      <c r="A3033" s="10">
        <v>28825</v>
      </c>
      <c r="B3033" s="11" t="s">
        <v>19311</v>
      </c>
      <c r="C3033" s="11" t="s">
        <v>19312</v>
      </c>
      <c r="D3033" s="11" t="s">
        <v>9912</v>
      </c>
      <c r="E3033" s="11"/>
      <c r="F3033" s="11" t="s">
        <v>353</v>
      </c>
      <c r="G3033" s="11" t="s">
        <v>19313</v>
      </c>
      <c r="H3033" s="11" t="s">
        <v>847</v>
      </c>
      <c r="I3033" s="11"/>
      <c r="J3033" s="11" t="s">
        <v>19314</v>
      </c>
      <c r="K3033" s="11" t="s">
        <v>1091</v>
      </c>
      <c r="L3033" s="11" t="s">
        <v>126</v>
      </c>
      <c r="M3033" s="11" t="s">
        <v>19315</v>
      </c>
      <c r="N3033" s="11" t="s">
        <v>128</v>
      </c>
      <c r="O3033" s="11" t="s">
        <v>19316</v>
      </c>
      <c r="P3033" s="11" t="s">
        <v>19317</v>
      </c>
      <c r="Q3033" s="11" t="s">
        <v>150</v>
      </c>
      <c r="R3033" s="11"/>
      <c r="S3033" s="11" t="s">
        <v>71</v>
      </c>
      <c r="T3033" s="11" t="s">
        <v>168</v>
      </c>
      <c r="U3033" s="11" t="s">
        <v>150</v>
      </c>
      <c r="V3033" s="11" t="s">
        <v>168</v>
      </c>
      <c r="W3033" s="11" t="s">
        <v>168</v>
      </c>
      <c r="X3033" s="11">
        <v>6</v>
      </c>
      <c r="Y3033" s="11" t="s">
        <v>12359</v>
      </c>
      <c r="Z3033" s="11">
        <v>20</v>
      </c>
      <c r="AA3033" s="11">
        <v>0</v>
      </c>
      <c r="AB3033" s="12">
        <v>0</v>
      </c>
    </row>
    <row r="3034" spans="1:28" x14ac:dyDescent="0.2">
      <c r="A3034" s="7">
        <v>23663</v>
      </c>
      <c r="B3034" s="8" t="s">
        <v>19318</v>
      </c>
      <c r="C3034" s="8" t="s">
        <v>10778</v>
      </c>
      <c r="D3034" s="8" t="s">
        <v>19319</v>
      </c>
      <c r="E3034" s="8"/>
      <c r="F3034" s="8" t="s">
        <v>10779</v>
      </c>
      <c r="G3034" s="8" t="s">
        <v>10780</v>
      </c>
      <c r="H3034" s="8" t="s">
        <v>142</v>
      </c>
      <c r="I3034" s="8" t="s">
        <v>10781</v>
      </c>
      <c r="J3034" s="8" t="s">
        <v>19320</v>
      </c>
      <c r="K3034" s="8" t="s">
        <v>1199</v>
      </c>
      <c r="L3034" s="8" t="s">
        <v>464</v>
      </c>
      <c r="M3034" s="8" t="s">
        <v>19321</v>
      </c>
      <c r="N3034" s="8" t="s">
        <v>128</v>
      </c>
      <c r="O3034" s="8" t="s">
        <v>19322</v>
      </c>
      <c r="P3034" s="8" t="s">
        <v>8545</v>
      </c>
      <c r="Q3034" s="8" t="s">
        <v>150</v>
      </c>
      <c r="R3034" s="8"/>
      <c r="S3034" s="8" t="s">
        <v>71</v>
      </c>
      <c r="T3034" s="8" t="s">
        <v>168</v>
      </c>
      <c r="U3034" s="8" t="s">
        <v>150</v>
      </c>
      <c r="V3034" s="8" t="s">
        <v>168</v>
      </c>
      <c r="W3034" s="8" t="s">
        <v>168</v>
      </c>
      <c r="X3034" s="8">
        <v>6</v>
      </c>
      <c r="Y3034" s="8" t="s">
        <v>12359</v>
      </c>
      <c r="Z3034" s="8">
        <v>20</v>
      </c>
      <c r="AA3034" s="8">
        <v>0</v>
      </c>
      <c r="AB3034" s="9">
        <v>0</v>
      </c>
    </row>
    <row r="3035" spans="1:28" x14ac:dyDescent="0.2">
      <c r="A3035" s="10">
        <v>23665</v>
      </c>
      <c r="B3035" s="11" t="s">
        <v>19323</v>
      </c>
      <c r="C3035" s="11" t="s">
        <v>18920</v>
      </c>
      <c r="D3035" s="11" t="s">
        <v>2345</v>
      </c>
      <c r="E3035" s="11"/>
      <c r="F3035" s="11" t="s">
        <v>14222</v>
      </c>
      <c r="G3035" s="11" t="s">
        <v>5804</v>
      </c>
      <c r="H3035" s="11" t="s">
        <v>5805</v>
      </c>
      <c r="I3035" s="11" t="s">
        <v>18921</v>
      </c>
      <c r="J3035" s="11" t="s">
        <v>19324</v>
      </c>
      <c r="K3035" s="11" t="s">
        <v>274</v>
      </c>
      <c r="L3035" s="11" t="s">
        <v>163</v>
      </c>
      <c r="M3035" s="11" t="s">
        <v>19325</v>
      </c>
      <c r="N3035" s="11" t="s">
        <v>128</v>
      </c>
      <c r="O3035" s="11" t="s">
        <v>19326</v>
      </c>
      <c r="P3035" s="11" t="s">
        <v>19327</v>
      </c>
      <c r="Q3035" s="11" t="s">
        <v>150</v>
      </c>
      <c r="R3035" s="11"/>
      <c r="S3035" s="11" t="s">
        <v>71</v>
      </c>
      <c r="T3035" s="11" t="s">
        <v>168</v>
      </c>
      <c r="U3035" s="11" t="s">
        <v>150</v>
      </c>
      <c r="V3035" s="11" t="s">
        <v>168</v>
      </c>
      <c r="W3035" s="11" t="s">
        <v>168</v>
      </c>
      <c r="X3035" s="11">
        <v>6</v>
      </c>
      <c r="Y3035" s="11" t="s">
        <v>12359</v>
      </c>
      <c r="Z3035" s="11">
        <v>20</v>
      </c>
      <c r="AA3035" s="11">
        <v>0</v>
      </c>
      <c r="AB3035" s="12">
        <v>0</v>
      </c>
    </row>
    <row r="3036" spans="1:28" x14ac:dyDescent="0.2">
      <c r="A3036" s="7">
        <v>23681</v>
      </c>
      <c r="B3036" s="8" t="s">
        <v>19328</v>
      </c>
      <c r="C3036" s="8" t="s">
        <v>2785</v>
      </c>
      <c r="D3036" s="8" t="s">
        <v>19329</v>
      </c>
      <c r="E3036" s="8"/>
      <c r="F3036" s="8" t="s">
        <v>19330</v>
      </c>
      <c r="G3036" s="8" t="s">
        <v>846</v>
      </c>
      <c r="H3036" s="8" t="s">
        <v>847</v>
      </c>
      <c r="I3036" s="8" t="s">
        <v>16539</v>
      </c>
      <c r="J3036" s="8" t="s">
        <v>19331</v>
      </c>
      <c r="K3036" s="8" t="s">
        <v>850</v>
      </c>
      <c r="L3036" s="8" t="s">
        <v>126</v>
      </c>
      <c r="M3036" s="8" t="s">
        <v>19332</v>
      </c>
      <c r="N3036" s="8" t="s">
        <v>128</v>
      </c>
      <c r="O3036" s="8" t="s">
        <v>19333</v>
      </c>
      <c r="P3036" s="8" t="s">
        <v>1362</v>
      </c>
      <c r="Q3036" s="8" t="s">
        <v>150</v>
      </c>
      <c r="R3036" s="8"/>
      <c r="S3036" s="8" t="s">
        <v>71</v>
      </c>
      <c r="T3036" s="8" t="s">
        <v>168</v>
      </c>
      <c r="U3036" s="8" t="s">
        <v>150</v>
      </c>
      <c r="V3036" s="8" t="s">
        <v>168</v>
      </c>
      <c r="W3036" s="8" t="s">
        <v>168</v>
      </c>
      <c r="X3036" s="8">
        <v>6</v>
      </c>
      <c r="Y3036" s="8" t="s">
        <v>12359</v>
      </c>
      <c r="Z3036" s="8">
        <v>20</v>
      </c>
      <c r="AA3036" s="8">
        <v>0</v>
      </c>
      <c r="AB3036" s="9">
        <v>0</v>
      </c>
    </row>
    <row r="3037" spans="1:28" x14ac:dyDescent="0.2">
      <c r="A3037" s="10">
        <v>23750</v>
      </c>
      <c r="B3037" s="11" t="s">
        <v>19334</v>
      </c>
      <c r="C3037" s="11" t="s">
        <v>15444</v>
      </c>
      <c r="D3037" s="11" t="s">
        <v>19335</v>
      </c>
      <c r="E3037" s="11"/>
      <c r="F3037" s="11" t="s">
        <v>19336</v>
      </c>
      <c r="G3037" s="11" t="s">
        <v>846</v>
      </c>
      <c r="H3037" s="11" t="s">
        <v>847</v>
      </c>
      <c r="I3037" s="11" t="s">
        <v>15447</v>
      </c>
      <c r="J3037" s="11" t="s">
        <v>19337</v>
      </c>
      <c r="K3037" s="11" t="s">
        <v>1091</v>
      </c>
      <c r="L3037" s="11" t="s">
        <v>126</v>
      </c>
      <c r="M3037" s="11" t="s">
        <v>19338</v>
      </c>
      <c r="N3037" s="11" t="s">
        <v>128</v>
      </c>
      <c r="O3037" s="11" t="s">
        <v>19339</v>
      </c>
      <c r="P3037" s="11" t="s">
        <v>19340</v>
      </c>
      <c r="Q3037" s="11" t="s">
        <v>150</v>
      </c>
      <c r="R3037" s="11"/>
      <c r="S3037" s="11" t="s">
        <v>71</v>
      </c>
      <c r="T3037" s="11" t="s">
        <v>168</v>
      </c>
      <c r="U3037" s="11" t="s">
        <v>150</v>
      </c>
      <c r="V3037" s="11" t="s">
        <v>168</v>
      </c>
      <c r="W3037" s="11" t="s">
        <v>168</v>
      </c>
      <c r="X3037" s="11">
        <v>6</v>
      </c>
      <c r="Y3037" s="11" t="s">
        <v>12359</v>
      </c>
      <c r="Z3037" s="11">
        <v>20</v>
      </c>
      <c r="AA3037" s="11">
        <v>0</v>
      </c>
      <c r="AB3037" s="12">
        <v>0</v>
      </c>
    </row>
    <row r="3038" spans="1:28" x14ac:dyDescent="0.2">
      <c r="A3038" s="7">
        <v>23823</v>
      </c>
      <c r="B3038" s="8" t="s">
        <v>19341</v>
      </c>
      <c r="C3038" s="8" t="s">
        <v>16237</v>
      </c>
      <c r="D3038" s="8" t="s">
        <v>19342</v>
      </c>
      <c r="E3038" s="8"/>
      <c r="F3038" s="8" t="s">
        <v>19343</v>
      </c>
      <c r="G3038" s="8" t="s">
        <v>18966</v>
      </c>
      <c r="H3038" s="8" t="s">
        <v>142</v>
      </c>
      <c r="I3038" s="8" t="s">
        <v>19344</v>
      </c>
      <c r="J3038" s="8" t="s">
        <v>19345</v>
      </c>
      <c r="K3038" s="8" t="s">
        <v>1673</v>
      </c>
      <c r="L3038" s="8" t="s">
        <v>464</v>
      </c>
      <c r="M3038" s="8" t="s">
        <v>19346</v>
      </c>
      <c r="N3038" s="8" t="s">
        <v>128</v>
      </c>
      <c r="O3038" s="8" t="s">
        <v>19347</v>
      </c>
      <c r="P3038" s="8" t="s">
        <v>19348</v>
      </c>
      <c r="Q3038" s="8" t="s">
        <v>150</v>
      </c>
      <c r="R3038" s="8"/>
      <c r="S3038" s="8" t="s">
        <v>71</v>
      </c>
      <c r="T3038" s="8" t="s">
        <v>168</v>
      </c>
      <c r="U3038" s="8" t="s">
        <v>150</v>
      </c>
      <c r="V3038" s="8" t="s">
        <v>168</v>
      </c>
      <c r="W3038" s="8" t="s">
        <v>168</v>
      </c>
      <c r="X3038" s="8">
        <v>6</v>
      </c>
      <c r="Y3038" s="8" t="s">
        <v>12359</v>
      </c>
      <c r="Z3038" s="8">
        <v>20</v>
      </c>
      <c r="AA3038" s="8">
        <v>0</v>
      </c>
      <c r="AB3038" s="9">
        <v>0</v>
      </c>
    </row>
    <row r="3039" spans="1:28" x14ac:dyDescent="0.2">
      <c r="A3039" s="10">
        <v>24758</v>
      </c>
      <c r="B3039" s="11" t="s">
        <v>19349</v>
      </c>
      <c r="C3039" s="11" t="s">
        <v>10286</v>
      </c>
      <c r="D3039" s="11" t="s">
        <v>3641</v>
      </c>
      <c r="E3039" s="11" t="s">
        <v>8299</v>
      </c>
      <c r="F3039" s="11" t="s">
        <v>353</v>
      </c>
      <c r="G3039" s="11" t="s">
        <v>5116</v>
      </c>
      <c r="H3039" s="11" t="s">
        <v>122</v>
      </c>
      <c r="I3039" s="11" t="s">
        <v>19350</v>
      </c>
      <c r="J3039" s="11" t="s">
        <v>19351</v>
      </c>
      <c r="K3039" s="11" t="s">
        <v>125</v>
      </c>
      <c r="L3039" s="11" t="s">
        <v>126</v>
      </c>
      <c r="M3039" s="11" t="s">
        <v>19352</v>
      </c>
      <c r="N3039" s="11" t="s">
        <v>128</v>
      </c>
      <c r="O3039" s="11" t="s">
        <v>19353</v>
      </c>
      <c r="P3039" s="11" t="s">
        <v>5817</v>
      </c>
      <c r="Q3039" s="11" t="s">
        <v>150</v>
      </c>
      <c r="R3039" s="11"/>
      <c r="S3039" s="11" t="s">
        <v>71</v>
      </c>
      <c r="T3039" s="11" t="s">
        <v>69</v>
      </c>
      <c r="U3039" s="11" t="s">
        <v>150</v>
      </c>
      <c r="V3039" s="11" t="s">
        <v>152</v>
      </c>
      <c r="W3039" s="11" t="s">
        <v>69</v>
      </c>
      <c r="X3039" s="11">
        <v>6</v>
      </c>
      <c r="Y3039" s="11" t="s">
        <v>12359</v>
      </c>
      <c r="Z3039" s="11">
        <v>20</v>
      </c>
      <c r="AA3039" s="11">
        <v>0</v>
      </c>
      <c r="AB3039" s="12">
        <v>0</v>
      </c>
    </row>
    <row r="3040" spans="1:28" x14ac:dyDescent="0.2">
      <c r="A3040" s="7">
        <v>24832</v>
      </c>
      <c r="B3040" s="8" t="s">
        <v>19354</v>
      </c>
      <c r="C3040" s="8" t="s">
        <v>953</v>
      </c>
      <c r="D3040" s="8" t="s">
        <v>954</v>
      </c>
      <c r="E3040" s="8" t="s">
        <v>15277</v>
      </c>
      <c r="F3040" s="8" t="s">
        <v>956</v>
      </c>
      <c r="G3040" s="8" t="s">
        <v>776</v>
      </c>
      <c r="H3040" s="8" t="s">
        <v>142</v>
      </c>
      <c r="I3040" s="8" t="s">
        <v>957</v>
      </c>
      <c r="J3040" s="8" t="s">
        <v>958</v>
      </c>
      <c r="K3040" s="8" t="s">
        <v>779</v>
      </c>
      <c r="L3040" s="8" t="s">
        <v>464</v>
      </c>
      <c r="M3040" s="8" t="s">
        <v>19355</v>
      </c>
      <c r="N3040" s="8" t="s">
        <v>4651</v>
      </c>
      <c r="O3040" s="8" t="s">
        <v>19356</v>
      </c>
      <c r="P3040" s="8" t="s">
        <v>19357</v>
      </c>
      <c r="Q3040" s="8" t="s">
        <v>150</v>
      </c>
      <c r="R3040" s="8"/>
      <c r="S3040" s="8" t="s">
        <v>71</v>
      </c>
      <c r="T3040" s="8" t="s">
        <v>1738</v>
      </c>
      <c r="U3040" s="8" t="s">
        <v>150</v>
      </c>
      <c r="V3040" s="8" t="s">
        <v>1738</v>
      </c>
      <c r="W3040" s="8" t="s">
        <v>1738</v>
      </c>
      <c r="X3040" s="8">
        <v>6</v>
      </c>
      <c r="Y3040" s="8" t="s">
        <v>12359</v>
      </c>
      <c r="Z3040" s="8">
        <v>20</v>
      </c>
      <c r="AA3040" s="8">
        <v>0</v>
      </c>
      <c r="AB3040" s="9">
        <v>0</v>
      </c>
    </row>
    <row r="3041" spans="1:28" x14ac:dyDescent="0.2">
      <c r="A3041" s="10">
        <v>24880</v>
      </c>
      <c r="B3041" s="11" t="s">
        <v>19358</v>
      </c>
      <c r="C3041" s="11" t="s">
        <v>137</v>
      </c>
      <c r="D3041" s="11" t="s">
        <v>138</v>
      </c>
      <c r="E3041" s="11" t="s">
        <v>19359</v>
      </c>
      <c r="F3041" s="11" t="s">
        <v>140</v>
      </c>
      <c r="G3041" s="11" t="s">
        <v>141</v>
      </c>
      <c r="H3041" s="11" t="s">
        <v>142</v>
      </c>
      <c r="I3041" s="11" t="s">
        <v>143</v>
      </c>
      <c r="J3041" s="11" t="s">
        <v>144</v>
      </c>
      <c r="K3041" s="11" t="s">
        <v>145</v>
      </c>
      <c r="L3041" s="11" t="s">
        <v>146</v>
      </c>
      <c r="M3041" s="11" t="s">
        <v>19360</v>
      </c>
      <c r="N3041" s="11" t="s">
        <v>128</v>
      </c>
      <c r="O3041" s="11" t="s">
        <v>19361</v>
      </c>
      <c r="P3041" s="11" t="s">
        <v>13625</v>
      </c>
      <c r="Q3041" s="11" t="s">
        <v>150</v>
      </c>
      <c r="R3041" s="11"/>
      <c r="S3041" s="11" t="s">
        <v>151</v>
      </c>
      <c r="T3041" s="11" t="s">
        <v>1738</v>
      </c>
      <c r="U3041" s="11" t="s">
        <v>150</v>
      </c>
      <c r="V3041" s="11" t="s">
        <v>1738</v>
      </c>
      <c r="W3041" s="11" t="s">
        <v>1738</v>
      </c>
      <c r="X3041" s="11">
        <v>6</v>
      </c>
      <c r="Y3041" s="11" t="s">
        <v>12359</v>
      </c>
      <c r="Z3041" s="11">
        <v>20</v>
      </c>
      <c r="AA3041" s="11">
        <v>0</v>
      </c>
      <c r="AB3041" s="12">
        <v>0</v>
      </c>
    </row>
    <row r="3042" spans="1:28" x14ac:dyDescent="0.2">
      <c r="A3042" s="7">
        <v>24986</v>
      </c>
      <c r="B3042" s="8" t="s">
        <v>19362</v>
      </c>
      <c r="C3042" s="8" t="s">
        <v>8184</v>
      </c>
      <c r="D3042" s="8" t="s">
        <v>8185</v>
      </c>
      <c r="E3042" s="8" t="s">
        <v>281</v>
      </c>
      <c r="F3042" s="8" t="s">
        <v>353</v>
      </c>
      <c r="G3042" s="8" t="s">
        <v>3643</v>
      </c>
      <c r="H3042" s="8" t="s">
        <v>142</v>
      </c>
      <c r="I3042" s="8" t="s">
        <v>9056</v>
      </c>
      <c r="J3042" s="8" t="s">
        <v>19363</v>
      </c>
      <c r="K3042" s="8" t="s">
        <v>651</v>
      </c>
      <c r="L3042" s="8" t="s">
        <v>146</v>
      </c>
      <c r="M3042" s="8" t="s">
        <v>19364</v>
      </c>
      <c r="N3042" s="8" t="s">
        <v>128</v>
      </c>
      <c r="O3042" s="8" t="s">
        <v>19365</v>
      </c>
      <c r="P3042" s="8" t="s">
        <v>10526</v>
      </c>
      <c r="Q3042" s="8" t="s">
        <v>150</v>
      </c>
      <c r="R3042" s="8"/>
      <c r="S3042" s="8" t="s">
        <v>4620</v>
      </c>
      <c r="T3042" s="8" t="s">
        <v>1738</v>
      </c>
      <c r="U3042" s="8" t="s">
        <v>150</v>
      </c>
      <c r="V3042" s="8" t="s">
        <v>1738</v>
      </c>
      <c r="W3042" s="8" t="s">
        <v>1738</v>
      </c>
      <c r="X3042" s="8">
        <v>6</v>
      </c>
      <c r="Y3042" s="8" t="s">
        <v>12359</v>
      </c>
      <c r="Z3042" s="8">
        <v>20</v>
      </c>
      <c r="AA3042" s="8">
        <v>0</v>
      </c>
      <c r="AB3042" s="9">
        <v>0</v>
      </c>
    </row>
    <row r="3043" spans="1:28" x14ac:dyDescent="0.2">
      <c r="A3043" s="10">
        <v>25006</v>
      </c>
      <c r="B3043" s="11" t="s">
        <v>19366</v>
      </c>
      <c r="C3043" s="11" t="s">
        <v>2101</v>
      </c>
      <c r="D3043" s="11" t="s">
        <v>2102</v>
      </c>
      <c r="E3043" s="11" t="s">
        <v>13867</v>
      </c>
      <c r="F3043" s="11" t="s">
        <v>353</v>
      </c>
      <c r="G3043" s="11" t="s">
        <v>1626</v>
      </c>
      <c r="H3043" s="11" t="s">
        <v>142</v>
      </c>
      <c r="I3043" s="11" t="s">
        <v>2103</v>
      </c>
      <c r="J3043" s="11" t="s">
        <v>2104</v>
      </c>
      <c r="K3043" s="11" t="s">
        <v>472</v>
      </c>
      <c r="L3043" s="11" t="s">
        <v>146</v>
      </c>
      <c r="M3043" s="11" t="s">
        <v>19367</v>
      </c>
      <c r="N3043" s="11" t="s">
        <v>128</v>
      </c>
      <c r="O3043" s="11" t="s">
        <v>19368</v>
      </c>
      <c r="P3043" s="11" t="s">
        <v>8998</v>
      </c>
      <c r="Q3043" s="11" t="s">
        <v>150</v>
      </c>
      <c r="R3043" s="11"/>
      <c r="S3043" s="11" t="s">
        <v>2108</v>
      </c>
      <c r="T3043" s="11" t="s">
        <v>1738</v>
      </c>
      <c r="U3043" s="11" t="s">
        <v>150</v>
      </c>
      <c r="V3043" s="11" t="s">
        <v>1738</v>
      </c>
      <c r="W3043" s="11" t="s">
        <v>1738</v>
      </c>
      <c r="X3043" s="11">
        <v>6</v>
      </c>
      <c r="Y3043" s="11" t="s">
        <v>12359</v>
      </c>
      <c r="Z3043" s="11">
        <v>20</v>
      </c>
      <c r="AA3043" s="11">
        <v>0</v>
      </c>
      <c r="AB3043" s="12">
        <v>0</v>
      </c>
    </row>
    <row r="3044" spans="1:28" x14ac:dyDescent="0.2">
      <c r="A3044" s="7">
        <v>24958</v>
      </c>
      <c r="B3044" s="8" t="s">
        <v>19369</v>
      </c>
      <c r="C3044" s="8" t="s">
        <v>2330</v>
      </c>
      <c r="D3044" s="8" t="s">
        <v>19370</v>
      </c>
      <c r="E3044" s="8"/>
      <c r="F3044" s="8" t="s">
        <v>353</v>
      </c>
      <c r="G3044" s="8" t="s">
        <v>2332</v>
      </c>
      <c r="H3044" s="8" t="s">
        <v>142</v>
      </c>
      <c r="I3044" s="8" t="s">
        <v>2769</v>
      </c>
      <c r="J3044" s="8" t="s">
        <v>19371</v>
      </c>
      <c r="K3044" s="8" t="s">
        <v>779</v>
      </c>
      <c r="L3044" s="8" t="s">
        <v>464</v>
      </c>
      <c r="M3044" s="8" t="s">
        <v>19372</v>
      </c>
      <c r="N3044" s="8" t="s">
        <v>128</v>
      </c>
      <c r="O3044" s="8" t="s">
        <v>19373</v>
      </c>
      <c r="P3044" s="8" t="s">
        <v>19374</v>
      </c>
      <c r="Q3044" s="8" t="s">
        <v>150</v>
      </c>
      <c r="R3044" s="8"/>
      <c r="S3044" s="8" t="s">
        <v>71</v>
      </c>
      <c r="T3044" s="8" t="s">
        <v>1738</v>
      </c>
      <c r="U3044" s="8" t="s">
        <v>150</v>
      </c>
      <c r="V3044" s="8" t="s">
        <v>1738</v>
      </c>
      <c r="W3044" s="8" t="s">
        <v>1738</v>
      </c>
      <c r="X3044" s="8">
        <v>6</v>
      </c>
      <c r="Y3044" s="8" t="s">
        <v>12359</v>
      </c>
      <c r="Z3044" s="8">
        <v>20</v>
      </c>
      <c r="AA3044" s="8">
        <v>0</v>
      </c>
      <c r="AB3044" s="9">
        <v>0</v>
      </c>
    </row>
    <row r="3045" spans="1:28" x14ac:dyDescent="0.2">
      <c r="A3045" s="10">
        <v>48289</v>
      </c>
      <c r="B3045" s="11" t="s">
        <v>19375</v>
      </c>
      <c r="C3045" s="11" t="s">
        <v>15075</v>
      </c>
      <c r="D3045" s="11" t="s">
        <v>1912</v>
      </c>
      <c r="E3045" s="11"/>
      <c r="F3045" s="11" t="s">
        <v>7746</v>
      </c>
      <c r="G3045" s="11" t="s">
        <v>12550</v>
      </c>
      <c r="H3045" s="11" t="s">
        <v>142</v>
      </c>
      <c r="I3045" s="11" t="s">
        <v>15077</v>
      </c>
      <c r="J3045" s="11" t="s">
        <v>19376</v>
      </c>
      <c r="K3045" s="11" t="s">
        <v>584</v>
      </c>
      <c r="L3045" s="11" t="s">
        <v>146</v>
      </c>
      <c r="M3045" s="11" t="s">
        <v>19377</v>
      </c>
      <c r="N3045" s="11" t="s">
        <v>128</v>
      </c>
      <c r="O3045" s="11" t="s">
        <v>19378</v>
      </c>
      <c r="P3045" s="11" t="s">
        <v>19379</v>
      </c>
      <c r="Q3045" s="11" t="s">
        <v>150</v>
      </c>
      <c r="R3045" s="11"/>
      <c r="S3045" s="11" t="s">
        <v>15082</v>
      </c>
      <c r="T3045" s="11" t="s">
        <v>1738</v>
      </c>
      <c r="U3045" s="11" t="s">
        <v>150</v>
      </c>
      <c r="V3045" s="11" t="s">
        <v>1738</v>
      </c>
      <c r="W3045" s="11" t="s">
        <v>1738</v>
      </c>
      <c r="X3045" s="11">
        <v>6</v>
      </c>
      <c r="Y3045" s="11" t="s">
        <v>12359</v>
      </c>
      <c r="Z3045" s="11">
        <v>20</v>
      </c>
      <c r="AA3045" s="11">
        <v>0</v>
      </c>
      <c r="AB3045" s="12">
        <v>0</v>
      </c>
    </row>
    <row r="3046" spans="1:28" x14ac:dyDescent="0.2">
      <c r="A3046" s="7">
        <v>47496</v>
      </c>
      <c r="B3046" s="8" t="s">
        <v>19380</v>
      </c>
      <c r="C3046" s="8" t="s">
        <v>19381</v>
      </c>
      <c r="D3046" s="8" t="s">
        <v>4746</v>
      </c>
      <c r="E3046" s="8"/>
      <c r="F3046" s="8" t="s">
        <v>17403</v>
      </c>
      <c r="G3046" s="8" t="s">
        <v>2192</v>
      </c>
      <c r="H3046" s="8" t="s">
        <v>704</v>
      </c>
      <c r="I3046" s="8" t="s">
        <v>19382</v>
      </c>
      <c r="J3046" s="8" t="s">
        <v>19383</v>
      </c>
      <c r="K3046" s="8" t="s">
        <v>707</v>
      </c>
      <c r="L3046" s="8" t="s">
        <v>126</v>
      </c>
      <c r="M3046" s="8" t="s">
        <v>19384</v>
      </c>
      <c r="N3046" s="8" t="s">
        <v>128</v>
      </c>
      <c r="O3046" s="8" t="s">
        <v>19385</v>
      </c>
      <c r="P3046" s="8" t="s">
        <v>19386</v>
      </c>
      <c r="Q3046" s="8" t="s">
        <v>150</v>
      </c>
      <c r="R3046" s="8"/>
      <c r="S3046" s="8" t="s">
        <v>17408</v>
      </c>
      <c r="T3046" s="8" t="s">
        <v>1738</v>
      </c>
      <c r="U3046" s="8" t="s">
        <v>150</v>
      </c>
      <c r="V3046" s="8" t="s">
        <v>1738</v>
      </c>
      <c r="W3046" s="8" t="s">
        <v>1738</v>
      </c>
      <c r="X3046" s="8">
        <v>6</v>
      </c>
      <c r="Y3046" s="8" t="s">
        <v>12359</v>
      </c>
      <c r="Z3046" s="8">
        <v>20</v>
      </c>
      <c r="AA3046" s="8">
        <v>0</v>
      </c>
      <c r="AB3046" s="9">
        <v>0</v>
      </c>
    </row>
    <row r="3047" spans="1:28" x14ac:dyDescent="0.2">
      <c r="A3047" s="10">
        <v>119650</v>
      </c>
      <c r="B3047" s="11" t="s">
        <v>19387</v>
      </c>
      <c r="C3047" s="11" t="s">
        <v>10734</v>
      </c>
      <c r="D3047" s="11" t="s">
        <v>904</v>
      </c>
      <c r="E3047" s="11"/>
      <c r="F3047" s="11" t="s">
        <v>10735</v>
      </c>
      <c r="G3047" s="11" t="s">
        <v>670</v>
      </c>
      <c r="H3047" s="11" t="s">
        <v>671</v>
      </c>
      <c r="I3047" s="11" t="s">
        <v>10736</v>
      </c>
      <c r="J3047" s="11" t="s">
        <v>10737</v>
      </c>
      <c r="K3047" s="11" t="s">
        <v>572</v>
      </c>
      <c r="L3047" s="11" t="s">
        <v>333</v>
      </c>
      <c r="M3047" s="11" t="s">
        <v>19388</v>
      </c>
      <c r="N3047" s="11" t="s">
        <v>128</v>
      </c>
      <c r="O3047" s="11" t="s">
        <v>19389</v>
      </c>
      <c r="P3047" s="11" t="s">
        <v>1406</v>
      </c>
      <c r="Q3047" s="11" t="s">
        <v>150</v>
      </c>
      <c r="R3047" s="11"/>
      <c r="S3047" s="11" t="s">
        <v>10740</v>
      </c>
      <c r="T3047" s="11" t="s">
        <v>1738</v>
      </c>
      <c r="U3047" s="11" t="s">
        <v>150</v>
      </c>
      <c r="V3047" s="11" t="s">
        <v>1738</v>
      </c>
      <c r="W3047" s="11" t="s">
        <v>1738</v>
      </c>
      <c r="X3047" s="11">
        <v>6</v>
      </c>
      <c r="Y3047" s="11" t="s">
        <v>12359</v>
      </c>
      <c r="Z3047" s="11">
        <v>20</v>
      </c>
      <c r="AA3047" s="11">
        <v>0</v>
      </c>
      <c r="AB3047" s="12">
        <v>0</v>
      </c>
    </row>
    <row r="3048" spans="1:28" x14ac:dyDescent="0.2">
      <c r="A3048" s="7">
        <v>30976</v>
      </c>
      <c r="B3048" s="8" t="s">
        <v>19390</v>
      </c>
      <c r="C3048" s="8" t="s">
        <v>10734</v>
      </c>
      <c r="D3048" s="8" t="s">
        <v>904</v>
      </c>
      <c r="E3048" s="8"/>
      <c r="F3048" s="8" t="s">
        <v>19286</v>
      </c>
      <c r="G3048" s="8" t="s">
        <v>670</v>
      </c>
      <c r="H3048" s="8" t="s">
        <v>671</v>
      </c>
      <c r="I3048" s="8" t="s">
        <v>10736</v>
      </c>
      <c r="J3048" s="8" t="s">
        <v>10737</v>
      </c>
      <c r="K3048" s="8" t="s">
        <v>572</v>
      </c>
      <c r="L3048" s="8" t="s">
        <v>333</v>
      </c>
      <c r="M3048" s="8" t="s">
        <v>19391</v>
      </c>
      <c r="N3048" s="8" t="s">
        <v>128</v>
      </c>
      <c r="O3048" s="8"/>
      <c r="P3048" s="8"/>
      <c r="Q3048" s="8" t="s">
        <v>150</v>
      </c>
      <c r="R3048" s="8"/>
      <c r="S3048" s="8" t="s">
        <v>10740</v>
      </c>
      <c r="T3048" s="8" t="s">
        <v>13984</v>
      </c>
      <c r="U3048" s="8" t="s">
        <v>150</v>
      </c>
      <c r="V3048" s="8" t="s">
        <v>13984</v>
      </c>
      <c r="W3048" s="8" t="s">
        <v>13984</v>
      </c>
      <c r="X3048" s="8">
        <v>6</v>
      </c>
      <c r="Y3048" s="8" t="s">
        <v>12359</v>
      </c>
      <c r="Z3048" s="8">
        <v>20</v>
      </c>
      <c r="AA3048" s="8">
        <v>0</v>
      </c>
      <c r="AB3048" s="9">
        <v>0</v>
      </c>
    </row>
    <row r="3049" spans="1:28" x14ac:dyDescent="0.2">
      <c r="A3049" s="10">
        <v>25245</v>
      </c>
      <c r="B3049" s="11" t="s">
        <v>19392</v>
      </c>
      <c r="C3049" s="11" t="s">
        <v>19127</v>
      </c>
      <c r="D3049" s="11" t="s">
        <v>4633</v>
      </c>
      <c r="E3049" s="11" t="s">
        <v>19393</v>
      </c>
      <c r="F3049" s="11" t="s">
        <v>19128</v>
      </c>
      <c r="G3049" s="11" t="s">
        <v>3612</v>
      </c>
      <c r="H3049" s="11" t="s">
        <v>704</v>
      </c>
      <c r="I3049" s="11" t="s">
        <v>19030</v>
      </c>
      <c r="J3049" s="11" t="s">
        <v>19129</v>
      </c>
      <c r="K3049" s="11" t="s">
        <v>707</v>
      </c>
      <c r="L3049" s="11" t="s">
        <v>126</v>
      </c>
      <c r="M3049" s="11" t="s">
        <v>19394</v>
      </c>
      <c r="N3049" s="11" t="s">
        <v>128</v>
      </c>
      <c r="O3049" s="11" t="s">
        <v>19395</v>
      </c>
      <c r="P3049" s="11"/>
      <c r="Q3049" s="11" t="s">
        <v>740</v>
      </c>
      <c r="R3049" s="11"/>
      <c r="S3049" s="11" t="s">
        <v>19034</v>
      </c>
      <c r="T3049" s="11" t="s">
        <v>1745</v>
      </c>
      <c r="U3049" s="11" t="s">
        <v>134</v>
      </c>
      <c r="V3049" s="11" t="s">
        <v>740</v>
      </c>
      <c r="W3049" s="11" t="s">
        <v>1745</v>
      </c>
      <c r="X3049" s="11">
        <v>6</v>
      </c>
      <c r="Y3049" s="11" t="s">
        <v>12359</v>
      </c>
      <c r="Z3049" s="11">
        <v>20</v>
      </c>
      <c r="AA3049" s="11">
        <v>0</v>
      </c>
      <c r="AB3049" s="12">
        <v>0</v>
      </c>
    </row>
    <row r="3050" spans="1:28" x14ac:dyDescent="0.2">
      <c r="A3050" s="7">
        <v>85192</v>
      </c>
      <c r="B3050" s="8" t="s">
        <v>19396</v>
      </c>
      <c r="C3050" s="8" t="s">
        <v>14473</v>
      </c>
      <c r="D3050" s="8" t="s">
        <v>5114</v>
      </c>
      <c r="E3050" s="8" t="s">
        <v>19397</v>
      </c>
      <c r="F3050" s="8" t="s">
        <v>14474</v>
      </c>
      <c r="G3050" s="8" t="s">
        <v>6501</v>
      </c>
      <c r="H3050" s="8" t="s">
        <v>159</v>
      </c>
      <c r="I3050" s="8" t="s">
        <v>14475</v>
      </c>
      <c r="J3050" s="8" t="s">
        <v>19398</v>
      </c>
      <c r="K3050" s="8" t="s">
        <v>162</v>
      </c>
      <c r="L3050" s="8" t="s">
        <v>163</v>
      </c>
      <c r="M3050" s="8" t="s">
        <v>19399</v>
      </c>
      <c r="N3050" s="8" t="s">
        <v>128</v>
      </c>
      <c r="O3050" s="8" t="s">
        <v>19400</v>
      </c>
      <c r="P3050" s="8"/>
      <c r="Q3050" s="8" t="s">
        <v>740</v>
      </c>
      <c r="R3050" s="8"/>
      <c r="S3050" s="8" t="s">
        <v>14480</v>
      </c>
      <c r="T3050" s="8" t="s">
        <v>1745</v>
      </c>
      <c r="U3050" s="8" t="s">
        <v>134</v>
      </c>
      <c r="V3050" s="8" t="s">
        <v>740</v>
      </c>
      <c r="W3050" s="8" t="s">
        <v>1745</v>
      </c>
      <c r="X3050" s="8">
        <v>6</v>
      </c>
      <c r="Y3050" s="8" t="s">
        <v>12359</v>
      </c>
      <c r="Z3050" s="8">
        <v>20</v>
      </c>
      <c r="AA3050" s="8">
        <v>0</v>
      </c>
      <c r="AB3050" s="9">
        <v>0</v>
      </c>
    </row>
    <row r="3051" spans="1:28" x14ac:dyDescent="0.2">
      <c r="A3051" s="10">
        <v>25206</v>
      </c>
      <c r="B3051" s="11" t="s">
        <v>19401</v>
      </c>
      <c r="C3051" s="11" t="s">
        <v>18938</v>
      </c>
      <c r="D3051" s="11" t="s">
        <v>2832</v>
      </c>
      <c r="E3051" s="11" t="s">
        <v>19402</v>
      </c>
      <c r="F3051" s="11" t="s">
        <v>18939</v>
      </c>
      <c r="G3051" s="11" t="s">
        <v>141</v>
      </c>
      <c r="H3051" s="11" t="s">
        <v>142</v>
      </c>
      <c r="I3051" s="11" t="s">
        <v>18940</v>
      </c>
      <c r="J3051" s="11" t="s">
        <v>18941</v>
      </c>
      <c r="K3051" s="11" t="s">
        <v>472</v>
      </c>
      <c r="L3051" s="11" t="s">
        <v>146</v>
      </c>
      <c r="M3051" s="11" t="s">
        <v>19403</v>
      </c>
      <c r="N3051" s="11" t="s">
        <v>128</v>
      </c>
      <c r="O3051" s="11" t="s">
        <v>19404</v>
      </c>
      <c r="P3051" s="11" t="s">
        <v>19405</v>
      </c>
      <c r="Q3051" s="11" t="s">
        <v>740</v>
      </c>
      <c r="R3051" s="11"/>
      <c r="S3051" s="11" t="s">
        <v>18945</v>
      </c>
      <c r="T3051" s="11" t="s">
        <v>1745</v>
      </c>
      <c r="U3051" s="11" t="s">
        <v>134</v>
      </c>
      <c r="V3051" s="11" t="s">
        <v>740</v>
      </c>
      <c r="W3051" s="11" t="s">
        <v>1745</v>
      </c>
      <c r="X3051" s="11">
        <v>6</v>
      </c>
      <c r="Y3051" s="11" t="s">
        <v>12359</v>
      </c>
      <c r="Z3051" s="11">
        <v>20</v>
      </c>
      <c r="AA3051" s="11">
        <v>0</v>
      </c>
      <c r="AB3051" s="12">
        <v>0</v>
      </c>
    </row>
    <row r="3052" spans="1:28" x14ac:dyDescent="0.2">
      <c r="A3052" s="7">
        <v>235341</v>
      </c>
      <c r="B3052" s="8" t="s">
        <v>19406</v>
      </c>
      <c r="C3052" s="8" t="s">
        <v>6796</v>
      </c>
      <c r="D3052" s="8" t="s">
        <v>6797</v>
      </c>
      <c r="E3052" s="8" t="s">
        <v>8147</v>
      </c>
      <c r="F3052" s="8" t="s">
        <v>353</v>
      </c>
      <c r="G3052" s="8" t="s">
        <v>556</v>
      </c>
      <c r="H3052" s="8" t="s">
        <v>557</v>
      </c>
      <c r="I3052" s="8" t="s">
        <v>11467</v>
      </c>
      <c r="J3052" s="8" t="s">
        <v>9258</v>
      </c>
      <c r="K3052" s="8" t="s">
        <v>560</v>
      </c>
      <c r="L3052" s="8" t="s">
        <v>229</v>
      </c>
      <c r="M3052" s="8" t="s">
        <v>19407</v>
      </c>
      <c r="N3052" s="8" t="s">
        <v>128</v>
      </c>
      <c r="O3052" s="8" t="s">
        <v>19408</v>
      </c>
      <c r="P3052" s="8" t="s">
        <v>19409</v>
      </c>
      <c r="Q3052" s="8" t="s">
        <v>740</v>
      </c>
      <c r="R3052" s="8"/>
      <c r="S3052" s="8" t="s">
        <v>6804</v>
      </c>
      <c r="T3052" s="8" t="s">
        <v>1745</v>
      </c>
      <c r="U3052" s="8" t="s">
        <v>134</v>
      </c>
      <c r="V3052" s="8" t="s">
        <v>740</v>
      </c>
      <c r="W3052" s="8" t="s">
        <v>1745</v>
      </c>
      <c r="X3052" s="8">
        <v>6</v>
      </c>
      <c r="Y3052" s="8" t="s">
        <v>12359</v>
      </c>
      <c r="Z3052" s="8">
        <v>20</v>
      </c>
      <c r="AA3052" s="8">
        <v>0</v>
      </c>
      <c r="AB3052" s="9">
        <v>0</v>
      </c>
    </row>
    <row r="3053" spans="1:28" x14ac:dyDescent="0.2">
      <c r="A3053" s="10">
        <v>31338</v>
      </c>
      <c r="B3053" s="11" t="s">
        <v>19410</v>
      </c>
      <c r="C3053" s="11" t="s">
        <v>19411</v>
      </c>
      <c r="D3053" s="11" t="s">
        <v>1064</v>
      </c>
      <c r="E3053" s="11"/>
      <c r="F3053" s="11" t="s">
        <v>353</v>
      </c>
      <c r="G3053" s="11" t="s">
        <v>1794</v>
      </c>
      <c r="H3053" s="11" t="s">
        <v>142</v>
      </c>
      <c r="I3053" s="11" t="s">
        <v>19024</v>
      </c>
      <c r="J3053" s="11" t="s">
        <v>19412</v>
      </c>
      <c r="K3053" s="11" t="s">
        <v>779</v>
      </c>
      <c r="L3053" s="11" t="s">
        <v>464</v>
      </c>
      <c r="M3053" s="11" t="s">
        <v>19413</v>
      </c>
      <c r="N3053" s="11" t="s">
        <v>128</v>
      </c>
      <c r="O3053" s="11" t="s">
        <v>19414</v>
      </c>
      <c r="P3053" s="11" t="s">
        <v>19415</v>
      </c>
      <c r="Q3053" s="11" t="s">
        <v>740</v>
      </c>
      <c r="R3053" s="11"/>
      <c r="S3053" s="11" t="s">
        <v>71</v>
      </c>
      <c r="T3053" s="11" t="s">
        <v>1745</v>
      </c>
      <c r="U3053" s="11" t="s">
        <v>134</v>
      </c>
      <c r="V3053" s="11" t="s">
        <v>740</v>
      </c>
      <c r="W3053" s="11" t="s">
        <v>1745</v>
      </c>
      <c r="X3053" s="11">
        <v>6</v>
      </c>
      <c r="Y3053" s="11" t="s">
        <v>12359</v>
      </c>
      <c r="Z3053" s="11">
        <v>20</v>
      </c>
      <c r="AA3053" s="11">
        <v>0</v>
      </c>
      <c r="AB3053" s="12">
        <v>0</v>
      </c>
    </row>
    <row r="3054" spans="1:28" x14ac:dyDescent="0.2">
      <c r="A3054" s="7">
        <v>119506</v>
      </c>
      <c r="B3054" s="8" t="s">
        <v>19416</v>
      </c>
      <c r="C3054" s="8" t="s">
        <v>10494</v>
      </c>
      <c r="D3054" s="8" t="s">
        <v>10495</v>
      </c>
      <c r="E3054" s="8"/>
      <c r="F3054" s="8" t="s">
        <v>19417</v>
      </c>
      <c r="G3054" s="8" t="s">
        <v>10624</v>
      </c>
      <c r="H3054" s="8" t="s">
        <v>6410</v>
      </c>
      <c r="I3054" s="8" t="s">
        <v>10498</v>
      </c>
      <c r="J3054" s="8" t="s">
        <v>10499</v>
      </c>
      <c r="K3054" s="8" t="s">
        <v>1956</v>
      </c>
      <c r="L3054" s="8" t="s">
        <v>526</v>
      </c>
      <c r="M3054" s="8" t="s">
        <v>19418</v>
      </c>
      <c r="N3054" s="8" t="s">
        <v>128</v>
      </c>
      <c r="O3054" s="8" t="s">
        <v>19419</v>
      </c>
      <c r="P3054" s="8" t="s">
        <v>3523</v>
      </c>
      <c r="Q3054" s="8" t="s">
        <v>740</v>
      </c>
      <c r="R3054" s="8"/>
      <c r="S3054" s="8" t="s">
        <v>10503</v>
      </c>
      <c r="T3054" s="8" t="s">
        <v>1745</v>
      </c>
      <c r="U3054" s="8" t="s">
        <v>134</v>
      </c>
      <c r="V3054" s="8" t="s">
        <v>740</v>
      </c>
      <c r="W3054" s="8" t="s">
        <v>1745</v>
      </c>
      <c r="X3054" s="8">
        <v>6</v>
      </c>
      <c r="Y3054" s="8" t="s">
        <v>12359</v>
      </c>
      <c r="Z3054" s="8">
        <v>20</v>
      </c>
      <c r="AA3054" s="8">
        <v>0</v>
      </c>
      <c r="AB3054" s="9">
        <v>0</v>
      </c>
    </row>
    <row r="3055" spans="1:28" x14ac:dyDescent="0.2">
      <c r="A3055" s="10">
        <v>235821</v>
      </c>
      <c r="B3055" s="11" t="s">
        <v>19420</v>
      </c>
      <c r="C3055" s="11" t="s">
        <v>2419</v>
      </c>
      <c r="D3055" s="11" t="s">
        <v>2420</v>
      </c>
      <c r="E3055" s="11"/>
      <c r="F3055" s="11" t="s">
        <v>2422</v>
      </c>
      <c r="G3055" s="11" t="s">
        <v>2423</v>
      </c>
      <c r="H3055" s="11" t="s">
        <v>557</v>
      </c>
      <c r="I3055" s="11" t="s">
        <v>2424</v>
      </c>
      <c r="J3055" s="11" t="s">
        <v>2425</v>
      </c>
      <c r="K3055" s="11" t="s">
        <v>1562</v>
      </c>
      <c r="L3055" s="11" t="s">
        <v>229</v>
      </c>
      <c r="M3055" s="11" t="s">
        <v>19421</v>
      </c>
      <c r="N3055" s="11" t="s">
        <v>128</v>
      </c>
      <c r="O3055" s="11" t="s">
        <v>19422</v>
      </c>
      <c r="P3055" s="11" t="s">
        <v>19423</v>
      </c>
      <c r="Q3055" s="11" t="s">
        <v>740</v>
      </c>
      <c r="R3055" s="11"/>
      <c r="S3055" s="11" t="s">
        <v>2429</v>
      </c>
      <c r="T3055" s="11" t="s">
        <v>1745</v>
      </c>
      <c r="U3055" s="11" t="s">
        <v>134</v>
      </c>
      <c r="V3055" s="11" t="s">
        <v>740</v>
      </c>
      <c r="W3055" s="11" t="s">
        <v>1745</v>
      </c>
      <c r="X3055" s="11">
        <v>6</v>
      </c>
      <c r="Y3055" s="11" t="s">
        <v>12359</v>
      </c>
      <c r="Z3055" s="11">
        <v>20</v>
      </c>
      <c r="AA3055" s="11">
        <v>0</v>
      </c>
      <c r="AB3055" s="12">
        <v>0</v>
      </c>
    </row>
    <row r="3056" spans="1:28" x14ac:dyDescent="0.2">
      <c r="A3056" s="7">
        <v>25739</v>
      </c>
      <c r="B3056" s="8" t="s">
        <v>19424</v>
      </c>
      <c r="C3056" s="8" t="s">
        <v>19425</v>
      </c>
      <c r="D3056" s="8" t="s">
        <v>19426</v>
      </c>
      <c r="E3056" s="8"/>
      <c r="F3056" s="8" t="s">
        <v>19073</v>
      </c>
      <c r="G3056" s="8" t="s">
        <v>10391</v>
      </c>
      <c r="H3056" s="8" t="s">
        <v>142</v>
      </c>
      <c r="I3056" s="8" t="s">
        <v>19074</v>
      </c>
      <c r="J3056" s="8" t="s">
        <v>19427</v>
      </c>
      <c r="K3056" s="8" t="s">
        <v>472</v>
      </c>
      <c r="L3056" s="8" t="s">
        <v>146</v>
      </c>
      <c r="M3056" s="8" t="s">
        <v>19428</v>
      </c>
      <c r="N3056" s="8" t="s">
        <v>128</v>
      </c>
      <c r="O3056" s="8" t="s">
        <v>19429</v>
      </c>
      <c r="P3056" s="8" t="s">
        <v>19430</v>
      </c>
      <c r="Q3056" s="8" t="s">
        <v>740</v>
      </c>
      <c r="R3056" s="8"/>
      <c r="S3056" s="8" t="s">
        <v>19078</v>
      </c>
      <c r="T3056" s="8" t="s">
        <v>1745</v>
      </c>
      <c r="U3056" s="8" t="s">
        <v>134</v>
      </c>
      <c r="V3056" s="8" t="s">
        <v>740</v>
      </c>
      <c r="W3056" s="8" t="s">
        <v>1745</v>
      </c>
      <c r="X3056" s="8">
        <v>6</v>
      </c>
      <c r="Y3056" s="8" t="s">
        <v>12359</v>
      </c>
      <c r="Z3056" s="8">
        <v>20</v>
      </c>
      <c r="AA3056" s="8">
        <v>0</v>
      </c>
      <c r="AB3056" s="9">
        <v>0</v>
      </c>
    </row>
    <row r="3057" spans="1:28" x14ac:dyDescent="0.2">
      <c r="A3057" s="10">
        <v>46626</v>
      </c>
      <c r="B3057" s="11" t="s">
        <v>19431</v>
      </c>
      <c r="C3057" s="11" t="s">
        <v>10117</v>
      </c>
      <c r="D3057" s="11" t="s">
        <v>10118</v>
      </c>
      <c r="E3057" s="11"/>
      <c r="F3057" s="11" t="s">
        <v>353</v>
      </c>
      <c r="G3057" s="11" t="s">
        <v>10119</v>
      </c>
      <c r="H3057" s="11" t="s">
        <v>191</v>
      </c>
      <c r="I3057" s="11" t="s">
        <v>10120</v>
      </c>
      <c r="J3057" s="11" t="s">
        <v>10121</v>
      </c>
      <c r="K3057" s="11" t="s">
        <v>194</v>
      </c>
      <c r="L3057" s="11" t="s">
        <v>163</v>
      </c>
      <c r="M3057" s="11" t="s">
        <v>19432</v>
      </c>
      <c r="N3057" s="11" t="s">
        <v>128</v>
      </c>
      <c r="O3057" s="11" t="s">
        <v>19433</v>
      </c>
      <c r="P3057" s="11"/>
      <c r="Q3057" s="11" t="s">
        <v>740</v>
      </c>
      <c r="R3057" s="11"/>
      <c r="S3057" s="11" t="s">
        <v>10125</v>
      </c>
      <c r="T3057" s="11" t="s">
        <v>1745</v>
      </c>
      <c r="U3057" s="11" t="s">
        <v>134</v>
      </c>
      <c r="V3057" s="11" t="s">
        <v>740</v>
      </c>
      <c r="W3057" s="11" t="s">
        <v>1745</v>
      </c>
      <c r="X3057" s="11">
        <v>6</v>
      </c>
      <c r="Y3057" s="11" t="s">
        <v>12359</v>
      </c>
      <c r="Z3057" s="11">
        <v>20</v>
      </c>
      <c r="AA3057" s="11">
        <v>0</v>
      </c>
      <c r="AB3057" s="12">
        <v>0</v>
      </c>
    </row>
    <row r="3058" spans="1:28" x14ac:dyDescent="0.2">
      <c r="A3058" s="7">
        <v>31232</v>
      </c>
      <c r="B3058" s="8" t="s">
        <v>19434</v>
      </c>
      <c r="C3058" s="8" t="s">
        <v>19435</v>
      </c>
      <c r="D3058" s="8" t="s">
        <v>138</v>
      </c>
      <c r="E3058" s="8"/>
      <c r="F3058" s="8" t="s">
        <v>19436</v>
      </c>
      <c r="G3058" s="8" t="s">
        <v>4257</v>
      </c>
      <c r="H3058" s="8" t="s">
        <v>301</v>
      </c>
      <c r="I3058" s="8" t="s">
        <v>17086</v>
      </c>
      <c r="J3058" s="8" t="s">
        <v>19437</v>
      </c>
      <c r="K3058" s="8" t="s">
        <v>228</v>
      </c>
      <c r="L3058" s="8" t="s">
        <v>229</v>
      </c>
      <c r="M3058" s="8" t="s">
        <v>19438</v>
      </c>
      <c r="N3058" s="8" t="s">
        <v>128</v>
      </c>
      <c r="O3058" s="8"/>
      <c r="P3058" s="8"/>
      <c r="Q3058" s="8" t="s">
        <v>740</v>
      </c>
      <c r="R3058" s="8"/>
      <c r="S3058" s="8" t="s">
        <v>9688</v>
      </c>
      <c r="T3058" s="8" t="s">
        <v>1745</v>
      </c>
      <c r="U3058" s="8" t="s">
        <v>134</v>
      </c>
      <c r="V3058" s="8" t="s">
        <v>740</v>
      </c>
      <c r="W3058" s="8" t="s">
        <v>1745</v>
      </c>
      <c r="X3058" s="8">
        <v>6</v>
      </c>
      <c r="Y3058" s="8" t="s">
        <v>12359</v>
      </c>
      <c r="Z3058" s="8">
        <v>20</v>
      </c>
      <c r="AA3058" s="8">
        <v>0</v>
      </c>
      <c r="AB3058" s="9">
        <v>0</v>
      </c>
    </row>
    <row r="3059" spans="1:28" x14ac:dyDescent="0.2">
      <c r="A3059" s="10">
        <v>27218</v>
      </c>
      <c r="B3059" s="11" t="s">
        <v>19439</v>
      </c>
      <c r="C3059" s="11" t="s">
        <v>3081</v>
      </c>
      <c r="D3059" s="11" t="s">
        <v>1926</v>
      </c>
      <c r="E3059" s="11"/>
      <c r="F3059" s="11" t="s">
        <v>353</v>
      </c>
      <c r="G3059" s="11" t="s">
        <v>3084</v>
      </c>
      <c r="H3059" s="11" t="s">
        <v>142</v>
      </c>
      <c r="I3059" s="11" t="s">
        <v>3085</v>
      </c>
      <c r="J3059" s="11" t="s">
        <v>19440</v>
      </c>
      <c r="K3059" s="11" t="s">
        <v>1673</v>
      </c>
      <c r="L3059" s="11" t="s">
        <v>464</v>
      </c>
      <c r="M3059" s="11" t="s">
        <v>19441</v>
      </c>
      <c r="N3059" s="11" t="s">
        <v>128</v>
      </c>
      <c r="O3059" s="11"/>
      <c r="P3059" s="11"/>
      <c r="Q3059" s="11" t="s">
        <v>740</v>
      </c>
      <c r="R3059" s="11"/>
      <c r="S3059" s="11" t="s">
        <v>71</v>
      </c>
      <c r="T3059" s="11" t="s">
        <v>1745</v>
      </c>
      <c r="U3059" s="11" t="s">
        <v>134</v>
      </c>
      <c r="V3059" s="11" t="s">
        <v>740</v>
      </c>
      <c r="W3059" s="11" t="s">
        <v>1745</v>
      </c>
      <c r="X3059" s="11">
        <v>6</v>
      </c>
      <c r="Y3059" s="11" t="s">
        <v>12359</v>
      </c>
      <c r="Z3059" s="11">
        <v>20</v>
      </c>
      <c r="AA3059" s="11">
        <v>0</v>
      </c>
      <c r="AB3059" s="12">
        <v>0</v>
      </c>
    </row>
    <row r="3060" spans="1:28" x14ac:dyDescent="0.2">
      <c r="A3060" s="7">
        <v>107606</v>
      </c>
      <c r="B3060" s="8" t="s">
        <v>19442</v>
      </c>
      <c r="C3060" s="8" t="s">
        <v>19443</v>
      </c>
      <c r="D3060" s="8" t="s">
        <v>2832</v>
      </c>
      <c r="E3060" s="8" t="s">
        <v>9506</v>
      </c>
      <c r="F3060" s="8" t="s">
        <v>8101</v>
      </c>
      <c r="G3060" s="8" t="s">
        <v>2423</v>
      </c>
      <c r="H3060" s="8" t="s">
        <v>557</v>
      </c>
      <c r="I3060" s="8" t="s">
        <v>7875</v>
      </c>
      <c r="J3060" s="8" t="s">
        <v>19444</v>
      </c>
      <c r="K3060" s="8" t="s">
        <v>1562</v>
      </c>
      <c r="L3060" s="8" t="s">
        <v>229</v>
      </c>
      <c r="M3060" s="8" t="s">
        <v>19445</v>
      </c>
      <c r="N3060" s="8" t="s">
        <v>128</v>
      </c>
      <c r="O3060" s="8" t="s">
        <v>19446</v>
      </c>
      <c r="P3060" s="8" t="s">
        <v>19447</v>
      </c>
      <c r="Q3060" s="8" t="s">
        <v>740</v>
      </c>
      <c r="R3060" s="8"/>
      <c r="S3060" s="8" t="s">
        <v>71</v>
      </c>
      <c r="T3060" s="8" t="s">
        <v>741</v>
      </c>
      <c r="U3060" s="8" t="s">
        <v>134</v>
      </c>
      <c r="V3060" s="8" t="s">
        <v>740</v>
      </c>
      <c r="W3060" s="8" t="s">
        <v>741</v>
      </c>
      <c r="X3060" s="8">
        <v>6</v>
      </c>
      <c r="Y3060" s="8" t="s">
        <v>12359</v>
      </c>
      <c r="Z3060" s="8">
        <v>20</v>
      </c>
      <c r="AA3060" s="8">
        <v>0</v>
      </c>
      <c r="AB3060" s="9">
        <v>0</v>
      </c>
    </row>
    <row r="3061" spans="1:28" x14ac:dyDescent="0.2">
      <c r="A3061" s="10">
        <v>31211</v>
      </c>
      <c r="B3061" s="11" t="s">
        <v>19448</v>
      </c>
      <c r="C3061" s="11" t="s">
        <v>10905</v>
      </c>
      <c r="D3061" s="11" t="s">
        <v>701</v>
      </c>
      <c r="E3061" s="11"/>
      <c r="F3061" s="11" t="s">
        <v>353</v>
      </c>
      <c r="G3061" s="11" t="s">
        <v>328</v>
      </c>
      <c r="H3061" s="11" t="s">
        <v>329</v>
      </c>
      <c r="I3061" s="11"/>
      <c r="J3061" s="11" t="s">
        <v>19449</v>
      </c>
      <c r="K3061" s="11" t="s">
        <v>415</v>
      </c>
      <c r="L3061" s="11" t="s">
        <v>333</v>
      </c>
      <c r="M3061" s="11" t="s">
        <v>19450</v>
      </c>
      <c r="N3061" s="11" t="s">
        <v>128</v>
      </c>
      <c r="O3061" s="11" t="s">
        <v>19451</v>
      </c>
      <c r="P3061" s="11" t="s">
        <v>19452</v>
      </c>
      <c r="Q3061" s="11" t="s">
        <v>740</v>
      </c>
      <c r="R3061" s="11"/>
      <c r="S3061" s="11" t="s">
        <v>71</v>
      </c>
      <c r="T3061" s="11" t="s">
        <v>741</v>
      </c>
      <c r="U3061" s="11" t="s">
        <v>134</v>
      </c>
      <c r="V3061" s="11" t="s">
        <v>740</v>
      </c>
      <c r="W3061" s="11" t="s">
        <v>741</v>
      </c>
      <c r="X3061" s="11">
        <v>6</v>
      </c>
      <c r="Y3061" s="11" t="s">
        <v>12359</v>
      </c>
      <c r="Z3061" s="11">
        <v>20</v>
      </c>
      <c r="AA3061" s="11">
        <v>0</v>
      </c>
      <c r="AB3061" s="12">
        <v>0</v>
      </c>
    </row>
    <row r="3062" spans="1:28" x14ac:dyDescent="0.2">
      <c r="A3062" s="7">
        <v>22122</v>
      </c>
      <c r="B3062" s="8" t="s">
        <v>19453</v>
      </c>
      <c r="C3062" s="8" t="s">
        <v>19454</v>
      </c>
      <c r="D3062" s="8" t="s">
        <v>13847</v>
      </c>
      <c r="E3062" s="8" t="s">
        <v>19455</v>
      </c>
      <c r="F3062" s="8" t="s">
        <v>16520</v>
      </c>
      <c r="G3062" s="8" t="s">
        <v>7402</v>
      </c>
      <c r="H3062" s="8" t="s">
        <v>847</v>
      </c>
      <c r="I3062" s="8" t="s">
        <v>19456</v>
      </c>
      <c r="J3062" s="8" t="s">
        <v>19457</v>
      </c>
      <c r="K3062" s="8" t="s">
        <v>1091</v>
      </c>
      <c r="L3062" s="8" t="s">
        <v>126</v>
      </c>
      <c r="M3062" s="8" t="s">
        <v>19458</v>
      </c>
      <c r="N3062" s="8" t="s">
        <v>128</v>
      </c>
      <c r="O3062" s="8" t="s">
        <v>19459</v>
      </c>
      <c r="P3062" s="8"/>
      <c r="Q3062" s="8" t="s">
        <v>249</v>
      </c>
      <c r="R3062" s="8"/>
      <c r="S3062" s="8" t="s">
        <v>19460</v>
      </c>
      <c r="T3062" s="8" t="s">
        <v>1523</v>
      </c>
      <c r="U3062" s="8" t="s">
        <v>134</v>
      </c>
      <c r="V3062" s="8" t="s">
        <v>249</v>
      </c>
      <c r="W3062" s="8" t="s">
        <v>1523</v>
      </c>
      <c r="X3062" s="8">
        <v>6</v>
      </c>
      <c r="Y3062" s="8" t="s">
        <v>12359</v>
      </c>
      <c r="Z3062" s="8">
        <v>20</v>
      </c>
      <c r="AA3062" s="8">
        <v>0</v>
      </c>
      <c r="AB3062" s="9">
        <v>0</v>
      </c>
    </row>
    <row r="3063" spans="1:28" x14ac:dyDescent="0.2">
      <c r="A3063" s="10">
        <v>25078</v>
      </c>
      <c r="B3063" s="11" t="s">
        <v>19461</v>
      </c>
      <c r="C3063" s="11" t="s">
        <v>15474</v>
      </c>
      <c r="D3063" s="11" t="s">
        <v>9336</v>
      </c>
      <c r="E3063" s="11" t="s">
        <v>19462</v>
      </c>
      <c r="F3063" s="11" t="s">
        <v>14120</v>
      </c>
      <c r="G3063" s="11" t="s">
        <v>141</v>
      </c>
      <c r="H3063" s="11" t="s">
        <v>142</v>
      </c>
      <c r="I3063" s="11" t="s">
        <v>15476</v>
      </c>
      <c r="J3063" s="11" t="s">
        <v>16580</v>
      </c>
      <c r="K3063" s="11" t="s">
        <v>145</v>
      </c>
      <c r="L3063" s="11" t="s">
        <v>146</v>
      </c>
      <c r="M3063" s="11" t="s">
        <v>19463</v>
      </c>
      <c r="N3063" s="11" t="s">
        <v>128</v>
      </c>
      <c r="O3063" s="11" t="s">
        <v>19464</v>
      </c>
      <c r="P3063" s="11"/>
      <c r="Q3063" s="11" t="s">
        <v>249</v>
      </c>
      <c r="R3063" s="11"/>
      <c r="S3063" s="11" t="s">
        <v>15481</v>
      </c>
      <c r="T3063" s="11" t="s">
        <v>1523</v>
      </c>
      <c r="U3063" s="11" t="s">
        <v>134</v>
      </c>
      <c r="V3063" s="11" t="s">
        <v>249</v>
      </c>
      <c r="W3063" s="11" t="s">
        <v>1523</v>
      </c>
      <c r="X3063" s="11">
        <v>6</v>
      </c>
      <c r="Y3063" s="11" t="s">
        <v>12359</v>
      </c>
      <c r="Z3063" s="11">
        <v>20</v>
      </c>
      <c r="AA3063" s="11">
        <v>0</v>
      </c>
      <c r="AB3063" s="12">
        <v>0</v>
      </c>
    </row>
    <row r="3064" spans="1:28" x14ac:dyDescent="0.2">
      <c r="A3064" s="7">
        <v>126262</v>
      </c>
      <c r="B3064" s="8" t="s">
        <v>19465</v>
      </c>
      <c r="C3064" s="8" t="s">
        <v>2419</v>
      </c>
      <c r="D3064" s="8" t="s">
        <v>2420</v>
      </c>
      <c r="E3064" s="8" t="s">
        <v>19466</v>
      </c>
      <c r="F3064" s="8" t="s">
        <v>2422</v>
      </c>
      <c r="G3064" s="8" t="s">
        <v>2423</v>
      </c>
      <c r="H3064" s="8" t="s">
        <v>557</v>
      </c>
      <c r="I3064" s="8" t="s">
        <v>2424</v>
      </c>
      <c r="J3064" s="8" t="s">
        <v>2425</v>
      </c>
      <c r="K3064" s="8" t="s">
        <v>1562</v>
      </c>
      <c r="L3064" s="8" t="s">
        <v>229</v>
      </c>
      <c r="M3064" s="8" t="s">
        <v>19467</v>
      </c>
      <c r="N3064" s="8" t="s">
        <v>128</v>
      </c>
      <c r="O3064" s="8" t="s">
        <v>19468</v>
      </c>
      <c r="P3064" s="8"/>
      <c r="Q3064" s="8" t="s">
        <v>249</v>
      </c>
      <c r="R3064" s="8"/>
      <c r="S3064" s="8" t="s">
        <v>2429</v>
      </c>
      <c r="T3064" s="8" t="s">
        <v>1523</v>
      </c>
      <c r="U3064" s="8" t="s">
        <v>134</v>
      </c>
      <c r="V3064" s="8" t="s">
        <v>249</v>
      </c>
      <c r="W3064" s="8" t="s">
        <v>1523</v>
      </c>
      <c r="X3064" s="8">
        <v>6</v>
      </c>
      <c r="Y3064" s="8" t="s">
        <v>12359</v>
      </c>
      <c r="Z3064" s="8">
        <v>20</v>
      </c>
      <c r="AA3064" s="8">
        <v>0</v>
      </c>
      <c r="AB3064" s="9">
        <v>0</v>
      </c>
    </row>
    <row r="3065" spans="1:28" x14ac:dyDescent="0.2">
      <c r="A3065" s="10">
        <v>226709</v>
      </c>
      <c r="B3065" s="11" t="s">
        <v>19469</v>
      </c>
      <c r="C3065" s="11" t="s">
        <v>14575</v>
      </c>
      <c r="D3065" s="11" t="s">
        <v>138</v>
      </c>
      <c r="E3065" s="11" t="s">
        <v>19470</v>
      </c>
      <c r="F3065" s="11" t="s">
        <v>1487</v>
      </c>
      <c r="G3065" s="11" t="s">
        <v>1488</v>
      </c>
      <c r="H3065" s="11" t="s">
        <v>329</v>
      </c>
      <c r="I3065" s="11" t="s">
        <v>14576</v>
      </c>
      <c r="J3065" s="11" t="s">
        <v>14577</v>
      </c>
      <c r="K3065" s="11" t="s">
        <v>415</v>
      </c>
      <c r="L3065" s="11" t="s">
        <v>333</v>
      </c>
      <c r="M3065" s="11" t="s">
        <v>19471</v>
      </c>
      <c r="N3065" s="11" t="s">
        <v>128</v>
      </c>
      <c r="O3065" s="11" t="s">
        <v>19472</v>
      </c>
      <c r="P3065" s="11"/>
      <c r="Q3065" s="11" t="s">
        <v>249</v>
      </c>
      <c r="R3065" s="11"/>
      <c r="S3065" s="11" t="s">
        <v>14580</v>
      </c>
      <c r="T3065" s="11" t="s">
        <v>1523</v>
      </c>
      <c r="U3065" s="11" t="s">
        <v>134</v>
      </c>
      <c r="V3065" s="11" t="s">
        <v>249</v>
      </c>
      <c r="W3065" s="11" t="s">
        <v>1523</v>
      </c>
      <c r="X3065" s="11">
        <v>6</v>
      </c>
      <c r="Y3065" s="11" t="s">
        <v>12359</v>
      </c>
      <c r="Z3065" s="11">
        <v>20</v>
      </c>
      <c r="AA3065" s="11">
        <v>0</v>
      </c>
      <c r="AB3065" s="12">
        <v>0</v>
      </c>
    </row>
    <row r="3066" spans="1:28" x14ac:dyDescent="0.2">
      <c r="A3066" s="7">
        <v>26951</v>
      </c>
      <c r="B3066" s="8" t="s">
        <v>19473</v>
      </c>
      <c r="C3066" s="8" t="s">
        <v>19425</v>
      </c>
      <c r="D3066" s="8" t="s">
        <v>19426</v>
      </c>
      <c r="E3066" s="8"/>
      <c r="F3066" s="8" t="s">
        <v>19073</v>
      </c>
      <c r="G3066" s="8" t="s">
        <v>10391</v>
      </c>
      <c r="H3066" s="8" t="s">
        <v>142</v>
      </c>
      <c r="I3066" s="8" t="s">
        <v>19074</v>
      </c>
      <c r="J3066" s="8" t="s">
        <v>19427</v>
      </c>
      <c r="K3066" s="8" t="s">
        <v>472</v>
      </c>
      <c r="L3066" s="8" t="s">
        <v>146</v>
      </c>
      <c r="M3066" s="8" t="s">
        <v>19474</v>
      </c>
      <c r="N3066" s="8" t="s">
        <v>128</v>
      </c>
      <c r="O3066" s="8" t="s">
        <v>19475</v>
      </c>
      <c r="P3066" s="8"/>
      <c r="Q3066" s="8" t="s">
        <v>249</v>
      </c>
      <c r="R3066" s="8"/>
      <c r="S3066" s="8" t="s">
        <v>19078</v>
      </c>
      <c r="T3066" s="8" t="s">
        <v>1523</v>
      </c>
      <c r="U3066" s="8" t="s">
        <v>134</v>
      </c>
      <c r="V3066" s="8" t="s">
        <v>249</v>
      </c>
      <c r="W3066" s="8" t="s">
        <v>1523</v>
      </c>
      <c r="X3066" s="8">
        <v>6</v>
      </c>
      <c r="Y3066" s="8" t="s">
        <v>12359</v>
      </c>
      <c r="Z3066" s="8">
        <v>20</v>
      </c>
      <c r="AA3066" s="8">
        <v>0</v>
      </c>
      <c r="AB3066" s="9">
        <v>0</v>
      </c>
    </row>
    <row r="3067" spans="1:28" x14ac:dyDescent="0.2">
      <c r="A3067" s="10">
        <v>31783</v>
      </c>
      <c r="B3067" s="11" t="s">
        <v>19476</v>
      </c>
      <c r="C3067" s="11" t="s">
        <v>18938</v>
      </c>
      <c r="D3067" s="11" t="s">
        <v>2832</v>
      </c>
      <c r="E3067" s="11"/>
      <c r="F3067" s="11" t="s">
        <v>18939</v>
      </c>
      <c r="G3067" s="11" t="s">
        <v>141</v>
      </c>
      <c r="H3067" s="11" t="s">
        <v>142</v>
      </c>
      <c r="I3067" s="11" t="s">
        <v>18940</v>
      </c>
      <c r="J3067" s="11" t="s">
        <v>19099</v>
      </c>
      <c r="K3067" s="11" t="s">
        <v>472</v>
      </c>
      <c r="L3067" s="11" t="s">
        <v>146</v>
      </c>
      <c r="M3067" s="11" t="s">
        <v>19477</v>
      </c>
      <c r="N3067" s="11" t="s">
        <v>128</v>
      </c>
      <c r="O3067" s="11" t="s">
        <v>19478</v>
      </c>
      <c r="P3067" s="11"/>
      <c r="Q3067" s="11" t="s">
        <v>249</v>
      </c>
      <c r="R3067" s="11"/>
      <c r="S3067" s="11" t="s">
        <v>18945</v>
      </c>
      <c r="T3067" s="11" t="s">
        <v>1523</v>
      </c>
      <c r="U3067" s="11" t="s">
        <v>134</v>
      </c>
      <c r="V3067" s="11" t="s">
        <v>249</v>
      </c>
      <c r="W3067" s="11" t="s">
        <v>1523</v>
      </c>
      <c r="X3067" s="11">
        <v>6</v>
      </c>
      <c r="Y3067" s="11" t="s">
        <v>12359</v>
      </c>
      <c r="Z3067" s="11">
        <v>20</v>
      </c>
      <c r="AA3067" s="11">
        <v>0</v>
      </c>
      <c r="AB3067" s="12">
        <v>0</v>
      </c>
    </row>
    <row r="3068" spans="1:28" x14ac:dyDescent="0.2">
      <c r="A3068" s="7">
        <v>31787</v>
      </c>
      <c r="B3068" s="8" t="s">
        <v>19479</v>
      </c>
      <c r="C3068" s="8" t="s">
        <v>13359</v>
      </c>
      <c r="D3068" s="8" t="s">
        <v>12057</v>
      </c>
      <c r="E3068" s="8"/>
      <c r="F3068" s="8" t="s">
        <v>2788</v>
      </c>
      <c r="G3068" s="8" t="s">
        <v>1286</v>
      </c>
      <c r="H3068" s="8" t="s">
        <v>142</v>
      </c>
      <c r="I3068" s="8" t="s">
        <v>13361</v>
      </c>
      <c r="J3068" s="8" t="s">
        <v>19480</v>
      </c>
      <c r="K3068" s="8" t="s">
        <v>717</v>
      </c>
      <c r="L3068" s="8" t="s">
        <v>464</v>
      </c>
      <c r="M3068" s="8" t="s">
        <v>19481</v>
      </c>
      <c r="N3068" s="8" t="s">
        <v>128</v>
      </c>
      <c r="O3068" s="8" t="s">
        <v>19482</v>
      </c>
      <c r="P3068" s="8"/>
      <c r="Q3068" s="8" t="s">
        <v>249</v>
      </c>
      <c r="R3068" s="8"/>
      <c r="S3068" s="8" t="s">
        <v>13365</v>
      </c>
      <c r="T3068" s="8" t="s">
        <v>1523</v>
      </c>
      <c r="U3068" s="8" t="s">
        <v>134</v>
      </c>
      <c r="V3068" s="8" t="s">
        <v>249</v>
      </c>
      <c r="W3068" s="8" t="s">
        <v>1523</v>
      </c>
      <c r="X3068" s="8">
        <v>6</v>
      </c>
      <c r="Y3068" s="8" t="s">
        <v>12359</v>
      </c>
      <c r="Z3068" s="8">
        <v>20</v>
      </c>
      <c r="AA3068" s="8">
        <v>0</v>
      </c>
      <c r="AB3068" s="9">
        <v>0</v>
      </c>
    </row>
    <row r="3069" spans="1:28" x14ac:dyDescent="0.2">
      <c r="A3069" s="10">
        <v>25510</v>
      </c>
      <c r="B3069" s="11" t="s">
        <v>19483</v>
      </c>
      <c r="C3069" s="11" t="s">
        <v>19484</v>
      </c>
      <c r="D3069" s="11" t="s">
        <v>4633</v>
      </c>
      <c r="E3069" s="11"/>
      <c r="F3069" s="11" t="s">
        <v>353</v>
      </c>
      <c r="G3069" s="11" t="s">
        <v>3612</v>
      </c>
      <c r="H3069" s="11" t="s">
        <v>704</v>
      </c>
      <c r="I3069" s="11" t="s">
        <v>19485</v>
      </c>
      <c r="J3069" s="11" t="s">
        <v>19486</v>
      </c>
      <c r="K3069" s="11" t="s">
        <v>707</v>
      </c>
      <c r="L3069" s="11" t="s">
        <v>126</v>
      </c>
      <c r="M3069" s="11" t="s">
        <v>19487</v>
      </c>
      <c r="N3069" s="11" t="s">
        <v>128</v>
      </c>
      <c r="O3069" s="11" t="s">
        <v>19488</v>
      </c>
      <c r="P3069" s="11"/>
      <c r="Q3069" s="11" t="s">
        <v>249</v>
      </c>
      <c r="R3069" s="11"/>
      <c r="S3069" s="11" t="s">
        <v>19034</v>
      </c>
      <c r="T3069" s="11" t="s">
        <v>1523</v>
      </c>
      <c r="U3069" s="11" t="s">
        <v>134</v>
      </c>
      <c r="V3069" s="11" t="s">
        <v>249</v>
      </c>
      <c r="W3069" s="11" t="s">
        <v>1523</v>
      </c>
      <c r="X3069" s="11">
        <v>6</v>
      </c>
      <c r="Y3069" s="11" t="s">
        <v>12359</v>
      </c>
      <c r="Z3069" s="11">
        <v>20</v>
      </c>
      <c r="AA3069" s="11">
        <v>0</v>
      </c>
      <c r="AB3069" s="12">
        <v>0</v>
      </c>
    </row>
    <row r="3070" spans="1:28" x14ac:dyDescent="0.2">
      <c r="A3070" s="7">
        <v>125377</v>
      </c>
      <c r="B3070" s="8" t="s">
        <v>19489</v>
      </c>
      <c r="C3070" s="8" t="s">
        <v>19490</v>
      </c>
      <c r="D3070" s="8" t="s">
        <v>7623</v>
      </c>
      <c r="E3070" s="8"/>
      <c r="F3070" s="8" t="s">
        <v>353</v>
      </c>
      <c r="G3070" s="8" t="s">
        <v>14650</v>
      </c>
      <c r="H3070" s="8" t="s">
        <v>122</v>
      </c>
      <c r="I3070" s="8" t="s">
        <v>19491</v>
      </c>
      <c r="J3070" s="8" t="s">
        <v>19492</v>
      </c>
      <c r="K3070" s="8" t="s">
        <v>125</v>
      </c>
      <c r="L3070" s="8" t="s">
        <v>126</v>
      </c>
      <c r="M3070" s="8" t="s">
        <v>19493</v>
      </c>
      <c r="N3070" s="8" t="s">
        <v>128</v>
      </c>
      <c r="O3070" s="8" t="s">
        <v>19494</v>
      </c>
      <c r="P3070" s="8"/>
      <c r="Q3070" s="8" t="s">
        <v>249</v>
      </c>
      <c r="R3070" s="8"/>
      <c r="S3070" s="8" t="s">
        <v>71</v>
      </c>
      <c r="T3070" s="8" t="s">
        <v>1523</v>
      </c>
      <c r="U3070" s="8" t="s">
        <v>134</v>
      </c>
      <c r="V3070" s="8" t="s">
        <v>249</v>
      </c>
      <c r="W3070" s="8" t="s">
        <v>1523</v>
      </c>
      <c r="X3070" s="8">
        <v>6</v>
      </c>
      <c r="Y3070" s="8" t="s">
        <v>12359</v>
      </c>
      <c r="Z3070" s="8">
        <v>20</v>
      </c>
      <c r="AA3070" s="8">
        <v>0</v>
      </c>
      <c r="AB3070" s="9">
        <v>0</v>
      </c>
    </row>
    <row r="3071" spans="1:28" x14ac:dyDescent="0.2">
      <c r="A3071" s="10">
        <v>214043</v>
      </c>
      <c r="B3071" s="11" t="s">
        <v>19495</v>
      </c>
      <c r="C3071" s="11" t="s">
        <v>19496</v>
      </c>
      <c r="D3071" s="11" t="s">
        <v>10573</v>
      </c>
      <c r="E3071" s="11"/>
      <c r="F3071" s="11" t="s">
        <v>353</v>
      </c>
      <c r="G3071" s="11" t="s">
        <v>3259</v>
      </c>
      <c r="H3071" s="11" t="s">
        <v>557</v>
      </c>
      <c r="I3071" s="11" t="s">
        <v>19497</v>
      </c>
      <c r="J3071" s="11" t="s">
        <v>19498</v>
      </c>
      <c r="K3071" s="11" t="s">
        <v>1562</v>
      </c>
      <c r="L3071" s="11" t="s">
        <v>229</v>
      </c>
      <c r="M3071" s="11" t="s">
        <v>19499</v>
      </c>
      <c r="N3071" s="11" t="s">
        <v>128</v>
      </c>
      <c r="O3071" s="11" t="s">
        <v>19500</v>
      </c>
      <c r="P3071" s="11"/>
      <c r="Q3071" s="11" t="s">
        <v>249</v>
      </c>
      <c r="R3071" s="11"/>
      <c r="S3071" s="11" t="s">
        <v>71</v>
      </c>
      <c r="T3071" s="11" t="s">
        <v>1523</v>
      </c>
      <c r="U3071" s="11" t="s">
        <v>134</v>
      </c>
      <c r="V3071" s="11" t="s">
        <v>249</v>
      </c>
      <c r="W3071" s="11" t="s">
        <v>1523</v>
      </c>
      <c r="X3071" s="11">
        <v>6</v>
      </c>
      <c r="Y3071" s="11" t="s">
        <v>12359</v>
      </c>
      <c r="Z3071" s="11">
        <v>20</v>
      </c>
      <c r="AA3071" s="11">
        <v>0</v>
      </c>
      <c r="AB3071" s="12">
        <v>0</v>
      </c>
    </row>
    <row r="3072" spans="1:28" x14ac:dyDescent="0.2">
      <c r="A3072" s="7">
        <v>25524</v>
      </c>
      <c r="B3072" s="8" t="s">
        <v>19501</v>
      </c>
      <c r="C3072" s="8" t="s">
        <v>19502</v>
      </c>
      <c r="D3072" s="8" t="s">
        <v>138</v>
      </c>
      <c r="E3072" s="8"/>
      <c r="F3072" s="8"/>
      <c r="G3072" s="8" t="s">
        <v>6398</v>
      </c>
      <c r="H3072" s="8" t="s">
        <v>329</v>
      </c>
      <c r="I3072" s="8" t="s">
        <v>19503</v>
      </c>
      <c r="J3072" s="8" t="s">
        <v>19504</v>
      </c>
      <c r="K3072" s="8" t="s">
        <v>572</v>
      </c>
      <c r="L3072" s="8" t="s">
        <v>333</v>
      </c>
      <c r="M3072" s="8" t="s">
        <v>19505</v>
      </c>
      <c r="N3072" s="8" t="s">
        <v>128</v>
      </c>
      <c r="O3072" s="8" t="s">
        <v>19506</v>
      </c>
      <c r="P3072" s="8"/>
      <c r="Q3072" s="8" t="s">
        <v>249</v>
      </c>
      <c r="R3072" s="8"/>
      <c r="S3072" s="8" t="s">
        <v>71</v>
      </c>
      <c r="T3072" s="8" t="s">
        <v>1523</v>
      </c>
      <c r="U3072" s="8" t="s">
        <v>134</v>
      </c>
      <c r="V3072" s="8" t="s">
        <v>249</v>
      </c>
      <c r="W3072" s="8" t="s">
        <v>1523</v>
      </c>
      <c r="X3072" s="8">
        <v>6</v>
      </c>
      <c r="Y3072" s="8" t="s">
        <v>12359</v>
      </c>
      <c r="Z3072" s="8">
        <v>20</v>
      </c>
      <c r="AA3072" s="8">
        <v>0</v>
      </c>
      <c r="AB3072" s="9">
        <v>0</v>
      </c>
    </row>
    <row r="3073" spans="1:28" x14ac:dyDescent="0.2">
      <c r="A3073" s="10">
        <v>127774</v>
      </c>
      <c r="B3073" s="11" t="s">
        <v>19507</v>
      </c>
      <c r="C3073" s="11" t="s">
        <v>7871</v>
      </c>
      <c r="D3073" s="11" t="s">
        <v>19508</v>
      </c>
      <c r="E3073" s="11"/>
      <c r="F3073" s="11" t="s">
        <v>15692</v>
      </c>
      <c r="G3073" s="11" t="s">
        <v>2423</v>
      </c>
      <c r="H3073" s="11" t="s">
        <v>557</v>
      </c>
      <c r="I3073" s="11" t="s">
        <v>8393</v>
      </c>
      <c r="J3073" s="11" t="s">
        <v>19509</v>
      </c>
      <c r="K3073" s="11" t="s">
        <v>1562</v>
      </c>
      <c r="L3073" s="11" t="s">
        <v>229</v>
      </c>
      <c r="M3073" s="11" t="s">
        <v>19510</v>
      </c>
      <c r="N3073" s="11" t="s">
        <v>128</v>
      </c>
      <c r="O3073" s="11" t="s">
        <v>19511</v>
      </c>
      <c r="P3073" s="11"/>
      <c r="Q3073" s="11" t="s">
        <v>249</v>
      </c>
      <c r="R3073" s="11"/>
      <c r="S3073" s="11" t="s">
        <v>71</v>
      </c>
      <c r="T3073" s="11" t="s">
        <v>1523</v>
      </c>
      <c r="U3073" s="11" t="s">
        <v>134</v>
      </c>
      <c r="V3073" s="11" t="s">
        <v>249</v>
      </c>
      <c r="W3073" s="11" t="s">
        <v>1523</v>
      </c>
      <c r="X3073" s="11">
        <v>6</v>
      </c>
      <c r="Y3073" s="11" t="s">
        <v>12359</v>
      </c>
      <c r="Z3073" s="11">
        <v>20</v>
      </c>
      <c r="AA3073" s="11">
        <v>0</v>
      </c>
      <c r="AB3073" s="12">
        <v>0</v>
      </c>
    </row>
    <row r="3074" spans="1:28" x14ac:dyDescent="0.2">
      <c r="A3074" s="7">
        <v>25582</v>
      </c>
      <c r="B3074" s="8" t="s">
        <v>19512</v>
      </c>
      <c r="C3074" s="8" t="s">
        <v>17982</v>
      </c>
      <c r="D3074" s="8" t="s">
        <v>1676</v>
      </c>
      <c r="E3074" s="8" t="s">
        <v>19513</v>
      </c>
      <c r="F3074" s="8" t="s">
        <v>19514</v>
      </c>
      <c r="G3074" s="8" t="s">
        <v>1937</v>
      </c>
      <c r="H3074" s="8" t="s">
        <v>142</v>
      </c>
      <c r="I3074" s="8" t="s">
        <v>19515</v>
      </c>
      <c r="J3074" s="8" t="s">
        <v>19516</v>
      </c>
      <c r="K3074" s="8" t="s">
        <v>1673</v>
      </c>
      <c r="L3074" s="8" t="s">
        <v>464</v>
      </c>
      <c r="M3074" s="8" t="s">
        <v>19517</v>
      </c>
      <c r="N3074" s="8" t="s">
        <v>128</v>
      </c>
      <c r="O3074" s="8" t="s">
        <v>19518</v>
      </c>
      <c r="P3074" s="8" t="s">
        <v>19519</v>
      </c>
      <c r="Q3074" s="8" t="s">
        <v>249</v>
      </c>
      <c r="R3074" s="8"/>
      <c r="S3074" s="8" t="s">
        <v>19520</v>
      </c>
      <c r="T3074" s="8" t="s">
        <v>250</v>
      </c>
      <c r="U3074" s="8" t="s">
        <v>134</v>
      </c>
      <c r="V3074" s="8" t="s">
        <v>249</v>
      </c>
      <c r="W3074" s="8" t="s">
        <v>250</v>
      </c>
      <c r="X3074" s="8">
        <v>6</v>
      </c>
      <c r="Y3074" s="8" t="s">
        <v>12359</v>
      </c>
      <c r="Z3074" s="8">
        <v>20</v>
      </c>
      <c r="AA3074" s="8">
        <v>0</v>
      </c>
      <c r="AB3074" s="9">
        <v>0</v>
      </c>
    </row>
    <row r="3075" spans="1:28" x14ac:dyDescent="0.2">
      <c r="A3075" s="10">
        <v>25383</v>
      </c>
      <c r="B3075" s="11" t="s">
        <v>19521</v>
      </c>
      <c r="C3075" s="11" t="s">
        <v>4777</v>
      </c>
      <c r="D3075" s="11" t="s">
        <v>19522</v>
      </c>
      <c r="E3075" s="11"/>
      <c r="F3075" s="11" t="s">
        <v>353</v>
      </c>
      <c r="G3075" s="11" t="s">
        <v>7402</v>
      </c>
      <c r="H3075" s="11" t="s">
        <v>847</v>
      </c>
      <c r="I3075" s="11" t="s">
        <v>7403</v>
      </c>
      <c r="J3075" s="11" t="s">
        <v>19523</v>
      </c>
      <c r="K3075" s="11" t="s">
        <v>1091</v>
      </c>
      <c r="L3075" s="11" t="s">
        <v>126</v>
      </c>
      <c r="M3075" s="11" t="s">
        <v>19524</v>
      </c>
      <c r="N3075" s="11" t="s">
        <v>128</v>
      </c>
      <c r="O3075" s="11" t="s">
        <v>19525</v>
      </c>
      <c r="P3075" s="11" t="s">
        <v>19526</v>
      </c>
      <c r="Q3075" s="11" t="s">
        <v>249</v>
      </c>
      <c r="R3075" s="11"/>
      <c r="S3075" s="11" t="s">
        <v>71</v>
      </c>
      <c r="T3075" s="11" t="s">
        <v>250</v>
      </c>
      <c r="U3075" s="11" t="s">
        <v>134</v>
      </c>
      <c r="V3075" s="11" t="s">
        <v>249</v>
      </c>
      <c r="W3075" s="11" t="s">
        <v>250</v>
      </c>
      <c r="X3075" s="11">
        <v>6</v>
      </c>
      <c r="Y3075" s="11" t="s">
        <v>12359</v>
      </c>
      <c r="Z3075" s="11">
        <v>20</v>
      </c>
      <c r="AA3075" s="11">
        <v>0</v>
      </c>
      <c r="AB3075" s="12">
        <v>0</v>
      </c>
    </row>
    <row r="3076" spans="1:28" x14ac:dyDescent="0.2">
      <c r="A3076" s="7">
        <v>25538</v>
      </c>
      <c r="B3076" s="8" t="s">
        <v>19527</v>
      </c>
      <c r="C3076" s="8" t="s">
        <v>8798</v>
      </c>
      <c r="D3076" s="8" t="s">
        <v>1333</v>
      </c>
      <c r="E3076" s="8"/>
      <c r="F3076" s="8" t="s">
        <v>11717</v>
      </c>
      <c r="G3076" s="8" t="s">
        <v>141</v>
      </c>
      <c r="H3076" s="8" t="s">
        <v>142</v>
      </c>
      <c r="I3076" s="8" t="s">
        <v>8801</v>
      </c>
      <c r="J3076" s="8" t="s">
        <v>19528</v>
      </c>
      <c r="K3076" s="8" t="s">
        <v>145</v>
      </c>
      <c r="L3076" s="8" t="s">
        <v>146</v>
      </c>
      <c r="M3076" s="8" t="s">
        <v>19529</v>
      </c>
      <c r="N3076" s="8" t="s">
        <v>128</v>
      </c>
      <c r="O3076" s="8" t="s">
        <v>19530</v>
      </c>
      <c r="P3076" s="8" t="s">
        <v>19531</v>
      </c>
      <c r="Q3076" s="8" t="s">
        <v>249</v>
      </c>
      <c r="R3076" s="8"/>
      <c r="S3076" s="8" t="s">
        <v>8805</v>
      </c>
      <c r="T3076" s="8" t="s">
        <v>250</v>
      </c>
      <c r="U3076" s="8" t="s">
        <v>134</v>
      </c>
      <c r="V3076" s="8" t="s">
        <v>249</v>
      </c>
      <c r="W3076" s="8" t="s">
        <v>250</v>
      </c>
      <c r="X3076" s="8">
        <v>6</v>
      </c>
      <c r="Y3076" s="8" t="s">
        <v>12359</v>
      </c>
      <c r="Z3076" s="8">
        <v>20</v>
      </c>
      <c r="AA3076" s="8">
        <v>0</v>
      </c>
      <c r="AB3076" s="9">
        <v>0</v>
      </c>
    </row>
    <row r="3077" spans="1:28" x14ac:dyDescent="0.2">
      <c r="A3077" s="10">
        <v>31562</v>
      </c>
      <c r="B3077" s="11" t="s">
        <v>19532</v>
      </c>
      <c r="C3077" s="11" t="s">
        <v>4324</v>
      </c>
      <c r="D3077" s="11" t="s">
        <v>410</v>
      </c>
      <c r="E3077" s="11"/>
      <c r="F3077" s="11" t="s">
        <v>4326</v>
      </c>
      <c r="G3077" s="11" t="s">
        <v>190</v>
      </c>
      <c r="H3077" s="11" t="s">
        <v>191</v>
      </c>
      <c r="I3077" s="11" t="s">
        <v>9454</v>
      </c>
      <c r="J3077" s="11" t="s">
        <v>9455</v>
      </c>
      <c r="K3077" s="11" t="s">
        <v>194</v>
      </c>
      <c r="L3077" s="11" t="s">
        <v>163</v>
      </c>
      <c r="M3077" s="11" t="s">
        <v>19533</v>
      </c>
      <c r="N3077" s="11" t="s">
        <v>128</v>
      </c>
      <c r="O3077" s="11" t="s">
        <v>19534</v>
      </c>
      <c r="P3077" s="11" t="s">
        <v>19535</v>
      </c>
      <c r="Q3077" s="11" t="s">
        <v>249</v>
      </c>
      <c r="R3077" s="11"/>
      <c r="S3077" s="11" t="s">
        <v>4332</v>
      </c>
      <c r="T3077" s="11" t="s">
        <v>250</v>
      </c>
      <c r="U3077" s="11" t="s">
        <v>134</v>
      </c>
      <c r="V3077" s="11" t="s">
        <v>249</v>
      </c>
      <c r="W3077" s="11" t="s">
        <v>250</v>
      </c>
      <c r="X3077" s="11">
        <v>6</v>
      </c>
      <c r="Y3077" s="11" t="s">
        <v>12359</v>
      </c>
      <c r="Z3077" s="11">
        <v>20</v>
      </c>
      <c r="AA3077" s="11">
        <v>0</v>
      </c>
      <c r="AB3077" s="12">
        <v>0</v>
      </c>
    </row>
    <row r="3078" spans="1:28" x14ac:dyDescent="0.2">
      <c r="A3078" s="7">
        <v>106021</v>
      </c>
      <c r="B3078" s="8" t="s">
        <v>19536</v>
      </c>
      <c r="C3078" s="8" t="s">
        <v>17440</v>
      </c>
      <c r="D3078" s="8" t="s">
        <v>19537</v>
      </c>
      <c r="E3078" s="8"/>
      <c r="F3078" s="8" t="s">
        <v>353</v>
      </c>
      <c r="G3078" s="8" t="s">
        <v>17442</v>
      </c>
      <c r="H3078" s="8" t="s">
        <v>5805</v>
      </c>
      <c r="I3078" s="8" t="s">
        <v>19538</v>
      </c>
      <c r="J3078" s="8" t="s">
        <v>19539</v>
      </c>
      <c r="K3078" s="8" t="s">
        <v>274</v>
      </c>
      <c r="L3078" s="8" t="s">
        <v>163</v>
      </c>
      <c r="M3078" s="8" t="s">
        <v>19540</v>
      </c>
      <c r="N3078" s="8" t="s">
        <v>128</v>
      </c>
      <c r="O3078" s="8" t="s">
        <v>19541</v>
      </c>
      <c r="P3078" s="8"/>
      <c r="Q3078" s="8" t="s">
        <v>150</v>
      </c>
      <c r="R3078" s="8"/>
      <c r="S3078" s="8" t="s">
        <v>71</v>
      </c>
      <c r="T3078" s="8" t="s">
        <v>8111</v>
      </c>
      <c r="U3078" s="8" t="s">
        <v>150</v>
      </c>
      <c r="V3078" s="8" t="s">
        <v>8111</v>
      </c>
      <c r="W3078" s="8" t="s">
        <v>8111</v>
      </c>
      <c r="X3078" s="8">
        <v>5</v>
      </c>
      <c r="Y3078" s="8" t="s">
        <v>12359</v>
      </c>
      <c r="Z3078" s="8">
        <v>20</v>
      </c>
      <c r="AA3078" s="8">
        <v>0</v>
      </c>
      <c r="AB3078" s="9">
        <v>0</v>
      </c>
    </row>
    <row r="3079" spans="1:28" x14ac:dyDescent="0.2">
      <c r="A3079" s="10">
        <v>25779</v>
      </c>
      <c r="B3079" s="11" t="s">
        <v>19542</v>
      </c>
      <c r="C3079" s="11" t="s">
        <v>19543</v>
      </c>
      <c r="D3079" s="11" t="s">
        <v>8292</v>
      </c>
      <c r="E3079" s="11"/>
      <c r="F3079" s="11" t="s">
        <v>19544</v>
      </c>
      <c r="G3079" s="11" t="s">
        <v>5804</v>
      </c>
      <c r="H3079" s="11" t="s">
        <v>5805</v>
      </c>
      <c r="I3079" s="11" t="s">
        <v>19545</v>
      </c>
      <c r="J3079" s="11" t="s">
        <v>19546</v>
      </c>
      <c r="K3079" s="11" t="s">
        <v>274</v>
      </c>
      <c r="L3079" s="11" t="s">
        <v>163</v>
      </c>
      <c r="M3079" s="11" t="s">
        <v>19547</v>
      </c>
      <c r="N3079" s="11" t="s">
        <v>128</v>
      </c>
      <c r="O3079" s="11"/>
      <c r="P3079" s="11"/>
      <c r="Q3079" s="11" t="s">
        <v>150</v>
      </c>
      <c r="R3079" s="11"/>
      <c r="S3079" s="11" t="s">
        <v>71</v>
      </c>
      <c r="T3079" s="11" t="s">
        <v>8111</v>
      </c>
      <c r="U3079" s="11" t="s">
        <v>150</v>
      </c>
      <c r="V3079" s="11" t="s">
        <v>8111</v>
      </c>
      <c r="W3079" s="11" t="s">
        <v>8111</v>
      </c>
      <c r="X3079" s="11">
        <v>5</v>
      </c>
      <c r="Y3079" s="11" t="s">
        <v>12359</v>
      </c>
      <c r="Z3079" s="11">
        <v>20</v>
      </c>
      <c r="AA3079" s="11">
        <v>0</v>
      </c>
      <c r="AB3079" s="12">
        <v>0</v>
      </c>
    </row>
    <row r="3080" spans="1:28" x14ac:dyDescent="0.2">
      <c r="A3080" s="7">
        <v>21125</v>
      </c>
      <c r="B3080" s="8" t="s">
        <v>19548</v>
      </c>
      <c r="C3080" s="8" t="s">
        <v>19549</v>
      </c>
      <c r="D3080" s="8" t="s">
        <v>10935</v>
      </c>
      <c r="E3080" s="8"/>
      <c r="F3080" s="8" t="s">
        <v>353</v>
      </c>
      <c r="G3080" s="8" t="s">
        <v>19550</v>
      </c>
      <c r="H3080" s="8" t="s">
        <v>122</v>
      </c>
      <c r="I3080" s="8" t="s">
        <v>19551</v>
      </c>
      <c r="J3080" s="8" t="s">
        <v>19552</v>
      </c>
      <c r="K3080" s="8" t="s">
        <v>125</v>
      </c>
      <c r="L3080" s="8" t="s">
        <v>126</v>
      </c>
      <c r="M3080" s="8" t="s">
        <v>19553</v>
      </c>
      <c r="N3080" s="8" t="s">
        <v>128</v>
      </c>
      <c r="O3080" s="8" t="s">
        <v>19554</v>
      </c>
      <c r="P3080" s="8" t="s">
        <v>19555</v>
      </c>
      <c r="Q3080" s="8" t="s">
        <v>150</v>
      </c>
      <c r="R3080" s="8"/>
      <c r="S3080" s="8" t="s">
        <v>71</v>
      </c>
      <c r="T3080" s="8" t="s">
        <v>289</v>
      </c>
      <c r="U3080" s="8" t="s">
        <v>150</v>
      </c>
      <c r="V3080" s="8" t="s">
        <v>289</v>
      </c>
      <c r="W3080" s="8" t="s">
        <v>289</v>
      </c>
      <c r="X3080" s="8">
        <v>5</v>
      </c>
      <c r="Y3080" s="8" t="s">
        <v>12359</v>
      </c>
      <c r="Z3080" s="8">
        <v>20</v>
      </c>
      <c r="AA3080" s="8">
        <v>0</v>
      </c>
      <c r="AB3080" s="9">
        <v>0</v>
      </c>
    </row>
    <row r="3081" spans="1:28" x14ac:dyDescent="0.2">
      <c r="A3081" s="10">
        <v>26125</v>
      </c>
      <c r="B3081" s="11" t="s">
        <v>19556</v>
      </c>
      <c r="C3081" s="11" t="s">
        <v>19557</v>
      </c>
      <c r="D3081" s="11" t="s">
        <v>19558</v>
      </c>
      <c r="E3081" s="11"/>
      <c r="F3081" s="11" t="s">
        <v>19559</v>
      </c>
      <c r="G3081" s="11" t="s">
        <v>5804</v>
      </c>
      <c r="H3081" s="11" t="s">
        <v>5805</v>
      </c>
      <c r="I3081" s="11" t="s">
        <v>19560</v>
      </c>
      <c r="J3081" s="11" t="s">
        <v>19561</v>
      </c>
      <c r="K3081" s="11" t="s">
        <v>274</v>
      </c>
      <c r="L3081" s="11" t="s">
        <v>163</v>
      </c>
      <c r="M3081" s="11" t="s">
        <v>19562</v>
      </c>
      <c r="N3081" s="11" t="s">
        <v>128</v>
      </c>
      <c r="O3081" s="11" t="s">
        <v>19563</v>
      </c>
      <c r="P3081" s="11" t="s">
        <v>19564</v>
      </c>
      <c r="Q3081" s="11" t="s">
        <v>150</v>
      </c>
      <c r="R3081" s="11"/>
      <c r="S3081" s="11" t="s">
        <v>71</v>
      </c>
      <c r="T3081" s="11" t="s">
        <v>289</v>
      </c>
      <c r="U3081" s="11" t="s">
        <v>150</v>
      </c>
      <c r="V3081" s="11" t="s">
        <v>289</v>
      </c>
      <c r="W3081" s="11" t="s">
        <v>289</v>
      </c>
      <c r="X3081" s="11">
        <v>5</v>
      </c>
      <c r="Y3081" s="11" t="s">
        <v>12359</v>
      </c>
      <c r="Z3081" s="11">
        <v>20</v>
      </c>
      <c r="AA3081" s="11">
        <v>0</v>
      </c>
      <c r="AB3081" s="12">
        <v>0</v>
      </c>
    </row>
    <row r="3082" spans="1:28" x14ac:dyDescent="0.2">
      <c r="A3082" s="7">
        <v>26157</v>
      </c>
      <c r="B3082" s="8" t="s">
        <v>19565</v>
      </c>
      <c r="C3082" s="8" t="s">
        <v>11016</v>
      </c>
      <c r="D3082" s="8" t="s">
        <v>1064</v>
      </c>
      <c r="E3082" s="8" t="s">
        <v>8288</v>
      </c>
      <c r="F3082" s="8" t="s">
        <v>11018</v>
      </c>
      <c r="G3082" s="8" t="s">
        <v>328</v>
      </c>
      <c r="H3082" s="8" t="s">
        <v>329</v>
      </c>
      <c r="I3082" s="8" t="s">
        <v>11019</v>
      </c>
      <c r="J3082" s="8" t="s">
        <v>11020</v>
      </c>
      <c r="K3082" s="8" t="s">
        <v>572</v>
      </c>
      <c r="L3082" s="8" t="s">
        <v>333</v>
      </c>
      <c r="M3082" s="8" t="s">
        <v>19566</v>
      </c>
      <c r="N3082" s="8" t="s">
        <v>128</v>
      </c>
      <c r="O3082" s="8" t="s">
        <v>19567</v>
      </c>
      <c r="P3082" s="8" t="s">
        <v>19568</v>
      </c>
      <c r="Q3082" s="8" t="s">
        <v>150</v>
      </c>
      <c r="R3082" s="8"/>
      <c r="S3082" s="8" t="s">
        <v>11024</v>
      </c>
      <c r="T3082" s="8" t="s">
        <v>642</v>
      </c>
      <c r="U3082" s="8" t="s">
        <v>150</v>
      </c>
      <c r="V3082" s="8" t="s">
        <v>642</v>
      </c>
      <c r="W3082" s="8" t="s">
        <v>642</v>
      </c>
      <c r="X3082" s="8">
        <v>5</v>
      </c>
      <c r="Y3082" s="8" t="s">
        <v>12359</v>
      </c>
      <c r="Z3082" s="8">
        <v>20</v>
      </c>
      <c r="AA3082" s="8">
        <v>0</v>
      </c>
      <c r="AB3082" s="9">
        <v>0</v>
      </c>
    </row>
    <row r="3083" spans="1:28" x14ac:dyDescent="0.2">
      <c r="A3083" s="10">
        <v>123935</v>
      </c>
      <c r="B3083" s="11" t="s">
        <v>19569</v>
      </c>
      <c r="C3083" s="11" t="s">
        <v>9965</v>
      </c>
      <c r="D3083" s="11" t="s">
        <v>9966</v>
      </c>
      <c r="E3083" s="11"/>
      <c r="F3083" s="11" t="s">
        <v>10505</v>
      </c>
      <c r="G3083" s="11" t="s">
        <v>4175</v>
      </c>
      <c r="H3083" s="11" t="s">
        <v>329</v>
      </c>
      <c r="I3083" s="11" t="s">
        <v>19570</v>
      </c>
      <c r="J3083" s="11" t="s">
        <v>9969</v>
      </c>
      <c r="K3083" s="11" t="s">
        <v>415</v>
      </c>
      <c r="L3083" s="11" t="s">
        <v>333</v>
      </c>
      <c r="M3083" s="11" t="s">
        <v>19571</v>
      </c>
      <c r="N3083" s="11" t="s">
        <v>128</v>
      </c>
      <c r="O3083" s="11" t="s">
        <v>19572</v>
      </c>
      <c r="P3083" s="11" t="s">
        <v>19573</v>
      </c>
      <c r="Q3083" s="11" t="s">
        <v>150</v>
      </c>
      <c r="R3083" s="11"/>
      <c r="S3083" s="11" t="s">
        <v>9973</v>
      </c>
      <c r="T3083" s="11" t="s">
        <v>642</v>
      </c>
      <c r="U3083" s="11" t="s">
        <v>150</v>
      </c>
      <c r="V3083" s="11" t="s">
        <v>642</v>
      </c>
      <c r="W3083" s="11" t="s">
        <v>642</v>
      </c>
      <c r="X3083" s="11">
        <v>5</v>
      </c>
      <c r="Y3083" s="11" t="s">
        <v>12359</v>
      </c>
      <c r="Z3083" s="11">
        <v>20</v>
      </c>
      <c r="AA3083" s="11">
        <v>0</v>
      </c>
      <c r="AB3083" s="12">
        <v>0</v>
      </c>
    </row>
    <row r="3084" spans="1:28" x14ac:dyDescent="0.2">
      <c r="A3084" s="7">
        <v>21390</v>
      </c>
      <c r="B3084" s="8" t="s">
        <v>19574</v>
      </c>
      <c r="C3084" s="8" t="s">
        <v>11354</v>
      </c>
      <c r="D3084" s="8" t="s">
        <v>3082</v>
      </c>
      <c r="E3084" s="8" t="s">
        <v>19575</v>
      </c>
      <c r="F3084" s="8" t="s">
        <v>353</v>
      </c>
      <c r="G3084" s="8" t="s">
        <v>11130</v>
      </c>
      <c r="H3084" s="8" t="s">
        <v>704</v>
      </c>
      <c r="I3084" s="8" t="s">
        <v>19576</v>
      </c>
      <c r="J3084" s="8" t="s">
        <v>19577</v>
      </c>
      <c r="K3084" s="8" t="s">
        <v>850</v>
      </c>
      <c r="L3084" s="8" t="s">
        <v>126</v>
      </c>
      <c r="M3084" s="8" t="s">
        <v>19578</v>
      </c>
      <c r="N3084" s="8" t="s">
        <v>128</v>
      </c>
      <c r="O3084" s="8" t="s">
        <v>19579</v>
      </c>
      <c r="P3084" s="8" t="s">
        <v>13009</v>
      </c>
      <c r="Q3084" s="8" t="s">
        <v>150</v>
      </c>
      <c r="R3084" s="8"/>
      <c r="S3084" s="8" t="s">
        <v>71</v>
      </c>
      <c r="T3084" s="8" t="s">
        <v>67</v>
      </c>
      <c r="U3084" s="8" t="s">
        <v>150</v>
      </c>
      <c r="V3084" s="8" t="s">
        <v>152</v>
      </c>
      <c r="W3084" s="8" t="s">
        <v>67</v>
      </c>
      <c r="X3084" s="8">
        <v>5</v>
      </c>
      <c r="Y3084" s="8" t="s">
        <v>12359</v>
      </c>
      <c r="Z3084" s="8">
        <v>20</v>
      </c>
      <c r="AA3084" s="8">
        <v>0</v>
      </c>
      <c r="AB3084" s="9">
        <v>0</v>
      </c>
    </row>
    <row r="3085" spans="1:28" x14ac:dyDescent="0.2">
      <c r="A3085" s="10">
        <v>21706</v>
      </c>
      <c r="B3085" s="11" t="s">
        <v>19580</v>
      </c>
      <c r="C3085" s="11" t="s">
        <v>19581</v>
      </c>
      <c r="D3085" s="11" t="s">
        <v>15520</v>
      </c>
      <c r="E3085" s="11" t="s">
        <v>281</v>
      </c>
      <c r="F3085" s="11" t="s">
        <v>353</v>
      </c>
      <c r="G3085" s="11" t="s">
        <v>19582</v>
      </c>
      <c r="H3085" s="11" t="s">
        <v>847</v>
      </c>
      <c r="I3085" s="11" t="s">
        <v>19583</v>
      </c>
      <c r="J3085" s="11" t="s">
        <v>19584</v>
      </c>
      <c r="K3085" s="11" t="s">
        <v>1091</v>
      </c>
      <c r="L3085" s="11" t="s">
        <v>126</v>
      </c>
      <c r="M3085" s="11" t="s">
        <v>19585</v>
      </c>
      <c r="N3085" s="11" t="s">
        <v>128</v>
      </c>
      <c r="O3085" s="11" t="s">
        <v>19586</v>
      </c>
      <c r="P3085" s="11" t="s">
        <v>19587</v>
      </c>
      <c r="Q3085" s="11" t="s">
        <v>150</v>
      </c>
      <c r="R3085" s="11"/>
      <c r="S3085" s="11" t="s">
        <v>71</v>
      </c>
      <c r="T3085" s="11" t="s">
        <v>67</v>
      </c>
      <c r="U3085" s="11" t="s">
        <v>150</v>
      </c>
      <c r="V3085" s="11" t="s">
        <v>152</v>
      </c>
      <c r="W3085" s="11" t="s">
        <v>67</v>
      </c>
      <c r="X3085" s="11">
        <v>5</v>
      </c>
      <c r="Y3085" s="11" t="s">
        <v>12359</v>
      </c>
      <c r="Z3085" s="11">
        <v>20</v>
      </c>
      <c r="AA3085" s="11">
        <v>0</v>
      </c>
      <c r="AB3085" s="12">
        <v>0</v>
      </c>
    </row>
    <row r="3086" spans="1:28" x14ac:dyDescent="0.2">
      <c r="A3086" s="7">
        <v>21690</v>
      </c>
      <c r="B3086" s="8" t="s">
        <v>19588</v>
      </c>
      <c r="C3086" s="8" t="s">
        <v>19589</v>
      </c>
      <c r="D3086" s="8" t="s">
        <v>1333</v>
      </c>
      <c r="E3086" s="8" t="s">
        <v>19590</v>
      </c>
      <c r="F3086" s="8" t="s">
        <v>19591</v>
      </c>
      <c r="G3086" s="8" t="s">
        <v>141</v>
      </c>
      <c r="H3086" s="8" t="s">
        <v>142</v>
      </c>
      <c r="I3086" s="8" t="s">
        <v>19592</v>
      </c>
      <c r="J3086" s="8" t="s">
        <v>19593</v>
      </c>
      <c r="K3086" s="8" t="s">
        <v>145</v>
      </c>
      <c r="L3086" s="8" t="s">
        <v>146</v>
      </c>
      <c r="M3086" s="8" t="s">
        <v>19594</v>
      </c>
      <c r="N3086" s="8" t="s">
        <v>128</v>
      </c>
      <c r="O3086" s="8" t="s">
        <v>19595</v>
      </c>
      <c r="P3086" s="8" t="s">
        <v>19596</v>
      </c>
      <c r="Q3086" s="8" t="s">
        <v>150</v>
      </c>
      <c r="R3086" s="8"/>
      <c r="S3086" s="8" t="s">
        <v>71</v>
      </c>
      <c r="T3086" s="8" t="s">
        <v>67</v>
      </c>
      <c r="U3086" s="8" t="s">
        <v>150</v>
      </c>
      <c r="V3086" s="8" t="s">
        <v>152</v>
      </c>
      <c r="W3086" s="8" t="s">
        <v>67</v>
      </c>
      <c r="X3086" s="8">
        <v>5</v>
      </c>
      <c r="Y3086" s="8" t="s">
        <v>12359</v>
      </c>
      <c r="Z3086" s="8">
        <v>20</v>
      </c>
      <c r="AA3086" s="8">
        <v>0</v>
      </c>
      <c r="AB3086" s="9">
        <v>0</v>
      </c>
    </row>
    <row r="3087" spans="1:28" x14ac:dyDescent="0.2">
      <c r="A3087" s="10">
        <v>21681</v>
      </c>
      <c r="B3087" s="11" t="s">
        <v>19597</v>
      </c>
      <c r="C3087" s="11" t="s">
        <v>19598</v>
      </c>
      <c r="D3087" s="11" t="s">
        <v>1747</v>
      </c>
      <c r="E3087" s="11" t="s">
        <v>19599</v>
      </c>
      <c r="F3087" s="11" t="s">
        <v>140</v>
      </c>
      <c r="G3087" s="11" t="s">
        <v>141</v>
      </c>
      <c r="H3087" s="11" t="s">
        <v>142</v>
      </c>
      <c r="I3087" s="11" t="s">
        <v>19600</v>
      </c>
      <c r="J3087" s="11" t="s">
        <v>19601</v>
      </c>
      <c r="K3087" s="11" t="s">
        <v>974</v>
      </c>
      <c r="L3087" s="11" t="s">
        <v>146</v>
      </c>
      <c r="M3087" s="11" t="s">
        <v>19602</v>
      </c>
      <c r="N3087" s="11" t="s">
        <v>128</v>
      </c>
      <c r="O3087" s="11" t="s">
        <v>19603</v>
      </c>
      <c r="P3087" s="11" t="s">
        <v>2432</v>
      </c>
      <c r="Q3087" s="11" t="s">
        <v>150</v>
      </c>
      <c r="R3087" s="11"/>
      <c r="S3087" s="11" t="s">
        <v>71</v>
      </c>
      <c r="T3087" s="11" t="s">
        <v>67</v>
      </c>
      <c r="U3087" s="11" t="s">
        <v>150</v>
      </c>
      <c r="V3087" s="11" t="s">
        <v>152</v>
      </c>
      <c r="W3087" s="11" t="s">
        <v>67</v>
      </c>
      <c r="X3087" s="11">
        <v>5</v>
      </c>
      <c r="Y3087" s="11" t="s">
        <v>12359</v>
      </c>
      <c r="Z3087" s="11">
        <v>20</v>
      </c>
      <c r="AA3087" s="11">
        <v>0</v>
      </c>
      <c r="AB3087" s="12">
        <v>0</v>
      </c>
    </row>
    <row r="3088" spans="1:28" x14ac:dyDescent="0.2">
      <c r="A3088" s="7">
        <v>21254</v>
      </c>
      <c r="B3088" s="8" t="s">
        <v>19604</v>
      </c>
      <c r="C3088" s="8" t="s">
        <v>19605</v>
      </c>
      <c r="D3088" s="8" t="s">
        <v>925</v>
      </c>
      <c r="E3088" s="8"/>
      <c r="F3088" s="8" t="s">
        <v>353</v>
      </c>
      <c r="G3088" s="8" t="s">
        <v>19606</v>
      </c>
      <c r="H3088" s="8" t="s">
        <v>142</v>
      </c>
      <c r="I3088" s="8" t="s">
        <v>19607</v>
      </c>
      <c r="J3088" s="8" t="s">
        <v>19608</v>
      </c>
      <c r="K3088" s="8" t="s">
        <v>1673</v>
      </c>
      <c r="L3088" s="8" t="s">
        <v>464</v>
      </c>
      <c r="M3088" s="8" t="s">
        <v>19609</v>
      </c>
      <c r="N3088" s="8" t="s">
        <v>128</v>
      </c>
      <c r="O3088" s="8" t="s">
        <v>19610</v>
      </c>
      <c r="P3088" s="8" t="s">
        <v>19611</v>
      </c>
      <c r="Q3088" s="8" t="s">
        <v>150</v>
      </c>
      <c r="R3088" s="8"/>
      <c r="S3088" s="8" t="s">
        <v>71</v>
      </c>
      <c r="T3088" s="8" t="s">
        <v>67</v>
      </c>
      <c r="U3088" s="8" t="s">
        <v>150</v>
      </c>
      <c r="V3088" s="8" t="s">
        <v>152</v>
      </c>
      <c r="W3088" s="8" t="s">
        <v>67</v>
      </c>
      <c r="X3088" s="8">
        <v>5</v>
      </c>
      <c r="Y3088" s="8" t="s">
        <v>12359</v>
      </c>
      <c r="Z3088" s="8">
        <v>20</v>
      </c>
      <c r="AA3088" s="8">
        <v>0</v>
      </c>
      <c r="AB3088" s="9">
        <v>0</v>
      </c>
    </row>
    <row r="3089" spans="1:28" x14ac:dyDescent="0.2">
      <c r="A3089" s="10">
        <v>21568</v>
      </c>
      <c r="B3089" s="11" t="s">
        <v>19612</v>
      </c>
      <c r="C3089" s="11" t="s">
        <v>17970</v>
      </c>
      <c r="D3089" s="11" t="s">
        <v>19613</v>
      </c>
      <c r="E3089" s="11"/>
      <c r="F3089" s="11" t="s">
        <v>353</v>
      </c>
      <c r="G3089" s="11" t="s">
        <v>17971</v>
      </c>
      <c r="H3089" s="11" t="s">
        <v>142</v>
      </c>
      <c r="I3089" s="11" t="s">
        <v>17972</v>
      </c>
      <c r="J3089" s="11" t="s">
        <v>19614</v>
      </c>
      <c r="K3089" s="11" t="s">
        <v>1199</v>
      </c>
      <c r="L3089" s="11" t="s">
        <v>464</v>
      </c>
      <c r="M3089" s="11" t="s">
        <v>19615</v>
      </c>
      <c r="N3089" s="11" t="s">
        <v>128</v>
      </c>
      <c r="O3089" s="11" t="s">
        <v>19616</v>
      </c>
      <c r="P3089" s="11" t="s">
        <v>11289</v>
      </c>
      <c r="Q3089" s="11" t="s">
        <v>150</v>
      </c>
      <c r="R3089" s="11"/>
      <c r="S3089" s="11" t="s">
        <v>71</v>
      </c>
      <c r="T3089" s="11" t="s">
        <v>67</v>
      </c>
      <c r="U3089" s="11" t="s">
        <v>150</v>
      </c>
      <c r="V3089" s="11" t="s">
        <v>152</v>
      </c>
      <c r="W3089" s="11" t="s">
        <v>67</v>
      </c>
      <c r="X3089" s="11">
        <v>5</v>
      </c>
      <c r="Y3089" s="11" t="s">
        <v>12359</v>
      </c>
      <c r="Z3089" s="11">
        <v>20</v>
      </c>
      <c r="AA3089" s="11">
        <v>0</v>
      </c>
      <c r="AB3089" s="12">
        <v>0</v>
      </c>
    </row>
    <row r="3090" spans="1:28" x14ac:dyDescent="0.2">
      <c r="A3090" s="7">
        <v>21672</v>
      </c>
      <c r="B3090" s="8" t="s">
        <v>19617</v>
      </c>
      <c r="C3090" s="8" t="s">
        <v>8613</v>
      </c>
      <c r="D3090" s="8" t="s">
        <v>9350</v>
      </c>
      <c r="E3090" s="8"/>
      <c r="F3090" s="8" t="s">
        <v>353</v>
      </c>
      <c r="G3090" s="8" t="s">
        <v>8614</v>
      </c>
      <c r="H3090" s="8" t="s">
        <v>142</v>
      </c>
      <c r="I3090" s="8" t="s">
        <v>9611</v>
      </c>
      <c r="J3090" s="8" t="s">
        <v>19618</v>
      </c>
      <c r="K3090" s="8" t="s">
        <v>1199</v>
      </c>
      <c r="L3090" s="8" t="s">
        <v>464</v>
      </c>
      <c r="M3090" s="8" t="s">
        <v>19619</v>
      </c>
      <c r="N3090" s="8" t="s">
        <v>128</v>
      </c>
      <c r="O3090" s="8" t="s">
        <v>19620</v>
      </c>
      <c r="P3090" s="8" t="s">
        <v>19621</v>
      </c>
      <c r="Q3090" s="8" t="s">
        <v>150</v>
      </c>
      <c r="R3090" s="8"/>
      <c r="S3090" s="8" t="s">
        <v>71</v>
      </c>
      <c r="T3090" s="8" t="s">
        <v>67</v>
      </c>
      <c r="U3090" s="8" t="s">
        <v>150</v>
      </c>
      <c r="V3090" s="8" t="s">
        <v>152</v>
      </c>
      <c r="W3090" s="8" t="s">
        <v>67</v>
      </c>
      <c r="X3090" s="8">
        <v>5</v>
      </c>
      <c r="Y3090" s="8" t="s">
        <v>12359</v>
      </c>
      <c r="Z3090" s="8">
        <v>20</v>
      </c>
      <c r="AA3090" s="8">
        <v>0</v>
      </c>
      <c r="AB3090" s="9">
        <v>0</v>
      </c>
    </row>
    <row r="3091" spans="1:28" x14ac:dyDescent="0.2">
      <c r="A3091" s="10">
        <v>26304</v>
      </c>
      <c r="B3091" s="11" t="s">
        <v>19622</v>
      </c>
      <c r="C3091" s="11" t="s">
        <v>4099</v>
      </c>
      <c r="D3091" s="11" t="s">
        <v>8508</v>
      </c>
      <c r="E3091" s="11"/>
      <c r="F3091" s="11"/>
      <c r="G3091" s="11" t="s">
        <v>19623</v>
      </c>
      <c r="H3091" s="11" t="s">
        <v>142</v>
      </c>
      <c r="I3091" s="11"/>
      <c r="J3091" s="11" t="s">
        <v>19624</v>
      </c>
      <c r="K3091" s="11" t="s">
        <v>1673</v>
      </c>
      <c r="L3091" s="11" t="s">
        <v>464</v>
      </c>
      <c r="M3091" s="11" t="s">
        <v>19625</v>
      </c>
      <c r="N3091" s="11" t="s">
        <v>128</v>
      </c>
      <c r="O3091" s="11" t="s">
        <v>19626</v>
      </c>
      <c r="P3091" s="11" t="s">
        <v>19627</v>
      </c>
      <c r="Q3091" s="11" t="s">
        <v>150</v>
      </c>
      <c r="R3091" s="11"/>
      <c r="S3091" s="11" t="s">
        <v>71</v>
      </c>
      <c r="T3091" s="11" t="s">
        <v>67</v>
      </c>
      <c r="U3091" s="11" t="s">
        <v>150</v>
      </c>
      <c r="V3091" s="11" t="s">
        <v>152</v>
      </c>
      <c r="W3091" s="11" t="s">
        <v>67</v>
      </c>
      <c r="X3091" s="11">
        <v>5</v>
      </c>
      <c r="Y3091" s="11" t="s">
        <v>12359</v>
      </c>
      <c r="Z3091" s="11">
        <v>20</v>
      </c>
      <c r="AA3091" s="11">
        <v>0</v>
      </c>
      <c r="AB3091" s="12">
        <v>0</v>
      </c>
    </row>
    <row r="3092" spans="1:28" x14ac:dyDescent="0.2">
      <c r="A3092" s="7">
        <v>85051</v>
      </c>
      <c r="B3092" s="8" t="s">
        <v>19628</v>
      </c>
      <c r="C3092" s="8" t="s">
        <v>17982</v>
      </c>
      <c r="D3092" s="8" t="s">
        <v>9166</v>
      </c>
      <c r="E3092" s="8"/>
      <c r="F3092" s="8" t="s">
        <v>6430</v>
      </c>
      <c r="G3092" s="8" t="s">
        <v>10998</v>
      </c>
      <c r="H3092" s="8" t="s">
        <v>159</v>
      </c>
      <c r="I3092" s="8" t="s">
        <v>19629</v>
      </c>
      <c r="J3092" s="8" t="s">
        <v>19630</v>
      </c>
      <c r="K3092" s="8" t="s">
        <v>274</v>
      </c>
      <c r="L3092" s="8" t="s">
        <v>163</v>
      </c>
      <c r="M3092" s="8" t="s">
        <v>19631</v>
      </c>
      <c r="N3092" s="8" t="s">
        <v>128</v>
      </c>
      <c r="O3092" s="8" t="s">
        <v>19632</v>
      </c>
      <c r="P3092" s="8" t="s">
        <v>19633</v>
      </c>
      <c r="Q3092" s="8" t="s">
        <v>150</v>
      </c>
      <c r="R3092" s="8"/>
      <c r="S3092" s="8" t="s">
        <v>71</v>
      </c>
      <c r="T3092" s="8" t="s">
        <v>67</v>
      </c>
      <c r="U3092" s="8" t="s">
        <v>150</v>
      </c>
      <c r="V3092" s="8" t="s">
        <v>152</v>
      </c>
      <c r="W3092" s="8" t="s">
        <v>67</v>
      </c>
      <c r="X3092" s="8">
        <v>5</v>
      </c>
      <c r="Y3092" s="8" t="s">
        <v>12359</v>
      </c>
      <c r="Z3092" s="8">
        <v>20</v>
      </c>
      <c r="AA3092" s="8">
        <v>0</v>
      </c>
      <c r="AB3092" s="9">
        <v>0</v>
      </c>
    </row>
    <row r="3093" spans="1:28" x14ac:dyDescent="0.2">
      <c r="A3093" s="10">
        <v>21428</v>
      </c>
      <c r="B3093" s="11" t="s">
        <v>19634</v>
      </c>
      <c r="C3093" s="11" t="s">
        <v>19635</v>
      </c>
      <c r="D3093" s="11" t="s">
        <v>19636</v>
      </c>
      <c r="E3093" s="11"/>
      <c r="F3093" s="11" t="s">
        <v>140</v>
      </c>
      <c r="G3093" s="11" t="s">
        <v>141</v>
      </c>
      <c r="H3093" s="11" t="s">
        <v>142</v>
      </c>
      <c r="I3093" s="11" t="s">
        <v>19637</v>
      </c>
      <c r="J3093" s="11" t="s">
        <v>19638</v>
      </c>
      <c r="K3093" s="11" t="s">
        <v>974</v>
      </c>
      <c r="L3093" s="11" t="s">
        <v>146</v>
      </c>
      <c r="M3093" s="11" t="s">
        <v>19639</v>
      </c>
      <c r="N3093" s="11" t="s">
        <v>128</v>
      </c>
      <c r="O3093" s="11" t="s">
        <v>19640</v>
      </c>
      <c r="P3093" s="11" t="s">
        <v>19641</v>
      </c>
      <c r="Q3093" s="11" t="s">
        <v>150</v>
      </c>
      <c r="R3093" s="11"/>
      <c r="S3093" s="11" t="s">
        <v>71</v>
      </c>
      <c r="T3093" s="11" t="s">
        <v>67</v>
      </c>
      <c r="U3093" s="11" t="s">
        <v>150</v>
      </c>
      <c r="V3093" s="11" t="s">
        <v>152</v>
      </c>
      <c r="W3093" s="11" t="s">
        <v>67</v>
      </c>
      <c r="X3093" s="11">
        <v>5</v>
      </c>
      <c r="Y3093" s="11" t="s">
        <v>12359</v>
      </c>
      <c r="Z3093" s="11">
        <v>20</v>
      </c>
      <c r="AA3093" s="11">
        <v>0</v>
      </c>
      <c r="AB3093" s="12">
        <v>0</v>
      </c>
    </row>
    <row r="3094" spans="1:28" x14ac:dyDescent="0.2">
      <c r="A3094" s="7">
        <v>26233</v>
      </c>
      <c r="B3094" s="8" t="s">
        <v>19642</v>
      </c>
      <c r="C3094" s="8" t="s">
        <v>2060</v>
      </c>
      <c r="D3094" s="8" t="s">
        <v>19643</v>
      </c>
      <c r="E3094" s="8"/>
      <c r="F3094" s="8" t="s">
        <v>2063</v>
      </c>
      <c r="G3094" s="8" t="s">
        <v>141</v>
      </c>
      <c r="H3094" s="8" t="s">
        <v>142</v>
      </c>
      <c r="I3094" s="8" t="s">
        <v>19644</v>
      </c>
      <c r="J3094" s="8" t="s">
        <v>19645</v>
      </c>
      <c r="K3094" s="8" t="s">
        <v>145</v>
      </c>
      <c r="L3094" s="8" t="s">
        <v>146</v>
      </c>
      <c r="M3094" s="8" t="s">
        <v>19646</v>
      </c>
      <c r="N3094" s="8" t="s">
        <v>128</v>
      </c>
      <c r="O3094" s="8" t="s">
        <v>19647</v>
      </c>
      <c r="P3094" s="8" t="s">
        <v>19648</v>
      </c>
      <c r="Q3094" s="8" t="s">
        <v>150</v>
      </c>
      <c r="R3094" s="8"/>
      <c r="S3094" s="8" t="s">
        <v>71</v>
      </c>
      <c r="T3094" s="8" t="s">
        <v>67</v>
      </c>
      <c r="U3094" s="8" t="s">
        <v>150</v>
      </c>
      <c r="V3094" s="8" t="s">
        <v>152</v>
      </c>
      <c r="W3094" s="8" t="s">
        <v>67</v>
      </c>
      <c r="X3094" s="8">
        <v>5</v>
      </c>
      <c r="Y3094" s="8" t="s">
        <v>12359</v>
      </c>
      <c r="Z3094" s="8">
        <v>20</v>
      </c>
      <c r="AA3094" s="8">
        <v>0</v>
      </c>
      <c r="AB3094" s="9">
        <v>0</v>
      </c>
    </row>
    <row r="3095" spans="1:28" x14ac:dyDescent="0.2">
      <c r="A3095" s="10">
        <v>221761</v>
      </c>
      <c r="B3095" s="11" t="s">
        <v>19649</v>
      </c>
      <c r="C3095" s="11" t="s">
        <v>19650</v>
      </c>
      <c r="D3095" s="11" t="s">
        <v>8128</v>
      </c>
      <c r="E3095" s="11"/>
      <c r="F3095" s="11" t="s">
        <v>19651</v>
      </c>
      <c r="G3095" s="11" t="s">
        <v>19652</v>
      </c>
      <c r="H3095" s="11" t="s">
        <v>847</v>
      </c>
      <c r="I3095" s="11" t="s">
        <v>19653</v>
      </c>
      <c r="J3095" s="11" t="s">
        <v>19654</v>
      </c>
      <c r="K3095" s="11" t="s">
        <v>850</v>
      </c>
      <c r="L3095" s="11" t="s">
        <v>126</v>
      </c>
      <c r="M3095" s="11" t="s">
        <v>19655</v>
      </c>
      <c r="N3095" s="11" t="s">
        <v>128</v>
      </c>
      <c r="O3095" s="11" t="s">
        <v>19656</v>
      </c>
      <c r="P3095" s="11" t="s">
        <v>19657</v>
      </c>
      <c r="Q3095" s="11" t="s">
        <v>150</v>
      </c>
      <c r="R3095" s="11"/>
      <c r="S3095" s="11" t="s">
        <v>71</v>
      </c>
      <c r="T3095" s="11" t="s">
        <v>67</v>
      </c>
      <c r="U3095" s="11" t="s">
        <v>150</v>
      </c>
      <c r="V3095" s="11" t="s">
        <v>152</v>
      </c>
      <c r="W3095" s="11" t="s">
        <v>67</v>
      </c>
      <c r="X3095" s="11">
        <v>5</v>
      </c>
      <c r="Y3095" s="11" t="s">
        <v>12359</v>
      </c>
      <c r="Z3095" s="11">
        <v>20</v>
      </c>
      <c r="AA3095" s="11">
        <v>0</v>
      </c>
      <c r="AB3095" s="12">
        <v>0</v>
      </c>
    </row>
    <row r="3096" spans="1:28" x14ac:dyDescent="0.2">
      <c r="A3096" s="7">
        <v>21317</v>
      </c>
      <c r="B3096" s="8" t="s">
        <v>19658</v>
      </c>
      <c r="C3096" s="8" t="s">
        <v>19659</v>
      </c>
      <c r="D3096" s="8" t="s">
        <v>19660</v>
      </c>
      <c r="E3096" s="8"/>
      <c r="F3096" s="8" t="s">
        <v>19661</v>
      </c>
      <c r="G3096" s="8" t="s">
        <v>2510</v>
      </c>
      <c r="H3096" s="8" t="s">
        <v>2511</v>
      </c>
      <c r="I3096" s="8" t="s">
        <v>19662</v>
      </c>
      <c r="J3096" s="8" t="s">
        <v>19663</v>
      </c>
      <c r="K3096" s="8" t="s">
        <v>1562</v>
      </c>
      <c r="L3096" s="8" t="s">
        <v>229</v>
      </c>
      <c r="M3096" s="8" t="s">
        <v>19664</v>
      </c>
      <c r="N3096" s="8" t="s">
        <v>128</v>
      </c>
      <c r="O3096" s="8" t="s">
        <v>19665</v>
      </c>
      <c r="P3096" s="8" t="s">
        <v>19666</v>
      </c>
      <c r="Q3096" s="8" t="s">
        <v>150</v>
      </c>
      <c r="R3096" s="8"/>
      <c r="S3096" s="8" t="s">
        <v>19667</v>
      </c>
      <c r="T3096" s="8" t="s">
        <v>67</v>
      </c>
      <c r="U3096" s="8" t="s">
        <v>150</v>
      </c>
      <c r="V3096" s="8" t="s">
        <v>152</v>
      </c>
      <c r="W3096" s="8" t="s">
        <v>67</v>
      </c>
      <c r="X3096" s="8">
        <v>5</v>
      </c>
      <c r="Y3096" s="8" t="s">
        <v>12359</v>
      </c>
      <c r="Z3096" s="8">
        <v>20</v>
      </c>
      <c r="AA3096" s="8">
        <v>0</v>
      </c>
      <c r="AB3096" s="9">
        <v>0</v>
      </c>
    </row>
    <row r="3097" spans="1:28" x14ac:dyDescent="0.2">
      <c r="A3097" s="10">
        <v>107022</v>
      </c>
      <c r="B3097" s="11" t="s">
        <v>19668</v>
      </c>
      <c r="C3097" s="11" t="s">
        <v>18994</v>
      </c>
      <c r="D3097" s="11" t="s">
        <v>4623</v>
      </c>
      <c r="E3097" s="11" t="s">
        <v>5479</v>
      </c>
      <c r="F3097" s="11" t="s">
        <v>19669</v>
      </c>
      <c r="G3097" s="11" t="s">
        <v>18996</v>
      </c>
      <c r="H3097" s="11" t="s">
        <v>616</v>
      </c>
      <c r="I3097" s="11" t="s">
        <v>19670</v>
      </c>
      <c r="J3097" s="11" t="s">
        <v>18998</v>
      </c>
      <c r="K3097" s="11" t="s">
        <v>619</v>
      </c>
      <c r="L3097" s="11" t="s">
        <v>163</v>
      </c>
      <c r="M3097" s="11" t="s">
        <v>19671</v>
      </c>
      <c r="N3097" s="11" t="s">
        <v>128</v>
      </c>
      <c r="O3097" s="11" t="s">
        <v>19672</v>
      </c>
      <c r="P3097" s="11"/>
      <c r="Q3097" s="11" t="s">
        <v>131</v>
      </c>
      <c r="R3097" s="11"/>
      <c r="S3097" s="11" t="s">
        <v>19002</v>
      </c>
      <c r="T3097" s="11" t="s">
        <v>983</v>
      </c>
      <c r="U3097" s="11" t="s">
        <v>134</v>
      </c>
      <c r="V3097" s="11" t="s">
        <v>131</v>
      </c>
      <c r="W3097" s="11" t="s">
        <v>983</v>
      </c>
      <c r="X3097" s="11">
        <v>5</v>
      </c>
      <c r="Y3097" s="11" t="s">
        <v>12359</v>
      </c>
      <c r="Z3097" s="11">
        <v>20</v>
      </c>
      <c r="AA3097" s="11">
        <v>0</v>
      </c>
      <c r="AB3097" s="12">
        <v>0</v>
      </c>
    </row>
    <row r="3098" spans="1:28" x14ac:dyDescent="0.2">
      <c r="A3098" s="7">
        <v>183914</v>
      </c>
      <c r="B3098" s="8" t="s">
        <v>19673</v>
      </c>
      <c r="C3098" s="8" t="s">
        <v>12933</v>
      </c>
      <c r="D3098" s="8" t="s">
        <v>904</v>
      </c>
      <c r="E3098" s="8" t="s">
        <v>19674</v>
      </c>
      <c r="F3098" s="8" t="s">
        <v>18367</v>
      </c>
      <c r="G3098" s="8" t="s">
        <v>2642</v>
      </c>
      <c r="H3098" s="8" t="s">
        <v>329</v>
      </c>
      <c r="I3098" s="8" t="s">
        <v>12935</v>
      </c>
      <c r="J3098" s="8" t="s">
        <v>19675</v>
      </c>
      <c r="K3098" s="8" t="s">
        <v>572</v>
      </c>
      <c r="L3098" s="8" t="s">
        <v>333</v>
      </c>
      <c r="M3098" s="8" t="s">
        <v>19676</v>
      </c>
      <c r="N3098" s="8" t="s">
        <v>128</v>
      </c>
      <c r="O3098" s="8" t="s">
        <v>19677</v>
      </c>
      <c r="P3098" s="8"/>
      <c r="Q3098" s="8" t="s">
        <v>131</v>
      </c>
      <c r="R3098" s="8"/>
      <c r="S3098" s="8" t="s">
        <v>12940</v>
      </c>
      <c r="T3098" s="8" t="s">
        <v>983</v>
      </c>
      <c r="U3098" s="8" t="s">
        <v>134</v>
      </c>
      <c r="V3098" s="8" t="s">
        <v>131</v>
      </c>
      <c r="W3098" s="8" t="s">
        <v>983</v>
      </c>
      <c r="X3098" s="8">
        <v>5</v>
      </c>
      <c r="Y3098" s="8" t="s">
        <v>12359</v>
      </c>
      <c r="Z3098" s="8">
        <v>20</v>
      </c>
      <c r="AA3098" s="8">
        <v>0</v>
      </c>
      <c r="AB3098" s="9">
        <v>0</v>
      </c>
    </row>
    <row r="3099" spans="1:28" x14ac:dyDescent="0.2">
      <c r="A3099" s="10">
        <v>37878</v>
      </c>
      <c r="B3099" s="11" t="s">
        <v>19678</v>
      </c>
      <c r="C3099" s="11" t="s">
        <v>798</v>
      </c>
      <c r="D3099" s="11" t="s">
        <v>799</v>
      </c>
      <c r="E3099" s="11"/>
      <c r="F3099" s="11" t="s">
        <v>19679</v>
      </c>
      <c r="G3099" s="11" t="s">
        <v>158</v>
      </c>
      <c r="H3099" s="11" t="s">
        <v>159</v>
      </c>
      <c r="I3099" s="11" t="s">
        <v>801</v>
      </c>
      <c r="J3099" s="11" t="s">
        <v>19680</v>
      </c>
      <c r="K3099" s="11" t="s">
        <v>274</v>
      </c>
      <c r="L3099" s="11" t="s">
        <v>163</v>
      </c>
      <c r="M3099" s="11" t="s">
        <v>19681</v>
      </c>
      <c r="N3099" s="11" t="s">
        <v>128</v>
      </c>
      <c r="O3099" s="11" t="s">
        <v>19682</v>
      </c>
      <c r="P3099" s="11"/>
      <c r="Q3099" s="11" t="s">
        <v>131</v>
      </c>
      <c r="R3099" s="11"/>
      <c r="S3099" s="11" t="s">
        <v>806</v>
      </c>
      <c r="T3099" s="11" t="s">
        <v>983</v>
      </c>
      <c r="U3099" s="11" t="s">
        <v>134</v>
      </c>
      <c r="V3099" s="11" t="s">
        <v>131</v>
      </c>
      <c r="W3099" s="11" t="s">
        <v>983</v>
      </c>
      <c r="X3099" s="11">
        <v>5</v>
      </c>
      <c r="Y3099" s="11" t="s">
        <v>12359</v>
      </c>
      <c r="Z3099" s="11">
        <v>20</v>
      </c>
      <c r="AA3099" s="11">
        <v>0</v>
      </c>
      <c r="AB3099" s="12">
        <v>0</v>
      </c>
    </row>
    <row r="3100" spans="1:28" x14ac:dyDescent="0.2">
      <c r="A3100" s="7">
        <v>26767</v>
      </c>
      <c r="B3100" s="8" t="s">
        <v>19683</v>
      </c>
      <c r="C3100" s="8" t="s">
        <v>19684</v>
      </c>
      <c r="D3100" s="8" t="s">
        <v>2786</v>
      </c>
      <c r="E3100" s="8"/>
      <c r="F3100" s="8" t="s">
        <v>353</v>
      </c>
      <c r="G3100" s="8" t="s">
        <v>2035</v>
      </c>
      <c r="H3100" s="8" t="s">
        <v>142</v>
      </c>
      <c r="I3100" s="8"/>
      <c r="J3100" s="8" t="s">
        <v>19685</v>
      </c>
      <c r="K3100" s="8" t="s">
        <v>779</v>
      </c>
      <c r="L3100" s="8" t="s">
        <v>464</v>
      </c>
      <c r="M3100" s="8" t="s">
        <v>19686</v>
      </c>
      <c r="N3100" s="8" t="s">
        <v>128</v>
      </c>
      <c r="O3100" s="8" t="s">
        <v>19687</v>
      </c>
      <c r="P3100" s="8"/>
      <c r="Q3100" s="8" t="s">
        <v>131</v>
      </c>
      <c r="R3100" s="8"/>
      <c r="S3100" s="8" t="s">
        <v>71</v>
      </c>
      <c r="T3100" s="8" t="s">
        <v>983</v>
      </c>
      <c r="U3100" s="8" t="s">
        <v>134</v>
      </c>
      <c r="V3100" s="8" t="s">
        <v>131</v>
      </c>
      <c r="W3100" s="8" t="s">
        <v>983</v>
      </c>
      <c r="X3100" s="8">
        <v>5</v>
      </c>
      <c r="Y3100" s="8" t="s">
        <v>12359</v>
      </c>
      <c r="Z3100" s="8">
        <v>20</v>
      </c>
      <c r="AA3100" s="8">
        <v>0</v>
      </c>
      <c r="AB3100" s="9">
        <v>0</v>
      </c>
    </row>
    <row r="3101" spans="1:28" x14ac:dyDescent="0.2">
      <c r="A3101" s="10">
        <v>109198</v>
      </c>
      <c r="B3101" s="11" t="s">
        <v>19688</v>
      </c>
      <c r="C3101" s="11" t="s">
        <v>12127</v>
      </c>
      <c r="D3101" s="11" t="s">
        <v>19689</v>
      </c>
      <c r="E3101" s="11"/>
      <c r="F3101" s="11" t="s">
        <v>353</v>
      </c>
      <c r="G3101" s="11" t="s">
        <v>12128</v>
      </c>
      <c r="H3101" s="11" t="s">
        <v>142</v>
      </c>
      <c r="I3101" s="11" t="s">
        <v>12129</v>
      </c>
      <c r="J3101" s="11" t="s">
        <v>19690</v>
      </c>
      <c r="K3101" s="11" t="s">
        <v>1029</v>
      </c>
      <c r="L3101" s="11" t="s">
        <v>464</v>
      </c>
      <c r="M3101" s="11" t="s">
        <v>19691</v>
      </c>
      <c r="N3101" s="11" t="s">
        <v>128</v>
      </c>
      <c r="O3101" s="11" t="s">
        <v>19692</v>
      </c>
      <c r="P3101" s="11"/>
      <c r="Q3101" s="11" t="s">
        <v>131</v>
      </c>
      <c r="R3101" s="11"/>
      <c r="S3101" s="11" t="s">
        <v>71</v>
      </c>
      <c r="T3101" s="11" t="s">
        <v>983</v>
      </c>
      <c r="U3101" s="11" t="s">
        <v>134</v>
      </c>
      <c r="V3101" s="11" t="s">
        <v>131</v>
      </c>
      <c r="W3101" s="11" t="s">
        <v>983</v>
      </c>
      <c r="X3101" s="11">
        <v>5</v>
      </c>
      <c r="Y3101" s="11" t="s">
        <v>12359</v>
      </c>
      <c r="Z3101" s="11">
        <v>20</v>
      </c>
      <c r="AA3101" s="11">
        <v>0</v>
      </c>
      <c r="AB3101" s="12">
        <v>0</v>
      </c>
    </row>
    <row r="3102" spans="1:28" x14ac:dyDescent="0.2">
      <c r="A3102" s="7">
        <v>238157</v>
      </c>
      <c r="B3102" s="8" t="s">
        <v>19693</v>
      </c>
      <c r="C3102" s="8" t="s">
        <v>19694</v>
      </c>
      <c r="D3102" s="8" t="s">
        <v>1032</v>
      </c>
      <c r="E3102" s="8"/>
      <c r="F3102" s="8" t="s">
        <v>19695</v>
      </c>
      <c r="G3102" s="8" t="s">
        <v>18987</v>
      </c>
      <c r="H3102" s="8" t="s">
        <v>159</v>
      </c>
      <c r="I3102" s="8" t="s">
        <v>19696</v>
      </c>
      <c r="J3102" s="8" t="s">
        <v>19697</v>
      </c>
      <c r="K3102" s="8" t="s">
        <v>162</v>
      </c>
      <c r="L3102" s="8" t="s">
        <v>163</v>
      </c>
      <c r="M3102" s="8" t="s">
        <v>19698</v>
      </c>
      <c r="N3102" s="8" t="s">
        <v>128</v>
      </c>
      <c r="O3102" s="8" t="s">
        <v>19699</v>
      </c>
      <c r="P3102" s="8"/>
      <c r="Q3102" s="8" t="s">
        <v>131</v>
      </c>
      <c r="R3102" s="8"/>
      <c r="S3102" s="8" t="s">
        <v>71</v>
      </c>
      <c r="T3102" s="8" t="s">
        <v>983</v>
      </c>
      <c r="U3102" s="8" t="s">
        <v>134</v>
      </c>
      <c r="V3102" s="8" t="s">
        <v>131</v>
      </c>
      <c r="W3102" s="8" t="s">
        <v>983</v>
      </c>
      <c r="X3102" s="8">
        <v>5</v>
      </c>
      <c r="Y3102" s="8" t="s">
        <v>12359</v>
      </c>
      <c r="Z3102" s="8">
        <v>20</v>
      </c>
      <c r="AA3102" s="8">
        <v>0</v>
      </c>
      <c r="AB3102" s="9">
        <v>0</v>
      </c>
    </row>
    <row r="3103" spans="1:28" x14ac:dyDescent="0.2">
      <c r="A3103" s="10">
        <v>22072</v>
      </c>
      <c r="B3103" s="11" t="s">
        <v>19700</v>
      </c>
      <c r="C3103" s="11" t="s">
        <v>17429</v>
      </c>
      <c r="D3103" s="11" t="s">
        <v>7140</v>
      </c>
      <c r="E3103" s="11"/>
      <c r="F3103" s="11" t="s">
        <v>7636</v>
      </c>
      <c r="G3103" s="11" t="s">
        <v>1026</v>
      </c>
      <c r="H3103" s="11" t="s">
        <v>142</v>
      </c>
      <c r="I3103" s="11" t="s">
        <v>17431</v>
      </c>
      <c r="J3103" s="11" t="s">
        <v>17432</v>
      </c>
      <c r="K3103" s="11" t="s">
        <v>1029</v>
      </c>
      <c r="L3103" s="11" t="s">
        <v>464</v>
      </c>
      <c r="M3103" s="11" t="s">
        <v>19701</v>
      </c>
      <c r="N3103" s="11" t="s">
        <v>128</v>
      </c>
      <c r="O3103" s="11"/>
      <c r="P3103" s="11"/>
      <c r="Q3103" s="11" t="s">
        <v>131</v>
      </c>
      <c r="R3103" s="11"/>
      <c r="S3103" s="11" t="s">
        <v>17435</v>
      </c>
      <c r="T3103" s="11" t="s">
        <v>983</v>
      </c>
      <c r="U3103" s="11" t="s">
        <v>134</v>
      </c>
      <c r="V3103" s="11" t="s">
        <v>131</v>
      </c>
      <c r="W3103" s="11" t="s">
        <v>983</v>
      </c>
      <c r="X3103" s="11">
        <v>5</v>
      </c>
      <c r="Y3103" s="11" t="s">
        <v>12359</v>
      </c>
      <c r="Z3103" s="11">
        <v>20</v>
      </c>
      <c r="AA3103" s="11">
        <v>0</v>
      </c>
      <c r="AB3103" s="12">
        <v>0</v>
      </c>
    </row>
    <row r="3104" spans="1:28" x14ac:dyDescent="0.2">
      <c r="A3104" s="7">
        <v>21890</v>
      </c>
      <c r="B3104" s="8" t="s">
        <v>19702</v>
      </c>
      <c r="C3104" s="8" t="s">
        <v>18803</v>
      </c>
      <c r="D3104" s="8" t="s">
        <v>9815</v>
      </c>
      <c r="E3104" s="8" t="s">
        <v>19703</v>
      </c>
      <c r="F3104" s="8" t="s">
        <v>9816</v>
      </c>
      <c r="G3104" s="8" t="s">
        <v>190</v>
      </c>
      <c r="H3104" s="8" t="s">
        <v>191</v>
      </c>
      <c r="I3104" s="8" t="s">
        <v>9817</v>
      </c>
      <c r="J3104" s="8" t="s">
        <v>19704</v>
      </c>
      <c r="K3104" s="8" t="s">
        <v>194</v>
      </c>
      <c r="L3104" s="8" t="s">
        <v>163</v>
      </c>
      <c r="M3104" s="8" t="s">
        <v>19705</v>
      </c>
      <c r="N3104" s="8" t="s">
        <v>128</v>
      </c>
      <c r="O3104" s="8" t="s">
        <v>19706</v>
      </c>
      <c r="P3104" s="8" t="s">
        <v>19707</v>
      </c>
      <c r="Q3104" s="8" t="s">
        <v>131</v>
      </c>
      <c r="R3104" s="8"/>
      <c r="S3104" s="8" t="s">
        <v>9822</v>
      </c>
      <c r="T3104" s="8" t="s">
        <v>133</v>
      </c>
      <c r="U3104" s="8" t="s">
        <v>134</v>
      </c>
      <c r="V3104" s="8" t="s">
        <v>131</v>
      </c>
      <c r="W3104" s="8" t="s">
        <v>133</v>
      </c>
      <c r="X3104" s="8">
        <v>5</v>
      </c>
      <c r="Y3104" s="8" t="s">
        <v>12359</v>
      </c>
      <c r="Z3104" s="8">
        <v>20</v>
      </c>
      <c r="AA3104" s="8">
        <v>0</v>
      </c>
      <c r="AB3104" s="9">
        <v>0</v>
      </c>
    </row>
    <row r="3105" spans="1:28" x14ac:dyDescent="0.2">
      <c r="A3105" s="10">
        <v>26635</v>
      </c>
      <c r="B3105" s="11" t="s">
        <v>19708</v>
      </c>
      <c r="C3105" s="11" t="s">
        <v>2785</v>
      </c>
      <c r="D3105" s="11" t="s">
        <v>6641</v>
      </c>
      <c r="E3105" s="11"/>
      <c r="F3105" s="11" t="s">
        <v>353</v>
      </c>
      <c r="G3105" s="11" t="s">
        <v>6005</v>
      </c>
      <c r="H3105" s="11" t="s">
        <v>5805</v>
      </c>
      <c r="I3105" s="11" t="s">
        <v>19709</v>
      </c>
      <c r="J3105" s="11" t="s">
        <v>19710</v>
      </c>
      <c r="K3105" s="11" t="s">
        <v>274</v>
      </c>
      <c r="L3105" s="11" t="s">
        <v>163</v>
      </c>
      <c r="M3105" s="11" t="s">
        <v>19711</v>
      </c>
      <c r="N3105" s="11" t="s">
        <v>128</v>
      </c>
      <c r="O3105" s="11" t="s">
        <v>19712</v>
      </c>
      <c r="P3105" s="11" t="s">
        <v>19713</v>
      </c>
      <c r="Q3105" s="11" t="s">
        <v>131</v>
      </c>
      <c r="R3105" s="11"/>
      <c r="S3105" s="11" t="s">
        <v>71</v>
      </c>
      <c r="T3105" s="11" t="s">
        <v>133</v>
      </c>
      <c r="U3105" s="11" t="s">
        <v>134</v>
      </c>
      <c r="V3105" s="11" t="s">
        <v>131</v>
      </c>
      <c r="W3105" s="11" t="s">
        <v>133</v>
      </c>
      <c r="X3105" s="11">
        <v>5</v>
      </c>
      <c r="Y3105" s="11" t="s">
        <v>12359</v>
      </c>
      <c r="Z3105" s="11">
        <v>20</v>
      </c>
      <c r="AA3105" s="11">
        <v>0</v>
      </c>
      <c r="AB3105" s="12">
        <v>0</v>
      </c>
    </row>
    <row r="3106" spans="1:28" x14ac:dyDescent="0.2">
      <c r="A3106" s="7">
        <v>26710</v>
      </c>
      <c r="B3106" s="8" t="s">
        <v>19714</v>
      </c>
      <c r="C3106" s="8" t="s">
        <v>19715</v>
      </c>
      <c r="D3106" s="8" t="s">
        <v>19716</v>
      </c>
      <c r="E3106" s="8"/>
      <c r="F3106" s="8" t="s">
        <v>353</v>
      </c>
      <c r="G3106" s="8" t="s">
        <v>615</v>
      </c>
      <c r="H3106" s="8" t="s">
        <v>616</v>
      </c>
      <c r="I3106" s="8" t="s">
        <v>19717</v>
      </c>
      <c r="J3106" s="8" t="s">
        <v>19718</v>
      </c>
      <c r="K3106" s="8" t="s">
        <v>619</v>
      </c>
      <c r="L3106" s="8" t="s">
        <v>163</v>
      </c>
      <c r="M3106" s="8" t="s">
        <v>19719</v>
      </c>
      <c r="N3106" s="8" t="s">
        <v>128</v>
      </c>
      <c r="O3106" s="8" t="s">
        <v>19720</v>
      </c>
      <c r="P3106" s="8" t="s">
        <v>19721</v>
      </c>
      <c r="Q3106" s="8" t="s">
        <v>131</v>
      </c>
      <c r="R3106" s="8"/>
      <c r="S3106" s="8" t="s">
        <v>71</v>
      </c>
      <c r="T3106" s="8" t="s">
        <v>133</v>
      </c>
      <c r="U3106" s="8" t="s">
        <v>134</v>
      </c>
      <c r="V3106" s="8" t="s">
        <v>131</v>
      </c>
      <c r="W3106" s="8" t="s">
        <v>133</v>
      </c>
      <c r="X3106" s="8">
        <v>5</v>
      </c>
      <c r="Y3106" s="8" t="s">
        <v>12359</v>
      </c>
      <c r="Z3106" s="8">
        <v>20</v>
      </c>
      <c r="AA3106" s="8">
        <v>0</v>
      </c>
      <c r="AB3106" s="9">
        <v>0</v>
      </c>
    </row>
    <row r="3107" spans="1:28" x14ac:dyDescent="0.2">
      <c r="A3107" s="10">
        <v>92861</v>
      </c>
      <c r="B3107" s="11" t="s">
        <v>19722</v>
      </c>
      <c r="C3107" s="11" t="s">
        <v>324</v>
      </c>
      <c r="D3107" s="11" t="s">
        <v>19723</v>
      </c>
      <c r="E3107" s="11"/>
      <c r="F3107" s="11" t="s">
        <v>327</v>
      </c>
      <c r="G3107" s="11" t="s">
        <v>328</v>
      </c>
      <c r="H3107" s="11" t="s">
        <v>329</v>
      </c>
      <c r="I3107" s="11" t="s">
        <v>19724</v>
      </c>
      <c r="J3107" s="11" t="s">
        <v>19725</v>
      </c>
      <c r="K3107" s="11" t="s">
        <v>332</v>
      </c>
      <c r="L3107" s="11" t="s">
        <v>333</v>
      </c>
      <c r="M3107" s="11" t="s">
        <v>19726</v>
      </c>
      <c r="N3107" s="11" t="s">
        <v>128</v>
      </c>
      <c r="O3107" s="11" t="s">
        <v>19727</v>
      </c>
      <c r="P3107" s="11" t="s">
        <v>19728</v>
      </c>
      <c r="Q3107" s="11" t="s">
        <v>131</v>
      </c>
      <c r="R3107" s="11"/>
      <c r="S3107" s="11" t="s">
        <v>19729</v>
      </c>
      <c r="T3107" s="11" t="s">
        <v>133</v>
      </c>
      <c r="U3107" s="11" t="s">
        <v>134</v>
      </c>
      <c r="V3107" s="11" t="s">
        <v>131</v>
      </c>
      <c r="W3107" s="11" t="s">
        <v>133</v>
      </c>
      <c r="X3107" s="11">
        <v>5</v>
      </c>
      <c r="Y3107" s="11" t="s">
        <v>12359</v>
      </c>
      <c r="Z3107" s="11">
        <v>20</v>
      </c>
      <c r="AA3107" s="11">
        <v>0</v>
      </c>
      <c r="AB3107" s="12">
        <v>0</v>
      </c>
    </row>
    <row r="3108" spans="1:28" x14ac:dyDescent="0.2">
      <c r="A3108" s="7">
        <v>23539</v>
      </c>
      <c r="B3108" s="8" t="s">
        <v>19730</v>
      </c>
      <c r="C3108" s="8" t="s">
        <v>19731</v>
      </c>
      <c r="D3108" s="8" t="s">
        <v>8406</v>
      </c>
      <c r="E3108" s="8"/>
      <c r="F3108" s="8" t="s">
        <v>353</v>
      </c>
      <c r="G3108" s="8" t="s">
        <v>19301</v>
      </c>
      <c r="H3108" s="8" t="s">
        <v>704</v>
      </c>
      <c r="I3108" s="8" t="s">
        <v>19732</v>
      </c>
      <c r="J3108" s="8" t="s">
        <v>19733</v>
      </c>
      <c r="K3108" s="8" t="s">
        <v>707</v>
      </c>
      <c r="L3108" s="8" t="s">
        <v>126</v>
      </c>
      <c r="M3108" s="8" t="s">
        <v>19734</v>
      </c>
      <c r="N3108" s="8" t="s">
        <v>128</v>
      </c>
      <c r="O3108" s="8" t="s">
        <v>19735</v>
      </c>
      <c r="P3108" s="8" t="s">
        <v>6336</v>
      </c>
      <c r="Q3108" s="8" t="s">
        <v>150</v>
      </c>
      <c r="R3108" s="8"/>
      <c r="S3108" s="8" t="s">
        <v>71</v>
      </c>
      <c r="T3108" s="8" t="s">
        <v>6736</v>
      </c>
      <c r="U3108" s="8" t="s">
        <v>150</v>
      </c>
      <c r="V3108" s="8" t="s">
        <v>6736</v>
      </c>
      <c r="W3108" s="8" t="s">
        <v>6736</v>
      </c>
      <c r="X3108" s="8">
        <v>5</v>
      </c>
      <c r="Y3108" s="8" t="s">
        <v>12359</v>
      </c>
      <c r="Z3108" s="8">
        <v>20</v>
      </c>
      <c r="AA3108" s="8">
        <v>0</v>
      </c>
      <c r="AB3108" s="9">
        <v>0</v>
      </c>
    </row>
    <row r="3109" spans="1:28" x14ac:dyDescent="0.2">
      <c r="A3109" s="10">
        <v>37830</v>
      </c>
      <c r="B3109" s="11" t="s">
        <v>19736</v>
      </c>
      <c r="C3109" s="11" t="s">
        <v>19737</v>
      </c>
      <c r="D3109" s="11" t="s">
        <v>19738</v>
      </c>
      <c r="E3109" s="11"/>
      <c r="F3109" s="11" t="s">
        <v>353</v>
      </c>
      <c r="G3109" s="11" t="s">
        <v>9598</v>
      </c>
      <c r="H3109" s="11" t="s">
        <v>704</v>
      </c>
      <c r="I3109" s="11" t="s">
        <v>9599</v>
      </c>
      <c r="J3109" s="11" t="s">
        <v>19739</v>
      </c>
      <c r="K3109" s="11" t="s">
        <v>707</v>
      </c>
      <c r="L3109" s="11" t="s">
        <v>126</v>
      </c>
      <c r="M3109" s="11" t="s">
        <v>19740</v>
      </c>
      <c r="N3109" s="11" t="s">
        <v>128</v>
      </c>
      <c r="O3109" s="11" t="s">
        <v>19741</v>
      </c>
      <c r="P3109" s="11" t="s">
        <v>2071</v>
      </c>
      <c r="Q3109" s="11" t="s">
        <v>150</v>
      </c>
      <c r="R3109" s="11"/>
      <c r="S3109" s="11" t="s">
        <v>71</v>
      </c>
      <c r="T3109" s="11" t="s">
        <v>6736</v>
      </c>
      <c r="U3109" s="11" t="s">
        <v>150</v>
      </c>
      <c r="V3109" s="11" t="s">
        <v>6736</v>
      </c>
      <c r="W3109" s="11" t="s">
        <v>6736</v>
      </c>
      <c r="X3109" s="11">
        <v>5</v>
      </c>
      <c r="Y3109" s="11" t="s">
        <v>12359</v>
      </c>
      <c r="Z3109" s="11">
        <v>20</v>
      </c>
      <c r="AA3109" s="11">
        <v>0</v>
      </c>
      <c r="AB3109" s="12">
        <v>0</v>
      </c>
    </row>
    <row r="3110" spans="1:28" x14ac:dyDescent="0.2">
      <c r="A3110" s="7">
        <v>26900</v>
      </c>
      <c r="B3110" s="8" t="s">
        <v>19742</v>
      </c>
      <c r="C3110" s="8" t="s">
        <v>19743</v>
      </c>
      <c r="D3110" s="8" t="s">
        <v>9664</v>
      </c>
      <c r="E3110" s="8"/>
      <c r="F3110" s="8" t="s">
        <v>19744</v>
      </c>
      <c r="G3110" s="8" t="s">
        <v>3929</v>
      </c>
      <c r="H3110" s="8" t="s">
        <v>704</v>
      </c>
      <c r="I3110" s="8" t="s">
        <v>19745</v>
      </c>
      <c r="J3110" s="8" t="s">
        <v>19746</v>
      </c>
      <c r="K3110" s="8" t="s">
        <v>850</v>
      </c>
      <c r="L3110" s="8" t="s">
        <v>126</v>
      </c>
      <c r="M3110" s="8" t="s">
        <v>19747</v>
      </c>
      <c r="N3110" s="8" t="s">
        <v>128</v>
      </c>
      <c r="O3110" s="8" t="s">
        <v>19748</v>
      </c>
      <c r="P3110" s="8" t="s">
        <v>4188</v>
      </c>
      <c r="Q3110" s="8" t="s">
        <v>150</v>
      </c>
      <c r="R3110" s="8"/>
      <c r="S3110" s="8" t="s">
        <v>71</v>
      </c>
      <c r="T3110" s="8" t="s">
        <v>6736</v>
      </c>
      <c r="U3110" s="8" t="s">
        <v>150</v>
      </c>
      <c r="V3110" s="8" t="s">
        <v>6736</v>
      </c>
      <c r="W3110" s="8" t="s">
        <v>6736</v>
      </c>
      <c r="X3110" s="8">
        <v>5</v>
      </c>
      <c r="Y3110" s="8" t="s">
        <v>12359</v>
      </c>
      <c r="Z3110" s="8">
        <v>20</v>
      </c>
      <c r="AA3110" s="8">
        <v>0</v>
      </c>
      <c r="AB3110" s="9">
        <v>0</v>
      </c>
    </row>
    <row r="3111" spans="1:28" x14ac:dyDescent="0.2">
      <c r="A3111" s="10">
        <v>238160</v>
      </c>
      <c r="B3111" s="11" t="s">
        <v>19749</v>
      </c>
      <c r="C3111" s="11" t="s">
        <v>409</v>
      </c>
      <c r="D3111" s="11" t="s">
        <v>19750</v>
      </c>
      <c r="E3111" s="11"/>
      <c r="F3111" s="11" t="s">
        <v>16520</v>
      </c>
      <c r="G3111" s="11" t="s">
        <v>3929</v>
      </c>
      <c r="H3111" s="11" t="s">
        <v>704</v>
      </c>
      <c r="I3111" s="11" t="s">
        <v>19751</v>
      </c>
      <c r="J3111" s="11" t="s">
        <v>19752</v>
      </c>
      <c r="K3111" s="11" t="s">
        <v>850</v>
      </c>
      <c r="L3111" s="11" t="s">
        <v>126</v>
      </c>
      <c r="M3111" s="11" t="s">
        <v>19753</v>
      </c>
      <c r="N3111" s="11" t="s">
        <v>128</v>
      </c>
      <c r="O3111" s="11" t="s">
        <v>19754</v>
      </c>
      <c r="P3111" s="11" t="s">
        <v>18670</v>
      </c>
      <c r="Q3111" s="11" t="s">
        <v>150</v>
      </c>
      <c r="R3111" s="11"/>
      <c r="S3111" s="11" t="s">
        <v>71</v>
      </c>
      <c r="T3111" s="11" t="s">
        <v>6736</v>
      </c>
      <c r="U3111" s="11" t="s">
        <v>150</v>
      </c>
      <c r="V3111" s="11" t="s">
        <v>6736</v>
      </c>
      <c r="W3111" s="11" t="s">
        <v>6736</v>
      </c>
      <c r="X3111" s="11">
        <v>5</v>
      </c>
      <c r="Y3111" s="11" t="s">
        <v>12359</v>
      </c>
      <c r="Z3111" s="11">
        <v>20</v>
      </c>
      <c r="AA3111" s="11">
        <v>0</v>
      </c>
      <c r="AB3111" s="12">
        <v>0</v>
      </c>
    </row>
    <row r="3112" spans="1:28" x14ac:dyDescent="0.2">
      <c r="A3112" s="7">
        <v>85130</v>
      </c>
      <c r="B3112" s="8" t="s">
        <v>19755</v>
      </c>
      <c r="C3112" s="8" t="s">
        <v>10882</v>
      </c>
      <c r="D3112" s="8" t="s">
        <v>14409</v>
      </c>
      <c r="E3112" s="8"/>
      <c r="F3112" s="8" t="s">
        <v>353</v>
      </c>
      <c r="G3112" s="8" t="s">
        <v>10883</v>
      </c>
      <c r="H3112" s="8" t="s">
        <v>142</v>
      </c>
      <c r="I3112" s="8" t="s">
        <v>10884</v>
      </c>
      <c r="J3112" s="8" t="s">
        <v>19756</v>
      </c>
      <c r="K3112" s="8" t="s">
        <v>1029</v>
      </c>
      <c r="L3112" s="8" t="s">
        <v>464</v>
      </c>
      <c r="M3112" s="8" t="s">
        <v>19757</v>
      </c>
      <c r="N3112" s="8" t="s">
        <v>128</v>
      </c>
      <c r="O3112" s="8" t="s">
        <v>19758</v>
      </c>
      <c r="P3112" s="8" t="s">
        <v>19759</v>
      </c>
      <c r="Q3112" s="8" t="s">
        <v>150</v>
      </c>
      <c r="R3112" s="8"/>
      <c r="S3112" s="8" t="s">
        <v>71</v>
      </c>
      <c r="T3112" s="8" t="s">
        <v>14420</v>
      </c>
      <c r="U3112" s="8" t="s">
        <v>150</v>
      </c>
      <c r="V3112" s="8" t="s">
        <v>14420</v>
      </c>
      <c r="W3112" s="8" t="s">
        <v>14420</v>
      </c>
      <c r="X3112" s="8">
        <v>5</v>
      </c>
      <c r="Y3112" s="8" t="s">
        <v>12359</v>
      </c>
      <c r="Z3112" s="8">
        <v>20</v>
      </c>
      <c r="AA3112" s="8">
        <v>0</v>
      </c>
      <c r="AB3112" s="9">
        <v>0</v>
      </c>
    </row>
    <row r="3113" spans="1:28" x14ac:dyDescent="0.2">
      <c r="A3113" s="10">
        <v>22627</v>
      </c>
      <c r="B3113" s="11" t="s">
        <v>19760</v>
      </c>
      <c r="C3113" s="11" t="s">
        <v>19761</v>
      </c>
      <c r="D3113" s="11" t="s">
        <v>9089</v>
      </c>
      <c r="E3113" s="11"/>
      <c r="F3113" s="11" t="s">
        <v>353</v>
      </c>
      <c r="G3113" s="11" t="s">
        <v>19301</v>
      </c>
      <c r="H3113" s="11" t="s">
        <v>704</v>
      </c>
      <c r="I3113" s="11" t="s">
        <v>19762</v>
      </c>
      <c r="J3113" s="11" t="s">
        <v>19763</v>
      </c>
      <c r="K3113" s="11" t="s">
        <v>707</v>
      </c>
      <c r="L3113" s="11" t="s">
        <v>126</v>
      </c>
      <c r="M3113" s="11" t="s">
        <v>19764</v>
      </c>
      <c r="N3113" s="11" t="s">
        <v>128</v>
      </c>
      <c r="O3113" s="11" t="s">
        <v>19765</v>
      </c>
      <c r="P3113" s="11" t="s">
        <v>19766</v>
      </c>
      <c r="Q3113" s="11" t="s">
        <v>150</v>
      </c>
      <c r="R3113" s="11"/>
      <c r="S3113" s="11" t="s">
        <v>71</v>
      </c>
      <c r="T3113" s="11" t="s">
        <v>2697</v>
      </c>
      <c r="U3113" s="11" t="s">
        <v>150</v>
      </c>
      <c r="V3113" s="11" t="s">
        <v>2697</v>
      </c>
      <c r="W3113" s="11" t="s">
        <v>2697</v>
      </c>
      <c r="X3113" s="11">
        <v>5</v>
      </c>
      <c r="Y3113" s="11" t="s">
        <v>12359</v>
      </c>
      <c r="Z3113" s="11">
        <v>20</v>
      </c>
      <c r="AA3113" s="11">
        <v>0</v>
      </c>
      <c r="AB3113" s="12">
        <v>0</v>
      </c>
    </row>
    <row r="3114" spans="1:28" x14ac:dyDescent="0.2">
      <c r="A3114" s="7">
        <v>22616</v>
      </c>
      <c r="B3114" s="8" t="s">
        <v>19767</v>
      </c>
      <c r="C3114" s="8" t="s">
        <v>19768</v>
      </c>
      <c r="D3114" s="8" t="s">
        <v>18323</v>
      </c>
      <c r="E3114" s="8"/>
      <c r="F3114" s="8" t="s">
        <v>10069</v>
      </c>
      <c r="G3114" s="8" t="s">
        <v>1419</v>
      </c>
      <c r="H3114" s="8" t="s">
        <v>704</v>
      </c>
      <c r="I3114" s="8" t="s">
        <v>19769</v>
      </c>
      <c r="J3114" s="8" t="s">
        <v>19770</v>
      </c>
      <c r="K3114" s="8" t="s">
        <v>707</v>
      </c>
      <c r="L3114" s="8" t="s">
        <v>126</v>
      </c>
      <c r="M3114" s="8" t="s">
        <v>19771</v>
      </c>
      <c r="N3114" s="8" t="s">
        <v>128</v>
      </c>
      <c r="O3114" s="8"/>
      <c r="P3114" s="8"/>
      <c r="Q3114" s="8" t="s">
        <v>150</v>
      </c>
      <c r="R3114" s="8"/>
      <c r="S3114" s="8" t="s">
        <v>71</v>
      </c>
      <c r="T3114" s="8" t="s">
        <v>2697</v>
      </c>
      <c r="U3114" s="8" t="s">
        <v>150</v>
      </c>
      <c r="V3114" s="8" t="s">
        <v>2697</v>
      </c>
      <c r="W3114" s="8" t="s">
        <v>2697</v>
      </c>
      <c r="X3114" s="8">
        <v>5</v>
      </c>
      <c r="Y3114" s="8" t="s">
        <v>12359</v>
      </c>
      <c r="Z3114" s="8">
        <v>20</v>
      </c>
      <c r="AA3114" s="8">
        <v>0</v>
      </c>
      <c r="AB3114" s="9">
        <v>0</v>
      </c>
    </row>
    <row r="3115" spans="1:28" x14ac:dyDescent="0.2">
      <c r="A3115" s="10">
        <v>50013</v>
      </c>
      <c r="B3115" s="11" t="s">
        <v>19772</v>
      </c>
      <c r="C3115" s="11" t="s">
        <v>6443</v>
      </c>
      <c r="D3115" s="11" t="s">
        <v>5951</v>
      </c>
      <c r="E3115" s="11"/>
      <c r="F3115" s="11" t="s">
        <v>17164</v>
      </c>
      <c r="G3115" s="11" t="s">
        <v>158</v>
      </c>
      <c r="H3115" s="11" t="s">
        <v>159</v>
      </c>
      <c r="I3115" s="11" t="s">
        <v>6445</v>
      </c>
      <c r="J3115" s="11" t="s">
        <v>19773</v>
      </c>
      <c r="K3115" s="11" t="s">
        <v>274</v>
      </c>
      <c r="L3115" s="11" t="s">
        <v>163</v>
      </c>
      <c r="M3115" s="11" t="s">
        <v>19774</v>
      </c>
      <c r="N3115" s="11" t="s">
        <v>128</v>
      </c>
      <c r="O3115" s="11" t="s">
        <v>19775</v>
      </c>
      <c r="P3115" s="11"/>
      <c r="Q3115" s="11" t="s">
        <v>150</v>
      </c>
      <c r="R3115" s="11"/>
      <c r="S3115" s="11" t="s">
        <v>71</v>
      </c>
      <c r="T3115" s="11" t="s">
        <v>5642</v>
      </c>
      <c r="U3115" s="11" t="s">
        <v>150</v>
      </c>
      <c r="V3115" s="11" t="s">
        <v>5642</v>
      </c>
      <c r="W3115" s="11" t="s">
        <v>5642</v>
      </c>
      <c r="X3115" s="11">
        <v>5</v>
      </c>
      <c r="Y3115" s="11" t="s">
        <v>12359</v>
      </c>
      <c r="Z3115" s="11">
        <v>20</v>
      </c>
      <c r="AA3115" s="11">
        <v>0</v>
      </c>
      <c r="AB3115" s="12">
        <v>0</v>
      </c>
    </row>
    <row r="3116" spans="1:28" x14ac:dyDescent="0.2">
      <c r="A3116" s="7">
        <v>106379</v>
      </c>
      <c r="B3116" s="8" t="s">
        <v>19776</v>
      </c>
      <c r="C3116" s="8" t="s">
        <v>19777</v>
      </c>
      <c r="D3116" s="8" t="s">
        <v>4511</v>
      </c>
      <c r="E3116" s="8"/>
      <c r="F3116" s="8" t="s">
        <v>19778</v>
      </c>
      <c r="G3116" s="8" t="s">
        <v>18987</v>
      </c>
      <c r="H3116" s="8" t="s">
        <v>159</v>
      </c>
      <c r="I3116" s="8" t="s">
        <v>19779</v>
      </c>
      <c r="J3116" s="8" t="s">
        <v>19780</v>
      </c>
      <c r="K3116" s="8" t="s">
        <v>162</v>
      </c>
      <c r="L3116" s="8" t="s">
        <v>163</v>
      </c>
      <c r="M3116" s="8" t="s">
        <v>19781</v>
      </c>
      <c r="N3116" s="8" t="s">
        <v>128</v>
      </c>
      <c r="O3116" s="8" t="s">
        <v>19782</v>
      </c>
      <c r="P3116" s="8"/>
      <c r="Q3116" s="8" t="s">
        <v>150</v>
      </c>
      <c r="R3116" s="8"/>
      <c r="S3116" s="8" t="s">
        <v>71</v>
      </c>
      <c r="T3116" s="8" t="s">
        <v>5642</v>
      </c>
      <c r="U3116" s="8" t="s">
        <v>150</v>
      </c>
      <c r="V3116" s="8" t="s">
        <v>5642</v>
      </c>
      <c r="W3116" s="8" t="s">
        <v>5642</v>
      </c>
      <c r="X3116" s="8">
        <v>5</v>
      </c>
      <c r="Y3116" s="8" t="s">
        <v>12359</v>
      </c>
      <c r="Z3116" s="8">
        <v>20</v>
      </c>
      <c r="AA3116" s="8">
        <v>0</v>
      </c>
      <c r="AB3116" s="9">
        <v>0</v>
      </c>
    </row>
    <row r="3117" spans="1:28" x14ac:dyDescent="0.2">
      <c r="A3117" s="10">
        <v>22786</v>
      </c>
      <c r="B3117" s="11" t="s">
        <v>19783</v>
      </c>
      <c r="C3117" s="11" t="s">
        <v>19784</v>
      </c>
      <c r="D3117" s="11" t="s">
        <v>2868</v>
      </c>
      <c r="E3117" s="11"/>
      <c r="F3117" s="11" t="s">
        <v>19785</v>
      </c>
      <c r="G3117" s="11" t="s">
        <v>1419</v>
      </c>
      <c r="H3117" s="11" t="s">
        <v>704</v>
      </c>
      <c r="I3117" s="11" t="s">
        <v>19786</v>
      </c>
      <c r="J3117" s="11" t="s">
        <v>19787</v>
      </c>
      <c r="K3117" s="11" t="s">
        <v>707</v>
      </c>
      <c r="L3117" s="11" t="s">
        <v>126</v>
      </c>
      <c r="M3117" s="11" t="s">
        <v>19788</v>
      </c>
      <c r="N3117" s="11" t="s">
        <v>128</v>
      </c>
      <c r="O3117" s="11" t="s">
        <v>19789</v>
      </c>
      <c r="P3117" s="11"/>
      <c r="Q3117" s="11" t="s">
        <v>150</v>
      </c>
      <c r="R3117" s="11"/>
      <c r="S3117" s="11" t="s">
        <v>19790</v>
      </c>
      <c r="T3117" s="11" t="s">
        <v>2817</v>
      </c>
      <c r="U3117" s="11" t="s">
        <v>150</v>
      </c>
      <c r="V3117" s="11" t="s">
        <v>2817</v>
      </c>
      <c r="W3117" s="11" t="s">
        <v>2817</v>
      </c>
      <c r="X3117" s="11">
        <v>5</v>
      </c>
      <c r="Y3117" s="11" t="s">
        <v>12359</v>
      </c>
      <c r="Z3117" s="11">
        <v>20</v>
      </c>
      <c r="AA3117" s="11">
        <v>0</v>
      </c>
      <c r="AB3117" s="12">
        <v>0</v>
      </c>
    </row>
    <row r="3118" spans="1:28" x14ac:dyDescent="0.2">
      <c r="A3118" s="7">
        <v>22774</v>
      </c>
      <c r="B3118" s="8" t="s">
        <v>19791</v>
      </c>
      <c r="C3118" s="8" t="s">
        <v>19731</v>
      </c>
      <c r="D3118" s="8" t="s">
        <v>10495</v>
      </c>
      <c r="E3118" s="8"/>
      <c r="F3118" s="8" t="s">
        <v>353</v>
      </c>
      <c r="G3118" s="8" t="s">
        <v>19301</v>
      </c>
      <c r="H3118" s="8" t="s">
        <v>704</v>
      </c>
      <c r="I3118" s="8" t="s">
        <v>19302</v>
      </c>
      <c r="J3118" s="8" t="s">
        <v>19792</v>
      </c>
      <c r="K3118" s="8" t="s">
        <v>707</v>
      </c>
      <c r="L3118" s="8" t="s">
        <v>126</v>
      </c>
      <c r="M3118" s="8" t="s">
        <v>19793</v>
      </c>
      <c r="N3118" s="8" t="s">
        <v>128</v>
      </c>
      <c r="O3118" s="8" t="s">
        <v>19794</v>
      </c>
      <c r="P3118" s="8"/>
      <c r="Q3118" s="8" t="s">
        <v>150</v>
      </c>
      <c r="R3118" s="8"/>
      <c r="S3118" s="8" t="s">
        <v>71</v>
      </c>
      <c r="T3118" s="8" t="s">
        <v>2817</v>
      </c>
      <c r="U3118" s="8" t="s">
        <v>150</v>
      </c>
      <c r="V3118" s="8" t="s">
        <v>2817</v>
      </c>
      <c r="W3118" s="8" t="s">
        <v>2817</v>
      </c>
      <c r="X3118" s="8">
        <v>5</v>
      </c>
      <c r="Y3118" s="8" t="s">
        <v>12359</v>
      </c>
      <c r="Z3118" s="8">
        <v>20</v>
      </c>
      <c r="AA3118" s="8">
        <v>0</v>
      </c>
      <c r="AB3118" s="9">
        <v>0</v>
      </c>
    </row>
    <row r="3119" spans="1:28" x14ac:dyDescent="0.2">
      <c r="A3119" s="10">
        <v>125881</v>
      </c>
      <c r="B3119" s="11" t="s">
        <v>19795</v>
      </c>
      <c r="C3119" s="11" t="s">
        <v>2664</v>
      </c>
      <c r="D3119" s="11" t="s">
        <v>2665</v>
      </c>
      <c r="E3119" s="11"/>
      <c r="F3119" s="11" t="s">
        <v>2667</v>
      </c>
      <c r="G3119" s="11" t="s">
        <v>190</v>
      </c>
      <c r="H3119" s="11" t="s">
        <v>191</v>
      </c>
      <c r="I3119" s="11" t="s">
        <v>2668</v>
      </c>
      <c r="J3119" s="11" t="s">
        <v>2669</v>
      </c>
      <c r="K3119" s="11" t="s">
        <v>194</v>
      </c>
      <c r="L3119" s="11" t="s">
        <v>163</v>
      </c>
      <c r="M3119" s="11" t="s">
        <v>19796</v>
      </c>
      <c r="N3119" s="11" t="s">
        <v>128</v>
      </c>
      <c r="O3119" s="11" t="s">
        <v>19797</v>
      </c>
      <c r="P3119" s="11"/>
      <c r="Q3119" s="11" t="s">
        <v>150</v>
      </c>
      <c r="R3119" s="11"/>
      <c r="S3119" s="11" t="s">
        <v>2672</v>
      </c>
      <c r="T3119" s="11" t="s">
        <v>5470</v>
      </c>
      <c r="U3119" s="11" t="s">
        <v>150</v>
      </c>
      <c r="V3119" s="11" t="s">
        <v>5470</v>
      </c>
      <c r="W3119" s="11" t="s">
        <v>5470</v>
      </c>
      <c r="X3119" s="11">
        <v>5</v>
      </c>
      <c r="Y3119" s="11" t="s">
        <v>12359</v>
      </c>
      <c r="Z3119" s="11">
        <v>20</v>
      </c>
      <c r="AA3119" s="11">
        <v>0</v>
      </c>
      <c r="AB3119" s="12">
        <v>0</v>
      </c>
    </row>
    <row r="3120" spans="1:28" x14ac:dyDescent="0.2">
      <c r="A3120" s="7">
        <v>23354</v>
      </c>
      <c r="B3120" s="8" t="s">
        <v>19798</v>
      </c>
      <c r="C3120" s="8" t="s">
        <v>19799</v>
      </c>
      <c r="D3120" s="8" t="s">
        <v>19800</v>
      </c>
      <c r="E3120" s="8" t="s">
        <v>281</v>
      </c>
      <c r="F3120" s="8" t="s">
        <v>15446</v>
      </c>
      <c r="G3120" s="8" t="s">
        <v>846</v>
      </c>
      <c r="H3120" s="8" t="s">
        <v>847</v>
      </c>
      <c r="I3120" s="8" t="s">
        <v>15447</v>
      </c>
      <c r="J3120" s="8" t="s">
        <v>19801</v>
      </c>
      <c r="K3120" s="8" t="s">
        <v>1091</v>
      </c>
      <c r="L3120" s="8" t="s">
        <v>126</v>
      </c>
      <c r="M3120" s="8" t="s">
        <v>19802</v>
      </c>
      <c r="N3120" s="8" t="s">
        <v>128</v>
      </c>
      <c r="O3120" s="8" t="s">
        <v>19803</v>
      </c>
      <c r="P3120" s="8" t="s">
        <v>19804</v>
      </c>
      <c r="Q3120" s="8" t="s">
        <v>150</v>
      </c>
      <c r="R3120" s="8"/>
      <c r="S3120" s="8" t="s">
        <v>71</v>
      </c>
      <c r="T3120" s="8" t="s">
        <v>70</v>
      </c>
      <c r="U3120" s="8" t="s">
        <v>150</v>
      </c>
      <c r="V3120" s="8" t="s">
        <v>70</v>
      </c>
      <c r="W3120" s="8" t="s">
        <v>70</v>
      </c>
      <c r="X3120" s="8">
        <v>5</v>
      </c>
      <c r="Y3120" s="8" t="s">
        <v>12359</v>
      </c>
      <c r="Z3120" s="8">
        <v>20</v>
      </c>
      <c r="AA3120" s="8">
        <v>0</v>
      </c>
      <c r="AB3120" s="9">
        <v>0</v>
      </c>
    </row>
    <row r="3121" spans="1:28" x14ac:dyDescent="0.2">
      <c r="A3121" s="10">
        <v>23193</v>
      </c>
      <c r="B3121" s="11" t="s">
        <v>19805</v>
      </c>
      <c r="C3121" s="11" t="s">
        <v>19806</v>
      </c>
      <c r="D3121" s="11" t="s">
        <v>138</v>
      </c>
      <c r="E3121" s="11" t="s">
        <v>19807</v>
      </c>
      <c r="F3121" s="11" t="s">
        <v>19808</v>
      </c>
      <c r="G3121" s="11" t="s">
        <v>6431</v>
      </c>
      <c r="H3121" s="11" t="s">
        <v>329</v>
      </c>
      <c r="I3121" s="11" t="s">
        <v>19809</v>
      </c>
      <c r="J3121" s="11" t="s">
        <v>19810</v>
      </c>
      <c r="K3121" s="11" t="s">
        <v>332</v>
      </c>
      <c r="L3121" s="11" t="s">
        <v>333</v>
      </c>
      <c r="M3121" s="11" t="s">
        <v>19811</v>
      </c>
      <c r="N3121" s="11" t="s">
        <v>128</v>
      </c>
      <c r="O3121" s="11" t="s">
        <v>19812</v>
      </c>
      <c r="P3121" s="11" t="s">
        <v>19813</v>
      </c>
      <c r="Q3121" s="11" t="s">
        <v>150</v>
      </c>
      <c r="R3121" s="11"/>
      <c r="S3121" s="11" t="s">
        <v>19814</v>
      </c>
      <c r="T3121" s="11" t="s">
        <v>70</v>
      </c>
      <c r="U3121" s="11" t="s">
        <v>150</v>
      </c>
      <c r="V3121" s="11" t="s">
        <v>70</v>
      </c>
      <c r="W3121" s="11" t="s">
        <v>70</v>
      </c>
      <c r="X3121" s="11">
        <v>5</v>
      </c>
      <c r="Y3121" s="11" t="s">
        <v>12359</v>
      </c>
      <c r="Z3121" s="11">
        <v>20</v>
      </c>
      <c r="AA3121" s="11">
        <v>0</v>
      </c>
      <c r="AB3121" s="12">
        <v>0</v>
      </c>
    </row>
    <row r="3122" spans="1:28" x14ac:dyDescent="0.2">
      <c r="A3122" s="7">
        <v>23102</v>
      </c>
      <c r="B3122" s="8" t="s">
        <v>19815</v>
      </c>
      <c r="C3122" s="8" t="s">
        <v>18994</v>
      </c>
      <c r="D3122" s="8" t="s">
        <v>4623</v>
      </c>
      <c r="E3122" s="8" t="s">
        <v>5654</v>
      </c>
      <c r="F3122" s="8" t="s">
        <v>18995</v>
      </c>
      <c r="G3122" s="8" t="s">
        <v>18996</v>
      </c>
      <c r="H3122" s="8" t="s">
        <v>616</v>
      </c>
      <c r="I3122" s="8" t="s">
        <v>18997</v>
      </c>
      <c r="J3122" s="8" t="s">
        <v>18998</v>
      </c>
      <c r="K3122" s="8" t="s">
        <v>619</v>
      </c>
      <c r="L3122" s="8" t="s">
        <v>163</v>
      </c>
      <c r="M3122" s="8" t="s">
        <v>19816</v>
      </c>
      <c r="N3122" s="8" t="s">
        <v>128</v>
      </c>
      <c r="O3122" s="8" t="s">
        <v>19817</v>
      </c>
      <c r="P3122" s="8" t="s">
        <v>19818</v>
      </c>
      <c r="Q3122" s="8" t="s">
        <v>150</v>
      </c>
      <c r="R3122" s="8"/>
      <c r="S3122" s="8" t="s">
        <v>19002</v>
      </c>
      <c r="T3122" s="8" t="s">
        <v>70</v>
      </c>
      <c r="U3122" s="8" t="s">
        <v>150</v>
      </c>
      <c r="V3122" s="8" t="s">
        <v>70</v>
      </c>
      <c r="W3122" s="8" t="s">
        <v>70</v>
      </c>
      <c r="X3122" s="8">
        <v>5</v>
      </c>
      <c r="Y3122" s="8" t="s">
        <v>12359</v>
      </c>
      <c r="Z3122" s="8">
        <v>20</v>
      </c>
      <c r="AA3122" s="8">
        <v>0</v>
      </c>
      <c r="AB3122" s="9">
        <v>0</v>
      </c>
    </row>
    <row r="3123" spans="1:28" x14ac:dyDescent="0.2">
      <c r="A3123" s="10">
        <v>23224</v>
      </c>
      <c r="B3123" s="11" t="s">
        <v>19819</v>
      </c>
      <c r="C3123" s="11" t="s">
        <v>12239</v>
      </c>
      <c r="D3123" s="11" t="s">
        <v>12240</v>
      </c>
      <c r="E3123" s="11" t="s">
        <v>19820</v>
      </c>
      <c r="F3123" s="11" t="s">
        <v>12242</v>
      </c>
      <c r="G3123" s="11" t="s">
        <v>615</v>
      </c>
      <c r="H3123" s="11" t="s">
        <v>616</v>
      </c>
      <c r="I3123" s="11" t="s">
        <v>12243</v>
      </c>
      <c r="J3123" s="11" t="s">
        <v>12244</v>
      </c>
      <c r="K3123" s="11" t="s">
        <v>619</v>
      </c>
      <c r="L3123" s="11" t="s">
        <v>163</v>
      </c>
      <c r="M3123" s="11" t="s">
        <v>19821</v>
      </c>
      <c r="N3123" s="11" t="s">
        <v>128</v>
      </c>
      <c r="O3123" s="11" t="s">
        <v>19822</v>
      </c>
      <c r="P3123" s="11" t="s">
        <v>19823</v>
      </c>
      <c r="Q3123" s="11" t="s">
        <v>150</v>
      </c>
      <c r="R3123" s="11"/>
      <c r="S3123" s="11" t="s">
        <v>12248</v>
      </c>
      <c r="T3123" s="11" t="s">
        <v>70</v>
      </c>
      <c r="U3123" s="11" t="s">
        <v>150</v>
      </c>
      <c r="V3123" s="11" t="s">
        <v>70</v>
      </c>
      <c r="W3123" s="11" t="s">
        <v>70</v>
      </c>
      <c r="X3123" s="11">
        <v>5</v>
      </c>
      <c r="Y3123" s="11" t="s">
        <v>12359</v>
      </c>
      <c r="Z3123" s="11">
        <v>20</v>
      </c>
      <c r="AA3123" s="11">
        <v>0</v>
      </c>
      <c r="AB3123" s="12">
        <v>0</v>
      </c>
    </row>
    <row r="3124" spans="1:28" x14ac:dyDescent="0.2">
      <c r="A3124" s="7">
        <v>208886</v>
      </c>
      <c r="B3124" s="8" t="s">
        <v>19824</v>
      </c>
      <c r="C3124" s="8" t="s">
        <v>11026</v>
      </c>
      <c r="D3124" s="8" t="s">
        <v>11027</v>
      </c>
      <c r="E3124" s="8" t="s">
        <v>19825</v>
      </c>
      <c r="F3124" s="8" t="s">
        <v>11029</v>
      </c>
      <c r="G3124" s="8" t="s">
        <v>11030</v>
      </c>
      <c r="H3124" s="8" t="s">
        <v>616</v>
      </c>
      <c r="I3124" s="8" t="s">
        <v>11031</v>
      </c>
      <c r="J3124" s="8" t="s">
        <v>11032</v>
      </c>
      <c r="K3124" s="8" t="s">
        <v>619</v>
      </c>
      <c r="L3124" s="8" t="s">
        <v>163</v>
      </c>
      <c r="M3124" s="8" t="s">
        <v>19826</v>
      </c>
      <c r="N3124" s="8" t="s">
        <v>128</v>
      </c>
      <c r="O3124" s="8" t="s">
        <v>19827</v>
      </c>
      <c r="P3124" s="8" t="s">
        <v>12903</v>
      </c>
      <c r="Q3124" s="8" t="s">
        <v>150</v>
      </c>
      <c r="R3124" s="8"/>
      <c r="S3124" s="8" t="s">
        <v>11036</v>
      </c>
      <c r="T3124" s="8" t="s">
        <v>70</v>
      </c>
      <c r="U3124" s="8" t="s">
        <v>150</v>
      </c>
      <c r="V3124" s="8" t="s">
        <v>70</v>
      </c>
      <c r="W3124" s="8" t="s">
        <v>70</v>
      </c>
      <c r="X3124" s="8">
        <v>5</v>
      </c>
      <c r="Y3124" s="8" t="s">
        <v>12359</v>
      </c>
      <c r="Z3124" s="8">
        <v>20</v>
      </c>
      <c r="AA3124" s="8">
        <v>0</v>
      </c>
      <c r="AB3124" s="9">
        <v>0</v>
      </c>
    </row>
    <row r="3125" spans="1:28" x14ac:dyDescent="0.2">
      <c r="A3125" s="10">
        <v>23009</v>
      </c>
      <c r="B3125" s="11" t="s">
        <v>19828</v>
      </c>
      <c r="C3125" s="11" t="s">
        <v>7871</v>
      </c>
      <c r="D3125" s="11" t="s">
        <v>18250</v>
      </c>
      <c r="E3125" s="11" t="s">
        <v>19829</v>
      </c>
      <c r="F3125" s="11" t="s">
        <v>8101</v>
      </c>
      <c r="G3125" s="11" t="s">
        <v>2423</v>
      </c>
      <c r="H3125" s="11" t="s">
        <v>557</v>
      </c>
      <c r="I3125" s="11" t="s">
        <v>18252</v>
      </c>
      <c r="J3125" s="11" t="s">
        <v>18253</v>
      </c>
      <c r="K3125" s="11" t="s">
        <v>1562</v>
      </c>
      <c r="L3125" s="11" t="s">
        <v>229</v>
      </c>
      <c r="M3125" s="11" t="s">
        <v>19830</v>
      </c>
      <c r="N3125" s="11" t="s">
        <v>128</v>
      </c>
      <c r="O3125" s="11" t="s">
        <v>19831</v>
      </c>
      <c r="P3125" s="11" t="s">
        <v>5567</v>
      </c>
      <c r="Q3125" s="11" t="s">
        <v>150</v>
      </c>
      <c r="R3125" s="11"/>
      <c r="S3125" s="11" t="s">
        <v>18257</v>
      </c>
      <c r="T3125" s="11" t="s">
        <v>70</v>
      </c>
      <c r="U3125" s="11" t="s">
        <v>150</v>
      </c>
      <c r="V3125" s="11" t="s">
        <v>70</v>
      </c>
      <c r="W3125" s="11" t="s">
        <v>70</v>
      </c>
      <c r="X3125" s="11">
        <v>5</v>
      </c>
      <c r="Y3125" s="11" t="s">
        <v>12359</v>
      </c>
      <c r="Z3125" s="11">
        <v>20</v>
      </c>
      <c r="AA3125" s="11">
        <v>0</v>
      </c>
      <c r="AB3125" s="12">
        <v>0</v>
      </c>
    </row>
    <row r="3126" spans="1:28" x14ac:dyDescent="0.2">
      <c r="A3126" s="7">
        <v>23016</v>
      </c>
      <c r="B3126" s="8" t="s">
        <v>19832</v>
      </c>
      <c r="C3126" s="8" t="s">
        <v>13187</v>
      </c>
      <c r="D3126" s="8" t="s">
        <v>13188</v>
      </c>
      <c r="E3126" s="8" t="s">
        <v>19833</v>
      </c>
      <c r="F3126" s="8" t="s">
        <v>13190</v>
      </c>
      <c r="G3126" s="8" t="s">
        <v>2117</v>
      </c>
      <c r="H3126" s="8" t="s">
        <v>142</v>
      </c>
      <c r="I3126" s="8" t="s">
        <v>13191</v>
      </c>
      <c r="J3126" s="8" t="s">
        <v>13192</v>
      </c>
      <c r="K3126" s="8" t="s">
        <v>1673</v>
      </c>
      <c r="L3126" s="8" t="s">
        <v>464</v>
      </c>
      <c r="M3126" s="8" t="s">
        <v>19834</v>
      </c>
      <c r="N3126" s="8" t="s">
        <v>128</v>
      </c>
      <c r="O3126" s="8" t="s">
        <v>19835</v>
      </c>
      <c r="P3126" s="8" t="s">
        <v>19836</v>
      </c>
      <c r="Q3126" s="8" t="s">
        <v>150</v>
      </c>
      <c r="R3126" s="8"/>
      <c r="S3126" s="8" t="s">
        <v>13195</v>
      </c>
      <c r="T3126" s="8" t="s">
        <v>70</v>
      </c>
      <c r="U3126" s="8" t="s">
        <v>150</v>
      </c>
      <c r="V3126" s="8" t="s">
        <v>70</v>
      </c>
      <c r="W3126" s="8" t="s">
        <v>70</v>
      </c>
      <c r="X3126" s="8">
        <v>5</v>
      </c>
      <c r="Y3126" s="8" t="s">
        <v>12359</v>
      </c>
      <c r="Z3126" s="8">
        <v>20</v>
      </c>
      <c r="AA3126" s="8">
        <v>0</v>
      </c>
      <c r="AB3126" s="9">
        <v>0</v>
      </c>
    </row>
    <row r="3127" spans="1:28" x14ac:dyDescent="0.2">
      <c r="A3127" s="10">
        <v>22917</v>
      </c>
      <c r="B3127" s="11" t="s">
        <v>19837</v>
      </c>
      <c r="C3127" s="11" t="s">
        <v>4777</v>
      </c>
      <c r="D3127" s="11" t="s">
        <v>19838</v>
      </c>
      <c r="E3127" s="11"/>
      <c r="F3127" s="11" t="s">
        <v>353</v>
      </c>
      <c r="G3127" s="11" t="s">
        <v>7402</v>
      </c>
      <c r="H3127" s="11" t="s">
        <v>847</v>
      </c>
      <c r="I3127" s="11" t="s">
        <v>7403</v>
      </c>
      <c r="J3127" s="11" t="s">
        <v>19839</v>
      </c>
      <c r="K3127" s="11" t="s">
        <v>1091</v>
      </c>
      <c r="L3127" s="11" t="s">
        <v>126</v>
      </c>
      <c r="M3127" s="11" t="s">
        <v>19840</v>
      </c>
      <c r="N3127" s="11" t="s">
        <v>128</v>
      </c>
      <c r="O3127" s="11" t="s">
        <v>19841</v>
      </c>
      <c r="P3127" s="11" t="s">
        <v>3887</v>
      </c>
      <c r="Q3127" s="11" t="s">
        <v>150</v>
      </c>
      <c r="R3127" s="11"/>
      <c r="S3127" s="11" t="s">
        <v>71</v>
      </c>
      <c r="T3127" s="11" t="s">
        <v>70</v>
      </c>
      <c r="U3127" s="11" t="s">
        <v>150</v>
      </c>
      <c r="V3127" s="11" t="s">
        <v>70</v>
      </c>
      <c r="W3127" s="11" t="s">
        <v>70</v>
      </c>
      <c r="X3127" s="11">
        <v>5</v>
      </c>
      <c r="Y3127" s="11" t="s">
        <v>12359</v>
      </c>
      <c r="Z3127" s="11">
        <v>20</v>
      </c>
      <c r="AA3127" s="11">
        <v>0</v>
      </c>
      <c r="AB3127" s="12">
        <v>0</v>
      </c>
    </row>
    <row r="3128" spans="1:28" x14ac:dyDescent="0.2">
      <c r="A3128" s="7">
        <v>85243</v>
      </c>
      <c r="B3128" s="8" t="s">
        <v>19842</v>
      </c>
      <c r="C3128" s="8" t="s">
        <v>9653</v>
      </c>
      <c r="D3128" s="8" t="s">
        <v>10495</v>
      </c>
      <c r="E3128" s="8"/>
      <c r="F3128" s="8" t="s">
        <v>6430</v>
      </c>
      <c r="G3128" s="8" t="s">
        <v>19004</v>
      </c>
      <c r="H3128" s="8" t="s">
        <v>142</v>
      </c>
      <c r="I3128" s="8" t="s">
        <v>19843</v>
      </c>
      <c r="J3128" s="8" t="s">
        <v>19844</v>
      </c>
      <c r="K3128" s="8" t="s">
        <v>779</v>
      </c>
      <c r="L3128" s="8" t="s">
        <v>464</v>
      </c>
      <c r="M3128" s="8" t="s">
        <v>19845</v>
      </c>
      <c r="N3128" s="8" t="s">
        <v>128</v>
      </c>
      <c r="O3128" s="8" t="s">
        <v>19846</v>
      </c>
      <c r="P3128" s="8" t="s">
        <v>19847</v>
      </c>
      <c r="Q3128" s="8" t="s">
        <v>150</v>
      </c>
      <c r="R3128" s="8"/>
      <c r="S3128" s="8" t="s">
        <v>71</v>
      </c>
      <c r="T3128" s="8" t="s">
        <v>70</v>
      </c>
      <c r="U3128" s="8" t="s">
        <v>150</v>
      </c>
      <c r="V3128" s="8" t="s">
        <v>70</v>
      </c>
      <c r="W3128" s="8" t="s">
        <v>70</v>
      </c>
      <c r="X3128" s="8">
        <v>5</v>
      </c>
      <c r="Y3128" s="8" t="s">
        <v>12359</v>
      </c>
      <c r="Z3128" s="8">
        <v>20</v>
      </c>
      <c r="AA3128" s="8">
        <v>0</v>
      </c>
      <c r="AB3128" s="9">
        <v>0</v>
      </c>
    </row>
    <row r="3129" spans="1:28" x14ac:dyDescent="0.2">
      <c r="A3129" s="10">
        <v>23171</v>
      </c>
      <c r="B3129" s="11" t="s">
        <v>19848</v>
      </c>
      <c r="C3129" s="11" t="s">
        <v>16425</v>
      </c>
      <c r="D3129" s="11" t="s">
        <v>19849</v>
      </c>
      <c r="E3129" s="11"/>
      <c r="F3129" s="11" t="s">
        <v>19850</v>
      </c>
      <c r="G3129" s="11" t="s">
        <v>703</v>
      </c>
      <c r="H3129" s="11" t="s">
        <v>704</v>
      </c>
      <c r="I3129" s="11" t="s">
        <v>19851</v>
      </c>
      <c r="J3129" s="11" t="s">
        <v>19852</v>
      </c>
      <c r="K3129" s="11" t="s">
        <v>707</v>
      </c>
      <c r="L3129" s="11" t="s">
        <v>126</v>
      </c>
      <c r="M3129" s="11" t="s">
        <v>19853</v>
      </c>
      <c r="N3129" s="11" t="s">
        <v>128</v>
      </c>
      <c r="O3129" s="11" t="s">
        <v>19854</v>
      </c>
      <c r="P3129" s="11" t="s">
        <v>19855</v>
      </c>
      <c r="Q3129" s="11" t="s">
        <v>150</v>
      </c>
      <c r="R3129" s="11"/>
      <c r="S3129" s="11" t="s">
        <v>71</v>
      </c>
      <c r="T3129" s="11" t="s">
        <v>70</v>
      </c>
      <c r="U3129" s="11" t="s">
        <v>150</v>
      </c>
      <c r="V3129" s="11" t="s">
        <v>70</v>
      </c>
      <c r="W3129" s="11" t="s">
        <v>70</v>
      </c>
      <c r="X3129" s="11">
        <v>5</v>
      </c>
      <c r="Y3129" s="11" t="s">
        <v>12359</v>
      </c>
      <c r="Z3129" s="11">
        <v>20</v>
      </c>
      <c r="AA3129" s="11">
        <v>0</v>
      </c>
      <c r="AB3129" s="12">
        <v>0</v>
      </c>
    </row>
    <row r="3130" spans="1:28" x14ac:dyDescent="0.2">
      <c r="A3130" s="7">
        <v>106381</v>
      </c>
      <c r="B3130" s="8" t="s">
        <v>19856</v>
      </c>
      <c r="C3130" s="8" t="s">
        <v>18984</v>
      </c>
      <c r="D3130" s="8" t="s">
        <v>8690</v>
      </c>
      <c r="E3130" s="8"/>
      <c r="F3130" s="8" t="s">
        <v>18012</v>
      </c>
      <c r="G3130" s="8" t="s">
        <v>18987</v>
      </c>
      <c r="H3130" s="8" t="s">
        <v>159</v>
      </c>
      <c r="I3130" s="8" t="s">
        <v>18988</v>
      </c>
      <c r="J3130" s="8" t="s">
        <v>19857</v>
      </c>
      <c r="K3130" s="8" t="s">
        <v>162</v>
      </c>
      <c r="L3130" s="8" t="s">
        <v>163</v>
      </c>
      <c r="M3130" s="8" t="s">
        <v>19858</v>
      </c>
      <c r="N3130" s="8" t="s">
        <v>128</v>
      </c>
      <c r="O3130" s="8" t="s">
        <v>19859</v>
      </c>
      <c r="P3130" s="8" t="s">
        <v>19860</v>
      </c>
      <c r="Q3130" s="8" t="s">
        <v>150</v>
      </c>
      <c r="R3130" s="8"/>
      <c r="S3130" s="8" t="s">
        <v>71</v>
      </c>
      <c r="T3130" s="8" t="s">
        <v>70</v>
      </c>
      <c r="U3130" s="8" t="s">
        <v>150</v>
      </c>
      <c r="V3130" s="8" t="s">
        <v>70</v>
      </c>
      <c r="W3130" s="8" t="s">
        <v>70</v>
      </c>
      <c r="X3130" s="8">
        <v>5</v>
      </c>
      <c r="Y3130" s="8" t="s">
        <v>12359</v>
      </c>
      <c r="Z3130" s="8">
        <v>20</v>
      </c>
      <c r="AA3130" s="8">
        <v>0</v>
      </c>
      <c r="AB3130" s="9">
        <v>0</v>
      </c>
    </row>
    <row r="3131" spans="1:28" x14ac:dyDescent="0.2">
      <c r="A3131" s="10">
        <v>106387</v>
      </c>
      <c r="B3131" s="11" t="s">
        <v>19861</v>
      </c>
      <c r="C3131" s="11" t="s">
        <v>842</v>
      </c>
      <c r="D3131" s="11" t="s">
        <v>19862</v>
      </c>
      <c r="E3131" s="11"/>
      <c r="F3131" s="11" t="s">
        <v>18688</v>
      </c>
      <c r="G3131" s="11" t="s">
        <v>9222</v>
      </c>
      <c r="H3131" s="11" t="s">
        <v>159</v>
      </c>
      <c r="I3131" s="11" t="s">
        <v>19863</v>
      </c>
      <c r="J3131" s="11" t="s">
        <v>19864</v>
      </c>
      <c r="K3131" s="11" t="s">
        <v>274</v>
      </c>
      <c r="L3131" s="11" t="s">
        <v>163</v>
      </c>
      <c r="M3131" s="11" t="s">
        <v>19865</v>
      </c>
      <c r="N3131" s="11" t="s">
        <v>128</v>
      </c>
      <c r="O3131" s="11" t="s">
        <v>19866</v>
      </c>
      <c r="P3131" s="11" t="s">
        <v>2758</v>
      </c>
      <c r="Q3131" s="11" t="s">
        <v>150</v>
      </c>
      <c r="R3131" s="11"/>
      <c r="S3131" s="11" t="s">
        <v>71</v>
      </c>
      <c r="T3131" s="11" t="s">
        <v>70</v>
      </c>
      <c r="U3131" s="11" t="s">
        <v>150</v>
      </c>
      <c r="V3131" s="11" t="s">
        <v>70</v>
      </c>
      <c r="W3131" s="11" t="s">
        <v>70</v>
      </c>
      <c r="X3131" s="11">
        <v>5</v>
      </c>
      <c r="Y3131" s="11" t="s">
        <v>12359</v>
      </c>
      <c r="Z3131" s="11">
        <v>20</v>
      </c>
      <c r="AA3131" s="11">
        <v>0</v>
      </c>
      <c r="AB3131" s="12">
        <v>0</v>
      </c>
    </row>
    <row r="3132" spans="1:28" x14ac:dyDescent="0.2">
      <c r="A3132" s="7">
        <v>23162</v>
      </c>
      <c r="B3132" s="8" t="s">
        <v>19867</v>
      </c>
      <c r="C3132" s="8" t="s">
        <v>17214</v>
      </c>
      <c r="D3132" s="8" t="s">
        <v>2871</v>
      </c>
      <c r="E3132" s="8"/>
      <c r="F3132" s="8" t="s">
        <v>746</v>
      </c>
      <c r="G3132" s="8" t="s">
        <v>328</v>
      </c>
      <c r="H3132" s="8" t="s">
        <v>329</v>
      </c>
      <c r="I3132" s="8" t="s">
        <v>17215</v>
      </c>
      <c r="J3132" s="8" t="s">
        <v>17216</v>
      </c>
      <c r="K3132" s="8" t="s">
        <v>415</v>
      </c>
      <c r="L3132" s="8" t="s">
        <v>333</v>
      </c>
      <c r="M3132" s="8" t="s">
        <v>19868</v>
      </c>
      <c r="N3132" s="8" t="s">
        <v>128</v>
      </c>
      <c r="O3132" s="8" t="s">
        <v>19869</v>
      </c>
      <c r="P3132" s="8" t="s">
        <v>19870</v>
      </c>
      <c r="Q3132" s="8" t="s">
        <v>150</v>
      </c>
      <c r="R3132" s="8"/>
      <c r="S3132" s="8" t="s">
        <v>17219</v>
      </c>
      <c r="T3132" s="8" t="s">
        <v>70</v>
      </c>
      <c r="U3132" s="8" t="s">
        <v>150</v>
      </c>
      <c r="V3132" s="8" t="s">
        <v>70</v>
      </c>
      <c r="W3132" s="8" t="s">
        <v>70</v>
      </c>
      <c r="X3132" s="8">
        <v>5</v>
      </c>
      <c r="Y3132" s="8" t="s">
        <v>12359</v>
      </c>
      <c r="Z3132" s="8">
        <v>20</v>
      </c>
      <c r="AA3132" s="8">
        <v>0</v>
      </c>
      <c r="AB3132" s="9">
        <v>0</v>
      </c>
    </row>
    <row r="3133" spans="1:28" x14ac:dyDescent="0.2">
      <c r="A3133" s="10">
        <v>28459</v>
      </c>
      <c r="B3133" s="11" t="s">
        <v>19871</v>
      </c>
      <c r="C3133" s="11" t="s">
        <v>324</v>
      </c>
      <c r="D3133" s="11" t="s">
        <v>19723</v>
      </c>
      <c r="E3133" s="11"/>
      <c r="F3133" s="11" t="s">
        <v>327</v>
      </c>
      <c r="G3133" s="11" t="s">
        <v>328</v>
      </c>
      <c r="H3133" s="11" t="s">
        <v>329</v>
      </c>
      <c r="I3133" s="11" t="s">
        <v>19724</v>
      </c>
      <c r="J3133" s="11" t="s">
        <v>19872</v>
      </c>
      <c r="K3133" s="11" t="s">
        <v>332</v>
      </c>
      <c r="L3133" s="11" t="s">
        <v>333</v>
      </c>
      <c r="M3133" s="11" t="s">
        <v>19873</v>
      </c>
      <c r="N3133" s="11" t="s">
        <v>128</v>
      </c>
      <c r="O3133" s="11" t="s">
        <v>19874</v>
      </c>
      <c r="P3133" s="11" t="s">
        <v>19875</v>
      </c>
      <c r="Q3133" s="11" t="s">
        <v>150</v>
      </c>
      <c r="R3133" s="11"/>
      <c r="S3133" s="11" t="s">
        <v>19729</v>
      </c>
      <c r="T3133" s="11" t="s">
        <v>70</v>
      </c>
      <c r="U3133" s="11" t="s">
        <v>150</v>
      </c>
      <c r="V3133" s="11" t="s">
        <v>70</v>
      </c>
      <c r="W3133" s="11" t="s">
        <v>70</v>
      </c>
      <c r="X3133" s="11">
        <v>5</v>
      </c>
      <c r="Y3133" s="11" t="s">
        <v>12359</v>
      </c>
      <c r="Z3133" s="11">
        <v>20</v>
      </c>
      <c r="AA3133" s="11">
        <v>0</v>
      </c>
      <c r="AB3133" s="12">
        <v>0</v>
      </c>
    </row>
    <row r="3134" spans="1:28" x14ac:dyDescent="0.2">
      <c r="A3134" s="7">
        <v>37965</v>
      </c>
      <c r="B3134" s="8" t="s">
        <v>19876</v>
      </c>
      <c r="C3134" s="8" t="s">
        <v>18357</v>
      </c>
      <c r="D3134" s="8" t="s">
        <v>18358</v>
      </c>
      <c r="E3134" s="8"/>
      <c r="F3134" s="8" t="s">
        <v>18359</v>
      </c>
      <c r="G3134" s="8" t="s">
        <v>412</v>
      </c>
      <c r="H3134" s="8" t="s">
        <v>329</v>
      </c>
      <c r="I3134" s="8" t="s">
        <v>18360</v>
      </c>
      <c r="J3134" s="8" t="s">
        <v>19877</v>
      </c>
      <c r="K3134" s="8" t="s">
        <v>415</v>
      </c>
      <c r="L3134" s="8" t="s">
        <v>333</v>
      </c>
      <c r="M3134" s="8" t="s">
        <v>19878</v>
      </c>
      <c r="N3134" s="8" t="s">
        <v>128</v>
      </c>
      <c r="O3134" s="8" t="s">
        <v>19879</v>
      </c>
      <c r="P3134" s="8" t="s">
        <v>19880</v>
      </c>
      <c r="Q3134" s="8" t="s">
        <v>150</v>
      </c>
      <c r="R3134" s="8"/>
      <c r="S3134" s="8" t="s">
        <v>18364</v>
      </c>
      <c r="T3134" s="8" t="s">
        <v>70</v>
      </c>
      <c r="U3134" s="8" t="s">
        <v>150</v>
      </c>
      <c r="V3134" s="8" t="s">
        <v>70</v>
      </c>
      <c r="W3134" s="8" t="s">
        <v>70</v>
      </c>
      <c r="X3134" s="8">
        <v>5</v>
      </c>
      <c r="Y3134" s="8" t="s">
        <v>12359</v>
      </c>
      <c r="Z3134" s="8">
        <v>20</v>
      </c>
      <c r="AA3134" s="8">
        <v>0</v>
      </c>
      <c r="AB3134" s="9">
        <v>0</v>
      </c>
    </row>
    <row r="3135" spans="1:28" x14ac:dyDescent="0.2">
      <c r="A3135" s="10">
        <v>23450</v>
      </c>
      <c r="B3135" s="11" t="s">
        <v>19881</v>
      </c>
      <c r="C3135" s="11" t="s">
        <v>19882</v>
      </c>
      <c r="D3135" s="11" t="s">
        <v>11976</v>
      </c>
      <c r="E3135" s="11"/>
      <c r="F3135" s="11" t="s">
        <v>353</v>
      </c>
      <c r="G3135" s="11" t="s">
        <v>19883</v>
      </c>
      <c r="H3135" s="11" t="s">
        <v>142</v>
      </c>
      <c r="I3135" s="11" t="s">
        <v>19884</v>
      </c>
      <c r="J3135" s="11" t="s">
        <v>19885</v>
      </c>
      <c r="K3135" s="11" t="s">
        <v>779</v>
      </c>
      <c r="L3135" s="11" t="s">
        <v>464</v>
      </c>
      <c r="M3135" s="11" t="s">
        <v>19886</v>
      </c>
      <c r="N3135" s="11" t="s">
        <v>128</v>
      </c>
      <c r="O3135" s="11" t="s">
        <v>19887</v>
      </c>
      <c r="P3135" s="11" t="s">
        <v>19888</v>
      </c>
      <c r="Q3135" s="11" t="s">
        <v>150</v>
      </c>
      <c r="R3135" s="11"/>
      <c r="S3135" s="11" t="s">
        <v>71</v>
      </c>
      <c r="T3135" s="11" t="s">
        <v>1415</v>
      </c>
      <c r="U3135" s="11" t="s">
        <v>150</v>
      </c>
      <c r="V3135" s="11" t="s">
        <v>1415</v>
      </c>
      <c r="W3135" s="11" t="s">
        <v>1415</v>
      </c>
      <c r="X3135" s="11">
        <v>5</v>
      </c>
      <c r="Y3135" s="11" t="s">
        <v>12359</v>
      </c>
      <c r="Z3135" s="11">
        <v>20</v>
      </c>
      <c r="AA3135" s="11">
        <v>0</v>
      </c>
      <c r="AB3135" s="12">
        <v>0</v>
      </c>
    </row>
    <row r="3136" spans="1:28" x14ac:dyDescent="0.2">
      <c r="A3136" s="7">
        <v>28709</v>
      </c>
      <c r="B3136" s="8" t="s">
        <v>19889</v>
      </c>
      <c r="C3136" s="8" t="s">
        <v>19890</v>
      </c>
      <c r="D3136" s="8" t="s">
        <v>11976</v>
      </c>
      <c r="E3136" s="8"/>
      <c r="F3136" s="8" t="s">
        <v>353</v>
      </c>
      <c r="G3136" s="8" t="s">
        <v>19004</v>
      </c>
      <c r="H3136" s="8" t="s">
        <v>142</v>
      </c>
      <c r="I3136" s="8" t="s">
        <v>19891</v>
      </c>
      <c r="J3136" s="8" t="s">
        <v>19892</v>
      </c>
      <c r="K3136" s="8" t="s">
        <v>779</v>
      </c>
      <c r="L3136" s="8" t="s">
        <v>464</v>
      </c>
      <c r="M3136" s="8" t="s">
        <v>19893</v>
      </c>
      <c r="N3136" s="8" t="s">
        <v>128</v>
      </c>
      <c r="O3136" s="8" t="s">
        <v>19894</v>
      </c>
      <c r="P3136" s="8" t="s">
        <v>19895</v>
      </c>
      <c r="Q3136" s="8" t="s">
        <v>150</v>
      </c>
      <c r="R3136" s="8"/>
      <c r="S3136" s="8" t="s">
        <v>71</v>
      </c>
      <c r="T3136" s="8" t="s">
        <v>1415</v>
      </c>
      <c r="U3136" s="8" t="s">
        <v>150</v>
      </c>
      <c r="V3136" s="8" t="s">
        <v>1415</v>
      </c>
      <c r="W3136" s="8" t="s">
        <v>1415</v>
      </c>
      <c r="X3136" s="8">
        <v>5</v>
      </c>
      <c r="Y3136" s="8" t="s">
        <v>12359</v>
      </c>
      <c r="Z3136" s="8">
        <v>20</v>
      </c>
      <c r="AA3136" s="8">
        <v>0</v>
      </c>
      <c r="AB3136" s="9">
        <v>0</v>
      </c>
    </row>
    <row r="3137" spans="1:28" x14ac:dyDescent="0.2">
      <c r="A3137" s="10">
        <v>28712</v>
      </c>
      <c r="B3137" s="11" t="s">
        <v>19896</v>
      </c>
      <c r="C3137" s="11" t="s">
        <v>19897</v>
      </c>
      <c r="D3137" s="11" t="s">
        <v>1569</v>
      </c>
      <c r="E3137" s="11"/>
      <c r="F3137" s="11"/>
      <c r="G3137" s="11" t="s">
        <v>19623</v>
      </c>
      <c r="H3137" s="11" t="s">
        <v>142</v>
      </c>
      <c r="I3137" s="11" t="s">
        <v>19898</v>
      </c>
      <c r="J3137" s="11" t="s">
        <v>19899</v>
      </c>
      <c r="K3137" s="11" t="s">
        <v>1673</v>
      </c>
      <c r="L3137" s="11" t="s">
        <v>464</v>
      </c>
      <c r="M3137" s="11" t="s">
        <v>19900</v>
      </c>
      <c r="N3137" s="11" t="s">
        <v>128</v>
      </c>
      <c r="O3137" s="11" t="s">
        <v>19901</v>
      </c>
      <c r="P3137" s="11" t="s">
        <v>19902</v>
      </c>
      <c r="Q3137" s="11" t="s">
        <v>150</v>
      </c>
      <c r="R3137" s="11"/>
      <c r="S3137" s="11" t="s">
        <v>71</v>
      </c>
      <c r="T3137" s="11" t="s">
        <v>1415</v>
      </c>
      <c r="U3137" s="11" t="s">
        <v>150</v>
      </c>
      <c r="V3137" s="11" t="s">
        <v>1415</v>
      </c>
      <c r="W3137" s="11" t="s">
        <v>1415</v>
      </c>
      <c r="X3137" s="11">
        <v>5</v>
      </c>
      <c r="Y3137" s="11" t="s">
        <v>12359</v>
      </c>
      <c r="Z3137" s="11">
        <v>20</v>
      </c>
      <c r="AA3137" s="11">
        <v>0</v>
      </c>
      <c r="AB3137" s="12">
        <v>0</v>
      </c>
    </row>
    <row r="3138" spans="1:28" x14ac:dyDescent="0.2">
      <c r="A3138" s="7">
        <v>28735</v>
      </c>
      <c r="B3138" s="8" t="s">
        <v>19903</v>
      </c>
      <c r="C3138" s="8" t="s">
        <v>5879</v>
      </c>
      <c r="D3138" s="8" t="s">
        <v>10816</v>
      </c>
      <c r="E3138" s="8"/>
      <c r="F3138" s="8" t="s">
        <v>353</v>
      </c>
      <c r="G3138" s="8" t="s">
        <v>10414</v>
      </c>
      <c r="H3138" s="8" t="s">
        <v>191</v>
      </c>
      <c r="I3138" s="8" t="s">
        <v>10415</v>
      </c>
      <c r="J3138" s="8" t="s">
        <v>19904</v>
      </c>
      <c r="K3138" s="8" t="s">
        <v>194</v>
      </c>
      <c r="L3138" s="8" t="s">
        <v>163</v>
      </c>
      <c r="M3138" s="8" t="s">
        <v>19905</v>
      </c>
      <c r="N3138" s="8" t="s">
        <v>128</v>
      </c>
      <c r="O3138" s="8" t="s">
        <v>19906</v>
      </c>
      <c r="P3138" s="8" t="s">
        <v>19907</v>
      </c>
      <c r="Q3138" s="8" t="s">
        <v>150</v>
      </c>
      <c r="R3138" s="8"/>
      <c r="S3138" s="8" t="s">
        <v>71</v>
      </c>
      <c r="T3138" s="8" t="s">
        <v>5007</v>
      </c>
      <c r="U3138" s="8" t="s">
        <v>150</v>
      </c>
      <c r="V3138" s="8" t="s">
        <v>5007</v>
      </c>
      <c r="W3138" s="8" t="s">
        <v>5007</v>
      </c>
      <c r="X3138" s="8">
        <v>5</v>
      </c>
      <c r="Y3138" s="8" t="s">
        <v>12359</v>
      </c>
      <c r="Z3138" s="8">
        <v>20</v>
      </c>
      <c r="AA3138" s="8">
        <v>0</v>
      </c>
      <c r="AB3138" s="9">
        <v>0</v>
      </c>
    </row>
    <row r="3139" spans="1:28" x14ac:dyDescent="0.2">
      <c r="A3139" s="10">
        <v>23919</v>
      </c>
      <c r="B3139" s="11" t="s">
        <v>19908</v>
      </c>
      <c r="C3139" s="11" t="s">
        <v>19909</v>
      </c>
      <c r="D3139" s="11" t="s">
        <v>5821</v>
      </c>
      <c r="E3139" s="11" t="s">
        <v>281</v>
      </c>
      <c r="F3139" s="11" t="s">
        <v>353</v>
      </c>
      <c r="G3139" s="11" t="s">
        <v>5872</v>
      </c>
      <c r="H3139" s="11" t="s">
        <v>142</v>
      </c>
      <c r="I3139" s="11" t="s">
        <v>6418</v>
      </c>
      <c r="J3139" s="11" t="s">
        <v>19910</v>
      </c>
      <c r="K3139" s="11" t="s">
        <v>403</v>
      </c>
      <c r="L3139" s="11" t="s">
        <v>146</v>
      </c>
      <c r="M3139" s="11" t="s">
        <v>19911</v>
      </c>
      <c r="N3139" s="11" t="s">
        <v>128</v>
      </c>
      <c r="O3139" s="11" t="s">
        <v>19912</v>
      </c>
      <c r="P3139" s="11" t="s">
        <v>5466</v>
      </c>
      <c r="Q3139" s="11" t="s">
        <v>150</v>
      </c>
      <c r="R3139" s="11"/>
      <c r="S3139" s="11" t="s">
        <v>71</v>
      </c>
      <c r="T3139" s="11" t="s">
        <v>168</v>
      </c>
      <c r="U3139" s="11" t="s">
        <v>150</v>
      </c>
      <c r="V3139" s="11" t="s">
        <v>168</v>
      </c>
      <c r="W3139" s="11" t="s">
        <v>168</v>
      </c>
      <c r="X3139" s="11">
        <v>5</v>
      </c>
      <c r="Y3139" s="11" t="s">
        <v>12359</v>
      </c>
      <c r="Z3139" s="11">
        <v>20</v>
      </c>
      <c r="AA3139" s="11">
        <v>0</v>
      </c>
      <c r="AB3139" s="12">
        <v>0</v>
      </c>
    </row>
    <row r="3140" spans="1:28" x14ac:dyDescent="0.2">
      <c r="A3140" s="7">
        <v>23945</v>
      </c>
      <c r="B3140" s="8" t="s">
        <v>19913</v>
      </c>
      <c r="C3140" s="8" t="s">
        <v>19650</v>
      </c>
      <c r="D3140" s="8" t="s">
        <v>19914</v>
      </c>
      <c r="E3140" s="8" t="s">
        <v>19915</v>
      </c>
      <c r="F3140" s="8" t="s">
        <v>19651</v>
      </c>
      <c r="G3140" s="8" t="s">
        <v>19652</v>
      </c>
      <c r="H3140" s="8" t="s">
        <v>847</v>
      </c>
      <c r="I3140" s="8" t="s">
        <v>19653</v>
      </c>
      <c r="J3140" s="8" t="s">
        <v>19916</v>
      </c>
      <c r="K3140" s="8" t="s">
        <v>850</v>
      </c>
      <c r="L3140" s="8" t="s">
        <v>126</v>
      </c>
      <c r="M3140" s="8" t="s">
        <v>19917</v>
      </c>
      <c r="N3140" s="8" t="s">
        <v>128</v>
      </c>
      <c r="O3140" s="8" t="s">
        <v>19918</v>
      </c>
      <c r="P3140" s="8" t="s">
        <v>19919</v>
      </c>
      <c r="Q3140" s="8" t="s">
        <v>150</v>
      </c>
      <c r="R3140" s="8"/>
      <c r="S3140" s="8" t="s">
        <v>71</v>
      </c>
      <c r="T3140" s="8" t="s">
        <v>168</v>
      </c>
      <c r="U3140" s="8" t="s">
        <v>150</v>
      </c>
      <c r="V3140" s="8" t="s">
        <v>168</v>
      </c>
      <c r="W3140" s="8" t="s">
        <v>168</v>
      </c>
      <c r="X3140" s="8">
        <v>5</v>
      </c>
      <c r="Y3140" s="8" t="s">
        <v>12359</v>
      </c>
      <c r="Z3140" s="8">
        <v>20</v>
      </c>
      <c r="AA3140" s="8">
        <v>0</v>
      </c>
      <c r="AB3140" s="9">
        <v>0</v>
      </c>
    </row>
    <row r="3141" spans="1:28" x14ac:dyDescent="0.2">
      <c r="A3141" s="10">
        <v>23603</v>
      </c>
      <c r="B3141" s="11" t="s">
        <v>19920</v>
      </c>
      <c r="C3141" s="11" t="s">
        <v>19659</v>
      </c>
      <c r="D3141" s="11" t="s">
        <v>19660</v>
      </c>
      <c r="E3141" s="11" t="s">
        <v>18016</v>
      </c>
      <c r="F3141" s="11" t="s">
        <v>353</v>
      </c>
      <c r="G3141" s="11" t="s">
        <v>2510</v>
      </c>
      <c r="H3141" s="11" t="s">
        <v>2511</v>
      </c>
      <c r="I3141" s="11" t="s">
        <v>19921</v>
      </c>
      <c r="J3141" s="11" t="s">
        <v>19922</v>
      </c>
      <c r="K3141" s="11" t="s">
        <v>1562</v>
      </c>
      <c r="L3141" s="11" t="s">
        <v>229</v>
      </c>
      <c r="M3141" s="11" t="s">
        <v>19923</v>
      </c>
      <c r="N3141" s="11" t="s">
        <v>128</v>
      </c>
      <c r="O3141" s="11" t="s">
        <v>19924</v>
      </c>
      <c r="P3141" s="11" t="s">
        <v>669</v>
      </c>
      <c r="Q3141" s="11" t="s">
        <v>150</v>
      </c>
      <c r="R3141" s="11"/>
      <c r="S3141" s="11" t="s">
        <v>19667</v>
      </c>
      <c r="T3141" s="11" t="s">
        <v>168</v>
      </c>
      <c r="U3141" s="11" t="s">
        <v>150</v>
      </c>
      <c r="V3141" s="11" t="s">
        <v>168</v>
      </c>
      <c r="W3141" s="11" t="s">
        <v>168</v>
      </c>
      <c r="X3141" s="11">
        <v>5</v>
      </c>
      <c r="Y3141" s="11" t="s">
        <v>12359</v>
      </c>
      <c r="Z3141" s="11">
        <v>20</v>
      </c>
      <c r="AA3141" s="11">
        <v>0</v>
      </c>
      <c r="AB3141" s="12">
        <v>0</v>
      </c>
    </row>
    <row r="3142" spans="1:28" x14ac:dyDescent="0.2">
      <c r="A3142" s="7">
        <v>23824</v>
      </c>
      <c r="B3142" s="8" t="s">
        <v>19925</v>
      </c>
      <c r="C3142" s="8" t="s">
        <v>18085</v>
      </c>
      <c r="D3142" s="8" t="s">
        <v>18086</v>
      </c>
      <c r="E3142" s="8" t="s">
        <v>19926</v>
      </c>
      <c r="F3142" s="8" t="s">
        <v>18088</v>
      </c>
      <c r="G3142" s="8" t="s">
        <v>4513</v>
      </c>
      <c r="H3142" s="8" t="s">
        <v>847</v>
      </c>
      <c r="I3142" s="8" t="s">
        <v>18089</v>
      </c>
      <c r="J3142" s="8" t="s">
        <v>18090</v>
      </c>
      <c r="K3142" s="8" t="s">
        <v>1091</v>
      </c>
      <c r="L3142" s="8" t="s">
        <v>126</v>
      </c>
      <c r="M3142" s="8" t="s">
        <v>19927</v>
      </c>
      <c r="N3142" s="8" t="s">
        <v>128</v>
      </c>
      <c r="O3142" s="8" t="s">
        <v>19928</v>
      </c>
      <c r="P3142" s="8" t="s">
        <v>15682</v>
      </c>
      <c r="Q3142" s="8" t="s">
        <v>150</v>
      </c>
      <c r="R3142" s="8"/>
      <c r="S3142" s="8" t="s">
        <v>18094</v>
      </c>
      <c r="T3142" s="8" t="s">
        <v>168</v>
      </c>
      <c r="U3142" s="8" t="s">
        <v>150</v>
      </c>
      <c r="V3142" s="8" t="s">
        <v>168</v>
      </c>
      <c r="W3142" s="8" t="s">
        <v>168</v>
      </c>
      <c r="X3142" s="8">
        <v>5</v>
      </c>
      <c r="Y3142" s="8" t="s">
        <v>12359</v>
      </c>
      <c r="Z3142" s="8">
        <v>20</v>
      </c>
      <c r="AA3142" s="8">
        <v>0</v>
      </c>
      <c r="AB3142" s="9">
        <v>0</v>
      </c>
    </row>
    <row r="3143" spans="1:28" x14ac:dyDescent="0.2">
      <c r="A3143" s="10">
        <v>23560</v>
      </c>
      <c r="B3143" s="11" t="s">
        <v>19929</v>
      </c>
      <c r="C3143" s="11" t="s">
        <v>3317</v>
      </c>
      <c r="D3143" s="11" t="s">
        <v>171</v>
      </c>
      <c r="E3143" s="11"/>
      <c r="F3143" s="11" t="s">
        <v>353</v>
      </c>
      <c r="G3143" s="11" t="s">
        <v>1196</v>
      </c>
      <c r="H3143" s="11" t="s">
        <v>142</v>
      </c>
      <c r="I3143" s="11" t="s">
        <v>6711</v>
      </c>
      <c r="J3143" s="11" t="s">
        <v>6712</v>
      </c>
      <c r="K3143" s="11" t="s">
        <v>1199</v>
      </c>
      <c r="L3143" s="11" t="s">
        <v>464</v>
      </c>
      <c r="M3143" s="11" t="s">
        <v>19930</v>
      </c>
      <c r="N3143" s="11" t="s">
        <v>128</v>
      </c>
      <c r="O3143" s="11" t="s">
        <v>19931</v>
      </c>
      <c r="P3143" s="11" t="s">
        <v>4534</v>
      </c>
      <c r="Q3143" s="11" t="s">
        <v>150</v>
      </c>
      <c r="R3143" s="11"/>
      <c r="S3143" s="11" t="s">
        <v>71</v>
      </c>
      <c r="T3143" s="11" t="s">
        <v>168</v>
      </c>
      <c r="U3143" s="11" t="s">
        <v>150</v>
      </c>
      <c r="V3143" s="11" t="s">
        <v>168</v>
      </c>
      <c r="W3143" s="11" t="s">
        <v>168</v>
      </c>
      <c r="X3143" s="11">
        <v>5</v>
      </c>
      <c r="Y3143" s="11" t="s">
        <v>12359</v>
      </c>
      <c r="Z3143" s="11">
        <v>20</v>
      </c>
      <c r="AA3143" s="11">
        <v>0</v>
      </c>
      <c r="AB3143" s="12">
        <v>0</v>
      </c>
    </row>
    <row r="3144" spans="1:28" x14ac:dyDescent="0.2">
      <c r="A3144" s="7">
        <v>23563</v>
      </c>
      <c r="B3144" s="8" t="s">
        <v>19932</v>
      </c>
      <c r="C3144" s="8" t="s">
        <v>19605</v>
      </c>
      <c r="D3144" s="8" t="s">
        <v>731</v>
      </c>
      <c r="E3144" s="8"/>
      <c r="F3144" s="8" t="s">
        <v>353</v>
      </c>
      <c r="G3144" s="8" t="s">
        <v>19606</v>
      </c>
      <c r="H3144" s="8" t="s">
        <v>142</v>
      </c>
      <c r="I3144" s="8" t="s">
        <v>19607</v>
      </c>
      <c r="J3144" s="8" t="s">
        <v>19933</v>
      </c>
      <c r="K3144" s="8" t="s">
        <v>1673</v>
      </c>
      <c r="L3144" s="8" t="s">
        <v>464</v>
      </c>
      <c r="M3144" s="8" t="s">
        <v>19934</v>
      </c>
      <c r="N3144" s="8" t="s">
        <v>128</v>
      </c>
      <c r="O3144" s="8" t="s">
        <v>19935</v>
      </c>
      <c r="P3144" s="8" t="s">
        <v>19936</v>
      </c>
      <c r="Q3144" s="8" t="s">
        <v>150</v>
      </c>
      <c r="R3144" s="8"/>
      <c r="S3144" s="8" t="s">
        <v>71</v>
      </c>
      <c r="T3144" s="8" t="s">
        <v>168</v>
      </c>
      <c r="U3144" s="8" t="s">
        <v>150</v>
      </c>
      <c r="V3144" s="8" t="s">
        <v>168</v>
      </c>
      <c r="W3144" s="8" t="s">
        <v>168</v>
      </c>
      <c r="X3144" s="8">
        <v>5</v>
      </c>
      <c r="Y3144" s="8" t="s">
        <v>12359</v>
      </c>
      <c r="Z3144" s="8">
        <v>20</v>
      </c>
      <c r="AA3144" s="8">
        <v>0</v>
      </c>
      <c r="AB3144" s="9">
        <v>0</v>
      </c>
    </row>
    <row r="3145" spans="1:28" x14ac:dyDescent="0.2">
      <c r="A3145" s="10">
        <v>23825</v>
      </c>
      <c r="B3145" s="11" t="s">
        <v>19937</v>
      </c>
      <c r="C3145" s="11" t="s">
        <v>19938</v>
      </c>
      <c r="D3145" s="11" t="s">
        <v>19939</v>
      </c>
      <c r="E3145" s="11"/>
      <c r="F3145" s="11" t="s">
        <v>353</v>
      </c>
      <c r="G3145" s="11" t="s">
        <v>19550</v>
      </c>
      <c r="H3145" s="11" t="s">
        <v>122</v>
      </c>
      <c r="I3145" s="11" t="s">
        <v>19940</v>
      </c>
      <c r="J3145" s="11" t="s">
        <v>19941</v>
      </c>
      <c r="K3145" s="11" t="s">
        <v>125</v>
      </c>
      <c r="L3145" s="11" t="s">
        <v>126</v>
      </c>
      <c r="M3145" s="11" t="s">
        <v>19942</v>
      </c>
      <c r="N3145" s="11" t="s">
        <v>128</v>
      </c>
      <c r="O3145" s="11" t="s">
        <v>19943</v>
      </c>
      <c r="P3145" s="11" t="s">
        <v>19944</v>
      </c>
      <c r="Q3145" s="11" t="s">
        <v>150</v>
      </c>
      <c r="R3145" s="11"/>
      <c r="S3145" s="11" t="s">
        <v>71</v>
      </c>
      <c r="T3145" s="11" t="s">
        <v>168</v>
      </c>
      <c r="U3145" s="11" t="s">
        <v>150</v>
      </c>
      <c r="V3145" s="11" t="s">
        <v>168</v>
      </c>
      <c r="W3145" s="11" t="s">
        <v>168</v>
      </c>
      <c r="X3145" s="11">
        <v>5</v>
      </c>
      <c r="Y3145" s="11" t="s">
        <v>12359</v>
      </c>
      <c r="Z3145" s="11">
        <v>20</v>
      </c>
      <c r="AA3145" s="11">
        <v>0</v>
      </c>
      <c r="AB3145" s="12">
        <v>0</v>
      </c>
    </row>
    <row r="3146" spans="1:28" x14ac:dyDescent="0.2">
      <c r="A3146" s="7">
        <v>23954</v>
      </c>
      <c r="B3146" s="8" t="s">
        <v>19945</v>
      </c>
      <c r="C3146" s="8" t="s">
        <v>2300</v>
      </c>
      <c r="D3146" s="8" t="s">
        <v>6368</v>
      </c>
      <c r="E3146" s="8"/>
      <c r="F3146" s="8" t="s">
        <v>353</v>
      </c>
      <c r="G3146" s="8" t="s">
        <v>19946</v>
      </c>
      <c r="H3146" s="8" t="s">
        <v>142</v>
      </c>
      <c r="I3146" s="8" t="s">
        <v>19947</v>
      </c>
      <c r="J3146" s="8" t="s">
        <v>19948</v>
      </c>
      <c r="K3146" s="8" t="s">
        <v>1673</v>
      </c>
      <c r="L3146" s="8" t="s">
        <v>464</v>
      </c>
      <c r="M3146" s="8" t="s">
        <v>19949</v>
      </c>
      <c r="N3146" s="8" t="s">
        <v>128</v>
      </c>
      <c r="O3146" s="8" t="s">
        <v>19950</v>
      </c>
      <c r="P3146" s="8" t="s">
        <v>17832</v>
      </c>
      <c r="Q3146" s="8" t="s">
        <v>150</v>
      </c>
      <c r="R3146" s="8"/>
      <c r="S3146" s="8" t="s">
        <v>71</v>
      </c>
      <c r="T3146" s="8" t="s">
        <v>168</v>
      </c>
      <c r="U3146" s="8" t="s">
        <v>150</v>
      </c>
      <c r="V3146" s="8" t="s">
        <v>168</v>
      </c>
      <c r="W3146" s="8" t="s">
        <v>168</v>
      </c>
      <c r="X3146" s="8">
        <v>5</v>
      </c>
      <c r="Y3146" s="8" t="s">
        <v>12359</v>
      </c>
      <c r="Z3146" s="8">
        <v>20</v>
      </c>
      <c r="AA3146" s="8">
        <v>0</v>
      </c>
      <c r="AB3146" s="9">
        <v>0</v>
      </c>
    </row>
    <row r="3147" spans="1:28" x14ac:dyDescent="0.2">
      <c r="A3147" s="10">
        <v>23969</v>
      </c>
      <c r="B3147" s="11" t="s">
        <v>19951</v>
      </c>
      <c r="C3147" s="11" t="s">
        <v>6936</v>
      </c>
      <c r="D3147" s="11" t="s">
        <v>12464</v>
      </c>
      <c r="E3147" s="11"/>
      <c r="F3147" s="11" t="s">
        <v>353</v>
      </c>
      <c r="G3147" s="11" t="s">
        <v>615</v>
      </c>
      <c r="H3147" s="11" t="s">
        <v>616</v>
      </c>
      <c r="I3147" s="11" t="s">
        <v>19952</v>
      </c>
      <c r="J3147" s="11" t="s">
        <v>19953</v>
      </c>
      <c r="K3147" s="11" t="s">
        <v>619</v>
      </c>
      <c r="L3147" s="11" t="s">
        <v>163</v>
      </c>
      <c r="M3147" s="11" t="s">
        <v>19954</v>
      </c>
      <c r="N3147" s="11" t="s">
        <v>128</v>
      </c>
      <c r="O3147" s="11" t="s">
        <v>19955</v>
      </c>
      <c r="P3147" s="11" t="s">
        <v>13847</v>
      </c>
      <c r="Q3147" s="11" t="s">
        <v>150</v>
      </c>
      <c r="R3147" s="11"/>
      <c r="S3147" s="11" t="s">
        <v>71</v>
      </c>
      <c r="T3147" s="11" t="s">
        <v>168</v>
      </c>
      <c r="U3147" s="11" t="s">
        <v>150</v>
      </c>
      <c r="V3147" s="11" t="s">
        <v>168</v>
      </c>
      <c r="W3147" s="11" t="s">
        <v>168</v>
      </c>
      <c r="X3147" s="11">
        <v>5</v>
      </c>
      <c r="Y3147" s="11" t="s">
        <v>12359</v>
      </c>
      <c r="Z3147" s="11">
        <v>20</v>
      </c>
      <c r="AA3147" s="11">
        <v>0</v>
      </c>
      <c r="AB3147" s="12">
        <v>0</v>
      </c>
    </row>
    <row r="3148" spans="1:28" x14ac:dyDescent="0.2">
      <c r="A3148" s="7">
        <v>85234</v>
      </c>
      <c r="B3148" s="8" t="s">
        <v>19956</v>
      </c>
      <c r="C3148" s="8" t="s">
        <v>17982</v>
      </c>
      <c r="D3148" s="8" t="s">
        <v>19957</v>
      </c>
      <c r="E3148" s="8"/>
      <c r="F3148" s="8" t="s">
        <v>353</v>
      </c>
      <c r="G3148" s="8" t="s">
        <v>10998</v>
      </c>
      <c r="H3148" s="8" t="s">
        <v>159</v>
      </c>
      <c r="I3148" s="8" t="s">
        <v>19629</v>
      </c>
      <c r="J3148" s="8" t="s">
        <v>19958</v>
      </c>
      <c r="K3148" s="8" t="s">
        <v>274</v>
      </c>
      <c r="L3148" s="8" t="s">
        <v>163</v>
      </c>
      <c r="M3148" s="8" t="s">
        <v>19959</v>
      </c>
      <c r="N3148" s="8" t="s">
        <v>128</v>
      </c>
      <c r="O3148" s="8" t="s">
        <v>19960</v>
      </c>
      <c r="P3148" s="8" t="s">
        <v>4216</v>
      </c>
      <c r="Q3148" s="8" t="s">
        <v>150</v>
      </c>
      <c r="R3148" s="8"/>
      <c r="S3148" s="8" t="s">
        <v>71</v>
      </c>
      <c r="T3148" s="8" t="s">
        <v>168</v>
      </c>
      <c r="U3148" s="8" t="s">
        <v>150</v>
      </c>
      <c r="V3148" s="8" t="s">
        <v>168</v>
      </c>
      <c r="W3148" s="8" t="s">
        <v>168</v>
      </c>
      <c r="X3148" s="8">
        <v>5</v>
      </c>
      <c r="Y3148" s="8" t="s">
        <v>12359</v>
      </c>
      <c r="Z3148" s="8">
        <v>20</v>
      </c>
      <c r="AA3148" s="8">
        <v>0</v>
      </c>
      <c r="AB3148" s="9">
        <v>0</v>
      </c>
    </row>
    <row r="3149" spans="1:28" x14ac:dyDescent="0.2">
      <c r="A3149" s="10">
        <v>92860</v>
      </c>
      <c r="B3149" s="11" t="s">
        <v>19961</v>
      </c>
      <c r="C3149" s="11" t="s">
        <v>19962</v>
      </c>
      <c r="D3149" s="11" t="s">
        <v>19963</v>
      </c>
      <c r="E3149" s="11"/>
      <c r="F3149" s="11" t="s">
        <v>353</v>
      </c>
      <c r="G3149" s="11" t="s">
        <v>19964</v>
      </c>
      <c r="H3149" s="11" t="s">
        <v>616</v>
      </c>
      <c r="I3149" s="11" t="s">
        <v>19965</v>
      </c>
      <c r="J3149" s="11" t="s">
        <v>19966</v>
      </c>
      <c r="K3149" s="11" t="s">
        <v>619</v>
      </c>
      <c r="L3149" s="11" t="s">
        <v>163</v>
      </c>
      <c r="M3149" s="11" t="s">
        <v>19967</v>
      </c>
      <c r="N3149" s="11" t="s">
        <v>128</v>
      </c>
      <c r="O3149" s="11" t="s">
        <v>19968</v>
      </c>
      <c r="P3149" s="11" t="s">
        <v>2846</v>
      </c>
      <c r="Q3149" s="11" t="s">
        <v>150</v>
      </c>
      <c r="R3149" s="11"/>
      <c r="S3149" s="11" t="s">
        <v>71</v>
      </c>
      <c r="T3149" s="11" t="s">
        <v>168</v>
      </c>
      <c r="U3149" s="11" t="s">
        <v>150</v>
      </c>
      <c r="V3149" s="11" t="s">
        <v>168</v>
      </c>
      <c r="W3149" s="11" t="s">
        <v>168</v>
      </c>
      <c r="X3149" s="11">
        <v>5</v>
      </c>
      <c r="Y3149" s="11" t="s">
        <v>12359</v>
      </c>
      <c r="Z3149" s="11">
        <v>20</v>
      </c>
      <c r="AA3149" s="11">
        <v>0</v>
      </c>
      <c r="AB3149" s="12">
        <v>0</v>
      </c>
    </row>
    <row r="3150" spans="1:28" x14ac:dyDescent="0.2">
      <c r="A3150" s="7">
        <v>93294</v>
      </c>
      <c r="B3150" s="8" t="s">
        <v>19969</v>
      </c>
      <c r="C3150" s="8" t="s">
        <v>3769</v>
      </c>
      <c r="D3150" s="8" t="s">
        <v>17162</v>
      </c>
      <c r="E3150" s="8"/>
      <c r="F3150" s="8" t="s">
        <v>353</v>
      </c>
      <c r="G3150" s="8" t="s">
        <v>19970</v>
      </c>
      <c r="H3150" s="8" t="s">
        <v>142</v>
      </c>
      <c r="I3150" s="8" t="s">
        <v>19971</v>
      </c>
      <c r="J3150" s="8" t="s">
        <v>19972</v>
      </c>
      <c r="K3150" s="8" t="s">
        <v>1199</v>
      </c>
      <c r="L3150" s="8" t="s">
        <v>464</v>
      </c>
      <c r="M3150" s="8" t="s">
        <v>19973</v>
      </c>
      <c r="N3150" s="8" t="s">
        <v>128</v>
      </c>
      <c r="O3150" s="8" t="s">
        <v>19974</v>
      </c>
      <c r="P3150" s="8" t="s">
        <v>4881</v>
      </c>
      <c r="Q3150" s="8" t="s">
        <v>150</v>
      </c>
      <c r="R3150" s="8"/>
      <c r="S3150" s="8" t="s">
        <v>71</v>
      </c>
      <c r="T3150" s="8" t="s">
        <v>168</v>
      </c>
      <c r="U3150" s="8" t="s">
        <v>150</v>
      </c>
      <c r="V3150" s="8" t="s">
        <v>168</v>
      </c>
      <c r="W3150" s="8" t="s">
        <v>168</v>
      </c>
      <c r="X3150" s="8">
        <v>5</v>
      </c>
      <c r="Y3150" s="8" t="s">
        <v>12359</v>
      </c>
      <c r="Z3150" s="8">
        <v>20</v>
      </c>
      <c r="AA3150" s="8">
        <v>0</v>
      </c>
      <c r="AB3150" s="9">
        <v>0</v>
      </c>
    </row>
    <row r="3151" spans="1:28" x14ac:dyDescent="0.2">
      <c r="A3151" s="10">
        <v>28909</v>
      </c>
      <c r="B3151" s="11" t="s">
        <v>19975</v>
      </c>
      <c r="C3151" s="11" t="s">
        <v>19976</v>
      </c>
      <c r="D3151" s="11" t="s">
        <v>1283</v>
      </c>
      <c r="E3151" s="11"/>
      <c r="F3151" s="11"/>
      <c r="G3151" s="11" t="s">
        <v>12128</v>
      </c>
      <c r="H3151" s="11" t="s">
        <v>142</v>
      </c>
      <c r="I3151" s="11" t="s">
        <v>12129</v>
      </c>
      <c r="J3151" s="11" t="s">
        <v>19977</v>
      </c>
      <c r="K3151" s="11" t="s">
        <v>1029</v>
      </c>
      <c r="L3151" s="11" t="s">
        <v>464</v>
      </c>
      <c r="M3151" s="11" t="s">
        <v>19978</v>
      </c>
      <c r="N3151" s="11" t="s">
        <v>128</v>
      </c>
      <c r="O3151" s="11" t="s">
        <v>19979</v>
      </c>
      <c r="P3151" s="11" t="s">
        <v>8140</v>
      </c>
      <c r="Q3151" s="11" t="s">
        <v>150</v>
      </c>
      <c r="R3151" s="11"/>
      <c r="S3151" s="11" t="s">
        <v>71</v>
      </c>
      <c r="T3151" s="11" t="s">
        <v>168</v>
      </c>
      <c r="U3151" s="11" t="s">
        <v>150</v>
      </c>
      <c r="V3151" s="11" t="s">
        <v>168</v>
      </c>
      <c r="W3151" s="11" t="s">
        <v>168</v>
      </c>
      <c r="X3151" s="11">
        <v>5</v>
      </c>
      <c r="Y3151" s="11" t="s">
        <v>12359</v>
      </c>
      <c r="Z3151" s="11">
        <v>20</v>
      </c>
      <c r="AA3151" s="11">
        <v>0</v>
      </c>
      <c r="AB3151" s="12">
        <v>0</v>
      </c>
    </row>
    <row r="3152" spans="1:28" x14ac:dyDescent="0.2">
      <c r="A3152" s="7">
        <v>23673</v>
      </c>
      <c r="B3152" s="8" t="s">
        <v>19980</v>
      </c>
      <c r="C3152" s="8" t="s">
        <v>19589</v>
      </c>
      <c r="D3152" s="8" t="s">
        <v>19981</v>
      </c>
      <c r="E3152" s="8"/>
      <c r="F3152" s="8" t="s">
        <v>19591</v>
      </c>
      <c r="G3152" s="8" t="s">
        <v>141</v>
      </c>
      <c r="H3152" s="8" t="s">
        <v>142</v>
      </c>
      <c r="I3152" s="8" t="s">
        <v>19592</v>
      </c>
      <c r="J3152" s="8" t="s">
        <v>19982</v>
      </c>
      <c r="K3152" s="8" t="s">
        <v>145</v>
      </c>
      <c r="L3152" s="8" t="s">
        <v>146</v>
      </c>
      <c r="M3152" s="8" t="s">
        <v>19983</v>
      </c>
      <c r="N3152" s="8" t="s">
        <v>128</v>
      </c>
      <c r="O3152" s="8" t="s">
        <v>19984</v>
      </c>
      <c r="P3152" s="8" t="s">
        <v>14012</v>
      </c>
      <c r="Q3152" s="8" t="s">
        <v>150</v>
      </c>
      <c r="R3152" s="8"/>
      <c r="S3152" s="8" t="s">
        <v>71</v>
      </c>
      <c r="T3152" s="8" t="s">
        <v>168</v>
      </c>
      <c r="U3152" s="8" t="s">
        <v>150</v>
      </c>
      <c r="V3152" s="8" t="s">
        <v>168</v>
      </c>
      <c r="W3152" s="8" t="s">
        <v>168</v>
      </c>
      <c r="X3152" s="8">
        <v>5</v>
      </c>
      <c r="Y3152" s="8" t="s">
        <v>12359</v>
      </c>
      <c r="Z3152" s="8">
        <v>20</v>
      </c>
      <c r="AA3152" s="8">
        <v>0</v>
      </c>
      <c r="AB3152" s="9">
        <v>0</v>
      </c>
    </row>
    <row r="3153" spans="1:28" x14ac:dyDescent="0.2">
      <c r="A3153" s="10">
        <v>23938</v>
      </c>
      <c r="B3153" s="11" t="s">
        <v>19985</v>
      </c>
      <c r="C3153" s="11" t="s">
        <v>19986</v>
      </c>
      <c r="D3153" s="11" t="s">
        <v>17450</v>
      </c>
      <c r="E3153" s="11"/>
      <c r="F3153" s="11" t="s">
        <v>140</v>
      </c>
      <c r="G3153" s="11" t="s">
        <v>141</v>
      </c>
      <c r="H3153" s="11" t="s">
        <v>142</v>
      </c>
      <c r="I3153" s="11" t="s">
        <v>19987</v>
      </c>
      <c r="J3153" s="11" t="s">
        <v>19988</v>
      </c>
      <c r="K3153" s="11" t="s">
        <v>974</v>
      </c>
      <c r="L3153" s="11" t="s">
        <v>146</v>
      </c>
      <c r="M3153" s="11" t="s">
        <v>19989</v>
      </c>
      <c r="N3153" s="11" t="s">
        <v>128</v>
      </c>
      <c r="O3153" s="11" t="s">
        <v>19990</v>
      </c>
      <c r="P3153" s="11" t="s">
        <v>19991</v>
      </c>
      <c r="Q3153" s="11" t="s">
        <v>150</v>
      </c>
      <c r="R3153" s="11"/>
      <c r="S3153" s="11" t="s">
        <v>71</v>
      </c>
      <c r="T3153" s="11" t="s">
        <v>168</v>
      </c>
      <c r="U3153" s="11" t="s">
        <v>150</v>
      </c>
      <c r="V3153" s="11" t="s">
        <v>168</v>
      </c>
      <c r="W3153" s="11" t="s">
        <v>168</v>
      </c>
      <c r="X3153" s="11">
        <v>5</v>
      </c>
      <c r="Y3153" s="11" t="s">
        <v>12359</v>
      </c>
      <c r="Z3153" s="11">
        <v>20</v>
      </c>
      <c r="AA3153" s="11">
        <v>0</v>
      </c>
      <c r="AB3153" s="12">
        <v>0</v>
      </c>
    </row>
    <row r="3154" spans="1:28" x14ac:dyDescent="0.2">
      <c r="A3154" s="7">
        <v>86720</v>
      </c>
      <c r="B3154" s="8" t="s">
        <v>19992</v>
      </c>
      <c r="C3154" s="8" t="s">
        <v>19993</v>
      </c>
      <c r="D3154" s="8" t="s">
        <v>10475</v>
      </c>
      <c r="E3154" s="8"/>
      <c r="F3154" s="8" t="s">
        <v>19994</v>
      </c>
      <c r="G3154" s="8" t="s">
        <v>18987</v>
      </c>
      <c r="H3154" s="8" t="s">
        <v>159</v>
      </c>
      <c r="I3154" s="8" t="s">
        <v>19995</v>
      </c>
      <c r="J3154" s="8" t="s">
        <v>19996</v>
      </c>
      <c r="K3154" s="8" t="s">
        <v>162</v>
      </c>
      <c r="L3154" s="8" t="s">
        <v>163</v>
      </c>
      <c r="M3154" s="8" t="s">
        <v>19997</v>
      </c>
      <c r="N3154" s="8" t="s">
        <v>128</v>
      </c>
      <c r="O3154" s="8" t="s">
        <v>19998</v>
      </c>
      <c r="P3154" s="8" t="s">
        <v>19999</v>
      </c>
      <c r="Q3154" s="8" t="s">
        <v>150</v>
      </c>
      <c r="R3154" s="8"/>
      <c r="S3154" s="8" t="s">
        <v>71</v>
      </c>
      <c r="T3154" s="8" t="s">
        <v>168</v>
      </c>
      <c r="U3154" s="8" t="s">
        <v>150</v>
      </c>
      <c r="V3154" s="8" t="s">
        <v>168</v>
      </c>
      <c r="W3154" s="8" t="s">
        <v>168</v>
      </c>
      <c r="X3154" s="8">
        <v>5</v>
      </c>
      <c r="Y3154" s="8" t="s">
        <v>12359</v>
      </c>
      <c r="Z3154" s="8">
        <v>20</v>
      </c>
      <c r="AA3154" s="8">
        <v>0</v>
      </c>
      <c r="AB3154" s="9">
        <v>0</v>
      </c>
    </row>
    <row r="3155" spans="1:28" x14ac:dyDescent="0.2">
      <c r="A3155" s="10">
        <v>23597</v>
      </c>
      <c r="B3155" s="11" t="s">
        <v>20000</v>
      </c>
      <c r="C3155" s="11" t="s">
        <v>16358</v>
      </c>
      <c r="D3155" s="11" t="s">
        <v>20001</v>
      </c>
      <c r="E3155" s="11"/>
      <c r="F3155" s="11" t="s">
        <v>20002</v>
      </c>
      <c r="G3155" s="11" t="s">
        <v>190</v>
      </c>
      <c r="H3155" s="11" t="s">
        <v>191</v>
      </c>
      <c r="I3155" s="11" t="s">
        <v>20003</v>
      </c>
      <c r="J3155" s="11" t="s">
        <v>20004</v>
      </c>
      <c r="K3155" s="11" t="s">
        <v>194</v>
      </c>
      <c r="L3155" s="11" t="s">
        <v>163</v>
      </c>
      <c r="M3155" s="11" t="s">
        <v>20005</v>
      </c>
      <c r="N3155" s="11" t="s">
        <v>128</v>
      </c>
      <c r="O3155" s="11" t="s">
        <v>20006</v>
      </c>
      <c r="P3155" s="11" t="s">
        <v>10398</v>
      </c>
      <c r="Q3155" s="11" t="s">
        <v>150</v>
      </c>
      <c r="R3155" s="11"/>
      <c r="S3155" s="11" t="s">
        <v>20007</v>
      </c>
      <c r="T3155" s="11" t="s">
        <v>168</v>
      </c>
      <c r="U3155" s="11" t="s">
        <v>150</v>
      </c>
      <c r="V3155" s="11" t="s">
        <v>168</v>
      </c>
      <c r="W3155" s="11" t="s">
        <v>168</v>
      </c>
      <c r="X3155" s="11">
        <v>5</v>
      </c>
      <c r="Y3155" s="11" t="s">
        <v>12359</v>
      </c>
      <c r="Z3155" s="11">
        <v>20</v>
      </c>
      <c r="AA3155" s="11">
        <v>0</v>
      </c>
      <c r="AB3155" s="12">
        <v>0</v>
      </c>
    </row>
    <row r="3156" spans="1:28" x14ac:dyDescent="0.2">
      <c r="A3156" s="7">
        <v>28996</v>
      </c>
      <c r="B3156" s="8" t="s">
        <v>20008</v>
      </c>
      <c r="C3156" s="8" t="s">
        <v>10494</v>
      </c>
      <c r="D3156" s="8" t="s">
        <v>10495</v>
      </c>
      <c r="E3156" s="8"/>
      <c r="F3156" s="8" t="s">
        <v>19417</v>
      </c>
      <c r="G3156" s="8" t="s">
        <v>10624</v>
      </c>
      <c r="H3156" s="8" t="s">
        <v>6410</v>
      </c>
      <c r="I3156" s="8" t="s">
        <v>10498</v>
      </c>
      <c r="J3156" s="8" t="s">
        <v>10499</v>
      </c>
      <c r="K3156" s="8" t="s">
        <v>1956</v>
      </c>
      <c r="L3156" s="8" t="s">
        <v>526</v>
      </c>
      <c r="M3156" s="8" t="s">
        <v>20009</v>
      </c>
      <c r="N3156" s="8" t="s">
        <v>128</v>
      </c>
      <c r="O3156" s="8"/>
      <c r="P3156" s="8"/>
      <c r="Q3156" s="8" t="s">
        <v>150</v>
      </c>
      <c r="R3156" s="8"/>
      <c r="S3156" s="8" t="s">
        <v>10503</v>
      </c>
      <c r="T3156" s="8" t="s">
        <v>13491</v>
      </c>
      <c r="U3156" s="8" t="s">
        <v>150</v>
      </c>
      <c r="V3156" s="8" t="s">
        <v>13491</v>
      </c>
      <c r="W3156" s="8" t="s">
        <v>13491</v>
      </c>
      <c r="X3156" s="8">
        <v>5</v>
      </c>
      <c r="Y3156" s="8" t="s">
        <v>12359</v>
      </c>
      <c r="Z3156" s="8">
        <v>20</v>
      </c>
      <c r="AA3156" s="8">
        <v>0</v>
      </c>
      <c r="AB3156" s="9">
        <v>0</v>
      </c>
    </row>
    <row r="3157" spans="1:28" x14ac:dyDescent="0.2">
      <c r="A3157" s="10">
        <v>50010</v>
      </c>
      <c r="B3157" s="11" t="s">
        <v>20010</v>
      </c>
      <c r="C3157" s="11" t="s">
        <v>6443</v>
      </c>
      <c r="D3157" s="11" t="s">
        <v>10663</v>
      </c>
      <c r="E3157" s="11"/>
      <c r="F3157" s="11" t="s">
        <v>17164</v>
      </c>
      <c r="G3157" s="11" t="s">
        <v>158</v>
      </c>
      <c r="H3157" s="11" t="s">
        <v>159</v>
      </c>
      <c r="I3157" s="11" t="s">
        <v>6445</v>
      </c>
      <c r="J3157" s="11" t="s">
        <v>20011</v>
      </c>
      <c r="K3157" s="11" t="s">
        <v>274</v>
      </c>
      <c r="L3157" s="11" t="s">
        <v>163</v>
      </c>
      <c r="M3157" s="11" t="s">
        <v>20012</v>
      </c>
      <c r="N3157" s="11" t="s">
        <v>128</v>
      </c>
      <c r="O3157" s="11" t="s">
        <v>20013</v>
      </c>
      <c r="P3157" s="11"/>
      <c r="Q3157" s="11" t="s">
        <v>150</v>
      </c>
      <c r="R3157" s="11"/>
      <c r="S3157" s="11" t="s">
        <v>71</v>
      </c>
      <c r="T3157" s="11" t="s">
        <v>5438</v>
      </c>
      <c r="U3157" s="11" t="s">
        <v>150</v>
      </c>
      <c r="V3157" s="11" t="s">
        <v>5438</v>
      </c>
      <c r="W3157" s="11" t="s">
        <v>5438</v>
      </c>
      <c r="X3157" s="11">
        <v>5</v>
      </c>
      <c r="Y3157" s="11" t="s">
        <v>12359</v>
      </c>
      <c r="Z3157" s="11">
        <v>20</v>
      </c>
      <c r="AA3157" s="11">
        <v>0</v>
      </c>
      <c r="AB3157" s="12">
        <v>0</v>
      </c>
    </row>
    <row r="3158" spans="1:28" x14ac:dyDescent="0.2">
      <c r="A3158" s="7">
        <v>24844</v>
      </c>
      <c r="B3158" s="8" t="s">
        <v>20014</v>
      </c>
      <c r="C3158" s="8" t="s">
        <v>19659</v>
      </c>
      <c r="D3158" s="8" t="s">
        <v>19660</v>
      </c>
      <c r="E3158" s="8" t="s">
        <v>20015</v>
      </c>
      <c r="F3158" s="8" t="s">
        <v>19661</v>
      </c>
      <c r="G3158" s="8" t="s">
        <v>2510</v>
      </c>
      <c r="H3158" s="8" t="s">
        <v>2511</v>
      </c>
      <c r="I3158" s="8" t="s">
        <v>20016</v>
      </c>
      <c r="J3158" s="8" t="s">
        <v>20017</v>
      </c>
      <c r="K3158" s="8" t="s">
        <v>1562</v>
      </c>
      <c r="L3158" s="8" t="s">
        <v>229</v>
      </c>
      <c r="M3158" s="8" t="s">
        <v>20018</v>
      </c>
      <c r="N3158" s="8" t="s">
        <v>128</v>
      </c>
      <c r="O3158" s="8" t="s">
        <v>20019</v>
      </c>
      <c r="P3158" s="8" t="s">
        <v>20020</v>
      </c>
      <c r="Q3158" s="8" t="s">
        <v>150</v>
      </c>
      <c r="R3158" s="8"/>
      <c r="S3158" s="8" t="s">
        <v>19667</v>
      </c>
      <c r="T3158" s="8" t="s">
        <v>1738</v>
      </c>
      <c r="U3158" s="8" t="s">
        <v>150</v>
      </c>
      <c r="V3158" s="8" t="s">
        <v>1738</v>
      </c>
      <c r="W3158" s="8" t="s">
        <v>1738</v>
      </c>
      <c r="X3158" s="8">
        <v>5</v>
      </c>
      <c r="Y3158" s="8" t="s">
        <v>12359</v>
      </c>
      <c r="Z3158" s="8">
        <v>20</v>
      </c>
      <c r="AA3158" s="8">
        <v>0</v>
      </c>
      <c r="AB3158" s="9">
        <v>0</v>
      </c>
    </row>
    <row r="3159" spans="1:28" x14ac:dyDescent="0.2">
      <c r="A3159" s="10">
        <v>24932</v>
      </c>
      <c r="B3159" s="11" t="s">
        <v>20021</v>
      </c>
      <c r="C3159" s="11" t="s">
        <v>1645</v>
      </c>
      <c r="D3159" s="11" t="s">
        <v>1646</v>
      </c>
      <c r="E3159" s="11" t="s">
        <v>20022</v>
      </c>
      <c r="F3159" s="11" t="s">
        <v>1648</v>
      </c>
      <c r="G3159" s="11" t="s">
        <v>328</v>
      </c>
      <c r="H3159" s="11" t="s">
        <v>329</v>
      </c>
      <c r="I3159" s="11" t="s">
        <v>1649</v>
      </c>
      <c r="J3159" s="11" t="s">
        <v>1650</v>
      </c>
      <c r="K3159" s="11" t="s">
        <v>572</v>
      </c>
      <c r="L3159" s="11" t="s">
        <v>333</v>
      </c>
      <c r="M3159" s="11" t="s">
        <v>20023</v>
      </c>
      <c r="N3159" s="11" t="s">
        <v>128</v>
      </c>
      <c r="O3159" s="11" t="s">
        <v>20024</v>
      </c>
      <c r="P3159" s="11" t="s">
        <v>20025</v>
      </c>
      <c r="Q3159" s="11" t="s">
        <v>150</v>
      </c>
      <c r="R3159" s="11"/>
      <c r="S3159" s="11" t="s">
        <v>1654</v>
      </c>
      <c r="T3159" s="11" t="s">
        <v>1738</v>
      </c>
      <c r="U3159" s="11" t="s">
        <v>150</v>
      </c>
      <c r="V3159" s="11" t="s">
        <v>1738</v>
      </c>
      <c r="W3159" s="11" t="s">
        <v>1738</v>
      </c>
      <c r="X3159" s="11">
        <v>5</v>
      </c>
      <c r="Y3159" s="11" t="s">
        <v>12359</v>
      </c>
      <c r="Z3159" s="11">
        <v>20</v>
      </c>
      <c r="AA3159" s="11">
        <v>0</v>
      </c>
      <c r="AB3159" s="12">
        <v>0</v>
      </c>
    </row>
    <row r="3160" spans="1:28" x14ac:dyDescent="0.2">
      <c r="A3160" s="7">
        <v>24975</v>
      </c>
      <c r="B3160" s="8" t="s">
        <v>20026</v>
      </c>
      <c r="C3160" s="8" t="s">
        <v>9295</v>
      </c>
      <c r="D3160" s="8" t="s">
        <v>2871</v>
      </c>
      <c r="E3160" s="8" t="s">
        <v>20027</v>
      </c>
      <c r="F3160" s="8" t="s">
        <v>9297</v>
      </c>
      <c r="G3160" s="8" t="s">
        <v>469</v>
      </c>
      <c r="H3160" s="8" t="s">
        <v>142</v>
      </c>
      <c r="I3160" s="8" t="s">
        <v>9298</v>
      </c>
      <c r="J3160" s="8" t="s">
        <v>9299</v>
      </c>
      <c r="K3160" s="8" t="s">
        <v>472</v>
      </c>
      <c r="L3160" s="8" t="s">
        <v>146</v>
      </c>
      <c r="M3160" s="8" t="s">
        <v>20028</v>
      </c>
      <c r="N3160" s="8" t="s">
        <v>128</v>
      </c>
      <c r="O3160" s="8" t="s">
        <v>20029</v>
      </c>
      <c r="P3160" s="8" t="s">
        <v>20030</v>
      </c>
      <c r="Q3160" s="8" t="s">
        <v>150</v>
      </c>
      <c r="R3160" s="8"/>
      <c r="S3160" s="8" t="s">
        <v>9303</v>
      </c>
      <c r="T3160" s="8" t="s">
        <v>1738</v>
      </c>
      <c r="U3160" s="8" t="s">
        <v>150</v>
      </c>
      <c r="V3160" s="8" t="s">
        <v>1738</v>
      </c>
      <c r="W3160" s="8" t="s">
        <v>1738</v>
      </c>
      <c r="X3160" s="8">
        <v>5</v>
      </c>
      <c r="Y3160" s="8" t="s">
        <v>12359</v>
      </c>
      <c r="Z3160" s="8">
        <v>20</v>
      </c>
      <c r="AA3160" s="8">
        <v>0</v>
      </c>
      <c r="AB3160" s="9">
        <v>0</v>
      </c>
    </row>
    <row r="3161" spans="1:28" x14ac:dyDescent="0.2">
      <c r="A3161" s="10">
        <v>92266</v>
      </c>
      <c r="B3161" s="11" t="s">
        <v>20031</v>
      </c>
      <c r="C3161" s="11" t="s">
        <v>611</v>
      </c>
      <c r="D3161" s="11" t="s">
        <v>12196</v>
      </c>
      <c r="E3161" s="11" t="s">
        <v>14894</v>
      </c>
      <c r="F3161" s="11" t="s">
        <v>20032</v>
      </c>
      <c r="G3161" s="11" t="s">
        <v>18736</v>
      </c>
      <c r="H3161" s="11" t="s">
        <v>616</v>
      </c>
      <c r="I3161" s="11" t="s">
        <v>10823</v>
      </c>
      <c r="J3161" s="11" t="s">
        <v>12198</v>
      </c>
      <c r="K3161" s="11" t="s">
        <v>619</v>
      </c>
      <c r="L3161" s="11" t="s">
        <v>163</v>
      </c>
      <c r="M3161" s="11" t="s">
        <v>20033</v>
      </c>
      <c r="N3161" s="11" t="s">
        <v>128</v>
      </c>
      <c r="O3161" s="11" t="s">
        <v>20034</v>
      </c>
      <c r="P3161" s="11" t="s">
        <v>20035</v>
      </c>
      <c r="Q3161" s="11" t="s">
        <v>150</v>
      </c>
      <c r="R3161" s="11"/>
      <c r="S3161" s="11" t="s">
        <v>12202</v>
      </c>
      <c r="T3161" s="11" t="s">
        <v>1738</v>
      </c>
      <c r="U3161" s="11" t="s">
        <v>150</v>
      </c>
      <c r="V3161" s="11" t="s">
        <v>1738</v>
      </c>
      <c r="W3161" s="11" t="s">
        <v>1738</v>
      </c>
      <c r="X3161" s="11">
        <v>5</v>
      </c>
      <c r="Y3161" s="11" t="s">
        <v>12359</v>
      </c>
      <c r="Z3161" s="11">
        <v>20</v>
      </c>
      <c r="AA3161" s="11">
        <v>0</v>
      </c>
      <c r="AB3161" s="12">
        <v>0</v>
      </c>
    </row>
    <row r="3162" spans="1:28" x14ac:dyDescent="0.2">
      <c r="A3162" s="7">
        <v>24870</v>
      </c>
      <c r="B3162" s="8" t="s">
        <v>20036</v>
      </c>
      <c r="C3162" s="8" t="s">
        <v>9767</v>
      </c>
      <c r="D3162" s="8" t="s">
        <v>9768</v>
      </c>
      <c r="E3162" s="8" t="s">
        <v>20037</v>
      </c>
      <c r="F3162" s="8" t="s">
        <v>353</v>
      </c>
      <c r="G3162" s="8" t="s">
        <v>5116</v>
      </c>
      <c r="H3162" s="8" t="s">
        <v>122</v>
      </c>
      <c r="I3162" s="8" t="s">
        <v>9770</v>
      </c>
      <c r="J3162" s="8" t="s">
        <v>9771</v>
      </c>
      <c r="K3162" s="8" t="s">
        <v>125</v>
      </c>
      <c r="L3162" s="8" t="s">
        <v>126</v>
      </c>
      <c r="M3162" s="8" t="s">
        <v>20038</v>
      </c>
      <c r="N3162" s="8" t="s">
        <v>128</v>
      </c>
      <c r="O3162" s="8" t="s">
        <v>20039</v>
      </c>
      <c r="P3162" s="8" t="s">
        <v>20040</v>
      </c>
      <c r="Q3162" s="8" t="s">
        <v>150</v>
      </c>
      <c r="R3162" s="8"/>
      <c r="S3162" s="8" t="s">
        <v>9774</v>
      </c>
      <c r="T3162" s="8" t="s">
        <v>1738</v>
      </c>
      <c r="U3162" s="8" t="s">
        <v>150</v>
      </c>
      <c r="V3162" s="8" t="s">
        <v>1738</v>
      </c>
      <c r="W3162" s="8" t="s">
        <v>1738</v>
      </c>
      <c r="X3162" s="8">
        <v>5</v>
      </c>
      <c r="Y3162" s="8" t="s">
        <v>12359</v>
      </c>
      <c r="Z3162" s="8">
        <v>20</v>
      </c>
      <c r="AA3162" s="8">
        <v>0</v>
      </c>
      <c r="AB3162" s="9">
        <v>0</v>
      </c>
    </row>
    <row r="3163" spans="1:28" x14ac:dyDescent="0.2">
      <c r="A3163" s="10">
        <v>25000</v>
      </c>
      <c r="B3163" s="11" t="s">
        <v>20041</v>
      </c>
      <c r="C3163" s="11" t="s">
        <v>2300</v>
      </c>
      <c r="D3163" s="11" t="s">
        <v>10570</v>
      </c>
      <c r="E3163" s="11" t="s">
        <v>13381</v>
      </c>
      <c r="F3163" s="11" t="s">
        <v>353</v>
      </c>
      <c r="G3163" s="11" t="s">
        <v>3612</v>
      </c>
      <c r="H3163" s="11" t="s">
        <v>704</v>
      </c>
      <c r="I3163" s="11" t="s">
        <v>13878</v>
      </c>
      <c r="J3163" s="11" t="s">
        <v>13879</v>
      </c>
      <c r="K3163" s="11" t="s">
        <v>707</v>
      </c>
      <c r="L3163" s="11" t="s">
        <v>126</v>
      </c>
      <c r="M3163" s="11" t="s">
        <v>20042</v>
      </c>
      <c r="N3163" s="11" t="s">
        <v>128</v>
      </c>
      <c r="O3163" s="11" t="s">
        <v>20043</v>
      </c>
      <c r="P3163" s="11" t="s">
        <v>20044</v>
      </c>
      <c r="Q3163" s="11" t="s">
        <v>150</v>
      </c>
      <c r="R3163" s="11"/>
      <c r="S3163" s="11" t="s">
        <v>13883</v>
      </c>
      <c r="T3163" s="11" t="s">
        <v>1738</v>
      </c>
      <c r="U3163" s="11" t="s">
        <v>150</v>
      </c>
      <c r="V3163" s="11" t="s">
        <v>1738</v>
      </c>
      <c r="W3163" s="11" t="s">
        <v>1738</v>
      </c>
      <c r="X3163" s="11">
        <v>5</v>
      </c>
      <c r="Y3163" s="11" t="s">
        <v>12359</v>
      </c>
      <c r="Z3163" s="11">
        <v>20</v>
      </c>
      <c r="AA3163" s="11">
        <v>0</v>
      </c>
      <c r="AB3163" s="12">
        <v>0</v>
      </c>
    </row>
    <row r="3164" spans="1:28" x14ac:dyDescent="0.2">
      <c r="A3164" s="7">
        <v>24963</v>
      </c>
      <c r="B3164" s="8" t="s">
        <v>20045</v>
      </c>
      <c r="C3164" s="8" t="s">
        <v>20046</v>
      </c>
      <c r="D3164" s="8" t="s">
        <v>15793</v>
      </c>
      <c r="E3164" s="8"/>
      <c r="F3164" s="8" t="s">
        <v>353</v>
      </c>
      <c r="G3164" s="8" t="s">
        <v>1952</v>
      </c>
      <c r="H3164" s="8" t="s">
        <v>1953</v>
      </c>
      <c r="I3164" s="8" t="s">
        <v>20047</v>
      </c>
      <c r="J3164" s="8" t="s">
        <v>20048</v>
      </c>
      <c r="K3164" s="8" t="s">
        <v>1956</v>
      </c>
      <c r="L3164" s="8" t="s">
        <v>526</v>
      </c>
      <c r="M3164" s="8" t="s">
        <v>20049</v>
      </c>
      <c r="N3164" s="8" t="s">
        <v>128</v>
      </c>
      <c r="O3164" s="8" t="s">
        <v>20050</v>
      </c>
      <c r="P3164" s="8" t="s">
        <v>20051</v>
      </c>
      <c r="Q3164" s="8" t="s">
        <v>150</v>
      </c>
      <c r="R3164" s="8"/>
      <c r="S3164" s="8" t="s">
        <v>71</v>
      </c>
      <c r="T3164" s="8" t="s">
        <v>1738</v>
      </c>
      <c r="U3164" s="8" t="s">
        <v>150</v>
      </c>
      <c r="V3164" s="8" t="s">
        <v>1738</v>
      </c>
      <c r="W3164" s="8" t="s">
        <v>1738</v>
      </c>
      <c r="X3164" s="8">
        <v>5</v>
      </c>
      <c r="Y3164" s="8" t="s">
        <v>12359</v>
      </c>
      <c r="Z3164" s="8">
        <v>20</v>
      </c>
      <c r="AA3164" s="8">
        <v>0</v>
      </c>
      <c r="AB3164" s="9">
        <v>0</v>
      </c>
    </row>
    <row r="3165" spans="1:28" x14ac:dyDescent="0.2">
      <c r="A3165" s="10">
        <v>24968</v>
      </c>
      <c r="B3165" s="11" t="s">
        <v>20052</v>
      </c>
      <c r="C3165" s="11" t="s">
        <v>7773</v>
      </c>
      <c r="D3165" s="11" t="s">
        <v>9706</v>
      </c>
      <c r="E3165" s="11"/>
      <c r="F3165" s="11" t="s">
        <v>353</v>
      </c>
      <c r="G3165" s="11" t="s">
        <v>1813</v>
      </c>
      <c r="H3165" s="11" t="s">
        <v>142</v>
      </c>
      <c r="I3165" s="11" t="s">
        <v>7774</v>
      </c>
      <c r="J3165" s="11" t="s">
        <v>20053</v>
      </c>
      <c r="K3165" s="11" t="s">
        <v>974</v>
      </c>
      <c r="L3165" s="11" t="s">
        <v>146</v>
      </c>
      <c r="M3165" s="11" t="s">
        <v>20054</v>
      </c>
      <c r="N3165" s="11" t="s">
        <v>128</v>
      </c>
      <c r="O3165" s="11" t="s">
        <v>20055</v>
      </c>
      <c r="P3165" s="11" t="s">
        <v>12860</v>
      </c>
      <c r="Q3165" s="11" t="s">
        <v>150</v>
      </c>
      <c r="R3165" s="11"/>
      <c r="S3165" s="11" t="s">
        <v>71</v>
      </c>
      <c r="T3165" s="11" t="s">
        <v>1738</v>
      </c>
      <c r="U3165" s="11" t="s">
        <v>150</v>
      </c>
      <c r="V3165" s="11" t="s">
        <v>1738</v>
      </c>
      <c r="W3165" s="11" t="s">
        <v>1738</v>
      </c>
      <c r="X3165" s="11">
        <v>5</v>
      </c>
      <c r="Y3165" s="11" t="s">
        <v>12359</v>
      </c>
      <c r="Z3165" s="11">
        <v>20</v>
      </c>
      <c r="AA3165" s="11">
        <v>0</v>
      </c>
      <c r="AB3165" s="12">
        <v>0</v>
      </c>
    </row>
    <row r="3166" spans="1:28" x14ac:dyDescent="0.2">
      <c r="A3166" s="7">
        <v>125384</v>
      </c>
      <c r="B3166" s="8" t="s">
        <v>20056</v>
      </c>
      <c r="C3166" s="8" t="s">
        <v>5879</v>
      </c>
      <c r="D3166" s="8" t="s">
        <v>11039</v>
      </c>
      <c r="E3166" s="8"/>
      <c r="F3166" s="8" t="s">
        <v>353</v>
      </c>
      <c r="G3166" s="8" t="s">
        <v>11130</v>
      </c>
      <c r="H3166" s="8" t="s">
        <v>704</v>
      </c>
      <c r="I3166" s="8" t="s">
        <v>11131</v>
      </c>
      <c r="J3166" s="8" t="s">
        <v>11132</v>
      </c>
      <c r="K3166" s="8" t="s">
        <v>850</v>
      </c>
      <c r="L3166" s="8" t="s">
        <v>126</v>
      </c>
      <c r="M3166" s="8" t="s">
        <v>20057</v>
      </c>
      <c r="N3166" s="8" t="s">
        <v>128</v>
      </c>
      <c r="O3166" s="8" t="s">
        <v>20058</v>
      </c>
      <c r="P3166" s="8" t="s">
        <v>10771</v>
      </c>
      <c r="Q3166" s="8" t="s">
        <v>150</v>
      </c>
      <c r="R3166" s="8"/>
      <c r="S3166" s="8" t="s">
        <v>11136</v>
      </c>
      <c r="T3166" s="8" t="s">
        <v>1738</v>
      </c>
      <c r="U3166" s="8" t="s">
        <v>150</v>
      </c>
      <c r="V3166" s="8" t="s">
        <v>1738</v>
      </c>
      <c r="W3166" s="8" t="s">
        <v>1738</v>
      </c>
      <c r="X3166" s="8">
        <v>5</v>
      </c>
      <c r="Y3166" s="8" t="s">
        <v>12359</v>
      </c>
      <c r="Z3166" s="8">
        <v>20</v>
      </c>
      <c r="AA3166" s="8">
        <v>0</v>
      </c>
      <c r="AB3166" s="9">
        <v>0</v>
      </c>
    </row>
    <row r="3167" spans="1:28" x14ac:dyDescent="0.2">
      <c r="A3167" s="10">
        <v>24926</v>
      </c>
      <c r="B3167" s="11" t="s">
        <v>20059</v>
      </c>
      <c r="C3167" s="11" t="s">
        <v>1634</v>
      </c>
      <c r="D3167" s="11" t="s">
        <v>1635</v>
      </c>
      <c r="E3167" s="11"/>
      <c r="F3167" s="11" t="s">
        <v>16792</v>
      </c>
      <c r="G3167" s="11" t="s">
        <v>328</v>
      </c>
      <c r="H3167" s="11" t="s">
        <v>329</v>
      </c>
      <c r="I3167" s="11" t="s">
        <v>16793</v>
      </c>
      <c r="J3167" s="11" t="s">
        <v>16794</v>
      </c>
      <c r="K3167" s="11" t="s">
        <v>572</v>
      </c>
      <c r="L3167" s="11" t="s">
        <v>333</v>
      </c>
      <c r="M3167" s="11" t="s">
        <v>20060</v>
      </c>
      <c r="N3167" s="11" t="s">
        <v>128</v>
      </c>
      <c r="O3167" s="11" t="s">
        <v>20061</v>
      </c>
      <c r="P3167" s="11" t="s">
        <v>14304</v>
      </c>
      <c r="Q3167" s="11" t="s">
        <v>150</v>
      </c>
      <c r="R3167" s="11"/>
      <c r="S3167" s="11" t="s">
        <v>1643</v>
      </c>
      <c r="T3167" s="11" t="s">
        <v>1738</v>
      </c>
      <c r="U3167" s="11" t="s">
        <v>150</v>
      </c>
      <c r="V3167" s="11" t="s">
        <v>1738</v>
      </c>
      <c r="W3167" s="11" t="s">
        <v>1738</v>
      </c>
      <c r="X3167" s="11">
        <v>5</v>
      </c>
      <c r="Y3167" s="11" t="s">
        <v>12359</v>
      </c>
      <c r="Z3167" s="11">
        <v>20</v>
      </c>
      <c r="AA3167" s="11">
        <v>0</v>
      </c>
      <c r="AB3167" s="12">
        <v>0</v>
      </c>
    </row>
    <row r="3168" spans="1:28" x14ac:dyDescent="0.2">
      <c r="A3168" s="7">
        <v>24810</v>
      </c>
      <c r="B3168" s="8" t="s">
        <v>20062</v>
      </c>
      <c r="C3168" s="8" t="s">
        <v>15239</v>
      </c>
      <c r="D3168" s="8" t="s">
        <v>15240</v>
      </c>
      <c r="E3168" s="8"/>
      <c r="F3168" s="8" t="s">
        <v>13718</v>
      </c>
      <c r="G3168" s="8" t="s">
        <v>224</v>
      </c>
      <c r="H3168" s="8" t="s">
        <v>225</v>
      </c>
      <c r="I3168" s="8" t="s">
        <v>4240</v>
      </c>
      <c r="J3168" s="8" t="s">
        <v>13719</v>
      </c>
      <c r="K3168" s="8" t="s">
        <v>228</v>
      </c>
      <c r="L3168" s="8" t="s">
        <v>229</v>
      </c>
      <c r="M3168" s="8" t="s">
        <v>20063</v>
      </c>
      <c r="N3168" s="8" t="s">
        <v>128</v>
      </c>
      <c r="O3168" s="8" t="s">
        <v>20064</v>
      </c>
      <c r="P3168" s="8" t="s">
        <v>20065</v>
      </c>
      <c r="Q3168" s="8" t="s">
        <v>150</v>
      </c>
      <c r="R3168" s="8"/>
      <c r="S3168" s="8" t="s">
        <v>4244</v>
      </c>
      <c r="T3168" s="8" t="s">
        <v>1738</v>
      </c>
      <c r="U3168" s="8" t="s">
        <v>150</v>
      </c>
      <c r="V3168" s="8" t="s">
        <v>1738</v>
      </c>
      <c r="W3168" s="8" t="s">
        <v>1738</v>
      </c>
      <c r="X3168" s="8">
        <v>5</v>
      </c>
      <c r="Y3168" s="8" t="s">
        <v>12359</v>
      </c>
      <c r="Z3168" s="8">
        <v>20</v>
      </c>
      <c r="AA3168" s="8">
        <v>0</v>
      </c>
      <c r="AB3168" s="9">
        <v>0</v>
      </c>
    </row>
    <row r="3169" spans="1:28" x14ac:dyDescent="0.2">
      <c r="A3169" s="10">
        <v>24890</v>
      </c>
      <c r="B3169" s="11" t="s">
        <v>20066</v>
      </c>
      <c r="C3169" s="11" t="s">
        <v>1261</v>
      </c>
      <c r="D3169" s="11" t="s">
        <v>1262</v>
      </c>
      <c r="E3169" s="11"/>
      <c r="F3169" s="11" t="s">
        <v>20067</v>
      </c>
      <c r="G3169" s="11" t="s">
        <v>521</v>
      </c>
      <c r="H3169" s="11" t="s">
        <v>522</v>
      </c>
      <c r="I3169" s="11" t="s">
        <v>1264</v>
      </c>
      <c r="J3169" s="11" t="s">
        <v>12823</v>
      </c>
      <c r="K3169" s="11" t="s">
        <v>525</v>
      </c>
      <c r="L3169" s="11" t="s">
        <v>526</v>
      </c>
      <c r="M3169" s="11" t="s">
        <v>20068</v>
      </c>
      <c r="N3169" s="11" t="s">
        <v>128</v>
      </c>
      <c r="O3169" s="11" t="s">
        <v>20069</v>
      </c>
      <c r="P3169" s="11" t="s">
        <v>20070</v>
      </c>
      <c r="Q3169" s="11" t="s">
        <v>150</v>
      </c>
      <c r="R3169" s="11"/>
      <c r="S3169" s="11" t="s">
        <v>1269</v>
      </c>
      <c r="T3169" s="11" t="s">
        <v>1738</v>
      </c>
      <c r="U3169" s="11" t="s">
        <v>150</v>
      </c>
      <c r="V3169" s="11" t="s">
        <v>1738</v>
      </c>
      <c r="W3169" s="11" t="s">
        <v>1738</v>
      </c>
      <c r="X3169" s="11">
        <v>5</v>
      </c>
      <c r="Y3169" s="11" t="s">
        <v>12359</v>
      </c>
      <c r="Z3169" s="11">
        <v>20</v>
      </c>
      <c r="AA3169" s="11">
        <v>0</v>
      </c>
      <c r="AB3169" s="12">
        <v>0</v>
      </c>
    </row>
    <row r="3170" spans="1:28" x14ac:dyDescent="0.2">
      <c r="A3170" s="7">
        <v>167258</v>
      </c>
      <c r="B3170" s="8" t="s">
        <v>20071</v>
      </c>
      <c r="C3170" s="8" t="s">
        <v>1634</v>
      </c>
      <c r="D3170" s="8" t="s">
        <v>1635</v>
      </c>
      <c r="E3170" s="8" t="s">
        <v>15626</v>
      </c>
      <c r="F3170" s="8" t="s">
        <v>8621</v>
      </c>
      <c r="G3170" s="8" t="s">
        <v>328</v>
      </c>
      <c r="H3170" s="8" t="s">
        <v>329</v>
      </c>
      <c r="I3170" s="8" t="s">
        <v>16793</v>
      </c>
      <c r="J3170" s="8" t="s">
        <v>1639</v>
      </c>
      <c r="K3170" s="8" t="s">
        <v>572</v>
      </c>
      <c r="L3170" s="8" t="s">
        <v>333</v>
      </c>
      <c r="M3170" s="8" t="s">
        <v>20072</v>
      </c>
      <c r="N3170" s="8" t="s">
        <v>128</v>
      </c>
      <c r="O3170" s="8" t="s">
        <v>20073</v>
      </c>
      <c r="P3170" s="8"/>
      <c r="Q3170" s="8" t="s">
        <v>150</v>
      </c>
      <c r="R3170" s="8"/>
      <c r="S3170" s="8" t="s">
        <v>1643</v>
      </c>
      <c r="T3170" s="8" t="s">
        <v>4755</v>
      </c>
      <c r="U3170" s="8" t="s">
        <v>150</v>
      </c>
      <c r="V3170" s="8" t="s">
        <v>4755</v>
      </c>
      <c r="W3170" s="8" t="s">
        <v>4755</v>
      </c>
      <c r="X3170" s="8">
        <v>5</v>
      </c>
      <c r="Y3170" s="8" t="s">
        <v>12359</v>
      </c>
      <c r="Z3170" s="8">
        <v>20</v>
      </c>
      <c r="AA3170" s="8">
        <v>0</v>
      </c>
      <c r="AB3170" s="9">
        <v>0</v>
      </c>
    </row>
    <row r="3171" spans="1:28" x14ac:dyDescent="0.2">
      <c r="A3171" s="10">
        <v>23978</v>
      </c>
      <c r="B3171" s="11" t="s">
        <v>20074</v>
      </c>
      <c r="C3171" s="11" t="s">
        <v>2419</v>
      </c>
      <c r="D3171" s="11" t="s">
        <v>2420</v>
      </c>
      <c r="E3171" s="11" t="s">
        <v>20075</v>
      </c>
      <c r="F3171" s="11" t="s">
        <v>2422</v>
      </c>
      <c r="G3171" s="11" t="s">
        <v>2423</v>
      </c>
      <c r="H3171" s="11" t="s">
        <v>557</v>
      </c>
      <c r="I3171" s="11" t="s">
        <v>2424</v>
      </c>
      <c r="J3171" s="11" t="s">
        <v>2425</v>
      </c>
      <c r="K3171" s="11" t="s">
        <v>1562</v>
      </c>
      <c r="L3171" s="11" t="s">
        <v>229</v>
      </c>
      <c r="M3171" s="11" t="s">
        <v>20076</v>
      </c>
      <c r="N3171" s="11" t="s">
        <v>128</v>
      </c>
      <c r="O3171" s="11" t="s">
        <v>20077</v>
      </c>
      <c r="P3171" s="11"/>
      <c r="Q3171" s="11" t="s">
        <v>740</v>
      </c>
      <c r="R3171" s="11"/>
      <c r="S3171" s="11" t="s">
        <v>2429</v>
      </c>
      <c r="T3171" s="11" t="s">
        <v>1745</v>
      </c>
      <c r="U3171" s="11" t="s">
        <v>134</v>
      </c>
      <c r="V3171" s="11" t="s">
        <v>740</v>
      </c>
      <c r="W3171" s="11" t="s">
        <v>1745</v>
      </c>
      <c r="X3171" s="11">
        <v>5</v>
      </c>
      <c r="Y3171" s="11" t="s">
        <v>12359</v>
      </c>
      <c r="Z3171" s="11">
        <v>20</v>
      </c>
      <c r="AA3171" s="11">
        <v>0</v>
      </c>
      <c r="AB3171" s="12">
        <v>0</v>
      </c>
    </row>
    <row r="3172" spans="1:28" x14ac:dyDescent="0.2">
      <c r="A3172" s="7">
        <v>111758</v>
      </c>
      <c r="B3172" s="8" t="s">
        <v>20078</v>
      </c>
      <c r="C3172" s="8" t="s">
        <v>9466</v>
      </c>
      <c r="D3172" s="8" t="s">
        <v>2091</v>
      </c>
      <c r="E3172" s="8"/>
      <c r="F3172" s="8" t="s">
        <v>18351</v>
      </c>
      <c r="G3172" s="8" t="s">
        <v>224</v>
      </c>
      <c r="H3172" s="8" t="s">
        <v>225</v>
      </c>
      <c r="I3172" s="8" t="s">
        <v>9467</v>
      </c>
      <c r="J3172" s="8" t="s">
        <v>18352</v>
      </c>
      <c r="K3172" s="8" t="s">
        <v>228</v>
      </c>
      <c r="L3172" s="8" t="s">
        <v>229</v>
      </c>
      <c r="M3172" s="8" t="s">
        <v>20079</v>
      </c>
      <c r="N3172" s="8" t="s">
        <v>128</v>
      </c>
      <c r="O3172" s="8" t="s">
        <v>20080</v>
      </c>
      <c r="P3172" s="8"/>
      <c r="Q3172" s="8" t="s">
        <v>740</v>
      </c>
      <c r="R3172" s="8"/>
      <c r="S3172" s="8" t="s">
        <v>18355</v>
      </c>
      <c r="T3172" s="8" t="s">
        <v>1745</v>
      </c>
      <c r="U3172" s="8" t="s">
        <v>134</v>
      </c>
      <c r="V3172" s="8" t="s">
        <v>740</v>
      </c>
      <c r="W3172" s="8" t="s">
        <v>1745</v>
      </c>
      <c r="X3172" s="8">
        <v>5</v>
      </c>
      <c r="Y3172" s="8" t="s">
        <v>12359</v>
      </c>
      <c r="Z3172" s="8">
        <v>20</v>
      </c>
      <c r="AA3172" s="8">
        <v>0</v>
      </c>
      <c r="AB3172" s="9">
        <v>0</v>
      </c>
    </row>
    <row r="3173" spans="1:28" x14ac:dyDescent="0.2">
      <c r="A3173" s="10">
        <v>117181</v>
      </c>
      <c r="B3173" s="11" t="s">
        <v>20081</v>
      </c>
      <c r="C3173" s="11" t="s">
        <v>15877</v>
      </c>
      <c r="D3173" s="11" t="s">
        <v>3863</v>
      </c>
      <c r="E3173" s="11"/>
      <c r="F3173" s="11" t="s">
        <v>327</v>
      </c>
      <c r="G3173" s="11" t="s">
        <v>328</v>
      </c>
      <c r="H3173" s="11" t="s">
        <v>329</v>
      </c>
      <c r="I3173" s="11" t="s">
        <v>20082</v>
      </c>
      <c r="J3173" s="11" t="s">
        <v>15880</v>
      </c>
      <c r="K3173" s="11" t="s">
        <v>332</v>
      </c>
      <c r="L3173" s="11" t="s">
        <v>333</v>
      </c>
      <c r="M3173" s="11" t="s">
        <v>20083</v>
      </c>
      <c r="N3173" s="11" t="s">
        <v>128</v>
      </c>
      <c r="O3173" s="11" t="s">
        <v>20084</v>
      </c>
      <c r="P3173" s="11"/>
      <c r="Q3173" s="11" t="s">
        <v>740</v>
      </c>
      <c r="R3173" s="11"/>
      <c r="S3173" s="11" t="s">
        <v>15884</v>
      </c>
      <c r="T3173" s="11" t="s">
        <v>1745</v>
      </c>
      <c r="U3173" s="11" t="s">
        <v>134</v>
      </c>
      <c r="V3173" s="11" t="s">
        <v>740</v>
      </c>
      <c r="W3173" s="11" t="s">
        <v>1745</v>
      </c>
      <c r="X3173" s="11">
        <v>5</v>
      </c>
      <c r="Y3173" s="11" t="s">
        <v>12359</v>
      </c>
      <c r="Z3173" s="11">
        <v>20</v>
      </c>
      <c r="AA3173" s="11">
        <v>0</v>
      </c>
      <c r="AB3173" s="12">
        <v>0</v>
      </c>
    </row>
    <row r="3174" spans="1:28" x14ac:dyDescent="0.2">
      <c r="A3174" s="7">
        <v>25293</v>
      </c>
      <c r="B3174" s="8" t="s">
        <v>20085</v>
      </c>
      <c r="C3174" s="8" t="s">
        <v>15961</v>
      </c>
      <c r="D3174" s="8" t="s">
        <v>2447</v>
      </c>
      <c r="E3174" s="8" t="s">
        <v>15962</v>
      </c>
      <c r="F3174" s="8" t="s">
        <v>13305</v>
      </c>
      <c r="G3174" s="8" t="s">
        <v>7402</v>
      </c>
      <c r="H3174" s="8" t="s">
        <v>847</v>
      </c>
      <c r="I3174" s="8" t="s">
        <v>15963</v>
      </c>
      <c r="J3174" s="8" t="s">
        <v>15964</v>
      </c>
      <c r="K3174" s="8" t="s">
        <v>1091</v>
      </c>
      <c r="L3174" s="8" t="s">
        <v>126</v>
      </c>
      <c r="M3174" s="8" t="s">
        <v>20086</v>
      </c>
      <c r="N3174" s="8" t="s">
        <v>128</v>
      </c>
      <c r="O3174" s="8" t="s">
        <v>20087</v>
      </c>
      <c r="P3174" s="8"/>
      <c r="Q3174" s="8" t="s">
        <v>740</v>
      </c>
      <c r="R3174" s="8"/>
      <c r="S3174" s="8" t="s">
        <v>20088</v>
      </c>
      <c r="T3174" s="8" t="s">
        <v>741</v>
      </c>
      <c r="U3174" s="8" t="s">
        <v>134</v>
      </c>
      <c r="V3174" s="8" t="s">
        <v>740</v>
      </c>
      <c r="W3174" s="8" t="s">
        <v>741</v>
      </c>
      <c r="X3174" s="8">
        <v>5</v>
      </c>
      <c r="Y3174" s="8" t="s">
        <v>12359</v>
      </c>
      <c r="Z3174" s="8">
        <v>20</v>
      </c>
      <c r="AA3174" s="8">
        <v>0</v>
      </c>
      <c r="AB3174" s="9">
        <v>0</v>
      </c>
    </row>
    <row r="3175" spans="1:28" x14ac:dyDescent="0.2">
      <c r="A3175" s="10">
        <v>31404</v>
      </c>
      <c r="B3175" s="11" t="s">
        <v>20089</v>
      </c>
      <c r="C3175" s="11" t="s">
        <v>1261</v>
      </c>
      <c r="D3175" s="11" t="s">
        <v>1262</v>
      </c>
      <c r="E3175" s="11"/>
      <c r="F3175" s="11" t="s">
        <v>20067</v>
      </c>
      <c r="G3175" s="11" t="s">
        <v>521</v>
      </c>
      <c r="H3175" s="11" t="s">
        <v>522</v>
      </c>
      <c r="I3175" s="11" t="s">
        <v>1264</v>
      </c>
      <c r="J3175" s="11" t="s">
        <v>12823</v>
      </c>
      <c r="K3175" s="11" t="s">
        <v>525</v>
      </c>
      <c r="L3175" s="11" t="s">
        <v>526</v>
      </c>
      <c r="M3175" s="11" t="s">
        <v>20090</v>
      </c>
      <c r="N3175" s="11" t="s">
        <v>128</v>
      </c>
      <c r="O3175" s="11" t="s">
        <v>20091</v>
      </c>
      <c r="P3175" s="11"/>
      <c r="Q3175" s="11" t="s">
        <v>150</v>
      </c>
      <c r="R3175" s="11"/>
      <c r="S3175" s="11" t="s">
        <v>1269</v>
      </c>
      <c r="T3175" s="11" t="s">
        <v>20092</v>
      </c>
      <c r="U3175" s="11" t="s">
        <v>150</v>
      </c>
      <c r="V3175" s="11" t="s">
        <v>20092</v>
      </c>
      <c r="W3175" s="11" t="s">
        <v>20092</v>
      </c>
      <c r="X3175" s="11">
        <v>5</v>
      </c>
      <c r="Y3175" s="11" t="s">
        <v>12359</v>
      </c>
      <c r="Z3175" s="11">
        <v>20</v>
      </c>
      <c r="AA3175" s="11">
        <v>0</v>
      </c>
      <c r="AB3175" s="12">
        <v>0</v>
      </c>
    </row>
    <row r="3176" spans="1:28" x14ac:dyDescent="0.2">
      <c r="A3176" s="7">
        <v>26484</v>
      </c>
      <c r="B3176" s="8" t="s">
        <v>20093</v>
      </c>
      <c r="C3176" s="8" t="s">
        <v>20094</v>
      </c>
      <c r="D3176" s="8" t="s">
        <v>2547</v>
      </c>
      <c r="E3176" s="8" t="s">
        <v>281</v>
      </c>
      <c r="F3176" s="8" t="s">
        <v>20095</v>
      </c>
      <c r="G3176" s="8" t="s">
        <v>328</v>
      </c>
      <c r="H3176" s="8" t="s">
        <v>329</v>
      </c>
      <c r="I3176" s="8" t="s">
        <v>20096</v>
      </c>
      <c r="J3176" s="8" t="s">
        <v>20097</v>
      </c>
      <c r="K3176" s="8" t="s">
        <v>572</v>
      </c>
      <c r="L3176" s="8" t="s">
        <v>333</v>
      </c>
      <c r="M3176" s="8" t="s">
        <v>20098</v>
      </c>
      <c r="N3176" s="8" t="s">
        <v>128</v>
      </c>
      <c r="O3176" s="8" t="s">
        <v>20099</v>
      </c>
      <c r="P3176" s="8"/>
      <c r="Q3176" s="8" t="s">
        <v>249</v>
      </c>
      <c r="R3176" s="8"/>
      <c r="S3176" s="8" t="s">
        <v>20100</v>
      </c>
      <c r="T3176" s="8" t="s">
        <v>1523</v>
      </c>
      <c r="U3176" s="8" t="s">
        <v>134</v>
      </c>
      <c r="V3176" s="8" t="s">
        <v>249</v>
      </c>
      <c r="W3176" s="8" t="s">
        <v>1523</v>
      </c>
      <c r="X3176" s="8">
        <v>5</v>
      </c>
      <c r="Y3176" s="8" t="s">
        <v>12359</v>
      </c>
      <c r="Z3176" s="8">
        <v>20</v>
      </c>
      <c r="AA3176" s="8">
        <v>0</v>
      </c>
      <c r="AB3176" s="9">
        <v>0</v>
      </c>
    </row>
    <row r="3177" spans="1:28" x14ac:dyDescent="0.2">
      <c r="A3177" s="10">
        <v>21772</v>
      </c>
      <c r="B3177" s="11" t="s">
        <v>20101</v>
      </c>
      <c r="C3177" s="11" t="s">
        <v>1645</v>
      </c>
      <c r="D3177" s="11" t="s">
        <v>1646</v>
      </c>
      <c r="E3177" s="11" t="s">
        <v>20102</v>
      </c>
      <c r="F3177" s="11" t="s">
        <v>1648</v>
      </c>
      <c r="G3177" s="11" t="s">
        <v>328</v>
      </c>
      <c r="H3177" s="11" t="s">
        <v>329</v>
      </c>
      <c r="I3177" s="11" t="s">
        <v>1649</v>
      </c>
      <c r="J3177" s="11" t="s">
        <v>1650</v>
      </c>
      <c r="K3177" s="11" t="s">
        <v>572</v>
      </c>
      <c r="L3177" s="11" t="s">
        <v>333</v>
      </c>
      <c r="M3177" s="11" t="s">
        <v>20103</v>
      </c>
      <c r="N3177" s="11" t="s">
        <v>128</v>
      </c>
      <c r="O3177" s="11" t="s">
        <v>20104</v>
      </c>
      <c r="P3177" s="11"/>
      <c r="Q3177" s="11" t="s">
        <v>249</v>
      </c>
      <c r="R3177" s="11"/>
      <c r="S3177" s="11" t="s">
        <v>1654</v>
      </c>
      <c r="T3177" s="11" t="s">
        <v>1523</v>
      </c>
      <c r="U3177" s="11" t="s">
        <v>134</v>
      </c>
      <c r="V3177" s="11" t="s">
        <v>249</v>
      </c>
      <c r="W3177" s="11" t="s">
        <v>1523</v>
      </c>
      <c r="X3177" s="11">
        <v>5</v>
      </c>
      <c r="Y3177" s="11" t="s">
        <v>12359</v>
      </c>
      <c r="Z3177" s="11">
        <v>20</v>
      </c>
      <c r="AA3177" s="11">
        <v>0</v>
      </c>
      <c r="AB3177" s="12">
        <v>0</v>
      </c>
    </row>
    <row r="3178" spans="1:28" x14ac:dyDescent="0.2">
      <c r="A3178" s="7">
        <v>115226</v>
      </c>
      <c r="B3178" s="8" t="s">
        <v>20105</v>
      </c>
      <c r="C3178" s="8" t="s">
        <v>2870</v>
      </c>
      <c r="D3178" s="8" t="s">
        <v>2871</v>
      </c>
      <c r="E3178" s="8" t="s">
        <v>20106</v>
      </c>
      <c r="F3178" s="8" t="s">
        <v>2872</v>
      </c>
      <c r="G3178" s="8" t="s">
        <v>450</v>
      </c>
      <c r="H3178" s="8" t="s">
        <v>301</v>
      </c>
      <c r="I3178" s="8" t="s">
        <v>2873</v>
      </c>
      <c r="J3178" s="8" t="s">
        <v>2874</v>
      </c>
      <c r="K3178" s="8" t="s">
        <v>304</v>
      </c>
      <c r="L3178" s="8" t="s">
        <v>229</v>
      </c>
      <c r="M3178" s="8" t="s">
        <v>20107</v>
      </c>
      <c r="N3178" s="8" t="s">
        <v>128</v>
      </c>
      <c r="O3178" s="8" t="s">
        <v>20108</v>
      </c>
      <c r="P3178" s="8"/>
      <c r="Q3178" s="8" t="s">
        <v>249</v>
      </c>
      <c r="R3178" s="8"/>
      <c r="S3178" s="8" t="s">
        <v>2877</v>
      </c>
      <c r="T3178" s="8" t="s">
        <v>1523</v>
      </c>
      <c r="U3178" s="8" t="s">
        <v>134</v>
      </c>
      <c r="V3178" s="8" t="s">
        <v>249</v>
      </c>
      <c r="W3178" s="8" t="s">
        <v>1523</v>
      </c>
      <c r="X3178" s="8">
        <v>5</v>
      </c>
      <c r="Y3178" s="8" t="s">
        <v>12359</v>
      </c>
      <c r="Z3178" s="8">
        <v>20</v>
      </c>
      <c r="AA3178" s="8">
        <v>0</v>
      </c>
      <c r="AB3178" s="9">
        <v>0</v>
      </c>
    </row>
    <row r="3179" spans="1:28" x14ac:dyDescent="0.2">
      <c r="A3179" s="10">
        <v>183908</v>
      </c>
      <c r="B3179" s="11" t="s">
        <v>20109</v>
      </c>
      <c r="C3179" s="11" t="s">
        <v>16630</v>
      </c>
      <c r="D3179" s="11" t="s">
        <v>1064</v>
      </c>
      <c r="E3179" s="11" t="s">
        <v>20110</v>
      </c>
      <c r="F3179" s="11" t="s">
        <v>16631</v>
      </c>
      <c r="G3179" s="11" t="s">
        <v>776</v>
      </c>
      <c r="H3179" s="11" t="s">
        <v>142</v>
      </c>
      <c r="I3179" s="11" t="s">
        <v>16632</v>
      </c>
      <c r="J3179" s="11" t="s">
        <v>16633</v>
      </c>
      <c r="K3179" s="11" t="s">
        <v>779</v>
      </c>
      <c r="L3179" s="11" t="s">
        <v>464</v>
      </c>
      <c r="M3179" s="11" t="s">
        <v>20111</v>
      </c>
      <c r="N3179" s="11" t="s">
        <v>128</v>
      </c>
      <c r="O3179" s="11" t="s">
        <v>20112</v>
      </c>
      <c r="P3179" s="11"/>
      <c r="Q3179" s="11" t="s">
        <v>249</v>
      </c>
      <c r="R3179" s="11"/>
      <c r="S3179" s="11" t="s">
        <v>16636</v>
      </c>
      <c r="T3179" s="11" t="s">
        <v>1523</v>
      </c>
      <c r="U3179" s="11" t="s">
        <v>134</v>
      </c>
      <c r="V3179" s="11" t="s">
        <v>249</v>
      </c>
      <c r="W3179" s="11" t="s">
        <v>1523</v>
      </c>
      <c r="X3179" s="11">
        <v>5</v>
      </c>
      <c r="Y3179" s="11" t="s">
        <v>12359</v>
      </c>
      <c r="Z3179" s="11">
        <v>20</v>
      </c>
      <c r="AA3179" s="11">
        <v>0</v>
      </c>
      <c r="AB3179" s="12">
        <v>0</v>
      </c>
    </row>
    <row r="3180" spans="1:28" x14ac:dyDescent="0.2">
      <c r="A3180" s="7">
        <v>31541</v>
      </c>
      <c r="B3180" s="8" t="s">
        <v>20113</v>
      </c>
      <c r="C3180" s="8" t="s">
        <v>16496</v>
      </c>
      <c r="D3180" s="8" t="s">
        <v>138</v>
      </c>
      <c r="E3180" s="8"/>
      <c r="F3180" s="8" t="s">
        <v>6510</v>
      </c>
      <c r="G3180" s="8" t="s">
        <v>141</v>
      </c>
      <c r="H3180" s="8" t="s">
        <v>142</v>
      </c>
      <c r="I3180" s="8" t="s">
        <v>6511</v>
      </c>
      <c r="J3180" s="8" t="s">
        <v>20114</v>
      </c>
      <c r="K3180" s="8" t="s">
        <v>472</v>
      </c>
      <c r="L3180" s="8" t="s">
        <v>146</v>
      </c>
      <c r="M3180" s="8" t="s">
        <v>20115</v>
      </c>
      <c r="N3180" s="8" t="s">
        <v>128</v>
      </c>
      <c r="O3180" s="8" t="s">
        <v>16655</v>
      </c>
      <c r="P3180" s="8"/>
      <c r="Q3180" s="8" t="s">
        <v>249</v>
      </c>
      <c r="R3180" s="8"/>
      <c r="S3180" s="8" t="s">
        <v>6516</v>
      </c>
      <c r="T3180" s="8" t="s">
        <v>1523</v>
      </c>
      <c r="U3180" s="8" t="s">
        <v>134</v>
      </c>
      <c r="V3180" s="8" t="s">
        <v>249</v>
      </c>
      <c r="W3180" s="8" t="s">
        <v>1523</v>
      </c>
      <c r="X3180" s="8">
        <v>5</v>
      </c>
      <c r="Y3180" s="8" t="s">
        <v>12359</v>
      </c>
      <c r="Z3180" s="8">
        <v>20</v>
      </c>
      <c r="AA3180" s="8">
        <v>0</v>
      </c>
      <c r="AB3180" s="9">
        <v>0</v>
      </c>
    </row>
    <row r="3181" spans="1:28" x14ac:dyDescent="0.2">
      <c r="A3181" s="10">
        <v>26478</v>
      </c>
      <c r="B3181" s="11" t="s">
        <v>20116</v>
      </c>
      <c r="C3181" s="11" t="s">
        <v>324</v>
      </c>
      <c r="D3181" s="11" t="s">
        <v>19723</v>
      </c>
      <c r="E3181" s="11"/>
      <c r="F3181" s="11" t="s">
        <v>327</v>
      </c>
      <c r="G3181" s="11" t="s">
        <v>328</v>
      </c>
      <c r="H3181" s="11" t="s">
        <v>329</v>
      </c>
      <c r="I3181" s="11" t="s">
        <v>19724</v>
      </c>
      <c r="J3181" s="11" t="s">
        <v>19872</v>
      </c>
      <c r="K3181" s="11" t="s">
        <v>332</v>
      </c>
      <c r="L3181" s="11" t="s">
        <v>333</v>
      </c>
      <c r="M3181" s="11" t="s">
        <v>20117</v>
      </c>
      <c r="N3181" s="11" t="s">
        <v>128</v>
      </c>
      <c r="O3181" s="11" t="s">
        <v>20118</v>
      </c>
      <c r="P3181" s="11"/>
      <c r="Q3181" s="11" t="s">
        <v>249</v>
      </c>
      <c r="R3181" s="11"/>
      <c r="S3181" s="11" t="s">
        <v>19729</v>
      </c>
      <c r="T3181" s="11" t="s">
        <v>1523</v>
      </c>
      <c r="U3181" s="11" t="s">
        <v>134</v>
      </c>
      <c r="V3181" s="11" t="s">
        <v>249</v>
      </c>
      <c r="W3181" s="11" t="s">
        <v>1523</v>
      </c>
      <c r="X3181" s="11">
        <v>5</v>
      </c>
      <c r="Y3181" s="11" t="s">
        <v>12359</v>
      </c>
      <c r="Z3181" s="11">
        <v>20</v>
      </c>
      <c r="AA3181" s="11">
        <v>0</v>
      </c>
      <c r="AB3181" s="12">
        <v>0</v>
      </c>
    </row>
    <row r="3182" spans="1:28" x14ac:dyDescent="0.2">
      <c r="A3182" s="7">
        <v>37886</v>
      </c>
      <c r="B3182" s="8" t="s">
        <v>20119</v>
      </c>
      <c r="C3182" s="8" t="s">
        <v>808</v>
      </c>
      <c r="D3182" s="8" t="s">
        <v>809</v>
      </c>
      <c r="E3182" s="8"/>
      <c r="F3182" s="8" t="s">
        <v>20120</v>
      </c>
      <c r="G3182" s="8" t="s">
        <v>141</v>
      </c>
      <c r="H3182" s="8" t="s">
        <v>142</v>
      </c>
      <c r="I3182" s="8" t="s">
        <v>812</v>
      </c>
      <c r="J3182" s="8" t="s">
        <v>20121</v>
      </c>
      <c r="K3182" s="8" t="s">
        <v>403</v>
      </c>
      <c r="L3182" s="8" t="s">
        <v>146</v>
      </c>
      <c r="M3182" s="8" t="s">
        <v>20122</v>
      </c>
      <c r="N3182" s="8" t="s">
        <v>128</v>
      </c>
      <c r="O3182" s="8" t="s">
        <v>20123</v>
      </c>
      <c r="P3182" s="8"/>
      <c r="Q3182" s="8" t="s">
        <v>249</v>
      </c>
      <c r="R3182" s="8"/>
      <c r="S3182" s="8" t="s">
        <v>817</v>
      </c>
      <c r="T3182" s="8" t="s">
        <v>1523</v>
      </c>
      <c r="U3182" s="8" t="s">
        <v>134</v>
      </c>
      <c r="V3182" s="8" t="s">
        <v>249</v>
      </c>
      <c r="W3182" s="8" t="s">
        <v>1523</v>
      </c>
      <c r="X3182" s="8">
        <v>5</v>
      </c>
      <c r="Y3182" s="8" t="s">
        <v>12359</v>
      </c>
      <c r="Z3182" s="8">
        <v>20</v>
      </c>
      <c r="AA3182" s="8">
        <v>0</v>
      </c>
      <c r="AB3182" s="9">
        <v>0</v>
      </c>
    </row>
    <row r="3183" spans="1:28" x14ac:dyDescent="0.2">
      <c r="A3183" s="10">
        <v>125666</v>
      </c>
      <c r="B3183" s="11" t="s">
        <v>20124</v>
      </c>
      <c r="C3183" s="11" t="s">
        <v>18994</v>
      </c>
      <c r="D3183" s="11" t="s">
        <v>4623</v>
      </c>
      <c r="E3183" s="11"/>
      <c r="F3183" s="11" t="s">
        <v>20125</v>
      </c>
      <c r="G3183" s="11" t="s">
        <v>18996</v>
      </c>
      <c r="H3183" s="11" t="s">
        <v>616</v>
      </c>
      <c r="I3183" s="11" t="s">
        <v>19670</v>
      </c>
      <c r="J3183" s="11" t="s">
        <v>18998</v>
      </c>
      <c r="K3183" s="11" t="s">
        <v>619</v>
      </c>
      <c r="L3183" s="11" t="s">
        <v>163</v>
      </c>
      <c r="M3183" s="11" t="s">
        <v>20126</v>
      </c>
      <c r="N3183" s="11" t="s">
        <v>128</v>
      </c>
      <c r="O3183" s="11" t="s">
        <v>20127</v>
      </c>
      <c r="P3183" s="11"/>
      <c r="Q3183" s="11" t="s">
        <v>249</v>
      </c>
      <c r="R3183" s="11"/>
      <c r="S3183" s="11" t="s">
        <v>19002</v>
      </c>
      <c r="T3183" s="11" t="s">
        <v>1523</v>
      </c>
      <c r="U3183" s="11" t="s">
        <v>134</v>
      </c>
      <c r="V3183" s="11" t="s">
        <v>249</v>
      </c>
      <c r="W3183" s="11" t="s">
        <v>1523</v>
      </c>
      <c r="X3183" s="11">
        <v>5</v>
      </c>
      <c r="Y3183" s="11" t="s">
        <v>12359</v>
      </c>
      <c r="Z3183" s="11">
        <v>20</v>
      </c>
      <c r="AA3183" s="11">
        <v>0</v>
      </c>
      <c r="AB3183" s="12">
        <v>0</v>
      </c>
    </row>
    <row r="3184" spans="1:28" x14ac:dyDescent="0.2">
      <c r="A3184" s="7">
        <v>31501</v>
      </c>
      <c r="B3184" s="8" t="s">
        <v>20128</v>
      </c>
      <c r="C3184" s="8" t="s">
        <v>11354</v>
      </c>
      <c r="D3184" s="8" t="s">
        <v>2173</v>
      </c>
      <c r="E3184" s="8"/>
      <c r="F3184" s="8" t="s">
        <v>353</v>
      </c>
      <c r="G3184" s="8" t="s">
        <v>11130</v>
      </c>
      <c r="H3184" s="8" t="s">
        <v>704</v>
      </c>
      <c r="I3184" s="8"/>
      <c r="J3184" s="8" t="s">
        <v>20129</v>
      </c>
      <c r="K3184" s="8" t="s">
        <v>850</v>
      </c>
      <c r="L3184" s="8" t="s">
        <v>126</v>
      </c>
      <c r="M3184" s="8" t="s">
        <v>20130</v>
      </c>
      <c r="N3184" s="8" t="s">
        <v>128</v>
      </c>
      <c r="O3184" s="8" t="s">
        <v>20131</v>
      </c>
      <c r="P3184" s="8"/>
      <c r="Q3184" s="8" t="s">
        <v>249</v>
      </c>
      <c r="R3184" s="8"/>
      <c r="S3184" s="8" t="s">
        <v>71</v>
      </c>
      <c r="T3184" s="8" t="s">
        <v>1523</v>
      </c>
      <c r="U3184" s="8" t="s">
        <v>134</v>
      </c>
      <c r="V3184" s="8" t="s">
        <v>249</v>
      </c>
      <c r="W3184" s="8" t="s">
        <v>1523</v>
      </c>
      <c r="X3184" s="8">
        <v>5</v>
      </c>
      <c r="Y3184" s="8" t="s">
        <v>12359</v>
      </c>
      <c r="Z3184" s="8">
        <v>20</v>
      </c>
      <c r="AA3184" s="8">
        <v>0</v>
      </c>
      <c r="AB3184" s="9">
        <v>0</v>
      </c>
    </row>
    <row r="3185" spans="1:28" x14ac:dyDescent="0.2">
      <c r="A3185" s="10">
        <v>124145</v>
      </c>
      <c r="B3185" s="11" t="s">
        <v>20132</v>
      </c>
      <c r="C3185" s="11" t="s">
        <v>773</v>
      </c>
      <c r="D3185" s="11" t="s">
        <v>2191</v>
      </c>
      <c r="E3185" s="11"/>
      <c r="F3185" s="11" t="s">
        <v>353</v>
      </c>
      <c r="G3185" s="11" t="s">
        <v>776</v>
      </c>
      <c r="H3185" s="11" t="s">
        <v>142</v>
      </c>
      <c r="I3185" s="11" t="s">
        <v>777</v>
      </c>
      <c r="J3185" s="11" t="s">
        <v>20133</v>
      </c>
      <c r="K3185" s="11" t="s">
        <v>779</v>
      </c>
      <c r="L3185" s="11" t="s">
        <v>464</v>
      </c>
      <c r="M3185" s="11" t="s">
        <v>20134</v>
      </c>
      <c r="N3185" s="11" t="s">
        <v>128</v>
      </c>
      <c r="O3185" s="11" t="s">
        <v>20135</v>
      </c>
      <c r="P3185" s="11"/>
      <c r="Q3185" s="11" t="s">
        <v>249</v>
      </c>
      <c r="R3185" s="11"/>
      <c r="S3185" s="11" t="s">
        <v>71</v>
      </c>
      <c r="T3185" s="11" t="s">
        <v>1523</v>
      </c>
      <c r="U3185" s="11" t="s">
        <v>134</v>
      </c>
      <c r="V3185" s="11" t="s">
        <v>249</v>
      </c>
      <c r="W3185" s="11" t="s">
        <v>1523</v>
      </c>
      <c r="X3185" s="11">
        <v>5</v>
      </c>
      <c r="Y3185" s="11" t="s">
        <v>12359</v>
      </c>
      <c r="Z3185" s="11">
        <v>20</v>
      </c>
      <c r="AA3185" s="11">
        <v>0</v>
      </c>
      <c r="AB3185" s="12">
        <v>0</v>
      </c>
    </row>
    <row r="3186" spans="1:28" x14ac:dyDescent="0.2">
      <c r="A3186" s="7">
        <v>31537</v>
      </c>
      <c r="B3186" s="8" t="s">
        <v>20136</v>
      </c>
      <c r="C3186" s="8" t="s">
        <v>2664</v>
      </c>
      <c r="D3186" s="8" t="s">
        <v>2665</v>
      </c>
      <c r="E3186" s="8"/>
      <c r="F3186" s="8" t="s">
        <v>10133</v>
      </c>
      <c r="G3186" s="8" t="s">
        <v>190</v>
      </c>
      <c r="H3186" s="8" t="s">
        <v>191</v>
      </c>
      <c r="I3186" s="8" t="s">
        <v>2668</v>
      </c>
      <c r="J3186" s="8" t="s">
        <v>11871</v>
      </c>
      <c r="K3186" s="8" t="s">
        <v>194</v>
      </c>
      <c r="L3186" s="8" t="s">
        <v>163</v>
      </c>
      <c r="M3186" s="8" t="s">
        <v>20137</v>
      </c>
      <c r="N3186" s="8" t="s">
        <v>128</v>
      </c>
      <c r="O3186" s="8" t="s">
        <v>20138</v>
      </c>
      <c r="P3186" s="8" t="s">
        <v>20139</v>
      </c>
      <c r="Q3186" s="8" t="s">
        <v>249</v>
      </c>
      <c r="R3186" s="8"/>
      <c r="S3186" s="8" t="s">
        <v>2672</v>
      </c>
      <c r="T3186" s="8" t="s">
        <v>250</v>
      </c>
      <c r="U3186" s="8" t="s">
        <v>134</v>
      </c>
      <c r="V3186" s="8" t="s">
        <v>249</v>
      </c>
      <c r="W3186" s="8" t="s">
        <v>250</v>
      </c>
      <c r="X3186" s="8">
        <v>5</v>
      </c>
      <c r="Y3186" s="8" t="s">
        <v>12359</v>
      </c>
      <c r="Z3186" s="8">
        <v>20</v>
      </c>
      <c r="AA3186" s="8">
        <v>0</v>
      </c>
      <c r="AB3186" s="9">
        <v>0</v>
      </c>
    </row>
    <row r="3187" spans="1:28" x14ac:dyDescent="0.2">
      <c r="A3187" s="10">
        <v>31627</v>
      </c>
      <c r="B3187" s="11" t="s">
        <v>20140</v>
      </c>
      <c r="C3187" s="11" t="s">
        <v>13645</v>
      </c>
      <c r="D3187" s="11" t="s">
        <v>13646</v>
      </c>
      <c r="E3187" s="11"/>
      <c r="F3187" s="11" t="s">
        <v>13647</v>
      </c>
      <c r="G3187" s="11" t="s">
        <v>5804</v>
      </c>
      <c r="H3187" s="11" t="s">
        <v>5805</v>
      </c>
      <c r="I3187" s="11" t="s">
        <v>13648</v>
      </c>
      <c r="J3187" s="11" t="s">
        <v>13649</v>
      </c>
      <c r="K3187" s="11" t="s">
        <v>274</v>
      </c>
      <c r="L3187" s="11" t="s">
        <v>163</v>
      </c>
      <c r="M3187" s="11" t="s">
        <v>20141</v>
      </c>
      <c r="N3187" s="11" t="s">
        <v>128</v>
      </c>
      <c r="O3187" s="11" t="s">
        <v>20142</v>
      </c>
      <c r="P3187" s="11" t="s">
        <v>20143</v>
      </c>
      <c r="Q3187" s="11" t="s">
        <v>249</v>
      </c>
      <c r="R3187" s="11"/>
      <c r="S3187" s="11" t="s">
        <v>13652</v>
      </c>
      <c r="T3187" s="11" t="s">
        <v>250</v>
      </c>
      <c r="U3187" s="11" t="s">
        <v>134</v>
      </c>
      <c r="V3187" s="11" t="s">
        <v>249</v>
      </c>
      <c r="W3187" s="11" t="s">
        <v>250</v>
      </c>
      <c r="X3187" s="11">
        <v>5</v>
      </c>
      <c r="Y3187" s="11" t="s">
        <v>12359</v>
      </c>
      <c r="Z3187" s="11">
        <v>20</v>
      </c>
      <c r="AA3187" s="11">
        <v>0</v>
      </c>
      <c r="AB3187" s="12">
        <v>0</v>
      </c>
    </row>
    <row r="3188" spans="1:28" x14ac:dyDescent="0.2">
      <c r="A3188" s="7">
        <v>20765</v>
      </c>
      <c r="B3188" s="8" t="s">
        <v>20144</v>
      </c>
      <c r="C3188" s="8" t="s">
        <v>20145</v>
      </c>
      <c r="D3188" s="8" t="s">
        <v>20146</v>
      </c>
      <c r="E3188" s="8" t="s">
        <v>20147</v>
      </c>
      <c r="F3188" s="8" t="s">
        <v>20148</v>
      </c>
      <c r="G3188" s="8" t="s">
        <v>521</v>
      </c>
      <c r="H3188" s="8" t="s">
        <v>522</v>
      </c>
      <c r="I3188" s="8" t="s">
        <v>20149</v>
      </c>
      <c r="J3188" s="8" t="s">
        <v>20150</v>
      </c>
      <c r="K3188" s="8" t="s">
        <v>525</v>
      </c>
      <c r="L3188" s="8" t="s">
        <v>526</v>
      </c>
      <c r="M3188" s="8" t="s">
        <v>20151</v>
      </c>
      <c r="N3188" s="8" t="s">
        <v>128</v>
      </c>
      <c r="O3188" s="8" t="s">
        <v>20152</v>
      </c>
      <c r="P3188" s="8" t="s">
        <v>20153</v>
      </c>
      <c r="Q3188" s="8" t="s">
        <v>150</v>
      </c>
      <c r="R3188" s="8"/>
      <c r="S3188" s="8" t="s">
        <v>20154</v>
      </c>
      <c r="T3188" s="8" t="s">
        <v>531</v>
      </c>
      <c r="U3188" s="8" t="s">
        <v>150</v>
      </c>
      <c r="V3188" s="8" t="s">
        <v>531</v>
      </c>
      <c r="W3188" s="8" t="s">
        <v>531</v>
      </c>
      <c r="X3188" s="8">
        <v>4</v>
      </c>
      <c r="Y3188" s="8" t="s">
        <v>12359</v>
      </c>
      <c r="Z3188" s="8">
        <v>20</v>
      </c>
      <c r="AA3188" s="8">
        <v>0</v>
      </c>
      <c r="AB3188" s="9">
        <v>0</v>
      </c>
    </row>
    <row r="3189" spans="1:28" x14ac:dyDescent="0.2">
      <c r="A3189" s="10">
        <v>28677</v>
      </c>
      <c r="B3189" s="11" t="s">
        <v>20155</v>
      </c>
      <c r="C3189" s="11" t="s">
        <v>11354</v>
      </c>
      <c r="D3189" s="11" t="s">
        <v>5166</v>
      </c>
      <c r="E3189" s="11"/>
      <c r="F3189" s="11" t="s">
        <v>353</v>
      </c>
      <c r="G3189" s="11" t="s">
        <v>11130</v>
      </c>
      <c r="H3189" s="11" t="s">
        <v>704</v>
      </c>
      <c r="I3189" s="11"/>
      <c r="J3189" s="11" t="s">
        <v>20156</v>
      </c>
      <c r="K3189" s="11" t="s">
        <v>850</v>
      </c>
      <c r="L3189" s="11" t="s">
        <v>126</v>
      </c>
      <c r="M3189" s="11" t="s">
        <v>20157</v>
      </c>
      <c r="N3189" s="11" t="s">
        <v>128</v>
      </c>
      <c r="O3189" s="11"/>
      <c r="P3189" s="11"/>
      <c r="Q3189" s="11" t="s">
        <v>150</v>
      </c>
      <c r="R3189" s="11"/>
      <c r="S3189" s="11" t="s">
        <v>71</v>
      </c>
      <c r="T3189" s="11" t="s">
        <v>16012</v>
      </c>
      <c r="U3189" s="11" t="s">
        <v>150</v>
      </c>
      <c r="V3189" s="11" t="s">
        <v>16012</v>
      </c>
      <c r="W3189" s="11" t="s">
        <v>16012</v>
      </c>
      <c r="X3189" s="11">
        <v>4</v>
      </c>
      <c r="Y3189" s="11" t="s">
        <v>12359</v>
      </c>
      <c r="Z3189" s="11">
        <v>20</v>
      </c>
      <c r="AA3189" s="11">
        <v>0</v>
      </c>
      <c r="AB3189" s="12">
        <v>0</v>
      </c>
    </row>
    <row r="3190" spans="1:28" x14ac:dyDescent="0.2">
      <c r="A3190" s="7">
        <v>20819</v>
      </c>
      <c r="B3190" s="8" t="s">
        <v>20158</v>
      </c>
      <c r="C3190" s="8" t="s">
        <v>7976</v>
      </c>
      <c r="D3190" s="8" t="s">
        <v>12009</v>
      </c>
      <c r="E3190" s="8"/>
      <c r="F3190" s="8" t="s">
        <v>20159</v>
      </c>
      <c r="G3190" s="8" t="s">
        <v>846</v>
      </c>
      <c r="H3190" s="8" t="s">
        <v>847</v>
      </c>
      <c r="I3190" s="8" t="s">
        <v>20160</v>
      </c>
      <c r="J3190" s="8" t="s">
        <v>20161</v>
      </c>
      <c r="K3190" s="8" t="s">
        <v>850</v>
      </c>
      <c r="L3190" s="8" t="s">
        <v>126</v>
      </c>
      <c r="M3190" s="8" t="s">
        <v>20162</v>
      </c>
      <c r="N3190" s="8" t="s">
        <v>128</v>
      </c>
      <c r="O3190" s="8" t="s">
        <v>20163</v>
      </c>
      <c r="P3190" s="8" t="s">
        <v>20164</v>
      </c>
      <c r="Q3190" s="8" t="s">
        <v>150</v>
      </c>
      <c r="R3190" s="8"/>
      <c r="S3190" s="8" t="s">
        <v>71</v>
      </c>
      <c r="T3190" s="8" t="s">
        <v>289</v>
      </c>
      <c r="U3190" s="8" t="s">
        <v>150</v>
      </c>
      <c r="V3190" s="8" t="s">
        <v>289</v>
      </c>
      <c r="W3190" s="8" t="s">
        <v>289</v>
      </c>
      <c r="X3190" s="8">
        <v>4</v>
      </c>
      <c r="Y3190" s="8" t="s">
        <v>12359</v>
      </c>
      <c r="Z3190" s="8">
        <v>20</v>
      </c>
      <c r="AA3190" s="8">
        <v>0</v>
      </c>
      <c r="AB3190" s="9">
        <v>0</v>
      </c>
    </row>
    <row r="3191" spans="1:28" x14ac:dyDescent="0.2">
      <c r="A3191" s="10">
        <v>21172</v>
      </c>
      <c r="B3191" s="11" t="s">
        <v>20165</v>
      </c>
      <c r="C3191" s="11" t="s">
        <v>10989</v>
      </c>
      <c r="D3191" s="11" t="s">
        <v>3554</v>
      </c>
      <c r="E3191" s="11"/>
      <c r="F3191" s="11" t="s">
        <v>20166</v>
      </c>
      <c r="G3191" s="11" t="s">
        <v>158</v>
      </c>
      <c r="H3191" s="11" t="s">
        <v>159</v>
      </c>
      <c r="I3191" s="11" t="s">
        <v>20167</v>
      </c>
      <c r="J3191" s="11" t="s">
        <v>20168</v>
      </c>
      <c r="K3191" s="11" t="s">
        <v>274</v>
      </c>
      <c r="L3191" s="11" t="s">
        <v>163</v>
      </c>
      <c r="M3191" s="11" t="s">
        <v>20169</v>
      </c>
      <c r="N3191" s="11" t="s">
        <v>128</v>
      </c>
      <c r="O3191" s="11" t="s">
        <v>20170</v>
      </c>
      <c r="P3191" s="11" t="s">
        <v>20171</v>
      </c>
      <c r="Q3191" s="11" t="s">
        <v>150</v>
      </c>
      <c r="R3191" s="11"/>
      <c r="S3191" s="11" t="s">
        <v>71</v>
      </c>
      <c r="T3191" s="11" t="s">
        <v>289</v>
      </c>
      <c r="U3191" s="11" t="s">
        <v>150</v>
      </c>
      <c r="V3191" s="11" t="s">
        <v>289</v>
      </c>
      <c r="W3191" s="11" t="s">
        <v>289</v>
      </c>
      <c r="X3191" s="11">
        <v>4</v>
      </c>
      <c r="Y3191" s="11" t="s">
        <v>12359</v>
      </c>
      <c r="Z3191" s="11">
        <v>20</v>
      </c>
      <c r="AA3191" s="11">
        <v>0</v>
      </c>
      <c r="AB3191" s="12">
        <v>0</v>
      </c>
    </row>
    <row r="3192" spans="1:28" x14ac:dyDescent="0.2">
      <c r="A3192" s="7">
        <v>21241</v>
      </c>
      <c r="B3192" s="8" t="s">
        <v>20172</v>
      </c>
      <c r="C3192" s="8" t="s">
        <v>426</v>
      </c>
      <c r="D3192" s="8" t="s">
        <v>7852</v>
      </c>
      <c r="E3192" s="8" t="s">
        <v>7853</v>
      </c>
      <c r="F3192" s="8" t="s">
        <v>353</v>
      </c>
      <c r="G3192" s="8" t="s">
        <v>428</v>
      </c>
      <c r="H3192" s="8" t="s">
        <v>329</v>
      </c>
      <c r="I3192" s="8" t="s">
        <v>429</v>
      </c>
      <c r="J3192" s="8" t="s">
        <v>20173</v>
      </c>
      <c r="K3192" s="8" t="s">
        <v>431</v>
      </c>
      <c r="L3192" s="8" t="s">
        <v>333</v>
      </c>
      <c r="M3192" s="8" t="s">
        <v>20174</v>
      </c>
      <c r="N3192" s="8" t="s">
        <v>128</v>
      </c>
      <c r="O3192" s="8"/>
      <c r="P3192" s="8"/>
      <c r="Q3192" s="8" t="s">
        <v>150</v>
      </c>
      <c r="R3192" s="8"/>
      <c r="S3192" s="8" t="s">
        <v>71</v>
      </c>
      <c r="T3192" s="8" t="s">
        <v>642</v>
      </c>
      <c r="U3192" s="8" t="s">
        <v>150</v>
      </c>
      <c r="V3192" s="8" t="s">
        <v>642</v>
      </c>
      <c r="W3192" s="8" t="s">
        <v>642</v>
      </c>
      <c r="X3192" s="8">
        <v>4</v>
      </c>
      <c r="Y3192" s="8" t="s">
        <v>12359</v>
      </c>
      <c r="Z3192" s="8">
        <v>20</v>
      </c>
      <c r="AA3192" s="8">
        <v>0</v>
      </c>
      <c r="AB3192" s="9">
        <v>0</v>
      </c>
    </row>
    <row r="3193" spans="1:28" x14ac:dyDescent="0.2">
      <c r="A3193" s="10">
        <v>21699</v>
      </c>
      <c r="B3193" s="11" t="s">
        <v>20175</v>
      </c>
      <c r="C3193" s="11" t="s">
        <v>20176</v>
      </c>
      <c r="D3193" s="11" t="s">
        <v>20177</v>
      </c>
      <c r="E3193" s="11" t="s">
        <v>20178</v>
      </c>
      <c r="F3193" s="11" t="s">
        <v>353</v>
      </c>
      <c r="G3193" s="11" t="s">
        <v>7653</v>
      </c>
      <c r="H3193" s="11" t="s">
        <v>142</v>
      </c>
      <c r="I3193" s="11" t="s">
        <v>20179</v>
      </c>
      <c r="J3193" s="11" t="s">
        <v>20180</v>
      </c>
      <c r="K3193" s="11" t="s">
        <v>717</v>
      </c>
      <c r="L3193" s="11" t="s">
        <v>464</v>
      </c>
      <c r="M3193" s="11" t="s">
        <v>20181</v>
      </c>
      <c r="N3193" s="11" t="s">
        <v>128</v>
      </c>
      <c r="O3193" s="11" t="s">
        <v>20182</v>
      </c>
      <c r="P3193" s="11" t="s">
        <v>20183</v>
      </c>
      <c r="Q3193" s="11" t="s">
        <v>150</v>
      </c>
      <c r="R3193" s="11"/>
      <c r="S3193" s="11" t="s">
        <v>71</v>
      </c>
      <c r="T3193" s="11" t="s">
        <v>67</v>
      </c>
      <c r="U3193" s="11" t="s">
        <v>150</v>
      </c>
      <c r="V3193" s="11" t="s">
        <v>152</v>
      </c>
      <c r="W3193" s="11" t="s">
        <v>67</v>
      </c>
      <c r="X3193" s="11">
        <v>4</v>
      </c>
      <c r="Y3193" s="11" t="s">
        <v>12359</v>
      </c>
      <c r="Z3193" s="11">
        <v>20</v>
      </c>
      <c r="AA3193" s="11">
        <v>0</v>
      </c>
      <c r="AB3193" s="12">
        <v>0</v>
      </c>
    </row>
    <row r="3194" spans="1:28" x14ac:dyDescent="0.2">
      <c r="A3194" s="7">
        <v>21658</v>
      </c>
      <c r="B3194" s="8" t="s">
        <v>20184</v>
      </c>
      <c r="C3194" s="8" t="s">
        <v>20185</v>
      </c>
      <c r="D3194" s="8" t="s">
        <v>20186</v>
      </c>
      <c r="E3194" s="8" t="s">
        <v>10827</v>
      </c>
      <c r="F3194" s="8" t="s">
        <v>353</v>
      </c>
      <c r="G3194" s="8" t="s">
        <v>11138</v>
      </c>
      <c r="H3194" s="8" t="s">
        <v>142</v>
      </c>
      <c r="I3194" s="8" t="s">
        <v>20187</v>
      </c>
      <c r="J3194" s="8" t="s">
        <v>20188</v>
      </c>
      <c r="K3194" s="8" t="s">
        <v>1199</v>
      </c>
      <c r="L3194" s="8" t="s">
        <v>464</v>
      </c>
      <c r="M3194" s="8" t="s">
        <v>20189</v>
      </c>
      <c r="N3194" s="8" t="s">
        <v>128</v>
      </c>
      <c r="O3194" s="8" t="s">
        <v>20190</v>
      </c>
      <c r="P3194" s="8" t="s">
        <v>12334</v>
      </c>
      <c r="Q3194" s="8" t="s">
        <v>150</v>
      </c>
      <c r="R3194" s="8"/>
      <c r="S3194" s="8" t="s">
        <v>71</v>
      </c>
      <c r="T3194" s="8" t="s">
        <v>67</v>
      </c>
      <c r="U3194" s="8" t="s">
        <v>150</v>
      </c>
      <c r="V3194" s="8" t="s">
        <v>152</v>
      </c>
      <c r="W3194" s="8" t="s">
        <v>67</v>
      </c>
      <c r="X3194" s="8">
        <v>4</v>
      </c>
      <c r="Y3194" s="8" t="s">
        <v>12359</v>
      </c>
      <c r="Z3194" s="8">
        <v>20</v>
      </c>
      <c r="AA3194" s="8">
        <v>0</v>
      </c>
      <c r="AB3194" s="9">
        <v>0</v>
      </c>
    </row>
    <row r="3195" spans="1:28" x14ac:dyDescent="0.2">
      <c r="A3195" s="10">
        <v>21712</v>
      </c>
      <c r="B3195" s="11" t="s">
        <v>20191</v>
      </c>
      <c r="C3195" s="11" t="s">
        <v>3187</v>
      </c>
      <c r="D3195" s="11" t="s">
        <v>8292</v>
      </c>
      <c r="E3195" s="11" t="s">
        <v>20192</v>
      </c>
      <c r="F3195" s="11" t="s">
        <v>353</v>
      </c>
      <c r="G3195" s="11" t="s">
        <v>20193</v>
      </c>
      <c r="H3195" s="11" t="s">
        <v>142</v>
      </c>
      <c r="I3195" s="11" t="s">
        <v>20194</v>
      </c>
      <c r="J3195" s="11" t="s">
        <v>20195</v>
      </c>
      <c r="K3195" s="11" t="s">
        <v>1673</v>
      </c>
      <c r="L3195" s="11" t="s">
        <v>464</v>
      </c>
      <c r="M3195" s="11" t="s">
        <v>20196</v>
      </c>
      <c r="N3195" s="11" t="s">
        <v>128</v>
      </c>
      <c r="O3195" s="11" t="s">
        <v>20197</v>
      </c>
      <c r="P3195" s="11" t="s">
        <v>20198</v>
      </c>
      <c r="Q3195" s="11" t="s">
        <v>150</v>
      </c>
      <c r="R3195" s="11"/>
      <c r="S3195" s="11" t="s">
        <v>71</v>
      </c>
      <c r="T3195" s="11" t="s">
        <v>67</v>
      </c>
      <c r="U3195" s="11" t="s">
        <v>150</v>
      </c>
      <c r="V3195" s="11" t="s">
        <v>152</v>
      </c>
      <c r="W3195" s="11" t="s">
        <v>67</v>
      </c>
      <c r="X3195" s="11">
        <v>4</v>
      </c>
      <c r="Y3195" s="11" t="s">
        <v>12359</v>
      </c>
      <c r="Z3195" s="11">
        <v>20</v>
      </c>
      <c r="AA3195" s="11">
        <v>0</v>
      </c>
      <c r="AB3195" s="12">
        <v>0</v>
      </c>
    </row>
    <row r="3196" spans="1:28" x14ac:dyDescent="0.2">
      <c r="A3196" s="7">
        <v>114876</v>
      </c>
      <c r="B3196" s="8" t="s">
        <v>20199</v>
      </c>
      <c r="C3196" s="8" t="s">
        <v>20200</v>
      </c>
      <c r="D3196" s="8" t="s">
        <v>8196</v>
      </c>
      <c r="E3196" s="8" t="s">
        <v>20201</v>
      </c>
      <c r="F3196" s="8" t="s">
        <v>353</v>
      </c>
      <c r="G3196" s="8" t="s">
        <v>20202</v>
      </c>
      <c r="H3196" s="8" t="s">
        <v>142</v>
      </c>
      <c r="I3196" s="8" t="s">
        <v>20203</v>
      </c>
      <c r="J3196" s="8" t="s">
        <v>20204</v>
      </c>
      <c r="K3196" s="8" t="s">
        <v>1673</v>
      </c>
      <c r="L3196" s="8" t="s">
        <v>464</v>
      </c>
      <c r="M3196" s="8" t="s">
        <v>20205</v>
      </c>
      <c r="N3196" s="8" t="s">
        <v>128</v>
      </c>
      <c r="O3196" s="8" t="s">
        <v>20206</v>
      </c>
      <c r="P3196" s="8" t="s">
        <v>3799</v>
      </c>
      <c r="Q3196" s="8" t="s">
        <v>150</v>
      </c>
      <c r="R3196" s="8"/>
      <c r="S3196" s="8" t="s">
        <v>71</v>
      </c>
      <c r="T3196" s="8" t="s">
        <v>67</v>
      </c>
      <c r="U3196" s="8" t="s">
        <v>150</v>
      </c>
      <c r="V3196" s="8" t="s">
        <v>152</v>
      </c>
      <c r="W3196" s="8" t="s">
        <v>67</v>
      </c>
      <c r="X3196" s="8">
        <v>4</v>
      </c>
      <c r="Y3196" s="8" t="s">
        <v>12359</v>
      </c>
      <c r="Z3196" s="8">
        <v>20</v>
      </c>
      <c r="AA3196" s="8">
        <v>0</v>
      </c>
      <c r="AB3196" s="9">
        <v>0</v>
      </c>
    </row>
    <row r="3197" spans="1:28" x14ac:dyDescent="0.2">
      <c r="A3197" s="10">
        <v>21532</v>
      </c>
      <c r="B3197" s="11" t="s">
        <v>20207</v>
      </c>
      <c r="C3197" s="11" t="s">
        <v>16731</v>
      </c>
      <c r="D3197" s="11" t="s">
        <v>1434</v>
      </c>
      <c r="E3197" s="11"/>
      <c r="F3197" s="11" t="s">
        <v>353</v>
      </c>
      <c r="G3197" s="11" t="s">
        <v>17451</v>
      </c>
      <c r="H3197" s="11" t="s">
        <v>142</v>
      </c>
      <c r="I3197" s="11" t="s">
        <v>19260</v>
      </c>
      <c r="J3197" s="11" t="s">
        <v>20208</v>
      </c>
      <c r="K3197" s="11" t="s">
        <v>1673</v>
      </c>
      <c r="L3197" s="11" t="s">
        <v>464</v>
      </c>
      <c r="M3197" s="11" t="s">
        <v>20209</v>
      </c>
      <c r="N3197" s="11" t="s">
        <v>128</v>
      </c>
      <c r="O3197" s="11" t="s">
        <v>20210</v>
      </c>
      <c r="P3197" s="11" t="s">
        <v>20211</v>
      </c>
      <c r="Q3197" s="11" t="s">
        <v>150</v>
      </c>
      <c r="R3197" s="11"/>
      <c r="S3197" s="11" t="s">
        <v>71</v>
      </c>
      <c r="T3197" s="11" t="s">
        <v>67</v>
      </c>
      <c r="U3197" s="11" t="s">
        <v>150</v>
      </c>
      <c r="V3197" s="11" t="s">
        <v>152</v>
      </c>
      <c r="W3197" s="11" t="s">
        <v>67</v>
      </c>
      <c r="X3197" s="11">
        <v>4</v>
      </c>
      <c r="Y3197" s="11" t="s">
        <v>12359</v>
      </c>
      <c r="Z3197" s="11">
        <v>20</v>
      </c>
      <c r="AA3197" s="11">
        <v>0</v>
      </c>
      <c r="AB3197" s="12">
        <v>0</v>
      </c>
    </row>
    <row r="3198" spans="1:28" x14ac:dyDescent="0.2">
      <c r="A3198" s="7">
        <v>107960</v>
      </c>
      <c r="B3198" s="8" t="s">
        <v>20212</v>
      </c>
      <c r="C3198" s="8" t="s">
        <v>20213</v>
      </c>
      <c r="D3198" s="8" t="s">
        <v>6878</v>
      </c>
      <c r="E3198" s="8"/>
      <c r="F3198" s="8" t="s">
        <v>353</v>
      </c>
      <c r="G3198" s="8" t="s">
        <v>12311</v>
      </c>
      <c r="H3198" s="8" t="s">
        <v>122</v>
      </c>
      <c r="I3198" s="8" t="s">
        <v>20214</v>
      </c>
      <c r="J3198" s="8" t="s">
        <v>20215</v>
      </c>
      <c r="K3198" s="8" t="s">
        <v>125</v>
      </c>
      <c r="L3198" s="8" t="s">
        <v>126</v>
      </c>
      <c r="M3198" s="8" t="s">
        <v>20216</v>
      </c>
      <c r="N3198" s="8" t="s">
        <v>128</v>
      </c>
      <c r="O3198" s="8" t="s">
        <v>20217</v>
      </c>
      <c r="P3198" s="8" t="s">
        <v>20218</v>
      </c>
      <c r="Q3198" s="8" t="s">
        <v>150</v>
      </c>
      <c r="R3198" s="8"/>
      <c r="S3198" s="8" t="s">
        <v>71</v>
      </c>
      <c r="T3198" s="8" t="s">
        <v>67</v>
      </c>
      <c r="U3198" s="8" t="s">
        <v>150</v>
      </c>
      <c r="V3198" s="8" t="s">
        <v>152</v>
      </c>
      <c r="W3198" s="8" t="s">
        <v>67</v>
      </c>
      <c r="X3198" s="8">
        <v>4</v>
      </c>
      <c r="Y3198" s="8" t="s">
        <v>12359</v>
      </c>
      <c r="Z3198" s="8">
        <v>20</v>
      </c>
      <c r="AA3198" s="8">
        <v>0</v>
      </c>
      <c r="AB3198" s="9">
        <v>0</v>
      </c>
    </row>
    <row r="3199" spans="1:28" x14ac:dyDescent="0.2">
      <c r="A3199" s="10">
        <v>26285</v>
      </c>
      <c r="B3199" s="11" t="s">
        <v>20219</v>
      </c>
      <c r="C3199" s="11" t="s">
        <v>20220</v>
      </c>
      <c r="D3199" s="11" t="s">
        <v>20221</v>
      </c>
      <c r="E3199" s="11"/>
      <c r="F3199" s="11" t="s">
        <v>20222</v>
      </c>
      <c r="G3199" s="11" t="s">
        <v>270</v>
      </c>
      <c r="H3199" s="11" t="s">
        <v>271</v>
      </c>
      <c r="I3199" s="11" t="s">
        <v>20223</v>
      </c>
      <c r="J3199" s="11" t="s">
        <v>20224</v>
      </c>
      <c r="K3199" s="11" t="s">
        <v>274</v>
      </c>
      <c r="L3199" s="11" t="s">
        <v>163</v>
      </c>
      <c r="M3199" s="11" t="s">
        <v>20225</v>
      </c>
      <c r="N3199" s="11" t="s">
        <v>128</v>
      </c>
      <c r="O3199" s="11"/>
      <c r="P3199" s="11" t="s">
        <v>20221</v>
      </c>
      <c r="Q3199" s="11" t="s">
        <v>150</v>
      </c>
      <c r="R3199" s="11"/>
      <c r="S3199" s="11" t="s">
        <v>71</v>
      </c>
      <c r="T3199" s="11" t="s">
        <v>67</v>
      </c>
      <c r="U3199" s="11" t="s">
        <v>150</v>
      </c>
      <c r="V3199" s="11" t="s">
        <v>152</v>
      </c>
      <c r="W3199" s="11" t="s">
        <v>67</v>
      </c>
      <c r="X3199" s="11">
        <v>4</v>
      </c>
      <c r="Y3199" s="11" t="s">
        <v>12359</v>
      </c>
      <c r="Z3199" s="11">
        <v>20</v>
      </c>
      <c r="AA3199" s="11">
        <v>0</v>
      </c>
      <c r="AB3199" s="12">
        <v>0</v>
      </c>
    </row>
    <row r="3200" spans="1:28" x14ac:dyDescent="0.2">
      <c r="A3200" s="7">
        <v>26357</v>
      </c>
      <c r="B3200" s="8" t="s">
        <v>20226</v>
      </c>
      <c r="C3200" s="8" t="s">
        <v>20227</v>
      </c>
      <c r="D3200" s="8" t="s">
        <v>20228</v>
      </c>
      <c r="E3200" s="8"/>
      <c r="F3200" s="8" t="s">
        <v>20229</v>
      </c>
      <c r="G3200" s="8" t="s">
        <v>141</v>
      </c>
      <c r="H3200" s="8" t="s">
        <v>142</v>
      </c>
      <c r="I3200" s="8" t="s">
        <v>20230</v>
      </c>
      <c r="J3200" s="8" t="s">
        <v>20231</v>
      </c>
      <c r="K3200" s="8" t="s">
        <v>145</v>
      </c>
      <c r="L3200" s="8" t="s">
        <v>146</v>
      </c>
      <c r="M3200" s="8" t="s">
        <v>20232</v>
      </c>
      <c r="N3200" s="8" t="s">
        <v>128</v>
      </c>
      <c r="O3200" s="8" t="s">
        <v>20233</v>
      </c>
      <c r="P3200" s="8" t="s">
        <v>20234</v>
      </c>
      <c r="Q3200" s="8" t="s">
        <v>150</v>
      </c>
      <c r="R3200" s="8"/>
      <c r="S3200" s="8" t="s">
        <v>71</v>
      </c>
      <c r="T3200" s="8" t="s">
        <v>67</v>
      </c>
      <c r="U3200" s="8" t="s">
        <v>150</v>
      </c>
      <c r="V3200" s="8" t="s">
        <v>152</v>
      </c>
      <c r="W3200" s="8" t="s">
        <v>67</v>
      </c>
      <c r="X3200" s="8">
        <v>4</v>
      </c>
      <c r="Y3200" s="8" t="s">
        <v>12359</v>
      </c>
      <c r="Z3200" s="8">
        <v>20</v>
      </c>
      <c r="AA3200" s="8">
        <v>0</v>
      </c>
      <c r="AB3200" s="9">
        <v>0</v>
      </c>
    </row>
    <row r="3201" spans="1:28" x14ac:dyDescent="0.2">
      <c r="A3201" s="10">
        <v>106386</v>
      </c>
      <c r="B3201" s="11" t="s">
        <v>20235</v>
      </c>
      <c r="C3201" s="11" t="s">
        <v>842</v>
      </c>
      <c r="D3201" s="11" t="s">
        <v>20236</v>
      </c>
      <c r="E3201" s="11"/>
      <c r="F3201" s="11" t="s">
        <v>18688</v>
      </c>
      <c r="G3201" s="11" t="s">
        <v>9222</v>
      </c>
      <c r="H3201" s="11" t="s">
        <v>159</v>
      </c>
      <c r="I3201" s="11" t="s">
        <v>19863</v>
      </c>
      <c r="J3201" s="11" t="s">
        <v>20237</v>
      </c>
      <c r="K3201" s="11" t="s">
        <v>274</v>
      </c>
      <c r="L3201" s="11" t="s">
        <v>163</v>
      </c>
      <c r="M3201" s="11" t="s">
        <v>20238</v>
      </c>
      <c r="N3201" s="11" t="s">
        <v>128</v>
      </c>
      <c r="O3201" s="11" t="s">
        <v>20239</v>
      </c>
      <c r="P3201" s="11" t="s">
        <v>20240</v>
      </c>
      <c r="Q3201" s="11" t="s">
        <v>150</v>
      </c>
      <c r="R3201" s="11"/>
      <c r="S3201" s="11" t="s">
        <v>71</v>
      </c>
      <c r="T3201" s="11" t="s">
        <v>67</v>
      </c>
      <c r="U3201" s="11" t="s">
        <v>150</v>
      </c>
      <c r="V3201" s="11" t="s">
        <v>152</v>
      </c>
      <c r="W3201" s="11" t="s">
        <v>67</v>
      </c>
      <c r="X3201" s="11">
        <v>4</v>
      </c>
      <c r="Y3201" s="11" t="s">
        <v>12359</v>
      </c>
      <c r="Z3201" s="11">
        <v>20</v>
      </c>
      <c r="AA3201" s="11">
        <v>0</v>
      </c>
      <c r="AB3201" s="12">
        <v>0</v>
      </c>
    </row>
    <row r="3202" spans="1:28" x14ac:dyDescent="0.2">
      <c r="A3202" s="7">
        <v>107951</v>
      </c>
      <c r="B3202" s="8" t="s">
        <v>20241</v>
      </c>
      <c r="C3202" s="8" t="s">
        <v>20242</v>
      </c>
      <c r="D3202" s="8" t="s">
        <v>20243</v>
      </c>
      <c r="E3202" s="8"/>
      <c r="F3202" s="8" t="s">
        <v>18681</v>
      </c>
      <c r="G3202" s="8" t="s">
        <v>615</v>
      </c>
      <c r="H3202" s="8" t="s">
        <v>616</v>
      </c>
      <c r="I3202" s="8" t="s">
        <v>20244</v>
      </c>
      <c r="J3202" s="8" t="s">
        <v>20245</v>
      </c>
      <c r="K3202" s="8" t="s">
        <v>619</v>
      </c>
      <c r="L3202" s="8" t="s">
        <v>163</v>
      </c>
      <c r="M3202" s="8" t="s">
        <v>20246</v>
      </c>
      <c r="N3202" s="8" t="s">
        <v>128</v>
      </c>
      <c r="O3202" s="8" t="s">
        <v>20247</v>
      </c>
      <c r="P3202" s="8" t="s">
        <v>20248</v>
      </c>
      <c r="Q3202" s="8" t="s">
        <v>150</v>
      </c>
      <c r="R3202" s="8"/>
      <c r="S3202" s="8" t="s">
        <v>71</v>
      </c>
      <c r="T3202" s="8" t="s">
        <v>67</v>
      </c>
      <c r="U3202" s="8" t="s">
        <v>150</v>
      </c>
      <c r="V3202" s="8" t="s">
        <v>152</v>
      </c>
      <c r="W3202" s="8" t="s">
        <v>67</v>
      </c>
      <c r="X3202" s="8">
        <v>4</v>
      </c>
      <c r="Y3202" s="8" t="s">
        <v>12359</v>
      </c>
      <c r="Z3202" s="8">
        <v>20</v>
      </c>
      <c r="AA3202" s="8">
        <v>0</v>
      </c>
      <c r="AB3202" s="9">
        <v>0</v>
      </c>
    </row>
    <row r="3203" spans="1:28" x14ac:dyDescent="0.2">
      <c r="A3203" s="10">
        <v>214733</v>
      </c>
      <c r="B3203" s="11" t="s">
        <v>20249</v>
      </c>
      <c r="C3203" s="11" t="s">
        <v>20250</v>
      </c>
      <c r="D3203" s="11" t="s">
        <v>20251</v>
      </c>
      <c r="E3203" s="11"/>
      <c r="F3203" s="11" t="s">
        <v>20252</v>
      </c>
      <c r="G3203" s="11" t="s">
        <v>20253</v>
      </c>
      <c r="H3203" s="11" t="s">
        <v>616</v>
      </c>
      <c r="I3203" s="11" t="s">
        <v>20254</v>
      </c>
      <c r="J3203" s="11" t="s">
        <v>20255</v>
      </c>
      <c r="K3203" s="11" t="s">
        <v>619</v>
      </c>
      <c r="L3203" s="11" t="s">
        <v>163</v>
      </c>
      <c r="M3203" s="11" t="s">
        <v>20256</v>
      </c>
      <c r="N3203" s="11" t="s">
        <v>128</v>
      </c>
      <c r="O3203" s="11" t="s">
        <v>20257</v>
      </c>
      <c r="P3203" s="11" t="s">
        <v>20258</v>
      </c>
      <c r="Q3203" s="11" t="s">
        <v>150</v>
      </c>
      <c r="R3203" s="11"/>
      <c r="S3203" s="11" t="s">
        <v>71</v>
      </c>
      <c r="T3203" s="11" t="s">
        <v>67</v>
      </c>
      <c r="U3203" s="11" t="s">
        <v>150</v>
      </c>
      <c r="V3203" s="11" t="s">
        <v>152</v>
      </c>
      <c r="W3203" s="11" t="s">
        <v>67</v>
      </c>
      <c r="X3203" s="11">
        <v>4</v>
      </c>
      <c r="Y3203" s="11" t="s">
        <v>12359</v>
      </c>
      <c r="Z3203" s="11">
        <v>20</v>
      </c>
      <c r="AA3203" s="11">
        <v>0</v>
      </c>
      <c r="AB3203" s="12">
        <v>0</v>
      </c>
    </row>
    <row r="3204" spans="1:28" x14ac:dyDescent="0.2">
      <c r="A3204" s="7">
        <v>218072</v>
      </c>
      <c r="B3204" s="8" t="s">
        <v>20259</v>
      </c>
      <c r="C3204" s="8" t="s">
        <v>20260</v>
      </c>
      <c r="D3204" s="8" t="s">
        <v>8189</v>
      </c>
      <c r="E3204" s="8"/>
      <c r="F3204" s="8" t="s">
        <v>16631</v>
      </c>
      <c r="G3204" s="8" t="s">
        <v>20261</v>
      </c>
      <c r="H3204" s="8" t="s">
        <v>142</v>
      </c>
      <c r="I3204" s="8" t="s">
        <v>20262</v>
      </c>
      <c r="J3204" s="8" t="s">
        <v>20263</v>
      </c>
      <c r="K3204" s="8" t="s">
        <v>779</v>
      </c>
      <c r="L3204" s="8" t="s">
        <v>464</v>
      </c>
      <c r="M3204" s="8" t="s">
        <v>20264</v>
      </c>
      <c r="N3204" s="8" t="s">
        <v>128</v>
      </c>
      <c r="O3204" s="8" t="s">
        <v>20265</v>
      </c>
      <c r="P3204" s="8" t="s">
        <v>20266</v>
      </c>
      <c r="Q3204" s="8" t="s">
        <v>150</v>
      </c>
      <c r="R3204" s="8"/>
      <c r="S3204" s="8" t="s">
        <v>71</v>
      </c>
      <c r="T3204" s="8" t="s">
        <v>67</v>
      </c>
      <c r="U3204" s="8" t="s">
        <v>150</v>
      </c>
      <c r="V3204" s="8" t="s">
        <v>152</v>
      </c>
      <c r="W3204" s="8" t="s">
        <v>67</v>
      </c>
      <c r="X3204" s="8">
        <v>4</v>
      </c>
      <c r="Y3204" s="8" t="s">
        <v>12359</v>
      </c>
      <c r="Z3204" s="8">
        <v>20</v>
      </c>
      <c r="AA3204" s="8">
        <v>0</v>
      </c>
      <c r="AB3204" s="9">
        <v>0</v>
      </c>
    </row>
    <row r="3205" spans="1:28" x14ac:dyDescent="0.2">
      <c r="A3205" s="10">
        <v>22663</v>
      </c>
      <c r="B3205" s="11" t="s">
        <v>20267</v>
      </c>
      <c r="C3205" s="11" t="s">
        <v>16237</v>
      </c>
      <c r="D3205" s="11" t="s">
        <v>20268</v>
      </c>
      <c r="E3205" s="11"/>
      <c r="F3205" s="11" t="s">
        <v>353</v>
      </c>
      <c r="G3205" s="11" t="s">
        <v>18966</v>
      </c>
      <c r="H3205" s="11" t="s">
        <v>142</v>
      </c>
      <c r="I3205" s="11" t="s">
        <v>18967</v>
      </c>
      <c r="J3205" s="11" t="s">
        <v>20269</v>
      </c>
      <c r="K3205" s="11" t="s">
        <v>1673</v>
      </c>
      <c r="L3205" s="11" t="s">
        <v>464</v>
      </c>
      <c r="M3205" s="11" t="s">
        <v>20270</v>
      </c>
      <c r="N3205" s="11" t="s">
        <v>128</v>
      </c>
      <c r="O3205" s="11" t="s">
        <v>20271</v>
      </c>
      <c r="P3205" s="11"/>
      <c r="Q3205" s="11" t="s">
        <v>131</v>
      </c>
      <c r="R3205" s="11"/>
      <c r="S3205" s="11" t="s">
        <v>71</v>
      </c>
      <c r="T3205" s="11" t="s">
        <v>983</v>
      </c>
      <c r="U3205" s="11" t="s">
        <v>134</v>
      </c>
      <c r="V3205" s="11" t="s">
        <v>131</v>
      </c>
      <c r="W3205" s="11" t="s">
        <v>983</v>
      </c>
      <c r="X3205" s="11">
        <v>4</v>
      </c>
      <c r="Y3205" s="11" t="s">
        <v>12359</v>
      </c>
      <c r="Z3205" s="11">
        <v>20</v>
      </c>
      <c r="AA3205" s="11">
        <v>0</v>
      </c>
      <c r="AB3205" s="12">
        <v>0</v>
      </c>
    </row>
    <row r="3206" spans="1:28" x14ac:dyDescent="0.2">
      <c r="A3206" s="7">
        <v>22664</v>
      </c>
      <c r="B3206" s="8" t="s">
        <v>20272</v>
      </c>
      <c r="C3206" s="8" t="s">
        <v>2481</v>
      </c>
      <c r="D3206" s="8" t="s">
        <v>9664</v>
      </c>
      <c r="E3206" s="8"/>
      <c r="F3206" s="8" t="s">
        <v>353</v>
      </c>
      <c r="G3206" s="8" t="s">
        <v>10062</v>
      </c>
      <c r="H3206" s="8" t="s">
        <v>142</v>
      </c>
      <c r="I3206" s="8" t="s">
        <v>16725</v>
      </c>
      <c r="J3206" s="8" t="s">
        <v>20273</v>
      </c>
      <c r="K3206" s="8" t="s">
        <v>1029</v>
      </c>
      <c r="L3206" s="8" t="s">
        <v>464</v>
      </c>
      <c r="M3206" s="8" t="s">
        <v>20274</v>
      </c>
      <c r="N3206" s="8" t="s">
        <v>128</v>
      </c>
      <c r="O3206" s="8" t="s">
        <v>19050</v>
      </c>
      <c r="P3206" s="8"/>
      <c r="Q3206" s="8" t="s">
        <v>131</v>
      </c>
      <c r="R3206" s="8"/>
      <c r="S3206" s="8" t="s">
        <v>71</v>
      </c>
      <c r="T3206" s="8" t="s">
        <v>983</v>
      </c>
      <c r="U3206" s="8" t="s">
        <v>134</v>
      </c>
      <c r="V3206" s="8" t="s">
        <v>131</v>
      </c>
      <c r="W3206" s="8" t="s">
        <v>983</v>
      </c>
      <c r="X3206" s="8">
        <v>4</v>
      </c>
      <c r="Y3206" s="8" t="s">
        <v>12359</v>
      </c>
      <c r="Z3206" s="8">
        <v>20</v>
      </c>
      <c r="AA3206" s="8">
        <v>0</v>
      </c>
      <c r="AB3206" s="9">
        <v>0</v>
      </c>
    </row>
    <row r="3207" spans="1:28" x14ac:dyDescent="0.2">
      <c r="A3207" s="10">
        <v>126071</v>
      </c>
      <c r="B3207" s="11" t="s">
        <v>20275</v>
      </c>
      <c r="C3207" s="11" t="s">
        <v>7976</v>
      </c>
      <c r="D3207" s="11" t="s">
        <v>5821</v>
      </c>
      <c r="E3207" s="11"/>
      <c r="F3207" s="11" t="s">
        <v>353</v>
      </c>
      <c r="G3207" s="11" t="s">
        <v>4513</v>
      </c>
      <c r="H3207" s="11" t="s">
        <v>847</v>
      </c>
      <c r="I3207" s="11" t="s">
        <v>19195</v>
      </c>
      <c r="J3207" s="11" t="s">
        <v>20276</v>
      </c>
      <c r="K3207" s="11" t="s">
        <v>1091</v>
      </c>
      <c r="L3207" s="11" t="s">
        <v>126</v>
      </c>
      <c r="M3207" s="11" t="s">
        <v>20277</v>
      </c>
      <c r="N3207" s="11" t="s">
        <v>128</v>
      </c>
      <c r="O3207" s="11" t="s">
        <v>20278</v>
      </c>
      <c r="P3207" s="11"/>
      <c r="Q3207" s="11" t="s">
        <v>131</v>
      </c>
      <c r="R3207" s="11"/>
      <c r="S3207" s="11" t="s">
        <v>71</v>
      </c>
      <c r="T3207" s="11" t="s">
        <v>983</v>
      </c>
      <c r="U3207" s="11" t="s">
        <v>134</v>
      </c>
      <c r="V3207" s="11" t="s">
        <v>131</v>
      </c>
      <c r="W3207" s="11" t="s">
        <v>983</v>
      </c>
      <c r="X3207" s="11">
        <v>4</v>
      </c>
      <c r="Y3207" s="11" t="s">
        <v>12359</v>
      </c>
      <c r="Z3207" s="11">
        <v>20</v>
      </c>
      <c r="AA3207" s="11">
        <v>0</v>
      </c>
      <c r="AB3207" s="12">
        <v>0</v>
      </c>
    </row>
    <row r="3208" spans="1:28" x14ac:dyDescent="0.2">
      <c r="A3208" s="7">
        <v>22662</v>
      </c>
      <c r="B3208" s="8" t="s">
        <v>20279</v>
      </c>
      <c r="C3208" s="8" t="s">
        <v>20280</v>
      </c>
      <c r="D3208" s="8" t="s">
        <v>11553</v>
      </c>
      <c r="E3208" s="8"/>
      <c r="F3208" s="8" t="s">
        <v>353</v>
      </c>
      <c r="G3208" s="8" t="s">
        <v>19606</v>
      </c>
      <c r="H3208" s="8" t="s">
        <v>142</v>
      </c>
      <c r="I3208" s="8" t="s">
        <v>19607</v>
      </c>
      <c r="J3208" s="8" t="s">
        <v>19608</v>
      </c>
      <c r="K3208" s="8" t="s">
        <v>1673</v>
      </c>
      <c r="L3208" s="8" t="s">
        <v>464</v>
      </c>
      <c r="M3208" s="8" t="s">
        <v>20281</v>
      </c>
      <c r="N3208" s="8" t="s">
        <v>128</v>
      </c>
      <c r="O3208" s="8"/>
      <c r="P3208" s="8"/>
      <c r="Q3208" s="8" t="s">
        <v>131</v>
      </c>
      <c r="R3208" s="8"/>
      <c r="S3208" s="8" t="s">
        <v>71</v>
      </c>
      <c r="T3208" s="8" t="s">
        <v>983</v>
      </c>
      <c r="U3208" s="8" t="s">
        <v>134</v>
      </c>
      <c r="V3208" s="8" t="s">
        <v>131</v>
      </c>
      <c r="W3208" s="8" t="s">
        <v>983</v>
      </c>
      <c r="X3208" s="8">
        <v>4</v>
      </c>
      <c r="Y3208" s="8" t="s">
        <v>12359</v>
      </c>
      <c r="Z3208" s="8">
        <v>20</v>
      </c>
      <c r="AA3208" s="8">
        <v>0</v>
      </c>
      <c r="AB3208" s="9">
        <v>0</v>
      </c>
    </row>
    <row r="3209" spans="1:28" x14ac:dyDescent="0.2">
      <c r="A3209" s="10">
        <v>21944</v>
      </c>
      <c r="B3209" s="11" t="s">
        <v>20282</v>
      </c>
      <c r="C3209" s="11" t="s">
        <v>20283</v>
      </c>
      <c r="D3209" s="11" t="s">
        <v>4880</v>
      </c>
      <c r="E3209" s="11"/>
      <c r="F3209" s="11" t="s">
        <v>353</v>
      </c>
      <c r="G3209" s="11" t="s">
        <v>328</v>
      </c>
      <c r="H3209" s="11" t="s">
        <v>329</v>
      </c>
      <c r="I3209" s="11" t="s">
        <v>20284</v>
      </c>
      <c r="J3209" s="11" t="s">
        <v>20285</v>
      </c>
      <c r="K3209" s="11" t="s">
        <v>415</v>
      </c>
      <c r="L3209" s="11" t="s">
        <v>333</v>
      </c>
      <c r="M3209" s="11" t="s">
        <v>20286</v>
      </c>
      <c r="N3209" s="11" t="s">
        <v>128</v>
      </c>
      <c r="O3209" s="11" t="s">
        <v>20287</v>
      </c>
      <c r="P3209" s="11" t="s">
        <v>20288</v>
      </c>
      <c r="Q3209" s="11" t="s">
        <v>131</v>
      </c>
      <c r="R3209" s="11"/>
      <c r="S3209" s="11" t="s">
        <v>71</v>
      </c>
      <c r="T3209" s="11" t="s">
        <v>133</v>
      </c>
      <c r="U3209" s="11" t="s">
        <v>134</v>
      </c>
      <c r="V3209" s="11" t="s">
        <v>131</v>
      </c>
      <c r="W3209" s="11" t="s">
        <v>133</v>
      </c>
      <c r="X3209" s="11">
        <v>4</v>
      </c>
      <c r="Y3209" s="11" t="s">
        <v>12359</v>
      </c>
      <c r="Z3209" s="11">
        <v>20</v>
      </c>
      <c r="AA3209" s="11">
        <v>0</v>
      </c>
      <c r="AB3209" s="12">
        <v>0</v>
      </c>
    </row>
    <row r="3210" spans="1:28" x14ac:dyDescent="0.2">
      <c r="A3210" s="7">
        <v>21891</v>
      </c>
      <c r="B3210" s="8" t="s">
        <v>20289</v>
      </c>
      <c r="C3210" s="8" t="s">
        <v>17429</v>
      </c>
      <c r="D3210" s="8" t="s">
        <v>7140</v>
      </c>
      <c r="E3210" s="8"/>
      <c r="F3210" s="8" t="s">
        <v>7636</v>
      </c>
      <c r="G3210" s="8" t="s">
        <v>1026</v>
      </c>
      <c r="H3210" s="8" t="s">
        <v>142</v>
      </c>
      <c r="I3210" s="8" t="s">
        <v>17431</v>
      </c>
      <c r="J3210" s="8" t="s">
        <v>17432</v>
      </c>
      <c r="K3210" s="8" t="s">
        <v>1029</v>
      </c>
      <c r="L3210" s="8" t="s">
        <v>464</v>
      </c>
      <c r="M3210" s="8" t="s">
        <v>20290</v>
      </c>
      <c r="N3210" s="8" t="s">
        <v>128</v>
      </c>
      <c r="O3210" s="8" t="s">
        <v>20291</v>
      </c>
      <c r="P3210" s="8" t="s">
        <v>20292</v>
      </c>
      <c r="Q3210" s="8" t="s">
        <v>131</v>
      </c>
      <c r="R3210" s="8"/>
      <c r="S3210" s="8" t="s">
        <v>17435</v>
      </c>
      <c r="T3210" s="8" t="s">
        <v>133</v>
      </c>
      <c r="U3210" s="8" t="s">
        <v>134</v>
      </c>
      <c r="V3210" s="8" t="s">
        <v>131</v>
      </c>
      <c r="W3210" s="8" t="s">
        <v>133</v>
      </c>
      <c r="X3210" s="8">
        <v>4</v>
      </c>
      <c r="Y3210" s="8" t="s">
        <v>12359</v>
      </c>
      <c r="Z3210" s="8">
        <v>20</v>
      </c>
      <c r="AA3210" s="8">
        <v>0</v>
      </c>
      <c r="AB3210" s="9">
        <v>0</v>
      </c>
    </row>
    <row r="3211" spans="1:28" x14ac:dyDescent="0.2">
      <c r="A3211" s="10">
        <v>119101</v>
      </c>
      <c r="B3211" s="11" t="s">
        <v>20293</v>
      </c>
      <c r="C3211" s="11" t="s">
        <v>4777</v>
      </c>
      <c r="D3211" s="11" t="s">
        <v>7321</v>
      </c>
      <c r="E3211" s="11"/>
      <c r="F3211" s="11" t="s">
        <v>353</v>
      </c>
      <c r="G3211" s="11" t="s">
        <v>20294</v>
      </c>
      <c r="H3211" s="11" t="s">
        <v>122</v>
      </c>
      <c r="I3211" s="11" t="s">
        <v>20295</v>
      </c>
      <c r="J3211" s="11" t="s">
        <v>20296</v>
      </c>
      <c r="K3211" s="11" t="s">
        <v>125</v>
      </c>
      <c r="L3211" s="11" t="s">
        <v>126</v>
      </c>
      <c r="M3211" s="11" t="s">
        <v>20297</v>
      </c>
      <c r="N3211" s="11" t="s">
        <v>128</v>
      </c>
      <c r="O3211" s="11" t="s">
        <v>20298</v>
      </c>
      <c r="P3211" s="11" t="s">
        <v>427</v>
      </c>
      <c r="Q3211" s="11" t="s">
        <v>150</v>
      </c>
      <c r="R3211" s="11"/>
      <c r="S3211" s="11" t="s">
        <v>71</v>
      </c>
      <c r="T3211" s="11" t="s">
        <v>6736</v>
      </c>
      <c r="U3211" s="11" t="s">
        <v>150</v>
      </c>
      <c r="V3211" s="11" t="s">
        <v>6736</v>
      </c>
      <c r="W3211" s="11" t="s">
        <v>6736</v>
      </c>
      <c r="X3211" s="11">
        <v>4</v>
      </c>
      <c r="Y3211" s="11" t="s">
        <v>12359</v>
      </c>
      <c r="Z3211" s="11">
        <v>20</v>
      </c>
      <c r="AA3211" s="11">
        <v>0</v>
      </c>
      <c r="AB3211" s="12">
        <v>0</v>
      </c>
    </row>
    <row r="3212" spans="1:28" x14ac:dyDescent="0.2">
      <c r="A3212" s="7">
        <v>23530</v>
      </c>
      <c r="B3212" s="8" t="s">
        <v>20299</v>
      </c>
      <c r="C3212" s="8" t="s">
        <v>7976</v>
      </c>
      <c r="D3212" s="8" t="s">
        <v>351</v>
      </c>
      <c r="E3212" s="8"/>
      <c r="F3212" s="8" t="s">
        <v>353</v>
      </c>
      <c r="G3212" s="8" t="s">
        <v>4513</v>
      </c>
      <c r="H3212" s="8" t="s">
        <v>847</v>
      </c>
      <c r="I3212" s="8" t="s">
        <v>7977</v>
      </c>
      <c r="J3212" s="8" t="s">
        <v>20300</v>
      </c>
      <c r="K3212" s="8" t="s">
        <v>1091</v>
      </c>
      <c r="L3212" s="8" t="s">
        <v>126</v>
      </c>
      <c r="M3212" s="8" t="s">
        <v>20301</v>
      </c>
      <c r="N3212" s="8" t="s">
        <v>128</v>
      </c>
      <c r="O3212" s="8" t="s">
        <v>20302</v>
      </c>
      <c r="P3212" s="8" t="s">
        <v>2928</v>
      </c>
      <c r="Q3212" s="8" t="s">
        <v>150</v>
      </c>
      <c r="R3212" s="8"/>
      <c r="S3212" s="8" t="s">
        <v>71</v>
      </c>
      <c r="T3212" s="8" t="s">
        <v>6736</v>
      </c>
      <c r="U3212" s="8" t="s">
        <v>150</v>
      </c>
      <c r="V3212" s="8" t="s">
        <v>6736</v>
      </c>
      <c r="W3212" s="8" t="s">
        <v>6736</v>
      </c>
      <c r="X3212" s="8">
        <v>4</v>
      </c>
      <c r="Y3212" s="8" t="s">
        <v>12359</v>
      </c>
      <c r="Z3212" s="8">
        <v>20</v>
      </c>
      <c r="AA3212" s="8">
        <v>0</v>
      </c>
      <c r="AB3212" s="9">
        <v>0</v>
      </c>
    </row>
    <row r="3213" spans="1:28" x14ac:dyDescent="0.2">
      <c r="A3213" s="10">
        <v>22121</v>
      </c>
      <c r="B3213" s="11" t="s">
        <v>20303</v>
      </c>
      <c r="C3213" s="11" t="s">
        <v>20304</v>
      </c>
      <c r="D3213" s="11" t="s">
        <v>20305</v>
      </c>
      <c r="E3213" s="11"/>
      <c r="F3213" s="11" t="s">
        <v>19336</v>
      </c>
      <c r="G3213" s="11" t="s">
        <v>846</v>
      </c>
      <c r="H3213" s="11" t="s">
        <v>847</v>
      </c>
      <c r="I3213" s="11" t="s">
        <v>15447</v>
      </c>
      <c r="J3213" s="11" t="s">
        <v>20306</v>
      </c>
      <c r="K3213" s="11" t="s">
        <v>1091</v>
      </c>
      <c r="L3213" s="11" t="s">
        <v>126</v>
      </c>
      <c r="M3213" s="11" t="s">
        <v>20307</v>
      </c>
      <c r="N3213" s="11" t="s">
        <v>128</v>
      </c>
      <c r="O3213" s="11" t="s">
        <v>20308</v>
      </c>
      <c r="P3213" s="11" t="s">
        <v>1395</v>
      </c>
      <c r="Q3213" s="11" t="s">
        <v>150</v>
      </c>
      <c r="R3213" s="11"/>
      <c r="S3213" s="11" t="s">
        <v>71</v>
      </c>
      <c r="T3213" s="11" t="s">
        <v>6736</v>
      </c>
      <c r="U3213" s="11" t="s">
        <v>150</v>
      </c>
      <c r="V3213" s="11" t="s">
        <v>6736</v>
      </c>
      <c r="W3213" s="11" t="s">
        <v>6736</v>
      </c>
      <c r="X3213" s="11">
        <v>4</v>
      </c>
      <c r="Y3213" s="11" t="s">
        <v>12359</v>
      </c>
      <c r="Z3213" s="11">
        <v>20</v>
      </c>
      <c r="AA3213" s="11">
        <v>0</v>
      </c>
      <c r="AB3213" s="12">
        <v>0</v>
      </c>
    </row>
    <row r="3214" spans="1:28" x14ac:dyDescent="0.2">
      <c r="A3214" s="7">
        <v>27394</v>
      </c>
      <c r="B3214" s="8" t="s">
        <v>20309</v>
      </c>
      <c r="C3214" s="8" t="s">
        <v>409</v>
      </c>
      <c r="D3214" s="8" t="s">
        <v>20310</v>
      </c>
      <c r="E3214" s="8"/>
      <c r="F3214" s="8" t="s">
        <v>353</v>
      </c>
      <c r="G3214" s="8" t="s">
        <v>10680</v>
      </c>
      <c r="H3214" s="8" t="s">
        <v>142</v>
      </c>
      <c r="I3214" s="8" t="s">
        <v>10681</v>
      </c>
      <c r="J3214" s="8" t="s">
        <v>20311</v>
      </c>
      <c r="K3214" s="8" t="s">
        <v>1029</v>
      </c>
      <c r="L3214" s="8" t="s">
        <v>464</v>
      </c>
      <c r="M3214" s="8" t="s">
        <v>20312</v>
      </c>
      <c r="N3214" s="8" t="s">
        <v>128</v>
      </c>
      <c r="O3214" s="8" t="s">
        <v>20313</v>
      </c>
      <c r="P3214" s="8" t="s">
        <v>20314</v>
      </c>
      <c r="Q3214" s="8" t="s">
        <v>150</v>
      </c>
      <c r="R3214" s="8"/>
      <c r="S3214" s="8" t="s">
        <v>71</v>
      </c>
      <c r="T3214" s="8" t="s">
        <v>14420</v>
      </c>
      <c r="U3214" s="8" t="s">
        <v>150</v>
      </c>
      <c r="V3214" s="8" t="s">
        <v>14420</v>
      </c>
      <c r="W3214" s="8" t="s">
        <v>14420</v>
      </c>
      <c r="X3214" s="8">
        <v>4</v>
      </c>
      <c r="Y3214" s="8" t="s">
        <v>12359</v>
      </c>
      <c r="Z3214" s="8">
        <v>20</v>
      </c>
      <c r="AA3214" s="8">
        <v>0</v>
      </c>
      <c r="AB3214" s="9">
        <v>0</v>
      </c>
    </row>
    <row r="3215" spans="1:28" x14ac:dyDescent="0.2">
      <c r="A3215" s="10">
        <v>235542</v>
      </c>
      <c r="B3215" s="11" t="s">
        <v>20315</v>
      </c>
      <c r="C3215" s="11" t="s">
        <v>12233</v>
      </c>
      <c r="D3215" s="11" t="s">
        <v>12517</v>
      </c>
      <c r="E3215" s="11"/>
      <c r="F3215" s="11" t="s">
        <v>353</v>
      </c>
      <c r="G3215" s="11" t="s">
        <v>10952</v>
      </c>
      <c r="H3215" s="11" t="s">
        <v>1843</v>
      </c>
      <c r="I3215" s="11" t="s">
        <v>12234</v>
      </c>
      <c r="J3215" s="11" t="s">
        <v>20316</v>
      </c>
      <c r="K3215" s="11" t="s">
        <v>1562</v>
      </c>
      <c r="L3215" s="11" t="s">
        <v>229</v>
      </c>
      <c r="M3215" s="11" t="s">
        <v>20317</v>
      </c>
      <c r="N3215" s="11" t="s">
        <v>128</v>
      </c>
      <c r="O3215" s="11" t="s">
        <v>20318</v>
      </c>
      <c r="P3215" s="11" t="s">
        <v>20319</v>
      </c>
      <c r="Q3215" s="11" t="s">
        <v>150</v>
      </c>
      <c r="R3215" s="11"/>
      <c r="S3215" s="11" t="s">
        <v>71</v>
      </c>
      <c r="T3215" s="11" t="s">
        <v>7898</v>
      </c>
      <c r="U3215" s="11" t="s">
        <v>150</v>
      </c>
      <c r="V3215" s="11" t="s">
        <v>7898</v>
      </c>
      <c r="W3215" s="11" t="s">
        <v>7898</v>
      </c>
      <c r="X3215" s="11">
        <v>4</v>
      </c>
      <c r="Y3215" s="11" t="s">
        <v>12359</v>
      </c>
      <c r="Z3215" s="11">
        <v>20</v>
      </c>
      <c r="AA3215" s="11">
        <v>0</v>
      </c>
      <c r="AB3215" s="12">
        <v>0</v>
      </c>
    </row>
    <row r="3216" spans="1:28" x14ac:dyDescent="0.2">
      <c r="A3216" s="7">
        <v>22578</v>
      </c>
      <c r="B3216" s="8" t="s">
        <v>20320</v>
      </c>
      <c r="C3216" s="8" t="s">
        <v>20321</v>
      </c>
      <c r="D3216" s="8" t="s">
        <v>16426</v>
      </c>
      <c r="E3216" s="8" t="s">
        <v>20322</v>
      </c>
      <c r="F3216" s="8" t="s">
        <v>7636</v>
      </c>
      <c r="G3216" s="8" t="s">
        <v>1026</v>
      </c>
      <c r="H3216" s="8" t="s">
        <v>142</v>
      </c>
      <c r="I3216" s="8" t="s">
        <v>20323</v>
      </c>
      <c r="J3216" s="8" t="s">
        <v>20324</v>
      </c>
      <c r="K3216" s="8" t="s">
        <v>1029</v>
      </c>
      <c r="L3216" s="8" t="s">
        <v>464</v>
      </c>
      <c r="M3216" s="8" t="s">
        <v>20325</v>
      </c>
      <c r="N3216" s="8" t="s">
        <v>128</v>
      </c>
      <c r="O3216" s="8" t="s">
        <v>20326</v>
      </c>
      <c r="P3216" s="8" t="s">
        <v>20327</v>
      </c>
      <c r="Q3216" s="8" t="s">
        <v>150</v>
      </c>
      <c r="R3216" s="8"/>
      <c r="S3216" s="8" t="s">
        <v>71</v>
      </c>
      <c r="T3216" s="8" t="s">
        <v>2697</v>
      </c>
      <c r="U3216" s="8" t="s">
        <v>150</v>
      </c>
      <c r="V3216" s="8" t="s">
        <v>2697</v>
      </c>
      <c r="W3216" s="8" t="s">
        <v>2697</v>
      </c>
      <c r="X3216" s="8">
        <v>4</v>
      </c>
      <c r="Y3216" s="8" t="s">
        <v>12359</v>
      </c>
      <c r="Z3216" s="8">
        <v>20</v>
      </c>
      <c r="AA3216" s="8">
        <v>0</v>
      </c>
      <c r="AB3216" s="9">
        <v>0</v>
      </c>
    </row>
    <row r="3217" spans="1:28" x14ac:dyDescent="0.2">
      <c r="A3217" s="10">
        <v>86812</v>
      </c>
      <c r="B3217" s="11" t="s">
        <v>20328</v>
      </c>
      <c r="C3217" s="11" t="s">
        <v>16750</v>
      </c>
      <c r="D3217" s="11" t="s">
        <v>5844</v>
      </c>
      <c r="E3217" s="11"/>
      <c r="F3217" s="11" t="s">
        <v>16751</v>
      </c>
      <c r="G3217" s="11" t="s">
        <v>20329</v>
      </c>
      <c r="H3217" s="11" t="s">
        <v>142</v>
      </c>
      <c r="I3217" s="11" t="s">
        <v>16752</v>
      </c>
      <c r="J3217" s="11" t="s">
        <v>16811</v>
      </c>
      <c r="K3217" s="11" t="s">
        <v>1199</v>
      </c>
      <c r="L3217" s="11" t="s">
        <v>464</v>
      </c>
      <c r="M3217" s="11" t="s">
        <v>20330</v>
      </c>
      <c r="N3217" s="11" t="s">
        <v>128</v>
      </c>
      <c r="O3217" s="11" t="s">
        <v>20331</v>
      </c>
      <c r="P3217" s="11" t="s">
        <v>20332</v>
      </c>
      <c r="Q3217" s="11" t="s">
        <v>150</v>
      </c>
      <c r="R3217" s="11"/>
      <c r="S3217" s="11" t="s">
        <v>16757</v>
      </c>
      <c r="T3217" s="11" t="s">
        <v>2697</v>
      </c>
      <c r="U3217" s="11" t="s">
        <v>150</v>
      </c>
      <c r="V3217" s="11" t="s">
        <v>2697</v>
      </c>
      <c r="W3217" s="11" t="s">
        <v>2697</v>
      </c>
      <c r="X3217" s="11">
        <v>4</v>
      </c>
      <c r="Y3217" s="11" t="s">
        <v>12359</v>
      </c>
      <c r="Z3217" s="11">
        <v>20</v>
      </c>
      <c r="AA3217" s="11">
        <v>0</v>
      </c>
      <c r="AB3217" s="12">
        <v>0</v>
      </c>
    </row>
    <row r="3218" spans="1:28" x14ac:dyDescent="0.2">
      <c r="A3218" s="7">
        <v>238167</v>
      </c>
      <c r="B3218" s="8" t="s">
        <v>20333</v>
      </c>
      <c r="C3218" s="8" t="s">
        <v>10742</v>
      </c>
      <c r="D3218" s="8" t="s">
        <v>20334</v>
      </c>
      <c r="E3218" s="8"/>
      <c r="F3218" s="8" t="s">
        <v>10744</v>
      </c>
      <c r="G3218" s="8" t="s">
        <v>5116</v>
      </c>
      <c r="H3218" s="8" t="s">
        <v>122</v>
      </c>
      <c r="I3218" s="8" t="s">
        <v>20335</v>
      </c>
      <c r="J3218" s="8" t="s">
        <v>20336</v>
      </c>
      <c r="K3218" s="8" t="s">
        <v>125</v>
      </c>
      <c r="L3218" s="8" t="s">
        <v>126</v>
      </c>
      <c r="M3218" s="8" t="s">
        <v>20337</v>
      </c>
      <c r="N3218" s="8" t="s">
        <v>128</v>
      </c>
      <c r="O3218" s="8" t="s">
        <v>20338</v>
      </c>
      <c r="P3218" s="8"/>
      <c r="Q3218" s="8" t="s">
        <v>150</v>
      </c>
      <c r="R3218" s="8"/>
      <c r="S3218" s="8" t="s">
        <v>71</v>
      </c>
      <c r="T3218" s="8" t="s">
        <v>2697</v>
      </c>
      <c r="U3218" s="8" t="s">
        <v>150</v>
      </c>
      <c r="V3218" s="8" t="s">
        <v>2697</v>
      </c>
      <c r="W3218" s="8" t="s">
        <v>2697</v>
      </c>
      <c r="X3218" s="8">
        <v>4</v>
      </c>
      <c r="Y3218" s="8" t="s">
        <v>12359</v>
      </c>
      <c r="Z3218" s="8">
        <v>20</v>
      </c>
      <c r="AA3218" s="8">
        <v>0</v>
      </c>
      <c r="AB3218" s="9">
        <v>0</v>
      </c>
    </row>
    <row r="3219" spans="1:28" x14ac:dyDescent="0.2">
      <c r="A3219" s="10">
        <v>85242</v>
      </c>
      <c r="B3219" s="11" t="s">
        <v>20339</v>
      </c>
      <c r="C3219" s="11" t="s">
        <v>18518</v>
      </c>
      <c r="D3219" s="11" t="s">
        <v>1300</v>
      </c>
      <c r="E3219" s="11"/>
      <c r="F3219" s="11" t="s">
        <v>6430</v>
      </c>
      <c r="G3219" s="11" t="s">
        <v>16339</v>
      </c>
      <c r="H3219" s="11" t="s">
        <v>159</v>
      </c>
      <c r="I3219" s="11" t="s">
        <v>18519</v>
      </c>
      <c r="J3219" s="11" t="s">
        <v>20340</v>
      </c>
      <c r="K3219" s="11" t="s">
        <v>162</v>
      </c>
      <c r="L3219" s="11" t="s">
        <v>163</v>
      </c>
      <c r="M3219" s="11" t="s">
        <v>20341</v>
      </c>
      <c r="N3219" s="11" t="s">
        <v>128</v>
      </c>
      <c r="O3219" s="11" t="s">
        <v>20342</v>
      </c>
      <c r="P3219" s="11"/>
      <c r="Q3219" s="11" t="s">
        <v>150</v>
      </c>
      <c r="R3219" s="11"/>
      <c r="S3219" s="11" t="s">
        <v>71</v>
      </c>
      <c r="T3219" s="11" t="s">
        <v>5642</v>
      </c>
      <c r="U3219" s="11" t="s">
        <v>150</v>
      </c>
      <c r="V3219" s="11" t="s">
        <v>5642</v>
      </c>
      <c r="W3219" s="11" t="s">
        <v>5642</v>
      </c>
      <c r="X3219" s="11">
        <v>4</v>
      </c>
      <c r="Y3219" s="11" t="s">
        <v>12359</v>
      </c>
      <c r="Z3219" s="11">
        <v>20</v>
      </c>
      <c r="AA3219" s="11">
        <v>0</v>
      </c>
      <c r="AB3219" s="12">
        <v>0</v>
      </c>
    </row>
    <row r="3220" spans="1:28" x14ac:dyDescent="0.2">
      <c r="A3220" s="7">
        <v>22780</v>
      </c>
      <c r="B3220" s="8" t="s">
        <v>20343</v>
      </c>
      <c r="C3220" s="8" t="s">
        <v>700</v>
      </c>
      <c r="D3220" s="8" t="s">
        <v>3134</v>
      </c>
      <c r="E3220" s="8"/>
      <c r="F3220" s="8" t="s">
        <v>353</v>
      </c>
      <c r="G3220" s="8" t="s">
        <v>703</v>
      </c>
      <c r="H3220" s="8" t="s">
        <v>704</v>
      </c>
      <c r="I3220" s="8" t="s">
        <v>705</v>
      </c>
      <c r="J3220" s="8" t="s">
        <v>20344</v>
      </c>
      <c r="K3220" s="8" t="s">
        <v>707</v>
      </c>
      <c r="L3220" s="8" t="s">
        <v>126</v>
      </c>
      <c r="M3220" s="8" t="s">
        <v>20345</v>
      </c>
      <c r="N3220" s="8" t="s">
        <v>128</v>
      </c>
      <c r="O3220" s="8" t="s">
        <v>20346</v>
      </c>
      <c r="P3220" s="8"/>
      <c r="Q3220" s="8" t="s">
        <v>150</v>
      </c>
      <c r="R3220" s="8"/>
      <c r="S3220" s="8" t="s">
        <v>71</v>
      </c>
      <c r="T3220" s="8" t="s">
        <v>2817</v>
      </c>
      <c r="U3220" s="8" t="s">
        <v>150</v>
      </c>
      <c r="V3220" s="8" t="s">
        <v>2817</v>
      </c>
      <c r="W3220" s="8" t="s">
        <v>2817</v>
      </c>
      <c r="X3220" s="8">
        <v>4</v>
      </c>
      <c r="Y3220" s="8" t="s">
        <v>12359</v>
      </c>
      <c r="Z3220" s="8">
        <v>20</v>
      </c>
      <c r="AA3220" s="8">
        <v>0</v>
      </c>
      <c r="AB3220" s="9">
        <v>0</v>
      </c>
    </row>
    <row r="3221" spans="1:28" x14ac:dyDescent="0.2">
      <c r="A3221" s="10">
        <v>22781</v>
      </c>
      <c r="B3221" s="11" t="s">
        <v>20347</v>
      </c>
      <c r="C3221" s="11" t="s">
        <v>20348</v>
      </c>
      <c r="D3221" s="11" t="s">
        <v>5540</v>
      </c>
      <c r="E3221" s="11"/>
      <c r="F3221" s="11" t="s">
        <v>20349</v>
      </c>
      <c r="G3221" s="11" t="s">
        <v>703</v>
      </c>
      <c r="H3221" s="11" t="s">
        <v>704</v>
      </c>
      <c r="I3221" s="11"/>
      <c r="J3221" s="11" t="s">
        <v>20350</v>
      </c>
      <c r="K3221" s="11" t="s">
        <v>707</v>
      </c>
      <c r="L3221" s="11" t="s">
        <v>126</v>
      </c>
      <c r="M3221" s="11" t="s">
        <v>20351</v>
      </c>
      <c r="N3221" s="11" t="s">
        <v>128</v>
      </c>
      <c r="O3221" s="11" t="s">
        <v>20352</v>
      </c>
      <c r="P3221" s="11"/>
      <c r="Q3221" s="11" t="s">
        <v>150</v>
      </c>
      <c r="R3221" s="11"/>
      <c r="S3221" s="11" t="s">
        <v>71</v>
      </c>
      <c r="T3221" s="11" t="s">
        <v>2817</v>
      </c>
      <c r="U3221" s="11" t="s">
        <v>150</v>
      </c>
      <c r="V3221" s="11" t="s">
        <v>2817</v>
      </c>
      <c r="W3221" s="11" t="s">
        <v>2817</v>
      </c>
      <c r="X3221" s="11">
        <v>4</v>
      </c>
      <c r="Y3221" s="11" t="s">
        <v>12359</v>
      </c>
      <c r="Z3221" s="11">
        <v>20</v>
      </c>
      <c r="AA3221" s="11">
        <v>0</v>
      </c>
      <c r="AB3221" s="12">
        <v>0</v>
      </c>
    </row>
    <row r="3222" spans="1:28" x14ac:dyDescent="0.2">
      <c r="A3222" s="7">
        <v>28157</v>
      </c>
      <c r="B3222" s="8" t="s">
        <v>20353</v>
      </c>
      <c r="C3222" s="8" t="s">
        <v>20354</v>
      </c>
      <c r="D3222" s="8" t="s">
        <v>15480</v>
      </c>
      <c r="E3222" s="8"/>
      <c r="F3222" s="8" t="s">
        <v>20355</v>
      </c>
      <c r="G3222" s="8" t="s">
        <v>1419</v>
      </c>
      <c r="H3222" s="8" t="s">
        <v>704</v>
      </c>
      <c r="I3222" s="8" t="s">
        <v>20356</v>
      </c>
      <c r="J3222" s="8" t="s">
        <v>20357</v>
      </c>
      <c r="K3222" s="8" t="s">
        <v>707</v>
      </c>
      <c r="L3222" s="8" t="s">
        <v>126</v>
      </c>
      <c r="M3222" s="8" t="s">
        <v>20358</v>
      </c>
      <c r="N3222" s="8" t="s">
        <v>128</v>
      </c>
      <c r="O3222" s="8" t="s">
        <v>20359</v>
      </c>
      <c r="P3222" s="8"/>
      <c r="Q3222" s="8" t="s">
        <v>150</v>
      </c>
      <c r="R3222" s="8"/>
      <c r="S3222" s="8" t="s">
        <v>71</v>
      </c>
      <c r="T3222" s="8" t="s">
        <v>2817</v>
      </c>
      <c r="U3222" s="8" t="s">
        <v>150</v>
      </c>
      <c r="V3222" s="8" t="s">
        <v>2817</v>
      </c>
      <c r="W3222" s="8" t="s">
        <v>2817</v>
      </c>
      <c r="X3222" s="8">
        <v>4</v>
      </c>
      <c r="Y3222" s="8" t="s">
        <v>12359</v>
      </c>
      <c r="Z3222" s="8">
        <v>20</v>
      </c>
      <c r="AA3222" s="8">
        <v>0</v>
      </c>
      <c r="AB3222" s="9">
        <v>0</v>
      </c>
    </row>
    <row r="3223" spans="1:28" x14ac:dyDescent="0.2">
      <c r="A3223" s="10">
        <v>86725</v>
      </c>
      <c r="B3223" s="11" t="s">
        <v>20360</v>
      </c>
      <c r="C3223" s="11" t="s">
        <v>20361</v>
      </c>
      <c r="D3223" s="11" t="s">
        <v>20362</v>
      </c>
      <c r="E3223" s="11"/>
      <c r="F3223" s="11" t="s">
        <v>20363</v>
      </c>
      <c r="G3223" s="11" t="s">
        <v>703</v>
      </c>
      <c r="H3223" s="11" t="s">
        <v>704</v>
      </c>
      <c r="I3223" s="11" t="s">
        <v>20364</v>
      </c>
      <c r="J3223" s="11" t="s">
        <v>20365</v>
      </c>
      <c r="K3223" s="11" t="s">
        <v>707</v>
      </c>
      <c r="L3223" s="11" t="s">
        <v>126</v>
      </c>
      <c r="M3223" s="11" t="s">
        <v>20366</v>
      </c>
      <c r="N3223" s="11" t="s">
        <v>128</v>
      </c>
      <c r="O3223" s="11" t="s">
        <v>20367</v>
      </c>
      <c r="P3223" s="11"/>
      <c r="Q3223" s="11" t="s">
        <v>150</v>
      </c>
      <c r="R3223" s="11"/>
      <c r="S3223" s="11" t="s">
        <v>71</v>
      </c>
      <c r="T3223" s="11" t="s">
        <v>2817</v>
      </c>
      <c r="U3223" s="11" t="s">
        <v>150</v>
      </c>
      <c r="V3223" s="11" t="s">
        <v>2817</v>
      </c>
      <c r="W3223" s="11" t="s">
        <v>2817</v>
      </c>
      <c r="X3223" s="11">
        <v>4</v>
      </c>
      <c r="Y3223" s="11" t="s">
        <v>12359</v>
      </c>
      <c r="Z3223" s="11">
        <v>20</v>
      </c>
      <c r="AA3223" s="11">
        <v>0</v>
      </c>
      <c r="AB3223" s="12">
        <v>0</v>
      </c>
    </row>
    <row r="3224" spans="1:28" x14ac:dyDescent="0.2">
      <c r="A3224" s="7">
        <v>22845</v>
      </c>
      <c r="B3224" s="8" t="s">
        <v>20368</v>
      </c>
      <c r="C3224" s="8" t="s">
        <v>20369</v>
      </c>
      <c r="D3224" s="8" t="s">
        <v>20370</v>
      </c>
      <c r="E3224" s="8" t="s">
        <v>20371</v>
      </c>
      <c r="F3224" s="8" t="s">
        <v>353</v>
      </c>
      <c r="G3224" s="8" t="s">
        <v>1915</v>
      </c>
      <c r="H3224" s="8" t="s">
        <v>122</v>
      </c>
      <c r="I3224" s="8" t="s">
        <v>20372</v>
      </c>
      <c r="J3224" s="8" t="s">
        <v>20373</v>
      </c>
      <c r="K3224" s="8" t="s">
        <v>1051</v>
      </c>
      <c r="L3224" s="8" t="s">
        <v>126</v>
      </c>
      <c r="M3224" s="8" t="s">
        <v>20374</v>
      </c>
      <c r="N3224" s="8" t="s">
        <v>128</v>
      </c>
      <c r="O3224" s="8" t="s">
        <v>20375</v>
      </c>
      <c r="P3224" s="8" t="s">
        <v>20376</v>
      </c>
      <c r="Q3224" s="8" t="s">
        <v>150</v>
      </c>
      <c r="R3224" s="8"/>
      <c r="S3224" s="8" t="s">
        <v>71</v>
      </c>
      <c r="T3224" s="8" t="s">
        <v>7189</v>
      </c>
      <c r="U3224" s="8" t="s">
        <v>150</v>
      </c>
      <c r="V3224" s="8" t="s">
        <v>7189</v>
      </c>
      <c r="W3224" s="8" t="s">
        <v>7189</v>
      </c>
      <c r="X3224" s="8">
        <v>4</v>
      </c>
      <c r="Y3224" s="8" t="s">
        <v>12359</v>
      </c>
      <c r="Z3224" s="8">
        <v>20</v>
      </c>
      <c r="AA3224" s="8">
        <v>0</v>
      </c>
      <c r="AB3224" s="9">
        <v>0</v>
      </c>
    </row>
    <row r="3225" spans="1:28" x14ac:dyDescent="0.2">
      <c r="A3225" s="10">
        <v>107217</v>
      </c>
      <c r="B3225" s="11" t="s">
        <v>20377</v>
      </c>
      <c r="C3225" s="11" t="s">
        <v>20378</v>
      </c>
      <c r="D3225" s="11" t="s">
        <v>19957</v>
      </c>
      <c r="E3225" s="11"/>
      <c r="F3225" s="11" t="s">
        <v>353</v>
      </c>
      <c r="G3225" s="11" t="s">
        <v>11124</v>
      </c>
      <c r="H3225" s="11" t="s">
        <v>122</v>
      </c>
      <c r="I3225" s="11" t="s">
        <v>11125</v>
      </c>
      <c r="J3225" s="11" t="s">
        <v>20379</v>
      </c>
      <c r="K3225" s="11" t="s">
        <v>1051</v>
      </c>
      <c r="L3225" s="11" t="s">
        <v>126</v>
      </c>
      <c r="M3225" s="11" t="s">
        <v>20380</v>
      </c>
      <c r="N3225" s="11" t="s">
        <v>128</v>
      </c>
      <c r="O3225" s="11" t="s">
        <v>20381</v>
      </c>
      <c r="P3225" s="11" t="s">
        <v>6735</v>
      </c>
      <c r="Q3225" s="11" t="s">
        <v>150</v>
      </c>
      <c r="R3225" s="11"/>
      <c r="S3225" s="11" t="s">
        <v>71</v>
      </c>
      <c r="T3225" s="11" t="s">
        <v>7189</v>
      </c>
      <c r="U3225" s="11" t="s">
        <v>150</v>
      </c>
      <c r="V3225" s="11" t="s">
        <v>7189</v>
      </c>
      <c r="W3225" s="11" t="s">
        <v>7189</v>
      </c>
      <c r="X3225" s="11">
        <v>4</v>
      </c>
      <c r="Y3225" s="11" t="s">
        <v>12359</v>
      </c>
      <c r="Z3225" s="11">
        <v>20</v>
      </c>
      <c r="AA3225" s="11">
        <v>0</v>
      </c>
      <c r="AB3225" s="12">
        <v>0</v>
      </c>
    </row>
    <row r="3226" spans="1:28" x14ac:dyDescent="0.2">
      <c r="A3226" s="7">
        <v>22844</v>
      </c>
      <c r="B3226" s="8" t="s">
        <v>20382</v>
      </c>
      <c r="C3226" s="8" t="s">
        <v>20383</v>
      </c>
      <c r="D3226" s="8" t="s">
        <v>11257</v>
      </c>
      <c r="E3226" s="8"/>
      <c r="F3226" s="8" t="s">
        <v>11595</v>
      </c>
      <c r="G3226" s="8" t="s">
        <v>121</v>
      </c>
      <c r="H3226" s="8" t="s">
        <v>122</v>
      </c>
      <c r="I3226" s="8" t="s">
        <v>20384</v>
      </c>
      <c r="J3226" s="8" t="s">
        <v>20385</v>
      </c>
      <c r="K3226" s="8" t="s">
        <v>1051</v>
      </c>
      <c r="L3226" s="8" t="s">
        <v>126</v>
      </c>
      <c r="M3226" s="8" t="s">
        <v>20386</v>
      </c>
      <c r="N3226" s="8" t="s">
        <v>128</v>
      </c>
      <c r="O3226" s="8" t="s">
        <v>20387</v>
      </c>
      <c r="P3226" s="8" t="s">
        <v>10163</v>
      </c>
      <c r="Q3226" s="8" t="s">
        <v>150</v>
      </c>
      <c r="R3226" s="8"/>
      <c r="S3226" s="8" t="s">
        <v>71</v>
      </c>
      <c r="T3226" s="8" t="s">
        <v>7189</v>
      </c>
      <c r="U3226" s="8" t="s">
        <v>150</v>
      </c>
      <c r="V3226" s="8" t="s">
        <v>7189</v>
      </c>
      <c r="W3226" s="8" t="s">
        <v>7189</v>
      </c>
      <c r="X3226" s="8">
        <v>4</v>
      </c>
      <c r="Y3226" s="8" t="s">
        <v>12359</v>
      </c>
      <c r="Z3226" s="8">
        <v>20</v>
      </c>
      <c r="AA3226" s="8">
        <v>0</v>
      </c>
      <c r="AB3226" s="9">
        <v>0</v>
      </c>
    </row>
    <row r="3227" spans="1:28" x14ac:dyDescent="0.2">
      <c r="A3227" s="10">
        <v>23044</v>
      </c>
      <c r="B3227" s="11" t="s">
        <v>20388</v>
      </c>
      <c r="C3227" s="11" t="s">
        <v>20389</v>
      </c>
      <c r="D3227" s="11" t="s">
        <v>7382</v>
      </c>
      <c r="E3227" s="11" t="s">
        <v>20390</v>
      </c>
      <c r="F3227" s="11" t="s">
        <v>353</v>
      </c>
      <c r="G3227" s="11" t="s">
        <v>1813</v>
      </c>
      <c r="H3227" s="11" t="s">
        <v>142</v>
      </c>
      <c r="I3227" s="11" t="s">
        <v>20391</v>
      </c>
      <c r="J3227" s="11" t="s">
        <v>20392</v>
      </c>
      <c r="K3227" s="11" t="s">
        <v>974</v>
      </c>
      <c r="L3227" s="11" t="s">
        <v>146</v>
      </c>
      <c r="M3227" s="11" t="s">
        <v>20393</v>
      </c>
      <c r="N3227" s="11" t="s">
        <v>128</v>
      </c>
      <c r="O3227" s="11" t="s">
        <v>20394</v>
      </c>
      <c r="P3227" s="11" t="s">
        <v>20395</v>
      </c>
      <c r="Q3227" s="11" t="s">
        <v>150</v>
      </c>
      <c r="R3227" s="11"/>
      <c r="S3227" s="11" t="s">
        <v>71</v>
      </c>
      <c r="T3227" s="11" t="s">
        <v>70</v>
      </c>
      <c r="U3227" s="11" t="s">
        <v>150</v>
      </c>
      <c r="V3227" s="11" t="s">
        <v>70</v>
      </c>
      <c r="W3227" s="11" t="s">
        <v>70</v>
      </c>
      <c r="X3227" s="11">
        <v>4</v>
      </c>
      <c r="Y3227" s="11" t="s">
        <v>12359</v>
      </c>
      <c r="Z3227" s="11">
        <v>20</v>
      </c>
      <c r="AA3227" s="11">
        <v>0</v>
      </c>
      <c r="AB3227" s="12">
        <v>0</v>
      </c>
    </row>
    <row r="3228" spans="1:28" x14ac:dyDescent="0.2">
      <c r="A3228" s="7">
        <v>23160</v>
      </c>
      <c r="B3228" s="8" t="s">
        <v>20396</v>
      </c>
      <c r="C3228" s="8" t="s">
        <v>20397</v>
      </c>
      <c r="D3228" s="8" t="s">
        <v>7112</v>
      </c>
      <c r="E3228" s="8" t="s">
        <v>20398</v>
      </c>
      <c r="F3228" s="8" t="s">
        <v>353</v>
      </c>
      <c r="G3228" s="8" t="s">
        <v>4226</v>
      </c>
      <c r="H3228" s="8" t="s">
        <v>329</v>
      </c>
      <c r="I3228" s="8" t="s">
        <v>18864</v>
      </c>
      <c r="J3228" s="8" t="s">
        <v>20399</v>
      </c>
      <c r="K3228" s="8" t="s">
        <v>415</v>
      </c>
      <c r="L3228" s="8" t="s">
        <v>333</v>
      </c>
      <c r="M3228" s="8" t="s">
        <v>20400</v>
      </c>
      <c r="N3228" s="8" t="s">
        <v>128</v>
      </c>
      <c r="O3228" s="8" t="s">
        <v>20401</v>
      </c>
      <c r="P3228" s="8" t="s">
        <v>20402</v>
      </c>
      <c r="Q3228" s="8" t="s">
        <v>150</v>
      </c>
      <c r="R3228" s="8"/>
      <c r="S3228" s="8" t="s">
        <v>71</v>
      </c>
      <c r="T3228" s="8" t="s">
        <v>70</v>
      </c>
      <c r="U3228" s="8" t="s">
        <v>150</v>
      </c>
      <c r="V3228" s="8" t="s">
        <v>70</v>
      </c>
      <c r="W3228" s="8" t="s">
        <v>70</v>
      </c>
      <c r="X3228" s="8">
        <v>4</v>
      </c>
      <c r="Y3228" s="8" t="s">
        <v>12359</v>
      </c>
      <c r="Z3228" s="8">
        <v>20</v>
      </c>
      <c r="AA3228" s="8">
        <v>0</v>
      </c>
      <c r="AB3228" s="9">
        <v>0</v>
      </c>
    </row>
    <row r="3229" spans="1:28" x14ac:dyDescent="0.2">
      <c r="A3229" s="10">
        <v>23348</v>
      </c>
      <c r="B3229" s="11" t="s">
        <v>20403</v>
      </c>
      <c r="C3229" s="11" t="s">
        <v>9750</v>
      </c>
      <c r="D3229" s="11" t="s">
        <v>17181</v>
      </c>
      <c r="E3229" s="11" t="s">
        <v>281</v>
      </c>
      <c r="F3229" s="11" t="s">
        <v>20404</v>
      </c>
      <c r="G3229" s="11" t="s">
        <v>556</v>
      </c>
      <c r="H3229" s="11" t="s">
        <v>557</v>
      </c>
      <c r="I3229" s="11" t="s">
        <v>20405</v>
      </c>
      <c r="J3229" s="11" t="s">
        <v>20406</v>
      </c>
      <c r="K3229" s="11" t="s">
        <v>560</v>
      </c>
      <c r="L3229" s="11" t="s">
        <v>229</v>
      </c>
      <c r="M3229" s="11" t="s">
        <v>20407</v>
      </c>
      <c r="N3229" s="11" t="s">
        <v>128</v>
      </c>
      <c r="O3229" s="11" t="s">
        <v>20408</v>
      </c>
      <c r="P3229" s="11" t="s">
        <v>20409</v>
      </c>
      <c r="Q3229" s="11" t="s">
        <v>150</v>
      </c>
      <c r="R3229" s="11"/>
      <c r="S3229" s="11" t="s">
        <v>71</v>
      </c>
      <c r="T3229" s="11" t="s">
        <v>70</v>
      </c>
      <c r="U3229" s="11" t="s">
        <v>150</v>
      </c>
      <c r="V3229" s="11" t="s">
        <v>70</v>
      </c>
      <c r="W3229" s="11" t="s">
        <v>70</v>
      </c>
      <c r="X3229" s="11">
        <v>4</v>
      </c>
      <c r="Y3229" s="11" t="s">
        <v>12359</v>
      </c>
      <c r="Z3229" s="11">
        <v>20</v>
      </c>
      <c r="AA3229" s="11">
        <v>0</v>
      </c>
      <c r="AB3229" s="12">
        <v>0</v>
      </c>
    </row>
    <row r="3230" spans="1:28" x14ac:dyDescent="0.2">
      <c r="A3230" s="7">
        <v>23373</v>
      </c>
      <c r="B3230" s="8" t="s">
        <v>20410</v>
      </c>
      <c r="C3230" s="8" t="s">
        <v>20411</v>
      </c>
      <c r="D3230" s="8" t="s">
        <v>20412</v>
      </c>
      <c r="E3230" s="8" t="s">
        <v>281</v>
      </c>
      <c r="F3230" s="8" t="s">
        <v>20413</v>
      </c>
      <c r="G3230" s="8" t="s">
        <v>615</v>
      </c>
      <c r="H3230" s="8" t="s">
        <v>616</v>
      </c>
      <c r="I3230" s="8" t="s">
        <v>20414</v>
      </c>
      <c r="J3230" s="8" t="s">
        <v>20415</v>
      </c>
      <c r="K3230" s="8" t="s">
        <v>619</v>
      </c>
      <c r="L3230" s="8" t="s">
        <v>163</v>
      </c>
      <c r="M3230" s="8" t="s">
        <v>20416</v>
      </c>
      <c r="N3230" s="8" t="s">
        <v>128</v>
      </c>
      <c r="O3230" s="8" t="s">
        <v>20417</v>
      </c>
      <c r="P3230" s="8" t="s">
        <v>20418</v>
      </c>
      <c r="Q3230" s="8" t="s">
        <v>150</v>
      </c>
      <c r="R3230" s="8"/>
      <c r="S3230" s="8" t="s">
        <v>71</v>
      </c>
      <c r="T3230" s="8" t="s">
        <v>70</v>
      </c>
      <c r="U3230" s="8" t="s">
        <v>150</v>
      </c>
      <c r="V3230" s="8" t="s">
        <v>70</v>
      </c>
      <c r="W3230" s="8" t="s">
        <v>70</v>
      </c>
      <c r="X3230" s="8">
        <v>4</v>
      </c>
      <c r="Y3230" s="8" t="s">
        <v>12359</v>
      </c>
      <c r="Z3230" s="8">
        <v>20</v>
      </c>
      <c r="AA3230" s="8">
        <v>0</v>
      </c>
      <c r="AB3230" s="9">
        <v>0</v>
      </c>
    </row>
    <row r="3231" spans="1:28" x14ac:dyDescent="0.2">
      <c r="A3231" s="10">
        <v>22984</v>
      </c>
      <c r="B3231" s="11" t="s">
        <v>20419</v>
      </c>
      <c r="C3231" s="11" t="s">
        <v>5879</v>
      </c>
      <c r="D3231" s="11" t="s">
        <v>11039</v>
      </c>
      <c r="E3231" s="11" t="s">
        <v>6253</v>
      </c>
      <c r="F3231" s="11" t="s">
        <v>353</v>
      </c>
      <c r="G3231" s="11" t="s">
        <v>11130</v>
      </c>
      <c r="H3231" s="11" t="s">
        <v>704</v>
      </c>
      <c r="I3231" s="11" t="s">
        <v>11131</v>
      </c>
      <c r="J3231" s="11" t="s">
        <v>11132</v>
      </c>
      <c r="K3231" s="11" t="s">
        <v>850</v>
      </c>
      <c r="L3231" s="11" t="s">
        <v>126</v>
      </c>
      <c r="M3231" s="11" t="s">
        <v>20420</v>
      </c>
      <c r="N3231" s="11" t="s">
        <v>128</v>
      </c>
      <c r="O3231" s="11" t="s">
        <v>20421</v>
      </c>
      <c r="P3231" s="11" t="s">
        <v>20422</v>
      </c>
      <c r="Q3231" s="11" t="s">
        <v>150</v>
      </c>
      <c r="R3231" s="11"/>
      <c r="S3231" s="11" t="s">
        <v>11136</v>
      </c>
      <c r="T3231" s="11" t="s">
        <v>70</v>
      </c>
      <c r="U3231" s="11" t="s">
        <v>150</v>
      </c>
      <c r="V3231" s="11" t="s">
        <v>70</v>
      </c>
      <c r="W3231" s="11" t="s">
        <v>70</v>
      </c>
      <c r="X3231" s="11">
        <v>4</v>
      </c>
      <c r="Y3231" s="11" t="s">
        <v>12359</v>
      </c>
      <c r="Z3231" s="11">
        <v>20</v>
      </c>
      <c r="AA3231" s="11">
        <v>0</v>
      </c>
      <c r="AB3231" s="12">
        <v>0</v>
      </c>
    </row>
    <row r="3232" spans="1:28" x14ac:dyDescent="0.2">
      <c r="A3232" s="7">
        <v>23187</v>
      </c>
      <c r="B3232" s="8" t="s">
        <v>20423</v>
      </c>
      <c r="C3232" s="8" t="s">
        <v>10996</v>
      </c>
      <c r="D3232" s="8" t="s">
        <v>138</v>
      </c>
      <c r="E3232" s="8" t="s">
        <v>20424</v>
      </c>
      <c r="F3232" s="8" t="s">
        <v>353</v>
      </c>
      <c r="G3232" s="8" t="s">
        <v>10998</v>
      </c>
      <c r="H3232" s="8" t="s">
        <v>159</v>
      </c>
      <c r="I3232" s="8" t="s">
        <v>10999</v>
      </c>
      <c r="J3232" s="8" t="s">
        <v>11000</v>
      </c>
      <c r="K3232" s="8" t="s">
        <v>274</v>
      </c>
      <c r="L3232" s="8" t="s">
        <v>163</v>
      </c>
      <c r="M3232" s="8" t="s">
        <v>20425</v>
      </c>
      <c r="N3232" s="8" t="s">
        <v>128</v>
      </c>
      <c r="O3232" s="8" t="s">
        <v>20426</v>
      </c>
      <c r="P3232" s="8" t="s">
        <v>9559</v>
      </c>
      <c r="Q3232" s="8" t="s">
        <v>150</v>
      </c>
      <c r="R3232" s="8"/>
      <c r="S3232" s="8" t="s">
        <v>11004</v>
      </c>
      <c r="T3232" s="8" t="s">
        <v>70</v>
      </c>
      <c r="U3232" s="8" t="s">
        <v>150</v>
      </c>
      <c r="V3232" s="8" t="s">
        <v>70</v>
      </c>
      <c r="W3232" s="8" t="s">
        <v>70</v>
      </c>
      <c r="X3232" s="8">
        <v>4</v>
      </c>
      <c r="Y3232" s="8" t="s">
        <v>12359</v>
      </c>
      <c r="Z3232" s="8">
        <v>20</v>
      </c>
      <c r="AA3232" s="8">
        <v>0</v>
      </c>
      <c r="AB3232" s="9">
        <v>0</v>
      </c>
    </row>
    <row r="3233" spans="1:28" x14ac:dyDescent="0.2">
      <c r="A3233" s="10">
        <v>22928</v>
      </c>
      <c r="B3233" s="11" t="s">
        <v>20427</v>
      </c>
      <c r="C3233" s="11" t="s">
        <v>16358</v>
      </c>
      <c r="D3233" s="11" t="s">
        <v>20001</v>
      </c>
      <c r="E3233" s="11" t="s">
        <v>20428</v>
      </c>
      <c r="F3233" s="11" t="s">
        <v>20429</v>
      </c>
      <c r="G3233" s="11" t="s">
        <v>190</v>
      </c>
      <c r="H3233" s="11" t="s">
        <v>191</v>
      </c>
      <c r="I3233" s="11" t="s">
        <v>20003</v>
      </c>
      <c r="J3233" s="11" t="s">
        <v>20430</v>
      </c>
      <c r="K3233" s="11" t="s">
        <v>194</v>
      </c>
      <c r="L3233" s="11" t="s">
        <v>163</v>
      </c>
      <c r="M3233" s="11" t="s">
        <v>20431</v>
      </c>
      <c r="N3233" s="11" t="s">
        <v>128</v>
      </c>
      <c r="O3233" s="11" t="s">
        <v>20432</v>
      </c>
      <c r="P3233" s="11" t="s">
        <v>20433</v>
      </c>
      <c r="Q3233" s="11" t="s">
        <v>150</v>
      </c>
      <c r="R3233" s="11"/>
      <c r="S3233" s="11" t="s">
        <v>20007</v>
      </c>
      <c r="T3233" s="11" t="s">
        <v>70</v>
      </c>
      <c r="U3233" s="11" t="s">
        <v>150</v>
      </c>
      <c r="V3233" s="11" t="s">
        <v>70</v>
      </c>
      <c r="W3233" s="11" t="s">
        <v>70</v>
      </c>
      <c r="X3233" s="11">
        <v>4</v>
      </c>
      <c r="Y3233" s="11" t="s">
        <v>12359</v>
      </c>
      <c r="Z3233" s="11">
        <v>20</v>
      </c>
      <c r="AA3233" s="11">
        <v>0</v>
      </c>
      <c r="AB3233" s="12">
        <v>0</v>
      </c>
    </row>
    <row r="3234" spans="1:28" x14ac:dyDescent="0.2">
      <c r="A3234" s="7">
        <v>22946</v>
      </c>
      <c r="B3234" s="8" t="s">
        <v>20434</v>
      </c>
      <c r="C3234" s="8" t="s">
        <v>5334</v>
      </c>
      <c r="D3234" s="8" t="s">
        <v>2871</v>
      </c>
      <c r="E3234" s="8" t="s">
        <v>281</v>
      </c>
      <c r="F3234" s="8" t="s">
        <v>5336</v>
      </c>
      <c r="G3234" s="8" t="s">
        <v>2175</v>
      </c>
      <c r="H3234" s="8" t="s">
        <v>2176</v>
      </c>
      <c r="I3234" s="8" t="s">
        <v>5338</v>
      </c>
      <c r="J3234" s="8" t="s">
        <v>5351</v>
      </c>
      <c r="K3234" s="8" t="s">
        <v>194</v>
      </c>
      <c r="L3234" s="8" t="s">
        <v>163</v>
      </c>
      <c r="M3234" s="8" t="s">
        <v>20435</v>
      </c>
      <c r="N3234" s="8" t="s">
        <v>128</v>
      </c>
      <c r="O3234" s="8" t="s">
        <v>20436</v>
      </c>
      <c r="P3234" s="8" t="s">
        <v>20437</v>
      </c>
      <c r="Q3234" s="8" t="s">
        <v>150</v>
      </c>
      <c r="R3234" s="8"/>
      <c r="S3234" s="8" t="s">
        <v>5343</v>
      </c>
      <c r="T3234" s="8" t="s">
        <v>70</v>
      </c>
      <c r="U3234" s="8" t="s">
        <v>150</v>
      </c>
      <c r="V3234" s="8" t="s">
        <v>70</v>
      </c>
      <c r="W3234" s="8" t="s">
        <v>70</v>
      </c>
      <c r="X3234" s="8">
        <v>4</v>
      </c>
      <c r="Y3234" s="8" t="s">
        <v>12359</v>
      </c>
      <c r="Z3234" s="8">
        <v>20</v>
      </c>
      <c r="AA3234" s="8">
        <v>0</v>
      </c>
      <c r="AB3234" s="9">
        <v>0</v>
      </c>
    </row>
    <row r="3235" spans="1:28" x14ac:dyDescent="0.2">
      <c r="A3235" s="10">
        <v>23030</v>
      </c>
      <c r="B3235" s="11" t="s">
        <v>20438</v>
      </c>
      <c r="C3235" s="11" t="s">
        <v>11006</v>
      </c>
      <c r="D3235" s="11" t="s">
        <v>2871</v>
      </c>
      <c r="E3235" s="11" t="s">
        <v>20439</v>
      </c>
      <c r="F3235" s="11" t="s">
        <v>11008</v>
      </c>
      <c r="G3235" s="11" t="s">
        <v>328</v>
      </c>
      <c r="H3235" s="11" t="s">
        <v>329</v>
      </c>
      <c r="I3235" s="11" t="s">
        <v>20440</v>
      </c>
      <c r="J3235" s="11" t="s">
        <v>11010</v>
      </c>
      <c r="K3235" s="11" t="s">
        <v>572</v>
      </c>
      <c r="L3235" s="11" t="s">
        <v>333</v>
      </c>
      <c r="M3235" s="11" t="s">
        <v>20441</v>
      </c>
      <c r="N3235" s="11" t="s">
        <v>128</v>
      </c>
      <c r="O3235" s="11" t="s">
        <v>20442</v>
      </c>
      <c r="P3235" s="11" t="s">
        <v>20025</v>
      </c>
      <c r="Q3235" s="11" t="s">
        <v>150</v>
      </c>
      <c r="R3235" s="11"/>
      <c r="S3235" s="11" t="s">
        <v>11014</v>
      </c>
      <c r="T3235" s="11" t="s">
        <v>70</v>
      </c>
      <c r="U3235" s="11" t="s">
        <v>150</v>
      </c>
      <c r="V3235" s="11" t="s">
        <v>70</v>
      </c>
      <c r="W3235" s="11" t="s">
        <v>70</v>
      </c>
      <c r="X3235" s="11">
        <v>4</v>
      </c>
      <c r="Y3235" s="11" t="s">
        <v>12359</v>
      </c>
      <c r="Z3235" s="11">
        <v>20</v>
      </c>
      <c r="AA3235" s="11">
        <v>0</v>
      </c>
      <c r="AB3235" s="12">
        <v>0</v>
      </c>
    </row>
    <row r="3236" spans="1:28" x14ac:dyDescent="0.2">
      <c r="A3236" s="7">
        <v>23214</v>
      </c>
      <c r="B3236" s="8" t="s">
        <v>20443</v>
      </c>
      <c r="C3236" s="8" t="s">
        <v>20094</v>
      </c>
      <c r="D3236" s="8" t="s">
        <v>2547</v>
      </c>
      <c r="E3236" s="8" t="s">
        <v>20444</v>
      </c>
      <c r="F3236" s="8" t="s">
        <v>20095</v>
      </c>
      <c r="G3236" s="8" t="s">
        <v>328</v>
      </c>
      <c r="H3236" s="8" t="s">
        <v>329</v>
      </c>
      <c r="I3236" s="8" t="s">
        <v>5569</v>
      </c>
      <c r="J3236" s="8" t="s">
        <v>20445</v>
      </c>
      <c r="K3236" s="8" t="s">
        <v>572</v>
      </c>
      <c r="L3236" s="8" t="s">
        <v>333</v>
      </c>
      <c r="M3236" s="8" t="s">
        <v>20446</v>
      </c>
      <c r="N3236" s="8" t="s">
        <v>128</v>
      </c>
      <c r="O3236" s="8" t="s">
        <v>20447</v>
      </c>
      <c r="P3236" s="8" t="s">
        <v>20448</v>
      </c>
      <c r="Q3236" s="8" t="s">
        <v>150</v>
      </c>
      <c r="R3236" s="8"/>
      <c r="S3236" s="8" t="s">
        <v>20100</v>
      </c>
      <c r="T3236" s="8" t="s">
        <v>70</v>
      </c>
      <c r="U3236" s="8" t="s">
        <v>150</v>
      </c>
      <c r="V3236" s="8" t="s">
        <v>70</v>
      </c>
      <c r="W3236" s="8" t="s">
        <v>70</v>
      </c>
      <c r="X3236" s="8">
        <v>4</v>
      </c>
      <c r="Y3236" s="8" t="s">
        <v>12359</v>
      </c>
      <c r="Z3236" s="8">
        <v>20</v>
      </c>
      <c r="AA3236" s="8">
        <v>0</v>
      </c>
      <c r="AB3236" s="9">
        <v>0</v>
      </c>
    </row>
    <row r="3237" spans="1:28" x14ac:dyDescent="0.2">
      <c r="A3237" s="10">
        <v>37967</v>
      </c>
      <c r="B3237" s="11" t="s">
        <v>20449</v>
      </c>
      <c r="C3237" s="11" t="s">
        <v>11016</v>
      </c>
      <c r="D3237" s="11" t="s">
        <v>1064</v>
      </c>
      <c r="E3237" s="11" t="s">
        <v>20450</v>
      </c>
      <c r="F3237" s="11" t="s">
        <v>11018</v>
      </c>
      <c r="G3237" s="11" t="s">
        <v>328</v>
      </c>
      <c r="H3237" s="11" t="s">
        <v>329</v>
      </c>
      <c r="I3237" s="11" t="s">
        <v>11019</v>
      </c>
      <c r="J3237" s="11" t="s">
        <v>11020</v>
      </c>
      <c r="K3237" s="11" t="s">
        <v>572</v>
      </c>
      <c r="L3237" s="11" t="s">
        <v>333</v>
      </c>
      <c r="M3237" s="11" t="s">
        <v>20451</v>
      </c>
      <c r="N3237" s="11" t="s">
        <v>128</v>
      </c>
      <c r="O3237" s="11" t="s">
        <v>20452</v>
      </c>
      <c r="P3237" s="11" t="s">
        <v>20453</v>
      </c>
      <c r="Q3237" s="11" t="s">
        <v>150</v>
      </c>
      <c r="R3237" s="11"/>
      <c r="S3237" s="11" t="s">
        <v>11024</v>
      </c>
      <c r="T3237" s="11" t="s">
        <v>70</v>
      </c>
      <c r="U3237" s="11" t="s">
        <v>150</v>
      </c>
      <c r="V3237" s="11" t="s">
        <v>70</v>
      </c>
      <c r="W3237" s="11" t="s">
        <v>70</v>
      </c>
      <c r="X3237" s="11">
        <v>4</v>
      </c>
      <c r="Y3237" s="11" t="s">
        <v>12359</v>
      </c>
      <c r="Z3237" s="11">
        <v>20</v>
      </c>
      <c r="AA3237" s="11">
        <v>0</v>
      </c>
      <c r="AB3237" s="12">
        <v>0</v>
      </c>
    </row>
    <row r="3238" spans="1:28" x14ac:dyDescent="0.2">
      <c r="A3238" s="7">
        <v>23148</v>
      </c>
      <c r="B3238" s="8" t="s">
        <v>20454</v>
      </c>
      <c r="C3238" s="8" t="s">
        <v>2172</v>
      </c>
      <c r="D3238" s="8" t="s">
        <v>3387</v>
      </c>
      <c r="E3238" s="8"/>
      <c r="F3238" s="8" t="s">
        <v>353</v>
      </c>
      <c r="G3238" s="8" t="s">
        <v>1286</v>
      </c>
      <c r="H3238" s="8" t="s">
        <v>142</v>
      </c>
      <c r="I3238" s="8" t="s">
        <v>18951</v>
      </c>
      <c r="J3238" s="8" t="s">
        <v>20455</v>
      </c>
      <c r="K3238" s="8" t="s">
        <v>717</v>
      </c>
      <c r="L3238" s="8" t="s">
        <v>464</v>
      </c>
      <c r="M3238" s="8" t="s">
        <v>20456</v>
      </c>
      <c r="N3238" s="8" t="s">
        <v>128</v>
      </c>
      <c r="O3238" s="8" t="s">
        <v>20457</v>
      </c>
      <c r="P3238" s="8" t="s">
        <v>16992</v>
      </c>
      <c r="Q3238" s="8" t="s">
        <v>150</v>
      </c>
      <c r="R3238" s="8"/>
      <c r="S3238" s="8" t="s">
        <v>71</v>
      </c>
      <c r="T3238" s="8" t="s">
        <v>70</v>
      </c>
      <c r="U3238" s="8" t="s">
        <v>150</v>
      </c>
      <c r="V3238" s="8" t="s">
        <v>70</v>
      </c>
      <c r="W3238" s="8" t="s">
        <v>70</v>
      </c>
      <c r="X3238" s="8">
        <v>4</v>
      </c>
      <c r="Y3238" s="8" t="s">
        <v>12359</v>
      </c>
      <c r="Z3238" s="8">
        <v>20</v>
      </c>
      <c r="AA3238" s="8">
        <v>0</v>
      </c>
      <c r="AB3238" s="9">
        <v>0</v>
      </c>
    </row>
    <row r="3239" spans="1:28" x14ac:dyDescent="0.2">
      <c r="A3239" s="10">
        <v>23154</v>
      </c>
      <c r="B3239" s="11" t="s">
        <v>20458</v>
      </c>
      <c r="C3239" s="11" t="s">
        <v>11038</v>
      </c>
      <c r="D3239" s="11" t="s">
        <v>11217</v>
      </c>
      <c r="E3239" s="11"/>
      <c r="F3239" s="11" t="s">
        <v>353</v>
      </c>
      <c r="G3239" s="11" t="s">
        <v>10846</v>
      </c>
      <c r="H3239" s="11" t="s">
        <v>142</v>
      </c>
      <c r="I3239" s="11" t="s">
        <v>20459</v>
      </c>
      <c r="J3239" s="11" t="s">
        <v>20460</v>
      </c>
      <c r="K3239" s="11" t="s">
        <v>779</v>
      </c>
      <c r="L3239" s="11" t="s">
        <v>464</v>
      </c>
      <c r="M3239" s="11" t="s">
        <v>20461</v>
      </c>
      <c r="N3239" s="11" t="s">
        <v>128</v>
      </c>
      <c r="O3239" s="11" t="s">
        <v>20462</v>
      </c>
      <c r="P3239" s="11" t="s">
        <v>20463</v>
      </c>
      <c r="Q3239" s="11" t="s">
        <v>150</v>
      </c>
      <c r="R3239" s="11"/>
      <c r="S3239" s="11" t="s">
        <v>71</v>
      </c>
      <c r="T3239" s="11" t="s">
        <v>70</v>
      </c>
      <c r="U3239" s="11" t="s">
        <v>150</v>
      </c>
      <c r="V3239" s="11" t="s">
        <v>70</v>
      </c>
      <c r="W3239" s="11" t="s">
        <v>70</v>
      </c>
      <c r="X3239" s="11">
        <v>4</v>
      </c>
      <c r="Y3239" s="11" t="s">
        <v>12359</v>
      </c>
      <c r="Z3239" s="11">
        <v>20</v>
      </c>
      <c r="AA3239" s="11">
        <v>0</v>
      </c>
      <c r="AB3239" s="12">
        <v>0</v>
      </c>
    </row>
    <row r="3240" spans="1:28" x14ac:dyDescent="0.2">
      <c r="A3240" s="7">
        <v>23295</v>
      </c>
      <c r="B3240" s="8" t="s">
        <v>20464</v>
      </c>
      <c r="C3240" s="8" t="s">
        <v>19589</v>
      </c>
      <c r="D3240" s="8" t="s">
        <v>20465</v>
      </c>
      <c r="E3240" s="8"/>
      <c r="F3240" s="8" t="s">
        <v>19591</v>
      </c>
      <c r="G3240" s="8" t="s">
        <v>141</v>
      </c>
      <c r="H3240" s="8" t="s">
        <v>142</v>
      </c>
      <c r="I3240" s="8" t="s">
        <v>19592</v>
      </c>
      <c r="J3240" s="8" t="s">
        <v>20466</v>
      </c>
      <c r="K3240" s="8" t="s">
        <v>145</v>
      </c>
      <c r="L3240" s="8" t="s">
        <v>146</v>
      </c>
      <c r="M3240" s="8" t="s">
        <v>20467</v>
      </c>
      <c r="N3240" s="8" t="s">
        <v>128</v>
      </c>
      <c r="O3240" s="8" t="s">
        <v>20468</v>
      </c>
      <c r="P3240" s="8" t="s">
        <v>20469</v>
      </c>
      <c r="Q3240" s="8" t="s">
        <v>150</v>
      </c>
      <c r="R3240" s="8"/>
      <c r="S3240" s="8" t="s">
        <v>71</v>
      </c>
      <c r="T3240" s="8" t="s">
        <v>70</v>
      </c>
      <c r="U3240" s="8" t="s">
        <v>150</v>
      </c>
      <c r="V3240" s="8" t="s">
        <v>70</v>
      </c>
      <c r="W3240" s="8" t="s">
        <v>70</v>
      </c>
      <c r="X3240" s="8">
        <v>4</v>
      </c>
      <c r="Y3240" s="8" t="s">
        <v>12359</v>
      </c>
      <c r="Z3240" s="8">
        <v>20</v>
      </c>
      <c r="AA3240" s="8">
        <v>0</v>
      </c>
      <c r="AB3240" s="9">
        <v>0</v>
      </c>
    </row>
    <row r="3241" spans="1:28" x14ac:dyDescent="0.2">
      <c r="A3241" s="10">
        <v>28495</v>
      </c>
      <c r="B3241" s="11" t="s">
        <v>20470</v>
      </c>
      <c r="C3241" s="11" t="s">
        <v>20471</v>
      </c>
      <c r="D3241" s="11" t="s">
        <v>20472</v>
      </c>
      <c r="E3241" s="11"/>
      <c r="F3241" s="11" t="s">
        <v>18001</v>
      </c>
      <c r="G3241" s="11" t="s">
        <v>1952</v>
      </c>
      <c r="H3241" s="11" t="s">
        <v>1953</v>
      </c>
      <c r="I3241" s="11" t="s">
        <v>20473</v>
      </c>
      <c r="J3241" s="11" t="s">
        <v>20474</v>
      </c>
      <c r="K3241" s="11" t="s">
        <v>1956</v>
      </c>
      <c r="L3241" s="11" t="s">
        <v>526</v>
      </c>
      <c r="M3241" s="11" t="s">
        <v>20475</v>
      </c>
      <c r="N3241" s="11" t="s">
        <v>128</v>
      </c>
      <c r="O3241" s="11" t="s">
        <v>20476</v>
      </c>
      <c r="P3241" s="11" t="s">
        <v>8637</v>
      </c>
      <c r="Q3241" s="11" t="s">
        <v>150</v>
      </c>
      <c r="R3241" s="11"/>
      <c r="S3241" s="11" t="s">
        <v>71</v>
      </c>
      <c r="T3241" s="11" t="s">
        <v>70</v>
      </c>
      <c r="U3241" s="11" t="s">
        <v>150</v>
      </c>
      <c r="V3241" s="11" t="s">
        <v>70</v>
      </c>
      <c r="W3241" s="11" t="s">
        <v>70</v>
      </c>
      <c r="X3241" s="11">
        <v>4</v>
      </c>
      <c r="Y3241" s="11" t="s">
        <v>12359</v>
      </c>
      <c r="Z3241" s="11">
        <v>20</v>
      </c>
      <c r="AA3241" s="11">
        <v>0</v>
      </c>
      <c r="AB3241" s="12">
        <v>0</v>
      </c>
    </row>
    <row r="3242" spans="1:28" x14ac:dyDescent="0.2">
      <c r="A3242" s="7">
        <v>235330</v>
      </c>
      <c r="B3242" s="8" t="s">
        <v>20477</v>
      </c>
      <c r="C3242" s="8" t="s">
        <v>19650</v>
      </c>
      <c r="D3242" s="8" t="s">
        <v>16336</v>
      </c>
      <c r="E3242" s="8"/>
      <c r="F3242" s="8" t="s">
        <v>19651</v>
      </c>
      <c r="G3242" s="8" t="s">
        <v>19652</v>
      </c>
      <c r="H3242" s="8" t="s">
        <v>847</v>
      </c>
      <c r="I3242" s="8" t="s">
        <v>20478</v>
      </c>
      <c r="J3242" s="8" t="s">
        <v>20479</v>
      </c>
      <c r="K3242" s="8" t="s">
        <v>850</v>
      </c>
      <c r="L3242" s="8" t="s">
        <v>126</v>
      </c>
      <c r="M3242" s="8" t="s">
        <v>20480</v>
      </c>
      <c r="N3242" s="8" t="s">
        <v>128</v>
      </c>
      <c r="O3242" s="8" t="s">
        <v>20481</v>
      </c>
      <c r="P3242" s="8" t="s">
        <v>20482</v>
      </c>
      <c r="Q3242" s="8" t="s">
        <v>150</v>
      </c>
      <c r="R3242" s="8"/>
      <c r="S3242" s="8" t="s">
        <v>71</v>
      </c>
      <c r="T3242" s="8" t="s">
        <v>70</v>
      </c>
      <c r="U3242" s="8" t="s">
        <v>150</v>
      </c>
      <c r="V3242" s="8" t="s">
        <v>70</v>
      </c>
      <c r="W3242" s="8" t="s">
        <v>70</v>
      </c>
      <c r="X3242" s="8">
        <v>4</v>
      </c>
      <c r="Y3242" s="8" t="s">
        <v>12359</v>
      </c>
      <c r="Z3242" s="8">
        <v>20</v>
      </c>
      <c r="AA3242" s="8">
        <v>0</v>
      </c>
      <c r="AB3242" s="9">
        <v>0</v>
      </c>
    </row>
    <row r="3243" spans="1:28" x14ac:dyDescent="0.2">
      <c r="A3243" s="10">
        <v>209407</v>
      </c>
      <c r="B3243" s="11" t="s">
        <v>20483</v>
      </c>
      <c r="C3243" s="11" t="s">
        <v>20484</v>
      </c>
      <c r="D3243" s="11" t="s">
        <v>6374</v>
      </c>
      <c r="E3243" s="11"/>
      <c r="F3243" s="11" t="s">
        <v>20485</v>
      </c>
      <c r="G3243" s="11" t="s">
        <v>20253</v>
      </c>
      <c r="H3243" s="11" t="s">
        <v>616</v>
      </c>
      <c r="I3243" s="11" t="s">
        <v>20486</v>
      </c>
      <c r="J3243" s="11" t="s">
        <v>20487</v>
      </c>
      <c r="K3243" s="11" t="s">
        <v>619</v>
      </c>
      <c r="L3243" s="11" t="s">
        <v>163</v>
      </c>
      <c r="M3243" s="11" t="s">
        <v>20488</v>
      </c>
      <c r="N3243" s="11" t="s">
        <v>128</v>
      </c>
      <c r="O3243" s="11" t="s">
        <v>20489</v>
      </c>
      <c r="P3243" s="11" t="s">
        <v>12334</v>
      </c>
      <c r="Q3243" s="11" t="s">
        <v>150</v>
      </c>
      <c r="R3243" s="11"/>
      <c r="S3243" s="11" t="s">
        <v>20490</v>
      </c>
      <c r="T3243" s="11" t="s">
        <v>70</v>
      </c>
      <c r="U3243" s="11" t="s">
        <v>150</v>
      </c>
      <c r="V3243" s="11" t="s">
        <v>70</v>
      </c>
      <c r="W3243" s="11" t="s">
        <v>70</v>
      </c>
      <c r="X3243" s="11">
        <v>4</v>
      </c>
      <c r="Y3243" s="11" t="s">
        <v>12359</v>
      </c>
      <c r="Z3243" s="11">
        <v>20</v>
      </c>
      <c r="AA3243" s="11">
        <v>0</v>
      </c>
      <c r="AB3243" s="12">
        <v>0</v>
      </c>
    </row>
    <row r="3244" spans="1:28" x14ac:dyDescent="0.2">
      <c r="A3244" s="7">
        <v>23381</v>
      </c>
      <c r="B3244" s="8" t="s">
        <v>20491</v>
      </c>
      <c r="C3244" s="8" t="s">
        <v>773</v>
      </c>
      <c r="D3244" s="8" t="s">
        <v>12057</v>
      </c>
      <c r="E3244" s="8"/>
      <c r="F3244" s="8" t="s">
        <v>353</v>
      </c>
      <c r="G3244" s="8" t="s">
        <v>20492</v>
      </c>
      <c r="H3244" s="8" t="s">
        <v>142</v>
      </c>
      <c r="I3244" s="8" t="s">
        <v>20493</v>
      </c>
      <c r="J3244" s="8" t="s">
        <v>20494</v>
      </c>
      <c r="K3244" s="8" t="s">
        <v>779</v>
      </c>
      <c r="L3244" s="8" t="s">
        <v>464</v>
      </c>
      <c r="M3244" s="8" t="s">
        <v>20495</v>
      </c>
      <c r="N3244" s="8" t="s">
        <v>128</v>
      </c>
      <c r="O3244" s="8" t="s">
        <v>20496</v>
      </c>
      <c r="P3244" s="8" t="s">
        <v>20497</v>
      </c>
      <c r="Q3244" s="8" t="s">
        <v>150</v>
      </c>
      <c r="R3244" s="8"/>
      <c r="S3244" s="8" t="s">
        <v>71</v>
      </c>
      <c r="T3244" s="8" t="s">
        <v>1415</v>
      </c>
      <c r="U3244" s="8" t="s">
        <v>150</v>
      </c>
      <c r="V3244" s="8" t="s">
        <v>1415</v>
      </c>
      <c r="W3244" s="8" t="s">
        <v>1415</v>
      </c>
      <c r="X3244" s="8">
        <v>4</v>
      </c>
      <c r="Y3244" s="8" t="s">
        <v>12359</v>
      </c>
      <c r="Z3244" s="8">
        <v>20</v>
      </c>
      <c r="AA3244" s="8">
        <v>0</v>
      </c>
      <c r="AB3244" s="9">
        <v>0</v>
      </c>
    </row>
    <row r="3245" spans="1:28" x14ac:dyDescent="0.2">
      <c r="A3245" s="10">
        <v>23400</v>
      </c>
      <c r="B3245" s="11" t="s">
        <v>20498</v>
      </c>
      <c r="C3245" s="11" t="s">
        <v>20499</v>
      </c>
      <c r="D3245" s="11" t="s">
        <v>3870</v>
      </c>
      <c r="E3245" s="11"/>
      <c r="F3245" s="11" t="s">
        <v>353</v>
      </c>
      <c r="G3245" s="11" t="s">
        <v>19606</v>
      </c>
      <c r="H3245" s="11" t="s">
        <v>142</v>
      </c>
      <c r="I3245" s="11" t="s">
        <v>20500</v>
      </c>
      <c r="J3245" s="11" t="s">
        <v>20501</v>
      </c>
      <c r="K3245" s="11" t="s">
        <v>1673</v>
      </c>
      <c r="L3245" s="11" t="s">
        <v>464</v>
      </c>
      <c r="M3245" s="11" t="s">
        <v>20502</v>
      </c>
      <c r="N3245" s="11" t="s">
        <v>128</v>
      </c>
      <c r="O3245" s="11" t="s">
        <v>20503</v>
      </c>
      <c r="P3245" s="11" t="s">
        <v>20504</v>
      </c>
      <c r="Q3245" s="11" t="s">
        <v>150</v>
      </c>
      <c r="R3245" s="11"/>
      <c r="S3245" s="11" t="s">
        <v>71</v>
      </c>
      <c r="T3245" s="11" t="s">
        <v>1415</v>
      </c>
      <c r="U3245" s="11" t="s">
        <v>150</v>
      </c>
      <c r="V3245" s="11" t="s">
        <v>1415</v>
      </c>
      <c r="W3245" s="11" t="s">
        <v>1415</v>
      </c>
      <c r="X3245" s="11">
        <v>4</v>
      </c>
      <c r="Y3245" s="11" t="s">
        <v>12359</v>
      </c>
      <c r="Z3245" s="11">
        <v>20</v>
      </c>
      <c r="AA3245" s="11">
        <v>0</v>
      </c>
      <c r="AB3245" s="12">
        <v>0</v>
      </c>
    </row>
    <row r="3246" spans="1:28" x14ac:dyDescent="0.2">
      <c r="A3246" s="7">
        <v>23429</v>
      </c>
      <c r="B3246" s="8" t="s">
        <v>20505</v>
      </c>
      <c r="C3246" s="8" t="s">
        <v>12780</v>
      </c>
      <c r="D3246" s="8" t="s">
        <v>2928</v>
      </c>
      <c r="E3246" s="8"/>
      <c r="F3246" s="8" t="s">
        <v>353</v>
      </c>
      <c r="G3246" s="8" t="s">
        <v>6946</v>
      </c>
      <c r="H3246" s="8" t="s">
        <v>847</v>
      </c>
      <c r="I3246" s="8" t="s">
        <v>12782</v>
      </c>
      <c r="J3246" s="8" t="s">
        <v>20506</v>
      </c>
      <c r="K3246" s="8" t="s">
        <v>850</v>
      </c>
      <c r="L3246" s="8" t="s">
        <v>126</v>
      </c>
      <c r="M3246" s="8" t="s">
        <v>20507</v>
      </c>
      <c r="N3246" s="8" t="s">
        <v>128</v>
      </c>
      <c r="O3246" s="8" t="s">
        <v>20508</v>
      </c>
      <c r="P3246" s="8" t="s">
        <v>20509</v>
      </c>
      <c r="Q3246" s="8" t="s">
        <v>150</v>
      </c>
      <c r="R3246" s="8"/>
      <c r="S3246" s="8" t="s">
        <v>71</v>
      </c>
      <c r="T3246" s="8" t="s">
        <v>1415</v>
      </c>
      <c r="U3246" s="8" t="s">
        <v>150</v>
      </c>
      <c r="V3246" s="8" t="s">
        <v>1415</v>
      </c>
      <c r="W3246" s="8" t="s">
        <v>1415</v>
      </c>
      <c r="X3246" s="8">
        <v>4</v>
      </c>
      <c r="Y3246" s="8" t="s">
        <v>12359</v>
      </c>
      <c r="Z3246" s="8">
        <v>20</v>
      </c>
      <c r="AA3246" s="8">
        <v>0</v>
      </c>
      <c r="AB3246" s="9">
        <v>0</v>
      </c>
    </row>
    <row r="3247" spans="1:28" x14ac:dyDescent="0.2">
      <c r="A3247" s="10">
        <v>23487</v>
      </c>
      <c r="B3247" s="11" t="s">
        <v>20510</v>
      </c>
      <c r="C3247" s="11" t="s">
        <v>19581</v>
      </c>
      <c r="D3247" s="11" t="s">
        <v>10935</v>
      </c>
      <c r="E3247" s="11"/>
      <c r="F3247" s="11" t="s">
        <v>353</v>
      </c>
      <c r="G3247" s="11" t="s">
        <v>19582</v>
      </c>
      <c r="H3247" s="11" t="s">
        <v>847</v>
      </c>
      <c r="I3247" s="11" t="s">
        <v>19583</v>
      </c>
      <c r="J3247" s="11" t="s">
        <v>20511</v>
      </c>
      <c r="K3247" s="11" t="s">
        <v>1091</v>
      </c>
      <c r="L3247" s="11" t="s">
        <v>126</v>
      </c>
      <c r="M3247" s="11" t="s">
        <v>20512</v>
      </c>
      <c r="N3247" s="11" t="s">
        <v>128</v>
      </c>
      <c r="O3247" s="11" t="s">
        <v>20513</v>
      </c>
      <c r="P3247" s="11" t="s">
        <v>20514</v>
      </c>
      <c r="Q3247" s="11" t="s">
        <v>150</v>
      </c>
      <c r="R3247" s="11"/>
      <c r="S3247" s="11" t="s">
        <v>71</v>
      </c>
      <c r="T3247" s="11" t="s">
        <v>1415</v>
      </c>
      <c r="U3247" s="11" t="s">
        <v>150</v>
      </c>
      <c r="V3247" s="11" t="s">
        <v>1415</v>
      </c>
      <c r="W3247" s="11" t="s">
        <v>1415</v>
      </c>
      <c r="X3247" s="11">
        <v>4</v>
      </c>
      <c r="Y3247" s="11" t="s">
        <v>12359</v>
      </c>
      <c r="Z3247" s="11">
        <v>20</v>
      </c>
      <c r="AA3247" s="11">
        <v>0</v>
      </c>
      <c r="AB3247" s="12">
        <v>0</v>
      </c>
    </row>
    <row r="3248" spans="1:28" x14ac:dyDescent="0.2">
      <c r="A3248" s="7">
        <v>23491</v>
      </c>
      <c r="B3248" s="8" t="s">
        <v>20515</v>
      </c>
      <c r="C3248" s="8" t="s">
        <v>8807</v>
      </c>
      <c r="D3248" s="8" t="s">
        <v>340</v>
      </c>
      <c r="E3248" s="8"/>
      <c r="F3248" s="8" t="s">
        <v>353</v>
      </c>
      <c r="G3248" s="8" t="s">
        <v>20516</v>
      </c>
      <c r="H3248" s="8" t="s">
        <v>142</v>
      </c>
      <c r="I3248" s="8" t="s">
        <v>20517</v>
      </c>
      <c r="J3248" s="8" t="s">
        <v>20518</v>
      </c>
      <c r="K3248" s="8" t="s">
        <v>779</v>
      </c>
      <c r="L3248" s="8" t="s">
        <v>464</v>
      </c>
      <c r="M3248" s="8" t="s">
        <v>20519</v>
      </c>
      <c r="N3248" s="8" t="s">
        <v>128</v>
      </c>
      <c r="O3248" s="8" t="s">
        <v>20520</v>
      </c>
      <c r="P3248" s="8" t="s">
        <v>20521</v>
      </c>
      <c r="Q3248" s="8" t="s">
        <v>150</v>
      </c>
      <c r="R3248" s="8"/>
      <c r="S3248" s="8" t="s">
        <v>71</v>
      </c>
      <c r="T3248" s="8" t="s">
        <v>1415</v>
      </c>
      <c r="U3248" s="8" t="s">
        <v>150</v>
      </c>
      <c r="V3248" s="8" t="s">
        <v>1415</v>
      </c>
      <c r="W3248" s="8" t="s">
        <v>1415</v>
      </c>
      <c r="X3248" s="8">
        <v>4</v>
      </c>
      <c r="Y3248" s="8" t="s">
        <v>12359</v>
      </c>
      <c r="Z3248" s="8">
        <v>20</v>
      </c>
      <c r="AA3248" s="8">
        <v>0</v>
      </c>
      <c r="AB3248" s="9">
        <v>0</v>
      </c>
    </row>
    <row r="3249" spans="1:28" x14ac:dyDescent="0.2">
      <c r="A3249" s="10">
        <v>28685</v>
      </c>
      <c r="B3249" s="11" t="s">
        <v>20522</v>
      </c>
      <c r="C3249" s="11" t="s">
        <v>20523</v>
      </c>
      <c r="D3249" s="11" t="s">
        <v>20524</v>
      </c>
      <c r="E3249" s="11"/>
      <c r="F3249" s="11" t="s">
        <v>353</v>
      </c>
      <c r="G3249" s="11" t="s">
        <v>20261</v>
      </c>
      <c r="H3249" s="11" t="s">
        <v>142</v>
      </c>
      <c r="I3249" s="11" t="s">
        <v>20262</v>
      </c>
      <c r="J3249" s="11" t="s">
        <v>20525</v>
      </c>
      <c r="K3249" s="11" t="s">
        <v>779</v>
      </c>
      <c r="L3249" s="11" t="s">
        <v>464</v>
      </c>
      <c r="M3249" s="11" t="s">
        <v>20526</v>
      </c>
      <c r="N3249" s="11" t="s">
        <v>128</v>
      </c>
      <c r="O3249" s="11" t="s">
        <v>20527</v>
      </c>
      <c r="P3249" s="11" t="s">
        <v>20528</v>
      </c>
      <c r="Q3249" s="11" t="s">
        <v>150</v>
      </c>
      <c r="R3249" s="11"/>
      <c r="S3249" s="11" t="s">
        <v>71</v>
      </c>
      <c r="T3249" s="11" t="s">
        <v>1415</v>
      </c>
      <c r="U3249" s="11" t="s">
        <v>150</v>
      </c>
      <c r="V3249" s="11" t="s">
        <v>1415</v>
      </c>
      <c r="W3249" s="11" t="s">
        <v>1415</v>
      </c>
      <c r="X3249" s="11">
        <v>4</v>
      </c>
      <c r="Y3249" s="11" t="s">
        <v>12359</v>
      </c>
      <c r="Z3249" s="11">
        <v>20</v>
      </c>
      <c r="AA3249" s="11">
        <v>0</v>
      </c>
      <c r="AB3249" s="12">
        <v>0</v>
      </c>
    </row>
    <row r="3250" spans="1:28" x14ac:dyDescent="0.2">
      <c r="A3250" s="7">
        <v>23417</v>
      </c>
      <c r="B3250" s="8" t="s">
        <v>20529</v>
      </c>
      <c r="C3250" s="8" t="s">
        <v>1249</v>
      </c>
      <c r="D3250" s="8" t="s">
        <v>18644</v>
      </c>
      <c r="E3250" s="8"/>
      <c r="F3250" s="8" t="s">
        <v>2382</v>
      </c>
      <c r="G3250" s="8" t="s">
        <v>1253</v>
      </c>
      <c r="H3250" s="8" t="s">
        <v>142</v>
      </c>
      <c r="I3250" s="8" t="s">
        <v>20530</v>
      </c>
      <c r="J3250" s="8" t="s">
        <v>20531</v>
      </c>
      <c r="K3250" s="8" t="s">
        <v>1199</v>
      </c>
      <c r="L3250" s="8" t="s">
        <v>464</v>
      </c>
      <c r="M3250" s="8" t="s">
        <v>20532</v>
      </c>
      <c r="N3250" s="8" t="s">
        <v>128</v>
      </c>
      <c r="O3250" s="8" t="s">
        <v>20533</v>
      </c>
      <c r="P3250" s="8" t="s">
        <v>20534</v>
      </c>
      <c r="Q3250" s="8" t="s">
        <v>150</v>
      </c>
      <c r="R3250" s="8"/>
      <c r="S3250" s="8" t="s">
        <v>71</v>
      </c>
      <c r="T3250" s="8" t="s">
        <v>1415</v>
      </c>
      <c r="U3250" s="8" t="s">
        <v>150</v>
      </c>
      <c r="V3250" s="8" t="s">
        <v>1415</v>
      </c>
      <c r="W3250" s="8" t="s">
        <v>1415</v>
      </c>
      <c r="X3250" s="8">
        <v>4</v>
      </c>
      <c r="Y3250" s="8" t="s">
        <v>12359</v>
      </c>
      <c r="Z3250" s="8">
        <v>20</v>
      </c>
      <c r="AA3250" s="8">
        <v>0</v>
      </c>
      <c r="AB3250" s="9">
        <v>0</v>
      </c>
    </row>
    <row r="3251" spans="1:28" x14ac:dyDescent="0.2">
      <c r="A3251" s="10">
        <v>23426</v>
      </c>
      <c r="B3251" s="11" t="s">
        <v>20535</v>
      </c>
      <c r="C3251" s="11" t="s">
        <v>20536</v>
      </c>
      <c r="D3251" s="11" t="s">
        <v>20537</v>
      </c>
      <c r="E3251" s="11"/>
      <c r="F3251" s="11" t="s">
        <v>19336</v>
      </c>
      <c r="G3251" s="11" t="s">
        <v>846</v>
      </c>
      <c r="H3251" s="11" t="s">
        <v>847</v>
      </c>
      <c r="I3251" s="11" t="s">
        <v>15447</v>
      </c>
      <c r="J3251" s="11" t="s">
        <v>20538</v>
      </c>
      <c r="K3251" s="11" t="s">
        <v>1091</v>
      </c>
      <c r="L3251" s="11" t="s">
        <v>126</v>
      </c>
      <c r="M3251" s="11" t="s">
        <v>20539</v>
      </c>
      <c r="N3251" s="11" t="s">
        <v>128</v>
      </c>
      <c r="O3251" s="11" t="s">
        <v>20540</v>
      </c>
      <c r="P3251" s="11" t="s">
        <v>20541</v>
      </c>
      <c r="Q3251" s="11" t="s">
        <v>150</v>
      </c>
      <c r="R3251" s="11"/>
      <c r="S3251" s="11" t="s">
        <v>71</v>
      </c>
      <c r="T3251" s="11" t="s">
        <v>1415</v>
      </c>
      <c r="U3251" s="11" t="s">
        <v>150</v>
      </c>
      <c r="V3251" s="11" t="s">
        <v>1415</v>
      </c>
      <c r="W3251" s="11" t="s">
        <v>1415</v>
      </c>
      <c r="X3251" s="11">
        <v>4</v>
      </c>
      <c r="Y3251" s="11" t="s">
        <v>12359</v>
      </c>
      <c r="Z3251" s="11">
        <v>20</v>
      </c>
      <c r="AA3251" s="11">
        <v>0</v>
      </c>
      <c r="AB3251" s="12">
        <v>0</v>
      </c>
    </row>
    <row r="3252" spans="1:28" x14ac:dyDescent="0.2">
      <c r="A3252" s="7">
        <v>86727</v>
      </c>
      <c r="B3252" s="8" t="s">
        <v>20542</v>
      </c>
      <c r="C3252" s="8" t="s">
        <v>20543</v>
      </c>
      <c r="D3252" s="8" t="s">
        <v>19613</v>
      </c>
      <c r="E3252" s="8"/>
      <c r="F3252" s="8" t="s">
        <v>20544</v>
      </c>
      <c r="G3252" s="8" t="s">
        <v>1196</v>
      </c>
      <c r="H3252" s="8" t="s">
        <v>142</v>
      </c>
      <c r="I3252" s="8" t="s">
        <v>20545</v>
      </c>
      <c r="J3252" s="8" t="s">
        <v>20546</v>
      </c>
      <c r="K3252" s="8" t="s">
        <v>1199</v>
      </c>
      <c r="L3252" s="8" t="s">
        <v>464</v>
      </c>
      <c r="M3252" s="8" t="s">
        <v>20547</v>
      </c>
      <c r="N3252" s="8" t="s">
        <v>128</v>
      </c>
      <c r="O3252" s="8" t="s">
        <v>20548</v>
      </c>
      <c r="P3252" s="8" t="s">
        <v>20549</v>
      </c>
      <c r="Q3252" s="8" t="s">
        <v>150</v>
      </c>
      <c r="R3252" s="8"/>
      <c r="S3252" s="8" t="s">
        <v>71</v>
      </c>
      <c r="T3252" s="8" t="s">
        <v>1415</v>
      </c>
      <c r="U3252" s="8" t="s">
        <v>150</v>
      </c>
      <c r="V3252" s="8" t="s">
        <v>1415</v>
      </c>
      <c r="W3252" s="8" t="s">
        <v>1415</v>
      </c>
      <c r="X3252" s="8">
        <v>4</v>
      </c>
      <c r="Y3252" s="8" t="s">
        <v>12359</v>
      </c>
      <c r="Z3252" s="8">
        <v>20</v>
      </c>
      <c r="AA3252" s="8">
        <v>0</v>
      </c>
      <c r="AB3252" s="9">
        <v>0</v>
      </c>
    </row>
    <row r="3253" spans="1:28" x14ac:dyDescent="0.2">
      <c r="A3253" s="10">
        <v>86765</v>
      </c>
      <c r="B3253" s="11" t="s">
        <v>20550</v>
      </c>
      <c r="C3253" s="11" t="s">
        <v>20551</v>
      </c>
      <c r="D3253" s="11" t="s">
        <v>12965</v>
      </c>
      <c r="E3253" s="11"/>
      <c r="F3253" s="11" t="s">
        <v>20552</v>
      </c>
      <c r="G3253" s="11" t="s">
        <v>20553</v>
      </c>
      <c r="H3253" s="11" t="s">
        <v>142</v>
      </c>
      <c r="I3253" s="11" t="s">
        <v>20554</v>
      </c>
      <c r="J3253" s="11" t="s">
        <v>20555</v>
      </c>
      <c r="K3253" s="11" t="s">
        <v>1199</v>
      </c>
      <c r="L3253" s="11" t="s">
        <v>464</v>
      </c>
      <c r="M3253" s="11" t="s">
        <v>20556</v>
      </c>
      <c r="N3253" s="11" t="s">
        <v>128</v>
      </c>
      <c r="O3253" s="11" t="s">
        <v>20557</v>
      </c>
      <c r="P3253" s="11" t="s">
        <v>20558</v>
      </c>
      <c r="Q3253" s="11" t="s">
        <v>150</v>
      </c>
      <c r="R3253" s="11"/>
      <c r="S3253" s="11" t="s">
        <v>71</v>
      </c>
      <c r="T3253" s="11" t="s">
        <v>1415</v>
      </c>
      <c r="U3253" s="11" t="s">
        <v>150</v>
      </c>
      <c r="V3253" s="11" t="s">
        <v>1415</v>
      </c>
      <c r="W3253" s="11" t="s">
        <v>1415</v>
      </c>
      <c r="X3253" s="11">
        <v>4</v>
      </c>
      <c r="Y3253" s="11" t="s">
        <v>12359</v>
      </c>
      <c r="Z3253" s="11">
        <v>20</v>
      </c>
      <c r="AA3253" s="11">
        <v>0</v>
      </c>
      <c r="AB3253" s="12">
        <v>0</v>
      </c>
    </row>
    <row r="3254" spans="1:28" x14ac:dyDescent="0.2">
      <c r="A3254" s="7">
        <v>111068</v>
      </c>
      <c r="B3254" s="8" t="s">
        <v>20559</v>
      </c>
      <c r="C3254" s="8" t="s">
        <v>20560</v>
      </c>
      <c r="D3254" s="8" t="s">
        <v>18342</v>
      </c>
      <c r="E3254" s="8"/>
      <c r="F3254" s="8" t="s">
        <v>1344</v>
      </c>
      <c r="G3254" s="8" t="s">
        <v>1026</v>
      </c>
      <c r="H3254" s="8" t="s">
        <v>142</v>
      </c>
      <c r="I3254" s="8" t="s">
        <v>20561</v>
      </c>
      <c r="J3254" s="8" t="s">
        <v>20562</v>
      </c>
      <c r="K3254" s="8" t="s">
        <v>1029</v>
      </c>
      <c r="L3254" s="8" t="s">
        <v>464</v>
      </c>
      <c r="M3254" s="8" t="s">
        <v>20563</v>
      </c>
      <c r="N3254" s="8" t="s">
        <v>128</v>
      </c>
      <c r="O3254" s="8" t="s">
        <v>20564</v>
      </c>
      <c r="P3254" s="8" t="s">
        <v>20565</v>
      </c>
      <c r="Q3254" s="8" t="s">
        <v>150</v>
      </c>
      <c r="R3254" s="8"/>
      <c r="S3254" s="8" t="s">
        <v>71</v>
      </c>
      <c r="T3254" s="8" t="s">
        <v>1415</v>
      </c>
      <c r="U3254" s="8" t="s">
        <v>150</v>
      </c>
      <c r="V3254" s="8" t="s">
        <v>1415</v>
      </c>
      <c r="W3254" s="8" t="s">
        <v>1415</v>
      </c>
      <c r="X3254" s="8">
        <v>4</v>
      </c>
      <c r="Y3254" s="8" t="s">
        <v>12359</v>
      </c>
      <c r="Z3254" s="8">
        <v>20</v>
      </c>
      <c r="AA3254" s="8">
        <v>0</v>
      </c>
      <c r="AB3254" s="9">
        <v>0</v>
      </c>
    </row>
    <row r="3255" spans="1:28" x14ac:dyDescent="0.2">
      <c r="A3255" s="10">
        <v>218071</v>
      </c>
      <c r="B3255" s="11" t="s">
        <v>20566</v>
      </c>
      <c r="C3255" s="11" t="s">
        <v>20567</v>
      </c>
      <c r="D3255" s="11" t="s">
        <v>6358</v>
      </c>
      <c r="E3255" s="11"/>
      <c r="F3255" s="11" t="s">
        <v>353</v>
      </c>
      <c r="G3255" s="11" t="s">
        <v>20568</v>
      </c>
      <c r="H3255" s="11" t="s">
        <v>142</v>
      </c>
      <c r="I3255" s="11" t="s">
        <v>20569</v>
      </c>
      <c r="J3255" s="11" t="s">
        <v>20570</v>
      </c>
      <c r="K3255" s="11" t="s">
        <v>1673</v>
      </c>
      <c r="L3255" s="11" t="s">
        <v>464</v>
      </c>
      <c r="M3255" s="11" t="s">
        <v>20571</v>
      </c>
      <c r="N3255" s="11" t="s">
        <v>128</v>
      </c>
      <c r="O3255" s="11" t="s">
        <v>20572</v>
      </c>
      <c r="P3255" s="11"/>
      <c r="Q3255" s="11" t="s">
        <v>150</v>
      </c>
      <c r="R3255" s="11"/>
      <c r="S3255" s="11" t="s">
        <v>71</v>
      </c>
      <c r="T3255" s="11" t="s">
        <v>1415</v>
      </c>
      <c r="U3255" s="11" t="s">
        <v>150</v>
      </c>
      <c r="V3255" s="11" t="s">
        <v>1415</v>
      </c>
      <c r="W3255" s="11" t="s">
        <v>1415</v>
      </c>
      <c r="X3255" s="11">
        <v>4</v>
      </c>
      <c r="Y3255" s="11" t="s">
        <v>12359</v>
      </c>
      <c r="Z3255" s="11">
        <v>20</v>
      </c>
      <c r="AA3255" s="11">
        <v>0</v>
      </c>
      <c r="AB3255" s="12">
        <v>0</v>
      </c>
    </row>
    <row r="3256" spans="1:28" x14ac:dyDescent="0.2">
      <c r="A3256" s="7">
        <v>23545</v>
      </c>
      <c r="B3256" s="8" t="s">
        <v>20573</v>
      </c>
      <c r="C3256" s="8" t="s">
        <v>20574</v>
      </c>
      <c r="D3256" s="8" t="s">
        <v>11326</v>
      </c>
      <c r="E3256" s="8" t="s">
        <v>281</v>
      </c>
      <c r="F3256" s="8" t="s">
        <v>10753</v>
      </c>
      <c r="G3256" s="8" t="s">
        <v>1915</v>
      </c>
      <c r="H3256" s="8" t="s">
        <v>122</v>
      </c>
      <c r="I3256" s="8" t="s">
        <v>20575</v>
      </c>
      <c r="J3256" s="8" t="s">
        <v>20576</v>
      </c>
      <c r="K3256" s="8" t="s">
        <v>1051</v>
      </c>
      <c r="L3256" s="8" t="s">
        <v>126</v>
      </c>
      <c r="M3256" s="8" t="s">
        <v>20577</v>
      </c>
      <c r="N3256" s="8" t="s">
        <v>128</v>
      </c>
      <c r="O3256" s="8" t="s">
        <v>20578</v>
      </c>
      <c r="P3256" s="8"/>
      <c r="Q3256" s="8" t="s">
        <v>150</v>
      </c>
      <c r="R3256" s="8"/>
      <c r="S3256" s="8" t="s">
        <v>71</v>
      </c>
      <c r="T3256" s="8" t="s">
        <v>14887</v>
      </c>
      <c r="U3256" s="8" t="s">
        <v>150</v>
      </c>
      <c r="V3256" s="8" t="s">
        <v>14887</v>
      </c>
      <c r="W3256" s="8" t="s">
        <v>14887</v>
      </c>
      <c r="X3256" s="8">
        <v>4</v>
      </c>
      <c r="Y3256" s="8" t="s">
        <v>12359</v>
      </c>
      <c r="Z3256" s="8">
        <v>20</v>
      </c>
      <c r="AA3256" s="8">
        <v>0</v>
      </c>
      <c r="AB3256" s="9">
        <v>0</v>
      </c>
    </row>
    <row r="3257" spans="1:28" x14ac:dyDescent="0.2">
      <c r="A3257" s="10">
        <v>235533</v>
      </c>
      <c r="B3257" s="11" t="s">
        <v>20579</v>
      </c>
      <c r="C3257" s="11" t="s">
        <v>1556</v>
      </c>
      <c r="D3257" s="11" t="s">
        <v>6125</v>
      </c>
      <c r="E3257" s="11" t="s">
        <v>353</v>
      </c>
      <c r="F3257" s="11" t="s">
        <v>353</v>
      </c>
      <c r="G3257" s="11" t="s">
        <v>10952</v>
      </c>
      <c r="H3257" s="11" t="s">
        <v>1843</v>
      </c>
      <c r="I3257" s="11" t="s">
        <v>20580</v>
      </c>
      <c r="J3257" s="11" t="s">
        <v>20581</v>
      </c>
      <c r="K3257" s="11" t="s">
        <v>1562</v>
      </c>
      <c r="L3257" s="11" t="s">
        <v>229</v>
      </c>
      <c r="M3257" s="11" t="s">
        <v>20582</v>
      </c>
      <c r="N3257" s="11" t="s">
        <v>128</v>
      </c>
      <c r="O3257" s="11" t="s">
        <v>20583</v>
      </c>
      <c r="P3257" s="11" t="s">
        <v>1710</v>
      </c>
      <c r="Q3257" s="11" t="s">
        <v>150</v>
      </c>
      <c r="R3257" s="11"/>
      <c r="S3257" s="11" t="s">
        <v>71</v>
      </c>
      <c r="T3257" s="11" t="s">
        <v>168</v>
      </c>
      <c r="U3257" s="11" t="s">
        <v>150</v>
      </c>
      <c r="V3257" s="11" t="s">
        <v>168</v>
      </c>
      <c r="W3257" s="11" t="s">
        <v>168</v>
      </c>
      <c r="X3257" s="11">
        <v>4</v>
      </c>
      <c r="Y3257" s="11" t="s">
        <v>12359</v>
      </c>
      <c r="Z3257" s="11">
        <v>20</v>
      </c>
      <c r="AA3257" s="11">
        <v>0</v>
      </c>
      <c r="AB3257" s="12">
        <v>0</v>
      </c>
    </row>
    <row r="3258" spans="1:28" x14ac:dyDescent="0.2">
      <c r="A3258" s="7">
        <v>119099</v>
      </c>
      <c r="B3258" s="8" t="s">
        <v>20584</v>
      </c>
      <c r="C3258" s="8" t="s">
        <v>4777</v>
      </c>
      <c r="D3258" s="8" t="s">
        <v>20585</v>
      </c>
      <c r="E3258" s="8"/>
      <c r="F3258" s="8" t="s">
        <v>353</v>
      </c>
      <c r="G3258" s="8" t="s">
        <v>20294</v>
      </c>
      <c r="H3258" s="8" t="s">
        <v>122</v>
      </c>
      <c r="I3258" s="8" t="s">
        <v>20295</v>
      </c>
      <c r="J3258" s="8" t="s">
        <v>20586</v>
      </c>
      <c r="K3258" s="8" t="s">
        <v>125</v>
      </c>
      <c r="L3258" s="8" t="s">
        <v>126</v>
      </c>
      <c r="M3258" s="8" t="s">
        <v>20587</v>
      </c>
      <c r="N3258" s="8" t="s">
        <v>128</v>
      </c>
      <c r="O3258" s="8" t="s">
        <v>20588</v>
      </c>
      <c r="P3258" s="8" t="s">
        <v>7387</v>
      </c>
      <c r="Q3258" s="8" t="s">
        <v>150</v>
      </c>
      <c r="R3258" s="8"/>
      <c r="S3258" s="8" t="s">
        <v>71</v>
      </c>
      <c r="T3258" s="8" t="s">
        <v>168</v>
      </c>
      <c r="U3258" s="8" t="s">
        <v>150</v>
      </c>
      <c r="V3258" s="8" t="s">
        <v>168</v>
      </c>
      <c r="W3258" s="8" t="s">
        <v>168</v>
      </c>
      <c r="X3258" s="8">
        <v>4</v>
      </c>
      <c r="Y3258" s="8" t="s">
        <v>12359</v>
      </c>
      <c r="Z3258" s="8">
        <v>20</v>
      </c>
      <c r="AA3258" s="8">
        <v>0</v>
      </c>
      <c r="AB3258" s="9">
        <v>0</v>
      </c>
    </row>
    <row r="3259" spans="1:28" x14ac:dyDescent="0.2">
      <c r="A3259" s="10">
        <v>23776</v>
      </c>
      <c r="B3259" s="11" t="s">
        <v>20589</v>
      </c>
      <c r="C3259" s="11" t="s">
        <v>9653</v>
      </c>
      <c r="D3259" s="11" t="s">
        <v>7068</v>
      </c>
      <c r="E3259" s="11"/>
      <c r="F3259" s="11" t="s">
        <v>353</v>
      </c>
      <c r="G3259" s="11" t="s">
        <v>19004</v>
      </c>
      <c r="H3259" s="11" t="s">
        <v>142</v>
      </c>
      <c r="I3259" s="11" t="s">
        <v>19005</v>
      </c>
      <c r="J3259" s="11" t="s">
        <v>20590</v>
      </c>
      <c r="K3259" s="11" t="s">
        <v>779</v>
      </c>
      <c r="L3259" s="11" t="s">
        <v>464</v>
      </c>
      <c r="M3259" s="11" t="s">
        <v>20591</v>
      </c>
      <c r="N3259" s="11" t="s">
        <v>128</v>
      </c>
      <c r="O3259" s="11" t="s">
        <v>20592</v>
      </c>
      <c r="P3259" s="11" t="s">
        <v>2675</v>
      </c>
      <c r="Q3259" s="11" t="s">
        <v>150</v>
      </c>
      <c r="R3259" s="11"/>
      <c r="S3259" s="11" t="s">
        <v>71</v>
      </c>
      <c r="T3259" s="11" t="s">
        <v>168</v>
      </c>
      <c r="U3259" s="11" t="s">
        <v>150</v>
      </c>
      <c r="V3259" s="11" t="s">
        <v>168</v>
      </c>
      <c r="W3259" s="11" t="s">
        <v>168</v>
      </c>
      <c r="X3259" s="11">
        <v>4</v>
      </c>
      <c r="Y3259" s="11" t="s">
        <v>12359</v>
      </c>
      <c r="Z3259" s="11">
        <v>20</v>
      </c>
      <c r="AA3259" s="11">
        <v>0</v>
      </c>
      <c r="AB3259" s="12">
        <v>0</v>
      </c>
    </row>
    <row r="3260" spans="1:28" x14ac:dyDescent="0.2">
      <c r="A3260" s="7">
        <v>23803</v>
      </c>
      <c r="B3260" s="8" t="s">
        <v>20593</v>
      </c>
      <c r="C3260" s="8" t="s">
        <v>9791</v>
      </c>
      <c r="D3260" s="8" t="s">
        <v>20594</v>
      </c>
      <c r="E3260" s="8"/>
      <c r="F3260" s="8" t="s">
        <v>353</v>
      </c>
      <c r="G3260" s="8" t="s">
        <v>2510</v>
      </c>
      <c r="H3260" s="8" t="s">
        <v>2511</v>
      </c>
      <c r="I3260" s="8" t="s">
        <v>9793</v>
      </c>
      <c r="J3260" s="8" t="s">
        <v>20595</v>
      </c>
      <c r="K3260" s="8" t="s">
        <v>1562</v>
      </c>
      <c r="L3260" s="8" t="s">
        <v>229</v>
      </c>
      <c r="M3260" s="8" t="s">
        <v>20596</v>
      </c>
      <c r="N3260" s="8" t="s">
        <v>128</v>
      </c>
      <c r="O3260" s="8" t="s">
        <v>20597</v>
      </c>
      <c r="P3260" s="8" t="s">
        <v>14349</v>
      </c>
      <c r="Q3260" s="8" t="s">
        <v>150</v>
      </c>
      <c r="R3260" s="8"/>
      <c r="S3260" s="8" t="s">
        <v>71</v>
      </c>
      <c r="T3260" s="8" t="s">
        <v>168</v>
      </c>
      <c r="U3260" s="8" t="s">
        <v>150</v>
      </c>
      <c r="V3260" s="8" t="s">
        <v>168</v>
      </c>
      <c r="W3260" s="8" t="s">
        <v>168</v>
      </c>
      <c r="X3260" s="8">
        <v>4</v>
      </c>
      <c r="Y3260" s="8" t="s">
        <v>12359</v>
      </c>
      <c r="Z3260" s="8">
        <v>20</v>
      </c>
      <c r="AA3260" s="8">
        <v>0</v>
      </c>
      <c r="AB3260" s="9">
        <v>0</v>
      </c>
    </row>
    <row r="3261" spans="1:28" x14ac:dyDescent="0.2">
      <c r="A3261" s="10">
        <v>23952</v>
      </c>
      <c r="B3261" s="11" t="s">
        <v>20598</v>
      </c>
      <c r="C3261" s="11" t="s">
        <v>20213</v>
      </c>
      <c r="D3261" s="11" t="s">
        <v>5911</v>
      </c>
      <c r="E3261" s="11"/>
      <c r="F3261" s="11" t="s">
        <v>353</v>
      </c>
      <c r="G3261" s="11" t="s">
        <v>12311</v>
      </c>
      <c r="H3261" s="11" t="s">
        <v>122</v>
      </c>
      <c r="I3261" s="11" t="s">
        <v>20599</v>
      </c>
      <c r="J3261" s="11" t="s">
        <v>20600</v>
      </c>
      <c r="K3261" s="11" t="s">
        <v>125</v>
      </c>
      <c r="L3261" s="11" t="s">
        <v>126</v>
      </c>
      <c r="M3261" s="11" t="s">
        <v>20601</v>
      </c>
      <c r="N3261" s="11" t="s">
        <v>128</v>
      </c>
      <c r="O3261" s="11" t="s">
        <v>20602</v>
      </c>
      <c r="P3261" s="11" t="s">
        <v>6878</v>
      </c>
      <c r="Q3261" s="11" t="s">
        <v>150</v>
      </c>
      <c r="R3261" s="11"/>
      <c r="S3261" s="11" t="s">
        <v>71</v>
      </c>
      <c r="T3261" s="11" t="s">
        <v>168</v>
      </c>
      <c r="U3261" s="11" t="s">
        <v>150</v>
      </c>
      <c r="V3261" s="11" t="s">
        <v>168</v>
      </c>
      <c r="W3261" s="11" t="s">
        <v>168</v>
      </c>
      <c r="X3261" s="11">
        <v>4</v>
      </c>
      <c r="Y3261" s="11" t="s">
        <v>12359</v>
      </c>
      <c r="Z3261" s="11">
        <v>20</v>
      </c>
      <c r="AA3261" s="11">
        <v>0</v>
      </c>
      <c r="AB3261" s="12">
        <v>0</v>
      </c>
    </row>
    <row r="3262" spans="1:28" x14ac:dyDescent="0.2">
      <c r="A3262" s="7">
        <v>28805</v>
      </c>
      <c r="B3262" s="8" t="s">
        <v>20603</v>
      </c>
      <c r="C3262" s="8" t="s">
        <v>20604</v>
      </c>
      <c r="D3262" s="8" t="s">
        <v>20605</v>
      </c>
      <c r="E3262" s="8"/>
      <c r="F3262" s="8" t="s">
        <v>353</v>
      </c>
      <c r="G3262" s="8" t="s">
        <v>20606</v>
      </c>
      <c r="H3262" s="8" t="s">
        <v>847</v>
      </c>
      <c r="I3262" s="8" t="s">
        <v>20607</v>
      </c>
      <c r="J3262" s="8" t="s">
        <v>20608</v>
      </c>
      <c r="K3262" s="8" t="s">
        <v>1091</v>
      </c>
      <c r="L3262" s="8" t="s">
        <v>126</v>
      </c>
      <c r="M3262" s="8" t="s">
        <v>20609</v>
      </c>
      <c r="N3262" s="8" t="s">
        <v>128</v>
      </c>
      <c r="O3262" s="8" t="s">
        <v>20610</v>
      </c>
      <c r="P3262" s="8" t="s">
        <v>3082</v>
      </c>
      <c r="Q3262" s="8" t="s">
        <v>150</v>
      </c>
      <c r="R3262" s="8"/>
      <c r="S3262" s="8" t="s">
        <v>71</v>
      </c>
      <c r="T3262" s="8" t="s">
        <v>168</v>
      </c>
      <c r="U3262" s="8" t="s">
        <v>150</v>
      </c>
      <c r="V3262" s="8" t="s">
        <v>168</v>
      </c>
      <c r="W3262" s="8" t="s">
        <v>168</v>
      </c>
      <c r="X3262" s="8">
        <v>4</v>
      </c>
      <c r="Y3262" s="8" t="s">
        <v>12359</v>
      </c>
      <c r="Z3262" s="8">
        <v>20</v>
      </c>
      <c r="AA3262" s="8">
        <v>0</v>
      </c>
      <c r="AB3262" s="9">
        <v>0</v>
      </c>
    </row>
    <row r="3263" spans="1:28" x14ac:dyDescent="0.2">
      <c r="A3263" s="10">
        <v>28886</v>
      </c>
      <c r="B3263" s="11" t="s">
        <v>20611</v>
      </c>
      <c r="C3263" s="11" t="s">
        <v>20612</v>
      </c>
      <c r="D3263" s="11" t="s">
        <v>12057</v>
      </c>
      <c r="E3263" s="11"/>
      <c r="F3263" s="11" t="s">
        <v>353</v>
      </c>
      <c r="G3263" s="11" t="s">
        <v>20613</v>
      </c>
      <c r="H3263" s="11" t="s">
        <v>142</v>
      </c>
      <c r="I3263" s="11" t="s">
        <v>20614</v>
      </c>
      <c r="J3263" s="11" t="s">
        <v>20615</v>
      </c>
      <c r="K3263" s="11" t="s">
        <v>1199</v>
      </c>
      <c r="L3263" s="11" t="s">
        <v>464</v>
      </c>
      <c r="M3263" s="11" t="s">
        <v>20616</v>
      </c>
      <c r="N3263" s="11" t="s">
        <v>128</v>
      </c>
      <c r="O3263" s="11" t="s">
        <v>20617</v>
      </c>
      <c r="P3263" s="11" t="s">
        <v>7623</v>
      </c>
      <c r="Q3263" s="11" t="s">
        <v>150</v>
      </c>
      <c r="R3263" s="11"/>
      <c r="S3263" s="11" t="s">
        <v>71</v>
      </c>
      <c r="T3263" s="11" t="s">
        <v>168</v>
      </c>
      <c r="U3263" s="11" t="s">
        <v>150</v>
      </c>
      <c r="V3263" s="11" t="s">
        <v>168</v>
      </c>
      <c r="W3263" s="11" t="s">
        <v>168</v>
      </c>
      <c r="X3263" s="11">
        <v>4</v>
      </c>
      <c r="Y3263" s="11" t="s">
        <v>12359</v>
      </c>
      <c r="Z3263" s="11">
        <v>20</v>
      </c>
      <c r="AA3263" s="11">
        <v>0</v>
      </c>
      <c r="AB3263" s="12">
        <v>0</v>
      </c>
    </row>
    <row r="3264" spans="1:28" x14ac:dyDescent="0.2">
      <c r="A3264" s="7">
        <v>92276</v>
      </c>
      <c r="B3264" s="8" t="s">
        <v>20618</v>
      </c>
      <c r="C3264" s="8" t="s">
        <v>20619</v>
      </c>
      <c r="D3264" s="8" t="s">
        <v>20620</v>
      </c>
      <c r="E3264" s="8"/>
      <c r="F3264" s="8" t="s">
        <v>353</v>
      </c>
      <c r="G3264" s="8" t="s">
        <v>20621</v>
      </c>
      <c r="H3264" s="8" t="s">
        <v>704</v>
      </c>
      <c r="I3264" s="8" t="s">
        <v>20622</v>
      </c>
      <c r="J3264" s="8" t="s">
        <v>20623</v>
      </c>
      <c r="K3264" s="8" t="s">
        <v>707</v>
      </c>
      <c r="L3264" s="8" t="s">
        <v>126</v>
      </c>
      <c r="M3264" s="8" t="s">
        <v>20624</v>
      </c>
      <c r="N3264" s="8" t="s">
        <v>128</v>
      </c>
      <c r="O3264" s="8" t="s">
        <v>20625</v>
      </c>
      <c r="P3264" s="8" t="s">
        <v>11526</v>
      </c>
      <c r="Q3264" s="8" t="s">
        <v>150</v>
      </c>
      <c r="R3264" s="8"/>
      <c r="S3264" s="8" t="s">
        <v>71</v>
      </c>
      <c r="T3264" s="8" t="s">
        <v>168</v>
      </c>
      <c r="U3264" s="8" t="s">
        <v>150</v>
      </c>
      <c r="V3264" s="8" t="s">
        <v>168</v>
      </c>
      <c r="W3264" s="8" t="s">
        <v>168</v>
      </c>
      <c r="X3264" s="8">
        <v>4</v>
      </c>
      <c r="Y3264" s="8" t="s">
        <v>12359</v>
      </c>
      <c r="Z3264" s="8">
        <v>20</v>
      </c>
      <c r="AA3264" s="8">
        <v>0</v>
      </c>
      <c r="AB3264" s="9">
        <v>0</v>
      </c>
    </row>
    <row r="3265" spans="1:28" x14ac:dyDescent="0.2">
      <c r="A3265" s="10">
        <v>23780</v>
      </c>
      <c r="B3265" s="11" t="s">
        <v>20626</v>
      </c>
      <c r="C3265" s="11" t="s">
        <v>20220</v>
      </c>
      <c r="D3265" s="11" t="s">
        <v>5459</v>
      </c>
      <c r="E3265" s="11"/>
      <c r="F3265" s="11" t="s">
        <v>20222</v>
      </c>
      <c r="G3265" s="11" t="s">
        <v>270</v>
      </c>
      <c r="H3265" s="11" t="s">
        <v>271</v>
      </c>
      <c r="I3265" s="11" t="s">
        <v>20223</v>
      </c>
      <c r="J3265" s="11" t="s">
        <v>20224</v>
      </c>
      <c r="K3265" s="11" t="s">
        <v>274</v>
      </c>
      <c r="L3265" s="11" t="s">
        <v>163</v>
      </c>
      <c r="M3265" s="11" t="s">
        <v>20627</v>
      </c>
      <c r="N3265" s="11" t="s">
        <v>128</v>
      </c>
      <c r="O3265" s="11" t="s">
        <v>20628</v>
      </c>
      <c r="P3265" s="11" t="s">
        <v>20629</v>
      </c>
      <c r="Q3265" s="11" t="s">
        <v>150</v>
      </c>
      <c r="R3265" s="11"/>
      <c r="S3265" s="11" t="s">
        <v>71</v>
      </c>
      <c r="T3265" s="11" t="s">
        <v>168</v>
      </c>
      <c r="U3265" s="11" t="s">
        <v>150</v>
      </c>
      <c r="V3265" s="11" t="s">
        <v>168</v>
      </c>
      <c r="W3265" s="11" t="s">
        <v>168</v>
      </c>
      <c r="X3265" s="11">
        <v>4</v>
      </c>
      <c r="Y3265" s="11" t="s">
        <v>12359</v>
      </c>
      <c r="Z3265" s="11">
        <v>20</v>
      </c>
      <c r="AA3265" s="11">
        <v>0</v>
      </c>
      <c r="AB3265" s="12">
        <v>0</v>
      </c>
    </row>
    <row r="3266" spans="1:28" x14ac:dyDescent="0.2">
      <c r="A3266" s="7">
        <v>23923</v>
      </c>
      <c r="B3266" s="8" t="s">
        <v>20630</v>
      </c>
      <c r="C3266" s="8" t="s">
        <v>20631</v>
      </c>
      <c r="D3266" s="8" t="s">
        <v>14799</v>
      </c>
      <c r="E3266" s="8"/>
      <c r="F3266" s="8" t="s">
        <v>20355</v>
      </c>
      <c r="G3266" s="8" t="s">
        <v>1419</v>
      </c>
      <c r="H3266" s="8" t="s">
        <v>704</v>
      </c>
      <c r="I3266" s="8" t="s">
        <v>20632</v>
      </c>
      <c r="J3266" s="8" t="s">
        <v>20633</v>
      </c>
      <c r="K3266" s="8" t="s">
        <v>707</v>
      </c>
      <c r="L3266" s="8" t="s">
        <v>126</v>
      </c>
      <c r="M3266" s="8" t="s">
        <v>20634</v>
      </c>
      <c r="N3266" s="8" t="s">
        <v>128</v>
      </c>
      <c r="O3266" s="8" t="s">
        <v>20635</v>
      </c>
      <c r="P3266" s="8" t="s">
        <v>6204</v>
      </c>
      <c r="Q3266" s="8" t="s">
        <v>150</v>
      </c>
      <c r="R3266" s="8"/>
      <c r="S3266" s="8" t="s">
        <v>71</v>
      </c>
      <c r="T3266" s="8" t="s">
        <v>168</v>
      </c>
      <c r="U3266" s="8" t="s">
        <v>150</v>
      </c>
      <c r="V3266" s="8" t="s">
        <v>168</v>
      </c>
      <c r="W3266" s="8" t="s">
        <v>168</v>
      </c>
      <c r="X3266" s="8">
        <v>4</v>
      </c>
      <c r="Y3266" s="8" t="s">
        <v>12359</v>
      </c>
      <c r="Z3266" s="8">
        <v>20</v>
      </c>
      <c r="AA3266" s="8">
        <v>0</v>
      </c>
      <c r="AB3266" s="9">
        <v>0</v>
      </c>
    </row>
    <row r="3267" spans="1:28" x14ac:dyDescent="0.2">
      <c r="A3267" s="10">
        <v>28866</v>
      </c>
      <c r="B3267" s="11" t="s">
        <v>20636</v>
      </c>
      <c r="C3267" s="11" t="s">
        <v>4099</v>
      </c>
      <c r="D3267" s="11" t="s">
        <v>12636</v>
      </c>
      <c r="E3267" s="11"/>
      <c r="F3267" s="11" t="s">
        <v>20637</v>
      </c>
      <c r="G3267" s="11" t="s">
        <v>19623</v>
      </c>
      <c r="H3267" s="11" t="s">
        <v>142</v>
      </c>
      <c r="I3267" s="11" t="s">
        <v>20638</v>
      </c>
      <c r="J3267" s="11" t="s">
        <v>20639</v>
      </c>
      <c r="K3267" s="11" t="s">
        <v>1673</v>
      </c>
      <c r="L3267" s="11" t="s">
        <v>464</v>
      </c>
      <c r="M3267" s="11" t="s">
        <v>20640</v>
      </c>
      <c r="N3267" s="11" t="s">
        <v>128</v>
      </c>
      <c r="O3267" s="11" t="s">
        <v>20641</v>
      </c>
      <c r="P3267" s="11" t="s">
        <v>20642</v>
      </c>
      <c r="Q3267" s="11" t="s">
        <v>150</v>
      </c>
      <c r="R3267" s="11"/>
      <c r="S3267" s="11" t="s">
        <v>71</v>
      </c>
      <c r="T3267" s="11" t="s">
        <v>168</v>
      </c>
      <c r="U3267" s="11" t="s">
        <v>150</v>
      </c>
      <c r="V3267" s="11" t="s">
        <v>168</v>
      </c>
      <c r="W3267" s="11" t="s">
        <v>168</v>
      </c>
      <c r="X3267" s="11">
        <v>4</v>
      </c>
      <c r="Y3267" s="11" t="s">
        <v>12359</v>
      </c>
      <c r="Z3267" s="11">
        <v>20</v>
      </c>
      <c r="AA3267" s="11">
        <v>0</v>
      </c>
      <c r="AB3267" s="12">
        <v>0</v>
      </c>
    </row>
    <row r="3268" spans="1:28" x14ac:dyDescent="0.2">
      <c r="A3268" s="7">
        <v>86766</v>
      </c>
      <c r="B3268" s="8" t="s">
        <v>20643</v>
      </c>
      <c r="C3268" s="8" t="s">
        <v>20644</v>
      </c>
      <c r="D3268" s="8" t="s">
        <v>9629</v>
      </c>
      <c r="E3268" s="8"/>
      <c r="F3268" s="8" t="s">
        <v>20645</v>
      </c>
      <c r="G3268" s="8" t="s">
        <v>20553</v>
      </c>
      <c r="H3268" s="8" t="s">
        <v>142</v>
      </c>
      <c r="I3268" s="8" t="s">
        <v>20554</v>
      </c>
      <c r="J3268" s="8" t="s">
        <v>20646</v>
      </c>
      <c r="K3268" s="8" t="s">
        <v>1199</v>
      </c>
      <c r="L3268" s="8" t="s">
        <v>464</v>
      </c>
      <c r="M3268" s="8" t="s">
        <v>20647</v>
      </c>
      <c r="N3268" s="8" t="s">
        <v>128</v>
      </c>
      <c r="O3268" s="8" t="s">
        <v>20648</v>
      </c>
      <c r="P3268" s="8" t="s">
        <v>20649</v>
      </c>
      <c r="Q3268" s="8" t="s">
        <v>150</v>
      </c>
      <c r="R3268" s="8"/>
      <c r="S3268" s="8" t="s">
        <v>71</v>
      </c>
      <c r="T3268" s="8" t="s">
        <v>168</v>
      </c>
      <c r="U3268" s="8" t="s">
        <v>150</v>
      </c>
      <c r="V3268" s="8" t="s">
        <v>168</v>
      </c>
      <c r="W3268" s="8" t="s">
        <v>168</v>
      </c>
      <c r="X3268" s="8">
        <v>4</v>
      </c>
      <c r="Y3268" s="8" t="s">
        <v>12359</v>
      </c>
      <c r="Z3268" s="8">
        <v>20</v>
      </c>
      <c r="AA3268" s="8">
        <v>0</v>
      </c>
      <c r="AB3268" s="9">
        <v>0</v>
      </c>
    </row>
    <row r="3269" spans="1:28" x14ac:dyDescent="0.2">
      <c r="A3269" s="10">
        <v>109187</v>
      </c>
      <c r="B3269" s="11" t="s">
        <v>20650</v>
      </c>
      <c r="C3269" s="11" t="s">
        <v>20651</v>
      </c>
      <c r="D3269" s="11" t="s">
        <v>8364</v>
      </c>
      <c r="E3269" s="11"/>
      <c r="F3269" s="11" t="s">
        <v>20652</v>
      </c>
      <c r="G3269" s="11" t="s">
        <v>6409</v>
      </c>
      <c r="H3269" s="11" t="s">
        <v>6410</v>
      </c>
      <c r="I3269" s="11" t="s">
        <v>20653</v>
      </c>
      <c r="J3269" s="11" t="s">
        <v>20654</v>
      </c>
      <c r="K3269" s="11" t="s">
        <v>1956</v>
      </c>
      <c r="L3269" s="11" t="s">
        <v>526</v>
      </c>
      <c r="M3269" s="11" t="s">
        <v>20655</v>
      </c>
      <c r="N3269" s="11" t="s">
        <v>128</v>
      </c>
      <c r="O3269" s="11" t="s">
        <v>20656</v>
      </c>
      <c r="P3269" s="11" t="s">
        <v>9559</v>
      </c>
      <c r="Q3269" s="11" t="s">
        <v>150</v>
      </c>
      <c r="R3269" s="11"/>
      <c r="S3269" s="11" t="s">
        <v>71</v>
      </c>
      <c r="T3269" s="11" t="s">
        <v>168</v>
      </c>
      <c r="U3269" s="11" t="s">
        <v>150</v>
      </c>
      <c r="V3269" s="11" t="s">
        <v>168</v>
      </c>
      <c r="W3269" s="11" t="s">
        <v>168</v>
      </c>
      <c r="X3269" s="11">
        <v>4</v>
      </c>
      <c r="Y3269" s="11" t="s">
        <v>12359</v>
      </c>
      <c r="Z3269" s="11">
        <v>20</v>
      </c>
      <c r="AA3269" s="11">
        <v>0</v>
      </c>
      <c r="AB3269" s="12">
        <v>0</v>
      </c>
    </row>
    <row r="3270" spans="1:28" x14ac:dyDescent="0.2">
      <c r="A3270" s="7">
        <v>214431</v>
      </c>
      <c r="B3270" s="8" t="s">
        <v>20657</v>
      </c>
      <c r="C3270" s="8" t="s">
        <v>20658</v>
      </c>
      <c r="D3270" s="8" t="s">
        <v>20659</v>
      </c>
      <c r="E3270" s="8"/>
      <c r="F3270" s="8" t="s">
        <v>20660</v>
      </c>
      <c r="G3270" s="8" t="s">
        <v>20253</v>
      </c>
      <c r="H3270" s="8" t="s">
        <v>616</v>
      </c>
      <c r="I3270" s="8" t="s">
        <v>20254</v>
      </c>
      <c r="J3270" s="8" t="s">
        <v>20661</v>
      </c>
      <c r="K3270" s="8" t="s">
        <v>619</v>
      </c>
      <c r="L3270" s="8" t="s">
        <v>163</v>
      </c>
      <c r="M3270" s="8" t="s">
        <v>20662</v>
      </c>
      <c r="N3270" s="8" t="s">
        <v>128</v>
      </c>
      <c r="O3270" s="8" t="s">
        <v>20663</v>
      </c>
      <c r="P3270" s="8" t="s">
        <v>16319</v>
      </c>
      <c r="Q3270" s="8" t="s">
        <v>150</v>
      </c>
      <c r="R3270" s="8"/>
      <c r="S3270" s="8" t="s">
        <v>71</v>
      </c>
      <c r="T3270" s="8" t="s">
        <v>168</v>
      </c>
      <c r="U3270" s="8" t="s">
        <v>150</v>
      </c>
      <c r="V3270" s="8" t="s">
        <v>168</v>
      </c>
      <c r="W3270" s="8" t="s">
        <v>168</v>
      </c>
      <c r="X3270" s="8">
        <v>4</v>
      </c>
      <c r="Y3270" s="8" t="s">
        <v>12359</v>
      </c>
      <c r="Z3270" s="8">
        <v>20</v>
      </c>
      <c r="AA3270" s="8">
        <v>0</v>
      </c>
      <c r="AB3270" s="9">
        <v>0</v>
      </c>
    </row>
    <row r="3271" spans="1:28" x14ac:dyDescent="0.2">
      <c r="A3271" s="10">
        <v>214610</v>
      </c>
      <c r="B3271" s="11" t="s">
        <v>20664</v>
      </c>
      <c r="C3271" s="11" t="s">
        <v>20665</v>
      </c>
      <c r="D3271" s="11" t="s">
        <v>3155</v>
      </c>
      <c r="E3271" s="11"/>
      <c r="F3271" s="11" t="s">
        <v>20666</v>
      </c>
      <c r="G3271" s="11" t="s">
        <v>6409</v>
      </c>
      <c r="H3271" s="11" t="s">
        <v>6410</v>
      </c>
      <c r="I3271" s="11" t="s">
        <v>20667</v>
      </c>
      <c r="J3271" s="11" t="s">
        <v>20668</v>
      </c>
      <c r="K3271" s="11" t="s">
        <v>1956</v>
      </c>
      <c r="L3271" s="11" t="s">
        <v>526</v>
      </c>
      <c r="M3271" s="11" t="s">
        <v>20669</v>
      </c>
      <c r="N3271" s="11" t="s">
        <v>128</v>
      </c>
      <c r="O3271" s="11" t="s">
        <v>20670</v>
      </c>
      <c r="P3271" s="11" t="s">
        <v>20671</v>
      </c>
      <c r="Q3271" s="11" t="s">
        <v>150</v>
      </c>
      <c r="R3271" s="11"/>
      <c r="S3271" s="11" t="s">
        <v>71</v>
      </c>
      <c r="T3271" s="11" t="s">
        <v>168</v>
      </c>
      <c r="U3271" s="11" t="s">
        <v>150</v>
      </c>
      <c r="V3271" s="11" t="s">
        <v>168</v>
      </c>
      <c r="W3271" s="11" t="s">
        <v>168</v>
      </c>
      <c r="X3271" s="11">
        <v>4</v>
      </c>
      <c r="Y3271" s="11" t="s">
        <v>12359</v>
      </c>
      <c r="Z3271" s="11">
        <v>20</v>
      </c>
      <c r="AA3271" s="11">
        <v>0</v>
      </c>
      <c r="AB3271" s="12">
        <v>0</v>
      </c>
    </row>
    <row r="3272" spans="1:28" x14ac:dyDescent="0.2">
      <c r="A3272" s="7">
        <v>106380</v>
      </c>
      <c r="B3272" s="8" t="s">
        <v>20672</v>
      </c>
      <c r="C3272" s="8" t="s">
        <v>19777</v>
      </c>
      <c r="D3272" s="8" t="s">
        <v>14067</v>
      </c>
      <c r="E3272" s="8"/>
      <c r="F3272" s="8" t="s">
        <v>353</v>
      </c>
      <c r="G3272" s="8" t="s">
        <v>18987</v>
      </c>
      <c r="H3272" s="8" t="s">
        <v>159</v>
      </c>
      <c r="I3272" s="8" t="s">
        <v>19779</v>
      </c>
      <c r="J3272" s="8" t="s">
        <v>20673</v>
      </c>
      <c r="K3272" s="8" t="s">
        <v>162</v>
      </c>
      <c r="L3272" s="8" t="s">
        <v>163</v>
      </c>
      <c r="M3272" s="8" t="s">
        <v>20674</v>
      </c>
      <c r="N3272" s="8" t="s">
        <v>128</v>
      </c>
      <c r="O3272" s="8" t="s">
        <v>20675</v>
      </c>
      <c r="P3272" s="8"/>
      <c r="Q3272" s="8" t="s">
        <v>150</v>
      </c>
      <c r="R3272" s="8"/>
      <c r="S3272" s="8" t="s">
        <v>71</v>
      </c>
      <c r="T3272" s="8" t="s">
        <v>5438</v>
      </c>
      <c r="U3272" s="8" t="s">
        <v>150</v>
      </c>
      <c r="V3272" s="8" t="s">
        <v>5438</v>
      </c>
      <c r="W3272" s="8" t="s">
        <v>5438</v>
      </c>
      <c r="X3272" s="8">
        <v>4</v>
      </c>
      <c r="Y3272" s="8" t="s">
        <v>12359</v>
      </c>
      <c r="Z3272" s="8">
        <v>20</v>
      </c>
      <c r="AA3272" s="8">
        <v>0</v>
      </c>
      <c r="AB3272" s="9">
        <v>0</v>
      </c>
    </row>
    <row r="3273" spans="1:28" x14ac:dyDescent="0.2">
      <c r="A3273" s="10">
        <v>24097</v>
      </c>
      <c r="B3273" s="11" t="s">
        <v>20676</v>
      </c>
      <c r="C3273" s="11" t="s">
        <v>8731</v>
      </c>
      <c r="D3273" s="11" t="s">
        <v>861</v>
      </c>
      <c r="E3273" s="11" t="s">
        <v>20677</v>
      </c>
      <c r="F3273" s="11" t="s">
        <v>8733</v>
      </c>
      <c r="G3273" s="11" t="s">
        <v>846</v>
      </c>
      <c r="H3273" s="11" t="s">
        <v>847</v>
      </c>
      <c r="I3273" s="11" t="s">
        <v>8734</v>
      </c>
      <c r="J3273" s="11" t="s">
        <v>20678</v>
      </c>
      <c r="K3273" s="11" t="s">
        <v>850</v>
      </c>
      <c r="L3273" s="11" t="s">
        <v>126</v>
      </c>
      <c r="M3273" s="11" t="s">
        <v>20679</v>
      </c>
      <c r="N3273" s="11" t="s">
        <v>128</v>
      </c>
      <c r="O3273" s="11" t="s">
        <v>20680</v>
      </c>
      <c r="P3273" s="11"/>
      <c r="Q3273" s="11" t="s">
        <v>150</v>
      </c>
      <c r="R3273" s="11"/>
      <c r="S3273" s="11" t="s">
        <v>71</v>
      </c>
      <c r="T3273" s="11" t="s">
        <v>10304</v>
      </c>
      <c r="U3273" s="11" t="s">
        <v>150</v>
      </c>
      <c r="V3273" s="11" t="s">
        <v>10304</v>
      </c>
      <c r="W3273" s="11" t="s">
        <v>10304</v>
      </c>
      <c r="X3273" s="11">
        <v>4</v>
      </c>
      <c r="Y3273" s="11" t="s">
        <v>12359</v>
      </c>
      <c r="Z3273" s="11">
        <v>20</v>
      </c>
      <c r="AA3273" s="11">
        <v>0</v>
      </c>
      <c r="AB3273" s="12">
        <v>0</v>
      </c>
    </row>
    <row r="3274" spans="1:28" x14ac:dyDescent="0.2">
      <c r="A3274" s="7">
        <v>24169</v>
      </c>
      <c r="B3274" s="8" t="s">
        <v>20681</v>
      </c>
      <c r="C3274" s="8" t="s">
        <v>11975</v>
      </c>
      <c r="D3274" s="8" t="s">
        <v>11976</v>
      </c>
      <c r="E3274" s="8" t="s">
        <v>20682</v>
      </c>
      <c r="F3274" s="8" t="s">
        <v>11977</v>
      </c>
      <c r="G3274" s="8" t="s">
        <v>158</v>
      </c>
      <c r="H3274" s="8" t="s">
        <v>159</v>
      </c>
      <c r="I3274" s="8" t="s">
        <v>11978</v>
      </c>
      <c r="J3274" s="8" t="s">
        <v>11979</v>
      </c>
      <c r="K3274" s="8" t="s">
        <v>274</v>
      </c>
      <c r="L3274" s="8" t="s">
        <v>163</v>
      </c>
      <c r="M3274" s="8" t="s">
        <v>20683</v>
      </c>
      <c r="N3274" s="8" t="s">
        <v>4651</v>
      </c>
      <c r="O3274" s="8" t="s">
        <v>20684</v>
      </c>
      <c r="P3274" s="8" t="s">
        <v>20685</v>
      </c>
      <c r="Q3274" s="8" t="s">
        <v>150</v>
      </c>
      <c r="R3274" s="8"/>
      <c r="S3274" s="8" t="s">
        <v>11983</v>
      </c>
      <c r="T3274" s="8" t="s">
        <v>3270</v>
      </c>
      <c r="U3274" s="8" t="s">
        <v>150</v>
      </c>
      <c r="V3274" s="8" t="s">
        <v>3270</v>
      </c>
      <c r="W3274" s="8" t="s">
        <v>3270</v>
      </c>
      <c r="X3274" s="8">
        <v>4</v>
      </c>
      <c r="Y3274" s="8" t="s">
        <v>12359</v>
      </c>
      <c r="Z3274" s="8">
        <v>20</v>
      </c>
      <c r="AA3274" s="8">
        <v>0</v>
      </c>
      <c r="AB3274" s="9">
        <v>0</v>
      </c>
    </row>
    <row r="3275" spans="1:28" x14ac:dyDescent="0.2">
      <c r="A3275" s="10">
        <v>24811</v>
      </c>
      <c r="B3275" s="11" t="s">
        <v>20686</v>
      </c>
      <c r="C3275" s="11" t="s">
        <v>7952</v>
      </c>
      <c r="D3275" s="11" t="s">
        <v>6665</v>
      </c>
      <c r="E3275" s="11" t="s">
        <v>281</v>
      </c>
      <c r="F3275" s="11" t="s">
        <v>3464</v>
      </c>
      <c r="G3275" s="11" t="s">
        <v>450</v>
      </c>
      <c r="H3275" s="11" t="s">
        <v>301</v>
      </c>
      <c r="I3275" s="11" t="s">
        <v>20687</v>
      </c>
      <c r="J3275" s="11" t="s">
        <v>20688</v>
      </c>
      <c r="K3275" s="11" t="s">
        <v>304</v>
      </c>
      <c r="L3275" s="11" t="s">
        <v>229</v>
      </c>
      <c r="M3275" s="11" t="s">
        <v>20689</v>
      </c>
      <c r="N3275" s="11" t="s">
        <v>128</v>
      </c>
      <c r="O3275" s="11" t="s">
        <v>6670</v>
      </c>
      <c r="P3275" s="11" t="s">
        <v>20690</v>
      </c>
      <c r="Q3275" s="11" t="s">
        <v>150</v>
      </c>
      <c r="R3275" s="11"/>
      <c r="S3275" s="11" t="s">
        <v>71</v>
      </c>
      <c r="T3275" s="11" t="s">
        <v>1738</v>
      </c>
      <c r="U3275" s="11" t="s">
        <v>150</v>
      </c>
      <c r="V3275" s="11" t="s">
        <v>1738</v>
      </c>
      <c r="W3275" s="11" t="s">
        <v>1738</v>
      </c>
      <c r="X3275" s="11">
        <v>4</v>
      </c>
      <c r="Y3275" s="11" t="s">
        <v>12359</v>
      </c>
      <c r="Z3275" s="11">
        <v>20</v>
      </c>
      <c r="AA3275" s="11">
        <v>0</v>
      </c>
      <c r="AB3275" s="12">
        <v>0</v>
      </c>
    </row>
    <row r="3276" spans="1:28" x14ac:dyDescent="0.2">
      <c r="A3276" s="7">
        <v>24823</v>
      </c>
      <c r="B3276" s="8" t="s">
        <v>20691</v>
      </c>
      <c r="C3276" s="8" t="s">
        <v>1125</v>
      </c>
      <c r="D3276" s="8" t="s">
        <v>1126</v>
      </c>
      <c r="E3276" s="8" t="s">
        <v>281</v>
      </c>
      <c r="F3276" s="8" t="s">
        <v>1128</v>
      </c>
      <c r="G3276" s="8" t="s">
        <v>450</v>
      </c>
      <c r="H3276" s="8" t="s">
        <v>301</v>
      </c>
      <c r="I3276" s="8" t="s">
        <v>1129</v>
      </c>
      <c r="J3276" s="8" t="s">
        <v>20692</v>
      </c>
      <c r="K3276" s="8" t="s">
        <v>304</v>
      </c>
      <c r="L3276" s="8" t="s">
        <v>229</v>
      </c>
      <c r="M3276" s="8" t="s">
        <v>20693</v>
      </c>
      <c r="N3276" s="8" t="s">
        <v>128</v>
      </c>
      <c r="O3276" s="8" t="s">
        <v>20694</v>
      </c>
      <c r="P3276" s="8" t="s">
        <v>20695</v>
      </c>
      <c r="Q3276" s="8" t="s">
        <v>150</v>
      </c>
      <c r="R3276" s="8"/>
      <c r="S3276" s="8" t="s">
        <v>1134</v>
      </c>
      <c r="T3276" s="8" t="s">
        <v>1738</v>
      </c>
      <c r="U3276" s="8" t="s">
        <v>150</v>
      </c>
      <c r="V3276" s="8" t="s">
        <v>1738</v>
      </c>
      <c r="W3276" s="8" t="s">
        <v>1738</v>
      </c>
      <c r="X3276" s="8">
        <v>4</v>
      </c>
      <c r="Y3276" s="8" t="s">
        <v>12359</v>
      </c>
      <c r="Z3276" s="8">
        <v>20</v>
      </c>
      <c r="AA3276" s="8">
        <v>0</v>
      </c>
      <c r="AB3276" s="9">
        <v>0</v>
      </c>
    </row>
    <row r="3277" spans="1:28" x14ac:dyDescent="0.2">
      <c r="A3277" s="10">
        <v>24936</v>
      </c>
      <c r="B3277" s="11" t="s">
        <v>20696</v>
      </c>
      <c r="C3277" s="11" t="s">
        <v>9045</v>
      </c>
      <c r="D3277" s="11" t="s">
        <v>138</v>
      </c>
      <c r="E3277" s="11"/>
      <c r="F3277" s="11" t="s">
        <v>11933</v>
      </c>
      <c r="G3277" s="11" t="s">
        <v>4063</v>
      </c>
      <c r="H3277" s="11" t="s">
        <v>301</v>
      </c>
      <c r="I3277" s="11" t="s">
        <v>3964</v>
      </c>
      <c r="J3277" s="11" t="s">
        <v>9046</v>
      </c>
      <c r="K3277" s="11" t="s">
        <v>228</v>
      </c>
      <c r="L3277" s="11" t="s">
        <v>229</v>
      </c>
      <c r="M3277" s="11" t="s">
        <v>20697</v>
      </c>
      <c r="N3277" s="11" t="s">
        <v>128</v>
      </c>
      <c r="O3277" s="11" t="s">
        <v>20698</v>
      </c>
      <c r="P3277" s="11" t="s">
        <v>16161</v>
      </c>
      <c r="Q3277" s="11" t="s">
        <v>150</v>
      </c>
      <c r="R3277" s="11"/>
      <c r="S3277" s="11" t="s">
        <v>3968</v>
      </c>
      <c r="T3277" s="11" t="s">
        <v>1738</v>
      </c>
      <c r="U3277" s="11" t="s">
        <v>150</v>
      </c>
      <c r="V3277" s="11" t="s">
        <v>1738</v>
      </c>
      <c r="W3277" s="11" t="s">
        <v>1738</v>
      </c>
      <c r="X3277" s="11">
        <v>4</v>
      </c>
      <c r="Y3277" s="11" t="s">
        <v>12359</v>
      </c>
      <c r="Z3277" s="11">
        <v>20</v>
      </c>
      <c r="AA3277" s="11">
        <v>0</v>
      </c>
      <c r="AB3277" s="12">
        <v>0</v>
      </c>
    </row>
    <row r="3278" spans="1:28" x14ac:dyDescent="0.2">
      <c r="A3278" s="7">
        <v>37881</v>
      </c>
      <c r="B3278" s="8" t="s">
        <v>20699</v>
      </c>
      <c r="C3278" s="8" t="s">
        <v>20700</v>
      </c>
      <c r="D3278" s="8" t="s">
        <v>4623</v>
      </c>
      <c r="E3278" s="8"/>
      <c r="F3278" s="8" t="s">
        <v>20125</v>
      </c>
      <c r="G3278" s="8" t="s">
        <v>18996</v>
      </c>
      <c r="H3278" s="8" t="s">
        <v>616</v>
      </c>
      <c r="I3278" s="8" t="s">
        <v>19670</v>
      </c>
      <c r="J3278" s="8" t="s">
        <v>20701</v>
      </c>
      <c r="K3278" s="8" t="s">
        <v>619</v>
      </c>
      <c r="L3278" s="8" t="s">
        <v>163</v>
      </c>
      <c r="M3278" s="8" t="s">
        <v>20702</v>
      </c>
      <c r="N3278" s="8" t="s">
        <v>128</v>
      </c>
      <c r="O3278" s="8" t="s">
        <v>20703</v>
      </c>
      <c r="P3278" s="8" t="s">
        <v>8681</v>
      </c>
      <c r="Q3278" s="8" t="s">
        <v>150</v>
      </c>
      <c r="R3278" s="8"/>
      <c r="S3278" s="8" t="s">
        <v>19002</v>
      </c>
      <c r="T3278" s="8" t="s">
        <v>1738</v>
      </c>
      <c r="U3278" s="8" t="s">
        <v>150</v>
      </c>
      <c r="V3278" s="8" t="s">
        <v>1738</v>
      </c>
      <c r="W3278" s="8" t="s">
        <v>1738</v>
      </c>
      <c r="X3278" s="8">
        <v>4</v>
      </c>
      <c r="Y3278" s="8" t="s">
        <v>12359</v>
      </c>
      <c r="Z3278" s="8">
        <v>20</v>
      </c>
      <c r="AA3278" s="8">
        <v>0</v>
      </c>
      <c r="AB3278" s="9">
        <v>0</v>
      </c>
    </row>
    <row r="3279" spans="1:28" x14ac:dyDescent="0.2">
      <c r="A3279" s="10">
        <v>30510</v>
      </c>
      <c r="B3279" s="11" t="s">
        <v>20704</v>
      </c>
      <c r="C3279" s="11" t="s">
        <v>20705</v>
      </c>
      <c r="D3279" s="11" t="s">
        <v>10615</v>
      </c>
      <c r="E3279" s="11"/>
      <c r="F3279" s="11" t="s">
        <v>20706</v>
      </c>
      <c r="G3279" s="11" t="s">
        <v>521</v>
      </c>
      <c r="H3279" s="11" t="s">
        <v>522</v>
      </c>
      <c r="I3279" s="11" t="s">
        <v>10617</v>
      </c>
      <c r="J3279" s="11" t="s">
        <v>20707</v>
      </c>
      <c r="K3279" s="11" t="s">
        <v>525</v>
      </c>
      <c r="L3279" s="11" t="s">
        <v>526</v>
      </c>
      <c r="M3279" s="11" t="s">
        <v>20708</v>
      </c>
      <c r="N3279" s="11" t="s">
        <v>128</v>
      </c>
      <c r="O3279" s="11" t="s">
        <v>20709</v>
      </c>
      <c r="P3279" s="11" t="s">
        <v>20710</v>
      </c>
      <c r="Q3279" s="11" t="s">
        <v>150</v>
      </c>
      <c r="R3279" s="11"/>
      <c r="S3279" s="11" t="s">
        <v>10621</v>
      </c>
      <c r="T3279" s="11" t="s">
        <v>1738</v>
      </c>
      <c r="U3279" s="11" t="s">
        <v>150</v>
      </c>
      <c r="V3279" s="11" t="s">
        <v>1738</v>
      </c>
      <c r="W3279" s="11" t="s">
        <v>1738</v>
      </c>
      <c r="X3279" s="11">
        <v>4</v>
      </c>
      <c r="Y3279" s="11" t="s">
        <v>12359</v>
      </c>
      <c r="Z3279" s="11">
        <v>20</v>
      </c>
      <c r="AA3279" s="11">
        <v>0</v>
      </c>
      <c r="AB3279" s="12">
        <v>0</v>
      </c>
    </row>
    <row r="3280" spans="1:28" x14ac:dyDescent="0.2">
      <c r="A3280" s="7">
        <v>31219</v>
      </c>
      <c r="B3280" s="8" t="s">
        <v>20711</v>
      </c>
      <c r="C3280" s="8" t="s">
        <v>19454</v>
      </c>
      <c r="D3280" s="8" t="s">
        <v>13847</v>
      </c>
      <c r="E3280" s="8" t="s">
        <v>20712</v>
      </c>
      <c r="F3280" s="8" t="s">
        <v>20713</v>
      </c>
      <c r="G3280" s="8" t="s">
        <v>7402</v>
      </c>
      <c r="H3280" s="8" t="s">
        <v>847</v>
      </c>
      <c r="I3280" s="8" t="s">
        <v>19456</v>
      </c>
      <c r="J3280" s="8" t="s">
        <v>19457</v>
      </c>
      <c r="K3280" s="8" t="s">
        <v>1091</v>
      </c>
      <c r="L3280" s="8" t="s">
        <v>126</v>
      </c>
      <c r="M3280" s="8" t="s">
        <v>20714</v>
      </c>
      <c r="N3280" s="8" t="s">
        <v>128</v>
      </c>
      <c r="O3280" s="8"/>
      <c r="P3280" s="8"/>
      <c r="Q3280" s="8" t="s">
        <v>740</v>
      </c>
      <c r="R3280" s="8"/>
      <c r="S3280" s="8" t="s">
        <v>19460</v>
      </c>
      <c r="T3280" s="8" t="s">
        <v>1745</v>
      </c>
      <c r="U3280" s="8" t="s">
        <v>134</v>
      </c>
      <c r="V3280" s="8" t="s">
        <v>740</v>
      </c>
      <c r="W3280" s="8" t="s">
        <v>1745</v>
      </c>
      <c r="X3280" s="8">
        <v>4</v>
      </c>
      <c r="Y3280" s="8" t="s">
        <v>12359</v>
      </c>
      <c r="Z3280" s="8">
        <v>20</v>
      </c>
      <c r="AA3280" s="8">
        <v>0</v>
      </c>
      <c r="AB3280" s="9">
        <v>0</v>
      </c>
    </row>
    <row r="3281" spans="1:28" x14ac:dyDescent="0.2">
      <c r="A3281" s="10">
        <v>24774</v>
      </c>
      <c r="B3281" s="11" t="s">
        <v>20715</v>
      </c>
      <c r="C3281" s="11" t="s">
        <v>17982</v>
      </c>
      <c r="D3281" s="11" t="s">
        <v>1676</v>
      </c>
      <c r="E3281" s="11" t="s">
        <v>20716</v>
      </c>
      <c r="F3281" s="11" t="s">
        <v>19514</v>
      </c>
      <c r="G3281" s="11" t="s">
        <v>1937</v>
      </c>
      <c r="H3281" s="11" t="s">
        <v>142</v>
      </c>
      <c r="I3281" s="11" t="s">
        <v>19515</v>
      </c>
      <c r="J3281" s="11" t="s">
        <v>19516</v>
      </c>
      <c r="K3281" s="11" t="s">
        <v>1673</v>
      </c>
      <c r="L3281" s="11" t="s">
        <v>464</v>
      </c>
      <c r="M3281" s="11" t="s">
        <v>20717</v>
      </c>
      <c r="N3281" s="11" t="s">
        <v>128</v>
      </c>
      <c r="O3281" s="11" t="s">
        <v>20718</v>
      </c>
      <c r="P3281" s="11"/>
      <c r="Q3281" s="11" t="s">
        <v>740</v>
      </c>
      <c r="R3281" s="11"/>
      <c r="S3281" s="11" t="s">
        <v>19520</v>
      </c>
      <c r="T3281" s="11" t="s">
        <v>1745</v>
      </c>
      <c r="U3281" s="11" t="s">
        <v>134</v>
      </c>
      <c r="V3281" s="11" t="s">
        <v>740</v>
      </c>
      <c r="W3281" s="11" t="s">
        <v>1745</v>
      </c>
      <c r="X3281" s="11">
        <v>4</v>
      </c>
      <c r="Y3281" s="11" t="s">
        <v>12359</v>
      </c>
      <c r="Z3281" s="11">
        <v>20</v>
      </c>
      <c r="AA3281" s="11">
        <v>0</v>
      </c>
      <c r="AB3281" s="12">
        <v>0</v>
      </c>
    </row>
    <row r="3282" spans="1:28" x14ac:dyDescent="0.2">
      <c r="A3282" s="7">
        <v>25337</v>
      </c>
      <c r="B3282" s="8" t="s">
        <v>20719</v>
      </c>
      <c r="C3282" s="8" t="s">
        <v>10742</v>
      </c>
      <c r="D3282" s="8" t="s">
        <v>10743</v>
      </c>
      <c r="E3282" s="8" t="s">
        <v>20720</v>
      </c>
      <c r="F3282" s="8" t="s">
        <v>10744</v>
      </c>
      <c r="G3282" s="8" t="s">
        <v>5116</v>
      </c>
      <c r="H3282" s="8" t="s">
        <v>122</v>
      </c>
      <c r="I3282" s="8" t="s">
        <v>10745</v>
      </c>
      <c r="J3282" s="8" t="s">
        <v>20721</v>
      </c>
      <c r="K3282" s="8" t="s">
        <v>125</v>
      </c>
      <c r="L3282" s="8" t="s">
        <v>126</v>
      </c>
      <c r="M3282" s="8" t="s">
        <v>20722</v>
      </c>
      <c r="N3282" s="8" t="s">
        <v>128</v>
      </c>
      <c r="O3282" s="8" t="s">
        <v>20723</v>
      </c>
      <c r="P3282" s="8"/>
      <c r="Q3282" s="8" t="s">
        <v>740</v>
      </c>
      <c r="R3282" s="8"/>
      <c r="S3282" s="8" t="s">
        <v>10750</v>
      </c>
      <c r="T3282" s="8" t="s">
        <v>1745</v>
      </c>
      <c r="U3282" s="8" t="s">
        <v>134</v>
      </c>
      <c r="V3282" s="8" t="s">
        <v>740</v>
      </c>
      <c r="W3282" s="8" t="s">
        <v>1745</v>
      </c>
      <c r="X3282" s="8">
        <v>4</v>
      </c>
      <c r="Y3282" s="8" t="s">
        <v>12359</v>
      </c>
      <c r="Z3282" s="8">
        <v>20</v>
      </c>
      <c r="AA3282" s="8">
        <v>0</v>
      </c>
      <c r="AB3282" s="9">
        <v>0</v>
      </c>
    </row>
    <row r="3283" spans="1:28" x14ac:dyDescent="0.2">
      <c r="A3283" s="10">
        <v>85217</v>
      </c>
      <c r="B3283" s="11" t="s">
        <v>20724</v>
      </c>
      <c r="C3283" s="11" t="s">
        <v>12038</v>
      </c>
      <c r="D3283" s="11" t="s">
        <v>12039</v>
      </c>
      <c r="E3283" s="11" t="s">
        <v>15737</v>
      </c>
      <c r="F3283" s="11" t="s">
        <v>1207</v>
      </c>
      <c r="G3283" s="11" t="s">
        <v>615</v>
      </c>
      <c r="H3283" s="11" t="s">
        <v>616</v>
      </c>
      <c r="I3283" s="11" t="s">
        <v>12041</v>
      </c>
      <c r="J3283" s="11" t="s">
        <v>20725</v>
      </c>
      <c r="K3283" s="11" t="s">
        <v>619</v>
      </c>
      <c r="L3283" s="11" t="s">
        <v>163</v>
      </c>
      <c r="M3283" s="11" t="s">
        <v>20726</v>
      </c>
      <c r="N3283" s="11" t="s">
        <v>128</v>
      </c>
      <c r="O3283" s="11" t="s">
        <v>20727</v>
      </c>
      <c r="P3283" s="11"/>
      <c r="Q3283" s="11" t="s">
        <v>740</v>
      </c>
      <c r="R3283" s="11"/>
      <c r="S3283" s="11" t="s">
        <v>12046</v>
      </c>
      <c r="T3283" s="11" t="s">
        <v>1745</v>
      </c>
      <c r="U3283" s="11" t="s">
        <v>134</v>
      </c>
      <c r="V3283" s="11" t="s">
        <v>740</v>
      </c>
      <c r="W3283" s="11" t="s">
        <v>1745</v>
      </c>
      <c r="X3283" s="11">
        <v>4</v>
      </c>
      <c r="Y3283" s="11" t="s">
        <v>12359</v>
      </c>
      <c r="Z3283" s="11">
        <v>20</v>
      </c>
      <c r="AA3283" s="11">
        <v>0</v>
      </c>
      <c r="AB3283" s="12">
        <v>0</v>
      </c>
    </row>
    <row r="3284" spans="1:28" x14ac:dyDescent="0.2">
      <c r="A3284" s="7">
        <v>22741</v>
      </c>
      <c r="B3284" s="8" t="s">
        <v>20728</v>
      </c>
      <c r="C3284" s="8" t="s">
        <v>20729</v>
      </c>
      <c r="D3284" s="8" t="s">
        <v>7943</v>
      </c>
      <c r="E3284" s="8" t="s">
        <v>20730</v>
      </c>
      <c r="F3284" s="8" t="s">
        <v>353</v>
      </c>
      <c r="G3284" s="8" t="s">
        <v>3758</v>
      </c>
      <c r="H3284" s="8" t="s">
        <v>847</v>
      </c>
      <c r="I3284" s="8" t="s">
        <v>20731</v>
      </c>
      <c r="J3284" s="8" t="s">
        <v>20732</v>
      </c>
      <c r="K3284" s="8" t="s">
        <v>1091</v>
      </c>
      <c r="L3284" s="8" t="s">
        <v>126</v>
      </c>
      <c r="M3284" s="8" t="s">
        <v>20733</v>
      </c>
      <c r="N3284" s="8" t="s">
        <v>128</v>
      </c>
      <c r="O3284" s="8" t="s">
        <v>20734</v>
      </c>
      <c r="P3284" s="8"/>
      <c r="Q3284" s="8" t="s">
        <v>740</v>
      </c>
      <c r="R3284" s="8"/>
      <c r="S3284" s="8" t="s">
        <v>71</v>
      </c>
      <c r="T3284" s="8" t="s">
        <v>1745</v>
      </c>
      <c r="U3284" s="8" t="s">
        <v>134</v>
      </c>
      <c r="V3284" s="8" t="s">
        <v>740</v>
      </c>
      <c r="W3284" s="8" t="s">
        <v>1745</v>
      </c>
      <c r="X3284" s="8">
        <v>4</v>
      </c>
      <c r="Y3284" s="8" t="s">
        <v>12359</v>
      </c>
      <c r="Z3284" s="8">
        <v>20</v>
      </c>
      <c r="AA3284" s="8">
        <v>0</v>
      </c>
      <c r="AB3284" s="9">
        <v>0</v>
      </c>
    </row>
    <row r="3285" spans="1:28" x14ac:dyDescent="0.2">
      <c r="A3285" s="10">
        <v>28933</v>
      </c>
      <c r="B3285" s="11" t="s">
        <v>20735</v>
      </c>
      <c r="C3285" s="11" t="s">
        <v>17214</v>
      </c>
      <c r="D3285" s="11" t="s">
        <v>2871</v>
      </c>
      <c r="E3285" s="11"/>
      <c r="F3285" s="11" t="s">
        <v>746</v>
      </c>
      <c r="G3285" s="11" t="s">
        <v>328</v>
      </c>
      <c r="H3285" s="11" t="s">
        <v>329</v>
      </c>
      <c r="I3285" s="11" t="s">
        <v>17215</v>
      </c>
      <c r="J3285" s="11" t="s">
        <v>20736</v>
      </c>
      <c r="K3285" s="11" t="s">
        <v>415</v>
      </c>
      <c r="L3285" s="11" t="s">
        <v>333</v>
      </c>
      <c r="M3285" s="11" t="s">
        <v>20737</v>
      </c>
      <c r="N3285" s="11" t="s">
        <v>128</v>
      </c>
      <c r="O3285" s="11" t="s">
        <v>20738</v>
      </c>
      <c r="P3285" s="11" t="s">
        <v>20739</v>
      </c>
      <c r="Q3285" s="11" t="s">
        <v>740</v>
      </c>
      <c r="R3285" s="11"/>
      <c r="S3285" s="11" t="s">
        <v>17219</v>
      </c>
      <c r="T3285" s="11" t="s">
        <v>1745</v>
      </c>
      <c r="U3285" s="11" t="s">
        <v>134</v>
      </c>
      <c r="V3285" s="11" t="s">
        <v>740</v>
      </c>
      <c r="W3285" s="11" t="s">
        <v>1745</v>
      </c>
      <c r="X3285" s="11">
        <v>4</v>
      </c>
      <c r="Y3285" s="11" t="s">
        <v>12359</v>
      </c>
      <c r="Z3285" s="11">
        <v>20</v>
      </c>
      <c r="AA3285" s="11">
        <v>0</v>
      </c>
      <c r="AB3285" s="12">
        <v>0</v>
      </c>
    </row>
    <row r="3286" spans="1:28" x14ac:dyDescent="0.2">
      <c r="A3286" s="7">
        <v>111403</v>
      </c>
      <c r="B3286" s="8" t="s">
        <v>20740</v>
      </c>
      <c r="C3286" s="8" t="s">
        <v>1556</v>
      </c>
      <c r="D3286" s="8" t="s">
        <v>18693</v>
      </c>
      <c r="E3286" s="8"/>
      <c r="F3286" s="8" t="s">
        <v>353</v>
      </c>
      <c r="G3286" s="8" t="s">
        <v>1559</v>
      </c>
      <c r="H3286" s="8" t="s">
        <v>557</v>
      </c>
      <c r="I3286" s="8" t="s">
        <v>20741</v>
      </c>
      <c r="J3286" s="8" t="s">
        <v>20742</v>
      </c>
      <c r="K3286" s="8" t="s">
        <v>1562</v>
      </c>
      <c r="L3286" s="8" t="s">
        <v>229</v>
      </c>
      <c r="M3286" s="8" t="s">
        <v>20743</v>
      </c>
      <c r="N3286" s="8" t="s">
        <v>128</v>
      </c>
      <c r="O3286" s="8" t="s">
        <v>20744</v>
      </c>
      <c r="P3286" s="8"/>
      <c r="Q3286" s="8" t="s">
        <v>740</v>
      </c>
      <c r="R3286" s="8"/>
      <c r="S3286" s="8" t="s">
        <v>71</v>
      </c>
      <c r="T3286" s="8" t="s">
        <v>1745</v>
      </c>
      <c r="U3286" s="8" t="s">
        <v>134</v>
      </c>
      <c r="V3286" s="8" t="s">
        <v>740</v>
      </c>
      <c r="W3286" s="8" t="s">
        <v>1745</v>
      </c>
      <c r="X3286" s="8">
        <v>4</v>
      </c>
      <c r="Y3286" s="8" t="s">
        <v>12359</v>
      </c>
      <c r="Z3286" s="8">
        <v>20</v>
      </c>
      <c r="AA3286" s="8">
        <v>0</v>
      </c>
      <c r="AB3286" s="9">
        <v>0</v>
      </c>
    </row>
    <row r="3287" spans="1:28" x14ac:dyDescent="0.2">
      <c r="A3287" s="10">
        <v>31151</v>
      </c>
      <c r="B3287" s="11" t="s">
        <v>20745</v>
      </c>
      <c r="C3287" s="11" t="s">
        <v>20283</v>
      </c>
      <c r="D3287" s="11" t="s">
        <v>7458</v>
      </c>
      <c r="E3287" s="11" t="s">
        <v>1112</v>
      </c>
      <c r="F3287" s="11" t="s">
        <v>353</v>
      </c>
      <c r="G3287" s="11" t="s">
        <v>328</v>
      </c>
      <c r="H3287" s="11" t="s">
        <v>329</v>
      </c>
      <c r="I3287" s="11" t="s">
        <v>20284</v>
      </c>
      <c r="J3287" s="11" t="s">
        <v>20746</v>
      </c>
      <c r="K3287" s="11" t="s">
        <v>415</v>
      </c>
      <c r="L3287" s="11" t="s">
        <v>333</v>
      </c>
      <c r="M3287" s="11" t="s">
        <v>20747</v>
      </c>
      <c r="N3287" s="11" t="s">
        <v>128</v>
      </c>
      <c r="O3287" s="11" t="s">
        <v>20748</v>
      </c>
      <c r="P3287" s="11" t="s">
        <v>20749</v>
      </c>
      <c r="Q3287" s="11" t="s">
        <v>740</v>
      </c>
      <c r="R3287" s="11"/>
      <c r="S3287" s="11" t="s">
        <v>71</v>
      </c>
      <c r="T3287" s="11" t="s">
        <v>741</v>
      </c>
      <c r="U3287" s="11" t="s">
        <v>134</v>
      </c>
      <c r="V3287" s="11" t="s">
        <v>740</v>
      </c>
      <c r="W3287" s="11" t="s">
        <v>741</v>
      </c>
      <c r="X3287" s="11">
        <v>4</v>
      </c>
      <c r="Y3287" s="11" t="s">
        <v>12359</v>
      </c>
      <c r="Z3287" s="11">
        <v>20</v>
      </c>
      <c r="AA3287" s="11">
        <v>0</v>
      </c>
      <c r="AB3287" s="12">
        <v>0</v>
      </c>
    </row>
    <row r="3288" spans="1:28" x14ac:dyDescent="0.2">
      <c r="A3288" s="7">
        <v>25132</v>
      </c>
      <c r="B3288" s="8" t="s">
        <v>20750</v>
      </c>
      <c r="C3288" s="8" t="s">
        <v>20751</v>
      </c>
      <c r="D3288" s="8" t="s">
        <v>20752</v>
      </c>
      <c r="E3288" s="8" t="s">
        <v>20753</v>
      </c>
      <c r="F3288" s="8" t="s">
        <v>20754</v>
      </c>
      <c r="G3288" s="8" t="s">
        <v>615</v>
      </c>
      <c r="H3288" s="8" t="s">
        <v>616</v>
      </c>
      <c r="I3288" s="8" t="s">
        <v>20755</v>
      </c>
      <c r="J3288" s="8" t="s">
        <v>20756</v>
      </c>
      <c r="K3288" s="8" t="s">
        <v>619</v>
      </c>
      <c r="L3288" s="8" t="s">
        <v>163</v>
      </c>
      <c r="M3288" s="8" t="s">
        <v>20757</v>
      </c>
      <c r="N3288" s="8" t="s">
        <v>128</v>
      </c>
      <c r="O3288" s="8" t="s">
        <v>20758</v>
      </c>
      <c r="P3288" s="8" t="s">
        <v>20759</v>
      </c>
      <c r="Q3288" s="8" t="s">
        <v>740</v>
      </c>
      <c r="R3288" s="8"/>
      <c r="S3288" s="8" t="s">
        <v>20760</v>
      </c>
      <c r="T3288" s="8" t="s">
        <v>741</v>
      </c>
      <c r="U3288" s="8" t="s">
        <v>134</v>
      </c>
      <c r="V3288" s="8" t="s">
        <v>740</v>
      </c>
      <c r="W3288" s="8" t="s">
        <v>741</v>
      </c>
      <c r="X3288" s="8">
        <v>4</v>
      </c>
      <c r="Y3288" s="8" t="s">
        <v>12359</v>
      </c>
      <c r="Z3288" s="8">
        <v>20</v>
      </c>
      <c r="AA3288" s="8">
        <v>0</v>
      </c>
      <c r="AB3288" s="9">
        <v>0</v>
      </c>
    </row>
    <row r="3289" spans="1:28" x14ac:dyDescent="0.2">
      <c r="A3289" s="10">
        <v>21773</v>
      </c>
      <c r="B3289" s="11" t="s">
        <v>20761</v>
      </c>
      <c r="C3289" s="11" t="s">
        <v>17214</v>
      </c>
      <c r="D3289" s="11" t="s">
        <v>2871</v>
      </c>
      <c r="E3289" s="11" t="s">
        <v>20762</v>
      </c>
      <c r="F3289" s="11" t="s">
        <v>746</v>
      </c>
      <c r="G3289" s="11" t="s">
        <v>328</v>
      </c>
      <c r="H3289" s="11" t="s">
        <v>329</v>
      </c>
      <c r="I3289" s="11" t="s">
        <v>17215</v>
      </c>
      <c r="J3289" s="11" t="s">
        <v>17216</v>
      </c>
      <c r="K3289" s="11" t="s">
        <v>415</v>
      </c>
      <c r="L3289" s="11" t="s">
        <v>333</v>
      </c>
      <c r="M3289" s="11" t="s">
        <v>20763</v>
      </c>
      <c r="N3289" s="11" t="s">
        <v>128</v>
      </c>
      <c r="O3289" s="11" t="s">
        <v>20764</v>
      </c>
      <c r="P3289" s="11"/>
      <c r="Q3289" s="11" t="s">
        <v>249</v>
      </c>
      <c r="R3289" s="11"/>
      <c r="S3289" s="11" t="s">
        <v>17219</v>
      </c>
      <c r="T3289" s="11" t="s">
        <v>1523</v>
      </c>
      <c r="U3289" s="11" t="s">
        <v>134</v>
      </c>
      <c r="V3289" s="11" t="s">
        <v>249</v>
      </c>
      <c r="W3289" s="11" t="s">
        <v>1523</v>
      </c>
      <c r="X3289" s="11">
        <v>4</v>
      </c>
      <c r="Y3289" s="11" t="s">
        <v>12359</v>
      </c>
      <c r="Z3289" s="11">
        <v>20</v>
      </c>
      <c r="AA3289" s="11">
        <v>0</v>
      </c>
      <c r="AB3289" s="12">
        <v>0</v>
      </c>
    </row>
    <row r="3290" spans="1:28" x14ac:dyDescent="0.2">
      <c r="A3290" s="7">
        <v>124427</v>
      </c>
      <c r="B3290" s="8" t="s">
        <v>20765</v>
      </c>
      <c r="C3290" s="8" t="s">
        <v>17733</v>
      </c>
      <c r="D3290" s="8" t="s">
        <v>5404</v>
      </c>
      <c r="E3290" s="8" t="s">
        <v>8147</v>
      </c>
      <c r="F3290" s="8" t="s">
        <v>17734</v>
      </c>
      <c r="G3290" s="8" t="s">
        <v>328</v>
      </c>
      <c r="H3290" s="8" t="s">
        <v>329</v>
      </c>
      <c r="I3290" s="8" t="s">
        <v>18508</v>
      </c>
      <c r="J3290" s="8" t="s">
        <v>17736</v>
      </c>
      <c r="K3290" s="8" t="s">
        <v>415</v>
      </c>
      <c r="L3290" s="8" t="s">
        <v>333</v>
      </c>
      <c r="M3290" s="8" t="s">
        <v>20766</v>
      </c>
      <c r="N3290" s="8" t="s">
        <v>128</v>
      </c>
      <c r="O3290" s="8" t="s">
        <v>20767</v>
      </c>
      <c r="P3290" s="8"/>
      <c r="Q3290" s="8" t="s">
        <v>249</v>
      </c>
      <c r="R3290" s="8"/>
      <c r="S3290" s="8" t="s">
        <v>17739</v>
      </c>
      <c r="T3290" s="8" t="s">
        <v>1523</v>
      </c>
      <c r="U3290" s="8" t="s">
        <v>134</v>
      </c>
      <c r="V3290" s="8" t="s">
        <v>249</v>
      </c>
      <c r="W3290" s="8" t="s">
        <v>1523</v>
      </c>
      <c r="X3290" s="8">
        <v>4</v>
      </c>
      <c r="Y3290" s="8" t="s">
        <v>12359</v>
      </c>
      <c r="Z3290" s="8">
        <v>20</v>
      </c>
      <c r="AA3290" s="8">
        <v>0</v>
      </c>
      <c r="AB3290" s="9">
        <v>0</v>
      </c>
    </row>
    <row r="3291" spans="1:28" x14ac:dyDescent="0.2">
      <c r="A3291" s="10">
        <v>31451</v>
      </c>
      <c r="B3291" s="11" t="s">
        <v>20768</v>
      </c>
      <c r="C3291" s="11" t="s">
        <v>20769</v>
      </c>
      <c r="D3291" s="11" t="s">
        <v>12850</v>
      </c>
      <c r="E3291" s="11" t="s">
        <v>281</v>
      </c>
      <c r="F3291" s="11" t="s">
        <v>353</v>
      </c>
      <c r="G3291" s="11" t="s">
        <v>1794</v>
      </c>
      <c r="H3291" s="11" t="s">
        <v>142</v>
      </c>
      <c r="I3291" s="11"/>
      <c r="J3291" s="11" t="s">
        <v>20770</v>
      </c>
      <c r="K3291" s="11" t="s">
        <v>779</v>
      </c>
      <c r="L3291" s="11" t="s">
        <v>464</v>
      </c>
      <c r="M3291" s="11" t="s">
        <v>20771</v>
      </c>
      <c r="N3291" s="11" t="s">
        <v>128</v>
      </c>
      <c r="O3291" s="11" t="s">
        <v>20772</v>
      </c>
      <c r="P3291" s="11"/>
      <c r="Q3291" s="11" t="s">
        <v>249</v>
      </c>
      <c r="R3291" s="11"/>
      <c r="S3291" s="11" t="s">
        <v>71</v>
      </c>
      <c r="T3291" s="11" t="s">
        <v>1523</v>
      </c>
      <c r="U3291" s="11" t="s">
        <v>134</v>
      </c>
      <c r="V3291" s="11" t="s">
        <v>249</v>
      </c>
      <c r="W3291" s="11" t="s">
        <v>1523</v>
      </c>
      <c r="X3291" s="11">
        <v>4</v>
      </c>
      <c r="Y3291" s="11" t="s">
        <v>12359</v>
      </c>
      <c r="Z3291" s="11">
        <v>20</v>
      </c>
      <c r="AA3291" s="11">
        <v>0</v>
      </c>
      <c r="AB3291" s="12">
        <v>0</v>
      </c>
    </row>
    <row r="3292" spans="1:28" x14ac:dyDescent="0.2">
      <c r="A3292" s="7">
        <v>31574</v>
      </c>
      <c r="B3292" s="8" t="s">
        <v>20773</v>
      </c>
      <c r="C3292" s="8" t="s">
        <v>9295</v>
      </c>
      <c r="D3292" s="8" t="s">
        <v>2871</v>
      </c>
      <c r="E3292" s="8"/>
      <c r="F3292" s="8" t="s">
        <v>20774</v>
      </c>
      <c r="G3292" s="8" t="s">
        <v>469</v>
      </c>
      <c r="H3292" s="8" t="s">
        <v>142</v>
      </c>
      <c r="I3292" s="8" t="s">
        <v>9298</v>
      </c>
      <c r="J3292" s="8" t="s">
        <v>20775</v>
      </c>
      <c r="K3292" s="8" t="s">
        <v>472</v>
      </c>
      <c r="L3292" s="8" t="s">
        <v>146</v>
      </c>
      <c r="M3292" s="8" t="s">
        <v>20776</v>
      </c>
      <c r="N3292" s="8" t="s">
        <v>128</v>
      </c>
      <c r="O3292" s="8" t="s">
        <v>20777</v>
      </c>
      <c r="P3292" s="8"/>
      <c r="Q3292" s="8" t="s">
        <v>249</v>
      </c>
      <c r="R3292" s="8"/>
      <c r="S3292" s="8" t="s">
        <v>9303</v>
      </c>
      <c r="T3292" s="8" t="s">
        <v>1523</v>
      </c>
      <c r="U3292" s="8" t="s">
        <v>134</v>
      </c>
      <c r="V3292" s="8" t="s">
        <v>249</v>
      </c>
      <c r="W3292" s="8" t="s">
        <v>1523</v>
      </c>
      <c r="X3292" s="8">
        <v>4</v>
      </c>
      <c r="Y3292" s="8" t="s">
        <v>12359</v>
      </c>
      <c r="Z3292" s="8">
        <v>20</v>
      </c>
      <c r="AA3292" s="8">
        <v>0</v>
      </c>
      <c r="AB3292" s="9">
        <v>0</v>
      </c>
    </row>
    <row r="3293" spans="1:28" x14ac:dyDescent="0.2">
      <c r="A3293" s="10">
        <v>38059</v>
      </c>
      <c r="B3293" s="11" t="s">
        <v>20778</v>
      </c>
      <c r="C3293" s="11" t="s">
        <v>17214</v>
      </c>
      <c r="D3293" s="11" t="s">
        <v>2871</v>
      </c>
      <c r="E3293" s="11"/>
      <c r="F3293" s="11" t="s">
        <v>746</v>
      </c>
      <c r="G3293" s="11" t="s">
        <v>328</v>
      </c>
      <c r="H3293" s="11" t="s">
        <v>329</v>
      </c>
      <c r="I3293" s="11" t="s">
        <v>17215</v>
      </c>
      <c r="J3293" s="11" t="s">
        <v>20779</v>
      </c>
      <c r="K3293" s="11" t="s">
        <v>415</v>
      </c>
      <c r="L3293" s="11" t="s">
        <v>333</v>
      </c>
      <c r="M3293" s="11" t="s">
        <v>20780</v>
      </c>
      <c r="N3293" s="11" t="s">
        <v>128</v>
      </c>
      <c r="O3293" s="11" t="s">
        <v>20781</v>
      </c>
      <c r="P3293" s="11"/>
      <c r="Q3293" s="11" t="s">
        <v>249</v>
      </c>
      <c r="R3293" s="11"/>
      <c r="S3293" s="11" t="s">
        <v>17219</v>
      </c>
      <c r="T3293" s="11" t="s">
        <v>1523</v>
      </c>
      <c r="U3293" s="11" t="s">
        <v>134</v>
      </c>
      <c r="V3293" s="11" t="s">
        <v>249</v>
      </c>
      <c r="W3293" s="11" t="s">
        <v>1523</v>
      </c>
      <c r="X3293" s="11">
        <v>4</v>
      </c>
      <c r="Y3293" s="11" t="s">
        <v>12359</v>
      </c>
      <c r="Z3293" s="11">
        <v>20</v>
      </c>
      <c r="AA3293" s="11">
        <v>0</v>
      </c>
      <c r="AB3293" s="12">
        <v>0</v>
      </c>
    </row>
    <row r="3294" spans="1:28" x14ac:dyDescent="0.2">
      <c r="A3294" s="7">
        <v>31641</v>
      </c>
      <c r="B3294" s="8" t="s">
        <v>20782</v>
      </c>
      <c r="C3294" s="8" t="s">
        <v>8130</v>
      </c>
      <c r="D3294" s="8" t="s">
        <v>8016</v>
      </c>
      <c r="E3294" s="8"/>
      <c r="F3294" s="8"/>
      <c r="G3294" s="8" t="s">
        <v>3654</v>
      </c>
      <c r="H3294" s="8" t="s">
        <v>142</v>
      </c>
      <c r="I3294" s="8"/>
      <c r="J3294" s="8" t="s">
        <v>8258</v>
      </c>
      <c r="K3294" s="8" t="s">
        <v>1029</v>
      </c>
      <c r="L3294" s="8" t="s">
        <v>464</v>
      </c>
      <c r="M3294" s="8" t="s">
        <v>20783</v>
      </c>
      <c r="N3294" s="8" t="s">
        <v>128</v>
      </c>
      <c r="O3294" s="8" t="s">
        <v>20784</v>
      </c>
      <c r="P3294" s="8"/>
      <c r="Q3294" s="8" t="s">
        <v>249</v>
      </c>
      <c r="R3294" s="8"/>
      <c r="S3294" s="8" t="s">
        <v>71</v>
      </c>
      <c r="T3294" s="8" t="s">
        <v>1523</v>
      </c>
      <c r="U3294" s="8" t="s">
        <v>134</v>
      </c>
      <c r="V3294" s="8" t="s">
        <v>249</v>
      </c>
      <c r="W3294" s="8" t="s">
        <v>1523</v>
      </c>
      <c r="X3294" s="8">
        <v>4</v>
      </c>
      <c r="Y3294" s="8" t="s">
        <v>12359</v>
      </c>
      <c r="Z3294" s="8">
        <v>20</v>
      </c>
      <c r="AA3294" s="8">
        <v>0</v>
      </c>
      <c r="AB3294" s="9">
        <v>0</v>
      </c>
    </row>
    <row r="3295" spans="1:28" x14ac:dyDescent="0.2">
      <c r="A3295" s="10">
        <v>167263</v>
      </c>
      <c r="B3295" s="11" t="s">
        <v>20785</v>
      </c>
      <c r="C3295" s="11" t="s">
        <v>10837</v>
      </c>
      <c r="D3295" s="11" t="s">
        <v>9017</v>
      </c>
      <c r="E3295" s="11"/>
      <c r="F3295" s="11" t="s">
        <v>10839</v>
      </c>
      <c r="G3295" s="11" t="s">
        <v>328</v>
      </c>
      <c r="H3295" s="11" t="s">
        <v>329</v>
      </c>
      <c r="I3295" s="11" t="s">
        <v>20786</v>
      </c>
      <c r="J3295" s="11" t="s">
        <v>20787</v>
      </c>
      <c r="K3295" s="11" t="s">
        <v>572</v>
      </c>
      <c r="L3295" s="11" t="s">
        <v>333</v>
      </c>
      <c r="M3295" s="11" t="s">
        <v>20788</v>
      </c>
      <c r="N3295" s="11" t="s">
        <v>128</v>
      </c>
      <c r="O3295" s="11" t="s">
        <v>20789</v>
      </c>
      <c r="P3295" s="11"/>
      <c r="Q3295" s="11" t="s">
        <v>249</v>
      </c>
      <c r="R3295" s="11"/>
      <c r="S3295" s="11" t="s">
        <v>71</v>
      </c>
      <c r="T3295" s="11" t="s">
        <v>1523</v>
      </c>
      <c r="U3295" s="11" t="s">
        <v>134</v>
      </c>
      <c r="V3295" s="11" t="s">
        <v>249</v>
      </c>
      <c r="W3295" s="11" t="s">
        <v>1523</v>
      </c>
      <c r="X3295" s="11">
        <v>4</v>
      </c>
      <c r="Y3295" s="11" t="s">
        <v>12359</v>
      </c>
      <c r="Z3295" s="11">
        <v>20</v>
      </c>
      <c r="AA3295" s="11">
        <v>0</v>
      </c>
      <c r="AB3295" s="12">
        <v>0</v>
      </c>
    </row>
    <row r="3296" spans="1:28" x14ac:dyDescent="0.2">
      <c r="A3296" s="7">
        <v>31589</v>
      </c>
      <c r="B3296" s="8" t="s">
        <v>20790</v>
      </c>
      <c r="C3296" s="8" t="s">
        <v>3081</v>
      </c>
      <c r="D3296" s="8" t="s">
        <v>19558</v>
      </c>
      <c r="E3296" s="8"/>
      <c r="F3296" s="8"/>
      <c r="G3296" s="8" t="s">
        <v>11130</v>
      </c>
      <c r="H3296" s="8" t="s">
        <v>704</v>
      </c>
      <c r="I3296" s="8"/>
      <c r="J3296" s="8" t="s">
        <v>20791</v>
      </c>
      <c r="K3296" s="8" t="s">
        <v>850</v>
      </c>
      <c r="L3296" s="8" t="s">
        <v>126</v>
      </c>
      <c r="M3296" s="8" t="s">
        <v>20792</v>
      </c>
      <c r="N3296" s="8" t="s">
        <v>128</v>
      </c>
      <c r="O3296" s="8"/>
      <c r="P3296" s="8"/>
      <c r="Q3296" s="8" t="s">
        <v>249</v>
      </c>
      <c r="R3296" s="8"/>
      <c r="S3296" s="8" t="s">
        <v>71</v>
      </c>
      <c r="T3296" s="8" t="s">
        <v>1523</v>
      </c>
      <c r="U3296" s="8" t="s">
        <v>134</v>
      </c>
      <c r="V3296" s="8" t="s">
        <v>249</v>
      </c>
      <c r="W3296" s="8" t="s">
        <v>1523</v>
      </c>
      <c r="X3296" s="8">
        <v>4</v>
      </c>
      <c r="Y3296" s="8" t="s">
        <v>12359</v>
      </c>
      <c r="Z3296" s="8">
        <v>20</v>
      </c>
      <c r="AA3296" s="8">
        <v>0</v>
      </c>
      <c r="AB3296" s="9">
        <v>0</v>
      </c>
    </row>
    <row r="3297" spans="1:28" x14ac:dyDescent="0.2">
      <c r="A3297" s="10">
        <v>25481</v>
      </c>
      <c r="B3297" s="11" t="s">
        <v>20793</v>
      </c>
      <c r="C3297" s="11" t="s">
        <v>15751</v>
      </c>
      <c r="D3297" s="11" t="s">
        <v>15752</v>
      </c>
      <c r="E3297" s="11" t="s">
        <v>20794</v>
      </c>
      <c r="F3297" s="11" t="s">
        <v>353</v>
      </c>
      <c r="G3297" s="11" t="s">
        <v>846</v>
      </c>
      <c r="H3297" s="11" t="s">
        <v>847</v>
      </c>
      <c r="I3297" s="11" t="s">
        <v>20795</v>
      </c>
      <c r="J3297" s="11" t="s">
        <v>15755</v>
      </c>
      <c r="K3297" s="11" t="s">
        <v>850</v>
      </c>
      <c r="L3297" s="11" t="s">
        <v>126</v>
      </c>
      <c r="M3297" s="11" t="s">
        <v>20796</v>
      </c>
      <c r="N3297" s="11" t="s">
        <v>128</v>
      </c>
      <c r="O3297" s="11" t="s">
        <v>20797</v>
      </c>
      <c r="P3297" s="11" t="s">
        <v>20798</v>
      </c>
      <c r="Q3297" s="11" t="s">
        <v>249</v>
      </c>
      <c r="R3297" s="11"/>
      <c r="S3297" s="11" t="s">
        <v>15758</v>
      </c>
      <c r="T3297" s="11" t="s">
        <v>250</v>
      </c>
      <c r="U3297" s="11" t="s">
        <v>134</v>
      </c>
      <c r="V3297" s="11" t="s">
        <v>249</v>
      </c>
      <c r="W3297" s="11" t="s">
        <v>250</v>
      </c>
      <c r="X3297" s="11">
        <v>4</v>
      </c>
      <c r="Y3297" s="11" t="s">
        <v>12359</v>
      </c>
      <c r="Z3297" s="11">
        <v>20</v>
      </c>
      <c r="AA3297" s="11">
        <v>0</v>
      </c>
      <c r="AB3297" s="12">
        <v>0</v>
      </c>
    </row>
    <row r="3298" spans="1:28" x14ac:dyDescent="0.2">
      <c r="A3298" s="7">
        <v>218089</v>
      </c>
      <c r="B3298" s="8" t="s">
        <v>20799</v>
      </c>
      <c r="C3298" s="8" t="s">
        <v>20800</v>
      </c>
      <c r="D3298" s="8" t="s">
        <v>1073</v>
      </c>
      <c r="E3298" s="8"/>
      <c r="F3298" s="8" t="s">
        <v>630</v>
      </c>
      <c r="G3298" s="8" t="s">
        <v>141</v>
      </c>
      <c r="H3298" s="8" t="s">
        <v>142</v>
      </c>
      <c r="I3298" s="8" t="s">
        <v>20801</v>
      </c>
      <c r="J3298" s="8" t="s">
        <v>20802</v>
      </c>
      <c r="K3298" s="8" t="s">
        <v>991</v>
      </c>
      <c r="L3298" s="8" t="s">
        <v>146</v>
      </c>
      <c r="M3298" s="8" t="s">
        <v>20803</v>
      </c>
      <c r="N3298" s="8" t="s">
        <v>128</v>
      </c>
      <c r="O3298" s="8" t="s">
        <v>20804</v>
      </c>
      <c r="P3298" s="8" t="s">
        <v>20805</v>
      </c>
      <c r="Q3298" s="8" t="s">
        <v>249</v>
      </c>
      <c r="R3298" s="8"/>
      <c r="S3298" s="8" t="s">
        <v>71</v>
      </c>
      <c r="T3298" s="8" t="s">
        <v>250</v>
      </c>
      <c r="U3298" s="8" t="s">
        <v>134</v>
      </c>
      <c r="V3298" s="8" t="s">
        <v>249</v>
      </c>
      <c r="W3298" s="8" t="s">
        <v>250</v>
      </c>
      <c r="X3298" s="8">
        <v>4</v>
      </c>
      <c r="Y3298" s="8" t="s">
        <v>12359</v>
      </c>
      <c r="Z3298" s="8">
        <v>20</v>
      </c>
      <c r="AA3298" s="8">
        <v>0</v>
      </c>
      <c r="AB3298" s="9">
        <v>0</v>
      </c>
    </row>
    <row r="3299" spans="1:28" x14ac:dyDescent="0.2">
      <c r="A3299" s="10">
        <v>25644</v>
      </c>
      <c r="B3299" s="11" t="s">
        <v>20806</v>
      </c>
      <c r="C3299" s="11" t="s">
        <v>12038</v>
      </c>
      <c r="D3299" s="11" t="s">
        <v>12039</v>
      </c>
      <c r="E3299" s="11" t="s">
        <v>281</v>
      </c>
      <c r="F3299" s="11" t="s">
        <v>1207</v>
      </c>
      <c r="G3299" s="11" t="s">
        <v>615</v>
      </c>
      <c r="H3299" s="11" t="s">
        <v>616</v>
      </c>
      <c r="I3299" s="11" t="s">
        <v>12041</v>
      </c>
      <c r="J3299" s="11" t="s">
        <v>18146</v>
      </c>
      <c r="K3299" s="11" t="s">
        <v>619</v>
      </c>
      <c r="L3299" s="11" t="s">
        <v>163</v>
      </c>
      <c r="M3299" s="11" t="s">
        <v>20807</v>
      </c>
      <c r="N3299" s="11" t="s">
        <v>128</v>
      </c>
      <c r="O3299" s="11" t="s">
        <v>20808</v>
      </c>
      <c r="P3299" s="11"/>
      <c r="Q3299" s="11" t="s">
        <v>150</v>
      </c>
      <c r="R3299" s="11"/>
      <c r="S3299" s="11" t="s">
        <v>12046</v>
      </c>
      <c r="T3299" s="11" t="s">
        <v>20809</v>
      </c>
      <c r="U3299" s="11" t="s">
        <v>150</v>
      </c>
      <c r="V3299" s="11" t="s">
        <v>20809</v>
      </c>
      <c r="W3299" s="11" t="s">
        <v>20809</v>
      </c>
      <c r="X3299" s="11">
        <v>4</v>
      </c>
      <c r="Y3299" s="11" t="s">
        <v>12359</v>
      </c>
      <c r="Z3299" s="11">
        <v>20</v>
      </c>
      <c r="AA3299" s="11">
        <v>0</v>
      </c>
      <c r="AB3299" s="12">
        <v>0</v>
      </c>
    </row>
    <row r="3300" spans="1:28" x14ac:dyDescent="0.2">
      <c r="A3300" s="7">
        <v>25775</v>
      </c>
      <c r="B3300" s="8" t="s">
        <v>20810</v>
      </c>
      <c r="C3300" s="8" t="s">
        <v>20811</v>
      </c>
      <c r="D3300" s="8" t="s">
        <v>6053</v>
      </c>
      <c r="E3300" s="8"/>
      <c r="F3300" s="8" t="s">
        <v>353</v>
      </c>
      <c r="G3300" s="8" t="s">
        <v>5804</v>
      </c>
      <c r="H3300" s="8" t="s">
        <v>5805</v>
      </c>
      <c r="I3300" s="8" t="s">
        <v>20812</v>
      </c>
      <c r="J3300" s="8" t="s">
        <v>20813</v>
      </c>
      <c r="K3300" s="8" t="s">
        <v>274</v>
      </c>
      <c r="L3300" s="8" t="s">
        <v>163</v>
      </c>
      <c r="M3300" s="8" t="s">
        <v>20814</v>
      </c>
      <c r="N3300" s="8" t="s">
        <v>128</v>
      </c>
      <c r="O3300" s="8" t="s">
        <v>20815</v>
      </c>
      <c r="P3300" s="8"/>
      <c r="Q3300" s="8" t="s">
        <v>150</v>
      </c>
      <c r="R3300" s="8"/>
      <c r="S3300" s="8" t="s">
        <v>71</v>
      </c>
      <c r="T3300" s="8" t="s">
        <v>8111</v>
      </c>
      <c r="U3300" s="8" t="s">
        <v>150</v>
      </c>
      <c r="V3300" s="8" t="s">
        <v>8111</v>
      </c>
      <c r="W3300" s="8" t="s">
        <v>8111</v>
      </c>
      <c r="X3300" s="8">
        <v>3</v>
      </c>
      <c r="Y3300" s="8" t="s">
        <v>12359</v>
      </c>
      <c r="Z3300" s="8">
        <v>20</v>
      </c>
      <c r="AA3300" s="8">
        <v>0</v>
      </c>
      <c r="AB3300" s="9">
        <v>0</v>
      </c>
    </row>
    <row r="3301" spans="1:28" x14ac:dyDescent="0.2">
      <c r="A3301" s="10">
        <v>26115</v>
      </c>
      <c r="B3301" s="11" t="s">
        <v>20816</v>
      </c>
      <c r="C3301" s="11" t="s">
        <v>20817</v>
      </c>
      <c r="D3301" s="11" t="s">
        <v>448</v>
      </c>
      <c r="E3301" s="11"/>
      <c r="F3301" s="11" t="s">
        <v>20818</v>
      </c>
      <c r="G3301" s="11" t="s">
        <v>1196</v>
      </c>
      <c r="H3301" s="11" t="s">
        <v>142</v>
      </c>
      <c r="I3301" s="11" t="s">
        <v>20819</v>
      </c>
      <c r="J3301" s="11" t="s">
        <v>20820</v>
      </c>
      <c r="K3301" s="11" t="s">
        <v>1199</v>
      </c>
      <c r="L3301" s="11" t="s">
        <v>464</v>
      </c>
      <c r="M3301" s="11" t="s">
        <v>20821</v>
      </c>
      <c r="N3301" s="11" t="s">
        <v>128</v>
      </c>
      <c r="O3301" s="11" t="s">
        <v>20822</v>
      </c>
      <c r="P3301" s="11" t="s">
        <v>20823</v>
      </c>
      <c r="Q3301" s="11" t="s">
        <v>150</v>
      </c>
      <c r="R3301" s="11"/>
      <c r="S3301" s="11" t="s">
        <v>71</v>
      </c>
      <c r="T3301" s="11" t="s">
        <v>289</v>
      </c>
      <c r="U3301" s="11" t="s">
        <v>150</v>
      </c>
      <c r="V3301" s="11" t="s">
        <v>289</v>
      </c>
      <c r="W3301" s="11" t="s">
        <v>289</v>
      </c>
      <c r="X3301" s="11">
        <v>3</v>
      </c>
      <c r="Y3301" s="11" t="s">
        <v>12359</v>
      </c>
      <c r="Z3301" s="11">
        <v>20</v>
      </c>
      <c r="AA3301" s="11">
        <v>0</v>
      </c>
      <c r="AB3301" s="12">
        <v>0</v>
      </c>
    </row>
    <row r="3302" spans="1:28" x14ac:dyDescent="0.2">
      <c r="A3302" s="7">
        <v>21215</v>
      </c>
      <c r="B3302" s="8" t="s">
        <v>20824</v>
      </c>
      <c r="C3302" s="8" t="s">
        <v>11006</v>
      </c>
      <c r="D3302" s="8" t="s">
        <v>2871</v>
      </c>
      <c r="E3302" s="8"/>
      <c r="F3302" s="8" t="s">
        <v>20825</v>
      </c>
      <c r="G3302" s="8" t="s">
        <v>328</v>
      </c>
      <c r="H3302" s="8" t="s">
        <v>329</v>
      </c>
      <c r="I3302" s="8" t="s">
        <v>11009</v>
      </c>
      <c r="J3302" s="8" t="s">
        <v>20826</v>
      </c>
      <c r="K3302" s="8" t="s">
        <v>572</v>
      </c>
      <c r="L3302" s="8" t="s">
        <v>333</v>
      </c>
      <c r="M3302" s="8" t="s">
        <v>20827</v>
      </c>
      <c r="N3302" s="8" t="s">
        <v>128</v>
      </c>
      <c r="O3302" s="8"/>
      <c r="P3302" s="8" t="s">
        <v>20828</v>
      </c>
      <c r="Q3302" s="8" t="s">
        <v>150</v>
      </c>
      <c r="R3302" s="8"/>
      <c r="S3302" s="8" t="s">
        <v>11014</v>
      </c>
      <c r="T3302" s="8" t="s">
        <v>642</v>
      </c>
      <c r="U3302" s="8" t="s">
        <v>150</v>
      </c>
      <c r="V3302" s="8" t="s">
        <v>642</v>
      </c>
      <c r="W3302" s="8" t="s">
        <v>642</v>
      </c>
      <c r="X3302" s="8">
        <v>3</v>
      </c>
      <c r="Y3302" s="8" t="s">
        <v>12359</v>
      </c>
      <c r="Z3302" s="8">
        <v>20</v>
      </c>
      <c r="AA3302" s="8">
        <v>0</v>
      </c>
      <c r="AB3302" s="9">
        <v>0</v>
      </c>
    </row>
    <row r="3303" spans="1:28" x14ac:dyDescent="0.2">
      <c r="A3303" s="10">
        <v>21382</v>
      </c>
      <c r="B3303" s="11" t="s">
        <v>20829</v>
      </c>
      <c r="C3303" s="11" t="s">
        <v>20830</v>
      </c>
      <c r="D3303" s="11" t="s">
        <v>20831</v>
      </c>
      <c r="E3303" s="11" t="s">
        <v>20832</v>
      </c>
      <c r="F3303" s="11" t="s">
        <v>353</v>
      </c>
      <c r="G3303" s="11" t="s">
        <v>20833</v>
      </c>
      <c r="H3303" s="11" t="s">
        <v>557</v>
      </c>
      <c r="I3303" s="11" t="s">
        <v>20834</v>
      </c>
      <c r="J3303" s="11" t="s">
        <v>20835</v>
      </c>
      <c r="K3303" s="11" t="s">
        <v>1562</v>
      </c>
      <c r="L3303" s="11" t="s">
        <v>229</v>
      </c>
      <c r="M3303" s="11" t="s">
        <v>20836</v>
      </c>
      <c r="N3303" s="11" t="s">
        <v>128</v>
      </c>
      <c r="O3303" s="11" t="s">
        <v>20837</v>
      </c>
      <c r="P3303" s="11" t="s">
        <v>20838</v>
      </c>
      <c r="Q3303" s="11" t="s">
        <v>150</v>
      </c>
      <c r="R3303" s="11"/>
      <c r="S3303" s="11" t="s">
        <v>71</v>
      </c>
      <c r="T3303" s="11" t="s">
        <v>67</v>
      </c>
      <c r="U3303" s="11" t="s">
        <v>150</v>
      </c>
      <c r="V3303" s="11" t="s">
        <v>152</v>
      </c>
      <c r="W3303" s="11" t="s">
        <v>67</v>
      </c>
      <c r="X3303" s="11">
        <v>3</v>
      </c>
      <c r="Y3303" s="11" t="s">
        <v>12359</v>
      </c>
      <c r="Z3303" s="11">
        <v>20</v>
      </c>
      <c r="AA3303" s="11">
        <v>0</v>
      </c>
      <c r="AB3303" s="12">
        <v>0</v>
      </c>
    </row>
    <row r="3304" spans="1:28" x14ac:dyDescent="0.2">
      <c r="A3304" s="7">
        <v>21721</v>
      </c>
      <c r="B3304" s="8" t="s">
        <v>20839</v>
      </c>
      <c r="C3304" s="8" t="s">
        <v>2300</v>
      </c>
      <c r="D3304" s="8" t="s">
        <v>14067</v>
      </c>
      <c r="E3304" s="8" t="s">
        <v>20840</v>
      </c>
      <c r="F3304" s="8" t="s">
        <v>353</v>
      </c>
      <c r="G3304" s="8" t="s">
        <v>19946</v>
      </c>
      <c r="H3304" s="8" t="s">
        <v>142</v>
      </c>
      <c r="I3304" s="8" t="s">
        <v>19947</v>
      </c>
      <c r="J3304" s="8" t="s">
        <v>20841</v>
      </c>
      <c r="K3304" s="8" t="s">
        <v>1673</v>
      </c>
      <c r="L3304" s="8" t="s">
        <v>464</v>
      </c>
      <c r="M3304" s="8" t="s">
        <v>20842</v>
      </c>
      <c r="N3304" s="8" t="s">
        <v>128</v>
      </c>
      <c r="O3304" s="8" t="s">
        <v>20843</v>
      </c>
      <c r="P3304" s="8" t="s">
        <v>11777</v>
      </c>
      <c r="Q3304" s="8" t="s">
        <v>150</v>
      </c>
      <c r="R3304" s="8"/>
      <c r="S3304" s="8" t="s">
        <v>71</v>
      </c>
      <c r="T3304" s="8" t="s">
        <v>67</v>
      </c>
      <c r="U3304" s="8" t="s">
        <v>150</v>
      </c>
      <c r="V3304" s="8" t="s">
        <v>152</v>
      </c>
      <c r="W3304" s="8" t="s">
        <v>67</v>
      </c>
      <c r="X3304" s="8">
        <v>3</v>
      </c>
      <c r="Y3304" s="8" t="s">
        <v>12359</v>
      </c>
      <c r="Z3304" s="8">
        <v>20</v>
      </c>
      <c r="AA3304" s="8">
        <v>0</v>
      </c>
      <c r="AB3304" s="9">
        <v>0</v>
      </c>
    </row>
    <row r="3305" spans="1:28" x14ac:dyDescent="0.2">
      <c r="A3305" s="10">
        <v>21561</v>
      </c>
      <c r="B3305" s="11" t="s">
        <v>20844</v>
      </c>
      <c r="C3305" s="11" t="s">
        <v>409</v>
      </c>
      <c r="D3305" s="11" t="s">
        <v>20845</v>
      </c>
      <c r="E3305" s="11"/>
      <c r="F3305" s="11" t="s">
        <v>353</v>
      </c>
      <c r="G3305" s="11" t="s">
        <v>2035</v>
      </c>
      <c r="H3305" s="11" t="s">
        <v>142</v>
      </c>
      <c r="I3305" s="11" t="s">
        <v>20846</v>
      </c>
      <c r="J3305" s="11" t="s">
        <v>20847</v>
      </c>
      <c r="K3305" s="11" t="s">
        <v>779</v>
      </c>
      <c r="L3305" s="11" t="s">
        <v>464</v>
      </c>
      <c r="M3305" s="11" t="s">
        <v>20848</v>
      </c>
      <c r="N3305" s="11" t="s">
        <v>128</v>
      </c>
      <c r="O3305" s="11" t="s">
        <v>20849</v>
      </c>
      <c r="P3305" s="11" t="s">
        <v>2467</v>
      </c>
      <c r="Q3305" s="11" t="s">
        <v>150</v>
      </c>
      <c r="R3305" s="11"/>
      <c r="S3305" s="11" t="s">
        <v>71</v>
      </c>
      <c r="T3305" s="11" t="s">
        <v>67</v>
      </c>
      <c r="U3305" s="11" t="s">
        <v>150</v>
      </c>
      <c r="V3305" s="11" t="s">
        <v>152</v>
      </c>
      <c r="W3305" s="11" t="s">
        <v>67</v>
      </c>
      <c r="X3305" s="11">
        <v>3</v>
      </c>
      <c r="Y3305" s="11" t="s">
        <v>12359</v>
      </c>
      <c r="Z3305" s="11">
        <v>20</v>
      </c>
      <c r="AA3305" s="11">
        <v>0</v>
      </c>
      <c r="AB3305" s="12">
        <v>0</v>
      </c>
    </row>
    <row r="3306" spans="1:28" x14ac:dyDescent="0.2">
      <c r="A3306" s="7">
        <v>21713</v>
      </c>
      <c r="B3306" s="8" t="s">
        <v>20850</v>
      </c>
      <c r="C3306" s="8" t="s">
        <v>16185</v>
      </c>
      <c r="D3306" s="8" t="s">
        <v>20851</v>
      </c>
      <c r="E3306" s="8"/>
      <c r="F3306" s="8" t="s">
        <v>353</v>
      </c>
      <c r="G3306" s="8" t="s">
        <v>20852</v>
      </c>
      <c r="H3306" s="8" t="s">
        <v>142</v>
      </c>
      <c r="I3306" s="8" t="s">
        <v>20853</v>
      </c>
      <c r="J3306" s="8" t="s">
        <v>20854</v>
      </c>
      <c r="K3306" s="8" t="s">
        <v>1199</v>
      </c>
      <c r="L3306" s="8" t="s">
        <v>464</v>
      </c>
      <c r="M3306" s="8" t="s">
        <v>20855</v>
      </c>
      <c r="N3306" s="8" t="s">
        <v>128</v>
      </c>
      <c r="O3306" s="8" t="s">
        <v>20856</v>
      </c>
      <c r="P3306" s="8" t="s">
        <v>20857</v>
      </c>
      <c r="Q3306" s="8" t="s">
        <v>150</v>
      </c>
      <c r="R3306" s="8"/>
      <c r="S3306" s="8" t="s">
        <v>71</v>
      </c>
      <c r="T3306" s="8" t="s">
        <v>67</v>
      </c>
      <c r="U3306" s="8" t="s">
        <v>150</v>
      </c>
      <c r="V3306" s="8" t="s">
        <v>152</v>
      </c>
      <c r="W3306" s="8" t="s">
        <v>67</v>
      </c>
      <c r="X3306" s="8">
        <v>3</v>
      </c>
      <c r="Y3306" s="8" t="s">
        <v>12359</v>
      </c>
      <c r="Z3306" s="8">
        <v>20</v>
      </c>
      <c r="AA3306" s="8">
        <v>0</v>
      </c>
      <c r="AB3306" s="9">
        <v>0</v>
      </c>
    </row>
    <row r="3307" spans="1:28" x14ac:dyDescent="0.2">
      <c r="A3307" s="10">
        <v>26347</v>
      </c>
      <c r="B3307" s="11" t="s">
        <v>20858</v>
      </c>
      <c r="C3307" s="11" t="s">
        <v>20859</v>
      </c>
      <c r="D3307" s="11" t="s">
        <v>3854</v>
      </c>
      <c r="E3307" s="11"/>
      <c r="F3307" s="11" t="s">
        <v>353</v>
      </c>
      <c r="G3307" s="11" t="s">
        <v>20860</v>
      </c>
      <c r="H3307" s="11" t="s">
        <v>557</v>
      </c>
      <c r="I3307" s="11" t="s">
        <v>20861</v>
      </c>
      <c r="J3307" s="11" t="s">
        <v>20862</v>
      </c>
      <c r="K3307" s="11" t="s">
        <v>560</v>
      </c>
      <c r="L3307" s="11" t="s">
        <v>229</v>
      </c>
      <c r="M3307" s="11" t="s">
        <v>20863</v>
      </c>
      <c r="N3307" s="11" t="s">
        <v>128</v>
      </c>
      <c r="O3307" s="11"/>
      <c r="P3307" s="11" t="s">
        <v>20864</v>
      </c>
      <c r="Q3307" s="11" t="s">
        <v>150</v>
      </c>
      <c r="R3307" s="11"/>
      <c r="S3307" s="11" t="s">
        <v>71</v>
      </c>
      <c r="T3307" s="11" t="s">
        <v>67</v>
      </c>
      <c r="U3307" s="11" t="s">
        <v>150</v>
      </c>
      <c r="V3307" s="11" t="s">
        <v>152</v>
      </c>
      <c r="W3307" s="11" t="s">
        <v>67</v>
      </c>
      <c r="X3307" s="11">
        <v>3</v>
      </c>
      <c r="Y3307" s="11" t="s">
        <v>12359</v>
      </c>
      <c r="Z3307" s="11">
        <v>20</v>
      </c>
      <c r="AA3307" s="11">
        <v>0</v>
      </c>
      <c r="AB3307" s="12">
        <v>0</v>
      </c>
    </row>
    <row r="3308" spans="1:28" x14ac:dyDescent="0.2">
      <c r="A3308" s="7">
        <v>92248</v>
      </c>
      <c r="B3308" s="8" t="s">
        <v>20865</v>
      </c>
      <c r="C3308" s="8" t="s">
        <v>20866</v>
      </c>
      <c r="D3308" s="8" t="s">
        <v>15127</v>
      </c>
      <c r="E3308" s="8"/>
      <c r="F3308" s="8" t="s">
        <v>353</v>
      </c>
      <c r="G3308" s="8" t="s">
        <v>20867</v>
      </c>
      <c r="H3308" s="8" t="s">
        <v>142</v>
      </c>
      <c r="I3308" s="8" t="s">
        <v>20868</v>
      </c>
      <c r="J3308" s="8" t="s">
        <v>20869</v>
      </c>
      <c r="K3308" s="8" t="s">
        <v>1673</v>
      </c>
      <c r="L3308" s="8" t="s">
        <v>464</v>
      </c>
      <c r="M3308" s="8" t="s">
        <v>20870</v>
      </c>
      <c r="N3308" s="8" t="s">
        <v>128</v>
      </c>
      <c r="O3308" s="8" t="s">
        <v>20871</v>
      </c>
      <c r="P3308" s="8" t="s">
        <v>20872</v>
      </c>
      <c r="Q3308" s="8" t="s">
        <v>150</v>
      </c>
      <c r="R3308" s="8"/>
      <c r="S3308" s="8" t="s">
        <v>71</v>
      </c>
      <c r="T3308" s="8" t="s">
        <v>67</v>
      </c>
      <c r="U3308" s="8" t="s">
        <v>150</v>
      </c>
      <c r="V3308" s="8" t="s">
        <v>152</v>
      </c>
      <c r="W3308" s="8" t="s">
        <v>67</v>
      </c>
      <c r="X3308" s="8">
        <v>3</v>
      </c>
      <c r="Y3308" s="8" t="s">
        <v>12359</v>
      </c>
      <c r="Z3308" s="8">
        <v>20</v>
      </c>
      <c r="AA3308" s="8">
        <v>0</v>
      </c>
      <c r="AB3308" s="9">
        <v>0</v>
      </c>
    </row>
    <row r="3309" spans="1:28" x14ac:dyDescent="0.2">
      <c r="A3309" s="10">
        <v>92265</v>
      </c>
      <c r="B3309" s="11" t="s">
        <v>20873</v>
      </c>
      <c r="C3309" s="11" t="s">
        <v>20874</v>
      </c>
      <c r="D3309" s="11" t="s">
        <v>1999</v>
      </c>
      <c r="E3309" s="11"/>
      <c r="F3309" s="11" t="s">
        <v>353</v>
      </c>
      <c r="G3309" s="11" t="s">
        <v>20875</v>
      </c>
      <c r="H3309" s="11" t="s">
        <v>142</v>
      </c>
      <c r="I3309" s="11" t="s">
        <v>20876</v>
      </c>
      <c r="J3309" s="11" t="s">
        <v>20877</v>
      </c>
      <c r="K3309" s="11" t="s">
        <v>1199</v>
      </c>
      <c r="L3309" s="11" t="s">
        <v>464</v>
      </c>
      <c r="M3309" s="11" t="s">
        <v>20878</v>
      </c>
      <c r="N3309" s="11" t="s">
        <v>128</v>
      </c>
      <c r="O3309" s="11" t="s">
        <v>20879</v>
      </c>
      <c r="P3309" s="11" t="s">
        <v>20880</v>
      </c>
      <c r="Q3309" s="11" t="s">
        <v>150</v>
      </c>
      <c r="R3309" s="11"/>
      <c r="S3309" s="11" t="s">
        <v>71</v>
      </c>
      <c r="T3309" s="11" t="s">
        <v>67</v>
      </c>
      <c r="U3309" s="11" t="s">
        <v>150</v>
      </c>
      <c r="V3309" s="11" t="s">
        <v>152</v>
      </c>
      <c r="W3309" s="11" t="s">
        <v>67</v>
      </c>
      <c r="X3309" s="11">
        <v>3</v>
      </c>
      <c r="Y3309" s="11" t="s">
        <v>12359</v>
      </c>
      <c r="Z3309" s="11">
        <v>20</v>
      </c>
      <c r="AA3309" s="11">
        <v>0</v>
      </c>
      <c r="AB3309" s="12">
        <v>0</v>
      </c>
    </row>
    <row r="3310" spans="1:28" x14ac:dyDescent="0.2">
      <c r="A3310" s="7">
        <v>93295</v>
      </c>
      <c r="B3310" s="8" t="s">
        <v>20881</v>
      </c>
      <c r="C3310" s="8" t="s">
        <v>3769</v>
      </c>
      <c r="D3310" s="8" t="s">
        <v>16748</v>
      </c>
      <c r="E3310" s="8"/>
      <c r="F3310" s="8" t="s">
        <v>353</v>
      </c>
      <c r="G3310" s="8" t="s">
        <v>19970</v>
      </c>
      <c r="H3310" s="8" t="s">
        <v>142</v>
      </c>
      <c r="I3310" s="8" t="s">
        <v>19971</v>
      </c>
      <c r="J3310" s="8" t="s">
        <v>20882</v>
      </c>
      <c r="K3310" s="8" t="s">
        <v>1199</v>
      </c>
      <c r="L3310" s="8" t="s">
        <v>464</v>
      </c>
      <c r="M3310" s="8" t="s">
        <v>20883</v>
      </c>
      <c r="N3310" s="8" t="s">
        <v>128</v>
      </c>
      <c r="O3310" s="8" t="s">
        <v>20884</v>
      </c>
      <c r="P3310" s="8" t="s">
        <v>20885</v>
      </c>
      <c r="Q3310" s="8" t="s">
        <v>150</v>
      </c>
      <c r="R3310" s="8"/>
      <c r="S3310" s="8" t="s">
        <v>71</v>
      </c>
      <c r="T3310" s="8" t="s">
        <v>67</v>
      </c>
      <c r="U3310" s="8" t="s">
        <v>150</v>
      </c>
      <c r="V3310" s="8" t="s">
        <v>152</v>
      </c>
      <c r="W3310" s="8" t="s">
        <v>67</v>
      </c>
      <c r="X3310" s="8">
        <v>3</v>
      </c>
      <c r="Y3310" s="8" t="s">
        <v>12359</v>
      </c>
      <c r="Z3310" s="8">
        <v>20</v>
      </c>
      <c r="AA3310" s="8">
        <v>0</v>
      </c>
      <c r="AB3310" s="9">
        <v>0</v>
      </c>
    </row>
    <row r="3311" spans="1:28" x14ac:dyDescent="0.2">
      <c r="A3311" s="10">
        <v>105813</v>
      </c>
      <c r="B3311" s="11" t="s">
        <v>20886</v>
      </c>
      <c r="C3311" s="11" t="s">
        <v>20887</v>
      </c>
      <c r="D3311" s="11" t="s">
        <v>4880</v>
      </c>
      <c r="E3311" s="11"/>
      <c r="F3311" s="11" t="s">
        <v>353</v>
      </c>
      <c r="G3311" s="11" t="s">
        <v>20888</v>
      </c>
      <c r="H3311" s="11" t="s">
        <v>557</v>
      </c>
      <c r="I3311" s="11" t="s">
        <v>20889</v>
      </c>
      <c r="J3311" s="11" t="s">
        <v>20890</v>
      </c>
      <c r="K3311" s="11" t="s">
        <v>560</v>
      </c>
      <c r="L3311" s="11" t="s">
        <v>229</v>
      </c>
      <c r="M3311" s="11" t="s">
        <v>20891</v>
      </c>
      <c r="N3311" s="11" t="s">
        <v>128</v>
      </c>
      <c r="O3311" s="11" t="s">
        <v>20892</v>
      </c>
      <c r="P3311" s="11" t="s">
        <v>9460</v>
      </c>
      <c r="Q3311" s="11" t="s">
        <v>150</v>
      </c>
      <c r="R3311" s="11"/>
      <c r="S3311" s="11" t="s">
        <v>71</v>
      </c>
      <c r="T3311" s="11" t="s">
        <v>67</v>
      </c>
      <c r="U3311" s="11" t="s">
        <v>150</v>
      </c>
      <c r="V3311" s="11" t="s">
        <v>152</v>
      </c>
      <c r="W3311" s="11" t="s">
        <v>67</v>
      </c>
      <c r="X3311" s="11">
        <v>3</v>
      </c>
      <c r="Y3311" s="11" t="s">
        <v>12359</v>
      </c>
      <c r="Z3311" s="11">
        <v>20</v>
      </c>
      <c r="AA3311" s="11">
        <v>0</v>
      </c>
      <c r="AB3311" s="12">
        <v>0</v>
      </c>
    </row>
    <row r="3312" spans="1:28" x14ac:dyDescent="0.2">
      <c r="A3312" s="7">
        <v>235535</v>
      </c>
      <c r="B3312" s="8" t="s">
        <v>20893</v>
      </c>
      <c r="C3312" s="8" t="s">
        <v>1556</v>
      </c>
      <c r="D3312" s="8" t="s">
        <v>9100</v>
      </c>
      <c r="E3312" s="8"/>
      <c r="F3312" s="8" t="s">
        <v>353</v>
      </c>
      <c r="G3312" s="8" t="s">
        <v>10952</v>
      </c>
      <c r="H3312" s="8" t="s">
        <v>1843</v>
      </c>
      <c r="I3312" s="8" t="s">
        <v>20580</v>
      </c>
      <c r="J3312" s="8" t="s">
        <v>20894</v>
      </c>
      <c r="K3312" s="8" t="s">
        <v>1562</v>
      </c>
      <c r="L3312" s="8" t="s">
        <v>229</v>
      </c>
      <c r="M3312" s="8" t="s">
        <v>20895</v>
      </c>
      <c r="N3312" s="8" t="s">
        <v>128</v>
      </c>
      <c r="O3312" s="8" t="s">
        <v>20896</v>
      </c>
      <c r="P3312" s="8" t="s">
        <v>1686</v>
      </c>
      <c r="Q3312" s="8" t="s">
        <v>150</v>
      </c>
      <c r="R3312" s="8"/>
      <c r="S3312" s="8" t="s">
        <v>71</v>
      </c>
      <c r="T3312" s="8" t="s">
        <v>67</v>
      </c>
      <c r="U3312" s="8" t="s">
        <v>150</v>
      </c>
      <c r="V3312" s="8" t="s">
        <v>152</v>
      </c>
      <c r="W3312" s="8" t="s">
        <v>67</v>
      </c>
      <c r="X3312" s="8">
        <v>3</v>
      </c>
      <c r="Y3312" s="8" t="s">
        <v>12359</v>
      </c>
      <c r="Z3312" s="8">
        <v>20</v>
      </c>
      <c r="AA3312" s="8">
        <v>0</v>
      </c>
      <c r="AB3312" s="9">
        <v>0</v>
      </c>
    </row>
    <row r="3313" spans="1:28" x14ac:dyDescent="0.2">
      <c r="A3313" s="10">
        <v>85074</v>
      </c>
      <c r="B3313" s="11" t="s">
        <v>20897</v>
      </c>
      <c r="C3313" s="11" t="s">
        <v>1576</v>
      </c>
      <c r="D3313" s="11" t="s">
        <v>20898</v>
      </c>
      <c r="E3313" s="11"/>
      <c r="F3313" s="11" t="s">
        <v>6430</v>
      </c>
      <c r="G3313" s="11" t="s">
        <v>20899</v>
      </c>
      <c r="H3313" s="11" t="s">
        <v>142</v>
      </c>
      <c r="I3313" s="11" t="s">
        <v>20900</v>
      </c>
      <c r="J3313" s="11" t="s">
        <v>20901</v>
      </c>
      <c r="K3313" s="11" t="s">
        <v>1199</v>
      </c>
      <c r="L3313" s="11" t="s">
        <v>464</v>
      </c>
      <c r="M3313" s="11" t="s">
        <v>20902</v>
      </c>
      <c r="N3313" s="11" t="s">
        <v>128</v>
      </c>
      <c r="O3313" s="11" t="s">
        <v>20903</v>
      </c>
      <c r="P3313" s="11" t="s">
        <v>17630</v>
      </c>
      <c r="Q3313" s="11" t="s">
        <v>150</v>
      </c>
      <c r="R3313" s="11"/>
      <c r="S3313" s="11" t="s">
        <v>71</v>
      </c>
      <c r="T3313" s="11" t="s">
        <v>67</v>
      </c>
      <c r="U3313" s="11" t="s">
        <v>150</v>
      </c>
      <c r="V3313" s="11" t="s">
        <v>152</v>
      </c>
      <c r="W3313" s="11" t="s">
        <v>67</v>
      </c>
      <c r="X3313" s="11">
        <v>3</v>
      </c>
      <c r="Y3313" s="11" t="s">
        <v>12359</v>
      </c>
      <c r="Z3313" s="11">
        <v>20</v>
      </c>
      <c r="AA3313" s="11">
        <v>0</v>
      </c>
      <c r="AB3313" s="12">
        <v>0</v>
      </c>
    </row>
    <row r="3314" spans="1:28" x14ac:dyDescent="0.2">
      <c r="A3314" s="7">
        <v>85094</v>
      </c>
      <c r="B3314" s="8" t="s">
        <v>20904</v>
      </c>
      <c r="C3314" s="8" t="s">
        <v>20905</v>
      </c>
      <c r="D3314" s="8" t="s">
        <v>20906</v>
      </c>
      <c r="E3314" s="8"/>
      <c r="F3314" s="8" t="s">
        <v>6430</v>
      </c>
      <c r="G3314" s="8" t="s">
        <v>20907</v>
      </c>
      <c r="H3314" s="8" t="s">
        <v>142</v>
      </c>
      <c r="I3314" s="8" t="s">
        <v>20908</v>
      </c>
      <c r="J3314" s="8" t="s">
        <v>20909</v>
      </c>
      <c r="K3314" s="8" t="s">
        <v>1673</v>
      </c>
      <c r="L3314" s="8" t="s">
        <v>464</v>
      </c>
      <c r="M3314" s="8" t="s">
        <v>20910</v>
      </c>
      <c r="N3314" s="8" t="s">
        <v>128</v>
      </c>
      <c r="O3314" s="8" t="s">
        <v>20911</v>
      </c>
      <c r="P3314" s="8" t="s">
        <v>20912</v>
      </c>
      <c r="Q3314" s="8" t="s">
        <v>150</v>
      </c>
      <c r="R3314" s="8"/>
      <c r="S3314" s="8" t="s">
        <v>71</v>
      </c>
      <c r="T3314" s="8" t="s">
        <v>67</v>
      </c>
      <c r="U3314" s="8" t="s">
        <v>150</v>
      </c>
      <c r="V3314" s="8" t="s">
        <v>152</v>
      </c>
      <c r="W3314" s="8" t="s">
        <v>67</v>
      </c>
      <c r="X3314" s="8">
        <v>3</v>
      </c>
      <c r="Y3314" s="8" t="s">
        <v>12359</v>
      </c>
      <c r="Z3314" s="8">
        <v>20</v>
      </c>
      <c r="AA3314" s="8">
        <v>0</v>
      </c>
      <c r="AB3314" s="9">
        <v>0</v>
      </c>
    </row>
    <row r="3315" spans="1:28" x14ac:dyDescent="0.2">
      <c r="A3315" s="10">
        <v>85148</v>
      </c>
      <c r="B3315" s="11" t="s">
        <v>20913</v>
      </c>
      <c r="C3315" s="11" t="s">
        <v>20914</v>
      </c>
      <c r="D3315" s="11" t="s">
        <v>12867</v>
      </c>
      <c r="E3315" s="11"/>
      <c r="F3315" s="11" t="s">
        <v>6430</v>
      </c>
      <c r="G3315" s="11" t="s">
        <v>20915</v>
      </c>
      <c r="H3315" s="11" t="s">
        <v>142</v>
      </c>
      <c r="I3315" s="11" t="s">
        <v>20916</v>
      </c>
      <c r="J3315" s="11" t="s">
        <v>20917</v>
      </c>
      <c r="K3315" s="11" t="s">
        <v>1199</v>
      </c>
      <c r="L3315" s="11" t="s">
        <v>464</v>
      </c>
      <c r="M3315" s="11" t="s">
        <v>20918</v>
      </c>
      <c r="N3315" s="11" t="s">
        <v>128</v>
      </c>
      <c r="O3315" s="11" t="s">
        <v>20919</v>
      </c>
      <c r="P3315" s="11" t="s">
        <v>20920</v>
      </c>
      <c r="Q3315" s="11" t="s">
        <v>150</v>
      </c>
      <c r="R3315" s="11"/>
      <c r="S3315" s="11" t="s">
        <v>71</v>
      </c>
      <c r="T3315" s="11" t="s">
        <v>67</v>
      </c>
      <c r="U3315" s="11" t="s">
        <v>150</v>
      </c>
      <c r="V3315" s="11" t="s">
        <v>152</v>
      </c>
      <c r="W3315" s="11" t="s">
        <v>67</v>
      </c>
      <c r="X3315" s="11">
        <v>3</v>
      </c>
      <c r="Y3315" s="11" t="s">
        <v>12359</v>
      </c>
      <c r="Z3315" s="11">
        <v>20</v>
      </c>
      <c r="AA3315" s="11">
        <v>0</v>
      </c>
      <c r="AB3315" s="12">
        <v>0</v>
      </c>
    </row>
    <row r="3316" spans="1:28" x14ac:dyDescent="0.2">
      <c r="A3316" s="7">
        <v>125697</v>
      </c>
      <c r="B3316" s="8" t="s">
        <v>20921</v>
      </c>
      <c r="C3316" s="8" t="s">
        <v>12295</v>
      </c>
      <c r="D3316" s="8" t="s">
        <v>1676</v>
      </c>
      <c r="E3316" s="8"/>
      <c r="F3316" s="8" t="s">
        <v>20922</v>
      </c>
      <c r="G3316" s="8" t="s">
        <v>12297</v>
      </c>
      <c r="H3316" s="8" t="s">
        <v>2511</v>
      </c>
      <c r="I3316" s="8" t="s">
        <v>20923</v>
      </c>
      <c r="J3316" s="8" t="s">
        <v>20924</v>
      </c>
      <c r="K3316" s="8" t="s">
        <v>1562</v>
      </c>
      <c r="L3316" s="8" t="s">
        <v>229</v>
      </c>
      <c r="M3316" s="8" t="s">
        <v>20925</v>
      </c>
      <c r="N3316" s="8" t="s">
        <v>128</v>
      </c>
      <c r="O3316" s="8" t="s">
        <v>20926</v>
      </c>
      <c r="P3316" s="8" t="s">
        <v>20927</v>
      </c>
      <c r="Q3316" s="8" t="s">
        <v>150</v>
      </c>
      <c r="R3316" s="8"/>
      <c r="S3316" s="8" t="s">
        <v>71</v>
      </c>
      <c r="T3316" s="8" t="s">
        <v>67</v>
      </c>
      <c r="U3316" s="8" t="s">
        <v>150</v>
      </c>
      <c r="V3316" s="8" t="s">
        <v>152</v>
      </c>
      <c r="W3316" s="8" t="s">
        <v>67</v>
      </c>
      <c r="X3316" s="8">
        <v>3</v>
      </c>
      <c r="Y3316" s="8" t="s">
        <v>12359</v>
      </c>
      <c r="Z3316" s="8">
        <v>20</v>
      </c>
      <c r="AA3316" s="8">
        <v>0</v>
      </c>
      <c r="AB3316" s="9">
        <v>0</v>
      </c>
    </row>
    <row r="3317" spans="1:28" x14ac:dyDescent="0.2">
      <c r="A3317" s="10">
        <v>214658</v>
      </c>
      <c r="B3317" s="11" t="s">
        <v>20928</v>
      </c>
      <c r="C3317" s="11" t="s">
        <v>409</v>
      </c>
      <c r="D3317" s="11" t="s">
        <v>6540</v>
      </c>
      <c r="E3317" s="11"/>
      <c r="F3317" s="11" t="s">
        <v>12792</v>
      </c>
      <c r="G3317" s="11" t="s">
        <v>1952</v>
      </c>
      <c r="H3317" s="11" t="s">
        <v>1953</v>
      </c>
      <c r="I3317" s="11" t="s">
        <v>12793</v>
      </c>
      <c r="J3317" s="11" t="s">
        <v>20929</v>
      </c>
      <c r="K3317" s="11" t="s">
        <v>1956</v>
      </c>
      <c r="L3317" s="11" t="s">
        <v>526</v>
      </c>
      <c r="M3317" s="11" t="s">
        <v>20930</v>
      </c>
      <c r="N3317" s="11" t="s">
        <v>128</v>
      </c>
      <c r="O3317" s="11" t="s">
        <v>20931</v>
      </c>
      <c r="P3317" s="11" t="s">
        <v>20932</v>
      </c>
      <c r="Q3317" s="11" t="s">
        <v>150</v>
      </c>
      <c r="R3317" s="11"/>
      <c r="S3317" s="11" t="s">
        <v>71</v>
      </c>
      <c r="T3317" s="11" t="s">
        <v>67</v>
      </c>
      <c r="U3317" s="11" t="s">
        <v>150</v>
      </c>
      <c r="V3317" s="11" t="s">
        <v>152</v>
      </c>
      <c r="W3317" s="11" t="s">
        <v>67</v>
      </c>
      <c r="X3317" s="11">
        <v>3</v>
      </c>
      <c r="Y3317" s="11" t="s">
        <v>12359</v>
      </c>
      <c r="Z3317" s="11">
        <v>20</v>
      </c>
      <c r="AA3317" s="11">
        <v>0</v>
      </c>
      <c r="AB3317" s="12">
        <v>0</v>
      </c>
    </row>
    <row r="3318" spans="1:28" x14ac:dyDescent="0.2">
      <c r="A3318" s="7">
        <v>86652</v>
      </c>
      <c r="B3318" s="8" t="s">
        <v>20933</v>
      </c>
      <c r="C3318" s="8" t="s">
        <v>20934</v>
      </c>
      <c r="D3318" s="8" t="s">
        <v>20935</v>
      </c>
      <c r="E3318" s="8" t="s">
        <v>20936</v>
      </c>
      <c r="F3318" s="8" t="s">
        <v>353</v>
      </c>
      <c r="G3318" s="8" t="s">
        <v>10998</v>
      </c>
      <c r="H3318" s="8" t="s">
        <v>159</v>
      </c>
      <c r="I3318" s="8" t="s">
        <v>10999</v>
      </c>
      <c r="J3318" s="8" t="s">
        <v>20937</v>
      </c>
      <c r="K3318" s="8" t="s">
        <v>274</v>
      </c>
      <c r="L3318" s="8" t="s">
        <v>163</v>
      </c>
      <c r="M3318" s="8" t="s">
        <v>20938</v>
      </c>
      <c r="N3318" s="8" t="s">
        <v>128</v>
      </c>
      <c r="O3318" s="8" t="s">
        <v>20939</v>
      </c>
      <c r="P3318" s="8"/>
      <c r="Q3318" s="8" t="s">
        <v>131</v>
      </c>
      <c r="R3318" s="8"/>
      <c r="S3318" s="8" t="s">
        <v>11004</v>
      </c>
      <c r="T3318" s="8" t="s">
        <v>983</v>
      </c>
      <c r="U3318" s="8" t="s">
        <v>134</v>
      </c>
      <c r="V3318" s="8" t="s">
        <v>131</v>
      </c>
      <c r="W3318" s="8" t="s">
        <v>983</v>
      </c>
      <c r="X3318" s="8">
        <v>3</v>
      </c>
      <c r="Y3318" s="8" t="s">
        <v>12359</v>
      </c>
      <c r="Z3318" s="8">
        <v>20</v>
      </c>
      <c r="AA3318" s="8">
        <v>0</v>
      </c>
      <c r="AB3318" s="9">
        <v>0</v>
      </c>
    </row>
    <row r="3319" spans="1:28" x14ac:dyDescent="0.2">
      <c r="A3319" s="10">
        <v>24035</v>
      </c>
      <c r="B3319" s="11" t="s">
        <v>20940</v>
      </c>
      <c r="C3319" s="11" t="s">
        <v>6241</v>
      </c>
      <c r="D3319" s="11" t="s">
        <v>2839</v>
      </c>
      <c r="E3319" s="11" t="s">
        <v>281</v>
      </c>
      <c r="F3319" s="11" t="s">
        <v>6242</v>
      </c>
      <c r="G3319" s="11" t="s">
        <v>1559</v>
      </c>
      <c r="H3319" s="11" t="s">
        <v>557</v>
      </c>
      <c r="I3319" s="11" t="s">
        <v>6224</v>
      </c>
      <c r="J3319" s="11" t="s">
        <v>6243</v>
      </c>
      <c r="K3319" s="11" t="s">
        <v>1562</v>
      </c>
      <c r="L3319" s="11" t="s">
        <v>229</v>
      </c>
      <c r="M3319" s="11" t="s">
        <v>20941</v>
      </c>
      <c r="N3319" s="11" t="s">
        <v>128</v>
      </c>
      <c r="O3319" s="11" t="s">
        <v>20942</v>
      </c>
      <c r="P3319" s="11"/>
      <c r="Q3319" s="11" t="s">
        <v>131</v>
      </c>
      <c r="R3319" s="11"/>
      <c r="S3319" s="11" t="s">
        <v>6229</v>
      </c>
      <c r="T3319" s="11" t="s">
        <v>983</v>
      </c>
      <c r="U3319" s="11" t="s">
        <v>134</v>
      </c>
      <c r="V3319" s="11" t="s">
        <v>131</v>
      </c>
      <c r="W3319" s="11" t="s">
        <v>983</v>
      </c>
      <c r="X3319" s="11">
        <v>3</v>
      </c>
      <c r="Y3319" s="11" t="s">
        <v>12359</v>
      </c>
      <c r="Z3319" s="11">
        <v>20</v>
      </c>
      <c r="AA3319" s="11">
        <v>0</v>
      </c>
      <c r="AB3319" s="12">
        <v>0</v>
      </c>
    </row>
    <row r="3320" spans="1:28" x14ac:dyDescent="0.2">
      <c r="A3320" s="7">
        <v>118168</v>
      </c>
      <c r="B3320" s="8" t="s">
        <v>20943</v>
      </c>
      <c r="C3320" s="8" t="s">
        <v>20944</v>
      </c>
      <c r="D3320" s="8" t="s">
        <v>20945</v>
      </c>
      <c r="E3320" s="8"/>
      <c r="F3320" s="8" t="s">
        <v>20946</v>
      </c>
      <c r="G3320" s="8" t="s">
        <v>270</v>
      </c>
      <c r="H3320" s="8" t="s">
        <v>271</v>
      </c>
      <c r="I3320" s="8" t="s">
        <v>20947</v>
      </c>
      <c r="J3320" s="8" t="s">
        <v>20948</v>
      </c>
      <c r="K3320" s="8" t="s">
        <v>274</v>
      </c>
      <c r="L3320" s="8" t="s">
        <v>163</v>
      </c>
      <c r="M3320" s="8" t="s">
        <v>20949</v>
      </c>
      <c r="N3320" s="8" t="s">
        <v>128</v>
      </c>
      <c r="O3320" s="8" t="s">
        <v>20950</v>
      </c>
      <c r="P3320" s="8"/>
      <c r="Q3320" s="8" t="s">
        <v>131</v>
      </c>
      <c r="R3320" s="8"/>
      <c r="S3320" s="8" t="s">
        <v>20951</v>
      </c>
      <c r="T3320" s="8" t="s">
        <v>983</v>
      </c>
      <c r="U3320" s="8" t="s">
        <v>134</v>
      </c>
      <c r="V3320" s="8" t="s">
        <v>131</v>
      </c>
      <c r="W3320" s="8" t="s">
        <v>983</v>
      </c>
      <c r="X3320" s="8">
        <v>3</v>
      </c>
      <c r="Y3320" s="8" t="s">
        <v>12359</v>
      </c>
      <c r="Z3320" s="8">
        <v>20</v>
      </c>
      <c r="AA3320" s="8">
        <v>0</v>
      </c>
      <c r="AB3320" s="9">
        <v>0</v>
      </c>
    </row>
    <row r="3321" spans="1:28" x14ac:dyDescent="0.2">
      <c r="A3321" s="10">
        <v>86733</v>
      </c>
      <c r="B3321" s="11" t="s">
        <v>20952</v>
      </c>
      <c r="C3321" s="11" t="s">
        <v>20953</v>
      </c>
      <c r="D3321" s="11" t="s">
        <v>20954</v>
      </c>
      <c r="E3321" s="11"/>
      <c r="F3321" s="11" t="s">
        <v>20955</v>
      </c>
      <c r="G3321" s="11" t="s">
        <v>300</v>
      </c>
      <c r="H3321" s="11" t="s">
        <v>301</v>
      </c>
      <c r="I3321" s="11" t="s">
        <v>5078</v>
      </c>
      <c r="J3321" s="11" t="s">
        <v>20956</v>
      </c>
      <c r="K3321" s="11" t="s">
        <v>304</v>
      </c>
      <c r="L3321" s="11" t="s">
        <v>229</v>
      </c>
      <c r="M3321" s="11" t="s">
        <v>20957</v>
      </c>
      <c r="N3321" s="11" t="s">
        <v>128</v>
      </c>
      <c r="O3321" s="11" t="s">
        <v>20958</v>
      </c>
      <c r="P3321" s="11"/>
      <c r="Q3321" s="11" t="s">
        <v>131</v>
      </c>
      <c r="R3321" s="11"/>
      <c r="S3321" s="11" t="s">
        <v>71</v>
      </c>
      <c r="T3321" s="11" t="s">
        <v>983</v>
      </c>
      <c r="U3321" s="11" t="s">
        <v>134</v>
      </c>
      <c r="V3321" s="11" t="s">
        <v>131</v>
      </c>
      <c r="W3321" s="11" t="s">
        <v>983</v>
      </c>
      <c r="X3321" s="11">
        <v>3</v>
      </c>
      <c r="Y3321" s="11" t="s">
        <v>12359</v>
      </c>
      <c r="Z3321" s="11">
        <v>20</v>
      </c>
      <c r="AA3321" s="11">
        <v>0</v>
      </c>
      <c r="AB3321" s="12">
        <v>0</v>
      </c>
    </row>
    <row r="3322" spans="1:28" x14ac:dyDescent="0.2">
      <c r="A3322" s="7">
        <v>21872</v>
      </c>
      <c r="B3322" s="8" t="s">
        <v>20959</v>
      </c>
      <c r="C3322" s="8" t="s">
        <v>13781</v>
      </c>
      <c r="D3322" s="8" t="s">
        <v>13782</v>
      </c>
      <c r="E3322" s="8" t="s">
        <v>20960</v>
      </c>
      <c r="F3322" s="8" t="s">
        <v>9152</v>
      </c>
      <c r="G3322" s="8" t="s">
        <v>121</v>
      </c>
      <c r="H3322" s="8" t="s">
        <v>122</v>
      </c>
      <c r="I3322" s="8" t="s">
        <v>13784</v>
      </c>
      <c r="J3322" s="8" t="s">
        <v>13785</v>
      </c>
      <c r="K3322" s="8" t="s">
        <v>1051</v>
      </c>
      <c r="L3322" s="8" t="s">
        <v>126</v>
      </c>
      <c r="M3322" s="8" t="s">
        <v>20961</v>
      </c>
      <c r="N3322" s="8" t="s">
        <v>128</v>
      </c>
      <c r="O3322" s="8" t="s">
        <v>20962</v>
      </c>
      <c r="P3322" s="8" t="s">
        <v>20963</v>
      </c>
      <c r="Q3322" s="8" t="s">
        <v>131</v>
      </c>
      <c r="R3322" s="8"/>
      <c r="S3322" s="8" t="s">
        <v>13789</v>
      </c>
      <c r="T3322" s="8" t="s">
        <v>133</v>
      </c>
      <c r="U3322" s="8" t="s">
        <v>134</v>
      </c>
      <c r="V3322" s="8" t="s">
        <v>131</v>
      </c>
      <c r="W3322" s="8" t="s">
        <v>133</v>
      </c>
      <c r="X3322" s="8">
        <v>3</v>
      </c>
      <c r="Y3322" s="8" t="s">
        <v>12359</v>
      </c>
      <c r="Z3322" s="8">
        <v>20</v>
      </c>
      <c r="AA3322" s="8">
        <v>0</v>
      </c>
      <c r="AB3322" s="9">
        <v>0</v>
      </c>
    </row>
    <row r="3323" spans="1:28" x14ac:dyDescent="0.2">
      <c r="A3323" s="10">
        <v>21996</v>
      </c>
      <c r="B3323" s="11" t="s">
        <v>20964</v>
      </c>
      <c r="C3323" s="11" t="s">
        <v>20094</v>
      </c>
      <c r="D3323" s="11" t="s">
        <v>2547</v>
      </c>
      <c r="E3323" s="11"/>
      <c r="F3323" s="11" t="s">
        <v>20095</v>
      </c>
      <c r="G3323" s="11" t="s">
        <v>328</v>
      </c>
      <c r="H3323" s="11" t="s">
        <v>329</v>
      </c>
      <c r="I3323" s="11" t="s">
        <v>20096</v>
      </c>
      <c r="J3323" s="11" t="s">
        <v>20097</v>
      </c>
      <c r="K3323" s="11" t="s">
        <v>572</v>
      </c>
      <c r="L3323" s="11" t="s">
        <v>333</v>
      </c>
      <c r="M3323" s="11" t="s">
        <v>20965</v>
      </c>
      <c r="N3323" s="11" t="s">
        <v>128</v>
      </c>
      <c r="O3323" s="11" t="s">
        <v>20966</v>
      </c>
      <c r="P3323" s="11" t="s">
        <v>20967</v>
      </c>
      <c r="Q3323" s="11" t="s">
        <v>131</v>
      </c>
      <c r="R3323" s="11"/>
      <c r="S3323" s="11" t="s">
        <v>20100</v>
      </c>
      <c r="T3323" s="11" t="s">
        <v>133</v>
      </c>
      <c r="U3323" s="11" t="s">
        <v>134</v>
      </c>
      <c r="V3323" s="11" t="s">
        <v>131</v>
      </c>
      <c r="W3323" s="11" t="s">
        <v>133</v>
      </c>
      <c r="X3323" s="11">
        <v>3</v>
      </c>
      <c r="Y3323" s="11" t="s">
        <v>12359</v>
      </c>
      <c r="Z3323" s="11">
        <v>20</v>
      </c>
      <c r="AA3323" s="11">
        <v>0</v>
      </c>
      <c r="AB3323" s="12">
        <v>0</v>
      </c>
    </row>
    <row r="3324" spans="1:28" x14ac:dyDescent="0.2">
      <c r="A3324" s="7">
        <v>26625</v>
      </c>
      <c r="B3324" s="8" t="s">
        <v>20968</v>
      </c>
      <c r="C3324" s="8" t="s">
        <v>20969</v>
      </c>
      <c r="D3324" s="8" t="s">
        <v>8918</v>
      </c>
      <c r="E3324" s="8"/>
      <c r="F3324" s="8" t="s">
        <v>20970</v>
      </c>
      <c r="G3324" s="8" t="s">
        <v>10952</v>
      </c>
      <c r="H3324" s="8" t="s">
        <v>1843</v>
      </c>
      <c r="I3324" s="8" t="s">
        <v>20971</v>
      </c>
      <c r="J3324" s="8" t="s">
        <v>20972</v>
      </c>
      <c r="K3324" s="8" t="s">
        <v>1562</v>
      </c>
      <c r="L3324" s="8" t="s">
        <v>229</v>
      </c>
      <c r="M3324" s="8" t="s">
        <v>20973</v>
      </c>
      <c r="N3324" s="8" t="s">
        <v>128</v>
      </c>
      <c r="O3324" s="8" t="s">
        <v>20974</v>
      </c>
      <c r="P3324" s="8" t="s">
        <v>20975</v>
      </c>
      <c r="Q3324" s="8" t="s">
        <v>131</v>
      </c>
      <c r="R3324" s="8"/>
      <c r="S3324" s="8" t="s">
        <v>20976</v>
      </c>
      <c r="T3324" s="8" t="s">
        <v>133</v>
      </c>
      <c r="U3324" s="8" t="s">
        <v>134</v>
      </c>
      <c r="V3324" s="8" t="s">
        <v>131</v>
      </c>
      <c r="W3324" s="8" t="s">
        <v>133</v>
      </c>
      <c r="X3324" s="8">
        <v>3</v>
      </c>
      <c r="Y3324" s="8" t="s">
        <v>12359</v>
      </c>
      <c r="Z3324" s="8">
        <v>20</v>
      </c>
      <c r="AA3324" s="8">
        <v>0</v>
      </c>
      <c r="AB3324" s="9">
        <v>0</v>
      </c>
    </row>
    <row r="3325" spans="1:28" x14ac:dyDescent="0.2">
      <c r="A3325" s="10">
        <v>21948</v>
      </c>
      <c r="B3325" s="11" t="s">
        <v>20977</v>
      </c>
      <c r="C3325" s="11" t="s">
        <v>611</v>
      </c>
      <c r="D3325" s="11" t="s">
        <v>12196</v>
      </c>
      <c r="E3325" s="11"/>
      <c r="F3325" s="11" t="s">
        <v>10822</v>
      </c>
      <c r="G3325" s="11" t="s">
        <v>615</v>
      </c>
      <c r="H3325" s="11" t="s">
        <v>616</v>
      </c>
      <c r="I3325" s="11" t="s">
        <v>20978</v>
      </c>
      <c r="J3325" s="11" t="s">
        <v>20979</v>
      </c>
      <c r="K3325" s="11" t="s">
        <v>619</v>
      </c>
      <c r="L3325" s="11" t="s">
        <v>163</v>
      </c>
      <c r="M3325" s="11" t="s">
        <v>20980</v>
      </c>
      <c r="N3325" s="11" t="s">
        <v>128</v>
      </c>
      <c r="O3325" s="11" t="s">
        <v>20981</v>
      </c>
      <c r="P3325" s="11" t="s">
        <v>20982</v>
      </c>
      <c r="Q3325" s="11" t="s">
        <v>131</v>
      </c>
      <c r="R3325" s="11"/>
      <c r="S3325" s="11" t="s">
        <v>12202</v>
      </c>
      <c r="T3325" s="11" t="s">
        <v>133</v>
      </c>
      <c r="U3325" s="11" t="s">
        <v>134</v>
      </c>
      <c r="V3325" s="11" t="s">
        <v>131</v>
      </c>
      <c r="W3325" s="11" t="s">
        <v>133</v>
      </c>
      <c r="X3325" s="11">
        <v>3</v>
      </c>
      <c r="Y3325" s="11" t="s">
        <v>12359</v>
      </c>
      <c r="Z3325" s="11">
        <v>20</v>
      </c>
      <c r="AA3325" s="11">
        <v>0</v>
      </c>
      <c r="AB3325" s="12">
        <v>0</v>
      </c>
    </row>
    <row r="3326" spans="1:28" x14ac:dyDescent="0.2">
      <c r="A3326" s="7">
        <v>21808</v>
      </c>
      <c r="B3326" s="8" t="s">
        <v>20983</v>
      </c>
      <c r="C3326" s="8" t="s">
        <v>6307</v>
      </c>
      <c r="D3326" s="8" t="s">
        <v>7585</v>
      </c>
      <c r="E3326" s="8"/>
      <c r="F3326" s="8" t="s">
        <v>11780</v>
      </c>
      <c r="G3326" s="8" t="s">
        <v>121</v>
      </c>
      <c r="H3326" s="8" t="s">
        <v>122</v>
      </c>
      <c r="I3326" s="8" t="s">
        <v>20984</v>
      </c>
      <c r="J3326" s="8" t="s">
        <v>20985</v>
      </c>
      <c r="K3326" s="8" t="s">
        <v>1051</v>
      </c>
      <c r="L3326" s="8" t="s">
        <v>126</v>
      </c>
      <c r="M3326" s="8" t="s">
        <v>20986</v>
      </c>
      <c r="N3326" s="8" t="s">
        <v>128</v>
      </c>
      <c r="O3326" s="8" t="s">
        <v>20987</v>
      </c>
      <c r="P3326" s="8"/>
      <c r="Q3326" s="8" t="s">
        <v>131</v>
      </c>
      <c r="R3326" s="8"/>
      <c r="S3326" s="8" t="s">
        <v>20988</v>
      </c>
      <c r="T3326" s="8" t="s">
        <v>133</v>
      </c>
      <c r="U3326" s="8" t="s">
        <v>134</v>
      </c>
      <c r="V3326" s="8" t="s">
        <v>131</v>
      </c>
      <c r="W3326" s="8" t="s">
        <v>133</v>
      </c>
      <c r="X3326" s="8">
        <v>3</v>
      </c>
      <c r="Y3326" s="8" t="s">
        <v>12359</v>
      </c>
      <c r="Z3326" s="8">
        <v>20</v>
      </c>
      <c r="AA3326" s="8">
        <v>0</v>
      </c>
      <c r="AB3326" s="9">
        <v>0</v>
      </c>
    </row>
    <row r="3327" spans="1:28" x14ac:dyDescent="0.2">
      <c r="A3327" s="10">
        <v>119853</v>
      </c>
      <c r="B3327" s="11" t="s">
        <v>20989</v>
      </c>
      <c r="C3327" s="11" t="s">
        <v>4777</v>
      </c>
      <c r="D3327" s="11" t="s">
        <v>20990</v>
      </c>
      <c r="E3327" s="11"/>
      <c r="F3327" s="11" t="s">
        <v>353</v>
      </c>
      <c r="G3327" s="11" t="s">
        <v>7402</v>
      </c>
      <c r="H3327" s="11" t="s">
        <v>847</v>
      </c>
      <c r="I3327" s="11" t="s">
        <v>20991</v>
      </c>
      <c r="J3327" s="11" t="s">
        <v>20992</v>
      </c>
      <c r="K3327" s="11" t="s">
        <v>1091</v>
      </c>
      <c r="L3327" s="11" t="s">
        <v>126</v>
      </c>
      <c r="M3327" s="11" t="s">
        <v>20993</v>
      </c>
      <c r="N3327" s="11" t="s">
        <v>128</v>
      </c>
      <c r="O3327" s="11" t="s">
        <v>20994</v>
      </c>
      <c r="P3327" s="11" t="s">
        <v>10214</v>
      </c>
      <c r="Q3327" s="11" t="s">
        <v>150</v>
      </c>
      <c r="R3327" s="11"/>
      <c r="S3327" s="11" t="s">
        <v>71</v>
      </c>
      <c r="T3327" s="11" t="s">
        <v>6736</v>
      </c>
      <c r="U3327" s="11" t="s">
        <v>150</v>
      </c>
      <c r="V3327" s="11" t="s">
        <v>6736</v>
      </c>
      <c r="W3327" s="11" t="s">
        <v>6736</v>
      </c>
      <c r="X3327" s="11">
        <v>3</v>
      </c>
      <c r="Y3327" s="11" t="s">
        <v>12359</v>
      </c>
      <c r="Z3327" s="11">
        <v>20</v>
      </c>
      <c r="AA3327" s="11">
        <v>0</v>
      </c>
      <c r="AB3327" s="12">
        <v>0</v>
      </c>
    </row>
    <row r="3328" spans="1:28" x14ac:dyDescent="0.2">
      <c r="A3328" s="7">
        <v>22118</v>
      </c>
      <c r="B3328" s="8" t="s">
        <v>20995</v>
      </c>
      <c r="C3328" s="8" t="s">
        <v>20213</v>
      </c>
      <c r="D3328" s="8" t="s">
        <v>645</v>
      </c>
      <c r="E3328" s="8"/>
      <c r="F3328" s="8" t="s">
        <v>353</v>
      </c>
      <c r="G3328" s="8" t="s">
        <v>12311</v>
      </c>
      <c r="H3328" s="8" t="s">
        <v>122</v>
      </c>
      <c r="I3328" s="8" t="s">
        <v>20599</v>
      </c>
      <c r="J3328" s="8" t="s">
        <v>20996</v>
      </c>
      <c r="K3328" s="8" t="s">
        <v>125</v>
      </c>
      <c r="L3328" s="8" t="s">
        <v>126</v>
      </c>
      <c r="M3328" s="8" t="s">
        <v>20997</v>
      </c>
      <c r="N3328" s="8" t="s">
        <v>128</v>
      </c>
      <c r="O3328" s="8" t="s">
        <v>20998</v>
      </c>
      <c r="P3328" s="8" t="s">
        <v>7382</v>
      </c>
      <c r="Q3328" s="8" t="s">
        <v>150</v>
      </c>
      <c r="R3328" s="8"/>
      <c r="S3328" s="8" t="s">
        <v>71</v>
      </c>
      <c r="T3328" s="8" t="s">
        <v>6736</v>
      </c>
      <c r="U3328" s="8" t="s">
        <v>150</v>
      </c>
      <c r="V3328" s="8" t="s">
        <v>6736</v>
      </c>
      <c r="W3328" s="8" t="s">
        <v>6736</v>
      </c>
      <c r="X3328" s="8">
        <v>3</v>
      </c>
      <c r="Y3328" s="8" t="s">
        <v>12359</v>
      </c>
      <c r="Z3328" s="8">
        <v>20</v>
      </c>
      <c r="AA3328" s="8">
        <v>0</v>
      </c>
      <c r="AB3328" s="9">
        <v>0</v>
      </c>
    </row>
    <row r="3329" spans="1:28" x14ac:dyDescent="0.2">
      <c r="A3329" s="10">
        <v>117901</v>
      </c>
      <c r="B3329" s="11" t="s">
        <v>20999</v>
      </c>
      <c r="C3329" s="11" t="s">
        <v>16425</v>
      </c>
      <c r="D3329" s="11" t="s">
        <v>21000</v>
      </c>
      <c r="E3329" s="11"/>
      <c r="F3329" s="11" t="s">
        <v>19850</v>
      </c>
      <c r="G3329" s="11" t="s">
        <v>703</v>
      </c>
      <c r="H3329" s="11" t="s">
        <v>704</v>
      </c>
      <c r="I3329" s="11" t="s">
        <v>19851</v>
      </c>
      <c r="J3329" s="11" t="s">
        <v>21001</v>
      </c>
      <c r="K3329" s="11" t="s">
        <v>707</v>
      </c>
      <c r="L3329" s="11" t="s">
        <v>126</v>
      </c>
      <c r="M3329" s="11" t="s">
        <v>21002</v>
      </c>
      <c r="N3329" s="11" t="s">
        <v>128</v>
      </c>
      <c r="O3329" s="11" t="s">
        <v>21003</v>
      </c>
      <c r="P3329" s="11" t="s">
        <v>11591</v>
      </c>
      <c r="Q3329" s="11" t="s">
        <v>150</v>
      </c>
      <c r="R3329" s="11"/>
      <c r="S3329" s="11" t="s">
        <v>71</v>
      </c>
      <c r="T3329" s="11" t="s">
        <v>6736</v>
      </c>
      <c r="U3329" s="11" t="s">
        <v>150</v>
      </c>
      <c r="V3329" s="11" t="s">
        <v>6736</v>
      </c>
      <c r="W3329" s="11" t="s">
        <v>6736</v>
      </c>
      <c r="X3329" s="11">
        <v>3</v>
      </c>
      <c r="Y3329" s="11" t="s">
        <v>12359</v>
      </c>
      <c r="Z3329" s="11">
        <v>20</v>
      </c>
      <c r="AA3329" s="11">
        <v>0</v>
      </c>
      <c r="AB3329" s="12">
        <v>0</v>
      </c>
    </row>
    <row r="3330" spans="1:28" x14ac:dyDescent="0.2">
      <c r="A3330" s="7">
        <v>183918</v>
      </c>
      <c r="B3330" s="8" t="s">
        <v>21004</v>
      </c>
      <c r="C3330" s="8" t="s">
        <v>10068</v>
      </c>
      <c r="D3330" s="8" t="s">
        <v>21005</v>
      </c>
      <c r="E3330" s="8"/>
      <c r="F3330" s="8" t="s">
        <v>10069</v>
      </c>
      <c r="G3330" s="8" t="s">
        <v>10070</v>
      </c>
      <c r="H3330" s="8" t="s">
        <v>122</v>
      </c>
      <c r="I3330" s="8" t="s">
        <v>10071</v>
      </c>
      <c r="J3330" s="8" t="s">
        <v>21006</v>
      </c>
      <c r="K3330" s="8" t="s">
        <v>125</v>
      </c>
      <c r="L3330" s="8" t="s">
        <v>126</v>
      </c>
      <c r="M3330" s="8" t="s">
        <v>21007</v>
      </c>
      <c r="N3330" s="8" t="s">
        <v>128</v>
      </c>
      <c r="O3330" s="8" t="s">
        <v>21008</v>
      </c>
      <c r="P3330" s="8"/>
      <c r="Q3330" s="8" t="s">
        <v>150</v>
      </c>
      <c r="R3330" s="8"/>
      <c r="S3330" s="8" t="s">
        <v>71</v>
      </c>
      <c r="T3330" s="8" t="s">
        <v>6736</v>
      </c>
      <c r="U3330" s="8" t="s">
        <v>150</v>
      </c>
      <c r="V3330" s="8" t="s">
        <v>6736</v>
      </c>
      <c r="W3330" s="8" t="s">
        <v>6736</v>
      </c>
      <c r="X3330" s="8">
        <v>3</v>
      </c>
      <c r="Y3330" s="8" t="s">
        <v>12359</v>
      </c>
      <c r="Z3330" s="8">
        <v>20</v>
      </c>
      <c r="AA3330" s="8">
        <v>0</v>
      </c>
      <c r="AB3330" s="9">
        <v>0</v>
      </c>
    </row>
    <row r="3331" spans="1:28" x14ac:dyDescent="0.2">
      <c r="A3331" s="10">
        <v>226718</v>
      </c>
      <c r="B3331" s="11" t="s">
        <v>21009</v>
      </c>
      <c r="C3331" s="11" t="s">
        <v>21010</v>
      </c>
      <c r="D3331" s="11" t="s">
        <v>7243</v>
      </c>
      <c r="E3331" s="11"/>
      <c r="F3331" s="11" t="s">
        <v>16427</v>
      </c>
      <c r="G3331" s="11" t="s">
        <v>5369</v>
      </c>
      <c r="H3331" s="11" t="s">
        <v>847</v>
      </c>
      <c r="I3331" s="11" t="s">
        <v>21011</v>
      </c>
      <c r="J3331" s="11" t="s">
        <v>21012</v>
      </c>
      <c r="K3331" s="11" t="s">
        <v>850</v>
      </c>
      <c r="L3331" s="11" t="s">
        <v>126</v>
      </c>
      <c r="M3331" s="11" t="s">
        <v>21013</v>
      </c>
      <c r="N3331" s="11" t="s">
        <v>128</v>
      </c>
      <c r="O3331" s="11" t="s">
        <v>21014</v>
      </c>
      <c r="P3331" s="11"/>
      <c r="Q3331" s="11" t="s">
        <v>150</v>
      </c>
      <c r="R3331" s="11"/>
      <c r="S3331" s="11" t="s">
        <v>71</v>
      </c>
      <c r="T3331" s="11" t="s">
        <v>6736</v>
      </c>
      <c r="U3331" s="11" t="s">
        <v>150</v>
      </c>
      <c r="V3331" s="11" t="s">
        <v>6736</v>
      </c>
      <c r="W3331" s="11" t="s">
        <v>6736</v>
      </c>
      <c r="X3331" s="11">
        <v>3</v>
      </c>
      <c r="Y3331" s="11" t="s">
        <v>12359</v>
      </c>
      <c r="Z3331" s="11">
        <v>20</v>
      </c>
      <c r="AA3331" s="11">
        <v>0</v>
      </c>
      <c r="AB3331" s="12">
        <v>0</v>
      </c>
    </row>
    <row r="3332" spans="1:28" x14ac:dyDescent="0.2">
      <c r="A3332" s="7">
        <v>26892</v>
      </c>
      <c r="B3332" s="8" t="s">
        <v>21015</v>
      </c>
      <c r="C3332" s="8" t="s">
        <v>21016</v>
      </c>
      <c r="D3332" s="8" t="s">
        <v>5441</v>
      </c>
      <c r="E3332" s="8"/>
      <c r="F3332" s="8" t="s">
        <v>21017</v>
      </c>
      <c r="G3332" s="8" t="s">
        <v>14809</v>
      </c>
      <c r="H3332" s="8" t="s">
        <v>847</v>
      </c>
      <c r="I3332" s="8" t="s">
        <v>21018</v>
      </c>
      <c r="J3332" s="8" t="s">
        <v>21019</v>
      </c>
      <c r="K3332" s="8" t="s">
        <v>1091</v>
      </c>
      <c r="L3332" s="8" t="s">
        <v>126</v>
      </c>
      <c r="M3332" s="8" t="s">
        <v>21020</v>
      </c>
      <c r="N3332" s="8" t="s">
        <v>128</v>
      </c>
      <c r="O3332" s="8"/>
      <c r="P3332" s="8"/>
      <c r="Q3332" s="8" t="s">
        <v>150</v>
      </c>
      <c r="R3332" s="8"/>
      <c r="S3332" s="8" t="s">
        <v>71</v>
      </c>
      <c r="T3332" s="8" t="s">
        <v>6736</v>
      </c>
      <c r="U3332" s="8" t="s">
        <v>150</v>
      </c>
      <c r="V3332" s="8" t="s">
        <v>6736</v>
      </c>
      <c r="W3332" s="8" t="s">
        <v>6736</v>
      </c>
      <c r="X3332" s="8">
        <v>3</v>
      </c>
      <c r="Y3332" s="8" t="s">
        <v>12359</v>
      </c>
      <c r="Z3332" s="8">
        <v>20</v>
      </c>
      <c r="AA3332" s="8">
        <v>0</v>
      </c>
      <c r="AB3332" s="9">
        <v>0</v>
      </c>
    </row>
    <row r="3333" spans="1:28" x14ac:dyDescent="0.2">
      <c r="A3333" s="10">
        <v>86767</v>
      </c>
      <c r="B3333" s="11" t="s">
        <v>21021</v>
      </c>
      <c r="C3333" s="11" t="s">
        <v>20644</v>
      </c>
      <c r="D3333" s="11" t="s">
        <v>20177</v>
      </c>
      <c r="E3333" s="11"/>
      <c r="F3333" s="11" t="s">
        <v>353</v>
      </c>
      <c r="G3333" s="11" t="s">
        <v>20553</v>
      </c>
      <c r="H3333" s="11" t="s">
        <v>142</v>
      </c>
      <c r="I3333" s="11" t="s">
        <v>20554</v>
      </c>
      <c r="J3333" s="11" t="s">
        <v>21022</v>
      </c>
      <c r="K3333" s="11" t="s">
        <v>1199</v>
      </c>
      <c r="L3333" s="11" t="s">
        <v>464</v>
      </c>
      <c r="M3333" s="11" t="s">
        <v>21023</v>
      </c>
      <c r="N3333" s="11" t="s">
        <v>128</v>
      </c>
      <c r="O3333" s="11" t="s">
        <v>21024</v>
      </c>
      <c r="P3333" s="11"/>
      <c r="Q3333" s="11" t="s">
        <v>150</v>
      </c>
      <c r="R3333" s="11"/>
      <c r="S3333" s="11" t="s">
        <v>71</v>
      </c>
      <c r="T3333" s="11" t="s">
        <v>21025</v>
      </c>
      <c r="U3333" s="11" t="s">
        <v>150</v>
      </c>
      <c r="V3333" s="11" t="s">
        <v>21025</v>
      </c>
      <c r="W3333" s="11" t="s">
        <v>21025</v>
      </c>
      <c r="X3333" s="11">
        <v>3</v>
      </c>
      <c r="Y3333" s="11" t="s">
        <v>12359</v>
      </c>
      <c r="Z3333" s="11">
        <v>20</v>
      </c>
      <c r="AA3333" s="11">
        <v>0</v>
      </c>
      <c r="AB3333" s="12">
        <v>0</v>
      </c>
    </row>
    <row r="3334" spans="1:28" x14ac:dyDescent="0.2">
      <c r="A3334" s="7">
        <v>38046</v>
      </c>
      <c r="B3334" s="8" t="s">
        <v>21026</v>
      </c>
      <c r="C3334" s="8" t="s">
        <v>3133</v>
      </c>
      <c r="D3334" s="8" t="s">
        <v>3134</v>
      </c>
      <c r="E3334" s="8" t="s">
        <v>9246</v>
      </c>
      <c r="F3334" s="8" t="s">
        <v>21027</v>
      </c>
      <c r="G3334" s="8" t="s">
        <v>190</v>
      </c>
      <c r="H3334" s="8" t="s">
        <v>191</v>
      </c>
      <c r="I3334" s="8" t="s">
        <v>3205</v>
      </c>
      <c r="J3334" s="8" t="s">
        <v>21028</v>
      </c>
      <c r="K3334" s="8" t="s">
        <v>194</v>
      </c>
      <c r="L3334" s="8" t="s">
        <v>163</v>
      </c>
      <c r="M3334" s="8" t="s">
        <v>21029</v>
      </c>
      <c r="N3334" s="8" t="s">
        <v>128</v>
      </c>
      <c r="O3334" s="8" t="s">
        <v>21030</v>
      </c>
      <c r="P3334" s="8"/>
      <c r="Q3334" s="8" t="s">
        <v>150</v>
      </c>
      <c r="R3334" s="8"/>
      <c r="S3334" s="8" t="s">
        <v>3142</v>
      </c>
      <c r="T3334" s="8" t="s">
        <v>5771</v>
      </c>
      <c r="U3334" s="8" t="s">
        <v>150</v>
      </c>
      <c r="V3334" s="8" t="s">
        <v>5771</v>
      </c>
      <c r="W3334" s="8" t="s">
        <v>5771</v>
      </c>
      <c r="X3334" s="8">
        <v>3</v>
      </c>
      <c r="Y3334" s="8" t="s">
        <v>12359</v>
      </c>
      <c r="Z3334" s="8">
        <v>20</v>
      </c>
      <c r="AA3334" s="8">
        <v>0</v>
      </c>
      <c r="AB3334" s="9">
        <v>0</v>
      </c>
    </row>
    <row r="3335" spans="1:28" x14ac:dyDescent="0.2">
      <c r="A3335" s="10">
        <v>235541</v>
      </c>
      <c r="B3335" s="11" t="s">
        <v>21031</v>
      </c>
      <c r="C3335" s="11" t="s">
        <v>1556</v>
      </c>
      <c r="D3335" s="11" t="s">
        <v>7433</v>
      </c>
      <c r="E3335" s="11"/>
      <c r="F3335" s="11" t="s">
        <v>353</v>
      </c>
      <c r="G3335" s="11" t="s">
        <v>10952</v>
      </c>
      <c r="H3335" s="11" t="s">
        <v>1843</v>
      </c>
      <c r="I3335" s="11" t="s">
        <v>20580</v>
      </c>
      <c r="J3335" s="11" t="s">
        <v>21032</v>
      </c>
      <c r="K3335" s="11" t="s">
        <v>1562</v>
      </c>
      <c r="L3335" s="11" t="s">
        <v>229</v>
      </c>
      <c r="M3335" s="11" t="s">
        <v>21033</v>
      </c>
      <c r="N3335" s="11" t="s">
        <v>128</v>
      </c>
      <c r="O3335" s="11" t="s">
        <v>21034</v>
      </c>
      <c r="P3335" s="11" t="s">
        <v>21035</v>
      </c>
      <c r="Q3335" s="11" t="s">
        <v>150</v>
      </c>
      <c r="R3335" s="11"/>
      <c r="S3335" s="11" t="s">
        <v>71</v>
      </c>
      <c r="T3335" s="11" t="s">
        <v>7898</v>
      </c>
      <c r="U3335" s="11" t="s">
        <v>150</v>
      </c>
      <c r="V3335" s="11" t="s">
        <v>7898</v>
      </c>
      <c r="W3335" s="11" t="s">
        <v>7898</v>
      </c>
      <c r="X3335" s="11">
        <v>3</v>
      </c>
      <c r="Y3335" s="11" t="s">
        <v>12359</v>
      </c>
      <c r="Z3335" s="11">
        <v>20</v>
      </c>
      <c r="AA3335" s="11">
        <v>0</v>
      </c>
      <c r="AB3335" s="12">
        <v>0</v>
      </c>
    </row>
    <row r="3336" spans="1:28" x14ac:dyDescent="0.2">
      <c r="A3336" s="7">
        <v>22607</v>
      </c>
      <c r="B3336" s="8" t="s">
        <v>21036</v>
      </c>
      <c r="C3336" s="8" t="s">
        <v>1417</v>
      </c>
      <c r="D3336" s="8" t="s">
        <v>6738</v>
      </c>
      <c r="E3336" s="8"/>
      <c r="F3336" s="8" t="s">
        <v>21037</v>
      </c>
      <c r="G3336" s="8" t="s">
        <v>9598</v>
      </c>
      <c r="H3336" s="8" t="s">
        <v>704</v>
      </c>
      <c r="I3336" s="8" t="s">
        <v>21038</v>
      </c>
      <c r="J3336" s="8" t="s">
        <v>21039</v>
      </c>
      <c r="K3336" s="8" t="s">
        <v>707</v>
      </c>
      <c r="L3336" s="8" t="s">
        <v>126</v>
      </c>
      <c r="M3336" s="8" t="s">
        <v>21040</v>
      </c>
      <c r="N3336" s="8" t="s">
        <v>128</v>
      </c>
      <c r="O3336" s="8" t="s">
        <v>21041</v>
      </c>
      <c r="P3336" s="8" t="s">
        <v>21042</v>
      </c>
      <c r="Q3336" s="8" t="s">
        <v>150</v>
      </c>
      <c r="R3336" s="8"/>
      <c r="S3336" s="8" t="s">
        <v>71</v>
      </c>
      <c r="T3336" s="8" t="s">
        <v>2697</v>
      </c>
      <c r="U3336" s="8" t="s">
        <v>150</v>
      </c>
      <c r="V3336" s="8" t="s">
        <v>2697</v>
      </c>
      <c r="W3336" s="8" t="s">
        <v>2697</v>
      </c>
      <c r="X3336" s="8">
        <v>3</v>
      </c>
      <c r="Y3336" s="8" t="s">
        <v>12359</v>
      </c>
      <c r="Z3336" s="8">
        <v>20</v>
      </c>
      <c r="AA3336" s="8">
        <v>0</v>
      </c>
      <c r="AB3336" s="9">
        <v>0</v>
      </c>
    </row>
    <row r="3337" spans="1:28" x14ac:dyDescent="0.2">
      <c r="A3337" s="10">
        <v>240327</v>
      </c>
      <c r="B3337" s="11" t="s">
        <v>21043</v>
      </c>
      <c r="C3337" s="11" t="s">
        <v>2267</v>
      </c>
      <c r="D3337" s="11" t="s">
        <v>8128</v>
      </c>
      <c r="E3337" s="11"/>
      <c r="F3337" s="11" t="s">
        <v>21044</v>
      </c>
      <c r="G3337" s="11" t="s">
        <v>521</v>
      </c>
      <c r="H3337" s="11" t="s">
        <v>522</v>
      </c>
      <c r="I3337" s="11" t="s">
        <v>21045</v>
      </c>
      <c r="J3337" s="11" t="s">
        <v>21046</v>
      </c>
      <c r="K3337" s="11" t="s">
        <v>525</v>
      </c>
      <c r="L3337" s="11" t="s">
        <v>526</v>
      </c>
      <c r="M3337" s="11" t="s">
        <v>21047</v>
      </c>
      <c r="N3337" s="11" t="s">
        <v>128</v>
      </c>
      <c r="O3337" s="11" t="s">
        <v>21048</v>
      </c>
      <c r="P3337" s="11"/>
      <c r="Q3337" s="11" t="s">
        <v>150</v>
      </c>
      <c r="R3337" s="11"/>
      <c r="S3337" s="11" t="s">
        <v>71</v>
      </c>
      <c r="T3337" s="11" t="s">
        <v>2702</v>
      </c>
      <c r="U3337" s="11" t="s">
        <v>150</v>
      </c>
      <c r="V3337" s="11" t="s">
        <v>2702</v>
      </c>
      <c r="W3337" s="11" t="s">
        <v>2702</v>
      </c>
      <c r="X3337" s="11">
        <v>3</v>
      </c>
      <c r="Y3337" s="11" t="s">
        <v>12359</v>
      </c>
      <c r="Z3337" s="11">
        <v>20</v>
      </c>
      <c r="AA3337" s="11">
        <v>0</v>
      </c>
      <c r="AB3337" s="12">
        <v>0</v>
      </c>
    </row>
    <row r="3338" spans="1:28" x14ac:dyDescent="0.2">
      <c r="A3338" s="7">
        <v>28124</v>
      </c>
      <c r="B3338" s="8" t="s">
        <v>21049</v>
      </c>
      <c r="C3338" s="8" t="s">
        <v>6052</v>
      </c>
      <c r="D3338" s="8" t="s">
        <v>4623</v>
      </c>
      <c r="E3338" s="8"/>
      <c r="F3338" s="8" t="s">
        <v>353</v>
      </c>
      <c r="G3338" s="8" t="s">
        <v>2691</v>
      </c>
      <c r="H3338" s="8" t="s">
        <v>704</v>
      </c>
      <c r="I3338" s="8" t="s">
        <v>6055</v>
      </c>
      <c r="J3338" s="8" t="s">
        <v>21050</v>
      </c>
      <c r="K3338" s="8" t="s">
        <v>707</v>
      </c>
      <c r="L3338" s="8" t="s">
        <v>126</v>
      </c>
      <c r="M3338" s="8" t="s">
        <v>21051</v>
      </c>
      <c r="N3338" s="8" t="s">
        <v>128</v>
      </c>
      <c r="O3338" s="8" t="s">
        <v>21052</v>
      </c>
      <c r="P3338" s="8"/>
      <c r="Q3338" s="8" t="s">
        <v>150</v>
      </c>
      <c r="R3338" s="8"/>
      <c r="S3338" s="8" t="s">
        <v>71</v>
      </c>
      <c r="T3338" s="8" t="s">
        <v>2817</v>
      </c>
      <c r="U3338" s="8" t="s">
        <v>150</v>
      </c>
      <c r="V3338" s="8" t="s">
        <v>2817</v>
      </c>
      <c r="W3338" s="8" t="s">
        <v>2817</v>
      </c>
      <c r="X3338" s="8">
        <v>3</v>
      </c>
      <c r="Y3338" s="8" t="s">
        <v>12359</v>
      </c>
      <c r="Z3338" s="8">
        <v>20</v>
      </c>
      <c r="AA3338" s="8">
        <v>0</v>
      </c>
      <c r="AB3338" s="9">
        <v>0</v>
      </c>
    </row>
    <row r="3339" spans="1:28" x14ac:dyDescent="0.2">
      <c r="A3339" s="10">
        <v>28128</v>
      </c>
      <c r="B3339" s="11" t="s">
        <v>21053</v>
      </c>
      <c r="C3339" s="11" t="s">
        <v>11392</v>
      </c>
      <c r="D3339" s="11" t="s">
        <v>3529</v>
      </c>
      <c r="E3339" s="11"/>
      <c r="F3339" s="11" t="s">
        <v>19744</v>
      </c>
      <c r="G3339" s="11" t="s">
        <v>3929</v>
      </c>
      <c r="H3339" s="11" t="s">
        <v>704</v>
      </c>
      <c r="I3339" s="11" t="s">
        <v>21054</v>
      </c>
      <c r="J3339" s="11" t="s">
        <v>21055</v>
      </c>
      <c r="K3339" s="11" t="s">
        <v>850</v>
      </c>
      <c r="L3339" s="11" t="s">
        <v>126</v>
      </c>
      <c r="M3339" s="11" t="s">
        <v>21056</v>
      </c>
      <c r="N3339" s="11" t="s">
        <v>128</v>
      </c>
      <c r="O3339" s="11" t="s">
        <v>21057</v>
      </c>
      <c r="P3339" s="11"/>
      <c r="Q3339" s="11" t="s">
        <v>150</v>
      </c>
      <c r="R3339" s="11"/>
      <c r="S3339" s="11" t="s">
        <v>71</v>
      </c>
      <c r="T3339" s="11" t="s">
        <v>2817</v>
      </c>
      <c r="U3339" s="11" t="s">
        <v>150</v>
      </c>
      <c r="V3339" s="11" t="s">
        <v>2817</v>
      </c>
      <c r="W3339" s="11" t="s">
        <v>2817</v>
      </c>
      <c r="X3339" s="11">
        <v>3</v>
      </c>
      <c r="Y3339" s="11" t="s">
        <v>12359</v>
      </c>
      <c r="Z3339" s="11">
        <v>20</v>
      </c>
      <c r="AA3339" s="11">
        <v>0</v>
      </c>
      <c r="AB3339" s="12">
        <v>0</v>
      </c>
    </row>
    <row r="3340" spans="1:28" x14ac:dyDescent="0.2">
      <c r="A3340" s="7">
        <v>238159</v>
      </c>
      <c r="B3340" s="8" t="s">
        <v>21058</v>
      </c>
      <c r="C3340" s="8" t="s">
        <v>409</v>
      </c>
      <c r="D3340" s="8" t="s">
        <v>21059</v>
      </c>
      <c r="E3340" s="8"/>
      <c r="F3340" s="8" t="s">
        <v>16520</v>
      </c>
      <c r="G3340" s="8" t="s">
        <v>3929</v>
      </c>
      <c r="H3340" s="8" t="s">
        <v>704</v>
      </c>
      <c r="I3340" s="8" t="s">
        <v>21060</v>
      </c>
      <c r="J3340" s="8" t="s">
        <v>21061</v>
      </c>
      <c r="K3340" s="8" t="s">
        <v>1051</v>
      </c>
      <c r="L3340" s="8" t="s">
        <v>126</v>
      </c>
      <c r="M3340" s="8" t="s">
        <v>21062</v>
      </c>
      <c r="N3340" s="8" t="s">
        <v>128</v>
      </c>
      <c r="O3340" s="8" t="s">
        <v>21063</v>
      </c>
      <c r="P3340" s="8"/>
      <c r="Q3340" s="8" t="s">
        <v>150</v>
      </c>
      <c r="R3340" s="8"/>
      <c r="S3340" s="8" t="s">
        <v>71</v>
      </c>
      <c r="T3340" s="8" t="s">
        <v>2817</v>
      </c>
      <c r="U3340" s="8" t="s">
        <v>150</v>
      </c>
      <c r="V3340" s="8" t="s">
        <v>2817</v>
      </c>
      <c r="W3340" s="8" t="s">
        <v>2817</v>
      </c>
      <c r="X3340" s="8">
        <v>3</v>
      </c>
      <c r="Y3340" s="8" t="s">
        <v>12359</v>
      </c>
      <c r="Z3340" s="8">
        <v>20</v>
      </c>
      <c r="AA3340" s="8">
        <v>0</v>
      </c>
      <c r="AB3340" s="9">
        <v>0</v>
      </c>
    </row>
    <row r="3341" spans="1:28" x14ac:dyDescent="0.2">
      <c r="A3341" s="10">
        <v>22829</v>
      </c>
      <c r="B3341" s="11" t="s">
        <v>21064</v>
      </c>
      <c r="C3341" s="11" t="s">
        <v>21065</v>
      </c>
      <c r="D3341" s="11" t="s">
        <v>17168</v>
      </c>
      <c r="E3341" s="11" t="s">
        <v>281</v>
      </c>
      <c r="F3341" s="11" t="s">
        <v>21066</v>
      </c>
      <c r="G3341" s="11" t="s">
        <v>121</v>
      </c>
      <c r="H3341" s="11" t="s">
        <v>122</v>
      </c>
      <c r="I3341" s="11" t="s">
        <v>21067</v>
      </c>
      <c r="J3341" s="11" t="s">
        <v>21068</v>
      </c>
      <c r="K3341" s="11" t="s">
        <v>1051</v>
      </c>
      <c r="L3341" s="11" t="s">
        <v>126</v>
      </c>
      <c r="M3341" s="11" t="s">
        <v>21069</v>
      </c>
      <c r="N3341" s="11" t="s">
        <v>128</v>
      </c>
      <c r="O3341" s="11" t="s">
        <v>21070</v>
      </c>
      <c r="P3341" s="11" t="s">
        <v>7578</v>
      </c>
      <c r="Q3341" s="11" t="s">
        <v>150</v>
      </c>
      <c r="R3341" s="11"/>
      <c r="S3341" s="11" t="s">
        <v>71</v>
      </c>
      <c r="T3341" s="11" t="s">
        <v>7189</v>
      </c>
      <c r="U3341" s="11" t="s">
        <v>150</v>
      </c>
      <c r="V3341" s="11" t="s">
        <v>7189</v>
      </c>
      <c r="W3341" s="11" t="s">
        <v>7189</v>
      </c>
      <c r="X3341" s="11">
        <v>3</v>
      </c>
      <c r="Y3341" s="11" t="s">
        <v>12359</v>
      </c>
      <c r="Z3341" s="11">
        <v>20</v>
      </c>
      <c r="AA3341" s="11">
        <v>0</v>
      </c>
      <c r="AB3341" s="12">
        <v>0</v>
      </c>
    </row>
    <row r="3342" spans="1:28" x14ac:dyDescent="0.2">
      <c r="A3342" s="7">
        <v>22861</v>
      </c>
      <c r="B3342" s="8" t="s">
        <v>21071</v>
      </c>
      <c r="C3342" s="8" t="s">
        <v>20213</v>
      </c>
      <c r="D3342" s="8" t="s">
        <v>1424</v>
      </c>
      <c r="E3342" s="8"/>
      <c r="F3342" s="8" t="s">
        <v>353</v>
      </c>
      <c r="G3342" s="8" t="s">
        <v>12311</v>
      </c>
      <c r="H3342" s="8" t="s">
        <v>122</v>
      </c>
      <c r="I3342" s="8" t="s">
        <v>20599</v>
      </c>
      <c r="J3342" s="8" t="s">
        <v>21072</v>
      </c>
      <c r="K3342" s="8" t="s">
        <v>125</v>
      </c>
      <c r="L3342" s="8" t="s">
        <v>126</v>
      </c>
      <c r="M3342" s="8" t="s">
        <v>21073</v>
      </c>
      <c r="N3342" s="8" t="s">
        <v>128</v>
      </c>
      <c r="O3342" s="8" t="s">
        <v>21074</v>
      </c>
      <c r="P3342" s="8" t="s">
        <v>1424</v>
      </c>
      <c r="Q3342" s="8" t="s">
        <v>150</v>
      </c>
      <c r="R3342" s="8"/>
      <c r="S3342" s="8" t="s">
        <v>71</v>
      </c>
      <c r="T3342" s="8" t="s">
        <v>7189</v>
      </c>
      <c r="U3342" s="8" t="s">
        <v>150</v>
      </c>
      <c r="V3342" s="8" t="s">
        <v>7189</v>
      </c>
      <c r="W3342" s="8" t="s">
        <v>7189</v>
      </c>
      <c r="X3342" s="8">
        <v>3</v>
      </c>
      <c r="Y3342" s="8" t="s">
        <v>12359</v>
      </c>
      <c r="Z3342" s="8">
        <v>20</v>
      </c>
      <c r="AA3342" s="8">
        <v>0</v>
      </c>
      <c r="AB3342" s="9">
        <v>0</v>
      </c>
    </row>
    <row r="3343" spans="1:28" x14ac:dyDescent="0.2">
      <c r="A3343" s="10">
        <v>23370</v>
      </c>
      <c r="B3343" s="11" t="s">
        <v>21075</v>
      </c>
      <c r="C3343" s="11" t="s">
        <v>21076</v>
      </c>
      <c r="D3343" s="11" t="s">
        <v>3641</v>
      </c>
      <c r="E3343" s="11" t="s">
        <v>281</v>
      </c>
      <c r="F3343" s="11" t="s">
        <v>353</v>
      </c>
      <c r="G3343" s="11" t="s">
        <v>3929</v>
      </c>
      <c r="H3343" s="11" t="s">
        <v>704</v>
      </c>
      <c r="I3343" s="11" t="s">
        <v>21077</v>
      </c>
      <c r="J3343" s="11" t="s">
        <v>21078</v>
      </c>
      <c r="K3343" s="11" t="s">
        <v>850</v>
      </c>
      <c r="L3343" s="11" t="s">
        <v>126</v>
      </c>
      <c r="M3343" s="11" t="s">
        <v>21079</v>
      </c>
      <c r="N3343" s="11" t="s">
        <v>128</v>
      </c>
      <c r="O3343" s="11" t="s">
        <v>21080</v>
      </c>
      <c r="P3343" s="11" t="s">
        <v>21081</v>
      </c>
      <c r="Q3343" s="11" t="s">
        <v>150</v>
      </c>
      <c r="R3343" s="11"/>
      <c r="S3343" s="11" t="s">
        <v>71</v>
      </c>
      <c r="T3343" s="11" t="s">
        <v>70</v>
      </c>
      <c r="U3343" s="11" t="s">
        <v>150</v>
      </c>
      <c r="V3343" s="11" t="s">
        <v>70</v>
      </c>
      <c r="W3343" s="11" t="s">
        <v>70</v>
      </c>
      <c r="X3343" s="11">
        <v>3</v>
      </c>
      <c r="Y3343" s="11" t="s">
        <v>12359</v>
      </c>
      <c r="Z3343" s="11">
        <v>20</v>
      </c>
      <c r="AA3343" s="11">
        <v>0</v>
      </c>
      <c r="AB3343" s="12">
        <v>0</v>
      </c>
    </row>
    <row r="3344" spans="1:28" x14ac:dyDescent="0.2">
      <c r="A3344" s="7">
        <v>22887</v>
      </c>
      <c r="B3344" s="8" t="s">
        <v>21082</v>
      </c>
      <c r="C3344" s="8" t="s">
        <v>10099</v>
      </c>
      <c r="D3344" s="8" t="s">
        <v>2662</v>
      </c>
      <c r="E3344" s="8" t="s">
        <v>135</v>
      </c>
      <c r="F3344" s="8" t="s">
        <v>10102</v>
      </c>
      <c r="G3344" s="8" t="s">
        <v>556</v>
      </c>
      <c r="H3344" s="8" t="s">
        <v>557</v>
      </c>
      <c r="I3344" s="8" t="s">
        <v>10103</v>
      </c>
      <c r="J3344" s="8" t="s">
        <v>21083</v>
      </c>
      <c r="K3344" s="8" t="s">
        <v>560</v>
      </c>
      <c r="L3344" s="8" t="s">
        <v>229</v>
      </c>
      <c r="M3344" s="8" t="s">
        <v>21084</v>
      </c>
      <c r="N3344" s="8" t="s">
        <v>128</v>
      </c>
      <c r="O3344" s="8" t="s">
        <v>21085</v>
      </c>
      <c r="P3344" s="8" t="s">
        <v>21086</v>
      </c>
      <c r="Q3344" s="8" t="s">
        <v>150</v>
      </c>
      <c r="R3344" s="8"/>
      <c r="S3344" s="8" t="s">
        <v>71</v>
      </c>
      <c r="T3344" s="8" t="s">
        <v>70</v>
      </c>
      <c r="U3344" s="8" t="s">
        <v>150</v>
      </c>
      <c r="V3344" s="8" t="s">
        <v>70</v>
      </c>
      <c r="W3344" s="8" t="s">
        <v>70</v>
      </c>
      <c r="X3344" s="8">
        <v>3</v>
      </c>
      <c r="Y3344" s="8" t="s">
        <v>12359</v>
      </c>
      <c r="Z3344" s="8">
        <v>20</v>
      </c>
      <c r="AA3344" s="8">
        <v>0</v>
      </c>
      <c r="AB3344" s="9">
        <v>0</v>
      </c>
    </row>
    <row r="3345" spans="1:28" x14ac:dyDescent="0.2">
      <c r="A3345" s="10">
        <v>23337</v>
      </c>
      <c r="B3345" s="11" t="s">
        <v>21087</v>
      </c>
      <c r="C3345" s="11" t="s">
        <v>21088</v>
      </c>
      <c r="D3345" s="11" t="s">
        <v>2454</v>
      </c>
      <c r="E3345" s="11" t="s">
        <v>20015</v>
      </c>
      <c r="F3345" s="11" t="s">
        <v>15918</v>
      </c>
      <c r="G3345" s="11" t="s">
        <v>6005</v>
      </c>
      <c r="H3345" s="11" t="s">
        <v>5805</v>
      </c>
      <c r="I3345" s="11" t="s">
        <v>21089</v>
      </c>
      <c r="J3345" s="11" t="s">
        <v>21090</v>
      </c>
      <c r="K3345" s="11" t="s">
        <v>274</v>
      </c>
      <c r="L3345" s="11" t="s">
        <v>163</v>
      </c>
      <c r="M3345" s="11" t="s">
        <v>21091</v>
      </c>
      <c r="N3345" s="11" t="s">
        <v>128</v>
      </c>
      <c r="O3345" s="11" t="s">
        <v>21092</v>
      </c>
      <c r="P3345" s="11" t="s">
        <v>16996</v>
      </c>
      <c r="Q3345" s="11" t="s">
        <v>150</v>
      </c>
      <c r="R3345" s="11"/>
      <c r="S3345" s="11" t="s">
        <v>15924</v>
      </c>
      <c r="T3345" s="11" t="s">
        <v>70</v>
      </c>
      <c r="U3345" s="11" t="s">
        <v>150</v>
      </c>
      <c r="V3345" s="11" t="s">
        <v>70</v>
      </c>
      <c r="W3345" s="11" t="s">
        <v>70</v>
      </c>
      <c r="X3345" s="11">
        <v>3</v>
      </c>
      <c r="Y3345" s="11" t="s">
        <v>12359</v>
      </c>
      <c r="Z3345" s="11">
        <v>20</v>
      </c>
      <c r="AA3345" s="11">
        <v>0</v>
      </c>
      <c r="AB3345" s="12">
        <v>0</v>
      </c>
    </row>
    <row r="3346" spans="1:28" x14ac:dyDescent="0.2">
      <c r="A3346" s="7">
        <v>22920</v>
      </c>
      <c r="B3346" s="8" t="s">
        <v>21093</v>
      </c>
      <c r="C3346" s="8" t="s">
        <v>1136</v>
      </c>
      <c r="D3346" s="8" t="s">
        <v>235</v>
      </c>
      <c r="E3346" s="8" t="s">
        <v>21094</v>
      </c>
      <c r="F3346" s="8" t="s">
        <v>8852</v>
      </c>
      <c r="G3346" s="8" t="s">
        <v>2652</v>
      </c>
      <c r="H3346" s="8" t="s">
        <v>1843</v>
      </c>
      <c r="I3346" s="8" t="s">
        <v>8853</v>
      </c>
      <c r="J3346" s="8" t="s">
        <v>8854</v>
      </c>
      <c r="K3346" s="8" t="s">
        <v>1562</v>
      </c>
      <c r="L3346" s="8" t="s">
        <v>229</v>
      </c>
      <c r="M3346" s="8" t="s">
        <v>21095</v>
      </c>
      <c r="N3346" s="8" t="s">
        <v>128</v>
      </c>
      <c r="O3346" s="8" t="s">
        <v>21096</v>
      </c>
      <c r="P3346" s="8" t="s">
        <v>15572</v>
      </c>
      <c r="Q3346" s="8" t="s">
        <v>150</v>
      </c>
      <c r="R3346" s="8"/>
      <c r="S3346" s="8" t="s">
        <v>8858</v>
      </c>
      <c r="T3346" s="8" t="s">
        <v>70</v>
      </c>
      <c r="U3346" s="8" t="s">
        <v>150</v>
      </c>
      <c r="V3346" s="8" t="s">
        <v>70</v>
      </c>
      <c r="W3346" s="8" t="s">
        <v>70</v>
      </c>
      <c r="X3346" s="8">
        <v>3</v>
      </c>
      <c r="Y3346" s="8" t="s">
        <v>12359</v>
      </c>
      <c r="Z3346" s="8">
        <v>20</v>
      </c>
      <c r="AA3346" s="8">
        <v>0</v>
      </c>
      <c r="AB3346" s="9">
        <v>0</v>
      </c>
    </row>
    <row r="3347" spans="1:28" x14ac:dyDescent="0.2">
      <c r="A3347" s="10">
        <v>22953</v>
      </c>
      <c r="B3347" s="11" t="s">
        <v>21097</v>
      </c>
      <c r="C3347" s="11" t="s">
        <v>14128</v>
      </c>
      <c r="D3347" s="11" t="s">
        <v>14129</v>
      </c>
      <c r="E3347" s="11" t="s">
        <v>21098</v>
      </c>
      <c r="F3347" s="11" t="s">
        <v>11403</v>
      </c>
      <c r="G3347" s="11" t="s">
        <v>556</v>
      </c>
      <c r="H3347" s="11" t="s">
        <v>557</v>
      </c>
      <c r="I3347" s="11" t="s">
        <v>21099</v>
      </c>
      <c r="J3347" s="11" t="s">
        <v>14132</v>
      </c>
      <c r="K3347" s="11" t="s">
        <v>560</v>
      </c>
      <c r="L3347" s="11" t="s">
        <v>229</v>
      </c>
      <c r="M3347" s="11" t="s">
        <v>21100</v>
      </c>
      <c r="N3347" s="11" t="s">
        <v>128</v>
      </c>
      <c r="O3347" s="11" t="s">
        <v>21101</v>
      </c>
      <c r="P3347" s="11" t="s">
        <v>15136</v>
      </c>
      <c r="Q3347" s="11" t="s">
        <v>150</v>
      </c>
      <c r="R3347" s="11"/>
      <c r="S3347" s="11" t="s">
        <v>14136</v>
      </c>
      <c r="T3347" s="11" t="s">
        <v>70</v>
      </c>
      <c r="U3347" s="11" t="s">
        <v>150</v>
      </c>
      <c r="V3347" s="11" t="s">
        <v>70</v>
      </c>
      <c r="W3347" s="11" t="s">
        <v>70</v>
      </c>
      <c r="X3347" s="11">
        <v>3</v>
      </c>
      <c r="Y3347" s="11" t="s">
        <v>12359</v>
      </c>
      <c r="Z3347" s="11">
        <v>20</v>
      </c>
      <c r="AA3347" s="11">
        <v>0</v>
      </c>
      <c r="AB3347" s="12">
        <v>0</v>
      </c>
    </row>
    <row r="3348" spans="1:28" x14ac:dyDescent="0.2">
      <c r="A3348" s="7">
        <v>23206</v>
      </c>
      <c r="B3348" s="8" t="s">
        <v>21102</v>
      </c>
      <c r="C3348" s="8" t="s">
        <v>9674</v>
      </c>
      <c r="D3348" s="8" t="s">
        <v>9675</v>
      </c>
      <c r="E3348" s="8" t="s">
        <v>21103</v>
      </c>
      <c r="F3348" s="8" t="s">
        <v>237</v>
      </c>
      <c r="G3348" s="8" t="s">
        <v>141</v>
      </c>
      <c r="H3348" s="8" t="s">
        <v>142</v>
      </c>
      <c r="I3348" s="8" t="s">
        <v>9676</v>
      </c>
      <c r="J3348" s="8" t="s">
        <v>21104</v>
      </c>
      <c r="K3348" s="8" t="s">
        <v>216</v>
      </c>
      <c r="L3348" s="8" t="s">
        <v>146</v>
      </c>
      <c r="M3348" s="8" t="s">
        <v>21105</v>
      </c>
      <c r="N3348" s="8" t="s">
        <v>128</v>
      </c>
      <c r="O3348" s="8" t="s">
        <v>21106</v>
      </c>
      <c r="P3348" s="8" t="s">
        <v>21107</v>
      </c>
      <c r="Q3348" s="8" t="s">
        <v>150</v>
      </c>
      <c r="R3348" s="8"/>
      <c r="S3348" s="8" t="s">
        <v>9680</v>
      </c>
      <c r="T3348" s="8" t="s">
        <v>70</v>
      </c>
      <c r="U3348" s="8" t="s">
        <v>150</v>
      </c>
      <c r="V3348" s="8" t="s">
        <v>70</v>
      </c>
      <c r="W3348" s="8" t="s">
        <v>70</v>
      </c>
      <c r="X3348" s="8">
        <v>3</v>
      </c>
      <c r="Y3348" s="8" t="s">
        <v>12359</v>
      </c>
      <c r="Z3348" s="8">
        <v>20</v>
      </c>
      <c r="AA3348" s="8">
        <v>0</v>
      </c>
      <c r="AB3348" s="9">
        <v>0</v>
      </c>
    </row>
    <row r="3349" spans="1:28" x14ac:dyDescent="0.2">
      <c r="A3349" s="10">
        <v>106020</v>
      </c>
      <c r="B3349" s="11" t="s">
        <v>21108</v>
      </c>
      <c r="C3349" s="11" t="s">
        <v>17440</v>
      </c>
      <c r="D3349" s="11" t="s">
        <v>138</v>
      </c>
      <c r="E3349" s="11"/>
      <c r="F3349" s="11" t="s">
        <v>353</v>
      </c>
      <c r="G3349" s="11" t="s">
        <v>17442</v>
      </c>
      <c r="H3349" s="11" t="s">
        <v>5805</v>
      </c>
      <c r="I3349" s="11" t="s">
        <v>21109</v>
      </c>
      <c r="J3349" s="11" t="s">
        <v>21110</v>
      </c>
      <c r="K3349" s="11" t="s">
        <v>274</v>
      </c>
      <c r="L3349" s="11" t="s">
        <v>163</v>
      </c>
      <c r="M3349" s="11" t="s">
        <v>21111</v>
      </c>
      <c r="N3349" s="11" t="s">
        <v>128</v>
      </c>
      <c r="O3349" s="11" t="s">
        <v>21112</v>
      </c>
      <c r="P3349" s="11" t="s">
        <v>3545</v>
      </c>
      <c r="Q3349" s="11" t="s">
        <v>150</v>
      </c>
      <c r="R3349" s="11"/>
      <c r="S3349" s="11" t="s">
        <v>71</v>
      </c>
      <c r="T3349" s="11" t="s">
        <v>70</v>
      </c>
      <c r="U3349" s="11" t="s">
        <v>150</v>
      </c>
      <c r="V3349" s="11" t="s">
        <v>70</v>
      </c>
      <c r="W3349" s="11" t="s">
        <v>70</v>
      </c>
      <c r="X3349" s="11">
        <v>3</v>
      </c>
      <c r="Y3349" s="11" t="s">
        <v>12359</v>
      </c>
      <c r="Z3349" s="11">
        <v>20</v>
      </c>
      <c r="AA3349" s="11">
        <v>0</v>
      </c>
      <c r="AB3349" s="12">
        <v>0</v>
      </c>
    </row>
    <row r="3350" spans="1:28" x14ac:dyDescent="0.2">
      <c r="A3350" s="7">
        <v>28415</v>
      </c>
      <c r="B3350" s="8" t="s">
        <v>21113</v>
      </c>
      <c r="C3350" s="8" t="s">
        <v>4099</v>
      </c>
      <c r="D3350" s="8" t="s">
        <v>2181</v>
      </c>
      <c r="E3350" s="8"/>
      <c r="F3350" s="8" t="s">
        <v>353</v>
      </c>
      <c r="G3350" s="8" t="s">
        <v>19623</v>
      </c>
      <c r="H3350" s="8" t="s">
        <v>142</v>
      </c>
      <c r="I3350" s="8" t="s">
        <v>21114</v>
      </c>
      <c r="J3350" s="8" t="s">
        <v>21115</v>
      </c>
      <c r="K3350" s="8" t="s">
        <v>1673</v>
      </c>
      <c r="L3350" s="8" t="s">
        <v>464</v>
      </c>
      <c r="M3350" s="8" t="s">
        <v>21116</v>
      </c>
      <c r="N3350" s="8" t="s">
        <v>128</v>
      </c>
      <c r="O3350" s="8" t="s">
        <v>21117</v>
      </c>
      <c r="P3350" s="8" t="s">
        <v>9350</v>
      </c>
      <c r="Q3350" s="8" t="s">
        <v>150</v>
      </c>
      <c r="R3350" s="8"/>
      <c r="S3350" s="8" t="s">
        <v>71</v>
      </c>
      <c r="T3350" s="8" t="s">
        <v>70</v>
      </c>
      <c r="U3350" s="8" t="s">
        <v>150</v>
      </c>
      <c r="V3350" s="8" t="s">
        <v>70</v>
      </c>
      <c r="W3350" s="8" t="s">
        <v>70</v>
      </c>
      <c r="X3350" s="8">
        <v>3</v>
      </c>
      <c r="Y3350" s="8" t="s">
        <v>12359</v>
      </c>
      <c r="Z3350" s="8">
        <v>20</v>
      </c>
      <c r="AA3350" s="8">
        <v>0</v>
      </c>
      <c r="AB3350" s="9">
        <v>0</v>
      </c>
    </row>
    <row r="3351" spans="1:28" x14ac:dyDescent="0.2">
      <c r="A3351" s="10">
        <v>28426</v>
      </c>
      <c r="B3351" s="11" t="s">
        <v>21118</v>
      </c>
      <c r="C3351" s="11" t="s">
        <v>10209</v>
      </c>
      <c r="D3351" s="11" t="s">
        <v>197</v>
      </c>
      <c r="E3351" s="11"/>
      <c r="F3351" s="11" t="s">
        <v>353</v>
      </c>
      <c r="G3351" s="11" t="s">
        <v>2166</v>
      </c>
      <c r="H3351" s="11" t="s">
        <v>142</v>
      </c>
      <c r="I3351" s="11" t="s">
        <v>5091</v>
      </c>
      <c r="J3351" s="11" t="s">
        <v>21119</v>
      </c>
      <c r="K3351" s="11" t="s">
        <v>1199</v>
      </c>
      <c r="L3351" s="11" t="s">
        <v>464</v>
      </c>
      <c r="M3351" s="11" t="s">
        <v>21120</v>
      </c>
      <c r="N3351" s="11" t="s">
        <v>128</v>
      </c>
      <c r="O3351" s="11" t="s">
        <v>21121</v>
      </c>
      <c r="P3351" s="11" t="s">
        <v>21122</v>
      </c>
      <c r="Q3351" s="11" t="s">
        <v>150</v>
      </c>
      <c r="R3351" s="11"/>
      <c r="S3351" s="11" t="s">
        <v>71</v>
      </c>
      <c r="T3351" s="11" t="s">
        <v>70</v>
      </c>
      <c r="U3351" s="11" t="s">
        <v>150</v>
      </c>
      <c r="V3351" s="11" t="s">
        <v>70</v>
      </c>
      <c r="W3351" s="11" t="s">
        <v>70</v>
      </c>
      <c r="X3351" s="11">
        <v>3</v>
      </c>
      <c r="Y3351" s="11" t="s">
        <v>12359</v>
      </c>
      <c r="Z3351" s="11">
        <v>20</v>
      </c>
      <c r="AA3351" s="11">
        <v>0</v>
      </c>
      <c r="AB3351" s="12">
        <v>0</v>
      </c>
    </row>
    <row r="3352" spans="1:28" x14ac:dyDescent="0.2">
      <c r="A3352" s="7">
        <v>92910</v>
      </c>
      <c r="B3352" s="8" t="s">
        <v>21123</v>
      </c>
      <c r="C3352" s="8" t="s">
        <v>21124</v>
      </c>
      <c r="D3352" s="8" t="s">
        <v>18985</v>
      </c>
      <c r="E3352" s="8"/>
      <c r="F3352" s="8" t="s">
        <v>353</v>
      </c>
      <c r="G3352" s="8" t="s">
        <v>7808</v>
      </c>
      <c r="H3352" s="8" t="s">
        <v>142</v>
      </c>
      <c r="I3352" s="8" t="s">
        <v>21125</v>
      </c>
      <c r="J3352" s="8" t="s">
        <v>21126</v>
      </c>
      <c r="K3352" s="8" t="s">
        <v>779</v>
      </c>
      <c r="L3352" s="8" t="s">
        <v>464</v>
      </c>
      <c r="M3352" s="8" t="s">
        <v>21127</v>
      </c>
      <c r="N3352" s="8" t="s">
        <v>128</v>
      </c>
      <c r="O3352" s="8" t="s">
        <v>21128</v>
      </c>
      <c r="P3352" s="8" t="s">
        <v>21129</v>
      </c>
      <c r="Q3352" s="8" t="s">
        <v>150</v>
      </c>
      <c r="R3352" s="8"/>
      <c r="S3352" s="8" t="s">
        <v>71</v>
      </c>
      <c r="T3352" s="8" t="s">
        <v>70</v>
      </c>
      <c r="U3352" s="8" t="s">
        <v>150</v>
      </c>
      <c r="V3352" s="8" t="s">
        <v>70</v>
      </c>
      <c r="W3352" s="8" t="s">
        <v>70</v>
      </c>
      <c r="X3352" s="8">
        <v>3</v>
      </c>
      <c r="Y3352" s="8" t="s">
        <v>12359</v>
      </c>
      <c r="Z3352" s="8">
        <v>20</v>
      </c>
      <c r="AA3352" s="8">
        <v>0</v>
      </c>
      <c r="AB3352" s="9">
        <v>0</v>
      </c>
    </row>
    <row r="3353" spans="1:28" x14ac:dyDescent="0.2">
      <c r="A3353" s="10">
        <v>22910</v>
      </c>
      <c r="B3353" s="11" t="s">
        <v>21130</v>
      </c>
      <c r="C3353" s="11" t="s">
        <v>18240</v>
      </c>
      <c r="D3353" s="11" t="s">
        <v>12334</v>
      </c>
      <c r="E3353" s="11"/>
      <c r="F3353" s="11" t="s">
        <v>3273</v>
      </c>
      <c r="G3353" s="11" t="s">
        <v>3274</v>
      </c>
      <c r="H3353" s="11" t="s">
        <v>329</v>
      </c>
      <c r="I3353" s="11" t="s">
        <v>4192</v>
      </c>
      <c r="J3353" s="11" t="s">
        <v>21131</v>
      </c>
      <c r="K3353" s="11" t="s">
        <v>431</v>
      </c>
      <c r="L3353" s="11" t="s">
        <v>333</v>
      </c>
      <c r="M3353" s="11" t="s">
        <v>21132</v>
      </c>
      <c r="N3353" s="11" t="s">
        <v>128</v>
      </c>
      <c r="O3353" s="11" t="s">
        <v>21133</v>
      </c>
      <c r="P3353" s="11" t="s">
        <v>14504</v>
      </c>
      <c r="Q3353" s="11" t="s">
        <v>150</v>
      </c>
      <c r="R3353" s="11"/>
      <c r="S3353" s="11" t="s">
        <v>71</v>
      </c>
      <c r="T3353" s="11" t="s">
        <v>70</v>
      </c>
      <c r="U3353" s="11" t="s">
        <v>150</v>
      </c>
      <c r="V3353" s="11" t="s">
        <v>70</v>
      </c>
      <c r="W3353" s="11" t="s">
        <v>70</v>
      </c>
      <c r="X3353" s="11">
        <v>3</v>
      </c>
      <c r="Y3353" s="11" t="s">
        <v>12359</v>
      </c>
      <c r="Z3353" s="11">
        <v>20</v>
      </c>
      <c r="AA3353" s="11">
        <v>0</v>
      </c>
      <c r="AB3353" s="12">
        <v>0</v>
      </c>
    </row>
    <row r="3354" spans="1:28" x14ac:dyDescent="0.2">
      <c r="A3354" s="7">
        <v>107206</v>
      </c>
      <c r="B3354" s="8" t="s">
        <v>21134</v>
      </c>
      <c r="C3354" s="8" t="s">
        <v>21135</v>
      </c>
      <c r="D3354" s="8" t="s">
        <v>9429</v>
      </c>
      <c r="E3354" s="8"/>
      <c r="F3354" s="8" t="s">
        <v>353</v>
      </c>
      <c r="G3354" s="8" t="s">
        <v>615</v>
      </c>
      <c r="H3354" s="8" t="s">
        <v>616</v>
      </c>
      <c r="I3354" s="8" t="s">
        <v>21136</v>
      </c>
      <c r="J3354" s="8" t="s">
        <v>21137</v>
      </c>
      <c r="K3354" s="8" t="s">
        <v>619</v>
      </c>
      <c r="L3354" s="8" t="s">
        <v>163</v>
      </c>
      <c r="M3354" s="8" t="s">
        <v>21138</v>
      </c>
      <c r="N3354" s="8" t="s">
        <v>128</v>
      </c>
      <c r="O3354" s="8" t="s">
        <v>21139</v>
      </c>
      <c r="P3354" s="8" t="s">
        <v>21140</v>
      </c>
      <c r="Q3354" s="8" t="s">
        <v>150</v>
      </c>
      <c r="R3354" s="8"/>
      <c r="S3354" s="8" t="s">
        <v>21141</v>
      </c>
      <c r="T3354" s="8" t="s">
        <v>70</v>
      </c>
      <c r="U3354" s="8" t="s">
        <v>150</v>
      </c>
      <c r="V3354" s="8" t="s">
        <v>70</v>
      </c>
      <c r="W3354" s="8" t="s">
        <v>70</v>
      </c>
      <c r="X3354" s="8">
        <v>3</v>
      </c>
      <c r="Y3354" s="8" t="s">
        <v>12359</v>
      </c>
      <c r="Z3354" s="8">
        <v>20</v>
      </c>
      <c r="AA3354" s="8">
        <v>0</v>
      </c>
      <c r="AB3354" s="9">
        <v>0</v>
      </c>
    </row>
    <row r="3355" spans="1:28" x14ac:dyDescent="0.2">
      <c r="A3355" s="10">
        <v>23436</v>
      </c>
      <c r="B3355" s="11" t="s">
        <v>21142</v>
      </c>
      <c r="C3355" s="11" t="s">
        <v>12135</v>
      </c>
      <c r="D3355" s="11" t="s">
        <v>340</v>
      </c>
      <c r="E3355" s="11" t="s">
        <v>702</v>
      </c>
      <c r="F3355" s="11" t="s">
        <v>353</v>
      </c>
      <c r="G3355" s="11" t="s">
        <v>400</v>
      </c>
      <c r="H3355" s="11" t="s">
        <v>142</v>
      </c>
      <c r="I3355" s="11" t="s">
        <v>12137</v>
      </c>
      <c r="J3355" s="11" t="s">
        <v>12138</v>
      </c>
      <c r="K3355" s="11" t="s">
        <v>403</v>
      </c>
      <c r="L3355" s="11" t="s">
        <v>146</v>
      </c>
      <c r="M3355" s="11" t="s">
        <v>21143</v>
      </c>
      <c r="N3355" s="11" t="s">
        <v>128</v>
      </c>
      <c r="O3355" s="11" t="s">
        <v>21144</v>
      </c>
      <c r="P3355" s="11" t="s">
        <v>21145</v>
      </c>
      <c r="Q3355" s="11" t="s">
        <v>150</v>
      </c>
      <c r="R3355" s="11"/>
      <c r="S3355" s="11" t="s">
        <v>71</v>
      </c>
      <c r="T3355" s="11" t="s">
        <v>1415</v>
      </c>
      <c r="U3355" s="11" t="s">
        <v>150</v>
      </c>
      <c r="V3355" s="11" t="s">
        <v>1415</v>
      </c>
      <c r="W3355" s="11" t="s">
        <v>1415</v>
      </c>
      <c r="X3355" s="11">
        <v>3</v>
      </c>
      <c r="Y3355" s="11" t="s">
        <v>12359</v>
      </c>
      <c r="Z3355" s="11">
        <v>20</v>
      </c>
      <c r="AA3355" s="11">
        <v>0</v>
      </c>
      <c r="AB3355" s="12">
        <v>0</v>
      </c>
    </row>
    <row r="3356" spans="1:28" x14ac:dyDescent="0.2">
      <c r="A3356" s="7">
        <v>85447</v>
      </c>
      <c r="B3356" s="8" t="s">
        <v>21146</v>
      </c>
      <c r="C3356" s="8" t="s">
        <v>3769</v>
      </c>
      <c r="D3356" s="8" t="s">
        <v>4037</v>
      </c>
      <c r="E3356" s="8" t="s">
        <v>21147</v>
      </c>
      <c r="F3356" s="8" t="s">
        <v>353</v>
      </c>
      <c r="G3356" s="8" t="s">
        <v>21148</v>
      </c>
      <c r="H3356" s="8" t="s">
        <v>142</v>
      </c>
      <c r="I3356" s="8" t="s">
        <v>19971</v>
      </c>
      <c r="J3356" s="8" t="s">
        <v>21149</v>
      </c>
      <c r="K3356" s="8" t="s">
        <v>1199</v>
      </c>
      <c r="L3356" s="8" t="s">
        <v>464</v>
      </c>
      <c r="M3356" s="8" t="s">
        <v>21150</v>
      </c>
      <c r="N3356" s="8" t="s">
        <v>128</v>
      </c>
      <c r="O3356" s="8" t="s">
        <v>21151</v>
      </c>
      <c r="P3356" s="8" t="s">
        <v>21152</v>
      </c>
      <c r="Q3356" s="8" t="s">
        <v>150</v>
      </c>
      <c r="R3356" s="8"/>
      <c r="S3356" s="8" t="s">
        <v>71</v>
      </c>
      <c r="T3356" s="8" t="s">
        <v>1415</v>
      </c>
      <c r="U3356" s="8" t="s">
        <v>150</v>
      </c>
      <c r="V3356" s="8" t="s">
        <v>1415</v>
      </c>
      <c r="W3356" s="8" t="s">
        <v>1415</v>
      </c>
      <c r="X3356" s="8">
        <v>3</v>
      </c>
      <c r="Y3356" s="8" t="s">
        <v>12359</v>
      </c>
      <c r="Z3356" s="8">
        <v>20</v>
      </c>
      <c r="AA3356" s="8">
        <v>0</v>
      </c>
      <c r="AB3356" s="9">
        <v>0</v>
      </c>
    </row>
    <row r="3357" spans="1:28" x14ac:dyDescent="0.2">
      <c r="A3357" s="10">
        <v>28721</v>
      </c>
      <c r="B3357" s="11" t="s">
        <v>21153</v>
      </c>
      <c r="C3357" s="11" t="s">
        <v>409</v>
      </c>
      <c r="D3357" s="11" t="s">
        <v>21154</v>
      </c>
      <c r="E3357" s="11"/>
      <c r="F3357" s="11" t="s">
        <v>353</v>
      </c>
      <c r="G3357" s="11" t="s">
        <v>21155</v>
      </c>
      <c r="H3357" s="11" t="s">
        <v>142</v>
      </c>
      <c r="I3357" s="11" t="s">
        <v>21156</v>
      </c>
      <c r="J3357" s="11" t="s">
        <v>21157</v>
      </c>
      <c r="K3357" s="11" t="s">
        <v>1199</v>
      </c>
      <c r="L3357" s="11" t="s">
        <v>464</v>
      </c>
      <c r="M3357" s="11" t="s">
        <v>21158</v>
      </c>
      <c r="N3357" s="11" t="s">
        <v>128</v>
      </c>
      <c r="O3357" s="11" t="s">
        <v>21159</v>
      </c>
      <c r="P3357" s="11" t="s">
        <v>21160</v>
      </c>
      <c r="Q3357" s="11" t="s">
        <v>150</v>
      </c>
      <c r="R3357" s="11"/>
      <c r="S3357" s="11" t="s">
        <v>71</v>
      </c>
      <c r="T3357" s="11" t="s">
        <v>1415</v>
      </c>
      <c r="U3357" s="11" t="s">
        <v>150</v>
      </c>
      <c r="V3357" s="11" t="s">
        <v>1415</v>
      </c>
      <c r="W3357" s="11" t="s">
        <v>1415</v>
      </c>
      <c r="X3357" s="11">
        <v>3</v>
      </c>
      <c r="Y3357" s="11" t="s">
        <v>12359</v>
      </c>
      <c r="Z3357" s="11">
        <v>20</v>
      </c>
      <c r="AA3357" s="11">
        <v>0</v>
      </c>
      <c r="AB3357" s="12">
        <v>0</v>
      </c>
    </row>
    <row r="3358" spans="1:28" x14ac:dyDescent="0.2">
      <c r="A3358" s="7">
        <v>23422</v>
      </c>
      <c r="B3358" s="8" t="s">
        <v>21161</v>
      </c>
      <c r="C3358" s="8" t="s">
        <v>15751</v>
      </c>
      <c r="D3358" s="8" t="s">
        <v>826</v>
      </c>
      <c r="E3358" s="8"/>
      <c r="F3358" s="8" t="s">
        <v>353</v>
      </c>
      <c r="G3358" s="8" t="s">
        <v>20852</v>
      </c>
      <c r="H3358" s="8" t="s">
        <v>142</v>
      </c>
      <c r="I3358" s="8" t="s">
        <v>21162</v>
      </c>
      <c r="J3358" s="8" t="s">
        <v>21163</v>
      </c>
      <c r="K3358" s="8" t="s">
        <v>1199</v>
      </c>
      <c r="L3358" s="8" t="s">
        <v>464</v>
      </c>
      <c r="M3358" s="8" t="s">
        <v>21164</v>
      </c>
      <c r="N3358" s="8" t="s">
        <v>128</v>
      </c>
      <c r="O3358" s="8" t="s">
        <v>21165</v>
      </c>
      <c r="P3358" s="8" t="s">
        <v>21166</v>
      </c>
      <c r="Q3358" s="8" t="s">
        <v>150</v>
      </c>
      <c r="R3358" s="8"/>
      <c r="S3358" s="8" t="s">
        <v>71</v>
      </c>
      <c r="T3358" s="8" t="s">
        <v>1415</v>
      </c>
      <c r="U3358" s="8" t="s">
        <v>150</v>
      </c>
      <c r="V3358" s="8" t="s">
        <v>1415</v>
      </c>
      <c r="W3358" s="8" t="s">
        <v>1415</v>
      </c>
      <c r="X3358" s="8">
        <v>3</v>
      </c>
      <c r="Y3358" s="8" t="s">
        <v>12359</v>
      </c>
      <c r="Z3358" s="8">
        <v>20</v>
      </c>
      <c r="AA3358" s="8">
        <v>0</v>
      </c>
      <c r="AB3358" s="9">
        <v>0</v>
      </c>
    </row>
    <row r="3359" spans="1:28" x14ac:dyDescent="0.2">
      <c r="A3359" s="10">
        <v>23433</v>
      </c>
      <c r="B3359" s="11" t="s">
        <v>21167</v>
      </c>
      <c r="C3359" s="11" t="s">
        <v>20874</v>
      </c>
      <c r="D3359" s="11" t="s">
        <v>1464</v>
      </c>
      <c r="E3359" s="11"/>
      <c r="F3359" s="11" t="s">
        <v>353</v>
      </c>
      <c r="G3359" s="11" t="s">
        <v>21168</v>
      </c>
      <c r="H3359" s="11" t="s">
        <v>142</v>
      </c>
      <c r="I3359" s="11" t="s">
        <v>20876</v>
      </c>
      <c r="J3359" s="11" t="s">
        <v>21169</v>
      </c>
      <c r="K3359" s="11" t="s">
        <v>1199</v>
      </c>
      <c r="L3359" s="11" t="s">
        <v>464</v>
      </c>
      <c r="M3359" s="11" t="s">
        <v>21170</v>
      </c>
      <c r="N3359" s="11" t="s">
        <v>128</v>
      </c>
      <c r="O3359" s="11" t="s">
        <v>21171</v>
      </c>
      <c r="P3359" s="11" t="s">
        <v>21172</v>
      </c>
      <c r="Q3359" s="11" t="s">
        <v>150</v>
      </c>
      <c r="R3359" s="11"/>
      <c r="S3359" s="11" t="s">
        <v>71</v>
      </c>
      <c r="T3359" s="11" t="s">
        <v>1415</v>
      </c>
      <c r="U3359" s="11" t="s">
        <v>150</v>
      </c>
      <c r="V3359" s="11" t="s">
        <v>1415</v>
      </c>
      <c r="W3359" s="11" t="s">
        <v>1415</v>
      </c>
      <c r="X3359" s="11">
        <v>3</v>
      </c>
      <c r="Y3359" s="11" t="s">
        <v>12359</v>
      </c>
      <c r="Z3359" s="11">
        <v>20</v>
      </c>
      <c r="AA3359" s="11">
        <v>0</v>
      </c>
      <c r="AB3359" s="12">
        <v>0</v>
      </c>
    </row>
    <row r="3360" spans="1:28" x14ac:dyDescent="0.2">
      <c r="A3360" s="7">
        <v>28689</v>
      </c>
      <c r="B3360" s="8" t="s">
        <v>21173</v>
      </c>
      <c r="C3360" s="8" t="s">
        <v>21174</v>
      </c>
      <c r="D3360" s="8" t="s">
        <v>6019</v>
      </c>
      <c r="E3360" s="8"/>
      <c r="F3360" s="8" t="s">
        <v>21175</v>
      </c>
      <c r="G3360" s="8" t="s">
        <v>1429</v>
      </c>
      <c r="H3360" s="8" t="s">
        <v>142</v>
      </c>
      <c r="I3360" s="8" t="s">
        <v>21176</v>
      </c>
      <c r="J3360" s="8" t="s">
        <v>21177</v>
      </c>
      <c r="K3360" s="8" t="s">
        <v>1199</v>
      </c>
      <c r="L3360" s="8" t="s">
        <v>464</v>
      </c>
      <c r="M3360" s="8" t="s">
        <v>21178</v>
      </c>
      <c r="N3360" s="8" t="s">
        <v>128</v>
      </c>
      <c r="O3360" s="8" t="s">
        <v>21179</v>
      </c>
      <c r="P3360" s="8" t="s">
        <v>21180</v>
      </c>
      <c r="Q3360" s="8" t="s">
        <v>150</v>
      </c>
      <c r="R3360" s="8"/>
      <c r="S3360" s="8" t="s">
        <v>71</v>
      </c>
      <c r="T3360" s="8" t="s">
        <v>1415</v>
      </c>
      <c r="U3360" s="8" t="s">
        <v>150</v>
      </c>
      <c r="V3360" s="8" t="s">
        <v>1415</v>
      </c>
      <c r="W3360" s="8" t="s">
        <v>1415</v>
      </c>
      <c r="X3360" s="8">
        <v>3</v>
      </c>
      <c r="Y3360" s="8" t="s">
        <v>12359</v>
      </c>
      <c r="Z3360" s="8">
        <v>20</v>
      </c>
      <c r="AA3360" s="8">
        <v>0</v>
      </c>
      <c r="AB3360" s="9">
        <v>0</v>
      </c>
    </row>
    <row r="3361" spans="1:28" x14ac:dyDescent="0.2">
      <c r="A3361" s="10">
        <v>235534</v>
      </c>
      <c r="B3361" s="11" t="s">
        <v>21181</v>
      </c>
      <c r="C3361" s="11" t="s">
        <v>10951</v>
      </c>
      <c r="D3361" s="11" t="s">
        <v>8205</v>
      </c>
      <c r="E3361" s="11" t="s">
        <v>21182</v>
      </c>
      <c r="F3361" s="11" t="s">
        <v>12190</v>
      </c>
      <c r="G3361" s="11" t="s">
        <v>10952</v>
      </c>
      <c r="H3361" s="11" t="s">
        <v>1843</v>
      </c>
      <c r="I3361" s="11" t="s">
        <v>10953</v>
      </c>
      <c r="J3361" s="11" t="s">
        <v>21183</v>
      </c>
      <c r="K3361" s="11" t="s">
        <v>1562</v>
      </c>
      <c r="L3361" s="11" t="s">
        <v>229</v>
      </c>
      <c r="M3361" s="11" t="s">
        <v>21184</v>
      </c>
      <c r="N3361" s="11" t="s">
        <v>128</v>
      </c>
      <c r="O3361" s="11" t="s">
        <v>21185</v>
      </c>
      <c r="P3361" s="11" t="s">
        <v>7378</v>
      </c>
      <c r="Q3361" s="11" t="s">
        <v>150</v>
      </c>
      <c r="R3361" s="11"/>
      <c r="S3361" s="11" t="s">
        <v>71</v>
      </c>
      <c r="T3361" s="11" t="s">
        <v>168</v>
      </c>
      <c r="U3361" s="11" t="s">
        <v>150</v>
      </c>
      <c r="V3361" s="11" t="s">
        <v>168</v>
      </c>
      <c r="W3361" s="11" t="s">
        <v>168</v>
      </c>
      <c r="X3361" s="11">
        <v>3</v>
      </c>
      <c r="Y3361" s="11" t="s">
        <v>12359</v>
      </c>
      <c r="Z3361" s="11">
        <v>20</v>
      </c>
      <c r="AA3361" s="11">
        <v>0</v>
      </c>
      <c r="AB3361" s="12">
        <v>0</v>
      </c>
    </row>
    <row r="3362" spans="1:28" x14ac:dyDescent="0.2">
      <c r="A3362" s="7">
        <v>23568</v>
      </c>
      <c r="B3362" s="8" t="s">
        <v>21186</v>
      </c>
      <c r="C3362" s="8" t="s">
        <v>10139</v>
      </c>
      <c r="D3362" s="8" t="s">
        <v>1920</v>
      </c>
      <c r="E3362" s="8"/>
      <c r="F3362" s="8" t="s">
        <v>353</v>
      </c>
      <c r="G3362" s="8" t="s">
        <v>20492</v>
      </c>
      <c r="H3362" s="8" t="s">
        <v>142</v>
      </c>
      <c r="I3362" s="8" t="s">
        <v>21187</v>
      </c>
      <c r="J3362" s="8" t="s">
        <v>21188</v>
      </c>
      <c r="K3362" s="8" t="s">
        <v>779</v>
      </c>
      <c r="L3362" s="8" t="s">
        <v>464</v>
      </c>
      <c r="M3362" s="8" t="s">
        <v>21189</v>
      </c>
      <c r="N3362" s="8" t="s">
        <v>128</v>
      </c>
      <c r="O3362" s="8" t="s">
        <v>21190</v>
      </c>
      <c r="P3362" s="8" t="s">
        <v>7993</v>
      </c>
      <c r="Q3362" s="8" t="s">
        <v>150</v>
      </c>
      <c r="R3362" s="8"/>
      <c r="S3362" s="8" t="s">
        <v>71</v>
      </c>
      <c r="T3362" s="8" t="s">
        <v>168</v>
      </c>
      <c r="U3362" s="8" t="s">
        <v>150</v>
      </c>
      <c r="V3362" s="8" t="s">
        <v>168</v>
      </c>
      <c r="W3362" s="8" t="s">
        <v>168</v>
      </c>
      <c r="X3362" s="8">
        <v>3</v>
      </c>
      <c r="Y3362" s="8" t="s">
        <v>12359</v>
      </c>
      <c r="Z3362" s="8">
        <v>20</v>
      </c>
      <c r="AA3362" s="8">
        <v>0</v>
      </c>
      <c r="AB3362" s="9">
        <v>0</v>
      </c>
    </row>
    <row r="3363" spans="1:28" x14ac:dyDescent="0.2">
      <c r="A3363" s="10">
        <v>23940</v>
      </c>
      <c r="B3363" s="11" t="s">
        <v>21191</v>
      </c>
      <c r="C3363" s="11" t="s">
        <v>19581</v>
      </c>
      <c r="D3363" s="11" t="s">
        <v>2690</v>
      </c>
      <c r="E3363" s="11"/>
      <c r="F3363" s="11" t="s">
        <v>353</v>
      </c>
      <c r="G3363" s="11" t="s">
        <v>19582</v>
      </c>
      <c r="H3363" s="11" t="s">
        <v>847</v>
      </c>
      <c r="I3363" s="11" t="s">
        <v>19583</v>
      </c>
      <c r="J3363" s="11" t="s">
        <v>21192</v>
      </c>
      <c r="K3363" s="11" t="s">
        <v>1091</v>
      </c>
      <c r="L3363" s="11" t="s">
        <v>126</v>
      </c>
      <c r="M3363" s="11" t="s">
        <v>21193</v>
      </c>
      <c r="N3363" s="11" t="s">
        <v>128</v>
      </c>
      <c r="O3363" s="11" t="s">
        <v>21194</v>
      </c>
      <c r="P3363" s="11" t="s">
        <v>7799</v>
      </c>
      <c r="Q3363" s="11" t="s">
        <v>150</v>
      </c>
      <c r="R3363" s="11"/>
      <c r="S3363" s="11" t="s">
        <v>71</v>
      </c>
      <c r="T3363" s="11" t="s">
        <v>168</v>
      </c>
      <c r="U3363" s="11" t="s">
        <v>150</v>
      </c>
      <c r="V3363" s="11" t="s">
        <v>168</v>
      </c>
      <c r="W3363" s="11" t="s">
        <v>168</v>
      </c>
      <c r="X3363" s="11">
        <v>3</v>
      </c>
      <c r="Y3363" s="11" t="s">
        <v>12359</v>
      </c>
      <c r="Z3363" s="11">
        <v>20</v>
      </c>
      <c r="AA3363" s="11">
        <v>0</v>
      </c>
      <c r="AB3363" s="12">
        <v>0</v>
      </c>
    </row>
    <row r="3364" spans="1:28" x14ac:dyDescent="0.2">
      <c r="A3364" s="7">
        <v>23951</v>
      </c>
      <c r="B3364" s="8" t="s">
        <v>21195</v>
      </c>
      <c r="C3364" s="8" t="s">
        <v>8807</v>
      </c>
      <c r="D3364" s="8" t="s">
        <v>13314</v>
      </c>
      <c r="E3364" s="8"/>
      <c r="F3364" s="8" t="s">
        <v>353</v>
      </c>
      <c r="G3364" s="8" t="s">
        <v>20516</v>
      </c>
      <c r="H3364" s="8" t="s">
        <v>142</v>
      </c>
      <c r="I3364" s="8" t="s">
        <v>20517</v>
      </c>
      <c r="J3364" s="8" t="s">
        <v>21196</v>
      </c>
      <c r="K3364" s="8" t="s">
        <v>779</v>
      </c>
      <c r="L3364" s="8" t="s">
        <v>464</v>
      </c>
      <c r="M3364" s="8" t="s">
        <v>21197</v>
      </c>
      <c r="N3364" s="8" t="s">
        <v>128</v>
      </c>
      <c r="O3364" s="8" t="s">
        <v>21198</v>
      </c>
      <c r="P3364" s="8" t="s">
        <v>16426</v>
      </c>
      <c r="Q3364" s="8" t="s">
        <v>150</v>
      </c>
      <c r="R3364" s="8"/>
      <c r="S3364" s="8" t="s">
        <v>71</v>
      </c>
      <c r="T3364" s="8" t="s">
        <v>168</v>
      </c>
      <c r="U3364" s="8" t="s">
        <v>150</v>
      </c>
      <c r="V3364" s="8" t="s">
        <v>168</v>
      </c>
      <c r="W3364" s="8" t="s">
        <v>168</v>
      </c>
      <c r="X3364" s="8">
        <v>3</v>
      </c>
      <c r="Y3364" s="8" t="s">
        <v>12359</v>
      </c>
      <c r="Z3364" s="8">
        <v>20</v>
      </c>
      <c r="AA3364" s="8">
        <v>0</v>
      </c>
      <c r="AB3364" s="9">
        <v>0</v>
      </c>
    </row>
    <row r="3365" spans="1:28" x14ac:dyDescent="0.2">
      <c r="A3365" s="10">
        <v>28878</v>
      </c>
      <c r="B3365" s="11" t="s">
        <v>21199</v>
      </c>
      <c r="C3365" s="11" t="s">
        <v>21200</v>
      </c>
      <c r="D3365" s="11" t="s">
        <v>1568</v>
      </c>
      <c r="E3365" s="11"/>
      <c r="F3365" s="11" t="s">
        <v>353</v>
      </c>
      <c r="G3365" s="11" t="s">
        <v>21155</v>
      </c>
      <c r="H3365" s="11" t="s">
        <v>142</v>
      </c>
      <c r="I3365" s="11" t="s">
        <v>21156</v>
      </c>
      <c r="J3365" s="11" t="s">
        <v>21201</v>
      </c>
      <c r="K3365" s="11" t="s">
        <v>1199</v>
      </c>
      <c r="L3365" s="11" t="s">
        <v>464</v>
      </c>
      <c r="M3365" s="11" t="s">
        <v>21202</v>
      </c>
      <c r="N3365" s="11" t="s">
        <v>128</v>
      </c>
      <c r="O3365" s="11" t="s">
        <v>21203</v>
      </c>
      <c r="P3365" s="11" t="s">
        <v>21204</v>
      </c>
      <c r="Q3365" s="11" t="s">
        <v>150</v>
      </c>
      <c r="R3365" s="11"/>
      <c r="S3365" s="11" t="s">
        <v>71</v>
      </c>
      <c r="T3365" s="11" t="s">
        <v>168</v>
      </c>
      <c r="U3365" s="11" t="s">
        <v>150</v>
      </c>
      <c r="V3365" s="11" t="s">
        <v>168</v>
      </c>
      <c r="W3365" s="11" t="s">
        <v>168</v>
      </c>
      <c r="X3365" s="11">
        <v>3</v>
      </c>
      <c r="Y3365" s="11" t="s">
        <v>12359</v>
      </c>
      <c r="Z3365" s="11">
        <v>20</v>
      </c>
      <c r="AA3365" s="11">
        <v>0</v>
      </c>
      <c r="AB3365" s="12">
        <v>0</v>
      </c>
    </row>
    <row r="3366" spans="1:28" x14ac:dyDescent="0.2">
      <c r="A3366" s="7">
        <v>28896</v>
      </c>
      <c r="B3366" s="8" t="s">
        <v>21205</v>
      </c>
      <c r="C3366" s="8" t="s">
        <v>1576</v>
      </c>
      <c r="D3366" s="8" t="s">
        <v>18656</v>
      </c>
      <c r="E3366" s="8"/>
      <c r="F3366" s="8" t="s">
        <v>353</v>
      </c>
      <c r="G3366" s="8" t="s">
        <v>20852</v>
      </c>
      <c r="H3366" s="8" t="s">
        <v>142</v>
      </c>
      <c r="I3366" s="8" t="s">
        <v>20853</v>
      </c>
      <c r="J3366" s="8" t="s">
        <v>21206</v>
      </c>
      <c r="K3366" s="8" t="s">
        <v>1199</v>
      </c>
      <c r="L3366" s="8" t="s">
        <v>464</v>
      </c>
      <c r="M3366" s="8" t="s">
        <v>21207</v>
      </c>
      <c r="N3366" s="8" t="s">
        <v>128</v>
      </c>
      <c r="O3366" s="8" t="s">
        <v>21208</v>
      </c>
      <c r="P3366" s="8" t="s">
        <v>21209</v>
      </c>
      <c r="Q3366" s="8" t="s">
        <v>150</v>
      </c>
      <c r="R3366" s="8"/>
      <c r="S3366" s="8" t="s">
        <v>71</v>
      </c>
      <c r="T3366" s="8" t="s">
        <v>168</v>
      </c>
      <c r="U3366" s="8" t="s">
        <v>150</v>
      </c>
      <c r="V3366" s="8" t="s">
        <v>168</v>
      </c>
      <c r="W3366" s="8" t="s">
        <v>168</v>
      </c>
      <c r="X3366" s="8">
        <v>3</v>
      </c>
      <c r="Y3366" s="8" t="s">
        <v>12359</v>
      </c>
      <c r="Z3366" s="8">
        <v>20</v>
      </c>
      <c r="AA3366" s="8">
        <v>0</v>
      </c>
      <c r="AB3366" s="9">
        <v>0</v>
      </c>
    </row>
    <row r="3367" spans="1:28" x14ac:dyDescent="0.2">
      <c r="A3367" s="10">
        <v>86772</v>
      </c>
      <c r="B3367" s="11" t="s">
        <v>21210</v>
      </c>
      <c r="C3367" s="11" t="s">
        <v>21211</v>
      </c>
      <c r="D3367" s="11" t="s">
        <v>9623</v>
      </c>
      <c r="E3367" s="11"/>
      <c r="F3367" s="11" t="s">
        <v>353</v>
      </c>
      <c r="G3367" s="11" t="s">
        <v>21212</v>
      </c>
      <c r="H3367" s="11" t="s">
        <v>557</v>
      </c>
      <c r="I3367" s="11" t="s">
        <v>21213</v>
      </c>
      <c r="J3367" s="11" t="s">
        <v>21214</v>
      </c>
      <c r="K3367" s="11" t="s">
        <v>560</v>
      </c>
      <c r="L3367" s="11" t="s">
        <v>229</v>
      </c>
      <c r="M3367" s="11" t="s">
        <v>21215</v>
      </c>
      <c r="N3367" s="11" t="s">
        <v>128</v>
      </c>
      <c r="O3367" s="11" t="s">
        <v>21216</v>
      </c>
      <c r="P3367" s="11" t="s">
        <v>15777</v>
      </c>
      <c r="Q3367" s="11" t="s">
        <v>150</v>
      </c>
      <c r="R3367" s="11"/>
      <c r="S3367" s="11" t="s">
        <v>71</v>
      </c>
      <c r="T3367" s="11" t="s">
        <v>168</v>
      </c>
      <c r="U3367" s="11" t="s">
        <v>150</v>
      </c>
      <c r="V3367" s="11" t="s">
        <v>168</v>
      </c>
      <c r="W3367" s="11" t="s">
        <v>168</v>
      </c>
      <c r="X3367" s="11">
        <v>3</v>
      </c>
      <c r="Y3367" s="11" t="s">
        <v>12359</v>
      </c>
      <c r="Z3367" s="11">
        <v>20</v>
      </c>
      <c r="AA3367" s="11">
        <v>0</v>
      </c>
      <c r="AB3367" s="12">
        <v>0</v>
      </c>
    </row>
    <row r="3368" spans="1:28" x14ac:dyDescent="0.2">
      <c r="A3368" s="7">
        <v>92264</v>
      </c>
      <c r="B3368" s="8" t="s">
        <v>21217</v>
      </c>
      <c r="C3368" s="8" t="s">
        <v>21218</v>
      </c>
      <c r="D3368" s="8" t="s">
        <v>6529</v>
      </c>
      <c r="E3368" s="8"/>
      <c r="F3368" s="8" t="s">
        <v>353</v>
      </c>
      <c r="G3368" s="8" t="s">
        <v>20875</v>
      </c>
      <c r="H3368" s="8" t="s">
        <v>142</v>
      </c>
      <c r="I3368" s="8" t="s">
        <v>21219</v>
      </c>
      <c r="J3368" s="8" t="s">
        <v>21220</v>
      </c>
      <c r="K3368" s="8" t="s">
        <v>1199</v>
      </c>
      <c r="L3368" s="8" t="s">
        <v>464</v>
      </c>
      <c r="M3368" s="8" t="s">
        <v>21221</v>
      </c>
      <c r="N3368" s="8" t="s">
        <v>128</v>
      </c>
      <c r="O3368" s="8" t="s">
        <v>21222</v>
      </c>
      <c r="P3368" s="8" t="s">
        <v>12057</v>
      </c>
      <c r="Q3368" s="8" t="s">
        <v>150</v>
      </c>
      <c r="R3368" s="8"/>
      <c r="S3368" s="8" t="s">
        <v>71</v>
      </c>
      <c r="T3368" s="8" t="s">
        <v>168</v>
      </c>
      <c r="U3368" s="8" t="s">
        <v>150</v>
      </c>
      <c r="V3368" s="8" t="s">
        <v>168</v>
      </c>
      <c r="W3368" s="8" t="s">
        <v>168</v>
      </c>
      <c r="X3368" s="8">
        <v>3</v>
      </c>
      <c r="Y3368" s="8" t="s">
        <v>12359</v>
      </c>
      <c r="Z3368" s="8">
        <v>20</v>
      </c>
      <c r="AA3368" s="8">
        <v>0</v>
      </c>
      <c r="AB3368" s="9">
        <v>0</v>
      </c>
    </row>
    <row r="3369" spans="1:28" x14ac:dyDescent="0.2">
      <c r="A3369" s="10">
        <v>111767</v>
      </c>
      <c r="B3369" s="11" t="s">
        <v>21223</v>
      </c>
      <c r="C3369" s="11" t="s">
        <v>21224</v>
      </c>
      <c r="D3369" s="11" t="s">
        <v>2091</v>
      </c>
      <c r="E3369" s="11"/>
      <c r="F3369" s="11" t="s">
        <v>353</v>
      </c>
      <c r="G3369" s="11" t="s">
        <v>21225</v>
      </c>
      <c r="H3369" s="11" t="s">
        <v>142</v>
      </c>
      <c r="I3369" s="11" t="s">
        <v>21226</v>
      </c>
      <c r="J3369" s="11" t="s">
        <v>21227</v>
      </c>
      <c r="K3369" s="11" t="s">
        <v>1029</v>
      </c>
      <c r="L3369" s="11" t="s">
        <v>464</v>
      </c>
      <c r="M3369" s="11" t="s">
        <v>21228</v>
      </c>
      <c r="N3369" s="11" t="s">
        <v>128</v>
      </c>
      <c r="O3369" s="11" t="s">
        <v>21229</v>
      </c>
      <c r="P3369" s="11" t="s">
        <v>7206</v>
      </c>
      <c r="Q3369" s="11" t="s">
        <v>150</v>
      </c>
      <c r="R3369" s="11"/>
      <c r="S3369" s="11" t="s">
        <v>71</v>
      </c>
      <c r="T3369" s="11" t="s">
        <v>168</v>
      </c>
      <c r="U3369" s="11" t="s">
        <v>150</v>
      </c>
      <c r="V3369" s="11" t="s">
        <v>168</v>
      </c>
      <c r="W3369" s="11" t="s">
        <v>168</v>
      </c>
      <c r="X3369" s="11">
        <v>3</v>
      </c>
      <c r="Y3369" s="11" t="s">
        <v>12359</v>
      </c>
      <c r="Z3369" s="11">
        <v>20</v>
      </c>
      <c r="AA3369" s="11">
        <v>0</v>
      </c>
      <c r="AB3369" s="12">
        <v>0</v>
      </c>
    </row>
    <row r="3370" spans="1:28" x14ac:dyDescent="0.2">
      <c r="A3370" s="7">
        <v>208882</v>
      </c>
      <c r="B3370" s="8" t="s">
        <v>21230</v>
      </c>
      <c r="C3370" s="8" t="s">
        <v>20866</v>
      </c>
      <c r="D3370" s="8" t="s">
        <v>21231</v>
      </c>
      <c r="E3370" s="8"/>
      <c r="F3370" s="8" t="s">
        <v>353</v>
      </c>
      <c r="G3370" s="8" t="s">
        <v>20568</v>
      </c>
      <c r="H3370" s="8" t="s">
        <v>142</v>
      </c>
      <c r="I3370" s="8" t="s">
        <v>20868</v>
      </c>
      <c r="J3370" s="8" t="s">
        <v>21232</v>
      </c>
      <c r="K3370" s="8" t="s">
        <v>1673</v>
      </c>
      <c r="L3370" s="8" t="s">
        <v>464</v>
      </c>
      <c r="M3370" s="8" t="s">
        <v>21233</v>
      </c>
      <c r="N3370" s="8" t="s">
        <v>128</v>
      </c>
      <c r="O3370" s="8" t="s">
        <v>21234</v>
      </c>
      <c r="P3370" s="8" t="s">
        <v>1206</v>
      </c>
      <c r="Q3370" s="8" t="s">
        <v>150</v>
      </c>
      <c r="R3370" s="8"/>
      <c r="S3370" s="8" t="s">
        <v>71</v>
      </c>
      <c r="T3370" s="8" t="s">
        <v>168</v>
      </c>
      <c r="U3370" s="8" t="s">
        <v>150</v>
      </c>
      <c r="V3370" s="8" t="s">
        <v>168</v>
      </c>
      <c r="W3370" s="8" t="s">
        <v>168</v>
      </c>
      <c r="X3370" s="8">
        <v>3</v>
      </c>
      <c r="Y3370" s="8" t="s">
        <v>12359</v>
      </c>
      <c r="Z3370" s="8">
        <v>20</v>
      </c>
      <c r="AA3370" s="8">
        <v>0</v>
      </c>
      <c r="AB3370" s="9">
        <v>0</v>
      </c>
    </row>
    <row r="3371" spans="1:28" x14ac:dyDescent="0.2">
      <c r="A3371" s="10">
        <v>214037</v>
      </c>
      <c r="B3371" s="11" t="s">
        <v>21235</v>
      </c>
      <c r="C3371" s="11" t="s">
        <v>21236</v>
      </c>
      <c r="D3371" s="11" t="s">
        <v>1920</v>
      </c>
      <c r="E3371" s="11"/>
      <c r="F3371" s="11" t="s">
        <v>353</v>
      </c>
      <c r="G3371" s="11" t="s">
        <v>21237</v>
      </c>
      <c r="H3371" s="11" t="s">
        <v>142</v>
      </c>
      <c r="I3371" s="11" t="s">
        <v>21238</v>
      </c>
      <c r="J3371" s="11" t="s">
        <v>21239</v>
      </c>
      <c r="K3371" s="11" t="s">
        <v>1673</v>
      </c>
      <c r="L3371" s="11" t="s">
        <v>464</v>
      </c>
      <c r="M3371" s="11" t="s">
        <v>21240</v>
      </c>
      <c r="N3371" s="11" t="s">
        <v>128</v>
      </c>
      <c r="O3371" s="11" t="s">
        <v>21241</v>
      </c>
      <c r="P3371" s="11" t="s">
        <v>544</v>
      </c>
      <c r="Q3371" s="11" t="s">
        <v>150</v>
      </c>
      <c r="R3371" s="11"/>
      <c r="S3371" s="11" t="s">
        <v>71</v>
      </c>
      <c r="T3371" s="11" t="s">
        <v>168</v>
      </c>
      <c r="U3371" s="11" t="s">
        <v>150</v>
      </c>
      <c r="V3371" s="11" t="s">
        <v>168</v>
      </c>
      <c r="W3371" s="11" t="s">
        <v>168</v>
      </c>
      <c r="X3371" s="11">
        <v>3</v>
      </c>
      <c r="Y3371" s="11" t="s">
        <v>12359</v>
      </c>
      <c r="Z3371" s="11">
        <v>20</v>
      </c>
      <c r="AA3371" s="11">
        <v>0</v>
      </c>
      <c r="AB3371" s="12">
        <v>0</v>
      </c>
    </row>
    <row r="3372" spans="1:28" x14ac:dyDescent="0.2">
      <c r="A3372" s="7">
        <v>235343</v>
      </c>
      <c r="B3372" s="8" t="s">
        <v>21242</v>
      </c>
      <c r="C3372" s="8" t="s">
        <v>20859</v>
      </c>
      <c r="D3372" s="8" t="s">
        <v>3641</v>
      </c>
      <c r="E3372" s="8"/>
      <c r="F3372" s="8" t="s">
        <v>353</v>
      </c>
      <c r="G3372" s="8" t="s">
        <v>20860</v>
      </c>
      <c r="H3372" s="8" t="s">
        <v>557</v>
      </c>
      <c r="I3372" s="8" t="s">
        <v>20861</v>
      </c>
      <c r="J3372" s="8" t="s">
        <v>21243</v>
      </c>
      <c r="K3372" s="8" t="s">
        <v>560</v>
      </c>
      <c r="L3372" s="8" t="s">
        <v>229</v>
      </c>
      <c r="M3372" s="8" t="s">
        <v>21244</v>
      </c>
      <c r="N3372" s="8" t="s">
        <v>128</v>
      </c>
      <c r="O3372" s="8" t="s">
        <v>21245</v>
      </c>
      <c r="P3372" s="8" t="s">
        <v>14178</v>
      </c>
      <c r="Q3372" s="8" t="s">
        <v>150</v>
      </c>
      <c r="R3372" s="8"/>
      <c r="S3372" s="8" t="s">
        <v>71</v>
      </c>
      <c r="T3372" s="8" t="s">
        <v>168</v>
      </c>
      <c r="U3372" s="8" t="s">
        <v>150</v>
      </c>
      <c r="V3372" s="8" t="s">
        <v>168</v>
      </c>
      <c r="W3372" s="8" t="s">
        <v>168</v>
      </c>
      <c r="X3372" s="8">
        <v>3</v>
      </c>
      <c r="Y3372" s="8" t="s">
        <v>12359</v>
      </c>
      <c r="Z3372" s="8">
        <v>20</v>
      </c>
      <c r="AA3372" s="8">
        <v>0</v>
      </c>
      <c r="AB3372" s="9">
        <v>0</v>
      </c>
    </row>
    <row r="3373" spans="1:28" x14ac:dyDescent="0.2">
      <c r="A3373" s="10">
        <v>28818</v>
      </c>
      <c r="B3373" s="11" t="s">
        <v>21246</v>
      </c>
      <c r="C3373" s="11" t="s">
        <v>5879</v>
      </c>
      <c r="D3373" s="11" t="s">
        <v>15120</v>
      </c>
      <c r="E3373" s="11"/>
      <c r="F3373" s="11"/>
      <c r="G3373" s="11" t="s">
        <v>11130</v>
      </c>
      <c r="H3373" s="11" t="s">
        <v>704</v>
      </c>
      <c r="I3373" s="11"/>
      <c r="J3373" s="11" t="s">
        <v>21247</v>
      </c>
      <c r="K3373" s="11" t="s">
        <v>850</v>
      </c>
      <c r="L3373" s="11" t="s">
        <v>126</v>
      </c>
      <c r="M3373" s="11" t="s">
        <v>21248</v>
      </c>
      <c r="N3373" s="11" t="s">
        <v>128</v>
      </c>
      <c r="O3373" s="11" t="s">
        <v>21249</v>
      </c>
      <c r="P3373" s="11" t="s">
        <v>13255</v>
      </c>
      <c r="Q3373" s="11" t="s">
        <v>150</v>
      </c>
      <c r="R3373" s="11"/>
      <c r="S3373" s="11" t="s">
        <v>71</v>
      </c>
      <c r="T3373" s="11" t="s">
        <v>168</v>
      </c>
      <c r="U3373" s="11" t="s">
        <v>150</v>
      </c>
      <c r="V3373" s="11" t="s">
        <v>168</v>
      </c>
      <c r="W3373" s="11" t="s">
        <v>168</v>
      </c>
      <c r="X3373" s="11">
        <v>3</v>
      </c>
      <c r="Y3373" s="11" t="s">
        <v>12359</v>
      </c>
      <c r="Z3373" s="11">
        <v>20</v>
      </c>
      <c r="AA3373" s="11">
        <v>0</v>
      </c>
      <c r="AB3373" s="12">
        <v>0</v>
      </c>
    </row>
    <row r="3374" spans="1:28" x14ac:dyDescent="0.2">
      <c r="A3374" s="7">
        <v>85075</v>
      </c>
      <c r="B3374" s="8" t="s">
        <v>21250</v>
      </c>
      <c r="C3374" s="8" t="s">
        <v>10989</v>
      </c>
      <c r="D3374" s="8" t="s">
        <v>6878</v>
      </c>
      <c r="E3374" s="8"/>
      <c r="F3374" s="8" t="s">
        <v>6430</v>
      </c>
      <c r="G3374" s="8" t="s">
        <v>20899</v>
      </c>
      <c r="H3374" s="8" t="s">
        <v>142</v>
      </c>
      <c r="I3374" s="8" t="s">
        <v>21251</v>
      </c>
      <c r="J3374" s="8" t="s">
        <v>21252</v>
      </c>
      <c r="K3374" s="8" t="s">
        <v>1199</v>
      </c>
      <c r="L3374" s="8" t="s">
        <v>464</v>
      </c>
      <c r="M3374" s="8" t="s">
        <v>21253</v>
      </c>
      <c r="N3374" s="8" t="s">
        <v>128</v>
      </c>
      <c r="O3374" s="8" t="s">
        <v>21254</v>
      </c>
      <c r="P3374" s="8" t="s">
        <v>7458</v>
      </c>
      <c r="Q3374" s="8" t="s">
        <v>150</v>
      </c>
      <c r="R3374" s="8"/>
      <c r="S3374" s="8" t="s">
        <v>71</v>
      </c>
      <c r="T3374" s="8" t="s">
        <v>168</v>
      </c>
      <c r="U3374" s="8" t="s">
        <v>150</v>
      </c>
      <c r="V3374" s="8" t="s">
        <v>168</v>
      </c>
      <c r="W3374" s="8" t="s">
        <v>168</v>
      </c>
      <c r="X3374" s="8">
        <v>3</v>
      </c>
      <c r="Y3374" s="8" t="s">
        <v>12359</v>
      </c>
      <c r="Z3374" s="8">
        <v>20</v>
      </c>
      <c r="AA3374" s="8">
        <v>0</v>
      </c>
      <c r="AB3374" s="9">
        <v>0</v>
      </c>
    </row>
    <row r="3375" spans="1:28" x14ac:dyDescent="0.2">
      <c r="A3375" s="10">
        <v>85095</v>
      </c>
      <c r="B3375" s="11" t="s">
        <v>21255</v>
      </c>
      <c r="C3375" s="11" t="s">
        <v>20905</v>
      </c>
      <c r="D3375" s="11" t="s">
        <v>21256</v>
      </c>
      <c r="E3375" s="11"/>
      <c r="F3375" s="11" t="s">
        <v>6430</v>
      </c>
      <c r="G3375" s="11" t="s">
        <v>20907</v>
      </c>
      <c r="H3375" s="11" t="s">
        <v>142</v>
      </c>
      <c r="I3375" s="11" t="s">
        <v>20908</v>
      </c>
      <c r="J3375" s="11" t="s">
        <v>21257</v>
      </c>
      <c r="K3375" s="11" t="s">
        <v>1673</v>
      </c>
      <c r="L3375" s="11" t="s">
        <v>464</v>
      </c>
      <c r="M3375" s="11" t="s">
        <v>21258</v>
      </c>
      <c r="N3375" s="11" t="s">
        <v>128</v>
      </c>
      <c r="O3375" s="11" t="s">
        <v>21259</v>
      </c>
      <c r="P3375" s="11" t="s">
        <v>5227</v>
      </c>
      <c r="Q3375" s="11" t="s">
        <v>150</v>
      </c>
      <c r="R3375" s="11"/>
      <c r="S3375" s="11" t="s">
        <v>71</v>
      </c>
      <c r="T3375" s="11" t="s">
        <v>168</v>
      </c>
      <c r="U3375" s="11" t="s">
        <v>150</v>
      </c>
      <c r="V3375" s="11" t="s">
        <v>168</v>
      </c>
      <c r="W3375" s="11" t="s">
        <v>168</v>
      </c>
      <c r="X3375" s="11">
        <v>3</v>
      </c>
      <c r="Y3375" s="11" t="s">
        <v>12359</v>
      </c>
      <c r="Z3375" s="11">
        <v>20</v>
      </c>
      <c r="AA3375" s="11">
        <v>0</v>
      </c>
      <c r="AB3375" s="12">
        <v>0</v>
      </c>
    </row>
    <row r="3376" spans="1:28" x14ac:dyDescent="0.2">
      <c r="A3376" s="7">
        <v>23627</v>
      </c>
      <c r="B3376" s="8" t="s">
        <v>21260</v>
      </c>
      <c r="C3376" s="8" t="s">
        <v>21261</v>
      </c>
      <c r="D3376" s="8" t="s">
        <v>21262</v>
      </c>
      <c r="E3376" s="8"/>
      <c r="F3376" s="8" t="s">
        <v>21263</v>
      </c>
      <c r="G3376" s="8" t="s">
        <v>5804</v>
      </c>
      <c r="H3376" s="8" t="s">
        <v>5805</v>
      </c>
      <c r="I3376" s="8" t="s">
        <v>21264</v>
      </c>
      <c r="J3376" s="8" t="s">
        <v>21265</v>
      </c>
      <c r="K3376" s="8" t="s">
        <v>274</v>
      </c>
      <c r="L3376" s="8" t="s">
        <v>163</v>
      </c>
      <c r="M3376" s="8" t="s">
        <v>21266</v>
      </c>
      <c r="N3376" s="8" t="s">
        <v>128</v>
      </c>
      <c r="O3376" s="8" t="s">
        <v>21267</v>
      </c>
      <c r="P3376" s="8" t="s">
        <v>21268</v>
      </c>
      <c r="Q3376" s="8" t="s">
        <v>150</v>
      </c>
      <c r="R3376" s="8"/>
      <c r="S3376" s="8" t="s">
        <v>71</v>
      </c>
      <c r="T3376" s="8" t="s">
        <v>168</v>
      </c>
      <c r="U3376" s="8" t="s">
        <v>150</v>
      </c>
      <c r="V3376" s="8" t="s">
        <v>168</v>
      </c>
      <c r="W3376" s="8" t="s">
        <v>168</v>
      </c>
      <c r="X3376" s="8">
        <v>3</v>
      </c>
      <c r="Y3376" s="8" t="s">
        <v>12359</v>
      </c>
      <c r="Z3376" s="8">
        <v>20</v>
      </c>
      <c r="AA3376" s="8">
        <v>0</v>
      </c>
      <c r="AB3376" s="9">
        <v>0</v>
      </c>
    </row>
    <row r="3377" spans="1:28" x14ac:dyDescent="0.2">
      <c r="A3377" s="10">
        <v>23860</v>
      </c>
      <c r="B3377" s="11" t="s">
        <v>21269</v>
      </c>
      <c r="C3377" s="11" t="s">
        <v>21270</v>
      </c>
      <c r="D3377" s="11" t="s">
        <v>2705</v>
      </c>
      <c r="E3377" s="11"/>
      <c r="F3377" s="11" t="s">
        <v>18012</v>
      </c>
      <c r="G3377" s="11" t="s">
        <v>158</v>
      </c>
      <c r="H3377" s="11" t="s">
        <v>159</v>
      </c>
      <c r="I3377" s="11" t="s">
        <v>21271</v>
      </c>
      <c r="J3377" s="11" t="s">
        <v>21272</v>
      </c>
      <c r="K3377" s="11" t="s">
        <v>274</v>
      </c>
      <c r="L3377" s="11" t="s">
        <v>163</v>
      </c>
      <c r="M3377" s="11" t="s">
        <v>21273</v>
      </c>
      <c r="N3377" s="11" t="s">
        <v>128</v>
      </c>
      <c r="O3377" s="11" t="s">
        <v>21274</v>
      </c>
      <c r="P3377" s="11" t="s">
        <v>21275</v>
      </c>
      <c r="Q3377" s="11" t="s">
        <v>150</v>
      </c>
      <c r="R3377" s="11"/>
      <c r="S3377" s="11" t="s">
        <v>71</v>
      </c>
      <c r="T3377" s="11" t="s">
        <v>168</v>
      </c>
      <c r="U3377" s="11" t="s">
        <v>150</v>
      </c>
      <c r="V3377" s="11" t="s">
        <v>168</v>
      </c>
      <c r="W3377" s="11" t="s">
        <v>168</v>
      </c>
      <c r="X3377" s="11">
        <v>3</v>
      </c>
      <c r="Y3377" s="11" t="s">
        <v>12359</v>
      </c>
      <c r="Z3377" s="11">
        <v>20</v>
      </c>
      <c r="AA3377" s="11">
        <v>0</v>
      </c>
      <c r="AB3377" s="12">
        <v>0</v>
      </c>
    </row>
    <row r="3378" spans="1:28" x14ac:dyDescent="0.2">
      <c r="A3378" s="7">
        <v>23864</v>
      </c>
      <c r="B3378" s="8" t="s">
        <v>21276</v>
      </c>
      <c r="C3378" s="8" t="s">
        <v>10837</v>
      </c>
      <c r="D3378" s="8" t="s">
        <v>4579</v>
      </c>
      <c r="E3378" s="8"/>
      <c r="F3378" s="8" t="s">
        <v>10839</v>
      </c>
      <c r="G3378" s="8" t="s">
        <v>328</v>
      </c>
      <c r="H3378" s="8" t="s">
        <v>329</v>
      </c>
      <c r="I3378" s="8" t="s">
        <v>10840</v>
      </c>
      <c r="J3378" s="8" t="s">
        <v>21277</v>
      </c>
      <c r="K3378" s="8" t="s">
        <v>572</v>
      </c>
      <c r="L3378" s="8" t="s">
        <v>333</v>
      </c>
      <c r="M3378" s="8" t="s">
        <v>21278</v>
      </c>
      <c r="N3378" s="8" t="s">
        <v>128</v>
      </c>
      <c r="O3378" s="8" t="s">
        <v>21279</v>
      </c>
      <c r="P3378" s="8" t="s">
        <v>21280</v>
      </c>
      <c r="Q3378" s="8" t="s">
        <v>150</v>
      </c>
      <c r="R3378" s="8"/>
      <c r="S3378" s="8" t="s">
        <v>71</v>
      </c>
      <c r="T3378" s="8" t="s">
        <v>168</v>
      </c>
      <c r="U3378" s="8" t="s">
        <v>150</v>
      </c>
      <c r="V3378" s="8" t="s">
        <v>168</v>
      </c>
      <c r="W3378" s="8" t="s">
        <v>168</v>
      </c>
      <c r="X3378" s="8">
        <v>3</v>
      </c>
      <c r="Y3378" s="8" t="s">
        <v>12359</v>
      </c>
      <c r="Z3378" s="8">
        <v>20</v>
      </c>
      <c r="AA3378" s="8">
        <v>0</v>
      </c>
      <c r="AB3378" s="9">
        <v>0</v>
      </c>
    </row>
    <row r="3379" spans="1:28" x14ac:dyDescent="0.2">
      <c r="A3379" s="10">
        <v>28929</v>
      </c>
      <c r="B3379" s="11" t="s">
        <v>21281</v>
      </c>
      <c r="C3379" s="11" t="s">
        <v>21282</v>
      </c>
      <c r="D3379" s="11" t="s">
        <v>4623</v>
      </c>
      <c r="E3379" s="11"/>
      <c r="F3379" s="11" t="s">
        <v>353</v>
      </c>
      <c r="G3379" s="11" t="s">
        <v>18996</v>
      </c>
      <c r="H3379" s="11" t="s">
        <v>616</v>
      </c>
      <c r="I3379" s="11" t="s">
        <v>19670</v>
      </c>
      <c r="J3379" s="11" t="s">
        <v>20701</v>
      </c>
      <c r="K3379" s="11" t="s">
        <v>619</v>
      </c>
      <c r="L3379" s="11" t="s">
        <v>163</v>
      </c>
      <c r="M3379" s="11" t="s">
        <v>21283</v>
      </c>
      <c r="N3379" s="11" t="s">
        <v>128</v>
      </c>
      <c r="O3379" s="11"/>
      <c r="P3379" s="11" t="s">
        <v>5719</v>
      </c>
      <c r="Q3379" s="11" t="s">
        <v>150</v>
      </c>
      <c r="R3379" s="11"/>
      <c r="S3379" s="11" t="s">
        <v>19002</v>
      </c>
      <c r="T3379" s="11" t="s">
        <v>168</v>
      </c>
      <c r="U3379" s="11" t="s">
        <v>150</v>
      </c>
      <c r="V3379" s="11" t="s">
        <v>168</v>
      </c>
      <c r="W3379" s="11" t="s">
        <v>168</v>
      </c>
      <c r="X3379" s="11">
        <v>3</v>
      </c>
      <c r="Y3379" s="11" t="s">
        <v>12359</v>
      </c>
      <c r="Z3379" s="11">
        <v>20</v>
      </c>
      <c r="AA3379" s="11">
        <v>0</v>
      </c>
      <c r="AB3379" s="12">
        <v>0</v>
      </c>
    </row>
    <row r="3380" spans="1:28" x14ac:dyDescent="0.2">
      <c r="A3380" s="7">
        <v>24053</v>
      </c>
      <c r="B3380" s="8" t="s">
        <v>21284</v>
      </c>
      <c r="C3380" s="8" t="s">
        <v>798</v>
      </c>
      <c r="D3380" s="8" t="s">
        <v>799</v>
      </c>
      <c r="E3380" s="8"/>
      <c r="F3380" s="8" t="s">
        <v>237</v>
      </c>
      <c r="G3380" s="8" t="s">
        <v>158</v>
      </c>
      <c r="H3380" s="8" t="s">
        <v>159</v>
      </c>
      <c r="I3380" s="8" t="s">
        <v>801</v>
      </c>
      <c r="J3380" s="8" t="s">
        <v>21285</v>
      </c>
      <c r="K3380" s="8" t="s">
        <v>274</v>
      </c>
      <c r="L3380" s="8" t="s">
        <v>163</v>
      </c>
      <c r="M3380" s="8" t="s">
        <v>21286</v>
      </c>
      <c r="N3380" s="8" t="s">
        <v>128</v>
      </c>
      <c r="O3380" s="8"/>
      <c r="P3380" s="8"/>
      <c r="Q3380" s="8" t="s">
        <v>150</v>
      </c>
      <c r="R3380" s="8"/>
      <c r="S3380" s="8" t="s">
        <v>806</v>
      </c>
      <c r="T3380" s="8" t="s">
        <v>5438</v>
      </c>
      <c r="U3380" s="8" t="s">
        <v>150</v>
      </c>
      <c r="V3380" s="8" t="s">
        <v>5438</v>
      </c>
      <c r="W3380" s="8" t="s">
        <v>5438</v>
      </c>
      <c r="X3380" s="8">
        <v>3</v>
      </c>
      <c r="Y3380" s="8" t="s">
        <v>12359</v>
      </c>
      <c r="Z3380" s="8">
        <v>20</v>
      </c>
      <c r="AA3380" s="8">
        <v>0</v>
      </c>
      <c r="AB3380" s="9">
        <v>0</v>
      </c>
    </row>
    <row r="3381" spans="1:28" x14ac:dyDescent="0.2">
      <c r="A3381" s="10">
        <v>24140</v>
      </c>
      <c r="B3381" s="11" t="s">
        <v>21287</v>
      </c>
      <c r="C3381" s="11" t="s">
        <v>13472</v>
      </c>
      <c r="D3381" s="11" t="s">
        <v>5844</v>
      </c>
      <c r="E3381" s="11" t="s">
        <v>21288</v>
      </c>
      <c r="F3381" s="11" t="s">
        <v>1752</v>
      </c>
      <c r="G3381" s="11" t="s">
        <v>6614</v>
      </c>
      <c r="H3381" s="11" t="s">
        <v>159</v>
      </c>
      <c r="I3381" s="11" t="s">
        <v>21289</v>
      </c>
      <c r="J3381" s="11" t="s">
        <v>13475</v>
      </c>
      <c r="K3381" s="11" t="s">
        <v>162</v>
      </c>
      <c r="L3381" s="11" t="s">
        <v>163</v>
      </c>
      <c r="M3381" s="11" t="s">
        <v>21290</v>
      </c>
      <c r="N3381" s="11" t="s">
        <v>4651</v>
      </c>
      <c r="O3381" s="11" t="s">
        <v>21291</v>
      </c>
      <c r="P3381" s="11" t="s">
        <v>21292</v>
      </c>
      <c r="Q3381" s="11" t="s">
        <v>150</v>
      </c>
      <c r="R3381" s="11"/>
      <c r="S3381" s="11" t="s">
        <v>13479</v>
      </c>
      <c r="T3381" s="11" t="s">
        <v>3270</v>
      </c>
      <c r="U3381" s="11" t="s">
        <v>150</v>
      </c>
      <c r="V3381" s="11" t="s">
        <v>3270</v>
      </c>
      <c r="W3381" s="11" t="s">
        <v>3270</v>
      </c>
      <c r="X3381" s="11">
        <v>3</v>
      </c>
      <c r="Y3381" s="11" t="s">
        <v>12359</v>
      </c>
      <c r="Z3381" s="11">
        <v>20</v>
      </c>
      <c r="AA3381" s="11">
        <v>0</v>
      </c>
      <c r="AB3381" s="12">
        <v>0</v>
      </c>
    </row>
    <row r="3382" spans="1:28" x14ac:dyDescent="0.2">
      <c r="A3382" s="7">
        <v>30191</v>
      </c>
      <c r="B3382" s="8" t="s">
        <v>21293</v>
      </c>
      <c r="C3382" s="8" t="s">
        <v>21294</v>
      </c>
      <c r="D3382" s="8" t="s">
        <v>13197</v>
      </c>
      <c r="E3382" s="8"/>
      <c r="F3382" s="8" t="s">
        <v>353</v>
      </c>
      <c r="G3382" s="8" t="s">
        <v>20860</v>
      </c>
      <c r="H3382" s="8" t="s">
        <v>557</v>
      </c>
      <c r="I3382" s="8" t="s">
        <v>21295</v>
      </c>
      <c r="J3382" s="8" t="s">
        <v>21296</v>
      </c>
      <c r="K3382" s="8" t="s">
        <v>560</v>
      </c>
      <c r="L3382" s="8" t="s">
        <v>229</v>
      </c>
      <c r="M3382" s="8" t="s">
        <v>21297</v>
      </c>
      <c r="N3382" s="8" t="s">
        <v>128</v>
      </c>
      <c r="O3382" s="8" t="s">
        <v>21298</v>
      </c>
      <c r="P3382" s="8" t="s">
        <v>9024</v>
      </c>
      <c r="Q3382" s="8" t="s">
        <v>150</v>
      </c>
      <c r="R3382" s="8"/>
      <c r="S3382" s="8" t="s">
        <v>71</v>
      </c>
      <c r="T3382" s="8" t="s">
        <v>69</v>
      </c>
      <c r="U3382" s="8" t="s">
        <v>150</v>
      </c>
      <c r="V3382" s="8" t="s">
        <v>152</v>
      </c>
      <c r="W3382" s="8" t="s">
        <v>69</v>
      </c>
      <c r="X3382" s="8">
        <v>3</v>
      </c>
      <c r="Y3382" s="8" t="s">
        <v>12359</v>
      </c>
      <c r="Z3382" s="8">
        <v>20</v>
      </c>
      <c r="AA3382" s="8">
        <v>0</v>
      </c>
      <c r="AB3382" s="9">
        <v>0</v>
      </c>
    </row>
    <row r="3383" spans="1:28" x14ac:dyDescent="0.2">
      <c r="A3383" s="10">
        <v>86775</v>
      </c>
      <c r="B3383" s="11" t="s">
        <v>21299</v>
      </c>
      <c r="C3383" s="11" t="s">
        <v>21211</v>
      </c>
      <c r="D3383" s="11" t="s">
        <v>1316</v>
      </c>
      <c r="E3383" s="11"/>
      <c r="F3383" s="11" t="s">
        <v>353</v>
      </c>
      <c r="G3383" s="11" t="s">
        <v>21212</v>
      </c>
      <c r="H3383" s="11" t="s">
        <v>557</v>
      </c>
      <c r="I3383" s="11" t="s">
        <v>21213</v>
      </c>
      <c r="J3383" s="11" t="s">
        <v>21300</v>
      </c>
      <c r="K3383" s="11" t="s">
        <v>560</v>
      </c>
      <c r="L3383" s="11" t="s">
        <v>229</v>
      </c>
      <c r="M3383" s="11" t="s">
        <v>21301</v>
      </c>
      <c r="N3383" s="11" t="s">
        <v>128</v>
      </c>
      <c r="O3383" s="11" t="s">
        <v>21302</v>
      </c>
      <c r="P3383" s="11" t="s">
        <v>3393</v>
      </c>
      <c r="Q3383" s="11" t="s">
        <v>150</v>
      </c>
      <c r="R3383" s="11"/>
      <c r="S3383" s="11" t="s">
        <v>71</v>
      </c>
      <c r="T3383" s="11" t="s">
        <v>69</v>
      </c>
      <c r="U3383" s="11" t="s">
        <v>150</v>
      </c>
      <c r="V3383" s="11" t="s">
        <v>152</v>
      </c>
      <c r="W3383" s="11" t="s">
        <v>69</v>
      </c>
      <c r="X3383" s="11">
        <v>3</v>
      </c>
      <c r="Y3383" s="11" t="s">
        <v>12359</v>
      </c>
      <c r="Z3383" s="11">
        <v>20</v>
      </c>
      <c r="AA3383" s="11">
        <v>0</v>
      </c>
      <c r="AB3383" s="12">
        <v>0</v>
      </c>
    </row>
    <row r="3384" spans="1:28" x14ac:dyDescent="0.2">
      <c r="A3384" s="7">
        <v>24830</v>
      </c>
      <c r="B3384" s="8" t="s">
        <v>21303</v>
      </c>
      <c r="C3384" s="8" t="s">
        <v>5843</v>
      </c>
      <c r="D3384" s="8" t="s">
        <v>5844</v>
      </c>
      <c r="E3384" s="8" t="s">
        <v>11692</v>
      </c>
      <c r="F3384" s="8" t="s">
        <v>5845</v>
      </c>
      <c r="G3384" s="8" t="s">
        <v>5846</v>
      </c>
      <c r="H3384" s="8" t="s">
        <v>159</v>
      </c>
      <c r="I3384" s="8" t="s">
        <v>6046</v>
      </c>
      <c r="J3384" s="8" t="s">
        <v>6047</v>
      </c>
      <c r="K3384" s="8" t="s">
        <v>162</v>
      </c>
      <c r="L3384" s="8" t="s">
        <v>163</v>
      </c>
      <c r="M3384" s="8" t="s">
        <v>21304</v>
      </c>
      <c r="N3384" s="8" t="s">
        <v>128</v>
      </c>
      <c r="O3384" s="8" t="s">
        <v>21305</v>
      </c>
      <c r="P3384" s="8" t="s">
        <v>3147</v>
      </c>
      <c r="Q3384" s="8" t="s">
        <v>150</v>
      </c>
      <c r="R3384" s="8"/>
      <c r="S3384" s="8" t="s">
        <v>5852</v>
      </c>
      <c r="T3384" s="8" t="s">
        <v>1738</v>
      </c>
      <c r="U3384" s="8" t="s">
        <v>150</v>
      </c>
      <c r="V3384" s="8" t="s">
        <v>1738</v>
      </c>
      <c r="W3384" s="8" t="s">
        <v>1738</v>
      </c>
      <c r="X3384" s="8">
        <v>3</v>
      </c>
      <c r="Y3384" s="8" t="s">
        <v>12359</v>
      </c>
      <c r="Z3384" s="8">
        <v>20</v>
      </c>
      <c r="AA3384" s="8">
        <v>0</v>
      </c>
      <c r="AB3384" s="9">
        <v>0</v>
      </c>
    </row>
    <row r="3385" spans="1:28" x14ac:dyDescent="0.2">
      <c r="A3385" s="10">
        <v>30519</v>
      </c>
      <c r="B3385" s="11" t="s">
        <v>21306</v>
      </c>
      <c r="C3385" s="11" t="s">
        <v>15170</v>
      </c>
      <c r="D3385" s="11" t="s">
        <v>553</v>
      </c>
      <c r="E3385" s="11" t="s">
        <v>21307</v>
      </c>
      <c r="F3385" s="11" t="s">
        <v>15171</v>
      </c>
      <c r="G3385" s="11" t="s">
        <v>3364</v>
      </c>
      <c r="H3385" s="11" t="s">
        <v>704</v>
      </c>
      <c r="I3385" s="11" t="s">
        <v>16606</v>
      </c>
      <c r="J3385" s="11" t="s">
        <v>16607</v>
      </c>
      <c r="K3385" s="11" t="s">
        <v>1051</v>
      </c>
      <c r="L3385" s="11" t="s">
        <v>126</v>
      </c>
      <c r="M3385" s="11" t="s">
        <v>21308</v>
      </c>
      <c r="N3385" s="11" t="s">
        <v>128</v>
      </c>
      <c r="O3385" s="11" t="s">
        <v>21309</v>
      </c>
      <c r="P3385" s="11" t="s">
        <v>347</v>
      </c>
      <c r="Q3385" s="11" t="s">
        <v>150</v>
      </c>
      <c r="R3385" s="11"/>
      <c r="S3385" s="11" t="s">
        <v>15175</v>
      </c>
      <c r="T3385" s="11" t="s">
        <v>1738</v>
      </c>
      <c r="U3385" s="11" t="s">
        <v>150</v>
      </c>
      <c r="V3385" s="11" t="s">
        <v>1738</v>
      </c>
      <c r="W3385" s="11" t="s">
        <v>1738</v>
      </c>
      <c r="X3385" s="11">
        <v>3</v>
      </c>
      <c r="Y3385" s="11" t="s">
        <v>12359</v>
      </c>
      <c r="Z3385" s="11">
        <v>20</v>
      </c>
      <c r="AA3385" s="11">
        <v>0</v>
      </c>
      <c r="AB3385" s="12">
        <v>0</v>
      </c>
    </row>
    <row r="3386" spans="1:28" x14ac:dyDescent="0.2">
      <c r="A3386" s="7">
        <v>37978</v>
      </c>
      <c r="B3386" s="8" t="s">
        <v>21310</v>
      </c>
      <c r="C3386" s="8" t="s">
        <v>9682</v>
      </c>
      <c r="D3386" s="8" t="s">
        <v>14449</v>
      </c>
      <c r="E3386" s="8" t="s">
        <v>13711</v>
      </c>
      <c r="F3386" s="8" t="s">
        <v>9684</v>
      </c>
      <c r="G3386" s="8" t="s">
        <v>4257</v>
      </c>
      <c r="H3386" s="8" t="s">
        <v>301</v>
      </c>
      <c r="I3386" s="8" t="s">
        <v>17086</v>
      </c>
      <c r="J3386" s="8" t="s">
        <v>21311</v>
      </c>
      <c r="K3386" s="8" t="s">
        <v>228</v>
      </c>
      <c r="L3386" s="8" t="s">
        <v>229</v>
      </c>
      <c r="M3386" s="8" t="s">
        <v>21312</v>
      </c>
      <c r="N3386" s="8" t="s">
        <v>128</v>
      </c>
      <c r="O3386" s="8" t="s">
        <v>21313</v>
      </c>
      <c r="P3386" s="8" t="s">
        <v>21314</v>
      </c>
      <c r="Q3386" s="8" t="s">
        <v>150</v>
      </c>
      <c r="R3386" s="8"/>
      <c r="S3386" s="8" t="s">
        <v>9688</v>
      </c>
      <c r="T3386" s="8" t="s">
        <v>1738</v>
      </c>
      <c r="U3386" s="8" t="s">
        <v>150</v>
      </c>
      <c r="V3386" s="8" t="s">
        <v>1738</v>
      </c>
      <c r="W3386" s="8" t="s">
        <v>1738</v>
      </c>
      <c r="X3386" s="8">
        <v>3</v>
      </c>
      <c r="Y3386" s="8" t="s">
        <v>12359</v>
      </c>
      <c r="Z3386" s="8">
        <v>20</v>
      </c>
      <c r="AA3386" s="8">
        <v>0</v>
      </c>
      <c r="AB3386" s="9">
        <v>0</v>
      </c>
    </row>
    <row r="3387" spans="1:28" x14ac:dyDescent="0.2">
      <c r="A3387" s="10">
        <v>24813</v>
      </c>
      <c r="B3387" s="11" t="s">
        <v>21315</v>
      </c>
      <c r="C3387" s="11" t="s">
        <v>13472</v>
      </c>
      <c r="D3387" s="11" t="s">
        <v>5844</v>
      </c>
      <c r="E3387" s="11"/>
      <c r="F3387" s="11" t="s">
        <v>1752</v>
      </c>
      <c r="G3387" s="11" t="s">
        <v>6614</v>
      </c>
      <c r="H3387" s="11" t="s">
        <v>159</v>
      </c>
      <c r="I3387" s="11" t="s">
        <v>13474</v>
      </c>
      <c r="J3387" s="11" t="s">
        <v>14336</v>
      </c>
      <c r="K3387" s="11" t="s">
        <v>162</v>
      </c>
      <c r="L3387" s="11" t="s">
        <v>163</v>
      </c>
      <c r="M3387" s="11" t="s">
        <v>21316</v>
      </c>
      <c r="N3387" s="11" t="s">
        <v>128</v>
      </c>
      <c r="O3387" s="11" t="s">
        <v>21317</v>
      </c>
      <c r="P3387" s="11" t="s">
        <v>20448</v>
      </c>
      <c r="Q3387" s="11" t="s">
        <v>150</v>
      </c>
      <c r="R3387" s="11"/>
      <c r="S3387" s="11" t="s">
        <v>13479</v>
      </c>
      <c r="T3387" s="11" t="s">
        <v>1738</v>
      </c>
      <c r="U3387" s="11" t="s">
        <v>150</v>
      </c>
      <c r="V3387" s="11" t="s">
        <v>1738</v>
      </c>
      <c r="W3387" s="11" t="s">
        <v>1738</v>
      </c>
      <c r="X3387" s="11">
        <v>3</v>
      </c>
      <c r="Y3387" s="11" t="s">
        <v>12359</v>
      </c>
      <c r="Z3387" s="11">
        <v>20</v>
      </c>
      <c r="AA3387" s="11">
        <v>0</v>
      </c>
      <c r="AB3387" s="12">
        <v>0</v>
      </c>
    </row>
    <row r="3388" spans="1:28" x14ac:dyDescent="0.2">
      <c r="A3388" s="7">
        <v>30528</v>
      </c>
      <c r="B3388" s="8" t="s">
        <v>21318</v>
      </c>
      <c r="C3388" s="8" t="s">
        <v>15917</v>
      </c>
      <c r="D3388" s="8" t="s">
        <v>2454</v>
      </c>
      <c r="E3388" s="8"/>
      <c r="F3388" s="8" t="s">
        <v>15918</v>
      </c>
      <c r="G3388" s="8" t="s">
        <v>6005</v>
      </c>
      <c r="H3388" s="8" t="s">
        <v>5805</v>
      </c>
      <c r="I3388" s="8" t="s">
        <v>21319</v>
      </c>
      <c r="J3388" s="8" t="s">
        <v>21320</v>
      </c>
      <c r="K3388" s="8" t="s">
        <v>274</v>
      </c>
      <c r="L3388" s="8" t="s">
        <v>163</v>
      </c>
      <c r="M3388" s="8" t="s">
        <v>21321</v>
      </c>
      <c r="N3388" s="8" t="s">
        <v>128</v>
      </c>
      <c r="O3388" s="8" t="s">
        <v>21322</v>
      </c>
      <c r="P3388" s="8" t="s">
        <v>890</v>
      </c>
      <c r="Q3388" s="8" t="s">
        <v>150</v>
      </c>
      <c r="R3388" s="8"/>
      <c r="S3388" s="8" t="s">
        <v>15924</v>
      </c>
      <c r="T3388" s="8" t="s">
        <v>1738</v>
      </c>
      <c r="U3388" s="8" t="s">
        <v>150</v>
      </c>
      <c r="V3388" s="8" t="s">
        <v>1738</v>
      </c>
      <c r="W3388" s="8" t="s">
        <v>1738</v>
      </c>
      <c r="X3388" s="8">
        <v>3</v>
      </c>
      <c r="Y3388" s="8" t="s">
        <v>12359</v>
      </c>
      <c r="Z3388" s="8">
        <v>20</v>
      </c>
      <c r="AA3388" s="8">
        <v>0</v>
      </c>
      <c r="AB3388" s="9">
        <v>0</v>
      </c>
    </row>
    <row r="3389" spans="1:28" x14ac:dyDescent="0.2">
      <c r="A3389" s="10">
        <v>30535</v>
      </c>
      <c r="B3389" s="11" t="s">
        <v>21323</v>
      </c>
      <c r="C3389" s="11" t="s">
        <v>21324</v>
      </c>
      <c r="D3389" s="11" t="s">
        <v>12240</v>
      </c>
      <c r="E3389" s="11"/>
      <c r="F3389" s="11" t="s">
        <v>12242</v>
      </c>
      <c r="G3389" s="11" t="s">
        <v>615</v>
      </c>
      <c r="H3389" s="11" t="s">
        <v>616</v>
      </c>
      <c r="I3389" s="11" t="s">
        <v>12243</v>
      </c>
      <c r="J3389" s="11" t="s">
        <v>21325</v>
      </c>
      <c r="K3389" s="11" t="s">
        <v>619</v>
      </c>
      <c r="L3389" s="11" t="s">
        <v>163</v>
      </c>
      <c r="M3389" s="11" t="s">
        <v>21326</v>
      </c>
      <c r="N3389" s="11" t="s">
        <v>128</v>
      </c>
      <c r="O3389" s="11" t="s">
        <v>21327</v>
      </c>
      <c r="P3389" s="11" t="s">
        <v>21328</v>
      </c>
      <c r="Q3389" s="11" t="s">
        <v>150</v>
      </c>
      <c r="R3389" s="11"/>
      <c r="S3389" s="11" t="s">
        <v>12248</v>
      </c>
      <c r="T3389" s="11" t="s">
        <v>1738</v>
      </c>
      <c r="U3389" s="11" t="s">
        <v>150</v>
      </c>
      <c r="V3389" s="11" t="s">
        <v>1738</v>
      </c>
      <c r="W3389" s="11" t="s">
        <v>1738</v>
      </c>
      <c r="X3389" s="11">
        <v>3</v>
      </c>
      <c r="Y3389" s="11" t="s">
        <v>12359</v>
      </c>
      <c r="Z3389" s="11">
        <v>20</v>
      </c>
      <c r="AA3389" s="11">
        <v>0</v>
      </c>
      <c r="AB3389" s="12">
        <v>0</v>
      </c>
    </row>
    <row r="3390" spans="1:28" x14ac:dyDescent="0.2">
      <c r="A3390" s="7">
        <v>30538</v>
      </c>
      <c r="B3390" s="8" t="s">
        <v>21329</v>
      </c>
      <c r="C3390" s="8" t="s">
        <v>14268</v>
      </c>
      <c r="D3390" s="8" t="s">
        <v>14269</v>
      </c>
      <c r="E3390" s="8"/>
      <c r="F3390" s="8" t="s">
        <v>21330</v>
      </c>
      <c r="G3390" s="8" t="s">
        <v>4226</v>
      </c>
      <c r="H3390" s="8" t="s">
        <v>329</v>
      </c>
      <c r="I3390" s="8" t="s">
        <v>6361</v>
      </c>
      <c r="J3390" s="8" t="s">
        <v>14271</v>
      </c>
      <c r="K3390" s="8" t="s">
        <v>415</v>
      </c>
      <c r="L3390" s="8" t="s">
        <v>333</v>
      </c>
      <c r="M3390" s="8" t="s">
        <v>21331</v>
      </c>
      <c r="N3390" s="8" t="s">
        <v>128</v>
      </c>
      <c r="O3390" s="8" t="s">
        <v>21332</v>
      </c>
      <c r="P3390" s="8" t="s">
        <v>21333</v>
      </c>
      <c r="Q3390" s="8" t="s">
        <v>150</v>
      </c>
      <c r="R3390" s="8"/>
      <c r="S3390" s="8" t="s">
        <v>6366</v>
      </c>
      <c r="T3390" s="8" t="s">
        <v>1738</v>
      </c>
      <c r="U3390" s="8" t="s">
        <v>150</v>
      </c>
      <c r="V3390" s="8" t="s">
        <v>1738</v>
      </c>
      <c r="W3390" s="8" t="s">
        <v>1738</v>
      </c>
      <c r="X3390" s="8">
        <v>3</v>
      </c>
      <c r="Y3390" s="8" t="s">
        <v>12359</v>
      </c>
      <c r="Z3390" s="8">
        <v>20</v>
      </c>
      <c r="AA3390" s="8">
        <v>0</v>
      </c>
      <c r="AB3390" s="9">
        <v>0</v>
      </c>
    </row>
    <row r="3391" spans="1:28" x14ac:dyDescent="0.2">
      <c r="A3391" s="10">
        <v>160000</v>
      </c>
      <c r="B3391" s="11" t="s">
        <v>21334</v>
      </c>
      <c r="C3391" s="11" t="s">
        <v>7773</v>
      </c>
      <c r="D3391" s="11" t="s">
        <v>14550</v>
      </c>
      <c r="E3391" s="11" t="s">
        <v>13311</v>
      </c>
      <c r="F3391" s="11" t="s">
        <v>353</v>
      </c>
      <c r="G3391" s="11" t="s">
        <v>1813</v>
      </c>
      <c r="H3391" s="11" t="s">
        <v>142</v>
      </c>
      <c r="I3391" s="11" t="s">
        <v>21335</v>
      </c>
      <c r="J3391" s="11" t="s">
        <v>21336</v>
      </c>
      <c r="K3391" s="11" t="s">
        <v>974</v>
      </c>
      <c r="L3391" s="11" t="s">
        <v>146</v>
      </c>
      <c r="M3391" s="11" t="s">
        <v>21337</v>
      </c>
      <c r="N3391" s="11" t="s">
        <v>128</v>
      </c>
      <c r="O3391" s="11" t="s">
        <v>21338</v>
      </c>
      <c r="P3391" s="11"/>
      <c r="Q3391" s="11" t="s">
        <v>740</v>
      </c>
      <c r="R3391" s="11"/>
      <c r="S3391" s="11" t="s">
        <v>14556</v>
      </c>
      <c r="T3391" s="11" t="s">
        <v>1745</v>
      </c>
      <c r="U3391" s="11" t="s">
        <v>134</v>
      </c>
      <c r="V3391" s="11" t="s">
        <v>740</v>
      </c>
      <c r="W3391" s="11" t="s">
        <v>1745</v>
      </c>
      <c r="X3391" s="11">
        <v>3</v>
      </c>
      <c r="Y3391" s="11" t="s">
        <v>12359</v>
      </c>
      <c r="Z3391" s="11">
        <v>20</v>
      </c>
      <c r="AA3391" s="11">
        <v>0</v>
      </c>
      <c r="AB3391" s="12">
        <v>0</v>
      </c>
    </row>
    <row r="3392" spans="1:28" x14ac:dyDescent="0.2">
      <c r="A3392" s="7">
        <v>22213</v>
      </c>
      <c r="B3392" s="8" t="s">
        <v>21339</v>
      </c>
      <c r="C3392" s="8" t="s">
        <v>12239</v>
      </c>
      <c r="D3392" s="8" t="s">
        <v>12240</v>
      </c>
      <c r="E3392" s="8" t="s">
        <v>21340</v>
      </c>
      <c r="F3392" s="8" t="s">
        <v>12242</v>
      </c>
      <c r="G3392" s="8" t="s">
        <v>615</v>
      </c>
      <c r="H3392" s="8" t="s">
        <v>616</v>
      </c>
      <c r="I3392" s="8" t="s">
        <v>12243</v>
      </c>
      <c r="J3392" s="8" t="s">
        <v>12244</v>
      </c>
      <c r="K3392" s="8" t="s">
        <v>619</v>
      </c>
      <c r="L3392" s="8" t="s">
        <v>163</v>
      </c>
      <c r="M3392" s="8" t="s">
        <v>21341</v>
      </c>
      <c r="N3392" s="8" t="s">
        <v>128</v>
      </c>
      <c r="O3392" s="8" t="s">
        <v>21342</v>
      </c>
      <c r="P3392" s="8"/>
      <c r="Q3392" s="8" t="s">
        <v>740</v>
      </c>
      <c r="R3392" s="8"/>
      <c r="S3392" s="8" t="s">
        <v>12248</v>
      </c>
      <c r="T3392" s="8" t="s">
        <v>1745</v>
      </c>
      <c r="U3392" s="8" t="s">
        <v>134</v>
      </c>
      <c r="V3392" s="8" t="s">
        <v>740</v>
      </c>
      <c r="W3392" s="8" t="s">
        <v>1745</v>
      </c>
      <c r="X3392" s="8">
        <v>3</v>
      </c>
      <c r="Y3392" s="8" t="s">
        <v>12359</v>
      </c>
      <c r="Z3392" s="8">
        <v>20</v>
      </c>
      <c r="AA3392" s="8">
        <v>0</v>
      </c>
      <c r="AB3392" s="9">
        <v>0</v>
      </c>
    </row>
    <row r="3393" spans="1:28" x14ac:dyDescent="0.2">
      <c r="A3393" s="10">
        <v>22211</v>
      </c>
      <c r="B3393" s="11" t="s">
        <v>21343</v>
      </c>
      <c r="C3393" s="11" t="s">
        <v>611</v>
      </c>
      <c r="D3393" s="11" t="s">
        <v>612</v>
      </c>
      <c r="E3393" s="11" t="s">
        <v>4125</v>
      </c>
      <c r="F3393" s="11" t="s">
        <v>614</v>
      </c>
      <c r="G3393" s="11" t="s">
        <v>615</v>
      </c>
      <c r="H3393" s="11" t="s">
        <v>616</v>
      </c>
      <c r="I3393" s="11" t="s">
        <v>617</v>
      </c>
      <c r="J3393" s="11" t="s">
        <v>21344</v>
      </c>
      <c r="K3393" s="11" t="s">
        <v>619</v>
      </c>
      <c r="L3393" s="11" t="s">
        <v>163</v>
      </c>
      <c r="M3393" s="11" t="s">
        <v>21345</v>
      </c>
      <c r="N3393" s="11" t="s">
        <v>128</v>
      </c>
      <c r="O3393" s="11" t="s">
        <v>21346</v>
      </c>
      <c r="P3393" s="11" t="s">
        <v>21347</v>
      </c>
      <c r="Q3393" s="11" t="s">
        <v>740</v>
      </c>
      <c r="R3393" s="11"/>
      <c r="S3393" s="11" t="s">
        <v>12202</v>
      </c>
      <c r="T3393" s="11" t="s">
        <v>1745</v>
      </c>
      <c r="U3393" s="11" t="s">
        <v>134</v>
      </c>
      <c r="V3393" s="11" t="s">
        <v>740</v>
      </c>
      <c r="W3393" s="11" t="s">
        <v>1745</v>
      </c>
      <c r="X3393" s="11">
        <v>3</v>
      </c>
      <c r="Y3393" s="11" t="s">
        <v>12359</v>
      </c>
      <c r="Z3393" s="11">
        <v>20</v>
      </c>
      <c r="AA3393" s="11">
        <v>0</v>
      </c>
      <c r="AB3393" s="12">
        <v>0</v>
      </c>
    </row>
    <row r="3394" spans="1:28" x14ac:dyDescent="0.2">
      <c r="A3394" s="7">
        <v>24189</v>
      </c>
      <c r="B3394" s="8" t="s">
        <v>21348</v>
      </c>
      <c r="C3394" s="8" t="s">
        <v>10959</v>
      </c>
      <c r="D3394" s="8" t="s">
        <v>2859</v>
      </c>
      <c r="E3394" s="8" t="s">
        <v>12830</v>
      </c>
      <c r="F3394" s="8" t="s">
        <v>8772</v>
      </c>
      <c r="G3394" s="8" t="s">
        <v>158</v>
      </c>
      <c r="H3394" s="8" t="s">
        <v>159</v>
      </c>
      <c r="I3394" s="8" t="s">
        <v>10961</v>
      </c>
      <c r="J3394" s="8" t="s">
        <v>10962</v>
      </c>
      <c r="K3394" s="8" t="s">
        <v>274</v>
      </c>
      <c r="L3394" s="8" t="s">
        <v>163</v>
      </c>
      <c r="M3394" s="8" t="s">
        <v>21349</v>
      </c>
      <c r="N3394" s="8" t="s">
        <v>128</v>
      </c>
      <c r="O3394" s="8" t="s">
        <v>21350</v>
      </c>
      <c r="P3394" s="8" t="s">
        <v>21351</v>
      </c>
      <c r="Q3394" s="8" t="s">
        <v>740</v>
      </c>
      <c r="R3394" s="8"/>
      <c r="S3394" s="8" t="s">
        <v>10966</v>
      </c>
      <c r="T3394" s="8" t="s">
        <v>1745</v>
      </c>
      <c r="U3394" s="8" t="s">
        <v>134</v>
      </c>
      <c r="V3394" s="8" t="s">
        <v>740</v>
      </c>
      <c r="W3394" s="8" t="s">
        <v>1745</v>
      </c>
      <c r="X3394" s="8">
        <v>3</v>
      </c>
      <c r="Y3394" s="8" t="s">
        <v>12359</v>
      </c>
      <c r="Z3394" s="8">
        <v>20</v>
      </c>
      <c r="AA3394" s="8">
        <v>0</v>
      </c>
      <c r="AB3394" s="9">
        <v>0</v>
      </c>
    </row>
    <row r="3395" spans="1:28" x14ac:dyDescent="0.2">
      <c r="A3395" s="10">
        <v>93132</v>
      </c>
      <c r="B3395" s="11" t="s">
        <v>21352</v>
      </c>
      <c r="C3395" s="11" t="s">
        <v>20934</v>
      </c>
      <c r="D3395" s="11" t="s">
        <v>20935</v>
      </c>
      <c r="E3395" s="11"/>
      <c r="F3395" s="11" t="s">
        <v>353</v>
      </c>
      <c r="G3395" s="11" t="s">
        <v>21353</v>
      </c>
      <c r="H3395" s="11" t="s">
        <v>159</v>
      </c>
      <c r="I3395" s="11" t="s">
        <v>10999</v>
      </c>
      <c r="J3395" s="11" t="s">
        <v>11000</v>
      </c>
      <c r="K3395" s="11" t="s">
        <v>274</v>
      </c>
      <c r="L3395" s="11" t="s">
        <v>163</v>
      </c>
      <c r="M3395" s="11" t="s">
        <v>21354</v>
      </c>
      <c r="N3395" s="11" t="s">
        <v>128</v>
      </c>
      <c r="O3395" s="11" t="s">
        <v>21355</v>
      </c>
      <c r="P3395" s="11" t="s">
        <v>21356</v>
      </c>
      <c r="Q3395" s="11" t="s">
        <v>740</v>
      </c>
      <c r="R3395" s="11"/>
      <c r="S3395" s="11" t="s">
        <v>11004</v>
      </c>
      <c r="T3395" s="11" t="s">
        <v>1745</v>
      </c>
      <c r="U3395" s="11" t="s">
        <v>134</v>
      </c>
      <c r="V3395" s="11" t="s">
        <v>740</v>
      </c>
      <c r="W3395" s="11" t="s">
        <v>1745</v>
      </c>
      <c r="X3395" s="11">
        <v>3</v>
      </c>
      <c r="Y3395" s="11" t="s">
        <v>12359</v>
      </c>
      <c r="Z3395" s="11">
        <v>20</v>
      </c>
      <c r="AA3395" s="11">
        <v>0</v>
      </c>
      <c r="AB3395" s="12">
        <v>0</v>
      </c>
    </row>
    <row r="3396" spans="1:28" x14ac:dyDescent="0.2">
      <c r="A3396" s="7">
        <v>165806</v>
      </c>
      <c r="B3396" s="8" t="s">
        <v>21357</v>
      </c>
      <c r="C3396" s="8" t="s">
        <v>552</v>
      </c>
      <c r="D3396" s="8" t="s">
        <v>21358</v>
      </c>
      <c r="E3396" s="8"/>
      <c r="F3396" s="8" t="s">
        <v>555</v>
      </c>
      <c r="G3396" s="8" t="s">
        <v>556</v>
      </c>
      <c r="H3396" s="8" t="s">
        <v>557</v>
      </c>
      <c r="I3396" s="8" t="s">
        <v>558</v>
      </c>
      <c r="J3396" s="8" t="s">
        <v>2208</v>
      </c>
      <c r="K3396" s="8" t="s">
        <v>560</v>
      </c>
      <c r="L3396" s="8" t="s">
        <v>229</v>
      </c>
      <c r="M3396" s="8" t="s">
        <v>21359</v>
      </c>
      <c r="N3396" s="8" t="s">
        <v>128</v>
      </c>
      <c r="O3396" s="8" t="s">
        <v>21360</v>
      </c>
      <c r="P3396" s="8" t="s">
        <v>21361</v>
      </c>
      <c r="Q3396" s="8" t="s">
        <v>740</v>
      </c>
      <c r="R3396" s="8"/>
      <c r="S3396" s="8" t="s">
        <v>796</v>
      </c>
      <c r="T3396" s="8" t="s">
        <v>1745</v>
      </c>
      <c r="U3396" s="8" t="s">
        <v>134</v>
      </c>
      <c r="V3396" s="8" t="s">
        <v>740</v>
      </c>
      <c r="W3396" s="8" t="s">
        <v>1745</v>
      </c>
      <c r="X3396" s="8">
        <v>3</v>
      </c>
      <c r="Y3396" s="8" t="s">
        <v>12359</v>
      </c>
      <c r="Z3396" s="8">
        <v>20</v>
      </c>
      <c r="AA3396" s="8">
        <v>0</v>
      </c>
      <c r="AB3396" s="9">
        <v>0</v>
      </c>
    </row>
    <row r="3397" spans="1:28" x14ac:dyDescent="0.2">
      <c r="A3397" s="10">
        <v>31293</v>
      </c>
      <c r="B3397" s="11" t="s">
        <v>21362</v>
      </c>
      <c r="C3397" s="11" t="s">
        <v>21363</v>
      </c>
      <c r="D3397" s="11" t="s">
        <v>259</v>
      </c>
      <c r="E3397" s="11"/>
      <c r="F3397" s="11" t="s">
        <v>353</v>
      </c>
      <c r="G3397" s="11" t="s">
        <v>21364</v>
      </c>
      <c r="H3397" s="11" t="s">
        <v>847</v>
      </c>
      <c r="I3397" s="11" t="s">
        <v>21365</v>
      </c>
      <c r="J3397" s="11" t="s">
        <v>21366</v>
      </c>
      <c r="K3397" s="11" t="s">
        <v>850</v>
      </c>
      <c r="L3397" s="11" t="s">
        <v>126</v>
      </c>
      <c r="M3397" s="11" t="s">
        <v>21367</v>
      </c>
      <c r="N3397" s="11" t="s">
        <v>128</v>
      </c>
      <c r="O3397" s="11"/>
      <c r="P3397" s="11"/>
      <c r="Q3397" s="11" t="s">
        <v>740</v>
      </c>
      <c r="R3397" s="11"/>
      <c r="S3397" s="11" t="s">
        <v>71</v>
      </c>
      <c r="T3397" s="11" t="s">
        <v>1745</v>
      </c>
      <c r="U3397" s="11" t="s">
        <v>134</v>
      </c>
      <c r="V3397" s="11" t="s">
        <v>740</v>
      </c>
      <c r="W3397" s="11" t="s">
        <v>1745</v>
      </c>
      <c r="X3397" s="11">
        <v>3</v>
      </c>
      <c r="Y3397" s="11" t="s">
        <v>12359</v>
      </c>
      <c r="Z3397" s="11">
        <v>20</v>
      </c>
      <c r="AA3397" s="11">
        <v>0</v>
      </c>
      <c r="AB3397" s="12">
        <v>0</v>
      </c>
    </row>
    <row r="3398" spans="1:28" x14ac:dyDescent="0.2">
      <c r="A3398" s="7">
        <v>25117</v>
      </c>
      <c r="B3398" s="8" t="s">
        <v>21368</v>
      </c>
      <c r="C3398" s="8" t="s">
        <v>3791</v>
      </c>
      <c r="D3398" s="8" t="s">
        <v>5139</v>
      </c>
      <c r="E3398" s="8" t="s">
        <v>21369</v>
      </c>
      <c r="F3398" s="8" t="s">
        <v>3794</v>
      </c>
      <c r="G3398" s="8" t="s">
        <v>450</v>
      </c>
      <c r="H3398" s="8" t="s">
        <v>301</v>
      </c>
      <c r="I3398" s="8" t="s">
        <v>3795</v>
      </c>
      <c r="J3398" s="8" t="s">
        <v>21370</v>
      </c>
      <c r="K3398" s="8" t="s">
        <v>304</v>
      </c>
      <c r="L3398" s="8" t="s">
        <v>229</v>
      </c>
      <c r="M3398" s="8" t="s">
        <v>21371</v>
      </c>
      <c r="N3398" s="8" t="s">
        <v>128</v>
      </c>
      <c r="O3398" s="8" t="s">
        <v>21372</v>
      </c>
      <c r="P3398" s="8" t="s">
        <v>21373</v>
      </c>
      <c r="Q3398" s="8" t="s">
        <v>740</v>
      </c>
      <c r="R3398" s="8"/>
      <c r="S3398" s="8" t="s">
        <v>71</v>
      </c>
      <c r="T3398" s="8" t="s">
        <v>741</v>
      </c>
      <c r="U3398" s="8" t="s">
        <v>134</v>
      </c>
      <c r="V3398" s="8" t="s">
        <v>740</v>
      </c>
      <c r="W3398" s="8" t="s">
        <v>741</v>
      </c>
      <c r="X3398" s="8">
        <v>3</v>
      </c>
      <c r="Y3398" s="8" t="s">
        <v>12359</v>
      </c>
      <c r="Z3398" s="8">
        <v>20</v>
      </c>
      <c r="AA3398" s="8">
        <v>0</v>
      </c>
      <c r="AB3398" s="9">
        <v>0</v>
      </c>
    </row>
    <row r="3399" spans="1:28" x14ac:dyDescent="0.2">
      <c r="A3399" s="10">
        <v>25164</v>
      </c>
      <c r="B3399" s="11" t="s">
        <v>21374</v>
      </c>
      <c r="C3399" s="11" t="s">
        <v>5879</v>
      </c>
      <c r="D3399" s="11" t="s">
        <v>21375</v>
      </c>
      <c r="E3399" s="11"/>
      <c r="F3399" s="11" t="s">
        <v>21376</v>
      </c>
      <c r="G3399" s="11" t="s">
        <v>3929</v>
      </c>
      <c r="H3399" s="11" t="s">
        <v>704</v>
      </c>
      <c r="I3399" s="11" t="s">
        <v>21377</v>
      </c>
      <c r="J3399" s="11" t="s">
        <v>21378</v>
      </c>
      <c r="K3399" s="11" t="s">
        <v>850</v>
      </c>
      <c r="L3399" s="11" t="s">
        <v>126</v>
      </c>
      <c r="M3399" s="11" t="s">
        <v>21379</v>
      </c>
      <c r="N3399" s="11" t="s">
        <v>128</v>
      </c>
      <c r="O3399" s="11" t="s">
        <v>21380</v>
      </c>
      <c r="P3399" s="11"/>
      <c r="Q3399" s="11" t="s">
        <v>740</v>
      </c>
      <c r="R3399" s="11"/>
      <c r="S3399" s="11" t="s">
        <v>21381</v>
      </c>
      <c r="T3399" s="11" t="s">
        <v>741</v>
      </c>
      <c r="U3399" s="11" t="s">
        <v>134</v>
      </c>
      <c r="V3399" s="11" t="s">
        <v>740</v>
      </c>
      <c r="W3399" s="11" t="s">
        <v>741</v>
      </c>
      <c r="X3399" s="11">
        <v>3</v>
      </c>
      <c r="Y3399" s="11" t="s">
        <v>12359</v>
      </c>
      <c r="Z3399" s="11">
        <v>20</v>
      </c>
      <c r="AA3399" s="11">
        <v>0</v>
      </c>
      <c r="AB3399" s="12">
        <v>0</v>
      </c>
    </row>
    <row r="3400" spans="1:28" x14ac:dyDescent="0.2">
      <c r="A3400" s="7">
        <v>111404</v>
      </c>
      <c r="B3400" s="8" t="s">
        <v>21382</v>
      </c>
      <c r="C3400" s="8" t="s">
        <v>21135</v>
      </c>
      <c r="D3400" s="8" t="s">
        <v>9429</v>
      </c>
      <c r="E3400" s="8" t="s">
        <v>7413</v>
      </c>
      <c r="F3400" s="8" t="s">
        <v>353</v>
      </c>
      <c r="G3400" s="8" t="s">
        <v>20253</v>
      </c>
      <c r="H3400" s="8" t="s">
        <v>616</v>
      </c>
      <c r="I3400" s="8" t="s">
        <v>21136</v>
      </c>
      <c r="J3400" s="8" t="s">
        <v>21137</v>
      </c>
      <c r="K3400" s="8" t="s">
        <v>619</v>
      </c>
      <c r="L3400" s="8" t="s">
        <v>163</v>
      </c>
      <c r="M3400" s="8" t="s">
        <v>21383</v>
      </c>
      <c r="N3400" s="8" t="s">
        <v>128</v>
      </c>
      <c r="O3400" s="8" t="s">
        <v>21384</v>
      </c>
      <c r="P3400" s="8"/>
      <c r="Q3400" s="8" t="s">
        <v>249</v>
      </c>
      <c r="R3400" s="8"/>
      <c r="S3400" s="8" t="s">
        <v>21141</v>
      </c>
      <c r="T3400" s="8" t="s">
        <v>1523</v>
      </c>
      <c r="U3400" s="8" t="s">
        <v>134</v>
      </c>
      <c r="V3400" s="8" t="s">
        <v>249</v>
      </c>
      <c r="W3400" s="8" t="s">
        <v>1523</v>
      </c>
      <c r="X3400" s="8">
        <v>3</v>
      </c>
      <c r="Y3400" s="8" t="s">
        <v>12359</v>
      </c>
      <c r="Z3400" s="8">
        <v>20</v>
      </c>
      <c r="AA3400" s="8">
        <v>0</v>
      </c>
      <c r="AB3400" s="9">
        <v>0</v>
      </c>
    </row>
    <row r="3401" spans="1:28" x14ac:dyDescent="0.2">
      <c r="A3401" s="10">
        <v>22546</v>
      </c>
      <c r="B3401" s="11" t="s">
        <v>21385</v>
      </c>
      <c r="C3401" s="11" t="s">
        <v>8945</v>
      </c>
      <c r="D3401" s="11" t="s">
        <v>8946</v>
      </c>
      <c r="E3401" s="11" t="s">
        <v>21386</v>
      </c>
      <c r="F3401" s="11" t="s">
        <v>8234</v>
      </c>
      <c r="G3401" s="11" t="s">
        <v>556</v>
      </c>
      <c r="H3401" s="11" t="s">
        <v>557</v>
      </c>
      <c r="I3401" s="11" t="s">
        <v>8948</v>
      </c>
      <c r="J3401" s="11" t="s">
        <v>8949</v>
      </c>
      <c r="K3401" s="11" t="s">
        <v>560</v>
      </c>
      <c r="L3401" s="11" t="s">
        <v>229</v>
      </c>
      <c r="M3401" s="11" t="s">
        <v>21387</v>
      </c>
      <c r="N3401" s="11" t="s">
        <v>128</v>
      </c>
      <c r="O3401" s="11" t="s">
        <v>21388</v>
      </c>
      <c r="P3401" s="11"/>
      <c r="Q3401" s="11" t="s">
        <v>249</v>
      </c>
      <c r="R3401" s="11"/>
      <c r="S3401" s="11" t="s">
        <v>8953</v>
      </c>
      <c r="T3401" s="11" t="s">
        <v>1523</v>
      </c>
      <c r="U3401" s="11" t="s">
        <v>134</v>
      </c>
      <c r="V3401" s="11" t="s">
        <v>249</v>
      </c>
      <c r="W3401" s="11" t="s">
        <v>1523</v>
      </c>
      <c r="X3401" s="11">
        <v>3</v>
      </c>
      <c r="Y3401" s="11" t="s">
        <v>12359</v>
      </c>
      <c r="Z3401" s="11">
        <v>20</v>
      </c>
      <c r="AA3401" s="11">
        <v>0</v>
      </c>
      <c r="AB3401" s="12">
        <v>0</v>
      </c>
    </row>
    <row r="3402" spans="1:28" x14ac:dyDescent="0.2">
      <c r="A3402" s="7">
        <v>111761</v>
      </c>
      <c r="B3402" s="8" t="s">
        <v>21389</v>
      </c>
      <c r="C3402" s="8" t="s">
        <v>9219</v>
      </c>
      <c r="D3402" s="8" t="s">
        <v>138</v>
      </c>
      <c r="E3402" s="8"/>
      <c r="F3402" s="8" t="s">
        <v>9221</v>
      </c>
      <c r="G3402" s="8" t="s">
        <v>9222</v>
      </c>
      <c r="H3402" s="8" t="s">
        <v>159</v>
      </c>
      <c r="I3402" s="8" t="s">
        <v>21390</v>
      </c>
      <c r="J3402" s="8" t="s">
        <v>13056</v>
      </c>
      <c r="K3402" s="8" t="s">
        <v>274</v>
      </c>
      <c r="L3402" s="8" t="s">
        <v>163</v>
      </c>
      <c r="M3402" s="8" t="s">
        <v>21391</v>
      </c>
      <c r="N3402" s="8" t="s">
        <v>128</v>
      </c>
      <c r="O3402" s="8" t="s">
        <v>21392</v>
      </c>
      <c r="P3402" s="8"/>
      <c r="Q3402" s="8" t="s">
        <v>249</v>
      </c>
      <c r="R3402" s="8"/>
      <c r="S3402" s="8" t="s">
        <v>9228</v>
      </c>
      <c r="T3402" s="8" t="s">
        <v>1523</v>
      </c>
      <c r="U3402" s="8" t="s">
        <v>134</v>
      </c>
      <c r="V3402" s="8" t="s">
        <v>249</v>
      </c>
      <c r="W3402" s="8" t="s">
        <v>1523</v>
      </c>
      <c r="X3402" s="8">
        <v>3</v>
      </c>
      <c r="Y3402" s="8" t="s">
        <v>12359</v>
      </c>
      <c r="Z3402" s="8">
        <v>20</v>
      </c>
      <c r="AA3402" s="8">
        <v>0</v>
      </c>
      <c r="AB3402" s="9">
        <v>0</v>
      </c>
    </row>
    <row r="3403" spans="1:28" x14ac:dyDescent="0.2">
      <c r="A3403" s="10">
        <v>22547</v>
      </c>
      <c r="B3403" s="11" t="s">
        <v>21393</v>
      </c>
      <c r="C3403" s="11" t="s">
        <v>7871</v>
      </c>
      <c r="D3403" s="11" t="s">
        <v>18250</v>
      </c>
      <c r="E3403" s="11"/>
      <c r="F3403" s="11" t="s">
        <v>8101</v>
      </c>
      <c r="G3403" s="11" t="s">
        <v>2423</v>
      </c>
      <c r="H3403" s="11" t="s">
        <v>557</v>
      </c>
      <c r="I3403" s="11" t="s">
        <v>18252</v>
      </c>
      <c r="J3403" s="11" t="s">
        <v>18253</v>
      </c>
      <c r="K3403" s="11" t="s">
        <v>1562</v>
      </c>
      <c r="L3403" s="11" t="s">
        <v>229</v>
      </c>
      <c r="M3403" s="11" t="s">
        <v>21394</v>
      </c>
      <c r="N3403" s="11" t="s">
        <v>128</v>
      </c>
      <c r="O3403" s="11" t="s">
        <v>21395</v>
      </c>
      <c r="P3403" s="11"/>
      <c r="Q3403" s="11" t="s">
        <v>249</v>
      </c>
      <c r="R3403" s="11"/>
      <c r="S3403" s="11" t="s">
        <v>18257</v>
      </c>
      <c r="T3403" s="11" t="s">
        <v>1523</v>
      </c>
      <c r="U3403" s="11" t="s">
        <v>134</v>
      </c>
      <c r="V3403" s="11" t="s">
        <v>249</v>
      </c>
      <c r="W3403" s="11" t="s">
        <v>1523</v>
      </c>
      <c r="X3403" s="11">
        <v>3</v>
      </c>
      <c r="Y3403" s="11" t="s">
        <v>12359</v>
      </c>
      <c r="Z3403" s="11">
        <v>20</v>
      </c>
      <c r="AA3403" s="11">
        <v>0</v>
      </c>
      <c r="AB3403" s="12">
        <v>0</v>
      </c>
    </row>
    <row r="3404" spans="1:28" x14ac:dyDescent="0.2">
      <c r="A3404" s="7">
        <v>114299</v>
      </c>
      <c r="B3404" s="8" t="s">
        <v>21396</v>
      </c>
      <c r="C3404" s="8" t="s">
        <v>2431</v>
      </c>
      <c r="D3404" s="8" t="s">
        <v>2432</v>
      </c>
      <c r="E3404" s="8"/>
      <c r="F3404" s="8" t="s">
        <v>21397</v>
      </c>
      <c r="G3404" s="8" t="s">
        <v>2435</v>
      </c>
      <c r="H3404" s="8" t="s">
        <v>142</v>
      </c>
      <c r="I3404" s="8" t="s">
        <v>21398</v>
      </c>
      <c r="J3404" s="8" t="s">
        <v>2437</v>
      </c>
      <c r="K3404" s="8" t="s">
        <v>1029</v>
      </c>
      <c r="L3404" s="8" t="s">
        <v>464</v>
      </c>
      <c r="M3404" s="8" t="s">
        <v>21399</v>
      </c>
      <c r="N3404" s="8" t="s">
        <v>128</v>
      </c>
      <c r="O3404" s="8" t="s">
        <v>21400</v>
      </c>
      <c r="P3404" s="8"/>
      <c r="Q3404" s="8" t="s">
        <v>249</v>
      </c>
      <c r="R3404" s="8"/>
      <c r="S3404" s="8" t="s">
        <v>2441</v>
      </c>
      <c r="T3404" s="8" t="s">
        <v>1523</v>
      </c>
      <c r="U3404" s="8" t="s">
        <v>134</v>
      </c>
      <c r="V3404" s="8" t="s">
        <v>249</v>
      </c>
      <c r="W3404" s="8" t="s">
        <v>1523</v>
      </c>
      <c r="X3404" s="8">
        <v>3</v>
      </c>
      <c r="Y3404" s="8" t="s">
        <v>12359</v>
      </c>
      <c r="Z3404" s="8">
        <v>20</v>
      </c>
      <c r="AA3404" s="8">
        <v>0</v>
      </c>
      <c r="AB3404" s="9">
        <v>0</v>
      </c>
    </row>
    <row r="3405" spans="1:28" x14ac:dyDescent="0.2">
      <c r="A3405" s="10">
        <v>114883</v>
      </c>
      <c r="B3405" s="11" t="s">
        <v>21401</v>
      </c>
      <c r="C3405" s="11" t="s">
        <v>611</v>
      </c>
      <c r="D3405" s="11" t="s">
        <v>12196</v>
      </c>
      <c r="E3405" s="11"/>
      <c r="F3405" s="11" t="s">
        <v>10822</v>
      </c>
      <c r="G3405" s="11" t="s">
        <v>615</v>
      </c>
      <c r="H3405" s="11" t="s">
        <v>616</v>
      </c>
      <c r="I3405" s="11" t="s">
        <v>10823</v>
      </c>
      <c r="J3405" s="11" t="s">
        <v>12198</v>
      </c>
      <c r="K3405" s="11" t="s">
        <v>619</v>
      </c>
      <c r="L3405" s="11" t="s">
        <v>163</v>
      </c>
      <c r="M3405" s="11" t="s">
        <v>21402</v>
      </c>
      <c r="N3405" s="11" t="s">
        <v>128</v>
      </c>
      <c r="O3405" s="11" t="s">
        <v>21403</v>
      </c>
      <c r="P3405" s="11"/>
      <c r="Q3405" s="11" t="s">
        <v>249</v>
      </c>
      <c r="R3405" s="11"/>
      <c r="S3405" s="11" t="s">
        <v>12202</v>
      </c>
      <c r="T3405" s="11" t="s">
        <v>1523</v>
      </c>
      <c r="U3405" s="11" t="s">
        <v>134</v>
      </c>
      <c r="V3405" s="11" t="s">
        <v>249</v>
      </c>
      <c r="W3405" s="11" t="s">
        <v>1523</v>
      </c>
      <c r="X3405" s="11">
        <v>3</v>
      </c>
      <c r="Y3405" s="11" t="s">
        <v>12359</v>
      </c>
      <c r="Z3405" s="11">
        <v>20</v>
      </c>
      <c r="AA3405" s="11">
        <v>0</v>
      </c>
      <c r="AB3405" s="12">
        <v>0</v>
      </c>
    </row>
    <row r="3406" spans="1:28" x14ac:dyDescent="0.2">
      <c r="A3406" s="7">
        <v>218064</v>
      </c>
      <c r="B3406" s="8" t="s">
        <v>21404</v>
      </c>
      <c r="C3406" s="8" t="s">
        <v>2506</v>
      </c>
      <c r="D3406" s="8" t="s">
        <v>2507</v>
      </c>
      <c r="E3406" s="8"/>
      <c r="F3406" s="8" t="s">
        <v>15760</v>
      </c>
      <c r="G3406" s="8" t="s">
        <v>2510</v>
      </c>
      <c r="H3406" s="8" t="s">
        <v>2511</v>
      </c>
      <c r="I3406" s="8" t="s">
        <v>21405</v>
      </c>
      <c r="J3406" s="8" t="s">
        <v>2513</v>
      </c>
      <c r="K3406" s="8" t="s">
        <v>1562</v>
      </c>
      <c r="L3406" s="8" t="s">
        <v>229</v>
      </c>
      <c r="M3406" s="8" t="s">
        <v>21406</v>
      </c>
      <c r="N3406" s="8" t="s">
        <v>128</v>
      </c>
      <c r="O3406" s="8" t="s">
        <v>21407</v>
      </c>
      <c r="P3406" s="8"/>
      <c r="Q3406" s="8" t="s">
        <v>249</v>
      </c>
      <c r="R3406" s="8"/>
      <c r="S3406" s="8" t="s">
        <v>2517</v>
      </c>
      <c r="T3406" s="8" t="s">
        <v>1523</v>
      </c>
      <c r="U3406" s="8" t="s">
        <v>134</v>
      </c>
      <c r="V3406" s="8" t="s">
        <v>249</v>
      </c>
      <c r="W3406" s="8" t="s">
        <v>1523</v>
      </c>
      <c r="X3406" s="8">
        <v>3</v>
      </c>
      <c r="Y3406" s="8" t="s">
        <v>12359</v>
      </c>
      <c r="Z3406" s="8">
        <v>20</v>
      </c>
      <c r="AA3406" s="8">
        <v>0</v>
      </c>
      <c r="AB3406" s="9">
        <v>0</v>
      </c>
    </row>
    <row r="3407" spans="1:28" x14ac:dyDescent="0.2">
      <c r="A3407" s="10">
        <v>125374</v>
      </c>
      <c r="B3407" s="11" t="s">
        <v>21408</v>
      </c>
      <c r="C3407" s="11" t="s">
        <v>5879</v>
      </c>
      <c r="D3407" s="11" t="s">
        <v>11039</v>
      </c>
      <c r="E3407" s="11"/>
      <c r="F3407" s="11" t="s">
        <v>353</v>
      </c>
      <c r="G3407" s="11" t="s">
        <v>11130</v>
      </c>
      <c r="H3407" s="11" t="s">
        <v>704</v>
      </c>
      <c r="I3407" s="11" t="s">
        <v>21409</v>
      </c>
      <c r="J3407" s="11" t="s">
        <v>11132</v>
      </c>
      <c r="K3407" s="11" t="s">
        <v>850</v>
      </c>
      <c r="L3407" s="11" t="s">
        <v>126</v>
      </c>
      <c r="M3407" s="11" t="s">
        <v>21410</v>
      </c>
      <c r="N3407" s="11" t="s">
        <v>128</v>
      </c>
      <c r="O3407" s="11" t="s">
        <v>21411</v>
      </c>
      <c r="P3407" s="11"/>
      <c r="Q3407" s="11" t="s">
        <v>249</v>
      </c>
      <c r="R3407" s="11"/>
      <c r="S3407" s="11" t="s">
        <v>11136</v>
      </c>
      <c r="T3407" s="11" t="s">
        <v>1523</v>
      </c>
      <c r="U3407" s="11" t="s">
        <v>134</v>
      </c>
      <c r="V3407" s="11" t="s">
        <v>249</v>
      </c>
      <c r="W3407" s="11" t="s">
        <v>1523</v>
      </c>
      <c r="X3407" s="11">
        <v>3</v>
      </c>
      <c r="Y3407" s="11" t="s">
        <v>12359</v>
      </c>
      <c r="Z3407" s="11">
        <v>20</v>
      </c>
      <c r="AA3407" s="11">
        <v>0</v>
      </c>
      <c r="AB3407" s="12">
        <v>0</v>
      </c>
    </row>
    <row r="3408" spans="1:28" x14ac:dyDescent="0.2">
      <c r="A3408" s="7">
        <v>125703</v>
      </c>
      <c r="B3408" s="8" t="s">
        <v>21412</v>
      </c>
      <c r="C3408" s="8" t="s">
        <v>11354</v>
      </c>
      <c r="D3408" s="8" t="s">
        <v>2173</v>
      </c>
      <c r="E3408" s="8"/>
      <c r="F3408" s="8" t="s">
        <v>353</v>
      </c>
      <c r="G3408" s="8" t="s">
        <v>11130</v>
      </c>
      <c r="H3408" s="8" t="s">
        <v>704</v>
      </c>
      <c r="I3408" s="8" t="s">
        <v>21413</v>
      </c>
      <c r="J3408" s="8" t="s">
        <v>21414</v>
      </c>
      <c r="K3408" s="8" t="s">
        <v>850</v>
      </c>
      <c r="L3408" s="8" t="s">
        <v>126</v>
      </c>
      <c r="M3408" s="8" t="s">
        <v>21415</v>
      </c>
      <c r="N3408" s="8" t="s">
        <v>128</v>
      </c>
      <c r="O3408" s="8" t="s">
        <v>21416</v>
      </c>
      <c r="P3408" s="8"/>
      <c r="Q3408" s="8" t="s">
        <v>249</v>
      </c>
      <c r="R3408" s="8"/>
      <c r="S3408" s="8" t="s">
        <v>71</v>
      </c>
      <c r="T3408" s="8" t="s">
        <v>1523</v>
      </c>
      <c r="U3408" s="8" t="s">
        <v>134</v>
      </c>
      <c r="V3408" s="8" t="s">
        <v>249</v>
      </c>
      <c r="W3408" s="8" t="s">
        <v>1523</v>
      </c>
      <c r="X3408" s="8">
        <v>3</v>
      </c>
      <c r="Y3408" s="8" t="s">
        <v>12359</v>
      </c>
      <c r="Z3408" s="8">
        <v>20</v>
      </c>
      <c r="AA3408" s="8">
        <v>0</v>
      </c>
      <c r="AB3408" s="9">
        <v>0</v>
      </c>
    </row>
    <row r="3409" spans="1:28" x14ac:dyDescent="0.2">
      <c r="A3409" s="10">
        <v>115858</v>
      </c>
      <c r="B3409" s="11" t="s">
        <v>21417</v>
      </c>
      <c r="C3409" s="11" t="s">
        <v>360</v>
      </c>
      <c r="D3409" s="11" t="s">
        <v>16192</v>
      </c>
      <c r="E3409" s="11" t="s">
        <v>21418</v>
      </c>
      <c r="F3409" s="11" t="s">
        <v>16798</v>
      </c>
      <c r="G3409" s="11" t="s">
        <v>364</v>
      </c>
      <c r="H3409" s="11" t="s">
        <v>365</v>
      </c>
      <c r="I3409" s="11" t="s">
        <v>16194</v>
      </c>
      <c r="J3409" s="11" t="s">
        <v>21419</v>
      </c>
      <c r="K3409" s="11" t="s">
        <v>162</v>
      </c>
      <c r="L3409" s="11" t="s">
        <v>163</v>
      </c>
      <c r="M3409" s="11" t="s">
        <v>21420</v>
      </c>
      <c r="N3409" s="11" t="s">
        <v>128</v>
      </c>
      <c r="O3409" s="11" t="s">
        <v>21421</v>
      </c>
      <c r="P3409" s="11" t="s">
        <v>21422</v>
      </c>
      <c r="Q3409" s="11" t="s">
        <v>249</v>
      </c>
      <c r="R3409" s="11"/>
      <c r="S3409" s="11" t="s">
        <v>16198</v>
      </c>
      <c r="T3409" s="11" t="s">
        <v>250</v>
      </c>
      <c r="U3409" s="11" t="s">
        <v>134</v>
      </c>
      <c r="V3409" s="11" t="s">
        <v>249</v>
      </c>
      <c r="W3409" s="11" t="s">
        <v>250</v>
      </c>
      <c r="X3409" s="11">
        <v>3</v>
      </c>
      <c r="Y3409" s="11" t="s">
        <v>12359</v>
      </c>
      <c r="Z3409" s="11">
        <v>20</v>
      </c>
      <c r="AA3409" s="11">
        <v>0</v>
      </c>
      <c r="AB3409" s="12">
        <v>0</v>
      </c>
    </row>
    <row r="3410" spans="1:28" x14ac:dyDescent="0.2">
      <c r="A3410" s="7">
        <v>25444</v>
      </c>
      <c r="B3410" s="8" t="s">
        <v>21423</v>
      </c>
      <c r="C3410" s="8" t="s">
        <v>11006</v>
      </c>
      <c r="D3410" s="8" t="s">
        <v>2871</v>
      </c>
      <c r="E3410" s="8" t="s">
        <v>281</v>
      </c>
      <c r="F3410" s="8" t="s">
        <v>20825</v>
      </c>
      <c r="G3410" s="8" t="s">
        <v>328</v>
      </c>
      <c r="H3410" s="8" t="s">
        <v>329</v>
      </c>
      <c r="I3410" s="8" t="s">
        <v>11009</v>
      </c>
      <c r="J3410" s="8" t="s">
        <v>20826</v>
      </c>
      <c r="K3410" s="8" t="s">
        <v>572</v>
      </c>
      <c r="L3410" s="8" t="s">
        <v>333</v>
      </c>
      <c r="M3410" s="8" t="s">
        <v>21424</v>
      </c>
      <c r="N3410" s="8" t="s">
        <v>128</v>
      </c>
      <c r="O3410" s="8" t="s">
        <v>21425</v>
      </c>
      <c r="P3410" s="8" t="s">
        <v>21426</v>
      </c>
      <c r="Q3410" s="8" t="s">
        <v>249</v>
      </c>
      <c r="R3410" s="8"/>
      <c r="S3410" s="8" t="s">
        <v>11014</v>
      </c>
      <c r="T3410" s="8" t="s">
        <v>250</v>
      </c>
      <c r="U3410" s="8" t="s">
        <v>134</v>
      </c>
      <c r="V3410" s="8" t="s">
        <v>249</v>
      </c>
      <c r="W3410" s="8" t="s">
        <v>250</v>
      </c>
      <c r="X3410" s="8">
        <v>3</v>
      </c>
      <c r="Y3410" s="8" t="s">
        <v>12359</v>
      </c>
      <c r="Z3410" s="8">
        <v>20</v>
      </c>
      <c r="AA3410" s="8">
        <v>0</v>
      </c>
      <c r="AB3410" s="9">
        <v>0</v>
      </c>
    </row>
    <row r="3411" spans="1:28" x14ac:dyDescent="0.2">
      <c r="A3411" s="10">
        <v>25368</v>
      </c>
      <c r="B3411" s="11" t="s">
        <v>21427</v>
      </c>
      <c r="C3411" s="11" t="s">
        <v>6753</v>
      </c>
      <c r="D3411" s="11" t="s">
        <v>15793</v>
      </c>
      <c r="E3411" s="11"/>
      <c r="F3411" s="11" t="s">
        <v>3464</v>
      </c>
      <c r="G3411" s="11" t="s">
        <v>450</v>
      </c>
      <c r="H3411" s="11" t="s">
        <v>301</v>
      </c>
      <c r="I3411" s="11" t="s">
        <v>6667</v>
      </c>
      <c r="J3411" s="11" t="s">
        <v>21428</v>
      </c>
      <c r="K3411" s="11" t="s">
        <v>304</v>
      </c>
      <c r="L3411" s="11" t="s">
        <v>229</v>
      </c>
      <c r="M3411" s="11" t="s">
        <v>21429</v>
      </c>
      <c r="N3411" s="11" t="s">
        <v>128</v>
      </c>
      <c r="O3411" s="11" t="s">
        <v>21430</v>
      </c>
      <c r="P3411" s="11" t="s">
        <v>21431</v>
      </c>
      <c r="Q3411" s="11" t="s">
        <v>249</v>
      </c>
      <c r="R3411" s="11"/>
      <c r="S3411" s="11" t="s">
        <v>71</v>
      </c>
      <c r="T3411" s="11" t="s">
        <v>250</v>
      </c>
      <c r="U3411" s="11" t="s">
        <v>134</v>
      </c>
      <c r="V3411" s="11" t="s">
        <v>249</v>
      </c>
      <c r="W3411" s="11" t="s">
        <v>250</v>
      </c>
      <c r="X3411" s="11">
        <v>3</v>
      </c>
      <c r="Y3411" s="11" t="s">
        <v>12359</v>
      </c>
      <c r="Z3411" s="11">
        <v>20</v>
      </c>
      <c r="AA3411" s="11">
        <v>0</v>
      </c>
      <c r="AB3411" s="12">
        <v>0</v>
      </c>
    </row>
    <row r="3412" spans="1:28" x14ac:dyDescent="0.2">
      <c r="A3412" s="7">
        <v>235823</v>
      </c>
      <c r="B3412" s="8" t="s">
        <v>21432</v>
      </c>
      <c r="C3412" s="8" t="s">
        <v>21433</v>
      </c>
      <c r="D3412" s="8" t="s">
        <v>8918</v>
      </c>
      <c r="E3412" s="8"/>
      <c r="F3412" s="8" t="s">
        <v>20970</v>
      </c>
      <c r="G3412" s="8" t="s">
        <v>10952</v>
      </c>
      <c r="H3412" s="8" t="s">
        <v>1843</v>
      </c>
      <c r="I3412" s="8" t="s">
        <v>21434</v>
      </c>
      <c r="J3412" s="8" t="s">
        <v>21435</v>
      </c>
      <c r="K3412" s="8" t="s">
        <v>1562</v>
      </c>
      <c r="L3412" s="8" t="s">
        <v>229</v>
      </c>
      <c r="M3412" s="8" t="s">
        <v>21436</v>
      </c>
      <c r="N3412" s="8" t="s">
        <v>128</v>
      </c>
      <c r="O3412" s="8" t="s">
        <v>21437</v>
      </c>
      <c r="P3412" s="8" t="s">
        <v>21438</v>
      </c>
      <c r="Q3412" s="8" t="s">
        <v>249</v>
      </c>
      <c r="R3412" s="8"/>
      <c r="S3412" s="8" t="s">
        <v>20976</v>
      </c>
      <c r="T3412" s="8" t="s">
        <v>250</v>
      </c>
      <c r="U3412" s="8" t="s">
        <v>134</v>
      </c>
      <c r="V3412" s="8" t="s">
        <v>249</v>
      </c>
      <c r="W3412" s="8" t="s">
        <v>250</v>
      </c>
      <c r="X3412" s="8">
        <v>3</v>
      </c>
      <c r="Y3412" s="8" t="s">
        <v>12359</v>
      </c>
      <c r="Z3412" s="8">
        <v>20</v>
      </c>
      <c r="AA3412" s="8">
        <v>0</v>
      </c>
      <c r="AB3412" s="9">
        <v>0</v>
      </c>
    </row>
    <row r="3413" spans="1:28" x14ac:dyDescent="0.2">
      <c r="A3413" s="10">
        <v>236344</v>
      </c>
      <c r="B3413" s="11" t="s">
        <v>21439</v>
      </c>
      <c r="C3413" s="11" t="s">
        <v>15697</v>
      </c>
      <c r="D3413" s="11" t="s">
        <v>713</v>
      </c>
      <c r="E3413" s="11"/>
      <c r="F3413" s="11" t="s">
        <v>21440</v>
      </c>
      <c r="G3413" s="11" t="s">
        <v>846</v>
      </c>
      <c r="H3413" s="11" t="s">
        <v>847</v>
      </c>
      <c r="I3413" s="11" t="s">
        <v>15699</v>
      </c>
      <c r="J3413" s="11" t="s">
        <v>15700</v>
      </c>
      <c r="K3413" s="11" t="s">
        <v>850</v>
      </c>
      <c r="L3413" s="11" t="s">
        <v>126</v>
      </c>
      <c r="M3413" s="11" t="s">
        <v>21441</v>
      </c>
      <c r="N3413" s="11" t="s">
        <v>128</v>
      </c>
      <c r="O3413" s="11" t="s">
        <v>21442</v>
      </c>
      <c r="P3413" s="11" t="s">
        <v>21443</v>
      </c>
      <c r="Q3413" s="11" t="s">
        <v>249</v>
      </c>
      <c r="R3413" s="11"/>
      <c r="S3413" s="11" t="s">
        <v>15704</v>
      </c>
      <c r="T3413" s="11" t="s">
        <v>250</v>
      </c>
      <c r="U3413" s="11" t="s">
        <v>134</v>
      </c>
      <c r="V3413" s="11" t="s">
        <v>249</v>
      </c>
      <c r="W3413" s="11" t="s">
        <v>250</v>
      </c>
      <c r="X3413" s="11">
        <v>3</v>
      </c>
      <c r="Y3413" s="11" t="s">
        <v>12359</v>
      </c>
      <c r="Z3413" s="11">
        <v>20</v>
      </c>
      <c r="AA3413" s="11">
        <v>0</v>
      </c>
      <c r="AB3413" s="12">
        <v>0</v>
      </c>
    </row>
    <row r="3414" spans="1:28" x14ac:dyDescent="0.2">
      <c r="A3414" s="7">
        <v>25864</v>
      </c>
      <c r="B3414" s="8" t="s">
        <v>21444</v>
      </c>
      <c r="C3414" s="8" t="s">
        <v>21445</v>
      </c>
      <c r="D3414" s="8" t="s">
        <v>12883</v>
      </c>
      <c r="E3414" s="8"/>
      <c r="F3414" s="8" t="s">
        <v>21446</v>
      </c>
      <c r="G3414" s="8" t="s">
        <v>12262</v>
      </c>
      <c r="H3414" s="8" t="s">
        <v>704</v>
      </c>
      <c r="I3414" s="8" t="s">
        <v>21447</v>
      </c>
      <c r="J3414" s="8" t="s">
        <v>21448</v>
      </c>
      <c r="K3414" s="8" t="s">
        <v>707</v>
      </c>
      <c r="L3414" s="8" t="s">
        <v>126</v>
      </c>
      <c r="M3414" s="8" t="s">
        <v>21449</v>
      </c>
      <c r="N3414" s="8" t="s">
        <v>128</v>
      </c>
      <c r="O3414" s="8"/>
      <c r="P3414" s="8"/>
      <c r="Q3414" s="8" t="s">
        <v>150</v>
      </c>
      <c r="R3414" s="8"/>
      <c r="S3414" s="8" t="s">
        <v>71</v>
      </c>
      <c r="T3414" s="8" t="s">
        <v>16012</v>
      </c>
      <c r="U3414" s="8" t="s">
        <v>150</v>
      </c>
      <c r="V3414" s="8" t="s">
        <v>16012</v>
      </c>
      <c r="W3414" s="8" t="s">
        <v>16012</v>
      </c>
      <c r="X3414" s="8">
        <v>2</v>
      </c>
      <c r="Y3414" s="8" t="s">
        <v>12359</v>
      </c>
      <c r="Z3414" s="8">
        <v>20</v>
      </c>
      <c r="AA3414" s="8">
        <v>0</v>
      </c>
      <c r="AB3414" s="9">
        <v>0</v>
      </c>
    </row>
    <row r="3415" spans="1:28" x14ac:dyDescent="0.2">
      <c r="A3415" s="10">
        <v>21114</v>
      </c>
      <c r="B3415" s="11" t="s">
        <v>21450</v>
      </c>
      <c r="C3415" s="11" t="s">
        <v>21451</v>
      </c>
      <c r="D3415" s="11" t="s">
        <v>14791</v>
      </c>
      <c r="E3415" s="11"/>
      <c r="F3415" s="11" t="s">
        <v>21452</v>
      </c>
      <c r="G3415" s="11" t="s">
        <v>428</v>
      </c>
      <c r="H3415" s="11" t="s">
        <v>329</v>
      </c>
      <c r="I3415" s="11" t="s">
        <v>21453</v>
      </c>
      <c r="J3415" s="11" t="s">
        <v>21454</v>
      </c>
      <c r="K3415" s="11" t="s">
        <v>431</v>
      </c>
      <c r="L3415" s="11" t="s">
        <v>333</v>
      </c>
      <c r="M3415" s="11" t="s">
        <v>21455</v>
      </c>
      <c r="N3415" s="11" t="s">
        <v>128</v>
      </c>
      <c r="O3415" s="11" t="s">
        <v>21456</v>
      </c>
      <c r="P3415" s="11" t="s">
        <v>21457</v>
      </c>
      <c r="Q3415" s="11" t="s">
        <v>150</v>
      </c>
      <c r="R3415" s="11"/>
      <c r="S3415" s="11" t="s">
        <v>71</v>
      </c>
      <c r="T3415" s="11" t="s">
        <v>289</v>
      </c>
      <c r="U3415" s="11" t="s">
        <v>150</v>
      </c>
      <c r="V3415" s="11" t="s">
        <v>289</v>
      </c>
      <c r="W3415" s="11" t="s">
        <v>289</v>
      </c>
      <c r="X3415" s="11">
        <v>2</v>
      </c>
      <c r="Y3415" s="11" t="s">
        <v>12359</v>
      </c>
      <c r="Z3415" s="11">
        <v>20</v>
      </c>
      <c r="AA3415" s="11">
        <v>0</v>
      </c>
      <c r="AB3415" s="12">
        <v>0</v>
      </c>
    </row>
    <row r="3416" spans="1:28" x14ac:dyDescent="0.2">
      <c r="A3416" s="7">
        <v>21229</v>
      </c>
      <c r="B3416" s="8" t="s">
        <v>21458</v>
      </c>
      <c r="C3416" s="8" t="s">
        <v>20094</v>
      </c>
      <c r="D3416" s="8" t="s">
        <v>2547</v>
      </c>
      <c r="E3416" s="8" t="s">
        <v>21459</v>
      </c>
      <c r="F3416" s="8" t="s">
        <v>20095</v>
      </c>
      <c r="G3416" s="8" t="s">
        <v>328</v>
      </c>
      <c r="H3416" s="8" t="s">
        <v>329</v>
      </c>
      <c r="I3416" s="8" t="s">
        <v>20096</v>
      </c>
      <c r="J3416" s="8" t="s">
        <v>20445</v>
      </c>
      <c r="K3416" s="8" t="s">
        <v>572</v>
      </c>
      <c r="L3416" s="8" t="s">
        <v>333</v>
      </c>
      <c r="M3416" s="8" t="s">
        <v>21460</v>
      </c>
      <c r="N3416" s="8" t="s">
        <v>128</v>
      </c>
      <c r="O3416" s="8" t="s">
        <v>21461</v>
      </c>
      <c r="P3416" s="8" t="s">
        <v>21462</v>
      </c>
      <c r="Q3416" s="8" t="s">
        <v>150</v>
      </c>
      <c r="R3416" s="8"/>
      <c r="S3416" s="8" t="s">
        <v>20100</v>
      </c>
      <c r="T3416" s="8" t="s">
        <v>642</v>
      </c>
      <c r="U3416" s="8" t="s">
        <v>150</v>
      </c>
      <c r="V3416" s="8" t="s">
        <v>642</v>
      </c>
      <c r="W3416" s="8" t="s">
        <v>642</v>
      </c>
      <c r="X3416" s="8">
        <v>2</v>
      </c>
      <c r="Y3416" s="8" t="s">
        <v>12359</v>
      </c>
      <c r="Z3416" s="8">
        <v>20</v>
      </c>
      <c r="AA3416" s="8">
        <v>0</v>
      </c>
      <c r="AB3416" s="9">
        <v>0</v>
      </c>
    </row>
    <row r="3417" spans="1:28" x14ac:dyDescent="0.2">
      <c r="A3417" s="10">
        <v>107491</v>
      </c>
      <c r="B3417" s="11" t="s">
        <v>21463</v>
      </c>
      <c r="C3417" s="11" t="s">
        <v>2419</v>
      </c>
      <c r="D3417" s="11" t="s">
        <v>2420</v>
      </c>
      <c r="E3417" s="11"/>
      <c r="F3417" s="11" t="s">
        <v>2422</v>
      </c>
      <c r="G3417" s="11" t="s">
        <v>2423</v>
      </c>
      <c r="H3417" s="11" t="s">
        <v>557</v>
      </c>
      <c r="I3417" s="11" t="s">
        <v>2424</v>
      </c>
      <c r="J3417" s="11" t="s">
        <v>2425</v>
      </c>
      <c r="K3417" s="11" t="s">
        <v>1562</v>
      </c>
      <c r="L3417" s="11" t="s">
        <v>229</v>
      </c>
      <c r="M3417" s="11" t="s">
        <v>21464</v>
      </c>
      <c r="N3417" s="11" t="s">
        <v>128</v>
      </c>
      <c r="O3417" s="11" t="s">
        <v>21465</v>
      </c>
      <c r="P3417" s="11"/>
      <c r="Q3417" s="11" t="s">
        <v>150</v>
      </c>
      <c r="R3417" s="11"/>
      <c r="S3417" s="11" t="s">
        <v>2429</v>
      </c>
      <c r="T3417" s="11" t="s">
        <v>642</v>
      </c>
      <c r="U3417" s="11" t="s">
        <v>150</v>
      </c>
      <c r="V3417" s="11" t="s">
        <v>642</v>
      </c>
      <c r="W3417" s="11" t="s">
        <v>642</v>
      </c>
      <c r="X3417" s="11">
        <v>2</v>
      </c>
      <c r="Y3417" s="11" t="s">
        <v>12359</v>
      </c>
      <c r="Z3417" s="11">
        <v>20</v>
      </c>
      <c r="AA3417" s="11">
        <v>0</v>
      </c>
      <c r="AB3417" s="12">
        <v>0</v>
      </c>
    </row>
    <row r="3418" spans="1:28" x14ac:dyDescent="0.2">
      <c r="A3418" s="7">
        <v>21558</v>
      </c>
      <c r="B3418" s="8" t="s">
        <v>21466</v>
      </c>
      <c r="C3418" s="8" t="s">
        <v>9791</v>
      </c>
      <c r="D3418" s="8" t="s">
        <v>17766</v>
      </c>
      <c r="E3418" s="8" t="s">
        <v>21467</v>
      </c>
      <c r="F3418" s="8" t="s">
        <v>353</v>
      </c>
      <c r="G3418" s="8" t="s">
        <v>2510</v>
      </c>
      <c r="H3418" s="8" t="s">
        <v>2511</v>
      </c>
      <c r="I3418" s="8" t="s">
        <v>9793</v>
      </c>
      <c r="J3418" s="8" t="s">
        <v>21468</v>
      </c>
      <c r="K3418" s="8" t="s">
        <v>1562</v>
      </c>
      <c r="L3418" s="8" t="s">
        <v>229</v>
      </c>
      <c r="M3418" s="8" t="s">
        <v>21469</v>
      </c>
      <c r="N3418" s="8" t="s">
        <v>4651</v>
      </c>
      <c r="O3418" s="8" t="s">
        <v>21470</v>
      </c>
      <c r="P3418" s="8" t="s">
        <v>21471</v>
      </c>
      <c r="Q3418" s="8" t="s">
        <v>150</v>
      </c>
      <c r="R3418" s="8"/>
      <c r="S3418" s="8" t="s">
        <v>71</v>
      </c>
      <c r="T3418" s="8" t="s">
        <v>67</v>
      </c>
      <c r="U3418" s="8" t="s">
        <v>150</v>
      </c>
      <c r="V3418" s="8" t="s">
        <v>152</v>
      </c>
      <c r="W3418" s="8" t="s">
        <v>67</v>
      </c>
      <c r="X3418" s="8">
        <v>2</v>
      </c>
      <c r="Y3418" s="8" t="s">
        <v>12359</v>
      </c>
      <c r="Z3418" s="8">
        <v>20</v>
      </c>
      <c r="AA3418" s="8">
        <v>0</v>
      </c>
      <c r="AB3418" s="9">
        <v>0</v>
      </c>
    </row>
    <row r="3419" spans="1:28" x14ac:dyDescent="0.2">
      <c r="A3419" s="10">
        <v>21570</v>
      </c>
      <c r="B3419" s="11" t="s">
        <v>21472</v>
      </c>
      <c r="C3419" s="11" t="s">
        <v>2300</v>
      </c>
      <c r="D3419" s="11" t="s">
        <v>970</v>
      </c>
      <c r="E3419" s="11" t="s">
        <v>744</v>
      </c>
      <c r="F3419" s="11" t="s">
        <v>353</v>
      </c>
      <c r="G3419" s="11" t="s">
        <v>20492</v>
      </c>
      <c r="H3419" s="11" t="s">
        <v>142</v>
      </c>
      <c r="I3419" s="11" t="s">
        <v>21473</v>
      </c>
      <c r="J3419" s="11" t="s">
        <v>21474</v>
      </c>
      <c r="K3419" s="11" t="s">
        <v>779</v>
      </c>
      <c r="L3419" s="11" t="s">
        <v>464</v>
      </c>
      <c r="M3419" s="11" t="s">
        <v>21475</v>
      </c>
      <c r="N3419" s="11" t="s">
        <v>128</v>
      </c>
      <c r="O3419" s="11" t="s">
        <v>21476</v>
      </c>
      <c r="P3419" s="11" t="s">
        <v>16723</v>
      </c>
      <c r="Q3419" s="11" t="s">
        <v>150</v>
      </c>
      <c r="R3419" s="11"/>
      <c r="S3419" s="11" t="s">
        <v>71</v>
      </c>
      <c r="T3419" s="11" t="s">
        <v>67</v>
      </c>
      <c r="U3419" s="11" t="s">
        <v>150</v>
      </c>
      <c r="V3419" s="11" t="s">
        <v>152</v>
      </c>
      <c r="W3419" s="11" t="s">
        <v>67</v>
      </c>
      <c r="X3419" s="11">
        <v>2</v>
      </c>
      <c r="Y3419" s="11" t="s">
        <v>12359</v>
      </c>
      <c r="Z3419" s="11">
        <v>20</v>
      </c>
      <c r="AA3419" s="11">
        <v>0</v>
      </c>
      <c r="AB3419" s="12">
        <v>0</v>
      </c>
    </row>
    <row r="3420" spans="1:28" x14ac:dyDescent="0.2">
      <c r="A3420" s="7">
        <v>26321</v>
      </c>
      <c r="B3420" s="8" t="s">
        <v>21477</v>
      </c>
      <c r="C3420" s="8" t="s">
        <v>2481</v>
      </c>
      <c r="D3420" s="8" t="s">
        <v>11932</v>
      </c>
      <c r="E3420" s="8"/>
      <c r="F3420" s="8" t="s">
        <v>353</v>
      </c>
      <c r="G3420" s="8" t="s">
        <v>21478</v>
      </c>
      <c r="H3420" s="8" t="s">
        <v>557</v>
      </c>
      <c r="I3420" s="8" t="s">
        <v>21479</v>
      </c>
      <c r="J3420" s="8" t="s">
        <v>21480</v>
      </c>
      <c r="K3420" s="8" t="s">
        <v>560</v>
      </c>
      <c r="L3420" s="8" t="s">
        <v>229</v>
      </c>
      <c r="M3420" s="8" t="s">
        <v>21481</v>
      </c>
      <c r="N3420" s="8" t="s">
        <v>128</v>
      </c>
      <c r="O3420" s="8" t="s">
        <v>21482</v>
      </c>
      <c r="P3420" s="8" t="s">
        <v>21483</v>
      </c>
      <c r="Q3420" s="8" t="s">
        <v>150</v>
      </c>
      <c r="R3420" s="8"/>
      <c r="S3420" s="8" t="s">
        <v>71</v>
      </c>
      <c r="T3420" s="8" t="s">
        <v>67</v>
      </c>
      <c r="U3420" s="8" t="s">
        <v>150</v>
      </c>
      <c r="V3420" s="8" t="s">
        <v>152</v>
      </c>
      <c r="W3420" s="8" t="s">
        <v>67</v>
      </c>
      <c r="X3420" s="8">
        <v>2</v>
      </c>
      <c r="Y3420" s="8" t="s">
        <v>12359</v>
      </c>
      <c r="Z3420" s="8">
        <v>20</v>
      </c>
      <c r="AA3420" s="8">
        <v>0</v>
      </c>
      <c r="AB3420" s="9">
        <v>0</v>
      </c>
    </row>
    <row r="3421" spans="1:28" x14ac:dyDescent="0.2">
      <c r="A3421" s="10">
        <v>21596</v>
      </c>
      <c r="B3421" s="11" t="s">
        <v>21484</v>
      </c>
      <c r="C3421" s="11" t="s">
        <v>2291</v>
      </c>
      <c r="D3421" s="11" t="s">
        <v>2206</v>
      </c>
      <c r="E3421" s="11"/>
      <c r="F3421" s="11" t="s">
        <v>353</v>
      </c>
      <c r="G3421" s="11" t="s">
        <v>12318</v>
      </c>
      <c r="H3421" s="11" t="s">
        <v>142</v>
      </c>
      <c r="I3421" s="11" t="s">
        <v>12319</v>
      </c>
      <c r="J3421" s="11" t="s">
        <v>21485</v>
      </c>
      <c r="K3421" s="11" t="s">
        <v>1199</v>
      </c>
      <c r="L3421" s="11" t="s">
        <v>464</v>
      </c>
      <c r="M3421" s="11" t="s">
        <v>21486</v>
      </c>
      <c r="N3421" s="11" t="s">
        <v>128</v>
      </c>
      <c r="O3421" s="11" t="s">
        <v>21487</v>
      </c>
      <c r="P3421" s="11" t="s">
        <v>21488</v>
      </c>
      <c r="Q3421" s="11" t="s">
        <v>150</v>
      </c>
      <c r="R3421" s="11"/>
      <c r="S3421" s="11" t="s">
        <v>71</v>
      </c>
      <c r="T3421" s="11" t="s">
        <v>67</v>
      </c>
      <c r="U3421" s="11" t="s">
        <v>150</v>
      </c>
      <c r="V3421" s="11" t="s">
        <v>152</v>
      </c>
      <c r="W3421" s="11" t="s">
        <v>67</v>
      </c>
      <c r="X3421" s="11">
        <v>2</v>
      </c>
      <c r="Y3421" s="11" t="s">
        <v>12359</v>
      </c>
      <c r="Z3421" s="11">
        <v>20</v>
      </c>
      <c r="AA3421" s="11">
        <v>0</v>
      </c>
      <c r="AB3421" s="12">
        <v>0</v>
      </c>
    </row>
    <row r="3422" spans="1:28" x14ac:dyDescent="0.2">
      <c r="A3422" s="7">
        <v>21715</v>
      </c>
      <c r="B3422" s="8" t="s">
        <v>21489</v>
      </c>
      <c r="C3422" s="8" t="s">
        <v>8807</v>
      </c>
      <c r="D3422" s="8" t="s">
        <v>1395</v>
      </c>
      <c r="E3422" s="8"/>
      <c r="F3422" s="8" t="s">
        <v>353</v>
      </c>
      <c r="G3422" s="8" t="s">
        <v>20516</v>
      </c>
      <c r="H3422" s="8" t="s">
        <v>142</v>
      </c>
      <c r="I3422" s="8" t="s">
        <v>21490</v>
      </c>
      <c r="J3422" s="8" t="s">
        <v>21491</v>
      </c>
      <c r="K3422" s="8" t="s">
        <v>779</v>
      </c>
      <c r="L3422" s="8" t="s">
        <v>464</v>
      </c>
      <c r="M3422" s="8" t="s">
        <v>21492</v>
      </c>
      <c r="N3422" s="8" t="s">
        <v>128</v>
      </c>
      <c r="O3422" s="8" t="s">
        <v>21493</v>
      </c>
      <c r="P3422" s="8" t="s">
        <v>859</v>
      </c>
      <c r="Q3422" s="8" t="s">
        <v>150</v>
      </c>
      <c r="R3422" s="8"/>
      <c r="S3422" s="8" t="s">
        <v>71</v>
      </c>
      <c r="T3422" s="8" t="s">
        <v>67</v>
      </c>
      <c r="U3422" s="8" t="s">
        <v>150</v>
      </c>
      <c r="V3422" s="8" t="s">
        <v>152</v>
      </c>
      <c r="W3422" s="8" t="s">
        <v>67</v>
      </c>
      <c r="X3422" s="8">
        <v>2</v>
      </c>
      <c r="Y3422" s="8" t="s">
        <v>12359</v>
      </c>
      <c r="Z3422" s="8">
        <v>20</v>
      </c>
      <c r="AA3422" s="8">
        <v>0</v>
      </c>
      <c r="AB3422" s="9">
        <v>0</v>
      </c>
    </row>
    <row r="3423" spans="1:28" x14ac:dyDescent="0.2">
      <c r="A3423" s="10">
        <v>26248</v>
      </c>
      <c r="B3423" s="11" t="s">
        <v>21494</v>
      </c>
      <c r="C3423" s="11" t="s">
        <v>10905</v>
      </c>
      <c r="D3423" s="11" t="s">
        <v>4795</v>
      </c>
      <c r="E3423" s="11"/>
      <c r="F3423" s="11" t="s">
        <v>353</v>
      </c>
      <c r="G3423" s="11" t="s">
        <v>270</v>
      </c>
      <c r="H3423" s="11" t="s">
        <v>271</v>
      </c>
      <c r="I3423" s="11" t="s">
        <v>21495</v>
      </c>
      <c r="J3423" s="11" t="s">
        <v>21496</v>
      </c>
      <c r="K3423" s="11" t="s">
        <v>274</v>
      </c>
      <c r="L3423" s="11" t="s">
        <v>163</v>
      </c>
      <c r="M3423" s="11" t="s">
        <v>21497</v>
      </c>
      <c r="N3423" s="11" t="s">
        <v>128</v>
      </c>
      <c r="O3423" s="11" t="s">
        <v>21498</v>
      </c>
      <c r="P3423" s="11" t="s">
        <v>21499</v>
      </c>
      <c r="Q3423" s="11" t="s">
        <v>150</v>
      </c>
      <c r="R3423" s="11"/>
      <c r="S3423" s="11" t="s">
        <v>71</v>
      </c>
      <c r="T3423" s="11" t="s">
        <v>67</v>
      </c>
      <c r="U3423" s="11" t="s">
        <v>150</v>
      </c>
      <c r="V3423" s="11" t="s">
        <v>152</v>
      </c>
      <c r="W3423" s="11" t="s">
        <v>67</v>
      </c>
      <c r="X3423" s="11">
        <v>2</v>
      </c>
      <c r="Y3423" s="11" t="s">
        <v>12359</v>
      </c>
      <c r="Z3423" s="11">
        <v>20</v>
      </c>
      <c r="AA3423" s="11">
        <v>0</v>
      </c>
      <c r="AB3423" s="12">
        <v>0</v>
      </c>
    </row>
    <row r="3424" spans="1:28" x14ac:dyDescent="0.2">
      <c r="A3424" s="7">
        <v>85198</v>
      </c>
      <c r="B3424" s="8" t="s">
        <v>21500</v>
      </c>
      <c r="C3424" s="8" t="s">
        <v>21501</v>
      </c>
      <c r="D3424" s="8" t="s">
        <v>7585</v>
      </c>
      <c r="E3424" s="8"/>
      <c r="F3424" s="8" t="s">
        <v>353</v>
      </c>
      <c r="G3424" s="8" t="s">
        <v>21502</v>
      </c>
      <c r="H3424" s="8" t="s">
        <v>142</v>
      </c>
      <c r="I3424" s="8" t="s">
        <v>21503</v>
      </c>
      <c r="J3424" s="8" t="s">
        <v>21504</v>
      </c>
      <c r="K3424" s="8" t="s">
        <v>779</v>
      </c>
      <c r="L3424" s="8" t="s">
        <v>464</v>
      </c>
      <c r="M3424" s="8" t="s">
        <v>21505</v>
      </c>
      <c r="N3424" s="8" t="s">
        <v>128</v>
      </c>
      <c r="O3424" s="8" t="s">
        <v>21506</v>
      </c>
      <c r="P3424" s="8" t="s">
        <v>21507</v>
      </c>
      <c r="Q3424" s="8" t="s">
        <v>150</v>
      </c>
      <c r="R3424" s="8"/>
      <c r="S3424" s="8" t="s">
        <v>71</v>
      </c>
      <c r="T3424" s="8" t="s">
        <v>67</v>
      </c>
      <c r="U3424" s="8" t="s">
        <v>150</v>
      </c>
      <c r="V3424" s="8" t="s">
        <v>152</v>
      </c>
      <c r="W3424" s="8" t="s">
        <v>67</v>
      </c>
      <c r="X3424" s="8">
        <v>2</v>
      </c>
      <c r="Y3424" s="8" t="s">
        <v>12359</v>
      </c>
      <c r="Z3424" s="8">
        <v>20</v>
      </c>
      <c r="AA3424" s="8">
        <v>0</v>
      </c>
      <c r="AB3424" s="9">
        <v>0</v>
      </c>
    </row>
    <row r="3425" spans="1:28" x14ac:dyDescent="0.2">
      <c r="A3425" s="10">
        <v>92854</v>
      </c>
      <c r="B3425" s="11" t="s">
        <v>21508</v>
      </c>
      <c r="C3425" s="11" t="s">
        <v>12325</v>
      </c>
      <c r="D3425" s="11" t="s">
        <v>7068</v>
      </c>
      <c r="E3425" s="11"/>
      <c r="F3425" s="11" t="s">
        <v>353</v>
      </c>
      <c r="G3425" s="11" t="s">
        <v>5845</v>
      </c>
      <c r="H3425" s="11" t="s">
        <v>142</v>
      </c>
      <c r="I3425" s="11" t="s">
        <v>12328</v>
      </c>
      <c r="J3425" s="11" t="s">
        <v>21509</v>
      </c>
      <c r="K3425" s="11" t="s">
        <v>1199</v>
      </c>
      <c r="L3425" s="11" t="s">
        <v>464</v>
      </c>
      <c r="M3425" s="11" t="s">
        <v>21510</v>
      </c>
      <c r="N3425" s="11" t="s">
        <v>128</v>
      </c>
      <c r="O3425" s="11" t="s">
        <v>21511</v>
      </c>
      <c r="P3425" s="11" t="s">
        <v>21512</v>
      </c>
      <c r="Q3425" s="11" t="s">
        <v>150</v>
      </c>
      <c r="R3425" s="11"/>
      <c r="S3425" s="11" t="s">
        <v>71</v>
      </c>
      <c r="T3425" s="11" t="s">
        <v>67</v>
      </c>
      <c r="U3425" s="11" t="s">
        <v>150</v>
      </c>
      <c r="V3425" s="11" t="s">
        <v>152</v>
      </c>
      <c r="W3425" s="11" t="s">
        <v>67</v>
      </c>
      <c r="X3425" s="11">
        <v>2</v>
      </c>
      <c r="Y3425" s="11" t="s">
        <v>12359</v>
      </c>
      <c r="Z3425" s="11">
        <v>20</v>
      </c>
      <c r="AA3425" s="11">
        <v>0</v>
      </c>
      <c r="AB3425" s="12">
        <v>0</v>
      </c>
    </row>
    <row r="3426" spans="1:28" x14ac:dyDescent="0.2">
      <c r="A3426" s="7">
        <v>109197</v>
      </c>
      <c r="B3426" s="8" t="s">
        <v>21513</v>
      </c>
      <c r="C3426" s="8" t="s">
        <v>11176</v>
      </c>
      <c r="D3426" s="8" t="s">
        <v>18200</v>
      </c>
      <c r="E3426" s="8"/>
      <c r="F3426" s="8" t="s">
        <v>353</v>
      </c>
      <c r="G3426" s="8" t="s">
        <v>11177</v>
      </c>
      <c r="H3426" s="8" t="s">
        <v>142</v>
      </c>
      <c r="I3426" s="8" t="s">
        <v>21514</v>
      </c>
      <c r="J3426" s="8" t="s">
        <v>21515</v>
      </c>
      <c r="K3426" s="8" t="s">
        <v>1199</v>
      </c>
      <c r="L3426" s="8" t="s">
        <v>464</v>
      </c>
      <c r="M3426" s="8" t="s">
        <v>21516</v>
      </c>
      <c r="N3426" s="8" t="s">
        <v>128</v>
      </c>
      <c r="O3426" s="8" t="s">
        <v>21517</v>
      </c>
      <c r="P3426" s="8" t="s">
        <v>21518</v>
      </c>
      <c r="Q3426" s="8" t="s">
        <v>150</v>
      </c>
      <c r="R3426" s="8"/>
      <c r="S3426" s="8" t="s">
        <v>71</v>
      </c>
      <c r="T3426" s="8" t="s">
        <v>67</v>
      </c>
      <c r="U3426" s="8" t="s">
        <v>150</v>
      </c>
      <c r="V3426" s="8" t="s">
        <v>152</v>
      </c>
      <c r="W3426" s="8" t="s">
        <v>67</v>
      </c>
      <c r="X3426" s="8">
        <v>2</v>
      </c>
      <c r="Y3426" s="8" t="s">
        <v>12359</v>
      </c>
      <c r="Z3426" s="8">
        <v>20</v>
      </c>
      <c r="AA3426" s="8">
        <v>0</v>
      </c>
      <c r="AB3426" s="9">
        <v>0</v>
      </c>
    </row>
    <row r="3427" spans="1:28" x14ac:dyDescent="0.2">
      <c r="A3427" s="10">
        <v>110291</v>
      </c>
      <c r="B3427" s="11" t="s">
        <v>21519</v>
      </c>
      <c r="C3427" s="11" t="s">
        <v>4897</v>
      </c>
      <c r="D3427" s="11" t="s">
        <v>21520</v>
      </c>
      <c r="E3427" s="11"/>
      <c r="F3427" s="11" t="s">
        <v>353</v>
      </c>
      <c r="G3427" s="11" t="s">
        <v>21521</v>
      </c>
      <c r="H3427" s="11" t="s">
        <v>142</v>
      </c>
      <c r="I3427" s="11" t="s">
        <v>21522</v>
      </c>
      <c r="J3427" s="11" t="s">
        <v>21523</v>
      </c>
      <c r="K3427" s="11" t="s">
        <v>1673</v>
      </c>
      <c r="L3427" s="11" t="s">
        <v>464</v>
      </c>
      <c r="M3427" s="11" t="s">
        <v>21524</v>
      </c>
      <c r="N3427" s="11" t="s">
        <v>128</v>
      </c>
      <c r="O3427" s="11" t="s">
        <v>21525</v>
      </c>
      <c r="P3427" s="11" t="s">
        <v>21526</v>
      </c>
      <c r="Q3427" s="11" t="s">
        <v>150</v>
      </c>
      <c r="R3427" s="11"/>
      <c r="S3427" s="11" t="s">
        <v>71</v>
      </c>
      <c r="T3427" s="11" t="s">
        <v>67</v>
      </c>
      <c r="U3427" s="11" t="s">
        <v>150</v>
      </c>
      <c r="V3427" s="11" t="s">
        <v>152</v>
      </c>
      <c r="W3427" s="11" t="s">
        <v>67</v>
      </c>
      <c r="X3427" s="11">
        <v>2</v>
      </c>
      <c r="Y3427" s="11" t="s">
        <v>12359</v>
      </c>
      <c r="Z3427" s="11">
        <v>20</v>
      </c>
      <c r="AA3427" s="11">
        <v>0</v>
      </c>
      <c r="AB3427" s="12">
        <v>0</v>
      </c>
    </row>
    <row r="3428" spans="1:28" x14ac:dyDescent="0.2">
      <c r="A3428" s="7">
        <v>111062</v>
      </c>
      <c r="B3428" s="8" t="s">
        <v>21527</v>
      </c>
      <c r="C3428" s="8" t="s">
        <v>10890</v>
      </c>
      <c r="D3428" s="8" t="s">
        <v>10810</v>
      </c>
      <c r="E3428" s="8"/>
      <c r="F3428" s="8" t="s">
        <v>353</v>
      </c>
      <c r="G3428" s="8" t="s">
        <v>21528</v>
      </c>
      <c r="H3428" s="8" t="s">
        <v>142</v>
      </c>
      <c r="I3428" s="8" t="s">
        <v>21529</v>
      </c>
      <c r="J3428" s="8" t="s">
        <v>21530</v>
      </c>
      <c r="K3428" s="8" t="s">
        <v>1673</v>
      </c>
      <c r="L3428" s="8" t="s">
        <v>464</v>
      </c>
      <c r="M3428" s="8" t="s">
        <v>21531</v>
      </c>
      <c r="N3428" s="8" t="s">
        <v>128</v>
      </c>
      <c r="O3428" s="8" t="s">
        <v>21532</v>
      </c>
      <c r="P3428" s="8" t="s">
        <v>11662</v>
      </c>
      <c r="Q3428" s="8" t="s">
        <v>150</v>
      </c>
      <c r="R3428" s="8"/>
      <c r="S3428" s="8" t="s">
        <v>71</v>
      </c>
      <c r="T3428" s="8" t="s">
        <v>67</v>
      </c>
      <c r="U3428" s="8" t="s">
        <v>150</v>
      </c>
      <c r="V3428" s="8" t="s">
        <v>152</v>
      </c>
      <c r="W3428" s="8" t="s">
        <v>67</v>
      </c>
      <c r="X3428" s="8">
        <v>2</v>
      </c>
      <c r="Y3428" s="8" t="s">
        <v>12359</v>
      </c>
      <c r="Z3428" s="8">
        <v>20</v>
      </c>
      <c r="AA3428" s="8">
        <v>0</v>
      </c>
      <c r="AB3428" s="9">
        <v>0</v>
      </c>
    </row>
    <row r="3429" spans="1:28" x14ac:dyDescent="0.2">
      <c r="A3429" s="10">
        <v>115222</v>
      </c>
      <c r="B3429" s="11" t="s">
        <v>21533</v>
      </c>
      <c r="C3429" s="11" t="s">
        <v>21534</v>
      </c>
      <c r="D3429" s="11" t="s">
        <v>6001</v>
      </c>
      <c r="E3429" s="11"/>
      <c r="F3429" s="11" t="s">
        <v>353</v>
      </c>
      <c r="G3429" s="11" t="s">
        <v>21535</v>
      </c>
      <c r="H3429" s="11" t="s">
        <v>142</v>
      </c>
      <c r="I3429" s="11" t="s">
        <v>21536</v>
      </c>
      <c r="J3429" s="11" t="s">
        <v>21537</v>
      </c>
      <c r="K3429" s="11" t="s">
        <v>1199</v>
      </c>
      <c r="L3429" s="11" t="s">
        <v>464</v>
      </c>
      <c r="M3429" s="11" t="s">
        <v>21538</v>
      </c>
      <c r="N3429" s="11" t="s">
        <v>128</v>
      </c>
      <c r="O3429" s="11" t="s">
        <v>21539</v>
      </c>
      <c r="P3429" s="11" t="s">
        <v>21540</v>
      </c>
      <c r="Q3429" s="11" t="s">
        <v>150</v>
      </c>
      <c r="R3429" s="11"/>
      <c r="S3429" s="11" t="s">
        <v>71</v>
      </c>
      <c r="T3429" s="11" t="s">
        <v>67</v>
      </c>
      <c r="U3429" s="11" t="s">
        <v>150</v>
      </c>
      <c r="V3429" s="11" t="s">
        <v>152</v>
      </c>
      <c r="W3429" s="11" t="s">
        <v>67</v>
      </c>
      <c r="X3429" s="11">
        <v>2</v>
      </c>
      <c r="Y3429" s="11" t="s">
        <v>12359</v>
      </c>
      <c r="Z3429" s="11">
        <v>20</v>
      </c>
      <c r="AA3429" s="11">
        <v>0</v>
      </c>
      <c r="AB3429" s="12">
        <v>0</v>
      </c>
    </row>
    <row r="3430" spans="1:28" x14ac:dyDescent="0.2">
      <c r="A3430" s="7">
        <v>117174</v>
      </c>
      <c r="B3430" s="8" t="s">
        <v>21541</v>
      </c>
      <c r="C3430" s="8" t="s">
        <v>18388</v>
      </c>
      <c r="D3430" s="8" t="s">
        <v>21542</v>
      </c>
      <c r="E3430" s="8"/>
      <c r="F3430" s="8" t="s">
        <v>353</v>
      </c>
      <c r="G3430" s="8" t="s">
        <v>21543</v>
      </c>
      <c r="H3430" s="8" t="s">
        <v>142</v>
      </c>
      <c r="I3430" s="8" t="s">
        <v>21544</v>
      </c>
      <c r="J3430" s="8" t="s">
        <v>21545</v>
      </c>
      <c r="K3430" s="8" t="s">
        <v>1673</v>
      </c>
      <c r="L3430" s="8" t="s">
        <v>464</v>
      </c>
      <c r="M3430" s="8" t="s">
        <v>21546</v>
      </c>
      <c r="N3430" s="8" t="s">
        <v>128</v>
      </c>
      <c r="O3430" s="8" t="s">
        <v>21547</v>
      </c>
      <c r="P3430" s="8" t="s">
        <v>13063</v>
      </c>
      <c r="Q3430" s="8" t="s">
        <v>150</v>
      </c>
      <c r="R3430" s="8"/>
      <c r="S3430" s="8" t="s">
        <v>71</v>
      </c>
      <c r="T3430" s="8" t="s">
        <v>67</v>
      </c>
      <c r="U3430" s="8" t="s">
        <v>150</v>
      </c>
      <c r="V3430" s="8" t="s">
        <v>152</v>
      </c>
      <c r="W3430" s="8" t="s">
        <v>67</v>
      </c>
      <c r="X3430" s="8">
        <v>2</v>
      </c>
      <c r="Y3430" s="8" t="s">
        <v>12359</v>
      </c>
      <c r="Z3430" s="8">
        <v>20</v>
      </c>
      <c r="AA3430" s="8">
        <v>0</v>
      </c>
      <c r="AB3430" s="9">
        <v>0</v>
      </c>
    </row>
    <row r="3431" spans="1:28" x14ac:dyDescent="0.2">
      <c r="A3431" s="10">
        <v>117902</v>
      </c>
      <c r="B3431" s="11" t="s">
        <v>21548</v>
      </c>
      <c r="C3431" s="11" t="s">
        <v>21549</v>
      </c>
      <c r="D3431" s="11" t="s">
        <v>10406</v>
      </c>
      <c r="E3431" s="11"/>
      <c r="F3431" s="11" t="s">
        <v>353</v>
      </c>
      <c r="G3431" s="11" t="s">
        <v>21550</v>
      </c>
      <c r="H3431" s="11" t="s">
        <v>142</v>
      </c>
      <c r="I3431" s="11" t="s">
        <v>21551</v>
      </c>
      <c r="J3431" s="11" t="s">
        <v>21552</v>
      </c>
      <c r="K3431" s="11" t="s">
        <v>779</v>
      </c>
      <c r="L3431" s="11" t="s">
        <v>464</v>
      </c>
      <c r="M3431" s="11" t="s">
        <v>21553</v>
      </c>
      <c r="N3431" s="11" t="s">
        <v>128</v>
      </c>
      <c r="O3431" s="11" t="s">
        <v>21554</v>
      </c>
      <c r="P3431" s="11" t="s">
        <v>16877</v>
      </c>
      <c r="Q3431" s="11" t="s">
        <v>150</v>
      </c>
      <c r="R3431" s="11"/>
      <c r="S3431" s="11" t="s">
        <v>71</v>
      </c>
      <c r="T3431" s="11" t="s">
        <v>67</v>
      </c>
      <c r="U3431" s="11" t="s">
        <v>150</v>
      </c>
      <c r="V3431" s="11" t="s">
        <v>152</v>
      </c>
      <c r="W3431" s="11" t="s">
        <v>67</v>
      </c>
      <c r="X3431" s="11">
        <v>2</v>
      </c>
      <c r="Y3431" s="11" t="s">
        <v>12359</v>
      </c>
      <c r="Z3431" s="11">
        <v>20</v>
      </c>
      <c r="AA3431" s="11">
        <v>0</v>
      </c>
      <c r="AB3431" s="12">
        <v>0</v>
      </c>
    </row>
    <row r="3432" spans="1:28" x14ac:dyDescent="0.2">
      <c r="A3432" s="7">
        <v>214038</v>
      </c>
      <c r="B3432" s="8" t="s">
        <v>21555</v>
      </c>
      <c r="C3432" s="8" t="s">
        <v>21236</v>
      </c>
      <c r="D3432" s="8" t="s">
        <v>3598</v>
      </c>
      <c r="E3432" s="8"/>
      <c r="F3432" s="8" t="s">
        <v>353</v>
      </c>
      <c r="G3432" s="8" t="s">
        <v>21237</v>
      </c>
      <c r="H3432" s="8" t="s">
        <v>142</v>
      </c>
      <c r="I3432" s="8" t="s">
        <v>21238</v>
      </c>
      <c r="J3432" s="8" t="s">
        <v>21556</v>
      </c>
      <c r="K3432" s="8" t="s">
        <v>1673</v>
      </c>
      <c r="L3432" s="8" t="s">
        <v>464</v>
      </c>
      <c r="M3432" s="8" t="s">
        <v>21557</v>
      </c>
      <c r="N3432" s="8" t="s">
        <v>128</v>
      </c>
      <c r="O3432" s="8" t="s">
        <v>21558</v>
      </c>
      <c r="P3432" s="8" t="s">
        <v>21559</v>
      </c>
      <c r="Q3432" s="8" t="s">
        <v>150</v>
      </c>
      <c r="R3432" s="8"/>
      <c r="S3432" s="8" t="s">
        <v>71</v>
      </c>
      <c r="T3432" s="8" t="s">
        <v>67</v>
      </c>
      <c r="U3432" s="8" t="s">
        <v>150</v>
      </c>
      <c r="V3432" s="8" t="s">
        <v>152</v>
      </c>
      <c r="W3432" s="8" t="s">
        <v>67</v>
      </c>
      <c r="X3432" s="8">
        <v>2</v>
      </c>
      <c r="Y3432" s="8" t="s">
        <v>12359</v>
      </c>
      <c r="Z3432" s="8">
        <v>20</v>
      </c>
      <c r="AA3432" s="8">
        <v>0</v>
      </c>
      <c r="AB3432" s="9">
        <v>0</v>
      </c>
    </row>
    <row r="3433" spans="1:28" x14ac:dyDescent="0.2">
      <c r="A3433" s="10">
        <v>21714</v>
      </c>
      <c r="B3433" s="11" t="s">
        <v>21560</v>
      </c>
      <c r="C3433" s="11" t="s">
        <v>21561</v>
      </c>
      <c r="D3433" s="11" t="s">
        <v>9527</v>
      </c>
      <c r="E3433" s="11"/>
      <c r="F3433" s="11"/>
      <c r="G3433" s="11" t="s">
        <v>21562</v>
      </c>
      <c r="H3433" s="11" t="s">
        <v>142</v>
      </c>
      <c r="I3433" s="11" t="s">
        <v>21563</v>
      </c>
      <c r="J3433" s="11" t="s">
        <v>21564</v>
      </c>
      <c r="K3433" s="11" t="s">
        <v>1029</v>
      </c>
      <c r="L3433" s="11" t="s">
        <v>464</v>
      </c>
      <c r="M3433" s="11" t="s">
        <v>21565</v>
      </c>
      <c r="N3433" s="11" t="s">
        <v>128</v>
      </c>
      <c r="O3433" s="11"/>
      <c r="P3433" s="11" t="s">
        <v>21566</v>
      </c>
      <c r="Q3433" s="11" t="s">
        <v>150</v>
      </c>
      <c r="R3433" s="11"/>
      <c r="S3433" s="11" t="s">
        <v>71</v>
      </c>
      <c r="T3433" s="11" t="s">
        <v>67</v>
      </c>
      <c r="U3433" s="11" t="s">
        <v>150</v>
      </c>
      <c r="V3433" s="11" t="s">
        <v>152</v>
      </c>
      <c r="W3433" s="11" t="s">
        <v>67</v>
      </c>
      <c r="X3433" s="11">
        <v>2</v>
      </c>
      <c r="Y3433" s="11" t="s">
        <v>12359</v>
      </c>
      <c r="Z3433" s="11">
        <v>20</v>
      </c>
      <c r="AA3433" s="11">
        <v>0</v>
      </c>
      <c r="AB3433" s="12">
        <v>0</v>
      </c>
    </row>
    <row r="3434" spans="1:28" x14ac:dyDescent="0.2">
      <c r="A3434" s="7">
        <v>26312</v>
      </c>
      <c r="B3434" s="8" t="s">
        <v>21567</v>
      </c>
      <c r="C3434" s="8" t="s">
        <v>8130</v>
      </c>
      <c r="D3434" s="8" t="s">
        <v>7605</v>
      </c>
      <c r="E3434" s="8"/>
      <c r="F3434" s="8"/>
      <c r="G3434" s="8" t="s">
        <v>12346</v>
      </c>
      <c r="H3434" s="8" t="s">
        <v>142</v>
      </c>
      <c r="I3434" s="8"/>
      <c r="J3434" s="8" t="s">
        <v>21568</v>
      </c>
      <c r="K3434" s="8" t="s">
        <v>1199</v>
      </c>
      <c r="L3434" s="8" t="s">
        <v>464</v>
      </c>
      <c r="M3434" s="8" t="s">
        <v>21569</v>
      </c>
      <c r="N3434" s="8" t="s">
        <v>128</v>
      </c>
      <c r="O3434" s="8"/>
      <c r="P3434" s="8" t="s">
        <v>7850</v>
      </c>
      <c r="Q3434" s="8" t="s">
        <v>150</v>
      </c>
      <c r="R3434" s="8"/>
      <c r="S3434" s="8" t="s">
        <v>71</v>
      </c>
      <c r="T3434" s="8" t="s">
        <v>67</v>
      </c>
      <c r="U3434" s="8" t="s">
        <v>150</v>
      </c>
      <c r="V3434" s="8" t="s">
        <v>152</v>
      </c>
      <c r="W3434" s="8" t="s">
        <v>67</v>
      </c>
      <c r="X3434" s="8">
        <v>2</v>
      </c>
      <c r="Y3434" s="8" t="s">
        <v>12359</v>
      </c>
      <c r="Z3434" s="8">
        <v>20</v>
      </c>
      <c r="AA3434" s="8">
        <v>0</v>
      </c>
      <c r="AB3434" s="9">
        <v>0</v>
      </c>
    </row>
    <row r="3435" spans="1:28" x14ac:dyDescent="0.2">
      <c r="A3435" s="10">
        <v>26333</v>
      </c>
      <c r="B3435" s="11" t="s">
        <v>21570</v>
      </c>
      <c r="C3435" s="11" t="s">
        <v>21571</v>
      </c>
      <c r="D3435" s="11" t="s">
        <v>11844</v>
      </c>
      <c r="E3435" s="11"/>
      <c r="F3435" s="11" t="s">
        <v>21572</v>
      </c>
      <c r="G3435" s="11" t="s">
        <v>158</v>
      </c>
      <c r="H3435" s="11" t="s">
        <v>159</v>
      </c>
      <c r="I3435" s="11" t="s">
        <v>21573</v>
      </c>
      <c r="J3435" s="11" t="s">
        <v>21574</v>
      </c>
      <c r="K3435" s="11" t="s">
        <v>162</v>
      </c>
      <c r="L3435" s="11" t="s">
        <v>163</v>
      </c>
      <c r="M3435" s="11" t="s">
        <v>21575</v>
      </c>
      <c r="N3435" s="11" t="s">
        <v>128</v>
      </c>
      <c r="O3435" s="11" t="s">
        <v>21576</v>
      </c>
      <c r="P3435" s="11" t="s">
        <v>21577</v>
      </c>
      <c r="Q3435" s="11" t="s">
        <v>150</v>
      </c>
      <c r="R3435" s="11"/>
      <c r="S3435" s="11" t="s">
        <v>71</v>
      </c>
      <c r="T3435" s="11" t="s">
        <v>67</v>
      </c>
      <c r="U3435" s="11" t="s">
        <v>150</v>
      </c>
      <c r="V3435" s="11" t="s">
        <v>152</v>
      </c>
      <c r="W3435" s="11" t="s">
        <v>67</v>
      </c>
      <c r="X3435" s="11">
        <v>2</v>
      </c>
      <c r="Y3435" s="11" t="s">
        <v>12359</v>
      </c>
      <c r="Z3435" s="11">
        <v>20</v>
      </c>
      <c r="AA3435" s="11">
        <v>0</v>
      </c>
      <c r="AB3435" s="12">
        <v>0</v>
      </c>
    </row>
    <row r="3436" spans="1:28" x14ac:dyDescent="0.2">
      <c r="A3436" s="7">
        <v>124497</v>
      </c>
      <c r="B3436" s="8" t="s">
        <v>21578</v>
      </c>
      <c r="C3436" s="8" t="s">
        <v>21579</v>
      </c>
      <c r="D3436" s="8" t="s">
        <v>5831</v>
      </c>
      <c r="E3436" s="8"/>
      <c r="F3436" s="8" t="s">
        <v>21580</v>
      </c>
      <c r="G3436" s="8" t="s">
        <v>21581</v>
      </c>
      <c r="H3436" s="8" t="s">
        <v>159</v>
      </c>
      <c r="I3436" s="8" t="s">
        <v>21582</v>
      </c>
      <c r="J3436" s="8" t="s">
        <v>21583</v>
      </c>
      <c r="K3436" s="8" t="s">
        <v>274</v>
      </c>
      <c r="L3436" s="8" t="s">
        <v>163</v>
      </c>
      <c r="M3436" s="8" t="s">
        <v>21584</v>
      </c>
      <c r="N3436" s="8" t="s">
        <v>128</v>
      </c>
      <c r="O3436" s="8" t="s">
        <v>21585</v>
      </c>
      <c r="P3436" s="8" t="s">
        <v>21586</v>
      </c>
      <c r="Q3436" s="8" t="s">
        <v>150</v>
      </c>
      <c r="R3436" s="8"/>
      <c r="S3436" s="8" t="s">
        <v>71</v>
      </c>
      <c r="T3436" s="8" t="s">
        <v>67</v>
      </c>
      <c r="U3436" s="8" t="s">
        <v>150</v>
      </c>
      <c r="V3436" s="8" t="s">
        <v>152</v>
      </c>
      <c r="W3436" s="8" t="s">
        <v>67</v>
      </c>
      <c r="X3436" s="8">
        <v>2</v>
      </c>
      <c r="Y3436" s="8" t="s">
        <v>12359</v>
      </c>
      <c r="Z3436" s="8">
        <v>20</v>
      </c>
      <c r="AA3436" s="8">
        <v>0</v>
      </c>
      <c r="AB3436" s="9">
        <v>0</v>
      </c>
    </row>
    <row r="3437" spans="1:28" x14ac:dyDescent="0.2">
      <c r="A3437" s="10">
        <v>124696</v>
      </c>
      <c r="B3437" s="11" t="s">
        <v>21587</v>
      </c>
      <c r="C3437" s="11" t="s">
        <v>12866</v>
      </c>
      <c r="D3437" s="11" t="s">
        <v>799</v>
      </c>
      <c r="E3437" s="11"/>
      <c r="F3437" s="11" t="s">
        <v>12792</v>
      </c>
      <c r="G3437" s="11" t="s">
        <v>1952</v>
      </c>
      <c r="H3437" s="11" t="s">
        <v>1953</v>
      </c>
      <c r="I3437" s="11" t="s">
        <v>21588</v>
      </c>
      <c r="J3437" s="11" t="s">
        <v>21589</v>
      </c>
      <c r="K3437" s="11" t="s">
        <v>1956</v>
      </c>
      <c r="L3437" s="11" t="s">
        <v>526</v>
      </c>
      <c r="M3437" s="11" t="s">
        <v>21590</v>
      </c>
      <c r="N3437" s="11" t="s">
        <v>128</v>
      </c>
      <c r="O3437" s="11" t="s">
        <v>21591</v>
      </c>
      <c r="P3437" s="11" t="s">
        <v>21592</v>
      </c>
      <c r="Q3437" s="11" t="s">
        <v>150</v>
      </c>
      <c r="R3437" s="11"/>
      <c r="S3437" s="11" t="s">
        <v>71</v>
      </c>
      <c r="T3437" s="11" t="s">
        <v>67</v>
      </c>
      <c r="U3437" s="11" t="s">
        <v>150</v>
      </c>
      <c r="V3437" s="11" t="s">
        <v>152</v>
      </c>
      <c r="W3437" s="11" t="s">
        <v>67</v>
      </c>
      <c r="X3437" s="11">
        <v>2</v>
      </c>
      <c r="Y3437" s="11" t="s">
        <v>12359</v>
      </c>
      <c r="Z3437" s="11">
        <v>20</v>
      </c>
      <c r="AA3437" s="11">
        <v>0</v>
      </c>
      <c r="AB3437" s="12">
        <v>0</v>
      </c>
    </row>
    <row r="3438" spans="1:28" x14ac:dyDescent="0.2">
      <c r="A3438" s="7">
        <v>26346</v>
      </c>
      <c r="B3438" s="8" t="s">
        <v>21593</v>
      </c>
      <c r="C3438" s="8" t="s">
        <v>8515</v>
      </c>
      <c r="D3438" s="8" t="s">
        <v>138</v>
      </c>
      <c r="E3438" s="8"/>
      <c r="F3438" s="8" t="s">
        <v>1658</v>
      </c>
      <c r="G3438" s="8" t="s">
        <v>141</v>
      </c>
      <c r="H3438" s="8" t="s">
        <v>142</v>
      </c>
      <c r="I3438" s="8" t="s">
        <v>8516</v>
      </c>
      <c r="J3438" s="8" t="s">
        <v>21594</v>
      </c>
      <c r="K3438" s="8" t="s">
        <v>145</v>
      </c>
      <c r="L3438" s="8" t="s">
        <v>146</v>
      </c>
      <c r="M3438" s="8" t="s">
        <v>21595</v>
      </c>
      <c r="N3438" s="8" t="s">
        <v>128</v>
      </c>
      <c r="O3438" s="8"/>
      <c r="P3438" s="8"/>
      <c r="Q3438" s="8" t="s">
        <v>150</v>
      </c>
      <c r="R3438" s="8"/>
      <c r="S3438" s="8" t="s">
        <v>1664</v>
      </c>
      <c r="T3438" s="8" t="s">
        <v>67</v>
      </c>
      <c r="U3438" s="8" t="s">
        <v>150</v>
      </c>
      <c r="V3438" s="8" t="s">
        <v>152</v>
      </c>
      <c r="W3438" s="8" t="s">
        <v>67</v>
      </c>
      <c r="X3438" s="8">
        <v>2</v>
      </c>
      <c r="Y3438" s="8" t="s">
        <v>12359</v>
      </c>
      <c r="Z3438" s="8">
        <v>20</v>
      </c>
      <c r="AA3438" s="8">
        <v>0</v>
      </c>
      <c r="AB3438" s="9">
        <v>0</v>
      </c>
    </row>
    <row r="3439" spans="1:28" x14ac:dyDescent="0.2">
      <c r="A3439" s="10">
        <v>236340</v>
      </c>
      <c r="B3439" s="11" t="s">
        <v>21596</v>
      </c>
      <c r="C3439" s="11" t="s">
        <v>15347</v>
      </c>
      <c r="D3439" s="11" t="s">
        <v>14587</v>
      </c>
      <c r="E3439" s="11" t="s">
        <v>13283</v>
      </c>
      <c r="F3439" s="11" t="s">
        <v>353</v>
      </c>
      <c r="G3439" s="11" t="s">
        <v>2192</v>
      </c>
      <c r="H3439" s="11" t="s">
        <v>704</v>
      </c>
      <c r="I3439" s="11" t="s">
        <v>15246</v>
      </c>
      <c r="J3439" s="11" t="s">
        <v>15349</v>
      </c>
      <c r="K3439" s="11" t="s">
        <v>707</v>
      </c>
      <c r="L3439" s="11" t="s">
        <v>126</v>
      </c>
      <c r="M3439" s="11" t="s">
        <v>21597</v>
      </c>
      <c r="N3439" s="11" t="s">
        <v>128</v>
      </c>
      <c r="O3439" s="11" t="s">
        <v>21598</v>
      </c>
      <c r="P3439" s="11"/>
      <c r="Q3439" s="11" t="s">
        <v>131</v>
      </c>
      <c r="R3439" s="11"/>
      <c r="S3439" s="11" t="s">
        <v>15352</v>
      </c>
      <c r="T3439" s="11" t="s">
        <v>983</v>
      </c>
      <c r="U3439" s="11" t="s">
        <v>134</v>
      </c>
      <c r="V3439" s="11" t="s">
        <v>131</v>
      </c>
      <c r="W3439" s="11" t="s">
        <v>983</v>
      </c>
      <c r="X3439" s="11">
        <v>2</v>
      </c>
      <c r="Y3439" s="11" t="s">
        <v>12359</v>
      </c>
      <c r="Z3439" s="11">
        <v>20</v>
      </c>
      <c r="AA3439" s="11">
        <v>0</v>
      </c>
      <c r="AB3439" s="12">
        <v>0</v>
      </c>
    </row>
    <row r="3440" spans="1:28" x14ac:dyDescent="0.2">
      <c r="A3440" s="7">
        <v>22560</v>
      </c>
      <c r="B3440" s="8" t="s">
        <v>21599</v>
      </c>
      <c r="C3440" s="8" t="s">
        <v>7871</v>
      </c>
      <c r="D3440" s="8" t="s">
        <v>18250</v>
      </c>
      <c r="E3440" s="8" t="s">
        <v>21600</v>
      </c>
      <c r="F3440" s="8" t="s">
        <v>8101</v>
      </c>
      <c r="G3440" s="8" t="s">
        <v>2423</v>
      </c>
      <c r="H3440" s="8" t="s">
        <v>557</v>
      </c>
      <c r="I3440" s="8" t="s">
        <v>18252</v>
      </c>
      <c r="J3440" s="8" t="s">
        <v>18253</v>
      </c>
      <c r="K3440" s="8" t="s">
        <v>1562</v>
      </c>
      <c r="L3440" s="8" t="s">
        <v>229</v>
      </c>
      <c r="M3440" s="8" t="s">
        <v>21601</v>
      </c>
      <c r="N3440" s="8" t="s">
        <v>128</v>
      </c>
      <c r="O3440" s="8" t="s">
        <v>21602</v>
      </c>
      <c r="P3440" s="8"/>
      <c r="Q3440" s="8" t="s">
        <v>131</v>
      </c>
      <c r="R3440" s="8"/>
      <c r="S3440" s="8" t="s">
        <v>18257</v>
      </c>
      <c r="T3440" s="8" t="s">
        <v>983</v>
      </c>
      <c r="U3440" s="8" t="s">
        <v>134</v>
      </c>
      <c r="V3440" s="8" t="s">
        <v>131</v>
      </c>
      <c r="W3440" s="8" t="s">
        <v>983</v>
      </c>
      <c r="X3440" s="8">
        <v>2</v>
      </c>
      <c r="Y3440" s="8" t="s">
        <v>12359</v>
      </c>
      <c r="Z3440" s="8">
        <v>20</v>
      </c>
      <c r="AA3440" s="8">
        <v>0</v>
      </c>
      <c r="AB3440" s="9">
        <v>0</v>
      </c>
    </row>
    <row r="3441" spans="1:28" x14ac:dyDescent="0.2">
      <c r="A3441" s="10">
        <v>111071</v>
      </c>
      <c r="B3441" s="11" t="s">
        <v>21603</v>
      </c>
      <c r="C3441" s="11" t="s">
        <v>11006</v>
      </c>
      <c r="D3441" s="11" t="s">
        <v>2871</v>
      </c>
      <c r="E3441" s="11" t="s">
        <v>21604</v>
      </c>
      <c r="F3441" s="11" t="s">
        <v>21605</v>
      </c>
      <c r="G3441" s="11" t="s">
        <v>328</v>
      </c>
      <c r="H3441" s="11" t="s">
        <v>329</v>
      </c>
      <c r="I3441" s="11" t="s">
        <v>11009</v>
      </c>
      <c r="J3441" s="11" t="s">
        <v>11010</v>
      </c>
      <c r="K3441" s="11" t="s">
        <v>572</v>
      </c>
      <c r="L3441" s="11" t="s">
        <v>333</v>
      </c>
      <c r="M3441" s="11" t="s">
        <v>21606</v>
      </c>
      <c r="N3441" s="11" t="s">
        <v>128</v>
      </c>
      <c r="O3441" s="11" t="s">
        <v>21607</v>
      </c>
      <c r="P3441" s="11"/>
      <c r="Q3441" s="11" t="s">
        <v>131</v>
      </c>
      <c r="R3441" s="11"/>
      <c r="S3441" s="11" t="s">
        <v>11014</v>
      </c>
      <c r="T3441" s="11" t="s">
        <v>983</v>
      </c>
      <c r="U3441" s="11" t="s">
        <v>134</v>
      </c>
      <c r="V3441" s="11" t="s">
        <v>131</v>
      </c>
      <c r="W3441" s="11" t="s">
        <v>983</v>
      </c>
      <c r="X3441" s="11">
        <v>2</v>
      </c>
      <c r="Y3441" s="11" t="s">
        <v>12359</v>
      </c>
      <c r="Z3441" s="11">
        <v>20</v>
      </c>
      <c r="AA3441" s="11">
        <v>0</v>
      </c>
      <c r="AB3441" s="12">
        <v>0</v>
      </c>
    </row>
    <row r="3442" spans="1:28" x14ac:dyDescent="0.2">
      <c r="A3442" s="7">
        <v>215017</v>
      </c>
      <c r="B3442" s="8" t="s">
        <v>21608</v>
      </c>
      <c r="C3442" s="8" t="s">
        <v>21609</v>
      </c>
      <c r="D3442" s="8" t="s">
        <v>2720</v>
      </c>
      <c r="E3442" s="8" t="s">
        <v>21610</v>
      </c>
      <c r="F3442" s="8" t="s">
        <v>15692</v>
      </c>
      <c r="G3442" s="8" t="s">
        <v>121</v>
      </c>
      <c r="H3442" s="8" t="s">
        <v>122</v>
      </c>
      <c r="I3442" s="8" t="s">
        <v>21611</v>
      </c>
      <c r="J3442" s="8" t="s">
        <v>21612</v>
      </c>
      <c r="K3442" s="8" t="s">
        <v>1051</v>
      </c>
      <c r="L3442" s="8" t="s">
        <v>126</v>
      </c>
      <c r="M3442" s="8" t="s">
        <v>21613</v>
      </c>
      <c r="N3442" s="8" t="s">
        <v>128</v>
      </c>
      <c r="O3442" s="8" t="s">
        <v>21614</v>
      </c>
      <c r="P3442" s="8"/>
      <c r="Q3442" s="8" t="s">
        <v>131</v>
      </c>
      <c r="R3442" s="8"/>
      <c r="S3442" s="8" t="s">
        <v>21615</v>
      </c>
      <c r="T3442" s="8" t="s">
        <v>983</v>
      </c>
      <c r="U3442" s="8" t="s">
        <v>134</v>
      </c>
      <c r="V3442" s="8" t="s">
        <v>131</v>
      </c>
      <c r="W3442" s="8" t="s">
        <v>983</v>
      </c>
      <c r="X3442" s="8">
        <v>2</v>
      </c>
      <c r="Y3442" s="8" t="s">
        <v>12359</v>
      </c>
      <c r="Z3442" s="8">
        <v>20</v>
      </c>
      <c r="AA3442" s="8">
        <v>0</v>
      </c>
      <c r="AB3442" s="9">
        <v>0</v>
      </c>
    </row>
    <row r="3443" spans="1:28" x14ac:dyDescent="0.2">
      <c r="A3443" s="10">
        <v>114889</v>
      </c>
      <c r="B3443" s="11" t="s">
        <v>21616</v>
      </c>
      <c r="C3443" s="11" t="s">
        <v>20185</v>
      </c>
      <c r="D3443" s="11" t="s">
        <v>21617</v>
      </c>
      <c r="E3443" s="11" t="s">
        <v>21618</v>
      </c>
      <c r="F3443" s="11" t="s">
        <v>353</v>
      </c>
      <c r="G3443" s="11" t="s">
        <v>10899</v>
      </c>
      <c r="H3443" s="11" t="s">
        <v>142</v>
      </c>
      <c r="I3443" s="11" t="s">
        <v>10900</v>
      </c>
      <c r="J3443" s="11" t="s">
        <v>21619</v>
      </c>
      <c r="K3443" s="11" t="s">
        <v>1029</v>
      </c>
      <c r="L3443" s="11" t="s">
        <v>464</v>
      </c>
      <c r="M3443" s="11" t="s">
        <v>21620</v>
      </c>
      <c r="N3443" s="11" t="s">
        <v>128</v>
      </c>
      <c r="O3443" s="11" t="s">
        <v>21621</v>
      </c>
      <c r="P3443" s="11"/>
      <c r="Q3443" s="11" t="s">
        <v>131</v>
      </c>
      <c r="R3443" s="11"/>
      <c r="S3443" s="11" t="s">
        <v>71</v>
      </c>
      <c r="T3443" s="11" t="s">
        <v>983</v>
      </c>
      <c r="U3443" s="11" t="s">
        <v>134</v>
      </c>
      <c r="V3443" s="11" t="s">
        <v>131</v>
      </c>
      <c r="W3443" s="11" t="s">
        <v>983</v>
      </c>
      <c r="X3443" s="11">
        <v>2</v>
      </c>
      <c r="Y3443" s="11" t="s">
        <v>12359</v>
      </c>
      <c r="Z3443" s="11">
        <v>20</v>
      </c>
      <c r="AA3443" s="11">
        <v>0</v>
      </c>
      <c r="AB3443" s="12">
        <v>0</v>
      </c>
    </row>
    <row r="3444" spans="1:28" x14ac:dyDescent="0.2">
      <c r="A3444" s="7">
        <v>22667</v>
      </c>
      <c r="B3444" s="8" t="s">
        <v>21622</v>
      </c>
      <c r="C3444" s="8" t="s">
        <v>21623</v>
      </c>
      <c r="D3444" s="8" t="s">
        <v>6954</v>
      </c>
      <c r="E3444" s="8"/>
      <c r="F3444" s="8" t="s">
        <v>21624</v>
      </c>
      <c r="G3444" s="8" t="s">
        <v>3084</v>
      </c>
      <c r="H3444" s="8" t="s">
        <v>142</v>
      </c>
      <c r="I3444" s="8" t="s">
        <v>21625</v>
      </c>
      <c r="J3444" s="8" t="s">
        <v>21626</v>
      </c>
      <c r="K3444" s="8" t="s">
        <v>1673</v>
      </c>
      <c r="L3444" s="8" t="s">
        <v>464</v>
      </c>
      <c r="M3444" s="8" t="s">
        <v>21627</v>
      </c>
      <c r="N3444" s="8" t="s">
        <v>128</v>
      </c>
      <c r="O3444" s="8" t="s">
        <v>21628</v>
      </c>
      <c r="P3444" s="8"/>
      <c r="Q3444" s="8" t="s">
        <v>131</v>
      </c>
      <c r="R3444" s="8"/>
      <c r="S3444" s="8" t="s">
        <v>21629</v>
      </c>
      <c r="T3444" s="8" t="s">
        <v>983</v>
      </c>
      <c r="U3444" s="8" t="s">
        <v>134</v>
      </c>
      <c r="V3444" s="8" t="s">
        <v>131</v>
      </c>
      <c r="W3444" s="8" t="s">
        <v>983</v>
      </c>
      <c r="X3444" s="8">
        <v>2</v>
      </c>
      <c r="Y3444" s="8" t="s">
        <v>12359</v>
      </c>
      <c r="Z3444" s="8">
        <v>20</v>
      </c>
      <c r="AA3444" s="8">
        <v>0</v>
      </c>
      <c r="AB3444" s="9">
        <v>0</v>
      </c>
    </row>
    <row r="3445" spans="1:28" x14ac:dyDescent="0.2">
      <c r="A3445" s="10">
        <v>30109</v>
      </c>
      <c r="B3445" s="11" t="s">
        <v>21630</v>
      </c>
      <c r="C3445" s="11" t="s">
        <v>2664</v>
      </c>
      <c r="D3445" s="11" t="s">
        <v>2665</v>
      </c>
      <c r="E3445" s="11"/>
      <c r="F3445" s="11" t="s">
        <v>10133</v>
      </c>
      <c r="G3445" s="11" t="s">
        <v>190</v>
      </c>
      <c r="H3445" s="11" t="s">
        <v>191</v>
      </c>
      <c r="I3445" s="11" t="s">
        <v>2668</v>
      </c>
      <c r="J3445" s="11" t="s">
        <v>11871</v>
      </c>
      <c r="K3445" s="11" t="s">
        <v>194</v>
      </c>
      <c r="L3445" s="11" t="s">
        <v>163</v>
      </c>
      <c r="M3445" s="11" t="s">
        <v>21631</v>
      </c>
      <c r="N3445" s="11" t="s">
        <v>128</v>
      </c>
      <c r="O3445" s="11" t="s">
        <v>21632</v>
      </c>
      <c r="P3445" s="11"/>
      <c r="Q3445" s="11" t="s">
        <v>131</v>
      </c>
      <c r="R3445" s="11"/>
      <c r="S3445" s="11" t="s">
        <v>2672</v>
      </c>
      <c r="T3445" s="11" t="s">
        <v>983</v>
      </c>
      <c r="U3445" s="11" t="s">
        <v>134</v>
      </c>
      <c r="V3445" s="11" t="s">
        <v>131</v>
      </c>
      <c r="W3445" s="11" t="s">
        <v>983</v>
      </c>
      <c r="X3445" s="11">
        <v>2</v>
      </c>
      <c r="Y3445" s="11" t="s">
        <v>12359</v>
      </c>
      <c r="Z3445" s="11">
        <v>20</v>
      </c>
      <c r="AA3445" s="11">
        <v>0</v>
      </c>
      <c r="AB3445" s="12">
        <v>0</v>
      </c>
    </row>
    <row r="3446" spans="1:28" x14ac:dyDescent="0.2">
      <c r="A3446" s="7">
        <v>37827</v>
      </c>
      <c r="B3446" s="8" t="s">
        <v>21633</v>
      </c>
      <c r="C3446" s="8" t="s">
        <v>12239</v>
      </c>
      <c r="D3446" s="8" t="s">
        <v>12240</v>
      </c>
      <c r="E3446" s="8"/>
      <c r="F3446" s="8" t="s">
        <v>12242</v>
      </c>
      <c r="G3446" s="8" t="s">
        <v>615</v>
      </c>
      <c r="H3446" s="8" t="s">
        <v>616</v>
      </c>
      <c r="I3446" s="8" t="s">
        <v>12243</v>
      </c>
      <c r="J3446" s="8" t="s">
        <v>21325</v>
      </c>
      <c r="K3446" s="8" t="s">
        <v>619</v>
      </c>
      <c r="L3446" s="8" t="s">
        <v>163</v>
      </c>
      <c r="M3446" s="8" t="s">
        <v>21634</v>
      </c>
      <c r="N3446" s="8" t="s">
        <v>128</v>
      </c>
      <c r="O3446" s="8" t="s">
        <v>21635</v>
      </c>
      <c r="P3446" s="8"/>
      <c r="Q3446" s="8" t="s">
        <v>131</v>
      </c>
      <c r="R3446" s="8"/>
      <c r="S3446" s="8" t="s">
        <v>12248</v>
      </c>
      <c r="T3446" s="8" t="s">
        <v>983</v>
      </c>
      <c r="U3446" s="8" t="s">
        <v>134</v>
      </c>
      <c r="V3446" s="8" t="s">
        <v>131</v>
      </c>
      <c r="W3446" s="8" t="s">
        <v>983</v>
      </c>
      <c r="X3446" s="8">
        <v>2</v>
      </c>
      <c r="Y3446" s="8" t="s">
        <v>12359</v>
      </c>
      <c r="Z3446" s="8">
        <v>20</v>
      </c>
      <c r="AA3446" s="8">
        <v>0</v>
      </c>
      <c r="AB3446" s="9">
        <v>0</v>
      </c>
    </row>
    <row r="3447" spans="1:28" x14ac:dyDescent="0.2">
      <c r="A3447" s="10">
        <v>126014</v>
      </c>
      <c r="B3447" s="11" t="s">
        <v>21636</v>
      </c>
      <c r="C3447" s="11" t="s">
        <v>21637</v>
      </c>
      <c r="D3447" s="11" t="s">
        <v>3557</v>
      </c>
      <c r="E3447" s="11"/>
      <c r="F3447" s="11" t="s">
        <v>353</v>
      </c>
      <c r="G3447" s="11" t="s">
        <v>19313</v>
      </c>
      <c r="H3447" s="11" t="s">
        <v>847</v>
      </c>
      <c r="I3447" s="11" t="s">
        <v>21638</v>
      </c>
      <c r="J3447" s="11" t="s">
        <v>21639</v>
      </c>
      <c r="K3447" s="11" t="s">
        <v>1091</v>
      </c>
      <c r="L3447" s="11" t="s">
        <v>126</v>
      </c>
      <c r="M3447" s="11" t="s">
        <v>21640</v>
      </c>
      <c r="N3447" s="11" t="s">
        <v>128</v>
      </c>
      <c r="O3447" s="11" t="s">
        <v>21641</v>
      </c>
      <c r="P3447" s="11"/>
      <c r="Q3447" s="11" t="s">
        <v>131</v>
      </c>
      <c r="R3447" s="11"/>
      <c r="S3447" s="11" t="s">
        <v>71</v>
      </c>
      <c r="T3447" s="11" t="s">
        <v>983</v>
      </c>
      <c r="U3447" s="11" t="s">
        <v>134</v>
      </c>
      <c r="V3447" s="11" t="s">
        <v>131</v>
      </c>
      <c r="W3447" s="11" t="s">
        <v>983</v>
      </c>
      <c r="X3447" s="11">
        <v>2</v>
      </c>
      <c r="Y3447" s="11" t="s">
        <v>12359</v>
      </c>
      <c r="Z3447" s="11">
        <v>20</v>
      </c>
      <c r="AA3447" s="11">
        <v>0</v>
      </c>
      <c r="AB3447" s="12">
        <v>0</v>
      </c>
    </row>
    <row r="3448" spans="1:28" x14ac:dyDescent="0.2">
      <c r="A3448" s="7">
        <v>208881</v>
      </c>
      <c r="B3448" s="8" t="s">
        <v>21642</v>
      </c>
      <c r="C3448" s="8" t="s">
        <v>20866</v>
      </c>
      <c r="D3448" s="8" t="s">
        <v>5918</v>
      </c>
      <c r="E3448" s="8"/>
      <c r="F3448" s="8" t="s">
        <v>353</v>
      </c>
      <c r="G3448" s="8" t="s">
        <v>20568</v>
      </c>
      <c r="H3448" s="8" t="s">
        <v>142</v>
      </c>
      <c r="I3448" s="8" t="s">
        <v>21643</v>
      </c>
      <c r="J3448" s="8" t="s">
        <v>21644</v>
      </c>
      <c r="K3448" s="8" t="s">
        <v>1673</v>
      </c>
      <c r="L3448" s="8" t="s">
        <v>464</v>
      </c>
      <c r="M3448" s="8" t="s">
        <v>21645</v>
      </c>
      <c r="N3448" s="8" t="s">
        <v>128</v>
      </c>
      <c r="O3448" s="8" t="s">
        <v>21646</v>
      </c>
      <c r="P3448" s="8"/>
      <c r="Q3448" s="8" t="s">
        <v>131</v>
      </c>
      <c r="R3448" s="8"/>
      <c r="S3448" s="8" t="s">
        <v>71</v>
      </c>
      <c r="T3448" s="8" t="s">
        <v>983</v>
      </c>
      <c r="U3448" s="8" t="s">
        <v>134</v>
      </c>
      <c r="V3448" s="8" t="s">
        <v>131</v>
      </c>
      <c r="W3448" s="8" t="s">
        <v>983</v>
      </c>
      <c r="X3448" s="8">
        <v>2</v>
      </c>
      <c r="Y3448" s="8" t="s">
        <v>12359</v>
      </c>
      <c r="Z3448" s="8">
        <v>20</v>
      </c>
      <c r="AA3448" s="8">
        <v>0</v>
      </c>
      <c r="AB3448" s="9">
        <v>0</v>
      </c>
    </row>
    <row r="3449" spans="1:28" x14ac:dyDescent="0.2">
      <c r="A3449" s="10">
        <v>22010</v>
      </c>
      <c r="B3449" s="11" t="s">
        <v>21647</v>
      </c>
      <c r="C3449" s="11" t="s">
        <v>10959</v>
      </c>
      <c r="D3449" s="11" t="s">
        <v>2859</v>
      </c>
      <c r="E3449" s="11" t="s">
        <v>21648</v>
      </c>
      <c r="F3449" s="11" t="s">
        <v>8772</v>
      </c>
      <c r="G3449" s="11" t="s">
        <v>158</v>
      </c>
      <c r="H3449" s="11" t="s">
        <v>159</v>
      </c>
      <c r="I3449" s="11" t="s">
        <v>10961</v>
      </c>
      <c r="J3449" s="11" t="s">
        <v>10962</v>
      </c>
      <c r="K3449" s="11" t="s">
        <v>274</v>
      </c>
      <c r="L3449" s="11" t="s">
        <v>163</v>
      </c>
      <c r="M3449" s="11" t="s">
        <v>21649</v>
      </c>
      <c r="N3449" s="11" t="s">
        <v>128</v>
      </c>
      <c r="O3449" s="11" t="s">
        <v>21650</v>
      </c>
      <c r="P3449" s="11" t="s">
        <v>21651</v>
      </c>
      <c r="Q3449" s="11" t="s">
        <v>131</v>
      </c>
      <c r="R3449" s="11"/>
      <c r="S3449" s="11" t="s">
        <v>10966</v>
      </c>
      <c r="T3449" s="11" t="s">
        <v>133</v>
      </c>
      <c r="U3449" s="11" t="s">
        <v>134</v>
      </c>
      <c r="V3449" s="11" t="s">
        <v>131</v>
      </c>
      <c r="W3449" s="11" t="s">
        <v>133</v>
      </c>
      <c r="X3449" s="11">
        <v>2</v>
      </c>
      <c r="Y3449" s="11" t="s">
        <v>12359</v>
      </c>
      <c r="Z3449" s="11">
        <v>20</v>
      </c>
      <c r="AA3449" s="11">
        <v>0</v>
      </c>
      <c r="AB3449" s="12">
        <v>0</v>
      </c>
    </row>
    <row r="3450" spans="1:28" x14ac:dyDescent="0.2">
      <c r="A3450" s="7">
        <v>190843</v>
      </c>
      <c r="B3450" s="8" t="s">
        <v>21652</v>
      </c>
      <c r="C3450" s="8" t="s">
        <v>21653</v>
      </c>
      <c r="D3450" s="8" t="s">
        <v>12883</v>
      </c>
      <c r="E3450" s="8" t="s">
        <v>18768</v>
      </c>
      <c r="F3450" s="8" t="s">
        <v>21654</v>
      </c>
      <c r="G3450" s="8" t="s">
        <v>12262</v>
      </c>
      <c r="H3450" s="8" t="s">
        <v>704</v>
      </c>
      <c r="I3450" s="8" t="s">
        <v>21655</v>
      </c>
      <c r="J3450" s="8" t="s">
        <v>21656</v>
      </c>
      <c r="K3450" s="8" t="s">
        <v>707</v>
      </c>
      <c r="L3450" s="8" t="s">
        <v>126</v>
      </c>
      <c r="M3450" s="8" t="s">
        <v>21657</v>
      </c>
      <c r="N3450" s="8" t="s">
        <v>128</v>
      </c>
      <c r="O3450" s="8" t="s">
        <v>21658</v>
      </c>
      <c r="P3450" s="8"/>
      <c r="Q3450" s="8" t="s">
        <v>150</v>
      </c>
      <c r="R3450" s="8"/>
      <c r="S3450" s="8" t="s">
        <v>71</v>
      </c>
      <c r="T3450" s="8" t="s">
        <v>6736</v>
      </c>
      <c r="U3450" s="8" t="s">
        <v>150</v>
      </c>
      <c r="V3450" s="8" t="s">
        <v>6736</v>
      </c>
      <c r="W3450" s="8" t="s">
        <v>6736</v>
      </c>
      <c r="X3450" s="8">
        <v>2</v>
      </c>
      <c r="Y3450" s="8" t="s">
        <v>12359</v>
      </c>
      <c r="Z3450" s="8">
        <v>20</v>
      </c>
      <c r="AA3450" s="8">
        <v>0</v>
      </c>
      <c r="AB3450" s="9">
        <v>0</v>
      </c>
    </row>
    <row r="3451" spans="1:28" x14ac:dyDescent="0.2">
      <c r="A3451" s="10">
        <v>190842</v>
      </c>
      <c r="B3451" s="11" t="s">
        <v>21659</v>
      </c>
      <c r="C3451" s="11" t="s">
        <v>12260</v>
      </c>
      <c r="D3451" s="11" t="s">
        <v>16256</v>
      </c>
      <c r="E3451" s="11" t="s">
        <v>18768</v>
      </c>
      <c r="F3451" s="11" t="s">
        <v>353</v>
      </c>
      <c r="G3451" s="11" t="s">
        <v>12262</v>
      </c>
      <c r="H3451" s="11" t="s">
        <v>704</v>
      </c>
      <c r="I3451" s="11" t="s">
        <v>12263</v>
      </c>
      <c r="J3451" s="11" t="s">
        <v>21660</v>
      </c>
      <c r="K3451" s="11" t="s">
        <v>707</v>
      </c>
      <c r="L3451" s="11" t="s">
        <v>126</v>
      </c>
      <c r="M3451" s="11" t="s">
        <v>21661</v>
      </c>
      <c r="N3451" s="11" t="s">
        <v>128</v>
      </c>
      <c r="O3451" s="11" t="s">
        <v>21662</v>
      </c>
      <c r="P3451" s="11"/>
      <c r="Q3451" s="11" t="s">
        <v>150</v>
      </c>
      <c r="R3451" s="11"/>
      <c r="S3451" s="11" t="s">
        <v>71</v>
      </c>
      <c r="T3451" s="11" t="s">
        <v>6736</v>
      </c>
      <c r="U3451" s="11" t="s">
        <v>150</v>
      </c>
      <c r="V3451" s="11" t="s">
        <v>6736</v>
      </c>
      <c r="W3451" s="11" t="s">
        <v>6736</v>
      </c>
      <c r="X3451" s="11">
        <v>2</v>
      </c>
      <c r="Y3451" s="11" t="s">
        <v>12359</v>
      </c>
      <c r="Z3451" s="11">
        <v>20</v>
      </c>
      <c r="AA3451" s="11">
        <v>0</v>
      </c>
      <c r="AB3451" s="12">
        <v>0</v>
      </c>
    </row>
    <row r="3452" spans="1:28" x14ac:dyDescent="0.2">
      <c r="A3452" s="7">
        <v>23507</v>
      </c>
      <c r="B3452" s="8" t="s">
        <v>21663</v>
      </c>
      <c r="C3452" s="8" t="s">
        <v>11593</v>
      </c>
      <c r="D3452" s="8" t="s">
        <v>21664</v>
      </c>
      <c r="E3452" s="8" t="s">
        <v>361</v>
      </c>
      <c r="F3452" s="8" t="s">
        <v>11595</v>
      </c>
      <c r="G3452" s="8" t="s">
        <v>121</v>
      </c>
      <c r="H3452" s="8" t="s">
        <v>122</v>
      </c>
      <c r="I3452" s="8" t="s">
        <v>21665</v>
      </c>
      <c r="J3452" s="8" t="s">
        <v>21666</v>
      </c>
      <c r="K3452" s="8" t="s">
        <v>1051</v>
      </c>
      <c r="L3452" s="8" t="s">
        <v>126</v>
      </c>
      <c r="M3452" s="8" t="s">
        <v>21667</v>
      </c>
      <c r="N3452" s="8" t="s">
        <v>128</v>
      </c>
      <c r="O3452" s="8" t="s">
        <v>21668</v>
      </c>
      <c r="P3452" s="8" t="s">
        <v>4080</v>
      </c>
      <c r="Q3452" s="8" t="s">
        <v>150</v>
      </c>
      <c r="R3452" s="8"/>
      <c r="S3452" s="8" t="s">
        <v>71</v>
      </c>
      <c r="T3452" s="8" t="s">
        <v>6736</v>
      </c>
      <c r="U3452" s="8" t="s">
        <v>150</v>
      </c>
      <c r="V3452" s="8" t="s">
        <v>6736</v>
      </c>
      <c r="W3452" s="8" t="s">
        <v>6736</v>
      </c>
      <c r="X3452" s="8">
        <v>2</v>
      </c>
      <c r="Y3452" s="8" t="s">
        <v>12359</v>
      </c>
      <c r="Z3452" s="8">
        <v>20</v>
      </c>
      <c r="AA3452" s="8">
        <v>0</v>
      </c>
      <c r="AB3452" s="9">
        <v>0</v>
      </c>
    </row>
    <row r="3453" spans="1:28" x14ac:dyDescent="0.2">
      <c r="A3453" s="10">
        <v>23537</v>
      </c>
      <c r="B3453" s="11" t="s">
        <v>21669</v>
      </c>
      <c r="C3453" s="11" t="s">
        <v>5539</v>
      </c>
      <c r="D3453" s="11" t="s">
        <v>1250</v>
      </c>
      <c r="E3453" s="11"/>
      <c r="F3453" s="11" t="s">
        <v>353</v>
      </c>
      <c r="G3453" s="11" t="s">
        <v>5541</v>
      </c>
      <c r="H3453" s="11" t="s">
        <v>704</v>
      </c>
      <c r="I3453" s="11" t="s">
        <v>21670</v>
      </c>
      <c r="J3453" s="11" t="s">
        <v>21671</v>
      </c>
      <c r="K3453" s="11" t="s">
        <v>850</v>
      </c>
      <c r="L3453" s="11" t="s">
        <v>126</v>
      </c>
      <c r="M3453" s="11" t="s">
        <v>21672</v>
      </c>
      <c r="N3453" s="11" t="s">
        <v>128</v>
      </c>
      <c r="O3453" s="11" t="s">
        <v>21673</v>
      </c>
      <c r="P3453" s="11" t="s">
        <v>1926</v>
      </c>
      <c r="Q3453" s="11" t="s">
        <v>150</v>
      </c>
      <c r="R3453" s="11"/>
      <c r="S3453" s="11" t="s">
        <v>71</v>
      </c>
      <c r="T3453" s="11" t="s">
        <v>6736</v>
      </c>
      <c r="U3453" s="11" t="s">
        <v>150</v>
      </c>
      <c r="V3453" s="11" t="s">
        <v>6736</v>
      </c>
      <c r="W3453" s="11" t="s">
        <v>6736</v>
      </c>
      <c r="X3453" s="11">
        <v>2</v>
      </c>
      <c r="Y3453" s="11" t="s">
        <v>12359</v>
      </c>
      <c r="Z3453" s="11">
        <v>20</v>
      </c>
      <c r="AA3453" s="11">
        <v>0</v>
      </c>
      <c r="AB3453" s="12">
        <v>0</v>
      </c>
    </row>
    <row r="3454" spans="1:28" x14ac:dyDescent="0.2">
      <c r="A3454" s="7">
        <v>106011</v>
      </c>
      <c r="B3454" s="8" t="s">
        <v>21674</v>
      </c>
      <c r="C3454" s="8" t="s">
        <v>21675</v>
      </c>
      <c r="D3454" s="8" t="s">
        <v>17976</v>
      </c>
      <c r="E3454" s="8"/>
      <c r="F3454" s="8" t="s">
        <v>353</v>
      </c>
      <c r="G3454" s="8" t="s">
        <v>21676</v>
      </c>
      <c r="H3454" s="8" t="s">
        <v>142</v>
      </c>
      <c r="I3454" s="8" t="s">
        <v>21514</v>
      </c>
      <c r="J3454" s="8" t="s">
        <v>21677</v>
      </c>
      <c r="K3454" s="8" t="s">
        <v>1199</v>
      </c>
      <c r="L3454" s="8" t="s">
        <v>464</v>
      </c>
      <c r="M3454" s="8" t="s">
        <v>21678</v>
      </c>
      <c r="N3454" s="8" t="s">
        <v>128</v>
      </c>
      <c r="O3454" s="8" t="s">
        <v>21679</v>
      </c>
      <c r="P3454" s="8"/>
      <c r="Q3454" s="8" t="s">
        <v>150</v>
      </c>
      <c r="R3454" s="8"/>
      <c r="S3454" s="8" t="s">
        <v>71</v>
      </c>
      <c r="T3454" s="8" t="s">
        <v>21025</v>
      </c>
      <c r="U3454" s="8" t="s">
        <v>150</v>
      </c>
      <c r="V3454" s="8" t="s">
        <v>21025</v>
      </c>
      <c r="W3454" s="8" t="s">
        <v>21025</v>
      </c>
      <c r="X3454" s="8">
        <v>2</v>
      </c>
      <c r="Y3454" s="8" t="s">
        <v>12359</v>
      </c>
      <c r="Z3454" s="8">
        <v>20</v>
      </c>
      <c r="AA3454" s="8">
        <v>0</v>
      </c>
      <c r="AB3454" s="9">
        <v>0</v>
      </c>
    </row>
    <row r="3455" spans="1:28" x14ac:dyDescent="0.2">
      <c r="A3455" s="10">
        <v>111768</v>
      </c>
      <c r="B3455" s="11" t="s">
        <v>21680</v>
      </c>
      <c r="C3455" s="11" t="s">
        <v>21224</v>
      </c>
      <c r="D3455" s="11" t="s">
        <v>17751</v>
      </c>
      <c r="E3455" s="11"/>
      <c r="F3455" s="11" t="s">
        <v>353</v>
      </c>
      <c r="G3455" s="11" t="s">
        <v>21225</v>
      </c>
      <c r="H3455" s="11" t="s">
        <v>142</v>
      </c>
      <c r="I3455" s="11" t="s">
        <v>21226</v>
      </c>
      <c r="J3455" s="11" t="s">
        <v>21681</v>
      </c>
      <c r="K3455" s="11" t="s">
        <v>1029</v>
      </c>
      <c r="L3455" s="11" t="s">
        <v>464</v>
      </c>
      <c r="M3455" s="11" t="s">
        <v>21682</v>
      </c>
      <c r="N3455" s="11" t="s">
        <v>128</v>
      </c>
      <c r="O3455" s="11" t="s">
        <v>21683</v>
      </c>
      <c r="P3455" s="11" t="s">
        <v>21684</v>
      </c>
      <c r="Q3455" s="11" t="s">
        <v>150</v>
      </c>
      <c r="R3455" s="11"/>
      <c r="S3455" s="11" t="s">
        <v>71</v>
      </c>
      <c r="T3455" s="11" t="s">
        <v>14420</v>
      </c>
      <c r="U3455" s="11" t="s">
        <v>150</v>
      </c>
      <c r="V3455" s="11" t="s">
        <v>14420</v>
      </c>
      <c r="W3455" s="11" t="s">
        <v>14420</v>
      </c>
      <c r="X3455" s="11">
        <v>2</v>
      </c>
      <c r="Y3455" s="11" t="s">
        <v>12359</v>
      </c>
      <c r="Z3455" s="11">
        <v>20</v>
      </c>
      <c r="AA3455" s="11">
        <v>0</v>
      </c>
      <c r="AB3455" s="12">
        <v>0</v>
      </c>
    </row>
    <row r="3456" spans="1:28" x14ac:dyDescent="0.2">
      <c r="A3456" s="7">
        <v>114867</v>
      </c>
      <c r="B3456" s="8" t="s">
        <v>21685</v>
      </c>
      <c r="C3456" s="8" t="s">
        <v>10686</v>
      </c>
      <c r="D3456" s="8" t="s">
        <v>16256</v>
      </c>
      <c r="E3456" s="8"/>
      <c r="F3456" s="8" t="s">
        <v>10687</v>
      </c>
      <c r="G3456" s="8" t="s">
        <v>450</v>
      </c>
      <c r="H3456" s="8" t="s">
        <v>301</v>
      </c>
      <c r="I3456" s="8" t="s">
        <v>10688</v>
      </c>
      <c r="J3456" s="8" t="s">
        <v>21686</v>
      </c>
      <c r="K3456" s="8" t="s">
        <v>304</v>
      </c>
      <c r="L3456" s="8" t="s">
        <v>229</v>
      </c>
      <c r="M3456" s="8" t="s">
        <v>21687</v>
      </c>
      <c r="N3456" s="8" t="s">
        <v>128</v>
      </c>
      <c r="O3456" s="8" t="s">
        <v>21688</v>
      </c>
      <c r="P3456" s="8" t="s">
        <v>3523</v>
      </c>
      <c r="Q3456" s="8" t="s">
        <v>150</v>
      </c>
      <c r="R3456" s="8"/>
      <c r="S3456" s="8" t="s">
        <v>71</v>
      </c>
      <c r="T3456" s="8" t="s">
        <v>14420</v>
      </c>
      <c r="U3456" s="8" t="s">
        <v>150</v>
      </c>
      <c r="V3456" s="8" t="s">
        <v>14420</v>
      </c>
      <c r="W3456" s="8" t="s">
        <v>14420</v>
      </c>
      <c r="X3456" s="8">
        <v>2</v>
      </c>
      <c r="Y3456" s="8" t="s">
        <v>12359</v>
      </c>
      <c r="Z3456" s="8">
        <v>20</v>
      </c>
      <c r="AA3456" s="8">
        <v>0</v>
      </c>
      <c r="AB3456" s="9">
        <v>0</v>
      </c>
    </row>
    <row r="3457" spans="1:28" x14ac:dyDescent="0.2">
      <c r="A3457" s="10">
        <v>22541</v>
      </c>
      <c r="B3457" s="11" t="s">
        <v>21689</v>
      </c>
      <c r="C3457" s="11" t="s">
        <v>21690</v>
      </c>
      <c r="D3457" s="11" t="s">
        <v>138</v>
      </c>
      <c r="E3457" s="11" t="s">
        <v>21691</v>
      </c>
      <c r="F3457" s="11" t="s">
        <v>9916</v>
      </c>
      <c r="G3457" s="11" t="s">
        <v>224</v>
      </c>
      <c r="H3457" s="11" t="s">
        <v>225</v>
      </c>
      <c r="I3457" s="11" t="s">
        <v>9917</v>
      </c>
      <c r="J3457" s="11" t="s">
        <v>10832</v>
      </c>
      <c r="K3457" s="11" t="s">
        <v>228</v>
      </c>
      <c r="L3457" s="11" t="s">
        <v>229</v>
      </c>
      <c r="M3457" s="11" t="s">
        <v>21692</v>
      </c>
      <c r="N3457" s="11" t="s">
        <v>128</v>
      </c>
      <c r="O3457" s="11" t="s">
        <v>21693</v>
      </c>
      <c r="P3457" s="11" t="s">
        <v>9916</v>
      </c>
      <c r="Q3457" s="11" t="s">
        <v>150</v>
      </c>
      <c r="R3457" s="11"/>
      <c r="S3457" s="11" t="s">
        <v>71</v>
      </c>
      <c r="T3457" s="11" t="s">
        <v>869</v>
      </c>
      <c r="U3457" s="11" t="s">
        <v>150</v>
      </c>
      <c r="V3457" s="11" t="s">
        <v>869</v>
      </c>
      <c r="W3457" s="11" t="s">
        <v>869</v>
      </c>
      <c r="X3457" s="11">
        <v>2</v>
      </c>
      <c r="Y3457" s="11" t="s">
        <v>12359</v>
      </c>
      <c r="Z3457" s="11">
        <v>20</v>
      </c>
      <c r="AA3457" s="11">
        <v>0</v>
      </c>
      <c r="AB3457" s="12">
        <v>0</v>
      </c>
    </row>
    <row r="3458" spans="1:28" x14ac:dyDescent="0.2">
      <c r="A3458" s="7">
        <v>22555</v>
      </c>
      <c r="B3458" s="8" t="s">
        <v>21694</v>
      </c>
      <c r="C3458" s="8" t="s">
        <v>7393</v>
      </c>
      <c r="D3458" s="8" t="s">
        <v>5994</v>
      </c>
      <c r="E3458" s="8" t="s">
        <v>21695</v>
      </c>
      <c r="F3458" s="8" t="s">
        <v>7395</v>
      </c>
      <c r="G3458" s="8" t="s">
        <v>2175</v>
      </c>
      <c r="H3458" s="8" t="s">
        <v>2176</v>
      </c>
      <c r="I3458" s="8" t="s">
        <v>5997</v>
      </c>
      <c r="J3458" s="8" t="s">
        <v>7396</v>
      </c>
      <c r="K3458" s="8" t="s">
        <v>194</v>
      </c>
      <c r="L3458" s="8" t="s">
        <v>163</v>
      </c>
      <c r="M3458" s="8" t="s">
        <v>21696</v>
      </c>
      <c r="N3458" s="8" t="s">
        <v>128</v>
      </c>
      <c r="O3458" s="8" t="s">
        <v>21697</v>
      </c>
      <c r="P3458" s="8"/>
      <c r="Q3458" s="8" t="s">
        <v>150</v>
      </c>
      <c r="R3458" s="8"/>
      <c r="S3458" s="8" t="s">
        <v>6002</v>
      </c>
      <c r="T3458" s="8" t="s">
        <v>5771</v>
      </c>
      <c r="U3458" s="8" t="s">
        <v>150</v>
      </c>
      <c r="V3458" s="8" t="s">
        <v>5771</v>
      </c>
      <c r="W3458" s="8" t="s">
        <v>5771</v>
      </c>
      <c r="X3458" s="8">
        <v>2</v>
      </c>
      <c r="Y3458" s="8" t="s">
        <v>12359</v>
      </c>
      <c r="Z3458" s="8">
        <v>20</v>
      </c>
      <c r="AA3458" s="8">
        <v>0</v>
      </c>
      <c r="AB3458" s="9">
        <v>0</v>
      </c>
    </row>
    <row r="3459" spans="1:28" x14ac:dyDescent="0.2">
      <c r="A3459" s="10">
        <v>22551</v>
      </c>
      <c r="B3459" s="11" t="s">
        <v>21698</v>
      </c>
      <c r="C3459" s="11" t="s">
        <v>21699</v>
      </c>
      <c r="D3459" s="11" t="s">
        <v>21700</v>
      </c>
      <c r="E3459" s="11" t="s">
        <v>21701</v>
      </c>
      <c r="F3459" s="11" t="s">
        <v>21702</v>
      </c>
      <c r="G3459" s="11" t="s">
        <v>190</v>
      </c>
      <c r="H3459" s="11" t="s">
        <v>191</v>
      </c>
      <c r="I3459" s="11" t="s">
        <v>21703</v>
      </c>
      <c r="J3459" s="11" t="s">
        <v>21704</v>
      </c>
      <c r="K3459" s="11" t="s">
        <v>194</v>
      </c>
      <c r="L3459" s="11" t="s">
        <v>163</v>
      </c>
      <c r="M3459" s="11" t="s">
        <v>21705</v>
      </c>
      <c r="N3459" s="11" t="s">
        <v>128</v>
      </c>
      <c r="O3459" s="11" t="s">
        <v>21706</v>
      </c>
      <c r="P3459" s="11"/>
      <c r="Q3459" s="11" t="s">
        <v>150</v>
      </c>
      <c r="R3459" s="11"/>
      <c r="S3459" s="11" t="s">
        <v>71</v>
      </c>
      <c r="T3459" s="11" t="s">
        <v>5771</v>
      </c>
      <c r="U3459" s="11" t="s">
        <v>150</v>
      </c>
      <c r="V3459" s="11" t="s">
        <v>5771</v>
      </c>
      <c r="W3459" s="11" t="s">
        <v>5771</v>
      </c>
      <c r="X3459" s="11">
        <v>2</v>
      </c>
      <c r="Y3459" s="11" t="s">
        <v>12359</v>
      </c>
      <c r="Z3459" s="11">
        <v>20</v>
      </c>
      <c r="AA3459" s="11">
        <v>0</v>
      </c>
      <c r="AB3459" s="12">
        <v>0</v>
      </c>
    </row>
    <row r="3460" spans="1:28" x14ac:dyDescent="0.2">
      <c r="A3460" s="7">
        <v>22558</v>
      </c>
      <c r="B3460" s="8" t="s">
        <v>21707</v>
      </c>
      <c r="C3460" s="8" t="s">
        <v>21708</v>
      </c>
      <c r="D3460" s="8" t="s">
        <v>21709</v>
      </c>
      <c r="E3460" s="8"/>
      <c r="F3460" s="8" t="s">
        <v>21710</v>
      </c>
      <c r="G3460" s="8" t="s">
        <v>190</v>
      </c>
      <c r="H3460" s="8" t="s">
        <v>191</v>
      </c>
      <c r="I3460" s="8" t="s">
        <v>21711</v>
      </c>
      <c r="J3460" s="8" t="s">
        <v>21712</v>
      </c>
      <c r="K3460" s="8" t="s">
        <v>194</v>
      </c>
      <c r="L3460" s="8" t="s">
        <v>163</v>
      </c>
      <c r="M3460" s="8" t="s">
        <v>21713</v>
      </c>
      <c r="N3460" s="8" t="s">
        <v>128</v>
      </c>
      <c r="O3460" s="8" t="s">
        <v>21714</v>
      </c>
      <c r="P3460" s="8"/>
      <c r="Q3460" s="8" t="s">
        <v>150</v>
      </c>
      <c r="R3460" s="8"/>
      <c r="S3460" s="8" t="s">
        <v>71</v>
      </c>
      <c r="T3460" s="8" t="s">
        <v>5771</v>
      </c>
      <c r="U3460" s="8" t="s">
        <v>150</v>
      </c>
      <c r="V3460" s="8" t="s">
        <v>5771</v>
      </c>
      <c r="W3460" s="8" t="s">
        <v>5771</v>
      </c>
      <c r="X3460" s="8">
        <v>2</v>
      </c>
      <c r="Y3460" s="8" t="s">
        <v>12359</v>
      </c>
      <c r="Z3460" s="8">
        <v>20</v>
      </c>
      <c r="AA3460" s="8">
        <v>0</v>
      </c>
      <c r="AB3460" s="9">
        <v>0</v>
      </c>
    </row>
    <row r="3461" spans="1:28" x14ac:dyDescent="0.2">
      <c r="A3461" s="10">
        <v>219349</v>
      </c>
      <c r="B3461" s="11" t="s">
        <v>21715</v>
      </c>
      <c r="C3461" s="11" t="s">
        <v>12295</v>
      </c>
      <c r="D3461" s="11" t="s">
        <v>12571</v>
      </c>
      <c r="E3461" s="11"/>
      <c r="F3461" s="11" t="s">
        <v>353</v>
      </c>
      <c r="G3461" s="11" t="s">
        <v>12297</v>
      </c>
      <c r="H3461" s="11" t="s">
        <v>2511</v>
      </c>
      <c r="I3461" s="11" t="s">
        <v>21716</v>
      </c>
      <c r="J3461" s="11" t="s">
        <v>21717</v>
      </c>
      <c r="K3461" s="11" t="s">
        <v>1562</v>
      </c>
      <c r="L3461" s="11" t="s">
        <v>229</v>
      </c>
      <c r="M3461" s="11" t="s">
        <v>21718</v>
      </c>
      <c r="N3461" s="11" t="s">
        <v>128</v>
      </c>
      <c r="O3461" s="11" t="s">
        <v>21719</v>
      </c>
      <c r="P3461" s="11"/>
      <c r="Q3461" s="11" t="s">
        <v>150</v>
      </c>
      <c r="R3461" s="11"/>
      <c r="S3461" s="11" t="s">
        <v>71</v>
      </c>
      <c r="T3461" s="11" t="s">
        <v>7898</v>
      </c>
      <c r="U3461" s="11" t="s">
        <v>150</v>
      </c>
      <c r="V3461" s="11" t="s">
        <v>7898</v>
      </c>
      <c r="W3461" s="11" t="s">
        <v>7898</v>
      </c>
      <c r="X3461" s="11">
        <v>2</v>
      </c>
      <c r="Y3461" s="11" t="s">
        <v>12359</v>
      </c>
      <c r="Z3461" s="11">
        <v>20</v>
      </c>
      <c r="AA3461" s="11">
        <v>0</v>
      </c>
      <c r="AB3461" s="12">
        <v>0</v>
      </c>
    </row>
    <row r="3462" spans="1:28" x14ac:dyDescent="0.2">
      <c r="A3462" s="7">
        <v>192464</v>
      </c>
      <c r="B3462" s="8" t="s">
        <v>21720</v>
      </c>
      <c r="C3462" s="8" t="s">
        <v>21721</v>
      </c>
      <c r="D3462" s="8" t="s">
        <v>138</v>
      </c>
      <c r="E3462" s="8" t="s">
        <v>18768</v>
      </c>
      <c r="F3462" s="8" t="s">
        <v>21722</v>
      </c>
      <c r="G3462" s="8" t="s">
        <v>12262</v>
      </c>
      <c r="H3462" s="8" t="s">
        <v>704</v>
      </c>
      <c r="I3462" s="8" t="s">
        <v>21723</v>
      </c>
      <c r="J3462" s="8" t="s">
        <v>21724</v>
      </c>
      <c r="K3462" s="8" t="s">
        <v>707</v>
      </c>
      <c r="L3462" s="8" t="s">
        <v>126</v>
      </c>
      <c r="M3462" s="8" t="s">
        <v>21725</v>
      </c>
      <c r="N3462" s="8" t="s">
        <v>128</v>
      </c>
      <c r="O3462" s="8" t="s">
        <v>21726</v>
      </c>
      <c r="P3462" s="8"/>
      <c r="Q3462" s="8" t="s">
        <v>150</v>
      </c>
      <c r="R3462" s="8"/>
      <c r="S3462" s="8" t="s">
        <v>71</v>
      </c>
      <c r="T3462" s="8" t="s">
        <v>2697</v>
      </c>
      <c r="U3462" s="8" t="s">
        <v>150</v>
      </c>
      <c r="V3462" s="8" t="s">
        <v>2697</v>
      </c>
      <c r="W3462" s="8" t="s">
        <v>2697</v>
      </c>
      <c r="X3462" s="8">
        <v>2</v>
      </c>
      <c r="Y3462" s="8" t="s">
        <v>12359</v>
      </c>
      <c r="Z3462" s="8">
        <v>20</v>
      </c>
      <c r="AA3462" s="8">
        <v>0</v>
      </c>
      <c r="AB3462" s="9">
        <v>0</v>
      </c>
    </row>
    <row r="3463" spans="1:28" x14ac:dyDescent="0.2">
      <c r="A3463" s="10">
        <v>190841</v>
      </c>
      <c r="B3463" s="11" t="s">
        <v>21727</v>
      </c>
      <c r="C3463" s="11" t="s">
        <v>21728</v>
      </c>
      <c r="D3463" s="11" t="s">
        <v>1437</v>
      </c>
      <c r="E3463" s="11" t="s">
        <v>18768</v>
      </c>
      <c r="F3463" s="11" t="s">
        <v>353</v>
      </c>
      <c r="G3463" s="11" t="s">
        <v>12262</v>
      </c>
      <c r="H3463" s="11" t="s">
        <v>704</v>
      </c>
      <c r="I3463" s="11" t="s">
        <v>21729</v>
      </c>
      <c r="J3463" s="11" t="s">
        <v>21730</v>
      </c>
      <c r="K3463" s="11" t="s">
        <v>707</v>
      </c>
      <c r="L3463" s="11" t="s">
        <v>126</v>
      </c>
      <c r="M3463" s="11" t="s">
        <v>21731</v>
      </c>
      <c r="N3463" s="11" t="s">
        <v>128</v>
      </c>
      <c r="O3463" s="11" t="s">
        <v>21732</v>
      </c>
      <c r="P3463" s="11"/>
      <c r="Q3463" s="11" t="s">
        <v>150</v>
      </c>
      <c r="R3463" s="11"/>
      <c r="S3463" s="11" t="s">
        <v>71</v>
      </c>
      <c r="T3463" s="11" t="s">
        <v>2697</v>
      </c>
      <c r="U3463" s="11" t="s">
        <v>150</v>
      </c>
      <c r="V3463" s="11" t="s">
        <v>2697</v>
      </c>
      <c r="W3463" s="11" t="s">
        <v>2697</v>
      </c>
      <c r="X3463" s="11">
        <v>2</v>
      </c>
      <c r="Y3463" s="11" t="s">
        <v>12359</v>
      </c>
      <c r="Z3463" s="11">
        <v>20</v>
      </c>
      <c r="AA3463" s="11">
        <v>0</v>
      </c>
      <c r="AB3463" s="12">
        <v>0</v>
      </c>
    </row>
    <row r="3464" spans="1:28" x14ac:dyDescent="0.2">
      <c r="A3464" s="7">
        <v>110267</v>
      </c>
      <c r="B3464" s="8" t="s">
        <v>21733</v>
      </c>
      <c r="C3464" s="8" t="s">
        <v>7307</v>
      </c>
      <c r="D3464" s="8" t="s">
        <v>10515</v>
      </c>
      <c r="E3464" s="8"/>
      <c r="F3464" s="8" t="s">
        <v>11898</v>
      </c>
      <c r="G3464" s="8" t="s">
        <v>6409</v>
      </c>
      <c r="H3464" s="8" t="s">
        <v>6410</v>
      </c>
      <c r="I3464" s="8" t="s">
        <v>7309</v>
      </c>
      <c r="J3464" s="8" t="s">
        <v>21734</v>
      </c>
      <c r="K3464" s="8" t="s">
        <v>1956</v>
      </c>
      <c r="L3464" s="8" t="s">
        <v>526</v>
      </c>
      <c r="M3464" s="8" t="s">
        <v>21735</v>
      </c>
      <c r="N3464" s="8" t="s">
        <v>128</v>
      </c>
      <c r="O3464" s="8" t="s">
        <v>21736</v>
      </c>
      <c r="P3464" s="8" t="s">
        <v>21737</v>
      </c>
      <c r="Q3464" s="8" t="s">
        <v>150</v>
      </c>
      <c r="R3464" s="8"/>
      <c r="S3464" s="8" t="s">
        <v>71</v>
      </c>
      <c r="T3464" s="8" t="s">
        <v>2697</v>
      </c>
      <c r="U3464" s="8" t="s">
        <v>150</v>
      </c>
      <c r="V3464" s="8" t="s">
        <v>2697</v>
      </c>
      <c r="W3464" s="8" t="s">
        <v>2697</v>
      </c>
      <c r="X3464" s="8">
        <v>2</v>
      </c>
      <c r="Y3464" s="8" t="s">
        <v>12359</v>
      </c>
      <c r="Z3464" s="8">
        <v>20</v>
      </c>
      <c r="AA3464" s="8">
        <v>0</v>
      </c>
      <c r="AB3464" s="9">
        <v>0</v>
      </c>
    </row>
    <row r="3465" spans="1:28" x14ac:dyDescent="0.2">
      <c r="A3465" s="10">
        <v>190845</v>
      </c>
      <c r="B3465" s="11" t="s">
        <v>21738</v>
      </c>
      <c r="C3465" s="11" t="s">
        <v>21653</v>
      </c>
      <c r="D3465" s="11" t="s">
        <v>1300</v>
      </c>
      <c r="E3465" s="11" t="s">
        <v>18768</v>
      </c>
      <c r="F3465" s="11" t="s">
        <v>21654</v>
      </c>
      <c r="G3465" s="11" t="s">
        <v>12262</v>
      </c>
      <c r="H3465" s="11" t="s">
        <v>704</v>
      </c>
      <c r="I3465" s="11" t="s">
        <v>21739</v>
      </c>
      <c r="J3465" s="11" t="s">
        <v>21740</v>
      </c>
      <c r="K3465" s="11" t="s">
        <v>707</v>
      </c>
      <c r="L3465" s="11" t="s">
        <v>126</v>
      </c>
      <c r="M3465" s="11" t="s">
        <v>21741</v>
      </c>
      <c r="N3465" s="11" t="s">
        <v>128</v>
      </c>
      <c r="O3465" s="11" t="s">
        <v>21742</v>
      </c>
      <c r="P3465" s="11"/>
      <c r="Q3465" s="11" t="s">
        <v>150</v>
      </c>
      <c r="R3465" s="11"/>
      <c r="S3465" s="11" t="s">
        <v>71</v>
      </c>
      <c r="T3465" s="11" t="s">
        <v>2817</v>
      </c>
      <c r="U3465" s="11" t="s">
        <v>150</v>
      </c>
      <c r="V3465" s="11" t="s">
        <v>2817</v>
      </c>
      <c r="W3465" s="11" t="s">
        <v>2817</v>
      </c>
      <c r="X3465" s="11">
        <v>2</v>
      </c>
      <c r="Y3465" s="11" t="s">
        <v>12359</v>
      </c>
      <c r="Z3465" s="11">
        <v>20</v>
      </c>
      <c r="AA3465" s="11">
        <v>0</v>
      </c>
      <c r="AB3465" s="12">
        <v>0</v>
      </c>
    </row>
    <row r="3466" spans="1:28" x14ac:dyDescent="0.2">
      <c r="A3466" s="7">
        <v>22792</v>
      </c>
      <c r="B3466" s="8" t="s">
        <v>21743</v>
      </c>
      <c r="C3466" s="8" t="s">
        <v>5539</v>
      </c>
      <c r="D3466" s="8" t="s">
        <v>809</v>
      </c>
      <c r="E3466" s="8"/>
      <c r="F3466" s="8" t="s">
        <v>353</v>
      </c>
      <c r="G3466" s="8" t="s">
        <v>5541</v>
      </c>
      <c r="H3466" s="8" t="s">
        <v>704</v>
      </c>
      <c r="I3466" s="8" t="s">
        <v>5542</v>
      </c>
      <c r="J3466" s="8" t="s">
        <v>21744</v>
      </c>
      <c r="K3466" s="8" t="s">
        <v>850</v>
      </c>
      <c r="L3466" s="8" t="s">
        <v>126</v>
      </c>
      <c r="M3466" s="8" t="s">
        <v>21745</v>
      </c>
      <c r="N3466" s="8" t="s">
        <v>128</v>
      </c>
      <c r="O3466" s="8" t="s">
        <v>21746</v>
      </c>
      <c r="P3466" s="8"/>
      <c r="Q3466" s="8" t="s">
        <v>150</v>
      </c>
      <c r="R3466" s="8"/>
      <c r="S3466" s="8" t="s">
        <v>71</v>
      </c>
      <c r="T3466" s="8" t="s">
        <v>2817</v>
      </c>
      <c r="U3466" s="8" t="s">
        <v>150</v>
      </c>
      <c r="V3466" s="8" t="s">
        <v>2817</v>
      </c>
      <c r="W3466" s="8" t="s">
        <v>2817</v>
      </c>
      <c r="X3466" s="8">
        <v>2</v>
      </c>
      <c r="Y3466" s="8" t="s">
        <v>12359</v>
      </c>
      <c r="Z3466" s="8">
        <v>20</v>
      </c>
      <c r="AA3466" s="8">
        <v>0</v>
      </c>
      <c r="AB3466" s="9">
        <v>0</v>
      </c>
    </row>
    <row r="3467" spans="1:28" x14ac:dyDescent="0.2">
      <c r="A3467" s="10">
        <v>28129</v>
      </c>
      <c r="B3467" s="11" t="s">
        <v>21747</v>
      </c>
      <c r="C3467" s="11" t="s">
        <v>21748</v>
      </c>
      <c r="D3467" s="11" t="s">
        <v>7373</v>
      </c>
      <c r="E3467" s="11"/>
      <c r="F3467" s="11" t="s">
        <v>353</v>
      </c>
      <c r="G3467" s="11" t="s">
        <v>2192</v>
      </c>
      <c r="H3467" s="11" t="s">
        <v>704</v>
      </c>
      <c r="I3467" s="11"/>
      <c r="J3467" s="11" t="s">
        <v>21749</v>
      </c>
      <c r="K3467" s="11" t="s">
        <v>707</v>
      </c>
      <c r="L3467" s="11" t="s">
        <v>126</v>
      </c>
      <c r="M3467" s="11" t="s">
        <v>21750</v>
      </c>
      <c r="N3467" s="11" t="s">
        <v>128</v>
      </c>
      <c r="O3467" s="11"/>
      <c r="P3467" s="11"/>
      <c r="Q3467" s="11" t="s">
        <v>150</v>
      </c>
      <c r="R3467" s="11"/>
      <c r="S3467" s="11" t="s">
        <v>71</v>
      </c>
      <c r="T3467" s="11" t="s">
        <v>2817</v>
      </c>
      <c r="U3467" s="11" t="s">
        <v>150</v>
      </c>
      <c r="V3467" s="11" t="s">
        <v>2817</v>
      </c>
      <c r="W3467" s="11" t="s">
        <v>2817</v>
      </c>
      <c r="X3467" s="11">
        <v>2</v>
      </c>
      <c r="Y3467" s="11" t="s">
        <v>12359</v>
      </c>
      <c r="Z3467" s="11">
        <v>20</v>
      </c>
      <c r="AA3467" s="11">
        <v>0</v>
      </c>
      <c r="AB3467" s="12">
        <v>0</v>
      </c>
    </row>
    <row r="3468" spans="1:28" x14ac:dyDescent="0.2">
      <c r="A3468" s="7">
        <v>218088</v>
      </c>
      <c r="B3468" s="8" t="s">
        <v>21751</v>
      </c>
      <c r="C3468" s="8" t="s">
        <v>12519</v>
      </c>
      <c r="D3468" s="8" t="s">
        <v>4630</v>
      </c>
      <c r="E3468" s="8"/>
      <c r="F3468" s="8" t="s">
        <v>21752</v>
      </c>
      <c r="G3468" s="8" t="s">
        <v>6409</v>
      </c>
      <c r="H3468" s="8" t="s">
        <v>6410</v>
      </c>
      <c r="I3468" s="8" t="s">
        <v>13367</v>
      </c>
      <c r="J3468" s="8" t="s">
        <v>12523</v>
      </c>
      <c r="K3468" s="8" t="s">
        <v>1956</v>
      </c>
      <c r="L3468" s="8" t="s">
        <v>526</v>
      </c>
      <c r="M3468" s="8" t="s">
        <v>21753</v>
      </c>
      <c r="N3468" s="8" t="s">
        <v>128</v>
      </c>
      <c r="O3468" s="8" t="s">
        <v>21754</v>
      </c>
      <c r="P3468" s="8"/>
      <c r="Q3468" s="8" t="s">
        <v>150</v>
      </c>
      <c r="R3468" s="8"/>
      <c r="S3468" s="8" t="s">
        <v>12527</v>
      </c>
      <c r="T3468" s="8" t="s">
        <v>5470</v>
      </c>
      <c r="U3468" s="8" t="s">
        <v>150</v>
      </c>
      <c r="V3468" s="8" t="s">
        <v>5470</v>
      </c>
      <c r="W3468" s="8" t="s">
        <v>5470</v>
      </c>
      <c r="X3468" s="8">
        <v>2</v>
      </c>
      <c r="Y3468" s="8" t="s">
        <v>12359</v>
      </c>
      <c r="Z3468" s="8">
        <v>20</v>
      </c>
      <c r="AA3468" s="8">
        <v>0</v>
      </c>
      <c r="AB3468" s="9">
        <v>0</v>
      </c>
    </row>
    <row r="3469" spans="1:28" x14ac:dyDescent="0.2">
      <c r="A3469" s="10">
        <v>23156</v>
      </c>
      <c r="B3469" s="11" t="s">
        <v>21755</v>
      </c>
      <c r="C3469" s="11" t="s">
        <v>3783</v>
      </c>
      <c r="D3469" s="11" t="s">
        <v>8545</v>
      </c>
      <c r="E3469" s="11" t="s">
        <v>21756</v>
      </c>
      <c r="F3469" s="11" t="s">
        <v>353</v>
      </c>
      <c r="G3469" s="11" t="s">
        <v>2863</v>
      </c>
      <c r="H3469" s="11" t="s">
        <v>142</v>
      </c>
      <c r="I3469" s="11" t="s">
        <v>3785</v>
      </c>
      <c r="J3469" s="11" t="s">
        <v>21757</v>
      </c>
      <c r="K3469" s="11" t="s">
        <v>974</v>
      </c>
      <c r="L3469" s="11" t="s">
        <v>146</v>
      </c>
      <c r="M3469" s="11" t="s">
        <v>21758</v>
      </c>
      <c r="N3469" s="11" t="s">
        <v>128</v>
      </c>
      <c r="O3469" s="11" t="s">
        <v>21759</v>
      </c>
      <c r="P3469" s="11" t="s">
        <v>21760</v>
      </c>
      <c r="Q3469" s="11" t="s">
        <v>150</v>
      </c>
      <c r="R3469" s="11"/>
      <c r="S3469" s="11" t="s">
        <v>71</v>
      </c>
      <c r="T3469" s="11" t="s">
        <v>70</v>
      </c>
      <c r="U3469" s="11" t="s">
        <v>150</v>
      </c>
      <c r="V3469" s="11" t="s">
        <v>70</v>
      </c>
      <c r="W3469" s="11" t="s">
        <v>70</v>
      </c>
      <c r="X3469" s="11">
        <v>2</v>
      </c>
      <c r="Y3469" s="11" t="s">
        <v>12359</v>
      </c>
      <c r="Z3469" s="11">
        <v>20</v>
      </c>
      <c r="AA3469" s="11">
        <v>0</v>
      </c>
      <c r="AB3469" s="12">
        <v>0</v>
      </c>
    </row>
    <row r="3470" spans="1:28" x14ac:dyDescent="0.2">
      <c r="A3470" s="7">
        <v>23226</v>
      </c>
      <c r="B3470" s="8" t="s">
        <v>21761</v>
      </c>
      <c r="C3470" s="8" t="s">
        <v>21762</v>
      </c>
      <c r="D3470" s="8" t="s">
        <v>2871</v>
      </c>
      <c r="E3470" s="8" t="s">
        <v>9157</v>
      </c>
      <c r="F3470" s="8" t="s">
        <v>353</v>
      </c>
      <c r="G3470" s="8" t="s">
        <v>21763</v>
      </c>
      <c r="H3470" s="8" t="s">
        <v>142</v>
      </c>
      <c r="I3470" s="8" t="s">
        <v>21764</v>
      </c>
      <c r="J3470" s="8" t="s">
        <v>21765</v>
      </c>
      <c r="K3470" s="8" t="s">
        <v>1199</v>
      </c>
      <c r="L3470" s="8" t="s">
        <v>464</v>
      </c>
      <c r="M3470" s="8" t="s">
        <v>21766</v>
      </c>
      <c r="N3470" s="8" t="s">
        <v>128</v>
      </c>
      <c r="O3470" s="8" t="s">
        <v>21767</v>
      </c>
      <c r="P3470" s="8" t="s">
        <v>3667</v>
      </c>
      <c r="Q3470" s="8" t="s">
        <v>150</v>
      </c>
      <c r="R3470" s="8"/>
      <c r="S3470" s="8" t="s">
        <v>71</v>
      </c>
      <c r="T3470" s="8" t="s">
        <v>70</v>
      </c>
      <c r="U3470" s="8" t="s">
        <v>150</v>
      </c>
      <c r="V3470" s="8" t="s">
        <v>70</v>
      </c>
      <c r="W3470" s="8" t="s">
        <v>70</v>
      </c>
      <c r="X3470" s="8">
        <v>2</v>
      </c>
      <c r="Y3470" s="8" t="s">
        <v>12359</v>
      </c>
      <c r="Z3470" s="8">
        <v>20</v>
      </c>
      <c r="AA3470" s="8">
        <v>0</v>
      </c>
      <c r="AB3470" s="9">
        <v>0</v>
      </c>
    </row>
    <row r="3471" spans="1:28" x14ac:dyDescent="0.2">
      <c r="A3471" s="10">
        <v>23332</v>
      </c>
      <c r="B3471" s="11" t="s">
        <v>21768</v>
      </c>
      <c r="C3471" s="11" t="s">
        <v>20213</v>
      </c>
      <c r="D3471" s="11" t="s">
        <v>9089</v>
      </c>
      <c r="E3471" s="11" t="s">
        <v>135</v>
      </c>
      <c r="F3471" s="11" t="s">
        <v>353</v>
      </c>
      <c r="G3471" s="11" t="s">
        <v>12311</v>
      </c>
      <c r="H3471" s="11" t="s">
        <v>122</v>
      </c>
      <c r="I3471" s="11" t="s">
        <v>20599</v>
      </c>
      <c r="J3471" s="11" t="s">
        <v>21769</v>
      </c>
      <c r="K3471" s="11" t="s">
        <v>125</v>
      </c>
      <c r="L3471" s="11" t="s">
        <v>126</v>
      </c>
      <c r="M3471" s="11" t="s">
        <v>21770</v>
      </c>
      <c r="N3471" s="11" t="s">
        <v>128</v>
      </c>
      <c r="O3471" s="11" t="s">
        <v>21771</v>
      </c>
      <c r="P3471" s="11" t="s">
        <v>2432</v>
      </c>
      <c r="Q3471" s="11" t="s">
        <v>150</v>
      </c>
      <c r="R3471" s="11"/>
      <c r="S3471" s="11" t="s">
        <v>71</v>
      </c>
      <c r="T3471" s="11" t="s">
        <v>70</v>
      </c>
      <c r="U3471" s="11" t="s">
        <v>150</v>
      </c>
      <c r="V3471" s="11" t="s">
        <v>70</v>
      </c>
      <c r="W3471" s="11" t="s">
        <v>70</v>
      </c>
      <c r="X3471" s="11">
        <v>2</v>
      </c>
      <c r="Y3471" s="11" t="s">
        <v>12359</v>
      </c>
      <c r="Z3471" s="11">
        <v>20</v>
      </c>
      <c r="AA3471" s="11">
        <v>0</v>
      </c>
      <c r="AB3471" s="12">
        <v>0</v>
      </c>
    </row>
    <row r="3472" spans="1:28" x14ac:dyDescent="0.2">
      <c r="A3472" s="7">
        <v>23372</v>
      </c>
      <c r="B3472" s="8" t="s">
        <v>21772</v>
      </c>
      <c r="C3472" s="8" t="s">
        <v>21773</v>
      </c>
      <c r="D3472" s="8" t="s">
        <v>9370</v>
      </c>
      <c r="E3472" s="8" t="s">
        <v>9623</v>
      </c>
      <c r="F3472" s="8" t="s">
        <v>353</v>
      </c>
      <c r="G3472" s="8" t="s">
        <v>412</v>
      </c>
      <c r="H3472" s="8" t="s">
        <v>329</v>
      </c>
      <c r="I3472" s="8" t="s">
        <v>21774</v>
      </c>
      <c r="J3472" s="8" t="s">
        <v>21775</v>
      </c>
      <c r="K3472" s="8" t="s">
        <v>415</v>
      </c>
      <c r="L3472" s="8" t="s">
        <v>333</v>
      </c>
      <c r="M3472" s="8" t="s">
        <v>21776</v>
      </c>
      <c r="N3472" s="8" t="s">
        <v>128</v>
      </c>
      <c r="O3472" s="8" t="s">
        <v>21777</v>
      </c>
      <c r="P3472" s="8" t="s">
        <v>21778</v>
      </c>
      <c r="Q3472" s="8" t="s">
        <v>150</v>
      </c>
      <c r="R3472" s="8"/>
      <c r="S3472" s="8" t="s">
        <v>71</v>
      </c>
      <c r="T3472" s="8" t="s">
        <v>70</v>
      </c>
      <c r="U3472" s="8" t="s">
        <v>150</v>
      </c>
      <c r="V3472" s="8" t="s">
        <v>70</v>
      </c>
      <c r="W3472" s="8" t="s">
        <v>70</v>
      </c>
      <c r="X3472" s="8">
        <v>2</v>
      </c>
      <c r="Y3472" s="8" t="s">
        <v>12359</v>
      </c>
      <c r="Z3472" s="8">
        <v>20</v>
      </c>
      <c r="AA3472" s="8">
        <v>0</v>
      </c>
      <c r="AB3472" s="9">
        <v>0</v>
      </c>
    </row>
    <row r="3473" spans="1:28" x14ac:dyDescent="0.2">
      <c r="A3473" s="10">
        <v>22915</v>
      </c>
      <c r="B3473" s="11" t="s">
        <v>21779</v>
      </c>
      <c r="C3473" s="11" t="s">
        <v>4777</v>
      </c>
      <c r="D3473" s="11" t="s">
        <v>21780</v>
      </c>
      <c r="E3473" s="11" t="s">
        <v>21781</v>
      </c>
      <c r="F3473" s="11" t="s">
        <v>21782</v>
      </c>
      <c r="G3473" s="11" t="s">
        <v>21581</v>
      </c>
      <c r="H3473" s="11" t="s">
        <v>159</v>
      </c>
      <c r="I3473" s="11" t="s">
        <v>21783</v>
      </c>
      <c r="J3473" s="11" t="s">
        <v>21784</v>
      </c>
      <c r="K3473" s="11" t="s">
        <v>274</v>
      </c>
      <c r="L3473" s="11" t="s">
        <v>163</v>
      </c>
      <c r="M3473" s="11" t="s">
        <v>21785</v>
      </c>
      <c r="N3473" s="11" t="s">
        <v>128</v>
      </c>
      <c r="O3473" s="11" t="s">
        <v>21786</v>
      </c>
      <c r="P3473" s="11" t="s">
        <v>21787</v>
      </c>
      <c r="Q3473" s="11" t="s">
        <v>150</v>
      </c>
      <c r="R3473" s="11"/>
      <c r="S3473" s="11" t="s">
        <v>71</v>
      </c>
      <c r="T3473" s="11" t="s">
        <v>70</v>
      </c>
      <c r="U3473" s="11" t="s">
        <v>150</v>
      </c>
      <c r="V3473" s="11" t="s">
        <v>70</v>
      </c>
      <c r="W3473" s="11" t="s">
        <v>70</v>
      </c>
      <c r="X3473" s="11">
        <v>2</v>
      </c>
      <c r="Y3473" s="11" t="s">
        <v>12359</v>
      </c>
      <c r="Z3473" s="11">
        <v>20</v>
      </c>
      <c r="AA3473" s="11">
        <v>0</v>
      </c>
      <c r="AB3473" s="12">
        <v>0</v>
      </c>
    </row>
    <row r="3474" spans="1:28" x14ac:dyDescent="0.2">
      <c r="A3474" s="7">
        <v>23118</v>
      </c>
      <c r="B3474" s="8" t="s">
        <v>21788</v>
      </c>
      <c r="C3474" s="8" t="s">
        <v>4019</v>
      </c>
      <c r="D3474" s="8" t="s">
        <v>4020</v>
      </c>
      <c r="E3474" s="8" t="s">
        <v>21789</v>
      </c>
      <c r="F3474" s="8" t="s">
        <v>4021</v>
      </c>
      <c r="G3474" s="8" t="s">
        <v>846</v>
      </c>
      <c r="H3474" s="8" t="s">
        <v>847</v>
      </c>
      <c r="I3474" s="8" t="s">
        <v>4022</v>
      </c>
      <c r="J3474" s="8" t="s">
        <v>4023</v>
      </c>
      <c r="K3474" s="8" t="s">
        <v>850</v>
      </c>
      <c r="L3474" s="8" t="s">
        <v>126</v>
      </c>
      <c r="M3474" s="8" t="s">
        <v>21790</v>
      </c>
      <c r="N3474" s="8" t="s">
        <v>128</v>
      </c>
      <c r="O3474" s="8" t="s">
        <v>21791</v>
      </c>
      <c r="P3474" s="8" t="s">
        <v>21792</v>
      </c>
      <c r="Q3474" s="8" t="s">
        <v>150</v>
      </c>
      <c r="R3474" s="8"/>
      <c r="S3474" s="8" t="s">
        <v>71</v>
      </c>
      <c r="T3474" s="8" t="s">
        <v>70</v>
      </c>
      <c r="U3474" s="8" t="s">
        <v>150</v>
      </c>
      <c r="V3474" s="8" t="s">
        <v>70</v>
      </c>
      <c r="W3474" s="8" t="s">
        <v>70</v>
      </c>
      <c r="X3474" s="8">
        <v>2</v>
      </c>
      <c r="Y3474" s="8" t="s">
        <v>12359</v>
      </c>
      <c r="Z3474" s="8">
        <v>20</v>
      </c>
      <c r="AA3474" s="8">
        <v>0</v>
      </c>
      <c r="AB3474" s="9">
        <v>0</v>
      </c>
    </row>
    <row r="3475" spans="1:28" x14ac:dyDescent="0.2">
      <c r="A3475" s="10">
        <v>111696</v>
      </c>
      <c r="B3475" s="11" t="s">
        <v>21793</v>
      </c>
      <c r="C3475" s="11" t="s">
        <v>18758</v>
      </c>
      <c r="D3475" s="11" t="s">
        <v>8644</v>
      </c>
      <c r="E3475" s="11" t="s">
        <v>21794</v>
      </c>
      <c r="F3475" s="11" t="s">
        <v>18759</v>
      </c>
      <c r="G3475" s="11" t="s">
        <v>4898</v>
      </c>
      <c r="H3475" s="11" t="s">
        <v>142</v>
      </c>
      <c r="I3475" s="11" t="s">
        <v>18760</v>
      </c>
      <c r="J3475" s="11" t="s">
        <v>18761</v>
      </c>
      <c r="K3475" s="11" t="s">
        <v>1673</v>
      </c>
      <c r="L3475" s="11" t="s">
        <v>464</v>
      </c>
      <c r="M3475" s="11" t="s">
        <v>21795</v>
      </c>
      <c r="N3475" s="11" t="s">
        <v>128</v>
      </c>
      <c r="O3475" s="11" t="s">
        <v>21796</v>
      </c>
      <c r="P3475" s="11" t="s">
        <v>21797</v>
      </c>
      <c r="Q3475" s="11" t="s">
        <v>150</v>
      </c>
      <c r="R3475" s="11"/>
      <c r="S3475" s="11" t="s">
        <v>18764</v>
      </c>
      <c r="T3475" s="11" t="s">
        <v>70</v>
      </c>
      <c r="U3475" s="11" t="s">
        <v>150</v>
      </c>
      <c r="V3475" s="11" t="s">
        <v>70</v>
      </c>
      <c r="W3475" s="11" t="s">
        <v>70</v>
      </c>
      <c r="X3475" s="11">
        <v>2</v>
      </c>
      <c r="Y3475" s="11" t="s">
        <v>12359</v>
      </c>
      <c r="Z3475" s="11">
        <v>20</v>
      </c>
      <c r="AA3475" s="11">
        <v>0</v>
      </c>
      <c r="AB3475" s="12">
        <v>0</v>
      </c>
    </row>
    <row r="3476" spans="1:28" x14ac:dyDescent="0.2">
      <c r="A3476" s="7">
        <v>23147</v>
      </c>
      <c r="B3476" s="8" t="s">
        <v>21798</v>
      </c>
      <c r="C3476" s="8" t="s">
        <v>7362</v>
      </c>
      <c r="D3476" s="8" t="s">
        <v>7341</v>
      </c>
      <c r="E3476" s="8" t="s">
        <v>21799</v>
      </c>
      <c r="F3476" s="8" t="s">
        <v>7364</v>
      </c>
      <c r="G3476" s="8" t="s">
        <v>1196</v>
      </c>
      <c r="H3476" s="8" t="s">
        <v>142</v>
      </c>
      <c r="I3476" s="8" t="s">
        <v>7365</v>
      </c>
      <c r="J3476" s="8" t="s">
        <v>7366</v>
      </c>
      <c r="K3476" s="8" t="s">
        <v>1199</v>
      </c>
      <c r="L3476" s="8" t="s">
        <v>464</v>
      </c>
      <c r="M3476" s="8" t="s">
        <v>21800</v>
      </c>
      <c r="N3476" s="8" t="s">
        <v>128</v>
      </c>
      <c r="O3476" s="8" t="s">
        <v>21801</v>
      </c>
      <c r="P3476" s="8" t="s">
        <v>6044</v>
      </c>
      <c r="Q3476" s="8" t="s">
        <v>150</v>
      </c>
      <c r="R3476" s="8"/>
      <c r="S3476" s="8" t="s">
        <v>7370</v>
      </c>
      <c r="T3476" s="8" t="s">
        <v>70</v>
      </c>
      <c r="U3476" s="8" t="s">
        <v>150</v>
      </c>
      <c r="V3476" s="8" t="s">
        <v>70</v>
      </c>
      <c r="W3476" s="8" t="s">
        <v>70</v>
      </c>
      <c r="X3476" s="8">
        <v>2</v>
      </c>
      <c r="Y3476" s="8" t="s">
        <v>12359</v>
      </c>
      <c r="Z3476" s="8">
        <v>20</v>
      </c>
      <c r="AA3476" s="8">
        <v>0</v>
      </c>
      <c r="AB3476" s="9">
        <v>0</v>
      </c>
    </row>
    <row r="3477" spans="1:28" x14ac:dyDescent="0.2">
      <c r="A3477" s="10">
        <v>22894</v>
      </c>
      <c r="B3477" s="11" t="s">
        <v>21802</v>
      </c>
      <c r="C3477" s="11" t="s">
        <v>1556</v>
      </c>
      <c r="D3477" s="11" t="s">
        <v>7225</v>
      </c>
      <c r="E3477" s="11"/>
      <c r="F3477" s="11" t="s">
        <v>353</v>
      </c>
      <c r="G3477" s="11" t="s">
        <v>1559</v>
      </c>
      <c r="H3477" s="11" t="s">
        <v>557</v>
      </c>
      <c r="I3477" s="11" t="s">
        <v>3472</v>
      </c>
      <c r="J3477" s="11" t="s">
        <v>21803</v>
      </c>
      <c r="K3477" s="11" t="s">
        <v>1562</v>
      </c>
      <c r="L3477" s="11" t="s">
        <v>229</v>
      </c>
      <c r="M3477" s="11" t="s">
        <v>21804</v>
      </c>
      <c r="N3477" s="11" t="s">
        <v>128</v>
      </c>
      <c r="O3477" s="11" t="s">
        <v>21805</v>
      </c>
      <c r="P3477" s="11" t="s">
        <v>7387</v>
      </c>
      <c r="Q3477" s="11" t="s">
        <v>150</v>
      </c>
      <c r="R3477" s="11"/>
      <c r="S3477" s="11" t="s">
        <v>71</v>
      </c>
      <c r="T3477" s="11" t="s">
        <v>70</v>
      </c>
      <c r="U3477" s="11" t="s">
        <v>150</v>
      </c>
      <c r="V3477" s="11" t="s">
        <v>70</v>
      </c>
      <c r="W3477" s="11" t="s">
        <v>70</v>
      </c>
      <c r="X3477" s="11">
        <v>2</v>
      </c>
      <c r="Y3477" s="11" t="s">
        <v>12359</v>
      </c>
      <c r="Z3477" s="11">
        <v>20</v>
      </c>
      <c r="AA3477" s="11">
        <v>0</v>
      </c>
      <c r="AB3477" s="12">
        <v>0</v>
      </c>
    </row>
    <row r="3478" spans="1:28" x14ac:dyDescent="0.2">
      <c r="A3478" s="7">
        <v>23364</v>
      </c>
      <c r="B3478" s="8" t="s">
        <v>21806</v>
      </c>
      <c r="C3478" s="8" t="s">
        <v>21807</v>
      </c>
      <c r="D3478" s="8" t="s">
        <v>138</v>
      </c>
      <c r="E3478" s="8"/>
      <c r="F3478" s="8" t="s">
        <v>9916</v>
      </c>
      <c r="G3478" s="8" t="s">
        <v>224</v>
      </c>
      <c r="H3478" s="8" t="s">
        <v>225</v>
      </c>
      <c r="I3478" s="8" t="s">
        <v>9917</v>
      </c>
      <c r="J3478" s="8" t="s">
        <v>21808</v>
      </c>
      <c r="K3478" s="8" t="s">
        <v>228</v>
      </c>
      <c r="L3478" s="8" t="s">
        <v>229</v>
      </c>
      <c r="M3478" s="8" t="s">
        <v>21809</v>
      </c>
      <c r="N3478" s="8" t="s">
        <v>128</v>
      </c>
      <c r="O3478" s="8" t="s">
        <v>21810</v>
      </c>
      <c r="P3478" s="8" t="s">
        <v>21811</v>
      </c>
      <c r="Q3478" s="8" t="s">
        <v>150</v>
      </c>
      <c r="R3478" s="8"/>
      <c r="S3478" s="8" t="s">
        <v>71</v>
      </c>
      <c r="T3478" s="8" t="s">
        <v>70</v>
      </c>
      <c r="U3478" s="8" t="s">
        <v>150</v>
      </c>
      <c r="V3478" s="8" t="s">
        <v>70</v>
      </c>
      <c r="W3478" s="8" t="s">
        <v>70</v>
      </c>
      <c r="X3478" s="8">
        <v>2</v>
      </c>
      <c r="Y3478" s="8" t="s">
        <v>12359</v>
      </c>
      <c r="Z3478" s="8">
        <v>20</v>
      </c>
      <c r="AA3478" s="8">
        <v>0</v>
      </c>
      <c r="AB3478" s="9">
        <v>0</v>
      </c>
    </row>
    <row r="3479" spans="1:28" x14ac:dyDescent="0.2">
      <c r="A3479" s="10">
        <v>22932</v>
      </c>
      <c r="B3479" s="11" t="s">
        <v>21812</v>
      </c>
      <c r="C3479" s="11" t="s">
        <v>21813</v>
      </c>
      <c r="D3479" s="11" t="s">
        <v>21814</v>
      </c>
      <c r="E3479" s="11"/>
      <c r="F3479" s="11" t="s">
        <v>12288</v>
      </c>
      <c r="G3479" s="11" t="s">
        <v>1364</v>
      </c>
      <c r="H3479" s="11" t="s">
        <v>329</v>
      </c>
      <c r="I3479" s="11" t="s">
        <v>21815</v>
      </c>
      <c r="J3479" s="11" t="s">
        <v>21816</v>
      </c>
      <c r="K3479" s="11" t="s">
        <v>431</v>
      </c>
      <c r="L3479" s="11" t="s">
        <v>333</v>
      </c>
      <c r="M3479" s="11" t="s">
        <v>21817</v>
      </c>
      <c r="N3479" s="11" t="s">
        <v>128</v>
      </c>
      <c r="O3479" s="11" t="s">
        <v>21818</v>
      </c>
      <c r="P3479" s="11" t="s">
        <v>18286</v>
      </c>
      <c r="Q3479" s="11" t="s">
        <v>150</v>
      </c>
      <c r="R3479" s="11"/>
      <c r="S3479" s="11" t="s">
        <v>71</v>
      </c>
      <c r="T3479" s="11" t="s">
        <v>70</v>
      </c>
      <c r="U3479" s="11" t="s">
        <v>150</v>
      </c>
      <c r="V3479" s="11" t="s">
        <v>70</v>
      </c>
      <c r="W3479" s="11" t="s">
        <v>70</v>
      </c>
      <c r="X3479" s="11">
        <v>2</v>
      </c>
      <c r="Y3479" s="11" t="s">
        <v>12359</v>
      </c>
      <c r="Z3479" s="11">
        <v>20</v>
      </c>
      <c r="AA3479" s="11">
        <v>0</v>
      </c>
      <c r="AB3479" s="12">
        <v>0</v>
      </c>
    </row>
    <row r="3480" spans="1:28" x14ac:dyDescent="0.2">
      <c r="A3480" s="7">
        <v>23408</v>
      </c>
      <c r="B3480" s="8" t="s">
        <v>21819</v>
      </c>
      <c r="C3480" s="8" t="s">
        <v>20651</v>
      </c>
      <c r="D3480" s="8" t="s">
        <v>18049</v>
      </c>
      <c r="E3480" s="8"/>
      <c r="F3480" s="8" t="s">
        <v>353</v>
      </c>
      <c r="G3480" s="8" t="s">
        <v>21763</v>
      </c>
      <c r="H3480" s="8" t="s">
        <v>142</v>
      </c>
      <c r="I3480" s="8" t="s">
        <v>21764</v>
      </c>
      <c r="J3480" s="8" t="s">
        <v>21820</v>
      </c>
      <c r="K3480" s="8" t="s">
        <v>1199</v>
      </c>
      <c r="L3480" s="8" t="s">
        <v>464</v>
      </c>
      <c r="M3480" s="8" t="s">
        <v>21821</v>
      </c>
      <c r="N3480" s="8" t="s">
        <v>128</v>
      </c>
      <c r="O3480" s="8" t="s">
        <v>21822</v>
      </c>
      <c r="P3480" s="8" t="s">
        <v>21823</v>
      </c>
      <c r="Q3480" s="8" t="s">
        <v>150</v>
      </c>
      <c r="R3480" s="8"/>
      <c r="S3480" s="8" t="s">
        <v>71</v>
      </c>
      <c r="T3480" s="8" t="s">
        <v>1415</v>
      </c>
      <c r="U3480" s="8" t="s">
        <v>150</v>
      </c>
      <c r="V3480" s="8" t="s">
        <v>1415</v>
      </c>
      <c r="W3480" s="8" t="s">
        <v>1415</v>
      </c>
      <c r="X3480" s="8">
        <v>2</v>
      </c>
      <c r="Y3480" s="8" t="s">
        <v>12359</v>
      </c>
      <c r="Z3480" s="8">
        <v>20</v>
      </c>
      <c r="AA3480" s="8">
        <v>0</v>
      </c>
      <c r="AB3480" s="9">
        <v>0</v>
      </c>
    </row>
    <row r="3481" spans="1:28" x14ac:dyDescent="0.2">
      <c r="A3481" s="10">
        <v>23438</v>
      </c>
      <c r="B3481" s="11" t="s">
        <v>21824</v>
      </c>
      <c r="C3481" s="11" t="s">
        <v>21825</v>
      </c>
      <c r="D3481" s="11" t="s">
        <v>12749</v>
      </c>
      <c r="E3481" s="11"/>
      <c r="F3481" s="11" t="s">
        <v>353</v>
      </c>
      <c r="G3481" s="11" t="s">
        <v>17971</v>
      </c>
      <c r="H3481" s="11" t="s">
        <v>142</v>
      </c>
      <c r="I3481" s="11" t="s">
        <v>21826</v>
      </c>
      <c r="J3481" s="11" t="s">
        <v>21827</v>
      </c>
      <c r="K3481" s="11" t="s">
        <v>1199</v>
      </c>
      <c r="L3481" s="11" t="s">
        <v>464</v>
      </c>
      <c r="M3481" s="11" t="s">
        <v>21828</v>
      </c>
      <c r="N3481" s="11" t="s">
        <v>128</v>
      </c>
      <c r="O3481" s="11" t="s">
        <v>21829</v>
      </c>
      <c r="P3481" s="11" t="s">
        <v>21830</v>
      </c>
      <c r="Q3481" s="11" t="s">
        <v>150</v>
      </c>
      <c r="R3481" s="11"/>
      <c r="S3481" s="11" t="s">
        <v>71</v>
      </c>
      <c r="T3481" s="11" t="s">
        <v>1415</v>
      </c>
      <c r="U3481" s="11" t="s">
        <v>150</v>
      </c>
      <c r="V3481" s="11" t="s">
        <v>1415</v>
      </c>
      <c r="W3481" s="11" t="s">
        <v>1415</v>
      </c>
      <c r="X3481" s="11">
        <v>2</v>
      </c>
      <c r="Y3481" s="11" t="s">
        <v>12359</v>
      </c>
      <c r="Z3481" s="11">
        <v>20</v>
      </c>
      <c r="AA3481" s="11">
        <v>0</v>
      </c>
      <c r="AB3481" s="12">
        <v>0</v>
      </c>
    </row>
    <row r="3482" spans="1:28" x14ac:dyDescent="0.2">
      <c r="A3482" s="7">
        <v>23495</v>
      </c>
      <c r="B3482" s="8" t="s">
        <v>21831</v>
      </c>
      <c r="C3482" s="8" t="s">
        <v>2300</v>
      </c>
      <c r="D3482" s="8" t="s">
        <v>7578</v>
      </c>
      <c r="E3482" s="8"/>
      <c r="F3482" s="8" t="s">
        <v>353</v>
      </c>
      <c r="G3482" s="8" t="s">
        <v>19946</v>
      </c>
      <c r="H3482" s="8" t="s">
        <v>142</v>
      </c>
      <c r="I3482" s="8" t="s">
        <v>19947</v>
      </c>
      <c r="J3482" s="8" t="s">
        <v>21832</v>
      </c>
      <c r="K3482" s="8" t="s">
        <v>1673</v>
      </c>
      <c r="L3482" s="8" t="s">
        <v>464</v>
      </c>
      <c r="M3482" s="8" t="s">
        <v>21833</v>
      </c>
      <c r="N3482" s="8" t="s">
        <v>128</v>
      </c>
      <c r="O3482" s="8" t="s">
        <v>21834</v>
      </c>
      <c r="P3482" s="8" t="s">
        <v>21835</v>
      </c>
      <c r="Q3482" s="8" t="s">
        <v>150</v>
      </c>
      <c r="R3482" s="8"/>
      <c r="S3482" s="8" t="s">
        <v>71</v>
      </c>
      <c r="T3482" s="8" t="s">
        <v>1415</v>
      </c>
      <c r="U3482" s="8" t="s">
        <v>150</v>
      </c>
      <c r="V3482" s="8" t="s">
        <v>1415</v>
      </c>
      <c r="W3482" s="8" t="s">
        <v>1415</v>
      </c>
      <c r="X3482" s="8">
        <v>2</v>
      </c>
      <c r="Y3482" s="8" t="s">
        <v>12359</v>
      </c>
      <c r="Z3482" s="8">
        <v>20</v>
      </c>
      <c r="AA3482" s="8">
        <v>0</v>
      </c>
      <c r="AB3482" s="9">
        <v>0</v>
      </c>
    </row>
    <row r="3483" spans="1:28" x14ac:dyDescent="0.2">
      <c r="A3483" s="10">
        <v>28710</v>
      </c>
      <c r="B3483" s="11" t="s">
        <v>21836</v>
      </c>
      <c r="C3483" s="11" t="s">
        <v>21534</v>
      </c>
      <c r="D3483" s="11" t="s">
        <v>5844</v>
      </c>
      <c r="E3483" s="11"/>
      <c r="F3483" s="11" t="s">
        <v>353</v>
      </c>
      <c r="G3483" s="11" t="s">
        <v>21535</v>
      </c>
      <c r="H3483" s="11" t="s">
        <v>142</v>
      </c>
      <c r="I3483" s="11" t="s">
        <v>21536</v>
      </c>
      <c r="J3483" s="11" t="s">
        <v>21837</v>
      </c>
      <c r="K3483" s="11" t="s">
        <v>1199</v>
      </c>
      <c r="L3483" s="11" t="s">
        <v>464</v>
      </c>
      <c r="M3483" s="11" t="s">
        <v>21838</v>
      </c>
      <c r="N3483" s="11" t="s">
        <v>128</v>
      </c>
      <c r="O3483" s="11" t="s">
        <v>21839</v>
      </c>
      <c r="P3483" s="11" t="s">
        <v>21840</v>
      </c>
      <c r="Q3483" s="11" t="s">
        <v>150</v>
      </c>
      <c r="R3483" s="11"/>
      <c r="S3483" s="11" t="s">
        <v>71</v>
      </c>
      <c r="T3483" s="11" t="s">
        <v>1415</v>
      </c>
      <c r="U3483" s="11" t="s">
        <v>150</v>
      </c>
      <c r="V3483" s="11" t="s">
        <v>1415</v>
      </c>
      <c r="W3483" s="11" t="s">
        <v>1415</v>
      </c>
      <c r="X3483" s="11">
        <v>2</v>
      </c>
      <c r="Y3483" s="11" t="s">
        <v>12359</v>
      </c>
      <c r="Z3483" s="11">
        <v>20</v>
      </c>
      <c r="AA3483" s="11">
        <v>0</v>
      </c>
      <c r="AB3483" s="12">
        <v>0</v>
      </c>
    </row>
    <row r="3484" spans="1:28" x14ac:dyDescent="0.2">
      <c r="A3484" s="7">
        <v>37862</v>
      </c>
      <c r="B3484" s="8" t="s">
        <v>21841</v>
      </c>
      <c r="C3484" s="8" t="s">
        <v>21842</v>
      </c>
      <c r="D3484" s="8" t="s">
        <v>7579</v>
      </c>
      <c r="E3484" s="8"/>
      <c r="F3484" s="8" t="s">
        <v>353</v>
      </c>
      <c r="G3484" s="8" t="s">
        <v>21521</v>
      </c>
      <c r="H3484" s="8" t="s">
        <v>142</v>
      </c>
      <c r="I3484" s="8" t="s">
        <v>21522</v>
      </c>
      <c r="J3484" s="8" t="s">
        <v>21843</v>
      </c>
      <c r="K3484" s="8" t="s">
        <v>1673</v>
      </c>
      <c r="L3484" s="8" t="s">
        <v>464</v>
      </c>
      <c r="M3484" s="8" t="s">
        <v>21844</v>
      </c>
      <c r="N3484" s="8" t="s">
        <v>128</v>
      </c>
      <c r="O3484" s="8" t="s">
        <v>21845</v>
      </c>
      <c r="P3484" s="8" t="s">
        <v>21846</v>
      </c>
      <c r="Q3484" s="8" t="s">
        <v>150</v>
      </c>
      <c r="R3484" s="8"/>
      <c r="S3484" s="8" t="s">
        <v>71</v>
      </c>
      <c r="T3484" s="8" t="s">
        <v>1415</v>
      </c>
      <c r="U3484" s="8" t="s">
        <v>150</v>
      </c>
      <c r="V3484" s="8" t="s">
        <v>1415</v>
      </c>
      <c r="W3484" s="8" t="s">
        <v>1415</v>
      </c>
      <c r="X3484" s="8">
        <v>2</v>
      </c>
      <c r="Y3484" s="8" t="s">
        <v>12359</v>
      </c>
      <c r="Z3484" s="8">
        <v>20</v>
      </c>
      <c r="AA3484" s="8">
        <v>0</v>
      </c>
      <c r="AB3484" s="9">
        <v>0</v>
      </c>
    </row>
    <row r="3485" spans="1:28" x14ac:dyDescent="0.2">
      <c r="A3485" s="10">
        <v>93510</v>
      </c>
      <c r="B3485" s="11" t="s">
        <v>21847</v>
      </c>
      <c r="C3485" s="11" t="s">
        <v>21848</v>
      </c>
      <c r="D3485" s="11" t="s">
        <v>2690</v>
      </c>
      <c r="E3485" s="11"/>
      <c r="F3485" s="11" t="s">
        <v>353</v>
      </c>
      <c r="G3485" s="11" t="s">
        <v>21849</v>
      </c>
      <c r="H3485" s="11" t="s">
        <v>142</v>
      </c>
      <c r="I3485" s="11" t="s">
        <v>21850</v>
      </c>
      <c r="J3485" s="11" t="s">
        <v>21851</v>
      </c>
      <c r="K3485" s="11" t="s">
        <v>1673</v>
      </c>
      <c r="L3485" s="11" t="s">
        <v>464</v>
      </c>
      <c r="M3485" s="11" t="s">
        <v>21852</v>
      </c>
      <c r="N3485" s="11" t="s">
        <v>128</v>
      </c>
      <c r="O3485" s="11" t="s">
        <v>21853</v>
      </c>
      <c r="P3485" s="11" t="s">
        <v>21854</v>
      </c>
      <c r="Q3485" s="11" t="s">
        <v>150</v>
      </c>
      <c r="R3485" s="11"/>
      <c r="S3485" s="11" t="s">
        <v>71</v>
      </c>
      <c r="T3485" s="11" t="s">
        <v>1415</v>
      </c>
      <c r="U3485" s="11" t="s">
        <v>150</v>
      </c>
      <c r="V3485" s="11" t="s">
        <v>1415</v>
      </c>
      <c r="W3485" s="11" t="s">
        <v>1415</v>
      </c>
      <c r="X3485" s="11">
        <v>2</v>
      </c>
      <c r="Y3485" s="11" t="s">
        <v>12359</v>
      </c>
      <c r="Z3485" s="11">
        <v>20</v>
      </c>
      <c r="AA3485" s="11">
        <v>0</v>
      </c>
      <c r="AB3485" s="12">
        <v>0</v>
      </c>
    </row>
    <row r="3486" spans="1:28" x14ac:dyDescent="0.2">
      <c r="A3486" s="7">
        <v>105916</v>
      </c>
      <c r="B3486" s="8" t="s">
        <v>21855</v>
      </c>
      <c r="C3486" s="8" t="s">
        <v>21856</v>
      </c>
      <c r="D3486" s="8" t="s">
        <v>12254</v>
      </c>
      <c r="E3486" s="8"/>
      <c r="F3486" s="8" t="s">
        <v>353</v>
      </c>
      <c r="G3486" s="8" t="s">
        <v>21857</v>
      </c>
      <c r="H3486" s="8" t="s">
        <v>142</v>
      </c>
      <c r="I3486" s="8" t="s">
        <v>21858</v>
      </c>
      <c r="J3486" s="8" t="s">
        <v>21859</v>
      </c>
      <c r="K3486" s="8" t="s">
        <v>1673</v>
      </c>
      <c r="L3486" s="8" t="s">
        <v>464</v>
      </c>
      <c r="M3486" s="8" t="s">
        <v>21860</v>
      </c>
      <c r="N3486" s="8" t="s">
        <v>128</v>
      </c>
      <c r="O3486" s="8" t="s">
        <v>21861</v>
      </c>
      <c r="P3486" s="8" t="s">
        <v>21862</v>
      </c>
      <c r="Q3486" s="8" t="s">
        <v>150</v>
      </c>
      <c r="R3486" s="8"/>
      <c r="S3486" s="8" t="s">
        <v>71</v>
      </c>
      <c r="T3486" s="8" t="s">
        <v>1415</v>
      </c>
      <c r="U3486" s="8" t="s">
        <v>150</v>
      </c>
      <c r="V3486" s="8" t="s">
        <v>1415</v>
      </c>
      <c r="W3486" s="8" t="s">
        <v>1415</v>
      </c>
      <c r="X3486" s="8">
        <v>2</v>
      </c>
      <c r="Y3486" s="8" t="s">
        <v>12359</v>
      </c>
      <c r="Z3486" s="8">
        <v>20</v>
      </c>
      <c r="AA3486" s="8">
        <v>0</v>
      </c>
      <c r="AB3486" s="9">
        <v>0</v>
      </c>
    </row>
    <row r="3487" spans="1:28" x14ac:dyDescent="0.2">
      <c r="A3487" s="10">
        <v>114873</v>
      </c>
      <c r="B3487" s="11" t="s">
        <v>21863</v>
      </c>
      <c r="C3487" s="11" t="s">
        <v>3187</v>
      </c>
      <c r="D3487" s="11" t="s">
        <v>1484</v>
      </c>
      <c r="E3487" s="11"/>
      <c r="F3487" s="11" t="s">
        <v>353</v>
      </c>
      <c r="G3487" s="11" t="s">
        <v>20193</v>
      </c>
      <c r="H3487" s="11" t="s">
        <v>142</v>
      </c>
      <c r="I3487" s="11" t="s">
        <v>20194</v>
      </c>
      <c r="J3487" s="11" t="s">
        <v>21864</v>
      </c>
      <c r="K3487" s="11" t="s">
        <v>1673</v>
      </c>
      <c r="L3487" s="11" t="s">
        <v>464</v>
      </c>
      <c r="M3487" s="11" t="s">
        <v>21865</v>
      </c>
      <c r="N3487" s="11" t="s">
        <v>128</v>
      </c>
      <c r="O3487" s="11" t="s">
        <v>21866</v>
      </c>
      <c r="P3487" s="11" t="s">
        <v>21867</v>
      </c>
      <c r="Q3487" s="11" t="s">
        <v>150</v>
      </c>
      <c r="R3487" s="11"/>
      <c r="S3487" s="11" t="s">
        <v>71</v>
      </c>
      <c r="T3487" s="11" t="s">
        <v>1415</v>
      </c>
      <c r="U3487" s="11" t="s">
        <v>150</v>
      </c>
      <c r="V3487" s="11" t="s">
        <v>1415</v>
      </c>
      <c r="W3487" s="11" t="s">
        <v>1415</v>
      </c>
      <c r="X3487" s="11">
        <v>2</v>
      </c>
      <c r="Y3487" s="11" t="s">
        <v>12359</v>
      </c>
      <c r="Z3487" s="11">
        <v>20</v>
      </c>
      <c r="AA3487" s="11">
        <v>0</v>
      </c>
      <c r="AB3487" s="12">
        <v>0</v>
      </c>
    </row>
    <row r="3488" spans="1:28" x14ac:dyDescent="0.2">
      <c r="A3488" s="7">
        <v>124199</v>
      </c>
      <c r="B3488" s="8" t="s">
        <v>21868</v>
      </c>
      <c r="C3488" s="8" t="s">
        <v>10989</v>
      </c>
      <c r="D3488" s="8" t="s">
        <v>4482</v>
      </c>
      <c r="E3488" s="8"/>
      <c r="F3488" s="8" t="s">
        <v>353</v>
      </c>
      <c r="G3488" s="8" t="s">
        <v>20899</v>
      </c>
      <c r="H3488" s="8" t="s">
        <v>142</v>
      </c>
      <c r="I3488" s="8" t="s">
        <v>21869</v>
      </c>
      <c r="J3488" s="8" t="s">
        <v>21870</v>
      </c>
      <c r="K3488" s="8" t="s">
        <v>1199</v>
      </c>
      <c r="L3488" s="8" t="s">
        <v>464</v>
      </c>
      <c r="M3488" s="8" t="s">
        <v>21871</v>
      </c>
      <c r="N3488" s="8" t="s">
        <v>128</v>
      </c>
      <c r="O3488" s="8" t="s">
        <v>21872</v>
      </c>
      <c r="P3488" s="8" t="s">
        <v>21873</v>
      </c>
      <c r="Q3488" s="8" t="s">
        <v>150</v>
      </c>
      <c r="R3488" s="8"/>
      <c r="S3488" s="8" t="s">
        <v>71</v>
      </c>
      <c r="T3488" s="8" t="s">
        <v>1415</v>
      </c>
      <c r="U3488" s="8" t="s">
        <v>150</v>
      </c>
      <c r="V3488" s="8" t="s">
        <v>1415</v>
      </c>
      <c r="W3488" s="8" t="s">
        <v>1415</v>
      </c>
      <c r="X3488" s="8">
        <v>2</v>
      </c>
      <c r="Y3488" s="8" t="s">
        <v>12359</v>
      </c>
      <c r="Z3488" s="8">
        <v>20</v>
      </c>
      <c r="AA3488" s="8">
        <v>0</v>
      </c>
      <c r="AB3488" s="9">
        <v>0</v>
      </c>
    </row>
    <row r="3489" spans="1:28" x14ac:dyDescent="0.2">
      <c r="A3489" s="10">
        <v>226713</v>
      </c>
      <c r="B3489" s="11" t="s">
        <v>21874</v>
      </c>
      <c r="C3489" s="11" t="s">
        <v>10286</v>
      </c>
      <c r="D3489" s="11" t="s">
        <v>18780</v>
      </c>
      <c r="E3489" s="11"/>
      <c r="F3489" s="11" t="s">
        <v>353</v>
      </c>
      <c r="G3489" s="11" t="s">
        <v>21528</v>
      </c>
      <c r="H3489" s="11" t="s">
        <v>142</v>
      </c>
      <c r="I3489" s="11" t="s">
        <v>21875</v>
      </c>
      <c r="J3489" s="11" t="s">
        <v>21876</v>
      </c>
      <c r="K3489" s="11" t="s">
        <v>1673</v>
      </c>
      <c r="L3489" s="11" t="s">
        <v>464</v>
      </c>
      <c r="M3489" s="11" t="s">
        <v>21877</v>
      </c>
      <c r="N3489" s="11" t="s">
        <v>128</v>
      </c>
      <c r="O3489" s="11" t="s">
        <v>21878</v>
      </c>
      <c r="P3489" s="11" t="s">
        <v>21879</v>
      </c>
      <c r="Q3489" s="11" t="s">
        <v>150</v>
      </c>
      <c r="R3489" s="11"/>
      <c r="S3489" s="11" t="s">
        <v>71</v>
      </c>
      <c r="T3489" s="11" t="s">
        <v>1415</v>
      </c>
      <c r="U3489" s="11" t="s">
        <v>150</v>
      </c>
      <c r="V3489" s="11" t="s">
        <v>1415</v>
      </c>
      <c r="W3489" s="11" t="s">
        <v>1415</v>
      </c>
      <c r="X3489" s="11">
        <v>2</v>
      </c>
      <c r="Y3489" s="11" t="s">
        <v>12359</v>
      </c>
      <c r="Z3489" s="11">
        <v>20</v>
      </c>
      <c r="AA3489" s="11">
        <v>0</v>
      </c>
      <c r="AB3489" s="12">
        <v>0</v>
      </c>
    </row>
    <row r="3490" spans="1:28" x14ac:dyDescent="0.2">
      <c r="A3490" s="7">
        <v>23490</v>
      </c>
      <c r="B3490" s="8" t="s">
        <v>21880</v>
      </c>
      <c r="C3490" s="8" t="s">
        <v>16185</v>
      </c>
      <c r="D3490" s="8" t="s">
        <v>11184</v>
      </c>
      <c r="E3490" s="8"/>
      <c r="F3490" s="8"/>
      <c r="G3490" s="8" t="s">
        <v>21562</v>
      </c>
      <c r="H3490" s="8" t="s">
        <v>142</v>
      </c>
      <c r="I3490" s="8" t="s">
        <v>21881</v>
      </c>
      <c r="J3490" s="8" t="s">
        <v>21882</v>
      </c>
      <c r="K3490" s="8" t="s">
        <v>1029</v>
      </c>
      <c r="L3490" s="8" t="s">
        <v>464</v>
      </c>
      <c r="M3490" s="8" t="s">
        <v>21883</v>
      </c>
      <c r="N3490" s="8" t="s">
        <v>128</v>
      </c>
      <c r="O3490" s="8" t="s">
        <v>21884</v>
      </c>
      <c r="P3490" s="8" t="s">
        <v>21885</v>
      </c>
      <c r="Q3490" s="8" t="s">
        <v>150</v>
      </c>
      <c r="R3490" s="8"/>
      <c r="S3490" s="8" t="s">
        <v>71</v>
      </c>
      <c r="T3490" s="8" t="s">
        <v>1415</v>
      </c>
      <c r="U3490" s="8" t="s">
        <v>150</v>
      </c>
      <c r="V3490" s="8" t="s">
        <v>1415</v>
      </c>
      <c r="W3490" s="8" t="s">
        <v>1415</v>
      </c>
      <c r="X3490" s="8">
        <v>2</v>
      </c>
      <c r="Y3490" s="8" t="s">
        <v>12359</v>
      </c>
      <c r="Z3490" s="8">
        <v>20</v>
      </c>
      <c r="AA3490" s="8">
        <v>0</v>
      </c>
      <c r="AB3490" s="9">
        <v>0</v>
      </c>
    </row>
    <row r="3491" spans="1:28" x14ac:dyDescent="0.2">
      <c r="A3491" s="10">
        <v>86647</v>
      </c>
      <c r="B3491" s="11" t="s">
        <v>21886</v>
      </c>
      <c r="C3491" s="11" t="s">
        <v>21887</v>
      </c>
      <c r="D3491" s="11" t="s">
        <v>2292</v>
      </c>
      <c r="E3491" s="11"/>
      <c r="F3491" s="11" t="s">
        <v>6430</v>
      </c>
      <c r="G3491" s="11" t="s">
        <v>21888</v>
      </c>
      <c r="H3491" s="11" t="s">
        <v>142</v>
      </c>
      <c r="I3491" s="11" t="s">
        <v>21889</v>
      </c>
      <c r="J3491" s="11" t="s">
        <v>21890</v>
      </c>
      <c r="K3491" s="11" t="s">
        <v>779</v>
      </c>
      <c r="L3491" s="11" t="s">
        <v>464</v>
      </c>
      <c r="M3491" s="11" t="s">
        <v>21891</v>
      </c>
      <c r="N3491" s="11" t="s">
        <v>128</v>
      </c>
      <c r="O3491" s="11" t="s">
        <v>21892</v>
      </c>
      <c r="P3491" s="11" t="s">
        <v>21502</v>
      </c>
      <c r="Q3491" s="11" t="s">
        <v>150</v>
      </c>
      <c r="R3491" s="11"/>
      <c r="S3491" s="11" t="s">
        <v>71</v>
      </c>
      <c r="T3491" s="11" t="s">
        <v>1415</v>
      </c>
      <c r="U3491" s="11" t="s">
        <v>150</v>
      </c>
      <c r="V3491" s="11" t="s">
        <v>1415</v>
      </c>
      <c r="W3491" s="11" t="s">
        <v>1415</v>
      </c>
      <c r="X3491" s="11">
        <v>2</v>
      </c>
      <c r="Y3491" s="11" t="s">
        <v>12359</v>
      </c>
      <c r="Z3491" s="11">
        <v>20</v>
      </c>
      <c r="AA3491" s="11">
        <v>0</v>
      </c>
      <c r="AB3491" s="12">
        <v>0</v>
      </c>
    </row>
    <row r="3492" spans="1:28" x14ac:dyDescent="0.2">
      <c r="A3492" s="7">
        <v>23404</v>
      </c>
      <c r="B3492" s="8" t="s">
        <v>21893</v>
      </c>
      <c r="C3492" s="8" t="s">
        <v>21010</v>
      </c>
      <c r="D3492" s="8" t="s">
        <v>18634</v>
      </c>
      <c r="E3492" s="8"/>
      <c r="F3492" s="8" t="s">
        <v>21894</v>
      </c>
      <c r="G3492" s="8" t="s">
        <v>5369</v>
      </c>
      <c r="H3492" s="8" t="s">
        <v>847</v>
      </c>
      <c r="I3492" s="8" t="s">
        <v>21895</v>
      </c>
      <c r="J3492" s="8" t="s">
        <v>21896</v>
      </c>
      <c r="K3492" s="8" t="s">
        <v>850</v>
      </c>
      <c r="L3492" s="8" t="s">
        <v>126</v>
      </c>
      <c r="M3492" s="8" t="s">
        <v>21897</v>
      </c>
      <c r="N3492" s="8" t="s">
        <v>128</v>
      </c>
      <c r="O3492" s="8" t="s">
        <v>21898</v>
      </c>
      <c r="P3492" s="8" t="s">
        <v>21899</v>
      </c>
      <c r="Q3492" s="8" t="s">
        <v>150</v>
      </c>
      <c r="R3492" s="8"/>
      <c r="S3492" s="8" t="s">
        <v>71</v>
      </c>
      <c r="T3492" s="8" t="s">
        <v>1415</v>
      </c>
      <c r="U3492" s="8" t="s">
        <v>150</v>
      </c>
      <c r="V3492" s="8" t="s">
        <v>1415</v>
      </c>
      <c r="W3492" s="8" t="s">
        <v>1415</v>
      </c>
      <c r="X3492" s="8">
        <v>2</v>
      </c>
      <c r="Y3492" s="8" t="s">
        <v>12359</v>
      </c>
      <c r="Z3492" s="8">
        <v>20</v>
      </c>
      <c r="AA3492" s="8">
        <v>0</v>
      </c>
      <c r="AB3492" s="9">
        <v>0</v>
      </c>
    </row>
    <row r="3493" spans="1:28" x14ac:dyDescent="0.2">
      <c r="A3493" s="10">
        <v>105835</v>
      </c>
      <c r="B3493" s="11" t="s">
        <v>21900</v>
      </c>
      <c r="C3493" s="11" t="s">
        <v>21901</v>
      </c>
      <c r="D3493" s="11" t="s">
        <v>21902</v>
      </c>
      <c r="E3493" s="11"/>
      <c r="F3493" s="11" t="s">
        <v>21903</v>
      </c>
      <c r="G3493" s="11" t="s">
        <v>16732</v>
      </c>
      <c r="H3493" s="11" t="s">
        <v>142</v>
      </c>
      <c r="I3493" s="11" t="s">
        <v>21904</v>
      </c>
      <c r="J3493" s="11" t="s">
        <v>21905</v>
      </c>
      <c r="K3493" s="11" t="s">
        <v>1199</v>
      </c>
      <c r="L3493" s="11" t="s">
        <v>464</v>
      </c>
      <c r="M3493" s="11" t="s">
        <v>21906</v>
      </c>
      <c r="N3493" s="11" t="s">
        <v>128</v>
      </c>
      <c r="O3493" s="11" t="s">
        <v>21907</v>
      </c>
      <c r="P3493" s="11" t="s">
        <v>21908</v>
      </c>
      <c r="Q3493" s="11" t="s">
        <v>150</v>
      </c>
      <c r="R3493" s="11"/>
      <c r="S3493" s="11" t="s">
        <v>71</v>
      </c>
      <c r="T3493" s="11" t="s">
        <v>1415</v>
      </c>
      <c r="U3493" s="11" t="s">
        <v>150</v>
      </c>
      <c r="V3493" s="11" t="s">
        <v>1415</v>
      </c>
      <c r="W3493" s="11" t="s">
        <v>1415</v>
      </c>
      <c r="X3493" s="11">
        <v>2</v>
      </c>
      <c r="Y3493" s="11" t="s">
        <v>12359</v>
      </c>
      <c r="Z3493" s="11">
        <v>20</v>
      </c>
      <c r="AA3493" s="11">
        <v>0</v>
      </c>
      <c r="AB3493" s="12">
        <v>0</v>
      </c>
    </row>
    <row r="3494" spans="1:28" x14ac:dyDescent="0.2">
      <c r="A3494" s="7">
        <v>106432</v>
      </c>
      <c r="B3494" s="8" t="s">
        <v>21909</v>
      </c>
      <c r="C3494" s="8" t="s">
        <v>21910</v>
      </c>
      <c r="D3494" s="8" t="s">
        <v>21911</v>
      </c>
      <c r="E3494" s="8"/>
      <c r="F3494" s="8" t="s">
        <v>21912</v>
      </c>
      <c r="G3494" s="8" t="s">
        <v>1196</v>
      </c>
      <c r="H3494" s="8" t="s">
        <v>142</v>
      </c>
      <c r="I3494" s="8" t="s">
        <v>21913</v>
      </c>
      <c r="J3494" s="8" t="s">
        <v>21914</v>
      </c>
      <c r="K3494" s="8" t="s">
        <v>1199</v>
      </c>
      <c r="L3494" s="8" t="s">
        <v>464</v>
      </c>
      <c r="M3494" s="8" t="s">
        <v>21915</v>
      </c>
      <c r="N3494" s="8" t="s">
        <v>128</v>
      </c>
      <c r="O3494" s="8" t="s">
        <v>21916</v>
      </c>
      <c r="P3494" s="8" t="s">
        <v>21917</v>
      </c>
      <c r="Q3494" s="8" t="s">
        <v>150</v>
      </c>
      <c r="R3494" s="8"/>
      <c r="S3494" s="8" t="s">
        <v>71</v>
      </c>
      <c r="T3494" s="8" t="s">
        <v>1415</v>
      </c>
      <c r="U3494" s="8" t="s">
        <v>150</v>
      </c>
      <c r="V3494" s="8" t="s">
        <v>1415</v>
      </c>
      <c r="W3494" s="8" t="s">
        <v>1415</v>
      </c>
      <c r="X3494" s="8">
        <v>2</v>
      </c>
      <c r="Y3494" s="8" t="s">
        <v>12359</v>
      </c>
      <c r="Z3494" s="8">
        <v>20</v>
      </c>
      <c r="AA3494" s="8">
        <v>0</v>
      </c>
      <c r="AB3494" s="9">
        <v>0</v>
      </c>
    </row>
    <row r="3495" spans="1:28" x14ac:dyDescent="0.2">
      <c r="A3495" s="10">
        <v>115342</v>
      </c>
      <c r="B3495" s="11" t="s">
        <v>21918</v>
      </c>
      <c r="C3495" s="11" t="s">
        <v>21919</v>
      </c>
      <c r="D3495" s="11" t="s">
        <v>904</v>
      </c>
      <c r="E3495" s="11"/>
      <c r="F3495" s="11" t="s">
        <v>21920</v>
      </c>
      <c r="G3495" s="11" t="s">
        <v>8614</v>
      </c>
      <c r="H3495" s="11" t="s">
        <v>142</v>
      </c>
      <c r="I3495" s="11" t="s">
        <v>21921</v>
      </c>
      <c r="J3495" s="11" t="s">
        <v>21922</v>
      </c>
      <c r="K3495" s="11" t="s">
        <v>1199</v>
      </c>
      <c r="L3495" s="11" t="s">
        <v>464</v>
      </c>
      <c r="M3495" s="11" t="s">
        <v>21923</v>
      </c>
      <c r="N3495" s="11" t="s">
        <v>128</v>
      </c>
      <c r="O3495" s="11" t="s">
        <v>21924</v>
      </c>
      <c r="P3495" s="11" t="s">
        <v>21925</v>
      </c>
      <c r="Q3495" s="11" t="s">
        <v>150</v>
      </c>
      <c r="R3495" s="11"/>
      <c r="S3495" s="11" t="s">
        <v>71</v>
      </c>
      <c r="T3495" s="11" t="s">
        <v>1415</v>
      </c>
      <c r="U3495" s="11" t="s">
        <v>150</v>
      </c>
      <c r="V3495" s="11" t="s">
        <v>1415</v>
      </c>
      <c r="W3495" s="11" t="s">
        <v>1415</v>
      </c>
      <c r="X3495" s="11">
        <v>2</v>
      </c>
      <c r="Y3495" s="11" t="s">
        <v>12359</v>
      </c>
      <c r="Z3495" s="11">
        <v>20</v>
      </c>
      <c r="AA3495" s="11">
        <v>0</v>
      </c>
      <c r="AB3495" s="12">
        <v>0</v>
      </c>
    </row>
    <row r="3496" spans="1:28" x14ac:dyDescent="0.2">
      <c r="A3496" s="7">
        <v>218063</v>
      </c>
      <c r="B3496" s="8" t="s">
        <v>21926</v>
      </c>
      <c r="C3496" s="8" t="s">
        <v>21927</v>
      </c>
      <c r="D3496" s="8" t="s">
        <v>21928</v>
      </c>
      <c r="E3496" s="8"/>
      <c r="F3496" s="8" t="s">
        <v>353</v>
      </c>
      <c r="G3496" s="8" t="s">
        <v>21929</v>
      </c>
      <c r="H3496" s="8" t="s">
        <v>142</v>
      </c>
      <c r="I3496" s="8" t="s">
        <v>21930</v>
      </c>
      <c r="J3496" s="8" t="s">
        <v>21931</v>
      </c>
      <c r="K3496" s="8" t="s">
        <v>1673</v>
      </c>
      <c r="L3496" s="8" t="s">
        <v>464</v>
      </c>
      <c r="M3496" s="8" t="s">
        <v>21932</v>
      </c>
      <c r="N3496" s="8" t="s">
        <v>128</v>
      </c>
      <c r="O3496" s="8" t="s">
        <v>21933</v>
      </c>
      <c r="P3496" s="8"/>
      <c r="Q3496" s="8" t="s">
        <v>150</v>
      </c>
      <c r="R3496" s="8"/>
      <c r="S3496" s="8" t="s">
        <v>71</v>
      </c>
      <c r="T3496" s="8" t="s">
        <v>1415</v>
      </c>
      <c r="U3496" s="8" t="s">
        <v>150</v>
      </c>
      <c r="V3496" s="8" t="s">
        <v>1415</v>
      </c>
      <c r="W3496" s="8" t="s">
        <v>1415</v>
      </c>
      <c r="X3496" s="8">
        <v>2</v>
      </c>
      <c r="Y3496" s="8" t="s">
        <v>12359</v>
      </c>
      <c r="Z3496" s="8">
        <v>20</v>
      </c>
      <c r="AA3496" s="8">
        <v>0</v>
      </c>
      <c r="AB3496" s="9">
        <v>0</v>
      </c>
    </row>
    <row r="3497" spans="1:28" x14ac:dyDescent="0.2">
      <c r="A3497" s="10">
        <v>28883</v>
      </c>
      <c r="B3497" s="11" t="s">
        <v>21934</v>
      </c>
      <c r="C3497" s="11" t="s">
        <v>2481</v>
      </c>
      <c r="D3497" s="11" t="s">
        <v>12057</v>
      </c>
      <c r="E3497" s="11"/>
      <c r="F3497" s="11" t="s">
        <v>353</v>
      </c>
      <c r="G3497" s="11" t="s">
        <v>21478</v>
      </c>
      <c r="H3497" s="11" t="s">
        <v>557</v>
      </c>
      <c r="I3497" s="11" t="s">
        <v>21479</v>
      </c>
      <c r="J3497" s="11" t="s">
        <v>21935</v>
      </c>
      <c r="K3497" s="11" t="s">
        <v>560</v>
      </c>
      <c r="L3497" s="11" t="s">
        <v>229</v>
      </c>
      <c r="M3497" s="11" t="s">
        <v>21936</v>
      </c>
      <c r="N3497" s="11" t="s">
        <v>128</v>
      </c>
      <c r="O3497" s="11" t="s">
        <v>21937</v>
      </c>
      <c r="P3497" s="11" t="s">
        <v>21938</v>
      </c>
      <c r="Q3497" s="11" t="s">
        <v>150</v>
      </c>
      <c r="R3497" s="11"/>
      <c r="S3497" s="11" t="s">
        <v>71</v>
      </c>
      <c r="T3497" s="11" t="s">
        <v>168</v>
      </c>
      <c r="U3497" s="11" t="s">
        <v>150</v>
      </c>
      <c r="V3497" s="11" t="s">
        <v>168</v>
      </c>
      <c r="W3497" s="11" t="s">
        <v>168</v>
      </c>
      <c r="X3497" s="11">
        <v>2</v>
      </c>
      <c r="Y3497" s="11" t="s">
        <v>12359</v>
      </c>
      <c r="Z3497" s="11">
        <v>20</v>
      </c>
      <c r="AA3497" s="11">
        <v>0</v>
      </c>
      <c r="AB3497" s="12">
        <v>0</v>
      </c>
    </row>
    <row r="3498" spans="1:28" x14ac:dyDescent="0.2">
      <c r="A3498" s="7">
        <v>23815</v>
      </c>
      <c r="B3498" s="8" t="s">
        <v>21939</v>
      </c>
      <c r="C3498" s="8" t="s">
        <v>8130</v>
      </c>
      <c r="D3498" s="8" t="s">
        <v>18693</v>
      </c>
      <c r="E3498" s="8"/>
      <c r="F3498" s="8" t="s">
        <v>353</v>
      </c>
      <c r="G3498" s="8" t="s">
        <v>12346</v>
      </c>
      <c r="H3498" s="8" t="s">
        <v>142</v>
      </c>
      <c r="I3498" s="8" t="s">
        <v>21940</v>
      </c>
      <c r="J3498" s="8" t="s">
        <v>21941</v>
      </c>
      <c r="K3498" s="8" t="s">
        <v>1199</v>
      </c>
      <c r="L3498" s="8" t="s">
        <v>464</v>
      </c>
      <c r="M3498" s="8" t="s">
        <v>21942</v>
      </c>
      <c r="N3498" s="8" t="s">
        <v>128</v>
      </c>
      <c r="O3498" s="8" t="s">
        <v>21943</v>
      </c>
      <c r="P3498" s="8" t="s">
        <v>1962</v>
      </c>
      <c r="Q3498" s="8" t="s">
        <v>150</v>
      </c>
      <c r="R3498" s="8"/>
      <c r="S3498" s="8" t="s">
        <v>71</v>
      </c>
      <c r="T3498" s="8" t="s">
        <v>168</v>
      </c>
      <c r="U3498" s="8" t="s">
        <v>150</v>
      </c>
      <c r="V3498" s="8" t="s">
        <v>168</v>
      </c>
      <c r="W3498" s="8" t="s">
        <v>168</v>
      </c>
      <c r="X3498" s="8">
        <v>2</v>
      </c>
      <c r="Y3498" s="8" t="s">
        <v>12359</v>
      </c>
      <c r="Z3498" s="8">
        <v>20</v>
      </c>
      <c r="AA3498" s="8">
        <v>0</v>
      </c>
      <c r="AB3498" s="9">
        <v>0</v>
      </c>
    </row>
    <row r="3499" spans="1:28" x14ac:dyDescent="0.2">
      <c r="A3499" s="10">
        <v>23837</v>
      </c>
      <c r="B3499" s="11" t="s">
        <v>21944</v>
      </c>
      <c r="C3499" s="11" t="s">
        <v>18388</v>
      </c>
      <c r="D3499" s="11" t="s">
        <v>21945</v>
      </c>
      <c r="E3499" s="11"/>
      <c r="F3499" s="11" t="s">
        <v>353</v>
      </c>
      <c r="G3499" s="11" t="s">
        <v>21543</v>
      </c>
      <c r="H3499" s="11" t="s">
        <v>142</v>
      </c>
      <c r="I3499" s="11" t="s">
        <v>21946</v>
      </c>
      <c r="J3499" s="11" t="s">
        <v>21947</v>
      </c>
      <c r="K3499" s="11" t="s">
        <v>1673</v>
      </c>
      <c r="L3499" s="11" t="s">
        <v>464</v>
      </c>
      <c r="M3499" s="11" t="s">
        <v>21948</v>
      </c>
      <c r="N3499" s="11" t="s">
        <v>128</v>
      </c>
      <c r="O3499" s="11" t="s">
        <v>21949</v>
      </c>
      <c r="P3499" s="11" t="s">
        <v>17286</v>
      </c>
      <c r="Q3499" s="11" t="s">
        <v>150</v>
      </c>
      <c r="R3499" s="11"/>
      <c r="S3499" s="11" t="s">
        <v>71</v>
      </c>
      <c r="T3499" s="11" t="s">
        <v>168</v>
      </c>
      <c r="U3499" s="11" t="s">
        <v>150</v>
      </c>
      <c r="V3499" s="11" t="s">
        <v>168</v>
      </c>
      <c r="W3499" s="11" t="s">
        <v>168</v>
      </c>
      <c r="X3499" s="11">
        <v>2</v>
      </c>
      <c r="Y3499" s="11" t="s">
        <v>12359</v>
      </c>
      <c r="Z3499" s="11">
        <v>20</v>
      </c>
      <c r="AA3499" s="11">
        <v>0</v>
      </c>
      <c r="AB3499" s="12">
        <v>0</v>
      </c>
    </row>
    <row r="3500" spans="1:28" x14ac:dyDescent="0.2">
      <c r="A3500" s="7">
        <v>23838</v>
      </c>
      <c r="B3500" s="8" t="s">
        <v>21950</v>
      </c>
      <c r="C3500" s="8" t="s">
        <v>2291</v>
      </c>
      <c r="D3500" s="8" t="s">
        <v>7268</v>
      </c>
      <c r="E3500" s="8"/>
      <c r="F3500" s="8" t="s">
        <v>353</v>
      </c>
      <c r="G3500" s="8" t="s">
        <v>12318</v>
      </c>
      <c r="H3500" s="8" t="s">
        <v>142</v>
      </c>
      <c r="I3500" s="8" t="s">
        <v>12319</v>
      </c>
      <c r="J3500" s="8" t="s">
        <v>21951</v>
      </c>
      <c r="K3500" s="8" t="s">
        <v>1199</v>
      </c>
      <c r="L3500" s="8" t="s">
        <v>464</v>
      </c>
      <c r="M3500" s="8" t="s">
        <v>21952</v>
      </c>
      <c r="N3500" s="8" t="s">
        <v>128</v>
      </c>
      <c r="O3500" s="8" t="s">
        <v>21953</v>
      </c>
      <c r="P3500" s="8" t="s">
        <v>9675</v>
      </c>
      <c r="Q3500" s="8" t="s">
        <v>150</v>
      </c>
      <c r="R3500" s="8"/>
      <c r="S3500" s="8" t="s">
        <v>71</v>
      </c>
      <c r="T3500" s="8" t="s">
        <v>168</v>
      </c>
      <c r="U3500" s="8" t="s">
        <v>150</v>
      </c>
      <c r="V3500" s="8" t="s">
        <v>168</v>
      </c>
      <c r="W3500" s="8" t="s">
        <v>168</v>
      </c>
      <c r="X3500" s="8">
        <v>2</v>
      </c>
      <c r="Y3500" s="8" t="s">
        <v>12359</v>
      </c>
      <c r="Z3500" s="8">
        <v>20</v>
      </c>
      <c r="AA3500" s="8">
        <v>0</v>
      </c>
      <c r="AB3500" s="9">
        <v>0</v>
      </c>
    </row>
    <row r="3501" spans="1:28" x14ac:dyDescent="0.2">
      <c r="A3501" s="10">
        <v>23844</v>
      </c>
      <c r="B3501" s="11" t="s">
        <v>21954</v>
      </c>
      <c r="C3501" s="11" t="s">
        <v>21762</v>
      </c>
      <c r="D3501" s="11" t="s">
        <v>11505</v>
      </c>
      <c r="E3501" s="11"/>
      <c r="F3501" s="11" t="s">
        <v>353</v>
      </c>
      <c r="G3501" s="11" t="s">
        <v>21763</v>
      </c>
      <c r="H3501" s="11" t="s">
        <v>142</v>
      </c>
      <c r="I3501" s="11" t="s">
        <v>21764</v>
      </c>
      <c r="J3501" s="11" t="s">
        <v>21955</v>
      </c>
      <c r="K3501" s="11" t="s">
        <v>1199</v>
      </c>
      <c r="L3501" s="11" t="s">
        <v>464</v>
      </c>
      <c r="M3501" s="11" t="s">
        <v>21956</v>
      </c>
      <c r="N3501" s="11" t="s">
        <v>128</v>
      </c>
      <c r="O3501" s="11" t="s">
        <v>21957</v>
      </c>
      <c r="P3501" s="11" t="s">
        <v>242</v>
      </c>
      <c r="Q3501" s="11" t="s">
        <v>150</v>
      </c>
      <c r="R3501" s="11"/>
      <c r="S3501" s="11" t="s">
        <v>71</v>
      </c>
      <c r="T3501" s="11" t="s">
        <v>168</v>
      </c>
      <c r="U3501" s="11" t="s">
        <v>150</v>
      </c>
      <c r="V3501" s="11" t="s">
        <v>168</v>
      </c>
      <c r="W3501" s="11" t="s">
        <v>168</v>
      </c>
      <c r="X3501" s="11">
        <v>2</v>
      </c>
      <c r="Y3501" s="11" t="s">
        <v>12359</v>
      </c>
      <c r="Z3501" s="11">
        <v>20</v>
      </c>
      <c r="AA3501" s="11">
        <v>0</v>
      </c>
      <c r="AB3501" s="12">
        <v>0</v>
      </c>
    </row>
    <row r="3502" spans="1:28" x14ac:dyDescent="0.2">
      <c r="A3502" s="7">
        <v>28814</v>
      </c>
      <c r="B3502" s="8" t="s">
        <v>21958</v>
      </c>
      <c r="C3502" s="8" t="s">
        <v>21579</v>
      </c>
      <c r="D3502" s="8" t="s">
        <v>21959</v>
      </c>
      <c r="E3502" s="8"/>
      <c r="F3502" s="8" t="s">
        <v>353</v>
      </c>
      <c r="G3502" s="8" t="s">
        <v>21581</v>
      </c>
      <c r="H3502" s="8" t="s">
        <v>159</v>
      </c>
      <c r="I3502" s="8" t="s">
        <v>21582</v>
      </c>
      <c r="J3502" s="8" t="s">
        <v>21960</v>
      </c>
      <c r="K3502" s="8" t="s">
        <v>274</v>
      </c>
      <c r="L3502" s="8" t="s">
        <v>163</v>
      </c>
      <c r="M3502" s="8" t="s">
        <v>21961</v>
      </c>
      <c r="N3502" s="8" t="s">
        <v>128</v>
      </c>
      <c r="O3502" s="8" t="s">
        <v>21962</v>
      </c>
      <c r="P3502" s="8" t="s">
        <v>21963</v>
      </c>
      <c r="Q3502" s="8" t="s">
        <v>150</v>
      </c>
      <c r="R3502" s="8"/>
      <c r="S3502" s="8" t="s">
        <v>71</v>
      </c>
      <c r="T3502" s="8" t="s">
        <v>168</v>
      </c>
      <c r="U3502" s="8" t="s">
        <v>150</v>
      </c>
      <c r="V3502" s="8" t="s">
        <v>168</v>
      </c>
      <c r="W3502" s="8" t="s">
        <v>168</v>
      </c>
      <c r="X3502" s="8">
        <v>2</v>
      </c>
      <c r="Y3502" s="8" t="s">
        <v>12359</v>
      </c>
      <c r="Z3502" s="8">
        <v>20</v>
      </c>
      <c r="AA3502" s="8">
        <v>0</v>
      </c>
      <c r="AB3502" s="9">
        <v>0</v>
      </c>
    </row>
    <row r="3503" spans="1:28" x14ac:dyDescent="0.2">
      <c r="A3503" s="10">
        <v>92848</v>
      </c>
      <c r="B3503" s="11" t="s">
        <v>21964</v>
      </c>
      <c r="C3503" s="11" t="s">
        <v>12325</v>
      </c>
      <c r="D3503" s="11" t="s">
        <v>15212</v>
      </c>
      <c r="E3503" s="11"/>
      <c r="F3503" s="11" t="s">
        <v>353</v>
      </c>
      <c r="G3503" s="11" t="s">
        <v>5845</v>
      </c>
      <c r="H3503" s="11" t="s">
        <v>142</v>
      </c>
      <c r="I3503" s="11" t="s">
        <v>12328</v>
      </c>
      <c r="J3503" s="11" t="s">
        <v>21965</v>
      </c>
      <c r="K3503" s="11" t="s">
        <v>1199</v>
      </c>
      <c r="L3503" s="11" t="s">
        <v>464</v>
      </c>
      <c r="M3503" s="11" t="s">
        <v>21966</v>
      </c>
      <c r="N3503" s="11" t="s">
        <v>128</v>
      </c>
      <c r="O3503" s="11" t="s">
        <v>21967</v>
      </c>
      <c r="P3503" s="11" t="s">
        <v>4710</v>
      </c>
      <c r="Q3503" s="11" t="s">
        <v>150</v>
      </c>
      <c r="R3503" s="11"/>
      <c r="S3503" s="11" t="s">
        <v>71</v>
      </c>
      <c r="T3503" s="11" t="s">
        <v>168</v>
      </c>
      <c r="U3503" s="11" t="s">
        <v>150</v>
      </c>
      <c r="V3503" s="11" t="s">
        <v>168</v>
      </c>
      <c r="W3503" s="11" t="s">
        <v>168</v>
      </c>
      <c r="X3503" s="11">
        <v>2</v>
      </c>
      <c r="Y3503" s="11" t="s">
        <v>12359</v>
      </c>
      <c r="Z3503" s="11">
        <v>20</v>
      </c>
      <c r="AA3503" s="11">
        <v>0</v>
      </c>
      <c r="AB3503" s="12">
        <v>0</v>
      </c>
    </row>
    <row r="3504" spans="1:28" x14ac:dyDescent="0.2">
      <c r="A3504" s="7">
        <v>110289</v>
      </c>
      <c r="B3504" s="8" t="s">
        <v>21968</v>
      </c>
      <c r="C3504" s="8" t="s">
        <v>4897</v>
      </c>
      <c r="D3504" s="8" t="s">
        <v>21969</v>
      </c>
      <c r="E3504" s="8"/>
      <c r="F3504" s="8" t="s">
        <v>353</v>
      </c>
      <c r="G3504" s="8" t="s">
        <v>21521</v>
      </c>
      <c r="H3504" s="8" t="s">
        <v>142</v>
      </c>
      <c r="I3504" s="8" t="s">
        <v>21522</v>
      </c>
      <c r="J3504" s="8" t="s">
        <v>21970</v>
      </c>
      <c r="K3504" s="8" t="s">
        <v>1673</v>
      </c>
      <c r="L3504" s="8" t="s">
        <v>464</v>
      </c>
      <c r="M3504" s="8" t="s">
        <v>21971</v>
      </c>
      <c r="N3504" s="8" t="s">
        <v>128</v>
      </c>
      <c r="O3504" s="8" t="s">
        <v>21972</v>
      </c>
      <c r="P3504" s="8" t="s">
        <v>8771</v>
      </c>
      <c r="Q3504" s="8" t="s">
        <v>150</v>
      </c>
      <c r="R3504" s="8"/>
      <c r="S3504" s="8" t="s">
        <v>71</v>
      </c>
      <c r="T3504" s="8" t="s">
        <v>168</v>
      </c>
      <c r="U3504" s="8" t="s">
        <v>150</v>
      </c>
      <c r="V3504" s="8" t="s">
        <v>168</v>
      </c>
      <c r="W3504" s="8" t="s">
        <v>168</v>
      </c>
      <c r="X3504" s="8">
        <v>2</v>
      </c>
      <c r="Y3504" s="8" t="s">
        <v>12359</v>
      </c>
      <c r="Z3504" s="8">
        <v>20</v>
      </c>
      <c r="AA3504" s="8">
        <v>0</v>
      </c>
      <c r="AB3504" s="9">
        <v>0</v>
      </c>
    </row>
    <row r="3505" spans="1:28" x14ac:dyDescent="0.2">
      <c r="A3505" s="10">
        <v>111061</v>
      </c>
      <c r="B3505" s="11" t="s">
        <v>21973</v>
      </c>
      <c r="C3505" s="11" t="s">
        <v>10890</v>
      </c>
      <c r="D3505" s="11" t="s">
        <v>6929</v>
      </c>
      <c r="E3505" s="11"/>
      <c r="F3505" s="11" t="s">
        <v>353</v>
      </c>
      <c r="G3505" s="11" t="s">
        <v>21528</v>
      </c>
      <c r="H3505" s="11" t="s">
        <v>142</v>
      </c>
      <c r="I3505" s="11" t="s">
        <v>21529</v>
      </c>
      <c r="J3505" s="11" t="s">
        <v>21974</v>
      </c>
      <c r="K3505" s="11" t="s">
        <v>1673</v>
      </c>
      <c r="L3505" s="11" t="s">
        <v>464</v>
      </c>
      <c r="M3505" s="11" t="s">
        <v>21975</v>
      </c>
      <c r="N3505" s="11" t="s">
        <v>128</v>
      </c>
      <c r="O3505" s="11" t="s">
        <v>21976</v>
      </c>
      <c r="P3505" s="11" t="s">
        <v>7579</v>
      </c>
      <c r="Q3505" s="11" t="s">
        <v>150</v>
      </c>
      <c r="R3505" s="11"/>
      <c r="S3505" s="11" t="s">
        <v>71</v>
      </c>
      <c r="T3505" s="11" t="s">
        <v>168</v>
      </c>
      <c r="U3505" s="11" t="s">
        <v>150</v>
      </c>
      <c r="V3505" s="11" t="s">
        <v>168</v>
      </c>
      <c r="W3505" s="11" t="s">
        <v>168</v>
      </c>
      <c r="X3505" s="11">
        <v>2</v>
      </c>
      <c r="Y3505" s="11" t="s">
        <v>12359</v>
      </c>
      <c r="Z3505" s="11">
        <v>20</v>
      </c>
      <c r="AA3505" s="11">
        <v>0</v>
      </c>
      <c r="AB3505" s="12">
        <v>0</v>
      </c>
    </row>
    <row r="3506" spans="1:28" x14ac:dyDescent="0.2">
      <c r="A3506" s="7">
        <v>212512</v>
      </c>
      <c r="B3506" s="8" t="s">
        <v>21977</v>
      </c>
      <c r="C3506" s="8" t="s">
        <v>21856</v>
      </c>
      <c r="D3506" s="8" t="s">
        <v>510</v>
      </c>
      <c r="E3506" s="8"/>
      <c r="F3506" s="8" t="s">
        <v>353</v>
      </c>
      <c r="G3506" s="8" t="s">
        <v>20202</v>
      </c>
      <c r="H3506" s="8" t="s">
        <v>142</v>
      </c>
      <c r="I3506" s="8" t="s">
        <v>21978</v>
      </c>
      <c r="J3506" s="8" t="s">
        <v>21979</v>
      </c>
      <c r="K3506" s="8" t="s">
        <v>1673</v>
      </c>
      <c r="L3506" s="8" t="s">
        <v>464</v>
      </c>
      <c r="M3506" s="8" t="s">
        <v>21980</v>
      </c>
      <c r="N3506" s="8" t="s">
        <v>128</v>
      </c>
      <c r="O3506" s="8" t="s">
        <v>21981</v>
      </c>
      <c r="P3506" s="8" t="s">
        <v>18049</v>
      </c>
      <c r="Q3506" s="8" t="s">
        <v>150</v>
      </c>
      <c r="R3506" s="8"/>
      <c r="S3506" s="8" t="s">
        <v>71</v>
      </c>
      <c r="T3506" s="8" t="s">
        <v>168</v>
      </c>
      <c r="U3506" s="8" t="s">
        <v>150</v>
      </c>
      <c r="V3506" s="8" t="s">
        <v>168</v>
      </c>
      <c r="W3506" s="8" t="s">
        <v>168</v>
      </c>
      <c r="X3506" s="8">
        <v>2</v>
      </c>
      <c r="Y3506" s="8" t="s">
        <v>12359</v>
      </c>
      <c r="Z3506" s="8">
        <v>20</v>
      </c>
      <c r="AA3506" s="8">
        <v>0</v>
      </c>
      <c r="AB3506" s="9">
        <v>0</v>
      </c>
    </row>
    <row r="3507" spans="1:28" x14ac:dyDescent="0.2">
      <c r="A3507" s="10">
        <v>212524</v>
      </c>
      <c r="B3507" s="11" t="s">
        <v>21982</v>
      </c>
      <c r="C3507" s="11" t="s">
        <v>21983</v>
      </c>
      <c r="D3507" s="11" t="s">
        <v>16190</v>
      </c>
      <c r="E3507" s="11"/>
      <c r="F3507" s="11" t="s">
        <v>353</v>
      </c>
      <c r="G3507" s="11" t="s">
        <v>21984</v>
      </c>
      <c r="H3507" s="11" t="s">
        <v>704</v>
      </c>
      <c r="I3507" s="11" t="s">
        <v>21985</v>
      </c>
      <c r="J3507" s="11" t="s">
        <v>21986</v>
      </c>
      <c r="K3507" s="11" t="s">
        <v>707</v>
      </c>
      <c r="L3507" s="11" t="s">
        <v>126</v>
      </c>
      <c r="M3507" s="11" t="s">
        <v>21987</v>
      </c>
      <c r="N3507" s="11" t="s">
        <v>128</v>
      </c>
      <c r="O3507" s="11" t="s">
        <v>21988</v>
      </c>
      <c r="P3507" s="11" t="s">
        <v>2033</v>
      </c>
      <c r="Q3507" s="11" t="s">
        <v>150</v>
      </c>
      <c r="R3507" s="11"/>
      <c r="S3507" s="11" t="s">
        <v>71</v>
      </c>
      <c r="T3507" s="11" t="s">
        <v>168</v>
      </c>
      <c r="U3507" s="11" t="s">
        <v>150</v>
      </c>
      <c r="V3507" s="11" t="s">
        <v>168</v>
      </c>
      <c r="W3507" s="11" t="s">
        <v>168</v>
      </c>
      <c r="X3507" s="11">
        <v>2</v>
      </c>
      <c r="Y3507" s="11" t="s">
        <v>12359</v>
      </c>
      <c r="Z3507" s="11">
        <v>20</v>
      </c>
      <c r="AA3507" s="11">
        <v>0</v>
      </c>
      <c r="AB3507" s="12">
        <v>0</v>
      </c>
    </row>
    <row r="3508" spans="1:28" x14ac:dyDescent="0.2">
      <c r="A3508" s="7">
        <v>219350</v>
      </c>
      <c r="B3508" s="8" t="s">
        <v>21989</v>
      </c>
      <c r="C3508" s="8" t="s">
        <v>12295</v>
      </c>
      <c r="D3508" s="8" t="s">
        <v>21990</v>
      </c>
      <c r="E3508" s="8"/>
      <c r="F3508" s="8" t="s">
        <v>353</v>
      </c>
      <c r="G3508" s="8" t="s">
        <v>12297</v>
      </c>
      <c r="H3508" s="8" t="s">
        <v>2511</v>
      </c>
      <c r="I3508" s="8" t="s">
        <v>12298</v>
      </c>
      <c r="J3508" s="8" t="s">
        <v>21991</v>
      </c>
      <c r="K3508" s="8" t="s">
        <v>1562</v>
      </c>
      <c r="L3508" s="8" t="s">
        <v>229</v>
      </c>
      <c r="M3508" s="8" t="s">
        <v>21992</v>
      </c>
      <c r="N3508" s="8" t="s">
        <v>128</v>
      </c>
      <c r="O3508" s="8" t="s">
        <v>21993</v>
      </c>
      <c r="P3508" s="8" t="s">
        <v>19689</v>
      </c>
      <c r="Q3508" s="8" t="s">
        <v>150</v>
      </c>
      <c r="R3508" s="8"/>
      <c r="S3508" s="8" t="s">
        <v>71</v>
      </c>
      <c r="T3508" s="8" t="s">
        <v>168</v>
      </c>
      <c r="U3508" s="8" t="s">
        <v>150</v>
      </c>
      <c r="V3508" s="8" t="s">
        <v>168</v>
      </c>
      <c r="W3508" s="8" t="s">
        <v>168</v>
      </c>
      <c r="X3508" s="8">
        <v>2</v>
      </c>
      <c r="Y3508" s="8" t="s">
        <v>12359</v>
      </c>
      <c r="Z3508" s="8">
        <v>20</v>
      </c>
      <c r="AA3508" s="8">
        <v>0</v>
      </c>
      <c r="AB3508" s="9">
        <v>0</v>
      </c>
    </row>
    <row r="3509" spans="1:28" x14ac:dyDescent="0.2">
      <c r="A3509" s="10">
        <v>28927</v>
      </c>
      <c r="B3509" s="11" t="s">
        <v>21994</v>
      </c>
      <c r="C3509" s="11" t="s">
        <v>21561</v>
      </c>
      <c r="D3509" s="11" t="s">
        <v>19944</v>
      </c>
      <c r="E3509" s="11"/>
      <c r="F3509" s="11" t="s">
        <v>353</v>
      </c>
      <c r="G3509" s="11" t="s">
        <v>20193</v>
      </c>
      <c r="H3509" s="11" t="s">
        <v>142</v>
      </c>
      <c r="I3509" s="11"/>
      <c r="J3509" s="11" t="s">
        <v>21995</v>
      </c>
      <c r="K3509" s="11" t="s">
        <v>1673</v>
      </c>
      <c r="L3509" s="11" t="s">
        <v>464</v>
      </c>
      <c r="M3509" s="11" t="s">
        <v>21996</v>
      </c>
      <c r="N3509" s="11" t="s">
        <v>128</v>
      </c>
      <c r="O3509" s="11" t="s">
        <v>21997</v>
      </c>
      <c r="P3509" s="11" t="s">
        <v>14550</v>
      </c>
      <c r="Q3509" s="11" t="s">
        <v>150</v>
      </c>
      <c r="R3509" s="11"/>
      <c r="S3509" s="11" t="s">
        <v>71</v>
      </c>
      <c r="T3509" s="11" t="s">
        <v>168</v>
      </c>
      <c r="U3509" s="11" t="s">
        <v>150</v>
      </c>
      <c r="V3509" s="11" t="s">
        <v>168</v>
      </c>
      <c r="W3509" s="11" t="s">
        <v>168</v>
      </c>
      <c r="X3509" s="11">
        <v>2</v>
      </c>
      <c r="Y3509" s="11" t="s">
        <v>12359</v>
      </c>
      <c r="Z3509" s="11">
        <v>20</v>
      </c>
      <c r="AA3509" s="11">
        <v>0</v>
      </c>
      <c r="AB3509" s="12">
        <v>0</v>
      </c>
    </row>
    <row r="3510" spans="1:28" x14ac:dyDescent="0.2">
      <c r="A3510" s="7">
        <v>23949</v>
      </c>
      <c r="B3510" s="8" t="s">
        <v>21998</v>
      </c>
      <c r="C3510" s="8" t="s">
        <v>16185</v>
      </c>
      <c r="D3510" s="8" t="s">
        <v>11190</v>
      </c>
      <c r="E3510" s="8"/>
      <c r="F3510" s="8"/>
      <c r="G3510" s="8" t="s">
        <v>21562</v>
      </c>
      <c r="H3510" s="8" t="s">
        <v>142</v>
      </c>
      <c r="I3510" s="8" t="s">
        <v>21563</v>
      </c>
      <c r="J3510" s="8" t="s">
        <v>21999</v>
      </c>
      <c r="K3510" s="8" t="s">
        <v>1029</v>
      </c>
      <c r="L3510" s="8" t="s">
        <v>464</v>
      </c>
      <c r="M3510" s="8" t="s">
        <v>22000</v>
      </c>
      <c r="N3510" s="8" t="s">
        <v>128</v>
      </c>
      <c r="O3510" s="8" t="s">
        <v>22001</v>
      </c>
      <c r="P3510" s="8" t="s">
        <v>8690</v>
      </c>
      <c r="Q3510" s="8" t="s">
        <v>150</v>
      </c>
      <c r="R3510" s="8"/>
      <c r="S3510" s="8" t="s">
        <v>71</v>
      </c>
      <c r="T3510" s="8" t="s">
        <v>168</v>
      </c>
      <c r="U3510" s="8" t="s">
        <v>150</v>
      </c>
      <c r="V3510" s="8" t="s">
        <v>168</v>
      </c>
      <c r="W3510" s="8" t="s">
        <v>168</v>
      </c>
      <c r="X3510" s="8">
        <v>2</v>
      </c>
      <c r="Y3510" s="8" t="s">
        <v>12359</v>
      </c>
      <c r="Z3510" s="8">
        <v>20</v>
      </c>
      <c r="AA3510" s="8">
        <v>0</v>
      </c>
      <c r="AB3510" s="9">
        <v>0</v>
      </c>
    </row>
    <row r="3511" spans="1:28" x14ac:dyDescent="0.2">
      <c r="A3511" s="10">
        <v>85057</v>
      </c>
      <c r="B3511" s="11" t="s">
        <v>22002</v>
      </c>
      <c r="C3511" s="11" t="s">
        <v>21501</v>
      </c>
      <c r="D3511" s="11" t="s">
        <v>4011</v>
      </c>
      <c r="E3511" s="11"/>
      <c r="F3511" s="11" t="s">
        <v>6430</v>
      </c>
      <c r="G3511" s="11" t="s">
        <v>21888</v>
      </c>
      <c r="H3511" s="11" t="s">
        <v>142</v>
      </c>
      <c r="I3511" s="11" t="s">
        <v>21503</v>
      </c>
      <c r="J3511" s="11" t="s">
        <v>22003</v>
      </c>
      <c r="K3511" s="11" t="s">
        <v>779</v>
      </c>
      <c r="L3511" s="11" t="s">
        <v>464</v>
      </c>
      <c r="M3511" s="11" t="s">
        <v>22004</v>
      </c>
      <c r="N3511" s="11" t="s">
        <v>128</v>
      </c>
      <c r="O3511" s="11" t="s">
        <v>22005</v>
      </c>
      <c r="P3511" s="11" t="s">
        <v>22006</v>
      </c>
      <c r="Q3511" s="11" t="s">
        <v>150</v>
      </c>
      <c r="R3511" s="11"/>
      <c r="S3511" s="11" t="s">
        <v>71</v>
      </c>
      <c r="T3511" s="11" t="s">
        <v>168</v>
      </c>
      <c r="U3511" s="11" t="s">
        <v>150</v>
      </c>
      <c r="V3511" s="11" t="s">
        <v>168</v>
      </c>
      <c r="W3511" s="11" t="s">
        <v>168</v>
      </c>
      <c r="X3511" s="11">
        <v>2</v>
      </c>
      <c r="Y3511" s="11" t="s">
        <v>12359</v>
      </c>
      <c r="Z3511" s="11">
        <v>20</v>
      </c>
      <c r="AA3511" s="11">
        <v>0</v>
      </c>
      <c r="AB3511" s="12">
        <v>0</v>
      </c>
    </row>
    <row r="3512" spans="1:28" x14ac:dyDescent="0.2">
      <c r="A3512" s="7">
        <v>85151</v>
      </c>
      <c r="B3512" s="8" t="s">
        <v>22007</v>
      </c>
      <c r="C3512" s="8" t="s">
        <v>11176</v>
      </c>
      <c r="D3512" s="8" t="s">
        <v>579</v>
      </c>
      <c r="E3512" s="8"/>
      <c r="F3512" s="8" t="s">
        <v>6430</v>
      </c>
      <c r="G3512" s="8" t="s">
        <v>11177</v>
      </c>
      <c r="H3512" s="8" t="s">
        <v>142</v>
      </c>
      <c r="I3512" s="8" t="s">
        <v>21514</v>
      </c>
      <c r="J3512" s="8" t="s">
        <v>22008</v>
      </c>
      <c r="K3512" s="8" t="s">
        <v>1199</v>
      </c>
      <c r="L3512" s="8" t="s">
        <v>464</v>
      </c>
      <c r="M3512" s="8" t="s">
        <v>22009</v>
      </c>
      <c r="N3512" s="8" t="s">
        <v>128</v>
      </c>
      <c r="O3512" s="8" t="s">
        <v>22010</v>
      </c>
      <c r="P3512" s="8" t="s">
        <v>11859</v>
      </c>
      <c r="Q3512" s="8" t="s">
        <v>150</v>
      </c>
      <c r="R3512" s="8"/>
      <c r="S3512" s="8" t="s">
        <v>71</v>
      </c>
      <c r="T3512" s="8" t="s">
        <v>168</v>
      </c>
      <c r="U3512" s="8" t="s">
        <v>150</v>
      </c>
      <c r="V3512" s="8" t="s">
        <v>168</v>
      </c>
      <c r="W3512" s="8" t="s">
        <v>168</v>
      </c>
      <c r="X3512" s="8">
        <v>2</v>
      </c>
      <c r="Y3512" s="8" t="s">
        <v>12359</v>
      </c>
      <c r="Z3512" s="8">
        <v>20</v>
      </c>
      <c r="AA3512" s="8">
        <v>0</v>
      </c>
      <c r="AB3512" s="9">
        <v>0</v>
      </c>
    </row>
    <row r="3513" spans="1:28" x14ac:dyDescent="0.2">
      <c r="A3513" s="10">
        <v>85428</v>
      </c>
      <c r="B3513" s="11" t="s">
        <v>22011</v>
      </c>
      <c r="C3513" s="11" t="s">
        <v>22012</v>
      </c>
      <c r="D3513" s="11" t="s">
        <v>22013</v>
      </c>
      <c r="E3513" s="11"/>
      <c r="F3513" s="11" t="s">
        <v>6430</v>
      </c>
      <c r="G3513" s="11" t="s">
        <v>22014</v>
      </c>
      <c r="H3513" s="11" t="s">
        <v>142</v>
      </c>
      <c r="I3513" s="11" t="s">
        <v>22015</v>
      </c>
      <c r="J3513" s="11" t="s">
        <v>22016</v>
      </c>
      <c r="K3513" s="11" t="s">
        <v>1029</v>
      </c>
      <c r="L3513" s="11" t="s">
        <v>464</v>
      </c>
      <c r="M3513" s="11" t="s">
        <v>22017</v>
      </c>
      <c r="N3513" s="11" t="s">
        <v>128</v>
      </c>
      <c r="O3513" s="11" t="s">
        <v>22018</v>
      </c>
      <c r="P3513" s="11" t="s">
        <v>2983</v>
      </c>
      <c r="Q3513" s="11" t="s">
        <v>150</v>
      </c>
      <c r="R3513" s="11"/>
      <c r="S3513" s="11" t="s">
        <v>71</v>
      </c>
      <c r="T3513" s="11" t="s">
        <v>168</v>
      </c>
      <c r="U3513" s="11" t="s">
        <v>150</v>
      </c>
      <c r="V3513" s="11" t="s">
        <v>168</v>
      </c>
      <c r="W3513" s="11" t="s">
        <v>168</v>
      </c>
      <c r="X3513" s="11">
        <v>2</v>
      </c>
      <c r="Y3513" s="11" t="s">
        <v>12359</v>
      </c>
      <c r="Z3513" s="11">
        <v>20</v>
      </c>
      <c r="AA3513" s="11">
        <v>0</v>
      </c>
      <c r="AB3513" s="12">
        <v>0</v>
      </c>
    </row>
    <row r="3514" spans="1:28" x14ac:dyDescent="0.2">
      <c r="A3514" s="7">
        <v>28824</v>
      </c>
      <c r="B3514" s="8" t="s">
        <v>22019</v>
      </c>
      <c r="C3514" s="8" t="s">
        <v>22020</v>
      </c>
      <c r="D3514" s="8" t="s">
        <v>15793</v>
      </c>
      <c r="E3514" s="8"/>
      <c r="F3514" s="8" t="s">
        <v>21446</v>
      </c>
      <c r="G3514" s="8" t="s">
        <v>12262</v>
      </c>
      <c r="H3514" s="8" t="s">
        <v>704</v>
      </c>
      <c r="I3514" s="8" t="s">
        <v>21447</v>
      </c>
      <c r="J3514" s="8" t="s">
        <v>22021</v>
      </c>
      <c r="K3514" s="8" t="s">
        <v>707</v>
      </c>
      <c r="L3514" s="8" t="s">
        <v>126</v>
      </c>
      <c r="M3514" s="8" t="s">
        <v>22022</v>
      </c>
      <c r="N3514" s="8" t="s">
        <v>128</v>
      </c>
      <c r="O3514" s="8" t="s">
        <v>22023</v>
      </c>
      <c r="P3514" s="8" t="s">
        <v>22024</v>
      </c>
      <c r="Q3514" s="8" t="s">
        <v>150</v>
      </c>
      <c r="R3514" s="8"/>
      <c r="S3514" s="8" t="s">
        <v>71</v>
      </c>
      <c r="T3514" s="8" t="s">
        <v>168</v>
      </c>
      <c r="U3514" s="8" t="s">
        <v>150</v>
      </c>
      <c r="V3514" s="8" t="s">
        <v>168</v>
      </c>
      <c r="W3514" s="8" t="s">
        <v>168</v>
      </c>
      <c r="X3514" s="8">
        <v>2</v>
      </c>
      <c r="Y3514" s="8" t="s">
        <v>12359</v>
      </c>
      <c r="Z3514" s="8">
        <v>20</v>
      </c>
      <c r="AA3514" s="8">
        <v>0</v>
      </c>
      <c r="AB3514" s="9">
        <v>0</v>
      </c>
    </row>
    <row r="3515" spans="1:28" x14ac:dyDescent="0.2">
      <c r="A3515" s="10">
        <v>117649</v>
      </c>
      <c r="B3515" s="11" t="s">
        <v>22025</v>
      </c>
      <c r="C3515" s="11" t="s">
        <v>21813</v>
      </c>
      <c r="D3515" s="11" t="s">
        <v>22026</v>
      </c>
      <c r="E3515" s="11"/>
      <c r="F3515" s="11" t="s">
        <v>12288</v>
      </c>
      <c r="G3515" s="11" t="s">
        <v>1364</v>
      </c>
      <c r="H3515" s="11" t="s">
        <v>329</v>
      </c>
      <c r="I3515" s="11" t="s">
        <v>22027</v>
      </c>
      <c r="J3515" s="11" t="s">
        <v>22028</v>
      </c>
      <c r="K3515" s="11" t="s">
        <v>431</v>
      </c>
      <c r="L3515" s="11" t="s">
        <v>333</v>
      </c>
      <c r="M3515" s="11" t="s">
        <v>22029</v>
      </c>
      <c r="N3515" s="11" t="s">
        <v>128</v>
      </c>
      <c r="O3515" s="11" t="s">
        <v>22030</v>
      </c>
      <c r="P3515" s="11" t="s">
        <v>6026</v>
      </c>
      <c r="Q3515" s="11" t="s">
        <v>150</v>
      </c>
      <c r="R3515" s="11"/>
      <c r="S3515" s="11" t="s">
        <v>71</v>
      </c>
      <c r="T3515" s="11" t="s">
        <v>168</v>
      </c>
      <c r="U3515" s="11" t="s">
        <v>150</v>
      </c>
      <c r="V3515" s="11" t="s">
        <v>168</v>
      </c>
      <c r="W3515" s="11" t="s">
        <v>168</v>
      </c>
      <c r="X3515" s="11">
        <v>2</v>
      </c>
      <c r="Y3515" s="11" t="s">
        <v>12359</v>
      </c>
      <c r="Z3515" s="11">
        <v>20</v>
      </c>
      <c r="AA3515" s="11">
        <v>0</v>
      </c>
      <c r="AB3515" s="12">
        <v>0</v>
      </c>
    </row>
    <row r="3516" spans="1:28" x14ac:dyDescent="0.2">
      <c r="A3516" s="7">
        <v>214533</v>
      </c>
      <c r="B3516" s="8" t="s">
        <v>22031</v>
      </c>
      <c r="C3516" s="8" t="s">
        <v>22032</v>
      </c>
      <c r="D3516" s="8" t="s">
        <v>3420</v>
      </c>
      <c r="E3516" s="8"/>
      <c r="F3516" s="8" t="s">
        <v>22033</v>
      </c>
      <c r="G3516" s="8" t="s">
        <v>6409</v>
      </c>
      <c r="H3516" s="8" t="s">
        <v>6410</v>
      </c>
      <c r="I3516" s="8" t="s">
        <v>22034</v>
      </c>
      <c r="J3516" s="8" t="s">
        <v>22035</v>
      </c>
      <c r="K3516" s="8" t="s">
        <v>1956</v>
      </c>
      <c r="L3516" s="8" t="s">
        <v>526</v>
      </c>
      <c r="M3516" s="8" t="s">
        <v>22036</v>
      </c>
      <c r="N3516" s="8" t="s">
        <v>128</v>
      </c>
      <c r="O3516" s="8" t="s">
        <v>22037</v>
      </c>
      <c r="P3516" s="8" t="s">
        <v>22038</v>
      </c>
      <c r="Q3516" s="8" t="s">
        <v>150</v>
      </c>
      <c r="R3516" s="8"/>
      <c r="S3516" s="8" t="s">
        <v>71</v>
      </c>
      <c r="T3516" s="8" t="s">
        <v>168</v>
      </c>
      <c r="U3516" s="8" t="s">
        <v>150</v>
      </c>
      <c r="V3516" s="8" t="s">
        <v>168</v>
      </c>
      <c r="W3516" s="8" t="s">
        <v>168</v>
      </c>
      <c r="X3516" s="8">
        <v>2</v>
      </c>
      <c r="Y3516" s="8" t="s">
        <v>12359</v>
      </c>
      <c r="Z3516" s="8">
        <v>20</v>
      </c>
      <c r="AA3516" s="8">
        <v>0</v>
      </c>
      <c r="AB3516" s="9">
        <v>0</v>
      </c>
    </row>
    <row r="3517" spans="1:28" x14ac:dyDescent="0.2">
      <c r="A3517" s="10">
        <v>125690</v>
      </c>
      <c r="B3517" s="11" t="s">
        <v>22039</v>
      </c>
      <c r="C3517" s="11" t="s">
        <v>22040</v>
      </c>
      <c r="D3517" s="11" t="s">
        <v>7807</v>
      </c>
      <c r="E3517" s="11"/>
      <c r="F3517" s="11" t="s">
        <v>353</v>
      </c>
      <c r="G3517" s="11" t="s">
        <v>10624</v>
      </c>
      <c r="H3517" s="11" t="s">
        <v>6410</v>
      </c>
      <c r="I3517" s="11" t="s">
        <v>22041</v>
      </c>
      <c r="J3517" s="11" t="s">
        <v>22042</v>
      </c>
      <c r="K3517" s="11" t="s">
        <v>1956</v>
      </c>
      <c r="L3517" s="11" t="s">
        <v>526</v>
      </c>
      <c r="M3517" s="11" t="s">
        <v>22043</v>
      </c>
      <c r="N3517" s="11" t="s">
        <v>128</v>
      </c>
      <c r="O3517" s="11" t="s">
        <v>22044</v>
      </c>
      <c r="P3517" s="11"/>
      <c r="Q3517" s="11" t="s">
        <v>150</v>
      </c>
      <c r="R3517" s="11"/>
      <c r="S3517" s="11" t="s">
        <v>71</v>
      </c>
      <c r="T3517" s="11" t="s">
        <v>13491</v>
      </c>
      <c r="U3517" s="11" t="s">
        <v>150</v>
      </c>
      <c r="V3517" s="11" t="s">
        <v>13491</v>
      </c>
      <c r="W3517" s="11" t="s">
        <v>13491</v>
      </c>
      <c r="X3517" s="11">
        <v>2</v>
      </c>
      <c r="Y3517" s="11" t="s">
        <v>12359</v>
      </c>
      <c r="Z3517" s="11">
        <v>20</v>
      </c>
      <c r="AA3517" s="11">
        <v>0</v>
      </c>
      <c r="AB3517" s="12">
        <v>0</v>
      </c>
    </row>
    <row r="3518" spans="1:28" x14ac:dyDescent="0.2">
      <c r="A3518" s="7">
        <v>125693</v>
      </c>
      <c r="B3518" s="8" t="s">
        <v>22045</v>
      </c>
      <c r="C3518" s="8" t="s">
        <v>9513</v>
      </c>
      <c r="D3518" s="8" t="s">
        <v>22046</v>
      </c>
      <c r="E3518" s="8"/>
      <c r="F3518" s="8" t="s">
        <v>9515</v>
      </c>
      <c r="G3518" s="8" t="s">
        <v>6409</v>
      </c>
      <c r="H3518" s="8" t="s">
        <v>6410</v>
      </c>
      <c r="I3518" s="8" t="s">
        <v>4327</v>
      </c>
      <c r="J3518" s="8" t="s">
        <v>22047</v>
      </c>
      <c r="K3518" s="8" t="s">
        <v>1956</v>
      </c>
      <c r="L3518" s="8" t="s">
        <v>526</v>
      </c>
      <c r="M3518" s="8" t="s">
        <v>22048</v>
      </c>
      <c r="N3518" s="8" t="s">
        <v>128</v>
      </c>
      <c r="O3518" s="8" t="s">
        <v>22049</v>
      </c>
      <c r="P3518" s="8"/>
      <c r="Q3518" s="8" t="s">
        <v>150</v>
      </c>
      <c r="R3518" s="8"/>
      <c r="S3518" s="8" t="s">
        <v>71</v>
      </c>
      <c r="T3518" s="8" t="s">
        <v>13491</v>
      </c>
      <c r="U3518" s="8" t="s">
        <v>150</v>
      </c>
      <c r="V3518" s="8" t="s">
        <v>13491</v>
      </c>
      <c r="W3518" s="8" t="s">
        <v>13491</v>
      </c>
      <c r="X3518" s="8">
        <v>2</v>
      </c>
      <c r="Y3518" s="8" t="s">
        <v>12359</v>
      </c>
      <c r="Z3518" s="8">
        <v>20</v>
      </c>
      <c r="AA3518" s="8">
        <v>0</v>
      </c>
      <c r="AB3518" s="9">
        <v>0</v>
      </c>
    </row>
    <row r="3519" spans="1:28" x14ac:dyDescent="0.2">
      <c r="A3519" s="10">
        <v>92277</v>
      </c>
      <c r="B3519" s="11" t="s">
        <v>22050</v>
      </c>
      <c r="C3519" s="11" t="s">
        <v>2615</v>
      </c>
      <c r="D3519" s="11" t="s">
        <v>7852</v>
      </c>
      <c r="E3519" s="11"/>
      <c r="F3519" s="11" t="s">
        <v>353</v>
      </c>
      <c r="G3519" s="11" t="s">
        <v>846</v>
      </c>
      <c r="H3519" s="11" t="s">
        <v>847</v>
      </c>
      <c r="I3519" s="11" t="s">
        <v>12764</v>
      </c>
      <c r="J3519" s="11" t="s">
        <v>22051</v>
      </c>
      <c r="K3519" s="11" t="s">
        <v>850</v>
      </c>
      <c r="L3519" s="11" t="s">
        <v>126</v>
      </c>
      <c r="M3519" s="11" t="s">
        <v>22052</v>
      </c>
      <c r="N3519" s="11" t="s">
        <v>128</v>
      </c>
      <c r="O3519" s="11" t="s">
        <v>22053</v>
      </c>
      <c r="P3519" s="11"/>
      <c r="Q3519" s="11" t="s">
        <v>150</v>
      </c>
      <c r="R3519" s="11"/>
      <c r="S3519" s="11" t="s">
        <v>71</v>
      </c>
      <c r="T3519" s="11" t="s">
        <v>22054</v>
      </c>
      <c r="U3519" s="11" t="s">
        <v>150</v>
      </c>
      <c r="V3519" s="11" t="s">
        <v>22054</v>
      </c>
      <c r="W3519" s="11" t="s">
        <v>22054</v>
      </c>
      <c r="X3519" s="11">
        <v>2</v>
      </c>
      <c r="Y3519" s="11" t="s">
        <v>12359</v>
      </c>
      <c r="Z3519" s="11">
        <v>20</v>
      </c>
      <c r="AA3519" s="11">
        <v>0</v>
      </c>
      <c r="AB3519" s="12">
        <v>0</v>
      </c>
    </row>
    <row r="3520" spans="1:28" x14ac:dyDescent="0.2">
      <c r="A3520" s="7">
        <v>24043</v>
      </c>
      <c r="B3520" s="8" t="s">
        <v>22055</v>
      </c>
      <c r="C3520" s="8" t="s">
        <v>4099</v>
      </c>
      <c r="D3520" s="8" t="s">
        <v>22056</v>
      </c>
      <c r="E3520" s="8"/>
      <c r="F3520" s="8"/>
      <c r="G3520" s="8" t="s">
        <v>7562</v>
      </c>
      <c r="H3520" s="8" t="s">
        <v>847</v>
      </c>
      <c r="I3520" s="8"/>
      <c r="J3520" s="8" t="s">
        <v>22057</v>
      </c>
      <c r="K3520" s="8" t="s">
        <v>850</v>
      </c>
      <c r="L3520" s="8" t="s">
        <v>126</v>
      </c>
      <c r="M3520" s="8" t="s">
        <v>22058</v>
      </c>
      <c r="N3520" s="8" t="s">
        <v>128</v>
      </c>
      <c r="O3520" s="8" t="s">
        <v>22059</v>
      </c>
      <c r="P3520" s="8"/>
      <c r="Q3520" s="8" t="s">
        <v>150</v>
      </c>
      <c r="R3520" s="8"/>
      <c r="S3520" s="8" t="s">
        <v>71</v>
      </c>
      <c r="T3520" s="8" t="s">
        <v>22054</v>
      </c>
      <c r="U3520" s="8" t="s">
        <v>150</v>
      </c>
      <c r="V3520" s="8" t="s">
        <v>22054</v>
      </c>
      <c r="W3520" s="8" t="s">
        <v>22054</v>
      </c>
      <c r="X3520" s="8">
        <v>2</v>
      </c>
      <c r="Y3520" s="8" t="s">
        <v>12359</v>
      </c>
      <c r="Z3520" s="8">
        <v>20</v>
      </c>
      <c r="AA3520" s="8">
        <v>0</v>
      </c>
      <c r="AB3520" s="9">
        <v>0</v>
      </c>
    </row>
    <row r="3521" spans="1:28" x14ac:dyDescent="0.2">
      <c r="A3521" s="10">
        <v>24163</v>
      </c>
      <c r="B3521" s="11" t="s">
        <v>22060</v>
      </c>
      <c r="C3521" s="11" t="s">
        <v>10996</v>
      </c>
      <c r="D3521" s="11" t="s">
        <v>138</v>
      </c>
      <c r="E3521" s="11" t="s">
        <v>22061</v>
      </c>
      <c r="F3521" s="11" t="s">
        <v>353</v>
      </c>
      <c r="G3521" s="11" t="s">
        <v>10998</v>
      </c>
      <c r="H3521" s="11" t="s">
        <v>159</v>
      </c>
      <c r="I3521" s="11" t="s">
        <v>10999</v>
      </c>
      <c r="J3521" s="11" t="s">
        <v>11000</v>
      </c>
      <c r="K3521" s="11" t="s">
        <v>274</v>
      </c>
      <c r="L3521" s="11" t="s">
        <v>163</v>
      </c>
      <c r="M3521" s="11" t="s">
        <v>22062</v>
      </c>
      <c r="N3521" s="11" t="s">
        <v>128</v>
      </c>
      <c r="O3521" s="11" t="s">
        <v>22063</v>
      </c>
      <c r="P3521" s="11"/>
      <c r="Q3521" s="11" t="s">
        <v>150</v>
      </c>
      <c r="R3521" s="11"/>
      <c r="S3521" s="11" t="s">
        <v>11004</v>
      </c>
      <c r="T3521" s="11" t="s">
        <v>3270</v>
      </c>
      <c r="U3521" s="11" t="s">
        <v>150</v>
      </c>
      <c r="V3521" s="11" t="s">
        <v>3270</v>
      </c>
      <c r="W3521" s="11" t="s">
        <v>3270</v>
      </c>
      <c r="X3521" s="11">
        <v>2</v>
      </c>
      <c r="Y3521" s="11" t="s">
        <v>12359</v>
      </c>
      <c r="Z3521" s="11">
        <v>20</v>
      </c>
      <c r="AA3521" s="11">
        <v>0</v>
      </c>
      <c r="AB3521" s="12">
        <v>0</v>
      </c>
    </row>
    <row r="3522" spans="1:28" x14ac:dyDescent="0.2">
      <c r="A3522" s="7">
        <v>24153</v>
      </c>
      <c r="B3522" s="8" t="s">
        <v>22064</v>
      </c>
      <c r="C3522" s="8" t="s">
        <v>7393</v>
      </c>
      <c r="D3522" s="8" t="s">
        <v>5994</v>
      </c>
      <c r="E3522" s="8" t="s">
        <v>22065</v>
      </c>
      <c r="F3522" s="8" t="s">
        <v>7395</v>
      </c>
      <c r="G3522" s="8" t="s">
        <v>2175</v>
      </c>
      <c r="H3522" s="8" t="s">
        <v>2176</v>
      </c>
      <c r="I3522" s="8" t="s">
        <v>5997</v>
      </c>
      <c r="J3522" s="8" t="s">
        <v>7396</v>
      </c>
      <c r="K3522" s="8" t="s">
        <v>194</v>
      </c>
      <c r="L3522" s="8" t="s">
        <v>163</v>
      </c>
      <c r="M3522" s="8" t="s">
        <v>22066</v>
      </c>
      <c r="N3522" s="8" t="s">
        <v>4651</v>
      </c>
      <c r="O3522" s="8" t="s">
        <v>22067</v>
      </c>
      <c r="P3522" s="8" t="s">
        <v>22068</v>
      </c>
      <c r="Q3522" s="8" t="s">
        <v>150</v>
      </c>
      <c r="R3522" s="8"/>
      <c r="S3522" s="8" t="s">
        <v>6002</v>
      </c>
      <c r="T3522" s="8" t="s">
        <v>3270</v>
      </c>
      <c r="U3522" s="8" t="s">
        <v>150</v>
      </c>
      <c r="V3522" s="8" t="s">
        <v>3270</v>
      </c>
      <c r="W3522" s="8" t="s">
        <v>3270</v>
      </c>
      <c r="X3522" s="8">
        <v>2</v>
      </c>
      <c r="Y3522" s="8" t="s">
        <v>12359</v>
      </c>
      <c r="Z3522" s="8">
        <v>20</v>
      </c>
      <c r="AA3522" s="8">
        <v>0</v>
      </c>
      <c r="AB3522" s="9">
        <v>0</v>
      </c>
    </row>
    <row r="3523" spans="1:28" x14ac:dyDescent="0.2">
      <c r="A3523" s="10">
        <v>24221</v>
      </c>
      <c r="B3523" s="11" t="s">
        <v>22069</v>
      </c>
      <c r="C3523" s="11" t="s">
        <v>9507</v>
      </c>
      <c r="D3523" s="11" t="s">
        <v>2188</v>
      </c>
      <c r="E3523" s="11"/>
      <c r="F3523" s="11" t="s">
        <v>22070</v>
      </c>
      <c r="G3523" s="11" t="s">
        <v>224</v>
      </c>
      <c r="H3523" s="11" t="s">
        <v>225</v>
      </c>
      <c r="I3523" s="11" t="s">
        <v>22071</v>
      </c>
      <c r="J3523" s="11" t="s">
        <v>22072</v>
      </c>
      <c r="K3523" s="11" t="s">
        <v>228</v>
      </c>
      <c r="L3523" s="11" t="s">
        <v>229</v>
      </c>
      <c r="M3523" s="11" t="s">
        <v>22073</v>
      </c>
      <c r="N3523" s="11" t="s">
        <v>128</v>
      </c>
      <c r="O3523" s="11" t="s">
        <v>22074</v>
      </c>
      <c r="P3523" s="11"/>
      <c r="Q3523" s="11" t="s">
        <v>150</v>
      </c>
      <c r="R3523" s="11"/>
      <c r="S3523" s="11" t="s">
        <v>71</v>
      </c>
      <c r="T3523" s="11" t="s">
        <v>5674</v>
      </c>
      <c r="U3523" s="11" t="s">
        <v>150</v>
      </c>
      <c r="V3523" s="11" t="s">
        <v>5674</v>
      </c>
      <c r="W3523" s="11" t="s">
        <v>5674</v>
      </c>
      <c r="X3523" s="11">
        <v>2</v>
      </c>
      <c r="Y3523" s="11" t="s">
        <v>12359</v>
      </c>
      <c r="Z3523" s="11">
        <v>20</v>
      </c>
      <c r="AA3523" s="11">
        <v>0</v>
      </c>
      <c r="AB3523" s="12">
        <v>0</v>
      </c>
    </row>
    <row r="3524" spans="1:28" x14ac:dyDescent="0.2">
      <c r="A3524" s="7">
        <v>24681</v>
      </c>
      <c r="B3524" s="8" t="s">
        <v>22075</v>
      </c>
      <c r="C3524" s="8" t="s">
        <v>22076</v>
      </c>
      <c r="D3524" s="8" t="s">
        <v>1283</v>
      </c>
      <c r="E3524" s="8"/>
      <c r="F3524" s="8" t="s">
        <v>353</v>
      </c>
      <c r="G3524" s="8" t="s">
        <v>22077</v>
      </c>
      <c r="H3524" s="8" t="s">
        <v>557</v>
      </c>
      <c r="I3524" s="8" t="s">
        <v>22078</v>
      </c>
      <c r="J3524" s="8" t="s">
        <v>22079</v>
      </c>
      <c r="K3524" s="8" t="s">
        <v>560</v>
      </c>
      <c r="L3524" s="8" t="s">
        <v>229</v>
      </c>
      <c r="M3524" s="8" t="s">
        <v>22080</v>
      </c>
      <c r="N3524" s="8" t="s">
        <v>128</v>
      </c>
      <c r="O3524" s="8" t="s">
        <v>22081</v>
      </c>
      <c r="P3524" s="8" t="s">
        <v>15789</v>
      </c>
      <c r="Q3524" s="8" t="s">
        <v>150</v>
      </c>
      <c r="R3524" s="8"/>
      <c r="S3524" s="8" t="s">
        <v>71</v>
      </c>
      <c r="T3524" s="8" t="s">
        <v>69</v>
      </c>
      <c r="U3524" s="8" t="s">
        <v>150</v>
      </c>
      <c r="V3524" s="8" t="s">
        <v>152</v>
      </c>
      <c r="W3524" s="8" t="s">
        <v>69</v>
      </c>
      <c r="X3524" s="8">
        <v>2</v>
      </c>
      <c r="Y3524" s="8" t="s">
        <v>12359</v>
      </c>
      <c r="Z3524" s="8">
        <v>20</v>
      </c>
      <c r="AA3524" s="8">
        <v>0</v>
      </c>
      <c r="AB3524" s="9">
        <v>0</v>
      </c>
    </row>
    <row r="3525" spans="1:28" x14ac:dyDescent="0.2">
      <c r="A3525" s="10">
        <v>24877</v>
      </c>
      <c r="B3525" s="11" t="s">
        <v>22082</v>
      </c>
      <c r="C3525" s="11" t="s">
        <v>5940</v>
      </c>
      <c r="D3525" s="11" t="s">
        <v>5941</v>
      </c>
      <c r="E3525" s="11" t="s">
        <v>22083</v>
      </c>
      <c r="F3525" s="11" t="s">
        <v>5942</v>
      </c>
      <c r="G3525" s="11" t="s">
        <v>5943</v>
      </c>
      <c r="H3525" s="11" t="s">
        <v>191</v>
      </c>
      <c r="I3525" s="11" t="s">
        <v>5944</v>
      </c>
      <c r="J3525" s="11" t="s">
        <v>8672</v>
      </c>
      <c r="K3525" s="11" t="s">
        <v>194</v>
      </c>
      <c r="L3525" s="11" t="s">
        <v>163</v>
      </c>
      <c r="M3525" s="11" t="s">
        <v>22084</v>
      </c>
      <c r="N3525" s="11" t="s">
        <v>128</v>
      </c>
      <c r="O3525" s="11" t="s">
        <v>22085</v>
      </c>
      <c r="P3525" s="11" t="s">
        <v>16904</v>
      </c>
      <c r="Q3525" s="11" t="s">
        <v>150</v>
      </c>
      <c r="R3525" s="11"/>
      <c r="S3525" s="11" t="s">
        <v>5948</v>
      </c>
      <c r="T3525" s="11" t="s">
        <v>1738</v>
      </c>
      <c r="U3525" s="11" t="s">
        <v>150</v>
      </c>
      <c r="V3525" s="11" t="s">
        <v>1738</v>
      </c>
      <c r="W3525" s="11" t="s">
        <v>1738</v>
      </c>
      <c r="X3525" s="11">
        <v>2</v>
      </c>
      <c r="Y3525" s="11" t="s">
        <v>12359</v>
      </c>
      <c r="Z3525" s="11">
        <v>20</v>
      </c>
      <c r="AA3525" s="11">
        <v>0</v>
      </c>
      <c r="AB3525" s="12">
        <v>0</v>
      </c>
    </row>
    <row r="3526" spans="1:28" x14ac:dyDescent="0.2">
      <c r="A3526" s="7">
        <v>30514</v>
      </c>
      <c r="B3526" s="8" t="s">
        <v>22086</v>
      </c>
      <c r="C3526" s="8" t="s">
        <v>16358</v>
      </c>
      <c r="D3526" s="8" t="s">
        <v>5114</v>
      </c>
      <c r="E3526" s="8" t="s">
        <v>22087</v>
      </c>
      <c r="F3526" s="8" t="s">
        <v>22088</v>
      </c>
      <c r="G3526" s="8" t="s">
        <v>19550</v>
      </c>
      <c r="H3526" s="8" t="s">
        <v>122</v>
      </c>
      <c r="I3526" s="8" t="s">
        <v>22089</v>
      </c>
      <c r="J3526" s="8" t="s">
        <v>22090</v>
      </c>
      <c r="K3526" s="8" t="s">
        <v>125</v>
      </c>
      <c r="L3526" s="8" t="s">
        <v>126</v>
      </c>
      <c r="M3526" s="8" t="s">
        <v>22091</v>
      </c>
      <c r="N3526" s="8" t="s">
        <v>128</v>
      </c>
      <c r="O3526" s="8" t="s">
        <v>22092</v>
      </c>
      <c r="P3526" s="8" t="s">
        <v>8768</v>
      </c>
      <c r="Q3526" s="8" t="s">
        <v>150</v>
      </c>
      <c r="R3526" s="8"/>
      <c r="S3526" s="8" t="s">
        <v>22093</v>
      </c>
      <c r="T3526" s="8" t="s">
        <v>1738</v>
      </c>
      <c r="U3526" s="8" t="s">
        <v>150</v>
      </c>
      <c r="V3526" s="8" t="s">
        <v>1738</v>
      </c>
      <c r="W3526" s="8" t="s">
        <v>1738</v>
      </c>
      <c r="X3526" s="8">
        <v>2</v>
      </c>
      <c r="Y3526" s="8" t="s">
        <v>12359</v>
      </c>
      <c r="Z3526" s="8">
        <v>20</v>
      </c>
      <c r="AA3526" s="8">
        <v>0</v>
      </c>
      <c r="AB3526" s="9">
        <v>0</v>
      </c>
    </row>
    <row r="3527" spans="1:28" x14ac:dyDescent="0.2">
      <c r="A3527" s="10">
        <v>24988</v>
      </c>
      <c r="B3527" s="11" t="s">
        <v>22094</v>
      </c>
      <c r="C3527" s="11" t="s">
        <v>2615</v>
      </c>
      <c r="D3527" s="11" t="s">
        <v>22095</v>
      </c>
      <c r="E3527" s="11"/>
      <c r="F3527" s="11" t="s">
        <v>353</v>
      </c>
      <c r="G3527" s="11" t="s">
        <v>2618</v>
      </c>
      <c r="H3527" s="11" t="s">
        <v>142</v>
      </c>
      <c r="I3527" s="11" t="s">
        <v>3541</v>
      </c>
      <c r="J3527" s="11" t="s">
        <v>22096</v>
      </c>
      <c r="K3527" s="11" t="s">
        <v>651</v>
      </c>
      <c r="L3527" s="11" t="s">
        <v>146</v>
      </c>
      <c r="M3527" s="11" t="s">
        <v>22097</v>
      </c>
      <c r="N3527" s="11" t="s">
        <v>128</v>
      </c>
      <c r="O3527" s="11" t="s">
        <v>22098</v>
      </c>
      <c r="P3527" s="11" t="s">
        <v>22099</v>
      </c>
      <c r="Q3527" s="11" t="s">
        <v>150</v>
      </c>
      <c r="R3527" s="11"/>
      <c r="S3527" s="11" t="s">
        <v>71</v>
      </c>
      <c r="T3527" s="11" t="s">
        <v>1738</v>
      </c>
      <c r="U3527" s="11" t="s">
        <v>150</v>
      </c>
      <c r="V3527" s="11" t="s">
        <v>1738</v>
      </c>
      <c r="W3527" s="11" t="s">
        <v>1738</v>
      </c>
      <c r="X3527" s="11">
        <v>2</v>
      </c>
      <c r="Y3527" s="11" t="s">
        <v>12359</v>
      </c>
      <c r="Z3527" s="11">
        <v>20</v>
      </c>
      <c r="AA3527" s="11">
        <v>0</v>
      </c>
      <c r="AB3527" s="12">
        <v>0</v>
      </c>
    </row>
    <row r="3528" spans="1:28" x14ac:dyDescent="0.2">
      <c r="A3528" s="7">
        <v>24887</v>
      </c>
      <c r="B3528" s="8" t="s">
        <v>22100</v>
      </c>
      <c r="C3528" s="8" t="s">
        <v>7393</v>
      </c>
      <c r="D3528" s="8" t="s">
        <v>2918</v>
      </c>
      <c r="E3528" s="8"/>
      <c r="F3528" s="8" t="s">
        <v>7395</v>
      </c>
      <c r="G3528" s="8" t="s">
        <v>2175</v>
      </c>
      <c r="H3528" s="8" t="s">
        <v>2176</v>
      </c>
      <c r="I3528" s="8" t="s">
        <v>5997</v>
      </c>
      <c r="J3528" s="8" t="s">
        <v>22101</v>
      </c>
      <c r="K3528" s="8" t="s">
        <v>194</v>
      </c>
      <c r="L3528" s="8" t="s">
        <v>163</v>
      </c>
      <c r="M3528" s="8" t="s">
        <v>22102</v>
      </c>
      <c r="N3528" s="8" t="s">
        <v>128</v>
      </c>
      <c r="O3528" s="8" t="s">
        <v>22103</v>
      </c>
      <c r="P3528" s="8" t="s">
        <v>19870</v>
      </c>
      <c r="Q3528" s="8" t="s">
        <v>150</v>
      </c>
      <c r="R3528" s="8"/>
      <c r="S3528" s="8" t="s">
        <v>6002</v>
      </c>
      <c r="T3528" s="8" t="s">
        <v>1738</v>
      </c>
      <c r="U3528" s="8" t="s">
        <v>150</v>
      </c>
      <c r="V3528" s="8" t="s">
        <v>1738</v>
      </c>
      <c r="W3528" s="8" t="s">
        <v>1738</v>
      </c>
      <c r="X3528" s="8">
        <v>2</v>
      </c>
      <c r="Y3528" s="8" t="s">
        <v>12359</v>
      </c>
      <c r="Z3528" s="8">
        <v>20</v>
      </c>
      <c r="AA3528" s="8">
        <v>0</v>
      </c>
      <c r="AB3528" s="9">
        <v>0</v>
      </c>
    </row>
    <row r="3529" spans="1:28" x14ac:dyDescent="0.2">
      <c r="A3529" s="10">
        <v>119667</v>
      </c>
      <c r="B3529" s="11" t="s">
        <v>22104</v>
      </c>
      <c r="C3529" s="11" t="s">
        <v>22105</v>
      </c>
      <c r="D3529" s="11" t="s">
        <v>22106</v>
      </c>
      <c r="E3529" s="11"/>
      <c r="F3529" s="11" t="s">
        <v>22107</v>
      </c>
      <c r="G3529" s="11" t="s">
        <v>670</v>
      </c>
      <c r="H3529" s="11" t="s">
        <v>671</v>
      </c>
      <c r="I3529" s="11" t="s">
        <v>22108</v>
      </c>
      <c r="J3529" s="11" t="s">
        <v>22109</v>
      </c>
      <c r="K3529" s="11" t="s">
        <v>572</v>
      </c>
      <c r="L3529" s="11" t="s">
        <v>333</v>
      </c>
      <c r="M3529" s="11" t="s">
        <v>22110</v>
      </c>
      <c r="N3529" s="11" t="s">
        <v>128</v>
      </c>
      <c r="O3529" s="11" t="s">
        <v>22111</v>
      </c>
      <c r="P3529" s="11" t="s">
        <v>20422</v>
      </c>
      <c r="Q3529" s="11" t="s">
        <v>150</v>
      </c>
      <c r="R3529" s="11"/>
      <c r="S3529" s="11" t="s">
        <v>22112</v>
      </c>
      <c r="T3529" s="11" t="s">
        <v>1738</v>
      </c>
      <c r="U3529" s="11" t="s">
        <v>150</v>
      </c>
      <c r="V3529" s="11" t="s">
        <v>1738</v>
      </c>
      <c r="W3529" s="11" t="s">
        <v>1738</v>
      </c>
      <c r="X3529" s="11">
        <v>2</v>
      </c>
      <c r="Y3529" s="11" t="s">
        <v>12359</v>
      </c>
      <c r="Z3529" s="11">
        <v>20</v>
      </c>
      <c r="AA3529" s="11">
        <v>0</v>
      </c>
      <c r="AB3529" s="12">
        <v>0</v>
      </c>
    </row>
    <row r="3530" spans="1:28" x14ac:dyDescent="0.2">
      <c r="A3530" s="7">
        <v>30970</v>
      </c>
      <c r="B3530" s="8" t="s">
        <v>22113</v>
      </c>
      <c r="C3530" s="8" t="s">
        <v>22114</v>
      </c>
      <c r="D3530" s="8" t="s">
        <v>8106</v>
      </c>
      <c r="E3530" s="8"/>
      <c r="F3530" s="8"/>
      <c r="G3530" s="8" t="s">
        <v>12090</v>
      </c>
      <c r="H3530" s="8" t="s">
        <v>671</v>
      </c>
      <c r="I3530" s="8" t="s">
        <v>22115</v>
      </c>
      <c r="J3530" s="8" t="s">
        <v>22116</v>
      </c>
      <c r="K3530" s="8" t="s">
        <v>572</v>
      </c>
      <c r="L3530" s="8" t="s">
        <v>333</v>
      </c>
      <c r="M3530" s="8" t="s">
        <v>22117</v>
      </c>
      <c r="N3530" s="8" t="s">
        <v>128</v>
      </c>
      <c r="O3530" s="8" t="s">
        <v>22118</v>
      </c>
      <c r="P3530" s="8"/>
      <c r="Q3530" s="8" t="s">
        <v>150</v>
      </c>
      <c r="R3530" s="8"/>
      <c r="S3530" s="8" t="s">
        <v>71</v>
      </c>
      <c r="T3530" s="8" t="s">
        <v>13984</v>
      </c>
      <c r="U3530" s="8" t="s">
        <v>150</v>
      </c>
      <c r="V3530" s="8" t="s">
        <v>13984</v>
      </c>
      <c r="W3530" s="8" t="s">
        <v>13984</v>
      </c>
      <c r="X3530" s="8">
        <v>2</v>
      </c>
      <c r="Y3530" s="8" t="s">
        <v>12359</v>
      </c>
      <c r="Z3530" s="8">
        <v>20</v>
      </c>
      <c r="AA3530" s="8">
        <v>0</v>
      </c>
      <c r="AB3530" s="9">
        <v>0</v>
      </c>
    </row>
    <row r="3531" spans="1:28" x14ac:dyDescent="0.2">
      <c r="A3531" s="10">
        <v>172197</v>
      </c>
      <c r="B3531" s="11" t="s">
        <v>22119</v>
      </c>
      <c r="C3531" s="11" t="s">
        <v>20094</v>
      </c>
      <c r="D3531" s="11" t="s">
        <v>2547</v>
      </c>
      <c r="E3531" s="11" t="s">
        <v>22120</v>
      </c>
      <c r="F3531" s="11" t="s">
        <v>20095</v>
      </c>
      <c r="G3531" s="11" t="s">
        <v>328</v>
      </c>
      <c r="H3531" s="11" t="s">
        <v>329</v>
      </c>
      <c r="I3531" s="11" t="s">
        <v>20096</v>
      </c>
      <c r="J3531" s="11" t="s">
        <v>20445</v>
      </c>
      <c r="K3531" s="11" t="s">
        <v>572</v>
      </c>
      <c r="L3531" s="11" t="s">
        <v>333</v>
      </c>
      <c r="M3531" s="11" t="s">
        <v>22121</v>
      </c>
      <c r="N3531" s="11" t="s">
        <v>128</v>
      </c>
      <c r="O3531" s="11" t="s">
        <v>22122</v>
      </c>
      <c r="P3531" s="11"/>
      <c r="Q3531" s="11" t="s">
        <v>740</v>
      </c>
      <c r="R3531" s="11"/>
      <c r="S3531" s="11" t="s">
        <v>20100</v>
      </c>
      <c r="T3531" s="11" t="s">
        <v>1745</v>
      </c>
      <c r="U3531" s="11" t="s">
        <v>134</v>
      </c>
      <c r="V3531" s="11" t="s">
        <v>740</v>
      </c>
      <c r="W3531" s="11" t="s">
        <v>1745</v>
      </c>
      <c r="X3531" s="11">
        <v>2</v>
      </c>
      <c r="Y3531" s="11" t="s">
        <v>12359</v>
      </c>
      <c r="Z3531" s="11">
        <v>20</v>
      </c>
      <c r="AA3531" s="11">
        <v>0</v>
      </c>
      <c r="AB3531" s="12">
        <v>0</v>
      </c>
    </row>
    <row r="3532" spans="1:28" x14ac:dyDescent="0.2">
      <c r="A3532" s="7">
        <v>126006</v>
      </c>
      <c r="B3532" s="8" t="s">
        <v>22123</v>
      </c>
      <c r="C3532" s="8" t="s">
        <v>20604</v>
      </c>
      <c r="D3532" s="8" t="s">
        <v>7555</v>
      </c>
      <c r="E3532" s="8" t="s">
        <v>740</v>
      </c>
      <c r="F3532" s="8" t="s">
        <v>22124</v>
      </c>
      <c r="G3532" s="8" t="s">
        <v>20606</v>
      </c>
      <c r="H3532" s="8" t="s">
        <v>847</v>
      </c>
      <c r="I3532" s="8" t="s">
        <v>22125</v>
      </c>
      <c r="J3532" s="8" t="s">
        <v>22126</v>
      </c>
      <c r="K3532" s="8" t="s">
        <v>1091</v>
      </c>
      <c r="L3532" s="8" t="s">
        <v>126</v>
      </c>
      <c r="M3532" s="8" t="s">
        <v>22127</v>
      </c>
      <c r="N3532" s="8" t="s">
        <v>128</v>
      </c>
      <c r="O3532" s="8" t="s">
        <v>22128</v>
      </c>
      <c r="P3532" s="8"/>
      <c r="Q3532" s="8" t="s">
        <v>740</v>
      </c>
      <c r="R3532" s="8"/>
      <c r="S3532" s="8" t="s">
        <v>71</v>
      </c>
      <c r="T3532" s="8" t="s">
        <v>1745</v>
      </c>
      <c r="U3532" s="8" t="s">
        <v>134</v>
      </c>
      <c r="V3532" s="8" t="s">
        <v>740</v>
      </c>
      <c r="W3532" s="8" t="s">
        <v>1745</v>
      </c>
      <c r="X3532" s="8">
        <v>2</v>
      </c>
      <c r="Y3532" s="8" t="s">
        <v>12359</v>
      </c>
      <c r="Z3532" s="8">
        <v>20</v>
      </c>
      <c r="AA3532" s="8">
        <v>0</v>
      </c>
      <c r="AB3532" s="9">
        <v>0</v>
      </c>
    </row>
    <row r="3533" spans="1:28" x14ac:dyDescent="0.2">
      <c r="A3533" s="10">
        <v>46628</v>
      </c>
      <c r="B3533" s="11" t="s">
        <v>22129</v>
      </c>
      <c r="C3533" s="11" t="s">
        <v>16358</v>
      </c>
      <c r="D3533" s="11" t="s">
        <v>20001</v>
      </c>
      <c r="E3533" s="11"/>
      <c r="F3533" s="11" t="s">
        <v>20429</v>
      </c>
      <c r="G3533" s="11" t="s">
        <v>190</v>
      </c>
      <c r="H3533" s="11" t="s">
        <v>191</v>
      </c>
      <c r="I3533" s="11" t="s">
        <v>22130</v>
      </c>
      <c r="J3533" s="11" t="s">
        <v>22131</v>
      </c>
      <c r="K3533" s="11" t="s">
        <v>194</v>
      </c>
      <c r="L3533" s="11" t="s">
        <v>163</v>
      </c>
      <c r="M3533" s="11" t="s">
        <v>22132</v>
      </c>
      <c r="N3533" s="11" t="s">
        <v>128</v>
      </c>
      <c r="O3533" s="11" t="s">
        <v>22133</v>
      </c>
      <c r="P3533" s="11" t="s">
        <v>22134</v>
      </c>
      <c r="Q3533" s="11" t="s">
        <v>740</v>
      </c>
      <c r="R3533" s="11"/>
      <c r="S3533" s="11" t="s">
        <v>20007</v>
      </c>
      <c r="T3533" s="11" t="s">
        <v>1745</v>
      </c>
      <c r="U3533" s="11" t="s">
        <v>134</v>
      </c>
      <c r="V3533" s="11" t="s">
        <v>740</v>
      </c>
      <c r="W3533" s="11" t="s">
        <v>1745</v>
      </c>
      <c r="X3533" s="11">
        <v>2</v>
      </c>
      <c r="Y3533" s="11" t="s">
        <v>12359</v>
      </c>
      <c r="Z3533" s="11">
        <v>20</v>
      </c>
      <c r="AA3533" s="11">
        <v>0</v>
      </c>
      <c r="AB3533" s="12">
        <v>0</v>
      </c>
    </row>
    <row r="3534" spans="1:28" x14ac:dyDescent="0.2">
      <c r="A3534" s="7">
        <v>32130</v>
      </c>
      <c r="B3534" s="8" t="s">
        <v>22135</v>
      </c>
      <c r="C3534" s="8" t="s">
        <v>22136</v>
      </c>
      <c r="D3534" s="8" t="s">
        <v>8185</v>
      </c>
      <c r="E3534" s="8"/>
      <c r="F3534" s="8" t="s">
        <v>353</v>
      </c>
      <c r="G3534" s="8" t="s">
        <v>3643</v>
      </c>
      <c r="H3534" s="8" t="s">
        <v>142</v>
      </c>
      <c r="I3534" s="8" t="s">
        <v>9056</v>
      </c>
      <c r="J3534" s="8" t="s">
        <v>19363</v>
      </c>
      <c r="K3534" s="8" t="s">
        <v>651</v>
      </c>
      <c r="L3534" s="8" t="s">
        <v>146</v>
      </c>
      <c r="M3534" s="8" t="s">
        <v>22137</v>
      </c>
      <c r="N3534" s="8" t="s">
        <v>128</v>
      </c>
      <c r="O3534" s="8" t="s">
        <v>22138</v>
      </c>
      <c r="P3534" s="8" t="s">
        <v>22139</v>
      </c>
      <c r="Q3534" s="8" t="s">
        <v>740</v>
      </c>
      <c r="R3534" s="8"/>
      <c r="S3534" s="8" t="s">
        <v>4620</v>
      </c>
      <c r="T3534" s="8" t="s">
        <v>1745</v>
      </c>
      <c r="U3534" s="8" t="s">
        <v>134</v>
      </c>
      <c r="V3534" s="8" t="s">
        <v>740</v>
      </c>
      <c r="W3534" s="8" t="s">
        <v>1745</v>
      </c>
      <c r="X3534" s="8">
        <v>2</v>
      </c>
      <c r="Y3534" s="8" t="s">
        <v>12359</v>
      </c>
      <c r="Z3534" s="8">
        <v>20</v>
      </c>
      <c r="AA3534" s="8">
        <v>0</v>
      </c>
      <c r="AB3534" s="9">
        <v>0</v>
      </c>
    </row>
    <row r="3535" spans="1:28" x14ac:dyDescent="0.2">
      <c r="A3535" s="10">
        <v>118252</v>
      </c>
      <c r="B3535" s="11" t="s">
        <v>22140</v>
      </c>
      <c r="C3535" s="11" t="s">
        <v>22141</v>
      </c>
      <c r="D3535" s="11" t="s">
        <v>10534</v>
      </c>
      <c r="E3535" s="11"/>
      <c r="F3535" s="11" t="s">
        <v>21572</v>
      </c>
      <c r="G3535" s="11" t="s">
        <v>158</v>
      </c>
      <c r="H3535" s="11" t="s">
        <v>159</v>
      </c>
      <c r="I3535" s="11" t="s">
        <v>22142</v>
      </c>
      <c r="J3535" s="11" t="s">
        <v>22143</v>
      </c>
      <c r="K3535" s="11" t="s">
        <v>162</v>
      </c>
      <c r="L3535" s="11" t="s">
        <v>163</v>
      </c>
      <c r="M3535" s="11" t="s">
        <v>22144</v>
      </c>
      <c r="N3535" s="11" t="s">
        <v>128</v>
      </c>
      <c r="O3535" s="11" t="s">
        <v>22145</v>
      </c>
      <c r="P3535" s="11"/>
      <c r="Q3535" s="11" t="s">
        <v>740</v>
      </c>
      <c r="R3535" s="11"/>
      <c r="S3535" s="11" t="s">
        <v>22146</v>
      </c>
      <c r="T3535" s="11" t="s">
        <v>1745</v>
      </c>
      <c r="U3535" s="11" t="s">
        <v>134</v>
      </c>
      <c r="V3535" s="11" t="s">
        <v>740</v>
      </c>
      <c r="W3535" s="11" t="s">
        <v>1745</v>
      </c>
      <c r="X3535" s="11">
        <v>2</v>
      </c>
      <c r="Y3535" s="11" t="s">
        <v>12359</v>
      </c>
      <c r="Z3535" s="11">
        <v>20</v>
      </c>
      <c r="AA3535" s="11">
        <v>0</v>
      </c>
      <c r="AB3535" s="12">
        <v>0</v>
      </c>
    </row>
    <row r="3536" spans="1:28" x14ac:dyDescent="0.2">
      <c r="A3536" s="7">
        <v>126019</v>
      </c>
      <c r="B3536" s="8" t="s">
        <v>22147</v>
      </c>
      <c r="C3536" s="8" t="s">
        <v>22148</v>
      </c>
      <c r="D3536" s="8" t="s">
        <v>3074</v>
      </c>
      <c r="E3536" s="8"/>
      <c r="F3536" s="8" t="s">
        <v>22149</v>
      </c>
      <c r="G3536" s="8" t="s">
        <v>846</v>
      </c>
      <c r="H3536" s="8" t="s">
        <v>847</v>
      </c>
      <c r="I3536" s="8" t="s">
        <v>22150</v>
      </c>
      <c r="J3536" s="8" t="s">
        <v>22151</v>
      </c>
      <c r="K3536" s="8" t="s">
        <v>850</v>
      </c>
      <c r="L3536" s="8" t="s">
        <v>126</v>
      </c>
      <c r="M3536" s="8" t="s">
        <v>22152</v>
      </c>
      <c r="N3536" s="8" t="s">
        <v>128</v>
      </c>
      <c r="O3536" s="8" t="s">
        <v>22153</v>
      </c>
      <c r="P3536" s="8"/>
      <c r="Q3536" s="8" t="s">
        <v>740</v>
      </c>
      <c r="R3536" s="8"/>
      <c r="S3536" s="8" t="s">
        <v>71</v>
      </c>
      <c r="T3536" s="8" t="s">
        <v>1745</v>
      </c>
      <c r="U3536" s="8" t="s">
        <v>134</v>
      </c>
      <c r="V3536" s="8" t="s">
        <v>740</v>
      </c>
      <c r="W3536" s="8" t="s">
        <v>1745</v>
      </c>
      <c r="X3536" s="8">
        <v>2</v>
      </c>
      <c r="Y3536" s="8" t="s">
        <v>12359</v>
      </c>
      <c r="Z3536" s="8">
        <v>20</v>
      </c>
      <c r="AA3536" s="8">
        <v>0</v>
      </c>
      <c r="AB3536" s="9">
        <v>0</v>
      </c>
    </row>
    <row r="3537" spans="1:28" x14ac:dyDescent="0.2">
      <c r="A3537" s="10">
        <v>183893</v>
      </c>
      <c r="B3537" s="11" t="s">
        <v>22154</v>
      </c>
      <c r="C3537" s="11" t="s">
        <v>8231</v>
      </c>
      <c r="D3537" s="11" t="s">
        <v>10475</v>
      </c>
      <c r="E3537" s="11"/>
      <c r="F3537" s="11" t="s">
        <v>8234</v>
      </c>
      <c r="G3537" s="11" t="s">
        <v>556</v>
      </c>
      <c r="H3537" s="11" t="s">
        <v>557</v>
      </c>
      <c r="I3537" s="11" t="s">
        <v>8235</v>
      </c>
      <c r="J3537" s="11" t="s">
        <v>22155</v>
      </c>
      <c r="K3537" s="11" t="s">
        <v>560</v>
      </c>
      <c r="L3537" s="11" t="s">
        <v>229</v>
      </c>
      <c r="M3537" s="11" t="s">
        <v>22156</v>
      </c>
      <c r="N3537" s="11" t="s">
        <v>128</v>
      </c>
      <c r="O3537" s="11" t="s">
        <v>22157</v>
      </c>
      <c r="P3537" s="11"/>
      <c r="Q3537" s="11" t="s">
        <v>740</v>
      </c>
      <c r="R3537" s="11"/>
      <c r="S3537" s="11" t="s">
        <v>71</v>
      </c>
      <c r="T3537" s="11" t="s">
        <v>1745</v>
      </c>
      <c r="U3537" s="11" t="s">
        <v>134</v>
      </c>
      <c r="V3537" s="11" t="s">
        <v>740</v>
      </c>
      <c r="W3537" s="11" t="s">
        <v>1745</v>
      </c>
      <c r="X3537" s="11">
        <v>2</v>
      </c>
      <c r="Y3537" s="11" t="s">
        <v>12359</v>
      </c>
      <c r="Z3537" s="11">
        <v>20</v>
      </c>
      <c r="AA3537" s="11">
        <v>0</v>
      </c>
      <c r="AB3537" s="12">
        <v>0</v>
      </c>
    </row>
    <row r="3538" spans="1:28" x14ac:dyDescent="0.2">
      <c r="A3538" s="7">
        <v>31303</v>
      </c>
      <c r="B3538" s="8" t="s">
        <v>22158</v>
      </c>
      <c r="C3538" s="8" t="s">
        <v>5879</v>
      </c>
      <c r="D3538" s="8" t="s">
        <v>21375</v>
      </c>
      <c r="E3538" s="8"/>
      <c r="F3538" s="8" t="s">
        <v>22159</v>
      </c>
      <c r="G3538" s="8" t="s">
        <v>3929</v>
      </c>
      <c r="H3538" s="8" t="s">
        <v>704</v>
      </c>
      <c r="I3538" s="8" t="s">
        <v>22160</v>
      </c>
      <c r="J3538" s="8" t="s">
        <v>22161</v>
      </c>
      <c r="K3538" s="8" t="s">
        <v>850</v>
      </c>
      <c r="L3538" s="8" t="s">
        <v>126</v>
      </c>
      <c r="M3538" s="8" t="s">
        <v>22162</v>
      </c>
      <c r="N3538" s="8" t="s">
        <v>128</v>
      </c>
      <c r="O3538" s="8"/>
      <c r="P3538" s="8"/>
      <c r="Q3538" s="8" t="s">
        <v>740</v>
      </c>
      <c r="R3538" s="8"/>
      <c r="S3538" s="8" t="s">
        <v>21381</v>
      </c>
      <c r="T3538" s="8" t="s">
        <v>1745</v>
      </c>
      <c r="U3538" s="8" t="s">
        <v>134</v>
      </c>
      <c r="V3538" s="8" t="s">
        <v>740</v>
      </c>
      <c r="W3538" s="8" t="s">
        <v>1745</v>
      </c>
      <c r="X3538" s="8">
        <v>2</v>
      </c>
      <c r="Y3538" s="8" t="s">
        <v>12359</v>
      </c>
      <c r="Z3538" s="8">
        <v>20</v>
      </c>
      <c r="AA3538" s="8">
        <v>0</v>
      </c>
      <c r="AB3538" s="9">
        <v>0</v>
      </c>
    </row>
    <row r="3539" spans="1:28" x14ac:dyDescent="0.2">
      <c r="A3539" s="10">
        <v>25252</v>
      </c>
      <c r="B3539" s="11" t="s">
        <v>22163</v>
      </c>
      <c r="C3539" s="11" t="s">
        <v>4099</v>
      </c>
      <c r="D3539" s="11" t="s">
        <v>22164</v>
      </c>
      <c r="E3539" s="11" t="s">
        <v>281</v>
      </c>
      <c r="F3539" s="11" t="s">
        <v>353</v>
      </c>
      <c r="G3539" s="11" t="s">
        <v>5116</v>
      </c>
      <c r="H3539" s="11" t="s">
        <v>122</v>
      </c>
      <c r="I3539" s="11" t="s">
        <v>22165</v>
      </c>
      <c r="J3539" s="11" t="s">
        <v>22166</v>
      </c>
      <c r="K3539" s="11" t="s">
        <v>125</v>
      </c>
      <c r="L3539" s="11" t="s">
        <v>126</v>
      </c>
      <c r="M3539" s="11" t="s">
        <v>22167</v>
      </c>
      <c r="N3539" s="11" t="s">
        <v>128</v>
      </c>
      <c r="O3539" s="11" t="s">
        <v>22168</v>
      </c>
      <c r="P3539" s="11" t="s">
        <v>22169</v>
      </c>
      <c r="Q3539" s="11" t="s">
        <v>740</v>
      </c>
      <c r="R3539" s="11"/>
      <c r="S3539" s="11" t="s">
        <v>71</v>
      </c>
      <c r="T3539" s="11" t="s">
        <v>741</v>
      </c>
      <c r="U3539" s="11" t="s">
        <v>134</v>
      </c>
      <c r="V3539" s="11" t="s">
        <v>740</v>
      </c>
      <c r="W3539" s="11" t="s">
        <v>741</v>
      </c>
      <c r="X3539" s="11">
        <v>2</v>
      </c>
      <c r="Y3539" s="11" t="s">
        <v>12359</v>
      </c>
      <c r="Z3539" s="11">
        <v>20</v>
      </c>
      <c r="AA3539" s="11">
        <v>0</v>
      </c>
      <c r="AB3539" s="12">
        <v>0</v>
      </c>
    </row>
    <row r="3540" spans="1:28" x14ac:dyDescent="0.2">
      <c r="A3540" s="7">
        <v>31235</v>
      </c>
      <c r="B3540" s="8" t="s">
        <v>22170</v>
      </c>
      <c r="C3540" s="8" t="s">
        <v>16496</v>
      </c>
      <c r="D3540" s="8" t="s">
        <v>138</v>
      </c>
      <c r="E3540" s="8"/>
      <c r="F3540" s="8" t="s">
        <v>6510</v>
      </c>
      <c r="G3540" s="8" t="s">
        <v>141</v>
      </c>
      <c r="H3540" s="8" t="s">
        <v>142</v>
      </c>
      <c r="I3540" s="8" t="s">
        <v>6511</v>
      </c>
      <c r="J3540" s="8" t="s">
        <v>20114</v>
      </c>
      <c r="K3540" s="8" t="s">
        <v>472</v>
      </c>
      <c r="L3540" s="8" t="s">
        <v>146</v>
      </c>
      <c r="M3540" s="8" t="s">
        <v>22171</v>
      </c>
      <c r="N3540" s="8" t="s">
        <v>128</v>
      </c>
      <c r="O3540" s="8"/>
      <c r="P3540" s="8"/>
      <c r="Q3540" s="8" t="s">
        <v>740</v>
      </c>
      <c r="R3540" s="8"/>
      <c r="S3540" s="8" t="s">
        <v>6516</v>
      </c>
      <c r="T3540" s="8" t="s">
        <v>741</v>
      </c>
      <c r="U3540" s="8" t="s">
        <v>134</v>
      </c>
      <c r="V3540" s="8" t="s">
        <v>740</v>
      </c>
      <c r="W3540" s="8" t="s">
        <v>741</v>
      </c>
      <c r="X3540" s="8">
        <v>2</v>
      </c>
      <c r="Y3540" s="8" t="s">
        <v>12359</v>
      </c>
      <c r="Z3540" s="8">
        <v>20</v>
      </c>
      <c r="AA3540" s="8">
        <v>0</v>
      </c>
      <c r="AB3540" s="9">
        <v>0</v>
      </c>
    </row>
    <row r="3541" spans="1:28" x14ac:dyDescent="0.2">
      <c r="A3541" s="10">
        <v>31311</v>
      </c>
      <c r="B3541" s="11" t="s">
        <v>22172</v>
      </c>
      <c r="C3541" s="11" t="s">
        <v>8955</v>
      </c>
      <c r="D3541" s="11" t="s">
        <v>8956</v>
      </c>
      <c r="E3541" s="11"/>
      <c r="F3541" s="11" t="s">
        <v>22173</v>
      </c>
      <c r="G3541" s="11" t="s">
        <v>8614</v>
      </c>
      <c r="H3541" s="11" t="s">
        <v>142</v>
      </c>
      <c r="I3541" s="11" t="s">
        <v>9169</v>
      </c>
      <c r="J3541" s="11" t="s">
        <v>17621</v>
      </c>
      <c r="K3541" s="11" t="s">
        <v>1199</v>
      </c>
      <c r="L3541" s="11" t="s">
        <v>464</v>
      </c>
      <c r="M3541" s="11" t="s">
        <v>22174</v>
      </c>
      <c r="N3541" s="11" t="s">
        <v>128</v>
      </c>
      <c r="O3541" s="11"/>
      <c r="P3541" s="11"/>
      <c r="Q3541" s="11" t="s">
        <v>740</v>
      </c>
      <c r="R3541" s="11"/>
      <c r="S3541" s="11" t="s">
        <v>8964</v>
      </c>
      <c r="T3541" s="11" t="s">
        <v>741</v>
      </c>
      <c r="U3541" s="11" t="s">
        <v>134</v>
      </c>
      <c r="V3541" s="11" t="s">
        <v>740</v>
      </c>
      <c r="W3541" s="11" t="s">
        <v>741</v>
      </c>
      <c r="X3541" s="11">
        <v>2</v>
      </c>
      <c r="Y3541" s="11" t="s">
        <v>12359</v>
      </c>
      <c r="Z3541" s="11">
        <v>20</v>
      </c>
      <c r="AA3541" s="11">
        <v>0</v>
      </c>
      <c r="AB3541" s="12">
        <v>0</v>
      </c>
    </row>
    <row r="3542" spans="1:28" x14ac:dyDescent="0.2">
      <c r="A3542" s="7">
        <v>31261</v>
      </c>
      <c r="B3542" s="8" t="s">
        <v>22175</v>
      </c>
      <c r="C3542" s="8" t="s">
        <v>22176</v>
      </c>
      <c r="D3542" s="8" t="s">
        <v>2918</v>
      </c>
      <c r="E3542" s="8"/>
      <c r="F3542" s="8" t="s">
        <v>353</v>
      </c>
      <c r="G3542" s="8" t="s">
        <v>20860</v>
      </c>
      <c r="H3542" s="8" t="s">
        <v>557</v>
      </c>
      <c r="I3542" s="8" t="s">
        <v>22177</v>
      </c>
      <c r="J3542" s="8" t="s">
        <v>22178</v>
      </c>
      <c r="K3542" s="8" t="s">
        <v>560</v>
      </c>
      <c r="L3542" s="8" t="s">
        <v>229</v>
      </c>
      <c r="M3542" s="8" t="s">
        <v>22179</v>
      </c>
      <c r="N3542" s="8" t="s">
        <v>128</v>
      </c>
      <c r="O3542" s="8"/>
      <c r="P3542" s="8"/>
      <c r="Q3542" s="8" t="s">
        <v>740</v>
      </c>
      <c r="R3542" s="8"/>
      <c r="S3542" s="8" t="s">
        <v>71</v>
      </c>
      <c r="T3542" s="8" t="s">
        <v>741</v>
      </c>
      <c r="U3542" s="8" t="s">
        <v>134</v>
      </c>
      <c r="V3542" s="8" t="s">
        <v>740</v>
      </c>
      <c r="W3542" s="8" t="s">
        <v>741</v>
      </c>
      <c r="X3542" s="8">
        <v>2</v>
      </c>
      <c r="Y3542" s="8" t="s">
        <v>12359</v>
      </c>
      <c r="Z3542" s="8">
        <v>20</v>
      </c>
      <c r="AA3542" s="8">
        <v>0</v>
      </c>
      <c r="AB3542" s="9">
        <v>0</v>
      </c>
    </row>
    <row r="3543" spans="1:28" x14ac:dyDescent="0.2">
      <c r="A3543" s="10">
        <v>238161</v>
      </c>
      <c r="B3543" s="11" t="s">
        <v>22180</v>
      </c>
      <c r="C3543" s="11" t="s">
        <v>754</v>
      </c>
      <c r="D3543" s="11" t="s">
        <v>755</v>
      </c>
      <c r="E3543" s="11"/>
      <c r="F3543" s="11" t="s">
        <v>757</v>
      </c>
      <c r="G3543" s="11" t="s">
        <v>521</v>
      </c>
      <c r="H3543" s="11" t="s">
        <v>522</v>
      </c>
      <c r="I3543" s="11" t="s">
        <v>758</v>
      </c>
      <c r="J3543" s="11" t="s">
        <v>759</v>
      </c>
      <c r="K3543" s="11" t="s">
        <v>525</v>
      </c>
      <c r="L3543" s="11" t="s">
        <v>526</v>
      </c>
      <c r="M3543" s="11" t="s">
        <v>22181</v>
      </c>
      <c r="N3543" s="11" t="s">
        <v>128</v>
      </c>
      <c r="O3543" s="11" t="s">
        <v>22182</v>
      </c>
      <c r="P3543" s="11"/>
      <c r="Q3543" s="11" t="s">
        <v>150</v>
      </c>
      <c r="R3543" s="11"/>
      <c r="S3543" s="11" t="s">
        <v>763</v>
      </c>
      <c r="T3543" s="11" t="s">
        <v>20092</v>
      </c>
      <c r="U3543" s="11" t="s">
        <v>150</v>
      </c>
      <c r="V3543" s="11" t="s">
        <v>20092</v>
      </c>
      <c r="W3543" s="11" t="s">
        <v>20092</v>
      </c>
      <c r="X3543" s="11">
        <v>2</v>
      </c>
      <c r="Y3543" s="11" t="s">
        <v>12359</v>
      </c>
      <c r="Z3543" s="11">
        <v>20</v>
      </c>
      <c r="AA3543" s="11">
        <v>0</v>
      </c>
      <c r="AB3543" s="12">
        <v>0</v>
      </c>
    </row>
    <row r="3544" spans="1:28" x14ac:dyDescent="0.2">
      <c r="A3544" s="7">
        <v>85421</v>
      </c>
      <c r="B3544" s="8" t="s">
        <v>22183</v>
      </c>
      <c r="C3544" s="8" t="s">
        <v>22184</v>
      </c>
      <c r="D3544" s="8" t="s">
        <v>22185</v>
      </c>
      <c r="E3544" s="8" t="s">
        <v>22186</v>
      </c>
      <c r="F3544" s="8" t="s">
        <v>6430</v>
      </c>
      <c r="G3544" s="8" t="s">
        <v>7808</v>
      </c>
      <c r="H3544" s="8" t="s">
        <v>142</v>
      </c>
      <c r="I3544" s="8" t="s">
        <v>22187</v>
      </c>
      <c r="J3544" s="8" t="s">
        <v>22188</v>
      </c>
      <c r="K3544" s="8" t="s">
        <v>779</v>
      </c>
      <c r="L3544" s="8" t="s">
        <v>464</v>
      </c>
      <c r="M3544" s="8" t="s">
        <v>22189</v>
      </c>
      <c r="N3544" s="8" t="s">
        <v>128</v>
      </c>
      <c r="O3544" s="8" t="s">
        <v>22190</v>
      </c>
      <c r="P3544" s="8"/>
      <c r="Q3544" s="8" t="s">
        <v>249</v>
      </c>
      <c r="R3544" s="8"/>
      <c r="S3544" s="8" t="s">
        <v>22191</v>
      </c>
      <c r="T3544" s="8" t="s">
        <v>1523</v>
      </c>
      <c r="U3544" s="8" t="s">
        <v>134</v>
      </c>
      <c r="V3544" s="8" t="s">
        <v>249</v>
      </c>
      <c r="W3544" s="8" t="s">
        <v>1523</v>
      </c>
      <c r="X3544" s="8">
        <v>2</v>
      </c>
      <c r="Y3544" s="8" t="s">
        <v>12359</v>
      </c>
      <c r="Z3544" s="8">
        <v>20</v>
      </c>
      <c r="AA3544" s="8">
        <v>0</v>
      </c>
      <c r="AB3544" s="9">
        <v>0</v>
      </c>
    </row>
    <row r="3545" spans="1:28" x14ac:dyDescent="0.2">
      <c r="A3545" s="10">
        <v>116241</v>
      </c>
      <c r="B3545" s="11" t="s">
        <v>22192</v>
      </c>
      <c r="C3545" s="11" t="s">
        <v>2519</v>
      </c>
      <c r="D3545" s="11" t="s">
        <v>2520</v>
      </c>
      <c r="E3545" s="11" t="s">
        <v>4541</v>
      </c>
      <c r="F3545" s="11" t="s">
        <v>6892</v>
      </c>
      <c r="G3545" s="11" t="s">
        <v>364</v>
      </c>
      <c r="H3545" s="11" t="s">
        <v>365</v>
      </c>
      <c r="I3545" s="11" t="s">
        <v>6893</v>
      </c>
      <c r="J3545" s="11" t="s">
        <v>2524</v>
      </c>
      <c r="K3545" s="11" t="s">
        <v>162</v>
      </c>
      <c r="L3545" s="11" t="s">
        <v>163</v>
      </c>
      <c r="M3545" s="11" t="s">
        <v>22193</v>
      </c>
      <c r="N3545" s="11" t="s">
        <v>128</v>
      </c>
      <c r="O3545" s="11" t="s">
        <v>22194</v>
      </c>
      <c r="P3545" s="11"/>
      <c r="Q3545" s="11" t="s">
        <v>249</v>
      </c>
      <c r="R3545" s="11"/>
      <c r="S3545" s="11" t="s">
        <v>2528</v>
      </c>
      <c r="T3545" s="11" t="s">
        <v>1523</v>
      </c>
      <c r="U3545" s="11" t="s">
        <v>134</v>
      </c>
      <c r="V3545" s="11" t="s">
        <v>249</v>
      </c>
      <c r="W3545" s="11" t="s">
        <v>1523</v>
      </c>
      <c r="X3545" s="11">
        <v>2</v>
      </c>
      <c r="Y3545" s="11" t="s">
        <v>12359</v>
      </c>
      <c r="Z3545" s="11">
        <v>20</v>
      </c>
      <c r="AA3545" s="11">
        <v>0</v>
      </c>
      <c r="AB3545" s="12">
        <v>0</v>
      </c>
    </row>
    <row r="3546" spans="1:28" x14ac:dyDescent="0.2">
      <c r="A3546" s="7">
        <v>92268</v>
      </c>
      <c r="B3546" s="8" t="s">
        <v>22195</v>
      </c>
      <c r="C3546" s="8" t="s">
        <v>20383</v>
      </c>
      <c r="D3546" s="8" t="s">
        <v>22196</v>
      </c>
      <c r="E3546" s="8" t="s">
        <v>22197</v>
      </c>
      <c r="F3546" s="8" t="s">
        <v>16964</v>
      </c>
      <c r="G3546" s="8" t="s">
        <v>17259</v>
      </c>
      <c r="H3546" s="8" t="s">
        <v>122</v>
      </c>
      <c r="I3546" s="8" t="s">
        <v>22198</v>
      </c>
      <c r="J3546" s="8" t="s">
        <v>22199</v>
      </c>
      <c r="K3546" s="8" t="s">
        <v>1051</v>
      </c>
      <c r="L3546" s="8" t="s">
        <v>126</v>
      </c>
      <c r="M3546" s="8" t="s">
        <v>22200</v>
      </c>
      <c r="N3546" s="8" t="s">
        <v>128</v>
      </c>
      <c r="O3546" s="8" t="s">
        <v>22201</v>
      </c>
      <c r="P3546" s="8"/>
      <c r="Q3546" s="8" t="s">
        <v>249</v>
      </c>
      <c r="R3546" s="8"/>
      <c r="S3546" s="8" t="s">
        <v>71</v>
      </c>
      <c r="T3546" s="8" t="s">
        <v>1523</v>
      </c>
      <c r="U3546" s="8" t="s">
        <v>134</v>
      </c>
      <c r="V3546" s="8" t="s">
        <v>249</v>
      </c>
      <c r="W3546" s="8" t="s">
        <v>1523</v>
      </c>
      <c r="X3546" s="8">
        <v>2</v>
      </c>
      <c r="Y3546" s="8" t="s">
        <v>12359</v>
      </c>
      <c r="Z3546" s="8">
        <v>20</v>
      </c>
      <c r="AA3546" s="8">
        <v>0</v>
      </c>
      <c r="AB3546" s="9">
        <v>0</v>
      </c>
    </row>
    <row r="3547" spans="1:28" x14ac:dyDescent="0.2">
      <c r="A3547" s="10">
        <v>25587</v>
      </c>
      <c r="B3547" s="11" t="s">
        <v>22202</v>
      </c>
      <c r="C3547" s="11" t="s">
        <v>7516</v>
      </c>
      <c r="D3547" s="11" t="s">
        <v>904</v>
      </c>
      <c r="E3547" s="11" t="s">
        <v>135</v>
      </c>
      <c r="F3547" s="11" t="s">
        <v>353</v>
      </c>
      <c r="G3547" s="11" t="s">
        <v>2035</v>
      </c>
      <c r="H3547" s="11" t="s">
        <v>142</v>
      </c>
      <c r="I3547" s="11" t="s">
        <v>7518</v>
      </c>
      <c r="J3547" s="11" t="s">
        <v>22203</v>
      </c>
      <c r="K3547" s="11" t="s">
        <v>779</v>
      </c>
      <c r="L3547" s="11" t="s">
        <v>464</v>
      </c>
      <c r="M3547" s="11" t="s">
        <v>22204</v>
      </c>
      <c r="N3547" s="11" t="s">
        <v>128</v>
      </c>
      <c r="O3547" s="11" t="s">
        <v>22205</v>
      </c>
      <c r="P3547" s="11"/>
      <c r="Q3547" s="11" t="s">
        <v>249</v>
      </c>
      <c r="R3547" s="11"/>
      <c r="S3547" s="11" t="s">
        <v>71</v>
      </c>
      <c r="T3547" s="11" t="s">
        <v>1523</v>
      </c>
      <c r="U3547" s="11" t="s">
        <v>134</v>
      </c>
      <c r="V3547" s="11" t="s">
        <v>249</v>
      </c>
      <c r="W3547" s="11" t="s">
        <v>1523</v>
      </c>
      <c r="X3547" s="11">
        <v>2</v>
      </c>
      <c r="Y3547" s="11" t="s">
        <v>12359</v>
      </c>
      <c r="Z3547" s="11">
        <v>20</v>
      </c>
      <c r="AA3547" s="11">
        <v>0</v>
      </c>
      <c r="AB3547" s="12">
        <v>0</v>
      </c>
    </row>
    <row r="3548" spans="1:28" x14ac:dyDescent="0.2">
      <c r="A3548" s="7">
        <v>118251</v>
      </c>
      <c r="B3548" s="8" t="s">
        <v>22206</v>
      </c>
      <c r="C3548" s="8" t="s">
        <v>22141</v>
      </c>
      <c r="D3548" s="8" t="s">
        <v>10534</v>
      </c>
      <c r="E3548" s="8"/>
      <c r="F3548" s="8" t="s">
        <v>21572</v>
      </c>
      <c r="G3548" s="8" t="s">
        <v>158</v>
      </c>
      <c r="H3548" s="8" t="s">
        <v>159</v>
      </c>
      <c r="I3548" s="8" t="s">
        <v>22142</v>
      </c>
      <c r="J3548" s="8" t="s">
        <v>22143</v>
      </c>
      <c r="K3548" s="8" t="s">
        <v>162</v>
      </c>
      <c r="L3548" s="8" t="s">
        <v>163</v>
      </c>
      <c r="M3548" s="8" t="s">
        <v>22207</v>
      </c>
      <c r="N3548" s="8" t="s">
        <v>128</v>
      </c>
      <c r="O3548" s="8" t="s">
        <v>22208</v>
      </c>
      <c r="P3548" s="8"/>
      <c r="Q3548" s="8" t="s">
        <v>249</v>
      </c>
      <c r="R3548" s="8"/>
      <c r="S3548" s="8" t="s">
        <v>22146</v>
      </c>
      <c r="T3548" s="8" t="s">
        <v>1523</v>
      </c>
      <c r="U3548" s="8" t="s">
        <v>134</v>
      </c>
      <c r="V3548" s="8" t="s">
        <v>249</v>
      </c>
      <c r="W3548" s="8" t="s">
        <v>1523</v>
      </c>
      <c r="X3548" s="8">
        <v>2</v>
      </c>
      <c r="Y3548" s="8" t="s">
        <v>12359</v>
      </c>
      <c r="Z3548" s="8">
        <v>20</v>
      </c>
      <c r="AA3548" s="8">
        <v>0</v>
      </c>
      <c r="AB3548" s="9">
        <v>0</v>
      </c>
    </row>
    <row r="3549" spans="1:28" x14ac:dyDescent="0.2">
      <c r="A3549" s="10">
        <v>240331</v>
      </c>
      <c r="B3549" s="11" t="s">
        <v>22209</v>
      </c>
      <c r="C3549" s="11" t="s">
        <v>11216</v>
      </c>
      <c r="D3549" s="11" t="s">
        <v>11217</v>
      </c>
      <c r="E3549" s="11"/>
      <c r="F3549" s="11" t="s">
        <v>353</v>
      </c>
      <c r="G3549" s="11" t="s">
        <v>11218</v>
      </c>
      <c r="H3549" s="11" t="s">
        <v>616</v>
      </c>
      <c r="I3549" s="11" t="s">
        <v>11219</v>
      </c>
      <c r="J3549" s="11" t="s">
        <v>11220</v>
      </c>
      <c r="K3549" s="11" t="s">
        <v>619</v>
      </c>
      <c r="L3549" s="11" t="s">
        <v>163</v>
      </c>
      <c r="M3549" s="11" t="s">
        <v>22210</v>
      </c>
      <c r="N3549" s="11" t="s">
        <v>128</v>
      </c>
      <c r="O3549" s="11" t="s">
        <v>22211</v>
      </c>
      <c r="P3549" s="11"/>
      <c r="Q3549" s="11" t="s">
        <v>249</v>
      </c>
      <c r="R3549" s="11"/>
      <c r="S3549" s="11" t="s">
        <v>11223</v>
      </c>
      <c r="T3549" s="11" t="s">
        <v>1523</v>
      </c>
      <c r="U3549" s="11" t="s">
        <v>134</v>
      </c>
      <c r="V3549" s="11" t="s">
        <v>249</v>
      </c>
      <c r="W3549" s="11" t="s">
        <v>1523</v>
      </c>
      <c r="X3549" s="11">
        <v>2</v>
      </c>
      <c r="Y3549" s="11" t="s">
        <v>12359</v>
      </c>
      <c r="Z3549" s="11">
        <v>20</v>
      </c>
      <c r="AA3549" s="11">
        <v>0</v>
      </c>
      <c r="AB3549" s="12">
        <v>0</v>
      </c>
    </row>
    <row r="3550" spans="1:28" x14ac:dyDescent="0.2">
      <c r="A3550" s="7">
        <v>31489</v>
      </c>
      <c r="B3550" s="8" t="s">
        <v>22212</v>
      </c>
      <c r="C3550" s="8" t="s">
        <v>6823</v>
      </c>
      <c r="D3550" s="8" t="s">
        <v>6898</v>
      </c>
      <c r="E3550" s="8"/>
      <c r="F3550" s="8" t="s">
        <v>353</v>
      </c>
      <c r="G3550" s="8" t="s">
        <v>3921</v>
      </c>
      <c r="H3550" s="8" t="s">
        <v>122</v>
      </c>
      <c r="I3550" s="8"/>
      <c r="J3550" s="8" t="s">
        <v>22213</v>
      </c>
      <c r="K3550" s="8" t="s">
        <v>1051</v>
      </c>
      <c r="L3550" s="8" t="s">
        <v>126</v>
      </c>
      <c r="M3550" s="8" t="s">
        <v>22214</v>
      </c>
      <c r="N3550" s="8" t="s">
        <v>128</v>
      </c>
      <c r="O3550" s="8" t="s">
        <v>22215</v>
      </c>
      <c r="P3550" s="8"/>
      <c r="Q3550" s="8" t="s">
        <v>249</v>
      </c>
      <c r="R3550" s="8"/>
      <c r="S3550" s="8" t="s">
        <v>71</v>
      </c>
      <c r="T3550" s="8" t="s">
        <v>1523</v>
      </c>
      <c r="U3550" s="8" t="s">
        <v>134</v>
      </c>
      <c r="V3550" s="8" t="s">
        <v>249</v>
      </c>
      <c r="W3550" s="8" t="s">
        <v>1523</v>
      </c>
      <c r="X3550" s="8">
        <v>2</v>
      </c>
      <c r="Y3550" s="8" t="s">
        <v>12359</v>
      </c>
      <c r="Z3550" s="8">
        <v>20</v>
      </c>
      <c r="AA3550" s="8">
        <v>0</v>
      </c>
      <c r="AB3550" s="9">
        <v>0</v>
      </c>
    </row>
    <row r="3551" spans="1:28" x14ac:dyDescent="0.2">
      <c r="A3551" s="10">
        <v>105826</v>
      </c>
      <c r="B3551" s="11" t="s">
        <v>22216</v>
      </c>
      <c r="C3551" s="11" t="s">
        <v>11354</v>
      </c>
      <c r="D3551" s="11" t="s">
        <v>2173</v>
      </c>
      <c r="E3551" s="11"/>
      <c r="F3551" s="11" t="s">
        <v>353</v>
      </c>
      <c r="G3551" s="11" t="s">
        <v>22217</v>
      </c>
      <c r="H3551" s="11" t="s">
        <v>704</v>
      </c>
      <c r="I3551" s="11" t="s">
        <v>19576</v>
      </c>
      <c r="J3551" s="11" t="s">
        <v>22218</v>
      </c>
      <c r="K3551" s="11" t="s">
        <v>850</v>
      </c>
      <c r="L3551" s="11" t="s">
        <v>126</v>
      </c>
      <c r="M3551" s="11" t="s">
        <v>22219</v>
      </c>
      <c r="N3551" s="11" t="s">
        <v>128</v>
      </c>
      <c r="O3551" s="11" t="s">
        <v>22220</v>
      </c>
      <c r="P3551" s="11"/>
      <c r="Q3551" s="11" t="s">
        <v>249</v>
      </c>
      <c r="R3551" s="11"/>
      <c r="S3551" s="11" t="s">
        <v>71</v>
      </c>
      <c r="T3551" s="11" t="s">
        <v>1523</v>
      </c>
      <c r="U3551" s="11" t="s">
        <v>134</v>
      </c>
      <c r="V3551" s="11" t="s">
        <v>249</v>
      </c>
      <c r="W3551" s="11" t="s">
        <v>1523</v>
      </c>
      <c r="X3551" s="11">
        <v>2</v>
      </c>
      <c r="Y3551" s="11" t="s">
        <v>12359</v>
      </c>
      <c r="Z3551" s="11">
        <v>20</v>
      </c>
      <c r="AA3551" s="11">
        <v>0</v>
      </c>
      <c r="AB3551" s="12">
        <v>0</v>
      </c>
    </row>
    <row r="3552" spans="1:28" x14ac:dyDescent="0.2">
      <c r="A3552" s="7">
        <v>92871</v>
      </c>
      <c r="B3552" s="8" t="s">
        <v>22221</v>
      </c>
      <c r="C3552" s="8" t="s">
        <v>12003</v>
      </c>
      <c r="D3552" s="8" t="s">
        <v>12636</v>
      </c>
      <c r="E3552" s="8"/>
      <c r="F3552" s="8" t="s">
        <v>22222</v>
      </c>
      <c r="G3552" s="8" t="s">
        <v>22223</v>
      </c>
      <c r="H3552" s="8" t="s">
        <v>142</v>
      </c>
      <c r="I3552" s="8" t="s">
        <v>12005</v>
      </c>
      <c r="J3552" s="8" t="s">
        <v>22224</v>
      </c>
      <c r="K3552" s="8" t="s">
        <v>1199</v>
      </c>
      <c r="L3552" s="8" t="s">
        <v>464</v>
      </c>
      <c r="M3552" s="8" t="s">
        <v>22225</v>
      </c>
      <c r="N3552" s="8" t="s">
        <v>128</v>
      </c>
      <c r="O3552" s="8" t="s">
        <v>22226</v>
      </c>
      <c r="P3552" s="8"/>
      <c r="Q3552" s="8" t="s">
        <v>249</v>
      </c>
      <c r="R3552" s="8"/>
      <c r="S3552" s="8" t="s">
        <v>71</v>
      </c>
      <c r="T3552" s="8" t="s">
        <v>1523</v>
      </c>
      <c r="U3552" s="8" t="s">
        <v>134</v>
      </c>
      <c r="V3552" s="8" t="s">
        <v>249</v>
      </c>
      <c r="W3552" s="8" t="s">
        <v>1523</v>
      </c>
      <c r="X3552" s="8">
        <v>2</v>
      </c>
      <c r="Y3552" s="8" t="s">
        <v>12359</v>
      </c>
      <c r="Z3552" s="8">
        <v>20</v>
      </c>
      <c r="AA3552" s="8">
        <v>0</v>
      </c>
      <c r="AB3552" s="9">
        <v>0</v>
      </c>
    </row>
    <row r="3553" spans="1:28" x14ac:dyDescent="0.2">
      <c r="A3553" s="10">
        <v>116990</v>
      </c>
      <c r="B3553" s="11" t="s">
        <v>22227</v>
      </c>
      <c r="C3553" s="11" t="s">
        <v>9923</v>
      </c>
      <c r="D3553" s="11" t="s">
        <v>7213</v>
      </c>
      <c r="E3553" s="11"/>
      <c r="F3553" s="11" t="s">
        <v>9924</v>
      </c>
      <c r="G3553" s="11" t="s">
        <v>328</v>
      </c>
      <c r="H3553" s="11" t="s">
        <v>329</v>
      </c>
      <c r="I3553" s="11" t="s">
        <v>22228</v>
      </c>
      <c r="J3553" s="11" t="s">
        <v>22229</v>
      </c>
      <c r="K3553" s="11" t="s">
        <v>415</v>
      </c>
      <c r="L3553" s="11" t="s">
        <v>333</v>
      </c>
      <c r="M3553" s="11" t="s">
        <v>22230</v>
      </c>
      <c r="N3553" s="11" t="s">
        <v>128</v>
      </c>
      <c r="O3553" s="11" t="s">
        <v>22231</v>
      </c>
      <c r="P3553" s="11"/>
      <c r="Q3553" s="11" t="s">
        <v>249</v>
      </c>
      <c r="R3553" s="11"/>
      <c r="S3553" s="11" t="s">
        <v>71</v>
      </c>
      <c r="T3553" s="11" t="s">
        <v>1523</v>
      </c>
      <c r="U3553" s="11" t="s">
        <v>134</v>
      </c>
      <c r="V3553" s="11" t="s">
        <v>249</v>
      </c>
      <c r="W3553" s="11" t="s">
        <v>1523</v>
      </c>
      <c r="X3553" s="11">
        <v>2</v>
      </c>
      <c r="Y3553" s="11" t="s">
        <v>12359</v>
      </c>
      <c r="Z3553" s="11">
        <v>20</v>
      </c>
      <c r="AA3553" s="11">
        <v>0</v>
      </c>
      <c r="AB3553" s="12">
        <v>0</v>
      </c>
    </row>
    <row r="3554" spans="1:28" x14ac:dyDescent="0.2">
      <c r="A3554" s="7">
        <v>240341</v>
      </c>
      <c r="B3554" s="8" t="s">
        <v>22232</v>
      </c>
      <c r="C3554" s="8" t="s">
        <v>773</v>
      </c>
      <c r="D3554" s="8" t="s">
        <v>22233</v>
      </c>
      <c r="E3554" s="8"/>
      <c r="F3554" s="8" t="s">
        <v>16520</v>
      </c>
      <c r="G3554" s="8" t="s">
        <v>3929</v>
      </c>
      <c r="H3554" s="8" t="s">
        <v>704</v>
      </c>
      <c r="I3554" s="8" t="s">
        <v>22234</v>
      </c>
      <c r="J3554" s="8" t="s">
        <v>22235</v>
      </c>
      <c r="K3554" s="8" t="s">
        <v>850</v>
      </c>
      <c r="L3554" s="8" t="s">
        <v>126</v>
      </c>
      <c r="M3554" s="8" t="s">
        <v>22236</v>
      </c>
      <c r="N3554" s="8" t="s">
        <v>128</v>
      </c>
      <c r="O3554" s="8" t="s">
        <v>22237</v>
      </c>
      <c r="P3554" s="8"/>
      <c r="Q3554" s="8" t="s">
        <v>249</v>
      </c>
      <c r="R3554" s="8"/>
      <c r="S3554" s="8" t="s">
        <v>71</v>
      </c>
      <c r="T3554" s="8" t="s">
        <v>1523</v>
      </c>
      <c r="U3554" s="8" t="s">
        <v>134</v>
      </c>
      <c r="V3554" s="8" t="s">
        <v>249</v>
      </c>
      <c r="W3554" s="8" t="s">
        <v>1523</v>
      </c>
      <c r="X3554" s="8">
        <v>2</v>
      </c>
      <c r="Y3554" s="8" t="s">
        <v>12359</v>
      </c>
      <c r="Z3554" s="8">
        <v>20</v>
      </c>
      <c r="AA3554" s="8">
        <v>0</v>
      </c>
      <c r="AB3554" s="9">
        <v>0</v>
      </c>
    </row>
    <row r="3555" spans="1:28" x14ac:dyDescent="0.2">
      <c r="A3555" s="10">
        <v>25561</v>
      </c>
      <c r="B3555" s="11" t="s">
        <v>22238</v>
      </c>
      <c r="C3555" s="11" t="s">
        <v>19581</v>
      </c>
      <c r="D3555" s="11" t="s">
        <v>2720</v>
      </c>
      <c r="E3555" s="11"/>
      <c r="F3555" s="11" t="s">
        <v>353</v>
      </c>
      <c r="G3555" s="11" t="s">
        <v>19582</v>
      </c>
      <c r="H3555" s="11" t="s">
        <v>847</v>
      </c>
      <c r="I3555" s="11" t="s">
        <v>19583</v>
      </c>
      <c r="J3555" s="11" t="s">
        <v>22239</v>
      </c>
      <c r="K3555" s="11" t="s">
        <v>1091</v>
      </c>
      <c r="L3555" s="11" t="s">
        <v>126</v>
      </c>
      <c r="M3555" s="11" t="s">
        <v>22240</v>
      </c>
      <c r="N3555" s="11" t="s">
        <v>128</v>
      </c>
      <c r="O3555" s="11"/>
      <c r="P3555" s="11"/>
      <c r="Q3555" s="11" t="s">
        <v>249</v>
      </c>
      <c r="R3555" s="11"/>
      <c r="S3555" s="11" t="s">
        <v>71</v>
      </c>
      <c r="T3555" s="11" t="s">
        <v>1523</v>
      </c>
      <c r="U3555" s="11" t="s">
        <v>134</v>
      </c>
      <c r="V3555" s="11" t="s">
        <v>249</v>
      </c>
      <c r="W3555" s="11" t="s">
        <v>1523</v>
      </c>
      <c r="X3555" s="11">
        <v>2</v>
      </c>
      <c r="Y3555" s="11" t="s">
        <v>12359</v>
      </c>
      <c r="Z3555" s="11">
        <v>20</v>
      </c>
      <c r="AA3555" s="11">
        <v>0</v>
      </c>
      <c r="AB3555" s="12">
        <v>0</v>
      </c>
    </row>
    <row r="3556" spans="1:28" x14ac:dyDescent="0.2">
      <c r="A3556" s="7">
        <v>25565</v>
      </c>
      <c r="B3556" s="8" t="s">
        <v>22241</v>
      </c>
      <c r="C3556" s="8" t="s">
        <v>15961</v>
      </c>
      <c r="D3556" s="8" t="s">
        <v>2447</v>
      </c>
      <c r="E3556" s="8" t="s">
        <v>11259</v>
      </c>
      <c r="F3556" s="8" t="s">
        <v>13305</v>
      </c>
      <c r="G3556" s="8" t="s">
        <v>7402</v>
      </c>
      <c r="H3556" s="8" t="s">
        <v>847</v>
      </c>
      <c r="I3556" s="8" t="s">
        <v>15963</v>
      </c>
      <c r="J3556" s="8" t="s">
        <v>15964</v>
      </c>
      <c r="K3556" s="8" t="s">
        <v>1091</v>
      </c>
      <c r="L3556" s="8" t="s">
        <v>126</v>
      </c>
      <c r="M3556" s="8" t="s">
        <v>22242</v>
      </c>
      <c r="N3556" s="8" t="s">
        <v>128</v>
      </c>
      <c r="O3556" s="8" t="s">
        <v>22243</v>
      </c>
      <c r="P3556" s="8" t="s">
        <v>22244</v>
      </c>
      <c r="Q3556" s="8" t="s">
        <v>249</v>
      </c>
      <c r="R3556" s="8"/>
      <c r="S3556" s="8" t="s">
        <v>15968</v>
      </c>
      <c r="T3556" s="8" t="s">
        <v>250</v>
      </c>
      <c r="U3556" s="8" t="s">
        <v>134</v>
      </c>
      <c r="V3556" s="8" t="s">
        <v>249</v>
      </c>
      <c r="W3556" s="8" t="s">
        <v>250</v>
      </c>
      <c r="X3556" s="8">
        <v>2</v>
      </c>
      <c r="Y3556" s="8" t="s">
        <v>12359</v>
      </c>
      <c r="Z3556" s="8">
        <v>20</v>
      </c>
      <c r="AA3556" s="8">
        <v>0</v>
      </c>
      <c r="AB3556" s="9">
        <v>0</v>
      </c>
    </row>
    <row r="3557" spans="1:28" x14ac:dyDescent="0.2">
      <c r="A3557" s="10">
        <v>25456</v>
      </c>
      <c r="B3557" s="11" t="s">
        <v>22245</v>
      </c>
      <c r="C3557" s="11" t="s">
        <v>7976</v>
      </c>
      <c r="D3557" s="11" t="s">
        <v>5951</v>
      </c>
      <c r="E3557" s="11" t="s">
        <v>3523</v>
      </c>
      <c r="F3557" s="11" t="s">
        <v>353</v>
      </c>
      <c r="G3557" s="11" t="s">
        <v>4513</v>
      </c>
      <c r="H3557" s="11" t="s">
        <v>847</v>
      </c>
      <c r="I3557" s="11" t="s">
        <v>7977</v>
      </c>
      <c r="J3557" s="11" t="s">
        <v>22246</v>
      </c>
      <c r="K3557" s="11" t="s">
        <v>1091</v>
      </c>
      <c r="L3557" s="11" t="s">
        <v>126</v>
      </c>
      <c r="M3557" s="11" t="s">
        <v>22247</v>
      </c>
      <c r="N3557" s="11" t="s">
        <v>128</v>
      </c>
      <c r="O3557" s="11" t="s">
        <v>22248</v>
      </c>
      <c r="P3557" s="11" t="s">
        <v>22249</v>
      </c>
      <c r="Q3557" s="11" t="s">
        <v>249</v>
      </c>
      <c r="R3557" s="11"/>
      <c r="S3557" s="11" t="s">
        <v>71</v>
      </c>
      <c r="T3557" s="11" t="s">
        <v>250</v>
      </c>
      <c r="U3557" s="11" t="s">
        <v>134</v>
      </c>
      <c r="V3557" s="11" t="s">
        <v>249</v>
      </c>
      <c r="W3557" s="11" t="s">
        <v>250</v>
      </c>
      <c r="X3557" s="11">
        <v>2</v>
      </c>
      <c r="Y3557" s="11" t="s">
        <v>12359</v>
      </c>
      <c r="Z3557" s="11">
        <v>20</v>
      </c>
      <c r="AA3557" s="11">
        <v>0</v>
      </c>
      <c r="AB3557" s="12">
        <v>0</v>
      </c>
    </row>
    <row r="3558" spans="1:28" x14ac:dyDescent="0.2">
      <c r="A3558" s="7">
        <v>235549</v>
      </c>
      <c r="B3558" s="8" t="s">
        <v>22250</v>
      </c>
      <c r="C3558" s="8" t="s">
        <v>10117</v>
      </c>
      <c r="D3558" s="8" t="s">
        <v>10118</v>
      </c>
      <c r="E3558" s="8" t="s">
        <v>22251</v>
      </c>
      <c r="F3558" s="8" t="s">
        <v>353</v>
      </c>
      <c r="G3558" s="8" t="s">
        <v>10870</v>
      </c>
      <c r="H3558" s="8" t="s">
        <v>616</v>
      </c>
      <c r="I3558" s="8" t="s">
        <v>10120</v>
      </c>
      <c r="J3558" s="8" t="s">
        <v>11164</v>
      </c>
      <c r="K3558" s="8" t="s">
        <v>194</v>
      </c>
      <c r="L3558" s="8" t="s">
        <v>163</v>
      </c>
      <c r="M3558" s="8" t="s">
        <v>22252</v>
      </c>
      <c r="N3558" s="8" t="s">
        <v>128</v>
      </c>
      <c r="O3558" s="8" t="s">
        <v>22253</v>
      </c>
      <c r="P3558" s="8" t="s">
        <v>22254</v>
      </c>
      <c r="Q3558" s="8" t="s">
        <v>249</v>
      </c>
      <c r="R3558" s="8"/>
      <c r="S3558" s="8" t="s">
        <v>10125</v>
      </c>
      <c r="T3558" s="8" t="s">
        <v>250</v>
      </c>
      <c r="U3558" s="8" t="s">
        <v>134</v>
      </c>
      <c r="V3558" s="8" t="s">
        <v>249</v>
      </c>
      <c r="W3558" s="8" t="s">
        <v>250</v>
      </c>
      <c r="X3558" s="8">
        <v>2</v>
      </c>
      <c r="Y3558" s="8" t="s">
        <v>12359</v>
      </c>
      <c r="Z3558" s="8">
        <v>20</v>
      </c>
      <c r="AA3558" s="8">
        <v>0</v>
      </c>
      <c r="AB3558" s="9">
        <v>0</v>
      </c>
    </row>
    <row r="3559" spans="1:28" x14ac:dyDescent="0.2">
      <c r="A3559" s="10">
        <v>31583</v>
      </c>
      <c r="B3559" s="11" t="s">
        <v>22255</v>
      </c>
      <c r="C3559" s="11" t="s">
        <v>22256</v>
      </c>
      <c r="D3559" s="11" t="s">
        <v>13738</v>
      </c>
      <c r="E3559" s="11"/>
      <c r="F3559" s="11" t="s">
        <v>353</v>
      </c>
      <c r="G3559" s="11" t="s">
        <v>20860</v>
      </c>
      <c r="H3559" s="11" t="s">
        <v>557</v>
      </c>
      <c r="I3559" s="11" t="s">
        <v>22257</v>
      </c>
      <c r="J3559" s="11" t="s">
        <v>22258</v>
      </c>
      <c r="K3559" s="11" t="s">
        <v>560</v>
      </c>
      <c r="L3559" s="11" t="s">
        <v>229</v>
      </c>
      <c r="M3559" s="11" t="s">
        <v>22259</v>
      </c>
      <c r="N3559" s="11" t="s">
        <v>128</v>
      </c>
      <c r="O3559" s="11" t="s">
        <v>22260</v>
      </c>
      <c r="P3559" s="11" t="s">
        <v>22261</v>
      </c>
      <c r="Q3559" s="11" t="s">
        <v>249</v>
      </c>
      <c r="R3559" s="11"/>
      <c r="S3559" s="11" t="s">
        <v>71</v>
      </c>
      <c r="T3559" s="11" t="s">
        <v>250</v>
      </c>
      <c r="U3559" s="11" t="s">
        <v>134</v>
      </c>
      <c r="V3559" s="11" t="s">
        <v>249</v>
      </c>
      <c r="W3559" s="11" t="s">
        <v>250</v>
      </c>
      <c r="X3559" s="11">
        <v>2</v>
      </c>
      <c r="Y3559" s="11" t="s">
        <v>12359</v>
      </c>
      <c r="Z3559" s="11">
        <v>20</v>
      </c>
      <c r="AA3559" s="11">
        <v>0</v>
      </c>
      <c r="AB3559" s="12">
        <v>0</v>
      </c>
    </row>
    <row r="3560" spans="1:28" x14ac:dyDescent="0.2">
      <c r="A3560" s="7">
        <v>25854</v>
      </c>
      <c r="B3560" s="8" t="s">
        <v>22262</v>
      </c>
      <c r="C3560" s="8" t="s">
        <v>22263</v>
      </c>
      <c r="D3560" s="8" t="s">
        <v>10293</v>
      </c>
      <c r="E3560" s="8"/>
      <c r="F3560" s="8" t="s">
        <v>353</v>
      </c>
      <c r="G3560" s="8" t="s">
        <v>12262</v>
      </c>
      <c r="H3560" s="8" t="s">
        <v>704</v>
      </c>
      <c r="I3560" s="8" t="s">
        <v>22264</v>
      </c>
      <c r="J3560" s="8" t="s">
        <v>22265</v>
      </c>
      <c r="K3560" s="8" t="s">
        <v>707</v>
      </c>
      <c r="L3560" s="8" t="s">
        <v>126</v>
      </c>
      <c r="M3560" s="8" t="s">
        <v>22266</v>
      </c>
      <c r="N3560" s="8" t="s">
        <v>128</v>
      </c>
      <c r="O3560" s="8" t="s">
        <v>22267</v>
      </c>
      <c r="P3560" s="8"/>
      <c r="Q3560" s="8" t="s">
        <v>150</v>
      </c>
      <c r="R3560" s="8"/>
      <c r="S3560" s="8" t="s">
        <v>71</v>
      </c>
      <c r="T3560" s="8" t="s">
        <v>16705</v>
      </c>
      <c r="U3560" s="8" t="s">
        <v>150</v>
      </c>
      <c r="V3560" s="8" t="s">
        <v>16705</v>
      </c>
      <c r="W3560" s="8" t="s">
        <v>16705</v>
      </c>
      <c r="X3560" s="8">
        <v>1</v>
      </c>
      <c r="Y3560" s="8" t="s">
        <v>12359</v>
      </c>
      <c r="Z3560" s="8">
        <v>20</v>
      </c>
      <c r="AA3560" s="8">
        <v>0</v>
      </c>
      <c r="AB3560" s="9">
        <v>0</v>
      </c>
    </row>
    <row r="3561" spans="1:28" x14ac:dyDescent="0.2">
      <c r="A3561" s="10">
        <v>192462</v>
      </c>
      <c r="B3561" s="11" t="s">
        <v>22268</v>
      </c>
      <c r="C3561" s="11" t="s">
        <v>21721</v>
      </c>
      <c r="D3561" s="11" t="s">
        <v>138</v>
      </c>
      <c r="E3561" s="11"/>
      <c r="F3561" s="11" t="s">
        <v>21722</v>
      </c>
      <c r="G3561" s="11" t="s">
        <v>12262</v>
      </c>
      <c r="H3561" s="11" t="s">
        <v>704</v>
      </c>
      <c r="I3561" s="11"/>
      <c r="J3561" s="11" t="s">
        <v>22269</v>
      </c>
      <c r="K3561" s="11" t="s">
        <v>707</v>
      </c>
      <c r="L3561" s="11" t="s">
        <v>126</v>
      </c>
      <c r="M3561" s="11" t="s">
        <v>22270</v>
      </c>
      <c r="N3561" s="11" t="s">
        <v>128</v>
      </c>
      <c r="O3561" s="11" t="s">
        <v>22271</v>
      </c>
      <c r="P3561" s="11"/>
      <c r="Q3561" s="11" t="s">
        <v>150</v>
      </c>
      <c r="R3561" s="11"/>
      <c r="S3561" s="11" t="s">
        <v>22272</v>
      </c>
      <c r="T3561" s="11" t="s">
        <v>16012</v>
      </c>
      <c r="U3561" s="11" t="s">
        <v>150</v>
      </c>
      <c r="V3561" s="11" t="s">
        <v>16012</v>
      </c>
      <c r="W3561" s="11" t="s">
        <v>16012</v>
      </c>
      <c r="X3561" s="11">
        <v>1</v>
      </c>
      <c r="Y3561" s="11" t="s">
        <v>12359</v>
      </c>
      <c r="Z3561" s="11">
        <v>20</v>
      </c>
      <c r="AA3561" s="11">
        <v>0</v>
      </c>
      <c r="AB3561" s="12">
        <v>0</v>
      </c>
    </row>
    <row r="3562" spans="1:28" x14ac:dyDescent="0.2">
      <c r="A3562" s="7">
        <v>25865</v>
      </c>
      <c r="B3562" s="8" t="s">
        <v>22273</v>
      </c>
      <c r="C3562" s="8" t="s">
        <v>22274</v>
      </c>
      <c r="D3562" s="8" t="s">
        <v>9024</v>
      </c>
      <c r="E3562" s="8"/>
      <c r="F3562" s="8" t="s">
        <v>353</v>
      </c>
      <c r="G3562" s="8" t="s">
        <v>12262</v>
      </c>
      <c r="H3562" s="8" t="s">
        <v>704</v>
      </c>
      <c r="I3562" s="8" t="s">
        <v>12263</v>
      </c>
      <c r="J3562" s="8" t="s">
        <v>22275</v>
      </c>
      <c r="K3562" s="8" t="s">
        <v>707</v>
      </c>
      <c r="L3562" s="8" t="s">
        <v>126</v>
      </c>
      <c r="M3562" s="8" t="s">
        <v>22276</v>
      </c>
      <c r="N3562" s="8" t="s">
        <v>128</v>
      </c>
      <c r="O3562" s="8"/>
      <c r="P3562" s="8"/>
      <c r="Q3562" s="8" t="s">
        <v>150</v>
      </c>
      <c r="R3562" s="8"/>
      <c r="S3562" s="8" t="s">
        <v>71</v>
      </c>
      <c r="T3562" s="8" t="s">
        <v>16012</v>
      </c>
      <c r="U3562" s="8" t="s">
        <v>150</v>
      </c>
      <c r="V3562" s="8" t="s">
        <v>16012</v>
      </c>
      <c r="W3562" s="8" t="s">
        <v>16012</v>
      </c>
      <c r="X3562" s="8">
        <v>1</v>
      </c>
      <c r="Y3562" s="8" t="s">
        <v>12359</v>
      </c>
      <c r="Z3562" s="8">
        <v>20</v>
      </c>
      <c r="AA3562" s="8">
        <v>0</v>
      </c>
      <c r="AB3562" s="9">
        <v>0</v>
      </c>
    </row>
    <row r="3563" spans="1:28" x14ac:dyDescent="0.2">
      <c r="A3563" s="10">
        <v>20829</v>
      </c>
      <c r="B3563" s="11" t="s">
        <v>22277</v>
      </c>
      <c r="C3563" s="11" t="s">
        <v>10332</v>
      </c>
      <c r="D3563" s="11" t="s">
        <v>118</v>
      </c>
      <c r="E3563" s="11" t="s">
        <v>22278</v>
      </c>
      <c r="F3563" s="11" t="s">
        <v>22279</v>
      </c>
      <c r="G3563" s="11" t="s">
        <v>14650</v>
      </c>
      <c r="H3563" s="11" t="s">
        <v>122</v>
      </c>
      <c r="I3563" s="11" t="s">
        <v>22280</v>
      </c>
      <c r="J3563" s="11" t="s">
        <v>22281</v>
      </c>
      <c r="K3563" s="11" t="s">
        <v>125</v>
      </c>
      <c r="L3563" s="11" t="s">
        <v>126</v>
      </c>
      <c r="M3563" s="11" t="s">
        <v>22282</v>
      </c>
      <c r="N3563" s="11" t="s">
        <v>128</v>
      </c>
      <c r="O3563" s="11" t="s">
        <v>22283</v>
      </c>
      <c r="P3563" s="11" t="s">
        <v>22284</v>
      </c>
      <c r="Q3563" s="11" t="s">
        <v>150</v>
      </c>
      <c r="R3563" s="11"/>
      <c r="S3563" s="11" t="s">
        <v>71</v>
      </c>
      <c r="T3563" s="11" t="s">
        <v>289</v>
      </c>
      <c r="U3563" s="11" t="s">
        <v>150</v>
      </c>
      <c r="V3563" s="11" t="s">
        <v>289</v>
      </c>
      <c r="W3563" s="11" t="s">
        <v>289</v>
      </c>
      <c r="X3563" s="11">
        <v>1</v>
      </c>
      <c r="Y3563" s="11" t="s">
        <v>12359</v>
      </c>
      <c r="Z3563" s="11">
        <v>20</v>
      </c>
      <c r="AA3563" s="11">
        <v>0</v>
      </c>
      <c r="AB3563" s="12">
        <v>0</v>
      </c>
    </row>
    <row r="3564" spans="1:28" x14ac:dyDescent="0.2">
      <c r="A3564" s="7">
        <v>21112</v>
      </c>
      <c r="B3564" s="8" t="s">
        <v>22285</v>
      </c>
      <c r="C3564" s="8" t="s">
        <v>4777</v>
      </c>
      <c r="D3564" s="8" t="s">
        <v>21928</v>
      </c>
      <c r="E3564" s="8" t="s">
        <v>10671</v>
      </c>
      <c r="F3564" s="8" t="s">
        <v>353</v>
      </c>
      <c r="G3564" s="8" t="s">
        <v>22286</v>
      </c>
      <c r="H3564" s="8" t="s">
        <v>301</v>
      </c>
      <c r="I3564" s="8" t="s">
        <v>22287</v>
      </c>
      <c r="J3564" s="8" t="s">
        <v>22288</v>
      </c>
      <c r="K3564" s="8" t="s">
        <v>304</v>
      </c>
      <c r="L3564" s="8" t="s">
        <v>229</v>
      </c>
      <c r="M3564" s="8" t="s">
        <v>22289</v>
      </c>
      <c r="N3564" s="8" t="s">
        <v>128</v>
      </c>
      <c r="O3564" s="8" t="s">
        <v>22290</v>
      </c>
      <c r="P3564" s="8" t="s">
        <v>22291</v>
      </c>
      <c r="Q3564" s="8" t="s">
        <v>150</v>
      </c>
      <c r="R3564" s="8"/>
      <c r="S3564" s="8" t="s">
        <v>22292</v>
      </c>
      <c r="T3564" s="8" t="s">
        <v>289</v>
      </c>
      <c r="U3564" s="8" t="s">
        <v>150</v>
      </c>
      <c r="V3564" s="8" t="s">
        <v>289</v>
      </c>
      <c r="W3564" s="8" t="s">
        <v>289</v>
      </c>
      <c r="X3564" s="8">
        <v>1</v>
      </c>
      <c r="Y3564" s="8" t="s">
        <v>12359</v>
      </c>
      <c r="Z3564" s="8">
        <v>20</v>
      </c>
      <c r="AA3564" s="8">
        <v>0</v>
      </c>
      <c r="AB3564" s="9">
        <v>0</v>
      </c>
    </row>
    <row r="3565" spans="1:28" x14ac:dyDescent="0.2">
      <c r="A3565" s="10">
        <v>20795</v>
      </c>
      <c r="B3565" s="11" t="s">
        <v>22293</v>
      </c>
      <c r="C3565" s="11" t="s">
        <v>4777</v>
      </c>
      <c r="D3565" s="11" t="s">
        <v>22294</v>
      </c>
      <c r="E3565" s="11"/>
      <c r="F3565" s="11" t="s">
        <v>353</v>
      </c>
      <c r="G3565" s="11" t="s">
        <v>11394</v>
      </c>
      <c r="H3565" s="11" t="s">
        <v>704</v>
      </c>
      <c r="I3565" s="11" t="s">
        <v>22295</v>
      </c>
      <c r="J3565" s="11" t="s">
        <v>22296</v>
      </c>
      <c r="K3565" s="11" t="s">
        <v>707</v>
      </c>
      <c r="L3565" s="11" t="s">
        <v>126</v>
      </c>
      <c r="M3565" s="11" t="s">
        <v>22297</v>
      </c>
      <c r="N3565" s="11" t="s">
        <v>128</v>
      </c>
      <c r="O3565" s="11" t="s">
        <v>22298</v>
      </c>
      <c r="P3565" s="11" t="s">
        <v>22299</v>
      </c>
      <c r="Q3565" s="11" t="s">
        <v>150</v>
      </c>
      <c r="R3565" s="11"/>
      <c r="S3565" s="11" t="s">
        <v>71</v>
      </c>
      <c r="T3565" s="11" t="s">
        <v>289</v>
      </c>
      <c r="U3565" s="11" t="s">
        <v>150</v>
      </c>
      <c r="V3565" s="11" t="s">
        <v>289</v>
      </c>
      <c r="W3565" s="11" t="s">
        <v>289</v>
      </c>
      <c r="X3565" s="11">
        <v>1</v>
      </c>
      <c r="Y3565" s="11" t="s">
        <v>12359</v>
      </c>
      <c r="Z3565" s="11">
        <v>20</v>
      </c>
      <c r="AA3565" s="11">
        <v>0</v>
      </c>
      <c r="AB3565" s="12">
        <v>0</v>
      </c>
    </row>
    <row r="3566" spans="1:28" x14ac:dyDescent="0.2">
      <c r="A3566" s="7">
        <v>111606</v>
      </c>
      <c r="B3566" s="8" t="s">
        <v>22300</v>
      </c>
      <c r="C3566" s="8" t="s">
        <v>22301</v>
      </c>
      <c r="D3566" s="8" t="s">
        <v>2690</v>
      </c>
      <c r="E3566" s="8"/>
      <c r="F3566" s="8" t="s">
        <v>353</v>
      </c>
      <c r="G3566" s="8" t="s">
        <v>3274</v>
      </c>
      <c r="H3566" s="8" t="s">
        <v>329</v>
      </c>
      <c r="I3566" s="8" t="s">
        <v>22302</v>
      </c>
      <c r="J3566" s="8" t="s">
        <v>22303</v>
      </c>
      <c r="K3566" s="8" t="s">
        <v>431</v>
      </c>
      <c r="L3566" s="8" t="s">
        <v>333</v>
      </c>
      <c r="M3566" s="8" t="s">
        <v>22304</v>
      </c>
      <c r="N3566" s="8" t="s">
        <v>128</v>
      </c>
      <c r="O3566" s="8" t="s">
        <v>22305</v>
      </c>
      <c r="P3566" s="8" t="s">
        <v>22306</v>
      </c>
      <c r="Q3566" s="8" t="s">
        <v>150</v>
      </c>
      <c r="R3566" s="8"/>
      <c r="S3566" s="8" t="s">
        <v>71</v>
      </c>
      <c r="T3566" s="8" t="s">
        <v>642</v>
      </c>
      <c r="U3566" s="8" t="s">
        <v>150</v>
      </c>
      <c r="V3566" s="8" t="s">
        <v>642</v>
      </c>
      <c r="W3566" s="8" t="s">
        <v>642</v>
      </c>
      <c r="X3566" s="8">
        <v>1</v>
      </c>
      <c r="Y3566" s="8" t="s">
        <v>12359</v>
      </c>
      <c r="Z3566" s="8">
        <v>20</v>
      </c>
      <c r="AA3566" s="8">
        <v>0</v>
      </c>
      <c r="AB3566" s="9">
        <v>0</v>
      </c>
    </row>
    <row r="3567" spans="1:28" x14ac:dyDescent="0.2">
      <c r="A3567" s="10">
        <v>125688</v>
      </c>
      <c r="B3567" s="11" t="s">
        <v>22307</v>
      </c>
      <c r="C3567" s="11" t="s">
        <v>22308</v>
      </c>
      <c r="D3567" s="11" t="s">
        <v>2839</v>
      </c>
      <c r="E3567" s="11"/>
      <c r="F3567" s="11" t="s">
        <v>353</v>
      </c>
      <c r="G3567" s="11" t="s">
        <v>1559</v>
      </c>
      <c r="H3567" s="11" t="s">
        <v>557</v>
      </c>
      <c r="I3567" s="11" t="s">
        <v>22309</v>
      </c>
      <c r="J3567" s="11" t="s">
        <v>22310</v>
      </c>
      <c r="K3567" s="11" t="s">
        <v>1562</v>
      </c>
      <c r="L3567" s="11" t="s">
        <v>229</v>
      </c>
      <c r="M3567" s="11" t="s">
        <v>22311</v>
      </c>
      <c r="N3567" s="11" t="s">
        <v>128</v>
      </c>
      <c r="O3567" s="11" t="s">
        <v>22312</v>
      </c>
      <c r="P3567" s="11"/>
      <c r="Q3567" s="11" t="s">
        <v>150</v>
      </c>
      <c r="R3567" s="11"/>
      <c r="S3567" s="11" t="s">
        <v>22313</v>
      </c>
      <c r="T3567" s="11" t="s">
        <v>642</v>
      </c>
      <c r="U3567" s="11" t="s">
        <v>150</v>
      </c>
      <c r="V3567" s="11" t="s">
        <v>642</v>
      </c>
      <c r="W3567" s="11" t="s">
        <v>642</v>
      </c>
      <c r="X3567" s="11">
        <v>1</v>
      </c>
      <c r="Y3567" s="11" t="s">
        <v>12359</v>
      </c>
      <c r="Z3567" s="11">
        <v>20</v>
      </c>
      <c r="AA3567" s="11">
        <v>0</v>
      </c>
      <c r="AB3567" s="12">
        <v>0</v>
      </c>
    </row>
    <row r="3568" spans="1:28" x14ac:dyDescent="0.2">
      <c r="A3568" s="7">
        <v>26130</v>
      </c>
      <c r="B3568" s="8" t="s">
        <v>22314</v>
      </c>
      <c r="C3568" s="8" t="s">
        <v>22315</v>
      </c>
      <c r="D3568" s="8" t="s">
        <v>138</v>
      </c>
      <c r="E3568" s="8"/>
      <c r="F3568" s="8" t="s">
        <v>353</v>
      </c>
      <c r="G3568" s="8" t="s">
        <v>1488</v>
      </c>
      <c r="H3568" s="8" t="s">
        <v>329</v>
      </c>
      <c r="I3568" s="8" t="s">
        <v>22316</v>
      </c>
      <c r="J3568" s="8" t="s">
        <v>22317</v>
      </c>
      <c r="K3568" s="8" t="s">
        <v>415</v>
      </c>
      <c r="L3568" s="8" t="s">
        <v>333</v>
      </c>
      <c r="M3568" s="8" t="s">
        <v>22318</v>
      </c>
      <c r="N3568" s="8" t="s">
        <v>128</v>
      </c>
      <c r="O3568" s="8"/>
      <c r="P3568" s="8"/>
      <c r="Q3568" s="8" t="s">
        <v>150</v>
      </c>
      <c r="R3568" s="8"/>
      <c r="S3568" s="8" t="s">
        <v>71</v>
      </c>
      <c r="T3568" s="8" t="s">
        <v>642</v>
      </c>
      <c r="U3568" s="8" t="s">
        <v>150</v>
      </c>
      <c r="V3568" s="8" t="s">
        <v>642</v>
      </c>
      <c r="W3568" s="8" t="s">
        <v>642</v>
      </c>
      <c r="X3568" s="8">
        <v>1</v>
      </c>
      <c r="Y3568" s="8" t="s">
        <v>12359</v>
      </c>
      <c r="Z3568" s="8">
        <v>20</v>
      </c>
      <c r="AA3568" s="8">
        <v>0</v>
      </c>
      <c r="AB3568" s="9">
        <v>0</v>
      </c>
    </row>
    <row r="3569" spans="1:28" x14ac:dyDescent="0.2">
      <c r="A3569" s="10">
        <v>21629</v>
      </c>
      <c r="B3569" s="11" t="s">
        <v>22319</v>
      </c>
      <c r="C3569" s="11" t="s">
        <v>22320</v>
      </c>
      <c r="D3569" s="11" t="s">
        <v>8545</v>
      </c>
      <c r="E3569" s="11" t="s">
        <v>22321</v>
      </c>
      <c r="F3569" s="11" t="s">
        <v>353</v>
      </c>
      <c r="G3569" s="11" t="s">
        <v>22322</v>
      </c>
      <c r="H3569" s="11" t="s">
        <v>329</v>
      </c>
      <c r="I3569" s="11" t="s">
        <v>22323</v>
      </c>
      <c r="J3569" s="11" t="s">
        <v>22324</v>
      </c>
      <c r="K3569" s="11" t="s">
        <v>431</v>
      </c>
      <c r="L3569" s="11" t="s">
        <v>333</v>
      </c>
      <c r="M3569" s="11" t="s">
        <v>22325</v>
      </c>
      <c r="N3569" s="11" t="s">
        <v>128</v>
      </c>
      <c r="O3569" s="11" t="s">
        <v>22326</v>
      </c>
      <c r="P3569" s="11" t="s">
        <v>22327</v>
      </c>
      <c r="Q3569" s="11" t="s">
        <v>150</v>
      </c>
      <c r="R3569" s="11"/>
      <c r="S3569" s="11" t="s">
        <v>71</v>
      </c>
      <c r="T3569" s="11" t="s">
        <v>67</v>
      </c>
      <c r="U3569" s="11" t="s">
        <v>150</v>
      </c>
      <c r="V3569" s="11" t="s">
        <v>152</v>
      </c>
      <c r="W3569" s="11" t="s">
        <v>67</v>
      </c>
      <c r="X3569" s="11">
        <v>1</v>
      </c>
      <c r="Y3569" s="11" t="s">
        <v>12359</v>
      </c>
      <c r="Z3569" s="11">
        <v>20</v>
      </c>
      <c r="AA3569" s="11">
        <v>0</v>
      </c>
      <c r="AB3569" s="12">
        <v>0</v>
      </c>
    </row>
    <row r="3570" spans="1:28" x14ac:dyDescent="0.2">
      <c r="A3570" s="7">
        <v>21630</v>
      </c>
      <c r="B3570" s="8" t="s">
        <v>22328</v>
      </c>
      <c r="C3570" s="8" t="s">
        <v>22320</v>
      </c>
      <c r="D3570" s="8" t="s">
        <v>14689</v>
      </c>
      <c r="E3570" s="8" t="s">
        <v>22329</v>
      </c>
      <c r="F3570" s="8" t="s">
        <v>353</v>
      </c>
      <c r="G3570" s="8" t="s">
        <v>22322</v>
      </c>
      <c r="H3570" s="8" t="s">
        <v>329</v>
      </c>
      <c r="I3570" s="8" t="s">
        <v>22323</v>
      </c>
      <c r="J3570" s="8" t="s">
        <v>22330</v>
      </c>
      <c r="K3570" s="8" t="s">
        <v>431</v>
      </c>
      <c r="L3570" s="8" t="s">
        <v>333</v>
      </c>
      <c r="M3570" s="8" t="s">
        <v>22331</v>
      </c>
      <c r="N3570" s="8" t="s">
        <v>128</v>
      </c>
      <c r="O3570" s="8" t="s">
        <v>22332</v>
      </c>
      <c r="P3570" s="8" t="s">
        <v>22333</v>
      </c>
      <c r="Q3570" s="8" t="s">
        <v>150</v>
      </c>
      <c r="R3570" s="8"/>
      <c r="S3570" s="8" t="s">
        <v>71</v>
      </c>
      <c r="T3570" s="8" t="s">
        <v>67</v>
      </c>
      <c r="U3570" s="8" t="s">
        <v>150</v>
      </c>
      <c r="V3570" s="8" t="s">
        <v>152</v>
      </c>
      <c r="W3570" s="8" t="s">
        <v>67</v>
      </c>
      <c r="X3570" s="8">
        <v>1</v>
      </c>
      <c r="Y3570" s="8" t="s">
        <v>12359</v>
      </c>
      <c r="Z3570" s="8">
        <v>20</v>
      </c>
      <c r="AA3570" s="8">
        <v>0</v>
      </c>
      <c r="AB3570" s="9">
        <v>0</v>
      </c>
    </row>
    <row r="3571" spans="1:28" x14ac:dyDescent="0.2">
      <c r="A3571" s="10">
        <v>21651</v>
      </c>
      <c r="B3571" s="11" t="s">
        <v>22334</v>
      </c>
      <c r="C3571" s="11" t="s">
        <v>22335</v>
      </c>
      <c r="D3571" s="11" t="s">
        <v>1299</v>
      </c>
      <c r="E3571" s="11" t="s">
        <v>22336</v>
      </c>
      <c r="F3571" s="11" t="s">
        <v>353</v>
      </c>
      <c r="G3571" s="11" t="s">
        <v>22337</v>
      </c>
      <c r="H3571" s="11" t="s">
        <v>329</v>
      </c>
      <c r="I3571" s="11" t="s">
        <v>22338</v>
      </c>
      <c r="J3571" s="11" t="s">
        <v>22339</v>
      </c>
      <c r="K3571" s="11" t="s">
        <v>431</v>
      </c>
      <c r="L3571" s="11" t="s">
        <v>333</v>
      </c>
      <c r="M3571" s="11" t="s">
        <v>22340</v>
      </c>
      <c r="N3571" s="11" t="s">
        <v>128</v>
      </c>
      <c r="O3571" s="11" t="s">
        <v>22341</v>
      </c>
      <c r="P3571" s="11" t="s">
        <v>7829</v>
      </c>
      <c r="Q3571" s="11" t="s">
        <v>150</v>
      </c>
      <c r="R3571" s="11"/>
      <c r="S3571" s="11" t="s">
        <v>71</v>
      </c>
      <c r="T3571" s="11" t="s">
        <v>67</v>
      </c>
      <c r="U3571" s="11" t="s">
        <v>150</v>
      </c>
      <c r="V3571" s="11" t="s">
        <v>152</v>
      </c>
      <c r="W3571" s="11" t="s">
        <v>67</v>
      </c>
      <c r="X3571" s="11">
        <v>1</v>
      </c>
      <c r="Y3571" s="11" t="s">
        <v>12359</v>
      </c>
      <c r="Z3571" s="11">
        <v>20</v>
      </c>
      <c r="AA3571" s="11">
        <v>0</v>
      </c>
      <c r="AB3571" s="12">
        <v>0</v>
      </c>
    </row>
    <row r="3572" spans="1:28" x14ac:dyDescent="0.2">
      <c r="A3572" s="7">
        <v>21670</v>
      </c>
      <c r="B3572" s="8" t="s">
        <v>22342</v>
      </c>
      <c r="C3572" s="8" t="s">
        <v>22343</v>
      </c>
      <c r="D3572" s="8" t="s">
        <v>8086</v>
      </c>
      <c r="E3572" s="8" t="s">
        <v>22344</v>
      </c>
      <c r="F3572" s="8" t="s">
        <v>353</v>
      </c>
      <c r="G3572" s="8" t="s">
        <v>22286</v>
      </c>
      <c r="H3572" s="8" t="s">
        <v>301</v>
      </c>
      <c r="I3572" s="8" t="s">
        <v>22345</v>
      </c>
      <c r="J3572" s="8" t="s">
        <v>22346</v>
      </c>
      <c r="K3572" s="8" t="s">
        <v>304</v>
      </c>
      <c r="L3572" s="8" t="s">
        <v>229</v>
      </c>
      <c r="M3572" s="8" t="s">
        <v>22347</v>
      </c>
      <c r="N3572" s="8" t="s">
        <v>128</v>
      </c>
      <c r="O3572" s="8" t="s">
        <v>22348</v>
      </c>
      <c r="P3572" s="8" t="s">
        <v>3327</v>
      </c>
      <c r="Q3572" s="8" t="s">
        <v>150</v>
      </c>
      <c r="R3572" s="8"/>
      <c r="S3572" s="8" t="s">
        <v>71</v>
      </c>
      <c r="T3572" s="8" t="s">
        <v>67</v>
      </c>
      <c r="U3572" s="8" t="s">
        <v>150</v>
      </c>
      <c r="V3572" s="8" t="s">
        <v>152</v>
      </c>
      <c r="W3572" s="8" t="s">
        <v>67</v>
      </c>
      <c r="X3572" s="8">
        <v>1</v>
      </c>
      <c r="Y3572" s="8" t="s">
        <v>12359</v>
      </c>
      <c r="Z3572" s="8">
        <v>20</v>
      </c>
      <c r="AA3572" s="8">
        <v>0</v>
      </c>
      <c r="AB3572" s="9">
        <v>0</v>
      </c>
    </row>
    <row r="3573" spans="1:28" x14ac:dyDescent="0.2">
      <c r="A3573" s="10">
        <v>21282</v>
      </c>
      <c r="B3573" s="11" t="s">
        <v>22349</v>
      </c>
      <c r="C3573" s="11" t="s">
        <v>22350</v>
      </c>
      <c r="D3573" s="11" t="s">
        <v>6772</v>
      </c>
      <c r="E3573" s="11"/>
      <c r="F3573" s="11" t="s">
        <v>353</v>
      </c>
      <c r="G3573" s="11" t="s">
        <v>17692</v>
      </c>
      <c r="H3573" s="11" t="s">
        <v>142</v>
      </c>
      <c r="I3573" s="11" t="s">
        <v>22351</v>
      </c>
      <c r="J3573" s="11" t="s">
        <v>22352</v>
      </c>
      <c r="K3573" s="11" t="s">
        <v>779</v>
      </c>
      <c r="L3573" s="11" t="s">
        <v>464</v>
      </c>
      <c r="M3573" s="11" t="s">
        <v>22353</v>
      </c>
      <c r="N3573" s="11" t="s">
        <v>128</v>
      </c>
      <c r="O3573" s="11" t="s">
        <v>22354</v>
      </c>
      <c r="P3573" s="11" t="s">
        <v>13133</v>
      </c>
      <c r="Q3573" s="11" t="s">
        <v>150</v>
      </c>
      <c r="R3573" s="11"/>
      <c r="S3573" s="11" t="s">
        <v>71</v>
      </c>
      <c r="T3573" s="11" t="s">
        <v>67</v>
      </c>
      <c r="U3573" s="11" t="s">
        <v>150</v>
      </c>
      <c r="V3573" s="11" t="s">
        <v>152</v>
      </c>
      <c r="W3573" s="11" t="s">
        <v>67</v>
      </c>
      <c r="X3573" s="11">
        <v>1</v>
      </c>
      <c r="Y3573" s="11" t="s">
        <v>12359</v>
      </c>
      <c r="Z3573" s="11">
        <v>20</v>
      </c>
      <c r="AA3573" s="11">
        <v>0</v>
      </c>
      <c r="AB3573" s="12">
        <v>0</v>
      </c>
    </row>
    <row r="3574" spans="1:28" x14ac:dyDescent="0.2">
      <c r="A3574" s="7">
        <v>21608</v>
      </c>
      <c r="B3574" s="8" t="s">
        <v>22355</v>
      </c>
      <c r="C3574" s="8" t="s">
        <v>22356</v>
      </c>
      <c r="D3574" s="8" t="s">
        <v>2504</v>
      </c>
      <c r="E3574" s="8"/>
      <c r="F3574" s="8" t="s">
        <v>353</v>
      </c>
      <c r="G3574" s="8" t="s">
        <v>22357</v>
      </c>
      <c r="H3574" s="8" t="s">
        <v>142</v>
      </c>
      <c r="I3574" s="8" t="s">
        <v>22358</v>
      </c>
      <c r="J3574" s="8" t="s">
        <v>22359</v>
      </c>
      <c r="K3574" s="8" t="s">
        <v>1199</v>
      </c>
      <c r="L3574" s="8" t="s">
        <v>464</v>
      </c>
      <c r="M3574" s="8" t="s">
        <v>22360</v>
      </c>
      <c r="N3574" s="8" t="s">
        <v>128</v>
      </c>
      <c r="O3574" s="8" t="s">
        <v>22361</v>
      </c>
      <c r="P3574" s="8" t="s">
        <v>18286</v>
      </c>
      <c r="Q3574" s="8" t="s">
        <v>150</v>
      </c>
      <c r="R3574" s="8"/>
      <c r="S3574" s="8" t="s">
        <v>71</v>
      </c>
      <c r="T3574" s="8" t="s">
        <v>67</v>
      </c>
      <c r="U3574" s="8" t="s">
        <v>150</v>
      </c>
      <c r="V3574" s="8" t="s">
        <v>152</v>
      </c>
      <c r="W3574" s="8" t="s">
        <v>67</v>
      </c>
      <c r="X3574" s="8">
        <v>1</v>
      </c>
      <c r="Y3574" s="8" t="s">
        <v>12359</v>
      </c>
      <c r="Z3574" s="8">
        <v>20</v>
      </c>
      <c r="AA3574" s="8">
        <v>0</v>
      </c>
      <c r="AB3574" s="9">
        <v>0</v>
      </c>
    </row>
    <row r="3575" spans="1:28" x14ac:dyDescent="0.2">
      <c r="A3575" s="10">
        <v>26216</v>
      </c>
      <c r="B3575" s="11" t="s">
        <v>22362</v>
      </c>
      <c r="C3575" s="11" t="s">
        <v>22363</v>
      </c>
      <c r="D3575" s="11" t="s">
        <v>8918</v>
      </c>
      <c r="E3575" s="11"/>
      <c r="F3575" s="11" t="s">
        <v>353</v>
      </c>
      <c r="G3575" s="11" t="s">
        <v>22364</v>
      </c>
      <c r="H3575" s="11" t="s">
        <v>142</v>
      </c>
      <c r="I3575" s="11" t="s">
        <v>22365</v>
      </c>
      <c r="J3575" s="11" t="s">
        <v>22366</v>
      </c>
      <c r="K3575" s="11" t="s">
        <v>779</v>
      </c>
      <c r="L3575" s="11" t="s">
        <v>464</v>
      </c>
      <c r="M3575" s="11" t="s">
        <v>22367</v>
      </c>
      <c r="N3575" s="11" t="s">
        <v>128</v>
      </c>
      <c r="O3575" s="11" t="s">
        <v>22368</v>
      </c>
      <c r="P3575" s="11" t="s">
        <v>22369</v>
      </c>
      <c r="Q3575" s="11" t="s">
        <v>150</v>
      </c>
      <c r="R3575" s="11"/>
      <c r="S3575" s="11" t="s">
        <v>71</v>
      </c>
      <c r="T3575" s="11" t="s">
        <v>67</v>
      </c>
      <c r="U3575" s="11" t="s">
        <v>150</v>
      </c>
      <c r="V3575" s="11" t="s">
        <v>152</v>
      </c>
      <c r="W3575" s="11" t="s">
        <v>67</v>
      </c>
      <c r="X3575" s="11">
        <v>1</v>
      </c>
      <c r="Y3575" s="11" t="s">
        <v>12359</v>
      </c>
      <c r="Z3575" s="11">
        <v>20</v>
      </c>
      <c r="AA3575" s="11">
        <v>0</v>
      </c>
      <c r="AB3575" s="12">
        <v>0</v>
      </c>
    </row>
    <row r="3576" spans="1:28" x14ac:dyDescent="0.2">
      <c r="A3576" s="7">
        <v>26392</v>
      </c>
      <c r="B3576" s="8" t="s">
        <v>22370</v>
      </c>
      <c r="C3576" s="8" t="s">
        <v>10421</v>
      </c>
      <c r="D3576" s="8" t="s">
        <v>4511</v>
      </c>
      <c r="E3576" s="8"/>
      <c r="F3576" s="8" t="s">
        <v>353</v>
      </c>
      <c r="G3576" s="8" t="s">
        <v>20613</v>
      </c>
      <c r="H3576" s="8" t="s">
        <v>142</v>
      </c>
      <c r="I3576" s="8" t="s">
        <v>22371</v>
      </c>
      <c r="J3576" s="8" t="s">
        <v>22372</v>
      </c>
      <c r="K3576" s="8" t="s">
        <v>1199</v>
      </c>
      <c r="L3576" s="8" t="s">
        <v>464</v>
      </c>
      <c r="M3576" s="8" t="s">
        <v>22373</v>
      </c>
      <c r="N3576" s="8" t="s">
        <v>128</v>
      </c>
      <c r="O3576" s="8" t="s">
        <v>22374</v>
      </c>
      <c r="P3576" s="8" t="s">
        <v>9610</v>
      </c>
      <c r="Q3576" s="8" t="s">
        <v>150</v>
      </c>
      <c r="R3576" s="8"/>
      <c r="S3576" s="8" t="s">
        <v>71</v>
      </c>
      <c r="T3576" s="8" t="s">
        <v>67</v>
      </c>
      <c r="U3576" s="8" t="s">
        <v>150</v>
      </c>
      <c r="V3576" s="8" t="s">
        <v>152</v>
      </c>
      <c r="W3576" s="8" t="s">
        <v>67</v>
      </c>
      <c r="X3576" s="8">
        <v>1</v>
      </c>
      <c r="Y3576" s="8" t="s">
        <v>12359</v>
      </c>
      <c r="Z3576" s="8">
        <v>20</v>
      </c>
      <c r="AA3576" s="8">
        <v>0</v>
      </c>
      <c r="AB3576" s="9">
        <v>0</v>
      </c>
    </row>
    <row r="3577" spans="1:28" x14ac:dyDescent="0.2">
      <c r="A3577" s="10">
        <v>86810</v>
      </c>
      <c r="B3577" s="11" t="s">
        <v>22375</v>
      </c>
      <c r="C3577" s="11" t="s">
        <v>8130</v>
      </c>
      <c r="D3577" s="11" t="s">
        <v>3324</v>
      </c>
      <c r="E3577" s="11"/>
      <c r="F3577" s="11" t="s">
        <v>353</v>
      </c>
      <c r="G3577" s="11" t="s">
        <v>22376</v>
      </c>
      <c r="H3577" s="11" t="s">
        <v>142</v>
      </c>
      <c r="I3577" s="11" t="s">
        <v>22377</v>
      </c>
      <c r="J3577" s="11" t="s">
        <v>22378</v>
      </c>
      <c r="K3577" s="11" t="s">
        <v>1673</v>
      </c>
      <c r="L3577" s="11" t="s">
        <v>464</v>
      </c>
      <c r="M3577" s="11" t="s">
        <v>22379</v>
      </c>
      <c r="N3577" s="11" t="s">
        <v>128</v>
      </c>
      <c r="O3577" s="11" t="s">
        <v>22380</v>
      </c>
      <c r="P3577" s="11" t="s">
        <v>22381</v>
      </c>
      <c r="Q3577" s="11" t="s">
        <v>150</v>
      </c>
      <c r="R3577" s="11"/>
      <c r="S3577" s="11" t="s">
        <v>71</v>
      </c>
      <c r="T3577" s="11" t="s">
        <v>67</v>
      </c>
      <c r="U3577" s="11" t="s">
        <v>150</v>
      </c>
      <c r="V3577" s="11" t="s">
        <v>152</v>
      </c>
      <c r="W3577" s="11" t="s">
        <v>67</v>
      </c>
      <c r="X3577" s="11">
        <v>1</v>
      </c>
      <c r="Y3577" s="11" t="s">
        <v>12359</v>
      </c>
      <c r="Z3577" s="11">
        <v>20</v>
      </c>
      <c r="AA3577" s="11">
        <v>0</v>
      </c>
      <c r="AB3577" s="12">
        <v>0</v>
      </c>
    </row>
    <row r="3578" spans="1:28" x14ac:dyDescent="0.2">
      <c r="A3578" s="7">
        <v>92243</v>
      </c>
      <c r="B3578" s="8" t="s">
        <v>22382</v>
      </c>
      <c r="C3578" s="8" t="s">
        <v>22383</v>
      </c>
      <c r="D3578" s="8" t="s">
        <v>22384</v>
      </c>
      <c r="E3578" s="8"/>
      <c r="F3578" s="8" t="s">
        <v>353</v>
      </c>
      <c r="G3578" s="8" t="s">
        <v>15919</v>
      </c>
      <c r="H3578" s="8" t="s">
        <v>5805</v>
      </c>
      <c r="I3578" s="8" t="s">
        <v>6006</v>
      </c>
      <c r="J3578" s="8" t="s">
        <v>22385</v>
      </c>
      <c r="K3578" s="8" t="s">
        <v>274</v>
      </c>
      <c r="L3578" s="8" t="s">
        <v>163</v>
      </c>
      <c r="M3578" s="8" t="s">
        <v>22386</v>
      </c>
      <c r="N3578" s="8" t="s">
        <v>128</v>
      </c>
      <c r="O3578" s="8" t="s">
        <v>22387</v>
      </c>
      <c r="P3578" s="8" t="s">
        <v>22388</v>
      </c>
      <c r="Q3578" s="8" t="s">
        <v>150</v>
      </c>
      <c r="R3578" s="8"/>
      <c r="S3578" s="8" t="s">
        <v>71</v>
      </c>
      <c r="T3578" s="8" t="s">
        <v>67</v>
      </c>
      <c r="U3578" s="8" t="s">
        <v>150</v>
      </c>
      <c r="V3578" s="8" t="s">
        <v>152</v>
      </c>
      <c r="W3578" s="8" t="s">
        <v>67</v>
      </c>
      <c r="X3578" s="8">
        <v>1</v>
      </c>
      <c r="Y3578" s="8" t="s">
        <v>12359</v>
      </c>
      <c r="Z3578" s="8">
        <v>20</v>
      </c>
      <c r="AA3578" s="8">
        <v>0</v>
      </c>
      <c r="AB3578" s="9">
        <v>0</v>
      </c>
    </row>
    <row r="3579" spans="1:28" x14ac:dyDescent="0.2">
      <c r="A3579" s="10">
        <v>105902</v>
      </c>
      <c r="B3579" s="11" t="s">
        <v>22389</v>
      </c>
      <c r="C3579" s="11" t="s">
        <v>22390</v>
      </c>
      <c r="D3579" s="11" t="s">
        <v>7993</v>
      </c>
      <c r="E3579" s="11"/>
      <c r="F3579" s="11" t="s">
        <v>353</v>
      </c>
      <c r="G3579" s="11" t="s">
        <v>22391</v>
      </c>
      <c r="H3579" s="11" t="s">
        <v>142</v>
      </c>
      <c r="I3579" s="11" t="s">
        <v>22392</v>
      </c>
      <c r="J3579" s="11" t="s">
        <v>22393</v>
      </c>
      <c r="K3579" s="11" t="s">
        <v>1199</v>
      </c>
      <c r="L3579" s="11" t="s">
        <v>464</v>
      </c>
      <c r="M3579" s="11" t="s">
        <v>22394</v>
      </c>
      <c r="N3579" s="11" t="s">
        <v>128</v>
      </c>
      <c r="O3579" s="11" t="s">
        <v>22395</v>
      </c>
      <c r="P3579" s="11" t="s">
        <v>22396</v>
      </c>
      <c r="Q3579" s="11" t="s">
        <v>150</v>
      </c>
      <c r="R3579" s="11"/>
      <c r="S3579" s="11" t="s">
        <v>71</v>
      </c>
      <c r="T3579" s="11" t="s">
        <v>67</v>
      </c>
      <c r="U3579" s="11" t="s">
        <v>150</v>
      </c>
      <c r="V3579" s="11" t="s">
        <v>152</v>
      </c>
      <c r="W3579" s="11" t="s">
        <v>67</v>
      </c>
      <c r="X3579" s="11">
        <v>1</v>
      </c>
      <c r="Y3579" s="11" t="s">
        <v>12359</v>
      </c>
      <c r="Z3579" s="11">
        <v>20</v>
      </c>
      <c r="AA3579" s="11">
        <v>0</v>
      </c>
      <c r="AB3579" s="12">
        <v>0</v>
      </c>
    </row>
    <row r="3580" spans="1:28" x14ac:dyDescent="0.2">
      <c r="A3580" s="7">
        <v>106047</v>
      </c>
      <c r="B3580" s="8" t="s">
        <v>22397</v>
      </c>
      <c r="C3580" s="8" t="s">
        <v>22398</v>
      </c>
      <c r="D3580" s="8" t="s">
        <v>14587</v>
      </c>
      <c r="E3580" s="8"/>
      <c r="F3580" s="8" t="s">
        <v>353</v>
      </c>
      <c r="G3580" s="8" t="s">
        <v>22399</v>
      </c>
      <c r="H3580" s="8" t="s">
        <v>142</v>
      </c>
      <c r="I3580" s="8" t="s">
        <v>22400</v>
      </c>
      <c r="J3580" s="8" t="s">
        <v>22401</v>
      </c>
      <c r="K3580" s="8" t="s">
        <v>1673</v>
      </c>
      <c r="L3580" s="8" t="s">
        <v>464</v>
      </c>
      <c r="M3580" s="8" t="s">
        <v>22402</v>
      </c>
      <c r="N3580" s="8" t="s">
        <v>128</v>
      </c>
      <c r="O3580" s="8" t="s">
        <v>22403</v>
      </c>
      <c r="P3580" s="8" t="s">
        <v>22404</v>
      </c>
      <c r="Q3580" s="8" t="s">
        <v>150</v>
      </c>
      <c r="R3580" s="8"/>
      <c r="S3580" s="8" t="s">
        <v>71</v>
      </c>
      <c r="T3580" s="8" t="s">
        <v>67</v>
      </c>
      <c r="U3580" s="8" t="s">
        <v>150</v>
      </c>
      <c r="V3580" s="8" t="s">
        <v>152</v>
      </c>
      <c r="W3580" s="8" t="s">
        <v>67</v>
      </c>
      <c r="X3580" s="8">
        <v>1</v>
      </c>
      <c r="Y3580" s="8" t="s">
        <v>12359</v>
      </c>
      <c r="Z3580" s="8">
        <v>20</v>
      </c>
      <c r="AA3580" s="8">
        <v>0</v>
      </c>
      <c r="AB3580" s="9">
        <v>0</v>
      </c>
    </row>
    <row r="3581" spans="1:28" x14ac:dyDescent="0.2">
      <c r="A3581" s="10">
        <v>26205</v>
      </c>
      <c r="B3581" s="11" t="s">
        <v>22405</v>
      </c>
      <c r="C3581" s="11" t="s">
        <v>20944</v>
      </c>
      <c r="D3581" s="11" t="s">
        <v>22406</v>
      </c>
      <c r="E3581" s="11"/>
      <c r="F3581" s="11" t="s">
        <v>20946</v>
      </c>
      <c r="G3581" s="11" t="s">
        <v>270</v>
      </c>
      <c r="H3581" s="11" t="s">
        <v>271</v>
      </c>
      <c r="I3581" s="11" t="s">
        <v>20947</v>
      </c>
      <c r="J3581" s="11" t="s">
        <v>22407</v>
      </c>
      <c r="K3581" s="11" t="s">
        <v>274</v>
      </c>
      <c r="L3581" s="11" t="s">
        <v>163</v>
      </c>
      <c r="M3581" s="11" t="s">
        <v>22408</v>
      </c>
      <c r="N3581" s="11" t="s">
        <v>128</v>
      </c>
      <c r="O3581" s="11"/>
      <c r="P3581" s="11" t="s">
        <v>22409</v>
      </c>
      <c r="Q3581" s="11" t="s">
        <v>150</v>
      </c>
      <c r="R3581" s="11"/>
      <c r="S3581" s="11" t="s">
        <v>71</v>
      </c>
      <c r="T3581" s="11" t="s">
        <v>67</v>
      </c>
      <c r="U3581" s="11" t="s">
        <v>150</v>
      </c>
      <c r="V3581" s="11" t="s">
        <v>152</v>
      </c>
      <c r="W3581" s="11" t="s">
        <v>67</v>
      </c>
      <c r="X3581" s="11">
        <v>1</v>
      </c>
      <c r="Y3581" s="11" t="s">
        <v>12359</v>
      </c>
      <c r="Z3581" s="11">
        <v>20</v>
      </c>
      <c r="AA3581" s="11">
        <v>0</v>
      </c>
      <c r="AB3581" s="12">
        <v>0</v>
      </c>
    </row>
    <row r="3582" spans="1:28" x14ac:dyDescent="0.2">
      <c r="A3582" s="7">
        <v>105905</v>
      </c>
      <c r="B3582" s="8" t="s">
        <v>22410</v>
      </c>
      <c r="C3582" s="8" t="s">
        <v>10905</v>
      </c>
      <c r="D3582" s="8" t="s">
        <v>18678</v>
      </c>
      <c r="E3582" s="8"/>
      <c r="F3582" s="8" t="s">
        <v>22411</v>
      </c>
      <c r="G3582" s="8" t="s">
        <v>22412</v>
      </c>
      <c r="H3582" s="8" t="s">
        <v>142</v>
      </c>
      <c r="I3582" s="8" t="s">
        <v>22413</v>
      </c>
      <c r="J3582" s="8" t="s">
        <v>22414</v>
      </c>
      <c r="K3582" s="8" t="s">
        <v>1673</v>
      </c>
      <c r="L3582" s="8" t="s">
        <v>464</v>
      </c>
      <c r="M3582" s="8" t="s">
        <v>22415</v>
      </c>
      <c r="N3582" s="8" t="s">
        <v>128</v>
      </c>
      <c r="O3582" s="8" t="s">
        <v>22416</v>
      </c>
      <c r="P3582" s="8" t="s">
        <v>22417</v>
      </c>
      <c r="Q3582" s="8" t="s">
        <v>150</v>
      </c>
      <c r="R3582" s="8"/>
      <c r="S3582" s="8" t="s">
        <v>71</v>
      </c>
      <c r="T3582" s="8" t="s">
        <v>67</v>
      </c>
      <c r="U3582" s="8" t="s">
        <v>150</v>
      </c>
      <c r="V3582" s="8" t="s">
        <v>152</v>
      </c>
      <c r="W3582" s="8" t="s">
        <v>67</v>
      </c>
      <c r="X3582" s="8">
        <v>1</v>
      </c>
      <c r="Y3582" s="8" t="s">
        <v>12359</v>
      </c>
      <c r="Z3582" s="8">
        <v>20</v>
      </c>
      <c r="AA3582" s="8">
        <v>0</v>
      </c>
      <c r="AB3582" s="9">
        <v>0</v>
      </c>
    </row>
    <row r="3583" spans="1:28" x14ac:dyDescent="0.2">
      <c r="A3583" s="10">
        <v>115860</v>
      </c>
      <c r="B3583" s="11" t="s">
        <v>22418</v>
      </c>
      <c r="C3583" s="11" t="s">
        <v>22419</v>
      </c>
      <c r="D3583" s="11" t="s">
        <v>12025</v>
      </c>
      <c r="E3583" s="11"/>
      <c r="F3583" s="11" t="s">
        <v>22420</v>
      </c>
      <c r="G3583" s="11" t="s">
        <v>22421</v>
      </c>
      <c r="H3583" s="11" t="s">
        <v>301</v>
      </c>
      <c r="I3583" s="11" t="s">
        <v>22422</v>
      </c>
      <c r="J3583" s="11" t="s">
        <v>22423</v>
      </c>
      <c r="K3583" s="11" t="s">
        <v>228</v>
      </c>
      <c r="L3583" s="11" t="s">
        <v>229</v>
      </c>
      <c r="M3583" s="11" t="s">
        <v>22424</v>
      </c>
      <c r="N3583" s="11" t="s">
        <v>128</v>
      </c>
      <c r="O3583" s="11" t="s">
        <v>22425</v>
      </c>
      <c r="P3583" s="11" t="s">
        <v>22426</v>
      </c>
      <c r="Q3583" s="11" t="s">
        <v>150</v>
      </c>
      <c r="R3583" s="11"/>
      <c r="S3583" s="11" t="s">
        <v>71</v>
      </c>
      <c r="T3583" s="11" t="s">
        <v>67</v>
      </c>
      <c r="U3583" s="11" t="s">
        <v>150</v>
      </c>
      <c r="V3583" s="11" t="s">
        <v>152</v>
      </c>
      <c r="W3583" s="11" t="s">
        <v>67</v>
      </c>
      <c r="X3583" s="11">
        <v>1</v>
      </c>
      <c r="Y3583" s="11" t="s">
        <v>12359</v>
      </c>
      <c r="Z3583" s="11">
        <v>20</v>
      </c>
      <c r="AA3583" s="11">
        <v>0</v>
      </c>
      <c r="AB3583" s="12">
        <v>0</v>
      </c>
    </row>
    <row r="3584" spans="1:28" x14ac:dyDescent="0.2">
      <c r="A3584" s="7">
        <v>111065</v>
      </c>
      <c r="B3584" s="8" t="s">
        <v>22427</v>
      </c>
      <c r="C3584" s="8" t="s">
        <v>15917</v>
      </c>
      <c r="D3584" s="8" t="s">
        <v>2454</v>
      </c>
      <c r="E3584" s="8"/>
      <c r="F3584" s="8" t="s">
        <v>22428</v>
      </c>
      <c r="G3584" s="8" t="s">
        <v>6005</v>
      </c>
      <c r="H3584" s="8" t="s">
        <v>5805</v>
      </c>
      <c r="I3584" s="8" t="s">
        <v>15920</v>
      </c>
      <c r="J3584" s="8" t="s">
        <v>15921</v>
      </c>
      <c r="K3584" s="8" t="s">
        <v>274</v>
      </c>
      <c r="L3584" s="8" t="s">
        <v>163</v>
      </c>
      <c r="M3584" s="8" t="s">
        <v>22429</v>
      </c>
      <c r="N3584" s="8" t="s">
        <v>128</v>
      </c>
      <c r="O3584" s="8" t="s">
        <v>22430</v>
      </c>
      <c r="P3584" s="8" t="s">
        <v>22431</v>
      </c>
      <c r="Q3584" s="8" t="s">
        <v>150</v>
      </c>
      <c r="R3584" s="8"/>
      <c r="S3584" s="8" t="s">
        <v>15924</v>
      </c>
      <c r="T3584" s="8" t="s">
        <v>67</v>
      </c>
      <c r="U3584" s="8" t="s">
        <v>150</v>
      </c>
      <c r="V3584" s="8" t="s">
        <v>152</v>
      </c>
      <c r="W3584" s="8" t="s">
        <v>67</v>
      </c>
      <c r="X3584" s="8">
        <v>1</v>
      </c>
      <c r="Y3584" s="8" t="s">
        <v>12359</v>
      </c>
      <c r="Z3584" s="8">
        <v>20</v>
      </c>
      <c r="AA3584" s="8">
        <v>0</v>
      </c>
      <c r="AB3584" s="9">
        <v>0</v>
      </c>
    </row>
    <row r="3585" spans="1:28" x14ac:dyDescent="0.2">
      <c r="A3585" s="10">
        <v>26241</v>
      </c>
      <c r="B3585" s="11" t="s">
        <v>22432</v>
      </c>
      <c r="C3585" s="11" t="s">
        <v>22433</v>
      </c>
      <c r="D3585" s="11" t="s">
        <v>22434</v>
      </c>
      <c r="E3585" s="11"/>
      <c r="F3585" s="11"/>
      <c r="G3585" s="11" t="s">
        <v>20860</v>
      </c>
      <c r="H3585" s="11" t="s">
        <v>557</v>
      </c>
      <c r="I3585" s="11" t="s">
        <v>22435</v>
      </c>
      <c r="J3585" s="11" t="s">
        <v>22436</v>
      </c>
      <c r="K3585" s="11" t="s">
        <v>560</v>
      </c>
      <c r="L3585" s="11" t="s">
        <v>229</v>
      </c>
      <c r="M3585" s="11" t="s">
        <v>22437</v>
      </c>
      <c r="N3585" s="11" t="s">
        <v>128</v>
      </c>
      <c r="O3585" s="11" t="s">
        <v>22438</v>
      </c>
      <c r="P3585" s="11" t="s">
        <v>20236</v>
      </c>
      <c r="Q3585" s="11" t="s">
        <v>150</v>
      </c>
      <c r="R3585" s="11"/>
      <c r="S3585" s="11" t="s">
        <v>22439</v>
      </c>
      <c r="T3585" s="11" t="s">
        <v>67</v>
      </c>
      <c r="U3585" s="11" t="s">
        <v>150</v>
      </c>
      <c r="V3585" s="11" t="s">
        <v>152</v>
      </c>
      <c r="W3585" s="11" t="s">
        <v>67</v>
      </c>
      <c r="X3585" s="11">
        <v>1</v>
      </c>
      <c r="Y3585" s="11" t="s">
        <v>12359</v>
      </c>
      <c r="Z3585" s="11">
        <v>20</v>
      </c>
      <c r="AA3585" s="11">
        <v>0</v>
      </c>
      <c r="AB3585" s="12">
        <v>0</v>
      </c>
    </row>
    <row r="3586" spans="1:28" x14ac:dyDescent="0.2">
      <c r="A3586" s="7">
        <v>21593</v>
      </c>
      <c r="B3586" s="8" t="s">
        <v>22440</v>
      </c>
      <c r="C3586" s="8" t="s">
        <v>2481</v>
      </c>
      <c r="D3586" s="8" t="s">
        <v>22441</v>
      </c>
      <c r="E3586" s="8"/>
      <c r="F3586" s="8" t="s">
        <v>353</v>
      </c>
      <c r="G3586" s="8" t="s">
        <v>10062</v>
      </c>
      <c r="H3586" s="8" t="s">
        <v>142</v>
      </c>
      <c r="I3586" s="8" t="s">
        <v>16725</v>
      </c>
      <c r="J3586" s="8" t="s">
        <v>22442</v>
      </c>
      <c r="K3586" s="8" t="s">
        <v>1029</v>
      </c>
      <c r="L3586" s="8" t="s">
        <v>464</v>
      </c>
      <c r="M3586" s="8" t="s">
        <v>22443</v>
      </c>
      <c r="N3586" s="8" t="s">
        <v>4651</v>
      </c>
      <c r="O3586" s="8"/>
      <c r="P3586" s="8"/>
      <c r="Q3586" s="8" t="s">
        <v>150</v>
      </c>
      <c r="R3586" s="8"/>
      <c r="S3586" s="8" t="s">
        <v>71</v>
      </c>
      <c r="T3586" s="8" t="s">
        <v>67</v>
      </c>
      <c r="U3586" s="8" t="s">
        <v>150</v>
      </c>
      <c r="V3586" s="8" t="s">
        <v>152</v>
      </c>
      <c r="W3586" s="8" t="s">
        <v>67</v>
      </c>
      <c r="X3586" s="8">
        <v>1</v>
      </c>
      <c r="Y3586" s="8" t="s">
        <v>12359</v>
      </c>
      <c r="Z3586" s="8">
        <v>20</v>
      </c>
      <c r="AA3586" s="8">
        <v>0</v>
      </c>
      <c r="AB3586" s="9">
        <v>0</v>
      </c>
    </row>
    <row r="3587" spans="1:28" x14ac:dyDescent="0.2">
      <c r="A3587" s="10">
        <v>24562</v>
      </c>
      <c r="B3587" s="11" t="s">
        <v>22444</v>
      </c>
      <c r="C3587" s="11" t="s">
        <v>2566</v>
      </c>
      <c r="D3587" s="11" t="s">
        <v>1362</v>
      </c>
      <c r="E3587" s="11" t="s">
        <v>22445</v>
      </c>
      <c r="F3587" s="11" t="s">
        <v>17679</v>
      </c>
      <c r="G3587" s="11" t="s">
        <v>536</v>
      </c>
      <c r="H3587" s="11" t="s">
        <v>329</v>
      </c>
      <c r="I3587" s="11" t="s">
        <v>22446</v>
      </c>
      <c r="J3587" s="11" t="s">
        <v>22447</v>
      </c>
      <c r="K3587" s="11" t="s">
        <v>431</v>
      </c>
      <c r="L3587" s="11" t="s">
        <v>333</v>
      </c>
      <c r="M3587" s="11" t="s">
        <v>22448</v>
      </c>
      <c r="N3587" s="11" t="s">
        <v>128</v>
      </c>
      <c r="O3587" s="11" t="s">
        <v>22449</v>
      </c>
      <c r="P3587" s="11"/>
      <c r="Q3587" s="11" t="s">
        <v>131</v>
      </c>
      <c r="R3587" s="11"/>
      <c r="S3587" s="11" t="s">
        <v>2575</v>
      </c>
      <c r="T3587" s="11" t="s">
        <v>983</v>
      </c>
      <c r="U3587" s="11" t="s">
        <v>134</v>
      </c>
      <c r="V3587" s="11" t="s">
        <v>131</v>
      </c>
      <c r="W3587" s="11" t="s">
        <v>983</v>
      </c>
      <c r="X3587" s="11">
        <v>1</v>
      </c>
      <c r="Y3587" s="11" t="s">
        <v>12359</v>
      </c>
      <c r="Z3587" s="11">
        <v>20</v>
      </c>
      <c r="AA3587" s="11">
        <v>0</v>
      </c>
      <c r="AB3587" s="12">
        <v>0</v>
      </c>
    </row>
    <row r="3588" spans="1:28" x14ac:dyDescent="0.2">
      <c r="A3588" s="7">
        <v>126927</v>
      </c>
      <c r="B3588" s="8" t="s">
        <v>22450</v>
      </c>
      <c r="C3588" s="8" t="s">
        <v>17075</v>
      </c>
      <c r="D3588" s="8" t="s">
        <v>4881</v>
      </c>
      <c r="E3588" s="8" t="s">
        <v>22451</v>
      </c>
      <c r="F3588" s="8" t="s">
        <v>22452</v>
      </c>
      <c r="G3588" s="8" t="s">
        <v>1842</v>
      </c>
      <c r="H3588" s="8" t="s">
        <v>1843</v>
      </c>
      <c r="I3588" s="8" t="s">
        <v>22453</v>
      </c>
      <c r="J3588" s="8" t="s">
        <v>22454</v>
      </c>
      <c r="K3588" s="8" t="s">
        <v>1562</v>
      </c>
      <c r="L3588" s="8" t="s">
        <v>229</v>
      </c>
      <c r="M3588" s="8" t="s">
        <v>22455</v>
      </c>
      <c r="N3588" s="8" t="s">
        <v>128</v>
      </c>
      <c r="O3588" s="8" t="s">
        <v>22456</v>
      </c>
      <c r="P3588" s="8"/>
      <c r="Q3588" s="8" t="s">
        <v>131</v>
      </c>
      <c r="R3588" s="8"/>
      <c r="S3588" s="8" t="s">
        <v>17081</v>
      </c>
      <c r="T3588" s="8" t="s">
        <v>983</v>
      </c>
      <c r="U3588" s="8" t="s">
        <v>134</v>
      </c>
      <c r="V3588" s="8" t="s">
        <v>131</v>
      </c>
      <c r="W3588" s="8" t="s">
        <v>983</v>
      </c>
      <c r="X3588" s="8">
        <v>1</v>
      </c>
      <c r="Y3588" s="8" t="s">
        <v>12359</v>
      </c>
      <c r="Z3588" s="8">
        <v>20</v>
      </c>
      <c r="AA3588" s="8">
        <v>0</v>
      </c>
      <c r="AB3588" s="9">
        <v>0</v>
      </c>
    </row>
    <row r="3589" spans="1:28" x14ac:dyDescent="0.2">
      <c r="A3589" s="10">
        <v>26806</v>
      </c>
      <c r="B3589" s="11" t="s">
        <v>22457</v>
      </c>
      <c r="C3589" s="11" t="s">
        <v>13872</v>
      </c>
      <c r="D3589" s="11" t="s">
        <v>410</v>
      </c>
      <c r="E3589" s="11"/>
      <c r="F3589" s="11" t="s">
        <v>7666</v>
      </c>
      <c r="G3589" s="11" t="s">
        <v>6409</v>
      </c>
      <c r="H3589" s="11" t="s">
        <v>6410</v>
      </c>
      <c r="I3589" s="11" t="s">
        <v>7667</v>
      </c>
      <c r="J3589" s="11" t="s">
        <v>22458</v>
      </c>
      <c r="K3589" s="11" t="s">
        <v>1956</v>
      </c>
      <c r="L3589" s="11" t="s">
        <v>526</v>
      </c>
      <c r="M3589" s="11" t="s">
        <v>22459</v>
      </c>
      <c r="N3589" s="11" t="s">
        <v>128</v>
      </c>
      <c r="O3589" s="11" t="s">
        <v>22460</v>
      </c>
      <c r="P3589" s="11"/>
      <c r="Q3589" s="11" t="s">
        <v>131</v>
      </c>
      <c r="R3589" s="11"/>
      <c r="S3589" s="11" t="s">
        <v>7138</v>
      </c>
      <c r="T3589" s="11" t="s">
        <v>983</v>
      </c>
      <c r="U3589" s="11" t="s">
        <v>134</v>
      </c>
      <c r="V3589" s="11" t="s">
        <v>131</v>
      </c>
      <c r="W3589" s="11" t="s">
        <v>983</v>
      </c>
      <c r="X3589" s="11">
        <v>1</v>
      </c>
      <c r="Y3589" s="11" t="s">
        <v>12359</v>
      </c>
      <c r="Z3589" s="11">
        <v>20</v>
      </c>
      <c r="AA3589" s="11">
        <v>0</v>
      </c>
      <c r="AB3589" s="12">
        <v>0</v>
      </c>
    </row>
    <row r="3590" spans="1:28" x14ac:dyDescent="0.2">
      <c r="A3590" s="7">
        <v>111060</v>
      </c>
      <c r="B3590" s="8" t="s">
        <v>22461</v>
      </c>
      <c r="C3590" s="8" t="s">
        <v>8433</v>
      </c>
      <c r="D3590" s="8" t="s">
        <v>4630</v>
      </c>
      <c r="E3590" s="8"/>
      <c r="F3590" s="8" t="s">
        <v>22462</v>
      </c>
      <c r="G3590" s="8" t="s">
        <v>4270</v>
      </c>
      <c r="H3590" s="8" t="s">
        <v>4271</v>
      </c>
      <c r="I3590" s="8" t="s">
        <v>22463</v>
      </c>
      <c r="J3590" s="8" t="s">
        <v>8437</v>
      </c>
      <c r="K3590" s="8" t="s">
        <v>619</v>
      </c>
      <c r="L3590" s="8" t="s">
        <v>163</v>
      </c>
      <c r="M3590" s="8" t="s">
        <v>22464</v>
      </c>
      <c r="N3590" s="8" t="s">
        <v>128</v>
      </c>
      <c r="O3590" s="8" t="s">
        <v>22465</v>
      </c>
      <c r="P3590" s="8"/>
      <c r="Q3590" s="8" t="s">
        <v>131</v>
      </c>
      <c r="R3590" s="8"/>
      <c r="S3590" s="8" t="s">
        <v>8441</v>
      </c>
      <c r="T3590" s="8" t="s">
        <v>983</v>
      </c>
      <c r="U3590" s="8" t="s">
        <v>134</v>
      </c>
      <c r="V3590" s="8" t="s">
        <v>131</v>
      </c>
      <c r="W3590" s="8" t="s">
        <v>983</v>
      </c>
      <c r="X3590" s="8">
        <v>1</v>
      </c>
      <c r="Y3590" s="8" t="s">
        <v>12359</v>
      </c>
      <c r="Z3590" s="8">
        <v>20</v>
      </c>
      <c r="AA3590" s="8">
        <v>0</v>
      </c>
      <c r="AB3590" s="9">
        <v>0</v>
      </c>
    </row>
    <row r="3591" spans="1:28" x14ac:dyDescent="0.2">
      <c r="A3591" s="10">
        <v>235346</v>
      </c>
      <c r="B3591" s="11" t="s">
        <v>22466</v>
      </c>
      <c r="C3591" s="11" t="s">
        <v>552</v>
      </c>
      <c r="D3591" s="11" t="s">
        <v>789</v>
      </c>
      <c r="E3591" s="11"/>
      <c r="F3591" s="11" t="s">
        <v>555</v>
      </c>
      <c r="G3591" s="11" t="s">
        <v>556</v>
      </c>
      <c r="H3591" s="11" t="s">
        <v>557</v>
      </c>
      <c r="I3591" s="11" t="s">
        <v>558</v>
      </c>
      <c r="J3591" s="11" t="s">
        <v>2208</v>
      </c>
      <c r="K3591" s="11" t="s">
        <v>560</v>
      </c>
      <c r="L3591" s="11" t="s">
        <v>229</v>
      </c>
      <c r="M3591" s="11" t="s">
        <v>22467</v>
      </c>
      <c r="N3591" s="11" t="s">
        <v>128</v>
      </c>
      <c r="O3591" s="11" t="s">
        <v>22468</v>
      </c>
      <c r="P3591" s="11"/>
      <c r="Q3591" s="11" t="s">
        <v>131</v>
      </c>
      <c r="R3591" s="11"/>
      <c r="S3591" s="11" t="s">
        <v>796</v>
      </c>
      <c r="T3591" s="11" t="s">
        <v>983</v>
      </c>
      <c r="U3591" s="11" t="s">
        <v>134</v>
      </c>
      <c r="V3591" s="11" t="s">
        <v>131</v>
      </c>
      <c r="W3591" s="11" t="s">
        <v>983</v>
      </c>
      <c r="X3591" s="11">
        <v>1</v>
      </c>
      <c r="Y3591" s="11" t="s">
        <v>12359</v>
      </c>
      <c r="Z3591" s="11">
        <v>20</v>
      </c>
      <c r="AA3591" s="11">
        <v>0</v>
      </c>
      <c r="AB3591" s="12">
        <v>0</v>
      </c>
    </row>
    <row r="3592" spans="1:28" x14ac:dyDescent="0.2">
      <c r="A3592" s="7">
        <v>22029</v>
      </c>
      <c r="B3592" s="8" t="s">
        <v>22469</v>
      </c>
      <c r="C3592" s="8" t="s">
        <v>22470</v>
      </c>
      <c r="D3592" s="8" t="s">
        <v>5637</v>
      </c>
      <c r="E3592" s="8"/>
      <c r="F3592" s="8" t="s">
        <v>353</v>
      </c>
      <c r="G3592" s="8" t="s">
        <v>7562</v>
      </c>
      <c r="H3592" s="8" t="s">
        <v>847</v>
      </c>
      <c r="I3592" s="8" t="s">
        <v>15840</v>
      </c>
      <c r="J3592" s="8" t="s">
        <v>22471</v>
      </c>
      <c r="K3592" s="8" t="s">
        <v>850</v>
      </c>
      <c r="L3592" s="8" t="s">
        <v>126</v>
      </c>
      <c r="M3592" s="8" t="s">
        <v>22472</v>
      </c>
      <c r="N3592" s="8" t="s">
        <v>128</v>
      </c>
      <c r="O3592" s="8" t="s">
        <v>22473</v>
      </c>
      <c r="P3592" s="8"/>
      <c r="Q3592" s="8" t="s">
        <v>131</v>
      </c>
      <c r="R3592" s="8"/>
      <c r="S3592" s="8" t="s">
        <v>15845</v>
      </c>
      <c r="T3592" s="8" t="s">
        <v>983</v>
      </c>
      <c r="U3592" s="8" t="s">
        <v>134</v>
      </c>
      <c r="V3592" s="8" t="s">
        <v>131</v>
      </c>
      <c r="W3592" s="8" t="s">
        <v>983</v>
      </c>
      <c r="X3592" s="8">
        <v>1</v>
      </c>
      <c r="Y3592" s="8" t="s">
        <v>12359</v>
      </c>
      <c r="Z3592" s="8">
        <v>20</v>
      </c>
      <c r="AA3592" s="8">
        <v>0</v>
      </c>
      <c r="AB3592" s="9">
        <v>0</v>
      </c>
    </row>
    <row r="3593" spans="1:28" x14ac:dyDescent="0.2">
      <c r="A3593" s="10">
        <v>114875</v>
      </c>
      <c r="B3593" s="11" t="s">
        <v>22474</v>
      </c>
      <c r="C3593" s="11" t="s">
        <v>10488</v>
      </c>
      <c r="D3593" s="11" t="s">
        <v>1792</v>
      </c>
      <c r="E3593" s="11"/>
      <c r="F3593" s="11" t="s">
        <v>353</v>
      </c>
      <c r="G3593" s="11" t="s">
        <v>10244</v>
      </c>
      <c r="H3593" s="11" t="s">
        <v>142</v>
      </c>
      <c r="I3593" s="11" t="s">
        <v>22475</v>
      </c>
      <c r="J3593" s="11" t="s">
        <v>22476</v>
      </c>
      <c r="K3593" s="11" t="s">
        <v>779</v>
      </c>
      <c r="L3593" s="11" t="s">
        <v>464</v>
      </c>
      <c r="M3593" s="11" t="s">
        <v>22477</v>
      </c>
      <c r="N3593" s="11" t="s">
        <v>128</v>
      </c>
      <c r="O3593" s="11" t="s">
        <v>22478</v>
      </c>
      <c r="P3593" s="11"/>
      <c r="Q3593" s="11" t="s">
        <v>131</v>
      </c>
      <c r="R3593" s="11"/>
      <c r="S3593" s="11" t="s">
        <v>71</v>
      </c>
      <c r="T3593" s="11" t="s">
        <v>983</v>
      </c>
      <c r="U3593" s="11" t="s">
        <v>134</v>
      </c>
      <c r="V3593" s="11" t="s">
        <v>131</v>
      </c>
      <c r="W3593" s="11" t="s">
        <v>983</v>
      </c>
      <c r="X3593" s="11">
        <v>1</v>
      </c>
      <c r="Y3593" s="11" t="s">
        <v>12359</v>
      </c>
      <c r="Z3593" s="11">
        <v>20</v>
      </c>
      <c r="AA3593" s="11">
        <v>0</v>
      </c>
      <c r="AB3593" s="12">
        <v>0</v>
      </c>
    </row>
    <row r="3594" spans="1:28" x14ac:dyDescent="0.2">
      <c r="A3594" s="7">
        <v>128999</v>
      </c>
      <c r="B3594" s="8" t="s">
        <v>22479</v>
      </c>
      <c r="C3594" s="8" t="s">
        <v>409</v>
      </c>
      <c r="D3594" s="8" t="s">
        <v>11039</v>
      </c>
      <c r="E3594" s="8"/>
      <c r="F3594" s="8" t="s">
        <v>353</v>
      </c>
      <c r="G3594" s="8" t="s">
        <v>846</v>
      </c>
      <c r="H3594" s="8" t="s">
        <v>847</v>
      </c>
      <c r="I3594" s="8" t="s">
        <v>13498</v>
      </c>
      <c r="J3594" s="8" t="s">
        <v>22480</v>
      </c>
      <c r="K3594" s="8" t="s">
        <v>850</v>
      </c>
      <c r="L3594" s="8" t="s">
        <v>126</v>
      </c>
      <c r="M3594" s="8" t="s">
        <v>22481</v>
      </c>
      <c r="N3594" s="8" t="s">
        <v>128</v>
      </c>
      <c r="O3594" s="8" t="s">
        <v>22482</v>
      </c>
      <c r="P3594" s="8"/>
      <c r="Q3594" s="8" t="s">
        <v>131</v>
      </c>
      <c r="R3594" s="8"/>
      <c r="S3594" s="8" t="s">
        <v>71</v>
      </c>
      <c r="T3594" s="8" t="s">
        <v>983</v>
      </c>
      <c r="U3594" s="8" t="s">
        <v>134</v>
      </c>
      <c r="V3594" s="8" t="s">
        <v>131</v>
      </c>
      <c r="W3594" s="8" t="s">
        <v>983</v>
      </c>
      <c r="X3594" s="8">
        <v>1</v>
      </c>
      <c r="Y3594" s="8" t="s">
        <v>12359</v>
      </c>
      <c r="Z3594" s="8">
        <v>20</v>
      </c>
      <c r="AA3594" s="8">
        <v>0</v>
      </c>
      <c r="AB3594" s="9">
        <v>0</v>
      </c>
    </row>
    <row r="3595" spans="1:28" x14ac:dyDescent="0.2">
      <c r="A3595" s="10">
        <v>116242</v>
      </c>
      <c r="B3595" s="11" t="s">
        <v>22483</v>
      </c>
      <c r="C3595" s="11" t="s">
        <v>1576</v>
      </c>
      <c r="D3595" s="11" t="s">
        <v>7274</v>
      </c>
      <c r="E3595" s="11"/>
      <c r="F3595" s="11" t="s">
        <v>6083</v>
      </c>
      <c r="G3595" s="11" t="s">
        <v>6614</v>
      </c>
      <c r="H3595" s="11" t="s">
        <v>159</v>
      </c>
      <c r="I3595" s="11" t="s">
        <v>22484</v>
      </c>
      <c r="J3595" s="11" t="s">
        <v>22485</v>
      </c>
      <c r="K3595" s="11" t="s">
        <v>162</v>
      </c>
      <c r="L3595" s="11" t="s">
        <v>163</v>
      </c>
      <c r="M3595" s="11" t="s">
        <v>22486</v>
      </c>
      <c r="N3595" s="11" t="s">
        <v>128</v>
      </c>
      <c r="O3595" s="11" t="s">
        <v>22487</v>
      </c>
      <c r="P3595" s="11"/>
      <c r="Q3595" s="11" t="s">
        <v>131</v>
      </c>
      <c r="R3595" s="11"/>
      <c r="S3595" s="11" t="s">
        <v>71</v>
      </c>
      <c r="T3595" s="11" t="s">
        <v>983</v>
      </c>
      <c r="U3595" s="11" t="s">
        <v>134</v>
      </c>
      <c r="V3595" s="11" t="s">
        <v>131</v>
      </c>
      <c r="W3595" s="11" t="s">
        <v>983</v>
      </c>
      <c r="X3595" s="11">
        <v>1</v>
      </c>
      <c r="Y3595" s="11" t="s">
        <v>12359</v>
      </c>
      <c r="Z3595" s="11">
        <v>20</v>
      </c>
      <c r="AA3595" s="11">
        <v>0</v>
      </c>
      <c r="AB3595" s="12">
        <v>0</v>
      </c>
    </row>
    <row r="3596" spans="1:28" x14ac:dyDescent="0.2">
      <c r="A3596" s="7">
        <v>26808</v>
      </c>
      <c r="B3596" s="8" t="s">
        <v>22488</v>
      </c>
      <c r="C3596" s="8" t="s">
        <v>22489</v>
      </c>
      <c r="D3596" s="8" t="s">
        <v>6723</v>
      </c>
      <c r="E3596" s="8"/>
      <c r="F3596" s="8"/>
      <c r="G3596" s="8" t="s">
        <v>11130</v>
      </c>
      <c r="H3596" s="8" t="s">
        <v>704</v>
      </c>
      <c r="I3596" s="8" t="s">
        <v>22490</v>
      </c>
      <c r="J3596" s="8" t="s">
        <v>22491</v>
      </c>
      <c r="K3596" s="8" t="s">
        <v>850</v>
      </c>
      <c r="L3596" s="8" t="s">
        <v>126</v>
      </c>
      <c r="M3596" s="8" t="s">
        <v>22492</v>
      </c>
      <c r="N3596" s="8" t="s">
        <v>128</v>
      </c>
      <c r="O3596" s="8"/>
      <c r="P3596" s="8"/>
      <c r="Q3596" s="8" t="s">
        <v>131</v>
      </c>
      <c r="R3596" s="8"/>
      <c r="S3596" s="8" t="s">
        <v>71</v>
      </c>
      <c r="T3596" s="8" t="s">
        <v>983</v>
      </c>
      <c r="U3596" s="8" t="s">
        <v>134</v>
      </c>
      <c r="V3596" s="8" t="s">
        <v>131</v>
      </c>
      <c r="W3596" s="8" t="s">
        <v>983</v>
      </c>
      <c r="X3596" s="8">
        <v>1</v>
      </c>
      <c r="Y3596" s="8" t="s">
        <v>12359</v>
      </c>
      <c r="Z3596" s="8">
        <v>20</v>
      </c>
      <c r="AA3596" s="8">
        <v>0</v>
      </c>
      <c r="AB3596" s="9">
        <v>0</v>
      </c>
    </row>
    <row r="3597" spans="1:28" x14ac:dyDescent="0.2">
      <c r="A3597" s="10">
        <v>26809</v>
      </c>
      <c r="B3597" s="11" t="s">
        <v>22493</v>
      </c>
      <c r="C3597" s="11" t="s">
        <v>22494</v>
      </c>
      <c r="D3597" s="11" t="s">
        <v>12850</v>
      </c>
      <c r="E3597" s="11"/>
      <c r="F3597" s="11"/>
      <c r="G3597" s="11" t="s">
        <v>11130</v>
      </c>
      <c r="H3597" s="11" t="s">
        <v>704</v>
      </c>
      <c r="I3597" s="11" t="s">
        <v>22495</v>
      </c>
      <c r="J3597" s="11" t="s">
        <v>22496</v>
      </c>
      <c r="K3597" s="11" t="s">
        <v>850</v>
      </c>
      <c r="L3597" s="11" t="s">
        <v>126</v>
      </c>
      <c r="M3597" s="11" t="s">
        <v>22497</v>
      </c>
      <c r="N3597" s="11" t="s">
        <v>128</v>
      </c>
      <c r="O3597" s="11"/>
      <c r="P3597" s="11"/>
      <c r="Q3597" s="11" t="s">
        <v>131</v>
      </c>
      <c r="R3597" s="11"/>
      <c r="S3597" s="11" t="s">
        <v>71</v>
      </c>
      <c r="T3597" s="11" t="s">
        <v>983</v>
      </c>
      <c r="U3597" s="11" t="s">
        <v>134</v>
      </c>
      <c r="V3597" s="11" t="s">
        <v>131</v>
      </c>
      <c r="W3597" s="11" t="s">
        <v>983</v>
      </c>
      <c r="X3597" s="11">
        <v>1</v>
      </c>
      <c r="Y3597" s="11" t="s">
        <v>12359</v>
      </c>
      <c r="Z3597" s="11">
        <v>20</v>
      </c>
      <c r="AA3597" s="11">
        <v>0</v>
      </c>
      <c r="AB3597" s="12">
        <v>0</v>
      </c>
    </row>
    <row r="3598" spans="1:28" x14ac:dyDescent="0.2">
      <c r="A3598" s="7">
        <v>27859</v>
      </c>
      <c r="B3598" s="8" t="s">
        <v>22498</v>
      </c>
      <c r="C3598" s="8" t="s">
        <v>22499</v>
      </c>
      <c r="D3598" s="8" t="s">
        <v>138</v>
      </c>
      <c r="E3598" s="8"/>
      <c r="F3598" s="8" t="s">
        <v>353</v>
      </c>
      <c r="G3598" s="8" t="s">
        <v>1253</v>
      </c>
      <c r="H3598" s="8" t="s">
        <v>142</v>
      </c>
      <c r="I3598" s="8"/>
      <c r="J3598" s="8" t="s">
        <v>22500</v>
      </c>
      <c r="K3598" s="8" t="s">
        <v>1199</v>
      </c>
      <c r="L3598" s="8" t="s">
        <v>464</v>
      </c>
      <c r="M3598" s="8" t="s">
        <v>22501</v>
      </c>
      <c r="N3598" s="8" t="s">
        <v>128</v>
      </c>
      <c r="O3598" s="8"/>
      <c r="P3598" s="8"/>
      <c r="Q3598" s="8" t="s">
        <v>131</v>
      </c>
      <c r="R3598" s="8"/>
      <c r="S3598" s="8" t="s">
        <v>71</v>
      </c>
      <c r="T3598" s="8" t="s">
        <v>983</v>
      </c>
      <c r="U3598" s="8" t="s">
        <v>134</v>
      </c>
      <c r="V3598" s="8" t="s">
        <v>131</v>
      </c>
      <c r="W3598" s="8" t="s">
        <v>983</v>
      </c>
      <c r="X3598" s="8">
        <v>1</v>
      </c>
      <c r="Y3598" s="8" t="s">
        <v>12359</v>
      </c>
      <c r="Z3598" s="8">
        <v>20</v>
      </c>
      <c r="AA3598" s="8">
        <v>0</v>
      </c>
      <c r="AB3598" s="9">
        <v>0</v>
      </c>
    </row>
    <row r="3599" spans="1:28" x14ac:dyDescent="0.2">
      <c r="A3599" s="10">
        <v>21984</v>
      </c>
      <c r="B3599" s="11" t="s">
        <v>22502</v>
      </c>
      <c r="C3599" s="11" t="s">
        <v>9791</v>
      </c>
      <c r="D3599" s="11" t="s">
        <v>9035</v>
      </c>
      <c r="E3599" s="11"/>
      <c r="F3599" s="11" t="s">
        <v>353</v>
      </c>
      <c r="G3599" s="11" t="s">
        <v>2510</v>
      </c>
      <c r="H3599" s="11" t="s">
        <v>2511</v>
      </c>
      <c r="I3599" s="11" t="s">
        <v>9793</v>
      </c>
      <c r="J3599" s="11" t="s">
        <v>22503</v>
      </c>
      <c r="K3599" s="11" t="s">
        <v>1562</v>
      </c>
      <c r="L3599" s="11" t="s">
        <v>229</v>
      </c>
      <c r="M3599" s="11" t="s">
        <v>22504</v>
      </c>
      <c r="N3599" s="11" t="s">
        <v>128</v>
      </c>
      <c r="O3599" s="11" t="s">
        <v>22505</v>
      </c>
      <c r="P3599" s="11" t="s">
        <v>22506</v>
      </c>
      <c r="Q3599" s="11" t="s">
        <v>131</v>
      </c>
      <c r="R3599" s="11"/>
      <c r="S3599" s="11" t="s">
        <v>71</v>
      </c>
      <c r="T3599" s="11" t="s">
        <v>133</v>
      </c>
      <c r="U3599" s="11" t="s">
        <v>134</v>
      </c>
      <c r="V3599" s="11" t="s">
        <v>131</v>
      </c>
      <c r="W3599" s="11" t="s">
        <v>133</v>
      </c>
      <c r="X3599" s="11">
        <v>1</v>
      </c>
      <c r="Y3599" s="11" t="s">
        <v>12359</v>
      </c>
      <c r="Z3599" s="11">
        <v>20</v>
      </c>
      <c r="AA3599" s="11">
        <v>0</v>
      </c>
      <c r="AB3599" s="12">
        <v>0</v>
      </c>
    </row>
    <row r="3600" spans="1:28" x14ac:dyDescent="0.2">
      <c r="A3600" s="7">
        <v>21820</v>
      </c>
      <c r="B3600" s="8" t="s">
        <v>22507</v>
      </c>
      <c r="C3600" s="8" t="s">
        <v>16358</v>
      </c>
      <c r="D3600" s="8" t="s">
        <v>20001</v>
      </c>
      <c r="E3600" s="8"/>
      <c r="F3600" s="8" t="s">
        <v>20429</v>
      </c>
      <c r="G3600" s="8" t="s">
        <v>190</v>
      </c>
      <c r="H3600" s="8" t="s">
        <v>191</v>
      </c>
      <c r="I3600" s="8" t="s">
        <v>20003</v>
      </c>
      <c r="J3600" s="8" t="s">
        <v>22508</v>
      </c>
      <c r="K3600" s="8" t="s">
        <v>194</v>
      </c>
      <c r="L3600" s="8" t="s">
        <v>163</v>
      </c>
      <c r="M3600" s="8" t="s">
        <v>22509</v>
      </c>
      <c r="N3600" s="8" t="s">
        <v>128</v>
      </c>
      <c r="O3600" s="8" t="s">
        <v>22510</v>
      </c>
      <c r="P3600" s="8" t="s">
        <v>22511</v>
      </c>
      <c r="Q3600" s="8" t="s">
        <v>131</v>
      </c>
      <c r="R3600" s="8"/>
      <c r="S3600" s="8" t="s">
        <v>20007</v>
      </c>
      <c r="T3600" s="8" t="s">
        <v>133</v>
      </c>
      <c r="U3600" s="8" t="s">
        <v>134</v>
      </c>
      <c r="V3600" s="8" t="s">
        <v>131</v>
      </c>
      <c r="W3600" s="8" t="s">
        <v>133</v>
      </c>
      <c r="X3600" s="8">
        <v>1</v>
      </c>
      <c r="Y3600" s="8" t="s">
        <v>12359</v>
      </c>
      <c r="Z3600" s="8">
        <v>20</v>
      </c>
      <c r="AA3600" s="8">
        <v>0</v>
      </c>
      <c r="AB3600" s="9">
        <v>0</v>
      </c>
    </row>
    <row r="3601" spans="1:28" x14ac:dyDescent="0.2">
      <c r="A3601" s="10">
        <v>93047</v>
      </c>
      <c r="B3601" s="11" t="s">
        <v>22512</v>
      </c>
      <c r="C3601" s="11" t="s">
        <v>10494</v>
      </c>
      <c r="D3601" s="11" t="s">
        <v>10495</v>
      </c>
      <c r="E3601" s="11"/>
      <c r="F3601" s="11" t="s">
        <v>19417</v>
      </c>
      <c r="G3601" s="11" t="s">
        <v>18750</v>
      </c>
      <c r="H3601" s="11" t="s">
        <v>6410</v>
      </c>
      <c r="I3601" s="11" t="s">
        <v>22513</v>
      </c>
      <c r="J3601" s="11" t="s">
        <v>10499</v>
      </c>
      <c r="K3601" s="11" t="s">
        <v>1956</v>
      </c>
      <c r="L3601" s="11" t="s">
        <v>526</v>
      </c>
      <c r="M3601" s="11" t="s">
        <v>22514</v>
      </c>
      <c r="N3601" s="11" t="s">
        <v>128</v>
      </c>
      <c r="O3601" s="11" t="s">
        <v>22515</v>
      </c>
      <c r="P3601" s="11"/>
      <c r="Q3601" s="11" t="s">
        <v>131</v>
      </c>
      <c r="R3601" s="11"/>
      <c r="S3601" s="11" t="s">
        <v>10503</v>
      </c>
      <c r="T3601" s="11" t="s">
        <v>133</v>
      </c>
      <c r="U3601" s="11" t="s">
        <v>134</v>
      </c>
      <c r="V3601" s="11" t="s">
        <v>131</v>
      </c>
      <c r="W3601" s="11" t="s">
        <v>133</v>
      </c>
      <c r="X3601" s="11">
        <v>1</v>
      </c>
      <c r="Y3601" s="11" t="s">
        <v>12359</v>
      </c>
      <c r="Z3601" s="11">
        <v>20</v>
      </c>
      <c r="AA3601" s="11">
        <v>0</v>
      </c>
      <c r="AB3601" s="12">
        <v>0</v>
      </c>
    </row>
    <row r="3602" spans="1:28" x14ac:dyDescent="0.2">
      <c r="A3602" s="7">
        <v>26861</v>
      </c>
      <c r="B3602" s="8" t="s">
        <v>22516</v>
      </c>
      <c r="C3602" s="8" t="s">
        <v>16358</v>
      </c>
      <c r="D3602" s="8" t="s">
        <v>5114</v>
      </c>
      <c r="E3602" s="8" t="s">
        <v>22517</v>
      </c>
      <c r="F3602" s="8" t="s">
        <v>22088</v>
      </c>
      <c r="G3602" s="8" t="s">
        <v>19550</v>
      </c>
      <c r="H3602" s="8" t="s">
        <v>122</v>
      </c>
      <c r="I3602" s="8" t="s">
        <v>22089</v>
      </c>
      <c r="J3602" s="8" t="s">
        <v>22090</v>
      </c>
      <c r="K3602" s="8" t="s">
        <v>125</v>
      </c>
      <c r="L3602" s="8" t="s">
        <v>126</v>
      </c>
      <c r="M3602" s="8" t="s">
        <v>22518</v>
      </c>
      <c r="N3602" s="8" t="s">
        <v>128</v>
      </c>
      <c r="O3602" s="8" t="s">
        <v>22519</v>
      </c>
      <c r="P3602" s="8" t="s">
        <v>9980</v>
      </c>
      <c r="Q3602" s="8" t="s">
        <v>150</v>
      </c>
      <c r="R3602" s="8"/>
      <c r="S3602" s="8" t="s">
        <v>22093</v>
      </c>
      <c r="T3602" s="8" t="s">
        <v>6736</v>
      </c>
      <c r="U3602" s="8" t="s">
        <v>150</v>
      </c>
      <c r="V3602" s="8" t="s">
        <v>6736</v>
      </c>
      <c r="W3602" s="8" t="s">
        <v>6736</v>
      </c>
      <c r="X3602" s="8">
        <v>1</v>
      </c>
      <c r="Y3602" s="8" t="s">
        <v>12359</v>
      </c>
      <c r="Z3602" s="8">
        <v>20</v>
      </c>
      <c r="AA3602" s="8">
        <v>0</v>
      </c>
      <c r="AB3602" s="9">
        <v>0</v>
      </c>
    </row>
    <row r="3603" spans="1:28" x14ac:dyDescent="0.2">
      <c r="A3603" s="10">
        <v>22109</v>
      </c>
      <c r="B3603" s="11" t="s">
        <v>22520</v>
      </c>
      <c r="C3603" s="11" t="s">
        <v>8868</v>
      </c>
      <c r="D3603" s="11" t="s">
        <v>1962</v>
      </c>
      <c r="E3603" s="11"/>
      <c r="F3603" s="11" t="s">
        <v>353</v>
      </c>
      <c r="G3603" s="11" t="s">
        <v>22521</v>
      </c>
      <c r="H3603" s="11" t="s">
        <v>122</v>
      </c>
      <c r="I3603" s="11" t="s">
        <v>22522</v>
      </c>
      <c r="J3603" s="11" t="s">
        <v>22523</v>
      </c>
      <c r="K3603" s="11" t="s">
        <v>1051</v>
      </c>
      <c r="L3603" s="11" t="s">
        <v>126</v>
      </c>
      <c r="M3603" s="11" t="s">
        <v>22524</v>
      </c>
      <c r="N3603" s="11" t="s">
        <v>128</v>
      </c>
      <c r="O3603" s="11" t="s">
        <v>22525</v>
      </c>
      <c r="P3603" s="11" t="s">
        <v>612</v>
      </c>
      <c r="Q3603" s="11" t="s">
        <v>150</v>
      </c>
      <c r="R3603" s="11"/>
      <c r="S3603" s="11" t="s">
        <v>71</v>
      </c>
      <c r="T3603" s="11" t="s">
        <v>6736</v>
      </c>
      <c r="U3603" s="11" t="s">
        <v>150</v>
      </c>
      <c r="V3603" s="11" t="s">
        <v>6736</v>
      </c>
      <c r="W3603" s="11" t="s">
        <v>6736</v>
      </c>
      <c r="X3603" s="11">
        <v>1</v>
      </c>
      <c r="Y3603" s="11" t="s">
        <v>12359</v>
      </c>
      <c r="Z3603" s="11">
        <v>20</v>
      </c>
      <c r="AA3603" s="11">
        <v>0</v>
      </c>
      <c r="AB3603" s="12">
        <v>0</v>
      </c>
    </row>
    <row r="3604" spans="1:28" x14ac:dyDescent="0.2">
      <c r="A3604" s="7">
        <v>22119</v>
      </c>
      <c r="B3604" s="8" t="s">
        <v>22526</v>
      </c>
      <c r="C3604" s="8" t="s">
        <v>10286</v>
      </c>
      <c r="D3604" s="8" t="s">
        <v>6053</v>
      </c>
      <c r="E3604" s="8"/>
      <c r="F3604" s="8" t="s">
        <v>353</v>
      </c>
      <c r="G3604" s="8" t="s">
        <v>5116</v>
      </c>
      <c r="H3604" s="8" t="s">
        <v>122</v>
      </c>
      <c r="I3604" s="8" t="s">
        <v>11125</v>
      </c>
      <c r="J3604" s="8" t="s">
        <v>22527</v>
      </c>
      <c r="K3604" s="8" t="s">
        <v>125</v>
      </c>
      <c r="L3604" s="8" t="s">
        <v>126</v>
      </c>
      <c r="M3604" s="8" t="s">
        <v>22528</v>
      </c>
      <c r="N3604" s="8" t="s">
        <v>128</v>
      </c>
      <c r="O3604" s="8" t="s">
        <v>22529</v>
      </c>
      <c r="P3604" s="8" t="s">
        <v>5520</v>
      </c>
      <c r="Q3604" s="8" t="s">
        <v>150</v>
      </c>
      <c r="R3604" s="8"/>
      <c r="S3604" s="8" t="s">
        <v>71</v>
      </c>
      <c r="T3604" s="8" t="s">
        <v>6736</v>
      </c>
      <c r="U3604" s="8" t="s">
        <v>150</v>
      </c>
      <c r="V3604" s="8" t="s">
        <v>6736</v>
      </c>
      <c r="W3604" s="8" t="s">
        <v>6736</v>
      </c>
      <c r="X3604" s="8">
        <v>1</v>
      </c>
      <c r="Y3604" s="8" t="s">
        <v>12359</v>
      </c>
      <c r="Z3604" s="8">
        <v>20</v>
      </c>
      <c r="AA3604" s="8">
        <v>0</v>
      </c>
      <c r="AB3604" s="9">
        <v>0</v>
      </c>
    </row>
    <row r="3605" spans="1:28" x14ac:dyDescent="0.2">
      <c r="A3605" s="10">
        <v>26886</v>
      </c>
      <c r="B3605" s="11" t="s">
        <v>22530</v>
      </c>
      <c r="C3605" s="11" t="s">
        <v>22531</v>
      </c>
      <c r="D3605" s="11" t="s">
        <v>5227</v>
      </c>
      <c r="E3605" s="11"/>
      <c r="F3605" s="11" t="s">
        <v>353</v>
      </c>
      <c r="G3605" s="11" t="s">
        <v>12262</v>
      </c>
      <c r="H3605" s="11" t="s">
        <v>704</v>
      </c>
      <c r="I3605" s="11" t="s">
        <v>21729</v>
      </c>
      <c r="J3605" s="11" t="s">
        <v>22532</v>
      </c>
      <c r="K3605" s="11" t="s">
        <v>707</v>
      </c>
      <c r="L3605" s="11" t="s">
        <v>126</v>
      </c>
      <c r="M3605" s="11" t="s">
        <v>22533</v>
      </c>
      <c r="N3605" s="11" t="s">
        <v>128</v>
      </c>
      <c r="O3605" s="11" t="s">
        <v>22534</v>
      </c>
      <c r="P3605" s="11" t="s">
        <v>4623</v>
      </c>
      <c r="Q3605" s="11" t="s">
        <v>150</v>
      </c>
      <c r="R3605" s="11"/>
      <c r="S3605" s="11" t="s">
        <v>71</v>
      </c>
      <c r="T3605" s="11" t="s">
        <v>6736</v>
      </c>
      <c r="U3605" s="11" t="s">
        <v>150</v>
      </c>
      <c r="V3605" s="11" t="s">
        <v>6736</v>
      </c>
      <c r="W3605" s="11" t="s">
        <v>6736</v>
      </c>
      <c r="X3605" s="11">
        <v>1</v>
      </c>
      <c r="Y3605" s="11" t="s">
        <v>12359</v>
      </c>
      <c r="Z3605" s="11">
        <v>20</v>
      </c>
      <c r="AA3605" s="11">
        <v>0</v>
      </c>
      <c r="AB3605" s="12">
        <v>0</v>
      </c>
    </row>
    <row r="3606" spans="1:28" x14ac:dyDescent="0.2">
      <c r="A3606" s="7">
        <v>26895</v>
      </c>
      <c r="B3606" s="8" t="s">
        <v>22535</v>
      </c>
      <c r="C3606" s="8" t="s">
        <v>22536</v>
      </c>
      <c r="D3606" s="8" t="s">
        <v>2859</v>
      </c>
      <c r="E3606" s="8"/>
      <c r="F3606" s="8" t="s">
        <v>353</v>
      </c>
      <c r="G3606" s="8" t="s">
        <v>22537</v>
      </c>
      <c r="H3606" s="8" t="s">
        <v>122</v>
      </c>
      <c r="I3606" s="8" t="s">
        <v>22538</v>
      </c>
      <c r="J3606" s="8" t="s">
        <v>22539</v>
      </c>
      <c r="K3606" s="8" t="s">
        <v>1051</v>
      </c>
      <c r="L3606" s="8" t="s">
        <v>126</v>
      </c>
      <c r="M3606" s="8" t="s">
        <v>22540</v>
      </c>
      <c r="N3606" s="8" t="s">
        <v>128</v>
      </c>
      <c r="O3606" s="8" t="s">
        <v>22541</v>
      </c>
      <c r="P3606" s="8" t="s">
        <v>22542</v>
      </c>
      <c r="Q3606" s="8" t="s">
        <v>150</v>
      </c>
      <c r="R3606" s="8"/>
      <c r="S3606" s="8" t="s">
        <v>71</v>
      </c>
      <c r="T3606" s="8" t="s">
        <v>6736</v>
      </c>
      <c r="U3606" s="8" t="s">
        <v>150</v>
      </c>
      <c r="V3606" s="8" t="s">
        <v>6736</v>
      </c>
      <c r="W3606" s="8" t="s">
        <v>6736</v>
      </c>
      <c r="X3606" s="8">
        <v>1</v>
      </c>
      <c r="Y3606" s="8" t="s">
        <v>12359</v>
      </c>
      <c r="Z3606" s="8">
        <v>20</v>
      </c>
      <c r="AA3606" s="8">
        <v>0</v>
      </c>
      <c r="AB3606" s="9">
        <v>0</v>
      </c>
    </row>
    <row r="3607" spans="1:28" x14ac:dyDescent="0.2">
      <c r="A3607" s="10">
        <v>240308</v>
      </c>
      <c r="B3607" s="11" t="s">
        <v>22543</v>
      </c>
      <c r="C3607" s="11" t="s">
        <v>22544</v>
      </c>
      <c r="D3607" s="11" t="s">
        <v>22545</v>
      </c>
      <c r="E3607" s="11"/>
      <c r="F3607" s="11" t="s">
        <v>353</v>
      </c>
      <c r="G3607" s="11" t="s">
        <v>21364</v>
      </c>
      <c r="H3607" s="11" t="s">
        <v>847</v>
      </c>
      <c r="I3607" s="11" t="s">
        <v>22546</v>
      </c>
      <c r="J3607" s="11" t="s">
        <v>22547</v>
      </c>
      <c r="K3607" s="11" t="s">
        <v>850</v>
      </c>
      <c r="L3607" s="11" t="s">
        <v>126</v>
      </c>
      <c r="M3607" s="11" t="s">
        <v>22548</v>
      </c>
      <c r="N3607" s="11" t="s">
        <v>128</v>
      </c>
      <c r="O3607" s="11" t="s">
        <v>22549</v>
      </c>
      <c r="P3607" s="11" t="s">
        <v>2557</v>
      </c>
      <c r="Q3607" s="11" t="s">
        <v>150</v>
      </c>
      <c r="R3607" s="11"/>
      <c r="S3607" s="11" t="s">
        <v>71</v>
      </c>
      <c r="T3607" s="11" t="s">
        <v>6736</v>
      </c>
      <c r="U3607" s="11" t="s">
        <v>150</v>
      </c>
      <c r="V3607" s="11" t="s">
        <v>6736</v>
      </c>
      <c r="W3607" s="11" t="s">
        <v>6736</v>
      </c>
      <c r="X3607" s="11">
        <v>1</v>
      </c>
      <c r="Y3607" s="11" t="s">
        <v>12359</v>
      </c>
      <c r="Z3607" s="11">
        <v>20</v>
      </c>
      <c r="AA3607" s="11">
        <v>0</v>
      </c>
      <c r="AB3607" s="12">
        <v>0</v>
      </c>
    </row>
    <row r="3608" spans="1:28" x14ac:dyDescent="0.2">
      <c r="A3608" s="7">
        <v>23504</v>
      </c>
      <c r="B3608" s="8" t="s">
        <v>22550</v>
      </c>
      <c r="C3608" s="8" t="s">
        <v>4777</v>
      </c>
      <c r="D3608" s="8" t="s">
        <v>22551</v>
      </c>
      <c r="E3608" s="8"/>
      <c r="F3608" s="8" t="s">
        <v>13305</v>
      </c>
      <c r="G3608" s="8" t="s">
        <v>7402</v>
      </c>
      <c r="H3608" s="8" t="s">
        <v>847</v>
      </c>
      <c r="I3608" s="8" t="s">
        <v>7403</v>
      </c>
      <c r="J3608" s="8" t="s">
        <v>22552</v>
      </c>
      <c r="K3608" s="8" t="s">
        <v>1091</v>
      </c>
      <c r="L3608" s="8" t="s">
        <v>126</v>
      </c>
      <c r="M3608" s="8" t="s">
        <v>22553</v>
      </c>
      <c r="N3608" s="8" t="s">
        <v>128</v>
      </c>
      <c r="O3608" s="8" t="s">
        <v>22554</v>
      </c>
      <c r="P3608" s="8" t="s">
        <v>1999</v>
      </c>
      <c r="Q3608" s="8" t="s">
        <v>150</v>
      </c>
      <c r="R3608" s="8"/>
      <c r="S3608" s="8" t="s">
        <v>71</v>
      </c>
      <c r="T3608" s="8" t="s">
        <v>6736</v>
      </c>
      <c r="U3608" s="8" t="s">
        <v>150</v>
      </c>
      <c r="V3608" s="8" t="s">
        <v>6736</v>
      </c>
      <c r="W3608" s="8" t="s">
        <v>6736</v>
      </c>
      <c r="X3608" s="8">
        <v>1</v>
      </c>
      <c r="Y3608" s="8" t="s">
        <v>12359</v>
      </c>
      <c r="Z3608" s="8">
        <v>20</v>
      </c>
      <c r="AA3608" s="8">
        <v>0</v>
      </c>
      <c r="AB3608" s="9">
        <v>0</v>
      </c>
    </row>
    <row r="3609" spans="1:28" x14ac:dyDescent="0.2">
      <c r="A3609" s="10">
        <v>23524</v>
      </c>
      <c r="B3609" s="11" t="s">
        <v>22555</v>
      </c>
      <c r="C3609" s="11" t="s">
        <v>17440</v>
      </c>
      <c r="D3609" s="11" t="s">
        <v>22556</v>
      </c>
      <c r="E3609" s="11"/>
      <c r="F3609" s="11" t="s">
        <v>22557</v>
      </c>
      <c r="G3609" s="11" t="s">
        <v>14650</v>
      </c>
      <c r="H3609" s="11" t="s">
        <v>122</v>
      </c>
      <c r="I3609" s="11" t="s">
        <v>22558</v>
      </c>
      <c r="J3609" s="11" t="s">
        <v>22559</v>
      </c>
      <c r="K3609" s="11" t="s">
        <v>125</v>
      </c>
      <c r="L3609" s="11" t="s">
        <v>126</v>
      </c>
      <c r="M3609" s="11" t="s">
        <v>22560</v>
      </c>
      <c r="N3609" s="11" t="s">
        <v>128</v>
      </c>
      <c r="O3609" s="11" t="s">
        <v>22561</v>
      </c>
      <c r="P3609" s="11" t="s">
        <v>10495</v>
      </c>
      <c r="Q3609" s="11" t="s">
        <v>150</v>
      </c>
      <c r="R3609" s="11"/>
      <c r="S3609" s="11" t="s">
        <v>71</v>
      </c>
      <c r="T3609" s="11" t="s">
        <v>6736</v>
      </c>
      <c r="U3609" s="11" t="s">
        <v>150</v>
      </c>
      <c r="V3609" s="11" t="s">
        <v>6736</v>
      </c>
      <c r="W3609" s="11" t="s">
        <v>6736</v>
      </c>
      <c r="X3609" s="11">
        <v>1</v>
      </c>
      <c r="Y3609" s="11" t="s">
        <v>12359</v>
      </c>
      <c r="Z3609" s="11">
        <v>20</v>
      </c>
      <c r="AA3609" s="11">
        <v>0</v>
      </c>
      <c r="AB3609" s="12">
        <v>0</v>
      </c>
    </row>
    <row r="3610" spans="1:28" x14ac:dyDescent="0.2">
      <c r="A3610" s="7">
        <v>86654</v>
      </c>
      <c r="B3610" s="8" t="s">
        <v>22562</v>
      </c>
      <c r="C3610" s="8" t="s">
        <v>17440</v>
      </c>
      <c r="D3610" s="8" t="s">
        <v>22563</v>
      </c>
      <c r="E3610" s="8"/>
      <c r="F3610" s="8" t="s">
        <v>8170</v>
      </c>
      <c r="G3610" s="8" t="s">
        <v>14650</v>
      </c>
      <c r="H3610" s="8" t="s">
        <v>122</v>
      </c>
      <c r="I3610" s="8" t="s">
        <v>22558</v>
      </c>
      <c r="J3610" s="8" t="s">
        <v>22564</v>
      </c>
      <c r="K3610" s="8" t="s">
        <v>125</v>
      </c>
      <c r="L3610" s="8" t="s">
        <v>126</v>
      </c>
      <c r="M3610" s="8" t="s">
        <v>22565</v>
      </c>
      <c r="N3610" s="8" t="s">
        <v>128</v>
      </c>
      <c r="O3610" s="8" t="s">
        <v>22566</v>
      </c>
      <c r="P3610" s="8" t="s">
        <v>22006</v>
      </c>
      <c r="Q3610" s="8" t="s">
        <v>150</v>
      </c>
      <c r="R3610" s="8"/>
      <c r="S3610" s="8" t="s">
        <v>71</v>
      </c>
      <c r="T3610" s="8" t="s">
        <v>6736</v>
      </c>
      <c r="U3610" s="8" t="s">
        <v>150</v>
      </c>
      <c r="V3610" s="8" t="s">
        <v>6736</v>
      </c>
      <c r="W3610" s="8" t="s">
        <v>6736</v>
      </c>
      <c r="X3610" s="8">
        <v>1</v>
      </c>
      <c r="Y3610" s="8" t="s">
        <v>12359</v>
      </c>
      <c r="Z3610" s="8">
        <v>20</v>
      </c>
      <c r="AA3610" s="8">
        <v>0</v>
      </c>
      <c r="AB3610" s="9">
        <v>0</v>
      </c>
    </row>
    <row r="3611" spans="1:28" x14ac:dyDescent="0.2">
      <c r="A3611" s="10">
        <v>119281</v>
      </c>
      <c r="B3611" s="11" t="s">
        <v>22567</v>
      </c>
      <c r="C3611" s="11" t="s">
        <v>22568</v>
      </c>
      <c r="D3611" s="11" t="s">
        <v>22569</v>
      </c>
      <c r="E3611" s="11"/>
      <c r="F3611" s="11" t="s">
        <v>22570</v>
      </c>
      <c r="G3611" s="11" t="s">
        <v>22571</v>
      </c>
      <c r="H3611" s="11" t="s">
        <v>704</v>
      </c>
      <c r="I3611" s="11" t="s">
        <v>22572</v>
      </c>
      <c r="J3611" s="11" t="s">
        <v>22573</v>
      </c>
      <c r="K3611" s="11" t="s">
        <v>707</v>
      </c>
      <c r="L3611" s="11" t="s">
        <v>126</v>
      </c>
      <c r="M3611" s="11" t="s">
        <v>22574</v>
      </c>
      <c r="N3611" s="11" t="s">
        <v>128</v>
      </c>
      <c r="O3611" s="11" t="s">
        <v>22575</v>
      </c>
      <c r="P3611" s="11" t="s">
        <v>22576</v>
      </c>
      <c r="Q3611" s="11" t="s">
        <v>150</v>
      </c>
      <c r="R3611" s="11"/>
      <c r="S3611" s="11" t="s">
        <v>71</v>
      </c>
      <c r="T3611" s="11" t="s">
        <v>6736</v>
      </c>
      <c r="U3611" s="11" t="s">
        <v>150</v>
      </c>
      <c r="V3611" s="11" t="s">
        <v>6736</v>
      </c>
      <c r="W3611" s="11" t="s">
        <v>6736</v>
      </c>
      <c r="X3611" s="11">
        <v>1</v>
      </c>
      <c r="Y3611" s="11" t="s">
        <v>12359</v>
      </c>
      <c r="Z3611" s="11">
        <v>20</v>
      </c>
      <c r="AA3611" s="11">
        <v>0</v>
      </c>
      <c r="AB3611" s="12">
        <v>0</v>
      </c>
    </row>
    <row r="3612" spans="1:28" x14ac:dyDescent="0.2">
      <c r="A3612" s="7">
        <v>119288</v>
      </c>
      <c r="B3612" s="8" t="s">
        <v>22577</v>
      </c>
      <c r="C3612" s="8" t="s">
        <v>22578</v>
      </c>
      <c r="D3612" s="8" t="s">
        <v>7993</v>
      </c>
      <c r="E3612" s="8"/>
      <c r="F3612" s="8" t="s">
        <v>22579</v>
      </c>
      <c r="G3612" s="8" t="s">
        <v>4831</v>
      </c>
      <c r="H3612" s="8" t="s">
        <v>122</v>
      </c>
      <c r="I3612" s="8" t="s">
        <v>22580</v>
      </c>
      <c r="J3612" s="8" t="s">
        <v>22581</v>
      </c>
      <c r="K3612" s="8" t="s">
        <v>1051</v>
      </c>
      <c r="L3612" s="8" t="s">
        <v>126</v>
      </c>
      <c r="M3612" s="8" t="s">
        <v>22582</v>
      </c>
      <c r="N3612" s="8" t="s">
        <v>128</v>
      </c>
      <c r="O3612" s="8" t="s">
        <v>22583</v>
      </c>
      <c r="P3612" s="8" t="s">
        <v>22584</v>
      </c>
      <c r="Q3612" s="8" t="s">
        <v>150</v>
      </c>
      <c r="R3612" s="8"/>
      <c r="S3612" s="8" t="s">
        <v>71</v>
      </c>
      <c r="T3612" s="8" t="s">
        <v>6736</v>
      </c>
      <c r="U3612" s="8" t="s">
        <v>150</v>
      </c>
      <c r="V3612" s="8" t="s">
        <v>6736</v>
      </c>
      <c r="W3612" s="8" t="s">
        <v>6736</v>
      </c>
      <c r="X3612" s="8">
        <v>1</v>
      </c>
      <c r="Y3612" s="8" t="s">
        <v>12359</v>
      </c>
      <c r="Z3612" s="8">
        <v>20</v>
      </c>
      <c r="AA3612" s="8">
        <v>0</v>
      </c>
      <c r="AB3612" s="9">
        <v>0</v>
      </c>
    </row>
    <row r="3613" spans="1:28" x14ac:dyDescent="0.2">
      <c r="A3613" s="10">
        <v>26880</v>
      </c>
      <c r="B3613" s="11" t="s">
        <v>22585</v>
      </c>
      <c r="C3613" s="11" t="s">
        <v>4099</v>
      </c>
      <c r="D3613" s="11" t="s">
        <v>1054</v>
      </c>
      <c r="E3613" s="11"/>
      <c r="F3613" s="11" t="s">
        <v>353</v>
      </c>
      <c r="G3613" s="11" t="s">
        <v>4856</v>
      </c>
      <c r="H3613" s="11" t="s">
        <v>847</v>
      </c>
      <c r="I3613" s="11" t="s">
        <v>22586</v>
      </c>
      <c r="J3613" s="11" t="s">
        <v>22587</v>
      </c>
      <c r="K3613" s="11" t="s">
        <v>850</v>
      </c>
      <c r="L3613" s="11" t="s">
        <v>126</v>
      </c>
      <c r="M3613" s="11" t="s">
        <v>22588</v>
      </c>
      <c r="N3613" s="11" t="s">
        <v>128</v>
      </c>
      <c r="O3613" s="11"/>
      <c r="P3613" s="11"/>
      <c r="Q3613" s="11" t="s">
        <v>150</v>
      </c>
      <c r="R3613" s="11"/>
      <c r="S3613" s="11" t="s">
        <v>71</v>
      </c>
      <c r="T3613" s="11" t="s">
        <v>6736</v>
      </c>
      <c r="U3613" s="11" t="s">
        <v>150</v>
      </c>
      <c r="V3613" s="11" t="s">
        <v>6736</v>
      </c>
      <c r="W3613" s="11" t="s">
        <v>6736</v>
      </c>
      <c r="X3613" s="11">
        <v>1</v>
      </c>
      <c r="Y3613" s="11" t="s">
        <v>12359</v>
      </c>
      <c r="Z3613" s="11">
        <v>20</v>
      </c>
      <c r="AA3613" s="11">
        <v>0</v>
      </c>
      <c r="AB3613" s="12">
        <v>0</v>
      </c>
    </row>
    <row r="3614" spans="1:28" x14ac:dyDescent="0.2">
      <c r="A3614" s="7">
        <v>86791</v>
      </c>
      <c r="B3614" s="8" t="s">
        <v>22589</v>
      </c>
      <c r="C3614" s="8" t="s">
        <v>22590</v>
      </c>
      <c r="D3614" s="8" t="s">
        <v>5206</v>
      </c>
      <c r="E3614" s="8"/>
      <c r="F3614" s="8" t="s">
        <v>353</v>
      </c>
      <c r="G3614" s="8" t="s">
        <v>10601</v>
      </c>
      <c r="H3614" s="8" t="s">
        <v>557</v>
      </c>
      <c r="I3614" s="8" t="s">
        <v>12071</v>
      </c>
      <c r="J3614" s="8" t="s">
        <v>22591</v>
      </c>
      <c r="K3614" s="8" t="s">
        <v>560</v>
      </c>
      <c r="L3614" s="8" t="s">
        <v>229</v>
      </c>
      <c r="M3614" s="8" t="s">
        <v>22592</v>
      </c>
      <c r="N3614" s="8" t="s">
        <v>128</v>
      </c>
      <c r="O3614" s="8" t="s">
        <v>22593</v>
      </c>
      <c r="P3614" s="8" t="s">
        <v>3523</v>
      </c>
      <c r="Q3614" s="8" t="s">
        <v>150</v>
      </c>
      <c r="R3614" s="8"/>
      <c r="S3614" s="8" t="s">
        <v>71</v>
      </c>
      <c r="T3614" s="8" t="s">
        <v>14420</v>
      </c>
      <c r="U3614" s="8" t="s">
        <v>150</v>
      </c>
      <c r="V3614" s="8" t="s">
        <v>14420</v>
      </c>
      <c r="W3614" s="8" t="s">
        <v>14420</v>
      </c>
      <c r="X3614" s="8">
        <v>1</v>
      </c>
      <c r="Y3614" s="8" t="s">
        <v>12359</v>
      </c>
      <c r="Z3614" s="8">
        <v>20</v>
      </c>
      <c r="AA3614" s="8">
        <v>0</v>
      </c>
      <c r="AB3614" s="9">
        <v>0</v>
      </c>
    </row>
    <row r="3615" spans="1:28" x14ac:dyDescent="0.2">
      <c r="A3615" s="10">
        <v>22506</v>
      </c>
      <c r="B3615" s="11" t="s">
        <v>22594</v>
      </c>
      <c r="C3615" s="11" t="s">
        <v>22595</v>
      </c>
      <c r="D3615" s="11" t="s">
        <v>3598</v>
      </c>
      <c r="E3615" s="11"/>
      <c r="F3615" s="11" t="s">
        <v>353</v>
      </c>
      <c r="G3615" s="11" t="s">
        <v>22286</v>
      </c>
      <c r="H3615" s="11" t="s">
        <v>301</v>
      </c>
      <c r="I3615" s="11" t="s">
        <v>22596</v>
      </c>
      <c r="J3615" s="11" t="s">
        <v>22597</v>
      </c>
      <c r="K3615" s="11" t="s">
        <v>304</v>
      </c>
      <c r="L3615" s="11" t="s">
        <v>229</v>
      </c>
      <c r="M3615" s="11" t="s">
        <v>22598</v>
      </c>
      <c r="N3615" s="11" t="s">
        <v>128</v>
      </c>
      <c r="O3615" s="11" t="s">
        <v>22599</v>
      </c>
      <c r="P3615" s="11" t="s">
        <v>22600</v>
      </c>
      <c r="Q3615" s="11" t="s">
        <v>150</v>
      </c>
      <c r="R3615" s="11"/>
      <c r="S3615" s="11" t="s">
        <v>71</v>
      </c>
      <c r="T3615" s="11" t="s">
        <v>869</v>
      </c>
      <c r="U3615" s="11" t="s">
        <v>150</v>
      </c>
      <c r="V3615" s="11" t="s">
        <v>869</v>
      </c>
      <c r="W3615" s="11" t="s">
        <v>869</v>
      </c>
      <c r="X3615" s="11">
        <v>1</v>
      </c>
      <c r="Y3615" s="11" t="s">
        <v>12359</v>
      </c>
      <c r="Z3615" s="11">
        <v>20</v>
      </c>
      <c r="AA3615" s="11">
        <v>0</v>
      </c>
      <c r="AB3615" s="12">
        <v>0</v>
      </c>
    </row>
    <row r="3616" spans="1:28" x14ac:dyDescent="0.2">
      <c r="A3616" s="7">
        <v>22509</v>
      </c>
      <c r="B3616" s="8" t="s">
        <v>22601</v>
      </c>
      <c r="C3616" s="8" t="s">
        <v>22602</v>
      </c>
      <c r="D3616" s="8" t="s">
        <v>5817</v>
      </c>
      <c r="E3616" s="8"/>
      <c r="F3616" s="8" t="s">
        <v>7985</v>
      </c>
      <c r="G3616" s="8" t="s">
        <v>22286</v>
      </c>
      <c r="H3616" s="8" t="s">
        <v>301</v>
      </c>
      <c r="I3616" s="8" t="s">
        <v>22596</v>
      </c>
      <c r="J3616" s="8" t="s">
        <v>22603</v>
      </c>
      <c r="K3616" s="8" t="s">
        <v>304</v>
      </c>
      <c r="L3616" s="8" t="s">
        <v>229</v>
      </c>
      <c r="M3616" s="8" t="s">
        <v>22604</v>
      </c>
      <c r="N3616" s="8" t="s">
        <v>128</v>
      </c>
      <c r="O3616" s="8" t="s">
        <v>22605</v>
      </c>
      <c r="P3616" s="8" t="s">
        <v>22606</v>
      </c>
      <c r="Q3616" s="8" t="s">
        <v>150</v>
      </c>
      <c r="R3616" s="8"/>
      <c r="S3616" s="8" t="s">
        <v>71</v>
      </c>
      <c r="T3616" s="8" t="s">
        <v>869</v>
      </c>
      <c r="U3616" s="8" t="s">
        <v>150</v>
      </c>
      <c r="V3616" s="8" t="s">
        <v>869</v>
      </c>
      <c r="W3616" s="8" t="s">
        <v>869</v>
      </c>
      <c r="X3616" s="8">
        <v>1</v>
      </c>
      <c r="Y3616" s="8" t="s">
        <v>12359</v>
      </c>
      <c r="Z3616" s="8">
        <v>20</v>
      </c>
      <c r="AA3616" s="8">
        <v>0</v>
      </c>
      <c r="AB3616" s="9">
        <v>0</v>
      </c>
    </row>
    <row r="3617" spans="1:28" x14ac:dyDescent="0.2">
      <c r="A3617" s="10">
        <v>235539</v>
      </c>
      <c r="B3617" s="11" t="s">
        <v>22607</v>
      </c>
      <c r="C3617" s="11" t="s">
        <v>2481</v>
      </c>
      <c r="D3617" s="11" t="s">
        <v>22608</v>
      </c>
      <c r="E3617" s="11"/>
      <c r="F3617" s="11" t="s">
        <v>353</v>
      </c>
      <c r="G3617" s="11" t="s">
        <v>10952</v>
      </c>
      <c r="H3617" s="11" t="s">
        <v>1843</v>
      </c>
      <c r="I3617" s="11" t="s">
        <v>22609</v>
      </c>
      <c r="J3617" s="11" t="s">
        <v>22610</v>
      </c>
      <c r="K3617" s="11" t="s">
        <v>1562</v>
      </c>
      <c r="L3617" s="11" t="s">
        <v>229</v>
      </c>
      <c r="M3617" s="11" t="s">
        <v>22611</v>
      </c>
      <c r="N3617" s="11" t="s">
        <v>128</v>
      </c>
      <c r="O3617" s="11" t="s">
        <v>22612</v>
      </c>
      <c r="P3617" s="11" t="s">
        <v>22613</v>
      </c>
      <c r="Q3617" s="11" t="s">
        <v>150</v>
      </c>
      <c r="R3617" s="11"/>
      <c r="S3617" s="11" t="s">
        <v>71</v>
      </c>
      <c r="T3617" s="11" t="s">
        <v>7898</v>
      </c>
      <c r="U3617" s="11" t="s">
        <v>150</v>
      </c>
      <c r="V3617" s="11" t="s">
        <v>7898</v>
      </c>
      <c r="W3617" s="11" t="s">
        <v>7898</v>
      </c>
      <c r="X3617" s="11">
        <v>1</v>
      </c>
      <c r="Y3617" s="11" t="s">
        <v>12359</v>
      </c>
      <c r="Z3617" s="11">
        <v>20</v>
      </c>
      <c r="AA3617" s="11">
        <v>0</v>
      </c>
      <c r="AB3617" s="12">
        <v>0</v>
      </c>
    </row>
    <row r="3618" spans="1:28" x14ac:dyDescent="0.2">
      <c r="A3618" s="7">
        <v>27786</v>
      </c>
      <c r="B3618" s="8" t="s">
        <v>22614</v>
      </c>
      <c r="C3618" s="8" t="s">
        <v>22615</v>
      </c>
      <c r="D3618" s="8" t="s">
        <v>138</v>
      </c>
      <c r="E3618" s="8"/>
      <c r="F3618" s="8" t="s">
        <v>18139</v>
      </c>
      <c r="G3618" s="8" t="s">
        <v>4063</v>
      </c>
      <c r="H3618" s="8" t="s">
        <v>301</v>
      </c>
      <c r="I3618" s="8" t="s">
        <v>22616</v>
      </c>
      <c r="J3618" s="8" t="s">
        <v>22617</v>
      </c>
      <c r="K3618" s="8" t="s">
        <v>228</v>
      </c>
      <c r="L3618" s="8" t="s">
        <v>229</v>
      </c>
      <c r="M3618" s="8" t="s">
        <v>22618</v>
      </c>
      <c r="N3618" s="8" t="s">
        <v>128</v>
      </c>
      <c r="O3618" s="8" t="s">
        <v>22619</v>
      </c>
      <c r="P3618" s="8" t="s">
        <v>22620</v>
      </c>
      <c r="Q3618" s="8" t="s">
        <v>150</v>
      </c>
      <c r="R3618" s="8"/>
      <c r="S3618" s="8" t="s">
        <v>71</v>
      </c>
      <c r="T3618" s="8" t="s">
        <v>2697</v>
      </c>
      <c r="U3618" s="8" t="s">
        <v>150</v>
      </c>
      <c r="V3618" s="8" t="s">
        <v>2697</v>
      </c>
      <c r="W3618" s="8" t="s">
        <v>2697</v>
      </c>
      <c r="X3618" s="8">
        <v>1</v>
      </c>
      <c r="Y3618" s="8" t="s">
        <v>12359</v>
      </c>
      <c r="Z3618" s="8">
        <v>20</v>
      </c>
      <c r="AA3618" s="8">
        <v>0</v>
      </c>
      <c r="AB3618" s="9">
        <v>0</v>
      </c>
    </row>
    <row r="3619" spans="1:28" x14ac:dyDescent="0.2">
      <c r="A3619" s="10">
        <v>22599</v>
      </c>
      <c r="B3619" s="11" t="s">
        <v>22621</v>
      </c>
      <c r="C3619" s="11" t="s">
        <v>10332</v>
      </c>
      <c r="D3619" s="11" t="s">
        <v>22622</v>
      </c>
      <c r="E3619" s="11"/>
      <c r="F3619" s="11" t="s">
        <v>22623</v>
      </c>
      <c r="G3619" s="11" t="s">
        <v>14650</v>
      </c>
      <c r="H3619" s="11" t="s">
        <v>122</v>
      </c>
      <c r="I3619" s="11" t="s">
        <v>22624</v>
      </c>
      <c r="J3619" s="11" t="s">
        <v>22625</v>
      </c>
      <c r="K3619" s="11" t="s">
        <v>125</v>
      </c>
      <c r="L3619" s="11" t="s">
        <v>126</v>
      </c>
      <c r="M3619" s="11" t="s">
        <v>22626</v>
      </c>
      <c r="N3619" s="11" t="s">
        <v>128</v>
      </c>
      <c r="O3619" s="11" t="s">
        <v>22627</v>
      </c>
      <c r="P3619" s="11" t="s">
        <v>22628</v>
      </c>
      <c r="Q3619" s="11" t="s">
        <v>150</v>
      </c>
      <c r="R3619" s="11"/>
      <c r="S3619" s="11" t="s">
        <v>71</v>
      </c>
      <c r="T3619" s="11" t="s">
        <v>2697</v>
      </c>
      <c r="U3619" s="11" t="s">
        <v>150</v>
      </c>
      <c r="V3619" s="11" t="s">
        <v>2697</v>
      </c>
      <c r="W3619" s="11" t="s">
        <v>2697</v>
      </c>
      <c r="X3619" s="11">
        <v>1</v>
      </c>
      <c r="Y3619" s="11" t="s">
        <v>12359</v>
      </c>
      <c r="Z3619" s="11">
        <v>20</v>
      </c>
      <c r="AA3619" s="11">
        <v>0</v>
      </c>
      <c r="AB3619" s="12">
        <v>0</v>
      </c>
    </row>
    <row r="3620" spans="1:28" x14ac:dyDescent="0.2">
      <c r="A3620" s="7">
        <v>27793</v>
      </c>
      <c r="B3620" s="8" t="s">
        <v>22629</v>
      </c>
      <c r="C3620" s="8" t="s">
        <v>22630</v>
      </c>
      <c r="D3620" s="8" t="s">
        <v>22631</v>
      </c>
      <c r="E3620" s="8"/>
      <c r="F3620" s="8" t="s">
        <v>22632</v>
      </c>
      <c r="G3620" s="8" t="s">
        <v>22286</v>
      </c>
      <c r="H3620" s="8" t="s">
        <v>301</v>
      </c>
      <c r="I3620" s="8" t="s">
        <v>22633</v>
      </c>
      <c r="J3620" s="8" t="s">
        <v>22634</v>
      </c>
      <c r="K3620" s="8" t="s">
        <v>304</v>
      </c>
      <c r="L3620" s="8" t="s">
        <v>229</v>
      </c>
      <c r="M3620" s="8" t="s">
        <v>22635</v>
      </c>
      <c r="N3620" s="8" t="s">
        <v>128</v>
      </c>
      <c r="O3620" s="8" t="s">
        <v>22636</v>
      </c>
      <c r="P3620" s="8" t="s">
        <v>22637</v>
      </c>
      <c r="Q3620" s="8" t="s">
        <v>150</v>
      </c>
      <c r="R3620" s="8"/>
      <c r="S3620" s="8" t="s">
        <v>71</v>
      </c>
      <c r="T3620" s="8" t="s">
        <v>2697</v>
      </c>
      <c r="U3620" s="8" t="s">
        <v>150</v>
      </c>
      <c r="V3620" s="8" t="s">
        <v>2697</v>
      </c>
      <c r="W3620" s="8" t="s">
        <v>2697</v>
      </c>
      <c r="X3620" s="8">
        <v>1</v>
      </c>
      <c r="Y3620" s="8" t="s">
        <v>12359</v>
      </c>
      <c r="Z3620" s="8">
        <v>20</v>
      </c>
      <c r="AA3620" s="8">
        <v>0</v>
      </c>
      <c r="AB3620" s="9">
        <v>0</v>
      </c>
    </row>
    <row r="3621" spans="1:28" x14ac:dyDescent="0.2">
      <c r="A3621" s="10">
        <v>27805</v>
      </c>
      <c r="B3621" s="11" t="s">
        <v>22638</v>
      </c>
      <c r="C3621" s="11" t="s">
        <v>22639</v>
      </c>
      <c r="D3621" s="11" t="s">
        <v>2516</v>
      </c>
      <c r="E3621" s="11"/>
      <c r="F3621" s="11" t="s">
        <v>22640</v>
      </c>
      <c r="G3621" s="11" t="s">
        <v>4856</v>
      </c>
      <c r="H3621" s="11" t="s">
        <v>847</v>
      </c>
      <c r="I3621" s="11" t="s">
        <v>22641</v>
      </c>
      <c r="J3621" s="11" t="s">
        <v>22642</v>
      </c>
      <c r="K3621" s="11" t="s">
        <v>850</v>
      </c>
      <c r="L3621" s="11" t="s">
        <v>126</v>
      </c>
      <c r="M3621" s="11" t="s">
        <v>22643</v>
      </c>
      <c r="N3621" s="11" t="s">
        <v>128</v>
      </c>
      <c r="O3621" s="11" t="s">
        <v>22644</v>
      </c>
      <c r="P3621" s="11" t="s">
        <v>22645</v>
      </c>
      <c r="Q3621" s="11" t="s">
        <v>150</v>
      </c>
      <c r="R3621" s="11"/>
      <c r="S3621" s="11" t="s">
        <v>71</v>
      </c>
      <c r="T3621" s="11" t="s">
        <v>2697</v>
      </c>
      <c r="U3621" s="11" t="s">
        <v>150</v>
      </c>
      <c r="V3621" s="11" t="s">
        <v>2697</v>
      </c>
      <c r="W3621" s="11" t="s">
        <v>2697</v>
      </c>
      <c r="X3621" s="11">
        <v>1</v>
      </c>
      <c r="Y3621" s="11" t="s">
        <v>12359</v>
      </c>
      <c r="Z3621" s="11">
        <v>20</v>
      </c>
      <c r="AA3621" s="11">
        <v>0</v>
      </c>
      <c r="AB3621" s="12">
        <v>0</v>
      </c>
    </row>
    <row r="3622" spans="1:28" x14ac:dyDescent="0.2">
      <c r="A3622" s="7">
        <v>212514</v>
      </c>
      <c r="B3622" s="8" t="s">
        <v>22646</v>
      </c>
      <c r="C3622" s="8" t="s">
        <v>3108</v>
      </c>
      <c r="D3622" s="8" t="s">
        <v>3109</v>
      </c>
      <c r="E3622" s="8" t="s">
        <v>4536</v>
      </c>
      <c r="F3622" s="8" t="s">
        <v>3111</v>
      </c>
      <c r="G3622" s="8" t="s">
        <v>615</v>
      </c>
      <c r="H3622" s="8" t="s">
        <v>616</v>
      </c>
      <c r="I3622" s="8" t="s">
        <v>6749</v>
      </c>
      <c r="J3622" s="8" t="s">
        <v>3113</v>
      </c>
      <c r="K3622" s="8" t="s">
        <v>619</v>
      </c>
      <c r="L3622" s="8" t="s">
        <v>163</v>
      </c>
      <c r="M3622" s="8" t="s">
        <v>22647</v>
      </c>
      <c r="N3622" s="8" t="s">
        <v>128</v>
      </c>
      <c r="O3622" s="8" t="s">
        <v>22648</v>
      </c>
      <c r="P3622" s="8"/>
      <c r="Q3622" s="8" t="s">
        <v>150</v>
      </c>
      <c r="R3622" s="8"/>
      <c r="S3622" s="8" t="s">
        <v>3117</v>
      </c>
      <c r="T3622" s="8" t="s">
        <v>5642</v>
      </c>
      <c r="U3622" s="8" t="s">
        <v>150</v>
      </c>
      <c r="V3622" s="8" t="s">
        <v>5642</v>
      </c>
      <c r="W3622" s="8" t="s">
        <v>5642</v>
      </c>
      <c r="X3622" s="8">
        <v>1</v>
      </c>
      <c r="Y3622" s="8" t="s">
        <v>12359</v>
      </c>
      <c r="Z3622" s="8">
        <v>20</v>
      </c>
      <c r="AA3622" s="8">
        <v>0</v>
      </c>
      <c r="AB3622" s="9">
        <v>0</v>
      </c>
    </row>
    <row r="3623" spans="1:28" x14ac:dyDescent="0.2">
      <c r="A3623" s="10">
        <v>49682</v>
      </c>
      <c r="B3623" s="11" t="s">
        <v>22649</v>
      </c>
      <c r="C3623" s="11" t="s">
        <v>21571</v>
      </c>
      <c r="D3623" s="11" t="s">
        <v>2173</v>
      </c>
      <c r="E3623" s="11"/>
      <c r="F3623" s="11" t="s">
        <v>22650</v>
      </c>
      <c r="G3623" s="11" t="s">
        <v>158</v>
      </c>
      <c r="H3623" s="11" t="s">
        <v>159</v>
      </c>
      <c r="I3623" s="11" t="s">
        <v>21573</v>
      </c>
      <c r="J3623" s="11" t="s">
        <v>22651</v>
      </c>
      <c r="K3623" s="11" t="s">
        <v>162</v>
      </c>
      <c r="L3623" s="11" t="s">
        <v>163</v>
      </c>
      <c r="M3623" s="11" t="s">
        <v>22652</v>
      </c>
      <c r="N3623" s="11" t="s">
        <v>128</v>
      </c>
      <c r="O3623" s="11" t="s">
        <v>22653</v>
      </c>
      <c r="P3623" s="11"/>
      <c r="Q3623" s="11" t="s">
        <v>150</v>
      </c>
      <c r="R3623" s="11"/>
      <c r="S3623" s="11" t="s">
        <v>71</v>
      </c>
      <c r="T3623" s="11" t="s">
        <v>5642</v>
      </c>
      <c r="U3623" s="11" t="s">
        <v>150</v>
      </c>
      <c r="V3623" s="11" t="s">
        <v>5642</v>
      </c>
      <c r="W3623" s="11" t="s">
        <v>5642</v>
      </c>
      <c r="X3623" s="11">
        <v>1</v>
      </c>
      <c r="Y3623" s="11" t="s">
        <v>12359</v>
      </c>
      <c r="Z3623" s="11">
        <v>20</v>
      </c>
      <c r="AA3623" s="11">
        <v>0</v>
      </c>
      <c r="AB3623" s="12">
        <v>0</v>
      </c>
    </row>
    <row r="3624" spans="1:28" x14ac:dyDescent="0.2">
      <c r="A3624" s="7">
        <v>22723</v>
      </c>
      <c r="B3624" s="8" t="s">
        <v>22654</v>
      </c>
      <c r="C3624" s="8" t="s">
        <v>16237</v>
      </c>
      <c r="D3624" s="8" t="s">
        <v>22655</v>
      </c>
      <c r="E3624" s="8" t="s">
        <v>281</v>
      </c>
      <c r="F3624" s="8" t="s">
        <v>353</v>
      </c>
      <c r="G3624" s="8" t="s">
        <v>18966</v>
      </c>
      <c r="H3624" s="8" t="s">
        <v>142</v>
      </c>
      <c r="I3624" s="8" t="s">
        <v>18967</v>
      </c>
      <c r="J3624" s="8" t="s">
        <v>22656</v>
      </c>
      <c r="K3624" s="8" t="s">
        <v>1673</v>
      </c>
      <c r="L3624" s="8" t="s">
        <v>464</v>
      </c>
      <c r="M3624" s="8" t="s">
        <v>22657</v>
      </c>
      <c r="N3624" s="8" t="s">
        <v>128</v>
      </c>
      <c r="O3624" s="8" t="s">
        <v>22658</v>
      </c>
      <c r="P3624" s="8" t="s">
        <v>22659</v>
      </c>
      <c r="Q3624" s="8" t="s">
        <v>150</v>
      </c>
      <c r="R3624" s="8"/>
      <c r="S3624" s="8" t="s">
        <v>71</v>
      </c>
      <c r="T3624" s="8" t="s">
        <v>13822</v>
      </c>
      <c r="U3624" s="8" t="s">
        <v>150</v>
      </c>
      <c r="V3624" s="8" t="s">
        <v>13822</v>
      </c>
      <c r="W3624" s="8" t="s">
        <v>13822</v>
      </c>
      <c r="X3624" s="8">
        <v>1</v>
      </c>
      <c r="Y3624" s="8" t="s">
        <v>12359</v>
      </c>
      <c r="Z3624" s="8">
        <v>20</v>
      </c>
      <c r="AA3624" s="8">
        <v>0</v>
      </c>
      <c r="AB3624" s="9">
        <v>0</v>
      </c>
    </row>
    <row r="3625" spans="1:28" x14ac:dyDescent="0.2">
      <c r="A3625" s="10">
        <v>28936</v>
      </c>
      <c r="B3625" s="11" t="s">
        <v>22660</v>
      </c>
      <c r="C3625" s="11" t="s">
        <v>18388</v>
      </c>
      <c r="D3625" s="11" t="s">
        <v>6830</v>
      </c>
      <c r="E3625" s="11"/>
      <c r="F3625" s="11"/>
      <c r="G3625" s="11" t="s">
        <v>21543</v>
      </c>
      <c r="H3625" s="11" t="s">
        <v>142</v>
      </c>
      <c r="I3625" s="11" t="s">
        <v>18967</v>
      </c>
      <c r="J3625" s="11" t="s">
        <v>22661</v>
      </c>
      <c r="K3625" s="11" t="s">
        <v>1673</v>
      </c>
      <c r="L3625" s="11" t="s">
        <v>464</v>
      </c>
      <c r="M3625" s="11" t="s">
        <v>22662</v>
      </c>
      <c r="N3625" s="11" t="s">
        <v>128</v>
      </c>
      <c r="O3625" s="11"/>
      <c r="P3625" s="11" t="s">
        <v>22663</v>
      </c>
      <c r="Q3625" s="11" t="s">
        <v>150</v>
      </c>
      <c r="R3625" s="11"/>
      <c r="S3625" s="11" t="s">
        <v>71</v>
      </c>
      <c r="T3625" s="11" t="s">
        <v>13822</v>
      </c>
      <c r="U3625" s="11" t="s">
        <v>150</v>
      </c>
      <c r="V3625" s="11" t="s">
        <v>13822</v>
      </c>
      <c r="W3625" s="11" t="s">
        <v>13822</v>
      </c>
      <c r="X3625" s="11">
        <v>1</v>
      </c>
      <c r="Y3625" s="11" t="s">
        <v>12359</v>
      </c>
      <c r="Z3625" s="11">
        <v>20</v>
      </c>
      <c r="AA3625" s="11">
        <v>0</v>
      </c>
      <c r="AB3625" s="12">
        <v>0</v>
      </c>
    </row>
    <row r="3626" spans="1:28" x14ac:dyDescent="0.2">
      <c r="A3626" s="7">
        <v>190840</v>
      </c>
      <c r="B3626" s="8" t="s">
        <v>22664</v>
      </c>
      <c r="C3626" s="8" t="s">
        <v>12260</v>
      </c>
      <c r="D3626" s="8" t="s">
        <v>14349</v>
      </c>
      <c r="E3626" s="8" t="s">
        <v>18768</v>
      </c>
      <c r="F3626" s="8" t="s">
        <v>353</v>
      </c>
      <c r="G3626" s="8" t="s">
        <v>12262</v>
      </c>
      <c r="H3626" s="8" t="s">
        <v>704</v>
      </c>
      <c r="I3626" s="8" t="s">
        <v>12263</v>
      </c>
      <c r="J3626" s="8" t="s">
        <v>22665</v>
      </c>
      <c r="K3626" s="8" t="s">
        <v>707</v>
      </c>
      <c r="L3626" s="8" t="s">
        <v>126</v>
      </c>
      <c r="M3626" s="8" t="s">
        <v>22666</v>
      </c>
      <c r="N3626" s="8" t="s">
        <v>128</v>
      </c>
      <c r="O3626" s="8" t="s">
        <v>22667</v>
      </c>
      <c r="P3626" s="8"/>
      <c r="Q3626" s="8" t="s">
        <v>150</v>
      </c>
      <c r="R3626" s="8"/>
      <c r="S3626" s="8" t="s">
        <v>71</v>
      </c>
      <c r="T3626" s="8" t="s">
        <v>2817</v>
      </c>
      <c r="U3626" s="8" t="s">
        <v>150</v>
      </c>
      <c r="V3626" s="8" t="s">
        <v>2817</v>
      </c>
      <c r="W3626" s="8" t="s">
        <v>2817</v>
      </c>
      <c r="X3626" s="8">
        <v>1</v>
      </c>
      <c r="Y3626" s="8" t="s">
        <v>12359</v>
      </c>
      <c r="Z3626" s="8">
        <v>20</v>
      </c>
      <c r="AA3626" s="8">
        <v>0</v>
      </c>
      <c r="AB3626" s="9">
        <v>0</v>
      </c>
    </row>
    <row r="3627" spans="1:28" x14ac:dyDescent="0.2">
      <c r="A3627" s="10">
        <v>37843</v>
      </c>
      <c r="B3627" s="11" t="s">
        <v>22668</v>
      </c>
      <c r="C3627" s="11" t="s">
        <v>22669</v>
      </c>
      <c r="D3627" s="11" t="s">
        <v>2206</v>
      </c>
      <c r="E3627" s="11"/>
      <c r="F3627" s="11"/>
      <c r="G3627" s="11" t="s">
        <v>703</v>
      </c>
      <c r="H3627" s="11" t="s">
        <v>704</v>
      </c>
      <c r="I3627" s="11"/>
      <c r="J3627" s="11" t="s">
        <v>22670</v>
      </c>
      <c r="K3627" s="11" t="s">
        <v>707</v>
      </c>
      <c r="L3627" s="11" t="s">
        <v>126</v>
      </c>
      <c r="M3627" s="11" t="s">
        <v>22671</v>
      </c>
      <c r="N3627" s="11" t="s">
        <v>128</v>
      </c>
      <c r="O3627" s="11" t="s">
        <v>22672</v>
      </c>
      <c r="P3627" s="11"/>
      <c r="Q3627" s="11" t="s">
        <v>150</v>
      </c>
      <c r="R3627" s="11"/>
      <c r="S3627" s="11" t="s">
        <v>71</v>
      </c>
      <c r="T3627" s="11" t="s">
        <v>2817</v>
      </c>
      <c r="U3627" s="11" t="s">
        <v>150</v>
      </c>
      <c r="V3627" s="11" t="s">
        <v>2817</v>
      </c>
      <c r="W3627" s="11" t="s">
        <v>2817</v>
      </c>
      <c r="X3627" s="11">
        <v>1</v>
      </c>
      <c r="Y3627" s="11" t="s">
        <v>12359</v>
      </c>
      <c r="Z3627" s="11">
        <v>20</v>
      </c>
      <c r="AA3627" s="11">
        <v>0</v>
      </c>
      <c r="AB3627" s="12">
        <v>0</v>
      </c>
    </row>
    <row r="3628" spans="1:28" x14ac:dyDescent="0.2">
      <c r="A3628" s="7">
        <v>28145</v>
      </c>
      <c r="B3628" s="8" t="s">
        <v>22673</v>
      </c>
      <c r="C3628" s="8" t="s">
        <v>22674</v>
      </c>
      <c r="D3628" s="8" t="s">
        <v>22675</v>
      </c>
      <c r="E3628" s="8"/>
      <c r="F3628" s="8" t="s">
        <v>22676</v>
      </c>
      <c r="G3628" s="8" t="s">
        <v>703</v>
      </c>
      <c r="H3628" s="8" t="s">
        <v>704</v>
      </c>
      <c r="I3628" s="8" t="s">
        <v>22677</v>
      </c>
      <c r="J3628" s="8" t="s">
        <v>22678</v>
      </c>
      <c r="K3628" s="8" t="s">
        <v>707</v>
      </c>
      <c r="L3628" s="8" t="s">
        <v>126</v>
      </c>
      <c r="M3628" s="8" t="s">
        <v>22679</v>
      </c>
      <c r="N3628" s="8" t="s">
        <v>128</v>
      </c>
      <c r="O3628" s="8" t="s">
        <v>22680</v>
      </c>
      <c r="P3628" s="8"/>
      <c r="Q3628" s="8" t="s">
        <v>150</v>
      </c>
      <c r="R3628" s="8"/>
      <c r="S3628" s="8" t="s">
        <v>71</v>
      </c>
      <c r="T3628" s="8" t="s">
        <v>2817</v>
      </c>
      <c r="U3628" s="8" t="s">
        <v>150</v>
      </c>
      <c r="V3628" s="8" t="s">
        <v>2817</v>
      </c>
      <c r="W3628" s="8" t="s">
        <v>2817</v>
      </c>
      <c r="X3628" s="8">
        <v>1</v>
      </c>
      <c r="Y3628" s="8" t="s">
        <v>12359</v>
      </c>
      <c r="Z3628" s="8">
        <v>20</v>
      </c>
      <c r="AA3628" s="8">
        <v>0</v>
      </c>
      <c r="AB3628" s="9">
        <v>0</v>
      </c>
    </row>
    <row r="3629" spans="1:28" x14ac:dyDescent="0.2">
      <c r="A3629" s="10">
        <v>235344</v>
      </c>
      <c r="B3629" s="11" t="s">
        <v>22681</v>
      </c>
      <c r="C3629" s="11" t="s">
        <v>5958</v>
      </c>
      <c r="D3629" s="11" t="s">
        <v>5959</v>
      </c>
      <c r="E3629" s="11"/>
      <c r="F3629" s="11" t="s">
        <v>22682</v>
      </c>
      <c r="G3629" s="11" t="s">
        <v>615</v>
      </c>
      <c r="H3629" s="11" t="s">
        <v>616</v>
      </c>
      <c r="I3629" s="11" t="s">
        <v>5961</v>
      </c>
      <c r="J3629" s="11" t="s">
        <v>5962</v>
      </c>
      <c r="K3629" s="11" t="s">
        <v>619</v>
      </c>
      <c r="L3629" s="11" t="s">
        <v>163</v>
      </c>
      <c r="M3629" s="11" t="s">
        <v>22683</v>
      </c>
      <c r="N3629" s="11" t="s">
        <v>128</v>
      </c>
      <c r="O3629" s="11" t="s">
        <v>22684</v>
      </c>
      <c r="P3629" s="11"/>
      <c r="Q3629" s="11" t="s">
        <v>150</v>
      </c>
      <c r="R3629" s="11"/>
      <c r="S3629" s="11" t="s">
        <v>5966</v>
      </c>
      <c r="T3629" s="11" t="s">
        <v>5470</v>
      </c>
      <c r="U3629" s="11" t="s">
        <v>150</v>
      </c>
      <c r="V3629" s="11" t="s">
        <v>5470</v>
      </c>
      <c r="W3629" s="11" t="s">
        <v>5470</v>
      </c>
      <c r="X3629" s="11">
        <v>1</v>
      </c>
      <c r="Y3629" s="11" t="s">
        <v>12359</v>
      </c>
      <c r="Z3629" s="11">
        <v>20</v>
      </c>
      <c r="AA3629" s="11">
        <v>0</v>
      </c>
      <c r="AB3629" s="12">
        <v>0</v>
      </c>
    </row>
    <row r="3630" spans="1:28" x14ac:dyDescent="0.2">
      <c r="A3630" s="7">
        <v>28372</v>
      </c>
      <c r="B3630" s="8" t="s">
        <v>22685</v>
      </c>
      <c r="C3630" s="8" t="s">
        <v>2481</v>
      </c>
      <c r="D3630" s="8" t="s">
        <v>14269</v>
      </c>
      <c r="E3630" s="8"/>
      <c r="F3630" s="8" t="s">
        <v>353</v>
      </c>
      <c r="G3630" s="8" t="s">
        <v>22537</v>
      </c>
      <c r="H3630" s="8" t="s">
        <v>122</v>
      </c>
      <c r="I3630" s="8"/>
      <c r="J3630" s="8" t="s">
        <v>22686</v>
      </c>
      <c r="K3630" s="8" t="s">
        <v>1051</v>
      </c>
      <c r="L3630" s="8" t="s">
        <v>126</v>
      </c>
      <c r="M3630" s="8" t="s">
        <v>22687</v>
      </c>
      <c r="N3630" s="8" t="s">
        <v>128</v>
      </c>
      <c r="O3630" s="8" t="s">
        <v>22688</v>
      </c>
      <c r="P3630" s="8" t="s">
        <v>1747</v>
      </c>
      <c r="Q3630" s="8" t="s">
        <v>150</v>
      </c>
      <c r="R3630" s="8"/>
      <c r="S3630" s="8" t="s">
        <v>71</v>
      </c>
      <c r="T3630" s="8" t="s">
        <v>7189</v>
      </c>
      <c r="U3630" s="8" t="s">
        <v>150</v>
      </c>
      <c r="V3630" s="8" t="s">
        <v>7189</v>
      </c>
      <c r="W3630" s="8" t="s">
        <v>7189</v>
      </c>
      <c r="X3630" s="8">
        <v>1</v>
      </c>
      <c r="Y3630" s="8" t="s">
        <v>12359</v>
      </c>
      <c r="Z3630" s="8">
        <v>20</v>
      </c>
      <c r="AA3630" s="8">
        <v>0</v>
      </c>
      <c r="AB3630" s="9">
        <v>0</v>
      </c>
    </row>
    <row r="3631" spans="1:28" x14ac:dyDescent="0.2">
      <c r="A3631" s="10">
        <v>119287</v>
      </c>
      <c r="B3631" s="11" t="s">
        <v>22689</v>
      </c>
      <c r="C3631" s="11" t="s">
        <v>22578</v>
      </c>
      <c r="D3631" s="11" t="s">
        <v>10406</v>
      </c>
      <c r="E3631" s="11"/>
      <c r="F3631" s="11" t="s">
        <v>22579</v>
      </c>
      <c r="G3631" s="11" t="s">
        <v>4831</v>
      </c>
      <c r="H3631" s="11" t="s">
        <v>122</v>
      </c>
      <c r="I3631" s="11" t="s">
        <v>22690</v>
      </c>
      <c r="J3631" s="11" t="s">
        <v>22691</v>
      </c>
      <c r="K3631" s="11" t="s">
        <v>1051</v>
      </c>
      <c r="L3631" s="11" t="s">
        <v>126</v>
      </c>
      <c r="M3631" s="11" t="s">
        <v>22692</v>
      </c>
      <c r="N3631" s="11" t="s">
        <v>128</v>
      </c>
      <c r="O3631" s="11" t="s">
        <v>22693</v>
      </c>
      <c r="P3631" s="11" t="s">
        <v>14067</v>
      </c>
      <c r="Q3631" s="11" t="s">
        <v>150</v>
      </c>
      <c r="R3631" s="11"/>
      <c r="S3631" s="11" t="s">
        <v>71</v>
      </c>
      <c r="T3631" s="11" t="s">
        <v>7189</v>
      </c>
      <c r="U3631" s="11" t="s">
        <v>150</v>
      </c>
      <c r="V3631" s="11" t="s">
        <v>7189</v>
      </c>
      <c r="W3631" s="11" t="s">
        <v>7189</v>
      </c>
      <c r="X3631" s="11">
        <v>1</v>
      </c>
      <c r="Y3631" s="11" t="s">
        <v>12359</v>
      </c>
      <c r="Z3631" s="11">
        <v>20</v>
      </c>
      <c r="AA3631" s="11">
        <v>0</v>
      </c>
      <c r="AB3631" s="12">
        <v>0</v>
      </c>
    </row>
    <row r="3632" spans="1:28" x14ac:dyDescent="0.2">
      <c r="A3632" s="7">
        <v>23355</v>
      </c>
      <c r="B3632" s="8" t="s">
        <v>22694</v>
      </c>
      <c r="C3632" s="8" t="s">
        <v>22695</v>
      </c>
      <c r="D3632" s="8" t="s">
        <v>22696</v>
      </c>
      <c r="E3632" s="8" t="s">
        <v>281</v>
      </c>
      <c r="F3632" s="8" t="s">
        <v>353</v>
      </c>
      <c r="G3632" s="8" t="s">
        <v>2535</v>
      </c>
      <c r="H3632" s="8" t="s">
        <v>847</v>
      </c>
      <c r="I3632" s="8" t="s">
        <v>2536</v>
      </c>
      <c r="J3632" s="8" t="s">
        <v>22697</v>
      </c>
      <c r="K3632" s="8" t="s">
        <v>1091</v>
      </c>
      <c r="L3632" s="8" t="s">
        <v>126</v>
      </c>
      <c r="M3632" s="8" t="s">
        <v>22698</v>
      </c>
      <c r="N3632" s="8" t="s">
        <v>128</v>
      </c>
      <c r="O3632" s="8" t="s">
        <v>22699</v>
      </c>
      <c r="P3632" s="8" t="s">
        <v>22700</v>
      </c>
      <c r="Q3632" s="8" t="s">
        <v>150</v>
      </c>
      <c r="R3632" s="8"/>
      <c r="S3632" s="8" t="s">
        <v>71</v>
      </c>
      <c r="T3632" s="8" t="s">
        <v>70</v>
      </c>
      <c r="U3632" s="8" t="s">
        <v>150</v>
      </c>
      <c r="V3632" s="8" t="s">
        <v>70</v>
      </c>
      <c r="W3632" s="8" t="s">
        <v>70</v>
      </c>
      <c r="X3632" s="8">
        <v>1</v>
      </c>
      <c r="Y3632" s="8" t="s">
        <v>12359</v>
      </c>
      <c r="Z3632" s="8">
        <v>20</v>
      </c>
      <c r="AA3632" s="8">
        <v>0</v>
      </c>
      <c r="AB3632" s="9">
        <v>0</v>
      </c>
    </row>
    <row r="3633" spans="1:28" x14ac:dyDescent="0.2">
      <c r="A3633" s="10">
        <v>23105</v>
      </c>
      <c r="B3633" s="11" t="s">
        <v>22701</v>
      </c>
      <c r="C3633" s="11" t="s">
        <v>15751</v>
      </c>
      <c r="D3633" s="11" t="s">
        <v>15752</v>
      </c>
      <c r="E3633" s="11" t="s">
        <v>22702</v>
      </c>
      <c r="F3633" s="11" t="s">
        <v>353</v>
      </c>
      <c r="G3633" s="11" t="s">
        <v>846</v>
      </c>
      <c r="H3633" s="11" t="s">
        <v>847</v>
      </c>
      <c r="I3633" s="11" t="s">
        <v>15754</v>
      </c>
      <c r="J3633" s="11" t="s">
        <v>15755</v>
      </c>
      <c r="K3633" s="11" t="s">
        <v>850</v>
      </c>
      <c r="L3633" s="11" t="s">
        <v>126</v>
      </c>
      <c r="M3633" s="11" t="s">
        <v>22703</v>
      </c>
      <c r="N3633" s="11" t="s">
        <v>128</v>
      </c>
      <c r="O3633" s="11" t="s">
        <v>22704</v>
      </c>
      <c r="P3633" s="11" t="s">
        <v>16230</v>
      </c>
      <c r="Q3633" s="11" t="s">
        <v>150</v>
      </c>
      <c r="R3633" s="11"/>
      <c r="S3633" s="11" t="s">
        <v>15758</v>
      </c>
      <c r="T3633" s="11" t="s">
        <v>70</v>
      </c>
      <c r="U3633" s="11" t="s">
        <v>150</v>
      </c>
      <c r="V3633" s="11" t="s">
        <v>70</v>
      </c>
      <c r="W3633" s="11" t="s">
        <v>70</v>
      </c>
      <c r="X3633" s="11">
        <v>1</v>
      </c>
      <c r="Y3633" s="11" t="s">
        <v>12359</v>
      </c>
      <c r="Z3633" s="11">
        <v>20</v>
      </c>
      <c r="AA3633" s="11">
        <v>0</v>
      </c>
      <c r="AB3633" s="12">
        <v>0</v>
      </c>
    </row>
    <row r="3634" spans="1:28" x14ac:dyDescent="0.2">
      <c r="A3634" s="7">
        <v>23040</v>
      </c>
      <c r="B3634" s="8" t="s">
        <v>22705</v>
      </c>
      <c r="C3634" s="8" t="s">
        <v>22706</v>
      </c>
      <c r="D3634" s="8" t="s">
        <v>1272</v>
      </c>
      <c r="E3634" s="8" t="s">
        <v>281</v>
      </c>
      <c r="F3634" s="8" t="s">
        <v>353</v>
      </c>
      <c r="G3634" s="8" t="s">
        <v>22707</v>
      </c>
      <c r="H3634" s="8" t="s">
        <v>159</v>
      </c>
      <c r="I3634" s="8" t="s">
        <v>22708</v>
      </c>
      <c r="J3634" s="8" t="s">
        <v>22709</v>
      </c>
      <c r="K3634" s="8" t="s">
        <v>274</v>
      </c>
      <c r="L3634" s="8" t="s">
        <v>163</v>
      </c>
      <c r="M3634" s="8" t="s">
        <v>22710</v>
      </c>
      <c r="N3634" s="8" t="s">
        <v>128</v>
      </c>
      <c r="O3634" s="8" t="s">
        <v>22711</v>
      </c>
      <c r="P3634" s="8" t="s">
        <v>22712</v>
      </c>
      <c r="Q3634" s="8" t="s">
        <v>150</v>
      </c>
      <c r="R3634" s="8"/>
      <c r="S3634" s="8" t="s">
        <v>22713</v>
      </c>
      <c r="T3634" s="8" t="s">
        <v>70</v>
      </c>
      <c r="U3634" s="8" t="s">
        <v>150</v>
      </c>
      <c r="V3634" s="8" t="s">
        <v>70</v>
      </c>
      <c r="W3634" s="8" t="s">
        <v>70</v>
      </c>
      <c r="X3634" s="8">
        <v>1</v>
      </c>
      <c r="Y3634" s="8" t="s">
        <v>12359</v>
      </c>
      <c r="Z3634" s="8">
        <v>20</v>
      </c>
      <c r="AA3634" s="8">
        <v>0</v>
      </c>
      <c r="AB3634" s="9">
        <v>0</v>
      </c>
    </row>
    <row r="3635" spans="1:28" x14ac:dyDescent="0.2">
      <c r="A3635" s="10">
        <v>23308</v>
      </c>
      <c r="B3635" s="11" t="s">
        <v>22714</v>
      </c>
      <c r="C3635" s="11" t="s">
        <v>22715</v>
      </c>
      <c r="D3635" s="11" t="s">
        <v>4623</v>
      </c>
      <c r="E3635" s="11" t="s">
        <v>22716</v>
      </c>
      <c r="F3635" s="11" t="s">
        <v>22717</v>
      </c>
      <c r="G3635" s="11" t="s">
        <v>3912</v>
      </c>
      <c r="H3635" s="11" t="s">
        <v>557</v>
      </c>
      <c r="I3635" s="11" t="s">
        <v>22718</v>
      </c>
      <c r="J3635" s="11" t="s">
        <v>22719</v>
      </c>
      <c r="K3635" s="11" t="s">
        <v>1562</v>
      </c>
      <c r="L3635" s="11" t="s">
        <v>229</v>
      </c>
      <c r="M3635" s="11" t="s">
        <v>22720</v>
      </c>
      <c r="N3635" s="11" t="s">
        <v>128</v>
      </c>
      <c r="O3635" s="11" t="s">
        <v>22721</v>
      </c>
      <c r="P3635" s="11" t="s">
        <v>22722</v>
      </c>
      <c r="Q3635" s="11" t="s">
        <v>150</v>
      </c>
      <c r="R3635" s="11"/>
      <c r="S3635" s="11" t="s">
        <v>22723</v>
      </c>
      <c r="T3635" s="11" t="s">
        <v>70</v>
      </c>
      <c r="U3635" s="11" t="s">
        <v>150</v>
      </c>
      <c r="V3635" s="11" t="s">
        <v>70</v>
      </c>
      <c r="W3635" s="11" t="s">
        <v>70</v>
      </c>
      <c r="X3635" s="11">
        <v>1</v>
      </c>
      <c r="Y3635" s="11" t="s">
        <v>12359</v>
      </c>
      <c r="Z3635" s="11">
        <v>20</v>
      </c>
      <c r="AA3635" s="11">
        <v>0</v>
      </c>
      <c r="AB3635" s="12">
        <v>0</v>
      </c>
    </row>
    <row r="3636" spans="1:28" x14ac:dyDescent="0.2">
      <c r="A3636" s="7">
        <v>23365</v>
      </c>
      <c r="B3636" s="8" t="s">
        <v>22724</v>
      </c>
      <c r="C3636" s="8" t="s">
        <v>22725</v>
      </c>
      <c r="D3636" s="8" t="s">
        <v>1676</v>
      </c>
      <c r="E3636" s="8" t="s">
        <v>281</v>
      </c>
      <c r="F3636" s="8" t="s">
        <v>14968</v>
      </c>
      <c r="G3636" s="8" t="s">
        <v>1937</v>
      </c>
      <c r="H3636" s="8" t="s">
        <v>142</v>
      </c>
      <c r="I3636" s="8" t="s">
        <v>19515</v>
      </c>
      <c r="J3636" s="8" t="s">
        <v>22726</v>
      </c>
      <c r="K3636" s="8" t="s">
        <v>1673</v>
      </c>
      <c r="L3636" s="8" t="s">
        <v>464</v>
      </c>
      <c r="M3636" s="8" t="s">
        <v>22727</v>
      </c>
      <c r="N3636" s="8" t="s">
        <v>128</v>
      </c>
      <c r="O3636" s="8" t="s">
        <v>22728</v>
      </c>
      <c r="P3636" s="8" t="s">
        <v>22729</v>
      </c>
      <c r="Q3636" s="8" t="s">
        <v>150</v>
      </c>
      <c r="R3636" s="8"/>
      <c r="S3636" s="8" t="s">
        <v>19520</v>
      </c>
      <c r="T3636" s="8" t="s">
        <v>70</v>
      </c>
      <c r="U3636" s="8" t="s">
        <v>150</v>
      </c>
      <c r="V3636" s="8" t="s">
        <v>70</v>
      </c>
      <c r="W3636" s="8" t="s">
        <v>70</v>
      </c>
      <c r="X3636" s="8">
        <v>1</v>
      </c>
      <c r="Y3636" s="8" t="s">
        <v>12359</v>
      </c>
      <c r="Z3636" s="8">
        <v>20</v>
      </c>
      <c r="AA3636" s="8">
        <v>0</v>
      </c>
      <c r="AB3636" s="9">
        <v>0</v>
      </c>
    </row>
    <row r="3637" spans="1:28" x14ac:dyDescent="0.2">
      <c r="A3637" s="10">
        <v>22884</v>
      </c>
      <c r="B3637" s="11" t="s">
        <v>22730</v>
      </c>
      <c r="C3637" s="11" t="s">
        <v>4897</v>
      </c>
      <c r="D3637" s="11" t="s">
        <v>19061</v>
      </c>
      <c r="E3637" s="11" t="s">
        <v>22731</v>
      </c>
      <c r="F3637" s="11" t="s">
        <v>19063</v>
      </c>
      <c r="G3637" s="11" t="s">
        <v>2332</v>
      </c>
      <c r="H3637" s="11" t="s">
        <v>142</v>
      </c>
      <c r="I3637" s="11" t="s">
        <v>19064</v>
      </c>
      <c r="J3637" s="11" t="s">
        <v>19065</v>
      </c>
      <c r="K3637" s="11" t="s">
        <v>779</v>
      </c>
      <c r="L3637" s="11" t="s">
        <v>464</v>
      </c>
      <c r="M3637" s="11" t="s">
        <v>22732</v>
      </c>
      <c r="N3637" s="11" t="s">
        <v>128</v>
      </c>
      <c r="O3637" s="11" t="s">
        <v>22733</v>
      </c>
      <c r="P3637" s="11" t="s">
        <v>11433</v>
      </c>
      <c r="Q3637" s="11" t="s">
        <v>150</v>
      </c>
      <c r="R3637" s="11"/>
      <c r="S3637" s="11" t="s">
        <v>19069</v>
      </c>
      <c r="T3637" s="11" t="s">
        <v>70</v>
      </c>
      <c r="U3637" s="11" t="s">
        <v>150</v>
      </c>
      <c r="V3637" s="11" t="s">
        <v>70</v>
      </c>
      <c r="W3637" s="11" t="s">
        <v>70</v>
      </c>
      <c r="X3637" s="11">
        <v>1</v>
      </c>
      <c r="Y3637" s="11" t="s">
        <v>12359</v>
      </c>
      <c r="Z3637" s="11">
        <v>20</v>
      </c>
      <c r="AA3637" s="11">
        <v>0</v>
      </c>
      <c r="AB3637" s="12">
        <v>0</v>
      </c>
    </row>
    <row r="3638" spans="1:28" x14ac:dyDescent="0.2">
      <c r="A3638" s="7">
        <v>22951</v>
      </c>
      <c r="B3638" s="8" t="s">
        <v>22734</v>
      </c>
      <c r="C3638" s="8" t="s">
        <v>1271</v>
      </c>
      <c r="D3638" s="8" t="s">
        <v>22735</v>
      </c>
      <c r="E3638" s="8" t="s">
        <v>22736</v>
      </c>
      <c r="F3638" s="8" t="s">
        <v>3731</v>
      </c>
      <c r="G3638" s="8" t="s">
        <v>521</v>
      </c>
      <c r="H3638" s="8" t="s">
        <v>522</v>
      </c>
      <c r="I3638" s="8" t="s">
        <v>1275</v>
      </c>
      <c r="J3638" s="8" t="s">
        <v>22737</v>
      </c>
      <c r="K3638" s="8" t="s">
        <v>525</v>
      </c>
      <c r="L3638" s="8" t="s">
        <v>526</v>
      </c>
      <c r="M3638" s="8" t="s">
        <v>22738</v>
      </c>
      <c r="N3638" s="8" t="s">
        <v>128</v>
      </c>
      <c r="O3638" s="8" t="s">
        <v>22739</v>
      </c>
      <c r="P3638" s="8" t="s">
        <v>22740</v>
      </c>
      <c r="Q3638" s="8" t="s">
        <v>150</v>
      </c>
      <c r="R3638" s="8"/>
      <c r="S3638" s="8" t="s">
        <v>22741</v>
      </c>
      <c r="T3638" s="8" t="s">
        <v>70</v>
      </c>
      <c r="U3638" s="8" t="s">
        <v>150</v>
      </c>
      <c r="V3638" s="8" t="s">
        <v>70</v>
      </c>
      <c r="W3638" s="8" t="s">
        <v>70</v>
      </c>
      <c r="X3638" s="8">
        <v>1</v>
      </c>
      <c r="Y3638" s="8" t="s">
        <v>12359</v>
      </c>
      <c r="Z3638" s="8">
        <v>20</v>
      </c>
      <c r="AA3638" s="8">
        <v>0</v>
      </c>
      <c r="AB3638" s="9">
        <v>0</v>
      </c>
    </row>
    <row r="3639" spans="1:28" x14ac:dyDescent="0.2">
      <c r="A3639" s="10">
        <v>22890</v>
      </c>
      <c r="B3639" s="11" t="s">
        <v>22742</v>
      </c>
      <c r="C3639" s="11" t="s">
        <v>8945</v>
      </c>
      <c r="D3639" s="11" t="s">
        <v>8946</v>
      </c>
      <c r="E3639" s="11" t="s">
        <v>22743</v>
      </c>
      <c r="F3639" s="11" t="s">
        <v>8234</v>
      </c>
      <c r="G3639" s="11" t="s">
        <v>556</v>
      </c>
      <c r="H3639" s="11" t="s">
        <v>557</v>
      </c>
      <c r="I3639" s="11" t="s">
        <v>8948</v>
      </c>
      <c r="J3639" s="11" t="s">
        <v>8949</v>
      </c>
      <c r="K3639" s="11" t="s">
        <v>560</v>
      </c>
      <c r="L3639" s="11" t="s">
        <v>229</v>
      </c>
      <c r="M3639" s="11" t="s">
        <v>22744</v>
      </c>
      <c r="N3639" s="11" t="s">
        <v>128</v>
      </c>
      <c r="O3639" s="11" t="s">
        <v>22745</v>
      </c>
      <c r="P3639" s="11" t="s">
        <v>22746</v>
      </c>
      <c r="Q3639" s="11" t="s">
        <v>150</v>
      </c>
      <c r="R3639" s="11"/>
      <c r="S3639" s="11" t="s">
        <v>8953</v>
      </c>
      <c r="T3639" s="11" t="s">
        <v>70</v>
      </c>
      <c r="U3639" s="11" t="s">
        <v>150</v>
      </c>
      <c r="V3639" s="11" t="s">
        <v>70</v>
      </c>
      <c r="W3639" s="11" t="s">
        <v>70</v>
      </c>
      <c r="X3639" s="11">
        <v>1</v>
      </c>
      <c r="Y3639" s="11" t="s">
        <v>12359</v>
      </c>
      <c r="Z3639" s="11">
        <v>20</v>
      </c>
      <c r="AA3639" s="11">
        <v>0</v>
      </c>
      <c r="AB3639" s="12">
        <v>0</v>
      </c>
    </row>
    <row r="3640" spans="1:28" x14ac:dyDescent="0.2">
      <c r="A3640" s="7">
        <v>22877</v>
      </c>
      <c r="B3640" s="8" t="s">
        <v>22747</v>
      </c>
      <c r="C3640" s="8" t="s">
        <v>22301</v>
      </c>
      <c r="D3640" s="8" t="s">
        <v>2690</v>
      </c>
      <c r="E3640" s="8"/>
      <c r="F3640" s="8" t="s">
        <v>353</v>
      </c>
      <c r="G3640" s="8" t="s">
        <v>3274</v>
      </c>
      <c r="H3640" s="8" t="s">
        <v>329</v>
      </c>
      <c r="I3640" s="8" t="s">
        <v>22748</v>
      </c>
      <c r="J3640" s="8" t="s">
        <v>22749</v>
      </c>
      <c r="K3640" s="8" t="s">
        <v>431</v>
      </c>
      <c r="L3640" s="8" t="s">
        <v>333</v>
      </c>
      <c r="M3640" s="8" t="s">
        <v>22750</v>
      </c>
      <c r="N3640" s="8" t="s">
        <v>128</v>
      </c>
      <c r="O3640" s="8" t="s">
        <v>22751</v>
      </c>
      <c r="P3640" s="8" t="s">
        <v>5196</v>
      </c>
      <c r="Q3640" s="8" t="s">
        <v>150</v>
      </c>
      <c r="R3640" s="8"/>
      <c r="S3640" s="8" t="s">
        <v>71</v>
      </c>
      <c r="T3640" s="8" t="s">
        <v>70</v>
      </c>
      <c r="U3640" s="8" t="s">
        <v>150</v>
      </c>
      <c r="V3640" s="8" t="s">
        <v>70</v>
      </c>
      <c r="W3640" s="8" t="s">
        <v>70</v>
      </c>
      <c r="X3640" s="8">
        <v>1</v>
      </c>
      <c r="Y3640" s="8" t="s">
        <v>12359</v>
      </c>
      <c r="Z3640" s="8">
        <v>20</v>
      </c>
      <c r="AA3640" s="8">
        <v>0</v>
      </c>
      <c r="AB3640" s="9">
        <v>0</v>
      </c>
    </row>
    <row r="3641" spans="1:28" x14ac:dyDescent="0.2">
      <c r="A3641" s="10">
        <v>23132</v>
      </c>
      <c r="B3641" s="11" t="s">
        <v>22752</v>
      </c>
      <c r="C3641" s="11" t="s">
        <v>22753</v>
      </c>
      <c r="D3641" s="11" t="s">
        <v>7191</v>
      </c>
      <c r="E3641" s="11"/>
      <c r="F3641" s="11" t="s">
        <v>353</v>
      </c>
      <c r="G3641" s="11" t="s">
        <v>846</v>
      </c>
      <c r="H3641" s="11" t="s">
        <v>847</v>
      </c>
      <c r="I3641" s="11" t="s">
        <v>22754</v>
      </c>
      <c r="J3641" s="11" t="s">
        <v>22755</v>
      </c>
      <c r="K3641" s="11" t="s">
        <v>850</v>
      </c>
      <c r="L3641" s="11" t="s">
        <v>126</v>
      </c>
      <c r="M3641" s="11" t="s">
        <v>22756</v>
      </c>
      <c r="N3641" s="11" t="s">
        <v>128</v>
      </c>
      <c r="O3641" s="11" t="s">
        <v>22757</v>
      </c>
      <c r="P3641" s="11" t="s">
        <v>19374</v>
      </c>
      <c r="Q3641" s="11" t="s">
        <v>150</v>
      </c>
      <c r="R3641" s="11"/>
      <c r="S3641" s="11" t="s">
        <v>71</v>
      </c>
      <c r="T3641" s="11" t="s">
        <v>70</v>
      </c>
      <c r="U3641" s="11" t="s">
        <v>150</v>
      </c>
      <c r="V3641" s="11" t="s">
        <v>70</v>
      </c>
      <c r="W3641" s="11" t="s">
        <v>70</v>
      </c>
      <c r="X3641" s="11">
        <v>1</v>
      </c>
      <c r="Y3641" s="11" t="s">
        <v>12359</v>
      </c>
      <c r="Z3641" s="11">
        <v>20</v>
      </c>
      <c r="AA3641" s="11">
        <v>0</v>
      </c>
      <c r="AB3641" s="12">
        <v>0</v>
      </c>
    </row>
    <row r="3642" spans="1:28" x14ac:dyDescent="0.2">
      <c r="A3642" s="7">
        <v>23233</v>
      </c>
      <c r="B3642" s="8" t="s">
        <v>22758</v>
      </c>
      <c r="C3642" s="8" t="s">
        <v>17690</v>
      </c>
      <c r="D3642" s="8" t="s">
        <v>21507</v>
      </c>
      <c r="E3642" s="8"/>
      <c r="F3642" s="8" t="s">
        <v>353</v>
      </c>
      <c r="G3642" s="8" t="s">
        <v>17692</v>
      </c>
      <c r="H3642" s="8" t="s">
        <v>142</v>
      </c>
      <c r="I3642" s="8" t="s">
        <v>22759</v>
      </c>
      <c r="J3642" s="8" t="s">
        <v>22760</v>
      </c>
      <c r="K3642" s="8" t="s">
        <v>779</v>
      </c>
      <c r="L3642" s="8" t="s">
        <v>464</v>
      </c>
      <c r="M3642" s="8" t="s">
        <v>22761</v>
      </c>
      <c r="N3642" s="8" t="s">
        <v>128</v>
      </c>
      <c r="O3642" s="8" t="s">
        <v>22762</v>
      </c>
      <c r="P3642" s="8" t="s">
        <v>4267</v>
      </c>
      <c r="Q3642" s="8" t="s">
        <v>150</v>
      </c>
      <c r="R3642" s="8"/>
      <c r="S3642" s="8" t="s">
        <v>71</v>
      </c>
      <c r="T3642" s="8" t="s">
        <v>70</v>
      </c>
      <c r="U3642" s="8" t="s">
        <v>150</v>
      </c>
      <c r="V3642" s="8" t="s">
        <v>70</v>
      </c>
      <c r="W3642" s="8" t="s">
        <v>70</v>
      </c>
      <c r="X3642" s="8">
        <v>1</v>
      </c>
      <c r="Y3642" s="8" t="s">
        <v>12359</v>
      </c>
      <c r="Z3642" s="8">
        <v>20</v>
      </c>
      <c r="AA3642" s="8">
        <v>0</v>
      </c>
      <c r="AB3642" s="9">
        <v>0</v>
      </c>
    </row>
    <row r="3643" spans="1:28" x14ac:dyDescent="0.2">
      <c r="A3643" s="10">
        <v>23245</v>
      </c>
      <c r="B3643" s="11" t="s">
        <v>22763</v>
      </c>
      <c r="C3643" s="11" t="s">
        <v>22320</v>
      </c>
      <c r="D3643" s="11" t="s">
        <v>3480</v>
      </c>
      <c r="E3643" s="11"/>
      <c r="F3643" s="11" t="s">
        <v>353</v>
      </c>
      <c r="G3643" s="11" t="s">
        <v>22322</v>
      </c>
      <c r="H3643" s="11" t="s">
        <v>329</v>
      </c>
      <c r="I3643" s="11" t="s">
        <v>22323</v>
      </c>
      <c r="J3643" s="11" t="s">
        <v>22764</v>
      </c>
      <c r="K3643" s="11" t="s">
        <v>431</v>
      </c>
      <c r="L3643" s="11" t="s">
        <v>333</v>
      </c>
      <c r="M3643" s="11" t="s">
        <v>22765</v>
      </c>
      <c r="N3643" s="11" t="s">
        <v>128</v>
      </c>
      <c r="O3643" s="11" t="s">
        <v>22766</v>
      </c>
      <c r="P3643" s="11" t="s">
        <v>22767</v>
      </c>
      <c r="Q3643" s="11" t="s">
        <v>150</v>
      </c>
      <c r="R3643" s="11"/>
      <c r="S3643" s="11" t="s">
        <v>71</v>
      </c>
      <c r="T3643" s="11" t="s">
        <v>70</v>
      </c>
      <c r="U3643" s="11" t="s">
        <v>150</v>
      </c>
      <c r="V3643" s="11" t="s">
        <v>70</v>
      </c>
      <c r="W3643" s="11" t="s">
        <v>70</v>
      </c>
      <c r="X3643" s="11">
        <v>1</v>
      </c>
      <c r="Y3643" s="11" t="s">
        <v>12359</v>
      </c>
      <c r="Z3643" s="11">
        <v>20</v>
      </c>
      <c r="AA3643" s="11">
        <v>0</v>
      </c>
      <c r="AB3643" s="12">
        <v>0</v>
      </c>
    </row>
    <row r="3644" spans="1:28" x14ac:dyDescent="0.2">
      <c r="A3644" s="7">
        <v>28645</v>
      </c>
      <c r="B3644" s="8" t="s">
        <v>22768</v>
      </c>
      <c r="C3644" s="8" t="s">
        <v>22769</v>
      </c>
      <c r="D3644" s="8" t="s">
        <v>15240</v>
      </c>
      <c r="E3644" s="8"/>
      <c r="F3644" s="8" t="s">
        <v>353</v>
      </c>
      <c r="G3644" s="8" t="s">
        <v>190</v>
      </c>
      <c r="H3644" s="8" t="s">
        <v>191</v>
      </c>
      <c r="I3644" s="8" t="s">
        <v>22770</v>
      </c>
      <c r="J3644" s="8" t="s">
        <v>22771</v>
      </c>
      <c r="K3644" s="8" t="s">
        <v>194</v>
      </c>
      <c r="L3644" s="8" t="s">
        <v>163</v>
      </c>
      <c r="M3644" s="8" t="s">
        <v>22772</v>
      </c>
      <c r="N3644" s="8" t="s">
        <v>128</v>
      </c>
      <c r="O3644" s="8" t="s">
        <v>22773</v>
      </c>
      <c r="P3644" s="8" t="s">
        <v>22774</v>
      </c>
      <c r="Q3644" s="8" t="s">
        <v>150</v>
      </c>
      <c r="R3644" s="8"/>
      <c r="S3644" s="8" t="s">
        <v>71</v>
      </c>
      <c r="T3644" s="8" t="s">
        <v>70</v>
      </c>
      <c r="U3644" s="8" t="s">
        <v>150</v>
      </c>
      <c r="V3644" s="8" t="s">
        <v>70</v>
      </c>
      <c r="W3644" s="8" t="s">
        <v>70</v>
      </c>
      <c r="X3644" s="8">
        <v>1</v>
      </c>
      <c r="Y3644" s="8" t="s">
        <v>12359</v>
      </c>
      <c r="Z3644" s="8">
        <v>20</v>
      </c>
      <c r="AA3644" s="8">
        <v>0</v>
      </c>
      <c r="AB3644" s="9">
        <v>0</v>
      </c>
    </row>
    <row r="3645" spans="1:28" x14ac:dyDescent="0.2">
      <c r="A3645" s="10">
        <v>86800</v>
      </c>
      <c r="B3645" s="11" t="s">
        <v>22775</v>
      </c>
      <c r="C3645" s="11" t="s">
        <v>15751</v>
      </c>
      <c r="D3645" s="11" t="s">
        <v>7213</v>
      </c>
      <c r="E3645" s="11"/>
      <c r="F3645" s="11" t="s">
        <v>353</v>
      </c>
      <c r="G3645" s="11" t="s">
        <v>1429</v>
      </c>
      <c r="H3645" s="11" t="s">
        <v>142</v>
      </c>
      <c r="I3645" s="11" t="s">
        <v>22776</v>
      </c>
      <c r="J3645" s="11" t="s">
        <v>22777</v>
      </c>
      <c r="K3645" s="11" t="s">
        <v>1199</v>
      </c>
      <c r="L3645" s="11" t="s">
        <v>464</v>
      </c>
      <c r="M3645" s="11" t="s">
        <v>22778</v>
      </c>
      <c r="N3645" s="11" t="s">
        <v>128</v>
      </c>
      <c r="O3645" s="11" t="s">
        <v>22779</v>
      </c>
      <c r="P3645" s="11" t="s">
        <v>22780</v>
      </c>
      <c r="Q3645" s="11" t="s">
        <v>150</v>
      </c>
      <c r="R3645" s="11"/>
      <c r="S3645" s="11" t="s">
        <v>71</v>
      </c>
      <c r="T3645" s="11" t="s">
        <v>70</v>
      </c>
      <c r="U3645" s="11" t="s">
        <v>150</v>
      </c>
      <c r="V3645" s="11" t="s">
        <v>70</v>
      </c>
      <c r="W3645" s="11" t="s">
        <v>70</v>
      </c>
      <c r="X3645" s="11">
        <v>1</v>
      </c>
      <c r="Y3645" s="11" t="s">
        <v>12359</v>
      </c>
      <c r="Z3645" s="11">
        <v>20</v>
      </c>
      <c r="AA3645" s="11">
        <v>0</v>
      </c>
      <c r="AB3645" s="12">
        <v>0</v>
      </c>
    </row>
    <row r="3646" spans="1:28" x14ac:dyDescent="0.2">
      <c r="A3646" s="7">
        <v>127792</v>
      </c>
      <c r="B3646" s="8" t="s">
        <v>22781</v>
      </c>
      <c r="C3646" s="8" t="s">
        <v>22782</v>
      </c>
      <c r="D3646" s="8" t="s">
        <v>7907</v>
      </c>
      <c r="E3646" s="8"/>
      <c r="F3646" s="8" t="s">
        <v>353</v>
      </c>
      <c r="G3646" s="8" t="s">
        <v>21550</v>
      </c>
      <c r="H3646" s="8" t="s">
        <v>142</v>
      </c>
      <c r="I3646" s="8" t="s">
        <v>22783</v>
      </c>
      <c r="J3646" s="8" t="s">
        <v>22784</v>
      </c>
      <c r="K3646" s="8" t="s">
        <v>779</v>
      </c>
      <c r="L3646" s="8" t="s">
        <v>464</v>
      </c>
      <c r="M3646" s="8" t="s">
        <v>22785</v>
      </c>
      <c r="N3646" s="8" t="s">
        <v>128</v>
      </c>
      <c r="O3646" s="8" t="s">
        <v>22786</v>
      </c>
      <c r="P3646" s="8" t="s">
        <v>22787</v>
      </c>
      <c r="Q3646" s="8" t="s">
        <v>150</v>
      </c>
      <c r="R3646" s="8"/>
      <c r="S3646" s="8" t="s">
        <v>71</v>
      </c>
      <c r="T3646" s="8" t="s">
        <v>70</v>
      </c>
      <c r="U3646" s="8" t="s">
        <v>150</v>
      </c>
      <c r="V3646" s="8" t="s">
        <v>70</v>
      </c>
      <c r="W3646" s="8" t="s">
        <v>70</v>
      </c>
      <c r="X3646" s="8">
        <v>1</v>
      </c>
      <c r="Y3646" s="8" t="s">
        <v>12359</v>
      </c>
      <c r="Z3646" s="8">
        <v>20</v>
      </c>
      <c r="AA3646" s="8">
        <v>0</v>
      </c>
      <c r="AB3646" s="9">
        <v>0</v>
      </c>
    </row>
    <row r="3647" spans="1:28" x14ac:dyDescent="0.2">
      <c r="A3647" s="10">
        <v>126259</v>
      </c>
      <c r="B3647" s="11" t="s">
        <v>22788</v>
      </c>
      <c r="C3647" s="11" t="s">
        <v>5879</v>
      </c>
      <c r="D3647" s="11" t="s">
        <v>16570</v>
      </c>
      <c r="E3647" s="11"/>
      <c r="F3647" s="11" t="s">
        <v>20652</v>
      </c>
      <c r="G3647" s="11" t="s">
        <v>6409</v>
      </c>
      <c r="H3647" s="11" t="s">
        <v>6410</v>
      </c>
      <c r="I3647" s="11" t="s">
        <v>22789</v>
      </c>
      <c r="J3647" s="11" t="s">
        <v>22790</v>
      </c>
      <c r="K3647" s="11" t="s">
        <v>1956</v>
      </c>
      <c r="L3647" s="11" t="s">
        <v>526</v>
      </c>
      <c r="M3647" s="11" t="s">
        <v>22791</v>
      </c>
      <c r="N3647" s="11" t="s">
        <v>128</v>
      </c>
      <c r="O3647" s="11"/>
      <c r="P3647" s="11" t="s">
        <v>8963</v>
      </c>
      <c r="Q3647" s="11" t="s">
        <v>150</v>
      </c>
      <c r="R3647" s="11"/>
      <c r="S3647" s="11" t="s">
        <v>71</v>
      </c>
      <c r="T3647" s="11" t="s">
        <v>70</v>
      </c>
      <c r="U3647" s="11" t="s">
        <v>150</v>
      </c>
      <c r="V3647" s="11" t="s">
        <v>70</v>
      </c>
      <c r="W3647" s="11" t="s">
        <v>70</v>
      </c>
      <c r="X3647" s="11">
        <v>1</v>
      </c>
      <c r="Y3647" s="11" t="s">
        <v>12359</v>
      </c>
      <c r="Z3647" s="11">
        <v>20</v>
      </c>
      <c r="AA3647" s="11">
        <v>0</v>
      </c>
      <c r="AB3647" s="12">
        <v>0</v>
      </c>
    </row>
    <row r="3648" spans="1:28" x14ac:dyDescent="0.2">
      <c r="A3648" s="7">
        <v>23110</v>
      </c>
      <c r="B3648" s="8" t="s">
        <v>22792</v>
      </c>
      <c r="C3648" s="8" t="s">
        <v>8875</v>
      </c>
      <c r="D3648" s="8" t="s">
        <v>22793</v>
      </c>
      <c r="E3648" s="8"/>
      <c r="F3648" s="8" t="s">
        <v>22794</v>
      </c>
      <c r="G3648" s="8" t="s">
        <v>8876</v>
      </c>
      <c r="H3648" s="8" t="s">
        <v>329</v>
      </c>
      <c r="I3648" s="8" t="s">
        <v>15683</v>
      </c>
      <c r="J3648" s="8" t="s">
        <v>22795</v>
      </c>
      <c r="K3648" s="8" t="s">
        <v>415</v>
      </c>
      <c r="L3648" s="8" t="s">
        <v>333</v>
      </c>
      <c r="M3648" s="8" t="s">
        <v>22796</v>
      </c>
      <c r="N3648" s="8" t="s">
        <v>128</v>
      </c>
      <c r="O3648" s="8" t="s">
        <v>22797</v>
      </c>
      <c r="P3648" s="8" t="s">
        <v>22798</v>
      </c>
      <c r="Q3648" s="8" t="s">
        <v>150</v>
      </c>
      <c r="R3648" s="8"/>
      <c r="S3648" s="8" t="s">
        <v>71</v>
      </c>
      <c r="T3648" s="8" t="s">
        <v>70</v>
      </c>
      <c r="U3648" s="8" t="s">
        <v>150</v>
      </c>
      <c r="V3648" s="8" t="s">
        <v>70</v>
      </c>
      <c r="W3648" s="8" t="s">
        <v>70</v>
      </c>
      <c r="X3648" s="8">
        <v>1</v>
      </c>
      <c r="Y3648" s="8" t="s">
        <v>12359</v>
      </c>
      <c r="Z3648" s="8">
        <v>20</v>
      </c>
      <c r="AA3648" s="8">
        <v>0</v>
      </c>
      <c r="AB3648" s="9">
        <v>0</v>
      </c>
    </row>
    <row r="3649" spans="1:28" x14ac:dyDescent="0.2">
      <c r="A3649" s="10">
        <v>28436</v>
      </c>
      <c r="B3649" s="11" t="s">
        <v>22799</v>
      </c>
      <c r="C3649" s="11" t="s">
        <v>22800</v>
      </c>
      <c r="D3649" s="11" t="s">
        <v>12808</v>
      </c>
      <c r="E3649" s="11"/>
      <c r="F3649" s="11" t="s">
        <v>2155</v>
      </c>
      <c r="G3649" s="11" t="s">
        <v>328</v>
      </c>
      <c r="H3649" s="11" t="s">
        <v>329</v>
      </c>
      <c r="I3649" s="11" t="s">
        <v>22801</v>
      </c>
      <c r="J3649" s="11" t="s">
        <v>22802</v>
      </c>
      <c r="K3649" s="11" t="s">
        <v>572</v>
      </c>
      <c r="L3649" s="11" t="s">
        <v>333</v>
      </c>
      <c r="M3649" s="11" t="s">
        <v>22803</v>
      </c>
      <c r="N3649" s="11" t="s">
        <v>128</v>
      </c>
      <c r="O3649" s="11" t="s">
        <v>22804</v>
      </c>
      <c r="P3649" s="11" t="s">
        <v>22805</v>
      </c>
      <c r="Q3649" s="11" t="s">
        <v>150</v>
      </c>
      <c r="R3649" s="11"/>
      <c r="S3649" s="11" t="s">
        <v>71</v>
      </c>
      <c r="T3649" s="11" t="s">
        <v>70</v>
      </c>
      <c r="U3649" s="11" t="s">
        <v>150</v>
      </c>
      <c r="V3649" s="11" t="s">
        <v>70</v>
      </c>
      <c r="W3649" s="11" t="s">
        <v>70</v>
      </c>
      <c r="X3649" s="11">
        <v>1</v>
      </c>
      <c r="Y3649" s="11" t="s">
        <v>12359</v>
      </c>
      <c r="Z3649" s="11">
        <v>20</v>
      </c>
      <c r="AA3649" s="11">
        <v>0</v>
      </c>
      <c r="AB3649" s="12">
        <v>0</v>
      </c>
    </row>
    <row r="3650" spans="1:28" x14ac:dyDescent="0.2">
      <c r="A3650" s="7">
        <v>105903</v>
      </c>
      <c r="B3650" s="8" t="s">
        <v>22806</v>
      </c>
      <c r="C3650" s="8" t="s">
        <v>10905</v>
      </c>
      <c r="D3650" s="8" t="s">
        <v>6319</v>
      </c>
      <c r="E3650" s="8"/>
      <c r="F3650" s="8" t="s">
        <v>22411</v>
      </c>
      <c r="G3650" s="8" t="s">
        <v>22412</v>
      </c>
      <c r="H3650" s="8" t="s">
        <v>142</v>
      </c>
      <c r="I3650" s="8" t="s">
        <v>22413</v>
      </c>
      <c r="J3650" s="8" t="s">
        <v>22807</v>
      </c>
      <c r="K3650" s="8" t="s">
        <v>1673</v>
      </c>
      <c r="L3650" s="8" t="s">
        <v>464</v>
      </c>
      <c r="M3650" s="8" t="s">
        <v>22808</v>
      </c>
      <c r="N3650" s="8" t="s">
        <v>128</v>
      </c>
      <c r="O3650" s="8" t="s">
        <v>22809</v>
      </c>
      <c r="P3650" s="8" t="s">
        <v>22810</v>
      </c>
      <c r="Q3650" s="8" t="s">
        <v>150</v>
      </c>
      <c r="R3650" s="8"/>
      <c r="S3650" s="8" t="s">
        <v>71</v>
      </c>
      <c r="T3650" s="8" t="s">
        <v>70</v>
      </c>
      <c r="U3650" s="8" t="s">
        <v>150</v>
      </c>
      <c r="V3650" s="8" t="s">
        <v>70</v>
      </c>
      <c r="W3650" s="8" t="s">
        <v>70</v>
      </c>
      <c r="X3650" s="8">
        <v>1</v>
      </c>
      <c r="Y3650" s="8" t="s">
        <v>12359</v>
      </c>
      <c r="Z3650" s="8">
        <v>20</v>
      </c>
      <c r="AA3650" s="8">
        <v>0</v>
      </c>
      <c r="AB3650" s="9">
        <v>0</v>
      </c>
    </row>
    <row r="3651" spans="1:28" x14ac:dyDescent="0.2">
      <c r="A3651" s="10">
        <v>127796</v>
      </c>
      <c r="B3651" s="11" t="s">
        <v>22811</v>
      </c>
      <c r="C3651" s="11" t="s">
        <v>20651</v>
      </c>
      <c r="D3651" s="11" t="s">
        <v>16570</v>
      </c>
      <c r="E3651" s="11"/>
      <c r="F3651" s="11" t="s">
        <v>20652</v>
      </c>
      <c r="G3651" s="11" t="s">
        <v>6409</v>
      </c>
      <c r="H3651" s="11" t="s">
        <v>6410</v>
      </c>
      <c r="I3651" s="11" t="s">
        <v>22789</v>
      </c>
      <c r="J3651" s="11" t="s">
        <v>22812</v>
      </c>
      <c r="K3651" s="11" t="s">
        <v>1956</v>
      </c>
      <c r="L3651" s="11" t="s">
        <v>526</v>
      </c>
      <c r="M3651" s="11" t="s">
        <v>22813</v>
      </c>
      <c r="N3651" s="11" t="s">
        <v>128</v>
      </c>
      <c r="O3651" s="11" t="s">
        <v>22814</v>
      </c>
      <c r="P3651" s="11" t="s">
        <v>2567</v>
      </c>
      <c r="Q3651" s="11" t="s">
        <v>150</v>
      </c>
      <c r="R3651" s="11"/>
      <c r="S3651" s="11" t="s">
        <v>71</v>
      </c>
      <c r="T3651" s="11" t="s">
        <v>70</v>
      </c>
      <c r="U3651" s="11" t="s">
        <v>150</v>
      </c>
      <c r="V3651" s="11" t="s">
        <v>70</v>
      </c>
      <c r="W3651" s="11" t="s">
        <v>70</v>
      </c>
      <c r="X3651" s="11">
        <v>1</v>
      </c>
      <c r="Y3651" s="11" t="s">
        <v>12359</v>
      </c>
      <c r="Z3651" s="11">
        <v>20</v>
      </c>
      <c r="AA3651" s="11">
        <v>0</v>
      </c>
      <c r="AB3651" s="12">
        <v>0</v>
      </c>
    </row>
    <row r="3652" spans="1:28" x14ac:dyDescent="0.2">
      <c r="A3652" s="7">
        <v>93170</v>
      </c>
      <c r="B3652" s="8" t="s">
        <v>22815</v>
      </c>
      <c r="C3652" s="8" t="s">
        <v>3999</v>
      </c>
      <c r="D3652" s="8" t="s">
        <v>5206</v>
      </c>
      <c r="E3652" s="8"/>
      <c r="F3652" s="8" t="s">
        <v>22816</v>
      </c>
      <c r="G3652" s="8" t="s">
        <v>22817</v>
      </c>
      <c r="H3652" s="8" t="s">
        <v>142</v>
      </c>
      <c r="I3652" s="8" t="s">
        <v>10584</v>
      </c>
      <c r="J3652" s="8" t="s">
        <v>22818</v>
      </c>
      <c r="K3652" s="8" t="s">
        <v>779</v>
      </c>
      <c r="L3652" s="8" t="s">
        <v>464</v>
      </c>
      <c r="M3652" s="8" t="s">
        <v>22819</v>
      </c>
      <c r="N3652" s="8" t="s">
        <v>128</v>
      </c>
      <c r="O3652" s="8" t="s">
        <v>22820</v>
      </c>
      <c r="P3652" s="8" t="s">
        <v>22821</v>
      </c>
      <c r="Q3652" s="8" t="s">
        <v>150</v>
      </c>
      <c r="R3652" s="8"/>
      <c r="S3652" s="8" t="s">
        <v>22822</v>
      </c>
      <c r="T3652" s="8" t="s">
        <v>70</v>
      </c>
      <c r="U3652" s="8" t="s">
        <v>150</v>
      </c>
      <c r="V3652" s="8" t="s">
        <v>70</v>
      </c>
      <c r="W3652" s="8" t="s">
        <v>70</v>
      </c>
      <c r="X3652" s="8">
        <v>1</v>
      </c>
      <c r="Y3652" s="8" t="s">
        <v>12359</v>
      </c>
      <c r="Z3652" s="8">
        <v>20</v>
      </c>
      <c r="AA3652" s="8">
        <v>0</v>
      </c>
      <c r="AB3652" s="9">
        <v>0</v>
      </c>
    </row>
    <row r="3653" spans="1:28" x14ac:dyDescent="0.2">
      <c r="A3653" s="10">
        <v>22929</v>
      </c>
      <c r="B3653" s="11" t="s">
        <v>22823</v>
      </c>
      <c r="C3653" s="11" t="s">
        <v>16358</v>
      </c>
      <c r="D3653" s="11" t="s">
        <v>5114</v>
      </c>
      <c r="E3653" s="11"/>
      <c r="F3653" s="11" t="s">
        <v>22088</v>
      </c>
      <c r="G3653" s="11" t="s">
        <v>19550</v>
      </c>
      <c r="H3653" s="11" t="s">
        <v>122</v>
      </c>
      <c r="I3653" s="11" t="s">
        <v>22089</v>
      </c>
      <c r="J3653" s="11" t="s">
        <v>22090</v>
      </c>
      <c r="K3653" s="11" t="s">
        <v>125</v>
      </c>
      <c r="L3653" s="11" t="s">
        <v>126</v>
      </c>
      <c r="M3653" s="11" t="s">
        <v>22824</v>
      </c>
      <c r="N3653" s="11" t="s">
        <v>128</v>
      </c>
      <c r="O3653" s="11" t="s">
        <v>22825</v>
      </c>
      <c r="P3653" s="11" t="s">
        <v>7057</v>
      </c>
      <c r="Q3653" s="11" t="s">
        <v>150</v>
      </c>
      <c r="R3653" s="11"/>
      <c r="S3653" s="11" t="s">
        <v>22093</v>
      </c>
      <c r="T3653" s="11" t="s">
        <v>70</v>
      </c>
      <c r="U3653" s="11" t="s">
        <v>150</v>
      </c>
      <c r="V3653" s="11" t="s">
        <v>70</v>
      </c>
      <c r="W3653" s="11" t="s">
        <v>70</v>
      </c>
      <c r="X3653" s="11">
        <v>1</v>
      </c>
      <c r="Y3653" s="11" t="s">
        <v>12359</v>
      </c>
      <c r="Z3653" s="11">
        <v>20</v>
      </c>
      <c r="AA3653" s="11">
        <v>0</v>
      </c>
      <c r="AB3653" s="12">
        <v>0</v>
      </c>
    </row>
    <row r="3654" spans="1:28" x14ac:dyDescent="0.2">
      <c r="A3654" s="7">
        <v>22940</v>
      </c>
      <c r="B3654" s="8" t="s">
        <v>22826</v>
      </c>
      <c r="C3654" s="8" t="s">
        <v>13216</v>
      </c>
      <c r="D3654" s="8" t="s">
        <v>8508</v>
      </c>
      <c r="E3654" s="8"/>
      <c r="F3654" s="8" t="s">
        <v>19744</v>
      </c>
      <c r="G3654" s="8" t="s">
        <v>121</v>
      </c>
      <c r="H3654" s="8" t="s">
        <v>122</v>
      </c>
      <c r="I3654" s="8" t="s">
        <v>22827</v>
      </c>
      <c r="J3654" s="8" t="s">
        <v>22828</v>
      </c>
      <c r="K3654" s="8" t="s">
        <v>125</v>
      </c>
      <c r="L3654" s="8" t="s">
        <v>126</v>
      </c>
      <c r="M3654" s="8" t="s">
        <v>22829</v>
      </c>
      <c r="N3654" s="8" t="s">
        <v>128</v>
      </c>
      <c r="O3654" s="8" t="s">
        <v>22830</v>
      </c>
      <c r="P3654" s="8" t="s">
        <v>9314</v>
      </c>
      <c r="Q3654" s="8" t="s">
        <v>150</v>
      </c>
      <c r="R3654" s="8"/>
      <c r="S3654" s="8" t="s">
        <v>13561</v>
      </c>
      <c r="T3654" s="8" t="s">
        <v>70</v>
      </c>
      <c r="U3654" s="8" t="s">
        <v>150</v>
      </c>
      <c r="V3654" s="8" t="s">
        <v>70</v>
      </c>
      <c r="W3654" s="8" t="s">
        <v>70</v>
      </c>
      <c r="X3654" s="8">
        <v>1</v>
      </c>
      <c r="Y3654" s="8" t="s">
        <v>12359</v>
      </c>
      <c r="Z3654" s="8">
        <v>20</v>
      </c>
      <c r="AA3654" s="8">
        <v>0</v>
      </c>
      <c r="AB3654" s="9">
        <v>0</v>
      </c>
    </row>
    <row r="3655" spans="1:28" x14ac:dyDescent="0.2">
      <c r="A3655" s="10">
        <v>28473</v>
      </c>
      <c r="B3655" s="11" t="s">
        <v>22831</v>
      </c>
      <c r="C3655" s="11" t="s">
        <v>22105</v>
      </c>
      <c r="D3655" s="11" t="s">
        <v>22106</v>
      </c>
      <c r="E3655" s="11"/>
      <c r="F3655" s="11" t="s">
        <v>22832</v>
      </c>
      <c r="G3655" s="11" t="s">
        <v>670</v>
      </c>
      <c r="H3655" s="11" t="s">
        <v>671</v>
      </c>
      <c r="I3655" s="11" t="s">
        <v>22108</v>
      </c>
      <c r="J3655" s="11" t="s">
        <v>22109</v>
      </c>
      <c r="K3655" s="11" t="s">
        <v>572</v>
      </c>
      <c r="L3655" s="11" t="s">
        <v>333</v>
      </c>
      <c r="M3655" s="11" t="s">
        <v>22833</v>
      </c>
      <c r="N3655" s="11" t="s">
        <v>128</v>
      </c>
      <c r="O3655" s="11" t="s">
        <v>22834</v>
      </c>
      <c r="P3655" s="11" t="s">
        <v>19641</v>
      </c>
      <c r="Q3655" s="11" t="s">
        <v>150</v>
      </c>
      <c r="R3655" s="11"/>
      <c r="S3655" s="11" t="s">
        <v>22112</v>
      </c>
      <c r="T3655" s="11" t="s">
        <v>70</v>
      </c>
      <c r="U3655" s="11" t="s">
        <v>150</v>
      </c>
      <c r="V3655" s="11" t="s">
        <v>70</v>
      </c>
      <c r="W3655" s="11" t="s">
        <v>70</v>
      </c>
      <c r="X3655" s="11">
        <v>1</v>
      </c>
      <c r="Y3655" s="11" t="s">
        <v>12359</v>
      </c>
      <c r="Z3655" s="11">
        <v>20</v>
      </c>
      <c r="AA3655" s="11">
        <v>0</v>
      </c>
      <c r="AB3655" s="12">
        <v>0</v>
      </c>
    </row>
    <row r="3656" spans="1:28" x14ac:dyDescent="0.2">
      <c r="A3656" s="7">
        <v>28510</v>
      </c>
      <c r="B3656" s="8" t="s">
        <v>22835</v>
      </c>
      <c r="C3656" s="8" t="s">
        <v>22433</v>
      </c>
      <c r="D3656" s="8" t="s">
        <v>8288</v>
      </c>
      <c r="E3656" s="8"/>
      <c r="F3656" s="8"/>
      <c r="G3656" s="8" t="s">
        <v>20860</v>
      </c>
      <c r="H3656" s="8" t="s">
        <v>557</v>
      </c>
      <c r="I3656" s="8" t="s">
        <v>22435</v>
      </c>
      <c r="J3656" s="8" t="s">
        <v>22836</v>
      </c>
      <c r="K3656" s="8" t="s">
        <v>560</v>
      </c>
      <c r="L3656" s="8" t="s">
        <v>229</v>
      </c>
      <c r="M3656" s="8" t="s">
        <v>22837</v>
      </c>
      <c r="N3656" s="8" t="s">
        <v>128</v>
      </c>
      <c r="O3656" s="8" t="s">
        <v>22838</v>
      </c>
      <c r="P3656" s="8" t="s">
        <v>1574</v>
      </c>
      <c r="Q3656" s="8" t="s">
        <v>150</v>
      </c>
      <c r="R3656" s="8"/>
      <c r="S3656" s="8" t="s">
        <v>22439</v>
      </c>
      <c r="T3656" s="8" t="s">
        <v>70</v>
      </c>
      <c r="U3656" s="8" t="s">
        <v>150</v>
      </c>
      <c r="V3656" s="8" t="s">
        <v>70</v>
      </c>
      <c r="W3656" s="8" t="s">
        <v>70</v>
      </c>
      <c r="X3656" s="8">
        <v>1</v>
      </c>
      <c r="Y3656" s="8" t="s">
        <v>12359</v>
      </c>
      <c r="Z3656" s="8">
        <v>20</v>
      </c>
      <c r="AA3656" s="8">
        <v>0</v>
      </c>
      <c r="AB3656" s="9">
        <v>0</v>
      </c>
    </row>
    <row r="3657" spans="1:28" x14ac:dyDescent="0.2">
      <c r="A3657" s="10">
        <v>114555</v>
      </c>
      <c r="B3657" s="11" t="s">
        <v>22839</v>
      </c>
      <c r="C3657" s="11" t="s">
        <v>22840</v>
      </c>
      <c r="D3657" s="11" t="s">
        <v>2690</v>
      </c>
      <c r="E3657" s="11"/>
      <c r="F3657" s="11" t="s">
        <v>22841</v>
      </c>
      <c r="G3657" s="11" t="s">
        <v>6409</v>
      </c>
      <c r="H3657" s="11" t="s">
        <v>6410</v>
      </c>
      <c r="I3657" s="11" t="s">
        <v>22842</v>
      </c>
      <c r="J3657" s="11" t="s">
        <v>22843</v>
      </c>
      <c r="K3657" s="11" t="s">
        <v>1956</v>
      </c>
      <c r="L3657" s="11" t="s">
        <v>526</v>
      </c>
      <c r="M3657" s="11" t="s">
        <v>22844</v>
      </c>
      <c r="N3657" s="11" t="s">
        <v>128</v>
      </c>
      <c r="O3657" s="11" t="s">
        <v>22845</v>
      </c>
      <c r="P3657" s="11" t="s">
        <v>7981</v>
      </c>
      <c r="Q3657" s="11" t="s">
        <v>150</v>
      </c>
      <c r="R3657" s="11"/>
      <c r="S3657" s="11" t="s">
        <v>22846</v>
      </c>
      <c r="T3657" s="11" t="s">
        <v>70</v>
      </c>
      <c r="U3657" s="11" t="s">
        <v>150</v>
      </c>
      <c r="V3657" s="11" t="s">
        <v>70</v>
      </c>
      <c r="W3657" s="11" t="s">
        <v>70</v>
      </c>
      <c r="X3657" s="11">
        <v>1</v>
      </c>
      <c r="Y3657" s="11" t="s">
        <v>12359</v>
      </c>
      <c r="Z3657" s="11">
        <v>20</v>
      </c>
      <c r="AA3657" s="11">
        <v>0</v>
      </c>
      <c r="AB3657" s="12">
        <v>0</v>
      </c>
    </row>
    <row r="3658" spans="1:28" x14ac:dyDescent="0.2">
      <c r="A3658" s="7">
        <v>115868</v>
      </c>
      <c r="B3658" s="8" t="s">
        <v>22847</v>
      </c>
      <c r="C3658" s="8" t="s">
        <v>22848</v>
      </c>
      <c r="D3658" s="8" t="s">
        <v>6210</v>
      </c>
      <c r="E3658" s="8" t="s">
        <v>353</v>
      </c>
      <c r="F3658" s="8" t="s">
        <v>353</v>
      </c>
      <c r="G3658" s="8" t="s">
        <v>22849</v>
      </c>
      <c r="H3658" s="8" t="s">
        <v>142</v>
      </c>
      <c r="I3658" s="8" t="s">
        <v>22850</v>
      </c>
      <c r="J3658" s="8" t="s">
        <v>22851</v>
      </c>
      <c r="K3658" s="8" t="s">
        <v>1673</v>
      </c>
      <c r="L3658" s="8" t="s">
        <v>464</v>
      </c>
      <c r="M3658" s="8" t="s">
        <v>22852</v>
      </c>
      <c r="N3658" s="8" t="s">
        <v>128</v>
      </c>
      <c r="O3658" s="8" t="s">
        <v>22853</v>
      </c>
      <c r="P3658" s="8" t="s">
        <v>22854</v>
      </c>
      <c r="Q3658" s="8" t="s">
        <v>150</v>
      </c>
      <c r="R3658" s="8"/>
      <c r="S3658" s="8" t="s">
        <v>71</v>
      </c>
      <c r="T3658" s="8" t="s">
        <v>1415</v>
      </c>
      <c r="U3658" s="8" t="s">
        <v>150</v>
      </c>
      <c r="V3658" s="8" t="s">
        <v>1415</v>
      </c>
      <c r="W3658" s="8" t="s">
        <v>1415</v>
      </c>
      <c r="X3658" s="8">
        <v>1</v>
      </c>
      <c r="Y3658" s="8" t="s">
        <v>12359</v>
      </c>
      <c r="Z3658" s="8">
        <v>20</v>
      </c>
      <c r="AA3658" s="8">
        <v>0</v>
      </c>
      <c r="AB3658" s="9">
        <v>0</v>
      </c>
    </row>
    <row r="3659" spans="1:28" x14ac:dyDescent="0.2">
      <c r="A3659" s="10">
        <v>124227</v>
      </c>
      <c r="B3659" s="11" t="s">
        <v>22855</v>
      </c>
      <c r="C3659" s="11" t="s">
        <v>2481</v>
      </c>
      <c r="D3659" s="11" t="s">
        <v>2554</v>
      </c>
      <c r="E3659" s="11"/>
      <c r="F3659" s="11" t="s">
        <v>353</v>
      </c>
      <c r="G3659" s="11" t="s">
        <v>22856</v>
      </c>
      <c r="H3659" s="11" t="s">
        <v>142</v>
      </c>
      <c r="I3659" s="11" t="s">
        <v>22857</v>
      </c>
      <c r="J3659" s="11" t="s">
        <v>22858</v>
      </c>
      <c r="K3659" s="11" t="s">
        <v>779</v>
      </c>
      <c r="L3659" s="11" t="s">
        <v>464</v>
      </c>
      <c r="M3659" s="11" t="s">
        <v>22859</v>
      </c>
      <c r="N3659" s="11" t="s">
        <v>128</v>
      </c>
      <c r="O3659" s="11" t="s">
        <v>22860</v>
      </c>
      <c r="P3659" s="11" t="s">
        <v>22861</v>
      </c>
      <c r="Q3659" s="11" t="s">
        <v>150</v>
      </c>
      <c r="R3659" s="11"/>
      <c r="S3659" s="11" t="s">
        <v>71</v>
      </c>
      <c r="T3659" s="11" t="s">
        <v>1415</v>
      </c>
      <c r="U3659" s="11" t="s">
        <v>150</v>
      </c>
      <c r="V3659" s="11" t="s">
        <v>1415</v>
      </c>
      <c r="W3659" s="11" t="s">
        <v>1415</v>
      </c>
      <c r="X3659" s="11">
        <v>1</v>
      </c>
      <c r="Y3659" s="11" t="s">
        <v>12359</v>
      </c>
      <c r="Z3659" s="11">
        <v>20</v>
      </c>
      <c r="AA3659" s="11">
        <v>0</v>
      </c>
      <c r="AB3659" s="12">
        <v>0</v>
      </c>
    </row>
    <row r="3660" spans="1:28" x14ac:dyDescent="0.2">
      <c r="A3660" s="7">
        <v>23401</v>
      </c>
      <c r="B3660" s="8" t="s">
        <v>22862</v>
      </c>
      <c r="C3660" s="8" t="s">
        <v>22863</v>
      </c>
      <c r="D3660" s="8" t="s">
        <v>4434</v>
      </c>
      <c r="E3660" s="8"/>
      <c r="F3660" s="8" t="s">
        <v>353</v>
      </c>
      <c r="G3660" s="8" t="s">
        <v>4137</v>
      </c>
      <c r="H3660" s="8" t="s">
        <v>142</v>
      </c>
      <c r="I3660" s="8" t="s">
        <v>22864</v>
      </c>
      <c r="J3660" s="8" t="s">
        <v>22865</v>
      </c>
      <c r="K3660" s="8" t="s">
        <v>1199</v>
      </c>
      <c r="L3660" s="8" t="s">
        <v>464</v>
      </c>
      <c r="M3660" s="8" t="s">
        <v>22866</v>
      </c>
      <c r="N3660" s="8" t="s">
        <v>128</v>
      </c>
      <c r="O3660" s="8" t="s">
        <v>22867</v>
      </c>
      <c r="P3660" s="8" t="s">
        <v>22868</v>
      </c>
      <c r="Q3660" s="8" t="s">
        <v>150</v>
      </c>
      <c r="R3660" s="8"/>
      <c r="S3660" s="8" t="s">
        <v>71</v>
      </c>
      <c r="T3660" s="8" t="s">
        <v>1415</v>
      </c>
      <c r="U3660" s="8" t="s">
        <v>150</v>
      </c>
      <c r="V3660" s="8" t="s">
        <v>1415</v>
      </c>
      <c r="W3660" s="8" t="s">
        <v>1415</v>
      </c>
      <c r="X3660" s="8">
        <v>1</v>
      </c>
      <c r="Y3660" s="8" t="s">
        <v>12359</v>
      </c>
      <c r="Z3660" s="8">
        <v>20</v>
      </c>
      <c r="AA3660" s="8">
        <v>0</v>
      </c>
      <c r="AB3660" s="9">
        <v>0</v>
      </c>
    </row>
    <row r="3661" spans="1:28" x14ac:dyDescent="0.2">
      <c r="A3661" s="10">
        <v>23457</v>
      </c>
      <c r="B3661" s="11" t="s">
        <v>22869</v>
      </c>
      <c r="C3661" s="11" t="s">
        <v>22356</v>
      </c>
      <c r="D3661" s="11" t="s">
        <v>2871</v>
      </c>
      <c r="E3661" s="11"/>
      <c r="F3661" s="11" t="s">
        <v>353</v>
      </c>
      <c r="G3661" s="11" t="s">
        <v>22357</v>
      </c>
      <c r="H3661" s="11" t="s">
        <v>142</v>
      </c>
      <c r="I3661" s="11" t="s">
        <v>22358</v>
      </c>
      <c r="J3661" s="11" t="s">
        <v>22870</v>
      </c>
      <c r="K3661" s="11" t="s">
        <v>1199</v>
      </c>
      <c r="L3661" s="11" t="s">
        <v>464</v>
      </c>
      <c r="M3661" s="11" t="s">
        <v>22871</v>
      </c>
      <c r="N3661" s="11" t="s">
        <v>128</v>
      </c>
      <c r="O3661" s="11" t="s">
        <v>22872</v>
      </c>
      <c r="P3661" s="11" t="s">
        <v>22873</v>
      </c>
      <c r="Q3661" s="11" t="s">
        <v>150</v>
      </c>
      <c r="R3661" s="11"/>
      <c r="S3661" s="11" t="s">
        <v>71</v>
      </c>
      <c r="T3661" s="11" t="s">
        <v>1415</v>
      </c>
      <c r="U3661" s="11" t="s">
        <v>150</v>
      </c>
      <c r="V3661" s="11" t="s">
        <v>1415</v>
      </c>
      <c r="W3661" s="11" t="s">
        <v>1415</v>
      </c>
      <c r="X3661" s="11">
        <v>1</v>
      </c>
      <c r="Y3661" s="11" t="s">
        <v>12359</v>
      </c>
      <c r="Z3661" s="11">
        <v>20</v>
      </c>
      <c r="AA3661" s="11">
        <v>0</v>
      </c>
      <c r="AB3661" s="12">
        <v>0</v>
      </c>
    </row>
    <row r="3662" spans="1:28" x14ac:dyDescent="0.2">
      <c r="A3662" s="7">
        <v>28706</v>
      </c>
      <c r="B3662" s="8" t="s">
        <v>22874</v>
      </c>
      <c r="C3662" s="8" t="s">
        <v>22875</v>
      </c>
      <c r="D3662" s="8" t="s">
        <v>2188</v>
      </c>
      <c r="E3662" s="8"/>
      <c r="F3662" s="8" t="s">
        <v>353</v>
      </c>
      <c r="G3662" s="8" t="s">
        <v>22876</v>
      </c>
      <c r="H3662" s="8" t="s">
        <v>142</v>
      </c>
      <c r="I3662" s="8" t="s">
        <v>22877</v>
      </c>
      <c r="J3662" s="8" t="s">
        <v>22878</v>
      </c>
      <c r="K3662" s="8" t="s">
        <v>1029</v>
      </c>
      <c r="L3662" s="8" t="s">
        <v>464</v>
      </c>
      <c r="M3662" s="8" t="s">
        <v>22879</v>
      </c>
      <c r="N3662" s="8" t="s">
        <v>128</v>
      </c>
      <c r="O3662" s="8" t="s">
        <v>22880</v>
      </c>
      <c r="P3662" s="8" t="s">
        <v>22881</v>
      </c>
      <c r="Q3662" s="8" t="s">
        <v>150</v>
      </c>
      <c r="R3662" s="8"/>
      <c r="S3662" s="8" t="s">
        <v>71</v>
      </c>
      <c r="T3662" s="8" t="s">
        <v>1415</v>
      </c>
      <c r="U3662" s="8" t="s">
        <v>150</v>
      </c>
      <c r="V3662" s="8" t="s">
        <v>1415</v>
      </c>
      <c r="W3662" s="8" t="s">
        <v>1415</v>
      </c>
      <c r="X3662" s="8">
        <v>1</v>
      </c>
      <c r="Y3662" s="8" t="s">
        <v>12359</v>
      </c>
      <c r="Z3662" s="8">
        <v>20</v>
      </c>
      <c r="AA3662" s="8">
        <v>0</v>
      </c>
      <c r="AB3662" s="9">
        <v>0</v>
      </c>
    </row>
    <row r="3663" spans="1:28" x14ac:dyDescent="0.2">
      <c r="A3663" s="10">
        <v>93147</v>
      </c>
      <c r="B3663" s="11" t="s">
        <v>22882</v>
      </c>
      <c r="C3663" s="11" t="s">
        <v>22883</v>
      </c>
      <c r="D3663" s="11" t="s">
        <v>22884</v>
      </c>
      <c r="E3663" s="11"/>
      <c r="F3663" s="11" t="s">
        <v>353</v>
      </c>
      <c r="G3663" s="11" t="s">
        <v>22885</v>
      </c>
      <c r="H3663" s="11" t="s">
        <v>142</v>
      </c>
      <c r="I3663" s="11" t="s">
        <v>22886</v>
      </c>
      <c r="J3663" s="11" t="s">
        <v>22887</v>
      </c>
      <c r="K3663" s="11" t="s">
        <v>1199</v>
      </c>
      <c r="L3663" s="11" t="s">
        <v>464</v>
      </c>
      <c r="M3663" s="11" t="s">
        <v>22888</v>
      </c>
      <c r="N3663" s="11" t="s">
        <v>128</v>
      </c>
      <c r="O3663" s="11" t="s">
        <v>22889</v>
      </c>
      <c r="P3663" s="11" t="s">
        <v>22391</v>
      </c>
      <c r="Q3663" s="11" t="s">
        <v>150</v>
      </c>
      <c r="R3663" s="11"/>
      <c r="S3663" s="11" t="s">
        <v>71</v>
      </c>
      <c r="T3663" s="11" t="s">
        <v>1415</v>
      </c>
      <c r="U3663" s="11" t="s">
        <v>150</v>
      </c>
      <c r="V3663" s="11" t="s">
        <v>1415</v>
      </c>
      <c r="W3663" s="11" t="s">
        <v>1415</v>
      </c>
      <c r="X3663" s="11">
        <v>1</v>
      </c>
      <c r="Y3663" s="11" t="s">
        <v>12359</v>
      </c>
      <c r="Z3663" s="11">
        <v>20</v>
      </c>
      <c r="AA3663" s="11">
        <v>0</v>
      </c>
      <c r="AB3663" s="12">
        <v>0</v>
      </c>
    </row>
    <row r="3664" spans="1:28" x14ac:dyDescent="0.2">
      <c r="A3664" s="7">
        <v>93151</v>
      </c>
      <c r="B3664" s="8" t="s">
        <v>22890</v>
      </c>
      <c r="C3664" s="8" t="s">
        <v>22891</v>
      </c>
      <c r="D3664" s="8" t="s">
        <v>14647</v>
      </c>
      <c r="E3664" s="8"/>
      <c r="F3664" s="8" t="s">
        <v>353</v>
      </c>
      <c r="G3664" s="8" t="s">
        <v>21550</v>
      </c>
      <c r="H3664" s="8" t="s">
        <v>142</v>
      </c>
      <c r="I3664" s="8" t="s">
        <v>22892</v>
      </c>
      <c r="J3664" s="8" t="s">
        <v>22893</v>
      </c>
      <c r="K3664" s="8" t="s">
        <v>779</v>
      </c>
      <c r="L3664" s="8" t="s">
        <v>464</v>
      </c>
      <c r="M3664" s="8" t="s">
        <v>22894</v>
      </c>
      <c r="N3664" s="8" t="s">
        <v>128</v>
      </c>
      <c r="O3664" s="8" t="s">
        <v>22895</v>
      </c>
      <c r="P3664" s="8" t="s">
        <v>22896</v>
      </c>
      <c r="Q3664" s="8" t="s">
        <v>150</v>
      </c>
      <c r="R3664" s="8"/>
      <c r="S3664" s="8" t="s">
        <v>71</v>
      </c>
      <c r="T3664" s="8" t="s">
        <v>1415</v>
      </c>
      <c r="U3664" s="8" t="s">
        <v>150</v>
      </c>
      <c r="V3664" s="8" t="s">
        <v>1415</v>
      </c>
      <c r="W3664" s="8" t="s">
        <v>1415</v>
      </c>
      <c r="X3664" s="8">
        <v>1</v>
      </c>
      <c r="Y3664" s="8" t="s">
        <v>12359</v>
      </c>
      <c r="Z3664" s="8">
        <v>20</v>
      </c>
      <c r="AA3664" s="8">
        <v>0</v>
      </c>
      <c r="AB3664" s="9">
        <v>0</v>
      </c>
    </row>
    <row r="3665" spans="1:28" x14ac:dyDescent="0.2">
      <c r="A3665" s="10">
        <v>119661</v>
      </c>
      <c r="B3665" s="11" t="s">
        <v>22897</v>
      </c>
      <c r="C3665" s="11" t="s">
        <v>2300</v>
      </c>
      <c r="D3665" s="11" t="s">
        <v>22898</v>
      </c>
      <c r="E3665" s="11"/>
      <c r="F3665" s="11" t="s">
        <v>353</v>
      </c>
      <c r="G3665" s="11" t="s">
        <v>22899</v>
      </c>
      <c r="H3665" s="11" t="s">
        <v>142</v>
      </c>
      <c r="I3665" s="11" t="s">
        <v>22900</v>
      </c>
      <c r="J3665" s="11" t="s">
        <v>22901</v>
      </c>
      <c r="K3665" s="11" t="s">
        <v>1673</v>
      </c>
      <c r="L3665" s="11" t="s">
        <v>464</v>
      </c>
      <c r="M3665" s="11" t="s">
        <v>22902</v>
      </c>
      <c r="N3665" s="11" t="s">
        <v>128</v>
      </c>
      <c r="O3665" s="11" t="s">
        <v>22903</v>
      </c>
      <c r="P3665" s="11" t="s">
        <v>22904</v>
      </c>
      <c r="Q3665" s="11" t="s">
        <v>150</v>
      </c>
      <c r="R3665" s="11"/>
      <c r="S3665" s="11" t="s">
        <v>71</v>
      </c>
      <c r="T3665" s="11" t="s">
        <v>1415</v>
      </c>
      <c r="U3665" s="11" t="s">
        <v>150</v>
      </c>
      <c r="V3665" s="11" t="s">
        <v>1415</v>
      </c>
      <c r="W3665" s="11" t="s">
        <v>1415</v>
      </c>
      <c r="X3665" s="11">
        <v>1</v>
      </c>
      <c r="Y3665" s="11" t="s">
        <v>12359</v>
      </c>
      <c r="Z3665" s="11">
        <v>20</v>
      </c>
      <c r="AA3665" s="11">
        <v>0</v>
      </c>
      <c r="AB3665" s="12">
        <v>0</v>
      </c>
    </row>
    <row r="3666" spans="1:28" x14ac:dyDescent="0.2">
      <c r="A3666" s="7">
        <v>124220</v>
      </c>
      <c r="B3666" s="8" t="s">
        <v>22905</v>
      </c>
      <c r="C3666" s="8" t="s">
        <v>22906</v>
      </c>
      <c r="D3666" s="8" t="s">
        <v>18200</v>
      </c>
      <c r="E3666" s="8"/>
      <c r="F3666" s="8" t="s">
        <v>353</v>
      </c>
      <c r="G3666" s="8" t="s">
        <v>22907</v>
      </c>
      <c r="H3666" s="8" t="s">
        <v>142</v>
      </c>
      <c r="I3666" s="8" t="s">
        <v>22908</v>
      </c>
      <c r="J3666" s="8" t="s">
        <v>22909</v>
      </c>
      <c r="K3666" s="8" t="s">
        <v>145</v>
      </c>
      <c r="L3666" s="8" t="s">
        <v>146</v>
      </c>
      <c r="M3666" s="8" t="s">
        <v>22910</v>
      </c>
      <c r="N3666" s="8" t="s">
        <v>128</v>
      </c>
      <c r="O3666" s="8" t="s">
        <v>22911</v>
      </c>
      <c r="P3666" s="8" t="s">
        <v>22912</v>
      </c>
      <c r="Q3666" s="8" t="s">
        <v>150</v>
      </c>
      <c r="R3666" s="8"/>
      <c r="S3666" s="8" t="s">
        <v>71</v>
      </c>
      <c r="T3666" s="8" t="s">
        <v>1415</v>
      </c>
      <c r="U3666" s="8" t="s">
        <v>150</v>
      </c>
      <c r="V3666" s="8" t="s">
        <v>1415</v>
      </c>
      <c r="W3666" s="8" t="s">
        <v>1415</v>
      </c>
      <c r="X3666" s="8">
        <v>1</v>
      </c>
      <c r="Y3666" s="8" t="s">
        <v>12359</v>
      </c>
      <c r="Z3666" s="8">
        <v>20</v>
      </c>
      <c r="AA3666" s="8">
        <v>0</v>
      </c>
      <c r="AB3666" s="9">
        <v>0</v>
      </c>
    </row>
    <row r="3667" spans="1:28" x14ac:dyDescent="0.2">
      <c r="A3667" s="10">
        <v>124221</v>
      </c>
      <c r="B3667" s="11" t="s">
        <v>22913</v>
      </c>
      <c r="C3667" s="11" t="s">
        <v>22914</v>
      </c>
      <c r="D3667" s="11" t="s">
        <v>3427</v>
      </c>
      <c r="E3667" s="11"/>
      <c r="F3667" s="11" t="s">
        <v>353</v>
      </c>
      <c r="G3667" s="11" t="s">
        <v>22915</v>
      </c>
      <c r="H3667" s="11" t="s">
        <v>142</v>
      </c>
      <c r="I3667" s="11" t="s">
        <v>22916</v>
      </c>
      <c r="J3667" s="11" t="s">
        <v>22917</v>
      </c>
      <c r="K3667" s="11" t="s">
        <v>1199</v>
      </c>
      <c r="L3667" s="11" t="s">
        <v>464</v>
      </c>
      <c r="M3667" s="11" t="s">
        <v>22918</v>
      </c>
      <c r="N3667" s="11" t="s">
        <v>128</v>
      </c>
      <c r="O3667" s="11" t="s">
        <v>22919</v>
      </c>
      <c r="P3667" s="11" t="s">
        <v>22920</v>
      </c>
      <c r="Q3667" s="11" t="s">
        <v>150</v>
      </c>
      <c r="R3667" s="11"/>
      <c r="S3667" s="11" t="s">
        <v>71</v>
      </c>
      <c r="T3667" s="11" t="s">
        <v>1415</v>
      </c>
      <c r="U3667" s="11" t="s">
        <v>150</v>
      </c>
      <c r="V3667" s="11" t="s">
        <v>1415</v>
      </c>
      <c r="W3667" s="11" t="s">
        <v>1415</v>
      </c>
      <c r="X3667" s="11">
        <v>1</v>
      </c>
      <c r="Y3667" s="11" t="s">
        <v>12359</v>
      </c>
      <c r="Z3667" s="11">
        <v>20</v>
      </c>
      <c r="AA3667" s="11">
        <v>0</v>
      </c>
      <c r="AB3667" s="12">
        <v>0</v>
      </c>
    </row>
    <row r="3668" spans="1:28" x14ac:dyDescent="0.2">
      <c r="A3668" s="7">
        <v>124259</v>
      </c>
      <c r="B3668" s="8" t="s">
        <v>22921</v>
      </c>
      <c r="C3668" s="8" t="s">
        <v>22922</v>
      </c>
      <c r="D3668" s="8" t="s">
        <v>2786</v>
      </c>
      <c r="E3668" s="8"/>
      <c r="F3668" s="8" t="s">
        <v>353</v>
      </c>
      <c r="G3668" s="8" t="s">
        <v>22923</v>
      </c>
      <c r="H3668" s="8" t="s">
        <v>142</v>
      </c>
      <c r="I3668" s="8" t="s">
        <v>22924</v>
      </c>
      <c r="J3668" s="8" t="s">
        <v>22925</v>
      </c>
      <c r="K3668" s="8" t="s">
        <v>1199</v>
      </c>
      <c r="L3668" s="8" t="s">
        <v>464</v>
      </c>
      <c r="M3668" s="8" t="s">
        <v>22926</v>
      </c>
      <c r="N3668" s="8" t="s">
        <v>128</v>
      </c>
      <c r="O3668" s="8" t="s">
        <v>22927</v>
      </c>
      <c r="P3668" s="8" t="s">
        <v>22928</v>
      </c>
      <c r="Q3668" s="8" t="s">
        <v>150</v>
      </c>
      <c r="R3668" s="8"/>
      <c r="S3668" s="8" t="s">
        <v>71</v>
      </c>
      <c r="T3668" s="8" t="s">
        <v>1415</v>
      </c>
      <c r="U3668" s="8" t="s">
        <v>150</v>
      </c>
      <c r="V3668" s="8" t="s">
        <v>1415</v>
      </c>
      <c r="W3668" s="8" t="s">
        <v>1415</v>
      </c>
      <c r="X3668" s="8">
        <v>1</v>
      </c>
      <c r="Y3668" s="8" t="s">
        <v>12359</v>
      </c>
      <c r="Z3668" s="8">
        <v>20</v>
      </c>
      <c r="AA3668" s="8">
        <v>0</v>
      </c>
      <c r="AB3668" s="9">
        <v>0</v>
      </c>
    </row>
    <row r="3669" spans="1:28" x14ac:dyDescent="0.2">
      <c r="A3669" s="10">
        <v>49713</v>
      </c>
      <c r="B3669" s="11" t="s">
        <v>22929</v>
      </c>
      <c r="C3669" s="11" t="s">
        <v>22930</v>
      </c>
      <c r="D3669" s="11" t="s">
        <v>2024</v>
      </c>
      <c r="E3669" s="11"/>
      <c r="F3669" s="11" t="s">
        <v>22931</v>
      </c>
      <c r="G3669" s="11" t="s">
        <v>4137</v>
      </c>
      <c r="H3669" s="11" t="s">
        <v>142</v>
      </c>
      <c r="I3669" s="11" t="s">
        <v>22932</v>
      </c>
      <c r="J3669" s="11" t="s">
        <v>22933</v>
      </c>
      <c r="K3669" s="11" t="s">
        <v>1199</v>
      </c>
      <c r="L3669" s="11" t="s">
        <v>464</v>
      </c>
      <c r="M3669" s="11" t="s">
        <v>22934</v>
      </c>
      <c r="N3669" s="11" t="s">
        <v>128</v>
      </c>
      <c r="O3669" s="11" t="s">
        <v>22935</v>
      </c>
      <c r="P3669" s="11" t="s">
        <v>22936</v>
      </c>
      <c r="Q3669" s="11" t="s">
        <v>150</v>
      </c>
      <c r="R3669" s="11"/>
      <c r="S3669" s="11" t="s">
        <v>71</v>
      </c>
      <c r="T3669" s="11" t="s">
        <v>1415</v>
      </c>
      <c r="U3669" s="11" t="s">
        <v>150</v>
      </c>
      <c r="V3669" s="11" t="s">
        <v>1415</v>
      </c>
      <c r="W3669" s="11" t="s">
        <v>1415</v>
      </c>
      <c r="X3669" s="11">
        <v>1</v>
      </c>
      <c r="Y3669" s="11" t="s">
        <v>12359</v>
      </c>
      <c r="Z3669" s="11">
        <v>20</v>
      </c>
      <c r="AA3669" s="11">
        <v>0</v>
      </c>
      <c r="AB3669" s="12">
        <v>0</v>
      </c>
    </row>
    <row r="3670" spans="1:28" x14ac:dyDescent="0.2">
      <c r="A3670" s="7">
        <v>116912</v>
      </c>
      <c r="B3670" s="8" t="s">
        <v>22937</v>
      </c>
      <c r="C3670" s="8" t="s">
        <v>22938</v>
      </c>
      <c r="D3670" s="8" t="s">
        <v>5938</v>
      </c>
      <c r="E3670" s="8"/>
      <c r="F3670" s="8" t="s">
        <v>22939</v>
      </c>
      <c r="G3670" s="8" t="s">
        <v>12346</v>
      </c>
      <c r="H3670" s="8" t="s">
        <v>142</v>
      </c>
      <c r="I3670" s="8" t="s">
        <v>22940</v>
      </c>
      <c r="J3670" s="8" t="s">
        <v>22941</v>
      </c>
      <c r="K3670" s="8" t="s">
        <v>1199</v>
      </c>
      <c r="L3670" s="8" t="s">
        <v>464</v>
      </c>
      <c r="M3670" s="8" t="s">
        <v>22942</v>
      </c>
      <c r="N3670" s="8" t="s">
        <v>128</v>
      </c>
      <c r="O3670" s="8" t="s">
        <v>22943</v>
      </c>
      <c r="P3670" s="8" t="s">
        <v>22944</v>
      </c>
      <c r="Q3670" s="8" t="s">
        <v>150</v>
      </c>
      <c r="R3670" s="8"/>
      <c r="S3670" s="8" t="s">
        <v>71</v>
      </c>
      <c r="T3670" s="8" t="s">
        <v>1415</v>
      </c>
      <c r="U3670" s="8" t="s">
        <v>150</v>
      </c>
      <c r="V3670" s="8" t="s">
        <v>1415</v>
      </c>
      <c r="W3670" s="8" t="s">
        <v>1415</v>
      </c>
      <c r="X3670" s="8">
        <v>1</v>
      </c>
      <c r="Y3670" s="8" t="s">
        <v>12359</v>
      </c>
      <c r="Z3670" s="8">
        <v>20</v>
      </c>
      <c r="AA3670" s="8">
        <v>0</v>
      </c>
      <c r="AB3670" s="9">
        <v>0</v>
      </c>
    </row>
    <row r="3671" spans="1:28" x14ac:dyDescent="0.2">
      <c r="A3671" s="10">
        <v>119505</v>
      </c>
      <c r="B3671" s="11" t="s">
        <v>22945</v>
      </c>
      <c r="C3671" s="11" t="s">
        <v>22946</v>
      </c>
      <c r="D3671" s="11" t="s">
        <v>16748</v>
      </c>
      <c r="E3671" s="11"/>
      <c r="F3671" s="11" t="s">
        <v>22947</v>
      </c>
      <c r="G3671" s="11" t="s">
        <v>2117</v>
      </c>
      <c r="H3671" s="11" t="s">
        <v>142</v>
      </c>
      <c r="I3671" s="11" t="s">
        <v>22948</v>
      </c>
      <c r="J3671" s="11" t="s">
        <v>22949</v>
      </c>
      <c r="K3671" s="11" t="s">
        <v>1673</v>
      </c>
      <c r="L3671" s="11" t="s">
        <v>464</v>
      </c>
      <c r="M3671" s="11" t="s">
        <v>22950</v>
      </c>
      <c r="N3671" s="11" t="s">
        <v>128</v>
      </c>
      <c r="O3671" s="11" t="s">
        <v>22951</v>
      </c>
      <c r="P3671" s="11" t="s">
        <v>22952</v>
      </c>
      <c r="Q3671" s="11" t="s">
        <v>150</v>
      </c>
      <c r="R3671" s="11"/>
      <c r="S3671" s="11" t="s">
        <v>71</v>
      </c>
      <c r="T3671" s="11" t="s">
        <v>1415</v>
      </c>
      <c r="U3671" s="11" t="s">
        <v>150</v>
      </c>
      <c r="V3671" s="11" t="s">
        <v>1415</v>
      </c>
      <c r="W3671" s="11" t="s">
        <v>1415</v>
      </c>
      <c r="X3671" s="11">
        <v>1</v>
      </c>
      <c r="Y3671" s="11" t="s">
        <v>12359</v>
      </c>
      <c r="Z3671" s="11">
        <v>20</v>
      </c>
      <c r="AA3671" s="11">
        <v>0</v>
      </c>
      <c r="AB3671" s="12">
        <v>0</v>
      </c>
    </row>
    <row r="3672" spans="1:28" x14ac:dyDescent="0.2">
      <c r="A3672" s="7">
        <v>124257</v>
      </c>
      <c r="B3672" s="8" t="s">
        <v>22953</v>
      </c>
      <c r="C3672" s="8" t="s">
        <v>22954</v>
      </c>
      <c r="D3672" s="8" t="s">
        <v>10495</v>
      </c>
      <c r="E3672" s="8"/>
      <c r="F3672" s="8" t="s">
        <v>22955</v>
      </c>
      <c r="G3672" s="8" t="s">
        <v>22956</v>
      </c>
      <c r="H3672" s="8" t="s">
        <v>142</v>
      </c>
      <c r="I3672" s="8" t="s">
        <v>22957</v>
      </c>
      <c r="J3672" s="8" t="s">
        <v>22958</v>
      </c>
      <c r="K3672" s="8" t="s">
        <v>1199</v>
      </c>
      <c r="L3672" s="8" t="s">
        <v>464</v>
      </c>
      <c r="M3672" s="8" t="s">
        <v>22959</v>
      </c>
      <c r="N3672" s="8" t="s">
        <v>128</v>
      </c>
      <c r="O3672" s="8" t="s">
        <v>22960</v>
      </c>
      <c r="P3672" s="8" t="s">
        <v>22961</v>
      </c>
      <c r="Q3672" s="8" t="s">
        <v>150</v>
      </c>
      <c r="R3672" s="8"/>
      <c r="S3672" s="8" t="s">
        <v>71</v>
      </c>
      <c r="T3672" s="8" t="s">
        <v>1415</v>
      </c>
      <c r="U3672" s="8" t="s">
        <v>150</v>
      </c>
      <c r="V3672" s="8" t="s">
        <v>1415</v>
      </c>
      <c r="W3672" s="8" t="s">
        <v>1415</v>
      </c>
      <c r="X3672" s="8">
        <v>1</v>
      </c>
      <c r="Y3672" s="8" t="s">
        <v>12359</v>
      </c>
      <c r="Z3672" s="8">
        <v>20</v>
      </c>
      <c r="AA3672" s="8">
        <v>0</v>
      </c>
      <c r="AB3672" s="9">
        <v>0</v>
      </c>
    </row>
    <row r="3673" spans="1:28" x14ac:dyDescent="0.2">
      <c r="A3673" s="10">
        <v>124271</v>
      </c>
      <c r="B3673" s="11" t="s">
        <v>22962</v>
      </c>
      <c r="C3673" s="11" t="s">
        <v>14366</v>
      </c>
      <c r="D3673" s="11" t="s">
        <v>22026</v>
      </c>
      <c r="E3673" s="11"/>
      <c r="F3673" s="11" t="s">
        <v>22963</v>
      </c>
      <c r="G3673" s="11" t="s">
        <v>8614</v>
      </c>
      <c r="H3673" s="11" t="s">
        <v>142</v>
      </c>
      <c r="I3673" s="11" t="s">
        <v>22964</v>
      </c>
      <c r="J3673" s="11" t="s">
        <v>22965</v>
      </c>
      <c r="K3673" s="11" t="s">
        <v>1199</v>
      </c>
      <c r="L3673" s="11" t="s">
        <v>464</v>
      </c>
      <c r="M3673" s="11" t="s">
        <v>22966</v>
      </c>
      <c r="N3673" s="11" t="s">
        <v>128</v>
      </c>
      <c r="O3673" s="11" t="s">
        <v>22967</v>
      </c>
      <c r="P3673" s="11" t="s">
        <v>22968</v>
      </c>
      <c r="Q3673" s="11" t="s">
        <v>150</v>
      </c>
      <c r="R3673" s="11"/>
      <c r="S3673" s="11" t="s">
        <v>71</v>
      </c>
      <c r="T3673" s="11" t="s">
        <v>1415</v>
      </c>
      <c r="U3673" s="11" t="s">
        <v>150</v>
      </c>
      <c r="V3673" s="11" t="s">
        <v>1415</v>
      </c>
      <c r="W3673" s="11" t="s">
        <v>1415</v>
      </c>
      <c r="X3673" s="11">
        <v>1</v>
      </c>
      <c r="Y3673" s="11" t="s">
        <v>12359</v>
      </c>
      <c r="Z3673" s="11">
        <v>20</v>
      </c>
      <c r="AA3673" s="11">
        <v>0</v>
      </c>
      <c r="AB3673" s="12">
        <v>0</v>
      </c>
    </row>
    <row r="3674" spans="1:28" x14ac:dyDescent="0.2">
      <c r="A3674" s="7">
        <v>23474</v>
      </c>
      <c r="B3674" s="8" t="s">
        <v>22969</v>
      </c>
      <c r="C3674" s="8" t="s">
        <v>22970</v>
      </c>
      <c r="D3674" s="8" t="s">
        <v>1747</v>
      </c>
      <c r="E3674" s="8"/>
      <c r="F3674" s="8"/>
      <c r="G3674" s="8" t="s">
        <v>12128</v>
      </c>
      <c r="H3674" s="8" t="s">
        <v>142</v>
      </c>
      <c r="I3674" s="8" t="s">
        <v>12129</v>
      </c>
      <c r="J3674" s="8" t="s">
        <v>22971</v>
      </c>
      <c r="K3674" s="8" t="s">
        <v>1029</v>
      </c>
      <c r="L3674" s="8" t="s">
        <v>464</v>
      </c>
      <c r="M3674" s="8" t="s">
        <v>22972</v>
      </c>
      <c r="N3674" s="8" t="s">
        <v>128</v>
      </c>
      <c r="O3674" s="8"/>
      <c r="P3674" s="8"/>
      <c r="Q3674" s="8" t="s">
        <v>150</v>
      </c>
      <c r="R3674" s="8"/>
      <c r="S3674" s="8" t="s">
        <v>71</v>
      </c>
      <c r="T3674" s="8" t="s">
        <v>1415</v>
      </c>
      <c r="U3674" s="8" t="s">
        <v>150</v>
      </c>
      <c r="V3674" s="8" t="s">
        <v>1415</v>
      </c>
      <c r="W3674" s="8" t="s">
        <v>1415</v>
      </c>
      <c r="X3674" s="8">
        <v>1</v>
      </c>
      <c r="Y3674" s="8" t="s">
        <v>12359</v>
      </c>
      <c r="Z3674" s="8">
        <v>20</v>
      </c>
      <c r="AA3674" s="8">
        <v>0</v>
      </c>
      <c r="AB3674" s="9">
        <v>0</v>
      </c>
    </row>
    <row r="3675" spans="1:28" x14ac:dyDescent="0.2">
      <c r="A3675" s="10">
        <v>129124</v>
      </c>
      <c r="B3675" s="11" t="s">
        <v>22973</v>
      </c>
      <c r="C3675" s="11" t="s">
        <v>2481</v>
      </c>
      <c r="D3675" s="11" t="s">
        <v>7852</v>
      </c>
      <c r="E3675" s="11"/>
      <c r="F3675" s="11" t="s">
        <v>353</v>
      </c>
      <c r="G3675" s="11" t="s">
        <v>22856</v>
      </c>
      <c r="H3675" s="11" t="s">
        <v>142</v>
      </c>
      <c r="I3675" s="11" t="s">
        <v>22974</v>
      </c>
      <c r="J3675" s="11" t="s">
        <v>22975</v>
      </c>
      <c r="K3675" s="11" t="s">
        <v>779</v>
      </c>
      <c r="L3675" s="11" t="s">
        <v>464</v>
      </c>
      <c r="M3675" s="11" t="s">
        <v>22976</v>
      </c>
      <c r="N3675" s="11" t="s">
        <v>128</v>
      </c>
      <c r="O3675" s="11" t="s">
        <v>22977</v>
      </c>
      <c r="P3675" s="11" t="s">
        <v>22978</v>
      </c>
      <c r="Q3675" s="11" t="s">
        <v>150</v>
      </c>
      <c r="R3675" s="11"/>
      <c r="S3675" s="11" t="s">
        <v>71</v>
      </c>
      <c r="T3675" s="11" t="s">
        <v>168</v>
      </c>
      <c r="U3675" s="11" t="s">
        <v>150</v>
      </c>
      <c r="V3675" s="11" t="s">
        <v>168</v>
      </c>
      <c r="W3675" s="11" t="s">
        <v>168</v>
      </c>
      <c r="X3675" s="11">
        <v>1</v>
      </c>
      <c r="Y3675" s="11" t="s">
        <v>12359</v>
      </c>
      <c r="Z3675" s="11">
        <v>20</v>
      </c>
      <c r="AA3675" s="11">
        <v>0</v>
      </c>
      <c r="AB3675" s="12">
        <v>0</v>
      </c>
    </row>
    <row r="3676" spans="1:28" x14ac:dyDescent="0.2">
      <c r="A3676" s="7">
        <v>23618</v>
      </c>
      <c r="B3676" s="8" t="s">
        <v>22979</v>
      </c>
      <c r="C3676" s="8" t="s">
        <v>22980</v>
      </c>
      <c r="D3676" s="8" t="s">
        <v>22981</v>
      </c>
      <c r="E3676" s="8"/>
      <c r="F3676" s="8" t="s">
        <v>353</v>
      </c>
      <c r="G3676" s="8" t="s">
        <v>19550</v>
      </c>
      <c r="H3676" s="8" t="s">
        <v>122</v>
      </c>
      <c r="I3676" s="8" t="s">
        <v>8845</v>
      </c>
      <c r="J3676" s="8" t="s">
        <v>22982</v>
      </c>
      <c r="K3676" s="8" t="s">
        <v>125</v>
      </c>
      <c r="L3676" s="8" t="s">
        <v>126</v>
      </c>
      <c r="M3676" s="8" t="s">
        <v>22983</v>
      </c>
      <c r="N3676" s="8" t="s">
        <v>128</v>
      </c>
      <c r="O3676" s="8" t="s">
        <v>22984</v>
      </c>
      <c r="P3676" s="8" t="s">
        <v>3109</v>
      </c>
      <c r="Q3676" s="8" t="s">
        <v>150</v>
      </c>
      <c r="R3676" s="8"/>
      <c r="S3676" s="8" t="s">
        <v>71</v>
      </c>
      <c r="T3676" s="8" t="s">
        <v>168</v>
      </c>
      <c r="U3676" s="8" t="s">
        <v>150</v>
      </c>
      <c r="V3676" s="8" t="s">
        <v>168</v>
      </c>
      <c r="W3676" s="8" t="s">
        <v>168</v>
      </c>
      <c r="X3676" s="8">
        <v>1</v>
      </c>
      <c r="Y3676" s="8" t="s">
        <v>12359</v>
      </c>
      <c r="Z3676" s="8">
        <v>20</v>
      </c>
      <c r="AA3676" s="8">
        <v>0</v>
      </c>
      <c r="AB3676" s="9">
        <v>0</v>
      </c>
    </row>
    <row r="3677" spans="1:28" x14ac:dyDescent="0.2">
      <c r="A3677" s="10">
        <v>23628</v>
      </c>
      <c r="B3677" s="11" t="s">
        <v>22985</v>
      </c>
      <c r="C3677" s="11" t="s">
        <v>22986</v>
      </c>
      <c r="D3677" s="11" t="s">
        <v>22987</v>
      </c>
      <c r="E3677" s="11"/>
      <c r="F3677" s="11" t="s">
        <v>353</v>
      </c>
      <c r="G3677" s="11" t="s">
        <v>11237</v>
      </c>
      <c r="H3677" s="11" t="s">
        <v>142</v>
      </c>
      <c r="I3677" s="11" t="s">
        <v>11238</v>
      </c>
      <c r="J3677" s="11" t="s">
        <v>22988</v>
      </c>
      <c r="K3677" s="11" t="s">
        <v>1199</v>
      </c>
      <c r="L3677" s="11" t="s">
        <v>464</v>
      </c>
      <c r="M3677" s="11" t="s">
        <v>22989</v>
      </c>
      <c r="N3677" s="11" t="s">
        <v>128</v>
      </c>
      <c r="O3677" s="11" t="s">
        <v>22990</v>
      </c>
      <c r="P3677" s="11" t="s">
        <v>9151</v>
      </c>
      <c r="Q3677" s="11" t="s">
        <v>150</v>
      </c>
      <c r="R3677" s="11"/>
      <c r="S3677" s="11" t="s">
        <v>71</v>
      </c>
      <c r="T3677" s="11" t="s">
        <v>168</v>
      </c>
      <c r="U3677" s="11" t="s">
        <v>150</v>
      </c>
      <c r="V3677" s="11" t="s">
        <v>168</v>
      </c>
      <c r="W3677" s="11" t="s">
        <v>168</v>
      </c>
      <c r="X3677" s="11">
        <v>1</v>
      </c>
      <c r="Y3677" s="11" t="s">
        <v>12359</v>
      </c>
      <c r="Z3677" s="11">
        <v>20</v>
      </c>
      <c r="AA3677" s="11">
        <v>0</v>
      </c>
      <c r="AB3677" s="12">
        <v>0</v>
      </c>
    </row>
    <row r="3678" spans="1:28" x14ac:dyDescent="0.2">
      <c r="A3678" s="7">
        <v>23632</v>
      </c>
      <c r="B3678" s="8" t="s">
        <v>22991</v>
      </c>
      <c r="C3678" s="8" t="s">
        <v>20499</v>
      </c>
      <c r="D3678" s="8" t="s">
        <v>9043</v>
      </c>
      <c r="E3678" s="8"/>
      <c r="F3678" s="8" t="s">
        <v>353</v>
      </c>
      <c r="G3678" s="8" t="s">
        <v>1727</v>
      </c>
      <c r="H3678" s="8" t="s">
        <v>557</v>
      </c>
      <c r="I3678" s="8" t="s">
        <v>22992</v>
      </c>
      <c r="J3678" s="8" t="s">
        <v>22993</v>
      </c>
      <c r="K3678" s="8" t="s">
        <v>1562</v>
      </c>
      <c r="L3678" s="8" t="s">
        <v>229</v>
      </c>
      <c r="M3678" s="8" t="s">
        <v>22994</v>
      </c>
      <c r="N3678" s="8" t="s">
        <v>128</v>
      </c>
      <c r="O3678" s="8" t="s">
        <v>22995</v>
      </c>
      <c r="P3678" s="8" t="s">
        <v>10449</v>
      </c>
      <c r="Q3678" s="8" t="s">
        <v>150</v>
      </c>
      <c r="R3678" s="8"/>
      <c r="S3678" s="8" t="s">
        <v>71</v>
      </c>
      <c r="T3678" s="8" t="s">
        <v>168</v>
      </c>
      <c r="U3678" s="8" t="s">
        <v>150</v>
      </c>
      <c r="V3678" s="8" t="s">
        <v>168</v>
      </c>
      <c r="W3678" s="8" t="s">
        <v>168</v>
      </c>
      <c r="X3678" s="8">
        <v>1</v>
      </c>
      <c r="Y3678" s="8" t="s">
        <v>12359</v>
      </c>
      <c r="Z3678" s="8">
        <v>20</v>
      </c>
      <c r="AA3678" s="8">
        <v>0</v>
      </c>
      <c r="AB3678" s="9">
        <v>0</v>
      </c>
    </row>
    <row r="3679" spans="1:28" x14ac:dyDescent="0.2">
      <c r="A3679" s="10">
        <v>23819</v>
      </c>
      <c r="B3679" s="11" t="s">
        <v>22996</v>
      </c>
      <c r="C3679" s="11" t="s">
        <v>22997</v>
      </c>
      <c r="D3679" s="11" t="s">
        <v>10630</v>
      </c>
      <c r="E3679" s="11"/>
      <c r="F3679" s="11" t="s">
        <v>353</v>
      </c>
      <c r="G3679" s="11" t="s">
        <v>21535</v>
      </c>
      <c r="H3679" s="11" t="s">
        <v>142</v>
      </c>
      <c r="I3679" s="11" t="s">
        <v>22998</v>
      </c>
      <c r="J3679" s="11" t="s">
        <v>22999</v>
      </c>
      <c r="K3679" s="11" t="s">
        <v>1199</v>
      </c>
      <c r="L3679" s="11" t="s">
        <v>464</v>
      </c>
      <c r="M3679" s="11" t="s">
        <v>23000</v>
      </c>
      <c r="N3679" s="11" t="s">
        <v>128</v>
      </c>
      <c r="O3679" s="11" t="s">
        <v>23001</v>
      </c>
      <c r="P3679" s="11" t="s">
        <v>17901</v>
      </c>
      <c r="Q3679" s="11" t="s">
        <v>150</v>
      </c>
      <c r="R3679" s="11"/>
      <c r="S3679" s="11" t="s">
        <v>71</v>
      </c>
      <c r="T3679" s="11" t="s">
        <v>168</v>
      </c>
      <c r="U3679" s="11" t="s">
        <v>150</v>
      </c>
      <c r="V3679" s="11" t="s">
        <v>168</v>
      </c>
      <c r="W3679" s="11" t="s">
        <v>168</v>
      </c>
      <c r="X3679" s="11">
        <v>1</v>
      </c>
      <c r="Y3679" s="11" t="s">
        <v>12359</v>
      </c>
      <c r="Z3679" s="11">
        <v>20</v>
      </c>
      <c r="AA3679" s="11">
        <v>0</v>
      </c>
      <c r="AB3679" s="12">
        <v>0</v>
      </c>
    </row>
    <row r="3680" spans="1:28" x14ac:dyDescent="0.2">
      <c r="A3680" s="7">
        <v>23839</v>
      </c>
      <c r="B3680" s="8" t="s">
        <v>23002</v>
      </c>
      <c r="C3680" s="8" t="s">
        <v>23003</v>
      </c>
      <c r="D3680" s="8" t="s">
        <v>2411</v>
      </c>
      <c r="E3680" s="8"/>
      <c r="F3680" s="8" t="s">
        <v>353</v>
      </c>
      <c r="G3680" s="8" t="s">
        <v>23004</v>
      </c>
      <c r="H3680" s="8" t="s">
        <v>122</v>
      </c>
      <c r="I3680" s="8" t="s">
        <v>23005</v>
      </c>
      <c r="J3680" s="8" t="s">
        <v>23006</v>
      </c>
      <c r="K3680" s="8" t="s">
        <v>1051</v>
      </c>
      <c r="L3680" s="8" t="s">
        <v>126</v>
      </c>
      <c r="M3680" s="8" t="s">
        <v>23007</v>
      </c>
      <c r="N3680" s="8" t="s">
        <v>128</v>
      </c>
      <c r="O3680" s="8" t="s">
        <v>23008</v>
      </c>
      <c r="P3680" s="8" t="s">
        <v>18259</v>
      </c>
      <c r="Q3680" s="8" t="s">
        <v>150</v>
      </c>
      <c r="R3680" s="8"/>
      <c r="S3680" s="8" t="s">
        <v>71</v>
      </c>
      <c r="T3680" s="8" t="s">
        <v>168</v>
      </c>
      <c r="U3680" s="8" t="s">
        <v>150</v>
      </c>
      <c r="V3680" s="8" t="s">
        <v>168</v>
      </c>
      <c r="W3680" s="8" t="s">
        <v>168</v>
      </c>
      <c r="X3680" s="8">
        <v>1</v>
      </c>
      <c r="Y3680" s="8" t="s">
        <v>12359</v>
      </c>
      <c r="Z3680" s="8">
        <v>20</v>
      </c>
      <c r="AA3680" s="8">
        <v>0</v>
      </c>
      <c r="AB3680" s="9">
        <v>0</v>
      </c>
    </row>
    <row r="3681" spans="1:28" x14ac:dyDescent="0.2">
      <c r="A3681" s="10">
        <v>23849</v>
      </c>
      <c r="B3681" s="11" t="s">
        <v>23009</v>
      </c>
      <c r="C3681" s="11" t="s">
        <v>22356</v>
      </c>
      <c r="D3681" s="11" t="s">
        <v>3387</v>
      </c>
      <c r="E3681" s="11"/>
      <c r="F3681" s="11" t="s">
        <v>353</v>
      </c>
      <c r="G3681" s="11" t="s">
        <v>22357</v>
      </c>
      <c r="H3681" s="11" t="s">
        <v>142</v>
      </c>
      <c r="I3681" s="11" t="s">
        <v>22358</v>
      </c>
      <c r="J3681" s="11" t="s">
        <v>23010</v>
      </c>
      <c r="K3681" s="11" t="s">
        <v>1199</v>
      </c>
      <c r="L3681" s="11" t="s">
        <v>464</v>
      </c>
      <c r="M3681" s="11" t="s">
        <v>23011</v>
      </c>
      <c r="N3681" s="11" t="s">
        <v>128</v>
      </c>
      <c r="O3681" s="11" t="s">
        <v>23012</v>
      </c>
      <c r="P3681" s="11" t="s">
        <v>11932</v>
      </c>
      <c r="Q3681" s="11" t="s">
        <v>150</v>
      </c>
      <c r="R3681" s="11"/>
      <c r="S3681" s="11" t="s">
        <v>71</v>
      </c>
      <c r="T3681" s="11" t="s">
        <v>168</v>
      </c>
      <c r="U3681" s="11" t="s">
        <v>150</v>
      </c>
      <c r="V3681" s="11" t="s">
        <v>168</v>
      </c>
      <c r="W3681" s="11" t="s">
        <v>168</v>
      </c>
      <c r="X3681" s="11">
        <v>1</v>
      </c>
      <c r="Y3681" s="11" t="s">
        <v>12359</v>
      </c>
      <c r="Z3681" s="11">
        <v>20</v>
      </c>
      <c r="AA3681" s="11">
        <v>0</v>
      </c>
      <c r="AB3681" s="12">
        <v>0</v>
      </c>
    </row>
    <row r="3682" spans="1:28" x14ac:dyDescent="0.2">
      <c r="A3682" s="7">
        <v>23953</v>
      </c>
      <c r="B3682" s="8" t="s">
        <v>23013</v>
      </c>
      <c r="C3682" s="8" t="s">
        <v>23014</v>
      </c>
      <c r="D3682" s="8" t="s">
        <v>18621</v>
      </c>
      <c r="E3682" s="8"/>
      <c r="F3682" s="8" t="s">
        <v>353</v>
      </c>
      <c r="G3682" s="8" t="s">
        <v>23015</v>
      </c>
      <c r="H3682" s="8" t="s">
        <v>557</v>
      </c>
      <c r="I3682" s="8" t="s">
        <v>23016</v>
      </c>
      <c r="J3682" s="8" t="s">
        <v>23017</v>
      </c>
      <c r="K3682" s="8" t="s">
        <v>560</v>
      </c>
      <c r="L3682" s="8" t="s">
        <v>229</v>
      </c>
      <c r="M3682" s="8" t="s">
        <v>23018</v>
      </c>
      <c r="N3682" s="8" t="s">
        <v>128</v>
      </c>
      <c r="O3682" s="8" t="s">
        <v>23019</v>
      </c>
      <c r="P3682" s="8" t="s">
        <v>3763</v>
      </c>
      <c r="Q3682" s="8" t="s">
        <v>150</v>
      </c>
      <c r="R3682" s="8"/>
      <c r="S3682" s="8" t="s">
        <v>71</v>
      </c>
      <c r="T3682" s="8" t="s">
        <v>168</v>
      </c>
      <c r="U3682" s="8" t="s">
        <v>150</v>
      </c>
      <c r="V3682" s="8" t="s">
        <v>168</v>
      </c>
      <c r="W3682" s="8" t="s">
        <v>168</v>
      </c>
      <c r="X3682" s="8">
        <v>1</v>
      </c>
      <c r="Y3682" s="8" t="s">
        <v>12359</v>
      </c>
      <c r="Z3682" s="8">
        <v>20</v>
      </c>
      <c r="AA3682" s="8">
        <v>0</v>
      </c>
      <c r="AB3682" s="9">
        <v>0</v>
      </c>
    </row>
    <row r="3683" spans="1:28" x14ac:dyDescent="0.2">
      <c r="A3683" s="10">
        <v>28900</v>
      </c>
      <c r="B3683" s="11" t="s">
        <v>23020</v>
      </c>
      <c r="C3683" s="11" t="s">
        <v>15429</v>
      </c>
      <c r="D3683" s="11" t="s">
        <v>12664</v>
      </c>
      <c r="E3683" s="11"/>
      <c r="F3683" s="11" t="s">
        <v>353</v>
      </c>
      <c r="G3683" s="11" t="s">
        <v>615</v>
      </c>
      <c r="H3683" s="11" t="s">
        <v>616</v>
      </c>
      <c r="I3683" s="11" t="s">
        <v>11487</v>
      </c>
      <c r="J3683" s="11" t="s">
        <v>23021</v>
      </c>
      <c r="K3683" s="11" t="s">
        <v>619</v>
      </c>
      <c r="L3683" s="11" t="s">
        <v>163</v>
      </c>
      <c r="M3683" s="11" t="s">
        <v>23022</v>
      </c>
      <c r="N3683" s="11" t="s">
        <v>128</v>
      </c>
      <c r="O3683" s="11" t="s">
        <v>23023</v>
      </c>
      <c r="P3683" s="11" t="s">
        <v>23024</v>
      </c>
      <c r="Q3683" s="11" t="s">
        <v>150</v>
      </c>
      <c r="R3683" s="11"/>
      <c r="S3683" s="11" t="s">
        <v>71</v>
      </c>
      <c r="T3683" s="11" t="s">
        <v>168</v>
      </c>
      <c r="U3683" s="11" t="s">
        <v>150</v>
      </c>
      <c r="V3683" s="11" t="s">
        <v>168</v>
      </c>
      <c r="W3683" s="11" t="s">
        <v>168</v>
      </c>
      <c r="X3683" s="11">
        <v>1</v>
      </c>
      <c r="Y3683" s="11" t="s">
        <v>12359</v>
      </c>
      <c r="Z3683" s="11">
        <v>20</v>
      </c>
      <c r="AA3683" s="11">
        <v>0</v>
      </c>
      <c r="AB3683" s="12">
        <v>0</v>
      </c>
    </row>
    <row r="3684" spans="1:28" x14ac:dyDescent="0.2">
      <c r="A3684" s="7">
        <v>86809</v>
      </c>
      <c r="B3684" s="8" t="s">
        <v>23025</v>
      </c>
      <c r="C3684" s="8" t="s">
        <v>8130</v>
      </c>
      <c r="D3684" s="8" t="s">
        <v>23026</v>
      </c>
      <c r="E3684" s="8"/>
      <c r="F3684" s="8" t="s">
        <v>353</v>
      </c>
      <c r="G3684" s="8" t="s">
        <v>22376</v>
      </c>
      <c r="H3684" s="8" t="s">
        <v>142</v>
      </c>
      <c r="I3684" s="8" t="s">
        <v>22377</v>
      </c>
      <c r="J3684" s="8" t="s">
        <v>23027</v>
      </c>
      <c r="K3684" s="8" t="s">
        <v>1673</v>
      </c>
      <c r="L3684" s="8" t="s">
        <v>464</v>
      </c>
      <c r="M3684" s="8" t="s">
        <v>23028</v>
      </c>
      <c r="N3684" s="8" t="s">
        <v>128</v>
      </c>
      <c r="O3684" s="8" t="s">
        <v>23029</v>
      </c>
      <c r="P3684" s="8" t="s">
        <v>1316</v>
      </c>
      <c r="Q3684" s="8" t="s">
        <v>150</v>
      </c>
      <c r="R3684" s="8"/>
      <c r="S3684" s="8" t="s">
        <v>71</v>
      </c>
      <c r="T3684" s="8" t="s">
        <v>168</v>
      </c>
      <c r="U3684" s="8" t="s">
        <v>150</v>
      </c>
      <c r="V3684" s="8" t="s">
        <v>168</v>
      </c>
      <c r="W3684" s="8" t="s">
        <v>168</v>
      </c>
      <c r="X3684" s="8">
        <v>1</v>
      </c>
      <c r="Y3684" s="8" t="s">
        <v>12359</v>
      </c>
      <c r="Z3684" s="8">
        <v>20</v>
      </c>
      <c r="AA3684" s="8">
        <v>0</v>
      </c>
      <c r="AB3684" s="9">
        <v>0</v>
      </c>
    </row>
    <row r="3685" spans="1:28" x14ac:dyDescent="0.2">
      <c r="A3685" s="10">
        <v>92859</v>
      </c>
      <c r="B3685" s="11" t="s">
        <v>23030</v>
      </c>
      <c r="C3685" s="11" t="s">
        <v>19962</v>
      </c>
      <c r="D3685" s="11" t="s">
        <v>20288</v>
      </c>
      <c r="E3685" s="11"/>
      <c r="F3685" s="11" t="s">
        <v>353</v>
      </c>
      <c r="G3685" s="11" t="s">
        <v>19964</v>
      </c>
      <c r="H3685" s="11" t="s">
        <v>616</v>
      </c>
      <c r="I3685" s="11" t="s">
        <v>19965</v>
      </c>
      <c r="J3685" s="11" t="s">
        <v>23031</v>
      </c>
      <c r="K3685" s="11" t="s">
        <v>619</v>
      </c>
      <c r="L3685" s="11" t="s">
        <v>163</v>
      </c>
      <c r="M3685" s="11" t="s">
        <v>23032</v>
      </c>
      <c r="N3685" s="11" t="s">
        <v>128</v>
      </c>
      <c r="O3685" s="11" t="s">
        <v>23033</v>
      </c>
      <c r="P3685" s="11" t="s">
        <v>1577</v>
      </c>
      <c r="Q3685" s="11" t="s">
        <v>150</v>
      </c>
      <c r="R3685" s="11"/>
      <c r="S3685" s="11" t="s">
        <v>71</v>
      </c>
      <c r="T3685" s="11" t="s">
        <v>168</v>
      </c>
      <c r="U3685" s="11" t="s">
        <v>150</v>
      </c>
      <c r="V3685" s="11" t="s">
        <v>168</v>
      </c>
      <c r="W3685" s="11" t="s">
        <v>168</v>
      </c>
      <c r="X3685" s="11">
        <v>1</v>
      </c>
      <c r="Y3685" s="11" t="s">
        <v>12359</v>
      </c>
      <c r="Z3685" s="11">
        <v>20</v>
      </c>
      <c r="AA3685" s="11">
        <v>0</v>
      </c>
      <c r="AB3685" s="12">
        <v>0</v>
      </c>
    </row>
    <row r="3686" spans="1:28" x14ac:dyDescent="0.2">
      <c r="A3686" s="7">
        <v>105907</v>
      </c>
      <c r="B3686" s="8" t="s">
        <v>23034</v>
      </c>
      <c r="C3686" s="8" t="s">
        <v>22390</v>
      </c>
      <c r="D3686" s="8" t="s">
        <v>5751</v>
      </c>
      <c r="E3686" s="8"/>
      <c r="F3686" s="8" t="s">
        <v>353</v>
      </c>
      <c r="G3686" s="8" t="s">
        <v>22391</v>
      </c>
      <c r="H3686" s="8" t="s">
        <v>142</v>
      </c>
      <c r="I3686" s="8" t="s">
        <v>22392</v>
      </c>
      <c r="J3686" s="8" t="s">
        <v>23035</v>
      </c>
      <c r="K3686" s="8" t="s">
        <v>1199</v>
      </c>
      <c r="L3686" s="8" t="s">
        <v>464</v>
      </c>
      <c r="M3686" s="8" t="s">
        <v>23036</v>
      </c>
      <c r="N3686" s="8" t="s">
        <v>128</v>
      </c>
      <c r="O3686" s="8" t="s">
        <v>23037</v>
      </c>
      <c r="P3686" s="8" t="s">
        <v>3073</v>
      </c>
      <c r="Q3686" s="8" t="s">
        <v>150</v>
      </c>
      <c r="R3686" s="8"/>
      <c r="S3686" s="8" t="s">
        <v>71</v>
      </c>
      <c r="T3686" s="8" t="s">
        <v>168</v>
      </c>
      <c r="U3686" s="8" t="s">
        <v>150</v>
      </c>
      <c r="V3686" s="8" t="s">
        <v>168</v>
      </c>
      <c r="W3686" s="8" t="s">
        <v>168</v>
      </c>
      <c r="X3686" s="8">
        <v>1</v>
      </c>
      <c r="Y3686" s="8" t="s">
        <v>12359</v>
      </c>
      <c r="Z3686" s="8">
        <v>20</v>
      </c>
      <c r="AA3686" s="8">
        <v>0</v>
      </c>
      <c r="AB3686" s="9">
        <v>0</v>
      </c>
    </row>
    <row r="3687" spans="1:28" x14ac:dyDescent="0.2">
      <c r="A3687" s="10">
        <v>106048</v>
      </c>
      <c r="B3687" s="11" t="s">
        <v>23038</v>
      </c>
      <c r="C3687" s="11" t="s">
        <v>22398</v>
      </c>
      <c r="D3687" s="11" t="s">
        <v>23039</v>
      </c>
      <c r="E3687" s="11"/>
      <c r="F3687" s="11" t="s">
        <v>353</v>
      </c>
      <c r="G3687" s="11" t="s">
        <v>22399</v>
      </c>
      <c r="H3687" s="11" t="s">
        <v>142</v>
      </c>
      <c r="I3687" s="11" t="s">
        <v>22400</v>
      </c>
      <c r="J3687" s="11" t="s">
        <v>23040</v>
      </c>
      <c r="K3687" s="11" t="s">
        <v>1673</v>
      </c>
      <c r="L3687" s="11" t="s">
        <v>464</v>
      </c>
      <c r="M3687" s="11" t="s">
        <v>23041</v>
      </c>
      <c r="N3687" s="11" t="s">
        <v>128</v>
      </c>
      <c r="O3687" s="11" t="s">
        <v>23042</v>
      </c>
      <c r="P3687" s="11" t="s">
        <v>3784</v>
      </c>
      <c r="Q3687" s="11" t="s">
        <v>150</v>
      </c>
      <c r="R3687" s="11"/>
      <c r="S3687" s="11" t="s">
        <v>71</v>
      </c>
      <c r="T3687" s="11" t="s">
        <v>168</v>
      </c>
      <c r="U3687" s="11" t="s">
        <v>150</v>
      </c>
      <c r="V3687" s="11" t="s">
        <v>168</v>
      </c>
      <c r="W3687" s="11" t="s">
        <v>168</v>
      </c>
      <c r="X3687" s="11">
        <v>1</v>
      </c>
      <c r="Y3687" s="11" t="s">
        <v>12359</v>
      </c>
      <c r="Z3687" s="11">
        <v>20</v>
      </c>
      <c r="AA3687" s="11">
        <v>0</v>
      </c>
      <c r="AB3687" s="12">
        <v>0</v>
      </c>
    </row>
    <row r="3688" spans="1:28" x14ac:dyDescent="0.2">
      <c r="A3688" s="7">
        <v>117903</v>
      </c>
      <c r="B3688" s="8" t="s">
        <v>23043</v>
      </c>
      <c r="C3688" s="8" t="s">
        <v>21549</v>
      </c>
      <c r="D3688" s="8" t="s">
        <v>5166</v>
      </c>
      <c r="E3688" s="8"/>
      <c r="F3688" s="8" t="s">
        <v>353</v>
      </c>
      <c r="G3688" s="8" t="s">
        <v>21550</v>
      </c>
      <c r="H3688" s="8" t="s">
        <v>142</v>
      </c>
      <c r="I3688" s="8" t="s">
        <v>21551</v>
      </c>
      <c r="J3688" s="8" t="s">
        <v>23044</v>
      </c>
      <c r="K3688" s="8" t="s">
        <v>779</v>
      </c>
      <c r="L3688" s="8" t="s">
        <v>464</v>
      </c>
      <c r="M3688" s="8" t="s">
        <v>23045</v>
      </c>
      <c r="N3688" s="8" t="s">
        <v>128</v>
      </c>
      <c r="O3688" s="8" t="s">
        <v>23046</v>
      </c>
      <c r="P3688" s="8" t="s">
        <v>351</v>
      </c>
      <c r="Q3688" s="8" t="s">
        <v>150</v>
      </c>
      <c r="R3688" s="8"/>
      <c r="S3688" s="8" t="s">
        <v>71</v>
      </c>
      <c r="T3688" s="8" t="s">
        <v>168</v>
      </c>
      <c r="U3688" s="8" t="s">
        <v>150</v>
      </c>
      <c r="V3688" s="8" t="s">
        <v>168</v>
      </c>
      <c r="W3688" s="8" t="s">
        <v>168</v>
      </c>
      <c r="X3688" s="8">
        <v>1</v>
      </c>
      <c r="Y3688" s="8" t="s">
        <v>12359</v>
      </c>
      <c r="Z3688" s="8">
        <v>20</v>
      </c>
      <c r="AA3688" s="8">
        <v>0</v>
      </c>
      <c r="AB3688" s="9">
        <v>0</v>
      </c>
    </row>
    <row r="3689" spans="1:28" x14ac:dyDescent="0.2">
      <c r="A3689" s="10">
        <v>119662</v>
      </c>
      <c r="B3689" s="11" t="s">
        <v>23047</v>
      </c>
      <c r="C3689" s="11" t="s">
        <v>23048</v>
      </c>
      <c r="D3689" s="11" t="s">
        <v>6281</v>
      </c>
      <c r="E3689" s="11"/>
      <c r="F3689" s="11" t="s">
        <v>353</v>
      </c>
      <c r="G3689" s="11" t="s">
        <v>22899</v>
      </c>
      <c r="H3689" s="11" t="s">
        <v>142</v>
      </c>
      <c r="I3689" s="11" t="s">
        <v>23049</v>
      </c>
      <c r="J3689" s="11" t="s">
        <v>23050</v>
      </c>
      <c r="K3689" s="11" t="s">
        <v>1673</v>
      </c>
      <c r="L3689" s="11" t="s">
        <v>464</v>
      </c>
      <c r="M3689" s="11" t="s">
        <v>23051</v>
      </c>
      <c r="N3689" s="11" t="s">
        <v>128</v>
      </c>
      <c r="O3689" s="11" t="s">
        <v>23052</v>
      </c>
      <c r="P3689" s="11" t="s">
        <v>13646</v>
      </c>
      <c r="Q3689" s="11" t="s">
        <v>150</v>
      </c>
      <c r="R3689" s="11"/>
      <c r="S3689" s="11" t="s">
        <v>71</v>
      </c>
      <c r="T3689" s="11" t="s">
        <v>168</v>
      </c>
      <c r="U3689" s="11" t="s">
        <v>150</v>
      </c>
      <c r="V3689" s="11" t="s">
        <v>168</v>
      </c>
      <c r="W3689" s="11" t="s">
        <v>168</v>
      </c>
      <c r="X3689" s="11">
        <v>1</v>
      </c>
      <c r="Y3689" s="11" t="s">
        <v>12359</v>
      </c>
      <c r="Z3689" s="11">
        <v>20</v>
      </c>
      <c r="AA3689" s="11">
        <v>0</v>
      </c>
      <c r="AB3689" s="12">
        <v>0</v>
      </c>
    </row>
    <row r="3690" spans="1:28" x14ac:dyDescent="0.2">
      <c r="A3690" s="7">
        <v>240285</v>
      </c>
      <c r="B3690" s="8" t="s">
        <v>23053</v>
      </c>
      <c r="C3690" s="8" t="s">
        <v>22544</v>
      </c>
      <c r="D3690" s="8" t="s">
        <v>6467</v>
      </c>
      <c r="E3690" s="8"/>
      <c r="F3690" s="8" t="s">
        <v>353</v>
      </c>
      <c r="G3690" s="8" t="s">
        <v>21364</v>
      </c>
      <c r="H3690" s="8" t="s">
        <v>847</v>
      </c>
      <c r="I3690" s="8" t="s">
        <v>22546</v>
      </c>
      <c r="J3690" s="8" t="s">
        <v>23054</v>
      </c>
      <c r="K3690" s="8" t="s">
        <v>850</v>
      </c>
      <c r="L3690" s="8" t="s">
        <v>126</v>
      </c>
      <c r="M3690" s="8" t="s">
        <v>23055</v>
      </c>
      <c r="N3690" s="8" t="s">
        <v>128</v>
      </c>
      <c r="O3690" s="8" t="s">
        <v>23056</v>
      </c>
      <c r="P3690" s="8" t="s">
        <v>10207</v>
      </c>
      <c r="Q3690" s="8" t="s">
        <v>150</v>
      </c>
      <c r="R3690" s="8"/>
      <c r="S3690" s="8" t="s">
        <v>71</v>
      </c>
      <c r="T3690" s="8" t="s">
        <v>168</v>
      </c>
      <c r="U3690" s="8" t="s">
        <v>150</v>
      </c>
      <c r="V3690" s="8" t="s">
        <v>168</v>
      </c>
      <c r="W3690" s="8" t="s">
        <v>168</v>
      </c>
      <c r="X3690" s="8">
        <v>1</v>
      </c>
      <c r="Y3690" s="8" t="s">
        <v>12359</v>
      </c>
      <c r="Z3690" s="8">
        <v>20</v>
      </c>
      <c r="AA3690" s="8">
        <v>0</v>
      </c>
      <c r="AB3690" s="9">
        <v>0</v>
      </c>
    </row>
    <row r="3691" spans="1:28" x14ac:dyDescent="0.2">
      <c r="A3691" s="10">
        <v>28912</v>
      </c>
      <c r="B3691" s="11" t="s">
        <v>23057</v>
      </c>
      <c r="C3691" s="11" t="s">
        <v>2615</v>
      </c>
      <c r="D3691" s="11" t="s">
        <v>12808</v>
      </c>
      <c r="E3691" s="11"/>
      <c r="F3691" s="11" t="s">
        <v>353</v>
      </c>
      <c r="G3691" s="11" t="s">
        <v>22537</v>
      </c>
      <c r="H3691" s="11" t="s">
        <v>122</v>
      </c>
      <c r="I3691" s="11"/>
      <c r="J3691" s="11" t="s">
        <v>23058</v>
      </c>
      <c r="K3691" s="11" t="s">
        <v>1051</v>
      </c>
      <c r="L3691" s="11" t="s">
        <v>126</v>
      </c>
      <c r="M3691" s="11" t="s">
        <v>23059</v>
      </c>
      <c r="N3691" s="11" t="s">
        <v>128</v>
      </c>
      <c r="O3691" s="11" t="s">
        <v>23060</v>
      </c>
      <c r="P3691" s="11" t="s">
        <v>5441</v>
      </c>
      <c r="Q3691" s="11" t="s">
        <v>150</v>
      </c>
      <c r="R3691" s="11"/>
      <c r="S3691" s="11" t="s">
        <v>71</v>
      </c>
      <c r="T3691" s="11" t="s">
        <v>168</v>
      </c>
      <c r="U3691" s="11" t="s">
        <v>150</v>
      </c>
      <c r="V3691" s="11" t="s">
        <v>168</v>
      </c>
      <c r="W3691" s="11" t="s">
        <v>168</v>
      </c>
      <c r="X3691" s="11">
        <v>1</v>
      </c>
      <c r="Y3691" s="11" t="s">
        <v>12359</v>
      </c>
      <c r="Z3691" s="11">
        <v>20</v>
      </c>
      <c r="AA3691" s="11">
        <v>0</v>
      </c>
      <c r="AB3691" s="12">
        <v>0</v>
      </c>
    </row>
    <row r="3692" spans="1:28" x14ac:dyDescent="0.2">
      <c r="A3692" s="7">
        <v>28919</v>
      </c>
      <c r="B3692" s="8" t="s">
        <v>23061</v>
      </c>
      <c r="C3692" s="8" t="s">
        <v>23062</v>
      </c>
      <c r="D3692" s="8" t="s">
        <v>15800</v>
      </c>
      <c r="E3692" s="8"/>
      <c r="F3692" s="8" t="s">
        <v>353</v>
      </c>
      <c r="G3692" s="8" t="s">
        <v>23063</v>
      </c>
      <c r="H3692" s="8" t="s">
        <v>847</v>
      </c>
      <c r="I3692" s="8"/>
      <c r="J3692" s="8" t="s">
        <v>23064</v>
      </c>
      <c r="K3692" s="8" t="s">
        <v>1091</v>
      </c>
      <c r="L3692" s="8" t="s">
        <v>126</v>
      </c>
      <c r="M3692" s="8" t="s">
        <v>23065</v>
      </c>
      <c r="N3692" s="8" t="s">
        <v>128</v>
      </c>
      <c r="O3692" s="8" t="s">
        <v>23066</v>
      </c>
      <c r="P3692" s="8" t="s">
        <v>1792</v>
      </c>
      <c r="Q3692" s="8" t="s">
        <v>150</v>
      </c>
      <c r="R3692" s="8"/>
      <c r="S3692" s="8" t="s">
        <v>71</v>
      </c>
      <c r="T3692" s="8" t="s">
        <v>168</v>
      </c>
      <c r="U3692" s="8" t="s">
        <v>150</v>
      </c>
      <c r="V3692" s="8" t="s">
        <v>168</v>
      </c>
      <c r="W3692" s="8" t="s">
        <v>168</v>
      </c>
      <c r="X3692" s="8">
        <v>1</v>
      </c>
      <c r="Y3692" s="8" t="s">
        <v>12359</v>
      </c>
      <c r="Z3692" s="8">
        <v>20</v>
      </c>
      <c r="AA3692" s="8">
        <v>0</v>
      </c>
      <c r="AB3692" s="9">
        <v>0</v>
      </c>
    </row>
    <row r="3693" spans="1:28" x14ac:dyDescent="0.2">
      <c r="A3693" s="10">
        <v>93138</v>
      </c>
      <c r="B3693" s="11" t="s">
        <v>23067</v>
      </c>
      <c r="C3693" s="11" t="s">
        <v>23068</v>
      </c>
      <c r="D3693" s="11" t="s">
        <v>23069</v>
      </c>
      <c r="E3693" s="11"/>
      <c r="F3693" s="11" t="s">
        <v>353</v>
      </c>
      <c r="G3693" s="11" t="s">
        <v>23070</v>
      </c>
      <c r="H3693" s="11" t="s">
        <v>704</v>
      </c>
      <c r="I3693" s="11"/>
      <c r="J3693" s="11" t="s">
        <v>23071</v>
      </c>
      <c r="K3693" s="11" t="s">
        <v>707</v>
      </c>
      <c r="L3693" s="11" t="s">
        <v>126</v>
      </c>
      <c r="M3693" s="11" t="s">
        <v>23072</v>
      </c>
      <c r="N3693" s="11" t="s">
        <v>128</v>
      </c>
      <c r="O3693" s="11" t="s">
        <v>23073</v>
      </c>
      <c r="P3693" s="11" t="s">
        <v>6865</v>
      </c>
      <c r="Q3693" s="11" t="s">
        <v>150</v>
      </c>
      <c r="R3693" s="11"/>
      <c r="S3693" s="11" t="s">
        <v>71</v>
      </c>
      <c r="T3693" s="11" t="s">
        <v>168</v>
      </c>
      <c r="U3693" s="11" t="s">
        <v>150</v>
      </c>
      <c r="V3693" s="11" t="s">
        <v>168</v>
      </c>
      <c r="W3693" s="11" t="s">
        <v>168</v>
      </c>
      <c r="X3693" s="11">
        <v>1</v>
      </c>
      <c r="Y3693" s="11" t="s">
        <v>12359</v>
      </c>
      <c r="Z3693" s="11">
        <v>20</v>
      </c>
      <c r="AA3693" s="11">
        <v>0</v>
      </c>
      <c r="AB3693" s="12">
        <v>0</v>
      </c>
    </row>
    <row r="3694" spans="1:28" x14ac:dyDescent="0.2">
      <c r="A3694" s="7">
        <v>28829</v>
      </c>
      <c r="B3694" s="8" t="s">
        <v>23074</v>
      </c>
      <c r="C3694" s="8" t="s">
        <v>22568</v>
      </c>
      <c r="D3694" s="8" t="s">
        <v>23075</v>
      </c>
      <c r="E3694" s="8"/>
      <c r="F3694" s="8"/>
      <c r="G3694" s="8" t="s">
        <v>22571</v>
      </c>
      <c r="H3694" s="8" t="s">
        <v>704</v>
      </c>
      <c r="I3694" s="8"/>
      <c r="J3694" s="8" t="s">
        <v>23076</v>
      </c>
      <c r="K3694" s="8" t="s">
        <v>707</v>
      </c>
      <c r="L3694" s="8" t="s">
        <v>126</v>
      </c>
      <c r="M3694" s="8" t="s">
        <v>23077</v>
      </c>
      <c r="N3694" s="8" t="s">
        <v>128</v>
      </c>
      <c r="O3694" s="8" t="s">
        <v>23078</v>
      </c>
      <c r="P3694" s="8" t="s">
        <v>4613</v>
      </c>
      <c r="Q3694" s="8" t="s">
        <v>150</v>
      </c>
      <c r="R3694" s="8"/>
      <c r="S3694" s="8" t="s">
        <v>71</v>
      </c>
      <c r="T3694" s="8" t="s">
        <v>168</v>
      </c>
      <c r="U3694" s="8" t="s">
        <v>150</v>
      </c>
      <c r="V3694" s="8" t="s">
        <v>168</v>
      </c>
      <c r="W3694" s="8" t="s">
        <v>168</v>
      </c>
      <c r="X3694" s="8">
        <v>1</v>
      </c>
      <c r="Y3694" s="8" t="s">
        <v>12359</v>
      </c>
      <c r="Z3694" s="8">
        <v>20</v>
      </c>
      <c r="AA3694" s="8">
        <v>0</v>
      </c>
      <c r="AB3694" s="9">
        <v>0</v>
      </c>
    </row>
    <row r="3695" spans="1:28" x14ac:dyDescent="0.2">
      <c r="A3695" s="10">
        <v>23570</v>
      </c>
      <c r="B3695" s="11" t="s">
        <v>23079</v>
      </c>
      <c r="C3695" s="11" t="s">
        <v>23080</v>
      </c>
      <c r="D3695" s="11" t="s">
        <v>4136</v>
      </c>
      <c r="E3695" s="11"/>
      <c r="F3695" s="11" t="s">
        <v>23081</v>
      </c>
      <c r="G3695" s="11" t="s">
        <v>2435</v>
      </c>
      <c r="H3695" s="11" t="s">
        <v>142</v>
      </c>
      <c r="I3695" s="11" t="s">
        <v>23082</v>
      </c>
      <c r="J3695" s="11" t="s">
        <v>23083</v>
      </c>
      <c r="K3695" s="11" t="s">
        <v>1029</v>
      </c>
      <c r="L3695" s="11" t="s">
        <v>464</v>
      </c>
      <c r="M3695" s="11" t="s">
        <v>23084</v>
      </c>
      <c r="N3695" s="11" t="s">
        <v>128</v>
      </c>
      <c r="O3695" s="11" t="s">
        <v>23085</v>
      </c>
      <c r="P3695" s="11" t="s">
        <v>11411</v>
      </c>
      <c r="Q3695" s="11" t="s">
        <v>150</v>
      </c>
      <c r="R3695" s="11"/>
      <c r="S3695" s="11" t="s">
        <v>71</v>
      </c>
      <c r="T3695" s="11" t="s">
        <v>168</v>
      </c>
      <c r="U3695" s="11" t="s">
        <v>150</v>
      </c>
      <c r="V3695" s="11" t="s">
        <v>168</v>
      </c>
      <c r="W3695" s="11" t="s">
        <v>168</v>
      </c>
      <c r="X3695" s="11">
        <v>1</v>
      </c>
      <c r="Y3695" s="11" t="s">
        <v>12359</v>
      </c>
      <c r="Z3695" s="11">
        <v>20</v>
      </c>
      <c r="AA3695" s="11">
        <v>0</v>
      </c>
      <c r="AB3695" s="12">
        <v>0</v>
      </c>
    </row>
    <row r="3696" spans="1:28" x14ac:dyDescent="0.2">
      <c r="A3696" s="7">
        <v>23611</v>
      </c>
      <c r="B3696" s="8" t="s">
        <v>23086</v>
      </c>
      <c r="C3696" s="8" t="s">
        <v>23087</v>
      </c>
      <c r="D3696" s="8" t="s">
        <v>23088</v>
      </c>
      <c r="E3696" s="8"/>
      <c r="F3696" s="8" t="s">
        <v>23089</v>
      </c>
      <c r="G3696" s="8" t="s">
        <v>1196</v>
      </c>
      <c r="H3696" s="8" t="s">
        <v>142</v>
      </c>
      <c r="I3696" s="8" t="s">
        <v>23090</v>
      </c>
      <c r="J3696" s="8" t="s">
        <v>23091</v>
      </c>
      <c r="K3696" s="8" t="s">
        <v>1199</v>
      </c>
      <c r="L3696" s="8" t="s">
        <v>464</v>
      </c>
      <c r="M3696" s="8" t="s">
        <v>23092</v>
      </c>
      <c r="N3696" s="8" t="s">
        <v>128</v>
      </c>
      <c r="O3696" s="8" t="s">
        <v>23093</v>
      </c>
      <c r="P3696" s="8" t="s">
        <v>9262</v>
      </c>
      <c r="Q3696" s="8" t="s">
        <v>150</v>
      </c>
      <c r="R3696" s="8"/>
      <c r="S3696" s="8" t="s">
        <v>71</v>
      </c>
      <c r="T3696" s="8" t="s">
        <v>168</v>
      </c>
      <c r="U3696" s="8" t="s">
        <v>150</v>
      </c>
      <c r="V3696" s="8" t="s">
        <v>168</v>
      </c>
      <c r="W3696" s="8" t="s">
        <v>168</v>
      </c>
      <c r="X3696" s="8">
        <v>1</v>
      </c>
      <c r="Y3696" s="8" t="s">
        <v>12359</v>
      </c>
      <c r="Z3696" s="8">
        <v>20</v>
      </c>
      <c r="AA3696" s="8">
        <v>0</v>
      </c>
      <c r="AB3696" s="9">
        <v>0</v>
      </c>
    </row>
    <row r="3697" spans="1:28" x14ac:dyDescent="0.2">
      <c r="A3697" s="10">
        <v>23626</v>
      </c>
      <c r="B3697" s="11" t="s">
        <v>23094</v>
      </c>
      <c r="C3697" s="11" t="s">
        <v>20944</v>
      </c>
      <c r="D3697" s="11" t="s">
        <v>22406</v>
      </c>
      <c r="E3697" s="11"/>
      <c r="F3697" s="11" t="s">
        <v>20946</v>
      </c>
      <c r="G3697" s="11" t="s">
        <v>270</v>
      </c>
      <c r="H3697" s="11" t="s">
        <v>271</v>
      </c>
      <c r="I3697" s="11" t="s">
        <v>20947</v>
      </c>
      <c r="J3697" s="11" t="s">
        <v>23095</v>
      </c>
      <c r="K3697" s="11" t="s">
        <v>274</v>
      </c>
      <c r="L3697" s="11" t="s">
        <v>163</v>
      </c>
      <c r="M3697" s="11" t="s">
        <v>23096</v>
      </c>
      <c r="N3697" s="11" t="s">
        <v>128</v>
      </c>
      <c r="O3697" s="11" t="s">
        <v>23097</v>
      </c>
      <c r="P3697" s="11" t="s">
        <v>15980</v>
      </c>
      <c r="Q3697" s="11" t="s">
        <v>150</v>
      </c>
      <c r="R3697" s="11"/>
      <c r="S3697" s="11" t="s">
        <v>71</v>
      </c>
      <c r="T3697" s="11" t="s">
        <v>168</v>
      </c>
      <c r="U3697" s="11" t="s">
        <v>150</v>
      </c>
      <c r="V3697" s="11" t="s">
        <v>168</v>
      </c>
      <c r="W3697" s="11" t="s">
        <v>168</v>
      </c>
      <c r="X3697" s="11">
        <v>1</v>
      </c>
      <c r="Y3697" s="11" t="s">
        <v>12359</v>
      </c>
      <c r="Z3697" s="11">
        <v>20</v>
      </c>
      <c r="AA3697" s="11">
        <v>0</v>
      </c>
      <c r="AB3697" s="12">
        <v>0</v>
      </c>
    </row>
    <row r="3698" spans="1:28" x14ac:dyDescent="0.2">
      <c r="A3698" s="7">
        <v>23668</v>
      </c>
      <c r="B3698" s="8" t="s">
        <v>23098</v>
      </c>
      <c r="C3698" s="8" t="s">
        <v>17440</v>
      </c>
      <c r="D3698" s="8" t="s">
        <v>1070</v>
      </c>
      <c r="E3698" s="8"/>
      <c r="F3698" s="8" t="s">
        <v>23099</v>
      </c>
      <c r="G3698" s="8" t="s">
        <v>14650</v>
      </c>
      <c r="H3698" s="8" t="s">
        <v>122</v>
      </c>
      <c r="I3698" s="8"/>
      <c r="J3698" s="8" t="s">
        <v>23100</v>
      </c>
      <c r="K3698" s="8" t="s">
        <v>125</v>
      </c>
      <c r="L3698" s="8" t="s">
        <v>126</v>
      </c>
      <c r="M3698" s="8" t="s">
        <v>23101</v>
      </c>
      <c r="N3698" s="8" t="s">
        <v>128</v>
      </c>
      <c r="O3698" s="8" t="s">
        <v>23102</v>
      </c>
      <c r="P3698" s="8" t="s">
        <v>7555</v>
      </c>
      <c r="Q3698" s="8" t="s">
        <v>150</v>
      </c>
      <c r="R3698" s="8"/>
      <c r="S3698" s="8" t="s">
        <v>71</v>
      </c>
      <c r="T3698" s="8" t="s">
        <v>168</v>
      </c>
      <c r="U3698" s="8" t="s">
        <v>150</v>
      </c>
      <c r="V3698" s="8" t="s">
        <v>168</v>
      </c>
      <c r="W3698" s="8" t="s">
        <v>168</v>
      </c>
      <c r="X3698" s="8">
        <v>1</v>
      </c>
      <c r="Y3698" s="8" t="s">
        <v>12359</v>
      </c>
      <c r="Z3698" s="8">
        <v>20</v>
      </c>
      <c r="AA3698" s="8">
        <v>0</v>
      </c>
      <c r="AB3698" s="9">
        <v>0</v>
      </c>
    </row>
    <row r="3699" spans="1:28" x14ac:dyDescent="0.2">
      <c r="A3699" s="10">
        <v>23717</v>
      </c>
      <c r="B3699" s="11" t="s">
        <v>23103</v>
      </c>
      <c r="C3699" s="11" t="s">
        <v>15706</v>
      </c>
      <c r="D3699" s="11" t="s">
        <v>23104</v>
      </c>
      <c r="E3699" s="11"/>
      <c r="F3699" s="11" t="s">
        <v>5674</v>
      </c>
      <c r="G3699" s="11" t="s">
        <v>846</v>
      </c>
      <c r="H3699" s="11" t="s">
        <v>847</v>
      </c>
      <c r="I3699" s="11" t="s">
        <v>15708</v>
      </c>
      <c r="J3699" s="11" t="s">
        <v>23105</v>
      </c>
      <c r="K3699" s="11" t="s">
        <v>1091</v>
      </c>
      <c r="L3699" s="11" t="s">
        <v>126</v>
      </c>
      <c r="M3699" s="11" t="s">
        <v>23106</v>
      </c>
      <c r="N3699" s="11" t="s">
        <v>128</v>
      </c>
      <c r="O3699" s="11" t="s">
        <v>23107</v>
      </c>
      <c r="P3699" s="11" t="s">
        <v>22095</v>
      </c>
      <c r="Q3699" s="11" t="s">
        <v>150</v>
      </c>
      <c r="R3699" s="11"/>
      <c r="S3699" s="11" t="s">
        <v>71</v>
      </c>
      <c r="T3699" s="11" t="s">
        <v>168</v>
      </c>
      <c r="U3699" s="11" t="s">
        <v>150</v>
      </c>
      <c r="V3699" s="11" t="s">
        <v>168</v>
      </c>
      <c r="W3699" s="11" t="s">
        <v>168</v>
      </c>
      <c r="X3699" s="11">
        <v>1</v>
      </c>
      <c r="Y3699" s="11" t="s">
        <v>12359</v>
      </c>
      <c r="Z3699" s="11">
        <v>20</v>
      </c>
      <c r="AA3699" s="11">
        <v>0</v>
      </c>
      <c r="AB3699" s="12">
        <v>0</v>
      </c>
    </row>
    <row r="3700" spans="1:28" x14ac:dyDescent="0.2">
      <c r="A3700" s="7">
        <v>23757</v>
      </c>
      <c r="B3700" s="8" t="s">
        <v>23108</v>
      </c>
      <c r="C3700" s="8" t="s">
        <v>23109</v>
      </c>
      <c r="D3700" s="8" t="s">
        <v>8488</v>
      </c>
      <c r="E3700" s="8"/>
      <c r="F3700" s="8" t="s">
        <v>7985</v>
      </c>
      <c r="G3700" s="8" t="s">
        <v>22286</v>
      </c>
      <c r="H3700" s="8" t="s">
        <v>301</v>
      </c>
      <c r="I3700" s="8" t="s">
        <v>22596</v>
      </c>
      <c r="J3700" s="8" t="s">
        <v>23110</v>
      </c>
      <c r="K3700" s="8" t="s">
        <v>304</v>
      </c>
      <c r="L3700" s="8" t="s">
        <v>229</v>
      </c>
      <c r="M3700" s="8" t="s">
        <v>23111</v>
      </c>
      <c r="N3700" s="8" t="s">
        <v>128</v>
      </c>
      <c r="O3700" s="8" t="s">
        <v>23112</v>
      </c>
      <c r="P3700" s="8" t="s">
        <v>23113</v>
      </c>
      <c r="Q3700" s="8" t="s">
        <v>150</v>
      </c>
      <c r="R3700" s="8"/>
      <c r="S3700" s="8" t="s">
        <v>71</v>
      </c>
      <c r="T3700" s="8" t="s">
        <v>168</v>
      </c>
      <c r="U3700" s="8" t="s">
        <v>150</v>
      </c>
      <c r="V3700" s="8" t="s">
        <v>168</v>
      </c>
      <c r="W3700" s="8" t="s">
        <v>168</v>
      </c>
      <c r="X3700" s="8">
        <v>1</v>
      </c>
      <c r="Y3700" s="8" t="s">
        <v>12359</v>
      </c>
      <c r="Z3700" s="8">
        <v>20</v>
      </c>
      <c r="AA3700" s="8">
        <v>0</v>
      </c>
      <c r="AB3700" s="9">
        <v>0</v>
      </c>
    </row>
    <row r="3701" spans="1:28" x14ac:dyDescent="0.2">
      <c r="A3701" s="10">
        <v>119286</v>
      </c>
      <c r="B3701" s="11" t="s">
        <v>23114</v>
      </c>
      <c r="C3701" s="11" t="s">
        <v>22578</v>
      </c>
      <c r="D3701" s="11" t="s">
        <v>1437</v>
      </c>
      <c r="E3701" s="11"/>
      <c r="F3701" s="11" t="s">
        <v>22579</v>
      </c>
      <c r="G3701" s="11" t="s">
        <v>4831</v>
      </c>
      <c r="H3701" s="11" t="s">
        <v>122</v>
      </c>
      <c r="I3701" s="11" t="s">
        <v>22580</v>
      </c>
      <c r="J3701" s="11" t="s">
        <v>23115</v>
      </c>
      <c r="K3701" s="11" t="s">
        <v>1051</v>
      </c>
      <c r="L3701" s="11" t="s">
        <v>126</v>
      </c>
      <c r="M3701" s="11" t="s">
        <v>23116</v>
      </c>
      <c r="N3701" s="11" t="s">
        <v>128</v>
      </c>
      <c r="O3701" s="11" t="s">
        <v>23117</v>
      </c>
      <c r="P3701" s="11" t="s">
        <v>23118</v>
      </c>
      <c r="Q3701" s="11" t="s">
        <v>150</v>
      </c>
      <c r="R3701" s="11"/>
      <c r="S3701" s="11" t="s">
        <v>71</v>
      </c>
      <c r="T3701" s="11" t="s">
        <v>168</v>
      </c>
      <c r="U3701" s="11" t="s">
        <v>150</v>
      </c>
      <c r="V3701" s="11" t="s">
        <v>168</v>
      </c>
      <c r="W3701" s="11" t="s">
        <v>168</v>
      </c>
      <c r="X3701" s="11">
        <v>1</v>
      </c>
      <c r="Y3701" s="11" t="s">
        <v>12359</v>
      </c>
      <c r="Z3701" s="11">
        <v>20</v>
      </c>
      <c r="AA3701" s="11">
        <v>0</v>
      </c>
      <c r="AB3701" s="12">
        <v>0</v>
      </c>
    </row>
    <row r="3702" spans="1:28" x14ac:dyDescent="0.2">
      <c r="A3702" s="7">
        <v>240310</v>
      </c>
      <c r="B3702" s="8" t="s">
        <v>23119</v>
      </c>
      <c r="C3702" s="8" t="s">
        <v>23120</v>
      </c>
      <c r="D3702" s="8" t="s">
        <v>7360</v>
      </c>
      <c r="E3702" s="8"/>
      <c r="F3702" s="8" t="s">
        <v>19695</v>
      </c>
      <c r="G3702" s="8" t="s">
        <v>23121</v>
      </c>
      <c r="H3702" s="8" t="s">
        <v>704</v>
      </c>
      <c r="I3702" s="8" t="s">
        <v>23122</v>
      </c>
      <c r="J3702" s="8" t="s">
        <v>23123</v>
      </c>
      <c r="K3702" s="8" t="s">
        <v>850</v>
      </c>
      <c r="L3702" s="8" t="s">
        <v>126</v>
      </c>
      <c r="M3702" s="8" t="s">
        <v>23124</v>
      </c>
      <c r="N3702" s="8" t="s">
        <v>128</v>
      </c>
      <c r="O3702" s="8" t="s">
        <v>23125</v>
      </c>
      <c r="P3702" s="8" t="s">
        <v>1046</v>
      </c>
      <c r="Q3702" s="8" t="s">
        <v>150</v>
      </c>
      <c r="R3702" s="8"/>
      <c r="S3702" s="8" t="s">
        <v>71</v>
      </c>
      <c r="T3702" s="8" t="s">
        <v>168</v>
      </c>
      <c r="U3702" s="8" t="s">
        <v>150</v>
      </c>
      <c r="V3702" s="8" t="s">
        <v>168</v>
      </c>
      <c r="W3702" s="8" t="s">
        <v>168</v>
      </c>
      <c r="X3702" s="8">
        <v>1</v>
      </c>
      <c r="Y3702" s="8" t="s">
        <v>12359</v>
      </c>
      <c r="Z3702" s="8">
        <v>20</v>
      </c>
      <c r="AA3702" s="8">
        <v>0</v>
      </c>
      <c r="AB3702" s="9">
        <v>0</v>
      </c>
    </row>
    <row r="3703" spans="1:28" x14ac:dyDescent="0.2">
      <c r="A3703" s="10">
        <v>28830</v>
      </c>
      <c r="B3703" s="11" t="s">
        <v>23126</v>
      </c>
      <c r="C3703" s="11" t="s">
        <v>22433</v>
      </c>
      <c r="D3703" s="11" t="s">
        <v>22434</v>
      </c>
      <c r="E3703" s="11"/>
      <c r="F3703" s="11" t="s">
        <v>8101</v>
      </c>
      <c r="G3703" s="11" t="s">
        <v>20860</v>
      </c>
      <c r="H3703" s="11" t="s">
        <v>557</v>
      </c>
      <c r="I3703" s="11" t="s">
        <v>22435</v>
      </c>
      <c r="J3703" s="11" t="s">
        <v>23127</v>
      </c>
      <c r="K3703" s="11" t="s">
        <v>560</v>
      </c>
      <c r="L3703" s="11" t="s">
        <v>229</v>
      </c>
      <c r="M3703" s="11" t="s">
        <v>23128</v>
      </c>
      <c r="N3703" s="11" t="s">
        <v>128</v>
      </c>
      <c r="O3703" s="11" t="s">
        <v>23129</v>
      </c>
      <c r="P3703" s="11" t="s">
        <v>7126</v>
      </c>
      <c r="Q3703" s="11" t="s">
        <v>150</v>
      </c>
      <c r="R3703" s="11"/>
      <c r="S3703" s="11" t="s">
        <v>22439</v>
      </c>
      <c r="T3703" s="11" t="s">
        <v>168</v>
      </c>
      <c r="U3703" s="11" t="s">
        <v>150</v>
      </c>
      <c r="V3703" s="11" t="s">
        <v>168</v>
      </c>
      <c r="W3703" s="11" t="s">
        <v>168</v>
      </c>
      <c r="X3703" s="11">
        <v>1</v>
      </c>
      <c r="Y3703" s="11" t="s">
        <v>12359</v>
      </c>
      <c r="Z3703" s="11">
        <v>20</v>
      </c>
      <c r="AA3703" s="11">
        <v>0</v>
      </c>
      <c r="AB3703" s="12">
        <v>0</v>
      </c>
    </row>
    <row r="3704" spans="1:28" x14ac:dyDescent="0.2">
      <c r="A3704" s="7">
        <v>50011</v>
      </c>
      <c r="B3704" s="8" t="s">
        <v>23130</v>
      </c>
      <c r="C3704" s="8" t="s">
        <v>6443</v>
      </c>
      <c r="D3704" s="8" t="s">
        <v>10630</v>
      </c>
      <c r="E3704" s="8"/>
      <c r="F3704" s="8" t="s">
        <v>17164</v>
      </c>
      <c r="G3704" s="8" t="s">
        <v>158</v>
      </c>
      <c r="H3704" s="8" t="s">
        <v>159</v>
      </c>
      <c r="I3704" s="8" t="s">
        <v>6445</v>
      </c>
      <c r="J3704" s="8" t="s">
        <v>23131</v>
      </c>
      <c r="K3704" s="8" t="s">
        <v>274</v>
      </c>
      <c r="L3704" s="8" t="s">
        <v>163</v>
      </c>
      <c r="M3704" s="8" t="s">
        <v>23132</v>
      </c>
      <c r="N3704" s="8" t="s">
        <v>128</v>
      </c>
      <c r="O3704" s="8" t="s">
        <v>23133</v>
      </c>
      <c r="P3704" s="8"/>
      <c r="Q3704" s="8" t="s">
        <v>150</v>
      </c>
      <c r="R3704" s="8"/>
      <c r="S3704" s="8" t="s">
        <v>71</v>
      </c>
      <c r="T3704" s="8" t="s">
        <v>23134</v>
      </c>
      <c r="U3704" s="8" t="s">
        <v>150</v>
      </c>
      <c r="V3704" s="8" t="s">
        <v>23134</v>
      </c>
      <c r="W3704" s="8" t="s">
        <v>23134</v>
      </c>
      <c r="X3704" s="8">
        <v>1</v>
      </c>
      <c r="Y3704" s="8" t="s">
        <v>12359</v>
      </c>
      <c r="Z3704" s="8">
        <v>20</v>
      </c>
      <c r="AA3704" s="8">
        <v>0</v>
      </c>
      <c r="AB3704" s="9">
        <v>0</v>
      </c>
    </row>
    <row r="3705" spans="1:28" x14ac:dyDescent="0.2">
      <c r="A3705" s="10">
        <v>29056</v>
      </c>
      <c r="B3705" s="11" t="s">
        <v>23135</v>
      </c>
      <c r="C3705" s="11" t="s">
        <v>5879</v>
      </c>
      <c r="D3705" s="11" t="s">
        <v>23136</v>
      </c>
      <c r="E3705" s="11"/>
      <c r="F3705" s="11" t="s">
        <v>353</v>
      </c>
      <c r="G3705" s="11" t="s">
        <v>18274</v>
      </c>
      <c r="H3705" s="11" t="s">
        <v>847</v>
      </c>
      <c r="I3705" s="11" t="s">
        <v>18275</v>
      </c>
      <c r="J3705" s="11" t="s">
        <v>23137</v>
      </c>
      <c r="K3705" s="11" t="s">
        <v>850</v>
      </c>
      <c r="L3705" s="11" t="s">
        <v>126</v>
      </c>
      <c r="M3705" s="11" t="s">
        <v>23138</v>
      </c>
      <c r="N3705" s="11" t="s">
        <v>128</v>
      </c>
      <c r="O3705" s="11" t="s">
        <v>23139</v>
      </c>
      <c r="P3705" s="11"/>
      <c r="Q3705" s="11" t="s">
        <v>150</v>
      </c>
      <c r="R3705" s="11"/>
      <c r="S3705" s="11" t="s">
        <v>71</v>
      </c>
      <c r="T3705" s="11" t="s">
        <v>22054</v>
      </c>
      <c r="U3705" s="11" t="s">
        <v>150</v>
      </c>
      <c r="V3705" s="11" t="s">
        <v>22054</v>
      </c>
      <c r="W3705" s="11" t="s">
        <v>22054</v>
      </c>
      <c r="X3705" s="11">
        <v>1</v>
      </c>
      <c r="Y3705" s="11" t="s">
        <v>12359</v>
      </c>
      <c r="Z3705" s="11">
        <v>20</v>
      </c>
      <c r="AA3705" s="11">
        <v>0</v>
      </c>
      <c r="AB3705" s="12">
        <v>0</v>
      </c>
    </row>
    <row r="3706" spans="1:28" x14ac:dyDescent="0.2">
      <c r="A3706" s="7">
        <v>24048</v>
      </c>
      <c r="B3706" s="8" t="s">
        <v>23140</v>
      </c>
      <c r="C3706" s="8" t="s">
        <v>19650</v>
      </c>
      <c r="D3706" s="8" t="s">
        <v>23141</v>
      </c>
      <c r="E3706" s="8"/>
      <c r="F3706" s="8" t="s">
        <v>19651</v>
      </c>
      <c r="G3706" s="8" t="s">
        <v>19652</v>
      </c>
      <c r="H3706" s="8" t="s">
        <v>847</v>
      </c>
      <c r="I3706" s="8" t="s">
        <v>19653</v>
      </c>
      <c r="J3706" s="8" t="s">
        <v>23142</v>
      </c>
      <c r="K3706" s="8" t="s">
        <v>850</v>
      </c>
      <c r="L3706" s="8" t="s">
        <v>126</v>
      </c>
      <c r="M3706" s="8" t="s">
        <v>23143</v>
      </c>
      <c r="N3706" s="8" t="s">
        <v>128</v>
      </c>
      <c r="O3706" s="8" t="s">
        <v>23144</v>
      </c>
      <c r="P3706" s="8"/>
      <c r="Q3706" s="8" t="s">
        <v>150</v>
      </c>
      <c r="R3706" s="8"/>
      <c r="S3706" s="8" t="s">
        <v>71</v>
      </c>
      <c r="T3706" s="8" t="s">
        <v>22054</v>
      </c>
      <c r="U3706" s="8" t="s">
        <v>150</v>
      </c>
      <c r="V3706" s="8" t="s">
        <v>22054</v>
      </c>
      <c r="W3706" s="8" t="s">
        <v>22054</v>
      </c>
      <c r="X3706" s="8">
        <v>1</v>
      </c>
      <c r="Y3706" s="8" t="s">
        <v>12359</v>
      </c>
      <c r="Z3706" s="8">
        <v>20</v>
      </c>
      <c r="AA3706" s="8">
        <v>0</v>
      </c>
      <c r="AB3706" s="9">
        <v>0</v>
      </c>
    </row>
    <row r="3707" spans="1:28" x14ac:dyDescent="0.2">
      <c r="A3707" s="10">
        <v>49684</v>
      </c>
      <c r="B3707" s="11" t="s">
        <v>23145</v>
      </c>
      <c r="C3707" s="11" t="s">
        <v>23146</v>
      </c>
      <c r="D3707" s="11" t="s">
        <v>16856</v>
      </c>
      <c r="E3707" s="11"/>
      <c r="F3707" s="11" t="s">
        <v>22650</v>
      </c>
      <c r="G3707" s="11" t="s">
        <v>158</v>
      </c>
      <c r="H3707" s="11" t="s">
        <v>159</v>
      </c>
      <c r="I3707" s="11" t="s">
        <v>23147</v>
      </c>
      <c r="J3707" s="11" t="s">
        <v>23148</v>
      </c>
      <c r="K3707" s="11" t="s">
        <v>162</v>
      </c>
      <c r="L3707" s="11" t="s">
        <v>163</v>
      </c>
      <c r="M3707" s="11" t="s">
        <v>23149</v>
      </c>
      <c r="N3707" s="11" t="s">
        <v>128</v>
      </c>
      <c r="O3707" s="11" t="s">
        <v>23150</v>
      </c>
      <c r="P3707" s="11"/>
      <c r="Q3707" s="11" t="s">
        <v>150</v>
      </c>
      <c r="R3707" s="11"/>
      <c r="S3707" s="11" t="s">
        <v>71</v>
      </c>
      <c r="T3707" s="11" t="s">
        <v>5438</v>
      </c>
      <c r="U3707" s="11" t="s">
        <v>150</v>
      </c>
      <c r="V3707" s="11" t="s">
        <v>5438</v>
      </c>
      <c r="W3707" s="11" t="s">
        <v>5438</v>
      </c>
      <c r="X3707" s="11">
        <v>1</v>
      </c>
      <c r="Y3707" s="11" t="s">
        <v>12359</v>
      </c>
      <c r="Z3707" s="11">
        <v>20</v>
      </c>
      <c r="AA3707" s="11">
        <v>0</v>
      </c>
      <c r="AB3707" s="12">
        <v>0</v>
      </c>
    </row>
    <row r="3708" spans="1:28" x14ac:dyDescent="0.2">
      <c r="A3708" s="7">
        <v>93175</v>
      </c>
      <c r="B3708" s="8" t="s">
        <v>23151</v>
      </c>
      <c r="C3708" s="8" t="s">
        <v>6686</v>
      </c>
      <c r="D3708" s="8" t="s">
        <v>23152</v>
      </c>
      <c r="E3708" s="8"/>
      <c r="F3708" s="8" t="s">
        <v>6688</v>
      </c>
      <c r="G3708" s="8" t="s">
        <v>6689</v>
      </c>
      <c r="H3708" s="8" t="s">
        <v>159</v>
      </c>
      <c r="I3708" s="8" t="s">
        <v>6502</v>
      </c>
      <c r="J3708" s="8" t="s">
        <v>23153</v>
      </c>
      <c r="K3708" s="8" t="s">
        <v>162</v>
      </c>
      <c r="L3708" s="8" t="s">
        <v>163</v>
      </c>
      <c r="M3708" s="8" t="s">
        <v>23154</v>
      </c>
      <c r="N3708" s="8" t="s">
        <v>128</v>
      </c>
      <c r="O3708" s="8" t="s">
        <v>23155</v>
      </c>
      <c r="P3708" s="8"/>
      <c r="Q3708" s="8" t="s">
        <v>150</v>
      </c>
      <c r="R3708" s="8"/>
      <c r="S3708" s="8" t="s">
        <v>71</v>
      </c>
      <c r="T3708" s="8" t="s">
        <v>5438</v>
      </c>
      <c r="U3708" s="8" t="s">
        <v>150</v>
      </c>
      <c r="V3708" s="8" t="s">
        <v>5438</v>
      </c>
      <c r="W3708" s="8" t="s">
        <v>5438</v>
      </c>
      <c r="X3708" s="8">
        <v>1</v>
      </c>
      <c r="Y3708" s="8" t="s">
        <v>12359</v>
      </c>
      <c r="Z3708" s="8">
        <v>20</v>
      </c>
      <c r="AA3708" s="8">
        <v>0</v>
      </c>
      <c r="AB3708" s="9">
        <v>0</v>
      </c>
    </row>
    <row r="3709" spans="1:28" x14ac:dyDescent="0.2">
      <c r="A3709" s="10">
        <v>24094</v>
      </c>
      <c r="B3709" s="11" t="s">
        <v>23156</v>
      </c>
      <c r="C3709" s="11" t="s">
        <v>23157</v>
      </c>
      <c r="D3709" s="11" t="s">
        <v>14533</v>
      </c>
      <c r="E3709" s="11"/>
      <c r="F3709" s="11" t="s">
        <v>353</v>
      </c>
      <c r="G3709" s="11" t="s">
        <v>7562</v>
      </c>
      <c r="H3709" s="11" t="s">
        <v>847</v>
      </c>
      <c r="I3709" s="11" t="s">
        <v>7563</v>
      </c>
      <c r="J3709" s="11" t="s">
        <v>23158</v>
      </c>
      <c r="K3709" s="11" t="s">
        <v>850</v>
      </c>
      <c r="L3709" s="11" t="s">
        <v>126</v>
      </c>
      <c r="M3709" s="11" t="s">
        <v>23159</v>
      </c>
      <c r="N3709" s="11" t="s">
        <v>128</v>
      </c>
      <c r="O3709" s="11" t="s">
        <v>23160</v>
      </c>
      <c r="P3709" s="11"/>
      <c r="Q3709" s="11" t="s">
        <v>150</v>
      </c>
      <c r="R3709" s="11"/>
      <c r="S3709" s="11" t="s">
        <v>71</v>
      </c>
      <c r="T3709" s="11" t="s">
        <v>10304</v>
      </c>
      <c r="U3709" s="11" t="s">
        <v>150</v>
      </c>
      <c r="V3709" s="11" t="s">
        <v>10304</v>
      </c>
      <c r="W3709" s="11" t="s">
        <v>10304</v>
      </c>
      <c r="X3709" s="11">
        <v>1</v>
      </c>
      <c r="Y3709" s="11" t="s">
        <v>12359</v>
      </c>
      <c r="Z3709" s="11">
        <v>20</v>
      </c>
      <c r="AA3709" s="11">
        <v>0</v>
      </c>
      <c r="AB3709" s="12">
        <v>0</v>
      </c>
    </row>
    <row r="3710" spans="1:28" x14ac:dyDescent="0.2">
      <c r="A3710" s="7">
        <v>29188</v>
      </c>
      <c r="B3710" s="8" t="s">
        <v>23161</v>
      </c>
      <c r="C3710" s="8" t="s">
        <v>23162</v>
      </c>
      <c r="D3710" s="8" t="s">
        <v>518</v>
      </c>
      <c r="E3710" s="8"/>
      <c r="F3710" s="8" t="s">
        <v>353</v>
      </c>
      <c r="G3710" s="8" t="s">
        <v>21364</v>
      </c>
      <c r="H3710" s="8" t="s">
        <v>847</v>
      </c>
      <c r="I3710" s="8" t="s">
        <v>22546</v>
      </c>
      <c r="J3710" s="8" t="s">
        <v>23163</v>
      </c>
      <c r="K3710" s="8" t="s">
        <v>850</v>
      </c>
      <c r="L3710" s="8" t="s">
        <v>126</v>
      </c>
      <c r="M3710" s="8" t="s">
        <v>23164</v>
      </c>
      <c r="N3710" s="8" t="s">
        <v>128</v>
      </c>
      <c r="O3710" s="8"/>
      <c r="P3710" s="8"/>
      <c r="Q3710" s="8" t="s">
        <v>150</v>
      </c>
      <c r="R3710" s="8"/>
      <c r="S3710" s="8" t="s">
        <v>71</v>
      </c>
      <c r="T3710" s="8" t="s">
        <v>10304</v>
      </c>
      <c r="U3710" s="8" t="s">
        <v>150</v>
      </c>
      <c r="V3710" s="8" t="s">
        <v>10304</v>
      </c>
      <c r="W3710" s="8" t="s">
        <v>10304</v>
      </c>
      <c r="X3710" s="8">
        <v>1</v>
      </c>
      <c r="Y3710" s="8" t="s">
        <v>12359</v>
      </c>
      <c r="Z3710" s="8">
        <v>20</v>
      </c>
      <c r="AA3710" s="8">
        <v>0</v>
      </c>
      <c r="AB3710" s="9">
        <v>0</v>
      </c>
    </row>
    <row r="3711" spans="1:28" x14ac:dyDescent="0.2">
      <c r="A3711" s="10">
        <v>30346</v>
      </c>
      <c r="B3711" s="11" t="s">
        <v>23165</v>
      </c>
      <c r="C3711" s="11" t="s">
        <v>10421</v>
      </c>
      <c r="D3711" s="11" t="s">
        <v>10935</v>
      </c>
      <c r="E3711" s="11"/>
      <c r="F3711" s="11" t="s">
        <v>353</v>
      </c>
      <c r="G3711" s="11" t="s">
        <v>20613</v>
      </c>
      <c r="H3711" s="11" t="s">
        <v>142</v>
      </c>
      <c r="I3711" s="11" t="s">
        <v>22371</v>
      </c>
      <c r="J3711" s="11" t="s">
        <v>23166</v>
      </c>
      <c r="K3711" s="11" t="s">
        <v>1199</v>
      </c>
      <c r="L3711" s="11" t="s">
        <v>464</v>
      </c>
      <c r="M3711" s="11" t="s">
        <v>23167</v>
      </c>
      <c r="N3711" s="11" t="s">
        <v>128</v>
      </c>
      <c r="O3711" s="11" t="s">
        <v>23168</v>
      </c>
      <c r="P3711" s="11" t="s">
        <v>22542</v>
      </c>
      <c r="Q3711" s="11" t="s">
        <v>150</v>
      </c>
      <c r="R3711" s="11"/>
      <c r="S3711" s="11" t="s">
        <v>71</v>
      </c>
      <c r="T3711" s="11" t="s">
        <v>69</v>
      </c>
      <c r="U3711" s="11" t="s">
        <v>150</v>
      </c>
      <c r="V3711" s="11" t="s">
        <v>152</v>
      </c>
      <c r="W3711" s="11" t="s">
        <v>69</v>
      </c>
      <c r="X3711" s="11">
        <v>1</v>
      </c>
      <c r="Y3711" s="11" t="s">
        <v>12359</v>
      </c>
      <c r="Z3711" s="11">
        <v>20</v>
      </c>
      <c r="AA3711" s="11">
        <v>0</v>
      </c>
      <c r="AB3711" s="12">
        <v>0</v>
      </c>
    </row>
    <row r="3712" spans="1:28" x14ac:dyDescent="0.2">
      <c r="A3712" s="7">
        <v>24614</v>
      </c>
      <c r="B3712" s="8" t="s">
        <v>23169</v>
      </c>
      <c r="C3712" s="8" t="s">
        <v>22602</v>
      </c>
      <c r="D3712" s="8" t="s">
        <v>12808</v>
      </c>
      <c r="E3712" s="8"/>
      <c r="F3712" s="8" t="s">
        <v>7985</v>
      </c>
      <c r="G3712" s="8" t="s">
        <v>22286</v>
      </c>
      <c r="H3712" s="8" t="s">
        <v>301</v>
      </c>
      <c r="I3712" s="8" t="s">
        <v>22596</v>
      </c>
      <c r="J3712" s="8" t="s">
        <v>23170</v>
      </c>
      <c r="K3712" s="8" t="s">
        <v>304</v>
      </c>
      <c r="L3712" s="8" t="s">
        <v>229</v>
      </c>
      <c r="M3712" s="8" t="s">
        <v>23171</v>
      </c>
      <c r="N3712" s="8" t="s">
        <v>128</v>
      </c>
      <c r="O3712" s="8" t="s">
        <v>23172</v>
      </c>
      <c r="P3712" s="8" t="s">
        <v>4482</v>
      </c>
      <c r="Q3712" s="8" t="s">
        <v>150</v>
      </c>
      <c r="R3712" s="8"/>
      <c r="S3712" s="8" t="s">
        <v>71</v>
      </c>
      <c r="T3712" s="8" t="s">
        <v>69</v>
      </c>
      <c r="U3712" s="8" t="s">
        <v>150</v>
      </c>
      <c r="V3712" s="8" t="s">
        <v>152</v>
      </c>
      <c r="W3712" s="8" t="s">
        <v>69</v>
      </c>
      <c r="X3712" s="8">
        <v>1</v>
      </c>
      <c r="Y3712" s="8" t="s">
        <v>12359</v>
      </c>
      <c r="Z3712" s="8">
        <v>20</v>
      </c>
      <c r="AA3712" s="8">
        <v>0</v>
      </c>
      <c r="AB3712" s="9">
        <v>0</v>
      </c>
    </row>
    <row r="3713" spans="1:28" x14ac:dyDescent="0.2">
      <c r="A3713" s="10">
        <v>24843</v>
      </c>
      <c r="B3713" s="11" t="s">
        <v>23173</v>
      </c>
      <c r="C3713" s="11" t="s">
        <v>23174</v>
      </c>
      <c r="D3713" s="11" t="s">
        <v>23175</v>
      </c>
      <c r="E3713" s="11" t="s">
        <v>281</v>
      </c>
      <c r="F3713" s="11" t="s">
        <v>8772</v>
      </c>
      <c r="G3713" s="11" t="s">
        <v>158</v>
      </c>
      <c r="H3713" s="11" t="s">
        <v>159</v>
      </c>
      <c r="I3713" s="11" t="s">
        <v>23176</v>
      </c>
      <c r="J3713" s="11" t="s">
        <v>23177</v>
      </c>
      <c r="K3713" s="11" t="s">
        <v>274</v>
      </c>
      <c r="L3713" s="11" t="s">
        <v>163</v>
      </c>
      <c r="M3713" s="11" t="s">
        <v>23178</v>
      </c>
      <c r="N3713" s="11" t="s">
        <v>128</v>
      </c>
      <c r="O3713" s="11" t="s">
        <v>23179</v>
      </c>
      <c r="P3713" s="11" t="s">
        <v>23180</v>
      </c>
      <c r="Q3713" s="11" t="s">
        <v>150</v>
      </c>
      <c r="R3713" s="11"/>
      <c r="S3713" s="11" t="s">
        <v>71</v>
      </c>
      <c r="T3713" s="11" t="s">
        <v>1738</v>
      </c>
      <c r="U3713" s="11" t="s">
        <v>150</v>
      </c>
      <c r="V3713" s="11" t="s">
        <v>1738</v>
      </c>
      <c r="W3713" s="11" t="s">
        <v>1738</v>
      </c>
      <c r="X3713" s="11">
        <v>1</v>
      </c>
      <c r="Y3713" s="11" t="s">
        <v>12359</v>
      </c>
      <c r="Z3713" s="11">
        <v>20</v>
      </c>
      <c r="AA3713" s="11">
        <v>0</v>
      </c>
      <c r="AB3713" s="12">
        <v>0</v>
      </c>
    </row>
    <row r="3714" spans="1:28" x14ac:dyDescent="0.2">
      <c r="A3714" s="7">
        <v>24862</v>
      </c>
      <c r="B3714" s="8" t="s">
        <v>23181</v>
      </c>
      <c r="C3714" s="8" t="s">
        <v>10742</v>
      </c>
      <c r="D3714" s="8" t="s">
        <v>10743</v>
      </c>
      <c r="E3714" s="8" t="s">
        <v>23182</v>
      </c>
      <c r="F3714" s="8" t="s">
        <v>10744</v>
      </c>
      <c r="G3714" s="8" t="s">
        <v>5116</v>
      </c>
      <c r="H3714" s="8" t="s">
        <v>122</v>
      </c>
      <c r="I3714" s="8" t="s">
        <v>10745</v>
      </c>
      <c r="J3714" s="8" t="s">
        <v>11083</v>
      </c>
      <c r="K3714" s="8" t="s">
        <v>125</v>
      </c>
      <c r="L3714" s="8" t="s">
        <v>126</v>
      </c>
      <c r="M3714" s="8" t="s">
        <v>23183</v>
      </c>
      <c r="N3714" s="8" t="s">
        <v>128</v>
      </c>
      <c r="O3714" s="8" t="s">
        <v>23184</v>
      </c>
      <c r="P3714" s="8" t="s">
        <v>23185</v>
      </c>
      <c r="Q3714" s="8" t="s">
        <v>150</v>
      </c>
      <c r="R3714" s="8"/>
      <c r="S3714" s="8" t="s">
        <v>10750</v>
      </c>
      <c r="T3714" s="8" t="s">
        <v>1738</v>
      </c>
      <c r="U3714" s="8" t="s">
        <v>150</v>
      </c>
      <c r="V3714" s="8" t="s">
        <v>1738</v>
      </c>
      <c r="W3714" s="8" t="s">
        <v>1738</v>
      </c>
      <c r="X3714" s="8">
        <v>1</v>
      </c>
      <c r="Y3714" s="8" t="s">
        <v>12359</v>
      </c>
      <c r="Z3714" s="8">
        <v>20</v>
      </c>
      <c r="AA3714" s="8">
        <v>0</v>
      </c>
      <c r="AB3714" s="9">
        <v>0</v>
      </c>
    </row>
    <row r="3715" spans="1:28" x14ac:dyDescent="0.2">
      <c r="A3715" s="10">
        <v>25001</v>
      </c>
      <c r="B3715" s="11" t="s">
        <v>23186</v>
      </c>
      <c r="C3715" s="11" t="s">
        <v>6796</v>
      </c>
      <c r="D3715" s="11" t="s">
        <v>6797</v>
      </c>
      <c r="E3715" s="11" t="s">
        <v>23187</v>
      </c>
      <c r="F3715" s="11" t="s">
        <v>353</v>
      </c>
      <c r="G3715" s="11" t="s">
        <v>556</v>
      </c>
      <c r="H3715" s="11" t="s">
        <v>557</v>
      </c>
      <c r="I3715" s="11" t="s">
        <v>8414</v>
      </c>
      <c r="J3715" s="11" t="s">
        <v>6800</v>
      </c>
      <c r="K3715" s="11" t="s">
        <v>560</v>
      </c>
      <c r="L3715" s="11" t="s">
        <v>229</v>
      </c>
      <c r="M3715" s="11" t="s">
        <v>23188</v>
      </c>
      <c r="N3715" s="11" t="s">
        <v>128</v>
      </c>
      <c r="O3715" s="11" t="s">
        <v>23189</v>
      </c>
      <c r="P3715" s="11" t="s">
        <v>8477</v>
      </c>
      <c r="Q3715" s="11" t="s">
        <v>150</v>
      </c>
      <c r="R3715" s="11"/>
      <c r="S3715" s="11" t="s">
        <v>6804</v>
      </c>
      <c r="T3715" s="11" t="s">
        <v>1738</v>
      </c>
      <c r="U3715" s="11" t="s">
        <v>150</v>
      </c>
      <c r="V3715" s="11" t="s">
        <v>1738</v>
      </c>
      <c r="W3715" s="11" t="s">
        <v>1738</v>
      </c>
      <c r="X3715" s="11">
        <v>1</v>
      </c>
      <c r="Y3715" s="11" t="s">
        <v>12359</v>
      </c>
      <c r="Z3715" s="11">
        <v>20</v>
      </c>
      <c r="AA3715" s="11">
        <v>0</v>
      </c>
      <c r="AB3715" s="12">
        <v>0</v>
      </c>
    </row>
    <row r="3716" spans="1:28" x14ac:dyDescent="0.2">
      <c r="A3716" s="7">
        <v>30540</v>
      </c>
      <c r="B3716" s="8" t="s">
        <v>23190</v>
      </c>
      <c r="C3716" s="8" t="s">
        <v>2172</v>
      </c>
      <c r="D3716" s="8" t="s">
        <v>11217</v>
      </c>
      <c r="E3716" s="8"/>
      <c r="F3716" s="8" t="s">
        <v>353</v>
      </c>
      <c r="G3716" s="8" t="s">
        <v>270</v>
      </c>
      <c r="H3716" s="8" t="s">
        <v>271</v>
      </c>
      <c r="I3716" s="8" t="s">
        <v>23191</v>
      </c>
      <c r="J3716" s="8" t="s">
        <v>23192</v>
      </c>
      <c r="K3716" s="8" t="s">
        <v>274</v>
      </c>
      <c r="L3716" s="8" t="s">
        <v>163</v>
      </c>
      <c r="M3716" s="8" t="s">
        <v>23193</v>
      </c>
      <c r="N3716" s="8" t="s">
        <v>128</v>
      </c>
      <c r="O3716" s="8" t="s">
        <v>23194</v>
      </c>
      <c r="P3716" s="8" t="s">
        <v>23195</v>
      </c>
      <c r="Q3716" s="8" t="s">
        <v>150</v>
      </c>
      <c r="R3716" s="8"/>
      <c r="S3716" s="8" t="s">
        <v>71</v>
      </c>
      <c r="T3716" s="8" t="s">
        <v>1738</v>
      </c>
      <c r="U3716" s="8" t="s">
        <v>150</v>
      </c>
      <c r="V3716" s="8" t="s">
        <v>1738</v>
      </c>
      <c r="W3716" s="8" t="s">
        <v>1738</v>
      </c>
      <c r="X3716" s="8">
        <v>1</v>
      </c>
      <c r="Y3716" s="8" t="s">
        <v>12359</v>
      </c>
      <c r="Z3716" s="8">
        <v>20</v>
      </c>
      <c r="AA3716" s="8">
        <v>0</v>
      </c>
      <c r="AB3716" s="9">
        <v>0</v>
      </c>
    </row>
    <row r="3717" spans="1:28" x14ac:dyDescent="0.2">
      <c r="A3717" s="10">
        <v>24957</v>
      </c>
      <c r="B3717" s="11" t="s">
        <v>23196</v>
      </c>
      <c r="C3717" s="11" t="s">
        <v>9674</v>
      </c>
      <c r="D3717" s="11" t="s">
        <v>6374</v>
      </c>
      <c r="E3717" s="11"/>
      <c r="F3717" s="11" t="s">
        <v>6430</v>
      </c>
      <c r="G3717" s="11" t="s">
        <v>1286</v>
      </c>
      <c r="H3717" s="11" t="s">
        <v>142</v>
      </c>
      <c r="I3717" s="11" t="s">
        <v>23197</v>
      </c>
      <c r="J3717" s="11" t="s">
        <v>23198</v>
      </c>
      <c r="K3717" s="11" t="s">
        <v>717</v>
      </c>
      <c r="L3717" s="11" t="s">
        <v>464</v>
      </c>
      <c r="M3717" s="11" t="s">
        <v>23199</v>
      </c>
      <c r="N3717" s="11" t="s">
        <v>128</v>
      </c>
      <c r="O3717" s="11" t="s">
        <v>23200</v>
      </c>
      <c r="P3717" s="11" t="s">
        <v>23201</v>
      </c>
      <c r="Q3717" s="11" t="s">
        <v>150</v>
      </c>
      <c r="R3717" s="11"/>
      <c r="S3717" s="11" t="s">
        <v>71</v>
      </c>
      <c r="T3717" s="11" t="s">
        <v>1738</v>
      </c>
      <c r="U3717" s="11" t="s">
        <v>150</v>
      </c>
      <c r="V3717" s="11" t="s">
        <v>1738</v>
      </c>
      <c r="W3717" s="11" t="s">
        <v>1738</v>
      </c>
      <c r="X3717" s="11">
        <v>1</v>
      </c>
      <c r="Y3717" s="11" t="s">
        <v>12359</v>
      </c>
      <c r="Z3717" s="11">
        <v>20</v>
      </c>
      <c r="AA3717" s="11">
        <v>0</v>
      </c>
      <c r="AB3717" s="12">
        <v>0</v>
      </c>
    </row>
    <row r="3718" spans="1:28" x14ac:dyDescent="0.2">
      <c r="A3718" s="7">
        <v>32141</v>
      </c>
      <c r="B3718" s="8" t="s">
        <v>23202</v>
      </c>
      <c r="C3718" s="8" t="s">
        <v>23203</v>
      </c>
      <c r="D3718" s="8" t="s">
        <v>138</v>
      </c>
      <c r="E3718" s="8"/>
      <c r="F3718" s="8" t="s">
        <v>16057</v>
      </c>
      <c r="G3718" s="8" t="s">
        <v>270</v>
      </c>
      <c r="H3718" s="8" t="s">
        <v>271</v>
      </c>
      <c r="I3718" s="8" t="s">
        <v>6185</v>
      </c>
      <c r="J3718" s="8" t="s">
        <v>23204</v>
      </c>
      <c r="K3718" s="8" t="s">
        <v>274</v>
      </c>
      <c r="L3718" s="8" t="s">
        <v>163</v>
      </c>
      <c r="M3718" s="8" t="s">
        <v>23205</v>
      </c>
      <c r="N3718" s="8" t="s">
        <v>128</v>
      </c>
      <c r="O3718" s="8" t="s">
        <v>23206</v>
      </c>
      <c r="P3718" s="8" t="s">
        <v>16473</v>
      </c>
      <c r="Q3718" s="8" t="s">
        <v>150</v>
      </c>
      <c r="R3718" s="8"/>
      <c r="S3718" s="8" t="s">
        <v>6190</v>
      </c>
      <c r="T3718" s="8" t="s">
        <v>1738</v>
      </c>
      <c r="U3718" s="8" t="s">
        <v>150</v>
      </c>
      <c r="V3718" s="8" t="s">
        <v>1738</v>
      </c>
      <c r="W3718" s="8" t="s">
        <v>1738</v>
      </c>
      <c r="X3718" s="8">
        <v>1</v>
      </c>
      <c r="Y3718" s="8" t="s">
        <v>12359</v>
      </c>
      <c r="Z3718" s="8">
        <v>20</v>
      </c>
      <c r="AA3718" s="8">
        <v>0</v>
      </c>
      <c r="AB3718" s="9">
        <v>0</v>
      </c>
    </row>
    <row r="3719" spans="1:28" x14ac:dyDescent="0.2">
      <c r="A3719" s="10">
        <v>85128</v>
      </c>
      <c r="B3719" s="11" t="s">
        <v>23207</v>
      </c>
      <c r="C3719" s="11" t="s">
        <v>9219</v>
      </c>
      <c r="D3719" s="11" t="s">
        <v>138</v>
      </c>
      <c r="E3719" s="11"/>
      <c r="F3719" s="11" t="s">
        <v>9221</v>
      </c>
      <c r="G3719" s="11" t="s">
        <v>9222</v>
      </c>
      <c r="H3719" s="11" t="s">
        <v>159</v>
      </c>
      <c r="I3719" s="11" t="s">
        <v>9223</v>
      </c>
      <c r="J3719" s="11" t="s">
        <v>9224</v>
      </c>
      <c r="K3719" s="11" t="s">
        <v>274</v>
      </c>
      <c r="L3719" s="11" t="s">
        <v>163</v>
      </c>
      <c r="M3719" s="11" t="s">
        <v>23208</v>
      </c>
      <c r="N3719" s="11" t="s">
        <v>128</v>
      </c>
      <c r="O3719" s="11" t="s">
        <v>23209</v>
      </c>
      <c r="P3719" s="11" t="s">
        <v>23210</v>
      </c>
      <c r="Q3719" s="11" t="s">
        <v>150</v>
      </c>
      <c r="R3719" s="11"/>
      <c r="S3719" s="11" t="s">
        <v>9228</v>
      </c>
      <c r="T3719" s="11" t="s">
        <v>1738</v>
      </c>
      <c r="U3719" s="11" t="s">
        <v>150</v>
      </c>
      <c r="V3719" s="11" t="s">
        <v>1738</v>
      </c>
      <c r="W3719" s="11" t="s">
        <v>1738</v>
      </c>
      <c r="X3719" s="11">
        <v>1</v>
      </c>
      <c r="Y3719" s="11" t="s">
        <v>12359</v>
      </c>
      <c r="Z3719" s="11">
        <v>20</v>
      </c>
      <c r="AA3719" s="11">
        <v>0</v>
      </c>
      <c r="AB3719" s="12">
        <v>0</v>
      </c>
    </row>
    <row r="3720" spans="1:28" x14ac:dyDescent="0.2">
      <c r="A3720" s="7">
        <v>192463</v>
      </c>
      <c r="B3720" s="8" t="s">
        <v>23211</v>
      </c>
      <c r="C3720" s="8" t="s">
        <v>21721</v>
      </c>
      <c r="D3720" s="8" t="s">
        <v>138</v>
      </c>
      <c r="E3720" s="8"/>
      <c r="F3720" s="8" t="s">
        <v>21722</v>
      </c>
      <c r="G3720" s="8" t="s">
        <v>12262</v>
      </c>
      <c r="H3720" s="8" t="s">
        <v>704</v>
      </c>
      <c r="I3720" s="8" t="s">
        <v>21723</v>
      </c>
      <c r="J3720" s="8" t="s">
        <v>22269</v>
      </c>
      <c r="K3720" s="8" t="s">
        <v>707</v>
      </c>
      <c r="L3720" s="8" t="s">
        <v>126</v>
      </c>
      <c r="M3720" s="8" t="s">
        <v>23212</v>
      </c>
      <c r="N3720" s="8" t="s">
        <v>128</v>
      </c>
      <c r="O3720" s="8" t="s">
        <v>23213</v>
      </c>
      <c r="P3720" s="8" t="s">
        <v>6299</v>
      </c>
      <c r="Q3720" s="8" t="s">
        <v>150</v>
      </c>
      <c r="R3720" s="8"/>
      <c r="S3720" s="8" t="s">
        <v>22272</v>
      </c>
      <c r="T3720" s="8" t="s">
        <v>1738</v>
      </c>
      <c r="U3720" s="8" t="s">
        <v>150</v>
      </c>
      <c r="V3720" s="8" t="s">
        <v>1738</v>
      </c>
      <c r="W3720" s="8" t="s">
        <v>1738</v>
      </c>
      <c r="X3720" s="8">
        <v>1</v>
      </c>
      <c r="Y3720" s="8" t="s">
        <v>12359</v>
      </c>
      <c r="Z3720" s="8">
        <v>20</v>
      </c>
      <c r="AA3720" s="8">
        <v>0</v>
      </c>
      <c r="AB3720" s="9">
        <v>0</v>
      </c>
    </row>
    <row r="3721" spans="1:28" x14ac:dyDescent="0.2">
      <c r="A3721" s="10">
        <v>85193</v>
      </c>
      <c r="B3721" s="11" t="s">
        <v>23214</v>
      </c>
      <c r="C3721" s="11" t="s">
        <v>14473</v>
      </c>
      <c r="D3721" s="11" t="s">
        <v>5114</v>
      </c>
      <c r="E3721" s="11"/>
      <c r="F3721" s="11" t="s">
        <v>14474</v>
      </c>
      <c r="G3721" s="11" t="s">
        <v>6501</v>
      </c>
      <c r="H3721" s="11" t="s">
        <v>159</v>
      </c>
      <c r="I3721" s="11" t="s">
        <v>14475</v>
      </c>
      <c r="J3721" s="11" t="s">
        <v>23215</v>
      </c>
      <c r="K3721" s="11" t="s">
        <v>162</v>
      </c>
      <c r="L3721" s="11" t="s">
        <v>163</v>
      </c>
      <c r="M3721" s="11" t="s">
        <v>23216</v>
      </c>
      <c r="N3721" s="11" t="s">
        <v>128</v>
      </c>
      <c r="O3721" s="11" t="s">
        <v>23217</v>
      </c>
      <c r="P3721" s="11" t="s">
        <v>23218</v>
      </c>
      <c r="Q3721" s="11" t="s">
        <v>150</v>
      </c>
      <c r="R3721" s="11"/>
      <c r="S3721" s="11" t="s">
        <v>14480</v>
      </c>
      <c r="T3721" s="11" t="s">
        <v>1738</v>
      </c>
      <c r="U3721" s="11" t="s">
        <v>150</v>
      </c>
      <c r="V3721" s="11" t="s">
        <v>1738</v>
      </c>
      <c r="W3721" s="11" t="s">
        <v>1738</v>
      </c>
      <c r="X3721" s="11">
        <v>1</v>
      </c>
      <c r="Y3721" s="11" t="s">
        <v>12359</v>
      </c>
      <c r="Z3721" s="11">
        <v>20</v>
      </c>
      <c r="AA3721" s="11">
        <v>0</v>
      </c>
      <c r="AB3721" s="12">
        <v>0</v>
      </c>
    </row>
    <row r="3722" spans="1:28" x14ac:dyDescent="0.2">
      <c r="A3722" s="7">
        <v>125372</v>
      </c>
      <c r="B3722" s="8" t="s">
        <v>23219</v>
      </c>
      <c r="C3722" s="8" t="s">
        <v>9372</v>
      </c>
      <c r="D3722" s="8" t="s">
        <v>6286</v>
      </c>
      <c r="E3722" s="8"/>
      <c r="F3722" s="8" t="s">
        <v>9373</v>
      </c>
      <c r="G3722" s="8" t="s">
        <v>8876</v>
      </c>
      <c r="H3722" s="8" t="s">
        <v>329</v>
      </c>
      <c r="I3722" s="8" t="s">
        <v>9374</v>
      </c>
      <c r="J3722" s="8" t="s">
        <v>9375</v>
      </c>
      <c r="K3722" s="8" t="s">
        <v>415</v>
      </c>
      <c r="L3722" s="8" t="s">
        <v>333</v>
      </c>
      <c r="M3722" s="8" t="s">
        <v>23220</v>
      </c>
      <c r="N3722" s="8" t="s">
        <v>128</v>
      </c>
      <c r="O3722" s="8" t="s">
        <v>23221</v>
      </c>
      <c r="P3722" s="8" t="s">
        <v>23222</v>
      </c>
      <c r="Q3722" s="8" t="s">
        <v>150</v>
      </c>
      <c r="R3722" s="8"/>
      <c r="S3722" s="8" t="s">
        <v>9378</v>
      </c>
      <c r="T3722" s="8" t="s">
        <v>1738</v>
      </c>
      <c r="U3722" s="8" t="s">
        <v>150</v>
      </c>
      <c r="V3722" s="8" t="s">
        <v>1738</v>
      </c>
      <c r="W3722" s="8" t="s">
        <v>1738</v>
      </c>
      <c r="X3722" s="8">
        <v>1</v>
      </c>
      <c r="Y3722" s="8" t="s">
        <v>12359</v>
      </c>
      <c r="Z3722" s="8">
        <v>20</v>
      </c>
      <c r="AA3722" s="8">
        <v>0</v>
      </c>
      <c r="AB3722" s="9">
        <v>0</v>
      </c>
    </row>
    <row r="3723" spans="1:28" x14ac:dyDescent="0.2">
      <c r="A3723" s="10">
        <v>24864</v>
      </c>
      <c r="B3723" s="11" t="s">
        <v>23223</v>
      </c>
      <c r="C3723" s="11" t="s">
        <v>2419</v>
      </c>
      <c r="D3723" s="11" t="s">
        <v>2420</v>
      </c>
      <c r="E3723" s="11"/>
      <c r="F3723" s="11" t="s">
        <v>2422</v>
      </c>
      <c r="G3723" s="11" t="s">
        <v>2423</v>
      </c>
      <c r="H3723" s="11" t="s">
        <v>557</v>
      </c>
      <c r="I3723" s="11" t="s">
        <v>2424</v>
      </c>
      <c r="J3723" s="11" t="s">
        <v>2425</v>
      </c>
      <c r="K3723" s="11" t="s">
        <v>1562</v>
      </c>
      <c r="L3723" s="11" t="s">
        <v>229</v>
      </c>
      <c r="M3723" s="11" t="s">
        <v>23224</v>
      </c>
      <c r="N3723" s="11" t="s">
        <v>128</v>
      </c>
      <c r="O3723" s="11" t="s">
        <v>23225</v>
      </c>
      <c r="P3723" s="11" t="s">
        <v>2981</v>
      </c>
      <c r="Q3723" s="11" t="s">
        <v>150</v>
      </c>
      <c r="R3723" s="11"/>
      <c r="S3723" s="11" t="s">
        <v>2429</v>
      </c>
      <c r="T3723" s="11" t="s">
        <v>1738</v>
      </c>
      <c r="U3723" s="11" t="s">
        <v>150</v>
      </c>
      <c r="V3723" s="11" t="s">
        <v>1738</v>
      </c>
      <c r="W3723" s="11" t="s">
        <v>1738</v>
      </c>
      <c r="X3723" s="11">
        <v>1</v>
      </c>
      <c r="Y3723" s="11" t="s">
        <v>12359</v>
      </c>
      <c r="Z3723" s="11">
        <v>20</v>
      </c>
      <c r="AA3723" s="11">
        <v>0</v>
      </c>
      <c r="AB3723" s="12">
        <v>0</v>
      </c>
    </row>
    <row r="3724" spans="1:28" x14ac:dyDescent="0.2">
      <c r="A3724" s="7">
        <v>119851</v>
      </c>
      <c r="B3724" s="8" t="s">
        <v>23226</v>
      </c>
      <c r="C3724" s="8" t="s">
        <v>8945</v>
      </c>
      <c r="D3724" s="8" t="s">
        <v>8946</v>
      </c>
      <c r="E3724" s="8"/>
      <c r="F3724" s="8" t="s">
        <v>8234</v>
      </c>
      <c r="G3724" s="8" t="s">
        <v>556</v>
      </c>
      <c r="H3724" s="8" t="s">
        <v>557</v>
      </c>
      <c r="I3724" s="8" t="s">
        <v>8948</v>
      </c>
      <c r="J3724" s="8" t="s">
        <v>8949</v>
      </c>
      <c r="K3724" s="8" t="s">
        <v>560</v>
      </c>
      <c r="L3724" s="8" t="s">
        <v>229</v>
      </c>
      <c r="M3724" s="8" t="s">
        <v>23227</v>
      </c>
      <c r="N3724" s="8" t="s">
        <v>128</v>
      </c>
      <c r="O3724" s="8" t="s">
        <v>23228</v>
      </c>
      <c r="P3724" s="8"/>
      <c r="Q3724" s="8" t="s">
        <v>150</v>
      </c>
      <c r="R3724" s="8"/>
      <c r="S3724" s="8" t="s">
        <v>8953</v>
      </c>
      <c r="T3724" s="8" t="s">
        <v>1738</v>
      </c>
      <c r="U3724" s="8" t="s">
        <v>150</v>
      </c>
      <c r="V3724" s="8" t="s">
        <v>1738</v>
      </c>
      <c r="W3724" s="8" t="s">
        <v>1738</v>
      </c>
      <c r="X3724" s="8">
        <v>1</v>
      </c>
      <c r="Y3724" s="8" t="s">
        <v>12359</v>
      </c>
      <c r="Z3724" s="8">
        <v>20</v>
      </c>
      <c r="AA3724" s="8">
        <v>0</v>
      </c>
      <c r="AB3724" s="9">
        <v>0</v>
      </c>
    </row>
    <row r="3725" spans="1:28" x14ac:dyDescent="0.2">
      <c r="A3725" s="10">
        <v>22376</v>
      </c>
      <c r="B3725" s="11" t="s">
        <v>23229</v>
      </c>
      <c r="C3725" s="11" t="s">
        <v>23230</v>
      </c>
      <c r="D3725" s="11" t="s">
        <v>6546</v>
      </c>
      <c r="E3725" s="11"/>
      <c r="F3725" s="11" t="s">
        <v>23231</v>
      </c>
      <c r="G3725" s="11" t="s">
        <v>270</v>
      </c>
      <c r="H3725" s="11" t="s">
        <v>271</v>
      </c>
      <c r="I3725" s="11" t="s">
        <v>23232</v>
      </c>
      <c r="J3725" s="11" t="s">
        <v>23233</v>
      </c>
      <c r="K3725" s="11" t="s">
        <v>274</v>
      </c>
      <c r="L3725" s="11" t="s">
        <v>163</v>
      </c>
      <c r="M3725" s="11" t="s">
        <v>23234</v>
      </c>
      <c r="N3725" s="11" t="s">
        <v>128</v>
      </c>
      <c r="O3725" s="11" t="s">
        <v>23235</v>
      </c>
      <c r="P3725" s="11" t="s">
        <v>23236</v>
      </c>
      <c r="Q3725" s="11" t="s">
        <v>740</v>
      </c>
      <c r="R3725" s="11"/>
      <c r="S3725" s="11" t="s">
        <v>71</v>
      </c>
      <c r="T3725" s="11" t="s">
        <v>1745</v>
      </c>
      <c r="U3725" s="11" t="s">
        <v>134</v>
      </c>
      <c r="V3725" s="11" t="s">
        <v>740</v>
      </c>
      <c r="W3725" s="11" t="s">
        <v>1745</v>
      </c>
      <c r="X3725" s="11">
        <v>1</v>
      </c>
      <c r="Y3725" s="11" t="s">
        <v>12359</v>
      </c>
      <c r="Z3725" s="11">
        <v>20</v>
      </c>
      <c r="AA3725" s="11">
        <v>0</v>
      </c>
      <c r="AB3725" s="12">
        <v>0</v>
      </c>
    </row>
    <row r="3726" spans="1:28" x14ac:dyDescent="0.2">
      <c r="A3726" s="7">
        <v>92726</v>
      </c>
      <c r="B3726" s="8" t="s">
        <v>23237</v>
      </c>
      <c r="C3726" s="8" t="s">
        <v>8966</v>
      </c>
      <c r="D3726" s="8" t="s">
        <v>171</v>
      </c>
      <c r="E3726" s="8"/>
      <c r="F3726" s="8" t="s">
        <v>8968</v>
      </c>
      <c r="G3726" s="8" t="s">
        <v>23238</v>
      </c>
      <c r="H3726" s="8" t="s">
        <v>142</v>
      </c>
      <c r="I3726" s="8" t="s">
        <v>23239</v>
      </c>
      <c r="J3726" s="8" t="s">
        <v>8971</v>
      </c>
      <c r="K3726" s="8" t="s">
        <v>1199</v>
      </c>
      <c r="L3726" s="8" t="s">
        <v>464</v>
      </c>
      <c r="M3726" s="8" t="s">
        <v>23240</v>
      </c>
      <c r="N3726" s="8" t="s">
        <v>128</v>
      </c>
      <c r="O3726" s="8" t="s">
        <v>23241</v>
      </c>
      <c r="P3726" s="8" t="s">
        <v>23242</v>
      </c>
      <c r="Q3726" s="8" t="s">
        <v>740</v>
      </c>
      <c r="R3726" s="8"/>
      <c r="S3726" s="8" t="s">
        <v>8975</v>
      </c>
      <c r="T3726" s="8" t="s">
        <v>1745</v>
      </c>
      <c r="U3726" s="8" t="s">
        <v>134</v>
      </c>
      <c r="V3726" s="8" t="s">
        <v>740</v>
      </c>
      <c r="W3726" s="8" t="s">
        <v>1745</v>
      </c>
      <c r="X3726" s="8">
        <v>1</v>
      </c>
      <c r="Y3726" s="8" t="s">
        <v>12359</v>
      </c>
      <c r="Z3726" s="8">
        <v>20</v>
      </c>
      <c r="AA3726" s="8">
        <v>0</v>
      </c>
      <c r="AB3726" s="9">
        <v>0</v>
      </c>
    </row>
    <row r="3727" spans="1:28" x14ac:dyDescent="0.2">
      <c r="A3727" s="10">
        <v>110277</v>
      </c>
      <c r="B3727" s="11" t="s">
        <v>23243</v>
      </c>
      <c r="C3727" s="11" t="s">
        <v>11006</v>
      </c>
      <c r="D3727" s="11" t="s">
        <v>2871</v>
      </c>
      <c r="E3727" s="11"/>
      <c r="F3727" s="11" t="s">
        <v>20825</v>
      </c>
      <c r="G3727" s="11" t="s">
        <v>328</v>
      </c>
      <c r="H3727" s="11" t="s">
        <v>329</v>
      </c>
      <c r="I3727" s="11" t="s">
        <v>11009</v>
      </c>
      <c r="J3727" s="11" t="s">
        <v>11010</v>
      </c>
      <c r="K3727" s="11" t="s">
        <v>572</v>
      </c>
      <c r="L3727" s="11" t="s">
        <v>333</v>
      </c>
      <c r="M3727" s="11" t="s">
        <v>23244</v>
      </c>
      <c r="N3727" s="11" t="s">
        <v>128</v>
      </c>
      <c r="O3727" s="11" t="s">
        <v>23245</v>
      </c>
      <c r="P3727" s="11"/>
      <c r="Q3727" s="11" t="s">
        <v>740</v>
      </c>
      <c r="R3727" s="11"/>
      <c r="S3727" s="11" t="s">
        <v>11014</v>
      </c>
      <c r="T3727" s="11" t="s">
        <v>1745</v>
      </c>
      <c r="U3727" s="11" t="s">
        <v>134</v>
      </c>
      <c r="V3727" s="11" t="s">
        <v>740</v>
      </c>
      <c r="W3727" s="11" t="s">
        <v>1745</v>
      </c>
      <c r="X3727" s="11">
        <v>1</v>
      </c>
      <c r="Y3727" s="11" t="s">
        <v>12359</v>
      </c>
      <c r="Z3727" s="11">
        <v>20</v>
      </c>
      <c r="AA3727" s="11">
        <v>0</v>
      </c>
      <c r="AB3727" s="12">
        <v>0</v>
      </c>
    </row>
    <row r="3728" spans="1:28" x14ac:dyDescent="0.2">
      <c r="A3728" s="7">
        <v>119666</v>
      </c>
      <c r="B3728" s="8" t="s">
        <v>23246</v>
      </c>
      <c r="C3728" s="8" t="s">
        <v>7871</v>
      </c>
      <c r="D3728" s="8" t="s">
        <v>18250</v>
      </c>
      <c r="E3728" s="8"/>
      <c r="F3728" s="8" t="s">
        <v>8101</v>
      </c>
      <c r="G3728" s="8" t="s">
        <v>2423</v>
      </c>
      <c r="H3728" s="8" t="s">
        <v>557</v>
      </c>
      <c r="I3728" s="8" t="s">
        <v>18252</v>
      </c>
      <c r="J3728" s="8" t="s">
        <v>18253</v>
      </c>
      <c r="K3728" s="8" t="s">
        <v>1562</v>
      </c>
      <c r="L3728" s="8" t="s">
        <v>229</v>
      </c>
      <c r="M3728" s="8" t="s">
        <v>23247</v>
      </c>
      <c r="N3728" s="8" t="s">
        <v>128</v>
      </c>
      <c r="O3728" s="8" t="s">
        <v>23248</v>
      </c>
      <c r="P3728" s="8"/>
      <c r="Q3728" s="8" t="s">
        <v>740</v>
      </c>
      <c r="R3728" s="8"/>
      <c r="S3728" s="8" t="s">
        <v>18257</v>
      </c>
      <c r="T3728" s="8" t="s">
        <v>1745</v>
      </c>
      <c r="U3728" s="8" t="s">
        <v>134</v>
      </c>
      <c r="V3728" s="8" t="s">
        <v>740</v>
      </c>
      <c r="W3728" s="8" t="s">
        <v>1745</v>
      </c>
      <c r="X3728" s="8">
        <v>1</v>
      </c>
      <c r="Y3728" s="8" t="s">
        <v>12359</v>
      </c>
      <c r="Z3728" s="8">
        <v>20</v>
      </c>
      <c r="AA3728" s="8">
        <v>0</v>
      </c>
      <c r="AB3728" s="9">
        <v>0</v>
      </c>
    </row>
    <row r="3729" spans="1:28" x14ac:dyDescent="0.2">
      <c r="A3729" s="10">
        <v>129123</v>
      </c>
      <c r="B3729" s="11" t="s">
        <v>23249</v>
      </c>
      <c r="C3729" s="11" t="s">
        <v>15743</v>
      </c>
      <c r="D3729" s="11" t="s">
        <v>518</v>
      </c>
      <c r="E3729" s="11"/>
      <c r="F3729" s="11" t="s">
        <v>327</v>
      </c>
      <c r="G3729" s="11" t="s">
        <v>328</v>
      </c>
      <c r="H3729" s="11" t="s">
        <v>329</v>
      </c>
      <c r="I3729" s="11" t="s">
        <v>15745</v>
      </c>
      <c r="J3729" s="11" t="s">
        <v>15873</v>
      </c>
      <c r="K3729" s="11" t="s">
        <v>332</v>
      </c>
      <c r="L3729" s="11" t="s">
        <v>333</v>
      </c>
      <c r="M3729" s="11" t="s">
        <v>23250</v>
      </c>
      <c r="N3729" s="11" t="s">
        <v>128</v>
      </c>
      <c r="O3729" s="11" t="s">
        <v>23251</v>
      </c>
      <c r="P3729" s="11"/>
      <c r="Q3729" s="11" t="s">
        <v>740</v>
      </c>
      <c r="R3729" s="11"/>
      <c r="S3729" s="11" t="s">
        <v>15749</v>
      </c>
      <c r="T3729" s="11" t="s">
        <v>1745</v>
      </c>
      <c r="U3729" s="11" t="s">
        <v>134</v>
      </c>
      <c r="V3729" s="11" t="s">
        <v>740</v>
      </c>
      <c r="W3729" s="11" t="s">
        <v>1745</v>
      </c>
      <c r="X3729" s="11">
        <v>1</v>
      </c>
      <c r="Y3729" s="11" t="s">
        <v>12359</v>
      </c>
      <c r="Z3729" s="11">
        <v>20</v>
      </c>
      <c r="AA3729" s="11">
        <v>0</v>
      </c>
      <c r="AB3729" s="12">
        <v>0</v>
      </c>
    </row>
    <row r="3730" spans="1:28" x14ac:dyDescent="0.2">
      <c r="A3730" s="7">
        <v>24178</v>
      </c>
      <c r="B3730" s="8" t="s">
        <v>23252</v>
      </c>
      <c r="C3730" s="8" t="s">
        <v>409</v>
      </c>
      <c r="D3730" s="8" t="s">
        <v>6026</v>
      </c>
      <c r="E3730" s="8"/>
      <c r="F3730" s="8" t="s">
        <v>353</v>
      </c>
      <c r="G3730" s="8" t="s">
        <v>7562</v>
      </c>
      <c r="H3730" s="8" t="s">
        <v>847</v>
      </c>
      <c r="I3730" s="8" t="s">
        <v>7563</v>
      </c>
      <c r="J3730" s="8" t="s">
        <v>23253</v>
      </c>
      <c r="K3730" s="8" t="s">
        <v>850</v>
      </c>
      <c r="L3730" s="8" t="s">
        <v>126</v>
      </c>
      <c r="M3730" s="8" t="s">
        <v>23254</v>
      </c>
      <c r="N3730" s="8" t="s">
        <v>128</v>
      </c>
      <c r="O3730" s="8" t="s">
        <v>23255</v>
      </c>
      <c r="P3730" s="8"/>
      <c r="Q3730" s="8" t="s">
        <v>740</v>
      </c>
      <c r="R3730" s="8"/>
      <c r="S3730" s="8" t="s">
        <v>71</v>
      </c>
      <c r="T3730" s="8" t="s">
        <v>1745</v>
      </c>
      <c r="U3730" s="8" t="s">
        <v>134</v>
      </c>
      <c r="V3730" s="8" t="s">
        <v>740</v>
      </c>
      <c r="W3730" s="8" t="s">
        <v>1745</v>
      </c>
      <c r="X3730" s="8">
        <v>1</v>
      </c>
      <c r="Y3730" s="8" t="s">
        <v>12359</v>
      </c>
      <c r="Z3730" s="8">
        <v>20</v>
      </c>
      <c r="AA3730" s="8">
        <v>0</v>
      </c>
      <c r="AB3730" s="9">
        <v>0</v>
      </c>
    </row>
    <row r="3731" spans="1:28" x14ac:dyDescent="0.2">
      <c r="A3731" s="10">
        <v>25323</v>
      </c>
      <c r="B3731" s="11" t="s">
        <v>23256</v>
      </c>
      <c r="C3731" s="11" t="s">
        <v>23257</v>
      </c>
      <c r="D3731" s="11" t="s">
        <v>1493</v>
      </c>
      <c r="E3731" s="11"/>
      <c r="F3731" s="11" t="s">
        <v>353</v>
      </c>
      <c r="G3731" s="11" t="s">
        <v>2035</v>
      </c>
      <c r="H3731" s="11" t="s">
        <v>142</v>
      </c>
      <c r="I3731" s="11" t="s">
        <v>23258</v>
      </c>
      <c r="J3731" s="11" t="s">
        <v>23259</v>
      </c>
      <c r="K3731" s="11" t="s">
        <v>779</v>
      </c>
      <c r="L3731" s="11" t="s">
        <v>464</v>
      </c>
      <c r="M3731" s="11" t="s">
        <v>23260</v>
      </c>
      <c r="N3731" s="11" t="s">
        <v>128</v>
      </c>
      <c r="O3731" s="11" t="s">
        <v>23261</v>
      </c>
      <c r="P3731" s="11"/>
      <c r="Q3731" s="11" t="s">
        <v>740</v>
      </c>
      <c r="R3731" s="11"/>
      <c r="S3731" s="11" t="s">
        <v>71</v>
      </c>
      <c r="T3731" s="11" t="s">
        <v>1745</v>
      </c>
      <c r="U3731" s="11" t="s">
        <v>134</v>
      </c>
      <c r="V3731" s="11" t="s">
        <v>740</v>
      </c>
      <c r="W3731" s="11" t="s">
        <v>1745</v>
      </c>
      <c r="X3731" s="11">
        <v>1</v>
      </c>
      <c r="Y3731" s="11" t="s">
        <v>12359</v>
      </c>
      <c r="Z3731" s="11">
        <v>20</v>
      </c>
      <c r="AA3731" s="11">
        <v>0</v>
      </c>
      <c r="AB3731" s="12">
        <v>0</v>
      </c>
    </row>
    <row r="3732" spans="1:28" x14ac:dyDescent="0.2">
      <c r="A3732" s="7">
        <v>31154</v>
      </c>
      <c r="B3732" s="8" t="s">
        <v>23262</v>
      </c>
      <c r="C3732" s="8" t="s">
        <v>1928</v>
      </c>
      <c r="D3732" s="8" t="s">
        <v>11454</v>
      </c>
      <c r="E3732" s="8"/>
      <c r="F3732" s="8" t="s">
        <v>353</v>
      </c>
      <c r="G3732" s="8" t="s">
        <v>1727</v>
      </c>
      <c r="H3732" s="8" t="s">
        <v>557</v>
      </c>
      <c r="I3732" s="8"/>
      <c r="J3732" s="8" t="s">
        <v>23263</v>
      </c>
      <c r="K3732" s="8" t="s">
        <v>1562</v>
      </c>
      <c r="L3732" s="8" t="s">
        <v>229</v>
      </c>
      <c r="M3732" s="8" t="s">
        <v>23264</v>
      </c>
      <c r="N3732" s="8" t="s">
        <v>128</v>
      </c>
      <c r="O3732" s="8" t="s">
        <v>23265</v>
      </c>
      <c r="P3732" s="8"/>
      <c r="Q3732" s="8" t="s">
        <v>740</v>
      </c>
      <c r="R3732" s="8"/>
      <c r="S3732" s="8" t="s">
        <v>71</v>
      </c>
      <c r="T3732" s="8" t="s">
        <v>1745</v>
      </c>
      <c r="U3732" s="8" t="s">
        <v>134</v>
      </c>
      <c r="V3732" s="8" t="s">
        <v>740</v>
      </c>
      <c r="W3732" s="8" t="s">
        <v>1745</v>
      </c>
      <c r="X3732" s="8">
        <v>1</v>
      </c>
      <c r="Y3732" s="8" t="s">
        <v>12359</v>
      </c>
      <c r="Z3732" s="8">
        <v>20</v>
      </c>
      <c r="AA3732" s="8">
        <v>0</v>
      </c>
      <c r="AB3732" s="9">
        <v>0</v>
      </c>
    </row>
    <row r="3733" spans="1:28" x14ac:dyDescent="0.2">
      <c r="A3733" s="10">
        <v>31346</v>
      </c>
      <c r="B3733" s="11" t="s">
        <v>23266</v>
      </c>
      <c r="C3733" s="11" t="s">
        <v>23267</v>
      </c>
      <c r="D3733" s="11" t="s">
        <v>8131</v>
      </c>
      <c r="E3733" s="11"/>
      <c r="F3733" s="11" t="s">
        <v>23268</v>
      </c>
      <c r="G3733" s="11" t="s">
        <v>4856</v>
      </c>
      <c r="H3733" s="11" t="s">
        <v>847</v>
      </c>
      <c r="I3733" s="11" t="s">
        <v>23269</v>
      </c>
      <c r="J3733" s="11" t="s">
        <v>23270</v>
      </c>
      <c r="K3733" s="11" t="s">
        <v>850</v>
      </c>
      <c r="L3733" s="11" t="s">
        <v>126</v>
      </c>
      <c r="M3733" s="11" t="s">
        <v>23271</v>
      </c>
      <c r="N3733" s="11" t="s">
        <v>128</v>
      </c>
      <c r="O3733" s="11"/>
      <c r="P3733" s="11"/>
      <c r="Q3733" s="11" t="s">
        <v>740</v>
      </c>
      <c r="R3733" s="11"/>
      <c r="S3733" s="11" t="s">
        <v>71</v>
      </c>
      <c r="T3733" s="11" t="s">
        <v>1745</v>
      </c>
      <c r="U3733" s="11" t="s">
        <v>134</v>
      </c>
      <c r="V3733" s="11" t="s">
        <v>740</v>
      </c>
      <c r="W3733" s="11" t="s">
        <v>1745</v>
      </c>
      <c r="X3733" s="11">
        <v>1</v>
      </c>
      <c r="Y3733" s="11" t="s">
        <v>12359</v>
      </c>
      <c r="Z3733" s="11">
        <v>20</v>
      </c>
      <c r="AA3733" s="11">
        <v>0</v>
      </c>
      <c r="AB3733" s="12">
        <v>0</v>
      </c>
    </row>
    <row r="3734" spans="1:28" x14ac:dyDescent="0.2">
      <c r="A3734" s="7">
        <v>25288</v>
      </c>
      <c r="B3734" s="8" t="s">
        <v>23272</v>
      </c>
      <c r="C3734" s="8" t="s">
        <v>22715</v>
      </c>
      <c r="D3734" s="8" t="s">
        <v>4623</v>
      </c>
      <c r="E3734" s="8" t="s">
        <v>281</v>
      </c>
      <c r="F3734" s="8" t="s">
        <v>23273</v>
      </c>
      <c r="G3734" s="8" t="s">
        <v>3912</v>
      </c>
      <c r="H3734" s="8" t="s">
        <v>557</v>
      </c>
      <c r="I3734" s="8" t="s">
        <v>22718</v>
      </c>
      <c r="J3734" s="8" t="s">
        <v>23274</v>
      </c>
      <c r="K3734" s="8" t="s">
        <v>1562</v>
      </c>
      <c r="L3734" s="8" t="s">
        <v>229</v>
      </c>
      <c r="M3734" s="8" t="s">
        <v>23275</v>
      </c>
      <c r="N3734" s="8" t="s">
        <v>128</v>
      </c>
      <c r="O3734" s="8" t="s">
        <v>23276</v>
      </c>
      <c r="P3734" s="8"/>
      <c r="Q3734" s="8" t="s">
        <v>740</v>
      </c>
      <c r="R3734" s="8"/>
      <c r="S3734" s="8" t="s">
        <v>22723</v>
      </c>
      <c r="T3734" s="8" t="s">
        <v>741</v>
      </c>
      <c r="U3734" s="8" t="s">
        <v>134</v>
      </c>
      <c r="V3734" s="8" t="s">
        <v>740</v>
      </c>
      <c r="W3734" s="8" t="s">
        <v>741</v>
      </c>
      <c r="X3734" s="8">
        <v>1</v>
      </c>
      <c r="Y3734" s="8" t="s">
        <v>12359</v>
      </c>
      <c r="Z3734" s="8">
        <v>20</v>
      </c>
      <c r="AA3734" s="8">
        <v>0</v>
      </c>
      <c r="AB3734" s="9">
        <v>0</v>
      </c>
    </row>
    <row r="3735" spans="1:28" x14ac:dyDescent="0.2">
      <c r="A3735" s="10">
        <v>25251</v>
      </c>
      <c r="B3735" s="11" t="s">
        <v>23277</v>
      </c>
      <c r="C3735" s="11" t="s">
        <v>23278</v>
      </c>
      <c r="D3735" s="11" t="s">
        <v>138</v>
      </c>
      <c r="E3735" s="11" t="s">
        <v>281</v>
      </c>
      <c r="F3735" s="11" t="s">
        <v>353</v>
      </c>
      <c r="G3735" s="11" t="s">
        <v>2510</v>
      </c>
      <c r="H3735" s="11" t="s">
        <v>2511</v>
      </c>
      <c r="I3735" s="11" t="s">
        <v>9793</v>
      </c>
      <c r="J3735" s="11" t="s">
        <v>23279</v>
      </c>
      <c r="K3735" s="11" t="s">
        <v>1562</v>
      </c>
      <c r="L3735" s="11" t="s">
        <v>229</v>
      </c>
      <c r="M3735" s="11" t="s">
        <v>23280</v>
      </c>
      <c r="N3735" s="11" t="s">
        <v>128</v>
      </c>
      <c r="O3735" s="11" t="s">
        <v>23281</v>
      </c>
      <c r="P3735" s="11"/>
      <c r="Q3735" s="11" t="s">
        <v>740</v>
      </c>
      <c r="R3735" s="11"/>
      <c r="S3735" s="11" t="s">
        <v>71</v>
      </c>
      <c r="T3735" s="11" t="s">
        <v>741</v>
      </c>
      <c r="U3735" s="11" t="s">
        <v>134</v>
      </c>
      <c r="V3735" s="11" t="s">
        <v>740</v>
      </c>
      <c r="W3735" s="11" t="s">
        <v>741</v>
      </c>
      <c r="X3735" s="11">
        <v>1</v>
      </c>
      <c r="Y3735" s="11" t="s">
        <v>12359</v>
      </c>
      <c r="Z3735" s="11">
        <v>20</v>
      </c>
      <c r="AA3735" s="11">
        <v>0</v>
      </c>
      <c r="AB3735" s="12">
        <v>0</v>
      </c>
    </row>
    <row r="3736" spans="1:28" x14ac:dyDescent="0.2">
      <c r="A3736" s="7">
        <v>31276</v>
      </c>
      <c r="B3736" s="8" t="s">
        <v>23282</v>
      </c>
      <c r="C3736" s="8" t="s">
        <v>23283</v>
      </c>
      <c r="D3736" s="8" t="s">
        <v>2230</v>
      </c>
      <c r="E3736" s="8"/>
      <c r="F3736" s="8" t="s">
        <v>353</v>
      </c>
      <c r="G3736" s="8" t="s">
        <v>12262</v>
      </c>
      <c r="H3736" s="8" t="s">
        <v>704</v>
      </c>
      <c r="I3736" s="8" t="s">
        <v>22264</v>
      </c>
      <c r="J3736" s="8" t="s">
        <v>23284</v>
      </c>
      <c r="K3736" s="8" t="s">
        <v>707</v>
      </c>
      <c r="L3736" s="8" t="s">
        <v>126</v>
      </c>
      <c r="M3736" s="8" t="s">
        <v>23285</v>
      </c>
      <c r="N3736" s="8" t="s">
        <v>128</v>
      </c>
      <c r="O3736" s="8" t="s">
        <v>23286</v>
      </c>
      <c r="P3736" s="8" t="s">
        <v>23287</v>
      </c>
      <c r="Q3736" s="8" t="s">
        <v>740</v>
      </c>
      <c r="R3736" s="8"/>
      <c r="S3736" s="8" t="s">
        <v>71</v>
      </c>
      <c r="T3736" s="8" t="s">
        <v>741</v>
      </c>
      <c r="U3736" s="8" t="s">
        <v>134</v>
      </c>
      <c r="V3736" s="8" t="s">
        <v>740</v>
      </c>
      <c r="W3736" s="8" t="s">
        <v>741</v>
      </c>
      <c r="X3736" s="8">
        <v>1</v>
      </c>
      <c r="Y3736" s="8" t="s">
        <v>12359</v>
      </c>
      <c r="Z3736" s="8">
        <v>20</v>
      </c>
      <c r="AA3736" s="8">
        <v>0</v>
      </c>
      <c r="AB3736" s="9">
        <v>0</v>
      </c>
    </row>
    <row r="3737" spans="1:28" x14ac:dyDescent="0.2">
      <c r="A3737" s="10">
        <v>107526</v>
      </c>
      <c r="B3737" s="11" t="s">
        <v>23288</v>
      </c>
      <c r="C3737" s="11" t="s">
        <v>20934</v>
      </c>
      <c r="D3737" s="11" t="s">
        <v>20935</v>
      </c>
      <c r="E3737" s="11" t="s">
        <v>23289</v>
      </c>
      <c r="F3737" s="11" t="s">
        <v>353</v>
      </c>
      <c r="G3737" s="11" t="s">
        <v>10998</v>
      </c>
      <c r="H3737" s="11" t="s">
        <v>159</v>
      </c>
      <c r="I3737" s="11" t="s">
        <v>10999</v>
      </c>
      <c r="J3737" s="11" t="s">
        <v>11000</v>
      </c>
      <c r="K3737" s="11" t="s">
        <v>274</v>
      </c>
      <c r="L3737" s="11" t="s">
        <v>163</v>
      </c>
      <c r="M3737" s="11" t="s">
        <v>23290</v>
      </c>
      <c r="N3737" s="11" t="s">
        <v>128</v>
      </c>
      <c r="O3737" s="11" t="s">
        <v>23291</v>
      </c>
      <c r="P3737" s="11"/>
      <c r="Q3737" s="11" t="s">
        <v>249</v>
      </c>
      <c r="R3737" s="11"/>
      <c r="S3737" s="11" t="s">
        <v>11004</v>
      </c>
      <c r="T3737" s="11" t="s">
        <v>1523</v>
      </c>
      <c r="U3737" s="11" t="s">
        <v>134</v>
      </c>
      <c r="V3737" s="11" t="s">
        <v>249</v>
      </c>
      <c r="W3737" s="11" t="s">
        <v>1523</v>
      </c>
      <c r="X3737" s="11">
        <v>1</v>
      </c>
      <c r="Y3737" s="11" t="s">
        <v>12359</v>
      </c>
      <c r="Z3737" s="11">
        <v>20</v>
      </c>
      <c r="AA3737" s="11">
        <v>0</v>
      </c>
      <c r="AB3737" s="12">
        <v>0</v>
      </c>
    </row>
    <row r="3738" spans="1:28" x14ac:dyDescent="0.2">
      <c r="A3738" s="7">
        <v>85131</v>
      </c>
      <c r="B3738" s="8" t="s">
        <v>23292</v>
      </c>
      <c r="C3738" s="8" t="s">
        <v>8058</v>
      </c>
      <c r="D3738" s="8" t="s">
        <v>9975</v>
      </c>
      <c r="E3738" s="8" t="s">
        <v>23293</v>
      </c>
      <c r="F3738" s="8" t="s">
        <v>23294</v>
      </c>
      <c r="G3738" s="8" t="s">
        <v>1196</v>
      </c>
      <c r="H3738" s="8" t="s">
        <v>142</v>
      </c>
      <c r="I3738" s="8" t="s">
        <v>23295</v>
      </c>
      <c r="J3738" s="8" t="s">
        <v>23296</v>
      </c>
      <c r="K3738" s="8" t="s">
        <v>1199</v>
      </c>
      <c r="L3738" s="8" t="s">
        <v>464</v>
      </c>
      <c r="M3738" s="8" t="s">
        <v>23297</v>
      </c>
      <c r="N3738" s="8" t="s">
        <v>128</v>
      </c>
      <c r="O3738" s="8" t="s">
        <v>23298</v>
      </c>
      <c r="P3738" s="8"/>
      <c r="Q3738" s="8" t="s">
        <v>249</v>
      </c>
      <c r="R3738" s="8"/>
      <c r="S3738" s="8" t="s">
        <v>23299</v>
      </c>
      <c r="T3738" s="8" t="s">
        <v>1523</v>
      </c>
      <c r="U3738" s="8" t="s">
        <v>134</v>
      </c>
      <c r="V3738" s="8" t="s">
        <v>249</v>
      </c>
      <c r="W3738" s="8" t="s">
        <v>1523</v>
      </c>
      <c r="X3738" s="8">
        <v>1</v>
      </c>
      <c r="Y3738" s="8" t="s">
        <v>12359</v>
      </c>
      <c r="Z3738" s="8">
        <v>20</v>
      </c>
      <c r="AA3738" s="8">
        <v>0</v>
      </c>
      <c r="AB3738" s="9">
        <v>0</v>
      </c>
    </row>
    <row r="3739" spans="1:28" x14ac:dyDescent="0.2">
      <c r="A3739" s="10">
        <v>125867</v>
      </c>
      <c r="B3739" s="11" t="s">
        <v>23300</v>
      </c>
      <c r="C3739" s="11" t="s">
        <v>16913</v>
      </c>
      <c r="D3739" s="11" t="s">
        <v>138</v>
      </c>
      <c r="E3739" s="11"/>
      <c r="F3739" s="11" t="s">
        <v>17741</v>
      </c>
      <c r="G3739" s="11" t="s">
        <v>224</v>
      </c>
      <c r="H3739" s="11" t="s">
        <v>225</v>
      </c>
      <c r="I3739" s="11" t="s">
        <v>23301</v>
      </c>
      <c r="J3739" s="11" t="s">
        <v>17742</v>
      </c>
      <c r="K3739" s="11" t="s">
        <v>228</v>
      </c>
      <c r="L3739" s="11" t="s">
        <v>229</v>
      </c>
      <c r="M3739" s="11" t="s">
        <v>23302</v>
      </c>
      <c r="N3739" s="11" t="s">
        <v>128</v>
      </c>
      <c r="O3739" s="11" t="s">
        <v>23303</v>
      </c>
      <c r="P3739" s="11"/>
      <c r="Q3739" s="11" t="s">
        <v>249</v>
      </c>
      <c r="R3739" s="11"/>
      <c r="S3739" s="11" t="s">
        <v>16919</v>
      </c>
      <c r="T3739" s="11" t="s">
        <v>1523</v>
      </c>
      <c r="U3739" s="11" t="s">
        <v>134</v>
      </c>
      <c r="V3739" s="11" t="s">
        <v>249</v>
      </c>
      <c r="W3739" s="11" t="s">
        <v>1523</v>
      </c>
      <c r="X3739" s="11">
        <v>1</v>
      </c>
      <c r="Y3739" s="11" t="s">
        <v>12359</v>
      </c>
      <c r="Z3739" s="11">
        <v>20</v>
      </c>
      <c r="AA3739" s="11">
        <v>0</v>
      </c>
      <c r="AB3739" s="12">
        <v>0</v>
      </c>
    </row>
    <row r="3740" spans="1:28" x14ac:dyDescent="0.2">
      <c r="A3740" s="7">
        <v>25396</v>
      </c>
      <c r="B3740" s="8" t="s">
        <v>23304</v>
      </c>
      <c r="C3740" s="8" t="s">
        <v>13216</v>
      </c>
      <c r="D3740" s="8" t="s">
        <v>8508</v>
      </c>
      <c r="E3740" s="8"/>
      <c r="F3740" s="8" t="s">
        <v>19744</v>
      </c>
      <c r="G3740" s="8" t="s">
        <v>121</v>
      </c>
      <c r="H3740" s="8" t="s">
        <v>122</v>
      </c>
      <c r="I3740" s="8" t="s">
        <v>22827</v>
      </c>
      <c r="J3740" s="8" t="s">
        <v>22828</v>
      </c>
      <c r="K3740" s="8" t="s">
        <v>125</v>
      </c>
      <c r="L3740" s="8" t="s">
        <v>126</v>
      </c>
      <c r="M3740" s="8" t="s">
        <v>23305</v>
      </c>
      <c r="N3740" s="8" t="s">
        <v>128</v>
      </c>
      <c r="O3740" s="8" t="s">
        <v>23306</v>
      </c>
      <c r="P3740" s="8"/>
      <c r="Q3740" s="8" t="s">
        <v>249</v>
      </c>
      <c r="R3740" s="8"/>
      <c r="S3740" s="8" t="s">
        <v>13561</v>
      </c>
      <c r="T3740" s="8" t="s">
        <v>1523</v>
      </c>
      <c r="U3740" s="8" t="s">
        <v>134</v>
      </c>
      <c r="V3740" s="8" t="s">
        <v>249</v>
      </c>
      <c r="W3740" s="8" t="s">
        <v>1523</v>
      </c>
      <c r="X3740" s="8">
        <v>1</v>
      </c>
      <c r="Y3740" s="8" t="s">
        <v>12359</v>
      </c>
      <c r="Z3740" s="8">
        <v>20</v>
      </c>
      <c r="AA3740" s="8">
        <v>0</v>
      </c>
      <c r="AB3740" s="9">
        <v>0</v>
      </c>
    </row>
    <row r="3741" spans="1:28" x14ac:dyDescent="0.2">
      <c r="A3741" s="10">
        <v>25591</v>
      </c>
      <c r="B3741" s="11" t="s">
        <v>23307</v>
      </c>
      <c r="C3741" s="11" t="s">
        <v>9877</v>
      </c>
      <c r="D3741" s="11" t="s">
        <v>9825</v>
      </c>
      <c r="E3741" s="11"/>
      <c r="F3741" s="11" t="s">
        <v>23308</v>
      </c>
      <c r="G3741" s="11" t="s">
        <v>2117</v>
      </c>
      <c r="H3741" s="11" t="s">
        <v>142</v>
      </c>
      <c r="I3741" s="11" t="s">
        <v>23309</v>
      </c>
      <c r="J3741" s="11" t="s">
        <v>23310</v>
      </c>
      <c r="K3741" s="11" t="s">
        <v>1673</v>
      </c>
      <c r="L3741" s="11" t="s">
        <v>464</v>
      </c>
      <c r="M3741" s="11" t="s">
        <v>23311</v>
      </c>
      <c r="N3741" s="11" t="s">
        <v>128</v>
      </c>
      <c r="O3741" s="11" t="s">
        <v>23312</v>
      </c>
      <c r="P3741" s="11"/>
      <c r="Q3741" s="11" t="s">
        <v>249</v>
      </c>
      <c r="R3741" s="11"/>
      <c r="S3741" s="11" t="s">
        <v>16407</v>
      </c>
      <c r="T3741" s="11" t="s">
        <v>1523</v>
      </c>
      <c r="U3741" s="11" t="s">
        <v>134</v>
      </c>
      <c r="V3741" s="11" t="s">
        <v>249</v>
      </c>
      <c r="W3741" s="11" t="s">
        <v>1523</v>
      </c>
      <c r="X3741" s="11">
        <v>1</v>
      </c>
      <c r="Y3741" s="11" t="s">
        <v>12359</v>
      </c>
      <c r="Z3741" s="11">
        <v>20</v>
      </c>
      <c r="AA3741" s="11">
        <v>0</v>
      </c>
      <c r="AB3741" s="12">
        <v>0</v>
      </c>
    </row>
    <row r="3742" spans="1:28" x14ac:dyDescent="0.2">
      <c r="A3742" s="7">
        <v>31460</v>
      </c>
      <c r="B3742" s="8" t="s">
        <v>23313</v>
      </c>
      <c r="C3742" s="8" t="s">
        <v>12239</v>
      </c>
      <c r="D3742" s="8" t="s">
        <v>12240</v>
      </c>
      <c r="E3742" s="8"/>
      <c r="F3742" s="8" t="s">
        <v>12242</v>
      </c>
      <c r="G3742" s="8" t="s">
        <v>615</v>
      </c>
      <c r="H3742" s="8" t="s">
        <v>616</v>
      </c>
      <c r="I3742" s="8" t="s">
        <v>12243</v>
      </c>
      <c r="J3742" s="8" t="s">
        <v>21325</v>
      </c>
      <c r="K3742" s="8" t="s">
        <v>619</v>
      </c>
      <c r="L3742" s="8" t="s">
        <v>163</v>
      </c>
      <c r="M3742" s="8" t="s">
        <v>23314</v>
      </c>
      <c r="N3742" s="8" t="s">
        <v>128</v>
      </c>
      <c r="O3742" s="8" t="s">
        <v>23315</v>
      </c>
      <c r="P3742" s="8"/>
      <c r="Q3742" s="8" t="s">
        <v>249</v>
      </c>
      <c r="R3742" s="8"/>
      <c r="S3742" s="8" t="s">
        <v>12248</v>
      </c>
      <c r="T3742" s="8" t="s">
        <v>1523</v>
      </c>
      <c r="U3742" s="8" t="s">
        <v>134</v>
      </c>
      <c r="V3742" s="8" t="s">
        <v>249</v>
      </c>
      <c r="W3742" s="8" t="s">
        <v>1523</v>
      </c>
      <c r="X3742" s="8">
        <v>1</v>
      </c>
      <c r="Y3742" s="8" t="s">
        <v>12359</v>
      </c>
      <c r="Z3742" s="8">
        <v>20</v>
      </c>
      <c r="AA3742" s="8">
        <v>0</v>
      </c>
      <c r="AB3742" s="9">
        <v>0</v>
      </c>
    </row>
    <row r="3743" spans="1:28" x14ac:dyDescent="0.2">
      <c r="A3743" s="10">
        <v>167253</v>
      </c>
      <c r="B3743" s="11" t="s">
        <v>23316</v>
      </c>
      <c r="C3743" s="11" t="s">
        <v>324</v>
      </c>
      <c r="D3743" s="11" t="s">
        <v>448</v>
      </c>
      <c r="E3743" s="11"/>
      <c r="F3743" s="11" t="s">
        <v>327</v>
      </c>
      <c r="G3743" s="11" t="s">
        <v>328</v>
      </c>
      <c r="H3743" s="11" t="s">
        <v>329</v>
      </c>
      <c r="I3743" s="11" t="s">
        <v>391</v>
      </c>
      <c r="J3743" s="11" t="s">
        <v>23317</v>
      </c>
      <c r="K3743" s="11" t="s">
        <v>332</v>
      </c>
      <c r="L3743" s="11" t="s">
        <v>333</v>
      </c>
      <c r="M3743" s="11" t="s">
        <v>23318</v>
      </c>
      <c r="N3743" s="11" t="s">
        <v>128</v>
      </c>
      <c r="O3743" s="11" t="s">
        <v>23319</v>
      </c>
      <c r="P3743" s="11"/>
      <c r="Q3743" s="11" t="s">
        <v>249</v>
      </c>
      <c r="R3743" s="11"/>
      <c r="S3743" s="11" t="s">
        <v>23320</v>
      </c>
      <c r="T3743" s="11" t="s">
        <v>1523</v>
      </c>
      <c r="U3743" s="11" t="s">
        <v>134</v>
      </c>
      <c r="V3743" s="11" t="s">
        <v>249</v>
      </c>
      <c r="W3743" s="11" t="s">
        <v>1523</v>
      </c>
      <c r="X3743" s="11">
        <v>1</v>
      </c>
      <c r="Y3743" s="11" t="s">
        <v>12359</v>
      </c>
      <c r="Z3743" s="11">
        <v>20</v>
      </c>
      <c r="AA3743" s="11">
        <v>0</v>
      </c>
      <c r="AB3743" s="12">
        <v>0</v>
      </c>
    </row>
    <row r="3744" spans="1:28" x14ac:dyDescent="0.2">
      <c r="A3744" s="7">
        <v>26482</v>
      </c>
      <c r="B3744" s="8" t="s">
        <v>23321</v>
      </c>
      <c r="C3744" s="8" t="s">
        <v>10905</v>
      </c>
      <c r="D3744" s="8" t="s">
        <v>13514</v>
      </c>
      <c r="E3744" s="8"/>
      <c r="F3744" s="8" t="s">
        <v>353</v>
      </c>
      <c r="G3744" s="8" t="s">
        <v>328</v>
      </c>
      <c r="H3744" s="8" t="s">
        <v>329</v>
      </c>
      <c r="I3744" s="8" t="s">
        <v>13516</v>
      </c>
      <c r="J3744" s="8" t="s">
        <v>23322</v>
      </c>
      <c r="K3744" s="8" t="s">
        <v>415</v>
      </c>
      <c r="L3744" s="8" t="s">
        <v>333</v>
      </c>
      <c r="M3744" s="8" t="s">
        <v>23323</v>
      </c>
      <c r="N3744" s="8" t="s">
        <v>128</v>
      </c>
      <c r="O3744" s="8" t="s">
        <v>23324</v>
      </c>
      <c r="P3744" s="8"/>
      <c r="Q3744" s="8" t="s">
        <v>249</v>
      </c>
      <c r="R3744" s="8"/>
      <c r="S3744" s="8" t="s">
        <v>13521</v>
      </c>
      <c r="T3744" s="8" t="s">
        <v>1523</v>
      </c>
      <c r="U3744" s="8" t="s">
        <v>134</v>
      </c>
      <c r="V3744" s="8" t="s">
        <v>249</v>
      </c>
      <c r="W3744" s="8" t="s">
        <v>1523</v>
      </c>
      <c r="X3744" s="8">
        <v>1</v>
      </c>
      <c r="Y3744" s="8" t="s">
        <v>12359</v>
      </c>
      <c r="Z3744" s="8">
        <v>20</v>
      </c>
      <c r="AA3744" s="8">
        <v>0</v>
      </c>
      <c r="AB3744" s="9">
        <v>0</v>
      </c>
    </row>
    <row r="3745" spans="1:28" x14ac:dyDescent="0.2">
      <c r="A3745" s="10">
        <v>31651</v>
      </c>
      <c r="B3745" s="11" t="s">
        <v>23325</v>
      </c>
      <c r="C3745" s="11" t="s">
        <v>23326</v>
      </c>
      <c r="D3745" s="11" t="s">
        <v>2230</v>
      </c>
      <c r="E3745" s="11"/>
      <c r="F3745" s="11" t="s">
        <v>353</v>
      </c>
      <c r="G3745" s="11" t="s">
        <v>5541</v>
      </c>
      <c r="H3745" s="11" t="s">
        <v>704</v>
      </c>
      <c r="I3745" s="11" t="s">
        <v>23327</v>
      </c>
      <c r="J3745" s="11" t="s">
        <v>23328</v>
      </c>
      <c r="K3745" s="11" t="s">
        <v>707</v>
      </c>
      <c r="L3745" s="11" t="s">
        <v>126</v>
      </c>
      <c r="M3745" s="11" t="s">
        <v>23329</v>
      </c>
      <c r="N3745" s="11" t="s">
        <v>128</v>
      </c>
      <c r="O3745" s="11" t="s">
        <v>23330</v>
      </c>
      <c r="P3745" s="11"/>
      <c r="Q3745" s="11" t="s">
        <v>249</v>
      </c>
      <c r="R3745" s="11"/>
      <c r="S3745" s="11" t="s">
        <v>23331</v>
      </c>
      <c r="T3745" s="11" t="s">
        <v>1523</v>
      </c>
      <c r="U3745" s="11" t="s">
        <v>134</v>
      </c>
      <c r="V3745" s="11" t="s">
        <v>249</v>
      </c>
      <c r="W3745" s="11" t="s">
        <v>1523</v>
      </c>
      <c r="X3745" s="11">
        <v>1</v>
      </c>
      <c r="Y3745" s="11" t="s">
        <v>12359</v>
      </c>
      <c r="Z3745" s="11">
        <v>20</v>
      </c>
      <c r="AA3745" s="11">
        <v>0</v>
      </c>
      <c r="AB3745" s="12">
        <v>0</v>
      </c>
    </row>
    <row r="3746" spans="1:28" x14ac:dyDescent="0.2">
      <c r="A3746" s="7">
        <v>183898</v>
      </c>
      <c r="B3746" s="8" t="s">
        <v>23332</v>
      </c>
      <c r="C3746" s="8" t="s">
        <v>20934</v>
      </c>
      <c r="D3746" s="8" t="s">
        <v>20935</v>
      </c>
      <c r="E3746" s="8"/>
      <c r="F3746" s="8" t="s">
        <v>353</v>
      </c>
      <c r="G3746" s="8" t="s">
        <v>10998</v>
      </c>
      <c r="H3746" s="8" t="s">
        <v>159</v>
      </c>
      <c r="I3746" s="8" t="s">
        <v>10999</v>
      </c>
      <c r="J3746" s="8" t="s">
        <v>11000</v>
      </c>
      <c r="K3746" s="8" t="s">
        <v>274</v>
      </c>
      <c r="L3746" s="8" t="s">
        <v>163</v>
      </c>
      <c r="M3746" s="8" t="s">
        <v>23333</v>
      </c>
      <c r="N3746" s="8" t="s">
        <v>128</v>
      </c>
      <c r="O3746" s="8" t="s">
        <v>23334</v>
      </c>
      <c r="P3746" s="8"/>
      <c r="Q3746" s="8" t="s">
        <v>249</v>
      </c>
      <c r="R3746" s="8"/>
      <c r="S3746" s="8" t="s">
        <v>11004</v>
      </c>
      <c r="T3746" s="8" t="s">
        <v>1523</v>
      </c>
      <c r="U3746" s="8" t="s">
        <v>134</v>
      </c>
      <c r="V3746" s="8" t="s">
        <v>249</v>
      </c>
      <c r="W3746" s="8" t="s">
        <v>1523</v>
      </c>
      <c r="X3746" s="8">
        <v>1</v>
      </c>
      <c r="Y3746" s="8" t="s">
        <v>12359</v>
      </c>
      <c r="Z3746" s="8">
        <v>20</v>
      </c>
      <c r="AA3746" s="8">
        <v>0</v>
      </c>
      <c r="AB3746" s="9">
        <v>0</v>
      </c>
    </row>
    <row r="3747" spans="1:28" x14ac:dyDescent="0.2">
      <c r="A3747" s="10">
        <v>22182</v>
      </c>
      <c r="B3747" s="11" t="s">
        <v>23335</v>
      </c>
      <c r="C3747" s="11" t="s">
        <v>2541</v>
      </c>
      <c r="D3747" s="11" t="s">
        <v>18086</v>
      </c>
      <c r="E3747" s="11"/>
      <c r="F3747" s="11" t="s">
        <v>353</v>
      </c>
      <c r="G3747" s="11" t="s">
        <v>23336</v>
      </c>
      <c r="H3747" s="11" t="s">
        <v>557</v>
      </c>
      <c r="I3747" s="11" t="s">
        <v>23337</v>
      </c>
      <c r="J3747" s="11" t="s">
        <v>23338</v>
      </c>
      <c r="K3747" s="11" t="s">
        <v>560</v>
      </c>
      <c r="L3747" s="11" t="s">
        <v>229</v>
      </c>
      <c r="M3747" s="11" t="s">
        <v>23339</v>
      </c>
      <c r="N3747" s="11" t="s">
        <v>128</v>
      </c>
      <c r="O3747" s="11" t="s">
        <v>23340</v>
      </c>
      <c r="P3747" s="11"/>
      <c r="Q3747" s="11" t="s">
        <v>249</v>
      </c>
      <c r="R3747" s="11"/>
      <c r="S3747" s="11" t="s">
        <v>71</v>
      </c>
      <c r="T3747" s="11" t="s">
        <v>1523</v>
      </c>
      <c r="U3747" s="11" t="s">
        <v>134</v>
      </c>
      <c r="V3747" s="11" t="s">
        <v>249</v>
      </c>
      <c r="W3747" s="11" t="s">
        <v>1523</v>
      </c>
      <c r="X3747" s="11">
        <v>1</v>
      </c>
      <c r="Y3747" s="11" t="s">
        <v>12359</v>
      </c>
      <c r="Z3747" s="11">
        <v>20</v>
      </c>
      <c r="AA3747" s="11">
        <v>0</v>
      </c>
      <c r="AB3747" s="12">
        <v>0</v>
      </c>
    </row>
    <row r="3748" spans="1:28" x14ac:dyDescent="0.2">
      <c r="A3748" s="7">
        <v>31596</v>
      </c>
      <c r="B3748" s="8" t="s">
        <v>23341</v>
      </c>
      <c r="C3748" s="8" t="s">
        <v>23342</v>
      </c>
      <c r="D3748" s="8" t="s">
        <v>8299</v>
      </c>
      <c r="E3748" s="8"/>
      <c r="F3748" s="8" t="s">
        <v>353</v>
      </c>
      <c r="G3748" s="8" t="s">
        <v>12262</v>
      </c>
      <c r="H3748" s="8" t="s">
        <v>704</v>
      </c>
      <c r="I3748" s="8" t="s">
        <v>22264</v>
      </c>
      <c r="J3748" s="8" t="s">
        <v>23343</v>
      </c>
      <c r="K3748" s="8" t="s">
        <v>707</v>
      </c>
      <c r="L3748" s="8" t="s">
        <v>126</v>
      </c>
      <c r="M3748" s="8" t="s">
        <v>23344</v>
      </c>
      <c r="N3748" s="8" t="s">
        <v>128</v>
      </c>
      <c r="O3748" s="8" t="s">
        <v>23345</v>
      </c>
      <c r="P3748" s="8"/>
      <c r="Q3748" s="8" t="s">
        <v>249</v>
      </c>
      <c r="R3748" s="8"/>
      <c r="S3748" s="8" t="s">
        <v>71</v>
      </c>
      <c r="T3748" s="8" t="s">
        <v>1523</v>
      </c>
      <c r="U3748" s="8" t="s">
        <v>134</v>
      </c>
      <c r="V3748" s="8" t="s">
        <v>249</v>
      </c>
      <c r="W3748" s="8" t="s">
        <v>1523</v>
      </c>
      <c r="X3748" s="8">
        <v>1</v>
      </c>
      <c r="Y3748" s="8" t="s">
        <v>12359</v>
      </c>
      <c r="Z3748" s="8">
        <v>20</v>
      </c>
      <c r="AA3748" s="8">
        <v>0</v>
      </c>
      <c r="AB3748" s="9">
        <v>0</v>
      </c>
    </row>
    <row r="3749" spans="1:28" x14ac:dyDescent="0.2">
      <c r="A3749" s="10">
        <v>31599</v>
      </c>
      <c r="B3749" s="11" t="s">
        <v>23346</v>
      </c>
      <c r="C3749" s="11" t="s">
        <v>20213</v>
      </c>
      <c r="D3749" s="11" t="s">
        <v>2301</v>
      </c>
      <c r="E3749" s="11"/>
      <c r="F3749" s="11" t="s">
        <v>353</v>
      </c>
      <c r="G3749" s="11" t="s">
        <v>12311</v>
      </c>
      <c r="H3749" s="11" t="s">
        <v>122</v>
      </c>
      <c r="I3749" s="11" t="s">
        <v>20599</v>
      </c>
      <c r="J3749" s="11" t="s">
        <v>23347</v>
      </c>
      <c r="K3749" s="11" t="s">
        <v>125</v>
      </c>
      <c r="L3749" s="11" t="s">
        <v>126</v>
      </c>
      <c r="M3749" s="11" t="s">
        <v>23348</v>
      </c>
      <c r="N3749" s="11" t="s">
        <v>128</v>
      </c>
      <c r="O3749" s="11" t="s">
        <v>23349</v>
      </c>
      <c r="P3749" s="11"/>
      <c r="Q3749" s="11" t="s">
        <v>249</v>
      </c>
      <c r="R3749" s="11"/>
      <c r="S3749" s="11" t="s">
        <v>71</v>
      </c>
      <c r="T3749" s="11" t="s">
        <v>1523</v>
      </c>
      <c r="U3749" s="11" t="s">
        <v>134</v>
      </c>
      <c r="V3749" s="11" t="s">
        <v>249</v>
      </c>
      <c r="W3749" s="11" t="s">
        <v>1523</v>
      </c>
      <c r="X3749" s="11">
        <v>1</v>
      </c>
      <c r="Y3749" s="11" t="s">
        <v>12359</v>
      </c>
      <c r="Z3749" s="11">
        <v>20</v>
      </c>
      <c r="AA3749" s="11">
        <v>0</v>
      </c>
      <c r="AB3749" s="12">
        <v>0</v>
      </c>
    </row>
    <row r="3750" spans="1:28" x14ac:dyDescent="0.2">
      <c r="A3750" s="7">
        <v>110285</v>
      </c>
      <c r="B3750" s="8" t="s">
        <v>23350</v>
      </c>
      <c r="C3750" s="8" t="s">
        <v>16425</v>
      </c>
      <c r="D3750" s="8" t="s">
        <v>23351</v>
      </c>
      <c r="E3750" s="8"/>
      <c r="F3750" s="8" t="s">
        <v>23352</v>
      </c>
      <c r="G3750" s="8" t="s">
        <v>703</v>
      </c>
      <c r="H3750" s="8" t="s">
        <v>704</v>
      </c>
      <c r="I3750" s="8" t="s">
        <v>19851</v>
      </c>
      <c r="J3750" s="8" t="s">
        <v>23353</v>
      </c>
      <c r="K3750" s="8" t="s">
        <v>707</v>
      </c>
      <c r="L3750" s="8" t="s">
        <v>126</v>
      </c>
      <c r="M3750" s="8" t="s">
        <v>23354</v>
      </c>
      <c r="N3750" s="8" t="s">
        <v>128</v>
      </c>
      <c r="O3750" s="8" t="s">
        <v>23355</v>
      </c>
      <c r="P3750" s="8"/>
      <c r="Q3750" s="8" t="s">
        <v>249</v>
      </c>
      <c r="R3750" s="8"/>
      <c r="S3750" s="8" t="s">
        <v>71</v>
      </c>
      <c r="T3750" s="8" t="s">
        <v>1523</v>
      </c>
      <c r="U3750" s="8" t="s">
        <v>134</v>
      </c>
      <c r="V3750" s="8" t="s">
        <v>249</v>
      </c>
      <c r="W3750" s="8" t="s">
        <v>1523</v>
      </c>
      <c r="X3750" s="8">
        <v>1</v>
      </c>
      <c r="Y3750" s="8" t="s">
        <v>12359</v>
      </c>
      <c r="Z3750" s="8">
        <v>20</v>
      </c>
      <c r="AA3750" s="8">
        <v>0</v>
      </c>
      <c r="AB3750" s="9">
        <v>0</v>
      </c>
    </row>
    <row r="3751" spans="1:28" x14ac:dyDescent="0.2">
      <c r="A3751" s="10">
        <v>25573</v>
      </c>
      <c r="B3751" s="11" t="s">
        <v>23356</v>
      </c>
      <c r="C3751" s="11" t="s">
        <v>23357</v>
      </c>
      <c r="D3751" s="11" t="s">
        <v>701</v>
      </c>
      <c r="E3751" s="11"/>
      <c r="F3751" s="11"/>
      <c r="G3751" s="11" t="s">
        <v>23004</v>
      </c>
      <c r="H3751" s="11" t="s">
        <v>122</v>
      </c>
      <c r="I3751" s="11" t="s">
        <v>23358</v>
      </c>
      <c r="J3751" s="11" t="s">
        <v>23359</v>
      </c>
      <c r="K3751" s="11" t="s">
        <v>1051</v>
      </c>
      <c r="L3751" s="11" t="s">
        <v>126</v>
      </c>
      <c r="M3751" s="11" t="s">
        <v>23360</v>
      </c>
      <c r="N3751" s="11" t="s">
        <v>128</v>
      </c>
      <c r="O3751" s="11"/>
      <c r="P3751" s="11"/>
      <c r="Q3751" s="11" t="s">
        <v>249</v>
      </c>
      <c r="R3751" s="11"/>
      <c r="S3751" s="11" t="s">
        <v>71</v>
      </c>
      <c r="T3751" s="11" t="s">
        <v>1523</v>
      </c>
      <c r="U3751" s="11" t="s">
        <v>134</v>
      </c>
      <c r="V3751" s="11" t="s">
        <v>249</v>
      </c>
      <c r="W3751" s="11" t="s">
        <v>1523</v>
      </c>
      <c r="X3751" s="11">
        <v>1</v>
      </c>
      <c r="Y3751" s="11" t="s">
        <v>12359</v>
      </c>
      <c r="Z3751" s="11">
        <v>20</v>
      </c>
      <c r="AA3751" s="11">
        <v>0</v>
      </c>
      <c r="AB3751" s="12">
        <v>0</v>
      </c>
    </row>
    <row r="3752" spans="1:28" x14ac:dyDescent="0.2">
      <c r="A3752" s="7">
        <v>31544</v>
      </c>
      <c r="B3752" s="8" t="s">
        <v>23361</v>
      </c>
      <c r="C3752" s="8" t="s">
        <v>10421</v>
      </c>
      <c r="D3752" s="8" t="s">
        <v>7616</v>
      </c>
      <c r="E3752" s="8"/>
      <c r="F3752" s="8" t="s">
        <v>353</v>
      </c>
      <c r="G3752" s="8" t="s">
        <v>7116</v>
      </c>
      <c r="H3752" s="8" t="s">
        <v>142</v>
      </c>
      <c r="I3752" s="8"/>
      <c r="J3752" s="8" t="s">
        <v>23362</v>
      </c>
      <c r="K3752" s="8" t="s">
        <v>1199</v>
      </c>
      <c r="L3752" s="8" t="s">
        <v>464</v>
      </c>
      <c r="M3752" s="8" t="s">
        <v>23363</v>
      </c>
      <c r="N3752" s="8" t="s">
        <v>128</v>
      </c>
      <c r="O3752" s="8"/>
      <c r="P3752" s="8"/>
      <c r="Q3752" s="8" t="s">
        <v>249</v>
      </c>
      <c r="R3752" s="8"/>
      <c r="S3752" s="8" t="s">
        <v>71</v>
      </c>
      <c r="T3752" s="8" t="s">
        <v>1523</v>
      </c>
      <c r="U3752" s="8" t="s">
        <v>134</v>
      </c>
      <c r="V3752" s="8" t="s">
        <v>249</v>
      </c>
      <c r="W3752" s="8" t="s">
        <v>1523</v>
      </c>
      <c r="X3752" s="8">
        <v>1</v>
      </c>
      <c r="Y3752" s="8" t="s">
        <v>12359</v>
      </c>
      <c r="Z3752" s="8">
        <v>20</v>
      </c>
      <c r="AA3752" s="8">
        <v>0</v>
      </c>
      <c r="AB3752" s="9">
        <v>0</v>
      </c>
    </row>
    <row r="3753" spans="1:28" x14ac:dyDescent="0.2">
      <c r="A3753" s="10">
        <v>25367</v>
      </c>
      <c r="B3753" s="11" t="s">
        <v>23364</v>
      </c>
      <c r="C3753" s="11" t="s">
        <v>23365</v>
      </c>
      <c r="D3753" s="11"/>
      <c r="E3753" s="11" t="s">
        <v>23366</v>
      </c>
      <c r="F3753" s="11" t="s">
        <v>23367</v>
      </c>
      <c r="G3753" s="11" t="s">
        <v>450</v>
      </c>
      <c r="H3753" s="11" t="s">
        <v>301</v>
      </c>
      <c r="I3753" s="11" t="s">
        <v>23368</v>
      </c>
      <c r="J3753" s="11" t="s">
        <v>23369</v>
      </c>
      <c r="K3753" s="11" t="s">
        <v>304</v>
      </c>
      <c r="L3753" s="11" t="s">
        <v>229</v>
      </c>
      <c r="M3753" s="11" t="s">
        <v>23370</v>
      </c>
      <c r="N3753" s="11" t="s">
        <v>128</v>
      </c>
      <c r="O3753" s="11" t="s">
        <v>23371</v>
      </c>
      <c r="P3753" s="11" t="s">
        <v>23372</v>
      </c>
      <c r="Q3753" s="11" t="s">
        <v>249</v>
      </c>
      <c r="R3753" s="11"/>
      <c r="S3753" s="11" t="s">
        <v>71</v>
      </c>
      <c r="T3753" s="11" t="s">
        <v>250</v>
      </c>
      <c r="U3753" s="11" t="s">
        <v>134</v>
      </c>
      <c r="V3753" s="11" t="s">
        <v>249</v>
      </c>
      <c r="W3753" s="11" t="s">
        <v>250</v>
      </c>
      <c r="X3753" s="11">
        <v>1</v>
      </c>
      <c r="Y3753" s="11" t="s">
        <v>12359</v>
      </c>
      <c r="Z3753" s="11">
        <v>20</v>
      </c>
      <c r="AA3753" s="11">
        <v>0</v>
      </c>
      <c r="AB3753" s="12">
        <v>0</v>
      </c>
    </row>
    <row r="3754" spans="1:28" x14ac:dyDescent="0.2">
      <c r="A3754" s="7">
        <v>115876</v>
      </c>
      <c r="B3754" s="8" t="s">
        <v>23373</v>
      </c>
      <c r="C3754" s="8" t="s">
        <v>23374</v>
      </c>
      <c r="D3754" s="8" t="s">
        <v>3854</v>
      </c>
      <c r="E3754" s="8" t="s">
        <v>8582</v>
      </c>
      <c r="F3754" s="8" t="s">
        <v>19651</v>
      </c>
      <c r="G3754" s="8" t="s">
        <v>19652</v>
      </c>
      <c r="H3754" s="8" t="s">
        <v>847</v>
      </c>
      <c r="I3754" s="8" t="s">
        <v>19653</v>
      </c>
      <c r="J3754" s="8" t="s">
        <v>23375</v>
      </c>
      <c r="K3754" s="8" t="s">
        <v>850</v>
      </c>
      <c r="L3754" s="8" t="s">
        <v>126</v>
      </c>
      <c r="M3754" s="8" t="s">
        <v>23376</v>
      </c>
      <c r="N3754" s="8" t="s">
        <v>128</v>
      </c>
      <c r="O3754" s="8" t="s">
        <v>23377</v>
      </c>
      <c r="P3754" s="8" t="s">
        <v>23378</v>
      </c>
      <c r="Q3754" s="8" t="s">
        <v>249</v>
      </c>
      <c r="R3754" s="8"/>
      <c r="S3754" s="8" t="s">
        <v>71</v>
      </c>
      <c r="T3754" s="8" t="s">
        <v>250</v>
      </c>
      <c r="U3754" s="8" t="s">
        <v>134</v>
      </c>
      <c r="V3754" s="8" t="s">
        <v>249</v>
      </c>
      <c r="W3754" s="8" t="s">
        <v>250</v>
      </c>
      <c r="X3754" s="8">
        <v>1</v>
      </c>
      <c r="Y3754" s="8" t="s">
        <v>12359</v>
      </c>
      <c r="Z3754" s="8">
        <v>20</v>
      </c>
      <c r="AA3754" s="8">
        <v>0</v>
      </c>
      <c r="AB3754" s="9">
        <v>0</v>
      </c>
    </row>
    <row r="3755" spans="1:28" x14ac:dyDescent="0.2">
      <c r="A3755" s="10">
        <v>25390</v>
      </c>
      <c r="B3755" s="11" t="s">
        <v>23379</v>
      </c>
      <c r="C3755" s="11" t="s">
        <v>16358</v>
      </c>
      <c r="D3755" s="11" t="s">
        <v>20001</v>
      </c>
      <c r="E3755" s="11" t="s">
        <v>23380</v>
      </c>
      <c r="F3755" s="11" t="s">
        <v>20429</v>
      </c>
      <c r="G3755" s="11" t="s">
        <v>190</v>
      </c>
      <c r="H3755" s="11" t="s">
        <v>191</v>
      </c>
      <c r="I3755" s="11" t="s">
        <v>22130</v>
      </c>
      <c r="J3755" s="11" t="s">
        <v>20430</v>
      </c>
      <c r="K3755" s="11" t="s">
        <v>194</v>
      </c>
      <c r="L3755" s="11" t="s">
        <v>163</v>
      </c>
      <c r="M3755" s="11" t="s">
        <v>23381</v>
      </c>
      <c r="N3755" s="11" t="s">
        <v>128</v>
      </c>
      <c r="O3755" s="11" t="s">
        <v>23382</v>
      </c>
      <c r="P3755" s="11" t="s">
        <v>23383</v>
      </c>
      <c r="Q3755" s="11" t="s">
        <v>249</v>
      </c>
      <c r="R3755" s="11"/>
      <c r="S3755" s="11" t="s">
        <v>20007</v>
      </c>
      <c r="T3755" s="11" t="s">
        <v>250</v>
      </c>
      <c r="U3755" s="11" t="s">
        <v>134</v>
      </c>
      <c r="V3755" s="11" t="s">
        <v>249</v>
      </c>
      <c r="W3755" s="11" t="s">
        <v>250</v>
      </c>
      <c r="X3755" s="11">
        <v>1</v>
      </c>
      <c r="Y3755" s="11" t="s">
        <v>12359</v>
      </c>
      <c r="Z3755" s="11">
        <v>20</v>
      </c>
      <c r="AA3755" s="11">
        <v>0</v>
      </c>
      <c r="AB3755" s="12">
        <v>0</v>
      </c>
    </row>
    <row r="3756" spans="1:28" x14ac:dyDescent="0.2">
      <c r="A3756" s="7">
        <v>25522</v>
      </c>
      <c r="B3756" s="8" t="s">
        <v>23384</v>
      </c>
      <c r="C3756" s="8" t="s">
        <v>8130</v>
      </c>
      <c r="D3756" s="8" t="s">
        <v>7456</v>
      </c>
      <c r="E3756" s="8"/>
      <c r="F3756" s="8" t="s">
        <v>353</v>
      </c>
      <c r="G3756" s="8" t="s">
        <v>3454</v>
      </c>
      <c r="H3756" s="8" t="s">
        <v>142</v>
      </c>
      <c r="I3756" s="8" t="s">
        <v>15299</v>
      </c>
      <c r="J3756" s="8" t="s">
        <v>23385</v>
      </c>
      <c r="K3756" s="8" t="s">
        <v>1673</v>
      </c>
      <c r="L3756" s="8" t="s">
        <v>464</v>
      </c>
      <c r="M3756" s="8" t="s">
        <v>23386</v>
      </c>
      <c r="N3756" s="8" t="s">
        <v>128</v>
      </c>
      <c r="O3756" s="8" t="s">
        <v>23387</v>
      </c>
      <c r="P3756" s="8" t="s">
        <v>23388</v>
      </c>
      <c r="Q3756" s="8" t="s">
        <v>249</v>
      </c>
      <c r="R3756" s="8"/>
      <c r="S3756" s="8" t="s">
        <v>71</v>
      </c>
      <c r="T3756" s="8" t="s">
        <v>250</v>
      </c>
      <c r="U3756" s="8" t="s">
        <v>134</v>
      </c>
      <c r="V3756" s="8" t="s">
        <v>249</v>
      </c>
      <c r="W3756" s="8" t="s">
        <v>250</v>
      </c>
      <c r="X3756" s="8">
        <v>1</v>
      </c>
      <c r="Y3756" s="8" t="s">
        <v>12359</v>
      </c>
      <c r="Z3756" s="8">
        <v>20</v>
      </c>
      <c r="AA3756" s="8">
        <v>0</v>
      </c>
      <c r="AB3756" s="9">
        <v>0</v>
      </c>
    </row>
    <row r="3757" spans="1:28" x14ac:dyDescent="0.2">
      <c r="A3757" s="10">
        <v>22921</v>
      </c>
      <c r="B3757" s="11" t="s">
        <v>23389</v>
      </c>
      <c r="C3757" s="11" t="s">
        <v>1136</v>
      </c>
      <c r="D3757" s="11" t="s">
        <v>23390</v>
      </c>
      <c r="E3757" s="11"/>
      <c r="F3757" s="11" t="s">
        <v>1138</v>
      </c>
      <c r="G3757" s="11" t="s">
        <v>1139</v>
      </c>
      <c r="H3757" s="11" t="s">
        <v>557</v>
      </c>
      <c r="I3757" s="11" t="s">
        <v>23391</v>
      </c>
      <c r="J3757" s="11" t="s">
        <v>23392</v>
      </c>
      <c r="K3757" s="11" t="s">
        <v>560</v>
      </c>
      <c r="L3757" s="11" t="s">
        <v>229</v>
      </c>
      <c r="M3757" s="11" t="s">
        <v>23393</v>
      </c>
      <c r="N3757" s="11" t="s">
        <v>128</v>
      </c>
      <c r="O3757" s="11" t="s">
        <v>23394</v>
      </c>
      <c r="P3757" s="11" t="s">
        <v>23395</v>
      </c>
      <c r="Q3757" s="11" t="s">
        <v>150</v>
      </c>
      <c r="R3757" s="11"/>
      <c r="S3757" s="11" t="s">
        <v>71</v>
      </c>
      <c r="T3757" s="11" t="s">
        <v>70</v>
      </c>
      <c r="U3757" s="11" t="s">
        <v>150</v>
      </c>
      <c r="V3757" s="11" t="s">
        <v>70</v>
      </c>
      <c r="W3757" s="11" t="s">
        <v>70</v>
      </c>
      <c r="X3757" s="11">
        <v>52</v>
      </c>
      <c r="Y3757" s="11" t="s">
        <v>12359</v>
      </c>
      <c r="Z3757" s="11">
        <v>20</v>
      </c>
      <c r="AA3757" s="11">
        <v>0</v>
      </c>
      <c r="AB3757" s="12">
        <v>0</v>
      </c>
    </row>
    <row r="3758" spans="1:28" x14ac:dyDescent="0.2">
      <c r="A3758" s="7">
        <v>25259</v>
      </c>
      <c r="B3758" s="8" t="s">
        <v>23396</v>
      </c>
      <c r="C3758" s="8" t="s">
        <v>1282</v>
      </c>
      <c r="D3758" s="8" t="s">
        <v>1283</v>
      </c>
      <c r="E3758" s="8" t="s">
        <v>23397</v>
      </c>
      <c r="F3758" s="8" t="s">
        <v>1285</v>
      </c>
      <c r="G3758" s="8" t="s">
        <v>1286</v>
      </c>
      <c r="H3758" s="8" t="s">
        <v>142</v>
      </c>
      <c r="I3758" s="8" t="s">
        <v>1287</v>
      </c>
      <c r="J3758" s="8" t="s">
        <v>1379</v>
      </c>
      <c r="K3758" s="8" t="s">
        <v>717</v>
      </c>
      <c r="L3758" s="8" t="s">
        <v>464</v>
      </c>
      <c r="M3758" s="8" t="s">
        <v>23398</v>
      </c>
      <c r="N3758" s="8" t="s">
        <v>128</v>
      </c>
      <c r="O3758" s="8" t="s">
        <v>23399</v>
      </c>
      <c r="P3758" s="8"/>
      <c r="Q3758" s="8" t="s">
        <v>740</v>
      </c>
      <c r="R3758" s="8"/>
      <c r="S3758" s="8" t="s">
        <v>1292</v>
      </c>
      <c r="T3758" s="8" t="s">
        <v>741</v>
      </c>
      <c r="U3758" s="8" t="s">
        <v>134</v>
      </c>
      <c r="V3758" s="8" t="s">
        <v>740</v>
      </c>
      <c r="W3758" s="8" t="s">
        <v>741</v>
      </c>
      <c r="X3758" s="8">
        <v>37</v>
      </c>
      <c r="Y3758" s="8" t="s">
        <v>12359</v>
      </c>
      <c r="Z3758" s="8">
        <v>20</v>
      </c>
      <c r="AA3758" s="8">
        <v>1</v>
      </c>
      <c r="AB3758" s="9">
        <v>0</v>
      </c>
    </row>
    <row r="3759" spans="1:28" x14ac:dyDescent="0.2">
      <c r="A3759" s="10">
        <v>25145</v>
      </c>
      <c r="B3759" s="11" t="s">
        <v>23400</v>
      </c>
      <c r="C3759" s="11" t="s">
        <v>2742</v>
      </c>
      <c r="D3759" s="11" t="s">
        <v>2743</v>
      </c>
      <c r="E3759" s="11"/>
      <c r="F3759" s="11" t="s">
        <v>2745</v>
      </c>
      <c r="G3759" s="11" t="s">
        <v>141</v>
      </c>
      <c r="H3759" s="11" t="s">
        <v>142</v>
      </c>
      <c r="I3759" s="11" t="s">
        <v>2746</v>
      </c>
      <c r="J3759" s="11" t="s">
        <v>2747</v>
      </c>
      <c r="K3759" s="11" t="s">
        <v>991</v>
      </c>
      <c r="L3759" s="11" t="s">
        <v>146</v>
      </c>
      <c r="M3759" s="11" t="s">
        <v>23401</v>
      </c>
      <c r="N3759" s="11" t="s">
        <v>128</v>
      </c>
      <c r="O3759" s="11" t="s">
        <v>23402</v>
      </c>
      <c r="P3759" s="11"/>
      <c r="Q3759" s="11" t="s">
        <v>740</v>
      </c>
      <c r="R3759" s="11"/>
      <c r="S3759" s="11" t="s">
        <v>2751</v>
      </c>
      <c r="T3759" s="11" t="s">
        <v>741</v>
      </c>
      <c r="U3759" s="11" t="s">
        <v>134</v>
      </c>
      <c r="V3759" s="11" t="s">
        <v>740</v>
      </c>
      <c r="W3759" s="11" t="s">
        <v>741</v>
      </c>
      <c r="X3759" s="11">
        <v>30</v>
      </c>
      <c r="Y3759" s="11" t="s">
        <v>12359</v>
      </c>
      <c r="Z3759" s="11">
        <v>20</v>
      </c>
      <c r="AA3759" s="11">
        <v>1</v>
      </c>
      <c r="AB3759" s="12">
        <v>0</v>
      </c>
    </row>
    <row r="3760" spans="1:28" x14ac:dyDescent="0.2">
      <c r="A3760" s="7">
        <v>37889</v>
      </c>
      <c r="B3760" s="8" t="s">
        <v>23403</v>
      </c>
      <c r="C3760" s="8" t="s">
        <v>1703</v>
      </c>
      <c r="D3760" s="8" t="s">
        <v>1704</v>
      </c>
      <c r="E3760" s="8"/>
      <c r="F3760" s="8" t="s">
        <v>23404</v>
      </c>
      <c r="G3760" s="8" t="s">
        <v>141</v>
      </c>
      <c r="H3760" s="8" t="s">
        <v>142</v>
      </c>
      <c r="I3760" s="8" t="s">
        <v>1706</v>
      </c>
      <c r="J3760" s="8" t="s">
        <v>1707</v>
      </c>
      <c r="K3760" s="8" t="s">
        <v>991</v>
      </c>
      <c r="L3760" s="8" t="s">
        <v>146</v>
      </c>
      <c r="M3760" s="8" t="s">
        <v>23405</v>
      </c>
      <c r="N3760" s="8" t="s">
        <v>128</v>
      </c>
      <c r="O3760" s="8" t="s">
        <v>23406</v>
      </c>
      <c r="P3760" s="8"/>
      <c r="Q3760" s="8" t="s">
        <v>249</v>
      </c>
      <c r="R3760" s="8"/>
      <c r="S3760" s="8" t="s">
        <v>1711</v>
      </c>
      <c r="T3760" s="8" t="s">
        <v>1523</v>
      </c>
      <c r="U3760" s="8" t="s">
        <v>134</v>
      </c>
      <c r="V3760" s="8" t="s">
        <v>249</v>
      </c>
      <c r="W3760" s="8" t="s">
        <v>1523</v>
      </c>
      <c r="X3760" s="8">
        <v>28</v>
      </c>
      <c r="Y3760" s="8" t="s">
        <v>12359</v>
      </c>
      <c r="Z3760" s="8">
        <v>20</v>
      </c>
      <c r="AA3760" s="8">
        <v>1</v>
      </c>
      <c r="AB3760" s="9">
        <v>0</v>
      </c>
    </row>
    <row r="3761" spans="1:28" x14ac:dyDescent="0.2">
      <c r="A3761" s="10">
        <v>21876</v>
      </c>
      <c r="B3761" s="11" t="s">
        <v>23407</v>
      </c>
      <c r="C3761" s="11" t="s">
        <v>8058</v>
      </c>
      <c r="D3761" s="11" t="s">
        <v>448</v>
      </c>
      <c r="E3761" s="11" t="s">
        <v>23408</v>
      </c>
      <c r="F3761" s="11" t="s">
        <v>8060</v>
      </c>
      <c r="G3761" s="11" t="s">
        <v>1196</v>
      </c>
      <c r="H3761" s="11" t="s">
        <v>142</v>
      </c>
      <c r="I3761" s="11" t="s">
        <v>8061</v>
      </c>
      <c r="J3761" s="11" t="s">
        <v>8062</v>
      </c>
      <c r="K3761" s="11" t="s">
        <v>1199</v>
      </c>
      <c r="L3761" s="11" t="s">
        <v>464</v>
      </c>
      <c r="M3761" s="11" t="s">
        <v>23409</v>
      </c>
      <c r="N3761" s="11" t="s">
        <v>128</v>
      </c>
      <c r="O3761" s="11" t="s">
        <v>23410</v>
      </c>
      <c r="P3761" s="11" t="s">
        <v>20236</v>
      </c>
      <c r="Q3761" s="11" t="s">
        <v>131</v>
      </c>
      <c r="R3761" s="11"/>
      <c r="S3761" s="11" t="s">
        <v>8066</v>
      </c>
      <c r="T3761" s="11" t="s">
        <v>133</v>
      </c>
      <c r="U3761" s="11" t="s">
        <v>134</v>
      </c>
      <c r="V3761" s="11" t="s">
        <v>131</v>
      </c>
      <c r="W3761" s="11" t="s">
        <v>133</v>
      </c>
      <c r="X3761" s="11">
        <v>26</v>
      </c>
      <c r="Y3761" s="11" t="s">
        <v>12359</v>
      </c>
      <c r="Z3761" s="11">
        <v>20</v>
      </c>
      <c r="AA3761" s="11">
        <v>0</v>
      </c>
      <c r="AB3761" s="12">
        <v>0</v>
      </c>
    </row>
    <row r="3762" spans="1:28" x14ac:dyDescent="0.2">
      <c r="A3762" s="7">
        <v>214570</v>
      </c>
      <c r="B3762" s="8" t="s">
        <v>23411</v>
      </c>
      <c r="C3762" s="8" t="s">
        <v>13141</v>
      </c>
      <c r="D3762" s="8" t="s">
        <v>6682</v>
      </c>
      <c r="E3762" s="8"/>
      <c r="F3762" s="8" t="s">
        <v>353</v>
      </c>
      <c r="G3762" s="8" t="s">
        <v>6741</v>
      </c>
      <c r="H3762" s="8" t="s">
        <v>1953</v>
      </c>
      <c r="I3762" s="8" t="s">
        <v>13144</v>
      </c>
      <c r="J3762" s="8" t="s">
        <v>23412</v>
      </c>
      <c r="K3762" s="8" t="s">
        <v>1956</v>
      </c>
      <c r="L3762" s="8" t="s">
        <v>526</v>
      </c>
      <c r="M3762" s="8" t="s">
        <v>23413</v>
      </c>
      <c r="N3762" s="8" t="s">
        <v>128</v>
      </c>
      <c r="O3762" s="8" t="s">
        <v>23414</v>
      </c>
      <c r="P3762" s="8" t="s">
        <v>10061</v>
      </c>
      <c r="Q3762" s="8" t="s">
        <v>150</v>
      </c>
      <c r="R3762" s="8"/>
      <c r="S3762" s="8" t="s">
        <v>71</v>
      </c>
      <c r="T3762" s="8" t="s">
        <v>168</v>
      </c>
      <c r="U3762" s="8" t="s">
        <v>150</v>
      </c>
      <c r="V3762" s="8" t="s">
        <v>168</v>
      </c>
      <c r="W3762" s="8" t="s">
        <v>168</v>
      </c>
      <c r="X3762" s="8">
        <v>21</v>
      </c>
      <c r="Y3762" s="8" t="s">
        <v>12359</v>
      </c>
      <c r="Z3762" s="8">
        <v>20</v>
      </c>
      <c r="AA3762" s="8">
        <v>0</v>
      </c>
      <c r="AB3762" s="9">
        <v>0</v>
      </c>
    </row>
    <row r="3763" spans="1:28" x14ac:dyDescent="0.2">
      <c r="A3763" s="10">
        <v>248288</v>
      </c>
      <c r="B3763" s="11" t="s">
        <v>23415</v>
      </c>
      <c r="C3763" s="11" t="s">
        <v>12695</v>
      </c>
      <c r="D3763" s="11" t="s">
        <v>23416</v>
      </c>
      <c r="E3763" s="11" t="s">
        <v>4860</v>
      </c>
      <c r="F3763" s="11" t="s">
        <v>23417</v>
      </c>
      <c r="G3763" s="11" t="s">
        <v>141</v>
      </c>
      <c r="H3763" s="11" t="s">
        <v>142</v>
      </c>
      <c r="I3763" s="11" t="s">
        <v>23418</v>
      </c>
      <c r="J3763" s="11" t="s">
        <v>23419</v>
      </c>
      <c r="K3763" s="11" t="s">
        <v>991</v>
      </c>
      <c r="L3763" s="11" t="s">
        <v>146</v>
      </c>
      <c r="M3763" s="11" t="s">
        <v>23420</v>
      </c>
      <c r="N3763" s="11" t="s">
        <v>128</v>
      </c>
      <c r="O3763" s="11"/>
      <c r="P3763" s="11" t="s">
        <v>6355</v>
      </c>
      <c r="Q3763" s="11" t="s">
        <v>150</v>
      </c>
      <c r="R3763" s="11"/>
      <c r="S3763" s="11" t="s">
        <v>12702</v>
      </c>
      <c r="T3763" s="11" t="s">
        <v>168</v>
      </c>
      <c r="U3763" s="11" t="s">
        <v>150</v>
      </c>
      <c r="V3763" s="11" t="s">
        <v>168</v>
      </c>
      <c r="W3763" s="11" t="s">
        <v>168</v>
      </c>
      <c r="X3763" s="11">
        <v>16</v>
      </c>
      <c r="Y3763" s="11" t="s">
        <v>12359</v>
      </c>
      <c r="Z3763" s="11">
        <v>20</v>
      </c>
      <c r="AA3763" s="11">
        <v>1</v>
      </c>
      <c r="AB3763" s="12">
        <v>0</v>
      </c>
    </row>
    <row r="3764" spans="1:28" x14ac:dyDescent="0.2">
      <c r="A3764" s="7">
        <v>21967</v>
      </c>
      <c r="B3764" s="8" t="s">
        <v>23421</v>
      </c>
      <c r="C3764" s="8" t="s">
        <v>3012</v>
      </c>
      <c r="D3764" s="8" t="s">
        <v>3013</v>
      </c>
      <c r="E3764" s="8" t="s">
        <v>23422</v>
      </c>
      <c r="F3764" s="8" t="s">
        <v>1951</v>
      </c>
      <c r="G3764" s="8" t="s">
        <v>1952</v>
      </c>
      <c r="H3764" s="8" t="s">
        <v>1953</v>
      </c>
      <c r="I3764" s="8" t="s">
        <v>1954</v>
      </c>
      <c r="J3764" s="8" t="s">
        <v>23423</v>
      </c>
      <c r="K3764" s="8" t="s">
        <v>1956</v>
      </c>
      <c r="L3764" s="8" t="s">
        <v>526</v>
      </c>
      <c r="M3764" s="8" t="s">
        <v>23424</v>
      </c>
      <c r="N3764" s="8" t="s">
        <v>128</v>
      </c>
      <c r="O3764" s="8" t="s">
        <v>23425</v>
      </c>
      <c r="P3764" s="8"/>
      <c r="Q3764" s="8" t="s">
        <v>131</v>
      </c>
      <c r="R3764" s="8"/>
      <c r="S3764" s="8" t="s">
        <v>1959</v>
      </c>
      <c r="T3764" s="8" t="s">
        <v>983</v>
      </c>
      <c r="U3764" s="8" t="s">
        <v>134</v>
      </c>
      <c r="V3764" s="8" t="s">
        <v>131</v>
      </c>
      <c r="W3764" s="8" t="s">
        <v>983</v>
      </c>
      <c r="X3764" s="8">
        <v>14</v>
      </c>
      <c r="Y3764" s="8" t="s">
        <v>12359</v>
      </c>
      <c r="Z3764" s="8">
        <v>20</v>
      </c>
      <c r="AA3764" s="8">
        <v>1</v>
      </c>
      <c r="AB3764" s="9">
        <v>0</v>
      </c>
    </row>
    <row r="3765" spans="1:28" x14ac:dyDescent="0.2">
      <c r="A3765" s="10">
        <v>22573</v>
      </c>
      <c r="B3765" s="11" t="s">
        <v>23426</v>
      </c>
      <c r="C3765" s="11" t="s">
        <v>23427</v>
      </c>
      <c r="D3765" s="11" t="s">
        <v>2928</v>
      </c>
      <c r="E3765" s="11"/>
      <c r="F3765" s="11" t="s">
        <v>21920</v>
      </c>
      <c r="G3765" s="11" t="s">
        <v>14809</v>
      </c>
      <c r="H3765" s="11" t="s">
        <v>847</v>
      </c>
      <c r="I3765" s="11" t="s">
        <v>23428</v>
      </c>
      <c r="J3765" s="11" t="s">
        <v>23429</v>
      </c>
      <c r="K3765" s="11" t="s">
        <v>1091</v>
      </c>
      <c r="L3765" s="11" t="s">
        <v>126</v>
      </c>
      <c r="M3765" s="11" t="s">
        <v>23430</v>
      </c>
      <c r="N3765" s="11" t="s">
        <v>128</v>
      </c>
      <c r="O3765" s="11" t="s">
        <v>23431</v>
      </c>
      <c r="P3765" s="11" t="s">
        <v>23432</v>
      </c>
      <c r="Q3765" s="11" t="s">
        <v>150</v>
      </c>
      <c r="R3765" s="11"/>
      <c r="S3765" s="11" t="s">
        <v>71</v>
      </c>
      <c r="T3765" s="11" t="s">
        <v>2697</v>
      </c>
      <c r="U3765" s="11" t="s">
        <v>150</v>
      </c>
      <c r="V3765" s="11" t="s">
        <v>2697</v>
      </c>
      <c r="W3765" s="11" t="s">
        <v>2697</v>
      </c>
      <c r="X3765" s="11">
        <v>13</v>
      </c>
      <c r="Y3765" s="11" t="s">
        <v>12359</v>
      </c>
      <c r="Z3765" s="11">
        <v>20</v>
      </c>
      <c r="AA3765" s="11">
        <v>0</v>
      </c>
      <c r="AB3765" s="12">
        <v>0</v>
      </c>
    </row>
    <row r="3766" spans="1:28" x14ac:dyDescent="0.2">
      <c r="A3766" s="7">
        <v>28227</v>
      </c>
      <c r="B3766" s="8" t="s">
        <v>23433</v>
      </c>
      <c r="C3766" s="8" t="s">
        <v>18869</v>
      </c>
      <c r="D3766" s="8" t="s">
        <v>6586</v>
      </c>
      <c r="E3766" s="8"/>
      <c r="F3766" s="8" t="s">
        <v>6588</v>
      </c>
      <c r="G3766" s="8" t="s">
        <v>1952</v>
      </c>
      <c r="H3766" s="8" t="s">
        <v>1953</v>
      </c>
      <c r="I3766" s="8" t="s">
        <v>6589</v>
      </c>
      <c r="J3766" s="8" t="s">
        <v>12467</v>
      </c>
      <c r="K3766" s="8" t="s">
        <v>1956</v>
      </c>
      <c r="L3766" s="8" t="s">
        <v>526</v>
      </c>
      <c r="M3766" s="8" t="s">
        <v>23434</v>
      </c>
      <c r="N3766" s="8" t="s">
        <v>128</v>
      </c>
      <c r="O3766" s="8" t="s">
        <v>23435</v>
      </c>
      <c r="P3766" s="8"/>
      <c r="Q3766" s="8" t="s">
        <v>150</v>
      </c>
      <c r="R3766" s="8"/>
      <c r="S3766" s="8" t="s">
        <v>6594</v>
      </c>
      <c r="T3766" s="8" t="s">
        <v>5470</v>
      </c>
      <c r="U3766" s="8" t="s">
        <v>150</v>
      </c>
      <c r="V3766" s="8" t="s">
        <v>5470</v>
      </c>
      <c r="W3766" s="8" t="s">
        <v>5470</v>
      </c>
      <c r="X3766" s="8">
        <v>13</v>
      </c>
      <c r="Y3766" s="8" t="s">
        <v>12359</v>
      </c>
      <c r="Z3766" s="8">
        <v>20</v>
      </c>
      <c r="AA3766" s="8">
        <v>0</v>
      </c>
      <c r="AB3766" s="9">
        <v>0</v>
      </c>
    </row>
    <row r="3767" spans="1:28" x14ac:dyDescent="0.2">
      <c r="A3767" s="10">
        <v>31197</v>
      </c>
      <c r="B3767" s="11" t="s">
        <v>23436</v>
      </c>
      <c r="C3767" s="11" t="s">
        <v>3999</v>
      </c>
      <c r="D3767" s="11" t="s">
        <v>4000</v>
      </c>
      <c r="E3767" s="11"/>
      <c r="F3767" s="11" t="s">
        <v>23437</v>
      </c>
      <c r="G3767" s="11" t="s">
        <v>1813</v>
      </c>
      <c r="H3767" s="11" t="s">
        <v>142</v>
      </c>
      <c r="I3767" s="11" t="s">
        <v>4003</v>
      </c>
      <c r="J3767" s="11" t="s">
        <v>15466</v>
      </c>
      <c r="K3767" s="11" t="s">
        <v>974</v>
      </c>
      <c r="L3767" s="11" t="s">
        <v>146</v>
      </c>
      <c r="M3767" s="11" t="s">
        <v>23438</v>
      </c>
      <c r="N3767" s="11" t="s">
        <v>128</v>
      </c>
      <c r="O3767" s="11"/>
      <c r="P3767" s="11"/>
      <c r="Q3767" s="11" t="s">
        <v>740</v>
      </c>
      <c r="R3767" s="11"/>
      <c r="S3767" s="11" t="s">
        <v>4008</v>
      </c>
      <c r="T3767" s="11" t="s">
        <v>741</v>
      </c>
      <c r="U3767" s="11" t="s">
        <v>134</v>
      </c>
      <c r="V3767" s="11" t="s">
        <v>740</v>
      </c>
      <c r="W3767" s="11" t="s">
        <v>741</v>
      </c>
      <c r="X3767" s="11">
        <v>13</v>
      </c>
      <c r="Y3767" s="11" t="s">
        <v>12359</v>
      </c>
      <c r="Z3767" s="11">
        <v>20</v>
      </c>
      <c r="AA3767" s="11">
        <v>0</v>
      </c>
      <c r="AB3767" s="12">
        <v>0</v>
      </c>
    </row>
    <row r="3768" spans="1:28" x14ac:dyDescent="0.2">
      <c r="A3768" s="7">
        <v>240345</v>
      </c>
      <c r="B3768" s="8" t="s">
        <v>23439</v>
      </c>
      <c r="C3768" s="8" t="s">
        <v>14185</v>
      </c>
      <c r="D3768" s="8" t="s">
        <v>23440</v>
      </c>
      <c r="E3768" s="8" t="s">
        <v>2547</v>
      </c>
      <c r="F3768" s="8" t="s">
        <v>353</v>
      </c>
      <c r="G3768" s="8" t="s">
        <v>14186</v>
      </c>
      <c r="H3768" s="8" t="s">
        <v>122</v>
      </c>
      <c r="I3768" s="8" t="s">
        <v>14187</v>
      </c>
      <c r="J3768" s="8" t="s">
        <v>23441</v>
      </c>
      <c r="K3768" s="8" t="s">
        <v>1051</v>
      </c>
      <c r="L3768" s="8" t="s">
        <v>126</v>
      </c>
      <c r="M3768" s="8" t="s">
        <v>23442</v>
      </c>
      <c r="N3768" s="8" t="s">
        <v>128</v>
      </c>
      <c r="O3768" s="8" t="s">
        <v>23443</v>
      </c>
      <c r="P3768" s="8"/>
      <c r="Q3768" s="8" t="s">
        <v>150</v>
      </c>
      <c r="R3768" s="8"/>
      <c r="S3768" s="8" t="s">
        <v>71</v>
      </c>
      <c r="T3768" s="8" t="s">
        <v>16699</v>
      </c>
      <c r="U3768" s="8" t="s">
        <v>150</v>
      </c>
      <c r="V3768" s="8" t="s">
        <v>16699</v>
      </c>
      <c r="W3768" s="8" t="s">
        <v>16699</v>
      </c>
      <c r="X3768" s="8">
        <v>12</v>
      </c>
      <c r="Y3768" s="8" t="s">
        <v>12359</v>
      </c>
      <c r="Z3768" s="8">
        <v>20</v>
      </c>
      <c r="AA3768" s="8">
        <v>0</v>
      </c>
      <c r="AB3768" s="9">
        <v>0</v>
      </c>
    </row>
    <row r="3769" spans="1:28" x14ac:dyDescent="0.2">
      <c r="A3769" s="10">
        <v>246102</v>
      </c>
      <c r="B3769" s="11" t="s">
        <v>23444</v>
      </c>
      <c r="C3769" s="11" t="s">
        <v>23445</v>
      </c>
      <c r="D3769" s="11" t="s">
        <v>11562</v>
      </c>
      <c r="E3769" s="11"/>
      <c r="F3769" s="11" t="s">
        <v>353</v>
      </c>
      <c r="G3769" s="11" t="s">
        <v>4226</v>
      </c>
      <c r="H3769" s="11" t="s">
        <v>329</v>
      </c>
      <c r="I3769" s="11" t="s">
        <v>23446</v>
      </c>
      <c r="J3769" s="11" t="s">
        <v>23447</v>
      </c>
      <c r="K3769" s="11" t="s">
        <v>415</v>
      </c>
      <c r="L3769" s="11" t="s">
        <v>333</v>
      </c>
      <c r="M3769" s="11" t="s">
        <v>23448</v>
      </c>
      <c r="N3769" s="11" t="s">
        <v>128</v>
      </c>
      <c r="O3769" s="11" t="s">
        <v>23449</v>
      </c>
      <c r="P3769" s="11" t="s">
        <v>13755</v>
      </c>
      <c r="Q3769" s="11" t="s">
        <v>150</v>
      </c>
      <c r="R3769" s="11"/>
      <c r="S3769" s="11" t="s">
        <v>71</v>
      </c>
      <c r="T3769" s="11" t="s">
        <v>67</v>
      </c>
      <c r="U3769" s="11" t="s">
        <v>150</v>
      </c>
      <c r="V3769" s="11" t="s">
        <v>152</v>
      </c>
      <c r="W3769" s="11" t="s">
        <v>67</v>
      </c>
      <c r="X3769" s="11">
        <v>12</v>
      </c>
      <c r="Y3769" s="11" t="s">
        <v>12359</v>
      </c>
      <c r="Z3769" s="11">
        <v>20</v>
      </c>
      <c r="AA3769" s="11">
        <v>0</v>
      </c>
      <c r="AB3769" s="12">
        <v>0</v>
      </c>
    </row>
    <row r="3770" spans="1:28" x14ac:dyDescent="0.2">
      <c r="A3770" s="7">
        <v>26194</v>
      </c>
      <c r="B3770" s="8" t="s">
        <v>23450</v>
      </c>
      <c r="C3770" s="8" t="s">
        <v>5075</v>
      </c>
      <c r="D3770" s="8" t="s">
        <v>138</v>
      </c>
      <c r="E3770" s="8"/>
      <c r="F3770" s="8" t="s">
        <v>5077</v>
      </c>
      <c r="G3770" s="8" t="s">
        <v>450</v>
      </c>
      <c r="H3770" s="8" t="s">
        <v>301</v>
      </c>
      <c r="I3770" s="8"/>
      <c r="J3770" s="8" t="s">
        <v>23451</v>
      </c>
      <c r="K3770" s="8" t="s">
        <v>304</v>
      </c>
      <c r="L3770" s="8" t="s">
        <v>229</v>
      </c>
      <c r="M3770" s="8" t="s">
        <v>23452</v>
      </c>
      <c r="N3770" s="8" t="s">
        <v>128</v>
      </c>
      <c r="O3770" s="8"/>
      <c r="P3770" s="8" t="s">
        <v>23453</v>
      </c>
      <c r="Q3770" s="8" t="s">
        <v>150</v>
      </c>
      <c r="R3770" s="8"/>
      <c r="S3770" s="8" t="s">
        <v>71</v>
      </c>
      <c r="T3770" s="8" t="s">
        <v>67</v>
      </c>
      <c r="U3770" s="8" t="s">
        <v>150</v>
      </c>
      <c r="V3770" s="8" t="s">
        <v>152</v>
      </c>
      <c r="W3770" s="8" t="s">
        <v>67</v>
      </c>
      <c r="X3770" s="8">
        <v>12</v>
      </c>
      <c r="Y3770" s="8" t="s">
        <v>12359</v>
      </c>
      <c r="Z3770" s="8">
        <v>20</v>
      </c>
      <c r="AA3770" s="8">
        <v>0</v>
      </c>
      <c r="AB3770" s="9">
        <v>0</v>
      </c>
    </row>
    <row r="3771" spans="1:28" x14ac:dyDescent="0.2">
      <c r="A3771" s="10">
        <v>190839</v>
      </c>
      <c r="B3771" s="11" t="s">
        <v>23454</v>
      </c>
      <c r="C3771" s="11" t="s">
        <v>2481</v>
      </c>
      <c r="D3771" s="11" t="s">
        <v>1990</v>
      </c>
      <c r="E3771" s="11"/>
      <c r="F3771" s="11" t="s">
        <v>353</v>
      </c>
      <c r="G3771" s="11" t="s">
        <v>14186</v>
      </c>
      <c r="H3771" s="11" t="s">
        <v>122</v>
      </c>
      <c r="I3771" s="11" t="s">
        <v>14187</v>
      </c>
      <c r="J3771" s="11" t="s">
        <v>23455</v>
      </c>
      <c r="K3771" s="11" t="s">
        <v>1051</v>
      </c>
      <c r="L3771" s="11" t="s">
        <v>126</v>
      </c>
      <c r="M3771" s="11" t="s">
        <v>23456</v>
      </c>
      <c r="N3771" s="11" t="s">
        <v>128</v>
      </c>
      <c r="O3771" s="11" t="s">
        <v>23457</v>
      </c>
      <c r="P3771" s="11"/>
      <c r="Q3771" s="11" t="s">
        <v>150</v>
      </c>
      <c r="R3771" s="11"/>
      <c r="S3771" s="11" t="s">
        <v>71</v>
      </c>
      <c r="T3771" s="11" t="s">
        <v>6736</v>
      </c>
      <c r="U3771" s="11" t="s">
        <v>150</v>
      </c>
      <c r="V3771" s="11" t="s">
        <v>6736</v>
      </c>
      <c r="W3771" s="11" t="s">
        <v>6736</v>
      </c>
      <c r="X3771" s="11">
        <v>12</v>
      </c>
      <c r="Y3771" s="11" t="s">
        <v>12359</v>
      </c>
      <c r="Z3771" s="11">
        <v>20</v>
      </c>
      <c r="AA3771" s="11">
        <v>0</v>
      </c>
      <c r="AB3771" s="12">
        <v>0</v>
      </c>
    </row>
    <row r="3772" spans="1:28" x14ac:dyDescent="0.2">
      <c r="A3772" s="7">
        <v>190838</v>
      </c>
      <c r="B3772" s="8" t="s">
        <v>23458</v>
      </c>
      <c r="C3772" s="8" t="s">
        <v>2481</v>
      </c>
      <c r="D3772" s="8" t="s">
        <v>9429</v>
      </c>
      <c r="E3772" s="8"/>
      <c r="F3772" s="8" t="s">
        <v>353</v>
      </c>
      <c r="G3772" s="8" t="s">
        <v>14186</v>
      </c>
      <c r="H3772" s="8" t="s">
        <v>122</v>
      </c>
      <c r="I3772" s="8" t="s">
        <v>14187</v>
      </c>
      <c r="J3772" s="8" t="s">
        <v>23459</v>
      </c>
      <c r="K3772" s="8" t="s">
        <v>1051</v>
      </c>
      <c r="L3772" s="8" t="s">
        <v>126</v>
      </c>
      <c r="M3772" s="8" t="s">
        <v>23460</v>
      </c>
      <c r="N3772" s="8" t="s">
        <v>128</v>
      </c>
      <c r="O3772" s="8" t="s">
        <v>23461</v>
      </c>
      <c r="P3772" s="8"/>
      <c r="Q3772" s="8" t="s">
        <v>150</v>
      </c>
      <c r="R3772" s="8"/>
      <c r="S3772" s="8" t="s">
        <v>71</v>
      </c>
      <c r="T3772" s="8" t="s">
        <v>7189</v>
      </c>
      <c r="U3772" s="8" t="s">
        <v>150</v>
      </c>
      <c r="V3772" s="8" t="s">
        <v>7189</v>
      </c>
      <c r="W3772" s="8" t="s">
        <v>7189</v>
      </c>
      <c r="X3772" s="8">
        <v>12</v>
      </c>
      <c r="Y3772" s="8" t="s">
        <v>12359</v>
      </c>
      <c r="Z3772" s="8">
        <v>20</v>
      </c>
      <c r="AA3772" s="8">
        <v>0</v>
      </c>
      <c r="AB3772" s="9">
        <v>0</v>
      </c>
    </row>
    <row r="3773" spans="1:28" x14ac:dyDescent="0.2">
      <c r="A3773" s="10">
        <v>218080</v>
      </c>
      <c r="B3773" s="11" t="s">
        <v>23462</v>
      </c>
      <c r="C3773" s="11" t="s">
        <v>3257</v>
      </c>
      <c r="D3773" s="11" t="s">
        <v>6526</v>
      </c>
      <c r="E3773" s="11"/>
      <c r="F3773" s="11" t="s">
        <v>353</v>
      </c>
      <c r="G3773" s="11" t="s">
        <v>14186</v>
      </c>
      <c r="H3773" s="11" t="s">
        <v>122</v>
      </c>
      <c r="I3773" s="11" t="s">
        <v>14187</v>
      </c>
      <c r="J3773" s="11" t="s">
        <v>23463</v>
      </c>
      <c r="K3773" s="11" t="s">
        <v>1051</v>
      </c>
      <c r="L3773" s="11" t="s">
        <v>126</v>
      </c>
      <c r="M3773" s="11" t="s">
        <v>23464</v>
      </c>
      <c r="N3773" s="11" t="s">
        <v>128</v>
      </c>
      <c r="O3773" s="11" t="s">
        <v>23465</v>
      </c>
      <c r="P3773" s="11" t="s">
        <v>23466</v>
      </c>
      <c r="Q3773" s="11" t="s">
        <v>150</v>
      </c>
      <c r="R3773" s="11"/>
      <c r="S3773" s="11" t="s">
        <v>71</v>
      </c>
      <c r="T3773" s="11" t="s">
        <v>70</v>
      </c>
      <c r="U3773" s="11" t="s">
        <v>150</v>
      </c>
      <c r="V3773" s="11" t="s">
        <v>70</v>
      </c>
      <c r="W3773" s="11" t="s">
        <v>70</v>
      </c>
      <c r="X3773" s="11">
        <v>12</v>
      </c>
      <c r="Y3773" s="11" t="s">
        <v>12359</v>
      </c>
      <c r="Z3773" s="11">
        <v>20</v>
      </c>
      <c r="AA3773" s="11">
        <v>0</v>
      </c>
      <c r="AB3773" s="12">
        <v>0</v>
      </c>
    </row>
    <row r="3774" spans="1:28" x14ac:dyDescent="0.2">
      <c r="A3774" s="7">
        <v>22856</v>
      </c>
      <c r="B3774" s="8" t="s">
        <v>23467</v>
      </c>
      <c r="C3774" s="8" t="s">
        <v>3919</v>
      </c>
      <c r="D3774" s="8" t="s">
        <v>986</v>
      </c>
      <c r="E3774" s="8" t="s">
        <v>135</v>
      </c>
      <c r="F3774" s="8" t="s">
        <v>353</v>
      </c>
      <c r="G3774" s="8" t="s">
        <v>3921</v>
      </c>
      <c r="H3774" s="8" t="s">
        <v>122</v>
      </c>
      <c r="I3774" s="8" t="s">
        <v>3922</v>
      </c>
      <c r="J3774" s="8" t="s">
        <v>23468</v>
      </c>
      <c r="K3774" s="8" t="s">
        <v>1051</v>
      </c>
      <c r="L3774" s="8" t="s">
        <v>126</v>
      </c>
      <c r="M3774" s="8" t="s">
        <v>23469</v>
      </c>
      <c r="N3774" s="8" t="s">
        <v>128</v>
      </c>
      <c r="O3774" s="8" t="s">
        <v>23470</v>
      </c>
      <c r="P3774" s="8" t="s">
        <v>5166</v>
      </c>
      <c r="Q3774" s="8" t="s">
        <v>150</v>
      </c>
      <c r="R3774" s="8"/>
      <c r="S3774" s="8" t="s">
        <v>71</v>
      </c>
      <c r="T3774" s="8" t="s">
        <v>7189</v>
      </c>
      <c r="U3774" s="8" t="s">
        <v>150</v>
      </c>
      <c r="V3774" s="8" t="s">
        <v>7189</v>
      </c>
      <c r="W3774" s="8" t="s">
        <v>7189</v>
      </c>
      <c r="X3774" s="8">
        <v>11</v>
      </c>
      <c r="Y3774" s="8" t="s">
        <v>12359</v>
      </c>
      <c r="Z3774" s="8">
        <v>20</v>
      </c>
      <c r="AA3774" s="8">
        <v>0</v>
      </c>
      <c r="AB3774" s="9">
        <v>0</v>
      </c>
    </row>
    <row r="3775" spans="1:28" x14ac:dyDescent="0.2">
      <c r="A3775" s="10">
        <v>246099</v>
      </c>
      <c r="B3775" s="11" t="s">
        <v>23471</v>
      </c>
      <c r="C3775" s="11" t="s">
        <v>426</v>
      </c>
      <c r="D3775" s="11" t="s">
        <v>14655</v>
      </c>
      <c r="E3775" s="11"/>
      <c r="F3775" s="11" t="s">
        <v>5273</v>
      </c>
      <c r="G3775" s="11" t="s">
        <v>428</v>
      </c>
      <c r="H3775" s="11" t="s">
        <v>329</v>
      </c>
      <c r="I3775" s="11" t="s">
        <v>23472</v>
      </c>
      <c r="J3775" s="11" t="s">
        <v>23473</v>
      </c>
      <c r="K3775" s="11" t="s">
        <v>431</v>
      </c>
      <c r="L3775" s="11" t="s">
        <v>333</v>
      </c>
      <c r="M3775" s="11" t="s">
        <v>23474</v>
      </c>
      <c r="N3775" s="11" t="s">
        <v>128</v>
      </c>
      <c r="O3775" s="11" t="s">
        <v>23475</v>
      </c>
      <c r="P3775" s="11"/>
      <c r="Q3775" s="11" t="s">
        <v>150</v>
      </c>
      <c r="R3775" s="11"/>
      <c r="S3775" s="11" t="s">
        <v>71</v>
      </c>
      <c r="T3775" s="11" t="s">
        <v>4755</v>
      </c>
      <c r="U3775" s="11" t="s">
        <v>150</v>
      </c>
      <c r="V3775" s="11" t="s">
        <v>4755</v>
      </c>
      <c r="W3775" s="11" t="s">
        <v>4755</v>
      </c>
      <c r="X3775" s="11">
        <v>11</v>
      </c>
      <c r="Y3775" s="11" t="s">
        <v>12359</v>
      </c>
      <c r="Z3775" s="11">
        <v>20</v>
      </c>
      <c r="AA3775" s="11">
        <v>0</v>
      </c>
      <c r="AB3775" s="12">
        <v>0</v>
      </c>
    </row>
    <row r="3776" spans="1:28" x14ac:dyDescent="0.2">
      <c r="A3776" s="7">
        <v>25445</v>
      </c>
      <c r="B3776" s="8" t="s">
        <v>23476</v>
      </c>
      <c r="C3776" s="8" t="s">
        <v>5575</v>
      </c>
      <c r="D3776" s="8" t="s">
        <v>5576</v>
      </c>
      <c r="E3776" s="8"/>
      <c r="F3776" s="8" t="s">
        <v>5577</v>
      </c>
      <c r="G3776" s="8" t="s">
        <v>141</v>
      </c>
      <c r="H3776" s="8" t="s">
        <v>142</v>
      </c>
      <c r="I3776" s="8" t="s">
        <v>5578</v>
      </c>
      <c r="J3776" s="8" t="s">
        <v>5579</v>
      </c>
      <c r="K3776" s="8" t="s">
        <v>991</v>
      </c>
      <c r="L3776" s="8" t="s">
        <v>146</v>
      </c>
      <c r="M3776" s="8" t="s">
        <v>23477</v>
      </c>
      <c r="N3776" s="8" t="s">
        <v>128</v>
      </c>
      <c r="O3776" s="8" t="s">
        <v>23478</v>
      </c>
      <c r="P3776" s="8" t="s">
        <v>23479</v>
      </c>
      <c r="Q3776" s="8" t="s">
        <v>249</v>
      </c>
      <c r="R3776" s="8"/>
      <c r="S3776" s="8" t="s">
        <v>5582</v>
      </c>
      <c r="T3776" s="8" t="s">
        <v>250</v>
      </c>
      <c r="U3776" s="8" t="s">
        <v>134</v>
      </c>
      <c r="V3776" s="8" t="s">
        <v>249</v>
      </c>
      <c r="W3776" s="8" t="s">
        <v>250</v>
      </c>
      <c r="X3776" s="8">
        <v>11</v>
      </c>
      <c r="Y3776" s="8" t="s">
        <v>12359</v>
      </c>
      <c r="Z3776" s="8">
        <v>20</v>
      </c>
      <c r="AA3776" s="8">
        <v>1</v>
      </c>
      <c r="AB3776" s="9">
        <v>0</v>
      </c>
    </row>
    <row r="3777" spans="1:28" x14ac:dyDescent="0.2">
      <c r="A3777" s="10">
        <v>21555</v>
      </c>
      <c r="B3777" s="11" t="s">
        <v>23480</v>
      </c>
      <c r="C3777" s="11" t="s">
        <v>10192</v>
      </c>
      <c r="D3777" s="11" t="s">
        <v>12254</v>
      </c>
      <c r="E3777" s="11" t="s">
        <v>23481</v>
      </c>
      <c r="F3777" s="11" t="s">
        <v>6117</v>
      </c>
      <c r="G3777" s="11" t="s">
        <v>141</v>
      </c>
      <c r="H3777" s="11" t="s">
        <v>142</v>
      </c>
      <c r="I3777" s="11" t="s">
        <v>14614</v>
      </c>
      <c r="J3777" s="11" t="s">
        <v>23482</v>
      </c>
      <c r="K3777" s="11" t="s">
        <v>584</v>
      </c>
      <c r="L3777" s="11" t="s">
        <v>146</v>
      </c>
      <c r="M3777" s="11" t="s">
        <v>23483</v>
      </c>
      <c r="N3777" s="11" t="s">
        <v>128</v>
      </c>
      <c r="O3777" s="11" t="s">
        <v>23484</v>
      </c>
      <c r="P3777" s="11" t="s">
        <v>23485</v>
      </c>
      <c r="Q3777" s="11" t="s">
        <v>150</v>
      </c>
      <c r="R3777" s="11"/>
      <c r="S3777" s="11" t="s">
        <v>71</v>
      </c>
      <c r="T3777" s="11" t="s">
        <v>67</v>
      </c>
      <c r="U3777" s="11" t="s">
        <v>150</v>
      </c>
      <c r="V3777" s="11" t="s">
        <v>152</v>
      </c>
      <c r="W3777" s="11" t="s">
        <v>67</v>
      </c>
      <c r="X3777" s="11">
        <v>10</v>
      </c>
      <c r="Y3777" s="11" t="s">
        <v>12359</v>
      </c>
      <c r="Z3777" s="11">
        <v>20</v>
      </c>
      <c r="AA3777" s="11">
        <v>0</v>
      </c>
      <c r="AB3777" s="12">
        <v>0</v>
      </c>
    </row>
    <row r="3778" spans="1:28" x14ac:dyDescent="0.2">
      <c r="A3778" s="7">
        <v>22618</v>
      </c>
      <c r="B3778" s="8" t="s">
        <v>23486</v>
      </c>
      <c r="C3778" s="8" t="s">
        <v>23487</v>
      </c>
      <c r="D3778" s="8" t="s">
        <v>23488</v>
      </c>
      <c r="E3778" s="8"/>
      <c r="F3778" s="8" t="s">
        <v>23489</v>
      </c>
      <c r="G3778" s="8" t="s">
        <v>846</v>
      </c>
      <c r="H3778" s="8" t="s">
        <v>847</v>
      </c>
      <c r="I3778" s="8" t="s">
        <v>23490</v>
      </c>
      <c r="J3778" s="8" t="s">
        <v>23491</v>
      </c>
      <c r="K3778" s="8" t="s">
        <v>1091</v>
      </c>
      <c r="L3778" s="8" t="s">
        <v>126</v>
      </c>
      <c r="M3778" s="8" t="s">
        <v>23492</v>
      </c>
      <c r="N3778" s="8" t="s">
        <v>128</v>
      </c>
      <c r="O3778" s="8" t="s">
        <v>23493</v>
      </c>
      <c r="P3778" s="8" t="s">
        <v>23494</v>
      </c>
      <c r="Q3778" s="8" t="s">
        <v>150</v>
      </c>
      <c r="R3778" s="8"/>
      <c r="S3778" s="8" t="s">
        <v>71</v>
      </c>
      <c r="T3778" s="8" t="s">
        <v>2697</v>
      </c>
      <c r="U3778" s="8" t="s">
        <v>150</v>
      </c>
      <c r="V3778" s="8" t="s">
        <v>2697</v>
      </c>
      <c r="W3778" s="8" t="s">
        <v>2697</v>
      </c>
      <c r="X3778" s="8">
        <v>10</v>
      </c>
      <c r="Y3778" s="8" t="s">
        <v>12359</v>
      </c>
      <c r="Z3778" s="8">
        <v>20</v>
      </c>
      <c r="AA3778" s="8">
        <v>0</v>
      </c>
      <c r="AB3778" s="9">
        <v>0</v>
      </c>
    </row>
    <row r="3779" spans="1:28" x14ac:dyDescent="0.2">
      <c r="A3779" s="10">
        <v>28899</v>
      </c>
      <c r="B3779" s="11" t="s">
        <v>23495</v>
      </c>
      <c r="C3779" s="11" t="s">
        <v>2497</v>
      </c>
      <c r="D3779" s="11" t="s">
        <v>6723</v>
      </c>
      <c r="E3779" s="11" t="s">
        <v>8771</v>
      </c>
      <c r="F3779" s="11" t="s">
        <v>353</v>
      </c>
      <c r="G3779" s="11" t="s">
        <v>648</v>
      </c>
      <c r="H3779" s="11" t="s">
        <v>142</v>
      </c>
      <c r="I3779" s="11" t="s">
        <v>9872</v>
      </c>
      <c r="J3779" s="11" t="s">
        <v>23496</v>
      </c>
      <c r="K3779" s="11" t="s">
        <v>651</v>
      </c>
      <c r="L3779" s="11" t="s">
        <v>146</v>
      </c>
      <c r="M3779" s="11" t="s">
        <v>23497</v>
      </c>
      <c r="N3779" s="11" t="s">
        <v>128</v>
      </c>
      <c r="O3779" s="11" t="s">
        <v>23498</v>
      </c>
      <c r="P3779" s="11"/>
      <c r="Q3779" s="11" t="s">
        <v>150</v>
      </c>
      <c r="R3779" s="11"/>
      <c r="S3779" s="11" t="s">
        <v>71</v>
      </c>
      <c r="T3779" s="11" t="s">
        <v>168</v>
      </c>
      <c r="U3779" s="11" t="s">
        <v>150</v>
      </c>
      <c r="V3779" s="11" t="s">
        <v>168</v>
      </c>
      <c r="W3779" s="11" t="s">
        <v>168</v>
      </c>
      <c r="X3779" s="11">
        <v>10</v>
      </c>
      <c r="Y3779" s="11" t="s">
        <v>12359</v>
      </c>
      <c r="Z3779" s="11">
        <v>20</v>
      </c>
      <c r="AA3779" s="11">
        <v>0</v>
      </c>
      <c r="AB3779" s="12">
        <v>0</v>
      </c>
    </row>
    <row r="3780" spans="1:28" x14ac:dyDescent="0.2">
      <c r="A3780" s="7">
        <v>26011</v>
      </c>
      <c r="B3780" s="8" t="s">
        <v>23499</v>
      </c>
      <c r="C3780" s="8" t="s">
        <v>3482</v>
      </c>
      <c r="D3780" s="8" t="s">
        <v>2690</v>
      </c>
      <c r="E3780" s="8"/>
      <c r="F3780" s="8" t="s">
        <v>7595</v>
      </c>
      <c r="G3780" s="8" t="s">
        <v>3484</v>
      </c>
      <c r="H3780" s="8" t="s">
        <v>671</v>
      </c>
      <c r="I3780" s="8" t="s">
        <v>3485</v>
      </c>
      <c r="J3780" s="8" t="s">
        <v>3486</v>
      </c>
      <c r="K3780" s="8" t="s">
        <v>572</v>
      </c>
      <c r="L3780" s="8" t="s">
        <v>333</v>
      </c>
      <c r="M3780" s="8" t="s">
        <v>23500</v>
      </c>
      <c r="N3780" s="8" t="s">
        <v>128</v>
      </c>
      <c r="O3780" s="8" t="s">
        <v>23501</v>
      </c>
      <c r="P3780" s="8" t="s">
        <v>23502</v>
      </c>
      <c r="Q3780" s="8" t="s">
        <v>150</v>
      </c>
      <c r="R3780" s="8"/>
      <c r="S3780" s="8" t="s">
        <v>3489</v>
      </c>
      <c r="T3780" s="8" t="s">
        <v>23503</v>
      </c>
      <c r="U3780" s="8" t="s">
        <v>150</v>
      </c>
      <c r="V3780" s="8" t="s">
        <v>23503</v>
      </c>
      <c r="W3780" s="8" t="s">
        <v>23503</v>
      </c>
      <c r="X3780" s="8">
        <v>9</v>
      </c>
      <c r="Y3780" s="8" t="s">
        <v>12359</v>
      </c>
      <c r="Z3780" s="8">
        <v>20</v>
      </c>
      <c r="AA3780" s="8">
        <v>0</v>
      </c>
      <c r="AB3780" s="9">
        <v>0</v>
      </c>
    </row>
    <row r="3781" spans="1:28" x14ac:dyDescent="0.2">
      <c r="A3781" s="10">
        <v>116130</v>
      </c>
      <c r="B3781" s="11" t="s">
        <v>23504</v>
      </c>
      <c r="C3781" s="11" t="s">
        <v>1610</v>
      </c>
      <c r="D3781" s="11" t="s">
        <v>2871</v>
      </c>
      <c r="E3781" s="11"/>
      <c r="F3781" s="11" t="s">
        <v>23505</v>
      </c>
      <c r="G3781" s="11" t="s">
        <v>4513</v>
      </c>
      <c r="H3781" s="11" t="s">
        <v>847</v>
      </c>
      <c r="I3781" s="11" t="s">
        <v>23506</v>
      </c>
      <c r="J3781" s="11" t="s">
        <v>23507</v>
      </c>
      <c r="K3781" s="11" t="s">
        <v>1091</v>
      </c>
      <c r="L3781" s="11" t="s">
        <v>126</v>
      </c>
      <c r="M3781" s="11" t="s">
        <v>23508</v>
      </c>
      <c r="N3781" s="11" t="s">
        <v>128</v>
      </c>
      <c r="O3781" s="11" t="s">
        <v>23509</v>
      </c>
      <c r="P3781" s="11"/>
      <c r="Q3781" s="11" t="s">
        <v>131</v>
      </c>
      <c r="R3781" s="11"/>
      <c r="S3781" s="11" t="s">
        <v>23510</v>
      </c>
      <c r="T3781" s="11" t="s">
        <v>983</v>
      </c>
      <c r="U3781" s="11" t="s">
        <v>134</v>
      </c>
      <c r="V3781" s="11" t="s">
        <v>131</v>
      </c>
      <c r="W3781" s="11" t="s">
        <v>983</v>
      </c>
      <c r="X3781" s="11">
        <v>9</v>
      </c>
      <c r="Y3781" s="11" t="s">
        <v>12359</v>
      </c>
      <c r="Z3781" s="11">
        <v>20</v>
      </c>
      <c r="AA3781" s="11">
        <v>0</v>
      </c>
      <c r="AB3781" s="12">
        <v>0</v>
      </c>
    </row>
    <row r="3782" spans="1:28" x14ac:dyDescent="0.2">
      <c r="A3782" s="7">
        <v>105912</v>
      </c>
      <c r="B3782" s="8" t="s">
        <v>23511</v>
      </c>
      <c r="C3782" s="8" t="s">
        <v>754</v>
      </c>
      <c r="D3782" s="8" t="s">
        <v>755</v>
      </c>
      <c r="E3782" s="8" t="s">
        <v>23512</v>
      </c>
      <c r="F3782" s="8" t="s">
        <v>17266</v>
      </c>
      <c r="G3782" s="8" t="s">
        <v>13862</v>
      </c>
      <c r="H3782" s="8" t="s">
        <v>522</v>
      </c>
      <c r="I3782" s="8" t="s">
        <v>758</v>
      </c>
      <c r="J3782" s="8" t="s">
        <v>759</v>
      </c>
      <c r="K3782" s="8" t="s">
        <v>525</v>
      </c>
      <c r="L3782" s="8" t="s">
        <v>526</v>
      </c>
      <c r="M3782" s="8" t="s">
        <v>23513</v>
      </c>
      <c r="N3782" s="8" t="s">
        <v>128</v>
      </c>
      <c r="O3782" s="8" t="s">
        <v>23514</v>
      </c>
      <c r="P3782" s="8"/>
      <c r="Q3782" s="8" t="s">
        <v>150</v>
      </c>
      <c r="R3782" s="8"/>
      <c r="S3782" s="8" t="s">
        <v>763</v>
      </c>
      <c r="T3782" s="8" t="s">
        <v>1899</v>
      </c>
      <c r="U3782" s="8" t="s">
        <v>150</v>
      </c>
      <c r="V3782" s="8" t="s">
        <v>1899</v>
      </c>
      <c r="W3782" s="8" t="s">
        <v>1899</v>
      </c>
      <c r="X3782" s="8">
        <v>9</v>
      </c>
      <c r="Y3782" s="8" t="s">
        <v>12359</v>
      </c>
      <c r="Z3782" s="8">
        <v>20</v>
      </c>
      <c r="AA3782" s="8">
        <v>0</v>
      </c>
      <c r="AB3782" s="9">
        <v>0</v>
      </c>
    </row>
    <row r="3783" spans="1:28" x14ac:dyDescent="0.2">
      <c r="A3783" s="10">
        <v>28474</v>
      </c>
      <c r="B3783" s="11" t="s">
        <v>23515</v>
      </c>
      <c r="C3783" s="11" t="s">
        <v>23516</v>
      </c>
      <c r="D3783" s="11"/>
      <c r="E3783" s="11"/>
      <c r="F3783" s="11" t="s">
        <v>353</v>
      </c>
      <c r="G3783" s="11" t="s">
        <v>23517</v>
      </c>
      <c r="H3783" s="11" t="s">
        <v>1953</v>
      </c>
      <c r="I3783" s="11" t="s">
        <v>23518</v>
      </c>
      <c r="J3783" s="11" t="s">
        <v>23519</v>
      </c>
      <c r="K3783" s="11" t="s">
        <v>1956</v>
      </c>
      <c r="L3783" s="11" t="s">
        <v>526</v>
      </c>
      <c r="M3783" s="11" t="s">
        <v>23520</v>
      </c>
      <c r="N3783" s="11" t="s">
        <v>128</v>
      </c>
      <c r="O3783" s="11"/>
      <c r="P3783" s="11" t="s">
        <v>3523</v>
      </c>
      <c r="Q3783" s="11" t="s">
        <v>150</v>
      </c>
      <c r="R3783" s="11"/>
      <c r="S3783" s="11" t="s">
        <v>71</v>
      </c>
      <c r="T3783" s="11" t="s">
        <v>70</v>
      </c>
      <c r="U3783" s="11" t="s">
        <v>150</v>
      </c>
      <c r="V3783" s="11" t="s">
        <v>70</v>
      </c>
      <c r="W3783" s="11" t="s">
        <v>70</v>
      </c>
      <c r="X3783" s="11">
        <v>9</v>
      </c>
      <c r="Y3783" s="11" t="s">
        <v>12359</v>
      </c>
      <c r="Z3783" s="11">
        <v>20</v>
      </c>
      <c r="AA3783" s="11">
        <v>0</v>
      </c>
      <c r="AB3783" s="12">
        <v>0</v>
      </c>
    </row>
    <row r="3784" spans="1:28" x14ac:dyDescent="0.2">
      <c r="A3784" s="7">
        <v>28439</v>
      </c>
      <c r="B3784" s="8" t="s">
        <v>23521</v>
      </c>
      <c r="C3784" s="8" t="s">
        <v>23522</v>
      </c>
      <c r="D3784" s="8" t="s">
        <v>1078</v>
      </c>
      <c r="E3784" s="8"/>
      <c r="F3784" s="8" t="s">
        <v>7746</v>
      </c>
      <c r="G3784" s="8" t="s">
        <v>7329</v>
      </c>
      <c r="H3784" s="8" t="s">
        <v>1953</v>
      </c>
      <c r="I3784" s="8" t="s">
        <v>23523</v>
      </c>
      <c r="J3784" s="8" t="s">
        <v>23524</v>
      </c>
      <c r="K3784" s="8" t="s">
        <v>1956</v>
      </c>
      <c r="L3784" s="8" t="s">
        <v>526</v>
      </c>
      <c r="M3784" s="8" t="s">
        <v>23525</v>
      </c>
      <c r="N3784" s="8" t="s">
        <v>128</v>
      </c>
      <c r="O3784" s="8" t="s">
        <v>23526</v>
      </c>
      <c r="P3784" s="8" t="s">
        <v>8319</v>
      </c>
      <c r="Q3784" s="8" t="s">
        <v>150</v>
      </c>
      <c r="R3784" s="8"/>
      <c r="S3784" s="8" t="s">
        <v>71</v>
      </c>
      <c r="T3784" s="8" t="s">
        <v>70</v>
      </c>
      <c r="U3784" s="8" t="s">
        <v>150</v>
      </c>
      <c r="V3784" s="8" t="s">
        <v>70</v>
      </c>
      <c r="W3784" s="8" t="s">
        <v>70</v>
      </c>
      <c r="X3784" s="8">
        <v>9</v>
      </c>
      <c r="Y3784" s="8" t="s">
        <v>12359</v>
      </c>
      <c r="Z3784" s="8">
        <v>20</v>
      </c>
      <c r="AA3784" s="8">
        <v>0</v>
      </c>
      <c r="AB3784" s="9">
        <v>0</v>
      </c>
    </row>
    <row r="3785" spans="1:28" x14ac:dyDescent="0.2">
      <c r="A3785" s="10">
        <v>24701</v>
      </c>
      <c r="B3785" s="11" t="s">
        <v>23527</v>
      </c>
      <c r="C3785" s="11" t="s">
        <v>4578</v>
      </c>
      <c r="D3785" s="11" t="s">
        <v>4579</v>
      </c>
      <c r="E3785" s="11" t="s">
        <v>4580</v>
      </c>
      <c r="F3785" s="11" t="s">
        <v>353</v>
      </c>
      <c r="G3785" s="11" t="s">
        <v>1626</v>
      </c>
      <c r="H3785" s="11" t="s">
        <v>142</v>
      </c>
      <c r="I3785" s="11" t="s">
        <v>4581</v>
      </c>
      <c r="J3785" s="11" t="s">
        <v>4582</v>
      </c>
      <c r="K3785" s="11" t="s">
        <v>472</v>
      </c>
      <c r="L3785" s="11" t="s">
        <v>146</v>
      </c>
      <c r="M3785" s="11" t="s">
        <v>23528</v>
      </c>
      <c r="N3785" s="11" t="s">
        <v>128</v>
      </c>
      <c r="O3785" s="11" t="s">
        <v>23529</v>
      </c>
      <c r="P3785" s="11" t="s">
        <v>612</v>
      </c>
      <c r="Q3785" s="11" t="s">
        <v>150</v>
      </c>
      <c r="R3785" s="11"/>
      <c r="S3785" s="11" t="s">
        <v>71</v>
      </c>
      <c r="T3785" s="11" t="s">
        <v>69</v>
      </c>
      <c r="U3785" s="11" t="s">
        <v>150</v>
      </c>
      <c r="V3785" s="11" t="s">
        <v>152</v>
      </c>
      <c r="W3785" s="11" t="s">
        <v>69</v>
      </c>
      <c r="X3785" s="11">
        <v>9</v>
      </c>
      <c r="Y3785" s="11" t="s">
        <v>12359</v>
      </c>
      <c r="Z3785" s="11">
        <v>20</v>
      </c>
      <c r="AA3785" s="11">
        <v>0</v>
      </c>
      <c r="AB3785" s="12">
        <v>0</v>
      </c>
    </row>
    <row r="3786" spans="1:28" x14ac:dyDescent="0.2">
      <c r="A3786" s="7">
        <v>24898</v>
      </c>
      <c r="B3786" s="8" t="s">
        <v>23530</v>
      </c>
      <c r="C3786" s="8" t="s">
        <v>466</v>
      </c>
      <c r="D3786" s="8" t="s">
        <v>467</v>
      </c>
      <c r="E3786" s="8" t="s">
        <v>23531</v>
      </c>
      <c r="F3786" s="8" t="s">
        <v>468</v>
      </c>
      <c r="G3786" s="8" t="s">
        <v>469</v>
      </c>
      <c r="H3786" s="8" t="s">
        <v>142</v>
      </c>
      <c r="I3786" s="8" t="s">
        <v>470</v>
      </c>
      <c r="J3786" s="8" t="s">
        <v>471</v>
      </c>
      <c r="K3786" s="8" t="s">
        <v>472</v>
      </c>
      <c r="L3786" s="8" t="s">
        <v>146</v>
      </c>
      <c r="M3786" s="8" t="s">
        <v>23532</v>
      </c>
      <c r="N3786" s="8" t="s">
        <v>128</v>
      </c>
      <c r="O3786" s="8" t="s">
        <v>23533</v>
      </c>
      <c r="P3786" s="8" t="s">
        <v>23534</v>
      </c>
      <c r="Q3786" s="8" t="s">
        <v>150</v>
      </c>
      <c r="R3786" s="8"/>
      <c r="S3786" s="8" t="s">
        <v>476</v>
      </c>
      <c r="T3786" s="8" t="s">
        <v>1738</v>
      </c>
      <c r="U3786" s="8" t="s">
        <v>150</v>
      </c>
      <c r="V3786" s="8" t="s">
        <v>1738</v>
      </c>
      <c r="W3786" s="8" t="s">
        <v>1738</v>
      </c>
      <c r="X3786" s="8">
        <v>9</v>
      </c>
      <c r="Y3786" s="8" t="s">
        <v>12359</v>
      </c>
      <c r="Z3786" s="8">
        <v>20</v>
      </c>
      <c r="AA3786" s="8">
        <v>0</v>
      </c>
      <c r="AB3786" s="9">
        <v>0</v>
      </c>
    </row>
    <row r="3787" spans="1:28" x14ac:dyDescent="0.2">
      <c r="A3787" s="10">
        <v>159998</v>
      </c>
      <c r="B3787" s="11" t="s">
        <v>23535</v>
      </c>
      <c r="C3787" s="11" t="s">
        <v>2861</v>
      </c>
      <c r="D3787" s="11" t="s">
        <v>7517</v>
      </c>
      <c r="E3787" s="11"/>
      <c r="F3787" s="11" t="s">
        <v>353</v>
      </c>
      <c r="G3787" s="11" t="s">
        <v>2863</v>
      </c>
      <c r="H3787" s="11" t="s">
        <v>142</v>
      </c>
      <c r="I3787" s="11" t="s">
        <v>23536</v>
      </c>
      <c r="J3787" s="11" t="s">
        <v>23537</v>
      </c>
      <c r="K3787" s="11" t="s">
        <v>974</v>
      </c>
      <c r="L3787" s="11" t="s">
        <v>146</v>
      </c>
      <c r="M3787" s="11" t="s">
        <v>23538</v>
      </c>
      <c r="N3787" s="11" t="s">
        <v>128</v>
      </c>
      <c r="O3787" s="11" t="s">
        <v>23539</v>
      </c>
      <c r="P3787" s="11"/>
      <c r="Q3787" s="11" t="s">
        <v>740</v>
      </c>
      <c r="R3787" s="11"/>
      <c r="S3787" s="11" t="s">
        <v>71</v>
      </c>
      <c r="T3787" s="11" t="s">
        <v>1745</v>
      </c>
      <c r="U3787" s="11" t="s">
        <v>134</v>
      </c>
      <c r="V3787" s="11" t="s">
        <v>740</v>
      </c>
      <c r="W3787" s="11" t="s">
        <v>1745</v>
      </c>
      <c r="X3787" s="11">
        <v>9</v>
      </c>
      <c r="Y3787" s="11" t="s">
        <v>12359</v>
      </c>
      <c r="Z3787" s="11">
        <v>20</v>
      </c>
      <c r="AA3787" s="11">
        <v>0</v>
      </c>
      <c r="AB3787" s="12">
        <v>0</v>
      </c>
    </row>
    <row r="3788" spans="1:28" x14ac:dyDescent="0.2">
      <c r="A3788" s="7">
        <v>246104</v>
      </c>
      <c r="B3788" s="8" t="s">
        <v>23540</v>
      </c>
      <c r="C3788" s="8" t="s">
        <v>15512</v>
      </c>
      <c r="D3788" s="8" t="s">
        <v>6807</v>
      </c>
      <c r="E3788" s="8"/>
      <c r="F3788" s="8" t="s">
        <v>353</v>
      </c>
      <c r="G3788" s="8" t="s">
        <v>648</v>
      </c>
      <c r="H3788" s="8" t="s">
        <v>142</v>
      </c>
      <c r="I3788" s="8" t="s">
        <v>23541</v>
      </c>
      <c r="J3788" s="8" t="s">
        <v>23542</v>
      </c>
      <c r="K3788" s="8" t="s">
        <v>651</v>
      </c>
      <c r="L3788" s="8" t="s">
        <v>146</v>
      </c>
      <c r="M3788" s="8" t="s">
        <v>23543</v>
      </c>
      <c r="N3788" s="8" t="s">
        <v>128</v>
      </c>
      <c r="O3788" s="8" t="s">
        <v>23544</v>
      </c>
      <c r="P3788" s="8"/>
      <c r="Q3788" s="8" t="s">
        <v>249</v>
      </c>
      <c r="R3788" s="8"/>
      <c r="S3788" s="8" t="s">
        <v>23545</v>
      </c>
      <c r="T3788" s="8" t="s">
        <v>250</v>
      </c>
      <c r="U3788" s="8" t="s">
        <v>134</v>
      </c>
      <c r="V3788" s="8" t="s">
        <v>249</v>
      </c>
      <c r="W3788" s="8" t="s">
        <v>250</v>
      </c>
      <c r="X3788" s="8">
        <v>9</v>
      </c>
      <c r="Y3788" s="8" t="s">
        <v>12359</v>
      </c>
      <c r="Z3788" s="8">
        <v>20</v>
      </c>
      <c r="AA3788" s="8">
        <v>0</v>
      </c>
      <c r="AB3788" s="9">
        <v>0</v>
      </c>
    </row>
    <row r="3789" spans="1:28" x14ac:dyDescent="0.2">
      <c r="A3789" s="10">
        <v>92855</v>
      </c>
      <c r="B3789" s="11" t="s">
        <v>23546</v>
      </c>
      <c r="C3789" s="11" t="s">
        <v>21623</v>
      </c>
      <c r="D3789" s="11" t="s">
        <v>6954</v>
      </c>
      <c r="E3789" s="11"/>
      <c r="F3789" s="11" t="s">
        <v>23547</v>
      </c>
      <c r="G3789" s="11" t="s">
        <v>3084</v>
      </c>
      <c r="H3789" s="11" t="s">
        <v>142</v>
      </c>
      <c r="I3789" s="11" t="s">
        <v>23548</v>
      </c>
      <c r="J3789" s="11" t="s">
        <v>23549</v>
      </c>
      <c r="K3789" s="11" t="s">
        <v>1673</v>
      </c>
      <c r="L3789" s="11" t="s">
        <v>464</v>
      </c>
      <c r="M3789" s="11" t="s">
        <v>23550</v>
      </c>
      <c r="N3789" s="11" t="s">
        <v>128</v>
      </c>
      <c r="O3789" s="11" t="s">
        <v>23551</v>
      </c>
      <c r="P3789" s="11" t="s">
        <v>10707</v>
      </c>
      <c r="Q3789" s="11" t="s">
        <v>150</v>
      </c>
      <c r="R3789" s="11"/>
      <c r="S3789" s="11" t="s">
        <v>21629</v>
      </c>
      <c r="T3789" s="11" t="s">
        <v>67</v>
      </c>
      <c r="U3789" s="11" t="s">
        <v>150</v>
      </c>
      <c r="V3789" s="11" t="s">
        <v>152</v>
      </c>
      <c r="W3789" s="11" t="s">
        <v>67</v>
      </c>
      <c r="X3789" s="11">
        <v>8</v>
      </c>
      <c r="Y3789" s="11" t="s">
        <v>12359</v>
      </c>
      <c r="Z3789" s="11">
        <v>20</v>
      </c>
      <c r="AA3789" s="11">
        <v>0</v>
      </c>
      <c r="AB3789" s="12">
        <v>0</v>
      </c>
    </row>
    <row r="3790" spans="1:28" x14ac:dyDescent="0.2">
      <c r="A3790" s="7">
        <v>23013</v>
      </c>
      <c r="B3790" s="8" t="s">
        <v>23552</v>
      </c>
      <c r="C3790" s="8" t="s">
        <v>8058</v>
      </c>
      <c r="D3790" s="8" t="s">
        <v>448</v>
      </c>
      <c r="E3790" s="8"/>
      <c r="F3790" s="8" t="s">
        <v>8060</v>
      </c>
      <c r="G3790" s="8" t="s">
        <v>1196</v>
      </c>
      <c r="H3790" s="8" t="s">
        <v>142</v>
      </c>
      <c r="I3790" s="8" t="s">
        <v>8061</v>
      </c>
      <c r="J3790" s="8" t="s">
        <v>8062</v>
      </c>
      <c r="K3790" s="8" t="s">
        <v>1199</v>
      </c>
      <c r="L3790" s="8" t="s">
        <v>464</v>
      </c>
      <c r="M3790" s="8" t="s">
        <v>23553</v>
      </c>
      <c r="N3790" s="8" t="s">
        <v>128</v>
      </c>
      <c r="O3790" s="8" t="s">
        <v>23554</v>
      </c>
      <c r="P3790" s="8" t="s">
        <v>5684</v>
      </c>
      <c r="Q3790" s="8" t="s">
        <v>150</v>
      </c>
      <c r="R3790" s="8"/>
      <c r="S3790" s="8" t="s">
        <v>8066</v>
      </c>
      <c r="T3790" s="8" t="s">
        <v>70</v>
      </c>
      <c r="U3790" s="8" t="s">
        <v>150</v>
      </c>
      <c r="V3790" s="8" t="s">
        <v>70</v>
      </c>
      <c r="W3790" s="8" t="s">
        <v>70</v>
      </c>
      <c r="X3790" s="8">
        <v>8</v>
      </c>
      <c r="Y3790" s="8" t="s">
        <v>12359</v>
      </c>
      <c r="Z3790" s="8">
        <v>20</v>
      </c>
      <c r="AA3790" s="8">
        <v>0</v>
      </c>
      <c r="AB3790" s="9">
        <v>0</v>
      </c>
    </row>
    <row r="3791" spans="1:28" x14ac:dyDescent="0.2">
      <c r="A3791" s="10">
        <v>24905</v>
      </c>
      <c r="B3791" s="11" t="s">
        <v>23555</v>
      </c>
      <c r="C3791" s="11" t="s">
        <v>12519</v>
      </c>
      <c r="D3791" s="11" t="s">
        <v>4630</v>
      </c>
      <c r="E3791" s="11" t="s">
        <v>23556</v>
      </c>
      <c r="F3791" s="11" t="s">
        <v>12521</v>
      </c>
      <c r="G3791" s="11" t="s">
        <v>6409</v>
      </c>
      <c r="H3791" s="11" t="s">
        <v>6410</v>
      </c>
      <c r="I3791" s="11" t="s">
        <v>12522</v>
      </c>
      <c r="J3791" s="11" t="s">
        <v>12523</v>
      </c>
      <c r="K3791" s="11" t="s">
        <v>1956</v>
      </c>
      <c r="L3791" s="11" t="s">
        <v>526</v>
      </c>
      <c r="M3791" s="11" t="s">
        <v>23557</v>
      </c>
      <c r="N3791" s="11" t="s">
        <v>128</v>
      </c>
      <c r="O3791" s="11" t="s">
        <v>23558</v>
      </c>
      <c r="P3791" s="11" t="s">
        <v>13478</v>
      </c>
      <c r="Q3791" s="11" t="s">
        <v>150</v>
      </c>
      <c r="R3791" s="11"/>
      <c r="S3791" s="11" t="s">
        <v>12527</v>
      </c>
      <c r="T3791" s="11" t="s">
        <v>1738</v>
      </c>
      <c r="U3791" s="11" t="s">
        <v>150</v>
      </c>
      <c r="V3791" s="11" t="s">
        <v>1738</v>
      </c>
      <c r="W3791" s="11" t="s">
        <v>1738</v>
      </c>
      <c r="X3791" s="11">
        <v>8</v>
      </c>
      <c r="Y3791" s="11" t="s">
        <v>12359</v>
      </c>
      <c r="Z3791" s="11">
        <v>20</v>
      </c>
      <c r="AA3791" s="11">
        <v>0</v>
      </c>
      <c r="AB3791" s="12">
        <v>0</v>
      </c>
    </row>
    <row r="3792" spans="1:28" x14ac:dyDescent="0.2">
      <c r="A3792" s="7">
        <v>24987</v>
      </c>
      <c r="B3792" s="8" t="s">
        <v>23559</v>
      </c>
      <c r="C3792" s="8" t="s">
        <v>2615</v>
      </c>
      <c r="D3792" s="8" t="s">
        <v>11932</v>
      </c>
      <c r="E3792" s="8"/>
      <c r="F3792" s="8" t="s">
        <v>353</v>
      </c>
      <c r="G3792" s="8" t="s">
        <v>3084</v>
      </c>
      <c r="H3792" s="8" t="s">
        <v>142</v>
      </c>
      <c r="I3792" s="8" t="s">
        <v>3085</v>
      </c>
      <c r="J3792" s="8" t="s">
        <v>23560</v>
      </c>
      <c r="K3792" s="8" t="s">
        <v>1673</v>
      </c>
      <c r="L3792" s="8" t="s">
        <v>464</v>
      </c>
      <c r="M3792" s="8" t="s">
        <v>23561</v>
      </c>
      <c r="N3792" s="8" t="s">
        <v>128</v>
      </c>
      <c r="O3792" s="8" t="s">
        <v>23562</v>
      </c>
      <c r="P3792" s="8" t="s">
        <v>3776</v>
      </c>
      <c r="Q3792" s="8" t="s">
        <v>150</v>
      </c>
      <c r="R3792" s="8"/>
      <c r="S3792" s="8" t="s">
        <v>71</v>
      </c>
      <c r="T3792" s="8" t="s">
        <v>1738</v>
      </c>
      <c r="U3792" s="8" t="s">
        <v>150</v>
      </c>
      <c r="V3792" s="8" t="s">
        <v>1738</v>
      </c>
      <c r="W3792" s="8" t="s">
        <v>1738</v>
      </c>
      <c r="X3792" s="8">
        <v>8</v>
      </c>
      <c r="Y3792" s="8" t="s">
        <v>12359</v>
      </c>
      <c r="Z3792" s="8">
        <v>20</v>
      </c>
      <c r="AA3792" s="8">
        <v>0</v>
      </c>
      <c r="AB3792" s="9">
        <v>0</v>
      </c>
    </row>
    <row r="3793" spans="1:28" x14ac:dyDescent="0.2">
      <c r="A3793" s="10">
        <v>30517</v>
      </c>
      <c r="B3793" s="11" t="s">
        <v>23563</v>
      </c>
      <c r="C3793" s="11" t="s">
        <v>10037</v>
      </c>
      <c r="D3793" s="11" t="s">
        <v>4080</v>
      </c>
      <c r="E3793" s="11"/>
      <c r="F3793" s="11" t="s">
        <v>17654</v>
      </c>
      <c r="G3793" s="11" t="s">
        <v>1852</v>
      </c>
      <c r="H3793" s="11" t="s">
        <v>671</v>
      </c>
      <c r="I3793" s="11" t="s">
        <v>10039</v>
      </c>
      <c r="J3793" s="11" t="s">
        <v>10040</v>
      </c>
      <c r="K3793" s="11" t="s">
        <v>572</v>
      </c>
      <c r="L3793" s="11" t="s">
        <v>333</v>
      </c>
      <c r="M3793" s="11" t="s">
        <v>23564</v>
      </c>
      <c r="N3793" s="11" t="s">
        <v>128</v>
      </c>
      <c r="O3793" s="11" t="s">
        <v>23565</v>
      </c>
      <c r="P3793" s="11" t="s">
        <v>23566</v>
      </c>
      <c r="Q3793" s="11" t="s">
        <v>150</v>
      </c>
      <c r="R3793" s="11"/>
      <c r="S3793" s="11" t="s">
        <v>10043</v>
      </c>
      <c r="T3793" s="11" t="s">
        <v>1738</v>
      </c>
      <c r="U3793" s="11" t="s">
        <v>150</v>
      </c>
      <c r="V3793" s="11" t="s">
        <v>1738</v>
      </c>
      <c r="W3793" s="11" t="s">
        <v>1738</v>
      </c>
      <c r="X3793" s="11">
        <v>8</v>
      </c>
      <c r="Y3793" s="11" t="s">
        <v>12359</v>
      </c>
      <c r="Z3793" s="11">
        <v>20</v>
      </c>
      <c r="AA3793" s="11">
        <v>0</v>
      </c>
      <c r="AB3793" s="12">
        <v>0</v>
      </c>
    </row>
    <row r="3794" spans="1:28" x14ac:dyDescent="0.2">
      <c r="A3794" s="7">
        <v>20723</v>
      </c>
      <c r="B3794" s="8" t="s">
        <v>23567</v>
      </c>
      <c r="C3794" s="8" t="s">
        <v>2935</v>
      </c>
      <c r="D3794" s="8" t="s">
        <v>2936</v>
      </c>
      <c r="E3794" s="8" t="s">
        <v>23568</v>
      </c>
      <c r="F3794" s="8" t="s">
        <v>353</v>
      </c>
      <c r="G3794" s="8" t="s">
        <v>714</v>
      </c>
      <c r="H3794" s="8" t="s">
        <v>142</v>
      </c>
      <c r="I3794" s="8" t="s">
        <v>2938</v>
      </c>
      <c r="J3794" s="8" t="s">
        <v>7416</v>
      </c>
      <c r="K3794" s="8" t="s">
        <v>717</v>
      </c>
      <c r="L3794" s="8" t="s">
        <v>464</v>
      </c>
      <c r="M3794" s="8" t="s">
        <v>23569</v>
      </c>
      <c r="N3794" s="8" t="s">
        <v>4651</v>
      </c>
      <c r="O3794" s="8" t="s">
        <v>23570</v>
      </c>
      <c r="P3794" s="8" t="s">
        <v>23571</v>
      </c>
      <c r="Q3794" s="8" t="s">
        <v>740</v>
      </c>
      <c r="R3794" s="8"/>
      <c r="S3794" s="8" t="s">
        <v>2943</v>
      </c>
      <c r="T3794" s="8" t="s">
        <v>1745</v>
      </c>
      <c r="U3794" s="8" t="s">
        <v>134</v>
      </c>
      <c r="V3794" s="8" t="s">
        <v>740</v>
      </c>
      <c r="W3794" s="8" t="s">
        <v>1745</v>
      </c>
      <c r="X3794" s="8">
        <v>8</v>
      </c>
      <c r="Y3794" s="8" t="s">
        <v>12359</v>
      </c>
      <c r="Z3794" s="8">
        <v>20</v>
      </c>
      <c r="AA3794" s="8">
        <v>0</v>
      </c>
      <c r="AB3794" s="9">
        <v>0</v>
      </c>
    </row>
    <row r="3795" spans="1:28" x14ac:dyDescent="0.2">
      <c r="A3795" s="10">
        <v>235563</v>
      </c>
      <c r="B3795" s="11" t="s">
        <v>23572</v>
      </c>
      <c r="C3795" s="11" t="s">
        <v>23573</v>
      </c>
      <c r="D3795" s="11" t="s">
        <v>23574</v>
      </c>
      <c r="E3795" s="11"/>
      <c r="F3795" s="11" t="s">
        <v>1285</v>
      </c>
      <c r="G3795" s="11" t="s">
        <v>7329</v>
      </c>
      <c r="H3795" s="11" t="s">
        <v>1953</v>
      </c>
      <c r="I3795" s="11" t="s">
        <v>23575</v>
      </c>
      <c r="J3795" s="11" t="s">
        <v>23576</v>
      </c>
      <c r="K3795" s="11" t="s">
        <v>1956</v>
      </c>
      <c r="L3795" s="11" t="s">
        <v>526</v>
      </c>
      <c r="M3795" s="11" t="s">
        <v>23577</v>
      </c>
      <c r="N3795" s="11" t="s">
        <v>128</v>
      </c>
      <c r="O3795" s="11" t="s">
        <v>23578</v>
      </c>
      <c r="P3795" s="11" t="s">
        <v>23579</v>
      </c>
      <c r="Q3795" s="11" t="s">
        <v>150</v>
      </c>
      <c r="R3795" s="11"/>
      <c r="S3795" s="11" t="s">
        <v>71</v>
      </c>
      <c r="T3795" s="11" t="s">
        <v>7898</v>
      </c>
      <c r="U3795" s="11" t="s">
        <v>150</v>
      </c>
      <c r="V3795" s="11" t="s">
        <v>7898</v>
      </c>
      <c r="W3795" s="11" t="s">
        <v>7898</v>
      </c>
      <c r="X3795" s="11">
        <v>7</v>
      </c>
      <c r="Y3795" s="11" t="s">
        <v>12359</v>
      </c>
      <c r="Z3795" s="11">
        <v>20</v>
      </c>
      <c r="AA3795" s="11">
        <v>0</v>
      </c>
      <c r="AB3795" s="12">
        <v>0</v>
      </c>
    </row>
    <row r="3796" spans="1:28" x14ac:dyDescent="0.2">
      <c r="A3796" s="7">
        <v>24925</v>
      </c>
      <c r="B3796" s="8" t="s">
        <v>23580</v>
      </c>
      <c r="C3796" s="8" t="s">
        <v>6018</v>
      </c>
      <c r="D3796" s="8" t="s">
        <v>6019</v>
      </c>
      <c r="E3796" s="8" t="s">
        <v>23581</v>
      </c>
      <c r="F3796" s="8" t="s">
        <v>6021</v>
      </c>
      <c r="G3796" s="8" t="s">
        <v>1325</v>
      </c>
      <c r="H3796" s="8" t="s">
        <v>142</v>
      </c>
      <c r="I3796" s="8" t="s">
        <v>6022</v>
      </c>
      <c r="J3796" s="8" t="s">
        <v>6023</v>
      </c>
      <c r="K3796" s="8" t="s">
        <v>974</v>
      </c>
      <c r="L3796" s="8" t="s">
        <v>146</v>
      </c>
      <c r="M3796" s="8" t="s">
        <v>23582</v>
      </c>
      <c r="N3796" s="8" t="s">
        <v>128</v>
      </c>
      <c r="O3796" s="8" t="s">
        <v>23583</v>
      </c>
      <c r="P3796" s="8" t="s">
        <v>13833</v>
      </c>
      <c r="Q3796" s="8" t="s">
        <v>150</v>
      </c>
      <c r="R3796" s="8"/>
      <c r="S3796" s="8" t="s">
        <v>6027</v>
      </c>
      <c r="T3796" s="8" t="s">
        <v>1738</v>
      </c>
      <c r="U3796" s="8" t="s">
        <v>150</v>
      </c>
      <c r="V3796" s="8" t="s">
        <v>1738</v>
      </c>
      <c r="W3796" s="8" t="s">
        <v>1738</v>
      </c>
      <c r="X3796" s="8">
        <v>7</v>
      </c>
      <c r="Y3796" s="8" t="s">
        <v>12359</v>
      </c>
      <c r="Z3796" s="8">
        <v>20</v>
      </c>
      <c r="AA3796" s="8">
        <v>0</v>
      </c>
      <c r="AB3796" s="9">
        <v>0</v>
      </c>
    </row>
    <row r="3797" spans="1:28" x14ac:dyDescent="0.2">
      <c r="A3797" s="10">
        <v>85062</v>
      </c>
      <c r="B3797" s="11" t="s">
        <v>23584</v>
      </c>
      <c r="C3797" s="11" t="s">
        <v>914</v>
      </c>
      <c r="D3797" s="11" t="s">
        <v>915</v>
      </c>
      <c r="E3797" s="11"/>
      <c r="F3797" s="11" t="s">
        <v>23585</v>
      </c>
      <c r="G3797" s="11" t="s">
        <v>776</v>
      </c>
      <c r="H3797" s="11" t="s">
        <v>142</v>
      </c>
      <c r="I3797" s="11" t="s">
        <v>918</v>
      </c>
      <c r="J3797" s="11" t="s">
        <v>23586</v>
      </c>
      <c r="K3797" s="11" t="s">
        <v>779</v>
      </c>
      <c r="L3797" s="11" t="s">
        <v>464</v>
      </c>
      <c r="M3797" s="11" t="s">
        <v>23587</v>
      </c>
      <c r="N3797" s="11" t="s">
        <v>128</v>
      </c>
      <c r="O3797" s="11" t="s">
        <v>23588</v>
      </c>
      <c r="P3797" s="11" t="s">
        <v>12687</v>
      </c>
      <c r="Q3797" s="11" t="s">
        <v>150</v>
      </c>
      <c r="R3797" s="11"/>
      <c r="S3797" s="11" t="s">
        <v>923</v>
      </c>
      <c r="T3797" s="11" t="s">
        <v>1738</v>
      </c>
      <c r="U3797" s="11" t="s">
        <v>150</v>
      </c>
      <c r="V3797" s="11" t="s">
        <v>1738</v>
      </c>
      <c r="W3797" s="11" t="s">
        <v>1738</v>
      </c>
      <c r="X3797" s="11">
        <v>7</v>
      </c>
      <c r="Y3797" s="11" t="s">
        <v>12359</v>
      </c>
      <c r="Z3797" s="11">
        <v>20</v>
      </c>
      <c r="AA3797" s="11">
        <v>1</v>
      </c>
      <c r="AB3797" s="12">
        <v>0</v>
      </c>
    </row>
    <row r="3798" spans="1:28" x14ac:dyDescent="0.2">
      <c r="A3798" s="7">
        <v>25597</v>
      </c>
      <c r="B3798" s="8" t="s">
        <v>23589</v>
      </c>
      <c r="C3798" s="8" t="s">
        <v>23590</v>
      </c>
      <c r="D3798" s="8" t="s">
        <v>7569</v>
      </c>
      <c r="E3798" s="8"/>
      <c r="F3798" s="8" t="s">
        <v>353</v>
      </c>
      <c r="G3798" s="8" t="s">
        <v>4513</v>
      </c>
      <c r="H3798" s="8" t="s">
        <v>847</v>
      </c>
      <c r="I3798" s="8" t="s">
        <v>23591</v>
      </c>
      <c r="J3798" s="8" t="s">
        <v>23592</v>
      </c>
      <c r="K3798" s="8" t="s">
        <v>1091</v>
      </c>
      <c r="L3798" s="8" t="s">
        <v>126</v>
      </c>
      <c r="M3798" s="8" t="s">
        <v>23593</v>
      </c>
      <c r="N3798" s="8" t="s">
        <v>128</v>
      </c>
      <c r="O3798" s="8" t="s">
        <v>23594</v>
      </c>
      <c r="P3798" s="8"/>
      <c r="Q3798" s="8" t="s">
        <v>249</v>
      </c>
      <c r="R3798" s="8"/>
      <c r="S3798" s="8" t="s">
        <v>23595</v>
      </c>
      <c r="T3798" s="8" t="s">
        <v>1523</v>
      </c>
      <c r="U3798" s="8" t="s">
        <v>134</v>
      </c>
      <c r="V3798" s="8" t="s">
        <v>249</v>
      </c>
      <c r="W3798" s="8" t="s">
        <v>1523</v>
      </c>
      <c r="X3798" s="8">
        <v>7</v>
      </c>
      <c r="Y3798" s="8" t="s">
        <v>12359</v>
      </c>
      <c r="Z3798" s="8">
        <v>20</v>
      </c>
      <c r="AA3798" s="8">
        <v>0</v>
      </c>
      <c r="AB3798" s="9">
        <v>0</v>
      </c>
    </row>
    <row r="3799" spans="1:28" x14ac:dyDescent="0.2">
      <c r="A3799" s="10">
        <v>20932</v>
      </c>
      <c r="B3799" s="11" t="s">
        <v>23596</v>
      </c>
      <c r="C3799" s="11" t="s">
        <v>3999</v>
      </c>
      <c r="D3799" s="11" t="s">
        <v>4000</v>
      </c>
      <c r="E3799" s="11" t="s">
        <v>23597</v>
      </c>
      <c r="F3799" s="11" t="s">
        <v>4002</v>
      </c>
      <c r="G3799" s="11" t="s">
        <v>1813</v>
      </c>
      <c r="H3799" s="11" t="s">
        <v>142</v>
      </c>
      <c r="I3799" s="11" t="s">
        <v>4003</v>
      </c>
      <c r="J3799" s="11" t="s">
        <v>4004</v>
      </c>
      <c r="K3799" s="11" t="s">
        <v>974</v>
      </c>
      <c r="L3799" s="11" t="s">
        <v>146</v>
      </c>
      <c r="M3799" s="11" t="s">
        <v>23598</v>
      </c>
      <c r="N3799" s="11" t="s">
        <v>128</v>
      </c>
      <c r="O3799" s="11" t="s">
        <v>23599</v>
      </c>
      <c r="P3799" s="11" t="s">
        <v>23600</v>
      </c>
      <c r="Q3799" s="11" t="s">
        <v>150</v>
      </c>
      <c r="R3799" s="11"/>
      <c r="S3799" s="11" t="s">
        <v>4008</v>
      </c>
      <c r="T3799" s="11" t="s">
        <v>23503</v>
      </c>
      <c r="U3799" s="11" t="s">
        <v>150</v>
      </c>
      <c r="V3799" s="11" t="s">
        <v>23503</v>
      </c>
      <c r="W3799" s="11" t="s">
        <v>23503</v>
      </c>
      <c r="X3799" s="11">
        <v>6</v>
      </c>
      <c r="Y3799" s="11" t="s">
        <v>12359</v>
      </c>
      <c r="Z3799" s="11">
        <v>20</v>
      </c>
      <c r="AA3799" s="11">
        <v>0</v>
      </c>
      <c r="AB3799" s="12">
        <v>0</v>
      </c>
    </row>
    <row r="3800" spans="1:28" x14ac:dyDescent="0.2">
      <c r="A3800" s="7">
        <v>21511</v>
      </c>
      <c r="B3800" s="8" t="s">
        <v>23601</v>
      </c>
      <c r="C3800" s="8" t="s">
        <v>23602</v>
      </c>
      <c r="D3800" s="8" t="s">
        <v>1974</v>
      </c>
      <c r="E3800" s="8" t="s">
        <v>23603</v>
      </c>
      <c r="F3800" s="8" t="s">
        <v>353</v>
      </c>
      <c r="G3800" s="8" t="s">
        <v>8876</v>
      </c>
      <c r="H3800" s="8" t="s">
        <v>329</v>
      </c>
      <c r="I3800" s="8" t="s">
        <v>23604</v>
      </c>
      <c r="J3800" s="8" t="s">
        <v>23605</v>
      </c>
      <c r="K3800" s="8" t="s">
        <v>415</v>
      </c>
      <c r="L3800" s="8" t="s">
        <v>333</v>
      </c>
      <c r="M3800" s="8" t="s">
        <v>23606</v>
      </c>
      <c r="N3800" s="8" t="s">
        <v>128</v>
      </c>
      <c r="O3800" s="8" t="s">
        <v>23607</v>
      </c>
      <c r="P3800" s="8" t="s">
        <v>12689</v>
      </c>
      <c r="Q3800" s="8" t="s">
        <v>150</v>
      </c>
      <c r="R3800" s="8"/>
      <c r="S3800" s="8" t="s">
        <v>71</v>
      </c>
      <c r="T3800" s="8" t="s">
        <v>67</v>
      </c>
      <c r="U3800" s="8" t="s">
        <v>150</v>
      </c>
      <c r="V3800" s="8" t="s">
        <v>152</v>
      </c>
      <c r="W3800" s="8" t="s">
        <v>67</v>
      </c>
      <c r="X3800" s="8">
        <v>6</v>
      </c>
      <c r="Y3800" s="8" t="s">
        <v>12359</v>
      </c>
      <c r="Z3800" s="8">
        <v>20</v>
      </c>
      <c r="AA3800" s="8">
        <v>0</v>
      </c>
      <c r="AB3800" s="9">
        <v>0</v>
      </c>
    </row>
    <row r="3801" spans="1:28" x14ac:dyDescent="0.2">
      <c r="A3801" s="10">
        <v>246101</v>
      </c>
      <c r="B3801" s="11" t="s">
        <v>23608</v>
      </c>
      <c r="C3801" s="11" t="s">
        <v>23609</v>
      </c>
      <c r="D3801" s="11" t="s">
        <v>138</v>
      </c>
      <c r="E3801" s="11" t="s">
        <v>23610</v>
      </c>
      <c r="F3801" s="11" t="s">
        <v>353</v>
      </c>
      <c r="G3801" s="11" t="s">
        <v>23611</v>
      </c>
      <c r="H3801" s="11" t="s">
        <v>301</v>
      </c>
      <c r="I3801" s="11" t="s">
        <v>23612</v>
      </c>
      <c r="J3801" s="11" t="s">
        <v>23613</v>
      </c>
      <c r="K3801" s="11" t="s">
        <v>228</v>
      </c>
      <c r="L3801" s="11" t="s">
        <v>229</v>
      </c>
      <c r="M3801" s="11" t="s">
        <v>23614</v>
      </c>
      <c r="N3801" s="11" t="s">
        <v>128</v>
      </c>
      <c r="O3801" s="11" t="s">
        <v>23615</v>
      </c>
      <c r="P3801" s="11" t="s">
        <v>23616</v>
      </c>
      <c r="Q3801" s="11" t="s">
        <v>150</v>
      </c>
      <c r="R3801" s="11"/>
      <c r="S3801" s="11" t="s">
        <v>71</v>
      </c>
      <c r="T3801" s="11" t="s">
        <v>67</v>
      </c>
      <c r="U3801" s="11" t="s">
        <v>150</v>
      </c>
      <c r="V3801" s="11" t="s">
        <v>152</v>
      </c>
      <c r="W3801" s="11" t="s">
        <v>67</v>
      </c>
      <c r="X3801" s="11">
        <v>6</v>
      </c>
      <c r="Y3801" s="11" t="s">
        <v>12359</v>
      </c>
      <c r="Z3801" s="11">
        <v>20</v>
      </c>
      <c r="AA3801" s="11">
        <v>0</v>
      </c>
      <c r="AB3801" s="12">
        <v>0</v>
      </c>
    </row>
    <row r="3802" spans="1:28" x14ac:dyDescent="0.2">
      <c r="A3802" s="7">
        <v>126798</v>
      </c>
      <c r="B3802" s="8" t="s">
        <v>23617</v>
      </c>
      <c r="C3802" s="8" t="s">
        <v>23618</v>
      </c>
      <c r="D3802" s="8" t="s">
        <v>2720</v>
      </c>
      <c r="E3802" s="8"/>
      <c r="F3802" s="8" t="s">
        <v>23619</v>
      </c>
      <c r="G3802" s="8" t="s">
        <v>1419</v>
      </c>
      <c r="H3802" s="8" t="s">
        <v>704</v>
      </c>
      <c r="I3802" s="8" t="s">
        <v>23620</v>
      </c>
      <c r="J3802" s="8" t="s">
        <v>23621</v>
      </c>
      <c r="K3802" s="8" t="s">
        <v>707</v>
      </c>
      <c r="L3802" s="8" t="s">
        <v>126</v>
      </c>
      <c r="M3802" s="8" t="s">
        <v>23622</v>
      </c>
      <c r="N3802" s="8" t="s">
        <v>128</v>
      </c>
      <c r="O3802" s="8" t="s">
        <v>23623</v>
      </c>
      <c r="P3802" s="8"/>
      <c r="Q3802" s="8" t="s">
        <v>131</v>
      </c>
      <c r="R3802" s="8"/>
      <c r="S3802" s="8" t="s">
        <v>71</v>
      </c>
      <c r="T3802" s="8" t="s">
        <v>983</v>
      </c>
      <c r="U3802" s="8" t="s">
        <v>134</v>
      </c>
      <c r="V3802" s="8" t="s">
        <v>131</v>
      </c>
      <c r="W3802" s="8" t="s">
        <v>983</v>
      </c>
      <c r="X3802" s="8">
        <v>6</v>
      </c>
      <c r="Y3802" s="8" t="s">
        <v>12359</v>
      </c>
      <c r="Z3802" s="8">
        <v>20</v>
      </c>
      <c r="AA3802" s="8">
        <v>0</v>
      </c>
      <c r="AB3802" s="9">
        <v>0</v>
      </c>
    </row>
    <row r="3803" spans="1:28" x14ac:dyDescent="0.2">
      <c r="A3803" s="10">
        <v>235555</v>
      </c>
      <c r="B3803" s="11" t="s">
        <v>23624</v>
      </c>
      <c r="C3803" s="11" t="s">
        <v>23625</v>
      </c>
      <c r="D3803" s="11" t="s">
        <v>23626</v>
      </c>
      <c r="E3803" s="11"/>
      <c r="F3803" s="11" t="s">
        <v>18116</v>
      </c>
      <c r="G3803" s="11" t="s">
        <v>7329</v>
      </c>
      <c r="H3803" s="11" t="s">
        <v>1953</v>
      </c>
      <c r="I3803" s="11" t="s">
        <v>23627</v>
      </c>
      <c r="J3803" s="11" t="s">
        <v>23628</v>
      </c>
      <c r="K3803" s="11" t="s">
        <v>1956</v>
      </c>
      <c r="L3803" s="11" t="s">
        <v>526</v>
      </c>
      <c r="M3803" s="11" t="s">
        <v>23629</v>
      </c>
      <c r="N3803" s="11" t="s">
        <v>128</v>
      </c>
      <c r="O3803" s="11" t="s">
        <v>23630</v>
      </c>
      <c r="P3803" s="11" t="s">
        <v>23631</v>
      </c>
      <c r="Q3803" s="11" t="s">
        <v>150</v>
      </c>
      <c r="R3803" s="11"/>
      <c r="S3803" s="11" t="s">
        <v>71</v>
      </c>
      <c r="T3803" s="11" t="s">
        <v>7898</v>
      </c>
      <c r="U3803" s="11" t="s">
        <v>150</v>
      </c>
      <c r="V3803" s="11" t="s">
        <v>7898</v>
      </c>
      <c r="W3803" s="11" t="s">
        <v>7898</v>
      </c>
      <c r="X3803" s="11">
        <v>6</v>
      </c>
      <c r="Y3803" s="11" t="s">
        <v>12359</v>
      </c>
      <c r="Z3803" s="11">
        <v>20</v>
      </c>
      <c r="AA3803" s="11">
        <v>0</v>
      </c>
      <c r="AB3803" s="12">
        <v>0</v>
      </c>
    </row>
    <row r="3804" spans="1:28" x14ac:dyDescent="0.2">
      <c r="A3804" s="7">
        <v>22614</v>
      </c>
      <c r="B3804" s="8" t="s">
        <v>23632</v>
      </c>
      <c r="C3804" s="8" t="s">
        <v>773</v>
      </c>
      <c r="D3804" s="8" t="s">
        <v>2454</v>
      </c>
      <c r="E3804" s="8"/>
      <c r="F3804" s="8" t="s">
        <v>353</v>
      </c>
      <c r="G3804" s="8" t="s">
        <v>3612</v>
      </c>
      <c r="H3804" s="8" t="s">
        <v>704</v>
      </c>
      <c r="I3804" s="8" t="s">
        <v>23633</v>
      </c>
      <c r="J3804" s="8" t="s">
        <v>23634</v>
      </c>
      <c r="K3804" s="8" t="s">
        <v>707</v>
      </c>
      <c r="L3804" s="8" t="s">
        <v>126</v>
      </c>
      <c r="M3804" s="8" t="s">
        <v>23635</v>
      </c>
      <c r="N3804" s="8" t="s">
        <v>128</v>
      </c>
      <c r="O3804" s="8" t="s">
        <v>23636</v>
      </c>
      <c r="P3804" s="8" t="s">
        <v>23637</v>
      </c>
      <c r="Q3804" s="8" t="s">
        <v>150</v>
      </c>
      <c r="R3804" s="8"/>
      <c r="S3804" s="8" t="s">
        <v>71</v>
      </c>
      <c r="T3804" s="8" t="s">
        <v>2697</v>
      </c>
      <c r="U3804" s="8" t="s">
        <v>150</v>
      </c>
      <c r="V3804" s="8" t="s">
        <v>2697</v>
      </c>
      <c r="W3804" s="8" t="s">
        <v>2697</v>
      </c>
      <c r="X3804" s="8">
        <v>6</v>
      </c>
      <c r="Y3804" s="8" t="s">
        <v>12359</v>
      </c>
      <c r="Z3804" s="8">
        <v>20</v>
      </c>
      <c r="AA3804" s="8">
        <v>0</v>
      </c>
      <c r="AB3804" s="9">
        <v>0</v>
      </c>
    </row>
    <row r="3805" spans="1:28" x14ac:dyDescent="0.2">
      <c r="A3805" s="10">
        <v>28413</v>
      </c>
      <c r="B3805" s="11" t="s">
        <v>23638</v>
      </c>
      <c r="C3805" s="11" t="s">
        <v>23639</v>
      </c>
      <c r="D3805" s="11" t="s">
        <v>4605</v>
      </c>
      <c r="E3805" s="11" t="s">
        <v>23640</v>
      </c>
      <c r="F3805" s="11" t="s">
        <v>23641</v>
      </c>
      <c r="G3805" s="11" t="s">
        <v>10391</v>
      </c>
      <c r="H3805" s="11" t="s">
        <v>142</v>
      </c>
      <c r="I3805" s="11" t="s">
        <v>13096</v>
      </c>
      <c r="J3805" s="11" t="s">
        <v>23642</v>
      </c>
      <c r="K3805" s="11" t="s">
        <v>472</v>
      </c>
      <c r="L3805" s="11" t="s">
        <v>146</v>
      </c>
      <c r="M3805" s="11" t="s">
        <v>23643</v>
      </c>
      <c r="N3805" s="11" t="s">
        <v>128</v>
      </c>
      <c r="O3805" s="11" t="s">
        <v>23644</v>
      </c>
      <c r="P3805" s="11" t="s">
        <v>23645</v>
      </c>
      <c r="Q3805" s="11" t="s">
        <v>150</v>
      </c>
      <c r="R3805" s="11"/>
      <c r="S3805" s="11" t="s">
        <v>71</v>
      </c>
      <c r="T3805" s="11" t="s">
        <v>70</v>
      </c>
      <c r="U3805" s="11" t="s">
        <v>150</v>
      </c>
      <c r="V3805" s="11" t="s">
        <v>70</v>
      </c>
      <c r="W3805" s="11" t="s">
        <v>70</v>
      </c>
      <c r="X3805" s="11">
        <v>6</v>
      </c>
      <c r="Y3805" s="11" t="s">
        <v>12359</v>
      </c>
      <c r="Z3805" s="11">
        <v>20</v>
      </c>
      <c r="AA3805" s="11">
        <v>0</v>
      </c>
      <c r="AB3805" s="12">
        <v>0</v>
      </c>
    </row>
    <row r="3806" spans="1:28" x14ac:dyDescent="0.2">
      <c r="A3806" s="7">
        <v>23591</v>
      </c>
      <c r="B3806" s="8" t="s">
        <v>23646</v>
      </c>
      <c r="C3806" s="8" t="s">
        <v>4777</v>
      </c>
      <c r="D3806" s="8" t="s">
        <v>7261</v>
      </c>
      <c r="E3806" s="8"/>
      <c r="F3806" s="8" t="s">
        <v>757</v>
      </c>
      <c r="G3806" s="8" t="s">
        <v>2435</v>
      </c>
      <c r="H3806" s="8" t="s">
        <v>142</v>
      </c>
      <c r="I3806" s="8" t="s">
        <v>7270</v>
      </c>
      <c r="J3806" s="8" t="s">
        <v>23647</v>
      </c>
      <c r="K3806" s="8" t="s">
        <v>1029</v>
      </c>
      <c r="L3806" s="8" t="s">
        <v>464</v>
      </c>
      <c r="M3806" s="8" t="s">
        <v>23648</v>
      </c>
      <c r="N3806" s="8" t="s">
        <v>128</v>
      </c>
      <c r="O3806" s="8" t="s">
        <v>23649</v>
      </c>
      <c r="P3806" s="8" t="s">
        <v>13738</v>
      </c>
      <c r="Q3806" s="8" t="s">
        <v>150</v>
      </c>
      <c r="R3806" s="8"/>
      <c r="S3806" s="8" t="s">
        <v>71</v>
      </c>
      <c r="T3806" s="8" t="s">
        <v>168</v>
      </c>
      <c r="U3806" s="8" t="s">
        <v>150</v>
      </c>
      <c r="V3806" s="8" t="s">
        <v>168</v>
      </c>
      <c r="W3806" s="8" t="s">
        <v>168</v>
      </c>
      <c r="X3806" s="8">
        <v>6</v>
      </c>
      <c r="Y3806" s="8" t="s">
        <v>12359</v>
      </c>
      <c r="Z3806" s="8">
        <v>20</v>
      </c>
      <c r="AA3806" s="8">
        <v>0</v>
      </c>
      <c r="AB3806" s="9">
        <v>0</v>
      </c>
    </row>
    <row r="3807" spans="1:28" x14ac:dyDescent="0.2">
      <c r="A3807" s="10">
        <v>85424</v>
      </c>
      <c r="B3807" s="11" t="s">
        <v>23650</v>
      </c>
      <c r="C3807" s="11" t="s">
        <v>23651</v>
      </c>
      <c r="D3807" s="11" t="s">
        <v>8431</v>
      </c>
      <c r="E3807" s="11"/>
      <c r="F3807" s="11" t="s">
        <v>23652</v>
      </c>
      <c r="G3807" s="11" t="s">
        <v>7808</v>
      </c>
      <c r="H3807" s="11" t="s">
        <v>142</v>
      </c>
      <c r="I3807" s="11" t="s">
        <v>23653</v>
      </c>
      <c r="J3807" s="11" t="s">
        <v>23654</v>
      </c>
      <c r="K3807" s="11" t="s">
        <v>779</v>
      </c>
      <c r="L3807" s="11" t="s">
        <v>464</v>
      </c>
      <c r="M3807" s="11" t="s">
        <v>23655</v>
      </c>
      <c r="N3807" s="11" t="s">
        <v>128</v>
      </c>
      <c r="O3807" s="11" t="s">
        <v>23656</v>
      </c>
      <c r="P3807" s="11" t="s">
        <v>7766</v>
      </c>
      <c r="Q3807" s="11" t="s">
        <v>150</v>
      </c>
      <c r="R3807" s="11"/>
      <c r="S3807" s="11" t="s">
        <v>23657</v>
      </c>
      <c r="T3807" s="11" t="s">
        <v>168</v>
      </c>
      <c r="U3807" s="11" t="s">
        <v>150</v>
      </c>
      <c r="V3807" s="11" t="s">
        <v>168</v>
      </c>
      <c r="W3807" s="11" t="s">
        <v>168</v>
      </c>
      <c r="X3807" s="11">
        <v>6</v>
      </c>
      <c r="Y3807" s="11" t="s">
        <v>12359</v>
      </c>
      <c r="Z3807" s="11">
        <v>20</v>
      </c>
      <c r="AA3807" s="11">
        <v>0</v>
      </c>
      <c r="AB3807" s="12">
        <v>0</v>
      </c>
    </row>
    <row r="3808" spans="1:28" x14ac:dyDescent="0.2">
      <c r="A3808" s="7">
        <v>29064</v>
      </c>
      <c r="B3808" s="8" t="s">
        <v>23658</v>
      </c>
      <c r="C3808" s="8" t="s">
        <v>7976</v>
      </c>
      <c r="D3808" s="8" t="s">
        <v>10896</v>
      </c>
      <c r="E3808" s="8"/>
      <c r="F3808" s="8" t="s">
        <v>353</v>
      </c>
      <c r="G3808" s="8" t="s">
        <v>4513</v>
      </c>
      <c r="H3808" s="8" t="s">
        <v>847</v>
      </c>
      <c r="I3808" s="8"/>
      <c r="J3808" s="8" t="s">
        <v>23659</v>
      </c>
      <c r="K3808" s="8" t="s">
        <v>1091</v>
      </c>
      <c r="L3808" s="8" t="s">
        <v>126</v>
      </c>
      <c r="M3808" s="8" t="s">
        <v>23660</v>
      </c>
      <c r="N3808" s="8" t="s">
        <v>128</v>
      </c>
      <c r="O3808" s="8"/>
      <c r="P3808" s="8"/>
      <c r="Q3808" s="8" t="s">
        <v>150</v>
      </c>
      <c r="R3808" s="8"/>
      <c r="S3808" s="8" t="s">
        <v>71</v>
      </c>
      <c r="T3808" s="8" t="s">
        <v>22054</v>
      </c>
      <c r="U3808" s="8" t="s">
        <v>150</v>
      </c>
      <c r="V3808" s="8" t="s">
        <v>22054</v>
      </c>
      <c r="W3808" s="8" t="s">
        <v>22054</v>
      </c>
      <c r="X3808" s="8">
        <v>6</v>
      </c>
      <c r="Y3808" s="8" t="s">
        <v>12359</v>
      </c>
      <c r="Z3808" s="8">
        <v>20</v>
      </c>
      <c r="AA3808" s="8">
        <v>0</v>
      </c>
      <c r="AB3808" s="9">
        <v>0</v>
      </c>
    </row>
    <row r="3809" spans="1:28" x14ac:dyDescent="0.2">
      <c r="A3809" s="10">
        <v>24914</v>
      </c>
      <c r="B3809" s="11" t="s">
        <v>23661</v>
      </c>
      <c r="C3809" s="11" t="s">
        <v>6993</v>
      </c>
      <c r="D3809" s="11" t="s">
        <v>6994</v>
      </c>
      <c r="E3809" s="11" t="s">
        <v>23662</v>
      </c>
      <c r="F3809" s="11" t="s">
        <v>353</v>
      </c>
      <c r="G3809" s="11" t="s">
        <v>2618</v>
      </c>
      <c r="H3809" s="11" t="s">
        <v>142</v>
      </c>
      <c r="I3809" s="11" t="s">
        <v>6996</v>
      </c>
      <c r="J3809" s="11" t="s">
        <v>6997</v>
      </c>
      <c r="K3809" s="11" t="s">
        <v>651</v>
      </c>
      <c r="L3809" s="11" t="s">
        <v>146</v>
      </c>
      <c r="M3809" s="11" t="s">
        <v>23663</v>
      </c>
      <c r="N3809" s="11" t="s">
        <v>128</v>
      </c>
      <c r="O3809" s="11" t="s">
        <v>23664</v>
      </c>
      <c r="P3809" s="11" t="s">
        <v>23665</v>
      </c>
      <c r="Q3809" s="11" t="s">
        <v>150</v>
      </c>
      <c r="R3809" s="11"/>
      <c r="S3809" s="11" t="s">
        <v>7001</v>
      </c>
      <c r="T3809" s="11" t="s">
        <v>1738</v>
      </c>
      <c r="U3809" s="11" t="s">
        <v>150</v>
      </c>
      <c r="V3809" s="11" t="s">
        <v>1738</v>
      </c>
      <c r="W3809" s="11" t="s">
        <v>1738</v>
      </c>
      <c r="X3809" s="11">
        <v>6</v>
      </c>
      <c r="Y3809" s="11" t="s">
        <v>12359</v>
      </c>
      <c r="Z3809" s="11">
        <v>20</v>
      </c>
      <c r="AA3809" s="11">
        <v>0</v>
      </c>
      <c r="AB3809" s="12">
        <v>0</v>
      </c>
    </row>
    <row r="3810" spans="1:28" x14ac:dyDescent="0.2">
      <c r="A3810" s="7">
        <v>25256</v>
      </c>
      <c r="B3810" s="8" t="s">
        <v>23666</v>
      </c>
      <c r="C3810" s="8" t="s">
        <v>4099</v>
      </c>
      <c r="D3810" s="8" t="s">
        <v>23667</v>
      </c>
      <c r="E3810" s="8" t="s">
        <v>281</v>
      </c>
      <c r="F3810" s="8" t="s">
        <v>353</v>
      </c>
      <c r="G3810" s="8" t="s">
        <v>3612</v>
      </c>
      <c r="H3810" s="8" t="s">
        <v>704</v>
      </c>
      <c r="I3810" s="8"/>
      <c r="J3810" s="8" t="s">
        <v>23668</v>
      </c>
      <c r="K3810" s="8" t="s">
        <v>707</v>
      </c>
      <c r="L3810" s="8" t="s">
        <v>126</v>
      </c>
      <c r="M3810" s="8" t="s">
        <v>23669</v>
      </c>
      <c r="N3810" s="8" t="s">
        <v>128</v>
      </c>
      <c r="O3810" s="8" t="s">
        <v>23670</v>
      </c>
      <c r="P3810" s="8"/>
      <c r="Q3810" s="8" t="s">
        <v>740</v>
      </c>
      <c r="R3810" s="8"/>
      <c r="S3810" s="8" t="s">
        <v>71</v>
      </c>
      <c r="T3810" s="8" t="s">
        <v>1745</v>
      </c>
      <c r="U3810" s="8" t="s">
        <v>134</v>
      </c>
      <c r="V3810" s="8" t="s">
        <v>740</v>
      </c>
      <c r="W3810" s="8" t="s">
        <v>1745</v>
      </c>
      <c r="X3810" s="8">
        <v>6</v>
      </c>
      <c r="Y3810" s="8" t="s">
        <v>12359</v>
      </c>
      <c r="Z3810" s="8">
        <v>20</v>
      </c>
      <c r="AA3810" s="8">
        <v>0</v>
      </c>
      <c r="AB3810" s="9">
        <v>0</v>
      </c>
    </row>
    <row r="3811" spans="1:28" x14ac:dyDescent="0.2">
      <c r="A3811" s="10">
        <v>246098</v>
      </c>
      <c r="B3811" s="11" t="s">
        <v>23671</v>
      </c>
      <c r="C3811" s="11" t="s">
        <v>3661</v>
      </c>
      <c r="D3811" s="11" t="s">
        <v>3598</v>
      </c>
      <c r="E3811" s="11" t="s">
        <v>3635</v>
      </c>
      <c r="F3811" s="11" t="s">
        <v>353</v>
      </c>
      <c r="G3811" s="11" t="s">
        <v>412</v>
      </c>
      <c r="H3811" s="11" t="s">
        <v>329</v>
      </c>
      <c r="I3811" s="11" t="s">
        <v>3663</v>
      </c>
      <c r="J3811" s="11" t="s">
        <v>3664</v>
      </c>
      <c r="K3811" s="11" t="s">
        <v>415</v>
      </c>
      <c r="L3811" s="11" t="s">
        <v>333</v>
      </c>
      <c r="M3811" s="11" t="s">
        <v>23672</v>
      </c>
      <c r="N3811" s="11" t="s">
        <v>128</v>
      </c>
      <c r="O3811" s="11" t="s">
        <v>23673</v>
      </c>
      <c r="P3811" s="11"/>
      <c r="Q3811" s="11" t="s">
        <v>249</v>
      </c>
      <c r="R3811" s="11"/>
      <c r="S3811" s="11" t="s">
        <v>3668</v>
      </c>
      <c r="T3811" s="11" t="s">
        <v>1523</v>
      </c>
      <c r="U3811" s="11" t="s">
        <v>134</v>
      </c>
      <c r="V3811" s="11" t="s">
        <v>249</v>
      </c>
      <c r="W3811" s="11" t="s">
        <v>1523</v>
      </c>
      <c r="X3811" s="11">
        <v>6</v>
      </c>
      <c r="Y3811" s="11" t="s">
        <v>12359</v>
      </c>
      <c r="Z3811" s="11">
        <v>20</v>
      </c>
      <c r="AA3811" s="11">
        <v>0</v>
      </c>
      <c r="AB3811" s="12">
        <v>0</v>
      </c>
    </row>
    <row r="3812" spans="1:28" x14ac:dyDescent="0.2">
      <c r="A3812" s="7">
        <v>126800</v>
      </c>
      <c r="B3812" s="8" t="s">
        <v>23674</v>
      </c>
      <c r="C3812" s="8" t="s">
        <v>23675</v>
      </c>
      <c r="D3812" s="8" t="s">
        <v>6206</v>
      </c>
      <c r="E3812" s="8" t="s">
        <v>23676</v>
      </c>
      <c r="F3812" s="8" t="s">
        <v>23619</v>
      </c>
      <c r="G3812" s="8" t="s">
        <v>1419</v>
      </c>
      <c r="H3812" s="8" t="s">
        <v>704</v>
      </c>
      <c r="I3812" s="8" t="s">
        <v>23677</v>
      </c>
      <c r="J3812" s="8" t="s">
        <v>23678</v>
      </c>
      <c r="K3812" s="8" t="s">
        <v>707</v>
      </c>
      <c r="L3812" s="8" t="s">
        <v>126</v>
      </c>
      <c r="M3812" s="8" t="s">
        <v>23679</v>
      </c>
      <c r="N3812" s="8" t="s">
        <v>128</v>
      </c>
      <c r="O3812" s="8" t="s">
        <v>23680</v>
      </c>
      <c r="P3812" s="8"/>
      <c r="Q3812" s="8" t="s">
        <v>249</v>
      </c>
      <c r="R3812" s="8"/>
      <c r="S3812" s="8" t="s">
        <v>71</v>
      </c>
      <c r="T3812" s="8" t="s">
        <v>1523</v>
      </c>
      <c r="U3812" s="8" t="s">
        <v>134</v>
      </c>
      <c r="V3812" s="8" t="s">
        <v>249</v>
      </c>
      <c r="W3812" s="8" t="s">
        <v>1523</v>
      </c>
      <c r="X3812" s="8">
        <v>6</v>
      </c>
      <c r="Y3812" s="8" t="s">
        <v>12359</v>
      </c>
      <c r="Z3812" s="8">
        <v>20</v>
      </c>
      <c r="AA3812" s="8">
        <v>0</v>
      </c>
      <c r="AB3812" s="9">
        <v>0</v>
      </c>
    </row>
    <row r="3813" spans="1:28" x14ac:dyDescent="0.2">
      <c r="A3813" s="10">
        <v>25519</v>
      </c>
      <c r="B3813" s="11" t="s">
        <v>23681</v>
      </c>
      <c r="C3813" s="11" t="s">
        <v>773</v>
      </c>
      <c r="D3813" s="11" t="s">
        <v>23682</v>
      </c>
      <c r="E3813" s="11" t="s">
        <v>3523</v>
      </c>
      <c r="F3813" s="11" t="s">
        <v>353</v>
      </c>
      <c r="G3813" s="11" t="s">
        <v>3612</v>
      </c>
      <c r="H3813" s="11" t="s">
        <v>704</v>
      </c>
      <c r="I3813" s="11" t="s">
        <v>23683</v>
      </c>
      <c r="J3813" s="11" t="s">
        <v>23684</v>
      </c>
      <c r="K3813" s="11" t="s">
        <v>707</v>
      </c>
      <c r="L3813" s="11" t="s">
        <v>126</v>
      </c>
      <c r="M3813" s="11" t="s">
        <v>23685</v>
      </c>
      <c r="N3813" s="11" t="s">
        <v>128</v>
      </c>
      <c r="O3813" s="11" t="s">
        <v>23686</v>
      </c>
      <c r="P3813" s="11" t="s">
        <v>23687</v>
      </c>
      <c r="Q3813" s="11" t="s">
        <v>249</v>
      </c>
      <c r="R3813" s="11"/>
      <c r="S3813" s="11" t="s">
        <v>71</v>
      </c>
      <c r="T3813" s="11" t="s">
        <v>250</v>
      </c>
      <c r="U3813" s="11" t="s">
        <v>134</v>
      </c>
      <c r="V3813" s="11" t="s">
        <v>249</v>
      </c>
      <c r="W3813" s="11" t="s">
        <v>250</v>
      </c>
      <c r="X3813" s="11">
        <v>6</v>
      </c>
      <c r="Y3813" s="11" t="s">
        <v>12359</v>
      </c>
      <c r="Z3813" s="11">
        <v>20</v>
      </c>
      <c r="AA3813" s="11">
        <v>0</v>
      </c>
      <c r="AB3813" s="12">
        <v>0</v>
      </c>
    </row>
    <row r="3814" spans="1:28" x14ac:dyDescent="0.2">
      <c r="A3814" s="7">
        <v>240272</v>
      </c>
      <c r="B3814" s="8" t="s">
        <v>23688</v>
      </c>
      <c r="C3814" s="8" t="s">
        <v>8419</v>
      </c>
      <c r="D3814" s="8" t="s">
        <v>23689</v>
      </c>
      <c r="E3814" s="8" t="s">
        <v>23690</v>
      </c>
      <c r="F3814" s="8" t="s">
        <v>353</v>
      </c>
      <c r="G3814" s="8" t="s">
        <v>4175</v>
      </c>
      <c r="H3814" s="8" t="s">
        <v>329</v>
      </c>
      <c r="I3814" s="8" t="s">
        <v>16134</v>
      </c>
      <c r="J3814" s="8" t="s">
        <v>23691</v>
      </c>
      <c r="K3814" s="8" t="s">
        <v>415</v>
      </c>
      <c r="L3814" s="8" t="s">
        <v>333</v>
      </c>
      <c r="M3814" s="8" t="s">
        <v>23692</v>
      </c>
      <c r="N3814" s="8" t="s">
        <v>128</v>
      </c>
      <c r="O3814" s="8" t="s">
        <v>23693</v>
      </c>
      <c r="P3814" s="8" t="s">
        <v>23694</v>
      </c>
      <c r="Q3814" s="8" t="s">
        <v>249</v>
      </c>
      <c r="R3814" s="8"/>
      <c r="S3814" s="8" t="s">
        <v>71</v>
      </c>
      <c r="T3814" s="8" t="s">
        <v>250</v>
      </c>
      <c r="U3814" s="8" t="s">
        <v>134</v>
      </c>
      <c r="V3814" s="8" t="s">
        <v>249</v>
      </c>
      <c r="W3814" s="8" t="s">
        <v>250</v>
      </c>
      <c r="X3814" s="8">
        <v>6</v>
      </c>
      <c r="Y3814" s="8" t="s">
        <v>12359</v>
      </c>
      <c r="Z3814" s="8">
        <v>20</v>
      </c>
      <c r="AA3814" s="8">
        <v>0</v>
      </c>
      <c r="AB3814" s="9">
        <v>0</v>
      </c>
    </row>
    <row r="3815" spans="1:28" x14ac:dyDescent="0.2">
      <c r="A3815" s="10">
        <v>21232</v>
      </c>
      <c r="B3815" s="11" t="s">
        <v>23695</v>
      </c>
      <c r="C3815" s="11" t="s">
        <v>10572</v>
      </c>
      <c r="D3815" s="11" t="s">
        <v>20465</v>
      </c>
      <c r="E3815" s="11" t="s">
        <v>23696</v>
      </c>
      <c r="F3815" s="11" t="s">
        <v>3819</v>
      </c>
      <c r="G3815" s="11" t="s">
        <v>328</v>
      </c>
      <c r="H3815" s="11" t="s">
        <v>329</v>
      </c>
      <c r="I3815" s="11" t="s">
        <v>10574</v>
      </c>
      <c r="J3815" s="11" t="s">
        <v>23697</v>
      </c>
      <c r="K3815" s="11" t="s">
        <v>431</v>
      </c>
      <c r="L3815" s="11" t="s">
        <v>333</v>
      </c>
      <c r="M3815" s="11" t="s">
        <v>23698</v>
      </c>
      <c r="N3815" s="11" t="s">
        <v>128</v>
      </c>
      <c r="O3815" s="11" t="s">
        <v>23699</v>
      </c>
      <c r="P3815" s="11" t="s">
        <v>23700</v>
      </c>
      <c r="Q3815" s="11" t="s">
        <v>150</v>
      </c>
      <c r="R3815" s="11"/>
      <c r="S3815" s="11" t="s">
        <v>71</v>
      </c>
      <c r="T3815" s="11" t="s">
        <v>642</v>
      </c>
      <c r="U3815" s="11" t="s">
        <v>150</v>
      </c>
      <c r="V3815" s="11" t="s">
        <v>642</v>
      </c>
      <c r="W3815" s="11" t="s">
        <v>642</v>
      </c>
      <c r="X3815" s="11">
        <v>5</v>
      </c>
      <c r="Y3815" s="11" t="s">
        <v>12359</v>
      </c>
      <c r="Z3815" s="11">
        <v>20</v>
      </c>
      <c r="AA3815" s="11">
        <v>0</v>
      </c>
      <c r="AB3815" s="12">
        <v>0</v>
      </c>
    </row>
    <row r="3816" spans="1:28" x14ac:dyDescent="0.2">
      <c r="A3816" s="7">
        <v>21307</v>
      </c>
      <c r="B3816" s="8" t="s">
        <v>23701</v>
      </c>
      <c r="C3816" s="8" t="s">
        <v>16358</v>
      </c>
      <c r="D3816" s="8" t="s">
        <v>20001</v>
      </c>
      <c r="E3816" s="8" t="s">
        <v>23702</v>
      </c>
      <c r="F3816" s="8" t="s">
        <v>20429</v>
      </c>
      <c r="G3816" s="8" t="s">
        <v>190</v>
      </c>
      <c r="H3816" s="8" t="s">
        <v>191</v>
      </c>
      <c r="I3816" s="8" t="s">
        <v>23703</v>
      </c>
      <c r="J3816" s="8" t="s">
        <v>20430</v>
      </c>
      <c r="K3816" s="8" t="s">
        <v>194</v>
      </c>
      <c r="L3816" s="8" t="s">
        <v>163</v>
      </c>
      <c r="M3816" s="8" t="s">
        <v>23704</v>
      </c>
      <c r="N3816" s="8" t="s">
        <v>128</v>
      </c>
      <c r="O3816" s="8" t="s">
        <v>23705</v>
      </c>
      <c r="P3816" s="8" t="s">
        <v>23706</v>
      </c>
      <c r="Q3816" s="8" t="s">
        <v>150</v>
      </c>
      <c r="R3816" s="8"/>
      <c r="S3816" s="8" t="s">
        <v>20007</v>
      </c>
      <c r="T3816" s="8" t="s">
        <v>67</v>
      </c>
      <c r="U3816" s="8" t="s">
        <v>150</v>
      </c>
      <c r="V3816" s="8" t="s">
        <v>152</v>
      </c>
      <c r="W3816" s="8" t="s">
        <v>67</v>
      </c>
      <c r="X3816" s="8">
        <v>5</v>
      </c>
      <c r="Y3816" s="8" t="s">
        <v>12359</v>
      </c>
      <c r="Z3816" s="8">
        <v>20</v>
      </c>
      <c r="AA3816" s="8">
        <v>0</v>
      </c>
      <c r="AB3816" s="9">
        <v>0</v>
      </c>
    </row>
    <row r="3817" spans="1:28" x14ac:dyDescent="0.2">
      <c r="A3817" s="10">
        <v>26771</v>
      </c>
      <c r="B3817" s="11" t="s">
        <v>23707</v>
      </c>
      <c r="C3817" s="11" t="s">
        <v>23708</v>
      </c>
      <c r="D3817" s="11" t="s">
        <v>23709</v>
      </c>
      <c r="E3817" s="11"/>
      <c r="F3817" s="11" t="s">
        <v>353</v>
      </c>
      <c r="G3817" s="11" t="s">
        <v>8876</v>
      </c>
      <c r="H3817" s="11" t="s">
        <v>329</v>
      </c>
      <c r="I3817" s="11" t="s">
        <v>23710</v>
      </c>
      <c r="J3817" s="11" t="s">
        <v>23711</v>
      </c>
      <c r="K3817" s="11" t="s">
        <v>415</v>
      </c>
      <c r="L3817" s="11" t="s">
        <v>333</v>
      </c>
      <c r="M3817" s="11" t="s">
        <v>23712</v>
      </c>
      <c r="N3817" s="11" t="s">
        <v>128</v>
      </c>
      <c r="O3817" s="11" t="s">
        <v>23713</v>
      </c>
      <c r="P3817" s="11" t="s">
        <v>3846</v>
      </c>
      <c r="Q3817" s="11" t="s">
        <v>131</v>
      </c>
      <c r="R3817" s="11"/>
      <c r="S3817" s="11" t="s">
        <v>23714</v>
      </c>
      <c r="T3817" s="11" t="s">
        <v>133</v>
      </c>
      <c r="U3817" s="11" t="s">
        <v>134</v>
      </c>
      <c r="V3817" s="11" t="s">
        <v>131</v>
      </c>
      <c r="W3817" s="11" t="s">
        <v>133</v>
      </c>
      <c r="X3817" s="11">
        <v>5</v>
      </c>
      <c r="Y3817" s="11" t="s">
        <v>12359</v>
      </c>
      <c r="Z3817" s="11">
        <v>20</v>
      </c>
      <c r="AA3817" s="11">
        <v>0</v>
      </c>
      <c r="AB3817" s="12">
        <v>0</v>
      </c>
    </row>
    <row r="3818" spans="1:28" x14ac:dyDescent="0.2">
      <c r="A3818" s="7">
        <v>23036</v>
      </c>
      <c r="B3818" s="8" t="s">
        <v>23715</v>
      </c>
      <c r="C3818" s="8" t="s">
        <v>2785</v>
      </c>
      <c r="D3818" s="8" t="s">
        <v>23716</v>
      </c>
      <c r="E3818" s="8" t="s">
        <v>23717</v>
      </c>
      <c r="F3818" s="8" t="s">
        <v>16538</v>
      </c>
      <c r="G3818" s="8" t="s">
        <v>846</v>
      </c>
      <c r="H3818" s="8" t="s">
        <v>847</v>
      </c>
      <c r="I3818" s="8" t="s">
        <v>23718</v>
      </c>
      <c r="J3818" s="8" t="s">
        <v>23719</v>
      </c>
      <c r="K3818" s="8" t="s">
        <v>850</v>
      </c>
      <c r="L3818" s="8" t="s">
        <v>126</v>
      </c>
      <c r="M3818" s="8" t="s">
        <v>23720</v>
      </c>
      <c r="N3818" s="8" t="s">
        <v>128</v>
      </c>
      <c r="O3818" s="8" t="s">
        <v>23721</v>
      </c>
      <c r="P3818" s="8" t="s">
        <v>23722</v>
      </c>
      <c r="Q3818" s="8" t="s">
        <v>150</v>
      </c>
      <c r="R3818" s="8"/>
      <c r="S3818" s="8" t="s">
        <v>23723</v>
      </c>
      <c r="T3818" s="8" t="s">
        <v>70</v>
      </c>
      <c r="U3818" s="8" t="s">
        <v>150</v>
      </c>
      <c r="V3818" s="8" t="s">
        <v>70</v>
      </c>
      <c r="W3818" s="8" t="s">
        <v>70</v>
      </c>
      <c r="X3818" s="8">
        <v>5</v>
      </c>
      <c r="Y3818" s="8" t="s">
        <v>12359</v>
      </c>
      <c r="Z3818" s="8">
        <v>20</v>
      </c>
      <c r="AA3818" s="8">
        <v>0</v>
      </c>
      <c r="AB3818" s="9">
        <v>0</v>
      </c>
    </row>
    <row r="3819" spans="1:28" x14ac:dyDescent="0.2">
      <c r="A3819" s="10">
        <v>23131</v>
      </c>
      <c r="B3819" s="11" t="s">
        <v>23724</v>
      </c>
      <c r="C3819" s="11" t="s">
        <v>23725</v>
      </c>
      <c r="D3819" s="11" t="s">
        <v>23726</v>
      </c>
      <c r="E3819" s="11"/>
      <c r="F3819" s="11" t="s">
        <v>375</v>
      </c>
      <c r="G3819" s="11" t="s">
        <v>224</v>
      </c>
      <c r="H3819" s="11" t="s">
        <v>225</v>
      </c>
      <c r="I3819" s="11" t="s">
        <v>23727</v>
      </c>
      <c r="J3819" s="11" t="s">
        <v>23728</v>
      </c>
      <c r="K3819" s="11" t="s">
        <v>228</v>
      </c>
      <c r="L3819" s="11" t="s">
        <v>229</v>
      </c>
      <c r="M3819" s="11" t="s">
        <v>23729</v>
      </c>
      <c r="N3819" s="11" t="s">
        <v>128</v>
      </c>
      <c r="O3819" s="11" t="s">
        <v>23730</v>
      </c>
      <c r="P3819" s="11" t="s">
        <v>23731</v>
      </c>
      <c r="Q3819" s="11" t="s">
        <v>150</v>
      </c>
      <c r="R3819" s="11"/>
      <c r="S3819" s="11" t="s">
        <v>23732</v>
      </c>
      <c r="T3819" s="11" t="s">
        <v>70</v>
      </c>
      <c r="U3819" s="11" t="s">
        <v>150</v>
      </c>
      <c r="V3819" s="11" t="s">
        <v>70</v>
      </c>
      <c r="W3819" s="11" t="s">
        <v>70</v>
      </c>
      <c r="X3819" s="11">
        <v>5</v>
      </c>
      <c r="Y3819" s="11" t="s">
        <v>12359</v>
      </c>
      <c r="Z3819" s="11">
        <v>20</v>
      </c>
      <c r="AA3819" s="11">
        <v>0</v>
      </c>
      <c r="AB3819" s="12">
        <v>0</v>
      </c>
    </row>
    <row r="3820" spans="1:28" x14ac:dyDescent="0.2">
      <c r="A3820" s="7">
        <v>92914</v>
      </c>
      <c r="B3820" s="8" t="s">
        <v>23733</v>
      </c>
      <c r="C3820" s="8" t="s">
        <v>10905</v>
      </c>
      <c r="D3820" s="8" t="s">
        <v>8203</v>
      </c>
      <c r="E3820" s="8"/>
      <c r="F3820" s="8" t="s">
        <v>4751</v>
      </c>
      <c r="G3820" s="8" t="s">
        <v>7808</v>
      </c>
      <c r="H3820" s="8" t="s">
        <v>142</v>
      </c>
      <c r="I3820" s="8" t="s">
        <v>23734</v>
      </c>
      <c r="J3820" s="8" t="s">
        <v>23735</v>
      </c>
      <c r="K3820" s="8" t="s">
        <v>779</v>
      </c>
      <c r="L3820" s="8" t="s">
        <v>464</v>
      </c>
      <c r="M3820" s="8" t="s">
        <v>23736</v>
      </c>
      <c r="N3820" s="8" t="s">
        <v>128</v>
      </c>
      <c r="O3820" s="8" t="s">
        <v>23737</v>
      </c>
      <c r="P3820" s="8" t="s">
        <v>23738</v>
      </c>
      <c r="Q3820" s="8" t="s">
        <v>150</v>
      </c>
      <c r="R3820" s="8"/>
      <c r="S3820" s="8" t="s">
        <v>71</v>
      </c>
      <c r="T3820" s="8" t="s">
        <v>1415</v>
      </c>
      <c r="U3820" s="8" t="s">
        <v>150</v>
      </c>
      <c r="V3820" s="8" t="s">
        <v>1415</v>
      </c>
      <c r="W3820" s="8" t="s">
        <v>1415</v>
      </c>
      <c r="X3820" s="8">
        <v>5</v>
      </c>
      <c r="Y3820" s="8" t="s">
        <v>12359</v>
      </c>
      <c r="Z3820" s="8">
        <v>20</v>
      </c>
      <c r="AA3820" s="8">
        <v>0</v>
      </c>
      <c r="AB3820" s="9">
        <v>0</v>
      </c>
    </row>
    <row r="3821" spans="1:28" x14ac:dyDescent="0.2">
      <c r="A3821" s="10">
        <v>247762</v>
      </c>
      <c r="B3821" s="11" t="s">
        <v>23739</v>
      </c>
      <c r="C3821" s="11" t="s">
        <v>23740</v>
      </c>
      <c r="D3821" s="11" t="s">
        <v>2547</v>
      </c>
      <c r="E3821" s="11"/>
      <c r="F3821" s="11" t="s">
        <v>10092</v>
      </c>
      <c r="G3821" s="11" t="s">
        <v>328</v>
      </c>
      <c r="H3821" s="11" t="s">
        <v>329</v>
      </c>
      <c r="I3821" s="11" t="s">
        <v>23741</v>
      </c>
      <c r="J3821" s="11" t="s">
        <v>23742</v>
      </c>
      <c r="K3821" s="11" t="s">
        <v>572</v>
      </c>
      <c r="L3821" s="11" t="s">
        <v>333</v>
      </c>
      <c r="M3821" s="11" t="s">
        <v>23743</v>
      </c>
      <c r="N3821" s="11" t="s">
        <v>128</v>
      </c>
      <c r="O3821" s="11" t="s">
        <v>23744</v>
      </c>
      <c r="P3821" s="11" t="s">
        <v>23745</v>
      </c>
      <c r="Q3821" s="11" t="s">
        <v>150</v>
      </c>
      <c r="R3821" s="11"/>
      <c r="S3821" s="11" t="s">
        <v>71</v>
      </c>
      <c r="T3821" s="11" t="s">
        <v>168</v>
      </c>
      <c r="U3821" s="11" t="s">
        <v>150</v>
      </c>
      <c r="V3821" s="11" t="s">
        <v>168</v>
      </c>
      <c r="W3821" s="11" t="s">
        <v>168</v>
      </c>
      <c r="X3821" s="11">
        <v>5</v>
      </c>
      <c r="Y3821" s="11" t="s">
        <v>12359</v>
      </c>
      <c r="Z3821" s="11">
        <v>20</v>
      </c>
      <c r="AA3821" s="11">
        <v>0</v>
      </c>
      <c r="AB3821" s="12">
        <v>0</v>
      </c>
    </row>
    <row r="3822" spans="1:28" x14ac:dyDescent="0.2">
      <c r="A3822" s="7">
        <v>24215</v>
      </c>
      <c r="B3822" s="8" t="s">
        <v>23746</v>
      </c>
      <c r="C3822" s="8" t="s">
        <v>23747</v>
      </c>
      <c r="D3822" s="8" t="s">
        <v>23748</v>
      </c>
      <c r="E3822" s="8" t="s">
        <v>23749</v>
      </c>
      <c r="F3822" s="8" t="s">
        <v>3963</v>
      </c>
      <c r="G3822" s="8" t="s">
        <v>4063</v>
      </c>
      <c r="H3822" s="8" t="s">
        <v>301</v>
      </c>
      <c r="I3822" s="8" t="s">
        <v>18140</v>
      </c>
      <c r="J3822" s="8" t="s">
        <v>23750</v>
      </c>
      <c r="K3822" s="8" t="s">
        <v>228</v>
      </c>
      <c r="L3822" s="8" t="s">
        <v>229</v>
      </c>
      <c r="M3822" s="8" t="s">
        <v>23751</v>
      </c>
      <c r="N3822" s="8" t="s">
        <v>128</v>
      </c>
      <c r="O3822" s="8" t="s">
        <v>23752</v>
      </c>
      <c r="P3822" s="8"/>
      <c r="Q3822" s="8" t="s">
        <v>150</v>
      </c>
      <c r="R3822" s="8"/>
      <c r="S3822" s="8" t="s">
        <v>3968</v>
      </c>
      <c r="T3822" s="8" t="s">
        <v>5674</v>
      </c>
      <c r="U3822" s="8" t="s">
        <v>150</v>
      </c>
      <c r="V3822" s="8" t="s">
        <v>5674</v>
      </c>
      <c r="W3822" s="8" t="s">
        <v>5674</v>
      </c>
      <c r="X3822" s="8">
        <v>5</v>
      </c>
      <c r="Y3822" s="8" t="s">
        <v>12359</v>
      </c>
      <c r="Z3822" s="8">
        <v>20</v>
      </c>
      <c r="AA3822" s="8">
        <v>0</v>
      </c>
      <c r="AB3822" s="9">
        <v>0</v>
      </c>
    </row>
    <row r="3823" spans="1:28" x14ac:dyDescent="0.2">
      <c r="A3823" s="10">
        <v>24948</v>
      </c>
      <c r="B3823" s="11" t="s">
        <v>23753</v>
      </c>
      <c r="C3823" s="11" t="s">
        <v>396</v>
      </c>
      <c r="D3823" s="11" t="s">
        <v>397</v>
      </c>
      <c r="E3823" s="11" t="s">
        <v>398</v>
      </c>
      <c r="F3823" s="11" t="s">
        <v>399</v>
      </c>
      <c r="G3823" s="11" t="s">
        <v>400</v>
      </c>
      <c r="H3823" s="11" t="s">
        <v>142</v>
      </c>
      <c r="I3823" s="11" t="s">
        <v>401</v>
      </c>
      <c r="J3823" s="11" t="s">
        <v>402</v>
      </c>
      <c r="K3823" s="11" t="s">
        <v>403</v>
      </c>
      <c r="L3823" s="11" t="s">
        <v>146</v>
      </c>
      <c r="M3823" s="11" t="s">
        <v>23754</v>
      </c>
      <c r="N3823" s="11" t="s">
        <v>128</v>
      </c>
      <c r="O3823" s="11" t="s">
        <v>23755</v>
      </c>
      <c r="P3823" s="11" t="s">
        <v>2328</v>
      </c>
      <c r="Q3823" s="11" t="s">
        <v>150</v>
      </c>
      <c r="R3823" s="11"/>
      <c r="S3823" s="11" t="s">
        <v>407</v>
      </c>
      <c r="T3823" s="11" t="s">
        <v>1738</v>
      </c>
      <c r="U3823" s="11" t="s">
        <v>150</v>
      </c>
      <c r="V3823" s="11" t="s">
        <v>1738</v>
      </c>
      <c r="W3823" s="11" t="s">
        <v>1738</v>
      </c>
      <c r="X3823" s="11">
        <v>5</v>
      </c>
      <c r="Y3823" s="11" t="s">
        <v>12359</v>
      </c>
      <c r="Z3823" s="11">
        <v>20</v>
      </c>
      <c r="AA3823" s="11">
        <v>0</v>
      </c>
      <c r="AB3823" s="12">
        <v>0</v>
      </c>
    </row>
    <row r="3824" spans="1:28" x14ac:dyDescent="0.2">
      <c r="A3824" s="7">
        <v>24950</v>
      </c>
      <c r="B3824" s="8" t="s">
        <v>23756</v>
      </c>
      <c r="C3824" s="8" t="s">
        <v>1034</v>
      </c>
      <c r="D3824" s="8" t="s">
        <v>1035</v>
      </c>
      <c r="E3824" s="8" t="s">
        <v>23757</v>
      </c>
      <c r="F3824" s="8" t="s">
        <v>1037</v>
      </c>
      <c r="G3824" s="8" t="s">
        <v>703</v>
      </c>
      <c r="H3824" s="8" t="s">
        <v>704</v>
      </c>
      <c r="I3824" s="8" t="s">
        <v>1038</v>
      </c>
      <c r="J3824" s="8" t="s">
        <v>1039</v>
      </c>
      <c r="K3824" s="8" t="s">
        <v>707</v>
      </c>
      <c r="L3824" s="8" t="s">
        <v>126</v>
      </c>
      <c r="M3824" s="8" t="s">
        <v>23758</v>
      </c>
      <c r="N3824" s="8" t="s">
        <v>128</v>
      </c>
      <c r="O3824" s="8" t="s">
        <v>23759</v>
      </c>
      <c r="P3824" s="8" t="s">
        <v>23760</v>
      </c>
      <c r="Q3824" s="8" t="s">
        <v>150</v>
      </c>
      <c r="R3824" s="8"/>
      <c r="S3824" s="8" t="s">
        <v>1043</v>
      </c>
      <c r="T3824" s="8" t="s">
        <v>1738</v>
      </c>
      <c r="U3824" s="8" t="s">
        <v>150</v>
      </c>
      <c r="V3824" s="8" t="s">
        <v>1738</v>
      </c>
      <c r="W3824" s="8" t="s">
        <v>1738</v>
      </c>
      <c r="X3824" s="8">
        <v>5</v>
      </c>
      <c r="Y3824" s="8" t="s">
        <v>12359</v>
      </c>
      <c r="Z3824" s="8">
        <v>20</v>
      </c>
      <c r="AA3824" s="8">
        <v>0</v>
      </c>
      <c r="AB3824" s="9">
        <v>0</v>
      </c>
    </row>
    <row r="3825" spans="1:28" x14ac:dyDescent="0.2">
      <c r="A3825" s="10">
        <v>246113</v>
      </c>
      <c r="B3825" s="11" t="s">
        <v>23761</v>
      </c>
      <c r="C3825" s="11" t="s">
        <v>4844</v>
      </c>
      <c r="D3825" s="11" t="s">
        <v>4845</v>
      </c>
      <c r="E3825" s="11"/>
      <c r="F3825" s="11" t="s">
        <v>4847</v>
      </c>
      <c r="G3825" s="11" t="s">
        <v>141</v>
      </c>
      <c r="H3825" s="11" t="s">
        <v>142</v>
      </c>
      <c r="I3825" s="11" t="s">
        <v>4848</v>
      </c>
      <c r="J3825" s="11" t="s">
        <v>4849</v>
      </c>
      <c r="K3825" s="11" t="s">
        <v>584</v>
      </c>
      <c r="L3825" s="11" t="s">
        <v>146</v>
      </c>
      <c r="M3825" s="11" t="s">
        <v>23762</v>
      </c>
      <c r="N3825" s="11" t="s">
        <v>128</v>
      </c>
      <c r="O3825" s="11" t="s">
        <v>23763</v>
      </c>
      <c r="P3825" s="11" t="s">
        <v>23764</v>
      </c>
      <c r="Q3825" s="11" t="s">
        <v>740</v>
      </c>
      <c r="R3825" s="11"/>
      <c r="S3825" s="11" t="s">
        <v>4853</v>
      </c>
      <c r="T3825" s="11" t="s">
        <v>1745</v>
      </c>
      <c r="U3825" s="11" t="s">
        <v>134</v>
      </c>
      <c r="V3825" s="11" t="s">
        <v>740</v>
      </c>
      <c r="W3825" s="11" t="s">
        <v>1745</v>
      </c>
      <c r="X3825" s="11">
        <v>5</v>
      </c>
      <c r="Y3825" s="11" t="s">
        <v>12359</v>
      </c>
      <c r="Z3825" s="11">
        <v>20</v>
      </c>
      <c r="AA3825" s="11">
        <v>0</v>
      </c>
      <c r="AB3825" s="12">
        <v>0</v>
      </c>
    </row>
    <row r="3826" spans="1:28" x14ac:dyDescent="0.2">
      <c r="A3826" s="7">
        <v>25156</v>
      </c>
      <c r="B3826" s="8" t="s">
        <v>23765</v>
      </c>
      <c r="C3826" s="8" t="s">
        <v>23766</v>
      </c>
      <c r="D3826" s="8" t="s">
        <v>6286</v>
      </c>
      <c r="E3826" s="8"/>
      <c r="F3826" s="8" t="s">
        <v>4566</v>
      </c>
      <c r="G3826" s="8" t="s">
        <v>1253</v>
      </c>
      <c r="H3826" s="8" t="s">
        <v>142</v>
      </c>
      <c r="I3826" s="8" t="s">
        <v>23767</v>
      </c>
      <c r="J3826" s="8" t="s">
        <v>23768</v>
      </c>
      <c r="K3826" s="8" t="s">
        <v>1199</v>
      </c>
      <c r="L3826" s="8" t="s">
        <v>464</v>
      </c>
      <c r="M3826" s="8" t="s">
        <v>23769</v>
      </c>
      <c r="N3826" s="8" t="s">
        <v>128</v>
      </c>
      <c r="O3826" s="8" t="s">
        <v>23770</v>
      </c>
      <c r="P3826" s="8" t="s">
        <v>23771</v>
      </c>
      <c r="Q3826" s="8" t="s">
        <v>740</v>
      </c>
      <c r="R3826" s="8"/>
      <c r="S3826" s="8" t="s">
        <v>13597</v>
      </c>
      <c r="T3826" s="8" t="s">
        <v>1745</v>
      </c>
      <c r="U3826" s="8" t="s">
        <v>134</v>
      </c>
      <c r="V3826" s="8" t="s">
        <v>740</v>
      </c>
      <c r="W3826" s="8" t="s">
        <v>1745</v>
      </c>
      <c r="X3826" s="8">
        <v>5</v>
      </c>
      <c r="Y3826" s="8" t="s">
        <v>12359</v>
      </c>
      <c r="Z3826" s="8">
        <v>20</v>
      </c>
      <c r="AA3826" s="8">
        <v>0</v>
      </c>
      <c r="AB3826" s="9">
        <v>0</v>
      </c>
    </row>
    <row r="3827" spans="1:28" x14ac:dyDescent="0.2">
      <c r="A3827" s="10">
        <v>114646</v>
      </c>
      <c r="B3827" s="11" t="s">
        <v>23772</v>
      </c>
      <c r="C3827" s="11" t="s">
        <v>23725</v>
      </c>
      <c r="D3827" s="11" t="s">
        <v>138</v>
      </c>
      <c r="E3827" s="11"/>
      <c r="F3827" s="11" t="s">
        <v>484</v>
      </c>
      <c r="G3827" s="11" t="s">
        <v>224</v>
      </c>
      <c r="H3827" s="11" t="s">
        <v>225</v>
      </c>
      <c r="I3827" s="11" t="s">
        <v>23773</v>
      </c>
      <c r="J3827" s="11" t="s">
        <v>23728</v>
      </c>
      <c r="K3827" s="11" t="s">
        <v>228</v>
      </c>
      <c r="L3827" s="11" t="s">
        <v>229</v>
      </c>
      <c r="M3827" s="11" t="s">
        <v>23774</v>
      </c>
      <c r="N3827" s="11" t="s">
        <v>128</v>
      </c>
      <c r="O3827" s="11" t="s">
        <v>23775</v>
      </c>
      <c r="P3827" s="11"/>
      <c r="Q3827" s="11" t="s">
        <v>740</v>
      </c>
      <c r="R3827" s="11"/>
      <c r="S3827" s="11" t="s">
        <v>23732</v>
      </c>
      <c r="T3827" s="11" t="s">
        <v>1745</v>
      </c>
      <c r="U3827" s="11" t="s">
        <v>134</v>
      </c>
      <c r="V3827" s="11" t="s">
        <v>740</v>
      </c>
      <c r="W3827" s="11" t="s">
        <v>1745</v>
      </c>
      <c r="X3827" s="11">
        <v>5</v>
      </c>
      <c r="Y3827" s="11" t="s">
        <v>12359</v>
      </c>
      <c r="Z3827" s="11">
        <v>20</v>
      </c>
      <c r="AA3827" s="11">
        <v>0</v>
      </c>
      <c r="AB3827" s="12">
        <v>0</v>
      </c>
    </row>
    <row r="3828" spans="1:28" x14ac:dyDescent="0.2">
      <c r="A3828" s="7">
        <v>124144</v>
      </c>
      <c r="B3828" s="8" t="s">
        <v>23776</v>
      </c>
      <c r="C3828" s="8" t="s">
        <v>543</v>
      </c>
      <c r="D3828" s="8" t="s">
        <v>544</v>
      </c>
      <c r="E3828" s="8"/>
      <c r="F3828" s="8" t="s">
        <v>5273</v>
      </c>
      <c r="G3828" s="8" t="s">
        <v>428</v>
      </c>
      <c r="H3828" s="8" t="s">
        <v>329</v>
      </c>
      <c r="I3828" s="8" t="s">
        <v>546</v>
      </c>
      <c r="J3828" s="8" t="s">
        <v>23777</v>
      </c>
      <c r="K3828" s="8" t="s">
        <v>431</v>
      </c>
      <c r="L3828" s="8" t="s">
        <v>333</v>
      </c>
      <c r="M3828" s="8" t="s">
        <v>23778</v>
      </c>
      <c r="N3828" s="8" t="s">
        <v>128</v>
      </c>
      <c r="O3828" s="8" t="s">
        <v>23779</v>
      </c>
      <c r="P3828" s="8"/>
      <c r="Q3828" s="8" t="s">
        <v>740</v>
      </c>
      <c r="R3828" s="8"/>
      <c r="S3828" s="8" t="s">
        <v>71</v>
      </c>
      <c r="T3828" s="8" t="s">
        <v>1745</v>
      </c>
      <c r="U3828" s="8" t="s">
        <v>134</v>
      </c>
      <c r="V3828" s="8" t="s">
        <v>740</v>
      </c>
      <c r="W3828" s="8" t="s">
        <v>1745</v>
      </c>
      <c r="X3828" s="8">
        <v>5</v>
      </c>
      <c r="Y3828" s="8" t="s">
        <v>12359</v>
      </c>
      <c r="Z3828" s="8">
        <v>20</v>
      </c>
      <c r="AA3828" s="8">
        <v>0</v>
      </c>
      <c r="AB3828" s="9">
        <v>0</v>
      </c>
    </row>
    <row r="3829" spans="1:28" x14ac:dyDescent="0.2">
      <c r="A3829" s="10">
        <v>25521</v>
      </c>
      <c r="B3829" s="11" t="s">
        <v>23780</v>
      </c>
      <c r="C3829" s="11" t="s">
        <v>2300</v>
      </c>
      <c r="D3829" s="11" t="s">
        <v>5114</v>
      </c>
      <c r="E3829" s="11" t="s">
        <v>3523</v>
      </c>
      <c r="F3829" s="11" t="s">
        <v>6704</v>
      </c>
      <c r="G3829" s="11" t="s">
        <v>2863</v>
      </c>
      <c r="H3829" s="11" t="s">
        <v>142</v>
      </c>
      <c r="I3829" s="11" t="s">
        <v>6705</v>
      </c>
      <c r="J3829" s="11" t="s">
        <v>6706</v>
      </c>
      <c r="K3829" s="11" t="s">
        <v>974</v>
      </c>
      <c r="L3829" s="11" t="s">
        <v>146</v>
      </c>
      <c r="M3829" s="11" t="s">
        <v>23781</v>
      </c>
      <c r="N3829" s="11" t="s">
        <v>128</v>
      </c>
      <c r="O3829" s="11" t="s">
        <v>23782</v>
      </c>
      <c r="P3829" s="11"/>
      <c r="Q3829" s="11" t="s">
        <v>249</v>
      </c>
      <c r="R3829" s="11"/>
      <c r="S3829" s="11" t="s">
        <v>6709</v>
      </c>
      <c r="T3829" s="11" t="s">
        <v>1523</v>
      </c>
      <c r="U3829" s="11" t="s">
        <v>134</v>
      </c>
      <c r="V3829" s="11" t="s">
        <v>249</v>
      </c>
      <c r="W3829" s="11" t="s">
        <v>1523</v>
      </c>
      <c r="X3829" s="11">
        <v>5</v>
      </c>
      <c r="Y3829" s="11" t="s">
        <v>12359</v>
      </c>
      <c r="Z3829" s="11">
        <v>20</v>
      </c>
      <c r="AA3829" s="11">
        <v>0</v>
      </c>
      <c r="AB3829" s="12">
        <v>0</v>
      </c>
    </row>
    <row r="3830" spans="1:28" x14ac:dyDescent="0.2">
      <c r="A3830" s="7">
        <v>124152</v>
      </c>
      <c r="B3830" s="8" t="s">
        <v>23783</v>
      </c>
      <c r="C3830" s="8" t="s">
        <v>3547</v>
      </c>
      <c r="D3830" s="8" t="s">
        <v>138</v>
      </c>
      <c r="E3830" s="8" t="s">
        <v>23784</v>
      </c>
      <c r="F3830" s="8" t="s">
        <v>3549</v>
      </c>
      <c r="G3830" s="8" t="s">
        <v>224</v>
      </c>
      <c r="H3830" s="8" t="s">
        <v>225</v>
      </c>
      <c r="I3830" s="8" t="s">
        <v>23785</v>
      </c>
      <c r="J3830" s="8" t="s">
        <v>23786</v>
      </c>
      <c r="K3830" s="8" t="s">
        <v>228</v>
      </c>
      <c r="L3830" s="8" t="s">
        <v>229</v>
      </c>
      <c r="M3830" s="8" t="s">
        <v>23787</v>
      </c>
      <c r="N3830" s="8" t="s">
        <v>128</v>
      </c>
      <c r="O3830" s="8" t="s">
        <v>23788</v>
      </c>
      <c r="P3830" s="8"/>
      <c r="Q3830" s="8" t="s">
        <v>249</v>
      </c>
      <c r="R3830" s="8"/>
      <c r="S3830" s="8" t="s">
        <v>71</v>
      </c>
      <c r="T3830" s="8" t="s">
        <v>1523</v>
      </c>
      <c r="U3830" s="8" t="s">
        <v>134</v>
      </c>
      <c r="V3830" s="8" t="s">
        <v>249</v>
      </c>
      <c r="W3830" s="8" t="s">
        <v>1523</v>
      </c>
      <c r="X3830" s="8">
        <v>5</v>
      </c>
      <c r="Y3830" s="8" t="s">
        <v>12359</v>
      </c>
      <c r="Z3830" s="8">
        <v>20</v>
      </c>
      <c r="AA3830" s="8">
        <v>0</v>
      </c>
      <c r="AB3830" s="9">
        <v>0</v>
      </c>
    </row>
    <row r="3831" spans="1:28" x14ac:dyDescent="0.2">
      <c r="A3831" s="10">
        <v>31526</v>
      </c>
      <c r="B3831" s="11" t="s">
        <v>23789</v>
      </c>
      <c r="C3831" s="11" t="s">
        <v>23790</v>
      </c>
      <c r="D3831" s="11" t="s">
        <v>138</v>
      </c>
      <c r="E3831" s="11"/>
      <c r="F3831" s="11" t="s">
        <v>23791</v>
      </c>
      <c r="G3831" s="11" t="s">
        <v>224</v>
      </c>
      <c r="H3831" s="11" t="s">
        <v>225</v>
      </c>
      <c r="I3831" s="11" t="s">
        <v>23773</v>
      </c>
      <c r="J3831" s="11" t="s">
        <v>23792</v>
      </c>
      <c r="K3831" s="11" t="s">
        <v>228</v>
      </c>
      <c r="L3831" s="11" t="s">
        <v>229</v>
      </c>
      <c r="M3831" s="11" t="s">
        <v>23793</v>
      </c>
      <c r="N3831" s="11" t="s">
        <v>128</v>
      </c>
      <c r="O3831" s="11" t="s">
        <v>23794</v>
      </c>
      <c r="P3831" s="11"/>
      <c r="Q3831" s="11" t="s">
        <v>249</v>
      </c>
      <c r="R3831" s="11"/>
      <c r="S3831" s="11" t="s">
        <v>23732</v>
      </c>
      <c r="T3831" s="11" t="s">
        <v>1523</v>
      </c>
      <c r="U3831" s="11" t="s">
        <v>134</v>
      </c>
      <c r="V3831" s="11" t="s">
        <v>249</v>
      </c>
      <c r="W3831" s="11" t="s">
        <v>1523</v>
      </c>
      <c r="X3831" s="11">
        <v>5</v>
      </c>
      <c r="Y3831" s="11" t="s">
        <v>12359</v>
      </c>
      <c r="Z3831" s="11">
        <v>20</v>
      </c>
      <c r="AA3831" s="11">
        <v>0</v>
      </c>
      <c r="AB3831" s="12">
        <v>0</v>
      </c>
    </row>
    <row r="3832" spans="1:28" x14ac:dyDescent="0.2">
      <c r="A3832" s="7">
        <v>21206</v>
      </c>
      <c r="B3832" s="8" t="s">
        <v>23795</v>
      </c>
      <c r="C3832" s="8" t="s">
        <v>23796</v>
      </c>
      <c r="D3832" s="8" t="s">
        <v>5508</v>
      </c>
      <c r="E3832" s="8"/>
      <c r="F3832" s="8" t="s">
        <v>23797</v>
      </c>
      <c r="G3832" s="8" t="s">
        <v>1139</v>
      </c>
      <c r="H3832" s="8" t="s">
        <v>557</v>
      </c>
      <c r="I3832" s="8" t="s">
        <v>1140</v>
      </c>
      <c r="J3832" s="8" t="s">
        <v>23798</v>
      </c>
      <c r="K3832" s="8" t="s">
        <v>560</v>
      </c>
      <c r="L3832" s="8" t="s">
        <v>229</v>
      </c>
      <c r="M3832" s="8" t="s">
        <v>23799</v>
      </c>
      <c r="N3832" s="8" t="s">
        <v>128</v>
      </c>
      <c r="O3832" s="8" t="s">
        <v>23800</v>
      </c>
      <c r="P3832" s="8"/>
      <c r="Q3832" s="8" t="s">
        <v>150</v>
      </c>
      <c r="R3832" s="8"/>
      <c r="S3832" s="8" t="s">
        <v>71</v>
      </c>
      <c r="T3832" s="8" t="s">
        <v>642</v>
      </c>
      <c r="U3832" s="8" t="s">
        <v>150</v>
      </c>
      <c r="V3832" s="8" t="s">
        <v>642</v>
      </c>
      <c r="W3832" s="8" t="s">
        <v>642</v>
      </c>
      <c r="X3832" s="8">
        <v>4</v>
      </c>
      <c r="Y3832" s="8" t="s">
        <v>12359</v>
      </c>
      <c r="Z3832" s="8">
        <v>20</v>
      </c>
      <c r="AA3832" s="8">
        <v>0</v>
      </c>
      <c r="AB3832" s="9">
        <v>0</v>
      </c>
    </row>
    <row r="3833" spans="1:28" x14ac:dyDescent="0.2">
      <c r="A3833" s="10">
        <v>21388</v>
      </c>
      <c r="B3833" s="11" t="s">
        <v>23801</v>
      </c>
      <c r="C3833" s="11" t="s">
        <v>23802</v>
      </c>
      <c r="D3833" s="11" t="s">
        <v>18342</v>
      </c>
      <c r="E3833" s="11" t="s">
        <v>23803</v>
      </c>
      <c r="F3833" s="11" t="s">
        <v>23804</v>
      </c>
      <c r="G3833" s="11" t="s">
        <v>4270</v>
      </c>
      <c r="H3833" s="11" t="s">
        <v>4271</v>
      </c>
      <c r="I3833" s="11" t="s">
        <v>23805</v>
      </c>
      <c r="J3833" s="11" t="s">
        <v>23806</v>
      </c>
      <c r="K3833" s="11" t="s">
        <v>619</v>
      </c>
      <c r="L3833" s="11" t="s">
        <v>163</v>
      </c>
      <c r="M3833" s="11" t="s">
        <v>23807</v>
      </c>
      <c r="N3833" s="11" t="s">
        <v>128</v>
      </c>
      <c r="O3833" s="11" t="s">
        <v>23808</v>
      </c>
      <c r="P3833" s="11" t="s">
        <v>23809</v>
      </c>
      <c r="Q3833" s="11" t="s">
        <v>150</v>
      </c>
      <c r="R3833" s="11"/>
      <c r="S3833" s="11" t="s">
        <v>23810</v>
      </c>
      <c r="T3833" s="11" t="s">
        <v>67</v>
      </c>
      <c r="U3833" s="11" t="s">
        <v>150</v>
      </c>
      <c r="V3833" s="11" t="s">
        <v>152</v>
      </c>
      <c r="W3833" s="11" t="s">
        <v>67</v>
      </c>
      <c r="X3833" s="11">
        <v>4</v>
      </c>
      <c r="Y3833" s="11" t="s">
        <v>12359</v>
      </c>
      <c r="Z3833" s="11">
        <v>20</v>
      </c>
      <c r="AA3833" s="11">
        <v>0</v>
      </c>
      <c r="AB3833" s="12">
        <v>0</v>
      </c>
    </row>
    <row r="3834" spans="1:28" x14ac:dyDescent="0.2">
      <c r="A3834" s="7">
        <v>26364</v>
      </c>
      <c r="B3834" s="8" t="s">
        <v>23811</v>
      </c>
      <c r="C3834" s="8" t="s">
        <v>10989</v>
      </c>
      <c r="D3834" s="8" t="s">
        <v>23812</v>
      </c>
      <c r="E3834" s="8"/>
      <c r="F3834" s="8" t="s">
        <v>23813</v>
      </c>
      <c r="G3834" s="8" t="s">
        <v>3643</v>
      </c>
      <c r="H3834" s="8" t="s">
        <v>142</v>
      </c>
      <c r="I3834" s="8" t="s">
        <v>23814</v>
      </c>
      <c r="J3834" s="8" t="s">
        <v>23815</v>
      </c>
      <c r="K3834" s="8" t="s">
        <v>651</v>
      </c>
      <c r="L3834" s="8" t="s">
        <v>146</v>
      </c>
      <c r="M3834" s="8" t="s">
        <v>23816</v>
      </c>
      <c r="N3834" s="8" t="s">
        <v>128</v>
      </c>
      <c r="O3834" s="8"/>
      <c r="P3834" s="8" t="s">
        <v>19716</v>
      </c>
      <c r="Q3834" s="8" t="s">
        <v>150</v>
      </c>
      <c r="R3834" s="8"/>
      <c r="S3834" s="8" t="s">
        <v>71</v>
      </c>
      <c r="T3834" s="8" t="s">
        <v>67</v>
      </c>
      <c r="U3834" s="8" t="s">
        <v>150</v>
      </c>
      <c r="V3834" s="8" t="s">
        <v>152</v>
      </c>
      <c r="W3834" s="8" t="s">
        <v>67</v>
      </c>
      <c r="X3834" s="8">
        <v>4</v>
      </c>
      <c r="Y3834" s="8" t="s">
        <v>12359</v>
      </c>
      <c r="Z3834" s="8">
        <v>20</v>
      </c>
      <c r="AA3834" s="8">
        <v>0</v>
      </c>
      <c r="AB3834" s="9">
        <v>0</v>
      </c>
    </row>
    <row r="3835" spans="1:28" x14ac:dyDescent="0.2">
      <c r="A3835" s="10">
        <v>219339</v>
      </c>
      <c r="B3835" s="11" t="s">
        <v>23817</v>
      </c>
      <c r="C3835" s="11" t="s">
        <v>1136</v>
      </c>
      <c r="D3835" s="11" t="s">
        <v>7708</v>
      </c>
      <c r="E3835" s="11"/>
      <c r="F3835" s="11" t="s">
        <v>23818</v>
      </c>
      <c r="G3835" s="11" t="s">
        <v>1139</v>
      </c>
      <c r="H3835" s="11" t="s">
        <v>557</v>
      </c>
      <c r="I3835" s="11" t="s">
        <v>1140</v>
      </c>
      <c r="J3835" s="11" t="s">
        <v>23819</v>
      </c>
      <c r="K3835" s="11" t="s">
        <v>560</v>
      </c>
      <c r="L3835" s="11" t="s">
        <v>229</v>
      </c>
      <c r="M3835" s="11" t="s">
        <v>23820</v>
      </c>
      <c r="N3835" s="11" t="s">
        <v>128</v>
      </c>
      <c r="O3835" s="11" t="s">
        <v>23821</v>
      </c>
      <c r="P3835" s="11"/>
      <c r="Q3835" s="11" t="s">
        <v>131</v>
      </c>
      <c r="R3835" s="11"/>
      <c r="S3835" s="11" t="s">
        <v>71</v>
      </c>
      <c r="T3835" s="11" t="s">
        <v>983</v>
      </c>
      <c r="U3835" s="11" t="s">
        <v>134</v>
      </c>
      <c r="V3835" s="11" t="s">
        <v>131</v>
      </c>
      <c r="W3835" s="11" t="s">
        <v>983</v>
      </c>
      <c r="X3835" s="11">
        <v>4</v>
      </c>
      <c r="Y3835" s="11" t="s">
        <v>12359</v>
      </c>
      <c r="Z3835" s="11">
        <v>20</v>
      </c>
      <c r="AA3835" s="11">
        <v>0</v>
      </c>
      <c r="AB3835" s="12">
        <v>0</v>
      </c>
    </row>
    <row r="3836" spans="1:28" x14ac:dyDescent="0.2">
      <c r="A3836" s="7">
        <v>22069</v>
      </c>
      <c r="B3836" s="8" t="s">
        <v>23822</v>
      </c>
      <c r="C3836" s="8" t="s">
        <v>23823</v>
      </c>
      <c r="D3836" s="8" t="s">
        <v>1676</v>
      </c>
      <c r="E3836" s="8" t="s">
        <v>281</v>
      </c>
      <c r="F3836" s="8" t="s">
        <v>353</v>
      </c>
      <c r="G3836" s="8" t="s">
        <v>19550</v>
      </c>
      <c r="H3836" s="8" t="s">
        <v>122</v>
      </c>
      <c r="I3836" s="8" t="s">
        <v>23824</v>
      </c>
      <c r="J3836" s="8" t="s">
        <v>23825</v>
      </c>
      <c r="K3836" s="8" t="s">
        <v>125</v>
      </c>
      <c r="L3836" s="8" t="s">
        <v>126</v>
      </c>
      <c r="M3836" s="8" t="s">
        <v>23826</v>
      </c>
      <c r="N3836" s="8" t="s">
        <v>128</v>
      </c>
      <c r="O3836" s="8" t="s">
        <v>23827</v>
      </c>
      <c r="P3836" s="8" t="s">
        <v>23828</v>
      </c>
      <c r="Q3836" s="8" t="s">
        <v>131</v>
      </c>
      <c r="R3836" s="8"/>
      <c r="S3836" s="8" t="s">
        <v>71</v>
      </c>
      <c r="T3836" s="8" t="s">
        <v>133</v>
      </c>
      <c r="U3836" s="8" t="s">
        <v>134</v>
      </c>
      <c r="V3836" s="8" t="s">
        <v>131</v>
      </c>
      <c r="W3836" s="8" t="s">
        <v>133</v>
      </c>
      <c r="X3836" s="8">
        <v>4</v>
      </c>
      <c r="Y3836" s="8" t="s">
        <v>12359</v>
      </c>
      <c r="Z3836" s="8">
        <v>20</v>
      </c>
      <c r="AA3836" s="8">
        <v>0</v>
      </c>
      <c r="AB3836" s="9">
        <v>0</v>
      </c>
    </row>
    <row r="3837" spans="1:28" x14ac:dyDescent="0.2">
      <c r="A3837" s="10">
        <v>109181</v>
      </c>
      <c r="B3837" s="11" t="s">
        <v>23829</v>
      </c>
      <c r="C3837" s="11" t="s">
        <v>23830</v>
      </c>
      <c r="D3837" s="11" t="s">
        <v>23831</v>
      </c>
      <c r="E3837" s="11"/>
      <c r="F3837" s="11" t="s">
        <v>23832</v>
      </c>
      <c r="G3837" s="11" t="s">
        <v>2652</v>
      </c>
      <c r="H3837" s="11" t="s">
        <v>1843</v>
      </c>
      <c r="I3837" s="11" t="s">
        <v>23833</v>
      </c>
      <c r="J3837" s="11" t="s">
        <v>23834</v>
      </c>
      <c r="K3837" s="11" t="s">
        <v>1562</v>
      </c>
      <c r="L3837" s="11" t="s">
        <v>229</v>
      </c>
      <c r="M3837" s="11" t="s">
        <v>23835</v>
      </c>
      <c r="N3837" s="11" t="s">
        <v>128</v>
      </c>
      <c r="O3837" s="11" t="s">
        <v>23836</v>
      </c>
      <c r="P3837" s="11" t="s">
        <v>23837</v>
      </c>
      <c r="Q3837" s="11" t="s">
        <v>150</v>
      </c>
      <c r="R3837" s="11"/>
      <c r="S3837" s="11" t="s">
        <v>71</v>
      </c>
      <c r="T3837" s="11" t="s">
        <v>6131</v>
      </c>
      <c r="U3837" s="11" t="s">
        <v>150</v>
      </c>
      <c r="V3837" s="11" t="s">
        <v>6131</v>
      </c>
      <c r="W3837" s="11" t="s">
        <v>6131</v>
      </c>
      <c r="X3837" s="11">
        <v>4</v>
      </c>
      <c r="Y3837" s="11" t="s">
        <v>12359</v>
      </c>
      <c r="Z3837" s="11">
        <v>20</v>
      </c>
      <c r="AA3837" s="11">
        <v>0</v>
      </c>
      <c r="AB3837" s="12">
        <v>0</v>
      </c>
    </row>
    <row r="3838" spans="1:28" x14ac:dyDescent="0.2">
      <c r="A3838" s="7">
        <v>22848</v>
      </c>
      <c r="B3838" s="8" t="s">
        <v>23838</v>
      </c>
      <c r="C3838" s="8" t="s">
        <v>10890</v>
      </c>
      <c r="D3838" s="8" t="s">
        <v>4633</v>
      </c>
      <c r="E3838" s="8"/>
      <c r="F3838" s="8" t="s">
        <v>353</v>
      </c>
      <c r="G3838" s="8" t="s">
        <v>10891</v>
      </c>
      <c r="H3838" s="8" t="s">
        <v>122</v>
      </c>
      <c r="I3838" s="8" t="s">
        <v>23839</v>
      </c>
      <c r="J3838" s="8" t="s">
        <v>23840</v>
      </c>
      <c r="K3838" s="8" t="s">
        <v>125</v>
      </c>
      <c r="L3838" s="8" t="s">
        <v>126</v>
      </c>
      <c r="M3838" s="8" t="s">
        <v>23841</v>
      </c>
      <c r="N3838" s="8" t="s">
        <v>128</v>
      </c>
      <c r="O3838" s="8" t="s">
        <v>23842</v>
      </c>
      <c r="P3838" s="8" t="s">
        <v>13271</v>
      </c>
      <c r="Q3838" s="8" t="s">
        <v>150</v>
      </c>
      <c r="R3838" s="8"/>
      <c r="S3838" s="8" t="s">
        <v>71</v>
      </c>
      <c r="T3838" s="8" t="s">
        <v>7189</v>
      </c>
      <c r="U3838" s="8" t="s">
        <v>150</v>
      </c>
      <c r="V3838" s="8" t="s">
        <v>7189</v>
      </c>
      <c r="W3838" s="8" t="s">
        <v>7189</v>
      </c>
      <c r="X3838" s="8">
        <v>4</v>
      </c>
      <c r="Y3838" s="8" t="s">
        <v>12359</v>
      </c>
      <c r="Z3838" s="8">
        <v>20</v>
      </c>
      <c r="AA3838" s="8">
        <v>0</v>
      </c>
      <c r="AB3838" s="9">
        <v>0</v>
      </c>
    </row>
    <row r="3839" spans="1:28" x14ac:dyDescent="0.2">
      <c r="A3839" s="10">
        <v>23032</v>
      </c>
      <c r="B3839" s="11" t="s">
        <v>23843</v>
      </c>
      <c r="C3839" s="11" t="s">
        <v>23802</v>
      </c>
      <c r="D3839" s="11" t="s">
        <v>18342</v>
      </c>
      <c r="E3839" s="11" t="s">
        <v>23844</v>
      </c>
      <c r="F3839" s="11" t="s">
        <v>23804</v>
      </c>
      <c r="G3839" s="11" t="s">
        <v>4270</v>
      </c>
      <c r="H3839" s="11" t="s">
        <v>4271</v>
      </c>
      <c r="I3839" s="11" t="s">
        <v>23845</v>
      </c>
      <c r="J3839" s="11" t="s">
        <v>23806</v>
      </c>
      <c r="K3839" s="11" t="s">
        <v>619</v>
      </c>
      <c r="L3839" s="11" t="s">
        <v>163</v>
      </c>
      <c r="M3839" s="11" t="s">
        <v>23846</v>
      </c>
      <c r="N3839" s="11" t="s">
        <v>128</v>
      </c>
      <c r="O3839" s="11" t="s">
        <v>23847</v>
      </c>
      <c r="P3839" s="11" t="s">
        <v>6546</v>
      </c>
      <c r="Q3839" s="11" t="s">
        <v>150</v>
      </c>
      <c r="R3839" s="11"/>
      <c r="S3839" s="11" t="s">
        <v>23810</v>
      </c>
      <c r="T3839" s="11" t="s">
        <v>70</v>
      </c>
      <c r="U3839" s="11" t="s">
        <v>150</v>
      </c>
      <c r="V3839" s="11" t="s">
        <v>70</v>
      </c>
      <c r="W3839" s="11" t="s">
        <v>70</v>
      </c>
      <c r="X3839" s="11">
        <v>4</v>
      </c>
      <c r="Y3839" s="11" t="s">
        <v>12359</v>
      </c>
      <c r="Z3839" s="11">
        <v>20</v>
      </c>
      <c r="AA3839" s="11">
        <v>0</v>
      </c>
      <c r="AB3839" s="12">
        <v>0</v>
      </c>
    </row>
    <row r="3840" spans="1:28" x14ac:dyDescent="0.2">
      <c r="A3840" s="7">
        <v>23405</v>
      </c>
      <c r="B3840" s="8" t="s">
        <v>23848</v>
      </c>
      <c r="C3840" s="8" t="s">
        <v>10465</v>
      </c>
      <c r="D3840" s="8" t="s">
        <v>358</v>
      </c>
      <c r="E3840" s="8"/>
      <c r="F3840" s="8" t="s">
        <v>15316</v>
      </c>
      <c r="G3840" s="8" t="s">
        <v>1253</v>
      </c>
      <c r="H3840" s="8" t="s">
        <v>142</v>
      </c>
      <c r="I3840" s="8" t="s">
        <v>15317</v>
      </c>
      <c r="J3840" s="8" t="s">
        <v>23849</v>
      </c>
      <c r="K3840" s="8" t="s">
        <v>1199</v>
      </c>
      <c r="L3840" s="8" t="s">
        <v>464</v>
      </c>
      <c r="M3840" s="8" t="s">
        <v>23850</v>
      </c>
      <c r="N3840" s="8" t="s">
        <v>128</v>
      </c>
      <c r="O3840" s="8" t="s">
        <v>23851</v>
      </c>
      <c r="P3840" s="8" t="s">
        <v>23852</v>
      </c>
      <c r="Q3840" s="8" t="s">
        <v>150</v>
      </c>
      <c r="R3840" s="8"/>
      <c r="S3840" s="8" t="s">
        <v>71</v>
      </c>
      <c r="T3840" s="8" t="s">
        <v>1415</v>
      </c>
      <c r="U3840" s="8" t="s">
        <v>150</v>
      </c>
      <c r="V3840" s="8" t="s">
        <v>1415</v>
      </c>
      <c r="W3840" s="8" t="s">
        <v>1415</v>
      </c>
      <c r="X3840" s="8">
        <v>4</v>
      </c>
      <c r="Y3840" s="8" t="s">
        <v>12359</v>
      </c>
      <c r="Z3840" s="8">
        <v>20</v>
      </c>
      <c r="AA3840" s="8">
        <v>0</v>
      </c>
      <c r="AB3840" s="9">
        <v>0</v>
      </c>
    </row>
    <row r="3841" spans="1:28" x14ac:dyDescent="0.2">
      <c r="A3841" s="10">
        <v>115862</v>
      </c>
      <c r="B3841" s="11" t="s">
        <v>23853</v>
      </c>
      <c r="C3841" s="11" t="s">
        <v>20185</v>
      </c>
      <c r="D3841" s="11" t="s">
        <v>1339</v>
      </c>
      <c r="E3841" s="11"/>
      <c r="F3841" s="11" t="s">
        <v>353</v>
      </c>
      <c r="G3841" s="11" t="s">
        <v>11138</v>
      </c>
      <c r="H3841" s="11" t="s">
        <v>142</v>
      </c>
      <c r="I3841" s="11" t="s">
        <v>23854</v>
      </c>
      <c r="J3841" s="11" t="s">
        <v>23855</v>
      </c>
      <c r="K3841" s="11" t="s">
        <v>1199</v>
      </c>
      <c r="L3841" s="11" t="s">
        <v>464</v>
      </c>
      <c r="M3841" s="11" t="s">
        <v>23856</v>
      </c>
      <c r="N3841" s="11" t="s">
        <v>128</v>
      </c>
      <c r="O3841" s="11" t="s">
        <v>23857</v>
      </c>
      <c r="P3841" s="11" t="s">
        <v>23858</v>
      </c>
      <c r="Q3841" s="11" t="s">
        <v>150</v>
      </c>
      <c r="R3841" s="11"/>
      <c r="S3841" s="11" t="s">
        <v>71</v>
      </c>
      <c r="T3841" s="11" t="s">
        <v>168</v>
      </c>
      <c r="U3841" s="11" t="s">
        <v>150</v>
      </c>
      <c r="V3841" s="11" t="s">
        <v>168</v>
      </c>
      <c r="W3841" s="11" t="s">
        <v>168</v>
      </c>
      <c r="X3841" s="11">
        <v>4</v>
      </c>
      <c r="Y3841" s="11" t="s">
        <v>12359</v>
      </c>
      <c r="Z3841" s="11">
        <v>20</v>
      </c>
      <c r="AA3841" s="11">
        <v>0</v>
      </c>
      <c r="AB3841" s="12">
        <v>0</v>
      </c>
    </row>
    <row r="3842" spans="1:28" x14ac:dyDescent="0.2">
      <c r="A3842" s="7">
        <v>24219</v>
      </c>
      <c r="B3842" s="8" t="s">
        <v>23859</v>
      </c>
      <c r="C3842" s="8" t="s">
        <v>23860</v>
      </c>
      <c r="D3842" s="8" t="s">
        <v>8771</v>
      </c>
      <c r="E3842" s="8"/>
      <c r="F3842" s="8" t="s">
        <v>23861</v>
      </c>
      <c r="G3842" s="8" t="s">
        <v>5012</v>
      </c>
      <c r="H3842" s="8" t="s">
        <v>301</v>
      </c>
      <c r="I3842" s="8"/>
      <c r="J3842" s="8" t="s">
        <v>23862</v>
      </c>
      <c r="K3842" s="8" t="s">
        <v>228</v>
      </c>
      <c r="L3842" s="8" t="s">
        <v>229</v>
      </c>
      <c r="M3842" s="8" t="s">
        <v>23863</v>
      </c>
      <c r="N3842" s="8" t="s">
        <v>128</v>
      </c>
      <c r="O3842" s="8" t="s">
        <v>23864</v>
      </c>
      <c r="P3842" s="8"/>
      <c r="Q3842" s="8" t="s">
        <v>150</v>
      </c>
      <c r="R3842" s="8"/>
      <c r="S3842" s="8" t="s">
        <v>71</v>
      </c>
      <c r="T3842" s="8" t="s">
        <v>5674</v>
      </c>
      <c r="U3842" s="8" t="s">
        <v>150</v>
      </c>
      <c r="V3842" s="8" t="s">
        <v>5674</v>
      </c>
      <c r="W3842" s="8" t="s">
        <v>5674</v>
      </c>
      <c r="X3842" s="8">
        <v>4</v>
      </c>
      <c r="Y3842" s="8" t="s">
        <v>12359</v>
      </c>
      <c r="Z3842" s="8">
        <v>20</v>
      </c>
      <c r="AA3842" s="8">
        <v>0</v>
      </c>
      <c r="AB3842" s="9">
        <v>0</v>
      </c>
    </row>
    <row r="3843" spans="1:28" x14ac:dyDescent="0.2">
      <c r="A3843" s="10">
        <v>114860</v>
      </c>
      <c r="B3843" s="11" t="s">
        <v>23865</v>
      </c>
      <c r="C3843" s="11" t="s">
        <v>23866</v>
      </c>
      <c r="D3843" s="11" t="s">
        <v>138</v>
      </c>
      <c r="E3843" s="11"/>
      <c r="F3843" s="11" t="s">
        <v>7915</v>
      </c>
      <c r="G3843" s="11" t="s">
        <v>8338</v>
      </c>
      <c r="H3843" s="11" t="s">
        <v>301</v>
      </c>
      <c r="I3843" s="11" t="s">
        <v>7917</v>
      </c>
      <c r="J3843" s="11" t="s">
        <v>23867</v>
      </c>
      <c r="K3843" s="11" t="s">
        <v>228</v>
      </c>
      <c r="L3843" s="11" t="s">
        <v>229</v>
      </c>
      <c r="M3843" s="11" t="s">
        <v>23868</v>
      </c>
      <c r="N3843" s="11" t="s">
        <v>128</v>
      </c>
      <c r="O3843" s="11" t="s">
        <v>23869</v>
      </c>
      <c r="P3843" s="11"/>
      <c r="Q3843" s="11" t="s">
        <v>150</v>
      </c>
      <c r="R3843" s="11"/>
      <c r="S3843" s="11" t="s">
        <v>71</v>
      </c>
      <c r="T3843" s="11" t="s">
        <v>5674</v>
      </c>
      <c r="U3843" s="11" t="s">
        <v>150</v>
      </c>
      <c r="V3843" s="11" t="s">
        <v>5674</v>
      </c>
      <c r="W3843" s="11" t="s">
        <v>5674</v>
      </c>
      <c r="X3843" s="11">
        <v>4</v>
      </c>
      <c r="Y3843" s="11" t="s">
        <v>12359</v>
      </c>
      <c r="Z3843" s="11">
        <v>20</v>
      </c>
      <c r="AA3843" s="11">
        <v>0</v>
      </c>
      <c r="AB3843" s="12">
        <v>0</v>
      </c>
    </row>
    <row r="3844" spans="1:28" x14ac:dyDescent="0.2">
      <c r="A3844" s="7">
        <v>30209</v>
      </c>
      <c r="B3844" s="8" t="s">
        <v>23870</v>
      </c>
      <c r="C3844" s="8" t="s">
        <v>23823</v>
      </c>
      <c r="D3844" s="8" t="s">
        <v>23871</v>
      </c>
      <c r="E3844" s="8"/>
      <c r="F3844" s="8" t="s">
        <v>353</v>
      </c>
      <c r="G3844" s="8" t="s">
        <v>19550</v>
      </c>
      <c r="H3844" s="8" t="s">
        <v>122</v>
      </c>
      <c r="I3844" s="8" t="s">
        <v>23872</v>
      </c>
      <c r="J3844" s="8" t="s">
        <v>23873</v>
      </c>
      <c r="K3844" s="8" t="s">
        <v>125</v>
      </c>
      <c r="L3844" s="8" t="s">
        <v>126</v>
      </c>
      <c r="M3844" s="8" t="s">
        <v>23874</v>
      </c>
      <c r="N3844" s="8" t="s">
        <v>128</v>
      </c>
      <c r="O3844" s="8" t="s">
        <v>23875</v>
      </c>
      <c r="P3844" s="8" t="s">
        <v>20310</v>
      </c>
      <c r="Q3844" s="8" t="s">
        <v>150</v>
      </c>
      <c r="R3844" s="8"/>
      <c r="S3844" s="8" t="s">
        <v>71</v>
      </c>
      <c r="T3844" s="8" t="s">
        <v>69</v>
      </c>
      <c r="U3844" s="8" t="s">
        <v>150</v>
      </c>
      <c r="V3844" s="8" t="s">
        <v>152</v>
      </c>
      <c r="W3844" s="8" t="s">
        <v>69</v>
      </c>
      <c r="X3844" s="8">
        <v>4</v>
      </c>
      <c r="Y3844" s="8" t="s">
        <v>12359</v>
      </c>
      <c r="Z3844" s="8">
        <v>20</v>
      </c>
      <c r="AA3844" s="8">
        <v>0</v>
      </c>
      <c r="AB3844" s="9">
        <v>0</v>
      </c>
    </row>
    <row r="3845" spans="1:28" x14ac:dyDescent="0.2">
      <c r="A3845" s="10">
        <v>24947</v>
      </c>
      <c r="B3845" s="11" t="s">
        <v>23876</v>
      </c>
      <c r="C3845" s="11" t="s">
        <v>23877</v>
      </c>
      <c r="D3845" s="11" t="s">
        <v>19426</v>
      </c>
      <c r="E3845" s="11" t="s">
        <v>281</v>
      </c>
      <c r="F3845" s="11" t="s">
        <v>23878</v>
      </c>
      <c r="G3845" s="11" t="s">
        <v>10391</v>
      </c>
      <c r="H3845" s="11" t="s">
        <v>142</v>
      </c>
      <c r="I3845" s="11" t="s">
        <v>19074</v>
      </c>
      <c r="J3845" s="11" t="s">
        <v>23879</v>
      </c>
      <c r="K3845" s="11" t="s">
        <v>472</v>
      </c>
      <c r="L3845" s="11" t="s">
        <v>146</v>
      </c>
      <c r="M3845" s="11" t="s">
        <v>23880</v>
      </c>
      <c r="N3845" s="11" t="s">
        <v>128</v>
      </c>
      <c r="O3845" s="11" t="s">
        <v>23881</v>
      </c>
      <c r="P3845" s="11" t="s">
        <v>23882</v>
      </c>
      <c r="Q3845" s="11" t="s">
        <v>150</v>
      </c>
      <c r="R3845" s="11"/>
      <c r="S3845" s="11" t="s">
        <v>19078</v>
      </c>
      <c r="T3845" s="11" t="s">
        <v>1738</v>
      </c>
      <c r="U3845" s="11" t="s">
        <v>150</v>
      </c>
      <c r="V3845" s="11" t="s">
        <v>1738</v>
      </c>
      <c r="W3845" s="11" t="s">
        <v>1738</v>
      </c>
      <c r="X3845" s="11">
        <v>4</v>
      </c>
      <c r="Y3845" s="11" t="s">
        <v>12359</v>
      </c>
      <c r="Z3845" s="11">
        <v>20</v>
      </c>
      <c r="AA3845" s="11">
        <v>0</v>
      </c>
      <c r="AB3845" s="12">
        <v>0</v>
      </c>
    </row>
    <row r="3846" spans="1:28" x14ac:dyDescent="0.2">
      <c r="A3846" s="7">
        <v>25165</v>
      </c>
      <c r="B3846" s="8" t="s">
        <v>23883</v>
      </c>
      <c r="C3846" s="8" t="s">
        <v>5879</v>
      </c>
      <c r="D3846" s="8" t="s">
        <v>11039</v>
      </c>
      <c r="E3846" s="8" t="s">
        <v>281</v>
      </c>
      <c r="F3846" s="8" t="s">
        <v>353</v>
      </c>
      <c r="G3846" s="8" t="s">
        <v>11130</v>
      </c>
      <c r="H3846" s="8" t="s">
        <v>704</v>
      </c>
      <c r="I3846" s="8" t="s">
        <v>11131</v>
      </c>
      <c r="J3846" s="8" t="s">
        <v>23884</v>
      </c>
      <c r="K3846" s="8" t="s">
        <v>850</v>
      </c>
      <c r="L3846" s="8" t="s">
        <v>126</v>
      </c>
      <c r="M3846" s="8" t="s">
        <v>23885</v>
      </c>
      <c r="N3846" s="8" t="s">
        <v>128</v>
      </c>
      <c r="O3846" s="8" t="s">
        <v>23886</v>
      </c>
      <c r="P3846" s="8"/>
      <c r="Q3846" s="8" t="s">
        <v>740</v>
      </c>
      <c r="R3846" s="8"/>
      <c r="S3846" s="8" t="s">
        <v>11136</v>
      </c>
      <c r="T3846" s="8" t="s">
        <v>1745</v>
      </c>
      <c r="U3846" s="8" t="s">
        <v>134</v>
      </c>
      <c r="V3846" s="8" t="s">
        <v>740</v>
      </c>
      <c r="W3846" s="8" t="s">
        <v>1745</v>
      </c>
      <c r="X3846" s="8">
        <v>4</v>
      </c>
      <c r="Y3846" s="8" t="s">
        <v>12359</v>
      </c>
      <c r="Z3846" s="8">
        <v>20</v>
      </c>
      <c r="AA3846" s="8">
        <v>0</v>
      </c>
      <c r="AB3846" s="9">
        <v>0</v>
      </c>
    </row>
    <row r="3847" spans="1:28" x14ac:dyDescent="0.2">
      <c r="A3847" s="10">
        <v>20720</v>
      </c>
      <c r="B3847" s="11" t="s">
        <v>23887</v>
      </c>
      <c r="C3847" s="11" t="s">
        <v>1282</v>
      </c>
      <c r="D3847" s="11" t="s">
        <v>1283</v>
      </c>
      <c r="E3847" s="11" t="s">
        <v>23888</v>
      </c>
      <c r="F3847" s="11" t="s">
        <v>1285</v>
      </c>
      <c r="G3847" s="11" t="s">
        <v>1286</v>
      </c>
      <c r="H3847" s="11" t="s">
        <v>142</v>
      </c>
      <c r="I3847" s="11" t="s">
        <v>23889</v>
      </c>
      <c r="J3847" s="11" t="s">
        <v>23890</v>
      </c>
      <c r="K3847" s="11" t="s">
        <v>717</v>
      </c>
      <c r="L3847" s="11" t="s">
        <v>464</v>
      </c>
      <c r="M3847" s="11" t="s">
        <v>23891</v>
      </c>
      <c r="N3847" s="11" t="s">
        <v>4651</v>
      </c>
      <c r="O3847" s="11" t="s">
        <v>23892</v>
      </c>
      <c r="P3847" s="11" t="s">
        <v>23893</v>
      </c>
      <c r="Q3847" s="11" t="s">
        <v>740</v>
      </c>
      <c r="R3847" s="11"/>
      <c r="S3847" s="11" t="s">
        <v>1292</v>
      </c>
      <c r="T3847" s="11" t="s">
        <v>1745</v>
      </c>
      <c r="U3847" s="11" t="s">
        <v>134</v>
      </c>
      <c r="V3847" s="11" t="s">
        <v>740</v>
      </c>
      <c r="W3847" s="11" t="s">
        <v>1745</v>
      </c>
      <c r="X3847" s="11">
        <v>4</v>
      </c>
      <c r="Y3847" s="11" t="s">
        <v>12359</v>
      </c>
      <c r="Z3847" s="11">
        <v>20</v>
      </c>
      <c r="AA3847" s="11">
        <v>1</v>
      </c>
      <c r="AB3847" s="12">
        <v>0</v>
      </c>
    </row>
    <row r="3848" spans="1:28" x14ac:dyDescent="0.2">
      <c r="A3848" s="7">
        <v>45738</v>
      </c>
      <c r="B3848" s="8" t="s">
        <v>23894</v>
      </c>
      <c r="C3848" s="8" t="s">
        <v>2466</v>
      </c>
      <c r="D3848" s="8" t="s">
        <v>2467</v>
      </c>
      <c r="E3848" s="8"/>
      <c r="F3848" s="8" t="s">
        <v>23895</v>
      </c>
      <c r="G3848" s="8" t="s">
        <v>1952</v>
      </c>
      <c r="H3848" s="8" t="s">
        <v>1953</v>
      </c>
      <c r="I3848" s="8" t="s">
        <v>2470</v>
      </c>
      <c r="J3848" s="8" t="s">
        <v>23896</v>
      </c>
      <c r="K3848" s="8" t="s">
        <v>1956</v>
      </c>
      <c r="L3848" s="8" t="s">
        <v>526</v>
      </c>
      <c r="M3848" s="8" t="s">
        <v>23897</v>
      </c>
      <c r="N3848" s="8" t="s">
        <v>128</v>
      </c>
      <c r="O3848" s="8" t="s">
        <v>23898</v>
      </c>
      <c r="P3848" s="8" t="s">
        <v>23899</v>
      </c>
      <c r="Q3848" s="8" t="s">
        <v>740</v>
      </c>
      <c r="R3848" s="8"/>
      <c r="S3848" s="8" t="s">
        <v>2475</v>
      </c>
      <c r="T3848" s="8" t="s">
        <v>1745</v>
      </c>
      <c r="U3848" s="8" t="s">
        <v>134</v>
      </c>
      <c r="V3848" s="8" t="s">
        <v>740</v>
      </c>
      <c r="W3848" s="8" t="s">
        <v>1745</v>
      </c>
      <c r="X3848" s="8">
        <v>4</v>
      </c>
      <c r="Y3848" s="8" t="s">
        <v>12359</v>
      </c>
      <c r="Z3848" s="8">
        <v>20</v>
      </c>
      <c r="AA3848" s="8">
        <v>1</v>
      </c>
      <c r="AB3848" s="9">
        <v>0</v>
      </c>
    </row>
    <row r="3849" spans="1:28" x14ac:dyDescent="0.2">
      <c r="A3849" s="10">
        <v>107549</v>
      </c>
      <c r="B3849" s="11" t="s">
        <v>23900</v>
      </c>
      <c r="C3849" s="11" t="s">
        <v>23901</v>
      </c>
      <c r="D3849" s="11" t="s">
        <v>23902</v>
      </c>
      <c r="E3849" s="11"/>
      <c r="F3849" s="11" t="s">
        <v>15491</v>
      </c>
      <c r="G3849" s="11" t="s">
        <v>846</v>
      </c>
      <c r="H3849" s="11" t="s">
        <v>847</v>
      </c>
      <c r="I3849" s="11" t="s">
        <v>23903</v>
      </c>
      <c r="J3849" s="11" t="s">
        <v>23904</v>
      </c>
      <c r="K3849" s="11" t="s">
        <v>1091</v>
      </c>
      <c r="L3849" s="11" t="s">
        <v>126</v>
      </c>
      <c r="M3849" s="11" t="s">
        <v>23905</v>
      </c>
      <c r="N3849" s="11" t="s">
        <v>128</v>
      </c>
      <c r="O3849" s="11" t="s">
        <v>23906</v>
      </c>
      <c r="P3849" s="11"/>
      <c r="Q3849" s="11" t="s">
        <v>249</v>
      </c>
      <c r="R3849" s="11"/>
      <c r="S3849" s="11" t="s">
        <v>23907</v>
      </c>
      <c r="T3849" s="11" t="s">
        <v>1523</v>
      </c>
      <c r="U3849" s="11" t="s">
        <v>134</v>
      </c>
      <c r="V3849" s="11" t="s">
        <v>249</v>
      </c>
      <c r="W3849" s="11" t="s">
        <v>1523</v>
      </c>
      <c r="X3849" s="11">
        <v>4</v>
      </c>
      <c r="Y3849" s="11" t="s">
        <v>12359</v>
      </c>
      <c r="Z3849" s="11">
        <v>20</v>
      </c>
      <c r="AA3849" s="11">
        <v>0</v>
      </c>
      <c r="AB3849" s="12">
        <v>0</v>
      </c>
    </row>
    <row r="3850" spans="1:28" x14ac:dyDescent="0.2">
      <c r="A3850" s="7">
        <v>116131</v>
      </c>
      <c r="B3850" s="8" t="s">
        <v>23908</v>
      </c>
      <c r="C3850" s="8" t="s">
        <v>1610</v>
      </c>
      <c r="D3850" s="8" t="s">
        <v>2871</v>
      </c>
      <c r="E3850" s="8"/>
      <c r="F3850" s="8" t="s">
        <v>23505</v>
      </c>
      <c r="G3850" s="8" t="s">
        <v>4513</v>
      </c>
      <c r="H3850" s="8" t="s">
        <v>847</v>
      </c>
      <c r="I3850" s="8" t="s">
        <v>23506</v>
      </c>
      <c r="J3850" s="8" t="s">
        <v>23507</v>
      </c>
      <c r="K3850" s="8" t="s">
        <v>1091</v>
      </c>
      <c r="L3850" s="8" t="s">
        <v>126</v>
      </c>
      <c r="M3850" s="8" t="s">
        <v>23909</v>
      </c>
      <c r="N3850" s="8" t="s">
        <v>128</v>
      </c>
      <c r="O3850" s="8" t="s">
        <v>23910</v>
      </c>
      <c r="P3850" s="8"/>
      <c r="Q3850" s="8" t="s">
        <v>249</v>
      </c>
      <c r="R3850" s="8"/>
      <c r="S3850" s="8" t="s">
        <v>23510</v>
      </c>
      <c r="T3850" s="8" t="s">
        <v>1523</v>
      </c>
      <c r="U3850" s="8" t="s">
        <v>134</v>
      </c>
      <c r="V3850" s="8" t="s">
        <v>249</v>
      </c>
      <c r="W3850" s="8" t="s">
        <v>1523</v>
      </c>
      <c r="X3850" s="8">
        <v>4</v>
      </c>
      <c r="Y3850" s="8" t="s">
        <v>12359</v>
      </c>
      <c r="Z3850" s="8">
        <v>20</v>
      </c>
      <c r="AA3850" s="8">
        <v>0</v>
      </c>
      <c r="AB3850" s="9">
        <v>0</v>
      </c>
    </row>
    <row r="3851" spans="1:28" x14ac:dyDescent="0.2">
      <c r="A3851" s="10">
        <v>31582</v>
      </c>
      <c r="B3851" s="11" t="s">
        <v>23911</v>
      </c>
      <c r="C3851" s="11" t="s">
        <v>23823</v>
      </c>
      <c r="D3851" s="11" t="s">
        <v>2428</v>
      </c>
      <c r="E3851" s="11"/>
      <c r="F3851" s="11" t="s">
        <v>353</v>
      </c>
      <c r="G3851" s="11" t="s">
        <v>19550</v>
      </c>
      <c r="H3851" s="11" t="s">
        <v>122</v>
      </c>
      <c r="I3851" s="11" t="s">
        <v>23872</v>
      </c>
      <c r="J3851" s="11" t="s">
        <v>23912</v>
      </c>
      <c r="K3851" s="11" t="s">
        <v>125</v>
      </c>
      <c r="L3851" s="11" t="s">
        <v>126</v>
      </c>
      <c r="M3851" s="11" t="s">
        <v>23913</v>
      </c>
      <c r="N3851" s="11" t="s">
        <v>128</v>
      </c>
      <c r="O3851" s="11" t="s">
        <v>23914</v>
      </c>
      <c r="P3851" s="11"/>
      <c r="Q3851" s="11" t="s">
        <v>249</v>
      </c>
      <c r="R3851" s="11"/>
      <c r="S3851" s="11" t="s">
        <v>71</v>
      </c>
      <c r="T3851" s="11" t="s">
        <v>1523</v>
      </c>
      <c r="U3851" s="11" t="s">
        <v>134</v>
      </c>
      <c r="V3851" s="11" t="s">
        <v>249</v>
      </c>
      <c r="W3851" s="11" t="s">
        <v>1523</v>
      </c>
      <c r="X3851" s="11">
        <v>4</v>
      </c>
      <c r="Y3851" s="11" t="s">
        <v>12359</v>
      </c>
      <c r="Z3851" s="11">
        <v>20</v>
      </c>
      <c r="AA3851" s="11">
        <v>0</v>
      </c>
      <c r="AB3851" s="12">
        <v>0</v>
      </c>
    </row>
    <row r="3852" spans="1:28" x14ac:dyDescent="0.2">
      <c r="A3852" s="7">
        <v>31625</v>
      </c>
      <c r="B3852" s="8" t="s">
        <v>23915</v>
      </c>
      <c r="C3852" s="8" t="s">
        <v>22544</v>
      </c>
      <c r="D3852" s="8" t="s">
        <v>2191</v>
      </c>
      <c r="E3852" s="8"/>
      <c r="F3852" s="8" t="s">
        <v>353</v>
      </c>
      <c r="G3852" s="8" t="s">
        <v>21364</v>
      </c>
      <c r="H3852" s="8" t="s">
        <v>847</v>
      </c>
      <c r="I3852" s="8" t="s">
        <v>22546</v>
      </c>
      <c r="J3852" s="8" t="s">
        <v>23916</v>
      </c>
      <c r="K3852" s="8" t="s">
        <v>850</v>
      </c>
      <c r="L3852" s="8" t="s">
        <v>126</v>
      </c>
      <c r="M3852" s="8" t="s">
        <v>23917</v>
      </c>
      <c r="N3852" s="8" t="s">
        <v>128</v>
      </c>
      <c r="O3852" s="8"/>
      <c r="P3852" s="8"/>
      <c r="Q3852" s="8" t="s">
        <v>249</v>
      </c>
      <c r="R3852" s="8"/>
      <c r="S3852" s="8" t="s">
        <v>71</v>
      </c>
      <c r="T3852" s="8" t="s">
        <v>1523</v>
      </c>
      <c r="U3852" s="8" t="s">
        <v>134</v>
      </c>
      <c r="V3852" s="8" t="s">
        <v>249</v>
      </c>
      <c r="W3852" s="8" t="s">
        <v>1523</v>
      </c>
      <c r="X3852" s="8">
        <v>4</v>
      </c>
      <c r="Y3852" s="8" t="s">
        <v>12359</v>
      </c>
      <c r="Z3852" s="8">
        <v>20</v>
      </c>
      <c r="AA3852" s="8">
        <v>0</v>
      </c>
      <c r="AB3852" s="9">
        <v>0</v>
      </c>
    </row>
    <row r="3853" spans="1:28" x14ac:dyDescent="0.2">
      <c r="A3853" s="10">
        <v>25362</v>
      </c>
      <c r="B3853" s="11" t="s">
        <v>23918</v>
      </c>
      <c r="C3853" s="11" t="s">
        <v>23919</v>
      </c>
      <c r="D3853" s="11" t="s">
        <v>138</v>
      </c>
      <c r="E3853" s="11" t="s">
        <v>23920</v>
      </c>
      <c r="F3853" s="11" t="s">
        <v>23921</v>
      </c>
      <c r="G3853" s="11" t="s">
        <v>224</v>
      </c>
      <c r="H3853" s="11" t="s">
        <v>225</v>
      </c>
      <c r="I3853" s="11" t="s">
        <v>23922</v>
      </c>
      <c r="J3853" s="11" t="s">
        <v>23923</v>
      </c>
      <c r="K3853" s="11" t="s">
        <v>228</v>
      </c>
      <c r="L3853" s="11" t="s">
        <v>229</v>
      </c>
      <c r="M3853" s="11" t="s">
        <v>23924</v>
      </c>
      <c r="N3853" s="11" t="s">
        <v>128</v>
      </c>
      <c r="O3853" s="11" t="s">
        <v>23925</v>
      </c>
      <c r="P3853" s="11" t="s">
        <v>23926</v>
      </c>
      <c r="Q3853" s="11" t="s">
        <v>249</v>
      </c>
      <c r="R3853" s="11"/>
      <c r="S3853" s="11" t="s">
        <v>71</v>
      </c>
      <c r="T3853" s="11" t="s">
        <v>250</v>
      </c>
      <c r="U3853" s="11" t="s">
        <v>134</v>
      </c>
      <c r="V3853" s="11" t="s">
        <v>249</v>
      </c>
      <c r="W3853" s="11" t="s">
        <v>250</v>
      </c>
      <c r="X3853" s="11">
        <v>4</v>
      </c>
      <c r="Y3853" s="11" t="s">
        <v>12359</v>
      </c>
      <c r="Z3853" s="11">
        <v>20</v>
      </c>
      <c r="AA3853" s="11">
        <v>0</v>
      </c>
      <c r="AB3853" s="12">
        <v>0</v>
      </c>
    </row>
    <row r="3854" spans="1:28" x14ac:dyDescent="0.2">
      <c r="A3854" s="7">
        <v>246095</v>
      </c>
      <c r="B3854" s="8" t="s">
        <v>23927</v>
      </c>
      <c r="C3854" s="8" t="s">
        <v>18818</v>
      </c>
      <c r="D3854" s="8" t="s">
        <v>19999</v>
      </c>
      <c r="E3854" s="8"/>
      <c r="F3854" s="8" t="s">
        <v>23928</v>
      </c>
      <c r="G3854" s="8" t="s">
        <v>141</v>
      </c>
      <c r="H3854" s="8" t="s">
        <v>142</v>
      </c>
      <c r="I3854" s="8" t="s">
        <v>18820</v>
      </c>
      <c r="J3854" s="8" t="s">
        <v>23929</v>
      </c>
      <c r="K3854" s="8" t="s">
        <v>991</v>
      </c>
      <c r="L3854" s="8" t="s">
        <v>146</v>
      </c>
      <c r="M3854" s="8" t="s">
        <v>23930</v>
      </c>
      <c r="N3854" s="8" t="s">
        <v>128</v>
      </c>
      <c r="O3854" s="8" t="s">
        <v>23931</v>
      </c>
      <c r="P3854" s="8" t="s">
        <v>23932</v>
      </c>
      <c r="Q3854" s="8" t="s">
        <v>249</v>
      </c>
      <c r="R3854" s="8"/>
      <c r="S3854" s="8" t="s">
        <v>71</v>
      </c>
      <c r="T3854" s="8" t="s">
        <v>250</v>
      </c>
      <c r="U3854" s="8" t="s">
        <v>134</v>
      </c>
      <c r="V3854" s="8" t="s">
        <v>249</v>
      </c>
      <c r="W3854" s="8" t="s">
        <v>250</v>
      </c>
      <c r="X3854" s="8">
        <v>4</v>
      </c>
      <c r="Y3854" s="8" t="s">
        <v>12359</v>
      </c>
      <c r="Z3854" s="8">
        <v>20</v>
      </c>
      <c r="AA3854" s="8">
        <v>0</v>
      </c>
      <c r="AB3854" s="9">
        <v>0</v>
      </c>
    </row>
    <row r="3855" spans="1:28" x14ac:dyDescent="0.2">
      <c r="A3855" s="10">
        <v>20747</v>
      </c>
      <c r="B3855" s="11" t="s">
        <v>23933</v>
      </c>
      <c r="C3855" s="11" t="s">
        <v>6774</v>
      </c>
      <c r="D3855" s="11" t="s">
        <v>11831</v>
      </c>
      <c r="E3855" s="11"/>
      <c r="F3855" s="11" t="s">
        <v>353</v>
      </c>
      <c r="G3855" s="11" t="s">
        <v>5804</v>
      </c>
      <c r="H3855" s="11" t="s">
        <v>5805</v>
      </c>
      <c r="I3855" s="11" t="s">
        <v>15341</v>
      </c>
      <c r="J3855" s="11" t="s">
        <v>23934</v>
      </c>
      <c r="K3855" s="11" t="s">
        <v>274</v>
      </c>
      <c r="L3855" s="11" t="s">
        <v>163</v>
      </c>
      <c r="M3855" s="11" t="s">
        <v>23935</v>
      </c>
      <c r="N3855" s="11" t="s">
        <v>128</v>
      </c>
      <c r="O3855" s="11" t="s">
        <v>23936</v>
      </c>
      <c r="P3855" s="11"/>
      <c r="Q3855" s="11" t="s">
        <v>150</v>
      </c>
      <c r="R3855" s="11"/>
      <c r="S3855" s="11" t="s">
        <v>71</v>
      </c>
      <c r="T3855" s="11" t="s">
        <v>8111</v>
      </c>
      <c r="U3855" s="11" t="s">
        <v>150</v>
      </c>
      <c r="V3855" s="11" t="s">
        <v>8111</v>
      </c>
      <c r="W3855" s="11" t="s">
        <v>8111</v>
      </c>
      <c r="X3855" s="11">
        <v>3</v>
      </c>
      <c r="Y3855" s="11" t="s">
        <v>12359</v>
      </c>
      <c r="Z3855" s="11">
        <v>20</v>
      </c>
      <c r="AA3855" s="11">
        <v>0</v>
      </c>
      <c r="AB3855" s="12">
        <v>0</v>
      </c>
    </row>
    <row r="3856" spans="1:28" x14ac:dyDescent="0.2">
      <c r="A3856" s="7">
        <v>21466</v>
      </c>
      <c r="B3856" s="8" t="s">
        <v>23937</v>
      </c>
      <c r="C3856" s="8" t="s">
        <v>15961</v>
      </c>
      <c r="D3856" s="8" t="s">
        <v>9503</v>
      </c>
      <c r="E3856" s="8"/>
      <c r="F3856" s="8" t="s">
        <v>353</v>
      </c>
      <c r="G3856" s="8" t="s">
        <v>23938</v>
      </c>
      <c r="H3856" s="8" t="s">
        <v>142</v>
      </c>
      <c r="I3856" s="8" t="s">
        <v>23939</v>
      </c>
      <c r="J3856" s="8" t="s">
        <v>23940</v>
      </c>
      <c r="K3856" s="8" t="s">
        <v>717</v>
      </c>
      <c r="L3856" s="8" t="s">
        <v>464</v>
      </c>
      <c r="M3856" s="8" t="s">
        <v>23941</v>
      </c>
      <c r="N3856" s="8" t="s">
        <v>128</v>
      </c>
      <c r="O3856" s="8" t="s">
        <v>23942</v>
      </c>
      <c r="P3856" s="8" t="s">
        <v>23943</v>
      </c>
      <c r="Q3856" s="8" t="s">
        <v>150</v>
      </c>
      <c r="R3856" s="8"/>
      <c r="S3856" s="8" t="s">
        <v>71</v>
      </c>
      <c r="T3856" s="8" t="s">
        <v>67</v>
      </c>
      <c r="U3856" s="8" t="s">
        <v>150</v>
      </c>
      <c r="V3856" s="8" t="s">
        <v>152</v>
      </c>
      <c r="W3856" s="8" t="s">
        <v>67</v>
      </c>
      <c r="X3856" s="8">
        <v>3</v>
      </c>
      <c r="Y3856" s="8" t="s">
        <v>12359</v>
      </c>
      <c r="Z3856" s="8">
        <v>20</v>
      </c>
      <c r="AA3856" s="8">
        <v>0</v>
      </c>
      <c r="AB3856" s="9">
        <v>0</v>
      </c>
    </row>
    <row r="3857" spans="1:28" x14ac:dyDescent="0.2">
      <c r="A3857" s="10">
        <v>111765</v>
      </c>
      <c r="B3857" s="11" t="s">
        <v>23944</v>
      </c>
      <c r="C3857" s="11" t="s">
        <v>23945</v>
      </c>
      <c r="D3857" s="11" t="s">
        <v>10679</v>
      </c>
      <c r="E3857" s="11"/>
      <c r="F3857" s="11" t="s">
        <v>353</v>
      </c>
      <c r="G3857" s="11" t="s">
        <v>21225</v>
      </c>
      <c r="H3857" s="11" t="s">
        <v>142</v>
      </c>
      <c r="I3857" s="11" t="s">
        <v>21226</v>
      </c>
      <c r="J3857" s="11" t="s">
        <v>23946</v>
      </c>
      <c r="K3857" s="11" t="s">
        <v>1029</v>
      </c>
      <c r="L3857" s="11" t="s">
        <v>464</v>
      </c>
      <c r="M3857" s="11" t="s">
        <v>23947</v>
      </c>
      <c r="N3857" s="11" t="s">
        <v>128</v>
      </c>
      <c r="O3857" s="11" t="s">
        <v>23948</v>
      </c>
      <c r="P3857" s="11" t="s">
        <v>23949</v>
      </c>
      <c r="Q3857" s="11" t="s">
        <v>150</v>
      </c>
      <c r="R3857" s="11"/>
      <c r="S3857" s="11" t="s">
        <v>71</v>
      </c>
      <c r="T3857" s="11" t="s">
        <v>67</v>
      </c>
      <c r="U3857" s="11" t="s">
        <v>150</v>
      </c>
      <c r="V3857" s="11" t="s">
        <v>152</v>
      </c>
      <c r="W3857" s="11" t="s">
        <v>67</v>
      </c>
      <c r="X3857" s="11">
        <v>3</v>
      </c>
      <c r="Y3857" s="11" t="s">
        <v>12359</v>
      </c>
      <c r="Z3857" s="11">
        <v>20</v>
      </c>
      <c r="AA3857" s="11">
        <v>0</v>
      </c>
      <c r="AB3857" s="12">
        <v>0</v>
      </c>
    </row>
    <row r="3858" spans="1:28" x14ac:dyDescent="0.2">
      <c r="A3858" s="7">
        <v>214659</v>
      </c>
      <c r="B3858" s="8" t="s">
        <v>23950</v>
      </c>
      <c r="C3858" s="8" t="s">
        <v>23951</v>
      </c>
      <c r="D3858" s="8" t="s">
        <v>4534</v>
      </c>
      <c r="E3858" s="8"/>
      <c r="F3858" s="8" t="s">
        <v>18001</v>
      </c>
      <c r="G3858" s="8" t="s">
        <v>1952</v>
      </c>
      <c r="H3858" s="8" t="s">
        <v>1953</v>
      </c>
      <c r="I3858" s="8" t="s">
        <v>23952</v>
      </c>
      <c r="J3858" s="8" t="s">
        <v>23953</v>
      </c>
      <c r="K3858" s="8" t="s">
        <v>1956</v>
      </c>
      <c r="L3858" s="8" t="s">
        <v>526</v>
      </c>
      <c r="M3858" s="8" t="s">
        <v>23954</v>
      </c>
      <c r="N3858" s="8" t="s">
        <v>128</v>
      </c>
      <c r="O3858" s="8" t="s">
        <v>23955</v>
      </c>
      <c r="P3858" s="8" t="s">
        <v>23956</v>
      </c>
      <c r="Q3858" s="8" t="s">
        <v>150</v>
      </c>
      <c r="R3858" s="8"/>
      <c r="S3858" s="8" t="s">
        <v>71</v>
      </c>
      <c r="T3858" s="8" t="s">
        <v>67</v>
      </c>
      <c r="U3858" s="8" t="s">
        <v>150</v>
      </c>
      <c r="V3858" s="8" t="s">
        <v>152</v>
      </c>
      <c r="W3858" s="8" t="s">
        <v>67</v>
      </c>
      <c r="X3858" s="8">
        <v>3</v>
      </c>
      <c r="Y3858" s="8" t="s">
        <v>12359</v>
      </c>
      <c r="Z3858" s="8">
        <v>20</v>
      </c>
      <c r="AA3858" s="8">
        <v>0</v>
      </c>
      <c r="AB3858" s="9">
        <v>0</v>
      </c>
    </row>
    <row r="3859" spans="1:28" x14ac:dyDescent="0.2">
      <c r="A3859" s="10">
        <v>86762</v>
      </c>
      <c r="B3859" s="11" t="s">
        <v>23957</v>
      </c>
      <c r="C3859" s="11" t="s">
        <v>20619</v>
      </c>
      <c r="D3859" s="11" t="s">
        <v>23958</v>
      </c>
      <c r="E3859" s="11"/>
      <c r="F3859" s="11" t="s">
        <v>23959</v>
      </c>
      <c r="G3859" s="11" t="s">
        <v>20621</v>
      </c>
      <c r="H3859" s="11" t="s">
        <v>704</v>
      </c>
      <c r="I3859" s="11" t="s">
        <v>23960</v>
      </c>
      <c r="J3859" s="11" t="s">
        <v>23961</v>
      </c>
      <c r="K3859" s="11" t="s">
        <v>707</v>
      </c>
      <c r="L3859" s="11" t="s">
        <v>126</v>
      </c>
      <c r="M3859" s="11" t="s">
        <v>23962</v>
      </c>
      <c r="N3859" s="11" t="s">
        <v>128</v>
      </c>
      <c r="O3859" s="11" t="s">
        <v>23963</v>
      </c>
      <c r="P3859" s="11" t="s">
        <v>23964</v>
      </c>
      <c r="Q3859" s="11" t="s">
        <v>150</v>
      </c>
      <c r="R3859" s="11"/>
      <c r="S3859" s="11" t="s">
        <v>23965</v>
      </c>
      <c r="T3859" s="11" t="s">
        <v>67</v>
      </c>
      <c r="U3859" s="11" t="s">
        <v>150</v>
      </c>
      <c r="V3859" s="11" t="s">
        <v>152</v>
      </c>
      <c r="W3859" s="11" t="s">
        <v>67</v>
      </c>
      <c r="X3859" s="11">
        <v>3</v>
      </c>
      <c r="Y3859" s="11" t="s">
        <v>12359</v>
      </c>
      <c r="Z3859" s="11">
        <v>20</v>
      </c>
      <c r="AA3859" s="11">
        <v>0</v>
      </c>
      <c r="AB3859" s="12">
        <v>0</v>
      </c>
    </row>
    <row r="3860" spans="1:28" x14ac:dyDescent="0.2">
      <c r="A3860" s="7">
        <v>117290</v>
      </c>
      <c r="B3860" s="8" t="s">
        <v>23966</v>
      </c>
      <c r="C3860" s="8" t="s">
        <v>2664</v>
      </c>
      <c r="D3860" s="8" t="s">
        <v>2665</v>
      </c>
      <c r="E3860" s="8"/>
      <c r="F3860" s="8" t="s">
        <v>2667</v>
      </c>
      <c r="G3860" s="8" t="s">
        <v>190</v>
      </c>
      <c r="H3860" s="8" t="s">
        <v>191</v>
      </c>
      <c r="I3860" s="8" t="s">
        <v>2668</v>
      </c>
      <c r="J3860" s="8" t="s">
        <v>2669</v>
      </c>
      <c r="K3860" s="8" t="s">
        <v>194</v>
      </c>
      <c r="L3860" s="8" t="s">
        <v>163</v>
      </c>
      <c r="M3860" s="8" t="s">
        <v>23967</v>
      </c>
      <c r="N3860" s="8" t="s">
        <v>128</v>
      </c>
      <c r="O3860" s="8" t="s">
        <v>23968</v>
      </c>
      <c r="P3860" s="8"/>
      <c r="Q3860" s="8" t="s">
        <v>131</v>
      </c>
      <c r="R3860" s="8"/>
      <c r="S3860" s="8" t="s">
        <v>2672</v>
      </c>
      <c r="T3860" s="8" t="s">
        <v>983</v>
      </c>
      <c r="U3860" s="8" t="s">
        <v>134</v>
      </c>
      <c r="V3860" s="8" t="s">
        <v>131</v>
      </c>
      <c r="W3860" s="8" t="s">
        <v>983</v>
      </c>
      <c r="X3860" s="8">
        <v>3</v>
      </c>
      <c r="Y3860" s="8" t="s">
        <v>12359</v>
      </c>
      <c r="Z3860" s="8">
        <v>20</v>
      </c>
      <c r="AA3860" s="8">
        <v>0</v>
      </c>
      <c r="AB3860" s="9">
        <v>0</v>
      </c>
    </row>
    <row r="3861" spans="1:28" x14ac:dyDescent="0.2">
      <c r="A3861" s="10">
        <v>23527</v>
      </c>
      <c r="B3861" s="11" t="s">
        <v>23969</v>
      </c>
      <c r="C3861" s="11" t="s">
        <v>11354</v>
      </c>
      <c r="D3861" s="11" t="s">
        <v>23039</v>
      </c>
      <c r="E3861" s="11"/>
      <c r="F3861" s="11" t="s">
        <v>353</v>
      </c>
      <c r="G3861" s="11" t="s">
        <v>11130</v>
      </c>
      <c r="H3861" s="11" t="s">
        <v>704</v>
      </c>
      <c r="I3861" s="11" t="s">
        <v>19576</v>
      </c>
      <c r="J3861" s="11" t="s">
        <v>23970</v>
      </c>
      <c r="K3861" s="11" t="s">
        <v>850</v>
      </c>
      <c r="L3861" s="11" t="s">
        <v>126</v>
      </c>
      <c r="M3861" s="11" t="s">
        <v>23971</v>
      </c>
      <c r="N3861" s="11" t="s">
        <v>128</v>
      </c>
      <c r="O3861" s="11" t="s">
        <v>23972</v>
      </c>
      <c r="P3861" s="11" t="s">
        <v>877</v>
      </c>
      <c r="Q3861" s="11" t="s">
        <v>150</v>
      </c>
      <c r="R3861" s="11"/>
      <c r="S3861" s="11" t="s">
        <v>71</v>
      </c>
      <c r="T3861" s="11" t="s">
        <v>6736</v>
      </c>
      <c r="U3861" s="11" t="s">
        <v>150</v>
      </c>
      <c r="V3861" s="11" t="s">
        <v>6736</v>
      </c>
      <c r="W3861" s="11" t="s">
        <v>6736</v>
      </c>
      <c r="X3861" s="11">
        <v>3</v>
      </c>
      <c r="Y3861" s="11" t="s">
        <v>12359</v>
      </c>
      <c r="Z3861" s="11">
        <v>20</v>
      </c>
      <c r="AA3861" s="11">
        <v>0</v>
      </c>
      <c r="AB3861" s="12">
        <v>0</v>
      </c>
    </row>
    <row r="3862" spans="1:28" x14ac:dyDescent="0.2">
      <c r="A3862" s="7">
        <v>23536</v>
      </c>
      <c r="B3862" s="8" t="s">
        <v>23973</v>
      </c>
      <c r="C3862" s="8" t="s">
        <v>10890</v>
      </c>
      <c r="D3862" s="8" t="s">
        <v>16412</v>
      </c>
      <c r="E3862" s="8"/>
      <c r="F3862" s="8" t="s">
        <v>353</v>
      </c>
      <c r="G3862" s="8" t="s">
        <v>10891</v>
      </c>
      <c r="H3862" s="8" t="s">
        <v>122</v>
      </c>
      <c r="I3862" s="8" t="s">
        <v>10892</v>
      </c>
      <c r="J3862" s="8" t="s">
        <v>23974</v>
      </c>
      <c r="K3862" s="8" t="s">
        <v>125</v>
      </c>
      <c r="L3862" s="8" t="s">
        <v>126</v>
      </c>
      <c r="M3862" s="8" t="s">
        <v>23975</v>
      </c>
      <c r="N3862" s="8" t="s">
        <v>128</v>
      </c>
      <c r="O3862" s="8" t="s">
        <v>23976</v>
      </c>
      <c r="P3862" s="8" t="s">
        <v>7300</v>
      </c>
      <c r="Q3862" s="8" t="s">
        <v>150</v>
      </c>
      <c r="R3862" s="8"/>
      <c r="S3862" s="8" t="s">
        <v>71</v>
      </c>
      <c r="T3862" s="8" t="s">
        <v>6736</v>
      </c>
      <c r="U3862" s="8" t="s">
        <v>150</v>
      </c>
      <c r="V3862" s="8" t="s">
        <v>6736</v>
      </c>
      <c r="W3862" s="8" t="s">
        <v>6736</v>
      </c>
      <c r="X3862" s="8">
        <v>3</v>
      </c>
      <c r="Y3862" s="8" t="s">
        <v>12359</v>
      </c>
      <c r="Z3862" s="8">
        <v>20</v>
      </c>
      <c r="AA3862" s="8">
        <v>0</v>
      </c>
      <c r="AB3862" s="9">
        <v>0</v>
      </c>
    </row>
    <row r="3863" spans="1:28" x14ac:dyDescent="0.2">
      <c r="A3863" s="10">
        <v>106314</v>
      </c>
      <c r="B3863" s="11" t="s">
        <v>23977</v>
      </c>
      <c r="C3863" s="11" t="s">
        <v>23978</v>
      </c>
      <c r="D3863" s="11" t="s">
        <v>23979</v>
      </c>
      <c r="E3863" s="11"/>
      <c r="F3863" s="11" t="s">
        <v>22632</v>
      </c>
      <c r="G3863" s="11" t="s">
        <v>4465</v>
      </c>
      <c r="H3863" s="11" t="s">
        <v>4466</v>
      </c>
      <c r="I3863" s="11" t="s">
        <v>23980</v>
      </c>
      <c r="J3863" s="11" t="s">
        <v>23981</v>
      </c>
      <c r="K3863" s="11" t="s">
        <v>525</v>
      </c>
      <c r="L3863" s="11" t="s">
        <v>526</v>
      </c>
      <c r="M3863" s="11" t="s">
        <v>23982</v>
      </c>
      <c r="N3863" s="11" t="s">
        <v>128</v>
      </c>
      <c r="O3863" s="11" t="s">
        <v>23983</v>
      </c>
      <c r="P3863" s="11" t="s">
        <v>23984</v>
      </c>
      <c r="Q3863" s="11" t="s">
        <v>150</v>
      </c>
      <c r="R3863" s="11"/>
      <c r="S3863" s="11" t="s">
        <v>71</v>
      </c>
      <c r="T3863" s="11" t="s">
        <v>7898</v>
      </c>
      <c r="U3863" s="11" t="s">
        <v>150</v>
      </c>
      <c r="V3863" s="11" t="s">
        <v>7898</v>
      </c>
      <c r="W3863" s="11" t="s">
        <v>7898</v>
      </c>
      <c r="X3863" s="11">
        <v>3</v>
      </c>
      <c r="Y3863" s="11" t="s">
        <v>12359</v>
      </c>
      <c r="Z3863" s="11">
        <v>20</v>
      </c>
      <c r="AA3863" s="11">
        <v>0</v>
      </c>
      <c r="AB3863" s="12">
        <v>0</v>
      </c>
    </row>
    <row r="3864" spans="1:28" x14ac:dyDescent="0.2">
      <c r="A3864" s="7">
        <v>86608</v>
      </c>
      <c r="B3864" s="8" t="s">
        <v>23985</v>
      </c>
      <c r="C3864" s="8" t="s">
        <v>20619</v>
      </c>
      <c r="D3864" s="8" t="s">
        <v>23958</v>
      </c>
      <c r="E3864" s="8"/>
      <c r="F3864" s="8" t="s">
        <v>23959</v>
      </c>
      <c r="G3864" s="8" t="s">
        <v>23986</v>
      </c>
      <c r="H3864" s="8" t="s">
        <v>704</v>
      </c>
      <c r="I3864" s="8" t="s">
        <v>23960</v>
      </c>
      <c r="J3864" s="8" t="s">
        <v>23987</v>
      </c>
      <c r="K3864" s="8" t="s">
        <v>707</v>
      </c>
      <c r="L3864" s="8" t="s">
        <v>126</v>
      </c>
      <c r="M3864" s="8" t="s">
        <v>23988</v>
      </c>
      <c r="N3864" s="8" t="s">
        <v>128</v>
      </c>
      <c r="O3864" s="8" t="s">
        <v>23989</v>
      </c>
      <c r="P3864" s="8" t="s">
        <v>23990</v>
      </c>
      <c r="Q3864" s="8" t="s">
        <v>150</v>
      </c>
      <c r="R3864" s="8"/>
      <c r="S3864" s="8" t="s">
        <v>23965</v>
      </c>
      <c r="T3864" s="8" t="s">
        <v>2697</v>
      </c>
      <c r="U3864" s="8" t="s">
        <v>150</v>
      </c>
      <c r="V3864" s="8" t="s">
        <v>2697</v>
      </c>
      <c r="W3864" s="8" t="s">
        <v>2697</v>
      </c>
      <c r="X3864" s="8">
        <v>3</v>
      </c>
      <c r="Y3864" s="8" t="s">
        <v>12359</v>
      </c>
      <c r="Z3864" s="8">
        <v>20</v>
      </c>
      <c r="AA3864" s="8">
        <v>0</v>
      </c>
      <c r="AB3864" s="9">
        <v>0</v>
      </c>
    </row>
    <row r="3865" spans="1:28" x14ac:dyDescent="0.2">
      <c r="A3865" s="10">
        <v>22715</v>
      </c>
      <c r="B3865" s="11" t="s">
        <v>23991</v>
      </c>
      <c r="C3865" s="11" t="s">
        <v>20145</v>
      </c>
      <c r="D3865" s="11" t="s">
        <v>20146</v>
      </c>
      <c r="E3865" s="11"/>
      <c r="F3865" s="11" t="s">
        <v>20148</v>
      </c>
      <c r="G3865" s="11" t="s">
        <v>521</v>
      </c>
      <c r="H3865" s="11" t="s">
        <v>522</v>
      </c>
      <c r="I3865" s="11" t="s">
        <v>20149</v>
      </c>
      <c r="J3865" s="11" t="s">
        <v>20150</v>
      </c>
      <c r="K3865" s="11" t="s">
        <v>525</v>
      </c>
      <c r="L3865" s="11" t="s">
        <v>526</v>
      </c>
      <c r="M3865" s="11" t="s">
        <v>23992</v>
      </c>
      <c r="N3865" s="11" t="s">
        <v>128</v>
      </c>
      <c r="O3865" s="11" t="s">
        <v>23993</v>
      </c>
      <c r="P3865" s="11"/>
      <c r="Q3865" s="11" t="s">
        <v>150</v>
      </c>
      <c r="R3865" s="11"/>
      <c r="S3865" s="11" t="s">
        <v>20154</v>
      </c>
      <c r="T3865" s="11" t="s">
        <v>2702</v>
      </c>
      <c r="U3865" s="11" t="s">
        <v>150</v>
      </c>
      <c r="V3865" s="11" t="s">
        <v>2702</v>
      </c>
      <c r="W3865" s="11" t="s">
        <v>2702</v>
      </c>
      <c r="X3865" s="11">
        <v>3</v>
      </c>
      <c r="Y3865" s="11" t="s">
        <v>12359</v>
      </c>
      <c r="Z3865" s="11">
        <v>20</v>
      </c>
      <c r="AA3865" s="11">
        <v>0</v>
      </c>
      <c r="AB3865" s="12">
        <v>0</v>
      </c>
    </row>
    <row r="3866" spans="1:28" x14ac:dyDescent="0.2">
      <c r="A3866" s="7">
        <v>22777</v>
      </c>
      <c r="B3866" s="8" t="s">
        <v>23994</v>
      </c>
      <c r="C3866" s="8" t="s">
        <v>11354</v>
      </c>
      <c r="D3866" s="8" t="s">
        <v>5166</v>
      </c>
      <c r="E3866" s="8"/>
      <c r="F3866" s="8" t="s">
        <v>353</v>
      </c>
      <c r="G3866" s="8" t="s">
        <v>11130</v>
      </c>
      <c r="H3866" s="8" t="s">
        <v>704</v>
      </c>
      <c r="I3866" s="8" t="s">
        <v>19576</v>
      </c>
      <c r="J3866" s="8" t="s">
        <v>20156</v>
      </c>
      <c r="K3866" s="8" t="s">
        <v>850</v>
      </c>
      <c r="L3866" s="8" t="s">
        <v>126</v>
      </c>
      <c r="M3866" s="8" t="s">
        <v>23995</v>
      </c>
      <c r="N3866" s="8" t="s">
        <v>128</v>
      </c>
      <c r="O3866" s="8" t="s">
        <v>23996</v>
      </c>
      <c r="P3866" s="8"/>
      <c r="Q3866" s="8" t="s">
        <v>150</v>
      </c>
      <c r="R3866" s="8"/>
      <c r="S3866" s="8" t="s">
        <v>71</v>
      </c>
      <c r="T3866" s="8" t="s">
        <v>2817</v>
      </c>
      <c r="U3866" s="8" t="s">
        <v>150</v>
      </c>
      <c r="V3866" s="8" t="s">
        <v>2817</v>
      </c>
      <c r="W3866" s="8" t="s">
        <v>2817</v>
      </c>
      <c r="X3866" s="8">
        <v>3</v>
      </c>
      <c r="Y3866" s="8" t="s">
        <v>12359</v>
      </c>
      <c r="Z3866" s="8">
        <v>20</v>
      </c>
      <c r="AA3866" s="8">
        <v>0</v>
      </c>
      <c r="AB3866" s="9">
        <v>0</v>
      </c>
    </row>
    <row r="3867" spans="1:28" x14ac:dyDescent="0.2">
      <c r="A3867" s="10">
        <v>125704</v>
      </c>
      <c r="B3867" s="11" t="s">
        <v>23997</v>
      </c>
      <c r="C3867" s="11" t="s">
        <v>11354</v>
      </c>
      <c r="D3867" s="11" t="s">
        <v>4080</v>
      </c>
      <c r="E3867" s="11"/>
      <c r="F3867" s="11" t="s">
        <v>353</v>
      </c>
      <c r="G3867" s="11" t="s">
        <v>11130</v>
      </c>
      <c r="H3867" s="11" t="s">
        <v>704</v>
      </c>
      <c r="I3867" s="11" t="s">
        <v>23998</v>
      </c>
      <c r="J3867" s="11" t="s">
        <v>23999</v>
      </c>
      <c r="K3867" s="11" t="s">
        <v>850</v>
      </c>
      <c r="L3867" s="11" t="s">
        <v>126</v>
      </c>
      <c r="M3867" s="11" t="s">
        <v>24000</v>
      </c>
      <c r="N3867" s="11" t="s">
        <v>128</v>
      </c>
      <c r="O3867" s="11" t="s">
        <v>24001</v>
      </c>
      <c r="P3867" s="11"/>
      <c r="Q3867" s="11" t="s">
        <v>150</v>
      </c>
      <c r="R3867" s="11"/>
      <c r="S3867" s="11" t="s">
        <v>71</v>
      </c>
      <c r="T3867" s="11" t="s">
        <v>2817</v>
      </c>
      <c r="U3867" s="11" t="s">
        <v>150</v>
      </c>
      <c r="V3867" s="11" t="s">
        <v>2817</v>
      </c>
      <c r="W3867" s="11" t="s">
        <v>2817</v>
      </c>
      <c r="X3867" s="11">
        <v>3</v>
      </c>
      <c r="Y3867" s="11" t="s">
        <v>12359</v>
      </c>
      <c r="Z3867" s="11">
        <v>20</v>
      </c>
      <c r="AA3867" s="11">
        <v>0</v>
      </c>
      <c r="AB3867" s="12">
        <v>0</v>
      </c>
    </row>
    <row r="3868" spans="1:28" x14ac:dyDescent="0.2">
      <c r="A3868" s="7">
        <v>23277</v>
      </c>
      <c r="B3868" s="8" t="s">
        <v>24002</v>
      </c>
      <c r="C3868" s="8" t="s">
        <v>24003</v>
      </c>
      <c r="D3868" s="8" t="s">
        <v>11077</v>
      </c>
      <c r="E3868" s="8" t="s">
        <v>281</v>
      </c>
      <c r="F3868" s="8" t="s">
        <v>353</v>
      </c>
      <c r="G3868" s="8" t="s">
        <v>1670</v>
      </c>
      <c r="H3868" s="8" t="s">
        <v>142</v>
      </c>
      <c r="I3868" s="8"/>
      <c r="J3868" s="8" t="s">
        <v>24004</v>
      </c>
      <c r="K3868" s="8" t="s">
        <v>1673</v>
      </c>
      <c r="L3868" s="8" t="s">
        <v>464</v>
      </c>
      <c r="M3868" s="8" t="s">
        <v>24005</v>
      </c>
      <c r="N3868" s="8" t="s">
        <v>128</v>
      </c>
      <c r="O3868" s="8" t="s">
        <v>24006</v>
      </c>
      <c r="P3868" s="8" t="s">
        <v>24007</v>
      </c>
      <c r="Q3868" s="8" t="s">
        <v>150</v>
      </c>
      <c r="R3868" s="8"/>
      <c r="S3868" s="8" t="s">
        <v>71</v>
      </c>
      <c r="T3868" s="8" t="s">
        <v>70</v>
      </c>
      <c r="U3868" s="8" t="s">
        <v>150</v>
      </c>
      <c r="V3868" s="8" t="s">
        <v>70</v>
      </c>
      <c r="W3868" s="8" t="s">
        <v>70</v>
      </c>
      <c r="X3868" s="8">
        <v>3</v>
      </c>
      <c r="Y3868" s="8" t="s">
        <v>12359</v>
      </c>
      <c r="Z3868" s="8">
        <v>20</v>
      </c>
      <c r="AA3868" s="8">
        <v>0</v>
      </c>
      <c r="AB3868" s="9">
        <v>0</v>
      </c>
    </row>
    <row r="3869" spans="1:28" x14ac:dyDescent="0.2">
      <c r="A3869" s="10">
        <v>23322</v>
      </c>
      <c r="B3869" s="11" t="s">
        <v>24008</v>
      </c>
      <c r="C3869" s="11" t="s">
        <v>19581</v>
      </c>
      <c r="D3869" s="11" t="s">
        <v>7950</v>
      </c>
      <c r="E3869" s="11"/>
      <c r="F3869" s="11" t="s">
        <v>353</v>
      </c>
      <c r="G3869" s="11" t="s">
        <v>19582</v>
      </c>
      <c r="H3869" s="11" t="s">
        <v>847</v>
      </c>
      <c r="I3869" s="11" t="s">
        <v>19583</v>
      </c>
      <c r="J3869" s="11" t="s">
        <v>24009</v>
      </c>
      <c r="K3869" s="11" t="s">
        <v>1091</v>
      </c>
      <c r="L3869" s="11" t="s">
        <v>126</v>
      </c>
      <c r="M3869" s="11" t="s">
        <v>24010</v>
      </c>
      <c r="N3869" s="11" t="s">
        <v>128</v>
      </c>
      <c r="O3869" s="11" t="s">
        <v>24011</v>
      </c>
      <c r="P3869" s="11" t="s">
        <v>24012</v>
      </c>
      <c r="Q3869" s="11" t="s">
        <v>150</v>
      </c>
      <c r="R3869" s="11"/>
      <c r="S3869" s="11" t="s">
        <v>71</v>
      </c>
      <c r="T3869" s="11" t="s">
        <v>70</v>
      </c>
      <c r="U3869" s="11" t="s">
        <v>150</v>
      </c>
      <c r="V3869" s="11" t="s">
        <v>70</v>
      </c>
      <c r="W3869" s="11" t="s">
        <v>70</v>
      </c>
      <c r="X3869" s="11">
        <v>3</v>
      </c>
      <c r="Y3869" s="11" t="s">
        <v>12359</v>
      </c>
      <c r="Z3869" s="11">
        <v>20</v>
      </c>
      <c r="AA3869" s="11">
        <v>0</v>
      </c>
      <c r="AB3869" s="12">
        <v>0</v>
      </c>
    </row>
    <row r="3870" spans="1:28" x14ac:dyDescent="0.2">
      <c r="A3870" s="7">
        <v>22987</v>
      </c>
      <c r="B3870" s="8" t="s">
        <v>24013</v>
      </c>
      <c r="C3870" s="8" t="s">
        <v>24014</v>
      </c>
      <c r="D3870" s="8" t="s">
        <v>4579</v>
      </c>
      <c r="E3870" s="8"/>
      <c r="F3870" s="8" t="s">
        <v>353</v>
      </c>
      <c r="G3870" s="8" t="s">
        <v>648</v>
      </c>
      <c r="H3870" s="8" t="s">
        <v>142</v>
      </c>
      <c r="I3870" s="8" t="s">
        <v>24015</v>
      </c>
      <c r="J3870" s="8" t="s">
        <v>24016</v>
      </c>
      <c r="K3870" s="8" t="s">
        <v>651</v>
      </c>
      <c r="L3870" s="8" t="s">
        <v>146</v>
      </c>
      <c r="M3870" s="8" t="s">
        <v>24017</v>
      </c>
      <c r="N3870" s="8" t="s">
        <v>128</v>
      </c>
      <c r="O3870" s="8" t="s">
        <v>24018</v>
      </c>
      <c r="P3870" s="8" t="s">
        <v>7614</v>
      </c>
      <c r="Q3870" s="8" t="s">
        <v>150</v>
      </c>
      <c r="R3870" s="8"/>
      <c r="S3870" s="8" t="s">
        <v>24019</v>
      </c>
      <c r="T3870" s="8" t="s">
        <v>70</v>
      </c>
      <c r="U3870" s="8" t="s">
        <v>150</v>
      </c>
      <c r="V3870" s="8" t="s">
        <v>70</v>
      </c>
      <c r="W3870" s="8" t="s">
        <v>70</v>
      </c>
      <c r="X3870" s="8">
        <v>3</v>
      </c>
      <c r="Y3870" s="8" t="s">
        <v>12359</v>
      </c>
      <c r="Z3870" s="8">
        <v>20</v>
      </c>
      <c r="AA3870" s="8">
        <v>0</v>
      </c>
      <c r="AB3870" s="9">
        <v>0</v>
      </c>
    </row>
    <row r="3871" spans="1:28" x14ac:dyDescent="0.2">
      <c r="A3871" s="10">
        <v>110275</v>
      </c>
      <c r="B3871" s="11" t="s">
        <v>24020</v>
      </c>
      <c r="C3871" s="11" t="s">
        <v>24021</v>
      </c>
      <c r="D3871" s="11" t="s">
        <v>11976</v>
      </c>
      <c r="E3871" s="11"/>
      <c r="F3871" s="11" t="s">
        <v>353</v>
      </c>
      <c r="G3871" s="11" t="s">
        <v>23938</v>
      </c>
      <c r="H3871" s="11" t="s">
        <v>142</v>
      </c>
      <c r="I3871" s="11" t="s">
        <v>23939</v>
      </c>
      <c r="J3871" s="11" t="s">
        <v>24022</v>
      </c>
      <c r="K3871" s="11" t="s">
        <v>717</v>
      </c>
      <c r="L3871" s="11" t="s">
        <v>464</v>
      </c>
      <c r="M3871" s="11" t="s">
        <v>24023</v>
      </c>
      <c r="N3871" s="11" t="s">
        <v>128</v>
      </c>
      <c r="O3871" s="11" t="s">
        <v>24024</v>
      </c>
      <c r="P3871" s="11" t="s">
        <v>24025</v>
      </c>
      <c r="Q3871" s="11" t="s">
        <v>150</v>
      </c>
      <c r="R3871" s="11"/>
      <c r="S3871" s="11" t="s">
        <v>71</v>
      </c>
      <c r="T3871" s="11" t="s">
        <v>1415</v>
      </c>
      <c r="U3871" s="11" t="s">
        <v>150</v>
      </c>
      <c r="V3871" s="11" t="s">
        <v>1415</v>
      </c>
      <c r="W3871" s="11" t="s">
        <v>1415</v>
      </c>
      <c r="X3871" s="11">
        <v>3</v>
      </c>
      <c r="Y3871" s="11" t="s">
        <v>12359</v>
      </c>
      <c r="Z3871" s="11">
        <v>20</v>
      </c>
      <c r="AA3871" s="11">
        <v>0</v>
      </c>
      <c r="AB3871" s="12">
        <v>0</v>
      </c>
    </row>
    <row r="3872" spans="1:28" x14ac:dyDescent="0.2">
      <c r="A3872" s="7">
        <v>115383</v>
      </c>
      <c r="B3872" s="8" t="s">
        <v>24026</v>
      </c>
      <c r="C3872" s="8" t="s">
        <v>24027</v>
      </c>
      <c r="D3872" s="8" t="s">
        <v>197</v>
      </c>
      <c r="E3872" s="8"/>
      <c r="F3872" s="8" t="s">
        <v>353</v>
      </c>
      <c r="G3872" s="8" t="s">
        <v>24028</v>
      </c>
      <c r="H3872" s="8" t="s">
        <v>142</v>
      </c>
      <c r="I3872" s="8" t="s">
        <v>24029</v>
      </c>
      <c r="J3872" s="8" t="s">
        <v>24030</v>
      </c>
      <c r="K3872" s="8" t="s">
        <v>1673</v>
      </c>
      <c r="L3872" s="8" t="s">
        <v>464</v>
      </c>
      <c r="M3872" s="8" t="s">
        <v>24031</v>
      </c>
      <c r="N3872" s="8" t="s">
        <v>128</v>
      </c>
      <c r="O3872" s="8" t="s">
        <v>24032</v>
      </c>
      <c r="P3872" s="8" t="s">
        <v>24033</v>
      </c>
      <c r="Q3872" s="8" t="s">
        <v>150</v>
      </c>
      <c r="R3872" s="8"/>
      <c r="S3872" s="8" t="s">
        <v>71</v>
      </c>
      <c r="T3872" s="8" t="s">
        <v>1415</v>
      </c>
      <c r="U3872" s="8" t="s">
        <v>150</v>
      </c>
      <c r="V3872" s="8" t="s">
        <v>1415</v>
      </c>
      <c r="W3872" s="8" t="s">
        <v>1415</v>
      </c>
      <c r="X3872" s="8">
        <v>3</v>
      </c>
      <c r="Y3872" s="8" t="s">
        <v>12359</v>
      </c>
      <c r="Z3872" s="8">
        <v>20</v>
      </c>
      <c r="AA3872" s="8">
        <v>0</v>
      </c>
      <c r="AB3872" s="9">
        <v>0</v>
      </c>
    </row>
    <row r="3873" spans="1:28" x14ac:dyDescent="0.2">
      <c r="A3873" s="10">
        <v>92846</v>
      </c>
      <c r="B3873" s="11" t="s">
        <v>24034</v>
      </c>
      <c r="C3873" s="11" t="s">
        <v>24035</v>
      </c>
      <c r="D3873" s="11" t="s">
        <v>16877</v>
      </c>
      <c r="E3873" s="11" t="s">
        <v>24036</v>
      </c>
      <c r="F3873" s="11" t="s">
        <v>353</v>
      </c>
      <c r="G3873" s="11" t="s">
        <v>3273</v>
      </c>
      <c r="H3873" s="11" t="s">
        <v>329</v>
      </c>
      <c r="I3873" s="11" t="s">
        <v>24037</v>
      </c>
      <c r="J3873" s="11" t="s">
        <v>24038</v>
      </c>
      <c r="K3873" s="11" t="s">
        <v>431</v>
      </c>
      <c r="L3873" s="11" t="s">
        <v>333</v>
      </c>
      <c r="M3873" s="11" t="s">
        <v>24039</v>
      </c>
      <c r="N3873" s="11" t="s">
        <v>128</v>
      </c>
      <c r="O3873" s="11" t="s">
        <v>24040</v>
      </c>
      <c r="P3873" s="11" t="s">
        <v>24041</v>
      </c>
      <c r="Q3873" s="11" t="s">
        <v>150</v>
      </c>
      <c r="R3873" s="11"/>
      <c r="S3873" s="11" t="s">
        <v>71</v>
      </c>
      <c r="T3873" s="11" t="s">
        <v>168</v>
      </c>
      <c r="U3873" s="11" t="s">
        <v>150</v>
      </c>
      <c r="V3873" s="11" t="s">
        <v>168</v>
      </c>
      <c r="W3873" s="11" t="s">
        <v>168</v>
      </c>
      <c r="X3873" s="11">
        <v>3</v>
      </c>
      <c r="Y3873" s="11" t="s">
        <v>12359</v>
      </c>
      <c r="Z3873" s="11">
        <v>20</v>
      </c>
      <c r="AA3873" s="11">
        <v>0</v>
      </c>
      <c r="AB3873" s="12">
        <v>0</v>
      </c>
    </row>
    <row r="3874" spans="1:28" x14ac:dyDescent="0.2">
      <c r="A3874" s="7">
        <v>24041</v>
      </c>
      <c r="B3874" s="8" t="s">
        <v>24042</v>
      </c>
      <c r="C3874" s="8" t="s">
        <v>11354</v>
      </c>
      <c r="D3874" s="8" t="s">
        <v>10406</v>
      </c>
      <c r="E3874" s="8"/>
      <c r="F3874" s="8" t="s">
        <v>353</v>
      </c>
      <c r="G3874" s="8" t="s">
        <v>11130</v>
      </c>
      <c r="H3874" s="8" t="s">
        <v>704</v>
      </c>
      <c r="I3874" s="8" t="s">
        <v>19576</v>
      </c>
      <c r="J3874" s="8" t="s">
        <v>24043</v>
      </c>
      <c r="K3874" s="8" t="s">
        <v>850</v>
      </c>
      <c r="L3874" s="8" t="s">
        <v>126</v>
      </c>
      <c r="M3874" s="8" t="s">
        <v>24044</v>
      </c>
      <c r="N3874" s="8" t="s">
        <v>128</v>
      </c>
      <c r="O3874" s="8" t="s">
        <v>24045</v>
      </c>
      <c r="P3874" s="8"/>
      <c r="Q3874" s="8" t="s">
        <v>150</v>
      </c>
      <c r="R3874" s="8"/>
      <c r="S3874" s="8" t="s">
        <v>71</v>
      </c>
      <c r="T3874" s="8" t="s">
        <v>22054</v>
      </c>
      <c r="U3874" s="8" t="s">
        <v>150</v>
      </c>
      <c r="V3874" s="8" t="s">
        <v>22054</v>
      </c>
      <c r="W3874" s="8" t="s">
        <v>22054</v>
      </c>
      <c r="X3874" s="8">
        <v>3</v>
      </c>
      <c r="Y3874" s="8" t="s">
        <v>12359</v>
      </c>
      <c r="Z3874" s="8">
        <v>20</v>
      </c>
      <c r="AA3874" s="8">
        <v>0</v>
      </c>
      <c r="AB3874" s="9">
        <v>0</v>
      </c>
    </row>
    <row r="3875" spans="1:28" x14ac:dyDescent="0.2">
      <c r="A3875" s="10">
        <v>107524</v>
      </c>
      <c r="B3875" s="11" t="s">
        <v>24046</v>
      </c>
      <c r="C3875" s="11" t="s">
        <v>6585</v>
      </c>
      <c r="D3875" s="11" t="s">
        <v>6586</v>
      </c>
      <c r="E3875" s="11" t="s">
        <v>4197</v>
      </c>
      <c r="F3875" s="11" t="s">
        <v>6588</v>
      </c>
      <c r="G3875" s="11" t="s">
        <v>1952</v>
      </c>
      <c r="H3875" s="11" t="s">
        <v>1953</v>
      </c>
      <c r="I3875" s="11" t="s">
        <v>6589</v>
      </c>
      <c r="J3875" s="11" t="s">
        <v>6590</v>
      </c>
      <c r="K3875" s="11" t="s">
        <v>1956</v>
      </c>
      <c r="L3875" s="11" t="s">
        <v>526</v>
      </c>
      <c r="M3875" s="11" t="s">
        <v>24047</v>
      </c>
      <c r="N3875" s="11" t="s">
        <v>128</v>
      </c>
      <c r="O3875" s="11" t="s">
        <v>24048</v>
      </c>
      <c r="P3875" s="11" t="s">
        <v>24049</v>
      </c>
      <c r="Q3875" s="11" t="s">
        <v>740</v>
      </c>
      <c r="R3875" s="11"/>
      <c r="S3875" s="11" t="s">
        <v>6594</v>
      </c>
      <c r="T3875" s="11" t="s">
        <v>1745</v>
      </c>
      <c r="U3875" s="11" t="s">
        <v>134</v>
      </c>
      <c r="V3875" s="11" t="s">
        <v>740</v>
      </c>
      <c r="W3875" s="11" t="s">
        <v>1745</v>
      </c>
      <c r="X3875" s="11">
        <v>3</v>
      </c>
      <c r="Y3875" s="11" t="s">
        <v>12359</v>
      </c>
      <c r="Z3875" s="11">
        <v>20</v>
      </c>
      <c r="AA3875" s="11">
        <v>0</v>
      </c>
      <c r="AB3875" s="12">
        <v>0</v>
      </c>
    </row>
    <row r="3876" spans="1:28" x14ac:dyDescent="0.2">
      <c r="A3876" s="7">
        <v>240349</v>
      </c>
      <c r="B3876" s="8" t="s">
        <v>24050</v>
      </c>
      <c r="C3876" s="8" t="s">
        <v>2300</v>
      </c>
      <c r="D3876" s="8" t="s">
        <v>7517</v>
      </c>
      <c r="E3876" s="8"/>
      <c r="F3876" s="8" t="s">
        <v>353</v>
      </c>
      <c r="G3876" s="8" t="s">
        <v>776</v>
      </c>
      <c r="H3876" s="8" t="s">
        <v>142</v>
      </c>
      <c r="I3876" s="8" t="s">
        <v>24051</v>
      </c>
      <c r="J3876" s="8" t="s">
        <v>24052</v>
      </c>
      <c r="K3876" s="8" t="s">
        <v>779</v>
      </c>
      <c r="L3876" s="8" t="s">
        <v>464</v>
      </c>
      <c r="M3876" s="8" t="s">
        <v>24053</v>
      </c>
      <c r="N3876" s="8" t="s">
        <v>128</v>
      </c>
      <c r="O3876" s="8" t="s">
        <v>24054</v>
      </c>
      <c r="P3876" s="8"/>
      <c r="Q3876" s="8" t="s">
        <v>740</v>
      </c>
      <c r="R3876" s="8"/>
      <c r="S3876" s="8" t="s">
        <v>71</v>
      </c>
      <c r="T3876" s="8" t="s">
        <v>1745</v>
      </c>
      <c r="U3876" s="8" t="s">
        <v>134</v>
      </c>
      <c r="V3876" s="8" t="s">
        <v>740</v>
      </c>
      <c r="W3876" s="8" t="s">
        <v>1745</v>
      </c>
      <c r="X3876" s="8">
        <v>3</v>
      </c>
      <c r="Y3876" s="8" t="s">
        <v>12359</v>
      </c>
      <c r="Z3876" s="8">
        <v>20</v>
      </c>
      <c r="AA3876" s="8">
        <v>0</v>
      </c>
      <c r="AB3876" s="9">
        <v>0</v>
      </c>
    </row>
    <row r="3877" spans="1:28" x14ac:dyDescent="0.2">
      <c r="A3877" s="10">
        <v>240340</v>
      </c>
      <c r="B3877" s="11" t="s">
        <v>24055</v>
      </c>
      <c r="C3877" s="11" t="s">
        <v>773</v>
      </c>
      <c r="D3877" s="11" t="s">
        <v>24056</v>
      </c>
      <c r="E3877" s="11"/>
      <c r="F3877" s="11" t="s">
        <v>16520</v>
      </c>
      <c r="G3877" s="11" t="s">
        <v>3929</v>
      </c>
      <c r="H3877" s="11" t="s">
        <v>704</v>
      </c>
      <c r="I3877" s="11" t="s">
        <v>21060</v>
      </c>
      <c r="J3877" s="11" t="s">
        <v>24057</v>
      </c>
      <c r="K3877" s="11" t="s">
        <v>850</v>
      </c>
      <c r="L3877" s="11" t="s">
        <v>126</v>
      </c>
      <c r="M3877" s="11" t="s">
        <v>24058</v>
      </c>
      <c r="N3877" s="11" t="s">
        <v>128</v>
      </c>
      <c r="O3877" s="11" t="s">
        <v>24059</v>
      </c>
      <c r="P3877" s="11"/>
      <c r="Q3877" s="11" t="s">
        <v>740</v>
      </c>
      <c r="R3877" s="11"/>
      <c r="S3877" s="11" t="s">
        <v>71</v>
      </c>
      <c r="T3877" s="11" t="s">
        <v>1745</v>
      </c>
      <c r="U3877" s="11" t="s">
        <v>134</v>
      </c>
      <c r="V3877" s="11" t="s">
        <v>740</v>
      </c>
      <c r="W3877" s="11" t="s">
        <v>1745</v>
      </c>
      <c r="X3877" s="11">
        <v>3</v>
      </c>
      <c r="Y3877" s="11" t="s">
        <v>12359</v>
      </c>
      <c r="Z3877" s="11">
        <v>20</v>
      </c>
      <c r="AA3877" s="11">
        <v>0</v>
      </c>
      <c r="AB3877" s="12">
        <v>0</v>
      </c>
    </row>
    <row r="3878" spans="1:28" x14ac:dyDescent="0.2">
      <c r="A3878" s="7">
        <v>93129</v>
      </c>
      <c r="B3878" s="8" t="s">
        <v>24060</v>
      </c>
      <c r="C3878" s="8" t="s">
        <v>1136</v>
      </c>
      <c r="D3878" s="8" t="s">
        <v>7708</v>
      </c>
      <c r="E3878" s="8"/>
      <c r="F3878" s="8" t="s">
        <v>24061</v>
      </c>
      <c r="G3878" s="8" t="s">
        <v>1139</v>
      </c>
      <c r="H3878" s="8" t="s">
        <v>557</v>
      </c>
      <c r="I3878" s="8" t="s">
        <v>24062</v>
      </c>
      <c r="J3878" s="8" t="s">
        <v>24063</v>
      </c>
      <c r="K3878" s="8" t="s">
        <v>560</v>
      </c>
      <c r="L3878" s="8" t="s">
        <v>229</v>
      </c>
      <c r="M3878" s="8" t="s">
        <v>24064</v>
      </c>
      <c r="N3878" s="8" t="s">
        <v>128</v>
      </c>
      <c r="O3878" s="8" t="s">
        <v>24065</v>
      </c>
      <c r="P3878" s="8"/>
      <c r="Q3878" s="8" t="s">
        <v>249</v>
      </c>
      <c r="R3878" s="8"/>
      <c r="S3878" s="8" t="s">
        <v>71</v>
      </c>
      <c r="T3878" s="8" t="s">
        <v>1523</v>
      </c>
      <c r="U3878" s="8" t="s">
        <v>134</v>
      </c>
      <c r="V3878" s="8" t="s">
        <v>249</v>
      </c>
      <c r="W3878" s="8" t="s">
        <v>1523</v>
      </c>
      <c r="X3878" s="8">
        <v>3</v>
      </c>
      <c r="Y3878" s="8" t="s">
        <v>12359</v>
      </c>
      <c r="Z3878" s="8">
        <v>20</v>
      </c>
      <c r="AA3878" s="8">
        <v>0</v>
      </c>
      <c r="AB3878" s="9">
        <v>0</v>
      </c>
    </row>
    <row r="3879" spans="1:28" x14ac:dyDescent="0.2">
      <c r="A3879" s="10">
        <v>225278</v>
      </c>
      <c r="B3879" s="11" t="s">
        <v>24066</v>
      </c>
      <c r="C3879" s="11" t="s">
        <v>18357</v>
      </c>
      <c r="D3879" s="11" t="s">
        <v>18358</v>
      </c>
      <c r="E3879" s="11" t="s">
        <v>24067</v>
      </c>
      <c r="F3879" s="11" t="s">
        <v>18359</v>
      </c>
      <c r="G3879" s="11" t="s">
        <v>412</v>
      </c>
      <c r="H3879" s="11" t="s">
        <v>329</v>
      </c>
      <c r="I3879" s="11" t="s">
        <v>18360</v>
      </c>
      <c r="J3879" s="11" t="s">
        <v>18361</v>
      </c>
      <c r="K3879" s="11" t="s">
        <v>415</v>
      </c>
      <c r="L3879" s="11" t="s">
        <v>333</v>
      </c>
      <c r="M3879" s="11" t="s">
        <v>24068</v>
      </c>
      <c r="N3879" s="11" t="s">
        <v>128</v>
      </c>
      <c r="O3879" s="11" t="s">
        <v>24069</v>
      </c>
      <c r="P3879" s="11" t="s">
        <v>24070</v>
      </c>
      <c r="Q3879" s="11" t="s">
        <v>249</v>
      </c>
      <c r="R3879" s="11"/>
      <c r="S3879" s="11" t="s">
        <v>18364</v>
      </c>
      <c r="T3879" s="11" t="s">
        <v>250</v>
      </c>
      <c r="U3879" s="11" t="s">
        <v>134</v>
      </c>
      <c r="V3879" s="11" t="s">
        <v>249</v>
      </c>
      <c r="W3879" s="11" t="s">
        <v>250</v>
      </c>
      <c r="X3879" s="11">
        <v>3</v>
      </c>
      <c r="Y3879" s="11" t="s">
        <v>12359</v>
      </c>
      <c r="Z3879" s="11">
        <v>20</v>
      </c>
      <c r="AA3879" s="11">
        <v>0</v>
      </c>
      <c r="AB3879" s="12">
        <v>0</v>
      </c>
    </row>
    <row r="3880" spans="1:28" x14ac:dyDescent="0.2">
      <c r="A3880" s="7">
        <v>226722</v>
      </c>
      <c r="B3880" s="8" t="s">
        <v>24071</v>
      </c>
      <c r="C3880" s="8" t="s">
        <v>2785</v>
      </c>
      <c r="D3880" s="8" t="s">
        <v>23716</v>
      </c>
      <c r="E3880" s="8"/>
      <c r="F3880" s="8" t="s">
        <v>16538</v>
      </c>
      <c r="G3880" s="8" t="s">
        <v>846</v>
      </c>
      <c r="H3880" s="8" t="s">
        <v>847</v>
      </c>
      <c r="I3880" s="8" t="s">
        <v>23718</v>
      </c>
      <c r="J3880" s="8" t="s">
        <v>24072</v>
      </c>
      <c r="K3880" s="8" t="s">
        <v>850</v>
      </c>
      <c r="L3880" s="8" t="s">
        <v>126</v>
      </c>
      <c r="M3880" s="8" t="s">
        <v>24073</v>
      </c>
      <c r="N3880" s="8" t="s">
        <v>128</v>
      </c>
      <c r="O3880" s="8" t="s">
        <v>24074</v>
      </c>
      <c r="P3880" s="8" t="s">
        <v>24075</v>
      </c>
      <c r="Q3880" s="8" t="s">
        <v>249</v>
      </c>
      <c r="R3880" s="8"/>
      <c r="S3880" s="8" t="s">
        <v>23723</v>
      </c>
      <c r="T3880" s="8" t="s">
        <v>250</v>
      </c>
      <c r="U3880" s="8" t="s">
        <v>134</v>
      </c>
      <c r="V3880" s="8" t="s">
        <v>249</v>
      </c>
      <c r="W3880" s="8" t="s">
        <v>250</v>
      </c>
      <c r="X3880" s="8">
        <v>3</v>
      </c>
      <c r="Y3880" s="8" t="s">
        <v>12359</v>
      </c>
      <c r="Z3880" s="8">
        <v>20</v>
      </c>
      <c r="AA3880" s="8">
        <v>0</v>
      </c>
      <c r="AB3880" s="9">
        <v>0</v>
      </c>
    </row>
    <row r="3881" spans="1:28" x14ac:dyDescent="0.2">
      <c r="A3881" s="10">
        <v>124494</v>
      </c>
      <c r="B3881" s="11" t="s">
        <v>24076</v>
      </c>
      <c r="C3881" s="11" t="s">
        <v>4099</v>
      </c>
      <c r="D3881" s="11" t="s">
        <v>809</v>
      </c>
      <c r="E3881" s="11"/>
      <c r="F3881" s="11" t="s">
        <v>353</v>
      </c>
      <c r="G3881" s="11" t="s">
        <v>3612</v>
      </c>
      <c r="H3881" s="11" t="s">
        <v>704</v>
      </c>
      <c r="I3881" s="11" t="s">
        <v>3613</v>
      </c>
      <c r="J3881" s="11" t="s">
        <v>24077</v>
      </c>
      <c r="K3881" s="11" t="s">
        <v>707</v>
      </c>
      <c r="L3881" s="11" t="s">
        <v>126</v>
      </c>
      <c r="M3881" s="11" t="s">
        <v>24078</v>
      </c>
      <c r="N3881" s="11" t="s">
        <v>128</v>
      </c>
      <c r="O3881" s="11" t="s">
        <v>24079</v>
      </c>
      <c r="P3881" s="11"/>
      <c r="Q3881" s="11" t="s">
        <v>150</v>
      </c>
      <c r="R3881" s="11"/>
      <c r="S3881" s="11" t="s">
        <v>71</v>
      </c>
      <c r="T3881" s="11" t="s">
        <v>16012</v>
      </c>
      <c r="U3881" s="11" t="s">
        <v>150</v>
      </c>
      <c r="V3881" s="11" t="s">
        <v>16012</v>
      </c>
      <c r="W3881" s="11" t="s">
        <v>16012</v>
      </c>
      <c r="X3881" s="11">
        <v>2</v>
      </c>
      <c r="Y3881" s="11" t="s">
        <v>12359</v>
      </c>
      <c r="Z3881" s="11">
        <v>20</v>
      </c>
      <c r="AA3881" s="11">
        <v>0</v>
      </c>
      <c r="AB3881" s="12">
        <v>0</v>
      </c>
    </row>
    <row r="3882" spans="1:28" x14ac:dyDescent="0.2">
      <c r="A3882" s="7">
        <v>240289</v>
      </c>
      <c r="B3882" s="8" t="s">
        <v>24080</v>
      </c>
      <c r="C3882" s="8" t="s">
        <v>5879</v>
      </c>
      <c r="D3882" s="8" t="s">
        <v>1434</v>
      </c>
      <c r="E3882" s="8"/>
      <c r="F3882" s="8" t="s">
        <v>353</v>
      </c>
      <c r="G3882" s="8" t="s">
        <v>24081</v>
      </c>
      <c r="H3882" s="8" t="s">
        <v>704</v>
      </c>
      <c r="I3882" s="8" t="s">
        <v>24082</v>
      </c>
      <c r="J3882" s="8" t="s">
        <v>24083</v>
      </c>
      <c r="K3882" s="8" t="s">
        <v>707</v>
      </c>
      <c r="L3882" s="8" t="s">
        <v>126</v>
      </c>
      <c r="M3882" s="8" t="s">
        <v>24084</v>
      </c>
      <c r="N3882" s="8" t="s">
        <v>128</v>
      </c>
      <c r="O3882" s="8" t="s">
        <v>24085</v>
      </c>
      <c r="P3882" s="8"/>
      <c r="Q3882" s="8" t="s">
        <v>150</v>
      </c>
      <c r="R3882" s="8"/>
      <c r="S3882" s="8" t="s">
        <v>71</v>
      </c>
      <c r="T3882" s="8" t="s">
        <v>16012</v>
      </c>
      <c r="U3882" s="8" t="s">
        <v>150</v>
      </c>
      <c r="V3882" s="8" t="s">
        <v>16012</v>
      </c>
      <c r="W3882" s="8" t="s">
        <v>16012</v>
      </c>
      <c r="X3882" s="8">
        <v>2</v>
      </c>
      <c r="Y3882" s="8" t="s">
        <v>12359</v>
      </c>
      <c r="Z3882" s="8">
        <v>20</v>
      </c>
      <c r="AA3882" s="8">
        <v>0</v>
      </c>
      <c r="AB3882" s="9">
        <v>0</v>
      </c>
    </row>
    <row r="3883" spans="1:28" x14ac:dyDescent="0.2">
      <c r="A3883" s="10">
        <v>21231</v>
      </c>
      <c r="B3883" s="11" t="s">
        <v>24086</v>
      </c>
      <c r="C3883" s="11" t="s">
        <v>24087</v>
      </c>
      <c r="D3883" s="11" t="s">
        <v>11311</v>
      </c>
      <c r="E3883" s="11" t="s">
        <v>281</v>
      </c>
      <c r="F3883" s="11" t="s">
        <v>11717</v>
      </c>
      <c r="G3883" s="11" t="s">
        <v>328</v>
      </c>
      <c r="H3883" s="11" t="s">
        <v>329</v>
      </c>
      <c r="I3883" s="11" t="s">
        <v>24088</v>
      </c>
      <c r="J3883" s="11" t="s">
        <v>24089</v>
      </c>
      <c r="K3883" s="11" t="s">
        <v>332</v>
      </c>
      <c r="L3883" s="11" t="s">
        <v>333</v>
      </c>
      <c r="M3883" s="11" t="s">
        <v>24090</v>
      </c>
      <c r="N3883" s="11" t="s">
        <v>128</v>
      </c>
      <c r="O3883" s="11"/>
      <c r="P3883" s="11"/>
      <c r="Q3883" s="11" t="s">
        <v>150</v>
      </c>
      <c r="R3883" s="11"/>
      <c r="S3883" s="11" t="s">
        <v>71</v>
      </c>
      <c r="T3883" s="11" t="s">
        <v>642</v>
      </c>
      <c r="U3883" s="11" t="s">
        <v>150</v>
      </c>
      <c r="V3883" s="11" t="s">
        <v>642</v>
      </c>
      <c r="W3883" s="11" t="s">
        <v>642</v>
      </c>
      <c r="X3883" s="11">
        <v>2</v>
      </c>
      <c r="Y3883" s="11" t="s">
        <v>12359</v>
      </c>
      <c r="Z3883" s="11">
        <v>20</v>
      </c>
      <c r="AA3883" s="11">
        <v>0</v>
      </c>
      <c r="AB3883" s="12">
        <v>0</v>
      </c>
    </row>
    <row r="3884" spans="1:28" x14ac:dyDescent="0.2">
      <c r="A3884" s="7">
        <v>21458</v>
      </c>
      <c r="B3884" s="8" t="s">
        <v>24091</v>
      </c>
      <c r="C3884" s="8" t="s">
        <v>24092</v>
      </c>
      <c r="D3884" s="8" t="s">
        <v>7814</v>
      </c>
      <c r="E3884" s="8" t="s">
        <v>24093</v>
      </c>
      <c r="F3884" s="8" t="s">
        <v>1138</v>
      </c>
      <c r="G3884" s="8" t="s">
        <v>20833</v>
      </c>
      <c r="H3884" s="8" t="s">
        <v>557</v>
      </c>
      <c r="I3884" s="8" t="s">
        <v>24094</v>
      </c>
      <c r="J3884" s="8" t="s">
        <v>24095</v>
      </c>
      <c r="K3884" s="8" t="s">
        <v>1562</v>
      </c>
      <c r="L3884" s="8" t="s">
        <v>229</v>
      </c>
      <c r="M3884" s="8" t="s">
        <v>24096</v>
      </c>
      <c r="N3884" s="8" t="s">
        <v>128</v>
      </c>
      <c r="O3884" s="8" t="s">
        <v>24097</v>
      </c>
      <c r="P3884" s="8" t="s">
        <v>24098</v>
      </c>
      <c r="Q3884" s="8" t="s">
        <v>150</v>
      </c>
      <c r="R3884" s="8"/>
      <c r="S3884" s="8" t="s">
        <v>24099</v>
      </c>
      <c r="T3884" s="8" t="s">
        <v>67</v>
      </c>
      <c r="U3884" s="8" t="s">
        <v>150</v>
      </c>
      <c r="V3884" s="8" t="s">
        <v>152</v>
      </c>
      <c r="W3884" s="8" t="s">
        <v>67</v>
      </c>
      <c r="X3884" s="8">
        <v>2</v>
      </c>
      <c r="Y3884" s="8" t="s">
        <v>12359</v>
      </c>
      <c r="Z3884" s="8">
        <v>20</v>
      </c>
      <c r="AA3884" s="8">
        <v>0</v>
      </c>
      <c r="AB3884" s="9">
        <v>0</v>
      </c>
    </row>
    <row r="3885" spans="1:28" x14ac:dyDescent="0.2">
      <c r="A3885" s="10">
        <v>26331</v>
      </c>
      <c r="B3885" s="11" t="s">
        <v>24100</v>
      </c>
      <c r="C3885" s="11" t="s">
        <v>24101</v>
      </c>
      <c r="D3885" s="11" t="s">
        <v>7569</v>
      </c>
      <c r="E3885" s="11"/>
      <c r="F3885" s="11" t="s">
        <v>353</v>
      </c>
      <c r="G3885" s="11" t="s">
        <v>190</v>
      </c>
      <c r="H3885" s="11" t="s">
        <v>191</v>
      </c>
      <c r="I3885" s="11" t="s">
        <v>24102</v>
      </c>
      <c r="J3885" s="11" t="s">
        <v>24103</v>
      </c>
      <c r="K3885" s="11" t="s">
        <v>194</v>
      </c>
      <c r="L3885" s="11" t="s">
        <v>163</v>
      </c>
      <c r="M3885" s="11" t="s">
        <v>24104</v>
      </c>
      <c r="N3885" s="11" t="s">
        <v>128</v>
      </c>
      <c r="O3885" s="11" t="s">
        <v>24105</v>
      </c>
      <c r="P3885" s="11" t="s">
        <v>4351</v>
      </c>
      <c r="Q3885" s="11" t="s">
        <v>150</v>
      </c>
      <c r="R3885" s="11"/>
      <c r="S3885" s="11" t="s">
        <v>71</v>
      </c>
      <c r="T3885" s="11" t="s">
        <v>67</v>
      </c>
      <c r="U3885" s="11" t="s">
        <v>150</v>
      </c>
      <c r="V3885" s="11" t="s">
        <v>152</v>
      </c>
      <c r="W3885" s="11" t="s">
        <v>67</v>
      </c>
      <c r="X3885" s="11">
        <v>2</v>
      </c>
      <c r="Y3885" s="11" t="s">
        <v>12359</v>
      </c>
      <c r="Z3885" s="11">
        <v>20</v>
      </c>
      <c r="AA3885" s="11">
        <v>0</v>
      </c>
      <c r="AB3885" s="12">
        <v>0</v>
      </c>
    </row>
    <row r="3886" spans="1:28" x14ac:dyDescent="0.2">
      <c r="A3886" s="7">
        <v>116907</v>
      </c>
      <c r="B3886" s="8" t="s">
        <v>24106</v>
      </c>
      <c r="C3886" s="8" t="s">
        <v>24027</v>
      </c>
      <c r="D3886" s="8" t="s">
        <v>24107</v>
      </c>
      <c r="E3886" s="8"/>
      <c r="F3886" s="8" t="s">
        <v>353</v>
      </c>
      <c r="G3886" s="8" t="s">
        <v>24028</v>
      </c>
      <c r="H3886" s="8" t="s">
        <v>142</v>
      </c>
      <c r="I3886" s="8" t="s">
        <v>24108</v>
      </c>
      <c r="J3886" s="8" t="s">
        <v>24109</v>
      </c>
      <c r="K3886" s="8" t="s">
        <v>1673</v>
      </c>
      <c r="L3886" s="8" t="s">
        <v>464</v>
      </c>
      <c r="M3886" s="8" t="s">
        <v>24110</v>
      </c>
      <c r="N3886" s="8" t="s">
        <v>128</v>
      </c>
      <c r="O3886" s="8" t="s">
        <v>24111</v>
      </c>
      <c r="P3886" s="8" t="s">
        <v>17353</v>
      </c>
      <c r="Q3886" s="8" t="s">
        <v>150</v>
      </c>
      <c r="R3886" s="8"/>
      <c r="S3886" s="8" t="s">
        <v>71</v>
      </c>
      <c r="T3886" s="8" t="s">
        <v>67</v>
      </c>
      <c r="U3886" s="8" t="s">
        <v>150</v>
      </c>
      <c r="V3886" s="8" t="s">
        <v>152</v>
      </c>
      <c r="W3886" s="8" t="s">
        <v>67</v>
      </c>
      <c r="X3886" s="8">
        <v>2</v>
      </c>
      <c r="Y3886" s="8" t="s">
        <v>12359</v>
      </c>
      <c r="Z3886" s="8">
        <v>20</v>
      </c>
      <c r="AA3886" s="8">
        <v>0</v>
      </c>
      <c r="AB3886" s="9">
        <v>0</v>
      </c>
    </row>
    <row r="3887" spans="1:28" x14ac:dyDescent="0.2">
      <c r="A3887" s="10">
        <v>109185</v>
      </c>
      <c r="B3887" s="11" t="s">
        <v>24112</v>
      </c>
      <c r="C3887" s="11" t="s">
        <v>24113</v>
      </c>
      <c r="D3887" s="11" t="s">
        <v>138</v>
      </c>
      <c r="E3887" s="11"/>
      <c r="F3887" s="11" t="s">
        <v>24114</v>
      </c>
      <c r="G3887" s="11" t="s">
        <v>24115</v>
      </c>
      <c r="H3887" s="11" t="s">
        <v>301</v>
      </c>
      <c r="I3887" s="11" t="s">
        <v>24116</v>
      </c>
      <c r="J3887" s="11" t="s">
        <v>24117</v>
      </c>
      <c r="K3887" s="11" t="s">
        <v>228</v>
      </c>
      <c r="L3887" s="11" t="s">
        <v>229</v>
      </c>
      <c r="M3887" s="11" t="s">
        <v>24118</v>
      </c>
      <c r="N3887" s="11" t="s">
        <v>128</v>
      </c>
      <c r="O3887" s="11" t="s">
        <v>24119</v>
      </c>
      <c r="P3887" s="11" t="s">
        <v>15445</v>
      </c>
      <c r="Q3887" s="11" t="s">
        <v>150</v>
      </c>
      <c r="R3887" s="11"/>
      <c r="S3887" s="11" t="s">
        <v>71</v>
      </c>
      <c r="T3887" s="11" t="s">
        <v>67</v>
      </c>
      <c r="U3887" s="11" t="s">
        <v>150</v>
      </c>
      <c r="V3887" s="11" t="s">
        <v>152</v>
      </c>
      <c r="W3887" s="11" t="s">
        <v>67</v>
      </c>
      <c r="X3887" s="11">
        <v>2</v>
      </c>
      <c r="Y3887" s="11" t="s">
        <v>12359</v>
      </c>
      <c r="Z3887" s="11">
        <v>20</v>
      </c>
      <c r="AA3887" s="11">
        <v>0</v>
      </c>
      <c r="AB3887" s="12">
        <v>0</v>
      </c>
    </row>
    <row r="3888" spans="1:28" x14ac:dyDescent="0.2">
      <c r="A3888" s="7">
        <v>125929</v>
      </c>
      <c r="B3888" s="8" t="s">
        <v>24120</v>
      </c>
      <c r="C3888" s="8" t="s">
        <v>23062</v>
      </c>
      <c r="D3888" s="8" t="s">
        <v>9089</v>
      </c>
      <c r="E3888" s="8"/>
      <c r="F3888" s="8" t="s">
        <v>24121</v>
      </c>
      <c r="G3888" s="8" t="s">
        <v>23063</v>
      </c>
      <c r="H3888" s="8" t="s">
        <v>847</v>
      </c>
      <c r="I3888" s="8" t="s">
        <v>24122</v>
      </c>
      <c r="J3888" s="8" t="s">
        <v>24123</v>
      </c>
      <c r="K3888" s="8" t="s">
        <v>1091</v>
      </c>
      <c r="L3888" s="8" t="s">
        <v>126</v>
      </c>
      <c r="M3888" s="8" t="s">
        <v>24124</v>
      </c>
      <c r="N3888" s="8" t="s">
        <v>128</v>
      </c>
      <c r="O3888" s="8" t="s">
        <v>24125</v>
      </c>
      <c r="P3888" s="8" t="s">
        <v>24126</v>
      </c>
      <c r="Q3888" s="8" t="s">
        <v>150</v>
      </c>
      <c r="R3888" s="8"/>
      <c r="S3888" s="8" t="s">
        <v>71</v>
      </c>
      <c r="T3888" s="8" t="s">
        <v>67</v>
      </c>
      <c r="U3888" s="8" t="s">
        <v>150</v>
      </c>
      <c r="V3888" s="8" t="s">
        <v>152</v>
      </c>
      <c r="W3888" s="8" t="s">
        <v>67</v>
      </c>
      <c r="X3888" s="8">
        <v>2</v>
      </c>
      <c r="Y3888" s="8" t="s">
        <v>12359</v>
      </c>
      <c r="Z3888" s="8">
        <v>20</v>
      </c>
      <c r="AA3888" s="8">
        <v>0</v>
      </c>
      <c r="AB3888" s="9">
        <v>0</v>
      </c>
    </row>
    <row r="3889" spans="1:28" x14ac:dyDescent="0.2">
      <c r="A3889" s="10">
        <v>116656</v>
      </c>
      <c r="B3889" s="11" t="s">
        <v>24127</v>
      </c>
      <c r="C3889" s="11" t="s">
        <v>13591</v>
      </c>
      <c r="D3889" s="11" t="s">
        <v>4604</v>
      </c>
      <c r="E3889" s="11" t="s">
        <v>24128</v>
      </c>
      <c r="F3889" s="11" t="s">
        <v>353</v>
      </c>
      <c r="G3889" s="11" t="s">
        <v>1253</v>
      </c>
      <c r="H3889" s="11" t="s">
        <v>142</v>
      </c>
      <c r="I3889" s="11" t="s">
        <v>13592</v>
      </c>
      <c r="J3889" s="11" t="s">
        <v>13593</v>
      </c>
      <c r="K3889" s="11" t="s">
        <v>1199</v>
      </c>
      <c r="L3889" s="11" t="s">
        <v>464</v>
      </c>
      <c r="M3889" s="11" t="s">
        <v>24129</v>
      </c>
      <c r="N3889" s="11" t="s">
        <v>128</v>
      </c>
      <c r="O3889" s="11" t="s">
        <v>16074</v>
      </c>
      <c r="P3889" s="11"/>
      <c r="Q3889" s="11" t="s">
        <v>131</v>
      </c>
      <c r="R3889" s="11"/>
      <c r="S3889" s="11" t="s">
        <v>13597</v>
      </c>
      <c r="T3889" s="11" t="s">
        <v>983</v>
      </c>
      <c r="U3889" s="11" t="s">
        <v>134</v>
      </c>
      <c r="V3889" s="11" t="s">
        <v>131</v>
      </c>
      <c r="W3889" s="11" t="s">
        <v>983</v>
      </c>
      <c r="X3889" s="11">
        <v>2</v>
      </c>
      <c r="Y3889" s="11" t="s">
        <v>12359</v>
      </c>
      <c r="Z3889" s="11">
        <v>20</v>
      </c>
      <c r="AA3889" s="11">
        <v>0</v>
      </c>
      <c r="AB3889" s="12">
        <v>0</v>
      </c>
    </row>
    <row r="3890" spans="1:28" x14ac:dyDescent="0.2">
      <c r="A3890" s="7">
        <v>240286</v>
      </c>
      <c r="B3890" s="8" t="s">
        <v>24130</v>
      </c>
      <c r="C3890" s="8" t="s">
        <v>5879</v>
      </c>
      <c r="D3890" s="8" t="s">
        <v>4880</v>
      </c>
      <c r="E3890" s="8" t="s">
        <v>17614</v>
      </c>
      <c r="F3890" s="8" t="s">
        <v>353</v>
      </c>
      <c r="G3890" s="8" t="s">
        <v>24081</v>
      </c>
      <c r="H3890" s="8" t="s">
        <v>704</v>
      </c>
      <c r="I3890" s="8" t="s">
        <v>24131</v>
      </c>
      <c r="J3890" s="8" t="s">
        <v>24132</v>
      </c>
      <c r="K3890" s="8" t="s">
        <v>707</v>
      </c>
      <c r="L3890" s="8" t="s">
        <v>126</v>
      </c>
      <c r="M3890" s="8" t="s">
        <v>24133</v>
      </c>
      <c r="N3890" s="8" t="s">
        <v>128</v>
      </c>
      <c r="O3890" s="8" t="s">
        <v>24134</v>
      </c>
      <c r="P3890" s="8"/>
      <c r="Q3890" s="8" t="s">
        <v>131</v>
      </c>
      <c r="R3890" s="8"/>
      <c r="S3890" s="8" t="s">
        <v>71</v>
      </c>
      <c r="T3890" s="8" t="s">
        <v>983</v>
      </c>
      <c r="U3890" s="8" t="s">
        <v>134</v>
      </c>
      <c r="V3890" s="8" t="s">
        <v>131</v>
      </c>
      <c r="W3890" s="8" t="s">
        <v>983</v>
      </c>
      <c r="X3890" s="8">
        <v>2</v>
      </c>
      <c r="Y3890" s="8" t="s">
        <v>12359</v>
      </c>
      <c r="Z3890" s="8">
        <v>20</v>
      </c>
      <c r="AA3890" s="8">
        <v>0</v>
      </c>
      <c r="AB3890" s="9">
        <v>0</v>
      </c>
    </row>
    <row r="3891" spans="1:28" x14ac:dyDescent="0.2">
      <c r="A3891" s="10">
        <v>114885</v>
      </c>
      <c r="B3891" s="11" t="s">
        <v>24135</v>
      </c>
      <c r="C3891" s="11" t="s">
        <v>16185</v>
      </c>
      <c r="D3891" s="11" t="s">
        <v>24136</v>
      </c>
      <c r="E3891" s="11"/>
      <c r="F3891" s="11" t="s">
        <v>353</v>
      </c>
      <c r="G3891" s="11" t="s">
        <v>21562</v>
      </c>
      <c r="H3891" s="11" t="s">
        <v>142</v>
      </c>
      <c r="I3891" s="11" t="s">
        <v>24137</v>
      </c>
      <c r="J3891" s="11" t="s">
        <v>24138</v>
      </c>
      <c r="K3891" s="11" t="s">
        <v>1029</v>
      </c>
      <c r="L3891" s="11" t="s">
        <v>464</v>
      </c>
      <c r="M3891" s="11" t="s">
        <v>24139</v>
      </c>
      <c r="N3891" s="11" t="s">
        <v>128</v>
      </c>
      <c r="O3891" s="11" t="s">
        <v>24140</v>
      </c>
      <c r="P3891" s="11"/>
      <c r="Q3891" s="11" t="s">
        <v>131</v>
      </c>
      <c r="R3891" s="11"/>
      <c r="S3891" s="11" t="s">
        <v>71</v>
      </c>
      <c r="T3891" s="11" t="s">
        <v>983</v>
      </c>
      <c r="U3891" s="11" t="s">
        <v>134</v>
      </c>
      <c r="V3891" s="11" t="s">
        <v>131</v>
      </c>
      <c r="W3891" s="11" t="s">
        <v>983</v>
      </c>
      <c r="X3891" s="11">
        <v>2</v>
      </c>
      <c r="Y3891" s="11" t="s">
        <v>12359</v>
      </c>
      <c r="Z3891" s="11">
        <v>20</v>
      </c>
      <c r="AA3891" s="11">
        <v>0</v>
      </c>
      <c r="AB3891" s="12">
        <v>0</v>
      </c>
    </row>
    <row r="3892" spans="1:28" x14ac:dyDescent="0.2">
      <c r="A3892" s="7">
        <v>240338</v>
      </c>
      <c r="B3892" s="8" t="s">
        <v>24141</v>
      </c>
      <c r="C3892" s="8" t="s">
        <v>7976</v>
      </c>
      <c r="D3892" s="8" t="s">
        <v>5540</v>
      </c>
      <c r="E3892" s="8" t="s">
        <v>24142</v>
      </c>
      <c r="F3892" s="8" t="s">
        <v>353</v>
      </c>
      <c r="G3892" s="8" t="s">
        <v>24143</v>
      </c>
      <c r="H3892" s="8" t="s">
        <v>704</v>
      </c>
      <c r="I3892" s="8" t="s">
        <v>24144</v>
      </c>
      <c r="J3892" s="8" t="s">
        <v>24145</v>
      </c>
      <c r="K3892" s="8" t="s">
        <v>850</v>
      </c>
      <c r="L3892" s="8" t="s">
        <v>126</v>
      </c>
      <c r="M3892" s="8" t="s">
        <v>24146</v>
      </c>
      <c r="N3892" s="8" t="s">
        <v>128</v>
      </c>
      <c r="O3892" s="8" t="s">
        <v>24147</v>
      </c>
      <c r="P3892" s="8" t="s">
        <v>11311</v>
      </c>
      <c r="Q3892" s="8" t="s">
        <v>150</v>
      </c>
      <c r="R3892" s="8"/>
      <c r="S3892" s="8" t="s">
        <v>71</v>
      </c>
      <c r="T3892" s="8" t="s">
        <v>6736</v>
      </c>
      <c r="U3892" s="8" t="s">
        <v>150</v>
      </c>
      <c r="V3892" s="8" t="s">
        <v>6736</v>
      </c>
      <c r="W3892" s="8" t="s">
        <v>6736</v>
      </c>
      <c r="X3892" s="8">
        <v>2</v>
      </c>
      <c r="Y3892" s="8" t="s">
        <v>12359</v>
      </c>
      <c r="Z3892" s="8">
        <v>20</v>
      </c>
      <c r="AA3892" s="8">
        <v>0</v>
      </c>
      <c r="AB3892" s="9">
        <v>0</v>
      </c>
    </row>
    <row r="3893" spans="1:28" x14ac:dyDescent="0.2">
      <c r="A3893" s="10">
        <v>23528</v>
      </c>
      <c r="B3893" s="11" t="s">
        <v>24148</v>
      </c>
      <c r="C3893" s="11" t="s">
        <v>2785</v>
      </c>
      <c r="D3893" s="11" t="s">
        <v>24149</v>
      </c>
      <c r="E3893" s="11" t="s">
        <v>3523</v>
      </c>
      <c r="F3893" s="11" t="s">
        <v>16538</v>
      </c>
      <c r="G3893" s="11" t="s">
        <v>846</v>
      </c>
      <c r="H3893" s="11" t="s">
        <v>847</v>
      </c>
      <c r="I3893" s="11" t="s">
        <v>16539</v>
      </c>
      <c r="J3893" s="11" t="s">
        <v>24150</v>
      </c>
      <c r="K3893" s="11" t="s">
        <v>850</v>
      </c>
      <c r="L3893" s="11" t="s">
        <v>126</v>
      </c>
      <c r="M3893" s="11" t="s">
        <v>24151</v>
      </c>
      <c r="N3893" s="11" t="s">
        <v>128</v>
      </c>
      <c r="O3893" s="11" t="s">
        <v>24152</v>
      </c>
      <c r="P3893" s="11" t="s">
        <v>23858</v>
      </c>
      <c r="Q3893" s="11" t="s">
        <v>150</v>
      </c>
      <c r="R3893" s="11"/>
      <c r="S3893" s="11" t="s">
        <v>71</v>
      </c>
      <c r="T3893" s="11" t="s">
        <v>6736</v>
      </c>
      <c r="U3893" s="11" t="s">
        <v>150</v>
      </c>
      <c r="V3893" s="11" t="s">
        <v>6736</v>
      </c>
      <c r="W3893" s="11" t="s">
        <v>6736</v>
      </c>
      <c r="X3893" s="11">
        <v>2</v>
      </c>
      <c r="Y3893" s="11" t="s">
        <v>12359</v>
      </c>
      <c r="Z3893" s="11">
        <v>20</v>
      </c>
      <c r="AA3893" s="11">
        <v>0</v>
      </c>
      <c r="AB3893" s="12">
        <v>0</v>
      </c>
    </row>
    <row r="3894" spans="1:28" x14ac:dyDescent="0.2">
      <c r="A3894" s="7">
        <v>240326</v>
      </c>
      <c r="B3894" s="8" t="s">
        <v>24153</v>
      </c>
      <c r="C3894" s="8" t="s">
        <v>24154</v>
      </c>
      <c r="D3894" s="8" t="s">
        <v>21902</v>
      </c>
      <c r="E3894" s="8" t="s">
        <v>9506</v>
      </c>
      <c r="F3894" s="8" t="s">
        <v>24155</v>
      </c>
      <c r="G3894" s="8" t="s">
        <v>3929</v>
      </c>
      <c r="H3894" s="8" t="s">
        <v>704</v>
      </c>
      <c r="I3894" s="8" t="s">
        <v>24156</v>
      </c>
      <c r="J3894" s="8" t="s">
        <v>24157</v>
      </c>
      <c r="K3894" s="8" t="s">
        <v>850</v>
      </c>
      <c r="L3894" s="8" t="s">
        <v>126</v>
      </c>
      <c r="M3894" s="8" t="s">
        <v>24158</v>
      </c>
      <c r="N3894" s="8" t="s">
        <v>128</v>
      </c>
      <c r="O3894" s="8" t="s">
        <v>24159</v>
      </c>
      <c r="P3894" s="8" t="s">
        <v>8224</v>
      </c>
      <c r="Q3894" s="8" t="s">
        <v>150</v>
      </c>
      <c r="R3894" s="8"/>
      <c r="S3894" s="8" t="s">
        <v>71</v>
      </c>
      <c r="T3894" s="8" t="s">
        <v>6736</v>
      </c>
      <c r="U3894" s="8" t="s">
        <v>150</v>
      </c>
      <c r="V3894" s="8" t="s">
        <v>6736</v>
      </c>
      <c r="W3894" s="8" t="s">
        <v>6736</v>
      </c>
      <c r="X3894" s="8">
        <v>2</v>
      </c>
      <c r="Y3894" s="8" t="s">
        <v>12359</v>
      </c>
      <c r="Z3894" s="8">
        <v>20</v>
      </c>
      <c r="AA3894" s="8">
        <v>0</v>
      </c>
      <c r="AB3894" s="9">
        <v>0</v>
      </c>
    </row>
    <row r="3895" spans="1:28" x14ac:dyDescent="0.2">
      <c r="A3895" s="10">
        <v>235338</v>
      </c>
      <c r="B3895" s="11" t="s">
        <v>24160</v>
      </c>
      <c r="C3895" s="11" t="s">
        <v>10670</v>
      </c>
      <c r="D3895" s="11" t="s">
        <v>20524</v>
      </c>
      <c r="E3895" s="11"/>
      <c r="F3895" s="11" t="s">
        <v>353</v>
      </c>
      <c r="G3895" s="11" t="s">
        <v>10672</v>
      </c>
      <c r="H3895" s="11" t="s">
        <v>847</v>
      </c>
      <c r="I3895" s="11" t="s">
        <v>10673</v>
      </c>
      <c r="J3895" s="11" t="s">
        <v>24161</v>
      </c>
      <c r="K3895" s="11" t="s">
        <v>1091</v>
      </c>
      <c r="L3895" s="11" t="s">
        <v>126</v>
      </c>
      <c r="M3895" s="11" t="s">
        <v>24162</v>
      </c>
      <c r="N3895" s="11" t="s">
        <v>128</v>
      </c>
      <c r="O3895" s="11" t="s">
        <v>24163</v>
      </c>
      <c r="P3895" s="11" t="s">
        <v>18678</v>
      </c>
      <c r="Q3895" s="11" t="s">
        <v>150</v>
      </c>
      <c r="R3895" s="11"/>
      <c r="S3895" s="11" t="s">
        <v>71</v>
      </c>
      <c r="T3895" s="11" t="s">
        <v>6736</v>
      </c>
      <c r="U3895" s="11" t="s">
        <v>150</v>
      </c>
      <c r="V3895" s="11" t="s">
        <v>6736</v>
      </c>
      <c r="W3895" s="11" t="s">
        <v>6736</v>
      </c>
      <c r="X3895" s="11">
        <v>2</v>
      </c>
      <c r="Y3895" s="11" t="s">
        <v>12359</v>
      </c>
      <c r="Z3895" s="11">
        <v>20</v>
      </c>
      <c r="AA3895" s="11">
        <v>0</v>
      </c>
      <c r="AB3895" s="12">
        <v>0</v>
      </c>
    </row>
    <row r="3896" spans="1:28" x14ac:dyDescent="0.2">
      <c r="A3896" s="7">
        <v>240290</v>
      </c>
      <c r="B3896" s="8" t="s">
        <v>24164</v>
      </c>
      <c r="C3896" s="8" t="s">
        <v>15751</v>
      </c>
      <c r="D3896" s="8" t="s">
        <v>20234</v>
      </c>
      <c r="E3896" s="8"/>
      <c r="F3896" s="8" t="s">
        <v>353</v>
      </c>
      <c r="G3896" s="8" t="s">
        <v>24081</v>
      </c>
      <c r="H3896" s="8" t="s">
        <v>704</v>
      </c>
      <c r="I3896" s="8" t="s">
        <v>24165</v>
      </c>
      <c r="J3896" s="8" t="s">
        <v>24166</v>
      </c>
      <c r="K3896" s="8" t="s">
        <v>707</v>
      </c>
      <c r="L3896" s="8" t="s">
        <v>126</v>
      </c>
      <c r="M3896" s="8" t="s">
        <v>24167</v>
      </c>
      <c r="N3896" s="8" t="s">
        <v>128</v>
      </c>
      <c r="O3896" s="8" t="s">
        <v>24168</v>
      </c>
      <c r="P3896" s="8" t="s">
        <v>5901</v>
      </c>
      <c r="Q3896" s="8" t="s">
        <v>150</v>
      </c>
      <c r="R3896" s="8"/>
      <c r="S3896" s="8" t="s">
        <v>71</v>
      </c>
      <c r="T3896" s="8" t="s">
        <v>6736</v>
      </c>
      <c r="U3896" s="8" t="s">
        <v>150</v>
      </c>
      <c r="V3896" s="8" t="s">
        <v>6736</v>
      </c>
      <c r="W3896" s="8" t="s">
        <v>6736</v>
      </c>
      <c r="X3896" s="8">
        <v>2</v>
      </c>
      <c r="Y3896" s="8" t="s">
        <v>12359</v>
      </c>
      <c r="Z3896" s="8">
        <v>20</v>
      </c>
      <c r="AA3896" s="8">
        <v>0</v>
      </c>
      <c r="AB3896" s="9">
        <v>0</v>
      </c>
    </row>
    <row r="3897" spans="1:28" x14ac:dyDescent="0.2">
      <c r="A3897" s="10">
        <v>27804</v>
      </c>
      <c r="B3897" s="11" t="s">
        <v>24169</v>
      </c>
      <c r="C3897" s="11" t="s">
        <v>24170</v>
      </c>
      <c r="D3897" s="11" t="s">
        <v>11184</v>
      </c>
      <c r="E3897" s="11"/>
      <c r="F3897" s="11" t="s">
        <v>353</v>
      </c>
      <c r="G3897" s="11" t="s">
        <v>19582</v>
      </c>
      <c r="H3897" s="11" t="s">
        <v>847</v>
      </c>
      <c r="I3897" s="11" t="s">
        <v>24171</v>
      </c>
      <c r="J3897" s="11" t="s">
        <v>24172</v>
      </c>
      <c r="K3897" s="11" t="s">
        <v>1091</v>
      </c>
      <c r="L3897" s="11" t="s">
        <v>126</v>
      </c>
      <c r="M3897" s="11" t="s">
        <v>24173</v>
      </c>
      <c r="N3897" s="11" t="s">
        <v>128</v>
      </c>
      <c r="O3897" s="11" t="s">
        <v>24174</v>
      </c>
      <c r="P3897" s="11" t="s">
        <v>24175</v>
      </c>
      <c r="Q3897" s="11" t="s">
        <v>150</v>
      </c>
      <c r="R3897" s="11"/>
      <c r="S3897" s="11" t="s">
        <v>71</v>
      </c>
      <c r="T3897" s="11" t="s">
        <v>2697</v>
      </c>
      <c r="U3897" s="11" t="s">
        <v>150</v>
      </c>
      <c r="V3897" s="11" t="s">
        <v>2697</v>
      </c>
      <c r="W3897" s="11" t="s">
        <v>2697</v>
      </c>
      <c r="X3897" s="11">
        <v>2</v>
      </c>
      <c r="Y3897" s="11" t="s">
        <v>12359</v>
      </c>
      <c r="Z3897" s="11">
        <v>20</v>
      </c>
      <c r="AA3897" s="11">
        <v>0</v>
      </c>
      <c r="AB3897" s="12">
        <v>0</v>
      </c>
    </row>
    <row r="3898" spans="1:28" x14ac:dyDescent="0.2">
      <c r="A3898" s="7">
        <v>22594</v>
      </c>
      <c r="B3898" s="8" t="s">
        <v>24176</v>
      </c>
      <c r="C3898" s="8" t="s">
        <v>24177</v>
      </c>
      <c r="D3898" s="8" t="s">
        <v>118</v>
      </c>
      <c r="E3898" s="8"/>
      <c r="F3898" s="8" t="s">
        <v>24178</v>
      </c>
      <c r="G3898" s="8" t="s">
        <v>11130</v>
      </c>
      <c r="H3898" s="8" t="s">
        <v>704</v>
      </c>
      <c r="I3898" s="8" t="s">
        <v>24179</v>
      </c>
      <c r="J3898" s="8" t="s">
        <v>24180</v>
      </c>
      <c r="K3898" s="8" t="s">
        <v>850</v>
      </c>
      <c r="L3898" s="8" t="s">
        <v>126</v>
      </c>
      <c r="M3898" s="8" t="s">
        <v>24181</v>
      </c>
      <c r="N3898" s="8" t="s">
        <v>128</v>
      </c>
      <c r="O3898" s="8" t="s">
        <v>24182</v>
      </c>
      <c r="P3898" s="8" t="s">
        <v>24183</v>
      </c>
      <c r="Q3898" s="8" t="s">
        <v>150</v>
      </c>
      <c r="R3898" s="8"/>
      <c r="S3898" s="8" t="s">
        <v>71</v>
      </c>
      <c r="T3898" s="8" t="s">
        <v>2697</v>
      </c>
      <c r="U3898" s="8" t="s">
        <v>150</v>
      </c>
      <c r="V3898" s="8" t="s">
        <v>2697</v>
      </c>
      <c r="W3898" s="8" t="s">
        <v>2697</v>
      </c>
      <c r="X3898" s="8">
        <v>2</v>
      </c>
      <c r="Y3898" s="8" t="s">
        <v>12359</v>
      </c>
      <c r="Z3898" s="8">
        <v>20</v>
      </c>
      <c r="AA3898" s="8">
        <v>0</v>
      </c>
      <c r="AB3898" s="9">
        <v>0</v>
      </c>
    </row>
    <row r="3899" spans="1:28" x14ac:dyDescent="0.2">
      <c r="A3899" s="10">
        <v>22595</v>
      </c>
      <c r="B3899" s="11" t="s">
        <v>24184</v>
      </c>
      <c r="C3899" s="11" t="s">
        <v>24185</v>
      </c>
      <c r="D3899" s="11" t="s">
        <v>4633</v>
      </c>
      <c r="E3899" s="11"/>
      <c r="F3899" s="11" t="s">
        <v>24186</v>
      </c>
      <c r="G3899" s="11" t="s">
        <v>776</v>
      </c>
      <c r="H3899" s="11" t="s">
        <v>142</v>
      </c>
      <c r="I3899" s="11" t="s">
        <v>24187</v>
      </c>
      <c r="J3899" s="11" t="s">
        <v>24188</v>
      </c>
      <c r="K3899" s="11" t="s">
        <v>779</v>
      </c>
      <c r="L3899" s="11" t="s">
        <v>464</v>
      </c>
      <c r="M3899" s="11" t="s">
        <v>24189</v>
      </c>
      <c r="N3899" s="11" t="s">
        <v>128</v>
      </c>
      <c r="O3899" s="11" t="s">
        <v>24190</v>
      </c>
      <c r="P3899" s="11" t="s">
        <v>24191</v>
      </c>
      <c r="Q3899" s="11" t="s">
        <v>150</v>
      </c>
      <c r="R3899" s="11"/>
      <c r="S3899" s="11" t="s">
        <v>71</v>
      </c>
      <c r="T3899" s="11" t="s">
        <v>2697</v>
      </c>
      <c r="U3899" s="11" t="s">
        <v>150</v>
      </c>
      <c r="V3899" s="11" t="s">
        <v>2697</v>
      </c>
      <c r="W3899" s="11" t="s">
        <v>2697</v>
      </c>
      <c r="X3899" s="11">
        <v>2</v>
      </c>
      <c r="Y3899" s="11" t="s">
        <v>12359</v>
      </c>
      <c r="Z3899" s="11">
        <v>20</v>
      </c>
      <c r="AA3899" s="11">
        <v>0</v>
      </c>
      <c r="AB3899" s="12">
        <v>0</v>
      </c>
    </row>
    <row r="3900" spans="1:28" x14ac:dyDescent="0.2">
      <c r="A3900" s="7">
        <v>22724</v>
      </c>
      <c r="B3900" s="8" t="s">
        <v>24192</v>
      </c>
      <c r="C3900" s="8" t="s">
        <v>16185</v>
      </c>
      <c r="D3900" s="8" t="s">
        <v>19370</v>
      </c>
      <c r="E3900" s="8"/>
      <c r="F3900" s="8"/>
      <c r="G3900" s="8" t="s">
        <v>21562</v>
      </c>
      <c r="H3900" s="8" t="s">
        <v>142</v>
      </c>
      <c r="I3900" s="8" t="s">
        <v>21563</v>
      </c>
      <c r="J3900" s="8" t="s">
        <v>24193</v>
      </c>
      <c r="K3900" s="8" t="s">
        <v>1029</v>
      </c>
      <c r="L3900" s="8" t="s">
        <v>464</v>
      </c>
      <c r="M3900" s="8" t="s">
        <v>24194</v>
      </c>
      <c r="N3900" s="8" t="s">
        <v>128</v>
      </c>
      <c r="O3900" s="8"/>
      <c r="P3900" s="8" t="s">
        <v>24195</v>
      </c>
      <c r="Q3900" s="8" t="s">
        <v>150</v>
      </c>
      <c r="R3900" s="8"/>
      <c r="S3900" s="8" t="s">
        <v>71</v>
      </c>
      <c r="T3900" s="8" t="s">
        <v>13822</v>
      </c>
      <c r="U3900" s="8" t="s">
        <v>150</v>
      </c>
      <c r="V3900" s="8" t="s">
        <v>13822</v>
      </c>
      <c r="W3900" s="8" t="s">
        <v>13822</v>
      </c>
      <c r="X3900" s="8">
        <v>2</v>
      </c>
      <c r="Y3900" s="8" t="s">
        <v>12359</v>
      </c>
      <c r="Z3900" s="8">
        <v>20</v>
      </c>
      <c r="AA3900" s="8">
        <v>0</v>
      </c>
      <c r="AB3900" s="9">
        <v>0</v>
      </c>
    </row>
    <row r="3901" spans="1:28" x14ac:dyDescent="0.2">
      <c r="A3901" s="10">
        <v>240328</v>
      </c>
      <c r="B3901" s="11" t="s">
        <v>24196</v>
      </c>
      <c r="C3901" s="11" t="s">
        <v>24154</v>
      </c>
      <c r="D3901" s="11" t="s">
        <v>21902</v>
      </c>
      <c r="E3901" s="11" t="s">
        <v>10671</v>
      </c>
      <c r="F3901" s="11" t="s">
        <v>24155</v>
      </c>
      <c r="G3901" s="11" t="s">
        <v>3929</v>
      </c>
      <c r="H3901" s="11" t="s">
        <v>704</v>
      </c>
      <c r="I3901" s="11" t="s">
        <v>24197</v>
      </c>
      <c r="J3901" s="11" t="s">
        <v>24198</v>
      </c>
      <c r="K3901" s="11" t="s">
        <v>850</v>
      </c>
      <c r="L3901" s="11" t="s">
        <v>126</v>
      </c>
      <c r="M3901" s="11" t="s">
        <v>24199</v>
      </c>
      <c r="N3901" s="11" t="s">
        <v>128</v>
      </c>
      <c r="O3901" s="11" t="s">
        <v>24200</v>
      </c>
      <c r="P3901" s="11"/>
      <c r="Q3901" s="11" t="s">
        <v>150</v>
      </c>
      <c r="R3901" s="11"/>
      <c r="S3901" s="11" t="s">
        <v>71</v>
      </c>
      <c r="T3901" s="11" t="s">
        <v>2817</v>
      </c>
      <c r="U3901" s="11" t="s">
        <v>150</v>
      </c>
      <c r="V3901" s="11" t="s">
        <v>2817</v>
      </c>
      <c r="W3901" s="11" t="s">
        <v>2817</v>
      </c>
      <c r="X3901" s="11">
        <v>2</v>
      </c>
      <c r="Y3901" s="11" t="s">
        <v>12359</v>
      </c>
      <c r="Z3901" s="11">
        <v>20</v>
      </c>
      <c r="AA3901" s="11">
        <v>0</v>
      </c>
      <c r="AB3901" s="12">
        <v>0</v>
      </c>
    </row>
    <row r="3902" spans="1:28" x14ac:dyDescent="0.2">
      <c r="A3902" s="7">
        <v>240291</v>
      </c>
      <c r="B3902" s="8" t="s">
        <v>24201</v>
      </c>
      <c r="C3902" s="8" t="s">
        <v>15751</v>
      </c>
      <c r="D3902" s="8" t="s">
        <v>23964</v>
      </c>
      <c r="E3902" s="8"/>
      <c r="F3902" s="8" t="s">
        <v>353</v>
      </c>
      <c r="G3902" s="8" t="s">
        <v>24081</v>
      </c>
      <c r="H3902" s="8" t="s">
        <v>704</v>
      </c>
      <c r="I3902" s="8" t="s">
        <v>24202</v>
      </c>
      <c r="J3902" s="8" t="s">
        <v>24203</v>
      </c>
      <c r="K3902" s="8" t="s">
        <v>707</v>
      </c>
      <c r="L3902" s="8" t="s">
        <v>126</v>
      </c>
      <c r="M3902" s="8" t="s">
        <v>24204</v>
      </c>
      <c r="N3902" s="8" t="s">
        <v>128</v>
      </c>
      <c r="O3902" s="8" t="s">
        <v>24205</v>
      </c>
      <c r="P3902" s="8"/>
      <c r="Q3902" s="8" t="s">
        <v>150</v>
      </c>
      <c r="R3902" s="8"/>
      <c r="S3902" s="8" t="s">
        <v>71</v>
      </c>
      <c r="T3902" s="8" t="s">
        <v>2817</v>
      </c>
      <c r="U3902" s="8" t="s">
        <v>150</v>
      </c>
      <c r="V3902" s="8" t="s">
        <v>2817</v>
      </c>
      <c r="W3902" s="8" t="s">
        <v>2817</v>
      </c>
      <c r="X3902" s="8">
        <v>2</v>
      </c>
      <c r="Y3902" s="8" t="s">
        <v>12359</v>
      </c>
      <c r="Z3902" s="8">
        <v>20</v>
      </c>
      <c r="AA3902" s="8">
        <v>0</v>
      </c>
      <c r="AB3902" s="9">
        <v>0</v>
      </c>
    </row>
    <row r="3903" spans="1:28" x14ac:dyDescent="0.2">
      <c r="A3903" s="10">
        <v>240337</v>
      </c>
      <c r="B3903" s="11" t="s">
        <v>24206</v>
      </c>
      <c r="C3903" s="11" t="s">
        <v>7976</v>
      </c>
      <c r="D3903" s="11" t="s">
        <v>510</v>
      </c>
      <c r="E3903" s="11"/>
      <c r="F3903" s="11" t="s">
        <v>353</v>
      </c>
      <c r="G3903" s="11" t="s">
        <v>24143</v>
      </c>
      <c r="H3903" s="11" t="s">
        <v>704</v>
      </c>
      <c r="I3903" s="11" t="s">
        <v>24144</v>
      </c>
      <c r="J3903" s="11" t="s">
        <v>24207</v>
      </c>
      <c r="K3903" s="11" t="s">
        <v>850</v>
      </c>
      <c r="L3903" s="11" t="s">
        <v>126</v>
      </c>
      <c r="M3903" s="11" t="s">
        <v>24208</v>
      </c>
      <c r="N3903" s="11" t="s">
        <v>128</v>
      </c>
      <c r="O3903" s="11" t="s">
        <v>24209</v>
      </c>
      <c r="P3903" s="11"/>
      <c r="Q3903" s="11" t="s">
        <v>150</v>
      </c>
      <c r="R3903" s="11"/>
      <c r="S3903" s="11" t="s">
        <v>71</v>
      </c>
      <c r="T3903" s="11" t="s">
        <v>2817</v>
      </c>
      <c r="U3903" s="11" t="s">
        <v>150</v>
      </c>
      <c r="V3903" s="11" t="s">
        <v>2817</v>
      </c>
      <c r="W3903" s="11" t="s">
        <v>2817</v>
      </c>
      <c r="X3903" s="11">
        <v>2</v>
      </c>
      <c r="Y3903" s="11" t="s">
        <v>12359</v>
      </c>
      <c r="Z3903" s="11">
        <v>20</v>
      </c>
      <c r="AA3903" s="11">
        <v>0</v>
      </c>
      <c r="AB3903" s="12">
        <v>0</v>
      </c>
    </row>
    <row r="3904" spans="1:28" x14ac:dyDescent="0.2">
      <c r="A3904" s="7">
        <v>22778</v>
      </c>
      <c r="B3904" s="8" t="s">
        <v>24210</v>
      </c>
      <c r="C3904" s="8" t="s">
        <v>2615</v>
      </c>
      <c r="D3904" s="8" t="s">
        <v>6206</v>
      </c>
      <c r="E3904" s="8"/>
      <c r="F3904" s="8" t="s">
        <v>353</v>
      </c>
      <c r="G3904" s="8" t="s">
        <v>11130</v>
      </c>
      <c r="H3904" s="8" t="s">
        <v>704</v>
      </c>
      <c r="I3904" s="8" t="s">
        <v>19576</v>
      </c>
      <c r="J3904" s="8" t="s">
        <v>24211</v>
      </c>
      <c r="K3904" s="8" t="s">
        <v>850</v>
      </c>
      <c r="L3904" s="8" t="s">
        <v>126</v>
      </c>
      <c r="M3904" s="8" t="s">
        <v>24212</v>
      </c>
      <c r="N3904" s="8" t="s">
        <v>128</v>
      </c>
      <c r="O3904" s="8"/>
      <c r="P3904" s="8"/>
      <c r="Q3904" s="8" t="s">
        <v>150</v>
      </c>
      <c r="R3904" s="8"/>
      <c r="S3904" s="8" t="s">
        <v>71</v>
      </c>
      <c r="T3904" s="8" t="s">
        <v>2817</v>
      </c>
      <c r="U3904" s="8" t="s">
        <v>150</v>
      </c>
      <c r="V3904" s="8" t="s">
        <v>2817</v>
      </c>
      <c r="W3904" s="8" t="s">
        <v>2817</v>
      </c>
      <c r="X3904" s="8">
        <v>2</v>
      </c>
      <c r="Y3904" s="8" t="s">
        <v>12359</v>
      </c>
      <c r="Z3904" s="8">
        <v>20</v>
      </c>
      <c r="AA3904" s="8">
        <v>0</v>
      </c>
      <c r="AB3904" s="9">
        <v>0</v>
      </c>
    </row>
    <row r="3905" spans="1:28" x14ac:dyDescent="0.2">
      <c r="A3905" s="10">
        <v>22871</v>
      </c>
      <c r="B3905" s="11" t="s">
        <v>24213</v>
      </c>
      <c r="C3905" s="11" t="s">
        <v>2300</v>
      </c>
      <c r="D3905" s="11" t="s">
        <v>21204</v>
      </c>
      <c r="E3905" s="11"/>
      <c r="F3905" s="11" t="s">
        <v>353</v>
      </c>
      <c r="G3905" s="11" t="s">
        <v>158</v>
      </c>
      <c r="H3905" s="11" t="s">
        <v>159</v>
      </c>
      <c r="I3905" s="11" t="s">
        <v>24214</v>
      </c>
      <c r="J3905" s="11" t="s">
        <v>24215</v>
      </c>
      <c r="K3905" s="11" t="s">
        <v>274</v>
      </c>
      <c r="L3905" s="11" t="s">
        <v>163</v>
      </c>
      <c r="M3905" s="11" t="s">
        <v>24216</v>
      </c>
      <c r="N3905" s="11" t="s">
        <v>128</v>
      </c>
      <c r="O3905" s="11" t="s">
        <v>24217</v>
      </c>
      <c r="P3905" s="11" t="s">
        <v>24218</v>
      </c>
      <c r="Q3905" s="11" t="s">
        <v>150</v>
      </c>
      <c r="R3905" s="11"/>
      <c r="S3905" s="11" t="s">
        <v>71</v>
      </c>
      <c r="T3905" s="11" t="s">
        <v>70</v>
      </c>
      <c r="U3905" s="11" t="s">
        <v>150</v>
      </c>
      <c r="V3905" s="11" t="s">
        <v>70</v>
      </c>
      <c r="W3905" s="11" t="s">
        <v>70</v>
      </c>
      <c r="X3905" s="11">
        <v>2</v>
      </c>
      <c r="Y3905" s="11" t="s">
        <v>12359</v>
      </c>
      <c r="Z3905" s="11">
        <v>20</v>
      </c>
      <c r="AA3905" s="11">
        <v>0</v>
      </c>
      <c r="AB3905" s="12">
        <v>0</v>
      </c>
    </row>
    <row r="3906" spans="1:28" x14ac:dyDescent="0.2">
      <c r="A3906" s="7">
        <v>28614</v>
      </c>
      <c r="B3906" s="8" t="s">
        <v>24219</v>
      </c>
      <c r="C3906" s="8" t="s">
        <v>24220</v>
      </c>
      <c r="D3906" s="8" t="s">
        <v>11976</v>
      </c>
      <c r="E3906" s="8"/>
      <c r="F3906" s="8" t="s">
        <v>353</v>
      </c>
      <c r="G3906" s="8" t="s">
        <v>20860</v>
      </c>
      <c r="H3906" s="8" t="s">
        <v>557</v>
      </c>
      <c r="I3906" s="8" t="s">
        <v>20861</v>
      </c>
      <c r="J3906" s="8" t="s">
        <v>24221</v>
      </c>
      <c r="K3906" s="8" t="s">
        <v>560</v>
      </c>
      <c r="L3906" s="8" t="s">
        <v>229</v>
      </c>
      <c r="M3906" s="8" t="s">
        <v>24222</v>
      </c>
      <c r="N3906" s="8" t="s">
        <v>128</v>
      </c>
      <c r="O3906" s="8" t="s">
        <v>24223</v>
      </c>
      <c r="P3906" s="8" t="s">
        <v>24224</v>
      </c>
      <c r="Q3906" s="8" t="s">
        <v>150</v>
      </c>
      <c r="R3906" s="8"/>
      <c r="S3906" s="8" t="s">
        <v>71</v>
      </c>
      <c r="T3906" s="8" t="s">
        <v>70</v>
      </c>
      <c r="U3906" s="8" t="s">
        <v>150</v>
      </c>
      <c r="V3906" s="8" t="s">
        <v>70</v>
      </c>
      <c r="W3906" s="8" t="s">
        <v>70</v>
      </c>
      <c r="X3906" s="8">
        <v>2</v>
      </c>
      <c r="Y3906" s="8" t="s">
        <v>12359</v>
      </c>
      <c r="Z3906" s="8">
        <v>20</v>
      </c>
      <c r="AA3906" s="8">
        <v>0</v>
      </c>
      <c r="AB3906" s="9">
        <v>0</v>
      </c>
    </row>
    <row r="3907" spans="1:28" x14ac:dyDescent="0.2">
      <c r="A3907" s="10">
        <v>124701</v>
      </c>
      <c r="B3907" s="11" t="s">
        <v>24225</v>
      </c>
      <c r="C3907" s="11" t="s">
        <v>15961</v>
      </c>
      <c r="D3907" s="11" t="s">
        <v>3355</v>
      </c>
      <c r="E3907" s="11"/>
      <c r="F3907" s="11" t="s">
        <v>353</v>
      </c>
      <c r="G3907" s="11" t="s">
        <v>23938</v>
      </c>
      <c r="H3907" s="11" t="s">
        <v>142</v>
      </c>
      <c r="I3907" s="11" t="s">
        <v>23939</v>
      </c>
      <c r="J3907" s="11" t="s">
        <v>24226</v>
      </c>
      <c r="K3907" s="11" t="s">
        <v>717</v>
      </c>
      <c r="L3907" s="11" t="s">
        <v>464</v>
      </c>
      <c r="M3907" s="11" t="s">
        <v>24227</v>
      </c>
      <c r="N3907" s="11" t="s">
        <v>128</v>
      </c>
      <c r="O3907" s="11" t="s">
        <v>24228</v>
      </c>
      <c r="P3907" s="11" t="s">
        <v>9797</v>
      </c>
      <c r="Q3907" s="11" t="s">
        <v>150</v>
      </c>
      <c r="R3907" s="11"/>
      <c r="S3907" s="11" t="s">
        <v>71</v>
      </c>
      <c r="T3907" s="11" t="s">
        <v>70</v>
      </c>
      <c r="U3907" s="11" t="s">
        <v>150</v>
      </c>
      <c r="V3907" s="11" t="s">
        <v>70</v>
      </c>
      <c r="W3907" s="11" t="s">
        <v>70</v>
      </c>
      <c r="X3907" s="11">
        <v>2</v>
      </c>
      <c r="Y3907" s="11" t="s">
        <v>12359</v>
      </c>
      <c r="Z3907" s="11">
        <v>20</v>
      </c>
      <c r="AA3907" s="11">
        <v>0</v>
      </c>
      <c r="AB3907" s="12">
        <v>0</v>
      </c>
    </row>
    <row r="3908" spans="1:28" x14ac:dyDescent="0.2">
      <c r="A3908" s="7">
        <v>209426</v>
      </c>
      <c r="B3908" s="8" t="s">
        <v>24229</v>
      </c>
      <c r="C3908" s="8" t="s">
        <v>24230</v>
      </c>
      <c r="D3908" s="8" t="s">
        <v>24231</v>
      </c>
      <c r="E3908" s="8"/>
      <c r="F3908" s="8" t="s">
        <v>24232</v>
      </c>
      <c r="G3908" s="8" t="s">
        <v>158</v>
      </c>
      <c r="H3908" s="8" t="s">
        <v>159</v>
      </c>
      <c r="I3908" s="8" t="s">
        <v>24233</v>
      </c>
      <c r="J3908" s="8" t="s">
        <v>24234</v>
      </c>
      <c r="K3908" s="8" t="s">
        <v>274</v>
      </c>
      <c r="L3908" s="8" t="s">
        <v>163</v>
      </c>
      <c r="M3908" s="8" t="s">
        <v>24235</v>
      </c>
      <c r="N3908" s="8" t="s">
        <v>128</v>
      </c>
      <c r="O3908" s="8" t="s">
        <v>24236</v>
      </c>
      <c r="P3908" s="8" t="s">
        <v>24237</v>
      </c>
      <c r="Q3908" s="8" t="s">
        <v>150</v>
      </c>
      <c r="R3908" s="8"/>
      <c r="S3908" s="8" t="s">
        <v>71</v>
      </c>
      <c r="T3908" s="8" t="s">
        <v>70</v>
      </c>
      <c r="U3908" s="8" t="s">
        <v>150</v>
      </c>
      <c r="V3908" s="8" t="s">
        <v>70</v>
      </c>
      <c r="W3908" s="8" t="s">
        <v>70</v>
      </c>
      <c r="X3908" s="8">
        <v>2</v>
      </c>
      <c r="Y3908" s="8" t="s">
        <v>12359</v>
      </c>
      <c r="Z3908" s="8">
        <v>20</v>
      </c>
      <c r="AA3908" s="8">
        <v>0</v>
      </c>
      <c r="AB3908" s="9">
        <v>0</v>
      </c>
    </row>
    <row r="3909" spans="1:28" x14ac:dyDescent="0.2">
      <c r="A3909" s="10">
        <v>93148</v>
      </c>
      <c r="B3909" s="11" t="s">
        <v>24238</v>
      </c>
      <c r="C3909" s="11" t="s">
        <v>409</v>
      </c>
      <c r="D3909" s="11" t="s">
        <v>3363</v>
      </c>
      <c r="E3909" s="11"/>
      <c r="F3909" s="11" t="s">
        <v>353</v>
      </c>
      <c r="G3909" s="11" t="s">
        <v>24239</v>
      </c>
      <c r="H3909" s="11" t="s">
        <v>142</v>
      </c>
      <c r="I3909" s="11" t="s">
        <v>24240</v>
      </c>
      <c r="J3909" s="11" t="s">
        <v>24241</v>
      </c>
      <c r="K3909" s="11" t="s">
        <v>1199</v>
      </c>
      <c r="L3909" s="11" t="s">
        <v>464</v>
      </c>
      <c r="M3909" s="11" t="s">
        <v>24242</v>
      </c>
      <c r="N3909" s="11" t="s">
        <v>128</v>
      </c>
      <c r="O3909" s="11" t="s">
        <v>24243</v>
      </c>
      <c r="P3909" s="11" t="s">
        <v>24244</v>
      </c>
      <c r="Q3909" s="11" t="s">
        <v>150</v>
      </c>
      <c r="R3909" s="11"/>
      <c r="S3909" s="11" t="s">
        <v>71</v>
      </c>
      <c r="T3909" s="11" t="s">
        <v>1415</v>
      </c>
      <c r="U3909" s="11" t="s">
        <v>150</v>
      </c>
      <c r="V3909" s="11" t="s">
        <v>1415</v>
      </c>
      <c r="W3909" s="11" t="s">
        <v>1415</v>
      </c>
      <c r="X3909" s="11">
        <v>2</v>
      </c>
      <c r="Y3909" s="11" t="s">
        <v>12359</v>
      </c>
      <c r="Z3909" s="11">
        <v>20</v>
      </c>
      <c r="AA3909" s="11">
        <v>0</v>
      </c>
      <c r="AB3909" s="12">
        <v>0</v>
      </c>
    </row>
    <row r="3910" spans="1:28" x14ac:dyDescent="0.2">
      <c r="A3910" s="7">
        <v>23476</v>
      </c>
      <c r="B3910" s="8" t="s">
        <v>24245</v>
      </c>
      <c r="C3910" s="8" t="s">
        <v>24246</v>
      </c>
      <c r="D3910" s="8" t="s">
        <v>7268</v>
      </c>
      <c r="E3910" s="8"/>
      <c r="F3910" s="8" t="s">
        <v>353</v>
      </c>
      <c r="G3910" s="8" t="s">
        <v>10983</v>
      </c>
      <c r="H3910" s="8" t="s">
        <v>142</v>
      </c>
      <c r="I3910" s="8" t="s">
        <v>24247</v>
      </c>
      <c r="J3910" s="8" t="s">
        <v>24248</v>
      </c>
      <c r="K3910" s="8" t="s">
        <v>1199</v>
      </c>
      <c r="L3910" s="8" t="s">
        <v>464</v>
      </c>
      <c r="M3910" s="8" t="s">
        <v>24249</v>
      </c>
      <c r="N3910" s="8" t="s">
        <v>128</v>
      </c>
      <c r="O3910" s="8" t="s">
        <v>24250</v>
      </c>
      <c r="P3910" s="8" t="s">
        <v>24251</v>
      </c>
      <c r="Q3910" s="8" t="s">
        <v>150</v>
      </c>
      <c r="R3910" s="8"/>
      <c r="S3910" s="8" t="s">
        <v>71</v>
      </c>
      <c r="T3910" s="8" t="s">
        <v>1415</v>
      </c>
      <c r="U3910" s="8" t="s">
        <v>150</v>
      </c>
      <c r="V3910" s="8" t="s">
        <v>1415</v>
      </c>
      <c r="W3910" s="8" t="s">
        <v>1415</v>
      </c>
      <c r="X3910" s="8">
        <v>2</v>
      </c>
      <c r="Y3910" s="8" t="s">
        <v>12359</v>
      </c>
      <c r="Z3910" s="8">
        <v>20</v>
      </c>
      <c r="AA3910" s="8">
        <v>0</v>
      </c>
      <c r="AB3910" s="9">
        <v>0</v>
      </c>
    </row>
    <row r="3911" spans="1:28" x14ac:dyDescent="0.2">
      <c r="A3911" s="10">
        <v>105827</v>
      </c>
      <c r="B3911" s="11" t="s">
        <v>24252</v>
      </c>
      <c r="C3911" s="11" t="s">
        <v>24253</v>
      </c>
      <c r="D3911" s="11" t="s">
        <v>904</v>
      </c>
      <c r="E3911" s="11"/>
      <c r="F3911" s="11" t="s">
        <v>353</v>
      </c>
      <c r="G3911" s="11" t="s">
        <v>24254</v>
      </c>
      <c r="H3911" s="11" t="s">
        <v>142</v>
      </c>
      <c r="I3911" s="11" t="s">
        <v>24255</v>
      </c>
      <c r="J3911" s="11" t="s">
        <v>24256</v>
      </c>
      <c r="K3911" s="11" t="s">
        <v>1199</v>
      </c>
      <c r="L3911" s="11" t="s">
        <v>464</v>
      </c>
      <c r="M3911" s="11" t="s">
        <v>24257</v>
      </c>
      <c r="N3911" s="11" t="s">
        <v>128</v>
      </c>
      <c r="O3911" s="11" t="s">
        <v>24258</v>
      </c>
      <c r="P3911" s="11" t="s">
        <v>24259</v>
      </c>
      <c r="Q3911" s="11" t="s">
        <v>150</v>
      </c>
      <c r="R3911" s="11"/>
      <c r="S3911" s="11" t="s">
        <v>71</v>
      </c>
      <c r="T3911" s="11" t="s">
        <v>1415</v>
      </c>
      <c r="U3911" s="11" t="s">
        <v>150</v>
      </c>
      <c r="V3911" s="11" t="s">
        <v>1415</v>
      </c>
      <c r="W3911" s="11" t="s">
        <v>1415</v>
      </c>
      <c r="X3911" s="11">
        <v>2</v>
      </c>
      <c r="Y3911" s="11" t="s">
        <v>12359</v>
      </c>
      <c r="Z3911" s="11">
        <v>20</v>
      </c>
      <c r="AA3911" s="11">
        <v>0</v>
      </c>
      <c r="AB3911" s="12">
        <v>0</v>
      </c>
    </row>
    <row r="3912" spans="1:28" x14ac:dyDescent="0.2">
      <c r="A3912" s="7">
        <v>28691</v>
      </c>
      <c r="B3912" s="8" t="s">
        <v>24260</v>
      </c>
      <c r="C3912" s="8" t="s">
        <v>6823</v>
      </c>
      <c r="D3912" s="8" t="s">
        <v>24261</v>
      </c>
      <c r="E3912" s="8"/>
      <c r="F3912" s="8" t="s">
        <v>24262</v>
      </c>
      <c r="G3912" s="8" t="s">
        <v>1253</v>
      </c>
      <c r="H3912" s="8" t="s">
        <v>142</v>
      </c>
      <c r="I3912" s="8" t="s">
        <v>24263</v>
      </c>
      <c r="J3912" s="8" t="s">
        <v>24264</v>
      </c>
      <c r="K3912" s="8" t="s">
        <v>1199</v>
      </c>
      <c r="L3912" s="8" t="s">
        <v>464</v>
      </c>
      <c r="M3912" s="8" t="s">
        <v>24265</v>
      </c>
      <c r="N3912" s="8" t="s">
        <v>128</v>
      </c>
      <c r="O3912" s="8" t="s">
        <v>24266</v>
      </c>
      <c r="P3912" s="8" t="s">
        <v>24267</v>
      </c>
      <c r="Q3912" s="8" t="s">
        <v>150</v>
      </c>
      <c r="R3912" s="8"/>
      <c r="S3912" s="8" t="s">
        <v>71</v>
      </c>
      <c r="T3912" s="8" t="s">
        <v>1415</v>
      </c>
      <c r="U3912" s="8" t="s">
        <v>150</v>
      </c>
      <c r="V3912" s="8" t="s">
        <v>1415</v>
      </c>
      <c r="W3912" s="8" t="s">
        <v>1415</v>
      </c>
      <c r="X3912" s="8">
        <v>2</v>
      </c>
      <c r="Y3912" s="8" t="s">
        <v>12359</v>
      </c>
      <c r="Z3912" s="8">
        <v>20</v>
      </c>
      <c r="AA3912" s="8">
        <v>0</v>
      </c>
      <c r="AB3912" s="9">
        <v>0</v>
      </c>
    </row>
    <row r="3913" spans="1:28" x14ac:dyDescent="0.2">
      <c r="A3913" s="10">
        <v>92312</v>
      </c>
      <c r="B3913" s="11" t="s">
        <v>24268</v>
      </c>
      <c r="C3913" s="11" t="s">
        <v>10139</v>
      </c>
      <c r="D3913" s="11" t="s">
        <v>1064</v>
      </c>
      <c r="E3913" s="11"/>
      <c r="F3913" s="11" t="s">
        <v>10140</v>
      </c>
      <c r="G3913" s="11" t="s">
        <v>4675</v>
      </c>
      <c r="H3913" s="11" t="s">
        <v>191</v>
      </c>
      <c r="I3913" s="11" t="s">
        <v>10141</v>
      </c>
      <c r="J3913" s="11" t="s">
        <v>24269</v>
      </c>
      <c r="K3913" s="11" t="s">
        <v>194</v>
      </c>
      <c r="L3913" s="11" t="s">
        <v>163</v>
      </c>
      <c r="M3913" s="11" t="s">
        <v>24270</v>
      </c>
      <c r="N3913" s="11" t="s">
        <v>128</v>
      </c>
      <c r="O3913" s="11" t="s">
        <v>24271</v>
      </c>
      <c r="P3913" s="11" t="s">
        <v>24272</v>
      </c>
      <c r="Q3913" s="11" t="s">
        <v>150</v>
      </c>
      <c r="R3913" s="11"/>
      <c r="S3913" s="11" t="s">
        <v>71</v>
      </c>
      <c r="T3913" s="11" t="s">
        <v>5007</v>
      </c>
      <c r="U3913" s="11" t="s">
        <v>150</v>
      </c>
      <c r="V3913" s="11" t="s">
        <v>5007</v>
      </c>
      <c r="W3913" s="11" t="s">
        <v>5007</v>
      </c>
      <c r="X3913" s="11">
        <v>2</v>
      </c>
      <c r="Y3913" s="11" t="s">
        <v>12359</v>
      </c>
      <c r="Z3913" s="11">
        <v>20</v>
      </c>
      <c r="AA3913" s="11">
        <v>0</v>
      </c>
      <c r="AB3913" s="12">
        <v>0</v>
      </c>
    </row>
    <row r="3914" spans="1:28" x14ac:dyDescent="0.2">
      <c r="A3914" s="7">
        <v>106049</v>
      </c>
      <c r="B3914" s="8" t="s">
        <v>24273</v>
      </c>
      <c r="C3914" s="8" t="s">
        <v>24274</v>
      </c>
      <c r="D3914" s="8" t="s">
        <v>7569</v>
      </c>
      <c r="E3914" s="8"/>
      <c r="F3914" s="8" t="s">
        <v>24275</v>
      </c>
      <c r="G3914" s="8" t="s">
        <v>4675</v>
      </c>
      <c r="H3914" s="8" t="s">
        <v>191</v>
      </c>
      <c r="I3914" s="8" t="s">
        <v>24276</v>
      </c>
      <c r="J3914" s="8" t="s">
        <v>24277</v>
      </c>
      <c r="K3914" s="8" t="s">
        <v>194</v>
      </c>
      <c r="L3914" s="8" t="s">
        <v>163</v>
      </c>
      <c r="M3914" s="8" t="s">
        <v>24278</v>
      </c>
      <c r="N3914" s="8" t="s">
        <v>128</v>
      </c>
      <c r="O3914" s="8" t="s">
        <v>24279</v>
      </c>
      <c r="P3914" s="8" t="s">
        <v>24280</v>
      </c>
      <c r="Q3914" s="8" t="s">
        <v>150</v>
      </c>
      <c r="R3914" s="8"/>
      <c r="S3914" s="8" t="s">
        <v>71</v>
      </c>
      <c r="T3914" s="8" t="s">
        <v>5007</v>
      </c>
      <c r="U3914" s="8" t="s">
        <v>150</v>
      </c>
      <c r="V3914" s="8" t="s">
        <v>5007</v>
      </c>
      <c r="W3914" s="8" t="s">
        <v>5007</v>
      </c>
      <c r="X3914" s="8">
        <v>2</v>
      </c>
      <c r="Y3914" s="8" t="s">
        <v>12359</v>
      </c>
      <c r="Z3914" s="8">
        <v>20</v>
      </c>
      <c r="AA3914" s="8">
        <v>0</v>
      </c>
      <c r="AB3914" s="9">
        <v>0</v>
      </c>
    </row>
    <row r="3915" spans="1:28" x14ac:dyDescent="0.2">
      <c r="A3915" s="10">
        <v>28748</v>
      </c>
      <c r="B3915" s="11" t="s">
        <v>24281</v>
      </c>
      <c r="C3915" s="11" t="s">
        <v>19103</v>
      </c>
      <c r="D3915" s="11" t="s">
        <v>10406</v>
      </c>
      <c r="E3915" s="11"/>
      <c r="F3915" s="11" t="s">
        <v>353</v>
      </c>
      <c r="G3915" s="11" t="s">
        <v>11130</v>
      </c>
      <c r="H3915" s="11" t="s">
        <v>704</v>
      </c>
      <c r="I3915" s="11"/>
      <c r="J3915" s="11" t="s">
        <v>24282</v>
      </c>
      <c r="K3915" s="11" t="s">
        <v>850</v>
      </c>
      <c r="L3915" s="11" t="s">
        <v>126</v>
      </c>
      <c r="M3915" s="11" t="s">
        <v>24283</v>
      </c>
      <c r="N3915" s="11" t="s">
        <v>128</v>
      </c>
      <c r="O3915" s="11"/>
      <c r="P3915" s="11"/>
      <c r="Q3915" s="11" t="s">
        <v>150</v>
      </c>
      <c r="R3915" s="11"/>
      <c r="S3915" s="11" t="s">
        <v>71</v>
      </c>
      <c r="T3915" s="11" t="s">
        <v>24284</v>
      </c>
      <c r="U3915" s="11" t="s">
        <v>150</v>
      </c>
      <c r="V3915" s="11" t="s">
        <v>24284</v>
      </c>
      <c r="W3915" s="11" t="s">
        <v>24284</v>
      </c>
      <c r="X3915" s="11">
        <v>2</v>
      </c>
      <c r="Y3915" s="11" t="s">
        <v>12359</v>
      </c>
      <c r="Z3915" s="11">
        <v>20</v>
      </c>
      <c r="AA3915" s="11">
        <v>0</v>
      </c>
      <c r="AB3915" s="12">
        <v>0</v>
      </c>
    </row>
    <row r="3916" spans="1:28" x14ac:dyDescent="0.2">
      <c r="A3916" s="7">
        <v>23613</v>
      </c>
      <c r="B3916" s="8" t="s">
        <v>24285</v>
      </c>
      <c r="C3916" s="8" t="s">
        <v>15339</v>
      </c>
      <c r="D3916" s="8" t="s">
        <v>13646</v>
      </c>
      <c r="E3916" s="8" t="s">
        <v>24286</v>
      </c>
      <c r="F3916" s="8" t="s">
        <v>353</v>
      </c>
      <c r="G3916" s="8" t="s">
        <v>5804</v>
      </c>
      <c r="H3916" s="8" t="s">
        <v>5805</v>
      </c>
      <c r="I3916" s="8" t="s">
        <v>15341</v>
      </c>
      <c r="J3916" s="8" t="s">
        <v>15342</v>
      </c>
      <c r="K3916" s="8" t="s">
        <v>274</v>
      </c>
      <c r="L3916" s="8" t="s">
        <v>163</v>
      </c>
      <c r="M3916" s="8" t="s">
        <v>24287</v>
      </c>
      <c r="N3916" s="8" t="s">
        <v>128</v>
      </c>
      <c r="O3916" s="8" t="s">
        <v>24288</v>
      </c>
      <c r="P3916" s="8" t="s">
        <v>24289</v>
      </c>
      <c r="Q3916" s="8" t="s">
        <v>150</v>
      </c>
      <c r="R3916" s="8"/>
      <c r="S3916" s="8" t="s">
        <v>13652</v>
      </c>
      <c r="T3916" s="8" t="s">
        <v>168</v>
      </c>
      <c r="U3916" s="8" t="s">
        <v>150</v>
      </c>
      <c r="V3916" s="8" t="s">
        <v>168</v>
      </c>
      <c r="W3916" s="8" t="s">
        <v>168</v>
      </c>
      <c r="X3916" s="8">
        <v>2</v>
      </c>
      <c r="Y3916" s="8" t="s">
        <v>12359</v>
      </c>
      <c r="Z3916" s="8">
        <v>20</v>
      </c>
      <c r="AA3916" s="8">
        <v>0</v>
      </c>
      <c r="AB3916" s="9">
        <v>0</v>
      </c>
    </row>
    <row r="3917" spans="1:28" x14ac:dyDescent="0.2">
      <c r="A3917" s="10">
        <v>23733</v>
      </c>
      <c r="B3917" s="11" t="s">
        <v>24290</v>
      </c>
      <c r="C3917" s="11" t="s">
        <v>18994</v>
      </c>
      <c r="D3917" s="11" t="s">
        <v>4623</v>
      </c>
      <c r="E3917" s="11" t="s">
        <v>4769</v>
      </c>
      <c r="F3917" s="11" t="s">
        <v>18995</v>
      </c>
      <c r="G3917" s="11" t="s">
        <v>18996</v>
      </c>
      <c r="H3917" s="11" t="s">
        <v>616</v>
      </c>
      <c r="I3917" s="11" t="s">
        <v>18997</v>
      </c>
      <c r="J3917" s="11" t="s">
        <v>18998</v>
      </c>
      <c r="K3917" s="11" t="s">
        <v>619</v>
      </c>
      <c r="L3917" s="11" t="s">
        <v>163</v>
      </c>
      <c r="M3917" s="11" t="s">
        <v>24291</v>
      </c>
      <c r="N3917" s="11" t="s">
        <v>128</v>
      </c>
      <c r="O3917" s="11" t="s">
        <v>24292</v>
      </c>
      <c r="P3917" s="11" t="s">
        <v>5719</v>
      </c>
      <c r="Q3917" s="11" t="s">
        <v>150</v>
      </c>
      <c r="R3917" s="11"/>
      <c r="S3917" s="11" t="s">
        <v>19002</v>
      </c>
      <c r="T3917" s="11" t="s">
        <v>168</v>
      </c>
      <c r="U3917" s="11" t="s">
        <v>150</v>
      </c>
      <c r="V3917" s="11" t="s">
        <v>168</v>
      </c>
      <c r="W3917" s="11" t="s">
        <v>168</v>
      </c>
      <c r="X3917" s="11">
        <v>2</v>
      </c>
      <c r="Y3917" s="11" t="s">
        <v>12359</v>
      </c>
      <c r="Z3917" s="11">
        <v>20</v>
      </c>
      <c r="AA3917" s="11">
        <v>0</v>
      </c>
      <c r="AB3917" s="12">
        <v>0</v>
      </c>
    </row>
    <row r="3918" spans="1:28" x14ac:dyDescent="0.2">
      <c r="A3918" s="7">
        <v>93301</v>
      </c>
      <c r="B3918" s="8" t="s">
        <v>24293</v>
      </c>
      <c r="C3918" s="8" t="s">
        <v>409</v>
      </c>
      <c r="D3918" s="8" t="s">
        <v>14844</v>
      </c>
      <c r="E3918" s="8"/>
      <c r="F3918" s="8" t="s">
        <v>353</v>
      </c>
      <c r="G3918" s="8" t="s">
        <v>24294</v>
      </c>
      <c r="H3918" s="8" t="s">
        <v>142</v>
      </c>
      <c r="I3918" s="8" t="s">
        <v>24240</v>
      </c>
      <c r="J3918" s="8" t="s">
        <v>24295</v>
      </c>
      <c r="K3918" s="8" t="s">
        <v>1199</v>
      </c>
      <c r="L3918" s="8" t="s">
        <v>464</v>
      </c>
      <c r="M3918" s="8" t="s">
        <v>24296</v>
      </c>
      <c r="N3918" s="8" t="s">
        <v>128</v>
      </c>
      <c r="O3918" s="8" t="s">
        <v>24297</v>
      </c>
      <c r="P3918" s="8" t="s">
        <v>6529</v>
      </c>
      <c r="Q3918" s="8" t="s">
        <v>150</v>
      </c>
      <c r="R3918" s="8"/>
      <c r="S3918" s="8" t="s">
        <v>71</v>
      </c>
      <c r="T3918" s="8" t="s">
        <v>168</v>
      </c>
      <c r="U3918" s="8" t="s">
        <v>150</v>
      </c>
      <c r="V3918" s="8" t="s">
        <v>168</v>
      </c>
      <c r="W3918" s="8" t="s">
        <v>168</v>
      </c>
      <c r="X3918" s="8">
        <v>2</v>
      </c>
      <c r="Y3918" s="8" t="s">
        <v>12359</v>
      </c>
      <c r="Z3918" s="8">
        <v>20</v>
      </c>
      <c r="AA3918" s="8">
        <v>0</v>
      </c>
      <c r="AB3918" s="9">
        <v>0</v>
      </c>
    </row>
    <row r="3919" spans="1:28" x14ac:dyDescent="0.2">
      <c r="A3919" s="10">
        <v>23779</v>
      </c>
      <c r="B3919" s="11" t="s">
        <v>24298</v>
      </c>
      <c r="C3919" s="11" t="s">
        <v>24299</v>
      </c>
      <c r="D3919" s="11" t="s">
        <v>7950</v>
      </c>
      <c r="E3919" s="11"/>
      <c r="F3919" s="11" t="s">
        <v>353</v>
      </c>
      <c r="G3919" s="11" t="s">
        <v>23938</v>
      </c>
      <c r="H3919" s="11" t="s">
        <v>142</v>
      </c>
      <c r="I3919" s="11" t="s">
        <v>23939</v>
      </c>
      <c r="J3919" s="11" t="s">
        <v>24300</v>
      </c>
      <c r="K3919" s="11" t="s">
        <v>717</v>
      </c>
      <c r="L3919" s="11" t="s">
        <v>464</v>
      </c>
      <c r="M3919" s="11" t="s">
        <v>24301</v>
      </c>
      <c r="N3919" s="11" t="s">
        <v>128</v>
      </c>
      <c r="O3919" s="11" t="s">
        <v>24302</v>
      </c>
      <c r="P3919" s="11" t="s">
        <v>24303</v>
      </c>
      <c r="Q3919" s="11" t="s">
        <v>150</v>
      </c>
      <c r="R3919" s="11"/>
      <c r="S3919" s="11" t="s">
        <v>71</v>
      </c>
      <c r="T3919" s="11" t="s">
        <v>168</v>
      </c>
      <c r="U3919" s="11" t="s">
        <v>150</v>
      </c>
      <c r="V3919" s="11" t="s">
        <v>168</v>
      </c>
      <c r="W3919" s="11" t="s">
        <v>168</v>
      </c>
      <c r="X3919" s="11">
        <v>2</v>
      </c>
      <c r="Y3919" s="11" t="s">
        <v>12359</v>
      </c>
      <c r="Z3919" s="11">
        <v>20</v>
      </c>
      <c r="AA3919" s="11">
        <v>0</v>
      </c>
      <c r="AB3919" s="12">
        <v>0</v>
      </c>
    </row>
    <row r="3920" spans="1:28" x14ac:dyDescent="0.2">
      <c r="A3920" s="7">
        <v>23821</v>
      </c>
      <c r="B3920" s="8" t="s">
        <v>24304</v>
      </c>
      <c r="C3920" s="8" t="s">
        <v>20280</v>
      </c>
      <c r="D3920" s="8" t="s">
        <v>14929</v>
      </c>
      <c r="E3920" s="8"/>
      <c r="F3920" s="8" t="s">
        <v>353</v>
      </c>
      <c r="G3920" s="8" t="s">
        <v>19606</v>
      </c>
      <c r="H3920" s="8" t="s">
        <v>142</v>
      </c>
      <c r="I3920" s="8" t="s">
        <v>19607</v>
      </c>
      <c r="J3920" s="8" t="s">
        <v>24305</v>
      </c>
      <c r="K3920" s="8" t="s">
        <v>1673</v>
      </c>
      <c r="L3920" s="8" t="s">
        <v>464</v>
      </c>
      <c r="M3920" s="8" t="s">
        <v>24306</v>
      </c>
      <c r="N3920" s="8" t="s">
        <v>128</v>
      </c>
      <c r="O3920" s="8" t="s">
        <v>24307</v>
      </c>
      <c r="P3920" s="8" t="s">
        <v>6395</v>
      </c>
      <c r="Q3920" s="8" t="s">
        <v>150</v>
      </c>
      <c r="R3920" s="8"/>
      <c r="S3920" s="8" t="s">
        <v>71</v>
      </c>
      <c r="T3920" s="8" t="s">
        <v>168</v>
      </c>
      <c r="U3920" s="8" t="s">
        <v>150</v>
      </c>
      <c r="V3920" s="8" t="s">
        <v>168</v>
      </c>
      <c r="W3920" s="8" t="s">
        <v>168</v>
      </c>
      <c r="X3920" s="8">
        <v>2</v>
      </c>
      <c r="Y3920" s="8" t="s">
        <v>12359</v>
      </c>
      <c r="Z3920" s="8">
        <v>20</v>
      </c>
      <c r="AA3920" s="8">
        <v>0</v>
      </c>
      <c r="AB3920" s="9">
        <v>0</v>
      </c>
    </row>
    <row r="3921" spans="1:28" x14ac:dyDescent="0.2">
      <c r="A3921" s="10">
        <v>23926</v>
      </c>
      <c r="B3921" s="11" t="s">
        <v>24308</v>
      </c>
      <c r="C3921" s="11" t="s">
        <v>11354</v>
      </c>
      <c r="D3921" s="11" t="s">
        <v>24309</v>
      </c>
      <c r="E3921" s="11"/>
      <c r="F3921" s="11" t="s">
        <v>353</v>
      </c>
      <c r="G3921" s="11" t="s">
        <v>11130</v>
      </c>
      <c r="H3921" s="11" t="s">
        <v>704</v>
      </c>
      <c r="I3921" s="11" t="s">
        <v>19576</v>
      </c>
      <c r="J3921" s="11" t="s">
        <v>24310</v>
      </c>
      <c r="K3921" s="11" t="s">
        <v>850</v>
      </c>
      <c r="L3921" s="11" t="s">
        <v>126</v>
      </c>
      <c r="M3921" s="11" t="s">
        <v>24311</v>
      </c>
      <c r="N3921" s="11" t="s">
        <v>128</v>
      </c>
      <c r="O3921" s="11" t="s">
        <v>24312</v>
      </c>
      <c r="P3921" s="11" t="s">
        <v>9743</v>
      </c>
      <c r="Q3921" s="11" t="s">
        <v>150</v>
      </c>
      <c r="R3921" s="11"/>
      <c r="S3921" s="11" t="s">
        <v>71</v>
      </c>
      <c r="T3921" s="11" t="s">
        <v>168</v>
      </c>
      <c r="U3921" s="11" t="s">
        <v>150</v>
      </c>
      <c r="V3921" s="11" t="s">
        <v>168</v>
      </c>
      <c r="W3921" s="11" t="s">
        <v>168</v>
      </c>
      <c r="X3921" s="11">
        <v>2</v>
      </c>
      <c r="Y3921" s="11" t="s">
        <v>12359</v>
      </c>
      <c r="Z3921" s="11">
        <v>20</v>
      </c>
      <c r="AA3921" s="11">
        <v>0</v>
      </c>
      <c r="AB3921" s="12">
        <v>0</v>
      </c>
    </row>
    <row r="3922" spans="1:28" x14ac:dyDescent="0.2">
      <c r="A3922" s="7">
        <v>115225</v>
      </c>
      <c r="B3922" s="8" t="s">
        <v>24313</v>
      </c>
      <c r="C3922" s="8" t="s">
        <v>24314</v>
      </c>
      <c r="D3922" s="8" t="s">
        <v>24315</v>
      </c>
      <c r="E3922" s="8"/>
      <c r="F3922" s="8" t="s">
        <v>353</v>
      </c>
      <c r="G3922" s="8" t="s">
        <v>24028</v>
      </c>
      <c r="H3922" s="8" t="s">
        <v>142</v>
      </c>
      <c r="I3922" s="8" t="s">
        <v>24316</v>
      </c>
      <c r="J3922" s="8" t="s">
        <v>24317</v>
      </c>
      <c r="K3922" s="8" t="s">
        <v>1673</v>
      </c>
      <c r="L3922" s="8" t="s">
        <v>464</v>
      </c>
      <c r="M3922" s="8" t="s">
        <v>24318</v>
      </c>
      <c r="N3922" s="8" t="s">
        <v>128</v>
      </c>
      <c r="O3922" s="8" t="s">
        <v>24319</v>
      </c>
      <c r="P3922" s="8" t="s">
        <v>18049</v>
      </c>
      <c r="Q3922" s="8" t="s">
        <v>150</v>
      </c>
      <c r="R3922" s="8"/>
      <c r="S3922" s="8" t="s">
        <v>71</v>
      </c>
      <c r="T3922" s="8" t="s">
        <v>168</v>
      </c>
      <c r="U3922" s="8" t="s">
        <v>150</v>
      </c>
      <c r="V3922" s="8" t="s">
        <v>168</v>
      </c>
      <c r="W3922" s="8" t="s">
        <v>168</v>
      </c>
      <c r="X3922" s="8">
        <v>2</v>
      </c>
      <c r="Y3922" s="8" t="s">
        <v>12359</v>
      </c>
      <c r="Z3922" s="8">
        <v>20</v>
      </c>
      <c r="AA3922" s="8">
        <v>0</v>
      </c>
      <c r="AB3922" s="9">
        <v>0</v>
      </c>
    </row>
    <row r="3923" spans="1:28" x14ac:dyDescent="0.2">
      <c r="A3923" s="10">
        <v>240288</v>
      </c>
      <c r="B3923" s="11" t="s">
        <v>24320</v>
      </c>
      <c r="C3923" s="11" t="s">
        <v>5879</v>
      </c>
      <c r="D3923" s="11" t="s">
        <v>17832</v>
      </c>
      <c r="E3923" s="11"/>
      <c r="F3923" s="11" t="s">
        <v>353</v>
      </c>
      <c r="G3923" s="11" t="s">
        <v>24081</v>
      </c>
      <c r="H3923" s="11" t="s">
        <v>704</v>
      </c>
      <c r="I3923" s="11" t="s">
        <v>24082</v>
      </c>
      <c r="J3923" s="11" t="s">
        <v>24321</v>
      </c>
      <c r="K3923" s="11" t="s">
        <v>707</v>
      </c>
      <c r="L3923" s="11" t="s">
        <v>126</v>
      </c>
      <c r="M3923" s="11" t="s">
        <v>24322</v>
      </c>
      <c r="N3923" s="11" t="s">
        <v>128</v>
      </c>
      <c r="O3923" s="11" t="s">
        <v>24323</v>
      </c>
      <c r="P3923" s="11" t="s">
        <v>24324</v>
      </c>
      <c r="Q3923" s="11" t="s">
        <v>150</v>
      </c>
      <c r="R3923" s="11"/>
      <c r="S3923" s="11" t="s">
        <v>71</v>
      </c>
      <c r="T3923" s="11" t="s">
        <v>168</v>
      </c>
      <c r="U3923" s="11" t="s">
        <v>150</v>
      </c>
      <c r="V3923" s="11" t="s">
        <v>168</v>
      </c>
      <c r="W3923" s="11" t="s">
        <v>168</v>
      </c>
      <c r="X3923" s="11">
        <v>2</v>
      </c>
      <c r="Y3923" s="11" t="s">
        <v>12359</v>
      </c>
      <c r="Z3923" s="11">
        <v>20</v>
      </c>
      <c r="AA3923" s="11">
        <v>0</v>
      </c>
      <c r="AB3923" s="12">
        <v>0</v>
      </c>
    </row>
    <row r="3924" spans="1:28" x14ac:dyDescent="0.2">
      <c r="A3924" s="7">
        <v>85150</v>
      </c>
      <c r="B3924" s="8" t="s">
        <v>24325</v>
      </c>
      <c r="C3924" s="8" t="s">
        <v>20914</v>
      </c>
      <c r="D3924" s="8" t="s">
        <v>2353</v>
      </c>
      <c r="E3924" s="8"/>
      <c r="F3924" s="8" t="s">
        <v>6430</v>
      </c>
      <c r="G3924" s="8" t="s">
        <v>20915</v>
      </c>
      <c r="H3924" s="8" t="s">
        <v>142</v>
      </c>
      <c r="I3924" s="8" t="s">
        <v>20916</v>
      </c>
      <c r="J3924" s="8" t="s">
        <v>24326</v>
      </c>
      <c r="K3924" s="8" t="s">
        <v>1199</v>
      </c>
      <c r="L3924" s="8" t="s">
        <v>464</v>
      </c>
      <c r="M3924" s="8" t="s">
        <v>24327</v>
      </c>
      <c r="N3924" s="8" t="s">
        <v>128</v>
      </c>
      <c r="O3924" s="8" t="s">
        <v>24328</v>
      </c>
      <c r="P3924" s="8" t="s">
        <v>11039</v>
      </c>
      <c r="Q3924" s="8" t="s">
        <v>150</v>
      </c>
      <c r="R3924" s="8"/>
      <c r="S3924" s="8" t="s">
        <v>71</v>
      </c>
      <c r="T3924" s="8" t="s">
        <v>168</v>
      </c>
      <c r="U3924" s="8" t="s">
        <v>150</v>
      </c>
      <c r="V3924" s="8" t="s">
        <v>168</v>
      </c>
      <c r="W3924" s="8" t="s">
        <v>168</v>
      </c>
      <c r="X3924" s="8">
        <v>2</v>
      </c>
      <c r="Y3924" s="8" t="s">
        <v>12359</v>
      </c>
      <c r="Z3924" s="8">
        <v>20</v>
      </c>
      <c r="AA3924" s="8">
        <v>0</v>
      </c>
      <c r="AB3924" s="9">
        <v>0</v>
      </c>
    </row>
    <row r="3925" spans="1:28" x14ac:dyDescent="0.2">
      <c r="A3925" s="10">
        <v>23887</v>
      </c>
      <c r="B3925" s="11" t="s">
        <v>24329</v>
      </c>
      <c r="C3925" s="11" t="s">
        <v>24330</v>
      </c>
      <c r="D3925" s="11" t="s">
        <v>5600</v>
      </c>
      <c r="E3925" s="11"/>
      <c r="F3925" s="11" t="s">
        <v>24331</v>
      </c>
      <c r="G3925" s="11" t="s">
        <v>24332</v>
      </c>
      <c r="H3925" s="11" t="s">
        <v>847</v>
      </c>
      <c r="I3925" s="11" t="s">
        <v>24333</v>
      </c>
      <c r="J3925" s="11" t="s">
        <v>24334</v>
      </c>
      <c r="K3925" s="11" t="s">
        <v>1091</v>
      </c>
      <c r="L3925" s="11" t="s">
        <v>126</v>
      </c>
      <c r="M3925" s="11" t="s">
        <v>24335</v>
      </c>
      <c r="N3925" s="11" t="s">
        <v>128</v>
      </c>
      <c r="O3925" s="11" t="s">
        <v>24336</v>
      </c>
      <c r="P3925" s="11" t="s">
        <v>24337</v>
      </c>
      <c r="Q3925" s="11" t="s">
        <v>150</v>
      </c>
      <c r="R3925" s="11"/>
      <c r="S3925" s="11" t="s">
        <v>71</v>
      </c>
      <c r="T3925" s="11" t="s">
        <v>168</v>
      </c>
      <c r="U3925" s="11" t="s">
        <v>150</v>
      </c>
      <c r="V3925" s="11" t="s">
        <v>168</v>
      </c>
      <c r="W3925" s="11" t="s">
        <v>168</v>
      </c>
      <c r="X3925" s="11">
        <v>2</v>
      </c>
      <c r="Y3925" s="11" t="s">
        <v>12359</v>
      </c>
      <c r="Z3925" s="11">
        <v>20</v>
      </c>
      <c r="AA3925" s="11">
        <v>0</v>
      </c>
      <c r="AB3925" s="12">
        <v>0</v>
      </c>
    </row>
    <row r="3926" spans="1:28" x14ac:dyDescent="0.2">
      <c r="A3926" s="7">
        <v>107361</v>
      </c>
      <c r="B3926" s="8" t="s">
        <v>24338</v>
      </c>
      <c r="C3926" s="8" t="s">
        <v>5009</v>
      </c>
      <c r="D3926" s="8" t="s">
        <v>3134</v>
      </c>
      <c r="E3926" s="8"/>
      <c r="F3926" s="8" t="s">
        <v>5011</v>
      </c>
      <c r="G3926" s="8" t="s">
        <v>5012</v>
      </c>
      <c r="H3926" s="8" t="s">
        <v>301</v>
      </c>
      <c r="I3926" s="8" t="s">
        <v>24339</v>
      </c>
      <c r="J3926" s="8" t="s">
        <v>24340</v>
      </c>
      <c r="K3926" s="8" t="s">
        <v>228</v>
      </c>
      <c r="L3926" s="8" t="s">
        <v>229</v>
      </c>
      <c r="M3926" s="8" t="s">
        <v>24341</v>
      </c>
      <c r="N3926" s="8" t="s">
        <v>128</v>
      </c>
      <c r="O3926" s="8" t="s">
        <v>24342</v>
      </c>
      <c r="P3926" s="8"/>
      <c r="Q3926" s="8" t="s">
        <v>150</v>
      </c>
      <c r="R3926" s="8"/>
      <c r="S3926" s="8" t="s">
        <v>71</v>
      </c>
      <c r="T3926" s="8" t="s">
        <v>5674</v>
      </c>
      <c r="U3926" s="8" t="s">
        <v>150</v>
      </c>
      <c r="V3926" s="8" t="s">
        <v>5674</v>
      </c>
      <c r="W3926" s="8" t="s">
        <v>5674</v>
      </c>
      <c r="X3926" s="8">
        <v>2</v>
      </c>
      <c r="Y3926" s="8" t="s">
        <v>12359</v>
      </c>
      <c r="Z3926" s="8">
        <v>20</v>
      </c>
      <c r="AA3926" s="8">
        <v>0</v>
      </c>
      <c r="AB3926" s="9">
        <v>0</v>
      </c>
    </row>
    <row r="3927" spans="1:28" x14ac:dyDescent="0.2">
      <c r="A3927" s="10">
        <v>125695</v>
      </c>
      <c r="B3927" s="11" t="s">
        <v>24343</v>
      </c>
      <c r="C3927" s="11" t="s">
        <v>24344</v>
      </c>
      <c r="D3927" s="11" t="s">
        <v>12730</v>
      </c>
      <c r="E3927" s="11"/>
      <c r="F3927" s="11" t="s">
        <v>353</v>
      </c>
      <c r="G3927" s="11" t="s">
        <v>12297</v>
      </c>
      <c r="H3927" s="11" t="s">
        <v>2511</v>
      </c>
      <c r="I3927" s="11" t="s">
        <v>24345</v>
      </c>
      <c r="J3927" s="11" t="s">
        <v>24346</v>
      </c>
      <c r="K3927" s="11" t="s">
        <v>1562</v>
      </c>
      <c r="L3927" s="11" t="s">
        <v>229</v>
      </c>
      <c r="M3927" s="11" t="s">
        <v>24347</v>
      </c>
      <c r="N3927" s="11" t="s">
        <v>128</v>
      </c>
      <c r="O3927" s="11" t="s">
        <v>24348</v>
      </c>
      <c r="P3927" s="11" t="s">
        <v>24349</v>
      </c>
      <c r="Q3927" s="11" t="s">
        <v>150</v>
      </c>
      <c r="R3927" s="11"/>
      <c r="S3927" s="11" t="s">
        <v>71</v>
      </c>
      <c r="T3927" s="11" t="s">
        <v>1738</v>
      </c>
      <c r="U3927" s="11" t="s">
        <v>150</v>
      </c>
      <c r="V3927" s="11" t="s">
        <v>1738</v>
      </c>
      <c r="W3927" s="11" t="s">
        <v>1738</v>
      </c>
      <c r="X3927" s="11">
        <v>2</v>
      </c>
      <c r="Y3927" s="11" t="s">
        <v>12359</v>
      </c>
      <c r="Z3927" s="11">
        <v>20</v>
      </c>
      <c r="AA3927" s="11">
        <v>0</v>
      </c>
      <c r="AB3927" s="12">
        <v>0</v>
      </c>
    </row>
    <row r="3928" spans="1:28" x14ac:dyDescent="0.2">
      <c r="A3928" s="7">
        <v>125874</v>
      </c>
      <c r="B3928" s="8" t="s">
        <v>24350</v>
      </c>
      <c r="C3928" s="8" t="s">
        <v>23802</v>
      </c>
      <c r="D3928" s="8" t="s">
        <v>18342</v>
      </c>
      <c r="E3928" s="8"/>
      <c r="F3928" s="8" t="s">
        <v>20159</v>
      </c>
      <c r="G3928" s="8" t="s">
        <v>4270</v>
      </c>
      <c r="H3928" s="8" t="s">
        <v>4271</v>
      </c>
      <c r="I3928" s="8" t="s">
        <v>23845</v>
      </c>
      <c r="J3928" s="8" t="s">
        <v>23806</v>
      </c>
      <c r="K3928" s="8" t="s">
        <v>619</v>
      </c>
      <c r="L3928" s="8" t="s">
        <v>163</v>
      </c>
      <c r="M3928" s="8" t="s">
        <v>24351</v>
      </c>
      <c r="N3928" s="8" t="s">
        <v>128</v>
      </c>
      <c r="O3928" s="8" t="s">
        <v>24352</v>
      </c>
      <c r="P3928" s="8" t="s">
        <v>19186</v>
      </c>
      <c r="Q3928" s="8" t="s">
        <v>150</v>
      </c>
      <c r="R3928" s="8"/>
      <c r="S3928" s="8" t="s">
        <v>23810</v>
      </c>
      <c r="T3928" s="8" t="s">
        <v>1738</v>
      </c>
      <c r="U3928" s="8" t="s">
        <v>150</v>
      </c>
      <c r="V3928" s="8" t="s">
        <v>1738</v>
      </c>
      <c r="W3928" s="8" t="s">
        <v>1738</v>
      </c>
      <c r="X3928" s="8">
        <v>2</v>
      </c>
      <c r="Y3928" s="8" t="s">
        <v>12359</v>
      </c>
      <c r="Z3928" s="8">
        <v>20</v>
      </c>
      <c r="AA3928" s="8">
        <v>0</v>
      </c>
      <c r="AB3928" s="9">
        <v>0</v>
      </c>
    </row>
    <row r="3929" spans="1:28" x14ac:dyDescent="0.2">
      <c r="A3929" s="10">
        <v>24884</v>
      </c>
      <c r="B3929" s="11" t="s">
        <v>24353</v>
      </c>
      <c r="C3929" s="11" t="s">
        <v>15007</v>
      </c>
      <c r="D3929" s="11" t="s">
        <v>9562</v>
      </c>
      <c r="E3929" s="11"/>
      <c r="F3929" s="11" t="s">
        <v>24354</v>
      </c>
      <c r="G3929" s="11" t="s">
        <v>328</v>
      </c>
      <c r="H3929" s="11" t="s">
        <v>329</v>
      </c>
      <c r="I3929" s="11" t="s">
        <v>9383</v>
      </c>
      <c r="J3929" s="11" t="s">
        <v>24355</v>
      </c>
      <c r="K3929" s="11" t="s">
        <v>332</v>
      </c>
      <c r="L3929" s="11" t="s">
        <v>333</v>
      </c>
      <c r="M3929" s="11" t="s">
        <v>24356</v>
      </c>
      <c r="N3929" s="11" t="s">
        <v>128</v>
      </c>
      <c r="O3929" s="11" t="s">
        <v>24357</v>
      </c>
      <c r="P3929" s="11" t="s">
        <v>16512</v>
      </c>
      <c r="Q3929" s="11" t="s">
        <v>150</v>
      </c>
      <c r="R3929" s="11"/>
      <c r="S3929" s="11" t="s">
        <v>9388</v>
      </c>
      <c r="T3929" s="11" t="s">
        <v>1738</v>
      </c>
      <c r="U3929" s="11" t="s">
        <v>150</v>
      </c>
      <c r="V3929" s="11" t="s">
        <v>1738</v>
      </c>
      <c r="W3929" s="11" t="s">
        <v>1738</v>
      </c>
      <c r="X3929" s="11">
        <v>2</v>
      </c>
      <c r="Y3929" s="11" t="s">
        <v>12359</v>
      </c>
      <c r="Z3929" s="11">
        <v>20</v>
      </c>
      <c r="AA3929" s="11">
        <v>0</v>
      </c>
      <c r="AB3929" s="12">
        <v>0</v>
      </c>
    </row>
    <row r="3930" spans="1:28" x14ac:dyDescent="0.2">
      <c r="A3930" s="7">
        <v>86609</v>
      </c>
      <c r="B3930" s="8" t="s">
        <v>24358</v>
      </c>
      <c r="C3930" s="8" t="s">
        <v>20619</v>
      </c>
      <c r="D3930" s="8" t="s">
        <v>23958</v>
      </c>
      <c r="E3930" s="8"/>
      <c r="F3930" s="8" t="s">
        <v>24359</v>
      </c>
      <c r="G3930" s="8" t="s">
        <v>23986</v>
      </c>
      <c r="H3930" s="8" t="s">
        <v>704</v>
      </c>
      <c r="I3930" s="8" t="s">
        <v>23960</v>
      </c>
      <c r="J3930" s="8" t="s">
        <v>24360</v>
      </c>
      <c r="K3930" s="8" t="s">
        <v>707</v>
      </c>
      <c r="L3930" s="8" t="s">
        <v>126</v>
      </c>
      <c r="M3930" s="8" t="s">
        <v>24361</v>
      </c>
      <c r="N3930" s="8" t="s">
        <v>128</v>
      </c>
      <c r="O3930" s="8" t="s">
        <v>24362</v>
      </c>
      <c r="P3930" s="8" t="s">
        <v>24363</v>
      </c>
      <c r="Q3930" s="8" t="s">
        <v>150</v>
      </c>
      <c r="R3930" s="8"/>
      <c r="S3930" s="8" t="s">
        <v>23965</v>
      </c>
      <c r="T3930" s="8" t="s">
        <v>1738</v>
      </c>
      <c r="U3930" s="8" t="s">
        <v>150</v>
      </c>
      <c r="V3930" s="8" t="s">
        <v>1738</v>
      </c>
      <c r="W3930" s="8" t="s">
        <v>1738</v>
      </c>
      <c r="X3930" s="8">
        <v>2</v>
      </c>
      <c r="Y3930" s="8" t="s">
        <v>12359</v>
      </c>
      <c r="Z3930" s="8">
        <v>20</v>
      </c>
      <c r="AA3930" s="8">
        <v>0</v>
      </c>
      <c r="AB3930" s="9">
        <v>0</v>
      </c>
    </row>
    <row r="3931" spans="1:28" x14ac:dyDescent="0.2">
      <c r="A3931" s="10">
        <v>22237</v>
      </c>
      <c r="B3931" s="11" t="s">
        <v>24364</v>
      </c>
      <c r="C3931" s="11" t="s">
        <v>3928</v>
      </c>
      <c r="D3931" s="11" t="s">
        <v>7126</v>
      </c>
      <c r="E3931" s="11" t="s">
        <v>281</v>
      </c>
      <c r="F3931" s="11" t="s">
        <v>353</v>
      </c>
      <c r="G3931" s="11" t="s">
        <v>3929</v>
      </c>
      <c r="H3931" s="11" t="s">
        <v>704</v>
      </c>
      <c r="I3931" s="11" t="s">
        <v>7933</v>
      </c>
      <c r="J3931" s="11" t="s">
        <v>24365</v>
      </c>
      <c r="K3931" s="11" t="s">
        <v>850</v>
      </c>
      <c r="L3931" s="11" t="s">
        <v>126</v>
      </c>
      <c r="M3931" s="11" t="s">
        <v>24366</v>
      </c>
      <c r="N3931" s="11" t="s">
        <v>128</v>
      </c>
      <c r="O3931" s="11" t="s">
        <v>24367</v>
      </c>
      <c r="P3931" s="11"/>
      <c r="Q3931" s="11" t="s">
        <v>740</v>
      </c>
      <c r="R3931" s="11"/>
      <c r="S3931" s="11" t="s">
        <v>71</v>
      </c>
      <c r="T3931" s="11" t="s">
        <v>1745</v>
      </c>
      <c r="U3931" s="11" t="s">
        <v>134</v>
      </c>
      <c r="V3931" s="11" t="s">
        <v>740</v>
      </c>
      <c r="W3931" s="11" t="s">
        <v>1745</v>
      </c>
      <c r="X3931" s="11">
        <v>2</v>
      </c>
      <c r="Y3931" s="11" t="s">
        <v>12359</v>
      </c>
      <c r="Z3931" s="11">
        <v>20</v>
      </c>
      <c r="AA3931" s="11">
        <v>0</v>
      </c>
      <c r="AB3931" s="12">
        <v>0</v>
      </c>
    </row>
    <row r="3932" spans="1:28" x14ac:dyDescent="0.2">
      <c r="A3932" s="7">
        <v>20710</v>
      </c>
      <c r="B3932" s="8" t="s">
        <v>24368</v>
      </c>
      <c r="C3932" s="8" t="s">
        <v>1610</v>
      </c>
      <c r="D3932" s="8" t="s">
        <v>1611</v>
      </c>
      <c r="E3932" s="8" t="s">
        <v>13867</v>
      </c>
      <c r="F3932" s="8" t="s">
        <v>1613</v>
      </c>
      <c r="G3932" s="8" t="s">
        <v>1614</v>
      </c>
      <c r="H3932" s="8" t="s">
        <v>142</v>
      </c>
      <c r="I3932" s="8" t="s">
        <v>1615</v>
      </c>
      <c r="J3932" s="8" t="s">
        <v>13423</v>
      </c>
      <c r="K3932" s="8" t="s">
        <v>717</v>
      </c>
      <c r="L3932" s="8" t="s">
        <v>464</v>
      </c>
      <c r="M3932" s="8" t="s">
        <v>24369</v>
      </c>
      <c r="N3932" s="8" t="s">
        <v>4651</v>
      </c>
      <c r="O3932" s="8" t="s">
        <v>24370</v>
      </c>
      <c r="P3932" s="8" t="s">
        <v>24371</v>
      </c>
      <c r="Q3932" s="8" t="s">
        <v>740</v>
      </c>
      <c r="R3932" s="8"/>
      <c r="S3932" s="8" t="s">
        <v>1620</v>
      </c>
      <c r="T3932" s="8" t="s">
        <v>1745</v>
      </c>
      <c r="U3932" s="8" t="s">
        <v>134</v>
      </c>
      <c r="V3932" s="8" t="s">
        <v>740</v>
      </c>
      <c r="W3932" s="8" t="s">
        <v>1745</v>
      </c>
      <c r="X3932" s="8">
        <v>2</v>
      </c>
      <c r="Y3932" s="8" t="s">
        <v>12359</v>
      </c>
      <c r="Z3932" s="8">
        <v>20</v>
      </c>
      <c r="AA3932" s="8">
        <v>0</v>
      </c>
      <c r="AB3932" s="9">
        <v>0</v>
      </c>
    </row>
    <row r="3933" spans="1:28" x14ac:dyDescent="0.2">
      <c r="A3933" s="10">
        <v>25318</v>
      </c>
      <c r="B3933" s="11" t="s">
        <v>24372</v>
      </c>
      <c r="C3933" s="11" t="s">
        <v>7871</v>
      </c>
      <c r="D3933" s="11" t="s">
        <v>18250</v>
      </c>
      <c r="E3933" s="11" t="s">
        <v>24373</v>
      </c>
      <c r="F3933" s="11" t="s">
        <v>8101</v>
      </c>
      <c r="G3933" s="11" t="s">
        <v>2423</v>
      </c>
      <c r="H3933" s="11" t="s">
        <v>557</v>
      </c>
      <c r="I3933" s="11" t="s">
        <v>18252</v>
      </c>
      <c r="J3933" s="11" t="s">
        <v>18253</v>
      </c>
      <c r="K3933" s="11" t="s">
        <v>1562</v>
      </c>
      <c r="L3933" s="11" t="s">
        <v>229</v>
      </c>
      <c r="M3933" s="11" t="s">
        <v>24374</v>
      </c>
      <c r="N3933" s="11" t="s">
        <v>128</v>
      </c>
      <c r="O3933" s="11" t="s">
        <v>24375</v>
      </c>
      <c r="P3933" s="11" t="s">
        <v>24376</v>
      </c>
      <c r="Q3933" s="11" t="s">
        <v>740</v>
      </c>
      <c r="R3933" s="11"/>
      <c r="S3933" s="11" t="s">
        <v>18257</v>
      </c>
      <c r="T3933" s="11" t="s">
        <v>1745</v>
      </c>
      <c r="U3933" s="11" t="s">
        <v>134</v>
      </c>
      <c r="V3933" s="11" t="s">
        <v>740</v>
      </c>
      <c r="W3933" s="11" t="s">
        <v>1745</v>
      </c>
      <c r="X3933" s="11">
        <v>2</v>
      </c>
      <c r="Y3933" s="11" t="s">
        <v>12359</v>
      </c>
      <c r="Z3933" s="11">
        <v>20</v>
      </c>
      <c r="AA3933" s="11">
        <v>0</v>
      </c>
      <c r="AB3933" s="12">
        <v>0</v>
      </c>
    </row>
    <row r="3934" spans="1:28" x14ac:dyDescent="0.2">
      <c r="A3934" s="7">
        <v>246109</v>
      </c>
      <c r="B3934" s="8" t="s">
        <v>24377</v>
      </c>
      <c r="C3934" s="8" t="s">
        <v>5507</v>
      </c>
      <c r="D3934" s="8" t="s">
        <v>24378</v>
      </c>
      <c r="E3934" s="8"/>
      <c r="F3934" s="8" t="s">
        <v>878</v>
      </c>
      <c r="G3934" s="8" t="s">
        <v>224</v>
      </c>
      <c r="H3934" s="8" t="s">
        <v>225</v>
      </c>
      <c r="I3934" s="8" t="s">
        <v>1005</v>
      </c>
      <c r="J3934" s="8" t="s">
        <v>880</v>
      </c>
      <c r="K3934" s="8" t="s">
        <v>228</v>
      </c>
      <c r="L3934" s="8" t="s">
        <v>229</v>
      </c>
      <c r="M3934" s="8" t="s">
        <v>24379</v>
      </c>
      <c r="N3934" s="8" t="s">
        <v>128</v>
      </c>
      <c r="O3934" s="8" t="s">
        <v>24380</v>
      </c>
      <c r="P3934" s="8" t="s">
        <v>24381</v>
      </c>
      <c r="Q3934" s="8" t="s">
        <v>740</v>
      </c>
      <c r="R3934" s="8"/>
      <c r="S3934" s="8" t="s">
        <v>884</v>
      </c>
      <c r="T3934" s="8" t="s">
        <v>1745</v>
      </c>
      <c r="U3934" s="8" t="s">
        <v>134</v>
      </c>
      <c r="V3934" s="8" t="s">
        <v>740</v>
      </c>
      <c r="W3934" s="8" t="s">
        <v>1745</v>
      </c>
      <c r="X3934" s="8">
        <v>2</v>
      </c>
      <c r="Y3934" s="8" t="s">
        <v>12359</v>
      </c>
      <c r="Z3934" s="8">
        <v>20</v>
      </c>
      <c r="AA3934" s="8">
        <v>1</v>
      </c>
      <c r="AB3934" s="9">
        <v>0</v>
      </c>
    </row>
    <row r="3935" spans="1:28" x14ac:dyDescent="0.2">
      <c r="A3935" s="10">
        <v>246111</v>
      </c>
      <c r="B3935" s="11" t="s">
        <v>24382</v>
      </c>
      <c r="C3935" s="11" t="s">
        <v>8399</v>
      </c>
      <c r="D3935" s="11" t="s">
        <v>15910</v>
      </c>
      <c r="E3935" s="11"/>
      <c r="F3935" s="11" t="s">
        <v>8400</v>
      </c>
      <c r="G3935" s="11" t="s">
        <v>141</v>
      </c>
      <c r="H3935" s="11" t="s">
        <v>142</v>
      </c>
      <c r="I3935" s="11" t="s">
        <v>15911</v>
      </c>
      <c r="J3935" s="11" t="s">
        <v>15912</v>
      </c>
      <c r="K3935" s="11" t="s">
        <v>584</v>
      </c>
      <c r="L3935" s="11" t="s">
        <v>146</v>
      </c>
      <c r="M3935" s="11" t="s">
        <v>24383</v>
      </c>
      <c r="N3935" s="11" t="s">
        <v>128</v>
      </c>
      <c r="O3935" s="11" t="s">
        <v>24384</v>
      </c>
      <c r="P3935" s="11" t="s">
        <v>24385</v>
      </c>
      <c r="Q3935" s="11" t="s">
        <v>740</v>
      </c>
      <c r="R3935" s="11"/>
      <c r="S3935" s="11" t="s">
        <v>15915</v>
      </c>
      <c r="T3935" s="11" t="s">
        <v>1745</v>
      </c>
      <c r="U3935" s="11" t="s">
        <v>134</v>
      </c>
      <c r="V3935" s="11" t="s">
        <v>740</v>
      </c>
      <c r="W3935" s="11" t="s">
        <v>1745</v>
      </c>
      <c r="X3935" s="11">
        <v>2</v>
      </c>
      <c r="Y3935" s="11" t="s">
        <v>12359</v>
      </c>
      <c r="Z3935" s="11">
        <v>20</v>
      </c>
      <c r="AA3935" s="11">
        <v>0</v>
      </c>
      <c r="AB3935" s="12">
        <v>0</v>
      </c>
    </row>
    <row r="3936" spans="1:28" x14ac:dyDescent="0.2">
      <c r="A3936" s="7">
        <v>31275</v>
      </c>
      <c r="B3936" s="8" t="s">
        <v>24386</v>
      </c>
      <c r="C3936" s="8" t="s">
        <v>24387</v>
      </c>
      <c r="D3936" s="8" t="s">
        <v>10163</v>
      </c>
      <c r="E3936" s="8"/>
      <c r="F3936" s="8" t="s">
        <v>353</v>
      </c>
      <c r="G3936" s="8" t="s">
        <v>23063</v>
      </c>
      <c r="H3936" s="8" t="s">
        <v>847</v>
      </c>
      <c r="I3936" s="8" t="s">
        <v>24388</v>
      </c>
      <c r="J3936" s="8" t="s">
        <v>24389</v>
      </c>
      <c r="K3936" s="8" t="s">
        <v>1091</v>
      </c>
      <c r="L3936" s="8" t="s">
        <v>126</v>
      </c>
      <c r="M3936" s="8" t="s">
        <v>24390</v>
      </c>
      <c r="N3936" s="8" t="s">
        <v>128</v>
      </c>
      <c r="O3936" s="8" t="s">
        <v>24391</v>
      </c>
      <c r="P3936" s="8"/>
      <c r="Q3936" s="8" t="s">
        <v>740</v>
      </c>
      <c r="R3936" s="8"/>
      <c r="S3936" s="8" t="s">
        <v>24392</v>
      </c>
      <c r="T3936" s="8" t="s">
        <v>1745</v>
      </c>
      <c r="U3936" s="8" t="s">
        <v>134</v>
      </c>
      <c r="V3936" s="8" t="s">
        <v>740</v>
      </c>
      <c r="W3936" s="8" t="s">
        <v>1745</v>
      </c>
      <c r="X3936" s="8">
        <v>2</v>
      </c>
      <c r="Y3936" s="8" t="s">
        <v>12359</v>
      </c>
      <c r="Z3936" s="8">
        <v>20</v>
      </c>
      <c r="AA3936" s="8">
        <v>0</v>
      </c>
      <c r="AB3936" s="9">
        <v>0</v>
      </c>
    </row>
    <row r="3937" spans="1:28" x14ac:dyDescent="0.2">
      <c r="A3937" s="10">
        <v>246105</v>
      </c>
      <c r="B3937" s="11" t="s">
        <v>24393</v>
      </c>
      <c r="C3937" s="11" t="s">
        <v>24394</v>
      </c>
      <c r="D3937" s="11" t="s">
        <v>138</v>
      </c>
      <c r="E3937" s="11" t="s">
        <v>8582</v>
      </c>
      <c r="F3937" s="11" t="s">
        <v>24395</v>
      </c>
      <c r="G3937" s="11" t="s">
        <v>224</v>
      </c>
      <c r="H3937" s="11" t="s">
        <v>225</v>
      </c>
      <c r="I3937" s="11" t="s">
        <v>24396</v>
      </c>
      <c r="J3937" s="11" t="s">
        <v>24397</v>
      </c>
      <c r="K3937" s="11" t="s">
        <v>228</v>
      </c>
      <c r="L3937" s="11" t="s">
        <v>229</v>
      </c>
      <c r="M3937" s="11" t="s">
        <v>24398</v>
      </c>
      <c r="N3937" s="11" t="s">
        <v>128</v>
      </c>
      <c r="O3937" s="11" t="s">
        <v>24399</v>
      </c>
      <c r="P3937" s="11"/>
      <c r="Q3937" s="11" t="s">
        <v>740</v>
      </c>
      <c r="R3937" s="11"/>
      <c r="S3937" s="11" t="s">
        <v>24400</v>
      </c>
      <c r="T3937" s="11" t="s">
        <v>741</v>
      </c>
      <c r="U3937" s="11" t="s">
        <v>134</v>
      </c>
      <c r="V3937" s="11" t="s">
        <v>740</v>
      </c>
      <c r="W3937" s="11" t="s">
        <v>741</v>
      </c>
      <c r="X3937" s="11">
        <v>2</v>
      </c>
      <c r="Y3937" s="11" t="s">
        <v>12359</v>
      </c>
      <c r="Z3937" s="11">
        <v>20</v>
      </c>
      <c r="AA3937" s="11">
        <v>0</v>
      </c>
      <c r="AB3937" s="12">
        <v>0</v>
      </c>
    </row>
    <row r="3938" spans="1:28" x14ac:dyDescent="0.2">
      <c r="A3938" s="7">
        <v>25159</v>
      </c>
      <c r="B3938" s="8" t="s">
        <v>24401</v>
      </c>
      <c r="C3938" s="8" t="s">
        <v>17385</v>
      </c>
      <c r="D3938" s="8" t="s">
        <v>17386</v>
      </c>
      <c r="E3938" s="8"/>
      <c r="F3938" s="8" t="s">
        <v>15668</v>
      </c>
      <c r="G3938" s="8" t="s">
        <v>2992</v>
      </c>
      <c r="H3938" s="8" t="s">
        <v>122</v>
      </c>
      <c r="I3938" s="8" t="s">
        <v>17387</v>
      </c>
      <c r="J3938" s="8" t="s">
        <v>17388</v>
      </c>
      <c r="K3938" s="8" t="s">
        <v>125</v>
      </c>
      <c r="L3938" s="8" t="s">
        <v>126</v>
      </c>
      <c r="M3938" s="8" t="s">
        <v>24402</v>
      </c>
      <c r="N3938" s="8" t="s">
        <v>128</v>
      </c>
      <c r="O3938" s="8" t="s">
        <v>24403</v>
      </c>
      <c r="P3938" s="8" t="s">
        <v>24404</v>
      </c>
      <c r="Q3938" s="8" t="s">
        <v>740</v>
      </c>
      <c r="R3938" s="8"/>
      <c r="S3938" s="8" t="s">
        <v>17392</v>
      </c>
      <c r="T3938" s="8" t="s">
        <v>741</v>
      </c>
      <c r="U3938" s="8" t="s">
        <v>134</v>
      </c>
      <c r="V3938" s="8" t="s">
        <v>740</v>
      </c>
      <c r="W3938" s="8" t="s">
        <v>741</v>
      </c>
      <c r="X3938" s="8">
        <v>2</v>
      </c>
      <c r="Y3938" s="8" t="s">
        <v>12359</v>
      </c>
      <c r="Z3938" s="8">
        <v>20</v>
      </c>
      <c r="AA3938" s="8">
        <v>0</v>
      </c>
      <c r="AB3938" s="9">
        <v>0</v>
      </c>
    </row>
    <row r="3939" spans="1:28" x14ac:dyDescent="0.2">
      <c r="A3939" s="10">
        <v>93046</v>
      </c>
      <c r="B3939" s="11" t="s">
        <v>24405</v>
      </c>
      <c r="C3939" s="11" t="s">
        <v>13591</v>
      </c>
      <c r="D3939" s="11" t="s">
        <v>4604</v>
      </c>
      <c r="E3939" s="11"/>
      <c r="F3939" s="11" t="s">
        <v>353</v>
      </c>
      <c r="G3939" s="11" t="s">
        <v>24406</v>
      </c>
      <c r="H3939" s="11" t="s">
        <v>142</v>
      </c>
      <c r="I3939" s="11" t="s">
        <v>13592</v>
      </c>
      <c r="J3939" s="11" t="s">
        <v>13593</v>
      </c>
      <c r="K3939" s="11" t="s">
        <v>1199</v>
      </c>
      <c r="L3939" s="11" t="s">
        <v>464</v>
      </c>
      <c r="M3939" s="11" t="s">
        <v>24407</v>
      </c>
      <c r="N3939" s="11" t="s">
        <v>128</v>
      </c>
      <c r="O3939" s="11" t="s">
        <v>24408</v>
      </c>
      <c r="P3939" s="11"/>
      <c r="Q3939" s="11" t="s">
        <v>249</v>
      </c>
      <c r="R3939" s="11"/>
      <c r="S3939" s="11" t="s">
        <v>13597</v>
      </c>
      <c r="T3939" s="11" t="s">
        <v>1523</v>
      </c>
      <c r="U3939" s="11" t="s">
        <v>134</v>
      </c>
      <c r="V3939" s="11" t="s">
        <v>249</v>
      </c>
      <c r="W3939" s="11" t="s">
        <v>1523</v>
      </c>
      <c r="X3939" s="11">
        <v>2</v>
      </c>
      <c r="Y3939" s="11" t="s">
        <v>12359</v>
      </c>
      <c r="Z3939" s="11">
        <v>20</v>
      </c>
      <c r="AA3939" s="11">
        <v>0</v>
      </c>
      <c r="AB3939" s="12">
        <v>0</v>
      </c>
    </row>
    <row r="3940" spans="1:28" x14ac:dyDescent="0.2">
      <c r="A3940" s="7">
        <v>31487</v>
      </c>
      <c r="B3940" s="8" t="s">
        <v>24409</v>
      </c>
      <c r="C3940" s="8" t="s">
        <v>14679</v>
      </c>
      <c r="D3940" s="8" t="s">
        <v>24410</v>
      </c>
      <c r="E3940" s="8"/>
      <c r="F3940" s="8" t="s">
        <v>353</v>
      </c>
      <c r="G3940" s="8" t="s">
        <v>1559</v>
      </c>
      <c r="H3940" s="8" t="s">
        <v>557</v>
      </c>
      <c r="I3940" s="8" t="s">
        <v>24411</v>
      </c>
      <c r="J3940" s="8" t="s">
        <v>24412</v>
      </c>
      <c r="K3940" s="8" t="s">
        <v>1562</v>
      </c>
      <c r="L3940" s="8" t="s">
        <v>229</v>
      </c>
      <c r="M3940" s="8" t="s">
        <v>24413</v>
      </c>
      <c r="N3940" s="8" t="s">
        <v>4651</v>
      </c>
      <c r="O3940" s="8" t="s">
        <v>15417</v>
      </c>
      <c r="P3940" s="8"/>
      <c r="Q3940" s="8" t="s">
        <v>249</v>
      </c>
      <c r="R3940" s="8"/>
      <c r="S3940" s="8" t="s">
        <v>71</v>
      </c>
      <c r="T3940" s="8" t="s">
        <v>1523</v>
      </c>
      <c r="U3940" s="8" t="s">
        <v>134</v>
      </c>
      <c r="V3940" s="8" t="s">
        <v>249</v>
      </c>
      <c r="W3940" s="8" t="s">
        <v>1523</v>
      </c>
      <c r="X3940" s="8">
        <v>2</v>
      </c>
      <c r="Y3940" s="8" t="s">
        <v>12359</v>
      </c>
      <c r="Z3940" s="8">
        <v>20</v>
      </c>
      <c r="AA3940" s="8">
        <v>0</v>
      </c>
      <c r="AB3940" s="9">
        <v>0</v>
      </c>
    </row>
    <row r="3941" spans="1:28" x14ac:dyDescent="0.2">
      <c r="A3941" s="10">
        <v>110256</v>
      </c>
      <c r="B3941" s="11" t="s">
        <v>24414</v>
      </c>
      <c r="C3941" s="11" t="s">
        <v>24415</v>
      </c>
      <c r="D3941" s="11" t="s">
        <v>1623</v>
      </c>
      <c r="E3941" s="11" t="s">
        <v>10671</v>
      </c>
      <c r="F3941" s="11" t="s">
        <v>20166</v>
      </c>
      <c r="G3941" s="11" t="s">
        <v>5804</v>
      </c>
      <c r="H3941" s="11" t="s">
        <v>5805</v>
      </c>
      <c r="I3941" s="11" t="s">
        <v>24416</v>
      </c>
      <c r="J3941" s="11" t="s">
        <v>24417</v>
      </c>
      <c r="K3941" s="11" t="s">
        <v>274</v>
      </c>
      <c r="L3941" s="11" t="s">
        <v>163</v>
      </c>
      <c r="M3941" s="11" t="s">
        <v>24418</v>
      </c>
      <c r="N3941" s="11" t="s">
        <v>128</v>
      </c>
      <c r="O3941" s="11" t="s">
        <v>24419</v>
      </c>
      <c r="P3941" s="11"/>
      <c r="Q3941" s="11" t="s">
        <v>150</v>
      </c>
      <c r="R3941" s="11"/>
      <c r="S3941" s="11" t="s">
        <v>71</v>
      </c>
      <c r="T3941" s="11" t="s">
        <v>8111</v>
      </c>
      <c r="U3941" s="11" t="s">
        <v>150</v>
      </c>
      <c r="V3941" s="11" t="s">
        <v>8111</v>
      </c>
      <c r="W3941" s="11" t="s">
        <v>8111</v>
      </c>
      <c r="X3941" s="11">
        <v>1</v>
      </c>
      <c r="Y3941" s="11" t="s">
        <v>12359</v>
      </c>
      <c r="Z3941" s="11">
        <v>20</v>
      </c>
      <c r="AA3941" s="11">
        <v>0</v>
      </c>
      <c r="AB3941" s="12">
        <v>0</v>
      </c>
    </row>
    <row r="3942" spans="1:28" x14ac:dyDescent="0.2">
      <c r="A3942" s="7">
        <v>240330</v>
      </c>
      <c r="B3942" s="8" t="s">
        <v>24420</v>
      </c>
      <c r="C3942" s="8" t="s">
        <v>24421</v>
      </c>
      <c r="D3942" s="8" t="s">
        <v>7458</v>
      </c>
      <c r="E3942" s="8"/>
      <c r="F3942" s="8" t="s">
        <v>353</v>
      </c>
      <c r="G3942" s="8" t="s">
        <v>24422</v>
      </c>
      <c r="H3942" s="8" t="s">
        <v>704</v>
      </c>
      <c r="I3942" s="8" t="s">
        <v>24423</v>
      </c>
      <c r="J3942" s="8" t="s">
        <v>24424</v>
      </c>
      <c r="K3942" s="8" t="s">
        <v>850</v>
      </c>
      <c r="L3942" s="8" t="s">
        <v>126</v>
      </c>
      <c r="M3942" s="8" t="s">
        <v>24425</v>
      </c>
      <c r="N3942" s="8" t="s">
        <v>128</v>
      </c>
      <c r="O3942" s="8" t="s">
        <v>24426</v>
      </c>
      <c r="P3942" s="8"/>
      <c r="Q3942" s="8" t="s">
        <v>150</v>
      </c>
      <c r="R3942" s="8"/>
      <c r="S3942" s="8" t="s">
        <v>71</v>
      </c>
      <c r="T3942" s="8" t="s">
        <v>16012</v>
      </c>
      <c r="U3942" s="8" t="s">
        <v>150</v>
      </c>
      <c r="V3942" s="8" t="s">
        <v>16012</v>
      </c>
      <c r="W3942" s="8" t="s">
        <v>16012</v>
      </c>
      <c r="X3942" s="8">
        <v>1</v>
      </c>
      <c r="Y3942" s="8" t="s">
        <v>12359</v>
      </c>
      <c r="Z3942" s="8">
        <v>20</v>
      </c>
      <c r="AA3942" s="8">
        <v>0</v>
      </c>
      <c r="AB3942" s="9">
        <v>0</v>
      </c>
    </row>
    <row r="3943" spans="1:28" x14ac:dyDescent="0.2">
      <c r="A3943" s="10">
        <v>21168</v>
      </c>
      <c r="B3943" s="11" t="s">
        <v>24427</v>
      </c>
      <c r="C3943" s="11" t="s">
        <v>24428</v>
      </c>
      <c r="D3943" s="11" t="s">
        <v>8169</v>
      </c>
      <c r="E3943" s="11" t="s">
        <v>24429</v>
      </c>
      <c r="F3943" s="11" t="s">
        <v>173</v>
      </c>
      <c r="G3943" s="11" t="s">
        <v>158</v>
      </c>
      <c r="H3943" s="11" t="s">
        <v>159</v>
      </c>
      <c r="I3943" s="11" t="s">
        <v>24430</v>
      </c>
      <c r="J3943" s="11" t="s">
        <v>24431</v>
      </c>
      <c r="K3943" s="11" t="s">
        <v>162</v>
      </c>
      <c r="L3943" s="11" t="s">
        <v>163</v>
      </c>
      <c r="M3943" s="11" t="s">
        <v>24432</v>
      </c>
      <c r="N3943" s="11" t="s">
        <v>128</v>
      </c>
      <c r="O3943" s="11" t="s">
        <v>24433</v>
      </c>
      <c r="P3943" s="11" t="s">
        <v>4860</v>
      </c>
      <c r="Q3943" s="11" t="s">
        <v>150</v>
      </c>
      <c r="R3943" s="11"/>
      <c r="S3943" s="11" t="s">
        <v>71</v>
      </c>
      <c r="T3943" s="11" t="s">
        <v>289</v>
      </c>
      <c r="U3943" s="11" t="s">
        <v>150</v>
      </c>
      <c r="V3943" s="11" t="s">
        <v>289</v>
      </c>
      <c r="W3943" s="11" t="s">
        <v>289</v>
      </c>
      <c r="X3943" s="11">
        <v>1</v>
      </c>
      <c r="Y3943" s="11" t="s">
        <v>12359</v>
      </c>
      <c r="Z3943" s="11">
        <v>20</v>
      </c>
      <c r="AA3943" s="11">
        <v>0</v>
      </c>
      <c r="AB3943" s="12">
        <v>0</v>
      </c>
    </row>
    <row r="3944" spans="1:28" x14ac:dyDescent="0.2">
      <c r="A3944" s="7">
        <v>21152</v>
      </c>
      <c r="B3944" s="8" t="s">
        <v>24434</v>
      </c>
      <c r="C3944" s="8" t="s">
        <v>842</v>
      </c>
      <c r="D3944" s="8" t="s">
        <v>24435</v>
      </c>
      <c r="E3944" s="8"/>
      <c r="F3944" s="8" t="s">
        <v>24436</v>
      </c>
      <c r="G3944" s="8" t="s">
        <v>3643</v>
      </c>
      <c r="H3944" s="8" t="s">
        <v>142</v>
      </c>
      <c r="I3944" s="8" t="s">
        <v>24437</v>
      </c>
      <c r="J3944" s="8" t="s">
        <v>24438</v>
      </c>
      <c r="K3944" s="8" t="s">
        <v>651</v>
      </c>
      <c r="L3944" s="8" t="s">
        <v>146</v>
      </c>
      <c r="M3944" s="8" t="s">
        <v>24439</v>
      </c>
      <c r="N3944" s="8" t="s">
        <v>128</v>
      </c>
      <c r="O3944" s="8" t="s">
        <v>24440</v>
      </c>
      <c r="P3944" s="8" t="s">
        <v>24441</v>
      </c>
      <c r="Q3944" s="8" t="s">
        <v>150</v>
      </c>
      <c r="R3944" s="8"/>
      <c r="S3944" s="8" t="s">
        <v>71</v>
      </c>
      <c r="T3944" s="8" t="s">
        <v>289</v>
      </c>
      <c r="U3944" s="8" t="s">
        <v>150</v>
      </c>
      <c r="V3944" s="8" t="s">
        <v>289</v>
      </c>
      <c r="W3944" s="8" t="s">
        <v>289</v>
      </c>
      <c r="X3944" s="8">
        <v>1</v>
      </c>
      <c r="Y3944" s="8" t="s">
        <v>12359</v>
      </c>
      <c r="Z3944" s="8">
        <v>20</v>
      </c>
      <c r="AA3944" s="8">
        <v>0</v>
      </c>
      <c r="AB3944" s="9">
        <v>0</v>
      </c>
    </row>
    <row r="3945" spans="1:28" x14ac:dyDescent="0.2">
      <c r="A3945" s="10">
        <v>27826</v>
      </c>
      <c r="B3945" s="11" t="s">
        <v>24442</v>
      </c>
      <c r="C3945" s="11" t="s">
        <v>24443</v>
      </c>
      <c r="D3945" s="11" t="s">
        <v>24444</v>
      </c>
      <c r="E3945" s="11"/>
      <c r="F3945" s="11" t="s">
        <v>363</v>
      </c>
      <c r="G3945" s="11" t="s">
        <v>364</v>
      </c>
      <c r="H3945" s="11" t="s">
        <v>365</v>
      </c>
      <c r="I3945" s="11" t="s">
        <v>16194</v>
      </c>
      <c r="J3945" s="11" t="s">
        <v>24445</v>
      </c>
      <c r="K3945" s="11" t="s">
        <v>162</v>
      </c>
      <c r="L3945" s="11" t="s">
        <v>163</v>
      </c>
      <c r="M3945" s="11" t="s">
        <v>24446</v>
      </c>
      <c r="N3945" s="11" t="s">
        <v>128</v>
      </c>
      <c r="O3945" s="11" t="s">
        <v>24447</v>
      </c>
      <c r="P3945" s="11" t="s">
        <v>24448</v>
      </c>
      <c r="Q3945" s="11" t="s">
        <v>150</v>
      </c>
      <c r="R3945" s="11"/>
      <c r="S3945" s="11" t="s">
        <v>71</v>
      </c>
      <c r="T3945" s="11" t="s">
        <v>289</v>
      </c>
      <c r="U3945" s="11" t="s">
        <v>150</v>
      </c>
      <c r="V3945" s="11" t="s">
        <v>289</v>
      </c>
      <c r="W3945" s="11" t="s">
        <v>289</v>
      </c>
      <c r="X3945" s="11">
        <v>1</v>
      </c>
      <c r="Y3945" s="11" t="s">
        <v>12359</v>
      </c>
      <c r="Z3945" s="11">
        <v>20</v>
      </c>
      <c r="AA3945" s="11">
        <v>0</v>
      </c>
      <c r="AB3945" s="12">
        <v>0</v>
      </c>
    </row>
    <row r="3946" spans="1:28" x14ac:dyDescent="0.2">
      <c r="A3946" s="7">
        <v>21541</v>
      </c>
      <c r="B3946" s="8" t="s">
        <v>24449</v>
      </c>
      <c r="C3946" s="8" t="s">
        <v>24450</v>
      </c>
      <c r="D3946" s="8"/>
      <c r="E3946" s="8" t="s">
        <v>24451</v>
      </c>
      <c r="F3946" s="8" t="s">
        <v>24452</v>
      </c>
      <c r="G3946" s="8" t="s">
        <v>24453</v>
      </c>
      <c r="H3946" s="8" t="s">
        <v>329</v>
      </c>
      <c r="I3946" s="8" t="s">
        <v>24454</v>
      </c>
      <c r="J3946" s="8" t="s">
        <v>24455</v>
      </c>
      <c r="K3946" s="8" t="s">
        <v>415</v>
      </c>
      <c r="L3946" s="8" t="s">
        <v>333</v>
      </c>
      <c r="M3946" s="8" t="s">
        <v>24456</v>
      </c>
      <c r="N3946" s="8" t="s">
        <v>128</v>
      </c>
      <c r="O3946" s="8" t="s">
        <v>24457</v>
      </c>
      <c r="P3946" s="8" t="s">
        <v>9464</v>
      </c>
      <c r="Q3946" s="8" t="s">
        <v>150</v>
      </c>
      <c r="R3946" s="8"/>
      <c r="S3946" s="8" t="s">
        <v>71</v>
      </c>
      <c r="T3946" s="8" t="s">
        <v>67</v>
      </c>
      <c r="U3946" s="8" t="s">
        <v>150</v>
      </c>
      <c r="V3946" s="8" t="s">
        <v>152</v>
      </c>
      <c r="W3946" s="8" t="s">
        <v>67</v>
      </c>
      <c r="X3946" s="8">
        <v>1</v>
      </c>
      <c r="Y3946" s="8" t="s">
        <v>12359</v>
      </c>
      <c r="Z3946" s="8">
        <v>20</v>
      </c>
      <c r="AA3946" s="8">
        <v>0</v>
      </c>
      <c r="AB3946" s="9">
        <v>0</v>
      </c>
    </row>
    <row r="3947" spans="1:28" x14ac:dyDescent="0.2">
      <c r="A3947" s="10">
        <v>21473</v>
      </c>
      <c r="B3947" s="11" t="s">
        <v>24458</v>
      </c>
      <c r="C3947" s="11" t="s">
        <v>24459</v>
      </c>
      <c r="D3947" s="11" t="s">
        <v>24460</v>
      </c>
      <c r="E3947" s="11" t="s">
        <v>24461</v>
      </c>
      <c r="F3947" s="11" t="s">
        <v>24462</v>
      </c>
      <c r="G3947" s="11" t="s">
        <v>2423</v>
      </c>
      <c r="H3947" s="11" t="s">
        <v>557</v>
      </c>
      <c r="I3947" s="11" t="s">
        <v>24463</v>
      </c>
      <c r="J3947" s="11" t="s">
        <v>24464</v>
      </c>
      <c r="K3947" s="11" t="s">
        <v>1562</v>
      </c>
      <c r="L3947" s="11" t="s">
        <v>229</v>
      </c>
      <c r="M3947" s="11" t="s">
        <v>24465</v>
      </c>
      <c r="N3947" s="11" t="s">
        <v>128</v>
      </c>
      <c r="O3947" s="11" t="s">
        <v>24466</v>
      </c>
      <c r="P3947" s="11" t="s">
        <v>16862</v>
      </c>
      <c r="Q3947" s="11" t="s">
        <v>150</v>
      </c>
      <c r="R3947" s="11"/>
      <c r="S3947" s="11" t="s">
        <v>24467</v>
      </c>
      <c r="T3947" s="11" t="s">
        <v>67</v>
      </c>
      <c r="U3947" s="11" t="s">
        <v>150</v>
      </c>
      <c r="V3947" s="11" t="s">
        <v>152</v>
      </c>
      <c r="W3947" s="11" t="s">
        <v>67</v>
      </c>
      <c r="X3947" s="11">
        <v>1</v>
      </c>
      <c r="Y3947" s="11" t="s">
        <v>12359</v>
      </c>
      <c r="Z3947" s="11">
        <v>20</v>
      </c>
      <c r="AA3947" s="11">
        <v>0</v>
      </c>
      <c r="AB3947" s="12">
        <v>0</v>
      </c>
    </row>
    <row r="3948" spans="1:28" x14ac:dyDescent="0.2">
      <c r="A3948" s="7">
        <v>21400</v>
      </c>
      <c r="B3948" s="8" t="s">
        <v>24468</v>
      </c>
      <c r="C3948" s="8" t="s">
        <v>22706</v>
      </c>
      <c r="D3948" s="8" t="s">
        <v>138</v>
      </c>
      <c r="E3948" s="8" t="s">
        <v>281</v>
      </c>
      <c r="F3948" s="8" t="s">
        <v>353</v>
      </c>
      <c r="G3948" s="8" t="s">
        <v>22707</v>
      </c>
      <c r="H3948" s="8" t="s">
        <v>159</v>
      </c>
      <c r="I3948" s="8" t="s">
        <v>24469</v>
      </c>
      <c r="J3948" s="8" t="s">
        <v>24470</v>
      </c>
      <c r="K3948" s="8" t="s">
        <v>274</v>
      </c>
      <c r="L3948" s="8" t="s">
        <v>163</v>
      </c>
      <c r="M3948" s="8" t="s">
        <v>24471</v>
      </c>
      <c r="N3948" s="8" t="s">
        <v>128</v>
      </c>
      <c r="O3948" s="8" t="s">
        <v>24472</v>
      </c>
      <c r="P3948" s="8" t="s">
        <v>24473</v>
      </c>
      <c r="Q3948" s="8" t="s">
        <v>150</v>
      </c>
      <c r="R3948" s="8"/>
      <c r="S3948" s="8" t="s">
        <v>22713</v>
      </c>
      <c r="T3948" s="8" t="s">
        <v>67</v>
      </c>
      <c r="U3948" s="8" t="s">
        <v>150</v>
      </c>
      <c r="V3948" s="8" t="s">
        <v>152</v>
      </c>
      <c r="W3948" s="8" t="s">
        <v>67</v>
      </c>
      <c r="X3948" s="8">
        <v>1</v>
      </c>
      <c r="Y3948" s="8" t="s">
        <v>12359</v>
      </c>
      <c r="Z3948" s="8">
        <v>20</v>
      </c>
      <c r="AA3948" s="8">
        <v>0</v>
      </c>
      <c r="AB3948" s="9">
        <v>0</v>
      </c>
    </row>
    <row r="3949" spans="1:28" x14ac:dyDescent="0.2">
      <c r="A3949" s="10">
        <v>21564</v>
      </c>
      <c r="B3949" s="11" t="s">
        <v>24474</v>
      </c>
      <c r="C3949" s="11" t="s">
        <v>773</v>
      </c>
      <c r="D3949" s="11" t="s">
        <v>1999</v>
      </c>
      <c r="E3949" s="11"/>
      <c r="F3949" s="11" t="s">
        <v>353</v>
      </c>
      <c r="G3949" s="11" t="s">
        <v>776</v>
      </c>
      <c r="H3949" s="11" t="s">
        <v>142</v>
      </c>
      <c r="I3949" s="11" t="s">
        <v>777</v>
      </c>
      <c r="J3949" s="11" t="s">
        <v>24475</v>
      </c>
      <c r="K3949" s="11" t="s">
        <v>779</v>
      </c>
      <c r="L3949" s="11" t="s">
        <v>464</v>
      </c>
      <c r="M3949" s="11" t="s">
        <v>24476</v>
      </c>
      <c r="N3949" s="11" t="s">
        <v>128</v>
      </c>
      <c r="O3949" s="11" t="s">
        <v>24477</v>
      </c>
      <c r="P3949" s="11" t="s">
        <v>10692</v>
      </c>
      <c r="Q3949" s="11" t="s">
        <v>150</v>
      </c>
      <c r="R3949" s="11"/>
      <c r="S3949" s="11" t="s">
        <v>71</v>
      </c>
      <c r="T3949" s="11" t="s">
        <v>67</v>
      </c>
      <c r="U3949" s="11" t="s">
        <v>150</v>
      </c>
      <c r="V3949" s="11" t="s">
        <v>152</v>
      </c>
      <c r="W3949" s="11" t="s">
        <v>67</v>
      </c>
      <c r="X3949" s="11">
        <v>1</v>
      </c>
      <c r="Y3949" s="11" t="s">
        <v>12359</v>
      </c>
      <c r="Z3949" s="11">
        <v>20</v>
      </c>
      <c r="AA3949" s="11">
        <v>0</v>
      </c>
      <c r="AB3949" s="12">
        <v>0</v>
      </c>
    </row>
    <row r="3950" spans="1:28" x14ac:dyDescent="0.2">
      <c r="A3950" s="7">
        <v>21327</v>
      </c>
      <c r="B3950" s="8" t="s">
        <v>24478</v>
      </c>
      <c r="C3950" s="8" t="s">
        <v>24479</v>
      </c>
      <c r="D3950" s="8" t="s">
        <v>11963</v>
      </c>
      <c r="E3950" s="8"/>
      <c r="F3950" s="8" t="s">
        <v>353</v>
      </c>
      <c r="G3950" s="8" t="s">
        <v>24480</v>
      </c>
      <c r="H3950" s="8" t="s">
        <v>329</v>
      </c>
      <c r="I3950" s="8" t="s">
        <v>24481</v>
      </c>
      <c r="J3950" s="8" t="s">
        <v>24482</v>
      </c>
      <c r="K3950" s="8" t="s">
        <v>431</v>
      </c>
      <c r="L3950" s="8" t="s">
        <v>333</v>
      </c>
      <c r="M3950" s="8" t="s">
        <v>24483</v>
      </c>
      <c r="N3950" s="8" t="s">
        <v>128</v>
      </c>
      <c r="O3950" s="8" t="s">
        <v>24484</v>
      </c>
      <c r="P3950" s="8" t="s">
        <v>24485</v>
      </c>
      <c r="Q3950" s="8" t="s">
        <v>150</v>
      </c>
      <c r="R3950" s="8"/>
      <c r="S3950" s="8" t="s">
        <v>71</v>
      </c>
      <c r="T3950" s="8" t="s">
        <v>67</v>
      </c>
      <c r="U3950" s="8" t="s">
        <v>150</v>
      </c>
      <c r="V3950" s="8" t="s">
        <v>152</v>
      </c>
      <c r="W3950" s="8" t="s">
        <v>67</v>
      </c>
      <c r="X3950" s="8">
        <v>1</v>
      </c>
      <c r="Y3950" s="8" t="s">
        <v>12359</v>
      </c>
      <c r="Z3950" s="8">
        <v>20</v>
      </c>
      <c r="AA3950" s="8">
        <v>0</v>
      </c>
      <c r="AB3950" s="9">
        <v>0</v>
      </c>
    </row>
    <row r="3951" spans="1:28" x14ac:dyDescent="0.2">
      <c r="A3951" s="10">
        <v>21456</v>
      </c>
      <c r="B3951" s="11" t="s">
        <v>24486</v>
      </c>
      <c r="C3951" s="11" t="s">
        <v>3187</v>
      </c>
      <c r="D3951" s="11" t="s">
        <v>7538</v>
      </c>
      <c r="E3951" s="11"/>
      <c r="F3951" s="11" t="s">
        <v>353</v>
      </c>
      <c r="G3951" s="11" t="s">
        <v>24487</v>
      </c>
      <c r="H3951" s="11" t="s">
        <v>329</v>
      </c>
      <c r="I3951" s="11" t="s">
        <v>24488</v>
      </c>
      <c r="J3951" s="11" t="s">
        <v>24489</v>
      </c>
      <c r="K3951" s="11" t="s">
        <v>415</v>
      </c>
      <c r="L3951" s="11" t="s">
        <v>333</v>
      </c>
      <c r="M3951" s="11" t="s">
        <v>24490</v>
      </c>
      <c r="N3951" s="11" t="s">
        <v>128</v>
      </c>
      <c r="O3951" s="11" t="s">
        <v>24491</v>
      </c>
      <c r="P3951" s="11" t="s">
        <v>8123</v>
      </c>
      <c r="Q3951" s="11" t="s">
        <v>150</v>
      </c>
      <c r="R3951" s="11"/>
      <c r="S3951" s="11" t="s">
        <v>71</v>
      </c>
      <c r="T3951" s="11" t="s">
        <v>67</v>
      </c>
      <c r="U3951" s="11" t="s">
        <v>150</v>
      </c>
      <c r="V3951" s="11" t="s">
        <v>152</v>
      </c>
      <c r="W3951" s="11" t="s">
        <v>67</v>
      </c>
      <c r="X3951" s="11">
        <v>1</v>
      </c>
      <c r="Y3951" s="11" t="s">
        <v>12359</v>
      </c>
      <c r="Z3951" s="11">
        <v>20</v>
      </c>
      <c r="AA3951" s="11">
        <v>0</v>
      </c>
      <c r="AB3951" s="12">
        <v>0</v>
      </c>
    </row>
    <row r="3952" spans="1:28" x14ac:dyDescent="0.2">
      <c r="A3952" s="7">
        <v>26287</v>
      </c>
      <c r="B3952" s="8" t="s">
        <v>24492</v>
      </c>
      <c r="C3952" s="8" t="s">
        <v>24493</v>
      </c>
      <c r="D3952" s="8" t="s">
        <v>24494</v>
      </c>
      <c r="E3952" s="8"/>
      <c r="F3952" s="8" t="s">
        <v>353</v>
      </c>
      <c r="G3952" s="8" t="s">
        <v>846</v>
      </c>
      <c r="H3952" s="8" t="s">
        <v>847</v>
      </c>
      <c r="I3952" s="8" t="s">
        <v>24495</v>
      </c>
      <c r="J3952" s="8" t="s">
        <v>24496</v>
      </c>
      <c r="K3952" s="8" t="s">
        <v>850</v>
      </c>
      <c r="L3952" s="8" t="s">
        <v>126</v>
      </c>
      <c r="M3952" s="8" t="s">
        <v>24497</v>
      </c>
      <c r="N3952" s="8" t="s">
        <v>128</v>
      </c>
      <c r="O3952" s="8" t="s">
        <v>24498</v>
      </c>
      <c r="P3952" s="8" t="s">
        <v>24499</v>
      </c>
      <c r="Q3952" s="8" t="s">
        <v>150</v>
      </c>
      <c r="R3952" s="8"/>
      <c r="S3952" s="8" t="s">
        <v>71</v>
      </c>
      <c r="T3952" s="8" t="s">
        <v>67</v>
      </c>
      <c r="U3952" s="8" t="s">
        <v>150</v>
      </c>
      <c r="V3952" s="8" t="s">
        <v>152</v>
      </c>
      <c r="W3952" s="8" t="s">
        <v>67</v>
      </c>
      <c r="X3952" s="8">
        <v>1</v>
      </c>
      <c r="Y3952" s="8" t="s">
        <v>12359</v>
      </c>
      <c r="Z3952" s="8">
        <v>20</v>
      </c>
      <c r="AA3952" s="8">
        <v>0</v>
      </c>
      <c r="AB3952" s="9">
        <v>0</v>
      </c>
    </row>
    <row r="3953" spans="1:28" x14ac:dyDescent="0.2">
      <c r="A3953" s="10">
        <v>26365</v>
      </c>
      <c r="B3953" s="11" t="s">
        <v>24500</v>
      </c>
      <c r="C3953" s="11" t="s">
        <v>24501</v>
      </c>
      <c r="D3953" s="11" t="s">
        <v>10591</v>
      </c>
      <c r="E3953" s="11"/>
      <c r="F3953" s="11" t="s">
        <v>353</v>
      </c>
      <c r="G3953" s="11" t="s">
        <v>24502</v>
      </c>
      <c r="H3953" s="11" t="s">
        <v>557</v>
      </c>
      <c r="I3953" s="11" t="s">
        <v>24503</v>
      </c>
      <c r="J3953" s="11" t="s">
        <v>24504</v>
      </c>
      <c r="K3953" s="11" t="s">
        <v>560</v>
      </c>
      <c r="L3953" s="11" t="s">
        <v>229</v>
      </c>
      <c r="M3953" s="11" t="s">
        <v>24505</v>
      </c>
      <c r="N3953" s="11" t="s">
        <v>128</v>
      </c>
      <c r="O3953" s="11"/>
      <c r="P3953" s="11" t="s">
        <v>24506</v>
      </c>
      <c r="Q3953" s="11" t="s">
        <v>150</v>
      </c>
      <c r="R3953" s="11"/>
      <c r="S3953" s="11" t="s">
        <v>71</v>
      </c>
      <c r="T3953" s="11" t="s">
        <v>67</v>
      </c>
      <c r="U3953" s="11" t="s">
        <v>150</v>
      </c>
      <c r="V3953" s="11" t="s">
        <v>152</v>
      </c>
      <c r="W3953" s="11" t="s">
        <v>67</v>
      </c>
      <c r="X3953" s="11">
        <v>1</v>
      </c>
      <c r="Y3953" s="11" t="s">
        <v>12359</v>
      </c>
      <c r="Z3953" s="11">
        <v>20</v>
      </c>
      <c r="AA3953" s="11">
        <v>0</v>
      </c>
      <c r="AB3953" s="12">
        <v>0</v>
      </c>
    </row>
    <row r="3954" spans="1:28" x14ac:dyDescent="0.2">
      <c r="A3954" s="7">
        <v>92300</v>
      </c>
      <c r="B3954" s="8" t="s">
        <v>24507</v>
      </c>
      <c r="C3954" s="8" t="s">
        <v>24508</v>
      </c>
      <c r="D3954" s="8" t="s">
        <v>6929</v>
      </c>
      <c r="E3954" s="8"/>
      <c r="F3954" s="8" t="s">
        <v>353</v>
      </c>
      <c r="G3954" s="8" t="s">
        <v>21849</v>
      </c>
      <c r="H3954" s="8" t="s">
        <v>142</v>
      </c>
      <c r="I3954" s="8" t="s">
        <v>21850</v>
      </c>
      <c r="J3954" s="8" t="s">
        <v>24509</v>
      </c>
      <c r="K3954" s="8" t="s">
        <v>1673</v>
      </c>
      <c r="L3954" s="8" t="s">
        <v>464</v>
      </c>
      <c r="M3954" s="8" t="s">
        <v>24510</v>
      </c>
      <c r="N3954" s="8" t="s">
        <v>128</v>
      </c>
      <c r="O3954" s="8" t="s">
        <v>24511</v>
      </c>
      <c r="P3954" s="8" t="s">
        <v>24512</v>
      </c>
      <c r="Q3954" s="8" t="s">
        <v>150</v>
      </c>
      <c r="R3954" s="8"/>
      <c r="S3954" s="8" t="s">
        <v>71</v>
      </c>
      <c r="T3954" s="8" t="s">
        <v>67</v>
      </c>
      <c r="U3954" s="8" t="s">
        <v>150</v>
      </c>
      <c r="V3954" s="8" t="s">
        <v>152</v>
      </c>
      <c r="W3954" s="8" t="s">
        <v>67</v>
      </c>
      <c r="X3954" s="8">
        <v>1</v>
      </c>
      <c r="Y3954" s="8" t="s">
        <v>12359</v>
      </c>
      <c r="Z3954" s="8">
        <v>20</v>
      </c>
      <c r="AA3954" s="8">
        <v>0</v>
      </c>
      <c r="AB3954" s="9">
        <v>0</v>
      </c>
    </row>
    <row r="3955" spans="1:28" x14ac:dyDescent="0.2">
      <c r="A3955" s="10">
        <v>93512</v>
      </c>
      <c r="B3955" s="11" t="s">
        <v>24513</v>
      </c>
      <c r="C3955" s="11" t="s">
        <v>24514</v>
      </c>
      <c r="D3955" s="11" t="s">
        <v>23136</v>
      </c>
      <c r="E3955" s="11"/>
      <c r="F3955" s="11" t="s">
        <v>353</v>
      </c>
      <c r="G3955" s="11" t="s">
        <v>24515</v>
      </c>
      <c r="H3955" s="11" t="s">
        <v>142</v>
      </c>
      <c r="I3955" s="11" t="s">
        <v>24516</v>
      </c>
      <c r="J3955" s="11" t="s">
        <v>24517</v>
      </c>
      <c r="K3955" s="11" t="s">
        <v>1673</v>
      </c>
      <c r="L3955" s="11" t="s">
        <v>464</v>
      </c>
      <c r="M3955" s="11" t="s">
        <v>24518</v>
      </c>
      <c r="N3955" s="11" t="s">
        <v>128</v>
      </c>
      <c r="O3955" s="11" t="s">
        <v>24519</v>
      </c>
      <c r="P3955" s="11" t="s">
        <v>12464</v>
      </c>
      <c r="Q3955" s="11" t="s">
        <v>150</v>
      </c>
      <c r="R3955" s="11"/>
      <c r="S3955" s="11" t="s">
        <v>71</v>
      </c>
      <c r="T3955" s="11" t="s">
        <v>67</v>
      </c>
      <c r="U3955" s="11" t="s">
        <v>150</v>
      </c>
      <c r="V3955" s="11" t="s">
        <v>152</v>
      </c>
      <c r="W3955" s="11" t="s">
        <v>67</v>
      </c>
      <c r="X3955" s="11">
        <v>1</v>
      </c>
      <c r="Y3955" s="11" t="s">
        <v>12359</v>
      </c>
      <c r="Z3955" s="11">
        <v>20</v>
      </c>
      <c r="AA3955" s="11">
        <v>0</v>
      </c>
      <c r="AB3955" s="12">
        <v>0</v>
      </c>
    </row>
    <row r="3956" spans="1:28" x14ac:dyDescent="0.2">
      <c r="A3956" s="7">
        <v>105830</v>
      </c>
      <c r="B3956" s="8" t="s">
        <v>24520</v>
      </c>
      <c r="C3956" s="8" t="s">
        <v>24521</v>
      </c>
      <c r="D3956" s="8" t="s">
        <v>6368</v>
      </c>
      <c r="E3956" s="8"/>
      <c r="F3956" s="8" t="s">
        <v>353</v>
      </c>
      <c r="G3956" s="8" t="s">
        <v>24254</v>
      </c>
      <c r="H3956" s="8" t="s">
        <v>142</v>
      </c>
      <c r="I3956" s="8" t="s">
        <v>24255</v>
      </c>
      <c r="J3956" s="8" t="s">
        <v>24522</v>
      </c>
      <c r="K3956" s="8" t="s">
        <v>1199</v>
      </c>
      <c r="L3956" s="8" t="s">
        <v>464</v>
      </c>
      <c r="M3956" s="8" t="s">
        <v>24523</v>
      </c>
      <c r="N3956" s="8" t="s">
        <v>128</v>
      </c>
      <c r="O3956" s="8" t="s">
        <v>24524</v>
      </c>
      <c r="P3956" s="8" t="s">
        <v>20146</v>
      </c>
      <c r="Q3956" s="8" t="s">
        <v>150</v>
      </c>
      <c r="R3956" s="8"/>
      <c r="S3956" s="8" t="s">
        <v>71</v>
      </c>
      <c r="T3956" s="8" t="s">
        <v>67</v>
      </c>
      <c r="U3956" s="8" t="s">
        <v>150</v>
      </c>
      <c r="V3956" s="8" t="s">
        <v>152</v>
      </c>
      <c r="W3956" s="8" t="s">
        <v>67</v>
      </c>
      <c r="X3956" s="8">
        <v>1</v>
      </c>
      <c r="Y3956" s="8" t="s">
        <v>12359</v>
      </c>
      <c r="Z3956" s="8">
        <v>20</v>
      </c>
      <c r="AA3956" s="8">
        <v>0</v>
      </c>
      <c r="AB3956" s="9">
        <v>0</v>
      </c>
    </row>
    <row r="3957" spans="1:28" x14ac:dyDescent="0.2">
      <c r="A3957" s="10">
        <v>125931</v>
      </c>
      <c r="B3957" s="11" t="s">
        <v>24525</v>
      </c>
      <c r="C3957" s="11" t="s">
        <v>11611</v>
      </c>
      <c r="D3957" s="11" t="s">
        <v>255</v>
      </c>
      <c r="E3957" s="11"/>
      <c r="F3957" s="11" t="s">
        <v>353</v>
      </c>
      <c r="G3957" s="11" t="s">
        <v>2510</v>
      </c>
      <c r="H3957" s="11" t="s">
        <v>2511</v>
      </c>
      <c r="I3957" s="11" t="s">
        <v>11612</v>
      </c>
      <c r="J3957" s="11" t="s">
        <v>24526</v>
      </c>
      <c r="K3957" s="11" t="s">
        <v>1562</v>
      </c>
      <c r="L3957" s="11" t="s">
        <v>229</v>
      </c>
      <c r="M3957" s="11" t="s">
        <v>24527</v>
      </c>
      <c r="N3957" s="11" t="s">
        <v>128</v>
      </c>
      <c r="O3957" s="11" t="s">
        <v>9796</v>
      </c>
      <c r="P3957" s="11" t="s">
        <v>10061</v>
      </c>
      <c r="Q3957" s="11" t="s">
        <v>150</v>
      </c>
      <c r="R3957" s="11"/>
      <c r="S3957" s="11" t="s">
        <v>71</v>
      </c>
      <c r="T3957" s="11" t="s">
        <v>67</v>
      </c>
      <c r="U3957" s="11" t="s">
        <v>150</v>
      </c>
      <c r="V3957" s="11" t="s">
        <v>152</v>
      </c>
      <c r="W3957" s="11" t="s">
        <v>67</v>
      </c>
      <c r="X3957" s="11">
        <v>1</v>
      </c>
      <c r="Y3957" s="11" t="s">
        <v>12359</v>
      </c>
      <c r="Z3957" s="11">
        <v>20</v>
      </c>
      <c r="AA3957" s="11">
        <v>0</v>
      </c>
      <c r="AB3957" s="12">
        <v>0</v>
      </c>
    </row>
    <row r="3958" spans="1:28" x14ac:dyDescent="0.2">
      <c r="A3958" s="7">
        <v>214724</v>
      </c>
      <c r="B3958" s="8" t="s">
        <v>24528</v>
      </c>
      <c r="C3958" s="8" t="s">
        <v>24529</v>
      </c>
      <c r="D3958" s="8" t="s">
        <v>10935</v>
      </c>
      <c r="E3958" s="8"/>
      <c r="F3958" s="8" t="s">
        <v>353</v>
      </c>
      <c r="G3958" s="8" t="s">
        <v>24530</v>
      </c>
      <c r="H3958" s="8" t="s">
        <v>271</v>
      </c>
      <c r="I3958" s="8" t="s">
        <v>24531</v>
      </c>
      <c r="J3958" s="8" t="s">
        <v>24532</v>
      </c>
      <c r="K3958" s="8" t="s">
        <v>274</v>
      </c>
      <c r="L3958" s="8" t="s">
        <v>163</v>
      </c>
      <c r="M3958" s="8" t="s">
        <v>24533</v>
      </c>
      <c r="N3958" s="8" t="s">
        <v>128</v>
      </c>
      <c r="O3958" s="8" t="s">
        <v>24534</v>
      </c>
      <c r="P3958" s="8" t="s">
        <v>8826</v>
      </c>
      <c r="Q3958" s="8" t="s">
        <v>150</v>
      </c>
      <c r="R3958" s="8"/>
      <c r="S3958" s="8" t="s">
        <v>71</v>
      </c>
      <c r="T3958" s="8" t="s">
        <v>67</v>
      </c>
      <c r="U3958" s="8" t="s">
        <v>150</v>
      </c>
      <c r="V3958" s="8" t="s">
        <v>152</v>
      </c>
      <c r="W3958" s="8" t="s">
        <v>67</v>
      </c>
      <c r="X3958" s="8">
        <v>1</v>
      </c>
      <c r="Y3958" s="8" t="s">
        <v>12359</v>
      </c>
      <c r="Z3958" s="8">
        <v>20</v>
      </c>
      <c r="AA3958" s="8">
        <v>0</v>
      </c>
      <c r="AB3958" s="9">
        <v>0</v>
      </c>
    </row>
    <row r="3959" spans="1:28" x14ac:dyDescent="0.2">
      <c r="A3959" s="10">
        <v>214749</v>
      </c>
      <c r="B3959" s="11" t="s">
        <v>24535</v>
      </c>
      <c r="C3959" s="11" t="s">
        <v>10488</v>
      </c>
      <c r="D3959" s="11" t="s">
        <v>6529</v>
      </c>
      <c r="E3959" s="11"/>
      <c r="F3959" s="11" t="s">
        <v>353</v>
      </c>
      <c r="G3959" s="11" t="s">
        <v>24536</v>
      </c>
      <c r="H3959" s="11" t="s">
        <v>191</v>
      </c>
      <c r="I3959" s="11" t="s">
        <v>24537</v>
      </c>
      <c r="J3959" s="11" t="s">
        <v>24538</v>
      </c>
      <c r="K3959" s="11" t="s">
        <v>194</v>
      </c>
      <c r="L3959" s="11" t="s">
        <v>163</v>
      </c>
      <c r="M3959" s="11" t="s">
        <v>24539</v>
      </c>
      <c r="N3959" s="11" t="s">
        <v>128</v>
      </c>
      <c r="O3959" s="11" t="s">
        <v>24540</v>
      </c>
      <c r="P3959" s="11" t="s">
        <v>7059</v>
      </c>
      <c r="Q3959" s="11" t="s">
        <v>150</v>
      </c>
      <c r="R3959" s="11"/>
      <c r="S3959" s="11" t="s">
        <v>71</v>
      </c>
      <c r="T3959" s="11" t="s">
        <v>67</v>
      </c>
      <c r="U3959" s="11" t="s">
        <v>150</v>
      </c>
      <c r="V3959" s="11" t="s">
        <v>152</v>
      </c>
      <c r="W3959" s="11" t="s">
        <v>67</v>
      </c>
      <c r="X3959" s="11">
        <v>1</v>
      </c>
      <c r="Y3959" s="11" t="s">
        <v>12359</v>
      </c>
      <c r="Z3959" s="11">
        <v>20</v>
      </c>
      <c r="AA3959" s="11">
        <v>0</v>
      </c>
      <c r="AB3959" s="12">
        <v>0</v>
      </c>
    </row>
    <row r="3960" spans="1:28" x14ac:dyDescent="0.2">
      <c r="A3960" s="7">
        <v>218082</v>
      </c>
      <c r="B3960" s="8" t="s">
        <v>24541</v>
      </c>
      <c r="C3960" s="8" t="s">
        <v>4099</v>
      </c>
      <c r="D3960" s="8" t="s">
        <v>21204</v>
      </c>
      <c r="E3960" s="8"/>
      <c r="F3960" s="8" t="s">
        <v>353</v>
      </c>
      <c r="G3960" s="8" t="s">
        <v>24542</v>
      </c>
      <c r="H3960" s="8" t="s">
        <v>142</v>
      </c>
      <c r="I3960" s="8" t="s">
        <v>24543</v>
      </c>
      <c r="J3960" s="8" t="s">
        <v>24544</v>
      </c>
      <c r="K3960" s="8" t="s">
        <v>1673</v>
      </c>
      <c r="L3960" s="8" t="s">
        <v>464</v>
      </c>
      <c r="M3960" s="8" t="s">
        <v>24545</v>
      </c>
      <c r="N3960" s="8" t="s">
        <v>128</v>
      </c>
      <c r="O3960" s="8" t="s">
        <v>24546</v>
      </c>
      <c r="P3960" s="8" t="s">
        <v>4502</v>
      </c>
      <c r="Q3960" s="8" t="s">
        <v>150</v>
      </c>
      <c r="R3960" s="8"/>
      <c r="S3960" s="8" t="s">
        <v>71</v>
      </c>
      <c r="T3960" s="8" t="s">
        <v>67</v>
      </c>
      <c r="U3960" s="8" t="s">
        <v>150</v>
      </c>
      <c r="V3960" s="8" t="s">
        <v>152</v>
      </c>
      <c r="W3960" s="8" t="s">
        <v>67</v>
      </c>
      <c r="X3960" s="8">
        <v>1</v>
      </c>
      <c r="Y3960" s="8" t="s">
        <v>12359</v>
      </c>
      <c r="Z3960" s="8">
        <v>20</v>
      </c>
      <c r="AA3960" s="8">
        <v>0</v>
      </c>
      <c r="AB3960" s="9">
        <v>0</v>
      </c>
    </row>
    <row r="3961" spans="1:28" x14ac:dyDescent="0.2">
      <c r="A3961" s="10">
        <v>240275</v>
      </c>
      <c r="B3961" s="11" t="s">
        <v>24547</v>
      </c>
      <c r="C3961" s="11" t="s">
        <v>24548</v>
      </c>
      <c r="D3961" s="11" t="s">
        <v>6878</v>
      </c>
      <c r="E3961" s="11"/>
      <c r="F3961" s="11" t="s">
        <v>353</v>
      </c>
      <c r="G3961" s="11" t="s">
        <v>24549</v>
      </c>
      <c r="H3961" s="11" t="s">
        <v>142</v>
      </c>
      <c r="I3961" s="11" t="s">
        <v>24550</v>
      </c>
      <c r="J3961" s="11" t="s">
        <v>24551</v>
      </c>
      <c r="K3961" s="11" t="s">
        <v>717</v>
      </c>
      <c r="L3961" s="11" t="s">
        <v>464</v>
      </c>
      <c r="M3961" s="11" t="s">
        <v>24552</v>
      </c>
      <c r="N3961" s="11" t="s">
        <v>128</v>
      </c>
      <c r="O3961" s="11" t="s">
        <v>24553</v>
      </c>
      <c r="P3961" s="11" t="s">
        <v>6696</v>
      </c>
      <c r="Q3961" s="11" t="s">
        <v>150</v>
      </c>
      <c r="R3961" s="11"/>
      <c r="S3961" s="11" t="s">
        <v>71</v>
      </c>
      <c r="T3961" s="11" t="s">
        <v>67</v>
      </c>
      <c r="U3961" s="11" t="s">
        <v>150</v>
      </c>
      <c r="V3961" s="11" t="s">
        <v>152</v>
      </c>
      <c r="W3961" s="11" t="s">
        <v>67</v>
      </c>
      <c r="X3961" s="11">
        <v>1</v>
      </c>
      <c r="Y3961" s="11" t="s">
        <v>12359</v>
      </c>
      <c r="Z3961" s="11">
        <v>20</v>
      </c>
      <c r="AA3961" s="11">
        <v>0</v>
      </c>
      <c r="AB3961" s="12">
        <v>0</v>
      </c>
    </row>
    <row r="3962" spans="1:28" x14ac:dyDescent="0.2">
      <c r="A3962" s="7">
        <v>240276</v>
      </c>
      <c r="B3962" s="8" t="s">
        <v>24554</v>
      </c>
      <c r="C3962" s="8" t="s">
        <v>24548</v>
      </c>
      <c r="D3962" s="8" t="s">
        <v>8256</v>
      </c>
      <c r="E3962" s="8"/>
      <c r="F3962" s="8" t="s">
        <v>353</v>
      </c>
      <c r="G3962" s="8" t="s">
        <v>24549</v>
      </c>
      <c r="H3962" s="8" t="s">
        <v>142</v>
      </c>
      <c r="I3962" s="8" t="s">
        <v>24550</v>
      </c>
      <c r="J3962" s="8" t="s">
        <v>24555</v>
      </c>
      <c r="K3962" s="8" t="s">
        <v>717</v>
      </c>
      <c r="L3962" s="8" t="s">
        <v>464</v>
      </c>
      <c r="M3962" s="8" t="s">
        <v>24556</v>
      </c>
      <c r="N3962" s="8" t="s">
        <v>128</v>
      </c>
      <c r="O3962" s="8" t="s">
        <v>24557</v>
      </c>
      <c r="P3962" s="8" t="s">
        <v>20292</v>
      </c>
      <c r="Q3962" s="8" t="s">
        <v>150</v>
      </c>
      <c r="R3962" s="8"/>
      <c r="S3962" s="8" t="s">
        <v>71</v>
      </c>
      <c r="T3962" s="8" t="s">
        <v>67</v>
      </c>
      <c r="U3962" s="8" t="s">
        <v>150</v>
      </c>
      <c r="V3962" s="8" t="s">
        <v>152</v>
      </c>
      <c r="W3962" s="8" t="s">
        <v>67</v>
      </c>
      <c r="X3962" s="8">
        <v>1</v>
      </c>
      <c r="Y3962" s="8" t="s">
        <v>12359</v>
      </c>
      <c r="Z3962" s="8">
        <v>20</v>
      </c>
      <c r="AA3962" s="8">
        <v>0</v>
      </c>
      <c r="AB3962" s="9">
        <v>0</v>
      </c>
    </row>
    <row r="3963" spans="1:28" x14ac:dyDescent="0.2">
      <c r="A3963" s="10">
        <v>240329</v>
      </c>
      <c r="B3963" s="11" t="s">
        <v>24558</v>
      </c>
      <c r="C3963" s="11" t="s">
        <v>24421</v>
      </c>
      <c r="D3963" s="11" t="s">
        <v>4880</v>
      </c>
      <c r="E3963" s="11"/>
      <c r="F3963" s="11" t="s">
        <v>353</v>
      </c>
      <c r="G3963" s="11" t="s">
        <v>24422</v>
      </c>
      <c r="H3963" s="11" t="s">
        <v>704</v>
      </c>
      <c r="I3963" s="11" t="s">
        <v>24559</v>
      </c>
      <c r="J3963" s="11" t="s">
        <v>24560</v>
      </c>
      <c r="K3963" s="11" t="s">
        <v>850</v>
      </c>
      <c r="L3963" s="11" t="s">
        <v>126</v>
      </c>
      <c r="M3963" s="11" t="s">
        <v>24561</v>
      </c>
      <c r="N3963" s="11" t="s">
        <v>128</v>
      </c>
      <c r="O3963" s="11" t="s">
        <v>24562</v>
      </c>
      <c r="P3963" s="11" t="s">
        <v>24563</v>
      </c>
      <c r="Q3963" s="11" t="s">
        <v>150</v>
      </c>
      <c r="R3963" s="11"/>
      <c r="S3963" s="11" t="s">
        <v>71</v>
      </c>
      <c r="T3963" s="11" t="s">
        <v>67</v>
      </c>
      <c r="U3963" s="11" t="s">
        <v>150</v>
      </c>
      <c r="V3963" s="11" t="s">
        <v>152</v>
      </c>
      <c r="W3963" s="11" t="s">
        <v>67</v>
      </c>
      <c r="X3963" s="11">
        <v>1</v>
      </c>
      <c r="Y3963" s="11" t="s">
        <v>12359</v>
      </c>
      <c r="Z3963" s="11">
        <v>20</v>
      </c>
      <c r="AA3963" s="11">
        <v>0</v>
      </c>
      <c r="AB3963" s="12">
        <v>0</v>
      </c>
    </row>
    <row r="3964" spans="1:28" x14ac:dyDescent="0.2">
      <c r="A3964" s="7">
        <v>85205</v>
      </c>
      <c r="B3964" s="8" t="s">
        <v>24564</v>
      </c>
      <c r="C3964" s="8" t="s">
        <v>24565</v>
      </c>
      <c r="D3964" s="8" t="s">
        <v>6729</v>
      </c>
      <c r="E3964" s="8"/>
      <c r="F3964" s="8" t="s">
        <v>24566</v>
      </c>
      <c r="G3964" s="8" t="s">
        <v>24567</v>
      </c>
      <c r="H3964" s="8" t="s">
        <v>142</v>
      </c>
      <c r="I3964" s="8"/>
      <c r="J3964" s="8" t="s">
        <v>24568</v>
      </c>
      <c r="K3964" s="8" t="s">
        <v>779</v>
      </c>
      <c r="L3964" s="8" t="s">
        <v>464</v>
      </c>
      <c r="M3964" s="8" t="s">
        <v>24569</v>
      </c>
      <c r="N3964" s="8" t="s">
        <v>128</v>
      </c>
      <c r="O3964" s="8"/>
      <c r="P3964" s="8" t="s">
        <v>24570</v>
      </c>
      <c r="Q3964" s="8" t="s">
        <v>150</v>
      </c>
      <c r="R3964" s="8"/>
      <c r="S3964" s="8" t="s">
        <v>71</v>
      </c>
      <c r="T3964" s="8" t="s">
        <v>67</v>
      </c>
      <c r="U3964" s="8" t="s">
        <v>150</v>
      </c>
      <c r="V3964" s="8" t="s">
        <v>152</v>
      </c>
      <c r="W3964" s="8" t="s">
        <v>67</v>
      </c>
      <c r="X3964" s="8">
        <v>1</v>
      </c>
      <c r="Y3964" s="8" t="s">
        <v>12359</v>
      </c>
      <c r="Z3964" s="8">
        <v>20</v>
      </c>
      <c r="AA3964" s="8">
        <v>0</v>
      </c>
      <c r="AB3964" s="9">
        <v>0</v>
      </c>
    </row>
    <row r="3965" spans="1:28" x14ac:dyDescent="0.2">
      <c r="A3965" s="10">
        <v>26249</v>
      </c>
      <c r="B3965" s="11" t="s">
        <v>24571</v>
      </c>
      <c r="C3965" s="11" t="s">
        <v>3187</v>
      </c>
      <c r="D3965" s="11" t="s">
        <v>4085</v>
      </c>
      <c r="E3965" s="11"/>
      <c r="F3965" s="11" t="s">
        <v>24572</v>
      </c>
      <c r="G3965" s="11" t="s">
        <v>24573</v>
      </c>
      <c r="H3965" s="11" t="s">
        <v>191</v>
      </c>
      <c r="I3965" s="11" t="s">
        <v>24574</v>
      </c>
      <c r="J3965" s="11" t="s">
        <v>24575</v>
      </c>
      <c r="K3965" s="11" t="s">
        <v>194</v>
      </c>
      <c r="L3965" s="11" t="s">
        <v>163</v>
      </c>
      <c r="M3965" s="11" t="s">
        <v>24576</v>
      </c>
      <c r="N3965" s="11" t="s">
        <v>128</v>
      </c>
      <c r="O3965" s="11" t="s">
        <v>24577</v>
      </c>
      <c r="P3965" s="11" t="s">
        <v>8553</v>
      </c>
      <c r="Q3965" s="11" t="s">
        <v>150</v>
      </c>
      <c r="R3965" s="11"/>
      <c r="S3965" s="11" t="s">
        <v>71</v>
      </c>
      <c r="T3965" s="11" t="s">
        <v>67</v>
      </c>
      <c r="U3965" s="11" t="s">
        <v>150</v>
      </c>
      <c r="V3965" s="11" t="s">
        <v>152</v>
      </c>
      <c r="W3965" s="11" t="s">
        <v>67</v>
      </c>
      <c r="X3965" s="11">
        <v>1</v>
      </c>
      <c r="Y3965" s="11" t="s">
        <v>12359</v>
      </c>
      <c r="Z3965" s="11">
        <v>20</v>
      </c>
      <c r="AA3965" s="11">
        <v>0</v>
      </c>
      <c r="AB3965" s="12">
        <v>0</v>
      </c>
    </row>
    <row r="3966" spans="1:28" x14ac:dyDescent="0.2">
      <c r="A3966" s="7">
        <v>106003</v>
      </c>
      <c r="B3966" s="8" t="s">
        <v>24578</v>
      </c>
      <c r="C3966" s="8" t="s">
        <v>24579</v>
      </c>
      <c r="D3966" s="8" t="s">
        <v>7907</v>
      </c>
      <c r="E3966" s="8"/>
      <c r="F3966" s="8" t="s">
        <v>24580</v>
      </c>
      <c r="G3966" s="8" t="s">
        <v>24581</v>
      </c>
      <c r="H3966" s="8" t="s">
        <v>159</v>
      </c>
      <c r="I3966" s="8" t="s">
        <v>24582</v>
      </c>
      <c r="J3966" s="8" t="s">
        <v>24583</v>
      </c>
      <c r="K3966" s="8" t="s">
        <v>162</v>
      </c>
      <c r="L3966" s="8" t="s">
        <v>163</v>
      </c>
      <c r="M3966" s="8" t="s">
        <v>24584</v>
      </c>
      <c r="N3966" s="8" t="s">
        <v>128</v>
      </c>
      <c r="O3966" s="8" t="s">
        <v>24585</v>
      </c>
      <c r="P3966" s="8" t="s">
        <v>24586</v>
      </c>
      <c r="Q3966" s="8" t="s">
        <v>150</v>
      </c>
      <c r="R3966" s="8"/>
      <c r="S3966" s="8" t="s">
        <v>71</v>
      </c>
      <c r="T3966" s="8" t="s">
        <v>67</v>
      </c>
      <c r="U3966" s="8" t="s">
        <v>150</v>
      </c>
      <c r="V3966" s="8" t="s">
        <v>152</v>
      </c>
      <c r="W3966" s="8" t="s">
        <v>67</v>
      </c>
      <c r="X3966" s="8">
        <v>1</v>
      </c>
      <c r="Y3966" s="8" t="s">
        <v>12359</v>
      </c>
      <c r="Z3966" s="8">
        <v>20</v>
      </c>
      <c r="AA3966" s="8">
        <v>0</v>
      </c>
      <c r="AB3966" s="9">
        <v>0</v>
      </c>
    </row>
    <row r="3967" spans="1:28" x14ac:dyDescent="0.2">
      <c r="A3967" s="10">
        <v>106044</v>
      </c>
      <c r="B3967" s="11" t="s">
        <v>24587</v>
      </c>
      <c r="C3967" s="11" t="s">
        <v>24588</v>
      </c>
      <c r="D3967" s="11" t="s">
        <v>9883</v>
      </c>
      <c r="E3967" s="11"/>
      <c r="F3967" s="11" t="s">
        <v>9836</v>
      </c>
      <c r="G3967" s="11" t="s">
        <v>11323</v>
      </c>
      <c r="H3967" s="11" t="s">
        <v>6410</v>
      </c>
      <c r="I3967" s="11" t="s">
        <v>24589</v>
      </c>
      <c r="J3967" s="11" t="s">
        <v>24590</v>
      </c>
      <c r="K3967" s="11" t="s">
        <v>1956</v>
      </c>
      <c r="L3967" s="11" t="s">
        <v>526</v>
      </c>
      <c r="M3967" s="11" t="s">
        <v>24591</v>
      </c>
      <c r="N3967" s="11" t="s">
        <v>128</v>
      </c>
      <c r="O3967" s="11" t="s">
        <v>24592</v>
      </c>
      <c r="P3967" s="11" t="s">
        <v>24593</v>
      </c>
      <c r="Q3967" s="11" t="s">
        <v>150</v>
      </c>
      <c r="R3967" s="11"/>
      <c r="S3967" s="11" t="s">
        <v>71</v>
      </c>
      <c r="T3967" s="11" t="s">
        <v>67</v>
      </c>
      <c r="U3967" s="11" t="s">
        <v>150</v>
      </c>
      <c r="V3967" s="11" t="s">
        <v>152</v>
      </c>
      <c r="W3967" s="11" t="s">
        <v>67</v>
      </c>
      <c r="X3967" s="11">
        <v>1</v>
      </c>
      <c r="Y3967" s="11" t="s">
        <v>12359</v>
      </c>
      <c r="Z3967" s="11">
        <v>20</v>
      </c>
      <c r="AA3967" s="11">
        <v>0</v>
      </c>
      <c r="AB3967" s="12">
        <v>0</v>
      </c>
    </row>
    <row r="3968" spans="1:28" x14ac:dyDescent="0.2">
      <c r="A3968" s="7">
        <v>214645</v>
      </c>
      <c r="B3968" s="8" t="s">
        <v>24594</v>
      </c>
      <c r="C3968" s="8" t="s">
        <v>24595</v>
      </c>
      <c r="D3968" s="8" t="s">
        <v>4880</v>
      </c>
      <c r="E3968" s="8"/>
      <c r="F3968" s="8" t="s">
        <v>24596</v>
      </c>
      <c r="G3968" s="8" t="s">
        <v>10624</v>
      </c>
      <c r="H3968" s="8" t="s">
        <v>6410</v>
      </c>
      <c r="I3968" s="8" t="s">
        <v>10498</v>
      </c>
      <c r="J3968" s="8" t="s">
        <v>24597</v>
      </c>
      <c r="K3968" s="8" t="s">
        <v>1956</v>
      </c>
      <c r="L3968" s="8" t="s">
        <v>526</v>
      </c>
      <c r="M3968" s="8" t="s">
        <v>24598</v>
      </c>
      <c r="N3968" s="8" t="s">
        <v>128</v>
      </c>
      <c r="O3968" s="8" t="s">
        <v>24599</v>
      </c>
      <c r="P3968" s="8" t="s">
        <v>24600</v>
      </c>
      <c r="Q3968" s="8" t="s">
        <v>150</v>
      </c>
      <c r="R3968" s="8"/>
      <c r="S3968" s="8" t="s">
        <v>71</v>
      </c>
      <c r="T3968" s="8" t="s">
        <v>67</v>
      </c>
      <c r="U3968" s="8" t="s">
        <v>150</v>
      </c>
      <c r="V3968" s="8" t="s">
        <v>152</v>
      </c>
      <c r="W3968" s="8" t="s">
        <v>67</v>
      </c>
      <c r="X3968" s="8">
        <v>1</v>
      </c>
      <c r="Y3968" s="8" t="s">
        <v>12359</v>
      </c>
      <c r="Z3968" s="8">
        <v>20</v>
      </c>
      <c r="AA3968" s="8">
        <v>0</v>
      </c>
      <c r="AB3968" s="9">
        <v>0</v>
      </c>
    </row>
    <row r="3969" spans="1:28" x14ac:dyDescent="0.2">
      <c r="A3969" s="10">
        <v>221760</v>
      </c>
      <c r="B3969" s="11" t="s">
        <v>24601</v>
      </c>
      <c r="C3969" s="11" t="s">
        <v>3012</v>
      </c>
      <c r="D3969" s="11" t="s">
        <v>24602</v>
      </c>
      <c r="E3969" s="11"/>
      <c r="F3969" s="11" t="s">
        <v>1951</v>
      </c>
      <c r="G3969" s="11" t="s">
        <v>1952</v>
      </c>
      <c r="H3969" s="11" t="s">
        <v>1953</v>
      </c>
      <c r="I3969" s="11" t="s">
        <v>3839</v>
      </c>
      <c r="J3969" s="11" t="s">
        <v>24603</v>
      </c>
      <c r="K3969" s="11" t="s">
        <v>1956</v>
      </c>
      <c r="L3969" s="11" t="s">
        <v>526</v>
      </c>
      <c r="M3969" s="11" t="s">
        <v>24604</v>
      </c>
      <c r="N3969" s="11" t="s">
        <v>128</v>
      </c>
      <c r="O3969" s="11" t="s">
        <v>24605</v>
      </c>
      <c r="P3969" s="11" t="s">
        <v>24606</v>
      </c>
      <c r="Q3969" s="11" t="s">
        <v>150</v>
      </c>
      <c r="R3969" s="11"/>
      <c r="S3969" s="11" t="s">
        <v>71</v>
      </c>
      <c r="T3969" s="11" t="s">
        <v>67</v>
      </c>
      <c r="U3969" s="11" t="s">
        <v>150</v>
      </c>
      <c r="V3969" s="11" t="s">
        <v>152</v>
      </c>
      <c r="W3969" s="11" t="s">
        <v>67</v>
      </c>
      <c r="X3969" s="11">
        <v>1</v>
      </c>
      <c r="Y3969" s="11" t="s">
        <v>12359</v>
      </c>
      <c r="Z3969" s="11">
        <v>20</v>
      </c>
      <c r="AA3969" s="11">
        <v>0</v>
      </c>
      <c r="AB3969" s="12">
        <v>0</v>
      </c>
    </row>
    <row r="3970" spans="1:28" x14ac:dyDescent="0.2">
      <c r="A3970" s="7">
        <v>26206</v>
      </c>
      <c r="B3970" s="8" t="s">
        <v>24607</v>
      </c>
      <c r="C3970" s="8" t="s">
        <v>4010</v>
      </c>
      <c r="D3970" s="8" t="s">
        <v>24608</v>
      </c>
      <c r="E3970" s="8"/>
      <c r="F3970" s="8"/>
      <c r="G3970" s="8" t="s">
        <v>4012</v>
      </c>
      <c r="H3970" s="8" t="s">
        <v>671</v>
      </c>
      <c r="I3970" s="8" t="s">
        <v>8546</v>
      </c>
      <c r="J3970" s="8" t="s">
        <v>24609</v>
      </c>
      <c r="K3970" s="8" t="s">
        <v>572</v>
      </c>
      <c r="L3970" s="8" t="s">
        <v>333</v>
      </c>
      <c r="M3970" s="8" t="s">
        <v>24610</v>
      </c>
      <c r="N3970" s="8" t="s">
        <v>128</v>
      </c>
      <c r="O3970" s="8"/>
      <c r="P3970" s="8"/>
      <c r="Q3970" s="8" t="s">
        <v>150</v>
      </c>
      <c r="R3970" s="8"/>
      <c r="S3970" s="8" t="s">
        <v>71</v>
      </c>
      <c r="T3970" s="8" t="s">
        <v>67</v>
      </c>
      <c r="U3970" s="8" t="s">
        <v>150</v>
      </c>
      <c r="V3970" s="8" t="s">
        <v>152</v>
      </c>
      <c r="W3970" s="8" t="s">
        <v>67</v>
      </c>
      <c r="X3970" s="8">
        <v>1</v>
      </c>
      <c r="Y3970" s="8" t="s">
        <v>12359</v>
      </c>
      <c r="Z3970" s="8">
        <v>20</v>
      </c>
      <c r="AA3970" s="8">
        <v>0</v>
      </c>
      <c r="AB3970" s="9">
        <v>0</v>
      </c>
    </row>
    <row r="3971" spans="1:28" x14ac:dyDescent="0.2">
      <c r="A3971" s="10">
        <v>21711</v>
      </c>
      <c r="B3971" s="11" t="s">
        <v>24611</v>
      </c>
      <c r="C3971" s="11" t="s">
        <v>16185</v>
      </c>
      <c r="D3971" s="11" t="s">
        <v>6473</v>
      </c>
      <c r="E3971" s="11"/>
      <c r="F3971" s="11" t="s">
        <v>353</v>
      </c>
      <c r="G3971" s="11" t="s">
        <v>24612</v>
      </c>
      <c r="H3971" s="11" t="s">
        <v>142</v>
      </c>
      <c r="I3971" s="11" t="s">
        <v>24613</v>
      </c>
      <c r="J3971" s="11" t="s">
        <v>24614</v>
      </c>
      <c r="K3971" s="11" t="s">
        <v>1029</v>
      </c>
      <c r="L3971" s="11" t="s">
        <v>464</v>
      </c>
      <c r="M3971" s="11" t="s">
        <v>24615</v>
      </c>
      <c r="N3971" s="11" t="s">
        <v>128</v>
      </c>
      <c r="O3971" s="11"/>
      <c r="P3971" s="11"/>
      <c r="Q3971" s="11" t="s">
        <v>150</v>
      </c>
      <c r="R3971" s="11"/>
      <c r="S3971" s="11" t="s">
        <v>71</v>
      </c>
      <c r="T3971" s="11" t="s">
        <v>67</v>
      </c>
      <c r="U3971" s="11" t="s">
        <v>150</v>
      </c>
      <c r="V3971" s="11" t="s">
        <v>152</v>
      </c>
      <c r="W3971" s="11" t="s">
        <v>67</v>
      </c>
      <c r="X3971" s="11">
        <v>1</v>
      </c>
      <c r="Y3971" s="11" t="s">
        <v>12359</v>
      </c>
      <c r="Z3971" s="11">
        <v>20</v>
      </c>
      <c r="AA3971" s="11">
        <v>0</v>
      </c>
      <c r="AB3971" s="12">
        <v>0</v>
      </c>
    </row>
    <row r="3972" spans="1:28" x14ac:dyDescent="0.2">
      <c r="A3972" s="7">
        <v>26175</v>
      </c>
      <c r="B3972" s="8" t="s">
        <v>24616</v>
      </c>
      <c r="C3972" s="8" t="s">
        <v>19605</v>
      </c>
      <c r="D3972" s="8" t="s">
        <v>11553</v>
      </c>
      <c r="E3972" s="8"/>
      <c r="F3972" s="8" t="s">
        <v>353</v>
      </c>
      <c r="G3972" s="8" t="s">
        <v>19606</v>
      </c>
      <c r="H3972" s="8" t="s">
        <v>142</v>
      </c>
      <c r="I3972" s="8" t="s">
        <v>19607</v>
      </c>
      <c r="J3972" s="8" t="s">
        <v>19608</v>
      </c>
      <c r="K3972" s="8" t="s">
        <v>1673</v>
      </c>
      <c r="L3972" s="8" t="s">
        <v>464</v>
      </c>
      <c r="M3972" s="8" t="s">
        <v>24617</v>
      </c>
      <c r="N3972" s="8" t="s">
        <v>128</v>
      </c>
      <c r="O3972" s="8"/>
      <c r="P3972" s="8"/>
      <c r="Q3972" s="8" t="s">
        <v>150</v>
      </c>
      <c r="R3972" s="8"/>
      <c r="S3972" s="8" t="s">
        <v>71</v>
      </c>
      <c r="T3972" s="8" t="s">
        <v>67</v>
      </c>
      <c r="U3972" s="8" t="s">
        <v>150</v>
      </c>
      <c r="V3972" s="8" t="s">
        <v>152</v>
      </c>
      <c r="W3972" s="8" t="s">
        <v>67</v>
      </c>
      <c r="X3972" s="8">
        <v>1</v>
      </c>
      <c r="Y3972" s="8" t="s">
        <v>12359</v>
      </c>
      <c r="Z3972" s="8">
        <v>20</v>
      </c>
      <c r="AA3972" s="8">
        <v>0</v>
      </c>
      <c r="AB3972" s="9">
        <v>0</v>
      </c>
    </row>
    <row r="3973" spans="1:28" x14ac:dyDescent="0.2">
      <c r="A3973" s="10">
        <v>22084</v>
      </c>
      <c r="B3973" s="11" t="s">
        <v>24618</v>
      </c>
      <c r="C3973" s="11" t="s">
        <v>842</v>
      </c>
      <c r="D3973" s="11" t="s">
        <v>826</v>
      </c>
      <c r="E3973" s="11" t="s">
        <v>4666</v>
      </c>
      <c r="F3973" s="11" t="s">
        <v>2953</v>
      </c>
      <c r="G3973" s="11" t="s">
        <v>1026</v>
      </c>
      <c r="H3973" s="11" t="s">
        <v>142</v>
      </c>
      <c r="I3973" s="11" t="s">
        <v>2946</v>
      </c>
      <c r="J3973" s="11" t="s">
        <v>2954</v>
      </c>
      <c r="K3973" s="11" t="s">
        <v>1029</v>
      </c>
      <c r="L3973" s="11" t="s">
        <v>464</v>
      </c>
      <c r="M3973" s="11" t="s">
        <v>24619</v>
      </c>
      <c r="N3973" s="11" t="s">
        <v>128</v>
      </c>
      <c r="O3973" s="11" t="s">
        <v>24620</v>
      </c>
      <c r="P3973" s="11"/>
      <c r="Q3973" s="11" t="s">
        <v>131</v>
      </c>
      <c r="R3973" s="11"/>
      <c r="S3973" s="11" t="s">
        <v>2950</v>
      </c>
      <c r="T3973" s="11" t="s">
        <v>983</v>
      </c>
      <c r="U3973" s="11" t="s">
        <v>134</v>
      </c>
      <c r="V3973" s="11" t="s">
        <v>131</v>
      </c>
      <c r="W3973" s="11" t="s">
        <v>983</v>
      </c>
      <c r="X3973" s="11">
        <v>1</v>
      </c>
      <c r="Y3973" s="11" t="s">
        <v>12359</v>
      </c>
      <c r="Z3973" s="11">
        <v>20</v>
      </c>
      <c r="AA3973" s="11">
        <v>0</v>
      </c>
      <c r="AB3973" s="12">
        <v>0</v>
      </c>
    </row>
    <row r="3974" spans="1:28" x14ac:dyDescent="0.2">
      <c r="A3974" s="7">
        <v>24028</v>
      </c>
      <c r="B3974" s="8" t="s">
        <v>24621</v>
      </c>
      <c r="C3974" s="8" t="s">
        <v>552</v>
      </c>
      <c r="D3974" s="8" t="s">
        <v>789</v>
      </c>
      <c r="E3974" s="8" t="s">
        <v>19036</v>
      </c>
      <c r="F3974" s="8" t="s">
        <v>1479</v>
      </c>
      <c r="G3974" s="8" t="s">
        <v>556</v>
      </c>
      <c r="H3974" s="8" t="s">
        <v>557</v>
      </c>
      <c r="I3974" s="8" t="s">
        <v>2578</v>
      </c>
      <c r="J3974" s="8" t="s">
        <v>2579</v>
      </c>
      <c r="K3974" s="8" t="s">
        <v>560</v>
      </c>
      <c r="L3974" s="8" t="s">
        <v>229</v>
      </c>
      <c r="M3974" s="8" t="s">
        <v>24622</v>
      </c>
      <c r="N3974" s="8" t="s">
        <v>128</v>
      </c>
      <c r="O3974" s="8" t="s">
        <v>24623</v>
      </c>
      <c r="P3974" s="8"/>
      <c r="Q3974" s="8" t="s">
        <v>131</v>
      </c>
      <c r="R3974" s="8"/>
      <c r="S3974" s="8" t="s">
        <v>796</v>
      </c>
      <c r="T3974" s="8" t="s">
        <v>983</v>
      </c>
      <c r="U3974" s="8" t="s">
        <v>134</v>
      </c>
      <c r="V3974" s="8" t="s">
        <v>131</v>
      </c>
      <c r="W3974" s="8" t="s">
        <v>983</v>
      </c>
      <c r="X3974" s="8">
        <v>1</v>
      </c>
      <c r="Y3974" s="8" t="s">
        <v>12359</v>
      </c>
      <c r="Z3974" s="8">
        <v>20</v>
      </c>
      <c r="AA3974" s="8">
        <v>0</v>
      </c>
      <c r="AB3974" s="9">
        <v>0</v>
      </c>
    </row>
    <row r="3975" spans="1:28" x14ac:dyDescent="0.2">
      <c r="A3975" s="10">
        <v>107486</v>
      </c>
      <c r="B3975" s="11" t="s">
        <v>24624</v>
      </c>
      <c r="C3975" s="11" t="s">
        <v>24625</v>
      </c>
      <c r="D3975" s="11" t="s">
        <v>24626</v>
      </c>
      <c r="E3975" s="11" t="s">
        <v>24627</v>
      </c>
      <c r="F3975" s="11" t="s">
        <v>24628</v>
      </c>
      <c r="G3975" s="11" t="s">
        <v>2676</v>
      </c>
      <c r="H3975" s="11" t="s">
        <v>142</v>
      </c>
      <c r="I3975" s="11" t="s">
        <v>24629</v>
      </c>
      <c r="J3975" s="11" t="s">
        <v>24630</v>
      </c>
      <c r="K3975" s="11" t="s">
        <v>779</v>
      </c>
      <c r="L3975" s="11" t="s">
        <v>464</v>
      </c>
      <c r="M3975" s="11" t="s">
        <v>24631</v>
      </c>
      <c r="N3975" s="11" t="s">
        <v>128</v>
      </c>
      <c r="O3975" s="11" t="s">
        <v>24632</v>
      </c>
      <c r="P3975" s="11"/>
      <c r="Q3975" s="11" t="s">
        <v>131</v>
      </c>
      <c r="R3975" s="11"/>
      <c r="S3975" s="11" t="s">
        <v>24633</v>
      </c>
      <c r="T3975" s="11" t="s">
        <v>983</v>
      </c>
      <c r="U3975" s="11" t="s">
        <v>134</v>
      </c>
      <c r="V3975" s="11" t="s">
        <v>131</v>
      </c>
      <c r="W3975" s="11" t="s">
        <v>983</v>
      </c>
      <c r="X3975" s="11">
        <v>1</v>
      </c>
      <c r="Y3975" s="11" t="s">
        <v>12359</v>
      </c>
      <c r="Z3975" s="11">
        <v>20</v>
      </c>
      <c r="AA3975" s="11">
        <v>0</v>
      </c>
      <c r="AB3975" s="12">
        <v>0</v>
      </c>
    </row>
    <row r="3976" spans="1:28" x14ac:dyDescent="0.2">
      <c r="A3976" s="7">
        <v>111698</v>
      </c>
      <c r="B3976" s="8" t="s">
        <v>24634</v>
      </c>
      <c r="C3976" s="8" t="s">
        <v>18085</v>
      </c>
      <c r="D3976" s="8" t="s">
        <v>18086</v>
      </c>
      <c r="E3976" s="8" t="s">
        <v>24635</v>
      </c>
      <c r="F3976" s="8" t="s">
        <v>24636</v>
      </c>
      <c r="G3976" s="8" t="s">
        <v>4513</v>
      </c>
      <c r="H3976" s="8" t="s">
        <v>847</v>
      </c>
      <c r="I3976" s="8" t="s">
        <v>18089</v>
      </c>
      <c r="J3976" s="8" t="s">
        <v>18090</v>
      </c>
      <c r="K3976" s="8" t="s">
        <v>1091</v>
      </c>
      <c r="L3976" s="8" t="s">
        <v>126</v>
      </c>
      <c r="M3976" s="8" t="s">
        <v>24637</v>
      </c>
      <c r="N3976" s="8" t="s">
        <v>128</v>
      </c>
      <c r="O3976" s="8" t="s">
        <v>24638</v>
      </c>
      <c r="P3976" s="8"/>
      <c r="Q3976" s="8" t="s">
        <v>131</v>
      </c>
      <c r="R3976" s="8"/>
      <c r="S3976" s="8" t="s">
        <v>18094</v>
      </c>
      <c r="T3976" s="8" t="s">
        <v>983</v>
      </c>
      <c r="U3976" s="8" t="s">
        <v>134</v>
      </c>
      <c r="V3976" s="8" t="s">
        <v>131</v>
      </c>
      <c r="W3976" s="8" t="s">
        <v>983</v>
      </c>
      <c r="X3976" s="8">
        <v>1</v>
      </c>
      <c r="Y3976" s="8" t="s">
        <v>12359</v>
      </c>
      <c r="Z3976" s="8">
        <v>20</v>
      </c>
      <c r="AA3976" s="8">
        <v>0</v>
      </c>
      <c r="AB3976" s="9">
        <v>0</v>
      </c>
    </row>
    <row r="3977" spans="1:28" x14ac:dyDescent="0.2">
      <c r="A3977" s="10">
        <v>219346</v>
      </c>
      <c r="B3977" s="11" t="s">
        <v>24639</v>
      </c>
      <c r="C3977" s="11" t="s">
        <v>1034</v>
      </c>
      <c r="D3977" s="11" t="s">
        <v>1035</v>
      </c>
      <c r="E3977" s="11" t="s">
        <v>14444</v>
      </c>
      <c r="F3977" s="11" t="s">
        <v>1037</v>
      </c>
      <c r="G3977" s="11" t="s">
        <v>703</v>
      </c>
      <c r="H3977" s="11" t="s">
        <v>704</v>
      </c>
      <c r="I3977" s="11" t="s">
        <v>13581</v>
      </c>
      <c r="J3977" s="11" t="s">
        <v>1039</v>
      </c>
      <c r="K3977" s="11" t="s">
        <v>707</v>
      </c>
      <c r="L3977" s="11" t="s">
        <v>126</v>
      </c>
      <c r="M3977" s="11" t="s">
        <v>24640</v>
      </c>
      <c r="N3977" s="11" t="s">
        <v>128</v>
      </c>
      <c r="O3977" s="11" t="s">
        <v>24641</v>
      </c>
      <c r="P3977" s="11"/>
      <c r="Q3977" s="11" t="s">
        <v>131</v>
      </c>
      <c r="R3977" s="11"/>
      <c r="S3977" s="11" t="s">
        <v>1043</v>
      </c>
      <c r="T3977" s="11" t="s">
        <v>983</v>
      </c>
      <c r="U3977" s="11" t="s">
        <v>134</v>
      </c>
      <c r="V3977" s="11" t="s">
        <v>131</v>
      </c>
      <c r="W3977" s="11" t="s">
        <v>983</v>
      </c>
      <c r="X3977" s="11">
        <v>1</v>
      </c>
      <c r="Y3977" s="11" t="s">
        <v>12359</v>
      </c>
      <c r="Z3977" s="11">
        <v>20</v>
      </c>
      <c r="AA3977" s="11">
        <v>0</v>
      </c>
      <c r="AB3977" s="12">
        <v>0</v>
      </c>
    </row>
    <row r="3978" spans="1:28" x14ac:dyDescent="0.2">
      <c r="A3978" s="7">
        <v>119452</v>
      </c>
      <c r="B3978" s="8" t="s">
        <v>24642</v>
      </c>
      <c r="C3978" s="8" t="s">
        <v>2481</v>
      </c>
      <c r="D3978" s="8" t="s">
        <v>8106</v>
      </c>
      <c r="E3978" s="8" t="s">
        <v>15729</v>
      </c>
      <c r="F3978" s="8" t="s">
        <v>353</v>
      </c>
      <c r="G3978" s="8" t="s">
        <v>21478</v>
      </c>
      <c r="H3978" s="8" t="s">
        <v>557</v>
      </c>
      <c r="I3978" s="8" t="s">
        <v>24643</v>
      </c>
      <c r="J3978" s="8" t="s">
        <v>24644</v>
      </c>
      <c r="K3978" s="8" t="s">
        <v>560</v>
      </c>
      <c r="L3978" s="8" t="s">
        <v>229</v>
      </c>
      <c r="M3978" s="8" t="s">
        <v>24645</v>
      </c>
      <c r="N3978" s="8" t="s">
        <v>128</v>
      </c>
      <c r="O3978" s="8" t="s">
        <v>24646</v>
      </c>
      <c r="P3978" s="8"/>
      <c r="Q3978" s="8" t="s">
        <v>131</v>
      </c>
      <c r="R3978" s="8"/>
      <c r="S3978" s="8" t="s">
        <v>71</v>
      </c>
      <c r="T3978" s="8" t="s">
        <v>983</v>
      </c>
      <c r="U3978" s="8" t="s">
        <v>134</v>
      </c>
      <c r="V3978" s="8" t="s">
        <v>131</v>
      </c>
      <c r="W3978" s="8" t="s">
        <v>983</v>
      </c>
      <c r="X3978" s="8">
        <v>1</v>
      </c>
      <c r="Y3978" s="8" t="s">
        <v>12359</v>
      </c>
      <c r="Z3978" s="8">
        <v>20</v>
      </c>
      <c r="AA3978" s="8">
        <v>0</v>
      </c>
      <c r="AB3978" s="9">
        <v>0</v>
      </c>
    </row>
    <row r="3979" spans="1:28" x14ac:dyDescent="0.2">
      <c r="A3979" s="10">
        <v>37829</v>
      </c>
      <c r="B3979" s="11" t="s">
        <v>24647</v>
      </c>
      <c r="C3979" s="11" t="s">
        <v>24648</v>
      </c>
      <c r="D3979" s="11" t="s">
        <v>7326</v>
      </c>
      <c r="E3979" s="11"/>
      <c r="F3979" s="11" t="s">
        <v>5803</v>
      </c>
      <c r="G3979" s="11" t="s">
        <v>5804</v>
      </c>
      <c r="H3979" s="11" t="s">
        <v>5805</v>
      </c>
      <c r="I3979" s="11" t="s">
        <v>12647</v>
      </c>
      <c r="J3979" s="11" t="s">
        <v>24649</v>
      </c>
      <c r="K3979" s="11" t="s">
        <v>274</v>
      </c>
      <c r="L3979" s="11" t="s">
        <v>163</v>
      </c>
      <c r="M3979" s="11" t="s">
        <v>24650</v>
      </c>
      <c r="N3979" s="11" t="s">
        <v>128</v>
      </c>
      <c r="O3979" s="11" t="s">
        <v>24651</v>
      </c>
      <c r="P3979" s="11"/>
      <c r="Q3979" s="11" t="s">
        <v>131</v>
      </c>
      <c r="R3979" s="11"/>
      <c r="S3979" s="11" t="s">
        <v>24652</v>
      </c>
      <c r="T3979" s="11" t="s">
        <v>983</v>
      </c>
      <c r="U3979" s="11" t="s">
        <v>134</v>
      </c>
      <c r="V3979" s="11" t="s">
        <v>131</v>
      </c>
      <c r="W3979" s="11" t="s">
        <v>983</v>
      </c>
      <c r="X3979" s="11">
        <v>1</v>
      </c>
      <c r="Y3979" s="11" t="s">
        <v>12359</v>
      </c>
      <c r="Z3979" s="11">
        <v>20</v>
      </c>
      <c r="AA3979" s="11">
        <v>0</v>
      </c>
      <c r="AB3979" s="12">
        <v>0</v>
      </c>
    </row>
    <row r="3980" spans="1:28" x14ac:dyDescent="0.2">
      <c r="A3980" s="7">
        <v>117170</v>
      </c>
      <c r="B3980" s="8" t="s">
        <v>24653</v>
      </c>
      <c r="C3980" s="8" t="s">
        <v>10875</v>
      </c>
      <c r="D3980" s="8" t="s">
        <v>9815</v>
      </c>
      <c r="E3980" s="8"/>
      <c r="F3980" s="8" t="s">
        <v>9816</v>
      </c>
      <c r="G3980" s="8" t="s">
        <v>190</v>
      </c>
      <c r="H3980" s="8" t="s">
        <v>191</v>
      </c>
      <c r="I3980" s="8" t="s">
        <v>9817</v>
      </c>
      <c r="J3980" s="8" t="s">
        <v>10877</v>
      </c>
      <c r="K3980" s="8" t="s">
        <v>194</v>
      </c>
      <c r="L3980" s="8" t="s">
        <v>163</v>
      </c>
      <c r="M3980" s="8" t="s">
        <v>24654</v>
      </c>
      <c r="N3980" s="8" t="s">
        <v>128</v>
      </c>
      <c r="O3980" s="8" t="s">
        <v>24655</v>
      </c>
      <c r="P3980" s="8"/>
      <c r="Q3980" s="8" t="s">
        <v>131</v>
      </c>
      <c r="R3980" s="8"/>
      <c r="S3980" s="8" t="s">
        <v>9822</v>
      </c>
      <c r="T3980" s="8" t="s">
        <v>983</v>
      </c>
      <c r="U3980" s="8" t="s">
        <v>134</v>
      </c>
      <c r="V3980" s="8" t="s">
        <v>131</v>
      </c>
      <c r="W3980" s="8" t="s">
        <v>983</v>
      </c>
      <c r="X3980" s="8">
        <v>1</v>
      </c>
      <c r="Y3980" s="8" t="s">
        <v>12359</v>
      </c>
      <c r="Z3980" s="8">
        <v>20</v>
      </c>
      <c r="AA3980" s="8">
        <v>0</v>
      </c>
      <c r="AB3980" s="9">
        <v>0</v>
      </c>
    </row>
    <row r="3981" spans="1:28" x14ac:dyDescent="0.2">
      <c r="A3981" s="10">
        <v>124564</v>
      </c>
      <c r="B3981" s="11" t="s">
        <v>24656</v>
      </c>
      <c r="C3981" s="11" t="s">
        <v>17908</v>
      </c>
      <c r="D3981" s="11" t="s">
        <v>10600</v>
      </c>
      <c r="E3981" s="11"/>
      <c r="F3981" s="11" t="s">
        <v>24657</v>
      </c>
      <c r="G3981" s="11" t="s">
        <v>9598</v>
      </c>
      <c r="H3981" s="11" t="s">
        <v>704</v>
      </c>
      <c r="I3981" s="11" t="s">
        <v>16202</v>
      </c>
      <c r="J3981" s="11" t="s">
        <v>24658</v>
      </c>
      <c r="K3981" s="11" t="s">
        <v>707</v>
      </c>
      <c r="L3981" s="11" t="s">
        <v>126</v>
      </c>
      <c r="M3981" s="11" t="s">
        <v>24659</v>
      </c>
      <c r="N3981" s="11" t="s">
        <v>128</v>
      </c>
      <c r="O3981" s="11" t="s">
        <v>24660</v>
      </c>
      <c r="P3981" s="11"/>
      <c r="Q3981" s="11" t="s">
        <v>131</v>
      </c>
      <c r="R3981" s="11"/>
      <c r="S3981" s="11" t="s">
        <v>16206</v>
      </c>
      <c r="T3981" s="11" t="s">
        <v>983</v>
      </c>
      <c r="U3981" s="11" t="s">
        <v>134</v>
      </c>
      <c r="V3981" s="11" t="s">
        <v>131</v>
      </c>
      <c r="W3981" s="11" t="s">
        <v>983</v>
      </c>
      <c r="X3981" s="11">
        <v>1</v>
      </c>
      <c r="Y3981" s="11" t="s">
        <v>12359</v>
      </c>
      <c r="Z3981" s="11">
        <v>20</v>
      </c>
      <c r="AA3981" s="11">
        <v>0</v>
      </c>
      <c r="AB3981" s="12">
        <v>0</v>
      </c>
    </row>
    <row r="3982" spans="1:28" x14ac:dyDescent="0.2">
      <c r="A3982" s="7">
        <v>212515</v>
      </c>
      <c r="B3982" s="8" t="s">
        <v>24661</v>
      </c>
      <c r="C3982" s="8" t="s">
        <v>9750</v>
      </c>
      <c r="D3982" s="8" t="s">
        <v>9100</v>
      </c>
      <c r="E3982" s="8"/>
      <c r="F3982" s="8" t="s">
        <v>24662</v>
      </c>
      <c r="G3982" s="8" t="s">
        <v>556</v>
      </c>
      <c r="H3982" s="8" t="s">
        <v>557</v>
      </c>
      <c r="I3982" s="8" t="s">
        <v>20405</v>
      </c>
      <c r="J3982" s="8" t="s">
        <v>24663</v>
      </c>
      <c r="K3982" s="8" t="s">
        <v>560</v>
      </c>
      <c r="L3982" s="8" t="s">
        <v>229</v>
      </c>
      <c r="M3982" s="8" t="s">
        <v>24664</v>
      </c>
      <c r="N3982" s="8" t="s">
        <v>128</v>
      </c>
      <c r="O3982" s="8" t="s">
        <v>24665</v>
      </c>
      <c r="P3982" s="8"/>
      <c r="Q3982" s="8" t="s">
        <v>131</v>
      </c>
      <c r="R3982" s="8"/>
      <c r="S3982" s="8" t="s">
        <v>24666</v>
      </c>
      <c r="T3982" s="8" t="s">
        <v>983</v>
      </c>
      <c r="U3982" s="8" t="s">
        <v>134</v>
      </c>
      <c r="V3982" s="8" t="s">
        <v>131</v>
      </c>
      <c r="W3982" s="8" t="s">
        <v>983</v>
      </c>
      <c r="X3982" s="8">
        <v>1</v>
      </c>
      <c r="Y3982" s="8" t="s">
        <v>12359</v>
      </c>
      <c r="Z3982" s="8">
        <v>20</v>
      </c>
      <c r="AA3982" s="8">
        <v>0</v>
      </c>
      <c r="AB3982" s="9">
        <v>0</v>
      </c>
    </row>
    <row r="3983" spans="1:28" x14ac:dyDescent="0.2">
      <c r="A3983" s="10">
        <v>236335</v>
      </c>
      <c r="B3983" s="11" t="s">
        <v>24667</v>
      </c>
      <c r="C3983" s="11" t="s">
        <v>22141</v>
      </c>
      <c r="D3983" s="11" t="s">
        <v>10534</v>
      </c>
      <c r="E3983" s="11"/>
      <c r="F3983" s="11" t="s">
        <v>21572</v>
      </c>
      <c r="G3983" s="11" t="s">
        <v>158</v>
      </c>
      <c r="H3983" s="11" t="s">
        <v>159</v>
      </c>
      <c r="I3983" s="11" t="s">
        <v>24668</v>
      </c>
      <c r="J3983" s="11" t="s">
        <v>22143</v>
      </c>
      <c r="K3983" s="11" t="s">
        <v>162</v>
      </c>
      <c r="L3983" s="11" t="s">
        <v>163</v>
      </c>
      <c r="M3983" s="11" t="s">
        <v>24669</v>
      </c>
      <c r="N3983" s="11" t="s">
        <v>128</v>
      </c>
      <c r="O3983" s="11" t="s">
        <v>24670</v>
      </c>
      <c r="P3983" s="11"/>
      <c r="Q3983" s="11" t="s">
        <v>131</v>
      </c>
      <c r="R3983" s="11"/>
      <c r="S3983" s="11" t="s">
        <v>22146</v>
      </c>
      <c r="T3983" s="11" t="s">
        <v>983</v>
      </c>
      <c r="U3983" s="11" t="s">
        <v>134</v>
      </c>
      <c r="V3983" s="11" t="s">
        <v>131</v>
      </c>
      <c r="W3983" s="11" t="s">
        <v>983</v>
      </c>
      <c r="X3983" s="11">
        <v>1</v>
      </c>
      <c r="Y3983" s="11" t="s">
        <v>12359</v>
      </c>
      <c r="Z3983" s="11">
        <v>20</v>
      </c>
      <c r="AA3983" s="11">
        <v>0</v>
      </c>
      <c r="AB3983" s="12">
        <v>0</v>
      </c>
    </row>
    <row r="3984" spans="1:28" x14ac:dyDescent="0.2">
      <c r="A3984" s="7">
        <v>240279</v>
      </c>
      <c r="B3984" s="8" t="s">
        <v>24671</v>
      </c>
      <c r="C3984" s="8" t="s">
        <v>15917</v>
      </c>
      <c r="D3984" s="8" t="s">
        <v>2454</v>
      </c>
      <c r="E3984" s="8"/>
      <c r="F3984" s="8" t="s">
        <v>15918</v>
      </c>
      <c r="G3984" s="8" t="s">
        <v>6005</v>
      </c>
      <c r="H3984" s="8" t="s">
        <v>5805</v>
      </c>
      <c r="I3984" s="8" t="s">
        <v>15920</v>
      </c>
      <c r="J3984" s="8" t="s">
        <v>15921</v>
      </c>
      <c r="K3984" s="8" t="s">
        <v>274</v>
      </c>
      <c r="L3984" s="8" t="s">
        <v>163</v>
      </c>
      <c r="M3984" s="8" t="s">
        <v>24672</v>
      </c>
      <c r="N3984" s="8" t="s">
        <v>128</v>
      </c>
      <c r="O3984" s="8" t="s">
        <v>24673</v>
      </c>
      <c r="P3984" s="8"/>
      <c r="Q3984" s="8" t="s">
        <v>131</v>
      </c>
      <c r="R3984" s="8"/>
      <c r="S3984" s="8" t="s">
        <v>15924</v>
      </c>
      <c r="T3984" s="8" t="s">
        <v>983</v>
      </c>
      <c r="U3984" s="8" t="s">
        <v>134</v>
      </c>
      <c r="V3984" s="8" t="s">
        <v>131</v>
      </c>
      <c r="W3984" s="8" t="s">
        <v>983</v>
      </c>
      <c r="X3984" s="8">
        <v>1</v>
      </c>
      <c r="Y3984" s="8" t="s">
        <v>12359</v>
      </c>
      <c r="Z3984" s="8">
        <v>20</v>
      </c>
      <c r="AA3984" s="8">
        <v>0</v>
      </c>
      <c r="AB3984" s="9">
        <v>0</v>
      </c>
    </row>
    <row r="3985" spans="1:28" x14ac:dyDescent="0.2">
      <c r="A3985" s="10">
        <v>85054</v>
      </c>
      <c r="B3985" s="11" t="s">
        <v>24674</v>
      </c>
      <c r="C3985" s="11" t="s">
        <v>2466</v>
      </c>
      <c r="D3985" s="11" t="s">
        <v>2467</v>
      </c>
      <c r="E3985" s="11"/>
      <c r="F3985" s="11" t="s">
        <v>24675</v>
      </c>
      <c r="G3985" s="11" t="s">
        <v>1952</v>
      </c>
      <c r="H3985" s="11" t="s">
        <v>1953</v>
      </c>
      <c r="I3985" s="11" t="s">
        <v>2470</v>
      </c>
      <c r="J3985" s="11" t="s">
        <v>24676</v>
      </c>
      <c r="K3985" s="11" t="s">
        <v>1956</v>
      </c>
      <c r="L3985" s="11" t="s">
        <v>526</v>
      </c>
      <c r="M3985" s="11" t="s">
        <v>24677</v>
      </c>
      <c r="N3985" s="11" t="s">
        <v>128</v>
      </c>
      <c r="O3985" s="11" t="s">
        <v>23425</v>
      </c>
      <c r="P3985" s="11"/>
      <c r="Q3985" s="11" t="s">
        <v>131</v>
      </c>
      <c r="R3985" s="11"/>
      <c r="S3985" s="11" t="s">
        <v>2475</v>
      </c>
      <c r="T3985" s="11" t="s">
        <v>983</v>
      </c>
      <c r="U3985" s="11" t="s">
        <v>134</v>
      </c>
      <c r="V3985" s="11" t="s">
        <v>131</v>
      </c>
      <c r="W3985" s="11" t="s">
        <v>983</v>
      </c>
      <c r="X3985" s="11">
        <v>1</v>
      </c>
      <c r="Y3985" s="11" t="s">
        <v>12359</v>
      </c>
      <c r="Z3985" s="11">
        <v>20</v>
      </c>
      <c r="AA3985" s="11">
        <v>1</v>
      </c>
      <c r="AB3985" s="12">
        <v>0</v>
      </c>
    </row>
    <row r="3986" spans="1:28" x14ac:dyDescent="0.2">
      <c r="A3986" s="7">
        <v>240316</v>
      </c>
      <c r="B3986" s="8" t="s">
        <v>24678</v>
      </c>
      <c r="C3986" s="8" t="s">
        <v>22706</v>
      </c>
      <c r="D3986" s="8" t="s">
        <v>138</v>
      </c>
      <c r="E3986" s="8"/>
      <c r="F3986" s="8" t="s">
        <v>353</v>
      </c>
      <c r="G3986" s="8" t="s">
        <v>22707</v>
      </c>
      <c r="H3986" s="8" t="s">
        <v>159</v>
      </c>
      <c r="I3986" s="8" t="s">
        <v>24679</v>
      </c>
      <c r="J3986" s="8" t="s">
        <v>24470</v>
      </c>
      <c r="K3986" s="8" t="s">
        <v>274</v>
      </c>
      <c r="L3986" s="8" t="s">
        <v>163</v>
      </c>
      <c r="M3986" s="8" t="s">
        <v>24680</v>
      </c>
      <c r="N3986" s="8" t="s">
        <v>128</v>
      </c>
      <c r="O3986" s="8" t="s">
        <v>24681</v>
      </c>
      <c r="P3986" s="8"/>
      <c r="Q3986" s="8" t="s">
        <v>131</v>
      </c>
      <c r="R3986" s="8"/>
      <c r="S3986" s="8" t="s">
        <v>22713</v>
      </c>
      <c r="T3986" s="8" t="s">
        <v>983</v>
      </c>
      <c r="U3986" s="8" t="s">
        <v>134</v>
      </c>
      <c r="V3986" s="8" t="s">
        <v>131</v>
      </c>
      <c r="W3986" s="8" t="s">
        <v>983</v>
      </c>
      <c r="X3986" s="8">
        <v>1</v>
      </c>
      <c r="Y3986" s="8" t="s">
        <v>12359</v>
      </c>
      <c r="Z3986" s="8">
        <v>20</v>
      </c>
      <c r="AA3986" s="8">
        <v>0</v>
      </c>
      <c r="AB3986" s="9">
        <v>0</v>
      </c>
    </row>
    <row r="3987" spans="1:28" x14ac:dyDescent="0.2">
      <c r="A3987" s="10">
        <v>21789</v>
      </c>
      <c r="B3987" s="11" t="s">
        <v>24682</v>
      </c>
      <c r="C3987" s="11" t="s">
        <v>24683</v>
      </c>
      <c r="D3987" s="11" t="s">
        <v>2802</v>
      </c>
      <c r="E3987" s="11"/>
      <c r="F3987" s="11" t="s">
        <v>353</v>
      </c>
      <c r="G3987" s="11" t="s">
        <v>12213</v>
      </c>
      <c r="H3987" s="11" t="s">
        <v>142</v>
      </c>
      <c r="I3987" s="11" t="s">
        <v>12214</v>
      </c>
      <c r="J3987" s="11" t="s">
        <v>24684</v>
      </c>
      <c r="K3987" s="11" t="s">
        <v>1029</v>
      </c>
      <c r="L3987" s="11" t="s">
        <v>464</v>
      </c>
      <c r="M3987" s="11" t="s">
        <v>24685</v>
      </c>
      <c r="N3987" s="11" t="s">
        <v>128</v>
      </c>
      <c r="O3987" s="11" t="s">
        <v>14830</v>
      </c>
      <c r="P3987" s="11"/>
      <c r="Q3987" s="11" t="s">
        <v>131</v>
      </c>
      <c r="R3987" s="11"/>
      <c r="S3987" s="11" t="s">
        <v>71</v>
      </c>
      <c r="T3987" s="11" t="s">
        <v>983</v>
      </c>
      <c r="U3987" s="11" t="s">
        <v>134</v>
      </c>
      <c r="V3987" s="11" t="s">
        <v>131</v>
      </c>
      <c r="W3987" s="11" t="s">
        <v>983</v>
      </c>
      <c r="X3987" s="11">
        <v>1</v>
      </c>
      <c r="Y3987" s="11" t="s">
        <v>12359</v>
      </c>
      <c r="Z3987" s="11">
        <v>20</v>
      </c>
      <c r="AA3987" s="11">
        <v>0</v>
      </c>
      <c r="AB3987" s="12">
        <v>0</v>
      </c>
    </row>
    <row r="3988" spans="1:28" x14ac:dyDescent="0.2">
      <c r="A3988" s="7">
        <v>22650</v>
      </c>
      <c r="B3988" s="8" t="s">
        <v>24686</v>
      </c>
      <c r="C3988" s="8" t="s">
        <v>18623</v>
      </c>
      <c r="D3988" s="8" t="s">
        <v>24687</v>
      </c>
      <c r="E3988" s="8"/>
      <c r="F3988" s="8" t="s">
        <v>353</v>
      </c>
      <c r="G3988" s="8" t="s">
        <v>18625</v>
      </c>
      <c r="H3988" s="8" t="s">
        <v>142</v>
      </c>
      <c r="I3988" s="8" t="s">
        <v>18626</v>
      </c>
      <c r="J3988" s="8" t="s">
        <v>24688</v>
      </c>
      <c r="K3988" s="8" t="s">
        <v>1673</v>
      </c>
      <c r="L3988" s="8" t="s">
        <v>464</v>
      </c>
      <c r="M3988" s="8" t="s">
        <v>24689</v>
      </c>
      <c r="N3988" s="8" t="s">
        <v>128</v>
      </c>
      <c r="O3988" s="8" t="s">
        <v>24690</v>
      </c>
      <c r="P3988" s="8"/>
      <c r="Q3988" s="8" t="s">
        <v>131</v>
      </c>
      <c r="R3988" s="8"/>
      <c r="S3988" s="8" t="s">
        <v>71</v>
      </c>
      <c r="T3988" s="8" t="s">
        <v>983</v>
      </c>
      <c r="U3988" s="8" t="s">
        <v>134</v>
      </c>
      <c r="V3988" s="8" t="s">
        <v>131</v>
      </c>
      <c r="W3988" s="8" t="s">
        <v>983</v>
      </c>
      <c r="X3988" s="8">
        <v>1</v>
      </c>
      <c r="Y3988" s="8" t="s">
        <v>12359</v>
      </c>
      <c r="Z3988" s="8">
        <v>20</v>
      </c>
      <c r="AA3988" s="8">
        <v>0</v>
      </c>
      <c r="AB3988" s="9">
        <v>0</v>
      </c>
    </row>
    <row r="3989" spans="1:28" x14ac:dyDescent="0.2">
      <c r="A3989" s="10">
        <v>105809</v>
      </c>
      <c r="B3989" s="11" t="s">
        <v>24691</v>
      </c>
      <c r="C3989" s="11" t="s">
        <v>24508</v>
      </c>
      <c r="D3989" s="11" t="s">
        <v>5166</v>
      </c>
      <c r="E3989" s="11"/>
      <c r="F3989" s="11" t="s">
        <v>353</v>
      </c>
      <c r="G3989" s="11" t="s">
        <v>21849</v>
      </c>
      <c r="H3989" s="11" t="s">
        <v>142</v>
      </c>
      <c r="I3989" s="11" t="s">
        <v>21850</v>
      </c>
      <c r="J3989" s="11" t="s">
        <v>24692</v>
      </c>
      <c r="K3989" s="11" t="s">
        <v>1673</v>
      </c>
      <c r="L3989" s="11" t="s">
        <v>464</v>
      </c>
      <c r="M3989" s="11" t="s">
        <v>24693</v>
      </c>
      <c r="N3989" s="11" t="s">
        <v>128</v>
      </c>
      <c r="O3989" s="11" t="s">
        <v>24694</v>
      </c>
      <c r="P3989" s="11"/>
      <c r="Q3989" s="11" t="s">
        <v>131</v>
      </c>
      <c r="R3989" s="11"/>
      <c r="S3989" s="11" t="s">
        <v>71</v>
      </c>
      <c r="T3989" s="11" t="s">
        <v>983</v>
      </c>
      <c r="U3989" s="11" t="s">
        <v>134</v>
      </c>
      <c r="V3989" s="11" t="s">
        <v>131</v>
      </c>
      <c r="W3989" s="11" t="s">
        <v>983</v>
      </c>
      <c r="X3989" s="11">
        <v>1</v>
      </c>
      <c r="Y3989" s="11" t="s">
        <v>12359</v>
      </c>
      <c r="Z3989" s="11">
        <v>20</v>
      </c>
      <c r="AA3989" s="11">
        <v>0</v>
      </c>
      <c r="AB3989" s="12">
        <v>0</v>
      </c>
    </row>
    <row r="3990" spans="1:28" x14ac:dyDescent="0.2">
      <c r="A3990" s="7">
        <v>106013</v>
      </c>
      <c r="B3990" s="8" t="s">
        <v>24695</v>
      </c>
      <c r="C3990" s="8" t="s">
        <v>16185</v>
      </c>
      <c r="D3990" s="8" t="s">
        <v>7614</v>
      </c>
      <c r="E3990" s="8"/>
      <c r="F3990" s="8" t="s">
        <v>353</v>
      </c>
      <c r="G3990" s="8" t="s">
        <v>24612</v>
      </c>
      <c r="H3990" s="8" t="s">
        <v>142</v>
      </c>
      <c r="I3990" s="8" t="s">
        <v>24696</v>
      </c>
      <c r="J3990" s="8" t="s">
        <v>24697</v>
      </c>
      <c r="K3990" s="8" t="s">
        <v>1029</v>
      </c>
      <c r="L3990" s="8" t="s">
        <v>464</v>
      </c>
      <c r="M3990" s="8" t="s">
        <v>24698</v>
      </c>
      <c r="N3990" s="8" t="s">
        <v>128</v>
      </c>
      <c r="O3990" s="8" t="s">
        <v>24699</v>
      </c>
      <c r="P3990" s="8"/>
      <c r="Q3990" s="8" t="s">
        <v>131</v>
      </c>
      <c r="R3990" s="8"/>
      <c r="S3990" s="8" t="s">
        <v>71</v>
      </c>
      <c r="T3990" s="8" t="s">
        <v>983</v>
      </c>
      <c r="U3990" s="8" t="s">
        <v>134</v>
      </c>
      <c r="V3990" s="8" t="s">
        <v>131</v>
      </c>
      <c r="W3990" s="8" t="s">
        <v>983</v>
      </c>
      <c r="X3990" s="8">
        <v>1</v>
      </c>
      <c r="Y3990" s="8" t="s">
        <v>12359</v>
      </c>
      <c r="Z3990" s="8">
        <v>20</v>
      </c>
      <c r="AA3990" s="8">
        <v>0</v>
      </c>
      <c r="AB3990" s="9">
        <v>0</v>
      </c>
    </row>
    <row r="3991" spans="1:28" x14ac:dyDescent="0.2">
      <c r="A3991" s="10">
        <v>117173</v>
      </c>
      <c r="B3991" s="11" t="s">
        <v>24700</v>
      </c>
      <c r="C3991" s="11" t="s">
        <v>3769</v>
      </c>
      <c r="D3991" s="11" t="s">
        <v>10429</v>
      </c>
      <c r="E3991" s="11"/>
      <c r="F3991" s="11" t="s">
        <v>353</v>
      </c>
      <c r="G3991" s="11" t="s">
        <v>21543</v>
      </c>
      <c r="H3991" s="11" t="s">
        <v>142</v>
      </c>
      <c r="I3991" s="11" t="s">
        <v>24701</v>
      </c>
      <c r="J3991" s="11" t="s">
        <v>24702</v>
      </c>
      <c r="K3991" s="11" t="s">
        <v>1673</v>
      </c>
      <c r="L3991" s="11" t="s">
        <v>464</v>
      </c>
      <c r="M3991" s="11" t="s">
        <v>24703</v>
      </c>
      <c r="N3991" s="11" t="s">
        <v>128</v>
      </c>
      <c r="O3991" s="11" t="s">
        <v>24704</v>
      </c>
      <c r="P3991" s="11"/>
      <c r="Q3991" s="11" t="s">
        <v>131</v>
      </c>
      <c r="R3991" s="11"/>
      <c r="S3991" s="11" t="s">
        <v>71</v>
      </c>
      <c r="T3991" s="11" t="s">
        <v>983</v>
      </c>
      <c r="U3991" s="11" t="s">
        <v>134</v>
      </c>
      <c r="V3991" s="11" t="s">
        <v>131</v>
      </c>
      <c r="W3991" s="11" t="s">
        <v>983</v>
      </c>
      <c r="X3991" s="11">
        <v>1</v>
      </c>
      <c r="Y3991" s="11" t="s">
        <v>12359</v>
      </c>
      <c r="Z3991" s="11">
        <v>20</v>
      </c>
      <c r="AA3991" s="11">
        <v>0</v>
      </c>
      <c r="AB3991" s="12">
        <v>0</v>
      </c>
    </row>
    <row r="3992" spans="1:28" x14ac:dyDescent="0.2">
      <c r="A3992" s="7">
        <v>119453</v>
      </c>
      <c r="B3992" s="8" t="s">
        <v>24705</v>
      </c>
      <c r="C3992" s="8" t="s">
        <v>24706</v>
      </c>
      <c r="D3992" s="8" t="s">
        <v>7807</v>
      </c>
      <c r="E3992" s="8"/>
      <c r="F3992" s="8" t="s">
        <v>353</v>
      </c>
      <c r="G3992" s="8" t="s">
        <v>21888</v>
      </c>
      <c r="H3992" s="8" t="s">
        <v>142</v>
      </c>
      <c r="I3992" s="8" t="s">
        <v>24707</v>
      </c>
      <c r="J3992" s="8" t="s">
        <v>24708</v>
      </c>
      <c r="K3992" s="8" t="s">
        <v>779</v>
      </c>
      <c r="L3992" s="8" t="s">
        <v>464</v>
      </c>
      <c r="M3992" s="8" t="s">
        <v>24709</v>
      </c>
      <c r="N3992" s="8" t="s">
        <v>128</v>
      </c>
      <c r="O3992" s="8" t="s">
        <v>24710</v>
      </c>
      <c r="P3992" s="8"/>
      <c r="Q3992" s="8" t="s">
        <v>131</v>
      </c>
      <c r="R3992" s="8"/>
      <c r="S3992" s="8" t="s">
        <v>71</v>
      </c>
      <c r="T3992" s="8" t="s">
        <v>983</v>
      </c>
      <c r="U3992" s="8" t="s">
        <v>134</v>
      </c>
      <c r="V3992" s="8" t="s">
        <v>131</v>
      </c>
      <c r="W3992" s="8" t="s">
        <v>983</v>
      </c>
      <c r="X3992" s="8">
        <v>1</v>
      </c>
      <c r="Y3992" s="8" t="s">
        <v>12359</v>
      </c>
      <c r="Z3992" s="8">
        <v>20</v>
      </c>
      <c r="AA3992" s="8">
        <v>0</v>
      </c>
      <c r="AB3992" s="9">
        <v>0</v>
      </c>
    </row>
    <row r="3993" spans="1:28" x14ac:dyDescent="0.2">
      <c r="A3993" s="10">
        <v>183899</v>
      </c>
      <c r="B3993" s="11" t="s">
        <v>24711</v>
      </c>
      <c r="C3993" s="11" t="s">
        <v>24712</v>
      </c>
      <c r="D3993" s="11" t="s">
        <v>809</v>
      </c>
      <c r="E3993" s="11"/>
      <c r="F3993" s="11" t="s">
        <v>353</v>
      </c>
      <c r="G3993" s="11" t="s">
        <v>24713</v>
      </c>
      <c r="H3993" s="11" t="s">
        <v>142</v>
      </c>
      <c r="I3993" s="11" t="s">
        <v>24714</v>
      </c>
      <c r="J3993" s="11" t="s">
        <v>24715</v>
      </c>
      <c r="K3993" s="11" t="s">
        <v>1199</v>
      </c>
      <c r="L3993" s="11" t="s">
        <v>464</v>
      </c>
      <c r="M3993" s="11" t="s">
        <v>24716</v>
      </c>
      <c r="N3993" s="11" t="s">
        <v>128</v>
      </c>
      <c r="O3993" s="11" t="s">
        <v>24717</v>
      </c>
      <c r="P3993" s="11"/>
      <c r="Q3993" s="11" t="s">
        <v>131</v>
      </c>
      <c r="R3993" s="11"/>
      <c r="S3993" s="11" t="s">
        <v>71</v>
      </c>
      <c r="T3993" s="11" t="s">
        <v>983</v>
      </c>
      <c r="U3993" s="11" t="s">
        <v>134</v>
      </c>
      <c r="V3993" s="11" t="s">
        <v>131</v>
      </c>
      <c r="W3993" s="11" t="s">
        <v>983</v>
      </c>
      <c r="X3993" s="11">
        <v>1</v>
      </c>
      <c r="Y3993" s="11" t="s">
        <v>12359</v>
      </c>
      <c r="Z3993" s="11">
        <v>20</v>
      </c>
      <c r="AA3993" s="11">
        <v>0</v>
      </c>
      <c r="AB3993" s="12">
        <v>0</v>
      </c>
    </row>
    <row r="3994" spans="1:28" x14ac:dyDescent="0.2">
      <c r="A3994" s="7">
        <v>115028</v>
      </c>
      <c r="B3994" s="8" t="s">
        <v>24718</v>
      </c>
      <c r="C3994" s="8" t="s">
        <v>24719</v>
      </c>
      <c r="D3994" s="8" t="s">
        <v>20620</v>
      </c>
      <c r="E3994" s="8"/>
      <c r="F3994" s="8" t="s">
        <v>24720</v>
      </c>
      <c r="G3994" s="8" t="s">
        <v>24567</v>
      </c>
      <c r="H3994" s="8" t="s">
        <v>142</v>
      </c>
      <c r="I3994" s="8" t="s">
        <v>24721</v>
      </c>
      <c r="J3994" s="8" t="s">
        <v>24722</v>
      </c>
      <c r="K3994" s="8" t="s">
        <v>779</v>
      </c>
      <c r="L3994" s="8" t="s">
        <v>464</v>
      </c>
      <c r="M3994" s="8" t="s">
        <v>24723</v>
      </c>
      <c r="N3994" s="8" t="s">
        <v>128</v>
      </c>
      <c r="O3994" s="8" t="s">
        <v>24724</v>
      </c>
      <c r="P3994" s="8"/>
      <c r="Q3994" s="8" t="s">
        <v>131</v>
      </c>
      <c r="R3994" s="8"/>
      <c r="S3994" s="8" t="s">
        <v>71</v>
      </c>
      <c r="T3994" s="8" t="s">
        <v>983</v>
      </c>
      <c r="U3994" s="8" t="s">
        <v>134</v>
      </c>
      <c r="V3994" s="8" t="s">
        <v>131</v>
      </c>
      <c r="W3994" s="8" t="s">
        <v>983</v>
      </c>
      <c r="X3994" s="8">
        <v>1</v>
      </c>
      <c r="Y3994" s="8" t="s">
        <v>12359</v>
      </c>
      <c r="Z3994" s="8">
        <v>20</v>
      </c>
      <c r="AA3994" s="8">
        <v>0</v>
      </c>
      <c r="AB3994" s="9">
        <v>0</v>
      </c>
    </row>
    <row r="3995" spans="1:28" x14ac:dyDescent="0.2">
      <c r="A3995" s="10">
        <v>115268</v>
      </c>
      <c r="B3995" s="11" t="s">
        <v>24725</v>
      </c>
      <c r="C3995" s="11" t="s">
        <v>5548</v>
      </c>
      <c r="D3995" s="11" t="s">
        <v>24726</v>
      </c>
      <c r="E3995" s="11"/>
      <c r="F3995" s="11" t="s">
        <v>1344</v>
      </c>
      <c r="G3995" s="11" t="s">
        <v>1026</v>
      </c>
      <c r="H3995" s="11" t="s">
        <v>142</v>
      </c>
      <c r="I3995" s="11" t="s">
        <v>16553</v>
      </c>
      <c r="J3995" s="11" t="s">
        <v>24727</v>
      </c>
      <c r="K3995" s="11" t="s">
        <v>1029</v>
      </c>
      <c r="L3995" s="11" t="s">
        <v>464</v>
      </c>
      <c r="M3995" s="11" t="s">
        <v>24728</v>
      </c>
      <c r="N3995" s="11" t="s">
        <v>128</v>
      </c>
      <c r="O3995" s="11" t="s">
        <v>24729</v>
      </c>
      <c r="P3995" s="11"/>
      <c r="Q3995" s="11" t="s">
        <v>131</v>
      </c>
      <c r="R3995" s="11"/>
      <c r="S3995" s="11" t="s">
        <v>71</v>
      </c>
      <c r="T3995" s="11" t="s">
        <v>983</v>
      </c>
      <c r="U3995" s="11" t="s">
        <v>134</v>
      </c>
      <c r="V3995" s="11" t="s">
        <v>131</v>
      </c>
      <c r="W3995" s="11" t="s">
        <v>983</v>
      </c>
      <c r="X3995" s="11">
        <v>1</v>
      </c>
      <c r="Y3995" s="11" t="s">
        <v>12359</v>
      </c>
      <c r="Z3995" s="11">
        <v>20</v>
      </c>
      <c r="AA3995" s="11">
        <v>0</v>
      </c>
      <c r="AB3995" s="12">
        <v>0</v>
      </c>
    </row>
    <row r="3996" spans="1:28" x14ac:dyDescent="0.2">
      <c r="A3996" s="7">
        <v>246100</v>
      </c>
      <c r="B3996" s="8" t="s">
        <v>24730</v>
      </c>
      <c r="C3996" s="8" t="s">
        <v>24731</v>
      </c>
      <c r="D3996" s="8" t="s">
        <v>138</v>
      </c>
      <c r="E3996" s="8"/>
      <c r="F3996" s="8" t="s">
        <v>24732</v>
      </c>
      <c r="G3996" s="8" t="s">
        <v>24115</v>
      </c>
      <c r="H3996" s="8" t="s">
        <v>301</v>
      </c>
      <c r="I3996" s="8" t="s">
        <v>24733</v>
      </c>
      <c r="J3996" s="8" t="s">
        <v>24734</v>
      </c>
      <c r="K3996" s="8" t="s">
        <v>228</v>
      </c>
      <c r="L3996" s="8" t="s">
        <v>229</v>
      </c>
      <c r="M3996" s="8" t="s">
        <v>24735</v>
      </c>
      <c r="N3996" s="8" t="s">
        <v>128</v>
      </c>
      <c r="O3996" s="8" t="s">
        <v>24736</v>
      </c>
      <c r="P3996" s="8"/>
      <c r="Q3996" s="8" t="s">
        <v>131</v>
      </c>
      <c r="R3996" s="8"/>
      <c r="S3996" s="8" t="s">
        <v>71</v>
      </c>
      <c r="T3996" s="8" t="s">
        <v>983</v>
      </c>
      <c r="U3996" s="8" t="s">
        <v>134</v>
      </c>
      <c r="V3996" s="8" t="s">
        <v>131</v>
      </c>
      <c r="W3996" s="8" t="s">
        <v>983</v>
      </c>
      <c r="X3996" s="8">
        <v>1</v>
      </c>
      <c r="Y3996" s="8" t="s">
        <v>12359</v>
      </c>
      <c r="Z3996" s="8">
        <v>20</v>
      </c>
      <c r="AA3996" s="8">
        <v>0</v>
      </c>
      <c r="AB3996" s="9">
        <v>0</v>
      </c>
    </row>
    <row r="3997" spans="1:28" x14ac:dyDescent="0.2">
      <c r="A3997" s="10">
        <v>20702</v>
      </c>
      <c r="B3997" s="11" t="s">
        <v>24737</v>
      </c>
      <c r="C3997" s="11" t="s">
        <v>552</v>
      </c>
      <c r="D3997" s="11" t="s">
        <v>789</v>
      </c>
      <c r="E3997" s="11"/>
      <c r="F3997" s="11" t="s">
        <v>1479</v>
      </c>
      <c r="G3997" s="11" t="s">
        <v>556</v>
      </c>
      <c r="H3997" s="11" t="s">
        <v>557</v>
      </c>
      <c r="I3997" s="11" t="s">
        <v>558</v>
      </c>
      <c r="J3997" s="11" t="s">
        <v>2208</v>
      </c>
      <c r="K3997" s="11" t="s">
        <v>560</v>
      </c>
      <c r="L3997" s="11" t="s">
        <v>229</v>
      </c>
      <c r="M3997" s="11" t="s">
        <v>24738</v>
      </c>
      <c r="N3997" s="11" t="s">
        <v>128</v>
      </c>
      <c r="O3997" s="11"/>
      <c r="P3997" s="11"/>
      <c r="Q3997" s="11" t="s">
        <v>131</v>
      </c>
      <c r="R3997" s="11"/>
      <c r="S3997" s="11" t="s">
        <v>796</v>
      </c>
      <c r="T3997" s="11" t="s">
        <v>983</v>
      </c>
      <c r="U3997" s="11" t="s">
        <v>134</v>
      </c>
      <c r="V3997" s="11" t="s">
        <v>131</v>
      </c>
      <c r="W3997" s="11" t="s">
        <v>983</v>
      </c>
      <c r="X3997" s="11">
        <v>1</v>
      </c>
      <c r="Y3997" s="11" t="s">
        <v>12359</v>
      </c>
      <c r="Z3997" s="11">
        <v>20</v>
      </c>
      <c r="AA3997" s="11">
        <v>0</v>
      </c>
      <c r="AB3997" s="12">
        <v>0</v>
      </c>
    </row>
    <row r="3998" spans="1:28" x14ac:dyDescent="0.2">
      <c r="A3998" s="7">
        <v>106375</v>
      </c>
      <c r="B3998" s="8" t="s">
        <v>24739</v>
      </c>
      <c r="C3998" s="8" t="s">
        <v>24740</v>
      </c>
      <c r="D3998" s="8" t="s">
        <v>3863</v>
      </c>
      <c r="E3998" s="8" t="s">
        <v>24741</v>
      </c>
      <c r="F3998" s="8" t="s">
        <v>24742</v>
      </c>
      <c r="G3998" s="8" t="s">
        <v>24743</v>
      </c>
      <c r="H3998" s="8" t="s">
        <v>159</v>
      </c>
      <c r="I3998" s="8" t="s">
        <v>24744</v>
      </c>
      <c r="J3998" s="8" t="s">
        <v>24745</v>
      </c>
      <c r="K3998" s="8" t="s">
        <v>162</v>
      </c>
      <c r="L3998" s="8" t="s">
        <v>163</v>
      </c>
      <c r="M3998" s="8" t="s">
        <v>24746</v>
      </c>
      <c r="N3998" s="8" t="s">
        <v>128</v>
      </c>
      <c r="O3998" s="8" t="s">
        <v>24747</v>
      </c>
      <c r="P3998" s="8"/>
      <c r="Q3998" s="8" t="s">
        <v>131</v>
      </c>
      <c r="R3998" s="8"/>
      <c r="S3998" s="8" t="s">
        <v>24748</v>
      </c>
      <c r="T3998" s="8" t="s">
        <v>133</v>
      </c>
      <c r="U3998" s="8" t="s">
        <v>134</v>
      </c>
      <c r="V3998" s="8" t="s">
        <v>131</v>
      </c>
      <c r="W3998" s="8" t="s">
        <v>133</v>
      </c>
      <c r="X3998" s="8">
        <v>1</v>
      </c>
      <c r="Y3998" s="8" t="s">
        <v>12359</v>
      </c>
      <c r="Z3998" s="8">
        <v>20</v>
      </c>
      <c r="AA3998" s="8">
        <v>0</v>
      </c>
      <c r="AB3998" s="9">
        <v>0</v>
      </c>
    </row>
    <row r="3999" spans="1:28" x14ac:dyDescent="0.2">
      <c r="A3999" s="10">
        <v>21880</v>
      </c>
      <c r="B3999" s="11" t="s">
        <v>24749</v>
      </c>
      <c r="C3999" s="11" t="s">
        <v>6071</v>
      </c>
      <c r="D3999" s="11" t="s">
        <v>21256</v>
      </c>
      <c r="E3999" s="11" t="s">
        <v>24750</v>
      </c>
      <c r="F3999" s="11" t="s">
        <v>353</v>
      </c>
      <c r="G3999" s="11" t="s">
        <v>1915</v>
      </c>
      <c r="H3999" s="11" t="s">
        <v>122</v>
      </c>
      <c r="I3999" s="11" t="s">
        <v>10511</v>
      </c>
      <c r="J3999" s="11" t="s">
        <v>24751</v>
      </c>
      <c r="K3999" s="11" t="s">
        <v>1051</v>
      </c>
      <c r="L3999" s="11" t="s">
        <v>126</v>
      </c>
      <c r="M3999" s="11" t="s">
        <v>24752</v>
      </c>
      <c r="N3999" s="11" t="s">
        <v>128</v>
      </c>
      <c r="O3999" s="11"/>
      <c r="P3999" s="11"/>
      <c r="Q3999" s="11" t="s">
        <v>131</v>
      </c>
      <c r="R3999" s="11"/>
      <c r="S3999" s="11" t="s">
        <v>71</v>
      </c>
      <c r="T3999" s="11" t="s">
        <v>133</v>
      </c>
      <c r="U3999" s="11" t="s">
        <v>134</v>
      </c>
      <c r="V3999" s="11" t="s">
        <v>131</v>
      </c>
      <c r="W3999" s="11" t="s">
        <v>133</v>
      </c>
      <c r="X3999" s="11">
        <v>1</v>
      </c>
      <c r="Y3999" s="11" t="s">
        <v>12359</v>
      </c>
      <c r="Z3999" s="11">
        <v>20</v>
      </c>
      <c r="AA3999" s="11">
        <v>0</v>
      </c>
      <c r="AB3999" s="12">
        <v>0</v>
      </c>
    </row>
    <row r="4000" spans="1:28" x14ac:dyDescent="0.2">
      <c r="A4000" s="7">
        <v>21841</v>
      </c>
      <c r="B4000" s="8" t="s">
        <v>24753</v>
      </c>
      <c r="C4000" s="8" t="s">
        <v>4111</v>
      </c>
      <c r="D4000" s="8" t="s">
        <v>3863</v>
      </c>
      <c r="E4000" s="8" t="s">
        <v>24754</v>
      </c>
      <c r="F4000" s="8" t="s">
        <v>4113</v>
      </c>
      <c r="G4000" s="8" t="s">
        <v>556</v>
      </c>
      <c r="H4000" s="8" t="s">
        <v>557</v>
      </c>
      <c r="I4000" s="8" t="s">
        <v>4114</v>
      </c>
      <c r="J4000" s="8" t="s">
        <v>4115</v>
      </c>
      <c r="K4000" s="8" t="s">
        <v>560</v>
      </c>
      <c r="L4000" s="8" t="s">
        <v>229</v>
      </c>
      <c r="M4000" s="8" t="s">
        <v>24755</v>
      </c>
      <c r="N4000" s="8" t="s">
        <v>128</v>
      </c>
      <c r="O4000" s="8" t="s">
        <v>24756</v>
      </c>
      <c r="P4000" s="8" t="s">
        <v>8392</v>
      </c>
      <c r="Q4000" s="8" t="s">
        <v>131</v>
      </c>
      <c r="R4000" s="8"/>
      <c r="S4000" s="8" t="s">
        <v>4119</v>
      </c>
      <c r="T4000" s="8" t="s">
        <v>133</v>
      </c>
      <c r="U4000" s="8" t="s">
        <v>134</v>
      </c>
      <c r="V4000" s="8" t="s">
        <v>131</v>
      </c>
      <c r="W4000" s="8" t="s">
        <v>133</v>
      </c>
      <c r="X4000" s="8">
        <v>1</v>
      </c>
      <c r="Y4000" s="8" t="s">
        <v>12359</v>
      </c>
      <c r="Z4000" s="8">
        <v>20</v>
      </c>
      <c r="AA4000" s="8">
        <v>1</v>
      </c>
      <c r="AB4000" s="9">
        <v>0</v>
      </c>
    </row>
    <row r="4001" spans="1:28" x14ac:dyDescent="0.2">
      <c r="A4001" s="10">
        <v>22013</v>
      </c>
      <c r="B4001" s="11" t="s">
        <v>24757</v>
      </c>
      <c r="C4001" s="11" t="s">
        <v>3928</v>
      </c>
      <c r="D4001" s="11" t="s">
        <v>21204</v>
      </c>
      <c r="E4001" s="11"/>
      <c r="F4001" s="11" t="s">
        <v>353</v>
      </c>
      <c r="G4001" s="11" t="s">
        <v>3929</v>
      </c>
      <c r="H4001" s="11" t="s">
        <v>704</v>
      </c>
      <c r="I4001" s="11" t="s">
        <v>7933</v>
      </c>
      <c r="J4001" s="11" t="s">
        <v>24758</v>
      </c>
      <c r="K4001" s="11" t="s">
        <v>850</v>
      </c>
      <c r="L4001" s="11" t="s">
        <v>126</v>
      </c>
      <c r="M4001" s="11" t="s">
        <v>24759</v>
      </c>
      <c r="N4001" s="11" t="s">
        <v>128</v>
      </c>
      <c r="O4001" s="11" t="s">
        <v>24760</v>
      </c>
      <c r="P4001" s="11" t="s">
        <v>24761</v>
      </c>
      <c r="Q4001" s="11" t="s">
        <v>131</v>
      </c>
      <c r="R4001" s="11"/>
      <c r="S4001" s="11" t="s">
        <v>71</v>
      </c>
      <c r="T4001" s="11" t="s">
        <v>133</v>
      </c>
      <c r="U4001" s="11" t="s">
        <v>134</v>
      </c>
      <c r="V4001" s="11" t="s">
        <v>131</v>
      </c>
      <c r="W4001" s="11" t="s">
        <v>133</v>
      </c>
      <c r="X4001" s="11">
        <v>1</v>
      </c>
      <c r="Y4001" s="11" t="s">
        <v>12359</v>
      </c>
      <c r="Z4001" s="11">
        <v>20</v>
      </c>
      <c r="AA4001" s="11">
        <v>0</v>
      </c>
      <c r="AB4001" s="12">
        <v>0</v>
      </c>
    </row>
    <row r="4002" spans="1:28" x14ac:dyDescent="0.2">
      <c r="A4002" s="7">
        <v>23510</v>
      </c>
      <c r="B4002" s="8" t="s">
        <v>24762</v>
      </c>
      <c r="C4002" s="8" t="s">
        <v>350</v>
      </c>
      <c r="D4002" s="8" t="s">
        <v>6682</v>
      </c>
      <c r="E4002" s="8"/>
      <c r="F4002" s="8" t="s">
        <v>353</v>
      </c>
      <c r="G4002" s="8" t="s">
        <v>121</v>
      </c>
      <c r="H4002" s="8" t="s">
        <v>122</v>
      </c>
      <c r="I4002" s="8" t="s">
        <v>2184</v>
      </c>
      <c r="J4002" s="8" t="s">
        <v>24763</v>
      </c>
      <c r="K4002" s="8" t="s">
        <v>125</v>
      </c>
      <c r="L4002" s="8" t="s">
        <v>126</v>
      </c>
      <c r="M4002" s="8" t="s">
        <v>24764</v>
      </c>
      <c r="N4002" s="8" t="s">
        <v>128</v>
      </c>
      <c r="O4002" s="8" t="s">
        <v>24765</v>
      </c>
      <c r="P4002" s="8"/>
      <c r="Q4002" s="8" t="s">
        <v>150</v>
      </c>
      <c r="R4002" s="8"/>
      <c r="S4002" s="8" t="s">
        <v>71</v>
      </c>
      <c r="T4002" s="8" t="s">
        <v>6736</v>
      </c>
      <c r="U4002" s="8" t="s">
        <v>150</v>
      </c>
      <c r="V4002" s="8" t="s">
        <v>6736</v>
      </c>
      <c r="W4002" s="8" t="s">
        <v>6736</v>
      </c>
      <c r="X4002" s="8">
        <v>1</v>
      </c>
      <c r="Y4002" s="8" t="s">
        <v>12359</v>
      </c>
      <c r="Z4002" s="8">
        <v>20</v>
      </c>
      <c r="AA4002" s="8">
        <v>0</v>
      </c>
      <c r="AB4002" s="9">
        <v>0</v>
      </c>
    </row>
    <row r="4003" spans="1:28" x14ac:dyDescent="0.2">
      <c r="A4003" s="10">
        <v>27163</v>
      </c>
      <c r="B4003" s="11" t="s">
        <v>24766</v>
      </c>
      <c r="C4003" s="11" t="s">
        <v>24767</v>
      </c>
      <c r="D4003" s="11" t="s">
        <v>6735</v>
      </c>
      <c r="E4003" s="11"/>
      <c r="F4003" s="11" t="s">
        <v>353</v>
      </c>
      <c r="G4003" s="11" t="s">
        <v>19313</v>
      </c>
      <c r="H4003" s="11" t="s">
        <v>847</v>
      </c>
      <c r="I4003" s="11" t="s">
        <v>24768</v>
      </c>
      <c r="J4003" s="11" t="s">
        <v>24769</v>
      </c>
      <c r="K4003" s="11" t="s">
        <v>1091</v>
      </c>
      <c r="L4003" s="11" t="s">
        <v>126</v>
      </c>
      <c r="M4003" s="11" t="s">
        <v>24770</v>
      </c>
      <c r="N4003" s="11" t="s">
        <v>128</v>
      </c>
      <c r="O4003" s="11"/>
      <c r="P4003" s="11"/>
      <c r="Q4003" s="11" t="s">
        <v>150</v>
      </c>
      <c r="R4003" s="11"/>
      <c r="S4003" s="11" t="s">
        <v>71</v>
      </c>
      <c r="T4003" s="11" t="s">
        <v>24771</v>
      </c>
      <c r="U4003" s="11" t="s">
        <v>150</v>
      </c>
      <c r="V4003" s="11" t="s">
        <v>24771</v>
      </c>
      <c r="W4003" s="11" t="s">
        <v>24771</v>
      </c>
      <c r="X4003" s="11">
        <v>1</v>
      </c>
      <c r="Y4003" s="11" t="s">
        <v>12359</v>
      </c>
      <c r="Z4003" s="11">
        <v>20</v>
      </c>
      <c r="AA4003" s="11">
        <v>0</v>
      </c>
      <c r="AB4003" s="12">
        <v>0</v>
      </c>
    </row>
    <row r="4004" spans="1:28" x14ac:dyDescent="0.2">
      <c r="A4004" s="7">
        <v>86776</v>
      </c>
      <c r="B4004" s="8" t="s">
        <v>24772</v>
      </c>
      <c r="C4004" s="8" t="s">
        <v>21211</v>
      </c>
      <c r="D4004" s="8" t="s">
        <v>9166</v>
      </c>
      <c r="E4004" s="8"/>
      <c r="F4004" s="8" t="s">
        <v>353</v>
      </c>
      <c r="G4004" s="8" t="s">
        <v>21212</v>
      </c>
      <c r="H4004" s="8" t="s">
        <v>557</v>
      </c>
      <c r="I4004" s="8" t="s">
        <v>21213</v>
      </c>
      <c r="J4004" s="8" t="s">
        <v>24773</v>
      </c>
      <c r="K4004" s="8" t="s">
        <v>560</v>
      </c>
      <c r="L4004" s="8" t="s">
        <v>229</v>
      </c>
      <c r="M4004" s="8" t="s">
        <v>24774</v>
      </c>
      <c r="N4004" s="8" t="s">
        <v>128</v>
      </c>
      <c r="O4004" s="8" t="s">
        <v>24775</v>
      </c>
      <c r="P4004" s="8" t="s">
        <v>3523</v>
      </c>
      <c r="Q4004" s="8" t="s">
        <v>150</v>
      </c>
      <c r="R4004" s="8"/>
      <c r="S4004" s="8" t="s">
        <v>71</v>
      </c>
      <c r="T4004" s="8" t="s">
        <v>14420</v>
      </c>
      <c r="U4004" s="8" t="s">
        <v>150</v>
      </c>
      <c r="V4004" s="8" t="s">
        <v>14420</v>
      </c>
      <c r="W4004" s="8" t="s">
        <v>14420</v>
      </c>
      <c r="X4004" s="8">
        <v>1</v>
      </c>
      <c r="Y4004" s="8" t="s">
        <v>12359</v>
      </c>
      <c r="Z4004" s="8">
        <v>20</v>
      </c>
      <c r="AA4004" s="8">
        <v>0</v>
      </c>
      <c r="AB4004" s="9">
        <v>0</v>
      </c>
    </row>
    <row r="4005" spans="1:28" x14ac:dyDescent="0.2">
      <c r="A4005" s="10">
        <v>22493</v>
      </c>
      <c r="B4005" s="11" t="s">
        <v>24776</v>
      </c>
      <c r="C4005" s="11" t="s">
        <v>20145</v>
      </c>
      <c r="D4005" s="11" t="s">
        <v>9381</v>
      </c>
      <c r="E4005" s="11"/>
      <c r="F4005" s="11" t="s">
        <v>24777</v>
      </c>
      <c r="G4005" s="11" t="s">
        <v>521</v>
      </c>
      <c r="H4005" s="11" t="s">
        <v>522</v>
      </c>
      <c r="I4005" s="11" t="s">
        <v>24778</v>
      </c>
      <c r="J4005" s="11" t="s">
        <v>24779</v>
      </c>
      <c r="K4005" s="11" t="s">
        <v>525</v>
      </c>
      <c r="L4005" s="11" t="s">
        <v>526</v>
      </c>
      <c r="M4005" s="11" t="s">
        <v>24780</v>
      </c>
      <c r="N4005" s="11" t="s">
        <v>4651</v>
      </c>
      <c r="O4005" s="11" t="s">
        <v>24781</v>
      </c>
      <c r="P4005" s="11"/>
      <c r="Q4005" s="11" t="s">
        <v>150</v>
      </c>
      <c r="R4005" s="11"/>
      <c r="S4005" s="11" t="s">
        <v>20154</v>
      </c>
      <c r="T4005" s="11" t="s">
        <v>1899</v>
      </c>
      <c r="U4005" s="11" t="s">
        <v>150</v>
      </c>
      <c r="V4005" s="11" t="s">
        <v>1899</v>
      </c>
      <c r="W4005" s="11" t="s">
        <v>1899</v>
      </c>
      <c r="X4005" s="11">
        <v>1</v>
      </c>
      <c r="Y4005" s="11" t="s">
        <v>12359</v>
      </c>
      <c r="Z4005" s="11">
        <v>20</v>
      </c>
      <c r="AA4005" s="11">
        <v>0</v>
      </c>
      <c r="AB4005" s="12">
        <v>0</v>
      </c>
    </row>
    <row r="4006" spans="1:28" x14ac:dyDescent="0.2">
      <c r="A4006" s="7">
        <v>22574</v>
      </c>
      <c r="B4006" s="8" t="s">
        <v>24782</v>
      </c>
      <c r="C4006" s="8" t="s">
        <v>1610</v>
      </c>
      <c r="D4006" s="8" t="s">
        <v>1611</v>
      </c>
      <c r="E4006" s="8"/>
      <c r="F4006" s="8" t="s">
        <v>1613</v>
      </c>
      <c r="G4006" s="8" t="s">
        <v>1614</v>
      </c>
      <c r="H4006" s="8" t="s">
        <v>142</v>
      </c>
      <c r="I4006" s="8" t="s">
        <v>1615</v>
      </c>
      <c r="J4006" s="8" t="s">
        <v>13423</v>
      </c>
      <c r="K4006" s="8" t="s">
        <v>717</v>
      </c>
      <c r="L4006" s="8" t="s">
        <v>464</v>
      </c>
      <c r="M4006" s="8" t="s">
        <v>24783</v>
      </c>
      <c r="N4006" s="8" t="s">
        <v>128</v>
      </c>
      <c r="O4006" s="8" t="s">
        <v>24784</v>
      </c>
      <c r="P4006" s="8" t="s">
        <v>24785</v>
      </c>
      <c r="Q4006" s="8" t="s">
        <v>150</v>
      </c>
      <c r="R4006" s="8"/>
      <c r="S4006" s="8" t="s">
        <v>71</v>
      </c>
      <c r="T4006" s="8" t="s">
        <v>2697</v>
      </c>
      <c r="U4006" s="8" t="s">
        <v>150</v>
      </c>
      <c r="V4006" s="8" t="s">
        <v>2697</v>
      </c>
      <c r="W4006" s="8" t="s">
        <v>2697</v>
      </c>
      <c r="X4006" s="8">
        <v>1</v>
      </c>
      <c r="Y4006" s="8" t="s">
        <v>12359</v>
      </c>
      <c r="Z4006" s="8">
        <v>20</v>
      </c>
      <c r="AA4006" s="8">
        <v>0</v>
      </c>
      <c r="AB4006" s="9">
        <v>0</v>
      </c>
    </row>
    <row r="4007" spans="1:28" x14ac:dyDescent="0.2">
      <c r="A4007" s="10">
        <v>22622</v>
      </c>
      <c r="B4007" s="11" t="s">
        <v>24786</v>
      </c>
      <c r="C4007" s="11" t="s">
        <v>24787</v>
      </c>
      <c r="D4007" s="11" t="s">
        <v>24788</v>
      </c>
      <c r="E4007" s="11"/>
      <c r="F4007" s="11" t="s">
        <v>24789</v>
      </c>
      <c r="G4007" s="11" t="s">
        <v>1670</v>
      </c>
      <c r="H4007" s="11" t="s">
        <v>142</v>
      </c>
      <c r="I4007" s="11" t="s">
        <v>24790</v>
      </c>
      <c r="J4007" s="11" t="s">
        <v>24791</v>
      </c>
      <c r="K4007" s="11" t="s">
        <v>1673</v>
      </c>
      <c r="L4007" s="11" t="s">
        <v>464</v>
      </c>
      <c r="M4007" s="11" t="s">
        <v>24792</v>
      </c>
      <c r="N4007" s="11" t="s">
        <v>128</v>
      </c>
      <c r="O4007" s="11" t="s">
        <v>24793</v>
      </c>
      <c r="P4007" s="11" t="s">
        <v>24794</v>
      </c>
      <c r="Q4007" s="11" t="s">
        <v>150</v>
      </c>
      <c r="R4007" s="11"/>
      <c r="S4007" s="11" t="s">
        <v>71</v>
      </c>
      <c r="T4007" s="11" t="s">
        <v>2697</v>
      </c>
      <c r="U4007" s="11" t="s">
        <v>150</v>
      </c>
      <c r="V4007" s="11" t="s">
        <v>2697</v>
      </c>
      <c r="W4007" s="11" t="s">
        <v>2697</v>
      </c>
      <c r="X4007" s="11">
        <v>1</v>
      </c>
      <c r="Y4007" s="11" t="s">
        <v>12359</v>
      </c>
      <c r="Z4007" s="11">
        <v>20</v>
      </c>
      <c r="AA4007" s="11">
        <v>0</v>
      </c>
      <c r="AB4007" s="12">
        <v>0</v>
      </c>
    </row>
    <row r="4008" spans="1:28" x14ac:dyDescent="0.2">
      <c r="A4008" s="7">
        <v>116056</v>
      </c>
      <c r="B4008" s="8" t="s">
        <v>24795</v>
      </c>
      <c r="C4008" s="8" t="s">
        <v>17189</v>
      </c>
      <c r="D4008" s="8" t="s">
        <v>24796</v>
      </c>
      <c r="E4008" s="8"/>
      <c r="F4008" s="8" t="s">
        <v>24797</v>
      </c>
      <c r="G4008" s="8" t="s">
        <v>2332</v>
      </c>
      <c r="H4008" s="8" t="s">
        <v>142</v>
      </c>
      <c r="I4008" s="8" t="s">
        <v>24798</v>
      </c>
      <c r="J4008" s="8" t="s">
        <v>24799</v>
      </c>
      <c r="K4008" s="8" t="s">
        <v>779</v>
      </c>
      <c r="L4008" s="8" t="s">
        <v>464</v>
      </c>
      <c r="M4008" s="8" t="s">
        <v>24800</v>
      </c>
      <c r="N4008" s="8" t="s">
        <v>128</v>
      </c>
      <c r="O4008" s="8" t="s">
        <v>24801</v>
      </c>
      <c r="P4008" s="8" t="s">
        <v>24802</v>
      </c>
      <c r="Q4008" s="8" t="s">
        <v>150</v>
      </c>
      <c r="R4008" s="8"/>
      <c r="S4008" s="8" t="s">
        <v>71</v>
      </c>
      <c r="T4008" s="8" t="s">
        <v>2697</v>
      </c>
      <c r="U4008" s="8" t="s">
        <v>150</v>
      </c>
      <c r="V4008" s="8" t="s">
        <v>2697</v>
      </c>
      <c r="W4008" s="8" t="s">
        <v>2697</v>
      </c>
      <c r="X4008" s="8">
        <v>1</v>
      </c>
      <c r="Y4008" s="8" t="s">
        <v>12359</v>
      </c>
      <c r="Z4008" s="8">
        <v>20</v>
      </c>
      <c r="AA4008" s="8">
        <v>0</v>
      </c>
      <c r="AB4008" s="9">
        <v>0</v>
      </c>
    </row>
    <row r="4009" spans="1:28" x14ac:dyDescent="0.2">
      <c r="A4009" s="10">
        <v>22707</v>
      </c>
      <c r="B4009" s="11" t="s">
        <v>24803</v>
      </c>
      <c r="C4009" s="11" t="s">
        <v>5843</v>
      </c>
      <c r="D4009" s="11" t="s">
        <v>5844</v>
      </c>
      <c r="E4009" s="11" t="s">
        <v>24804</v>
      </c>
      <c r="F4009" s="11" t="s">
        <v>5845</v>
      </c>
      <c r="G4009" s="11" t="s">
        <v>5846</v>
      </c>
      <c r="H4009" s="11" t="s">
        <v>159</v>
      </c>
      <c r="I4009" s="11" t="s">
        <v>6046</v>
      </c>
      <c r="J4009" s="11" t="s">
        <v>6047</v>
      </c>
      <c r="K4009" s="11" t="s">
        <v>162</v>
      </c>
      <c r="L4009" s="11" t="s">
        <v>163</v>
      </c>
      <c r="M4009" s="11" t="s">
        <v>24805</v>
      </c>
      <c r="N4009" s="11" t="s">
        <v>128</v>
      </c>
      <c r="O4009" s="11" t="s">
        <v>24806</v>
      </c>
      <c r="P4009" s="11"/>
      <c r="Q4009" s="11" t="s">
        <v>150</v>
      </c>
      <c r="R4009" s="11"/>
      <c r="S4009" s="11" t="s">
        <v>5852</v>
      </c>
      <c r="T4009" s="11" t="s">
        <v>5642</v>
      </c>
      <c r="U4009" s="11" t="s">
        <v>150</v>
      </c>
      <c r="V4009" s="11" t="s">
        <v>5642</v>
      </c>
      <c r="W4009" s="11" t="s">
        <v>5642</v>
      </c>
      <c r="X4009" s="11">
        <v>1</v>
      </c>
      <c r="Y4009" s="11" t="s">
        <v>12359</v>
      </c>
      <c r="Z4009" s="11">
        <v>20</v>
      </c>
      <c r="AA4009" s="11">
        <v>0</v>
      </c>
      <c r="AB4009" s="12">
        <v>0</v>
      </c>
    </row>
    <row r="4010" spans="1:28" x14ac:dyDescent="0.2">
      <c r="A4010" s="7">
        <v>85449</v>
      </c>
      <c r="B4010" s="8" t="s">
        <v>24807</v>
      </c>
      <c r="C4010" s="8" t="s">
        <v>17988</v>
      </c>
      <c r="D4010" s="8" t="s">
        <v>155</v>
      </c>
      <c r="E4010" s="8"/>
      <c r="F4010" s="8" t="s">
        <v>18310</v>
      </c>
      <c r="G4010" s="8" t="s">
        <v>158</v>
      </c>
      <c r="H4010" s="8" t="s">
        <v>159</v>
      </c>
      <c r="I4010" s="8" t="s">
        <v>17990</v>
      </c>
      <c r="J4010" s="8" t="s">
        <v>24808</v>
      </c>
      <c r="K4010" s="8" t="s">
        <v>274</v>
      </c>
      <c r="L4010" s="8" t="s">
        <v>163</v>
      </c>
      <c r="M4010" s="8" t="s">
        <v>24809</v>
      </c>
      <c r="N4010" s="8" t="s">
        <v>128</v>
      </c>
      <c r="O4010" s="8" t="s">
        <v>24810</v>
      </c>
      <c r="P4010" s="8"/>
      <c r="Q4010" s="8" t="s">
        <v>150</v>
      </c>
      <c r="R4010" s="8"/>
      <c r="S4010" s="8" t="s">
        <v>71</v>
      </c>
      <c r="T4010" s="8" t="s">
        <v>5642</v>
      </c>
      <c r="U4010" s="8" t="s">
        <v>150</v>
      </c>
      <c r="V4010" s="8" t="s">
        <v>5642</v>
      </c>
      <c r="W4010" s="8" t="s">
        <v>5642</v>
      </c>
      <c r="X4010" s="8">
        <v>1</v>
      </c>
      <c r="Y4010" s="8" t="s">
        <v>12359</v>
      </c>
      <c r="Z4010" s="8">
        <v>20</v>
      </c>
      <c r="AA4010" s="8">
        <v>0</v>
      </c>
      <c r="AB4010" s="9">
        <v>0</v>
      </c>
    </row>
    <row r="4011" spans="1:28" x14ac:dyDescent="0.2">
      <c r="A4011" s="10">
        <v>28048</v>
      </c>
      <c r="B4011" s="11" t="s">
        <v>24811</v>
      </c>
      <c r="C4011" s="11" t="s">
        <v>2300</v>
      </c>
      <c r="D4011" s="11" t="s">
        <v>2353</v>
      </c>
      <c r="E4011" s="11"/>
      <c r="F4011" s="11" t="s">
        <v>353</v>
      </c>
      <c r="G4011" s="11" t="s">
        <v>19946</v>
      </c>
      <c r="H4011" s="11" t="s">
        <v>142</v>
      </c>
      <c r="I4011" s="11" t="s">
        <v>19947</v>
      </c>
      <c r="J4011" s="11" t="s">
        <v>24812</v>
      </c>
      <c r="K4011" s="11" t="s">
        <v>1673</v>
      </c>
      <c r="L4011" s="11" t="s">
        <v>464</v>
      </c>
      <c r="M4011" s="11" t="s">
        <v>24813</v>
      </c>
      <c r="N4011" s="11" t="s">
        <v>128</v>
      </c>
      <c r="O4011" s="11"/>
      <c r="P4011" s="11"/>
      <c r="Q4011" s="11" t="s">
        <v>150</v>
      </c>
      <c r="R4011" s="11"/>
      <c r="S4011" s="11" t="s">
        <v>71</v>
      </c>
      <c r="T4011" s="11" t="s">
        <v>13822</v>
      </c>
      <c r="U4011" s="11" t="s">
        <v>150</v>
      </c>
      <c r="V4011" s="11" t="s">
        <v>13822</v>
      </c>
      <c r="W4011" s="11" t="s">
        <v>13822</v>
      </c>
      <c r="X4011" s="11">
        <v>1</v>
      </c>
      <c r="Y4011" s="11" t="s">
        <v>12359</v>
      </c>
      <c r="Z4011" s="11">
        <v>20</v>
      </c>
      <c r="AA4011" s="11">
        <v>0</v>
      </c>
      <c r="AB4011" s="12">
        <v>0</v>
      </c>
    </row>
    <row r="4012" spans="1:28" x14ac:dyDescent="0.2">
      <c r="A4012" s="7">
        <v>240287</v>
      </c>
      <c r="B4012" s="8" t="s">
        <v>24814</v>
      </c>
      <c r="C4012" s="8" t="s">
        <v>5879</v>
      </c>
      <c r="D4012" s="8" t="s">
        <v>2191</v>
      </c>
      <c r="E4012" s="8"/>
      <c r="F4012" s="8" t="s">
        <v>353</v>
      </c>
      <c r="G4012" s="8" t="s">
        <v>24081</v>
      </c>
      <c r="H4012" s="8" t="s">
        <v>704</v>
      </c>
      <c r="I4012" s="8" t="s">
        <v>24131</v>
      </c>
      <c r="J4012" s="8" t="s">
        <v>24815</v>
      </c>
      <c r="K4012" s="8" t="s">
        <v>707</v>
      </c>
      <c r="L4012" s="8" t="s">
        <v>126</v>
      </c>
      <c r="M4012" s="8" t="s">
        <v>24816</v>
      </c>
      <c r="N4012" s="8" t="s">
        <v>128</v>
      </c>
      <c r="O4012" s="8" t="s">
        <v>24817</v>
      </c>
      <c r="P4012" s="8"/>
      <c r="Q4012" s="8" t="s">
        <v>150</v>
      </c>
      <c r="R4012" s="8"/>
      <c r="S4012" s="8" t="s">
        <v>71</v>
      </c>
      <c r="T4012" s="8" t="s">
        <v>2817</v>
      </c>
      <c r="U4012" s="8" t="s">
        <v>150</v>
      </c>
      <c r="V4012" s="8" t="s">
        <v>2817</v>
      </c>
      <c r="W4012" s="8" t="s">
        <v>2817</v>
      </c>
      <c r="X4012" s="8">
        <v>1</v>
      </c>
      <c r="Y4012" s="8" t="s">
        <v>12359</v>
      </c>
      <c r="Z4012" s="8">
        <v>20</v>
      </c>
      <c r="AA4012" s="8">
        <v>0</v>
      </c>
      <c r="AB4012" s="9">
        <v>0</v>
      </c>
    </row>
    <row r="4013" spans="1:28" x14ac:dyDescent="0.2">
      <c r="A4013" s="10">
        <v>240342</v>
      </c>
      <c r="B4013" s="11" t="s">
        <v>24818</v>
      </c>
      <c r="C4013" s="11" t="s">
        <v>24819</v>
      </c>
      <c r="D4013" s="11" t="s">
        <v>20857</v>
      </c>
      <c r="E4013" s="11"/>
      <c r="F4013" s="11" t="s">
        <v>24820</v>
      </c>
      <c r="G4013" s="11" t="s">
        <v>3929</v>
      </c>
      <c r="H4013" s="11" t="s">
        <v>704</v>
      </c>
      <c r="I4013" s="11" t="s">
        <v>24821</v>
      </c>
      <c r="J4013" s="11" t="s">
        <v>24822</v>
      </c>
      <c r="K4013" s="11" t="s">
        <v>850</v>
      </c>
      <c r="L4013" s="11" t="s">
        <v>126</v>
      </c>
      <c r="M4013" s="11" t="s">
        <v>24823</v>
      </c>
      <c r="N4013" s="11" t="s">
        <v>128</v>
      </c>
      <c r="O4013" s="11" t="s">
        <v>24824</v>
      </c>
      <c r="P4013" s="11"/>
      <c r="Q4013" s="11" t="s">
        <v>150</v>
      </c>
      <c r="R4013" s="11"/>
      <c r="S4013" s="11" t="s">
        <v>71</v>
      </c>
      <c r="T4013" s="11" t="s">
        <v>2817</v>
      </c>
      <c r="U4013" s="11" t="s">
        <v>150</v>
      </c>
      <c r="V4013" s="11" t="s">
        <v>2817</v>
      </c>
      <c r="W4013" s="11" t="s">
        <v>2817</v>
      </c>
      <c r="X4013" s="11">
        <v>1</v>
      </c>
      <c r="Y4013" s="11" t="s">
        <v>12359</v>
      </c>
      <c r="Z4013" s="11">
        <v>20</v>
      </c>
      <c r="AA4013" s="11">
        <v>0</v>
      </c>
      <c r="AB4013" s="12">
        <v>0</v>
      </c>
    </row>
    <row r="4014" spans="1:28" x14ac:dyDescent="0.2">
      <c r="A4014" s="7">
        <v>32133</v>
      </c>
      <c r="B4014" s="8" t="s">
        <v>24825</v>
      </c>
      <c r="C4014" s="8" t="s">
        <v>6443</v>
      </c>
      <c r="D4014" s="8" t="s">
        <v>7373</v>
      </c>
      <c r="E4014" s="8"/>
      <c r="F4014" s="8" t="s">
        <v>17164</v>
      </c>
      <c r="G4014" s="8" t="s">
        <v>158</v>
      </c>
      <c r="H4014" s="8" t="s">
        <v>159</v>
      </c>
      <c r="I4014" s="8" t="s">
        <v>6445</v>
      </c>
      <c r="J4014" s="8" t="s">
        <v>24826</v>
      </c>
      <c r="K4014" s="8" t="s">
        <v>274</v>
      </c>
      <c r="L4014" s="8" t="s">
        <v>163</v>
      </c>
      <c r="M4014" s="8" t="s">
        <v>24827</v>
      </c>
      <c r="N4014" s="8" t="s">
        <v>128</v>
      </c>
      <c r="O4014" s="8"/>
      <c r="P4014" s="8"/>
      <c r="Q4014" s="8" t="s">
        <v>150</v>
      </c>
      <c r="R4014" s="8"/>
      <c r="S4014" s="8" t="s">
        <v>71</v>
      </c>
      <c r="T4014" s="8" t="s">
        <v>24828</v>
      </c>
      <c r="U4014" s="8" t="s">
        <v>150</v>
      </c>
      <c r="V4014" s="8" t="s">
        <v>24828</v>
      </c>
      <c r="W4014" s="8" t="s">
        <v>24828</v>
      </c>
      <c r="X4014" s="8">
        <v>1</v>
      </c>
      <c r="Y4014" s="8" t="s">
        <v>12359</v>
      </c>
      <c r="Z4014" s="8">
        <v>20</v>
      </c>
      <c r="AA4014" s="8">
        <v>0</v>
      </c>
      <c r="AB4014" s="9">
        <v>0</v>
      </c>
    </row>
    <row r="4015" spans="1:28" x14ac:dyDescent="0.2">
      <c r="A4015" s="10">
        <v>28375</v>
      </c>
      <c r="B4015" s="11" t="s">
        <v>24829</v>
      </c>
      <c r="C4015" s="11" t="s">
        <v>24830</v>
      </c>
      <c r="D4015" s="11" t="s">
        <v>20642</v>
      </c>
      <c r="E4015" s="11"/>
      <c r="F4015" s="11" t="s">
        <v>353</v>
      </c>
      <c r="G4015" s="11" t="s">
        <v>3921</v>
      </c>
      <c r="H4015" s="11" t="s">
        <v>122</v>
      </c>
      <c r="I4015" s="11"/>
      <c r="J4015" s="11" t="s">
        <v>24831</v>
      </c>
      <c r="K4015" s="11" t="s">
        <v>1051</v>
      </c>
      <c r="L4015" s="11" t="s">
        <v>126</v>
      </c>
      <c r="M4015" s="11" t="s">
        <v>24832</v>
      </c>
      <c r="N4015" s="11" t="s">
        <v>128</v>
      </c>
      <c r="O4015" s="11" t="s">
        <v>24833</v>
      </c>
      <c r="P4015" s="11" t="s">
        <v>2345</v>
      </c>
      <c r="Q4015" s="11" t="s">
        <v>150</v>
      </c>
      <c r="R4015" s="11"/>
      <c r="S4015" s="11" t="s">
        <v>71</v>
      </c>
      <c r="T4015" s="11" t="s">
        <v>7189</v>
      </c>
      <c r="U4015" s="11" t="s">
        <v>150</v>
      </c>
      <c r="V4015" s="11" t="s">
        <v>7189</v>
      </c>
      <c r="W4015" s="11" t="s">
        <v>7189</v>
      </c>
      <c r="X4015" s="11">
        <v>1</v>
      </c>
      <c r="Y4015" s="11" t="s">
        <v>12359</v>
      </c>
      <c r="Z4015" s="11">
        <v>20</v>
      </c>
      <c r="AA4015" s="11">
        <v>0</v>
      </c>
      <c r="AB4015" s="12">
        <v>0</v>
      </c>
    </row>
    <row r="4016" spans="1:28" x14ac:dyDescent="0.2">
      <c r="A4016" s="7">
        <v>23209</v>
      </c>
      <c r="B4016" s="8" t="s">
        <v>24834</v>
      </c>
      <c r="C4016" s="8" t="s">
        <v>24835</v>
      </c>
      <c r="D4016" s="8" t="s">
        <v>2411</v>
      </c>
      <c r="E4016" s="8" t="s">
        <v>281</v>
      </c>
      <c r="F4016" s="8" t="s">
        <v>353</v>
      </c>
      <c r="G4016" s="8" t="s">
        <v>20492</v>
      </c>
      <c r="H4016" s="8" t="s">
        <v>142</v>
      </c>
      <c r="I4016" s="8" t="s">
        <v>24836</v>
      </c>
      <c r="J4016" s="8" t="s">
        <v>24837</v>
      </c>
      <c r="K4016" s="8" t="s">
        <v>779</v>
      </c>
      <c r="L4016" s="8" t="s">
        <v>464</v>
      </c>
      <c r="M4016" s="8" t="s">
        <v>24838</v>
      </c>
      <c r="N4016" s="8" t="s">
        <v>128</v>
      </c>
      <c r="O4016" s="8" t="s">
        <v>24839</v>
      </c>
      <c r="P4016" s="8" t="s">
        <v>24840</v>
      </c>
      <c r="Q4016" s="8" t="s">
        <v>150</v>
      </c>
      <c r="R4016" s="8"/>
      <c r="S4016" s="8" t="s">
        <v>71</v>
      </c>
      <c r="T4016" s="8" t="s">
        <v>70</v>
      </c>
      <c r="U4016" s="8" t="s">
        <v>150</v>
      </c>
      <c r="V4016" s="8" t="s">
        <v>70</v>
      </c>
      <c r="W4016" s="8" t="s">
        <v>70</v>
      </c>
      <c r="X4016" s="8">
        <v>1</v>
      </c>
      <c r="Y4016" s="8" t="s">
        <v>12359</v>
      </c>
      <c r="Z4016" s="8">
        <v>20</v>
      </c>
      <c r="AA4016" s="8">
        <v>0</v>
      </c>
      <c r="AB4016" s="9">
        <v>0</v>
      </c>
    </row>
    <row r="4017" spans="1:28" x14ac:dyDescent="0.2">
      <c r="A4017" s="10">
        <v>23349</v>
      </c>
      <c r="B4017" s="11" t="s">
        <v>24841</v>
      </c>
      <c r="C4017" s="11" t="s">
        <v>24683</v>
      </c>
      <c r="D4017" s="11" t="s">
        <v>24842</v>
      </c>
      <c r="E4017" s="11" t="s">
        <v>281</v>
      </c>
      <c r="F4017" s="11" t="s">
        <v>353</v>
      </c>
      <c r="G4017" s="11" t="s">
        <v>12213</v>
      </c>
      <c r="H4017" s="11" t="s">
        <v>142</v>
      </c>
      <c r="I4017" s="11" t="s">
        <v>12214</v>
      </c>
      <c r="J4017" s="11" t="s">
        <v>24684</v>
      </c>
      <c r="K4017" s="11" t="s">
        <v>1029</v>
      </c>
      <c r="L4017" s="11" t="s">
        <v>464</v>
      </c>
      <c r="M4017" s="11" t="s">
        <v>24843</v>
      </c>
      <c r="N4017" s="11" t="s">
        <v>128</v>
      </c>
      <c r="O4017" s="11" t="s">
        <v>24844</v>
      </c>
      <c r="P4017" s="11" t="s">
        <v>24845</v>
      </c>
      <c r="Q4017" s="11" t="s">
        <v>150</v>
      </c>
      <c r="R4017" s="11"/>
      <c r="S4017" s="11" t="s">
        <v>71</v>
      </c>
      <c r="T4017" s="11" t="s">
        <v>70</v>
      </c>
      <c r="U4017" s="11" t="s">
        <v>150</v>
      </c>
      <c r="V4017" s="11" t="s">
        <v>70</v>
      </c>
      <c r="W4017" s="11" t="s">
        <v>70</v>
      </c>
      <c r="X4017" s="11">
        <v>1</v>
      </c>
      <c r="Y4017" s="11" t="s">
        <v>12359</v>
      </c>
      <c r="Z4017" s="11">
        <v>20</v>
      </c>
      <c r="AA4017" s="11">
        <v>0</v>
      </c>
      <c r="AB4017" s="12">
        <v>0</v>
      </c>
    </row>
    <row r="4018" spans="1:28" x14ac:dyDescent="0.2">
      <c r="A4018" s="7">
        <v>23170</v>
      </c>
      <c r="B4018" s="8" t="s">
        <v>24846</v>
      </c>
      <c r="C4018" s="8" t="s">
        <v>24847</v>
      </c>
      <c r="D4018" s="8" t="s">
        <v>24848</v>
      </c>
      <c r="E4018" s="8" t="s">
        <v>24849</v>
      </c>
      <c r="F4018" s="8" t="s">
        <v>24850</v>
      </c>
      <c r="G4018" s="8" t="s">
        <v>24453</v>
      </c>
      <c r="H4018" s="8" t="s">
        <v>329</v>
      </c>
      <c r="I4018" s="8" t="s">
        <v>24454</v>
      </c>
      <c r="J4018" s="8" t="s">
        <v>24851</v>
      </c>
      <c r="K4018" s="8" t="s">
        <v>415</v>
      </c>
      <c r="L4018" s="8" t="s">
        <v>333</v>
      </c>
      <c r="M4018" s="8" t="s">
        <v>24852</v>
      </c>
      <c r="N4018" s="8" t="s">
        <v>128</v>
      </c>
      <c r="O4018" s="8" t="s">
        <v>24853</v>
      </c>
      <c r="P4018" s="8" t="s">
        <v>24854</v>
      </c>
      <c r="Q4018" s="8" t="s">
        <v>150</v>
      </c>
      <c r="R4018" s="8"/>
      <c r="S4018" s="8" t="s">
        <v>71</v>
      </c>
      <c r="T4018" s="8" t="s">
        <v>70</v>
      </c>
      <c r="U4018" s="8" t="s">
        <v>150</v>
      </c>
      <c r="V4018" s="8" t="s">
        <v>70</v>
      </c>
      <c r="W4018" s="8" t="s">
        <v>70</v>
      </c>
      <c r="X4018" s="8">
        <v>1</v>
      </c>
      <c r="Y4018" s="8" t="s">
        <v>12359</v>
      </c>
      <c r="Z4018" s="8">
        <v>20</v>
      </c>
      <c r="AA4018" s="8">
        <v>0</v>
      </c>
      <c r="AB4018" s="9">
        <v>0</v>
      </c>
    </row>
    <row r="4019" spans="1:28" x14ac:dyDescent="0.2">
      <c r="A4019" s="10">
        <v>23029</v>
      </c>
      <c r="B4019" s="11" t="s">
        <v>24855</v>
      </c>
      <c r="C4019" s="11" t="s">
        <v>17429</v>
      </c>
      <c r="D4019" s="11" t="s">
        <v>7140</v>
      </c>
      <c r="E4019" s="11" t="s">
        <v>24856</v>
      </c>
      <c r="F4019" s="11" t="s">
        <v>7636</v>
      </c>
      <c r="G4019" s="11" t="s">
        <v>1026</v>
      </c>
      <c r="H4019" s="11" t="s">
        <v>142</v>
      </c>
      <c r="I4019" s="11" t="s">
        <v>17431</v>
      </c>
      <c r="J4019" s="11" t="s">
        <v>17432</v>
      </c>
      <c r="K4019" s="11" t="s">
        <v>1029</v>
      </c>
      <c r="L4019" s="11" t="s">
        <v>464</v>
      </c>
      <c r="M4019" s="11" t="s">
        <v>24857</v>
      </c>
      <c r="N4019" s="11" t="s">
        <v>128</v>
      </c>
      <c r="O4019" s="11" t="s">
        <v>24858</v>
      </c>
      <c r="P4019" s="11" t="s">
        <v>10851</v>
      </c>
      <c r="Q4019" s="11" t="s">
        <v>150</v>
      </c>
      <c r="R4019" s="11"/>
      <c r="S4019" s="11" t="s">
        <v>17435</v>
      </c>
      <c r="T4019" s="11" t="s">
        <v>70</v>
      </c>
      <c r="U4019" s="11" t="s">
        <v>150</v>
      </c>
      <c r="V4019" s="11" t="s">
        <v>70</v>
      </c>
      <c r="W4019" s="11" t="s">
        <v>70</v>
      </c>
      <c r="X4019" s="11">
        <v>1</v>
      </c>
      <c r="Y4019" s="11" t="s">
        <v>12359</v>
      </c>
      <c r="Z4019" s="11">
        <v>20</v>
      </c>
      <c r="AA4019" s="11">
        <v>0</v>
      </c>
      <c r="AB4019" s="12">
        <v>0</v>
      </c>
    </row>
    <row r="4020" spans="1:28" x14ac:dyDescent="0.2">
      <c r="A4020" s="7">
        <v>23115</v>
      </c>
      <c r="B4020" s="8" t="s">
        <v>24859</v>
      </c>
      <c r="C4020" s="8" t="s">
        <v>19454</v>
      </c>
      <c r="D4020" s="8" t="s">
        <v>13847</v>
      </c>
      <c r="E4020" s="8" t="s">
        <v>24860</v>
      </c>
      <c r="F4020" s="8" t="s">
        <v>16520</v>
      </c>
      <c r="G4020" s="8" t="s">
        <v>7402</v>
      </c>
      <c r="H4020" s="8" t="s">
        <v>847</v>
      </c>
      <c r="I4020" s="8" t="s">
        <v>19456</v>
      </c>
      <c r="J4020" s="8" t="s">
        <v>24861</v>
      </c>
      <c r="K4020" s="8" t="s">
        <v>1091</v>
      </c>
      <c r="L4020" s="8" t="s">
        <v>126</v>
      </c>
      <c r="M4020" s="8" t="s">
        <v>24862</v>
      </c>
      <c r="N4020" s="8" t="s">
        <v>128</v>
      </c>
      <c r="O4020" s="8" t="s">
        <v>24863</v>
      </c>
      <c r="P4020" s="8" t="s">
        <v>23222</v>
      </c>
      <c r="Q4020" s="8" t="s">
        <v>150</v>
      </c>
      <c r="R4020" s="8"/>
      <c r="S4020" s="8" t="s">
        <v>19460</v>
      </c>
      <c r="T4020" s="8" t="s">
        <v>70</v>
      </c>
      <c r="U4020" s="8" t="s">
        <v>150</v>
      </c>
      <c r="V4020" s="8" t="s">
        <v>70</v>
      </c>
      <c r="W4020" s="8" t="s">
        <v>70</v>
      </c>
      <c r="X4020" s="8">
        <v>1</v>
      </c>
      <c r="Y4020" s="8" t="s">
        <v>12359</v>
      </c>
      <c r="Z4020" s="8">
        <v>20</v>
      </c>
      <c r="AA4020" s="8">
        <v>0</v>
      </c>
      <c r="AB4020" s="9">
        <v>0</v>
      </c>
    </row>
    <row r="4021" spans="1:28" x14ac:dyDescent="0.2">
      <c r="A4021" s="10">
        <v>23261</v>
      </c>
      <c r="B4021" s="11" t="s">
        <v>24864</v>
      </c>
      <c r="C4021" s="11" t="s">
        <v>24865</v>
      </c>
      <c r="D4021" s="11" t="s">
        <v>8068</v>
      </c>
      <c r="E4021" s="11"/>
      <c r="F4021" s="11" t="s">
        <v>353</v>
      </c>
      <c r="G4021" s="11" t="s">
        <v>24332</v>
      </c>
      <c r="H4021" s="11" t="s">
        <v>847</v>
      </c>
      <c r="I4021" s="11" t="s">
        <v>24333</v>
      </c>
      <c r="J4021" s="11" t="s">
        <v>24866</v>
      </c>
      <c r="K4021" s="11" t="s">
        <v>1091</v>
      </c>
      <c r="L4021" s="11" t="s">
        <v>126</v>
      </c>
      <c r="M4021" s="11" t="s">
        <v>24867</v>
      </c>
      <c r="N4021" s="11" t="s">
        <v>128</v>
      </c>
      <c r="O4021" s="11" t="s">
        <v>24868</v>
      </c>
      <c r="P4021" s="11" t="s">
        <v>24869</v>
      </c>
      <c r="Q4021" s="11" t="s">
        <v>150</v>
      </c>
      <c r="R4021" s="11"/>
      <c r="S4021" s="11" t="s">
        <v>71</v>
      </c>
      <c r="T4021" s="11" t="s">
        <v>70</v>
      </c>
      <c r="U4021" s="11" t="s">
        <v>150</v>
      </c>
      <c r="V4021" s="11" t="s">
        <v>70</v>
      </c>
      <c r="W4021" s="11" t="s">
        <v>70</v>
      </c>
      <c r="X4021" s="11">
        <v>1</v>
      </c>
      <c r="Y4021" s="11" t="s">
        <v>12359</v>
      </c>
      <c r="Z4021" s="11">
        <v>20</v>
      </c>
      <c r="AA4021" s="11">
        <v>0</v>
      </c>
      <c r="AB4021" s="12">
        <v>0</v>
      </c>
    </row>
    <row r="4022" spans="1:28" x14ac:dyDescent="0.2">
      <c r="A4022" s="7">
        <v>107032</v>
      </c>
      <c r="B4022" s="8" t="s">
        <v>24870</v>
      </c>
      <c r="C4022" s="8" t="s">
        <v>24871</v>
      </c>
      <c r="D4022" s="8" t="s">
        <v>20437</v>
      </c>
      <c r="E4022" s="8"/>
      <c r="F4022" s="8" t="s">
        <v>353</v>
      </c>
      <c r="G4022" s="8" t="s">
        <v>24567</v>
      </c>
      <c r="H4022" s="8" t="s">
        <v>142</v>
      </c>
      <c r="I4022" s="8" t="s">
        <v>24721</v>
      </c>
      <c r="J4022" s="8" t="s">
        <v>24872</v>
      </c>
      <c r="K4022" s="8" t="s">
        <v>779</v>
      </c>
      <c r="L4022" s="8" t="s">
        <v>464</v>
      </c>
      <c r="M4022" s="8" t="s">
        <v>24873</v>
      </c>
      <c r="N4022" s="8" t="s">
        <v>128</v>
      </c>
      <c r="O4022" s="8" t="s">
        <v>24874</v>
      </c>
      <c r="P4022" s="8" t="s">
        <v>24875</v>
      </c>
      <c r="Q4022" s="8" t="s">
        <v>150</v>
      </c>
      <c r="R4022" s="8"/>
      <c r="S4022" s="8" t="s">
        <v>71</v>
      </c>
      <c r="T4022" s="8" t="s">
        <v>70</v>
      </c>
      <c r="U4022" s="8" t="s">
        <v>150</v>
      </c>
      <c r="V4022" s="8" t="s">
        <v>70</v>
      </c>
      <c r="W4022" s="8" t="s">
        <v>70</v>
      </c>
      <c r="X4022" s="8">
        <v>1</v>
      </c>
      <c r="Y4022" s="8" t="s">
        <v>12359</v>
      </c>
      <c r="Z4022" s="8">
        <v>20</v>
      </c>
      <c r="AA4022" s="8">
        <v>0</v>
      </c>
      <c r="AB4022" s="9">
        <v>0</v>
      </c>
    </row>
    <row r="4023" spans="1:28" x14ac:dyDescent="0.2">
      <c r="A4023" s="10">
        <v>85056</v>
      </c>
      <c r="B4023" s="11" t="s">
        <v>24876</v>
      </c>
      <c r="C4023" s="11" t="s">
        <v>24706</v>
      </c>
      <c r="D4023" s="11" t="s">
        <v>13314</v>
      </c>
      <c r="E4023" s="11"/>
      <c r="F4023" s="11" t="s">
        <v>6430</v>
      </c>
      <c r="G4023" s="11" t="s">
        <v>21888</v>
      </c>
      <c r="H4023" s="11" t="s">
        <v>142</v>
      </c>
      <c r="I4023" s="11" t="s">
        <v>24707</v>
      </c>
      <c r="J4023" s="11" t="s">
        <v>24877</v>
      </c>
      <c r="K4023" s="11" t="s">
        <v>779</v>
      </c>
      <c r="L4023" s="11" t="s">
        <v>464</v>
      </c>
      <c r="M4023" s="11" t="s">
        <v>24878</v>
      </c>
      <c r="N4023" s="11" t="s">
        <v>128</v>
      </c>
      <c r="O4023" s="11" t="s">
        <v>24879</v>
      </c>
      <c r="P4023" s="11" t="s">
        <v>24880</v>
      </c>
      <c r="Q4023" s="11" t="s">
        <v>150</v>
      </c>
      <c r="R4023" s="11"/>
      <c r="S4023" s="11" t="s">
        <v>71</v>
      </c>
      <c r="T4023" s="11" t="s">
        <v>70</v>
      </c>
      <c r="U4023" s="11" t="s">
        <v>150</v>
      </c>
      <c r="V4023" s="11" t="s">
        <v>70</v>
      </c>
      <c r="W4023" s="11" t="s">
        <v>70</v>
      </c>
      <c r="X4023" s="11">
        <v>1</v>
      </c>
      <c r="Y4023" s="11" t="s">
        <v>12359</v>
      </c>
      <c r="Z4023" s="11">
        <v>20</v>
      </c>
      <c r="AA4023" s="11">
        <v>0</v>
      </c>
      <c r="AB4023" s="12">
        <v>0</v>
      </c>
    </row>
    <row r="4024" spans="1:28" x14ac:dyDescent="0.2">
      <c r="A4024" s="7">
        <v>28674</v>
      </c>
      <c r="B4024" s="8" t="s">
        <v>24881</v>
      </c>
      <c r="C4024" s="8" t="s">
        <v>24882</v>
      </c>
      <c r="D4024" s="8" t="s">
        <v>138</v>
      </c>
      <c r="E4024" s="8"/>
      <c r="F4024" s="8" t="s">
        <v>24883</v>
      </c>
      <c r="G4024" s="8" t="s">
        <v>224</v>
      </c>
      <c r="H4024" s="8" t="s">
        <v>225</v>
      </c>
      <c r="I4024" s="8" t="s">
        <v>24396</v>
      </c>
      <c r="J4024" s="8" t="s">
        <v>24884</v>
      </c>
      <c r="K4024" s="8" t="s">
        <v>228</v>
      </c>
      <c r="L4024" s="8" t="s">
        <v>229</v>
      </c>
      <c r="M4024" s="8" t="s">
        <v>24885</v>
      </c>
      <c r="N4024" s="8" t="s">
        <v>128</v>
      </c>
      <c r="O4024" s="8" t="s">
        <v>24886</v>
      </c>
      <c r="P4024" s="8" t="s">
        <v>24887</v>
      </c>
      <c r="Q4024" s="8" t="s">
        <v>150</v>
      </c>
      <c r="R4024" s="8"/>
      <c r="S4024" s="8" t="s">
        <v>71</v>
      </c>
      <c r="T4024" s="8" t="s">
        <v>70</v>
      </c>
      <c r="U4024" s="8" t="s">
        <v>150</v>
      </c>
      <c r="V4024" s="8" t="s">
        <v>70</v>
      </c>
      <c r="W4024" s="8" t="s">
        <v>70</v>
      </c>
      <c r="X4024" s="8">
        <v>1</v>
      </c>
      <c r="Y4024" s="8" t="s">
        <v>12359</v>
      </c>
      <c r="Z4024" s="8">
        <v>20</v>
      </c>
      <c r="AA4024" s="8">
        <v>0</v>
      </c>
      <c r="AB4024" s="9">
        <v>0</v>
      </c>
    </row>
    <row r="4025" spans="1:28" x14ac:dyDescent="0.2">
      <c r="A4025" s="10">
        <v>22918</v>
      </c>
      <c r="B4025" s="11" t="s">
        <v>24888</v>
      </c>
      <c r="C4025" s="11" t="s">
        <v>4777</v>
      </c>
      <c r="D4025" s="11" t="s">
        <v>24889</v>
      </c>
      <c r="E4025" s="11"/>
      <c r="F4025" s="11" t="s">
        <v>24890</v>
      </c>
      <c r="G4025" s="11" t="s">
        <v>7402</v>
      </c>
      <c r="H4025" s="11" t="s">
        <v>847</v>
      </c>
      <c r="I4025" s="11" t="s">
        <v>7403</v>
      </c>
      <c r="J4025" s="11" t="s">
        <v>24891</v>
      </c>
      <c r="K4025" s="11" t="s">
        <v>1091</v>
      </c>
      <c r="L4025" s="11" t="s">
        <v>126</v>
      </c>
      <c r="M4025" s="11" t="s">
        <v>24892</v>
      </c>
      <c r="N4025" s="11" t="s">
        <v>128</v>
      </c>
      <c r="O4025" s="11" t="s">
        <v>24893</v>
      </c>
      <c r="P4025" s="11" t="s">
        <v>24894</v>
      </c>
      <c r="Q4025" s="11" t="s">
        <v>150</v>
      </c>
      <c r="R4025" s="11"/>
      <c r="S4025" s="11" t="s">
        <v>71</v>
      </c>
      <c r="T4025" s="11" t="s">
        <v>70</v>
      </c>
      <c r="U4025" s="11" t="s">
        <v>150</v>
      </c>
      <c r="V4025" s="11" t="s">
        <v>70</v>
      </c>
      <c r="W4025" s="11" t="s">
        <v>70</v>
      </c>
      <c r="X4025" s="11">
        <v>1</v>
      </c>
      <c r="Y4025" s="11" t="s">
        <v>12359</v>
      </c>
      <c r="Z4025" s="11">
        <v>20</v>
      </c>
      <c r="AA4025" s="11">
        <v>0</v>
      </c>
      <c r="AB4025" s="12">
        <v>0</v>
      </c>
    </row>
    <row r="4026" spans="1:28" x14ac:dyDescent="0.2">
      <c r="A4026" s="7">
        <v>49687</v>
      </c>
      <c r="B4026" s="8" t="s">
        <v>24895</v>
      </c>
      <c r="C4026" s="8" t="s">
        <v>22141</v>
      </c>
      <c r="D4026" s="8" t="s">
        <v>14613</v>
      </c>
      <c r="E4026" s="8"/>
      <c r="F4026" s="8" t="s">
        <v>22650</v>
      </c>
      <c r="G4026" s="8" t="s">
        <v>158</v>
      </c>
      <c r="H4026" s="8" t="s">
        <v>159</v>
      </c>
      <c r="I4026" s="8" t="s">
        <v>24896</v>
      </c>
      <c r="J4026" s="8" t="s">
        <v>24897</v>
      </c>
      <c r="K4026" s="8" t="s">
        <v>162</v>
      </c>
      <c r="L4026" s="8" t="s">
        <v>163</v>
      </c>
      <c r="M4026" s="8" t="s">
        <v>24898</v>
      </c>
      <c r="N4026" s="8" t="s">
        <v>128</v>
      </c>
      <c r="O4026" s="8" t="s">
        <v>24899</v>
      </c>
      <c r="P4026" s="8" t="s">
        <v>24900</v>
      </c>
      <c r="Q4026" s="8" t="s">
        <v>150</v>
      </c>
      <c r="R4026" s="8"/>
      <c r="S4026" s="8" t="s">
        <v>71</v>
      </c>
      <c r="T4026" s="8" t="s">
        <v>70</v>
      </c>
      <c r="U4026" s="8" t="s">
        <v>150</v>
      </c>
      <c r="V4026" s="8" t="s">
        <v>70</v>
      </c>
      <c r="W4026" s="8" t="s">
        <v>70</v>
      </c>
      <c r="X4026" s="8">
        <v>1</v>
      </c>
      <c r="Y4026" s="8" t="s">
        <v>12359</v>
      </c>
      <c r="Z4026" s="8">
        <v>20</v>
      </c>
      <c r="AA4026" s="8">
        <v>0</v>
      </c>
      <c r="AB4026" s="9">
        <v>0</v>
      </c>
    </row>
    <row r="4027" spans="1:28" x14ac:dyDescent="0.2">
      <c r="A4027" s="10">
        <v>22996</v>
      </c>
      <c r="B4027" s="11" t="s">
        <v>24901</v>
      </c>
      <c r="C4027" s="11" t="s">
        <v>5894</v>
      </c>
      <c r="D4027" s="11" t="s">
        <v>5895</v>
      </c>
      <c r="E4027" s="11"/>
      <c r="F4027" s="11" t="s">
        <v>353</v>
      </c>
      <c r="G4027" s="11" t="s">
        <v>5804</v>
      </c>
      <c r="H4027" s="11" t="s">
        <v>5805</v>
      </c>
      <c r="I4027" s="11" t="s">
        <v>5897</v>
      </c>
      <c r="J4027" s="11" t="s">
        <v>5898</v>
      </c>
      <c r="K4027" s="11" t="s">
        <v>274</v>
      </c>
      <c r="L4027" s="11" t="s">
        <v>163</v>
      </c>
      <c r="M4027" s="11" t="s">
        <v>24902</v>
      </c>
      <c r="N4027" s="11" t="s">
        <v>128</v>
      </c>
      <c r="O4027" s="11" t="s">
        <v>24903</v>
      </c>
      <c r="P4027" s="11" t="s">
        <v>3217</v>
      </c>
      <c r="Q4027" s="11" t="s">
        <v>150</v>
      </c>
      <c r="R4027" s="11"/>
      <c r="S4027" s="11" t="s">
        <v>5902</v>
      </c>
      <c r="T4027" s="11" t="s">
        <v>70</v>
      </c>
      <c r="U4027" s="11" t="s">
        <v>150</v>
      </c>
      <c r="V4027" s="11" t="s">
        <v>70</v>
      </c>
      <c r="W4027" s="11" t="s">
        <v>70</v>
      </c>
      <c r="X4027" s="11">
        <v>1</v>
      </c>
      <c r="Y4027" s="11" t="s">
        <v>12359</v>
      </c>
      <c r="Z4027" s="11">
        <v>20</v>
      </c>
      <c r="AA4027" s="11">
        <v>0</v>
      </c>
      <c r="AB4027" s="12">
        <v>0</v>
      </c>
    </row>
    <row r="4028" spans="1:28" x14ac:dyDescent="0.2">
      <c r="A4028" s="7">
        <v>28573</v>
      </c>
      <c r="B4028" s="8" t="s">
        <v>24904</v>
      </c>
      <c r="C4028" s="8" t="s">
        <v>21721</v>
      </c>
      <c r="D4028" s="8" t="s">
        <v>138</v>
      </c>
      <c r="E4028" s="8"/>
      <c r="F4028" s="8" t="s">
        <v>24905</v>
      </c>
      <c r="G4028" s="8" t="s">
        <v>12262</v>
      </c>
      <c r="H4028" s="8" t="s">
        <v>704</v>
      </c>
      <c r="I4028" s="8" t="s">
        <v>24906</v>
      </c>
      <c r="J4028" s="8" t="s">
        <v>22269</v>
      </c>
      <c r="K4028" s="8" t="s">
        <v>707</v>
      </c>
      <c r="L4028" s="8" t="s">
        <v>126</v>
      </c>
      <c r="M4028" s="8" t="s">
        <v>24907</v>
      </c>
      <c r="N4028" s="8" t="s">
        <v>128</v>
      </c>
      <c r="O4028" s="8" t="s">
        <v>24908</v>
      </c>
      <c r="P4028" s="8" t="s">
        <v>2307</v>
      </c>
      <c r="Q4028" s="8" t="s">
        <v>150</v>
      </c>
      <c r="R4028" s="8"/>
      <c r="S4028" s="8" t="s">
        <v>22272</v>
      </c>
      <c r="T4028" s="8" t="s">
        <v>70</v>
      </c>
      <c r="U4028" s="8" t="s">
        <v>150</v>
      </c>
      <c r="V4028" s="8" t="s">
        <v>70</v>
      </c>
      <c r="W4028" s="8" t="s">
        <v>70</v>
      </c>
      <c r="X4028" s="8">
        <v>1</v>
      </c>
      <c r="Y4028" s="8" t="s">
        <v>12359</v>
      </c>
      <c r="Z4028" s="8">
        <v>20</v>
      </c>
      <c r="AA4028" s="8">
        <v>0</v>
      </c>
      <c r="AB4028" s="9">
        <v>0</v>
      </c>
    </row>
    <row r="4029" spans="1:28" x14ac:dyDescent="0.2">
      <c r="A4029" s="10">
        <v>107488</v>
      </c>
      <c r="B4029" s="11" t="s">
        <v>24909</v>
      </c>
      <c r="C4029" s="11" t="s">
        <v>24625</v>
      </c>
      <c r="D4029" s="11" t="s">
        <v>24626</v>
      </c>
      <c r="E4029" s="11"/>
      <c r="F4029" s="11" t="s">
        <v>24628</v>
      </c>
      <c r="G4029" s="11" t="s">
        <v>2676</v>
      </c>
      <c r="H4029" s="11" t="s">
        <v>142</v>
      </c>
      <c r="I4029" s="11" t="s">
        <v>24910</v>
      </c>
      <c r="J4029" s="11" t="s">
        <v>24630</v>
      </c>
      <c r="K4029" s="11" t="s">
        <v>779</v>
      </c>
      <c r="L4029" s="11" t="s">
        <v>464</v>
      </c>
      <c r="M4029" s="11" t="s">
        <v>24911</v>
      </c>
      <c r="N4029" s="11" t="s">
        <v>128</v>
      </c>
      <c r="O4029" s="11" t="s">
        <v>24912</v>
      </c>
      <c r="P4029" s="11" t="s">
        <v>24913</v>
      </c>
      <c r="Q4029" s="11" t="s">
        <v>150</v>
      </c>
      <c r="R4029" s="11"/>
      <c r="S4029" s="11" t="s">
        <v>24633</v>
      </c>
      <c r="T4029" s="11" t="s">
        <v>70</v>
      </c>
      <c r="U4029" s="11" t="s">
        <v>150</v>
      </c>
      <c r="V4029" s="11" t="s">
        <v>70</v>
      </c>
      <c r="W4029" s="11" t="s">
        <v>70</v>
      </c>
      <c r="X4029" s="11">
        <v>1</v>
      </c>
      <c r="Y4029" s="11" t="s">
        <v>12359</v>
      </c>
      <c r="Z4029" s="11">
        <v>20</v>
      </c>
      <c r="AA4029" s="11">
        <v>0</v>
      </c>
      <c r="AB4029" s="12">
        <v>0</v>
      </c>
    </row>
    <row r="4030" spans="1:28" x14ac:dyDescent="0.2">
      <c r="A4030" s="7">
        <v>106326</v>
      </c>
      <c r="B4030" s="8" t="s">
        <v>24914</v>
      </c>
      <c r="C4030" s="8" t="s">
        <v>24740</v>
      </c>
      <c r="D4030" s="8" t="s">
        <v>3863</v>
      </c>
      <c r="E4030" s="8"/>
      <c r="F4030" s="8" t="s">
        <v>24742</v>
      </c>
      <c r="G4030" s="8" t="s">
        <v>24743</v>
      </c>
      <c r="H4030" s="8" t="s">
        <v>159</v>
      </c>
      <c r="I4030" s="8" t="s">
        <v>24744</v>
      </c>
      <c r="J4030" s="8" t="s">
        <v>24915</v>
      </c>
      <c r="K4030" s="8" t="s">
        <v>162</v>
      </c>
      <c r="L4030" s="8" t="s">
        <v>163</v>
      </c>
      <c r="M4030" s="8" t="s">
        <v>24916</v>
      </c>
      <c r="N4030" s="8" t="s">
        <v>128</v>
      </c>
      <c r="O4030" s="8" t="s">
        <v>24917</v>
      </c>
      <c r="P4030" s="8" t="s">
        <v>3651</v>
      </c>
      <c r="Q4030" s="8" t="s">
        <v>150</v>
      </c>
      <c r="R4030" s="8"/>
      <c r="S4030" s="8" t="s">
        <v>24748</v>
      </c>
      <c r="T4030" s="8" t="s">
        <v>70</v>
      </c>
      <c r="U4030" s="8" t="s">
        <v>150</v>
      </c>
      <c r="V4030" s="8" t="s">
        <v>70</v>
      </c>
      <c r="W4030" s="8" t="s">
        <v>70</v>
      </c>
      <c r="X4030" s="8">
        <v>1</v>
      </c>
      <c r="Y4030" s="8" t="s">
        <v>12359</v>
      </c>
      <c r="Z4030" s="8">
        <v>20</v>
      </c>
      <c r="AA4030" s="8">
        <v>0</v>
      </c>
      <c r="AB4030" s="9">
        <v>0</v>
      </c>
    </row>
    <row r="4031" spans="1:28" x14ac:dyDescent="0.2">
      <c r="A4031" s="10">
        <v>86764</v>
      </c>
      <c r="B4031" s="11" t="s">
        <v>24918</v>
      </c>
      <c r="C4031" s="11" t="s">
        <v>20619</v>
      </c>
      <c r="D4031" s="11" t="s">
        <v>23958</v>
      </c>
      <c r="E4031" s="11"/>
      <c r="F4031" s="11" t="s">
        <v>23959</v>
      </c>
      <c r="G4031" s="11" t="s">
        <v>20621</v>
      </c>
      <c r="H4031" s="11" t="s">
        <v>704</v>
      </c>
      <c r="I4031" s="11" t="s">
        <v>20622</v>
      </c>
      <c r="J4031" s="11" t="s">
        <v>23961</v>
      </c>
      <c r="K4031" s="11" t="s">
        <v>707</v>
      </c>
      <c r="L4031" s="11" t="s">
        <v>126</v>
      </c>
      <c r="M4031" s="11" t="s">
        <v>24919</v>
      </c>
      <c r="N4031" s="11" t="s">
        <v>128</v>
      </c>
      <c r="O4031" s="11" t="s">
        <v>24920</v>
      </c>
      <c r="P4031" s="11" t="s">
        <v>24921</v>
      </c>
      <c r="Q4031" s="11" t="s">
        <v>150</v>
      </c>
      <c r="R4031" s="11"/>
      <c r="S4031" s="11" t="s">
        <v>23965</v>
      </c>
      <c r="T4031" s="11" t="s">
        <v>70</v>
      </c>
      <c r="U4031" s="11" t="s">
        <v>150</v>
      </c>
      <c r="V4031" s="11" t="s">
        <v>70</v>
      </c>
      <c r="W4031" s="11" t="s">
        <v>70</v>
      </c>
      <c r="X4031" s="11">
        <v>1</v>
      </c>
      <c r="Y4031" s="11" t="s">
        <v>12359</v>
      </c>
      <c r="Z4031" s="11">
        <v>20</v>
      </c>
      <c r="AA4031" s="11">
        <v>0</v>
      </c>
      <c r="AB4031" s="12">
        <v>0</v>
      </c>
    </row>
    <row r="4032" spans="1:28" x14ac:dyDescent="0.2">
      <c r="A4032" s="7">
        <v>23472</v>
      </c>
      <c r="B4032" s="8" t="s">
        <v>24922</v>
      </c>
      <c r="C4032" s="8" t="s">
        <v>2172</v>
      </c>
      <c r="D4032" s="8" t="s">
        <v>2040</v>
      </c>
      <c r="E4032" s="8"/>
      <c r="F4032" s="8" t="s">
        <v>353</v>
      </c>
      <c r="G4032" s="8" t="s">
        <v>24612</v>
      </c>
      <c r="H4032" s="8" t="s">
        <v>142</v>
      </c>
      <c r="I4032" s="8" t="s">
        <v>24923</v>
      </c>
      <c r="J4032" s="8" t="s">
        <v>24924</v>
      </c>
      <c r="K4032" s="8" t="s">
        <v>1029</v>
      </c>
      <c r="L4032" s="8" t="s">
        <v>464</v>
      </c>
      <c r="M4032" s="8" t="s">
        <v>24925</v>
      </c>
      <c r="N4032" s="8" t="s">
        <v>128</v>
      </c>
      <c r="O4032" s="8" t="s">
        <v>24926</v>
      </c>
      <c r="P4032" s="8" t="s">
        <v>21175</v>
      </c>
      <c r="Q4032" s="8" t="s">
        <v>150</v>
      </c>
      <c r="R4032" s="8"/>
      <c r="S4032" s="8" t="s">
        <v>71</v>
      </c>
      <c r="T4032" s="8" t="s">
        <v>1415</v>
      </c>
      <c r="U4032" s="8" t="s">
        <v>150</v>
      </c>
      <c r="V4032" s="8" t="s">
        <v>1415</v>
      </c>
      <c r="W4032" s="8" t="s">
        <v>1415</v>
      </c>
      <c r="X4032" s="8">
        <v>1</v>
      </c>
      <c r="Y4032" s="8" t="s">
        <v>12359</v>
      </c>
      <c r="Z4032" s="8">
        <v>20</v>
      </c>
      <c r="AA4032" s="8">
        <v>0</v>
      </c>
      <c r="AB4032" s="9">
        <v>0</v>
      </c>
    </row>
    <row r="4033" spans="1:28" x14ac:dyDescent="0.2">
      <c r="A4033" s="10">
        <v>124205</v>
      </c>
      <c r="B4033" s="11" t="s">
        <v>24927</v>
      </c>
      <c r="C4033" s="11" t="s">
        <v>24548</v>
      </c>
      <c r="D4033" s="11" t="s">
        <v>24928</v>
      </c>
      <c r="E4033" s="11"/>
      <c r="F4033" s="11" t="s">
        <v>353</v>
      </c>
      <c r="G4033" s="11" t="s">
        <v>24549</v>
      </c>
      <c r="H4033" s="11" t="s">
        <v>142</v>
      </c>
      <c r="I4033" s="11" t="s">
        <v>24550</v>
      </c>
      <c r="J4033" s="11" t="s">
        <v>24929</v>
      </c>
      <c r="K4033" s="11" t="s">
        <v>717</v>
      </c>
      <c r="L4033" s="11" t="s">
        <v>464</v>
      </c>
      <c r="M4033" s="11" t="s">
        <v>24930</v>
      </c>
      <c r="N4033" s="11" t="s">
        <v>128</v>
      </c>
      <c r="O4033" s="11" t="s">
        <v>24931</v>
      </c>
      <c r="P4033" s="11" t="s">
        <v>24932</v>
      </c>
      <c r="Q4033" s="11" t="s">
        <v>150</v>
      </c>
      <c r="R4033" s="11"/>
      <c r="S4033" s="11" t="s">
        <v>71</v>
      </c>
      <c r="T4033" s="11" t="s">
        <v>1415</v>
      </c>
      <c r="U4033" s="11" t="s">
        <v>150</v>
      </c>
      <c r="V4033" s="11" t="s">
        <v>1415</v>
      </c>
      <c r="W4033" s="11" t="s">
        <v>1415</v>
      </c>
      <c r="X4033" s="11">
        <v>1</v>
      </c>
      <c r="Y4033" s="11" t="s">
        <v>12359</v>
      </c>
      <c r="Z4033" s="11">
        <v>20</v>
      </c>
      <c r="AA4033" s="11">
        <v>0</v>
      </c>
      <c r="AB4033" s="12">
        <v>0</v>
      </c>
    </row>
    <row r="4034" spans="1:28" x14ac:dyDescent="0.2">
      <c r="A4034" s="7">
        <v>124206</v>
      </c>
      <c r="B4034" s="8" t="s">
        <v>24933</v>
      </c>
      <c r="C4034" s="8" t="s">
        <v>24934</v>
      </c>
      <c r="D4034" s="8" t="s">
        <v>2871</v>
      </c>
      <c r="E4034" s="8"/>
      <c r="F4034" s="8" t="s">
        <v>353</v>
      </c>
      <c r="G4034" s="8" t="s">
        <v>24542</v>
      </c>
      <c r="H4034" s="8" t="s">
        <v>142</v>
      </c>
      <c r="I4034" s="8" t="s">
        <v>24935</v>
      </c>
      <c r="J4034" s="8" t="s">
        <v>24936</v>
      </c>
      <c r="K4034" s="8" t="s">
        <v>1199</v>
      </c>
      <c r="L4034" s="8" t="s">
        <v>464</v>
      </c>
      <c r="M4034" s="8" t="s">
        <v>24937</v>
      </c>
      <c r="N4034" s="8" t="s">
        <v>128</v>
      </c>
      <c r="O4034" s="8" t="s">
        <v>24938</v>
      </c>
      <c r="P4034" s="8" t="s">
        <v>24939</v>
      </c>
      <c r="Q4034" s="8" t="s">
        <v>150</v>
      </c>
      <c r="R4034" s="8"/>
      <c r="S4034" s="8" t="s">
        <v>71</v>
      </c>
      <c r="T4034" s="8" t="s">
        <v>1415</v>
      </c>
      <c r="U4034" s="8" t="s">
        <v>150</v>
      </c>
      <c r="V4034" s="8" t="s">
        <v>1415</v>
      </c>
      <c r="W4034" s="8" t="s">
        <v>1415</v>
      </c>
      <c r="X4034" s="8">
        <v>1</v>
      </c>
      <c r="Y4034" s="8" t="s">
        <v>12359</v>
      </c>
      <c r="Z4034" s="8">
        <v>20</v>
      </c>
      <c r="AA4034" s="8">
        <v>0</v>
      </c>
      <c r="AB4034" s="9">
        <v>0</v>
      </c>
    </row>
    <row r="4035" spans="1:28" x14ac:dyDescent="0.2">
      <c r="A4035" s="10">
        <v>124225</v>
      </c>
      <c r="B4035" s="11" t="s">
        <v>24940</v>
      </c>
      <c r="C4035" s="11" t="s">
        <v>20914</v>
      </c>
      <c r="D4035" s="11" t="s">
        <v>10243</v>
      </c>
      <c r="E4035" s="11"/>
      <c r="F4035" s="11" t="s">
        <v>353</v>
      </c>
      <c r="G4035" s="11" t="s">
        <v>20915</v>
      </c>
      <c r="H4035" s="11" t="s">
        <v>142</v>
      </c>
      <c r="I4035" s="11" t="s">
        <v>24941</v>
      </c>
      <c r="J4035" s="11" t="s">
        <v>24942</v>
      </c>
      <c r="K4035" s="11" t="s">
        <v>1199</v>
      </c>
      <c r="L4035" s="11" t="s">
        <v>464</v>
      </c>
      <c r="M4035" s="11" t="s">
        <v>24943</v>
      </c>
      <c r="N4035" s="11" t="s">
        <v>128</v>
      </c>
      <c r="O4035" s="11" t="s">
        <v>24944</v>
      </c>
      <c r="P4035" s="11" t="s">
        <v>24945</v>
      </c>
      <c r="Q4035" s="11" t="s">
        <v>150</v>
      </c>
      <c r="R4035" s="11"/>
      <c r="S4035" s="11" t="s">
        <v>71</v>
      </c>
      <c r="T4035" s="11" t="s">
        <v>1415</v>
      </c>
      <c r="U4035" s="11" t="s">
        <v>150</v>
      </c>
      <c r="V4035" s="11" t="s">
        <v>1415</v>
      </c>
      <c r="W4035" s="11" t="s">
        <v>1415</v>
      </c>
      <c r="X4035" s="11">
        <v>1</v>
      </c>
      <c r="Y4035" s="11" t="s">
        <v>12359</v>
      </c>
      <c r="Z4035" s="11">
        <v>20</v>
      </c>
      <c r="AA4035" s="11">
        <v>0</v>
      </c>
      <c r="AB4035" s="12">
        <v>0</v>
      </c>
    </row>
    <row r="4036" spans="1:28" x14ac:dyDescent="0.2">
      <c r="A4036" s="7">
        <v>124285</v>
      </c>
      <c r="B4036" s="8" t="s">
        <v>24946</v>
      </c>
      <c r="C4036" s="8" t="s">
        <v>24712</v>
      </c>
      <c r="D4036" s="8" t="s">
        <v>6204</v>
      </c>
      <c r="E4036" s="8"/>
      <c r="F4036" s="8" t="s">
        <v>353</v>
      </c>
      <c r="G4036" s="8" t="s">
        <v>24713</v>
      </c>
      <c r="H4036" s="8" t="s">
        <v>142</v>
      </c>
      <c r="I4036" s="8" t="s">
        <v>24714</v>
      </c>
      <c r="J4036" s="8" t="s">
        <v>24947</v>
      </c>
      <c r="K4036" s="8" t="s">
        <v>1199</v>
      </c>
      <c r="L4036" s="8" t="s">
        <v>464</v>
      </c>
      <c r="M4036" s="8" t="s">
        <v>24948</v>
      </c>
      <c r="N4036" s="8" t="s">
        <v>128</v>
      </c>
      <c r="O4036" s="8" t="s">
        <v>24949</v>
      </c>
      <c r="P4036" s="8" t="s">
        <v>24950</v>
      </c>
      <c r="Q4036" s="8" t="s">
        <v>150</v>
      </c>
      <c r="R4036" s="8"/>
      <c r="S4036" s="8" t="s">
        <v>71</v>
      </c>
      <c r="T4036" s="8" t="s">
        <v>1415</v>
      </c>
      <c r="U4036" s="8" t="s">
        <v>150</v>
      </c>
      <c r="V4036" s="8" t="s">
        <v>1415</v>
      </c>
      <c r="W4036" s="8" t="s">
        <v>1415</v>
      </c>
      <c r="X4036" s="8">
        <v>1</v>
      </c>
      <c r="Y4036" s="8" t="s">
        <v>12359</v>
      </c>
      <c r="Z4036" s="8">
        <v>20</v>
      </c>
      <c r="AA4036" s="8">
        <v>0</v>
      </c>
      <c r="AB4036" s="9">
        <v>0</v>
      </c>
    </row>
    <row r="4037" spans="1:28" x14ac:dyDescent="0.2">
      <c r="A4037" s="10">
        <v>124262</v>
      </c>
      <c r="B4037" s="11" t="s">
        <v>24951</v>
      </c>
      <c r="C4037" s="11" t="s">
        <v>24952</v>
      </c>
      <c r="D4037" s="11" t="s">
        <v>16426</v>
      </c>
      <c r="E4037" s="11"/>
      <c r="F4037" s="11" t="s">
        <v>24953</v>
      </c>
      <c r="G4037" s="11" t="s">
        <v>17971</v>
      </c>
      <c r="H4037" s="11" t="s">
        <v>142</v>
      </c>
      <c r="I4037" s="11" t="s">
        <v>24954</v>
      </c>
      <c r="J4037" s="11" t="s">
        <v>24955</v>
      </c>
      <c r="K4037" s="11" t="s">
        <v>1199</v>
      </c>
      <c r="L4037" s="11" t="s">
        <v>464</v>
      </c>
      <c r="M4037" s="11" t="s">
        <v>24956</v>
      </c>
      <c r="N4037" s="11" t="s">
        <v>128</v>
      </c>
      <c r="O4037" s="11" t="s">
        <v>24957</v>
      </c>
      <c r="P4037" s="11" t="s">
        <v>24958</v>
      </c>
      <c r="Q4037" s="11" t="s">
        <v>150</v>
      </c>
      <c r="R4037" s="11"/>
      <c r="S4037" s="11" t="s">
        <v>71</v>
      </c>
      <c r="T4037" s="11" t="s">
        <v>1415</v>
      </c>
      <c r="U4037" s="11" t="s">
        <v>150</v>
      </c>
      <c r="V4037" s="11" t="s">
        <v>1415</v>
      </c>
      <c r="W4037" s="11" t="s">
        <v>1415</v>
      </c>
      <c r="X4037" s="11">
        <v>1</v>
      </c>
      <c r="Y4037" s="11" t="s">
        <v>12359</v>
      </c>
      <c r="Z4037" s="11">
        <v>20</v>
      </c>
      <c r="AA4037" s="11">
        <v>0</v>
      </c>
      <c r="AB4037" s="12">
        <v>0</v>
      </c>
    </row>
    <row r="4038" spans="1:28" x14ac:dyDescent="0.2">
      <c r="A4038" s="7">
        <v>124284</v>
      </c>
      <c r="B4038" s="8" t="s">
        <v>24959</v>
      </c>
      <c r="C4038" s="8" t="s">
        <v>16139</v>
      </c>
      <c r="D4038" s="8" t="s">
        <v>24796</v>
      </c>
      <c r="E4038" s="8"/>
      <c r="F4038" s="8" t="s">
        <v>24960</v>
      </c>
      <c r="G4038" s="8" t="s">
        <v>24961</v>
      </c>
      <c r="H4038" s="8" t="s">
        <v>142</v>
      </c>
      <c r="I4038" s="8" t="s">
        <v>24962</v>
      </c>
      <c r="J4038" s="8" t="s">
        <v>24963</v>
      </c>
      <c r="K4038" s="8" t="s">
        <v>779</v>
      </c>
      <c r="L4038" s="8" t="s">
        <v>464</v>
      </c>
      <c r="M4038" s="8" t="s">
        <v>24964</v>
      </c>
      <c r="N4038" s="8" t="s">
        <v>128</v>
      </c>
      <c r="O4038" s="8" t="s">
        <v>24965</v>
      </c>
      <c r="P4038" s="8" t="s">
        <v>24966</v>
      </c>
      <c r="Q4038" s="8" t="s">
        <v>150</v>
      </c>
      <c r="R4038" s="8"/>
      <c r="S4038" s="8" t="s">
        <v>71</v>
      </c>
      <c r="T4038" s="8" t="s">
        <v>1415</v>
      </c>
      <c r="U4038" s="8" t="s">
        <v>150</v>
      </c>
      <c r="V4038" s="8" t="s">
        <v>1415</v>
      </c>
      <c r="W4038" s="8" t="s">
        <v>1415</v>
      </c>
      <c r="X4038" s="8">
        <v>1</v>
      </c>
      <c r="Y4038" s="8" t="s">
        <v>12359</v>
      </c>
      <c r="Z4038" s="8">
        <v>20</v>
      </c>
      <c r="AA4038" s="8">
        <v>0</v>
      </c>
      <c r="AB4038" s="9">
        <v>0</v>
      </c>
    </row>
    <row r="4039" spans="1:28" x14ac:dyDescent="0.2">
      <c r="A4039" s="10">
        <v>124298</v>
      </c>
      <c r="B4039" s="11" t="s">
        <v>24967</v>
      </c>
      <c r="C4039" s="11" t="s">
        <v>24968</v>
      </c>
      <c r="D4039" s="11" t="s">
        <v>8596</v>
      </c>
      <c r="E4039" s="11"/>
      <c r="F4039" s="11" t="s">
        <v>24969</v>
      </c>
      <c r="G4039" s="11" t="s">
        <v>17971</v>
      </c>
      <c r="H4039" s="11" t="s">
        <v>142</v>
      </c>
      <c r="I4039" s="11" t="s">
        <v>24970</v>
      </c>
      <c r="J4039" s="11" t="s">
        <v>24971</v>
      </c>
      <c r="K4039" s="11" t="s">
        <v>1199</v>
      </c>
      <c r="L4039" s="11" t="s">
        <v>464</v>
      </c>
      <c r="M4039" s="11" t="s">
        <v>24972</v>
      </c>
      <c r="N4039" s="11" t="s">
        <v>128</v>
      </c>
      <c r="O4039" s="11" t="s">
        <v>24973</v>
      </c>
      <c r="P4039" s="11" t="s">
        <v>24974</v>
      </c>
      <c r="Q4039" s="11" t="s">
        <v>150</v>
      </c>
      <c r="R4039" s="11"/>
      <c r="S4039" s="11" t="s">
        <v>71</v>
      </c>
      <c r="T4039" s="11" t="s">
        <v>1415</v>
      </c>
      <c r="U4039" s="11" t="s">
        <v>150</v>
      </c>
      <c r="V4039" s="11" t="s">
        <v>1415</v>
      </c>
      <c r="W4039" s="11" t="s">
        <v>1415</v>
      </c>
      <c r="X4039" s="11">
        <v>1</v>
      </c>
      <c r="Y4039" s="11" t="s">
        <v>12359</v>
      </c>
      <c r="Z4039" s="11">
        <v>20</v>
      </c>
      <c r="AA4039" s="11">
        <v>0</v>
      </c>
      <c r="AB4039" s="12">
        <v>0</v>
      </c>
    </row>
    <row r="4040" spans="1:28" x14ac:dyDescent="0.2">
      <c r="A4040" s="7">
        <v>246107</v>
      </c>
      <c r="B4040" s="8" t="s">
        <v>24975</v>
      </c>
      <c r="C4040" s="8" t="s">
        <v>11088</v>
      </c>
      <c r="D4040" s="8" t="s">
        <v>7579</v>
      </c>
      <c r="E4040" s="8"/>
      <c r="F4040" s="8" t="s">
        <v>24976</v>
      </c>
      <c r="G4040" s="8" t="s">
        <v>21237</v>
      </c>
      <c r="H4040" s="8" t="s">
        <v>142</v>
      </c>
      <c r="I4040" s="8" t="s">
        <v>24977</v>
      </c>
      <c r="J4040" s="8" t="s">
        <v>24978</v>
      </c>
      <c r="K4040" s="8" t="s">
        <v>1673</v>
      </c>
      <c r="L4040" s="8" t="s">
        <v>464</v>
      </c>
      <c r="M4040" s="8" t="s">
        <v>24979</v>
      </c>
      <c r="N4040" s="8" t="s">
        <v>128</v>
      </c>
      <c r="O4040" s="8" t="s">
        <v>24980</v>
      </c>
      <c r="P4040" s="8" t="s">
        <v>15240</v>
      </c>
      <c r="Q4040" s="8" t="s">
        <v>150</v>
      </c>
      <c r="R4040" s="8"/>
      <c r="S4040" s="8" t="s">
        <v>71</v>
      </c>
      <c r="T4040" s="8" t="s">
        <v>1415</v>
      </c>
      <c r="U4040" s="8" t="s">
        <v>150</v>
      </c>
      <c r="V4040" s="8" t="s">
        <v>1415</v>
      </c>
      <c r="W4040" s="8" t="s">
        <v>1415</v>
      </c>
      <c r="X4040" s="8">
        <v>1</v>
      </c>
      <c r="Y4040" s="8" t="s">
        <v>12359</v>
      </c>
      <c r="Z4040" s="8">
        <v>20</v>
      </c>
      <c r="AA4040" s="8">
        <v>0</v>
      </c>
      <c r="AB4040" s="9">
        <v>0</v>
      </c>
    </row>
    <row r="4041" spans="1:28" x14ac:dyDescent="0.2">
      <c r="A4041" s="10">
        <v>23712</v>
      </c>
      <c r="B4041" s="11" t="s">
        <v>24981</v>
      </c>
      <c r="C4041" s="11" t="s">
        <v>7260</v>
      </c>
      <c r="D4041" s="11" t="s">
        <v>12970</v>
      </c>
      <c r="E4041" s="11"/>
      <c r="F4041" s="11" t="s">
        <v>353</v>
      </c>
      <c r="G4041" s="11" t="s">
        <v>24612</v>
      </c>
      <c r="H4041" s="11" t="s">
        <v>142</v>
      </c>
      <c r="I4041" s="11" t="s">
        <v>24982</v>
      </c>
      <c r="J4041" s="11" t="s">
        <v>24983</v>
      </c>
      <c r="K4041" s="11" t="s">
        <v>1029</v>
      </c>
      <c r="L4041" s="11" t="s">
        <v>464</v>
      </c>
      <c r="M4041" s="11" t="s">
        <v>24984</v>
      </c>
      <c r="N4041" s="11" t="s">
        <v>128</v>
      </c>
      <c r="O4041" s="11" t="s">
        <v>24985</v>
      </c>
      <c r="P4041" s="11" t="s">
        <v>3523</v>
      </c>
      <c r="Q4041" s="11" t="s">
        <v>150</v>
      </c>
      <c r="R4041" s="11"/>
      <c r="S4041" s="11" t="s">
        <v>71</v>
      </c>
      <c r="T4041" s="11" t="s">
        <v>168</v>
      </c>
      <c r="U4041" s="11" t="s">
        <v>150</v>
      </c>
      <c r="V4041" s="11" t="s">
        <v>168</v>
      </c>
      <c r="W4041" s="11" t="s">
        <v>168</v>
      </c>
      <c r="X4041" s="11">
        <v>1</v>
      </c>
      <c r="Y4041" s="11" t="s">
        <v>12359</v>
      </c>
      <c r="Z4041" s="11">
        <v>20</v>
      </c>
      <c r="AA4041" s="11">
        <v>0</v>
      </c>
      <c r="AB4041" s="12">
        <v>0</v>
      </c>
    </row>
    <row r="4042" spans="1:28" x14ac:dyDescent="0.2">
      <c r="A4042" s="7">
        <v>23832</v>
      </c>
      <c r="B4042" s="8" t="s">
        <v>24986</v>
      </c>
      <c r="C4042" s="8" t="s">
        <v>2481</v>
      </c>
      <c r="D4042" s="8" t="s">
        <v>10061</v>
      </c>
      <c r="E4042" s="8"/>
      <c r="F4042" s="8" t="s">
        <v>353</v>
      </c>
      <c r="G4042" s="8" t="s">
        <v>10062</v>
      </c>
      <c r="H4042" s="8" t="s">
        <v>142</v>
      </c>
      <c r="I4042" s="8" t="s">
        <v>16725</v>
      </c>
      <c r="J4042" s="8" t="s">
        <v>24987</v>
      </c>
      <c r="K4042" s="8" t="s">
        <v>1029</v>
      </c>
      <c r="L4042" s="8" t="s">
        <v>464</v>
      </c>
      <c r="M4042" s="8" t="s">
        <v>24988</v>
      </c>
      <c r="N4042" s="8" t="s">
        <v>128</v>
      </c>
      <c r="O4042" s="8"/>
      <c r="P4042" s="8" t="s">
        <v>3523</v>
      </c>
      <c r="Q4042" s="8" t="s">
        <v>150</v>
      </c>
      <c r="R4042" s="8"/>
      <c r="S4042" s="8" t="s">
        <v>71</v>
      </c>
      <c r="T4042" s="8" t="s">
        <v>168</v>
      </c>
      <c r="U4042" s="8" t="s">
        <v>150</v>
      </c>
      <c r="V4042" s="8" t="s">
        <v>168</v>
      </c>
      <c r="W4042" s="8" t="s">
        <v>168</v>
      </c>
      <c r="X4042" s="8">
        <v>1</v>
      </c>
      <c r="Y4042" s="8" t="s">
        <v>12359</v>
      </c>
      <c r="Z4042" s="8">
        <v>20</v>
      </c>
      <c r="AA4042" s="8">
        <v>0</v>
      </c>
      <c r="AB4042" s="9">
        <v>0</v>
      </c>
    </row>
    <row r="4043" spans="1:28" x14ac:dyDescent="0.2">
      <c r="A4043" s="10">
        <v>28916</v>
      </c>
      <c r="B4043" s="11" t="s">
        <v>24989</v>
      </c>
      <c r="C4043" s="11" t="s">
        <v>20811</v>
      </c>
      <c r="D4043" s="11" t="s">
        <v>1032</v>
      </c>
      <c r="E4043" s="11"/>
      <c r="F4043" s="11" t="s">
        <v>353</v>
      </c>
      <c r="G4043" s="11" t="s">
        <v>5804</v>
      </c>
      <c r="H4043" s="11" t="s">
        <v>5805</v>
      </c>
      <c r="I4043" s="11" t="s">
        <v>20812</v>
      </c>
      <c r="J4043" s="11" t="s">
        <v>24990</v>
      </c>
      <c r="K4043" s="11" t="s">
        <v>274</v>
      </c>
      <c r="L4043" s="11" t="s">
        <v>163</v>
      </c>
      <c r="M4043" s="11" t="s">
        <v>24991</v>
      </c>
      <c r="N4043" s="11" t="s">
        <v>128</v>
      </c>
      <c r="O4043" s="11" t="s">
        <v>24992</v>
      </c>
      <c r="P4043" s="11" t="s">
        <v>17797</v>
      </c>
      <c r="Q4043" s="11" t="s">
        <v>150</v>
      </c>
      <c r="R4043" s="11"/>
      <c r="S4043" s="11" t="s">
        <v>71</v>
      </c>
      <c r="T4043" s="11" t="s">
        <v>168</v>
      </c>
      <c r="U4043" s="11" t="s">
        <v>150</v>
      </c>
      <c r="V4043" s="11" t="s">
        <v>168</v>
      </c>
      <c r="W4043" s="11" t="s">
        <v>168</v>
      </c>
      <c r="X4043" s="11">
        <v>1</v>
      </c>
      <c r="Y4043" s="11" t="s">
        <v>12359</v>
      </c>
      <c r="Z4043" s="11">
        <v>20</v>
      </c>
      <c r="AA4043" s="11">
        <v>0</v>
      </c>
      <c r="AB4043" s="12">
        <v>0</v>
      </c>
    </row>
    <row r="4044" spans="1:28" x14ac:dyDescent="0.2">
      <c r="A4044" s="7">
        <v>92297</v>
      </c>
      <c r="B4044" s="8" t="s">
        <v>24993</v>
      </c>
      <c r="C4044" s="8" t="s">
        <v>24508</v>
      </c>
      <c r="D4044" s="8" t="s">
        <v>24994</v>
      </c>
      <c r="E4044" s="8"/>
      <c r="F4044" s="8" t="s">
        <v>353</v>
      </c>
      <c r="G4044" s="8" t="s">
        <v>21849</v>
      </c>
      <c r="H4044" s="8" t="s">
        <v>142</v>
      </c>
      <c r="I4044" s="8" t="s">
        <v>21850</v>
      </c>
      <c r="J4044" s="8" t="s">
        <v>24995</v>
      </c>
      <c r="K4044" s="8" t="s">
        <v>1673</v>
      </c>
      <c r="L4044" s="8" t="s">
        <v>464</v>
      </c>
      <c r="M4044" s="8" t="s">
        <v>24996</v>
      </c>
      <c r="N4044" s="8" t="s">
        <v>128</v>
      </c>
      <c r="O4044" s="8" t="s">
        <v>24997</v>
      </c>
      <c r="P4044" s="8" t="s">
        <v>4511</v>
      </c>
      <c r="Q4044" s="8" t="s">
        <v>150</v>
      </c>
      <c r="R4044" s="8"/>
      <c r="S4044" s="8" t="s">
        <v>71</v>
      </c>
      <c r="T4044" s="8" t="s">
        <v>168</v>
      </c>
      <c r="U4044" s="8" t="s">
        <v>150</v>
      </c>
      <c r="V4044" s="8" t="s">
        <v>168</v>
      </c>
      <c r="W4044" s="8" t="s">
        <v>168</v>
      </c>
      <c r="X4044" s="8">
        <v>1</v>
      </c>
      <c r="Y4044" s="8" t="s">
        <v>12359</v>
      </c>
      <c r="Z4044" s="8">
        <v>20</v>
      </c>
      <c r="AA4044" s="8">
        <v>0</v>
      </c>
      <c r="AB4044" s="9">
        <v>0</v>
      </c>
    </row>
    <row r="4045" spans="1:28" x14ac:dyDescent="0.2">
      <c r="A4045" s="10">
        <v>106016</v>
      </c>
      <c r="B4045" s="11" t="s">
        <v>24998</v>
      </c>
      <c r="C4045" s="11" t="s">
        <v>24999</v>
      </c>
      <c r="D4045" s="11" t="s">
        <v>19613</v>
      </c>
      <c r="E4045" s="11"/>
      <c r="F4045" s="11" t="s">
        <v>353</v>
      </c>
      <c r="G4045" s="11" t="s">
        <v>24581</v>
      </c>
      <c r="H4045" s="11" t="s">
        <v>159</v>
      </c>
      <c r="I4045" s="11" t="s">
        <v>25000</v>
      </c>
      <c r="J4045" s="11" t="s">
        <v>25001</v>
      </c>
      <c r="K4045" s="11" t="s">
        <v>162</v>
      </c>
      <c r="L4045" s="11" t="s">
        <v>163</v>
      </c>
      <c r="M4045" s="11" t="s">
        <v>25002</v>
      </c>
      <c r="N4045" s="11" t="s">
        <v>128</v>
      </c>
      <c r="O4045" s="11" t="s">
        <v>25003</v>
      </c>
      <c r="P4045" s="11" t="s">
        <v>25004</v>
      </c>
      <c r="Q4045" s="11" t="s">
        <v>150</v>
      </c>
      <c r="R4045" s="11"/>
      <c r="S4045" s="11" t="s">
        <v>71</v>
      </c>
      <c r="T4045" s="11" t="s">
        <v>168</v>
      </c>
      <c r="U4045" s="11" t="s">
        <v>150</v>
      </c>
      <c r="V4045" s="11" t="s">
        <v>168</v>
      </c>
      <c r="W4045" s="11" t="s">
        <v>168</v>
      </c>
      <c r="X4045" s="11">
        <v>1</v>
      </c>
      <c r="Y4045" s="11" t="s">
        <v>12359</v>
      </c>
      <c r="Z4045" s="11">
        <v>20</v>
      </c>
      <c r="AA4045" s="11">
        <v>0</v>
      </c>
      <c r="AB4045" s="12">
        <v>0</v>
      </c>
    </row>
    <row r="4046" spans="1:28" x14ac:dyDescent="0.2">
      <c r="A4046" s="7">
        <v>183900</v>
      </c>
      <c r="B4046" s="8" t="s">
        <v>25005</v>
      </c>
      <c r="C4046" s="8" t="s">
        <v>25006</v>
      </c>
      <c r="D4046" s="8" t="s">
        <v>1395</v>
      </c>
      <c r="E4046" s="8"/>
      <c r="F4046" s="8" t="s">
        <v>353</v>
      </c>
      <c r="G4046" s="8" t="s">
        <v>24713</v>
      </c>
      <c r="H4046" s="8" t="s">
        <v>142</v>
      </c>
      <c r="I4046" s="8" t="s">
        <v>24714</v>
      </c>
      <c r="J4046" s="8" t="s">
        <v>25007</v>
      </c>
      <c r="K4046" s="8" t="s">
        <v>1199</v>
      </c>
      <c r="L4046" s="8" t="s">
        <v>464</v>
      </c>
      <c r="M4046" s="8" t="s">
        <v>25008</v>
      </c>
      <c r="N4046" s="8" t="s">
        <v>128</v>
      </c>
      <c r="O4046" s="8" t="s">
        <v>25009</v>
      </c>
      <c r="P4046" s="8" t="s">
        <v>11311</v>
      </c>
      <c r="Q4046" s="8" t="s">
        <v>150</v>
      </c>
      <c r="R4046" s="8"/>
      <c r="S4046" s="8" t="s">
        <v>71</v>
      </c>
      <c r="T4046" s="8" t="s">
        <v>168</v>
      </c>
      <c r="U4046" s="8" t="s">
        <v>150</v>
      </c>
      <c r="V4046" s="8" t="s">
        <v>168</v>
      </c>
      <c r="W4046" s="8" t="s">
        <v>168</v>
      </c>
      <c r="X4046" s="8">
        <v>1</v>
      </c>
      <c r="Y4046" s="8" t="s">
        <v>12359</v>
      </c>
      <c r="Z4046" s="8">
        <v>20</v>
      </c>
      <c r="AA4046" s="8">
        <v>0</v>
      </c>
      <c r="AB4046" s="9">
        <v>0</v>
      </c>
    </row>
    <row r="4047" spans="1:28" x14ac:dyDescent="0.2">
      <c r="A4047" s="10">
        <v>218083</v>
      </c>
      <c r="B4047" s="11" t="s">
        <v>25010</v>
      </c>
      <c r="C4047" s="11" t="s">
        <v>25011</v>
      </c>
      <c r="D4047" s="11" t="s">
        <v>10293</v>
      </c>
      <c r="E4047" s="11"/>
      <c r="F4047" s="11" t="s">
        <v>353</v>
      </c>
      <c r="G4047" s="11" t="s">
        <v>24542</v>
      </c>
      <c r="H4047" s="11" t="s">
        <v>142</v>
      </c>
      <c r="I4047" s="11" t="s">
        <v>25012</v>
      </c>
      <c r="J4047" s="11" t="s">
        <v>25013</v>
      </c>
      <c r="K4047" s="11" t="s">
        <v>1673</v>
      </c>
      <c r="L4047" s="11" t="s">
        <v>464</v>
      </c>
      <c r="M4047" s="11" t="s">
        <v>25014</v>
      </c>
      <c r="N4047" s="11" t="s">
        <v>128</v>
      </c>
      <c r="O4047" s="11" t="s">
        <v>25015</v>
      </c>
      <c r="P4047" s="11" t="s">
        <v>1428</v>
      </c>
      <c r="Q4047" s="11" t="s">
        <v>150</v>
      </c>
      <c r="R4047" s="11"/>
      <c r="S4047" s="11" t="s">
        <v>71</v>
      </c>
      <c r="T4047" s="11" t="s">
        <v>168</v>
      </c>
      <c r="U4047" s="11" t="s">
        <v>150</v>
      </c>
      <c r="V4047" s="11" t="s">
        <v>168</v>
      </c>
      <c r="W4047" s="11" t="s">
        <v>168</v>
      </c>
      <c r="X4047" s="11">
        <v>1</v>
      </c>
      <c r="Y4047" s="11" t="s">
        <v>12359</v>
      </c>
      <c r="Z4047" s="11">
        <v>20</v>
      </c>
      <c r="AA4047" s="11">
        <v>0</v>
      </c>
      <c r="AB4047" s="12">
        <v>0</v>
      </c>
    </row>
    <row r="4048" spans="1:28" x14ac:dyDescent="0.2">
      <c r="A4048" s="7">
        <v>240277</v>
      </c>
      <c r="B4048" s="8" t="s">
        <v>25016</v>
      </c>
      <c r="C4048" s="8" t="s">
        <v>24548</v>
      </c>
      <c r="D4048" s="8" t="s">
        <v>12254</v>
      </c>
      <c r="E4048" s="8"/>
      <c r="F4048" s="8" t="s">
        <v>353</v>
      </c>
      <c r="G4048" s="8" t="s">
        <v>24549</v>
      </c>
      <c r="H4048" s="8" t="s">
        <v>142</v>
      </c>
      <c r="I4048" s="8" t="s">
        <v>24550</v>
      </c>
      <c r="J4048" s="8" t="s">
        <v>25017</v>
      </c>
      <c r="K4048" s="8" t="s">
        <v>717</v>
      </c>
      <c r="L4048" s="8" t="s">
        <v>464</v>
      </c>
      <c r="M4048" s="8" t="s">
        <v>25018</v>
      </c>
      <c r="N4048" s="8" t="s">
        <v>128</v>
      </c>
      <c r="O4048" s="8" t="s">
        <v>25019</v>
      </c>
      <c r="P4048" s="8" t="s">
        <v>6630</v>
      </c>
      <c r="Q4048" s="8" t="s">
        <v>150</v>
      </c>
      <c r="R4048" s="8"/>
      <c r="S4048" s="8" t="s">
        <v>71</v>
      </c>
      <c r="T4048" s="8" t="s">
        <v>168</v>
      </c>
      <c r="U4048" s="8" t="s">
        <v>150</v>
      </c>
      <c r="V4048" s="8" t="s">
        <v>168</v>
      </c>
      <c r="W4048" s="8" t="s">
        <v>168</v>
      </c>
      <c r="X4048" s="8">
        <v>1</v>
      </c>
      <c r="Y4048" s="8" t="s">
        <v>12359</v>
      </c>
      <c r="Z4048" s="8">
        <v>20</v>
      </c>
      <c r="AA4048" s="8">
        <v>0</v>
      </c>
      <c r="AB4048" s="9">
        <v>0</v>
      </c>
    </row>
    <row r="4049" spans="1:28" x14ac:dyDescent="0.2">
      <c r="A4049" s="10">
        <v>85123</v>
      </c>
      <c r="B4049" s="11" t="s">
        <v>25020</v>
      </c>
      <c r="C4049" s="11" t="s">
        <v>3769</v>
      </c>
      <c r="D4049" s="11" t="s">
        <v>4680</v>
      </c>
      <c r="E4049" s="11"/>
      <c r="F4049" s="11" t="s">
        <v>6430</v>
      </c>
      <c r="G4049" s="11" t="s">
        <v>556</v>
      </c>
      <c r="H4049" s="11" t="s">
        <v>557</v>
      </c>
      <c r="I4049" s="11" t="s">
        <v>25021</v>
      </c>
      <c r="J4049" s="11" t="s">
        <v>25022</v>
      </c>
      <c r="K4049" s="11" t="s">
        <v>560</v>
      </c>
      <c r="L4049" s="11" t="s">
        <v>229</v>
      </c>
      <c r="M4049" s="11" t="s">
        <v>25023</v>
      </c>
      <c r="N4049" s="11" t="s">
        <v>128</v>
      </c>
      <c r="O4049" s="11" t="s">
        <v>25024</v>
      </c>
      <c r="P4049" s="11" t="s">
        <v>3523</v>
      </c>
      <c r="Q4049" s="11" t="s">
        <v>150</v>
      </c>
      <c r="R4049" s="11"/>
      <c r="S4049" s="11" t="s">
        <v>71</v>
      </c>
      <c r="T4049" s="11" t="s">
        <v>168</v>
      </c>
      <c r="U4049" s="11" t="s">
        <v>150</v>
      </c>
      <c r="V4049" s="11" t="s">
        <v>168</v>
      </c>
      <c r="W4049" s="11" t="s">
        <v>168</v>
      </c>
      <c r="X4049" s="11">
        <v>1</v>
      </c>
      <c r="Y4049" s="11" t="s">
        <v>12359</v>
      </c>
      <c r="Z4049" s="11">
        <v>20</v>
      </c>
      <c r="AA4049" s="11">
        <v>0</v>
      </c>
      <c r="AB4049" s="12">
        <v>0</v>
      </c>
    </row>
    <row r="4050" spans="1:28" x14ac:dyDescent="0.2">
      <c r="A4050" s="7">
        <v>109189</v>
      </c>
      <c r="B4050" s="8" t="s">
        <v>25025</v>
      </c>
      <c r="C4050" s="8" t="s">
        <v>25026</v>
      </c>
      <c r="D4050" s="8" t="s">
        <v>138</v>
      </c>
      <c r="E4050" s="8"/>
      <c r="F4050" s="8" t="s">
        <v>24114</v>
      </c>
      <c r="G4050" s="8" t="s">
        <v>24115</v>
      </c>
      <c r="H4050" s="8" t="s">
        <v>301</v>
      </c>
      <c r="I4050" s="8" t="s">
        <v>24116</v>
      </c>
      <c r="J4050" s="8" t="s">
        <v>25027</v>
      </c>
      <c r="K4050" s="8" t="s">
        <v>228</v>
      </c>
      <c r="L4050" s="8" t="s">
        <v>229</v>
      </c>
      <c r="M4050" s="8" t="s">
        <v>25028</v>
      </c>
      <c r="N4050" s="8" t="s">
        <v>128</v>
      </c>
      <c r="O4050" s="8" t="s">
        <v>25029</v>
      </c>
      <c r="P4050" s="8" t="s">
        <v>2040</v>
      </c>
      <c r="Q4050" s="8" t="s">
        <v>150</v>
      </c>
      <c r="R4050" s="8"/>
      <c r="S4050" s="8" t="s">
        <v>71</v>
      </c>
      <c r="T4050" s="8" t="s">
        <v>168</v>
      </c>
      <c r="U4050" s="8" t="s">
        <v>150</v>
      </c>
      <c r="V4050" s="8" t="s">
        <v>168</v>
      </c>
      <c r="W4050" s="8" t="s">
        <v>168</v>
      </c>
      <c r="X4050" s="8">
        <v>1</v>
      </c>
      <c r="Y4050" s="8" t="s">
        <v>12359</v>
      </c>
      <c r="Z4050" s="8">
        <v>20</v>
      </c>
      <c r="AA4050" s="8">
        <v>0</v>
      </c>
      <c r="AB4050" s="9">
        <v>0</v>
      </c>
    </row>
    <row r="4051" spans="1:28" x14ac:dyDescent="0.2">
      <c r="A4051" s="10">
        <v>23957</v>
      </c>
      <c r="B4051" s="11" t="s">
        <v>25030</v>
      </c>
      <c r="C4051" s="11" t="s">
        <v>6482</v>
      </c>
      <c r="D4051" s="11" t="s">
        <v>25031</v>
      </c>
      <c r="E4051" s="11"/>
      <c r="F4051" s="11" t="s">
        <v>630</v>
      </c>
      <c r="G4051" s="11" t="s">
        <v>141</v>
      </c>
      <c r="H4051" s="11" t="s">
        <v>142</v>
      </c>
      <c r="I4051" s="11" t="s">
        <v>6485</v>
      </c>
      <c r="J4051" s="11" t="s">
        <v>25032</v>
      </c>
      <c r="K4051" s="11" t="s">
        <v>991</v>
      </c>
      <c r="L4051" s="11" t="s">
        <v>146</v>
      </c>
      <c r="M4051" s="11" t="s">
        <v>25033</v>
      </c>
      <c r="N4051" s="11" t="s">
        <v>128</v>
      </c>
      <c r="O4051" s="11" t="s">
        <v>25034</v>
      </c>
      <c r="P4051" s="11" t="s">
        <v>6489</v>
      </c>
      <c r="Q4051" s="11" t="s">
        <v>150</v>
      </c>
      <c r="R4051" s="11"/>
      <c r="S4051" s="11" t="s">
        <v>71</v>
      </c>
      <c r="T4051" s="11" t="s">
        <v>168</v>
      </c>
      <c r="U4051" s="11" t="s">
        <v>150</v>
      </c>
      <c r="V4051" s="11" t="s">
        <v>168</v>
      </c>
      <c r="W4051" s="11" t="s">
        <v>168</v>
      </c>
      <c r="X4051" s="11">
        <v>1</v>
      </c>
      <c r="Y4051" s="11" t="s">
        <v>12359</v>
      </c>
      <c r="Z4051" s="11">
        <v>20</v>
      </c>
      <c r="AA4051" s="11">
        <v>0</v>
      </c>
      <c r="AB4051" s="12">
        <v>0</v>
      </c>
    </row>
    <row r="4052" spans="1:28" x14ac:dyDescent="0.2">
      <c r="A4052" s="7">
        <v>86731</v>
      </c>
      <c r="B4052" s="8" t="s">
        <v>25035</v>
      </c>
      <c r="C4052" s="8" t="s">
        <v>10837</v>
      </c>
      <c r="D4052" s="8" t="s">
        <v>2411</v>
      </c>
      <c r="E4052" s="8"/>
      <c r="F4052" s="8" t="s">
        <v>25036</v>
      </c>
      <c r="G4052" s="8" t="s">
        <v>328</v>
      </c>
      <c r="H4052" s="8" t="s">
        <v>329</v>
      </c>
      <c r="I4052" s="8" t="s">
        <v>20786</v>
      </c>
      <c r="J4052" s="8" t="s">
        <v>25037</v>
      </c>
      <c r="K4052" s="8" t="s">
        <v>572</v>
      </c>
      <c r="L4052" s="8" t="s">
        <v>333</v>
      </c>
      <c r="M4052" s="8" t="s">
        <v>25038</v>
      </c>
      <c r="N4052" s="8" t="s">
        <v>128</v>
      </c>
      <c r="O4052" s="8" t="s">
        <v>25039</v>
      </c>
      <c r="P4052" s="8"/>
      <c r="Q4052" s="8" t="s">
        <v>150</v>
      </c>
      <c r="R4052" s="8"/>
      <c r="S4052" s="8" t="s">
        <v>71</v>
      </c>
      <c r="T4052" s="8" t="s">
        <v>168</v>
      </c>
      <c r="U4052" s="8" t="s">
        <v>150</v>
      </c>
      <c r="V4052" s="8" t="s">
        <v>168</v>
      </c>
      <c r="W4052" s="8" t="s">
        <v>168</v>
      </c>
      <c r="X4052" s="8">
        <v>1</v>
      </c>
      <c r="Y4052" s="8" t="s">
        <v>12359</v>
      </c>
      <c r="Z4052" s="8">
        <v>20</v>
      </c>
      <c r="AA4052" s="8">
        <v>0</v>
      </c>
      <c r="AB4052" s="9">
        <v>0</v>
      </c>
    </row>
    <row r="4053" spans="1:28" x14ac:dyDescent="0.2">
      <c r="A4053" s="10">
        <v>23580</v>
      </c>
      <c r="B4053" s="11" t="s">
        <v>25040</v>
      </c>
      <c r="C4053" s="11" t="s">
        <v>17908</v>
      </c>
      <c r="D4053" s="11" t="s">
        <v>10600</v>
      </c>
      <c r="E4053" s="11"/>
      <c r="F4053" s="11" t="s">
        <v>21037</v>
      </c>
      <c r="G4053" s="11" t="s">
        <v>9598</v>
      </c>
      <c r="H4053" s="11" t="s">
        <v>704</v>
      </c>
      <c r="I4053" s="11" t="s">
        <v>16202</v>
      </c>
      <c r="J4053" s="11" t="s">
        <v>25041</v>
      </c>
      <c r="K4053" s="11" t="s">
        <v>707</v>
      </c>
      <c r="L4053" s="11" t="s">
        <v>126</v>
      </c>
      <c r="M4053" s="11" t="s">
        <v>25042</v>
      </c>
      <c r="N4053" s="11" t="s">
        <v>128</v>
      </c>
      <c r="O4053" s="11"/>
      <c r="P4053" s="11"/>
      <c r="Q4053" s="11" t="s">
        <v>150</v>
      </c>
      <c r="R4053" s="11"/>
      <c r="S4053" s="11" t="s">
        <v>71</v>
      </c>
      <c r="T4053" s="11" t="s">
        <v>168</v>
      </c>
      <c r="U4053" s="11" t="s">
        <v>150</v>
      </c>
      <c r="V4053" s="11" t="s">
        <v>168</v>
      </c>
      <c r="W4053" s="11" t="s">
        <v>168</v>
      </c>
      <c r="X4053" s="11">
        <v>1</v>
      </c>
      <c r="Y4053" s="11" t="s">
        <v>12359</v>
      </c>
      <c r="Z4053" s="11">
        <v>20</v>
      </c>
      <c r="AA4053" s="11">
        <v>0</v>
      </c>
      <c r="AB4053" s="12">
        <v>0</v>
      </c>
    </row>
    <row r="4054" spans="1:28" x14ac:dyDescent="0.2">
      <c r="A4054" s="7">
        <v>24045</v>
      </c>
      <c r="B4054" s="8" t="s">
        <v>25043</v>
      </c>
      <c r="C4054" s="8" t="s">
        <v>25044</v>
      </c>
      <c r="D4054" s="8" t="s">
        <v>25045</v>
      </c>
      <c r="E4054" s="8"/>
      <c r="F4054" s="8" t="s">
        <v>353</v>
      </c>
      <c r="G4054" s="8" t="s">
        <v>3758</v>
      </c>
      <c r="H4054" s="8" t="s">
        <v>847</v>
      </c>
      <c r="I4054" s="8"/>
      <c r="J4054" s="8" t="s">
        <v>25046</v>
      </c>
      <c r="K4054" s="8" t="s">
        <v>1091</v>
      </c>
      <c r="L4054" s="8" t="s">
        <v>126</v>
      </c>
      <c r="M4054" s="8" t="s">
        <v>25047</v>
      </c>
      <c r="N4054" s="8" t="s">
        <v>128</v>
      </c>
      <c r="O4054" s="8" t="s">
        <v>25048</v>
      </c>
      <c r="P4054" s="8"/>
      <c r="Q4054" s="8" t="s">
        <v>150</v>
      </c>
      <c r="R4054" s="8"/>
      <c r="S4054" s="8" t="s">
        <v>71</v>
      </c>
      <c r="T4054" s="8" t="s">
        <v>22054</v>
      </c>
      <c r="U4054" s="8" t="s">
        <v>150</v>
      </c>
      <c r="V4054" s="8" t="s">
        <v>22054</v>
      </c>
      <c r="W4054" s="8" t="s">
        <v>22054</v>
      </c>
      <c r="X4054" s="8">
        <v>1</v>
      </c>
      <c r="Y4054" s="8" t="s">
        <v>12359</v>
      </c>
      <c r="Z4054" s="8">
        <v>20</v>
      </c>
      <c r="AA4054" s="8">
        <v>0</v>
      </c>
      <c r="AB4054" s="9">
        <v>0</v>
      </c>
    </row>
    <row r="4055" spans="1:28" x14ac:dyDescent="0.2">
      <c r="A4055" s="10">
        <v>240333</v>
      </c>
      <c r="B4055" s="11" t="s">
        <v>25049</v>
      </c>
      <c r="C4055" s="11" t="s">
        <v>25050</v>
      </c>
      <c r="D4055" s="11" t="s">
        <v>2690</v>
      </c>
      <c r="E4055" s="11"/>
      <c r="F4055" s="11" t="s">
        <v>353</v>
      </c>
      <c r="G4055" s="11" t="s">
        <v>24422</v>
      </c>
      <c r="H4055" s="11" t="s">
        <v>704</v>
      </c>
      <c r="I4055" s="11" t="s">
        <v>24559</v>
      </c>
      <c r="J4055" s="11" t="s">
        <v>25051</v>
      </c>
      <c r="K4055" s="11" t="s">
        <v>850</v>
      </c>
      <c r="L4055" s="11" t="s">
        <v>126</v>
      </c>
      <c r="M4055" s="11" t="s">
        <v>25052</v>
      </c>
      <c r="N4055" s="11" t="s">
        <v>128</v>
      </c>
      <c r="O4055" s="11" t="s">
        <v>25053</v>
      </c>
      <c r="P4055" s="11"/>
      <c r="Q4055" s="11" t="s">
        <v>150</v>
      </c>
      <c r="R4055" s="11"/>
      <c r="S4055" s="11" t="s">
        <v>71</v>
      </c>
      <c r="T4055" s="11" t="s">
        <v>22054</v>
      </c>
      <c r="U4055" s="11" t="s">
        <v>150</v>
      </c>
      <c r="V4055" s="11" t="s">
        <v>22054</v>
      </c>
      <c r="W4055" s="11" t="s">
        <v>22054</v>
      </c>
      <c r="X4055" s="11">
        <v>1</v>
      </c>
      <c r="Y4055" s="11" t="s">
        <v>12359</v>
      </c>
      <c r="Z4055" s="11">
        <v>20</v>
      </c>
      <c r="AA4055" s="11">
        <v>0</v>
      </c>
      <c r="AB4055" s="12">
        <v>0</v>
      </c>
    </row>
    <row r="4056" spans="1:28" x14ac:dyDescent="0.2">
      <c r="A4056" s="7">
        <v>29079</v>
      </c>
      <c r="B4056" s="8" t="s">
        <v>25054</v>
      </c>
      <c r="C4056" s="8" t="s">
        <v>14806</v>
      </c>
      <c r="D4056" s="8" t="s">
        <v>9980</v>
      </c>
      <c r="E4056" s="8"/>
      <c r="F4056" s="8" t="s">
        <v>21017</v>
      </c>
      <c r="G4056" s="8" t="s">
        <v>14809</v>
      </c>
      <c r="H4056" s="8" t="s">
        <v>847</v>
      </c>
      <c r="I4056" s="8"/>
      <c r="J4056" s="8" t="s">
        <v>25055</v>
      </c>
      <c r="K4056" s="8" t="s">
        <v>1091</v>
      </c>
      <c r="L4056" s="8" t="s">
        <v>126</v>
      </c>
      <c r="M4056" s="8" t="s">
        <v>25056</v>
      </c>
      <c r="N4056" s="8" t="s">
        <v>128</v>
      </c>
      <c r="O4056" s="8" t="s">
        <v>25057</v>
      </c>
      <c r="P4056" s="8"/>
      <c r="Q4056" s="8" t="s">
        <v>150</v>
      </c>
      <c r="R4056" s="8"/>
      <c r="S4056" s="8" t="s">
        <v>71</v>
      </c>
      <c r="T4056" s="8" t="s">
        <v>22054</v>
      </c>
      <c r="U4056" s="8" t="s">
        <v>150</v>
      </c>
      <c r="V4056" s="8" t="s">
        <v>22054</v>
      </c>
      <c r="W4056" s="8" t="s">
        <v>22054</v>
      </c>
      <c r="X4056" s="8">
        <v>1</v>
      </c>
      <c r="Y4056" s="8" t="s">
        <v>12359</v>
      </c>
      <c r="Z4056" s="8">
        <v>20</v>
      </c>
      <c r="AA4056" s="8">
        <v>0</v>
      </c>
      <c r="AB4056" s="9">
        <v>0</v>
      </c>
    </row>
    <row r="4057" spans="1:28" x14ac:dyDescent="0.2">
      <c r="A4057" s="10">
        <v>24054</v>
      </c>
      <c r="B4057" s="11" t="s">
        <v>25058</v>
      </c>
      <c r="C4057" s="11" t="s">
        <v>17988</v>
      </c>
      <c r="D4057" s="11" t="s">
        <v>7716</v>
      </c>
      <c r="E4057" s="11" t="s">
        <v>281</v>
      </c>
      <c r="F4057" s="11" t="s">
        <v>25059</v>
      </c>
      <c r="G4057" s="11" t="s">
        <v>158</v>
      </c>
      <c r="H4057" s="11" t="s">
        <v>159</v>
      </c>
      <c r="I4057" s="11" t="s">
        <v>17990</v>
      </c>
      <c r="J4057" s="11" t="s">
        <v>25060</v>
      </c>
      <c r="K4057" s="11" t="s">
        <v>274</v>
      </c>
      <c r="L4057" s="11" t="s">
        <v>163</v>
      </c>
      <c r="M4057" s="11" t="s">
        <v>25061</v>
      </c>
      <c r="N4057" s="11" t="s">
        <v>128</v>
      </c>
      <c r="O4057" s="11" t="s">
        <v>25062</v>
      </c>
      <c r="P4057" s="11"/>
      <c r="Q4057" s="11" t="s">
        <v>150</v>
      </c>
      <c r="R4057" s="11"/>
      <c r="S4057" s="11" t="s">
        <v>71</v>
      </c>
      <c r="T4057" s="11" t="s">
        <v>5438</v>
      </c>
      <c r="U4057" s="11" t="s">
        <v>150</v>
      </c>
      <c r="V4057" s="11" t="s">
        <v>5438</v>
      </c>
      <c r="W4057" s="11" t="s">
        <v>5438</v>
      </c>
      <c r="X4057" s="11">
        <v>1</v>
      </c>
      <c r="Y4057" s="11" t="s">
        <v>12359</v>
      </c>
      <c r="Z4057" s="11">
        <v>20</v>
      </c>
      <c r="AA4057" s="11">
        <v>0</v>
      </c>
      <c r="AB4057" s="12">
        <v>0</v>
      </c>
    </row>
    <row r="4058" spans="1:28" x14ac:dyDescent="0.2">
      <c r="A4058" s="7">
        <v>24096</v>
      </c>
      <c r="B4058" s="8" t="s">
        <v>25063</v>
      </c>
      <c r="C4058" s="8" t="s">
        <v>24330</v>
      </c>
      <c r="D4058" s="8" t="s">
        <v>11257</v>
      </c>
      <c r="E4058" s="8"/>
      <c r="F4058" s="8" t="s">
        <v>24331</v>
      </c>
      <c r="G4058" s="8" t="s">
        <v>24332</v>
      </c>
      <c r="H4058" s="8" t="s">
        <v>847</v>
      </c>
      <c r="I4058" s="8" t="s">
        <v>24333</v>
      </c>
      <c r="J4058" s="8" t="s">
        <v>25064</v>
      </c>
      <c r="K4058" s="8" t="s">
        <v>1091</v>
      </c>
      <c r="L4058" s="8" t="s">
        <v>126</v>
      </c>
      <c r="M4058" s="8" t="s">
        <v>25065</v>
      </c>
      <c r="N4058" s="8" t="s">
        <v>128</v>
      </c>
      <c r="O4058" s="8" t="s">
        <v>25066</v>
      </c>
      <c r="P4058" s="8"/>
      <c r="Q4058" s="8" t="s">
        <v>150</v>
      </c>
      <c r="R4058" s="8"/>
      <c r="S4058" s="8" t="s">
        <v>71</v>
      </c>
      <c r="T4058" s="8" t="s">
        <v>10304</v>
      </c>
      <c r="U4058" s="8" t="s">
        <v>150</v>
      </c>
      <c r="V4058" s="8" t="s">
        <v>10304</v>
      </c>
      <c r="W4058" s="8" t="s">
        <v>10304</v>
      </c>
      <c r="X4058" s="8">
        <v>1</v>
      </c>
      <c r="Y4058" s="8" t="s">
        <v>12359</v>
      </c>
      <c r="Z4058" s="8">
        <v>20</v>
      </c>
      <c r="AA4058" s="8">
        <v>0</v>
      </c>
      <c r="AB4058" s="9">
        <v>0</v>
      </c>
    </row>
    <row r="4059" spans="1:28" x14ac:dyDescent="0.2">
      <c r="A4059" s="10">
        <v>24210</v>
      </c>
      <c r="B4059" s="11" t="s">
        <v>25067</v>
      </c>
      <c r="C4059" s="11" t="s">
        <v>297</v>
      </c>
      <c r="D4059" s="11" t="s">
        <v>138</v>
      </c>
      <c r="E4059" s="11" t="s">
        <v>25068</v>
      </c>
      <c r="F4059" s="11" t="s">
        <v>299</v>
      </c>
      <c r="G4059" s="11" t="s">
        <v>300</v>
      </c>
      <c r="H4059" s="11" t="s">
        <v>301</v>
      </c>
      <c r="I4059" s="11" t="s">
        <v>302</v>
      </c>
      <c r="J4059" s="11" t="s">
        <v>25069</v>
      </c>
      <c r="K4059" s="11" t="s">
        <v>304</v>
      </c>
      <c r="L4059" s="11" t="s">
        <v>229</v>
      </c>
      <c r="M4059" s="11" t="s">
        <v>25070</v>
      </c>
      <c r="N4059" s="11" t="s">
        <v>4651</v>
      </c>
      <c r="O4059" s="11" t="s">
        <v>25071</v>
      </c>
      <c r="P4059" s="11"/>
      <c r="Q4059" s="11" t="s">
        <v>150</v>
      </c>
      <c r="R4059" s="11"/>
      <c r="S4059" s="11" t="s">
        <v>308</v>
      </c>
      <c r="T4059" s="11" t="s">
        <v>5674</v>
      </c>
      <c r="U4059" s="11" t="s">
        <v>150</v>
      </c>
      <c r="V4059" s="11" t="s">
        <v>5674</v>
      </c>
      <c r="W4059" s="11" t="s">
        <v>5674</v>
      </c>
      <c r="X4059" s="11">
        <v>1</v>
      </c>
      <c r="Y4059" s="11" t="s">
        <v>12359</v>
      </c>
      <c r="Z4059" s="11">
        <v>20</v>
      </c>
      <c r="AA4059" s="11">
        <v>1</v>
      </c>
      <c r="AB4059" s="12">
        <v>0</v>
      </c>
    </row>
    <row r="4060" spans="1:28" x14ac:dyDescent="0.2">
      <c r="A4060" s="7">
        <v>109190</v>
      </c>
      <c r="B4060" s="8" t="s">
        <v>25072</v>
      </c>
      <c r="C4060" s="8" t="s">
        <v>25073</v>
      </c>
      <c r="D4060" s="8" t="s">
        <v>138</v>
      </c>
      <c r="E4060" s="8"/>
      <c r="F4060" s="8" t="s">
        <v>24114</v>
      </c>
      <c r="G4060" s="8" t="s">
        <v>24115</v>
      </c>
      <c r="H4060" s="8" t="s">
        <v>301</v>
      </c>
      <c r="I4060" s="8" t="s">
        <v>24116</v>
      </c>
      <c r="J4060" s="8" t="s">
        <v>25074</v>
      </c>
      <c r="K4060" s="8" t="s">
        <v>228</v>
      </c>
      <c r="L4060" s="8" t="s">
        <v>229</v>
      </c>
      <c r="M4060" s="8" t="s">
        <v>25075</v>
      </c>
      <c r="N4060" s="8" t="s">
        <v>128</v>
      </c>
      <c r="O4060" s="8" t="s">
        <v>25076</v>
      </c>
      <c r="P4060" s="8"/>
      <c r="Q4060" s="8" t="s">
        <v>150</v>
      </c>
      <c r="R4060" s="8"/>
      <c r="S4060" s="8" t="s">
        <v>71</v>
      </c>
      <c r="T4060" s="8" t="s">
        <v>5674</v>
      </c>
      <c r="U4060" s="8" t="s">
        <v>150</v>
      </c>
      <c r="V4060" s="8" t="s">
        <v>5674</v>
      </c>
      <c r="W4060" s="8" t="s">
        <v>5674</v>
      </c>
      <c r="X4060" s="8">
        <v>1</v>
      </c>
      <c r="Y4060" s="8" t="s">
        <v>12359</v>
      </c>
      <c r="Z4060" s="8">
        <v>20</v>
      </c>
      <c r="AA4060" s="8">
        <v>0</v>
      </c>
      <c r="AB4060" s="9">
        <v>0</v>
      </c>
    </row>
    <row r="4061" spans="1:28" x14ac:dyDescent="0.2">
      <c r="A4061" s="10">
        <v>24317</v>
      </c>
      <c r="B4061" s="11" t="s">
        <v>25077</v>
      </c>
      <c r="C4061" s="11" t="s">
        <v>186</v>
      </c>
      <c r="D4061" s="11" t="s">
        <v>310</v>
      </c>
      <c r="E4061" s="11" t="s">
        <v>25078</v>
      </c>
      <c r="F4061" s="11" t="s">
        <v>189</v>
      </c>
      <c r="G4061" s="11" t="s">
        <v>190</v>
      </c>
      <c r="H4061" s="11" t="s">
        <v>191</v>
      </c>
      <c r="I4061" s="11" t="s">
        <v>312</v>
      </c>
      <c r="J4061" s="11" t="s">
        <v>313</v>
      </c>
      <c r="K4061" s="11" t="s">
        <v>194</v>
      </c>
      <c r="L4061" s="11" t="s">
        <v>163</v>
      </c>
      <c r="M4061" s="11" t="s">
        <v>25079</v>
      </c>
      <c r="N4061" s="11" t="s">
        <v>128</v>
      </c>
      <c r="O4061" s="11" t="s">
        <v>25080</v>
      </c>
      <c r="P4061" s="11"/>
      <c r="Q4061" s="11" t="s">
        <v>150</v>
      </c>
      <c r="R4061" s="11"/>
      <c r="S4061" s="11" t="s">
        <v>317</v>
      </c>
      <c r="T4061" s="11" t="s">
        <v>5783</v>
      </c>
      <c r="U4061" s="11" t="s">
        <v>150</v>
      </c>
      <c r="V4061" s="11" t="s">
        <v>5783</v>
      </c>
      <c r="W4061" s="11" t="s">
        <v>5783</v>
      </c>
      <c r="X4061" s="11">
        <v>1</v>
      </c>
      <c r="Y4061" s="11" t="s">
        <v>12359</v>
      </c>
      <c r="Z4061" s="11">
        <v>20</v>
      </c>
      <c r="AA4061" s="11">
        <v>1</v>
      </c>
      <c r="AB4061" s="12">
        <v>0</v>
      </c>
    </row>
    <row r="4062" spans="1:28" x14ac:dyDescent="0.2">
      <c r="A4062" s="7">
        <v>24662</v>
      </c>
      <c r="B4062" s="8" t="s">
        <v>25081</v>
      </c>
      <c r="C4062" s="8" t="s">
        <v>3187</v>
      </c>
      <c r="D4062" s="8" t="s">
        <v>7213</v>
      </c>
      <c r="E4062" s="8" t="s">
        <v>25082</v>
      </c>
      <c r="F4062" s="8" t="s">
        <v>353</v>
      </c>
      <c r="G4062" s="8" t="s">
        <v>24487</v>
      </c>
      <c r="H4062" s="8" t="s">
        <v>329</v>
      </c>
      <c r="I4062" s="8" t="s">
        <v>25083</v>
      </c>
      <c r="J4062" s="8" t="s">
        <v>25084</v>
      </c>
      <c r="K4062" s="8" t="s">
        <v>415</v>
      </c>
      <c r="L4062" s="8" t="s">
        <v>333</v>
      </c>
      <c r="M4062" s="8" t="s">
        <v>25085</v>
      </c>
      <c r="N4062" s="8" t="s">
        <v>128</v>
      </c>
      <c r="O4062" s="8" t="s">
        <v>25086</v>
      </c>
      <c r="P4062" s="8" t="s">
        <v>410</v>
      </c>
      <c r="Q4062" s="8" t="s">
        <v>150</v>
      </c>
      <c r="R4062" s="8"/>
      <c r="S4062" s="8" t="s">
        <v>71</v>
      </c>
      <c r="T4062" s="8" t="s">
        <v>69</v>
      </c>
      <c r="U4062" s="8" t="s">
        <v>150</v>
      </c>
      <c r="V4062" s="8" t="s">
        <v>152</v>
      </c>
      <c r="W4062" s="8" t="s">
        <v>69</v>
      </c>
      <c r="X4062" s="8">
        <v>1</v>
      </c>
      <c r="Y4062" s="8" t="s">
        <v>12359</v>
      </c>
      <c r="Z4062" s="8">
        <v>20</v>
      </c>
      <c r="AA4062" s="8">
        <v>0</v>
      </c>
      <c r="AB4062" s="9">
        <v>0</v>
      </c>
    </row>
    <row r="4063" spans="1:28" x14ac:dyDescent="0.2">
      <c r="A4063" s="10">
        <v>24685</v>
      </c>
      <c r="B4063" s="11" t="s">
        <v>25087</v>
      </c>
      <c r="C4063" s="11" t="s">
        <v>24450</v>
      </c>
      <c r="D4063" s="11" t="s">
        <v>10743</v>
      </c>
      <c r="E4063" s="11" t="s">
        <v>25088</v>
      </c>
      <c r="F4063" s="11" t="s">
        <v>353</v>
      </c>
      <c r="G4063" s="11" t="s">
        <v>24453</v>
      </c>
      <c r="H4063" s="11" t="s">
        <v>329</v>
      </c>
      <c r="I4063" s="11" t="s">
        <v>24454</v>
      </c>
      <c r="J4063" s="11" t="s">
        <v>25089</v>
      </c>
      <c r="K4063" s="11" t="s">
        <v>415</v>
      </c>
      <c r="L4063" s="11" t="s">
        <v>333</v>
      </c>
      <c r="M4063" s="11" t="s">
        <v>25090</v>
      </c>
      <c r="N4063" s="11" t="s">
        <v>128</v>
      </c>
      <c r="O4063" s="11" t="s">
        <v>25091</v>
      </c>
      <c r="P4063" s="11" t="s">
        <v>6455</v>
      </c>
      <c r="Q4063" s="11" t="s">
        <v>150</v>
      </c>
      <c r="R4063" s="11"/>
      <c r="S4063" s="11" t="s">
        <v>71</v>
      </c>
      <c r="T4063" s="11" t="s">
        <v>69</v>
      </c>
      <c r="U4063" s="11" t="s">
        <v>150</v>
      </c>
      <c r="V4063" s="11" t="s">
        <v>152</v>
      </c>
      <c r="W4063" s="11" t="s">
        <v>69</v>
      </c>
      <c r="X4063" s="11">
        <v>1</v>
      </c>
      <c r="Y4063" s="11" t="s">
        <v>12359</v>
      </c>
      <c r="Z4063" s="11">
        <v>20</v>
      </c>
      <c r="AA4063" s="11">
        <v>0</v>
      </c>
      <c r="AB4063" s="12">
        <v>0</v>
      </c>
    </row>
    <row r="4064" spans="1:28" x14ac:dyDescent="0.2">
      <c r="A4064" s="7">
        <v>24759</v>
      </c>
      <c r="B4064" s="8" t="s">
        <v>25092</v>
      </c>
      <c r="C4064" s="8" t="s">
        <v>6796</v>
      </c>
      <c r="D4064" s="8" t="s">
        <v>6797</v>
      </c>
      <c r="E4064" s="8" t="s">
        <v>25093</v>
      </c>
      <c r="F4064" s="8" t="s">
        <v>353</v>
      </c>
      <c r="G4064" s="8" t="s">
        <v>556</v>
      </c>
      <c r="H4064" s="8" t="s">
        <v>557</v>
      </c>
      <c r="I4064" s="8" t="s">
        <v>8414</v>
      </c>
      <c r="J4064" s="8" t="s">
        <v>6800</v>
      </c>
      <c r="K4064" s="8" t="s">
        <v>560</v>
      </c>
      <c r="L4064" s="8" t="s">
        <v>229</v>
      </c>
      <c r="M4064" s="8" t="s">
        <v>25094</v>
      </c>
      <c r="N4064" s="8" t="s">
        <v>128</v>
      </c>
      <c r="O4064" s="8" t="s">
        <v>25095</v>
      </c>
      <c r="P4064" s="8" t="s">
        <v>8205</v>
      </c>
      <c r="Q4064" s="8" t="s">
        <v>150</v>
      </c>
      <c r="R4064" s="8"/>
      <c r="S4064" s="8" t="s">
        <v>6804</v>
      </c>
      <c r="T4064" s="8" t="s">
        <v>69</v>
      </c>
      <c r="U4064" s="8" t="s">
        <v>150</v>
      </c>
      <c r="V4064" s="8" t="s">
        <v>152</v>
      </c>
      <c r="W4064" s="8" t="s">
        <v>69</v>
      </c>
      <c r="X4064" s="8">
        <v>1</v>
      </c>
      <c r="Y4064" s="8" t="s">
        <v>12359</v>
      </c>
      <c r="Z4064" s="8">
        <v>20</v>
      </c>
      <c r="AA4064" s="8">
        <v>0</v>
      </c>
      <c r="AB4064" s="9">
        <v>0</v>
      </c>
    </row>
    <row r="4065" spans="1:28" x14ac:dyDescent="0.2">
      <c r="A4065" s="10">
        <v>24611</v>
      </c>
      <c r="B4065" s="11" t="s">
        <v>25096</v>
      </c>
      <c r="C4065" s="11" t="s">
        <v>4111</v>
      </c>
      <c r="D4065" s="11" t="s">
        <v>3863</v>
      </c>
      <c r="E4065" s="11" t="s">
        <v>25097</v>
      </c>
      <c r="F4065" s="11" t="s">
        <v>4113</v>
      </c>
      <c r="G4065" s="11" t="s">
        <v>556</v>
      </c>
      <c r="H4065" s="11" t="s">
        <v>557</v>
      </c>
      <c r="I4065" s="11" t="s">
        <v>4114</v>
      </c>
      <c r="J4065" s="11" t="s">
        <v>4115</v>
      </c>
      <c r="K4065" s="11" t="s">
        <v>560</v>
      </c>
      <c r="L4065" s="11" t="s">
        <v>229</v>
      </c>
      <c r="M4065" s="11" t="s">
        <v>25098</v>
      </c>
      <c r="N4065" s="11" t="s">
        <v>128</v>
      </c>
      <c r="O4065" s="11" t="s">
        <v>25099</v>
      </c>
      <c r="P4065" s="11" t="s">
        <v>18438</v>
      </c>
      <c r="Q4065" s="11" t="s">
        <v>150</v>
      </c>
      <c r="R4065" s="11"/>
      <c r="S4065" s="11" t="s">
        <v>4119</v>
      </c>
      <c r="T4065" s="11" t="s">
        <v>69</v>
      </c>
      <c r="U4065" s="11" t="s">
        <v>150</v>
      </c>
      <c r="V4065" s="11" t="s">
        <v>152</v>
      </c>
      <c r="W4065" s="11" t="s">
        <v>69</v>
      </c>
      <c r="X4065" s="11">
        <v>1</v>
      </c>
      <c r="Y4065" s="11" t="s">
        <v>12359</v>
      </c>
      <c r="Z4065" s="11">
        <v>20</v>
      </c>
      <c r="AA4065" s="11">
        <v>1</v>
      </c>
      <c r="AB4065" s="12">
        <v>0</v>
      </c>
    </row>
    <row r="4066" spans="1:28" x14ac:dyDescent="0.2">
      <c r="A4066" s="7">
        <v>24583</v>
      </c>
      <c r="B4066" s="8" t="s">
        <v>25100</v>
      </c>
      <c r="C4066" s="8" t="s">
        <v>10099</v>
      </c>
      <c r="D4066" s="8" t="s">
        <v>24506</v>
      </c>
      <c r="E4066" s="8"/>
      <c r="F4066" s="8" t="s">
        <v>10280</v>
      </c>
      <c r="G4066" s="8" t="s">
        <v>556</v>
      </c>
      <c r="H4066" s="8" t="s">
        <v>557</v>
      </c>
      <c r="I4066" s="8" t="s">
        <v>10281</v>
      </c>
      <c r="J4066" s="8" t="s">
        <v>25101</v>
      </c>
      <c r="K4066" s="8" t="s">
        <v>560</v>
      </c>
      <c r="L4066" s="8" t="s">
        <v>229</v>
      </c>
      <c r="M4066" s="8" t="s">
        <v>25102</v>
      </c>
      <c r="N4066" s="8" t="s">
        <v>128</v>
      </c>
      <c r="O4066" s="8" t="s">
        <v>25103</v>
      </c>
      <c r="P4066" s="8"/>
      <c r="Q4066" s="8" t="s">
        <v>150</v>
      </c>
      <c r="R4066" s="8"/>
      <c r="S4066" s="8" t="s">
        <v>71</v>
      </c>
      <c r="T4066" s="8" t="s">
        <v>69</v>
      </c>
      <c r="U4066" s="8" t="s">
        <v>150</v>
      </c>
      <c r="V4066" s="8" t="s">
        <v>152</v>
      </c>
      <c r="W4066" s="8" t="s">
        <v>69</v>
      </c>
      <c r="X4066" s="8">
        <v>1</v>
      </c>
      <c r="Y4066" s="8" t="s">
        <v>12359</v>
      </c>
      <c r="Z4066" s="8">
        <v>20</v>
      </c>
      <c r="AA4066" s="8">
        <v>0</v>
      </c>
      <c r="AB4066" s="9">
        <v>0</v>
      </c>
    </row>
    <row r="4067" spans="1:28" x14ac:dyDescent="0.2">
      <c r="A4067" s="10">
        <v>30245</v>
      </c>
      <c r="B4067" s="11" t="s">
        <v>25104</v>
      </c>
      <c r="C4067" s="11" t="s">
        <v>25105</v>
      </c>
      <c r="D4067" s="11" t="s">
        <v>22441</v>
      </c>
      <c r="E4067" s="11"/>
      <c r="F4067" s="11"/>
      <c r="G4067" s="11" t="s">
        <v>10062</v>
      </c>
      <c r="H4067" s="11" t="s">
        <v>142</v>
      </c>
      <c r="I4067" s="11" t="s">
        <v>16725</v>
      </c>
      <c r="J4067" s="11" t="s">
        <v>22442</v>
      </c>
      <c r="K4067" s="11" t="s">
        <v>1029</v>
      </c>
      <c r="L4067" s="11" t="s">
        <v>464</v>
      </c>
      <c r="M4067" s="11" t="s">
        <v>25106</v>
      </c>
      <c r="N4067" s="11" t="s">
        <v>128</v>
      </c>
      <c r="O4067" s="11"/>
      <c r="P4067" s="11"/>
      <c r="Q4067" s="11" t="s">
        <v>150</v>
      </c>
      <c r="R4067" s="11"/>
      <c r="S4067" s="11" t="s">
        <v>71</v>
      </c>
      <c r="T4067" s="11" t="s">
        <v>69</v>
      </c>
      <c r="U4067" s="11" t="s">
        <v>150</v>
      </c>
      <c r="V4067" s="11" t="s">
        <v>152</v>
      </c>
      <c r="W4067" s="11" t="s">
        <v>69</v>
      </c>
      <c r="X4067" s="11">
        <v>1</v>
      </c>
      <c r="Y4067" s="11" t="s">
        <v>12359</v>
      </c>
      <c r="Z4067" s="11">
        <v>20</v>
      </c>
      <c r="AA4067" s="11">
        <v>0</v>
      </c>
      <c r="AB4067" s="12">
        <v>0</v>
      </c>
    </row>
    <row r="4068" spans="1:28" x14ac:dyDescent="0.2">
      <c r="A4068" s="7">
        <v>24919</v>
      </c>
      <c r="B4068" s="8" t="s">
        <v>25107</v>
      </c>
      <c r="C4068" s="8" t="s">
        <v>24459</v>
      </c>
      <c r="D4068" s="8" t="s">
        <v>24460</v>
      </c>
      <c r="E4068" s="8" t="s">
        <v>25108</v>
      </c>
      <c r="F4068" s="8" t="s">
        <v>24462</v>
      </c>
      <c r="G4068" s="8" t="s">
        <v>2423</v>
      </c>
      <c r="H4068" s="8" t="s">
        <v>557</v>
      </c>
      <c r="I4068" s="8" t="s">
        <v>24463</v>
      </c>
      <c r="J4068" s="8" t="s">
        <v>24464</v>
      </c>
      <c r="K4068" s="8" t="s">
        <v>1562</v>
      </c>
      <c r="L4068" s="8" t="s">
        <v>229</v>
      </c>
      <c r="M4068" s="8" t="s">
        <v>25109</v>
      </c>
      <c r="N4068" s="8" t="s">
        <v>128</v>
      </c>
      <c r="O4068" s="8" t="s">
        <v>25110</v>
      </c>
      <c r="P4068" s="8" t="s">
        <v>3589</v>
      </c>
      <c r="Q4068" s="8" t="s">
        <v>150</v>
      </c>
      <c r="R4068" s="8"/>
      <c r="S4068" s="8" t="s">
        <v>24467</v>
      </c>
      <c r="T4068" s="8" t="s">
        <v>1738</v>
      </c>
      <c r="U4068" s="8" t="s">
        <v>150</v>
      </c>
      <c r="V4068" s="8" t="s">
        <v>1738</v>
      </c>
      <c r="W4068" s="8" t="s">
        <v>1738</v>
      </c>
      <c r="X4068" s="8">
        <v>1</v>
      </c>
      <c r="Y4068" s="8" t="s">
        <v>12359</v>
      </c>
      <c r="Z4068" s="8">
        <v>20</v>
      </c>
      <c r="AA4068" s="8">
        <v>0</v>
      </c>
      <c r="AB4068" s="9">
        <v>0</v>
      </c>
    </row>
    <row r="4069" spans="1:28" x14ac:dyDescent="0.2">
      <c r="A4069" s="10">
        <v>24923</v>
      </c>
      <c r="B4069" s="11" t="s">
        <v>25111</v>
      </c>
      <c r="C4069" s="11" t="s">
        <v>4510</v>
      </c>
      <c r="D4069" s="11" t="s">
        <v>4511</v>
      </c>
      <c r="E4069" s="11" t="s">
        <v>25112</v>
      </c>
      <c r="F4069" s="11" t="s">
        <v>353</v>
      </c>
      <c r="G4069" s="11" t="s">
        <v>4513</v>
      </c>
      <c r="H4069" s="11" t="s">
        <v>847</v>
      </c>
      <c r="I4069" s="11" t="s">
        <v>4514</v>
      </c>
      <c r="J4069" s="11" t="s">
        <v>4515</v>
      </c>
      <c r="K4069" s="11" t="s">
        <v>1091</v>
      </c>
      <c r="L4069" s="11" t="s">
        <v>126</v>
      </c>
      <c r="M4069" s="11" t="s">
        <v>25113</v>
      </c>
      <c r="N4069" s="11" t="s">
        <v>128</v>
      </c>
      <c r="O4069" s="11" t="s">
        <v>25114</v>
      </c>
      <c r="P4069" s="11" t="s">
        <v>25115</v>
      </c>
      <c r="Q4069" s="11" t="s">
        <v>150</v>
      </c>
      <c r="R4069" s="11"/>
      <c r="S4069" s="11" t="s">
        <v>4519</v>
      </c>
      <c r="T4069" s="11" t="s">
        <v>1738</v>
      </c>
      <c r="U4069" s="11" t="s">
        <v>150</v>
      </c>
      <c r="V4069" s="11" t="s">
        <v>1738</v>
      </c>
      <c r="W4069" s="11" t="s">
        <v>1738</v>
      </c>
      <c r="X4069" s="11">
        <v>1</v>
      </c>
      <c r="Y4069" s="11" t="s">
        <v>12359</v>
      </c>
      <c r="Z4069" s="11">
        <v>20</v>
      </c>
      <c r="AA4069" s="11">
        <v>0</v>
      </c>
      <c r="AB4069" s="12">
        <v>0</v>
      </c>
    </row>
    <row r="4070" spans="1:28" x14ac:dyDescent="0.2">
      <c r="A4070" s="7">
        <v>92306</v>
      </c>
      <c r="B4070" s="8" t="s">
        <v>25116</v>
      </c>
      <c r="C4070" s="8" t="s">
        <v>15799</v>
      </c>
      <c r="D4070" s="8" t="s">
        <v>15800</v>
      </c>
      <c r="E4070" s="8"/>
      <c r="F4070" s="8" t="s">
        <v>353</v>
      </c>
      <c r="G4070" s="8" t="s">
        <v>25117</v>
      </c>
      <c r="H4070" s="8" t="s">
        <v>704</v>
      </c>
      <c r="I4070" s="8" t="s">
        <v>15802</v>
      </c>
      <c r="J4070" s="8" t="s">
        <v>16787</v>
      </c>
      <c r="K4070" s="8" t="s">
        <v>850</v>
      </c>
      <c r="L4070" s="8" t="s">
        <v>126</v>
      </c>
      <c r="M4070" s="8" t="s">
        <v>25118</v>
      </c>
      <c r="N4070" s="8" t="s">
        <v>128</v>
      </c>
      <c r="O4070" s="8" t="s">
        <v>25119</v>
      </c>
      <c r="P4070" s="8" t="s">
        <v>25120</v>
      </c>
      <c r="Q4070" s="8" t="s">
        <v>150</v>
      </c>
      <c r="R4070" s="8"/>
      <c r="S4070" s="8" t="s">
        <v>15807</v>
      </c>
      <c r="T4070" s="8" t="s">
        <v>1738</v>
      </c>
      <c r="U4070" s="8" t="s">
        <v>150</v>
      </c>
      <c r="V4070" s="8" t="s">
        <v>1738</v>
      </c>
      <c r="W4070" s="8" t="s">
        <v>1738</v>
      </c>
      <c r="X4070" s="8">
        <v>1</v>
      </c>
      <c r="Y4070" s="8" t="s">
        <v>12359</v>
      </c>
      <c r="Z4070" s="8">
        <v>20</v>
      </c>
      <c r="AA4070" s="8">
        <v>0</v>
      </c>
      <c r="AB4070" s="9">
        <v>0</v>
      </c>
    </row>
    <row r="4071" spans="1:28" x14ac:dyDescent="0.2">
      <c r="A4071" s="10">
        <v>24962</v>
      </c>
      <c r="B4071" s="11" t="s">
        <v>25121</v>
      </c>
      <c r="C4071" s="11" t="s">
        <v>14400</v>
      </c>
      <c r="D4071" s="11" t="s">
        <v>10591</v>
      </c>
      <c r="E4071" s="11"/>
      <c r="F4071" s="11" t="s">
        <v>14401</v>
      </c>
      <c r="G4071" s="11" t="s">
        <v>141</v>
      </c>
      <c r="H4071" s="11" t="s">
        <v>142</v>
      </c>
      <c r="I4071" s="11" t="s">
        <v>14402</v>
      </c>
      <c r="J4071" s="11" t="s">
        <v>14403</v>
      </c>
      <c r="K4071" s="11" t="s">
        <v>651</v>
      </c>
      <c r="L4071" s="11" t="s">
        <v>146</v>
      </c>
      <c r="M4071" s="11" t="s">
        <v>25122</v>
      </c>
      <c r="N4071" s="11" t="s">
        <v>128</v>
      </c>
      <c r="O4071" s="11" t="s">
        <v>25123</v>
      </c>
      <c r="P4071" s="11" t="s">
        <v>25124</v>
      </c>
      <c r="Q4071" s="11" t="s">
        <v>150</v>
      </c>
      <c r="R4071" s="11"/>
      <c r="S4071" s="11" t="s">
        <v>14406</v>
      </c>
      <c r="T4071" s="11" t="s">
        <v>1738</v>
      </c>
      <c r="U4071" s="11" t="s">
        <v>150</v>
      </c>
      <c r="V4071" s="11" t="s">
        <v>1738</v>
      </c>
      <c r="W4071" s="11" t="s">
        <v>1738</v>
      </c>
      <c r="X4071" s="11">
        <v>1</v>
      </c>
      <c r="Y4071" s="11" t="s">
        <v>12359</v>
      </c>
      <c r="Z4071" s="11">
        <v>20</v>
      </c>
      <c r="AA4071" s="11">
        <v>0</v>
      </c>
      <c r="AB4071" s="12">
        <v>0</v>
      </c>
    </row>
    <row r="4072" spans="1:28" x14ac:dyDescent="0.2">
      <c r="A4072" s="7">
        <v>85425</v>
      </c>
      <c r="B4072" s="8" t="s">
        <v>25125</v>
      </c>
      <c r="C4072" s="8" t="s">
        <v>23651</v>
      </c>
      <c r="D4072" s="8" t="s">
        <v>8431</v>
      </c>
      <c r="E4072" s="8"/>
      <c r="F4072" s="8" t="s">
        <v>25126</v>
      </c>
      <c r="G4072" s="8" t="s">
        <v>7808</v>
      </c>
      <c r="H4072" s="8" t="s">
        <v>142</v>
      </c>
      <c r="I4072" s="8" t="s">
        <v>23653</v>
      </c>
      <c r="J4072" s="8" t="s">
        <v>25127</v>
      </c>
      <c r="K4072" s="8" t="s">
        <v>779</v>
      </c>
      <c r="L4072" s="8" t="s">
        <v>464</v>
      </c>
      <c r="M4072" s="8" t="s">
        <v>25128</v>
      </c>
      <c r="N4072" s="8" t="s">
        <v>128</v>
      </c>
      <c r="O4072" s="8" t="s">
        <v>25129</v>
      </c>
      <c r="P4072" s="8" t="s">
        <v>21778</v>
      </c>
      <c r="Q4072" s="8" t="s">
        <v>150</v>
      </c>
      <c r="R4072" s="8"/>
      <c r="S4072" s="8" t="s">
        <v>23657</v>
      </c>
      <c r="T4072" s="8" t="s">
        <v>1738</v>
      </c>
      <c r="U4072" s="8" t="s">
        <v>150</v>
      </c>
      <c r="V4072" s="8" t="s">
        <v>1738</v>
      </c>
      <c r="W4072" s="8" t="s">
        <v>1738</v>
      </c>
      <c r="X4072" s="8">
        <v>1</v>
      </c>
      <c r="Y4072" s="8" t="s">
        <v>12359</v>
      </c>
      <c r="Z4072" s="8">
        <v>20</v>
      </c>
      <c r="AA4072" s="8">
        <v>0</v>
      </c>
      <c r="AB4072" s="9">
        <v>0</v>
      </c>
    </row>
    <row r="4073" spans="1:28" x14ac:dyDescent="0.2">
      <c r="A4073" s="10">
        <v>24994</v>
      </c>
      <c r="B4073" s="11" t="s">
        <v>25130</v>
      </c>
      <c r="C4073" s="11" t="s">
        <v>8146</v>
      </c>
      <c r="D4073" s="11" t="s">
        <v>4579</v>
      </c>
      <c r="E4073" s="11"/>
      <c r="F4073" s="11" t="s">
        <v>4326</v>
      </c>
      <c r="G4073" s="11" t="s">
        <v>190</v>
      </c>
      <c r="H4073" s="11" t="s">
        <v>191</v>
      </c>
      <c r="I4073" s="11" t="s">
        <v>8743</v>
      </c>
      <c r="J4073" s="11" t="s">
        <v>18908</v>
      </c>
      <c r="K4073" s="11" t="s">
        <v>194</v>
      </c>
      <c r="L4073" s="11" t="s">
        <v>163</v>
      </c>
      <c r="M4073" s="11" t="s">
        <v>25131</v>
      </c>
      <c r="N4073" s="11" t="s">
        <v>128</v>
      </c>
      <c r="O4073" s="11" t="s">
        <v>25132</v>
      </c>
      <c r="P4073" s="11" t="s">
        <v>3141</v>
      </c>
      <c r="Q4073" s="11" t="s">
        <v>150</v>
      </c>
      <c r="R4073" s="11"/>
      <c r="S4073" s="11" t="s">
        <v>4332</v>
      </c>
      <c r="T4073" s="11" t="s">
        <v>1738</v>
      </c>
      <c r="U4073" s="11" t="s">
        <v>150</v>
      </c>
      <c r="V4073" s="11" t="s">
        <v>1738</v>
      </c>
      <c r="W4073" s="11" t="s">
        <v>1738</v>
      </c>
      <c r="X4073" s="11">
        <v>1</v>
      </c>
      <c r="Y4073" s="11" t="s">
        <v>12359</v>
      </c>
      <c r="Z4073" s="11">
        <v>20</v>
      </c>
      <c r="AA4073" s="11">
        <v>0</v>
      </c>
      <c r="AB4073" s="12">
        <v>0</v>
      </c>
    </row>
    <row r="4074" spans="1:28" x14ac:dyDescent="0.2">
      <c r="A4074" s="7">
        <v>106378</v>
      </c>
      <c r="B4074" s="8" t="s">
        <v>25133</v>
      </c>
      <c r="C4074" s="8" t="s">
        <v>24740</v>
      </c>
      <c r="D4074" s="8" t="s">
        <v>25134</v>
      </c>
      <c r="E4074" s="8"/>
      <c r="F4074" s="8" t="s">
        <v>24742</v>
      </c>
      <c r="G4074" s="8" t="s">
        <v>24743</v>
      </c>
      <c r="H4074" s="8" t="s">
        <v>159</v>
      </c>
      <c r="I4074" s="8" t="s">
        <v>25135</v>
      </c>
      <c r="J4074" s="8" t="s">
        <v>24745</v>
      </c>
      <c r="K4074" s="8" t="s">
        <v>162</v>
      </c>
      <c r="L4074" s="8" t="s">
        <v>163</v>
      </c>
      <c r="M4074" s="8" t="s">
        <v>25136</v>
      </c>
      <c r="N4074" s="8" t="s">
        <v>128</v>
      </c>
      <c r="O4074" s="8" t="s">
        <v>25137</v>
      </c>
      <c r="P4074" s="8" t="s">
        <v>25138</v>
      </c>
      <c r="Q4074" s="8" t="s">
        <v>150</v>
      </c>
      <c r="R4074" s="8"/>
      <c r="S4074" s="8" t="s">
        <v>24748</v>
      </c>
      <c r="T4074" s="8" t="s">
        <v>1738</v>
      </c>
      <c r="U4074" s="8" t="s">
        <v>150</v>
      </c>
      <c r="V4074" s="8" t="s">
        <v>1738</v>
      </c>
      <c r="W4074" s="8" t="s">
        <v>1738</v>
      </c>
      <c r="X4074" s="8">
        <v>1</v>
      </c>
      <c r="Y4074" s="8" t="s">
        <v>12359</v>
      </c>
      <c r="Z4074" s="8">
        <v>20</v>
      </c>
      <c r="AA4074" s="8">
        <v>0</v>
      </c>
      <c r="AB4074" s="9">
        <v>0</v>
      </c>
    </row>
    <row r="4075" spans="1:28" x14ac:dyDescent="0.2">
      <c r="A4075" s="10">
        <v>24915</v>
      </c>
      <c r="B4075" s="11" t="s">
        <v>25139</v>
      </c>
      <c r="C4075" s="11" t="s">
        <v>24092</v>
      </c>
      <c r="D4075" s="11" t="s">
        <v>7814</v>
      </c>
      <c r="E4075" s="11"/>
      <c r="F4075" s="11" t="s">
        <v>25140</v>
      </c>
      <c r="G4075" s="11" t="s">
        <v>20833</v>
      </c>
      <c r="H4075" s="11" t="s">
        <v>557</v>
      </c>
      <c r="I4075" s="11" t="s">
        <v>25141</v>
      </c>
      <c r="J4075" s="11" t="s">
        <v>25142</v>
      </c>
      <c r="K4075" s="11" t="s">
        <v>1562</v>
      </c>
      <c r="L4075" s="11" t="s">
        <v>229</v>
      </c>
      <c r="M4075" s="11" t="s">
        <v>25143</v>
      </c>
      <c r="N4075" s="11" t="s">
        <v>128</v>
      </c>
      <c r="O4075" s="11" t="s">
        <v>25144</v>
      </c>
      <c r="P4075" s="11" t="s">
        <v>2487</v>
      </c>
      <c r="Q4075" s="11" t="s">
        <v>150</v>
      </c>
      <c r="R4075" s="11"/>
      <c r="S4075" s="11" t="s">
        <v>24099</v>
      </c>
      <c r="T4075" s="11" t="s">
        <v>1738</v>
      </c>
      <c r="U4075" s="11" t="s">
        <v>150</v>
      </c>
      <c r="V4075" s="11" t="s">
        <v>1738</v>
      </c>
      <c r="W4075" s="11" t="s">
        <v>1738</v>
      </c>
      <c r="X4075" s="11">
        <v>1</v>
      </c>
      <c r="Y4075" s="11" t="s">
        <v>12359</v>
      </c>
      <c r="Z4075" s="11">
        <v>20</v>
      </c>
      <c r="AA4075" s="11">
        <v>0</v>
      </c>
      <c r="AB4075" s="12">
        <v>0</v>
      </c>
    </row>
    <row r="4076" spans="1:28" x14ac:dyDescent="0.2">
      <c r="A4076" s="7">
        <v>240343</v>
      </c>
      <c r="B4076" s="8" t="s">
        <v>25145</v>
      </c>
      <c r="C4076" s="8" t="s">
        <v>7307</v>
      </c>
      <c r="D4076" s="8" t="s">
        <v>3539</v>
      </c>
      <c r="E4076" s="8" t="s">
        <v>25146</v>
      </c>
      <c r="F4076" s="8" t="s">
        <v>11898</v>
      </c>
      <c r="G4076" s="8" t="s">
        <v>6409</v>
      </c>
      <c r="H4076" s="8" t="s">
        <v>6410</v>
      </c>
      <c r="I4076" s="8" t="s">
        <v>7309</v>
      </c>
      <c r="J4076" s="8" t="s">
        <v>11899</v>
      </c>
      <c r="K4076" s="8" t="s">
        <v>1956</v>
      </c>
      <c r="L4076" s="8" t="s">
        <v>526</v>
      </c>
      <c r="M4076" s="8" t="s">
        <v>25147</v>
      </c>
      <c r="N4076" s="8" t="s">
        <v>128</v>
      </c>
      <c r="O4076" s="8" t="s">
        <v>25148</v>
      </c>
      <c r="P4076" s="8"/>
      <c r="Q4076" s="8" t="s">
        <v>740</v>
      </c>
      <c r="R4076" s="8"/>
      <c r="S4076" s="8" t="s">
        <v>7314</v>
      </c>
      <c r="T4076" s="8" t="s">
        <v>1745</v>
      </c>
      <c r="U4076" s="8" t="s">
        <v>134</v>
      </c>
      <c r="V4076" s="8" t="s">
        <v>740</v>
      </c>
      <c r="W4076" s="8" t="s">
        <v>1745</v>
      </c>
      <c r="X4076" s="8">
        <v>1</v>
      </c>
      <c r="Y4076" s="8" t="s">
        <v>12359</v>
      </c>
      <c r="Z4076" s="8">
        <v>20</v>
      </c>
      <c r="AA4076" s="8">
        <v>0</v>
      </c>
      <c r="AB4076" s="9">
        <v>0</v>
      </c>
    </row>
    <row r="4077" spans="1:28" x14ac:dyDescent="0.2">
      <c r="A4077" s="10">
        <v>235329</v>
      </c>
      <c r="B4077" s="11" t="s">
        <v>25149</v>
      </c>
      <c r="C4077" s="11" t="s">
        <v>25150</v>
      </c>
      <c r="D4077" s="11" t="s">
        <v>2720</v>
      </c>
      <c r="E4077" s="11" t="s">
        <v>25151</v>
      </c>
      <c r="F4077" s="11" t="s">
        <v>353</v>
      </c>
      <c r="G4077" s="11" t="s">
        <v>19582</v>
      </c>
      <c r="H4077" s="11" t="s">
        <v>847</v>
      </c>
      <c r="I4077" s="11" t="s">
        <v>19583</v>
      </c>
      <c r="J4077" s="11" t="s">
        <v>25152</v>
      </c>
      <c r="K4077" s="11" t="s">
        <v>1091</v>
      </c>
      <c r="L4077" s="11" t="s">
        <v>126</v>
      </c>
      <c r="M4077" s="11" t="s">
        <v>25153</v>
      </c>
      <c r="N4077" s="11" t="s">
        <v>128</v>
      </c>
      <c r="O4077" s="11" t="s">
        <v>25154</v>
      </c>
      <c r="P4077" s="11"/>
      <c r="Q4077" s="11" t="s">
        <v>740</v>
      </c>
      <c r="R4077" s="11"/>
      <c r="S4077" s="11" t="s">
        <v>71</v>
      </c>
      <c r="T4077" s="11" t="s">
        <v>1745</v>
      </c>
      <c r="U4077" s="11" t="s">
        <v>134</v>
      </c>
      <c r="V4077" s="11" t="s">
        <v>740</v>
      </c>
      <c r="W4077" s="11" t="s">
        <v>1745</v>
      </c>
      <c r="X4077" s="11">
        <v>1</v>
      </c>
      <c r="Y4077" s="11" t="s">
        <v>12359</v>
      </c>
      <c r="Z4077" s="11">
        <v>20</v>
      </c>
      <c r="AA4077" s="11">
        <v>0</v>
      </c>
      <c r="AB4077" s="12">
        <v>0</v>
      </c>
    </row>
    <row r="4078" spans="1:28" x14ac:dyDescent="0.2">
      <c r="A4078" s="7">
        <v>248312</v>
      </c>
      <c r="B4078" s="8" t="s">
        <v>25155</v>
      </c>
      <c r="C4078" s="8" t="s">
        <v>25156</v>
      </c>
      <c r="D4078" s="8" t="s">
        <v>7542</v>
      </c>
      <c r="E4078" s="8" t="s">
        <v>4860</v>
      </c>
      <c r="F4078" s="8" t="s">
        <v>353</v>
      </c>
      <c r="G4078" s="8" t="s">
        <v>1286</v>
      </c>
      <c r="H4078" s="8" t="s">
        <v>142</v>
      </c>
      <c r="I4078" s="8" t="s">
        <v>18951</v>
      </c>
      <c r="J4078" s="8" t="s">
        <v>25157</v>
      </c>
      <c r="K4078" s="8" t="s">
        <v>717</v>
      </c>
      <c r="L4078" s="8" t="s">
        <v>464</v>
      </c>
      <c r="M4078" s="8" t="s">
        <v>25158</v>
      </c>
      <c r="N4078" s="8" t="s">
        <v>128</v>
      </c>
      <c r="O4078" s="8"/>
      <c r="P4078" s="8" t="s">
        <v>4860</v>
      </c>
      <c r="Q4078" s="8" t="s">
        <v>740</v>
      </c>
      <c r="R4078" s="8"/>
      <c r="S4078" s="8" t="s">
        <v>71</v>
      </c>
      <c r="T4078" s="8" t="s">
        <v>1745</v>
      </c>
      <c r="U4078" s="8" t="s">
        <v>134</v>
      </c>
      <c r="V4078" s="8" t="s">
        <v>740</v>
      </c>
      <c r="W4078" s="8" t="s">
        <v>1745</v>
      </c>
      <c r="X4078" s="8">
        <v>1</v>
      </c>
      <c r="Y4078" s="8" t="s">
        <v>12359</v>
      </c>
      <c r="Z4078" s="8">
        <v>20</v>
      </c>
      <c r="AA4078" s="8">
        <v>0</v>
      </c>
      <c r="AB4078" s="9">
        <v>0</v>
      </c>
    </row>
    <row r="4079" spans="1:28" x14ac:dyDescent="0.2">
      <c r="A4079" s="10">
        <v>31328</v>
      </c>
      <c r="B4079" s="11" t="s">
        <v>25159</v>
      </c>
      <c r="C4079" s="11" t="s">
        <v>16200</v>
      </c>
      <c r="D4079" s="11" t="s">
        <v>10600</v>
      </c>
      <c r="E4079" s="11"/>
      <c r="F4079" s="11" t="s">
        <v>21037</v>
      </c>
      <c r="G4079" s="11" t="s">
        <v>9598</v>
      </c>
      <c r="H4079" s="11" t="s">
        <v>704</v>
      </c>
      <c r="I4079" s="11" t="s">
        <v>16202</v>
      </c>
      <c r="J4079" s="11" t="s">
        <v>25160</v>
      </c>
      <c r="K4079" s="11" t="s">
        <v>707</v>
      </c>
      <c r="L4079" s="11" t="s">
        <v>126</v>
      </c>
      <c r="M4079" s="11" t="s">
        <v>25161</v>
      </c>
      <c r="N4079" s="11" t="s">
        <v>128</v>
      </c>
      <c r="O4079" s="11" t="s">
        <v>25162</v>
      </c>
      <c r="P4079" s="11"/>
      <c r="Q4079" s="11" t="s">
        <v>740</v>
      </c>
      <c r="R4079" s="11"/>
      <c r="S4079" s="11" t="s">
        <v>16206</v>
      </c>
      <c r="T4079" s="11" t="s">
        <v>1745</v>
      </c>
      <c r="U4079" s="11" t="s">
        <v>134</v>
      </c>
      <c r="V4079" s="11" t="s">
        <v>740</v>
      </c>
      <c r="W4079" s="11" t="s">
        <v>1745</v>
      </c>
      <c r="X4079" s="11">
        <v>1</v>
      </c>
      <c r="Y4079" s="11" t="s">
        <v>12359</v>
      </c>
      <c r="Z4079" s="11">
        <v>20</v>
      </c>
      <c r="AA4079" s="11">
        <v>0</v>
      </c>
      <c r="AB4079" s="12">
        <v>0</v>
      </c>
    </row>
    <row r="4080" spans="1:28" x14ac:dyDescent="0.2">
      <c r="A4080" s="7">
        <v>119396</v>
      </c>
      <c r="B4080" s="8" t="s">
        <v>25163</v>
      </c>
      <c r="C4080" s="8" t="s">
        <v>25164</v>
      </c>
      <c r="D4080" s="8" t="s">
        <v>2504</v>
      </c>
      <c r="E4080" s="8"/>
      <c r="F4080" s="8" t="s">
        <v>353</v>
      </c>
      <c r="G4080" s="8" t="s">
        <v>10414</v>
      </c>
      <c r="H4080" s="8" t="s">
        <v>191</v>
      </c>
      <c r="I4080" s="8" t="s">
        <v>25165</v>
      </c>
      <c r="J4080" s="8" t="s">
        <v>25166</v>
      </c>
      <c r="K4080" s="8" t="s">
        <v>194</v>
      </c>
      <c r="L4080" s="8" t="s">
        <v>163</v>
      </c>
      <c r="M4080" s="8" t="s">
        <v>25167</v>
      </c>
      <c r="N4080" s="8" t="s">
        <v>128</v>
      </c>
      <c r="O4080" s="8" t="s">
        <v>25168</v>
      </c>
      <c r="P4080" s="8"/>
      <c r="Q4080" s="8" t="s">
        <v>740</v>
      </c>
      <c r="R4080" s="8"/>
      <c r="S4080" s="8" t="s">
        <v>25169</v>
      </c>
      <c r="T4080" s="8" t="s">
        <v>1745</v>
      </c>
      <c r="U4080" s="8" t="s">
        <v>134</v>
      </c>
      <c r="V4080" s="8" t="s">
        <v>740</v>
      </c>
      <c r="W4080" s="8" t="s">
        <v>1745</v>
      </c>
      <c r="X4080" s="8">
        <v>1</v>
      </c>
      <c r="Y4080" s="8" t="s">
        <v>12359</v>
      </c>
      <c r="Z4080" s="8">
        <v>20</v>
      </c>
      <c r="AA4080" s="8">
        <v>0</v>
      </c>
      <c r="AB4080" s="9">
        <v>0</v>
      </c>
    </row>
    <row r="4081" spans="1:28" x14ac:dyDescent="0.2">
      <c r="A4081" s="10">
        <v>25085</v>
      </c>
      <c r="B4081" s="11" t="s">
        <v>25170</v>
      </c>
      <c r="C4081" s="11" t="s">
        <v>4777</v>
      </c>
      <c r="D4081" s="11" t="s">
        <v>25171</v>
      </c>
      <c r="E4081" s="11"/>
      <c r="F4081" s="11" t="s">
        <v>353</v>
      </c>
      <c r="G4081" s="11" t="s">
        <v>7402</v>
      </c>
      <c r="H4081" s="11" t="s">
        <v>847</v>
      </c>
      <c r="I4081" s="11" t="s">
        <v>7403</v>
      </c>
      <c r="J4081" s="11" t="s">
        <v>25172</v>
      </c>
      <c r="K4081" s="11" t="s">
        <v>1091</v>
      </c>
      <c r="L4081" s="11" t="s">
        <v>126</v>
      </c>
      <c r="M4081" s="11" t="s">
        <v>25173</v>
      </c>
      <c r="N4081" s="11" t="s">
        <v>128</v>
      </c>
      <c r="O4081" s="11" t="s">
        <v>25174</v>
      </c>
      <c r="P4081" s="11"/>
      <c r="Q4081" s="11" t="s">
        <v>740</v>
      </c>
      <c r="R4081" s="11"/>
      <c r="S4081" s="11" t="s">
        <v>71</v>
      </c>
      <c r="T4081" s="11" t="s">
        <v>1745</v>
      </c>
      <c r="U4081" s="11" t="s">
        <v>134</v>
      </c>
      <c r="V4081" s="11" t="s">
        <v>740</v>
      </c>
      <c r="W4081" s="11" t="s">
        <v>1745</v>
      </c>
      <c r="X4081" s="11">
        <v>1</v>
      </c>
      <c r="Y4081" s="11" t="s">
        <v>12359</v>
      </c>
      <c r="Z4081" s="11">
        <v>20</v>
      </c>
      <c r="AA4081" s="11">
        <v>0</v>
      </c>
      <c r="AB4081" s="12">
        <v>0</v>
      </c>
    </row>
    <row r="4082" spans="1:28" x14ac:dyDescent="0.2">
      <c r="A4082" s="7">
        <v>236341</v>
      </c>
      <c r="B4082" s="8" t="s">
        <v>25175</v>
      </c>
      <c r="C4082" s="8" t="s">
        <v>24579</v>
      </c>
      <c r="D4082" s="8" t="s">
        <v>4787</v>
      </c>
      <c r="E4082" s="8"/>
      <c r="F4082" s="8" t="s">
        <v>353</v>
      </c>
      <c r="G4082" s="8" t="s">
        <v>24743</v>
      </c>
      <c r="H4082" s="8" t="s">
        <v>159</v>
      </c>
      <c r="I4082" s="8" t="s">
        <v>25176</v>
      </c>
      <c r="J4082" s="8" t="s">
        <v>25177</v>
      </c>
      <c r="K4082" s="8" t="s">
        <v>162</v>
      </c>
      <c r="L4082" s="8" t="s">
        <v>163</v>
      </c>
      <c r="M4082" s="8" t="s">
        <v>25178</v>
      </c>
      <c r="N4082" s="8" t="s">
        <v>128</v>
      </c>
      <c r="O4082" s="8" t="s">
        <v>25179</v>
      </c>
      <c r="P4082" s="8"/>
      <c r="Q4082" s="8" t="s">
        <v>740</v>
      </c>
      <c r="R4082" s="8"/>
      <c r="S4082" s="8" t="s">
        <v>71</v>
      </c>
      <c r="T4082" s="8" t="s">
        <v>1745</v>
      </c>
      <c r="U4082" s="8" t="s">
        <v>134</v>
      </c>
      <c r="V4082" s="8" t="s">
        <v>740</v>
      </c>
      <c r="W4082" s="8" t="s">
        <v>1745</v>
      </c>
      <c r="X4082" s="8">
        <v>1</v>
      </c>
      <c r="Y4082" s="8" t="s">
        <v>12359</v>
      </c>
      <c r="Z4082" s="8">
        <v>20</v>
      </c>
      <c r="AA4082" s="8">
        <v>0</v>
      </c>
      <c r="AB4082" s="9">
        <v>0</v>
      </c>
    </row>
    <row r="4083" spans="1:28" x14ac:dyDescent="0.2">
      <c r="A4083" s="10">
        <v>240339</v>
      </c>
      <c r="B4083" s="11" t="s">
        <v>25180</v>
      </c>
      <c r="C4083" s="11" t="s">
        <v>22012</v>
      </c>
      <c r="D4083" s="11" t="s">
        <v>7326</v>
      </c>
      <c r="E4083" s="11"/>
      <c r="F4083" s="11" t="s">
        <v>353</v>
      </c>
      <c r="G4083" s="11" t="s">
        <v>10244</v>
      </c>
      <c r="H4083" s="11" t="s">
        <v>142</v>
      </c>
      <c r="I4083" s="11" t="s">
        <v>25181</v>
      </c>
      <c r="J4083" s="11" t="s">
        <v>25182</v>
      </c>
      <c r="K4083" s="11" t="s">
        <v>779</v>
      </c>
      <c r="L4083" s="11" t="s">
        <v>464</v>
      </c>
      <c r="M4083" s="11" t="s">
        <v>25183</v>
      </c>
      <c r="N4083" s="11" t="s">
        <v>128</v>
      </c>
      <c r="O4083" s="11" t="s">
        <v>25184</v>
      </c>
      <c r="P4083" s="11"/>
      <c r="Q4083" s="11" t="s">
        <v>740</v>
      </c>
      <c r="R4083" s="11"/>
      <c r="S4083" s="11" t="s">
        <v>71</v>
      </c>
      <c r="T4083" s="11" t="s">
        <v>1745</v>
      </c>
      <c r="U4083" s="11" t="s">
        <v>134</v>
      </c>
      <c r="V4083" s="11" t="s">
        <v>740</v>
      </c>
      <c r="W4083" s="11" t="s">
        <v>1745</v>
      </c>
      <c r="X4083" s="11">
        <v>1</v>
      </c>
      <c r="Y4083" s="11" t="s">
        <v>12359</v>
      </c>
      <c r="Z4083" s="11">
        <v>20</v>
      </c>
      <c r="AA4083" s="11">
        <v>0</v>
      </c>
      <c r="AB4083" s="12">
        <v>0</v>
      </c>
    </row>
    <row r="4084" spans="1:28" x14ac:dyDescent="0.2">
      <c r="A4084" s="7">
        <v>25324</v>
      </c>
      <c r="B4084" s="8" t="s">
        <v>25185</v>
      </c>
      <c r="C4084" s="8" t="s">
        <v>24330</v>
      </c>
      <c r="D4084" s="8" t="s">
        <v>13534</v>
      </c>
      <c r="E4084" s="8"/>
      <c r="F4084" s="8" t="s">
        <v>24331</v>
      </c>
      <c r="G4084" s="8" t="s">
        <v>24332</v>
      </c>
      <c r="H4084" s="8" t="s">
        <v>847</v>
      </c>
      <c r="I4084" s="8" t="s">
        <v>24333</v>
      </c>
      <c r="J4084" s="8" t="s">
        <v>25186</v>
      </c>
      <c r="K4084" s="8" t="s">
        <v>850</v>
      </c>
      <c r="L4084" s="8" t="s">
        <v>126</v>
      </c>
      <c r="M4084" s="8" t="s">
        <v>25187</v>
      </c>
      <c r="N4084" s="8" t="s">
        <v>128</v>
      </c>
      <c r="O4084" s="8" t="s">
        <v>25188</v>
      </c>
      <c r="P4084" s="8"/>
      <c r="Q4084" s="8" t="s">
        <v>740</v>
      </c>
      <c r="R4084" s="8"/>
      <c r="S4084" s="8" t="s">
        <v>71</v>
      </c>
      <c r="T4084" s="8" t="s">
        <v>1745</v>
      </c>
      <c r="U4084" s="8" t="s">
        <v>134</v>
      </c>
      <c r="V4084" s="8" t="s">
        <v>740</v>
      </c>
      <c r="W4084" s="8" t="s">
        <v>1745</v>
      </c>
      <c r="X4084" s="8">
        <v>1</v>
      </c>
      <c r="Y4084" s="8" t="s">
        <v>12359</v>
      </c>
      <c r="Z4084" s="8">
        <v>20</v>
      </c>
      <c r="AA4084" s="8">
        <v>0</v>
      </c>
      <c r="AB4084" s="9">
        <v>0</v>
      </c>
    </row>
    <row r="4085" spans="1:28" x14ac:dyDescent="0.2">
      <c r="A4085" s="10">
        <v>85063</v>
      </c>
      <c r="B4085" s="11" t="s">
        <v>25189</v>
      </c>
      <c r="C4085" s="11" t="s">
        <v>24706</v>
      </c>
      <c r="D4085" s="11" t="s">
        <v>9336</v>
      </c>
      <c r="E4085" s="11"/>
      <c r="F4085" s="11" t="s">
        <v>6430</v>
      </c>
      <c r="G4085" s="11" t="s">
        <v>21888</v>
      </c>
      <c r="H4085" s="11" t="s">
        <v>142</v>
      </c>
      <c r="I4085" s="11" t="s">
        <v>24707</v>
      </c>
      <c r="J4085" s="11" t="s">
        <v>25190</v>
      </c>
      <c r="K4085" s="11" t="s">
        <v>779</v>
      </c>
      <c r="L4085" s="11" t="s">
        <v>464</v>
      </c>
      <c r="M4085" s="11" t="s">
        <v>25191</v>
      </c>
      <c r="N4085" s="11" t="s">
        <v>128</v>
      </c>
      <c r="O4085" s="11"/>
      <c r="P4085" s="11"/>
      <c r="Q4085" s="11" t="s">
        <v>740</v>
      </c>
      <c r="R4085" s="11"/>
      <c r="S4085" s="11" t="s">
        <v>71</v>
      </c>
      <c r="T4085" s="11" t="s">
        <v>1745</v>
      </c>
      <c r="U4085" s="11" t="s">
        <v>134</v>
      </c>
      <c r="V4085" s="11" t="s">
        <v>740</v>
      </c>
      <c r="W4085" s="11" t="s">
        <v>1745</v>
      </c>
      <c r="X4085" s="11">
        <v>1</v>
      </c>
      <c r="Y4085" s="11" t="s">
        <v>12359</v>
      </c>
      <c r="Z4085" s="11">
        <v>20</v>
      </c>
      <c r="AA4085" s="11">
        <v>0</v>
      </c>
      <c r="AB4085" s="12">
        <v>0</v>
      </c>
    </row>
    <row r="4086" spans="1:28" x14ac:dyDescent="0.2">
      <c r="A4086" s="7">
        <v>31238</v>
      </c>
      <c r="B4086" s="8" t="s">
        <v>25192</v>
      </c>
      <c r="C4086" s="8" t="s">
        <v>9202</v>
      </c>
      <c r="D4086" s="8" t="s">
        <v>6336</v>
      </c>
      <c r="E4086" s="8"/>
      <c r="F4086" s="8" t="s">
        <v>353</v>
      </c>
      <c r="G4086" s="8" t="s">
        <v>1429</v>
      </c>
      <c r="H4086" s="8" t="s">
        <v>142</v>
      </c>
      <c r="I4086" s="8"/>
      <c r="J4086" s="8" t="s">
        <v>25193</v>
      </c>
      <c r="K4086" s="8" t="s">
        <v>1199</v>
      </c>
      <c r="L4086" s="8" t="s">
        <v>464</v>
      </c>
      <c r="M4086" s="8" t="s">
        <v>25194</v>
      </c>
      <c r="N4086" s="8" t="s">
        <v>128</v>
      </c>
      <c r="O4086" s="8"/>
      <c r="P4086" s="8"/>
      <c r="Q4086" s="8" t="s">
        <v>740</v>
      </c>
      <c r="R4086" s="8"/>
      <c r="S4086" s="8" t="s">
        <v>71</v>
      </c>
      <c r="T4086" s="8" t="s">
        <v>741</v>
      </c>
      <c r="U4086" s="8" t="s">
        <v>134</v>
      </c>
      <c r="V4086" s="8" t="s">
        <v>740</v>
      </c>
      <c r="W4086" s="8" t="s">
        <v>741</v>
      </c>
      <c r="X4086" s="8">
        <v>1</v>
      </c>
      <c r="Y4086" s="8" t="s">
        <v>12359</v>
      </c>
      <c r="Z4086" s="8">
        <v>20</v>
      </c>
      <c r="AA4086" s="8">
        <v>0</v>
      </c>
      <c r="AB4086" s="9">
        <v>0</v>
      </c>
    </row>
    <row r="4087" spans="1:28" x14ac:dyDescent="0.2">
      <c r="A4087" s="10">
        <v>238162</v>
      </c>
      <c r="B4087" s="11" t="s">
        <v>25195</v>
      </c>
      <c r="C4087" s="11" t="s">
        <v>22706</v>
      </c>
      <c r="D4087" s="11" t="s">
        <v>138</v>
      </c>
      <c r="E4087" s="11" t="s">
        <v>2981</v>
      </c>
      <c r="F4087" s="11" t="s">
        <v>353</v>
      </c>
      <c r="G4087" s="11" t="s">
        <v>22707</v>
      </c>
      <c r="H4087" s="11" t="s">
        <v>159</v>
      </c>
      <c r="I4087" s="11" t="s">
        <v>25196</v>
      </c>
      <c r="J4087" s="11" t="s">
        <v>24470</v>
      </c>
      <c r="K4087" s="11" t="s">
        <v>274</v>
      </c>
      <c r="L4087" s="11" t="s">
        <v>163</v>
      </c>
      <c r="M4087" s="11" t="s">
        <v>25197</v>
      </c>
      <c r="N4087" s="11" t="s">
        <v>128</v>
      </c>
      <c r="O4087" s="11" t="s">
        <v>25198</v>
      </c>
      <c r="P4087" s="11"/>
      <c r="Q4087" s="11" t="s">
        <v>249</v>
      </c>
      <c r="R4087" s="11"/>
      <c r="S4087" s="11" t="s">
        <v>22713</v>
      </c>
      <c r="T4087" s="11" t="s">
        <v>1523</v>
      </c>
      <c r="U4087" s="11" t="s">
        <v>134</v>
      </c>
      <c r="V4087" s="11" t="s">
        <v>249</v>
      </c>
      <c r="W4087" s="11" t="s">
        <v>1523</v>
      </c>
      <c r="X4087" s="11">
        <v>1</v>
      </c>
      <c r="Y4087" s="11" t="s">
        <v>12359</v>
      </c>
      <c r="Z4087" s="11">
        <v>20</v>
      </c>
      <c r="AA4087" s="11">
        <v>0</v>
      </c>
      <c r="AB4087" s="12">
        <v>0</v>
      </c>
    </row>
    <row r="4088" spans="1:28" x14ac:dyDescent="0.2">
      <c r="A4088" s="7">
        <v>24071</v>
      </c>
      <c r="B4088" s="8" t="s">
        <v>25199</v>
      </c>
      <c r="C4088" s="8" t="s">
        <v>15961</v>
      </c>
      <c r="D4088" s="8" t="s">
        <v>911</v>
      </c>
      <c r="E4088" s="8" t="s">
        <v>281</v>
      </c>
      <c r="F4088" s="8" t="s">
        <v>353</v>
      </c>
      <c r="G4088" s="8" t="s">
        <v>7402</v>
      </c>
      <c r="H4088" s="8" t="s">
        <v>847</v>
      </c>
      <c r="I4088" s="8" t="s">
        <v>25200</v>
      </c>
      <c r="J4088" s="8" t="s">
        <v>25201</v>
      </c>
      <c r="K4088" s="8" t="s">
        <v>1091</v>
      </c>
      <c r="L4088" s="8" t="s">
        <v>126</v>
      </c>
      <c r="M4088" s="8" t="s">
        <v>25202</v>
      </c>
      <c r="N4088" s="8" t="s">
        <v>128</v>
      </c>
      <c r="O4088" s="8" t="s">
        <v>25203</v>
      </c>
      <c r="P4088" s="8"/>
      <c r="Q4088" s="8" t="s">
        <v>249</v>
      </c>
      <c r="R4088" s="8"/>
      <c r="S4088" s="8" t="s">
        <v>20088</v>
      </c>
      <c r="T4088" s="8" t="s">
        <v>1523</v>
      </c>
      <c r="U4088" s="8" t="s">
        <v>134</v>
      </c>
      <c r="V4088" s="8" t="s">
        <v>249</v>
      </c>
      <c r="W4088" s="8" t="s">
        <v>1523</v>
      </c>
      <c r="X4088" s="8">
        <v>1</v>
      </c>
      <c r="Y4088" s="8" t="s">
        <v>12359</v>
      </c>
      <c r="Z4088" s="8">
        <v>20</v>
      </c>
      <c r="AA4088" s="8">
        <v>0</v>
      </c>
      <c r="AB4088" s="9">
        <v>0</v>
      </c>
    </row>
    <row r="4089" spans="1:28" x14ac:dyDescent="0.2">
      <c r="A4089" s="10">
        <v>124563</v>
      </c>
      <c r="B4089" s="11" t="s">
        <v>25204</v>
      </c>
      <c r="C4089" s="11" t="s">
        <v>9750</v>
      </c>
      <c r="D4089" s="11" t="s">
        <v>9100</v>
      </c>
      <c r="E4089" s="11"/>
      <c r="F4089" s="11" t="s">
        <v>24662</v>
      </c>
      <c r="G4089" s="11" t="s">
        <v>556</v>
      </c>
      <c r="H4089" s="11" t="s">
        <v>557</v>
      </c>
      <c r="I4089" s="11" t="s">
        <v>20405</v>
      </c>
      <c r="J4089" s="11" t="s">
        <v>24663</v>
      </c>
      <c r="K4089" s="11" t="s">
        <v>560</v>
      </c>
      <c r="L4089" s="11" t="s">
        <v>229</v>
      </c>
      <c r="M4089" s="11" t="s">
        <v>25205</v>
      </c>
      <c r="N4089" s="11" t="s">
        <v>128</v>
      </c>
      <c r="O4089" s="11" t="s">
        <v>25206</v>
      </c>
      <c r="P4089" s="11"/>
      <c r="Q4089" s="11" t="s">
        <v>249</v>
      </c>
      <c r="R4089" s="11"/>
      <c r="S4089" s="11" t="s">
        <v>24666</v>
      </c>
      <c r="T4089" s="11" t="s">
        <v>1523</v>
      </c>
      <c r="U4089" s="11" t="s">
        <v>134</v>
      </c>
      <c r="V4089" s="11" t="s">
        <v>249</v>
      </c>
      <c r="W4089" s="11" t="s">
        <v>1523</v>
      </c>
      <c r="X4089" s="11">
        <v>1</v>
      </c>
      <c r="Y4089" s="11" t="s">
        <v>12359</v>
      </c>
      <c r="Z4089" s="11">
        <v>20</v>
      </c>
      <c r="AA4089" s="11">
        <v>0</v>
      </c>
      <c r="AB4089" s="12">
        <v>0</v>
      </c>
    </row>
    <row r="4090" spans="1:28" x14ac:dyDescent="0.2">
      <c r="A4090" s="7">
        <v>31535</v>
      </c>
      <c r="B4090" s="8" t="s">
        <v>25207</v>
      </c>
      <c r="C4090" s="8" t="s">
        <v>9653</v>
      </c>
      <c r="D4090" s="8" t="s">
        <v>3387</v>
      </c>
      <c r="E4090" s="8"/>
      <c r="F4090" s="8" t="s">
        <v>353</v>
      </c>
      <c r="G4090" s="8" t="s">
        <v>10244</v>
      </c>
      <c r="H4090" s="8" t="s">
        <v>142</v>
      </c>
      <c r="I4090" s="8" t="s">
        <v>25208</v>
      </c>
      <c r="J4090" s="8" t="s">
        <v>25209</v>
      </c>
      <c r="K4090" s="8" t="s">
        <v>779</v>
      </c>
      <c r="L4090" s="8" t="s">
        <v>464</v>
      </c>
      <c r="M4090" s="8" t="s">
        <v>25210</v>
      </c>
      <c r="N4090" s="8" t="s">
        <v>128</v>
      </c>
      <c r="O4090" s="8" t="s">
        <v>25211</v>
      </c>
      <c r="P4090" s="8"/>
      <c r="Q4090" s="8" t="s">
        <v>249</v>
      </c>
      <c r="R4090" s="8"/>
      <c r="S4090" s="8" t="s">
        <v>71</v>
      </c>
      <c r="T4090" s="8" t="s">
        <v>1523</v>
      </c>
      <c r="U4090" s="8" t="s">
        <v>134</v>
      </c>
      <c r="V4090" s="8" t="s">
        <v>249</v>
      </c>
      <c r="W4090" s="8" t="s">
        <v>1523</v>
      </c>
      <c r="X4090" s="8">
        <v>1</v>
      </c>
      <c r="Y4090" s="8" t="s">
        <v>12359</v>
      </c>
      <c r="Z4090" s="8">
        <v>20</v>
      </c>
      <c r="AA4090" s="8">
        <v>0</v>
      </c>
      <c r="AB4090" s="9">
        <v>0</v>
      </c>
    </row>
    <row r="4091" spans="1:28" x14ac:dyDescent="0.2">
      <c r="A4091" s="10">
        <v>115027</v>
      </c>
      <c r="B4091" s="11" t="s">
        <v>25212</v>
      </c>
      <c r="C4091" s="11" t="s">
        <v>16185</v>
      </c>
      <c r="D4091" s="11" t="s">
        <v>25213</v>
      </c>
      <c r="E4091" s="11"/>
      <c r="F4091" s="11" t="s">
        <v>353</v>
      </c>
      <c r="G4091" s="11" t="s">
        <v>21562</v>
      </c>
      <c r="H4091" s="11" t="s">
        <v>142</v>
      </c>
      <c r="I4091" s="11" t="s">
        <v>24137</v>
      </c>
      <c r="J4091" s="11" t="s">
        <v>25214</v>
      </c>
      <c r="K4091" s="11" t="s">
        <v>1029</v>
      </c>
      <c r="L4091" s="11" t="s">
        <v>464</v>
      </c>
      <c r="M4091" s="11" t="s">
        <v>25215</v>
      </c>
      <c r="N4091" s="11" t="s">
        <v>128</v>
      </c>
      <c r="O4091" s="11" t="s">
        <v>25216</v>
      </c>
      <c r="P4091" s="11"/>
      <c r="Q4091" s="11" t="s">
        <v>249</v>
      </c>
      <c r="R4091" s="11"/>
      <c r="S4091" s="11" t="s">
        <v>71</v>
      </c>
      <c r="T4091" s="11" t="s">
        <v>1523</v>
      </c>
      <c r="U4091" s="11" t="s">
        <v>134</v>
      </c>
      <c r="V4091" s="11" t="s">
        <v>249</v>
      </c>
      <c r="W4091" s="11" t="s">
        <v>1523</v>
      </c>
      <c r="X4091" s="11">
        <v>1</v>
      </c>
      <c r="Y4091" s="11" t="s">
        <v>12359</v>
      </c>
      <c r="Z4091" s="11">
        <v>20</v>
      </c>
      <c r="AA4091" s="11">
        <v>0</v>
      </c>
      <c r="AB4091" s="12">
        <v>0</v>
      </c>
    </row>
    <row r="4092" spans="1:28" x14ac:dyDescent="0.2">
      <c r="A4092" s="7">
        <v>118248</v>
      </c>
      <c r="B4092" s="8" t="s">
        <v>25217</v>
      </c>
      <c r="C4092" s="8" t="s">
        <v>11176</v>
      </c>
      <c r="D4092" s="8" t="s">
        <v>25218</v>
      </c>
      <c r="E4092" s="8"/>
      <c r="F4092" s="8" t="s">
        <v>353</v>
      </c>
      <c r="G4092" s="8" t="s">
        <v>11177</v>
      </c>
      <c r="H4092" s="8" t="s">
        <v>142</v>
      </c>
      <c r="I4092" s="8" t="s">
        <v>11178</v>
      </c>
      <c r="J4092" s="8" t="s">
        <v>25219</v>
      </c>
      <c r="K4092" s="8" t="s">
        <v>1199</v>
      </c>
      <c r="L4092" s="8" t="s">
        <v>464</v>
      </c>
      <c r="M4092" s="8" t="s">
        <v>25220</v>
      </c>
      <c r="N4092" s="8" t="s">
        <v>128</v>
      </c>
      <c r="O4092" s="8" t="s">
        <v>25221</v>
      </c>
      <c r="P4092" s="8"/>
      <c r="Q4092" s="8" t="s">
        <v>249</v>
      </c>
      <c r="R4092" s="8"/>
      <c r="S4092" s="8" t="s">
        <v>71</v>
      </c>
      <c r="T4092" s="8" t="s">
        <v>1523</v>
      </c>
      <c r="U4092" s="8" t="s">
        <v>134</v>
      </c>
      <c r="V4092" s="8" t="s">
        <v>249</v>
      </c>
      <c r="W4092" s="8" t="s">
        <v>1523</v>
      </c>
      <c r="X4092" s="8">
        <v>1</v>
      </c>
      <c r="Y4092" s="8" t="s">
        <v>12359</v>
      </c>
      <c r="Z4092" s="8">
        <v>20</v>
      </c>
      <c r="AA4092" s="8">
        <v>0</v>
      </c>
      <c r="AB4092" s="9">
        <v>0</v>
      </c>
    </row>
    <row r="4093" spans="1:28" x14ac:dyDescent="0.2">
      <c r="A4093" s="10">
        <v>183903</v>
      </c>
      <c r="B4093" s="11" t="s">
        <v>25222</v>
      </c>
      <c r="C4093" s="11" t="s">
        <v>24712</v>
      </c>
      <c r="D4093" s="11" t="s">
        <v>7243</v>
      </c>
      <c r="E4093" s="11"/>
      <c r="F4093" s="11" t="s">
        <v>353</v>
      </c>
      <c r="G4093" s="11" t="s">
        <v>24713</v>
      </c>
      <c r="H4093" s="11" t="s">
        <v>142</v>
      </c>
      <c r="I4093" s="11" t="s">
        <v>24714</v>
      </c>
      <c r="J4093" s="11" t="s">
        <v>25223</v>
      </c>
      <c r="K4093" s="11" t="s">
        <v>1199</v>
      </c>
      <c r="L4093" s="11" t="s">
        <v>464</v>
      </c>
      <c r="M4093" s="11" t="s">
        <v>25224</v>
      </c>
      <c r="N4093" s="11" t="s">
        <v>128</v>
      </c>
      <c r="O4093" s="11" t="s">
        <v>25225</v>
      </c>
      <c r="P4093" s="11"/>
      <c r="Q4093" s="11" t="s">
        <v>249</v>
      </c>
      <c r="R4093" s="11"/>
      <c r="S4093" s="11" t="s">
        <v>71</v>
      </c>
      <c r="T4093" s="11" t="s">
        <v>1523</v>
      </c>
      <c r="U4093" s="11" t="s">
        <v>134</v>
      </c>
      <c r="V4093" s="11" t="s">
        <v>249</v>
      </c>
      <c r="W4093" s="11" t="s">
        <v>1523</v>
      </c>
      <c r="X4093" s="11">
        <v>1</v>
      </c>
      <c r="Y4093" s="11" t="s">
        <v>12359</v>
      </c>
      <c r="Z4093" s="11">
        <v>20</v>
      </c>
      <c r="AA4093" s="11">
        <v>0</v>
      </c>
      <c r="AB4093" s="12">
        <v>0</v>
      </c>
    </row>
    <row r="4094" spans="1:28" x14ac:dyDescent="0.2">
      <c r="A4094" s="7">
        <v>85204</v>
      </c>
      <c r="B4094" s="8" t="s">
        <v>25226</v>
      </c>
      <c r="C4094" s="8" t="s">
        <v>24565</v>
      </c>
      <c r="D4094" s="8" t="s">
        <v>25045</v>
      </c>
      <c r="E4094" s="8"/>
      <c r="F4094" s="8" t="s">
        <v>25227</v>
      </c>
      <c r="G4094" s="8" t="s">
        <v>24567</v>
      </c>
      <c r="H4094" s="8" t="s">
        <v>142</v>
      </c>
      <c r="I4094" s="8"/>
      <c r="J4094" s="8" t="s">
        <v>25228</v>
      </c>
      <c r="K4094" s="8" t="s">
        <v>779</v>
      </c>
      <c r="L4094" s="8" t="s">
        <v>464</v>
      </c>
      <c r="M4094" s="8" t="s">
        <v>25229</v>
      </c>
      <c r="N4094" s="8" t="s">
        <v>128</v>
      </c>
      <c r="O4094" s="8"/>
      <c r="P4094" s="8"/>
      <c r="Q4094" s="8" t="s">
        <v>249</v>
      </c>
      <c r="R4094" s="8"/>
      <c r="S4094" s="8" t="s">
        <v>71</v>
      </c>
      <c r="T4094" s="8" t="s">
        <v>1523</v>
      </c>
      <c r="U4094" s="8" t="s">
        <v>134</v>
      </c>
      <c r="V4094" s="8" t="s">
        <v>249</v>
      </c>
      <c r="W4094" s="8" t="s">
        <v>1523</v>
      </c>
      <c r="X4094" s="8">
        <v>1</v>
      </c>
      <c r="Y4094" s="8" t="s">
        <v>12359</v>
      </c>
      <c r="Z4094" s="8">
        <v>20</v>
      </c>
      <c r="AA4094" s="8">
        <v>0</v>
      </c>
      <c r="AB4094" s="9">
        <v>0</v>
      </c>
    </row>
    <row r="4095" spans="1:28" x14ac:dyDescent="0.2">
      <c r="A4095" s="10">
        <v>25442</v>
      </c>
      <c r="B4095" s="11" t="s">
        <v>25230</v>
      </c>
      <c r="C4095" s="11" t="s">
        <v>17429</v>
      </c>
      <c r="D4095" s="11" t="s">
        <v>7140</v>
      </c>
      <c r="E4095" s="11" t="s">
        <v>13054</v>
      </c>
      <c r="F4095" s="11" t="s">
        <v>7636</v>
      </c>
      <c r="G4095" s="11" t="s">
        <v>1026</v>
      </c>
      <c r="H4095" s="11" t="s">
        <v>142</v>
      </c>
      <c r="I4095" s="11" t="s">
        <v>17431</v>
      </c>
      <c r="J4095" s="11" t="s">
        <v>17432</v>
      </c>
      <c r="K4095" s="11" t="s">
        <v>1029</v>
      </c>
      <c r="L4095" s="11" t="s">
        <v>464</v>
      </c>
      <c r="M4095" s="11" t="s">
        <v>25231</v>
      </c>
      <c r="N4095" s="11" t="s">
        <v>128</v>
      </c>
      <c r="O4095" s="11" t="s">
        <v>25232</v>
      </c>
      <c r="P4095" s="11" t="s">
        <v>25233</v>
      </c>
      <c r="Q4095" s="11" t="s">
        <v>249</v>
      </c>
      <c r="R4095" s="11"/>
      <c r="S4095" s="11" t="s">
        <v>17435</v>
      </c>
      <c r="T4095" s="11" t="s">
        <v>250</v>
      </c>
      <c r="U4095" s="11" t="s">
        <v>134</v>
      </c>
      <c r="V4095" s="11" t="s">
        <v>249</v>
      </c>
      <c r="W4095" s="11" t="s">
        <v>250</v>
      </c>
      <c r="X4095" s="11">
        <v>1</v>
      </c>
      <c r="Y4095" s="11" t="s">
        <v>12359</v>
      </c>
      <c r="Z4095" s="11">
        <v>20</v>
      </c>
      <c r="AA4095" s="11">
        <v>0</v>
      </c>
      <c r="AB4095" s="12">
        <v>0</v>
      </c>
    </row>
    <row r="4096" spans="1:28" x14ac:dyDescent="0.2">
      <c r="A4096" s="7">
        <v>235551</v>
      </c>
      <c r="B4096" s="8" t="s">
        <v>25234</v>
      </c>
      <c r="C4096" s="8" t="s">
        <v>10875</v>
      </c>
      <c r="D4096" s="8" t="s">
        <v>9815</v>
      </c>
      <c r="E4096" s="8" t="s">
        <v>25235</v>
      </c>
      <c r="F4096" s="8" t="s">
        <v>9816</v>
      </c>
      <c r="G4096" s="8" t="s">
        <v>190</v>
      </c>
      <c r="H4096" s="8" t="s">
        <v>191</v>
      </c>
      <c r="I4096" s="8" t="s">
        <v>9817</v>
      </c>
      <c r="J4096" s="8" t="s">
        <v>10877</v>
      </c>
      <c r="K4096" s="8" t="s">
        <v>194</v>
      </c>
      <c r="L4096" s="8" t="s">
        <v>163</v>
      </c>
      <c r="M4096" s="8" t="s">
        <v>25236</v>
      </c>
      <c r="N4096" s="8" t="s">
        <v>128</v>
      </c>
      <c r="O4096" s="8" t="s">
        <v>25237</v>
      </c>
      <c r="P4096" s="8" t="s">
        <v>25238</v>
      </c>
      <c r="Q4096" s="8" t="s">
        <v>249</v>
      </c>
      <c r="R4096" s="8"/>
      <c r="S4096" s="8" t="s">
        <v>9822</v>
      </c>
      <c r="T4096" s="8" t="s">
        <v>250</v>
      </c>
      <c r="U4096" s="8" t="s">
        <v>134</v>
      </c>
      <c r="V4096" s="8" t="s">
        <v>249</v>
      </c>
      <c r="W4096" s="8" t="s">
        <v>250</v>
      </c>
      <c r="X4096" s="8">
        <v>1</v>
      </c>
      <c r="Y4096" s="8" t="s">
        <v>12359</v>
      </c>
      <c r="Z4096" s="8">
        <v>20</v>
      </c>
      <c r="AA4096" s="8">
        <v>0</v>
      </c>
      <c r="AB4096" s="9">
        <v>0</v>
      </c>
    </row>
    <row r="4097" spans="1:28" x14ac:dyDescent="0.2">
      <c r="A4097" s="10">
        <v>25424</v>
      </c>
      <c r="B4097" s="11" t="s">
        <v>25239</v>
      </c>
      <c r="C4097" s="11" t="s">
        <v>1214</v>
      </c>
      <c r="D4097" s="11" t="s">
        <v>1215</v>
      </c>
      <c r="E4097" s="11" t="s">
        <v>25240</v>
      </c>
      <c r="F4097" s="11" t="s">
        <v>353</v>
      </c>
      <c r="G4097" s="11" t="s">
        <v>536</v>
      </c>
      <c r="H4097" s="11" t="s">
        <v>329</v>
      </c>
      <c r="I4097" s="11" t="s">
        <v>1216</v>
      </c>
      <c r="J4097" s="11" t="s">
        <v>25241</v>
      </c>
      <c r="K4097" s="11" t="s">
        <v>431</v>
      </c>
      <c r="L4097" s="11" t="s">
        <v>333</v>
      </c>
      <c r="M4097" s="11" t="s">
        <v>25242</v>
      </c>
      <c r="N4097" s="11" t="s">
        <v>128</v>
      </c>
      <c r="O4097" s="11" t="s">
        <v>25243</v>
      </c>
      <c r="P4097" s="11" t="s">
        <v>18910</v>
      </c>
      <c r="Q4097" s="11" t="s">
        <v>249</v>
      </c>
      <c r="R4097" s="11"/>
      <c r="S4097" s="11" t="s">
        <v>1221</v>
      </c>
      <c r="T4097" s="11" t="s">
        <v>250</v>
      </c>
      <c r="U4097" s="11" t="s">
        <v>134</v>
      </c>
      <c r="V4097" s="11" t="s">
        <v>249</v>
      </c>
      <c r="W4097" s="11" t="s">
        <v>250</v>
      </c>
      <c r="X4097" s="11">
        <v>1</v>
      </c>
      <c r="Y4097" s="11" t="s">
        <v>12359</v>
      </c>
      <c r="Z4097" s="11">
        <v>20</v>
      </c>
      <c r="AA4097" s="11">
        <v>0</v>
      </c>
      <c r="AB4097" s="12">
        <v>0</v>
      </c>
    </row>
    <row r="4098" spans="1:28" x14ac:dyDescent="0.2">
      <c r="A4098" s="7">
        <v>25590</v>
      </c>
      <c r="B4098" s="8" t="s">
        <v>25244</v>
      </c>
      <c r="C4098" s="8" t="s">
        <v>15697</v>
      </c>
      <c r="D4098" s="8" t="s">
        <v>713</v>
      </c>
      <c r="E4098" s="8"/>
      <c r="F4098" s="8" t="s">
        <v>25245</v>
      </c>
      <c r="G4098" s="8" t="s">
        <v>846</v>
      </c>
      <c r="H4098" s="8" t="s">
        <v>847</v>
      </c>
      <c r="I4098" s="8" t="s">
        <v>15699</v>
      </c>
      <c r="J4098" s="8" t="s">
        <v>17757</v>
      </c>
      <c r="K4098" s="8" t="s">
        <v>850</v>
      </c>
      <c r="L4098" s="8" t="s">
        <v>126</v>
      </c>
      <c r="M4098" s="8" t="s">
        <v>25246</v>
      </c>
      <c r="N4098" s="8" t="s">
        <v>128</v>
      </c>
      <c r="O4098" s="8" t="s">
        <v>25247</v>
      </c>
      <c r="P4098" s="8" t="s">
        <v>18910</v>
      </c>
      <c r="Q4098" s="8" t="s">
        <v>249</v>
      </c>
      <c r="R4098" s="8"/>
      <c r="S4098" s="8" t="s">
        <v>15704</v>
      </c>
      <c r="T4098" s="8" t="s">
        <v>250</v>
      </c>
      <c r="U4098" s="8" t="s">
        <v>134</v>
      </c>
      <c r="V4098" s="8" t="s">
        <v>249</v>
      </c>
      <c r="W4098" s="8" t="s">
        <v>250</v>
      </c>
      <c r="X4098" s="8">
        <v>1</v>
      </c>
      <c r="Y4098" s="8" t="s">
        <v>12359</v>
      </c>
      <c r="Z4098" s="8">
        <v>20</v>
      </c>
      <c r="AA4098" s="8">
        <v>0</v>
      </c>
      <c r="AB4098" s="9">
        <v>0</v>
      </c>
    </row>
    <row r="4099" spans="1:28" x14ac:dyDescent="0.2">
      <c r="A4099" s="10">
        <v>25482</v>
      </c>
      <c r="B4099" s="11" t="s">
        <v>25248</v>
      </c>
      <c r="C4099" s="11" t="s">
        <v>17565</v>
      </c>
      <c r="D4099" s="11" t="s">
        <v>2454</v>
      </c>
      <c r="E4099" s="11"/>
      <c r="F4099" s="11" t="s">
        <v>15918</v>
      </c>
      <c r="G4099" s="11" t="s">
        <v>6005</v>
      </c>
      <c r="H4099" s="11" t="s">
        <v>5805</v>
      </c>
      <c r="I4099" s="11" t="s">
        <v>25249</v>
      </c>
      <c r="J4099" s="11" t="s">
        <v>21320</v>
      </c>
      <c r="K4099" s="11" t="s">
        <v>274</v>
      </c>
      <c r="L4099" s="11" t="s">
        <v>163</v>
      </c>
      <c r="M4099" s="11" t="s">
        <v>25250</v>
      </c>
      <c r="N4099" s="11" t="s">
        <v>128</v>
      </c>
      <c r="O4099" s="11" t="s">
        <v>25251</v>
      </c>
      <c r="P4099" s="11" t="s">
        <v>25252</v>
      </c>
      <c r="Q4099" s="11" t="s">
        <v>249</v>
      </c>
      <c r="R4099" s="11"/>
      <c r="S4099" s="11" t="s">
        <v>15924</v>
      </c>
      <c r="T4099" s="11" t="s">
        <v>250</v>
      </c>
      <c r="U4099" s="11" t="s">
        <v>134</v>
      </c>
      <c r="V4099" s="11" t="s">
        <v>249</v>
      </c>
      <c r="W4099" s="11" t="s">
        <v>250</v>
      </c>
      <c r="X4099" s="11">
        <v>1</v>
      </c>
      <c r="Y4099" s="11" t="s">
        <v>12359</v>
      </c>
      <c r="Z4099" s="11">
        <v>20</v>
      </c>
      <c r="AA4099" s="11">
        <v>0</v>
      </c>
      <c r="AB4099" s="12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</vt:lpstr>
      <vt:lpstr>lojas comp prom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2026-03-31T15:19:28Z</dcterms:created>
  <dcterms:modified xsi:type="dcterms:W3CDTF">2026-04-02T14:50:25Z</dcterms:modified>
  <cp:category/>
</cp:coreProperties>
</file>